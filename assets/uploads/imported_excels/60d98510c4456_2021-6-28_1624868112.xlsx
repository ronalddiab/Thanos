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worksheets/sheet24.xml" ContentType="application/vnd.openxmlformats-officedocument.spreadsheetml.worksheet+xml"/>
  <Override PartName="/xl/worksheets/sheet35.xml" ContentType="application/vnd.openxmlformats-officedocument.spreadsheetml.worksheet+xml"/>
  <Override PartName="/xl/charts/chart6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2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ml.chartshapes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worksheets/sheet20.xml" ContentType="application/vnd.openxmlformats-officedocument.spreadsheetml.worksheet+xml"/>
  <Override PartName="/xl/worksheets/sheet31.xml" ContentType="application/vnd.openxmlformats-officedocument.spreadsheetml.worksheet+xml"/>
  <Override PartName="/xl/worksheets/sheet40.xml" ContentType="application/vnd.openxmlformats-officedocument.spreadsheetml.worksheet+xml"/>
  <Override PartName="/xl/charts/chart2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externalLinks/externalLink3.xml" ContentType="application/vnd.openxmlformats-officedocument.spreadsheetml.externalLink+xml"/>
  <Override PartName="/xl/comments2.xml" ContentType="application/vnd.openxmlformats-officedocument.spreadsheetml.comment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harts/chart16.xml" ContentType="application/vnd.openxmlformats-officedocument.drawingml.chart+xml"/>
  <Override PartName="/xl/worksheets/sheet19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sharedStrings.xml" ContentType="application/vnd.openxmlformats-officedocument.spreadsheetml.sharedStrings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docProps/core.xml" ContentType="application/vnd.openxmlformats-package.core-properties+xml"/>
  <Override PartName="/xl/worksheets/sheet16.xml" ContentType="application/vnd.openxmlformats-officedocument.spreadsheetml.worksheet+xml"/>
  <Override PartName="/xl/worksheets/sheet25.xml" ContentType="application/vnd.openxmlformats-officedocument.spreadsheetml.worksheet+xml"/>
  <Override PartName="/xl/worksheets/sheet34.xml" ContentType="application/vnd.openxmlformats-officedocument.spreadsheetml.worksheet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  <Override PartName="/xl/worksheets/sheet14.xml" ContentType="application/vnd.openxmlformats-officedocument.spreadsheetml.worksheet+xml"/>
  <Override PartName="/xl/worksheets/sheet23.xml" ContentType="application/vnd.openxmlformats-officedocument.spreadsheetml.worksheet+xml"/>
  <Override PartName="/xl/worksheets/sheet32.xml" ContentType="application/vnd.openxmlformats-officedocument.spreadsheetml.worksheet+xml"/>
  <Override PartName="/xl/worksheets/sheet41.xml" ContentType="application/vnd.openxmlformats-officedocument.spreadsheetml.worksheet+xml"/>
  <Override PartName="/xl/charts/chart5.xml" ContentType="application/vnd.openxmlformats-officedocument.drawingml.chart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worksheets/sheet21.xml" ContentType="application/vnd.openxmlformats-officedocument.spreadsheetml.worksheet+xml"/>
  <Override PartName="/xl/worksheets/sheet30.xml" ContentType="application/vnd.openxmlformats-officedocument.spreadsheetml.worksheet+xml"/>
  <Override PartName="/xl/charts/chart3.xml" ContentType="application/vnd.openxmlformats-officedocument.drawingml.chart+xml"/>
  <Override PartName="/xl/drawings/drawing5.xml" ContentType="application/vnd.openxmlformats-officedocument.drawingml.chartshapes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drawings/drawing1.xml" ContentType="application/vnd.openxmlformats-officedocument.drawing+xml"/>
  <Default Extension="vml" ContentType="application/vnd.openxmlformats-officedocument.vmlDrawing"/>
  <Override PartName="/xl/comments1.xml" ContentType="application/vnd.openxmlformats-officedocument.spreadsheetml.comments+xml"/>
  <Override PartName="/xl/charts/chart17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20730" windowHeight="11760" tabRatio="913"/>
  </bookViews>
  <sheets>
    <sheet name="TOTAL" sheetId="47" r:id="rId1"/>
    <sheet name="Submetering" sheetId="49" r:id="rId2"/>
    <sheet name="Daily HLP" sheetId="1" r:id="rId3"/>
    <sheet name="Occupancy" sheetId="48" r:id="rId4"/>
    <sheet name="Water Report" sheetId="45" r:id="rId5"/>
    <sheet name="Section Load" sheetId="44" r:id="rId6"/>
    <sheet name="1" sheetId="2" r:id="rId7"/>
    <sheet name="2" sheetId="3" r:id="rId8"/>
    <sheet name="3" sheetId="4" r:id="rId9"/>
    <sheet name="4" sheetId="5" r:id="rId10"/>
    <sheet name="5" sheetId="33" r:id="rId11"/>
    <sheet name="6" sheetId="7" r:id="rId12"/>
    <sheet name="7" sheetId="8" r:id="rId13"/>
    <sheet name="8" sheetId="9" r:id="rId14"/>
    <sheet name="9" sheetId="10" r:id="rId15"/>
    <sheet name="10" sheetId="11" r:id="rId16"/>
    <sheet name="11" sheetId="12" r:id="rId17"/>
    <sheet name="12" sheetId="13" r:id="rId18"/>
    <sheet name="13" sheetId="14" r:id="rId19"/>
    <sheet name="14" sheetId="15" r:id="rId20"/>
    <sheet name="15" sheetId="16" r:id="rId21"/>
    <sheet name="16" sheetId="17" r:id="rId22"/>
    <sheet name="17" sheetId="18" r:id="rId23"/>
    <sheet name="18" sheetId="19" r:id="rId24"/>
    <sheet name="19" sheetId="20" r:id="rId25"/>
    <sheet name="20" sheetId="21" r:id="rId26"/>
    <sheet name="21" sheetId="22" r:id="rId27"/>
    <sheet name="22" sheetId="23" r:id="rId28"/>
    <sheet name="23" sheetId="24" r:id="rId29"/>
    <sheet name="24" sheetId="25" r:id="rId30"/>
    <sheet name="25" sheetId="40" r:id="rId31"/>
    <sheet name="26" sheetId="27" r:id="rId32"/>
    <sheet name="27" sheetId="28" r:id="rId33"/>
    <sheet name="28" sheetId="29" r:id="rId34"/>
    <sheet name="29" sheetId="30" r:id="rId35"/>
    <sheet name="30" sheetId="43" r:id="rId36"/>
    <sheet name="31" sheetId="31" r:id="rId37"/>
    <sheet name="Daily HLP (2)" sheetId="35" r:id="rId38"/>
    <sheet name="Sheet1" sheetId="41" r:id="rId39"/>
    <sheet name="Sheet2" sheetId="42" r:id="rId40"/>
    <sheet name="Sheet3" sheetId="46" r:id="rId41"/>
  </sheets>
  <externalReferences>
    <externalReference r:id="rId42"/>
    <externalReference r:id="rId43"/>
    <externalReference r:id="rId44"/>
  </externalReferences>
  <definedNames>
    <definedName name="_xlnm.Print_Area" localSheetId="6">'1'!$A$1:$M$174</definedName>
    <definedName name="_xlnm.Print_Area" localSheetId="15">'10'!$A$1:$M$201</definedName>
    <definedName name="_xlnm.Print_Area" localSheetId="18">'13'!$A$1:$P$174</definedName>
    <definedName name="_xlnm.Print_Area" localSheetId="19">'14'!$A$1:$J$176</definedName>
    <definedName name="_xlnm.Print_Area" localSheetId="20">'15'!$A$1:$J$176</definedName>
    <definedName name="_xlnm.Print_Area" localSheetId="21">'16'!$A$1:$J$176</definedName>
    <definedName name="_xlnm.Print_Area" localSheetId="22">'17'!$A$1:$J$176</definedName>
    <definedName name="_xlnm.Print_Area" localSheetId="23">'18'!$A$1:$J$177</definedName>
    <definedName name="_xlnm.Print_Area" localSheetId="24">'19'!$A$1:$J$176</definedName>
    <definedName name="_xlnm.Print_Area" localSheetId="25">'20'!$A$1:$J$176</definedName>
    <definedName name="_xlnm.Print_Area" localSheetId="26">'21'!$A$1:$J$176</definedName>
    <definedName name="_xlnm.Print_Area" localSheetId="27">'22'!$A$1:$J$177</definedName>
    <definedName name="_xlnm.Print_Area" localSheetId="28">'23'!$A$1:$J$177</definedName>
    <definedName name="_xlnm.Print_Area" localSheetId="29">'24'!$A$1:$J$177</definedName>
    <definedName name="_xlnm.Print_Area" localSheetId="30">'25'!$A$1:$J$177</definedName>
    <definedName name="_xlnm.Print_Area" localSheetId="31">'26'!$A$1:$J$177</definedName>
    <definedName name="_xlnm.Print_Area" localSheetId="32">'27'!$A$1:$J$178</definedName>
    <definedName name="_xlnm.Print_Area" localSheetId="33">'28'!$A$1:$J$173</definedName>
    <definedName name="_xlnm.Print_Area" localSheetId="34">'29'!$A$1:$M$173</definedName>
    <definedName name="_xlnm.Print_Area" localSheetId="35">'30'!$A$1:$J$173</definedName>
    <definedName name="_xlnm.Print_Area" localSheetId="36">'31'!$A$1:$J$173</definedName>
    <definedName name="_xlnm.Print_Area" localSheetId="9">'4'!$A$1:$J$173</definedName>
    <definedName name="_xlnm.Print_Area" localSheetId="11">'6'!$A$1:$J$174</definedName>
    <definedName name="_xlnm.Print_Area" localSheetId="12">'7'!$A$1:$J$174</definedName>
    <definedName name="_xlnm.Print_Area" localSheetId="13">'8'!$A$1:$J$174</definedName>
    <definedName name="_xlnm.Print_Area" localSheetId="14">'9'!$A$1:$J$174</definedName>
  </definedNames>
  <calcPr calcId="124519"/>
</workbook>
</file>

<file path=xl/calcChain.xml><?xml version="1.0" encoding="utf-8"?>
<calcChain xmlns="http://schemas.openxmlformats.org/spreadsheetml/2006/main">
  <c r="H34" i="1"/>
  <c r="H33"/>
  <c r="H32"/>
  <c r="H31"/>
  <c r="H30"/>
  <c r="H29"/>
  <c r="H28"/>
  <c r="H27"/>
  <c r="H26"/>
  <c r="H25"/>
  <c r="H24"/>
  <c r="H23"/>
  <c r="H22"/>
  <c r="H21"/>
  <c r="H20"/>
  <c r="H19"/>
  <c r="H18"/>
  <c r="H17"/>
  <c r="H16"/>
  <c r="H15"/>
  <c r="H14"/>
  <c r="H13"/>
  <c r="H12"/>
  <c r="H11"/>
  <c r="H10"/>
  <c r="H9"/>
  <c r="H8"/>
  <c r="H7"/>
  <c r="H6"/>
  <c r="H5"/>
  <c r="H4"/>
  <c r="I33"/>
  <c r="I32"/>
  <c r="I31"/>
  <c r="I30"/>
  <c r="I29"/>
  <c r="I28"/>
  <c r="I27"/>
  <c r="I26"/>
  <c r="I25"/>
  <c r="I24"/>
  <c r="I23"/>
  <c r="I22"/>
  <c r="I21"/>
  <c r="I20"/>
  <c r="I19"/>
  <c r="I18"/>
  <c r="I17"/>
  <c r="I16"/>
  <c r="I15"/>
  <c r="I14"/>
  <c r="I13"/>
  <c r="I12"/>
  <c r="I11"/>
  <c r="I10"/>
  <c r="I9"/>
  <c r="I8"/>
  <c r="I7"/>
  <c r="I6"/>
  <c r="I5"/>
  <c r="I4"/>
  <c r="B3" i="48"/>
  <c r="B4"/>
  <c r="B5"/>
  <c r="B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2"/>
  <c r="E111" i="28"/>
  <c r="E112"/>
  <c r="G177"/>
  <c r="G176"/>
  <c r="G175"/>
  <c r="G174"/>
  <c r="E132"/>
  <c r="E133"/>
  <c r="E134"/>
  <c r="E135"/>
  <c r="E136"/>
  <c r="E137"/>
  <c r="E138"/>
  <c r="E139"/>
  <c r="E140"/>
  <c r="E141"/>
  <c r="E125"/>
  <c r="E126"/>
  <c r="E127"/>
  <c r="E128"/>
  <c r="E106"/>
  <c r="E107"/>
  <c r="E87"/>
  <c r="E88"/>
  <c r="E89"/>
  <c r="E90"/>
  <c r="E91"/>
  <c r="E73"/>
  <c r="E74"/>
  <c r="E75"/>
  <c r="E76"/>
  <c r="E77"/>
  <c r="E78"/>
  <c r="E79"/>
  <c r="E80"/>
  <c r="E81"/>
  <c r="E82"/>
  <c r="E83"/>
  <c r="E84"/>
  <c r="E63"/>
  <c r="E64"/>
  <c r="E65"/>
  <c r="E66"/>
  <c r="E67"/>
  <c r="E68"/>
  <c r="E69"/>
  <c r="E50"/>
  <c r="E51"/>
  <c r="E52"/>
  <c r="E53"/>
  <c r="E54"/>
  <c r="E55"/>
  <c r="E56"/>
  <c r="E57"/>
  <c r="E58"/>
  <c r="E36"/>
  <c r="E37"/>
  <c r="E38"/>
  <c r="E39"/>
  <c r="E40"/>
  <c r="E41"/>
  <c r="E42"/>
  <c r="E43"/>
  <c r="E44"/>
  <c r="E45"/>
  <c r="E46"/>
  <c r="E87" i="27"/>
  <c r="E88"/>
  <c r="E89"/>
  <c r="E90"/>
  <c r="E91"/>
  <c r="E63"/>
  <c r="E64"/>
  <c r="E65"/>
  <c r="E66"/>
  <c r="E67"/>
  <c r="E68"/>
  <c r="E69"/>
  <c r="E50"/>
  <c r="E51"/>
  <c r="E52"/>
  <c r="E53"/>
  <c r="E54"/>
  <c r="E55"/>
  <c r="E56"/>
  <c r="E57"/>
  <c r="E58"/>
  <c r="E36"/>
  <c r="E37"/>
  <c r="E38"/>
  <c r="E39"/>
  <c r="E40"/>
  <c r="E41"/>
  <c r="E42"/>
  <c r="E43"/>
  <c r="E44"/>
  <c r="E45"/>
  <c r="E46"/>
  <c r="E125"/>
  <c r="E126"/>
  <c r="E127"/>
  <c r="E128"/>
  <c r="E132"/>
  <c r="E133"/>
  <c r="E134"/>
  <c r="E135"/>
  <c r="E136"/>
  <c r="E137"/>
  <c r="E138"/>
  <c r="E139"/>
  <c r="E140"/>
  <c r="E141"/>
  <c r="G177"/>
  <c r="G176"/>
  <c r="G175"/>
  <c r="G174"/>
  <c r="G2" i="48"/>
  <c r="J20"/>
  <c r="K2"/>
  <c r="E2"/>
  <c r="G177" i="40" l="1"/>
  <c r="G176"/>
  <c r="G175"/>
  <c r="G174"/>
  <c r="G177" i="25"/>
  <c r="G176"/>
  <c r="G175"/>
  <c r="G174"/>
  <c r="E73"/>
  <c r="E74"/>
  <c r="E75"/>
  <c r="E76"/>
  <c r="E77"/>
  <c r="E78"/>
  <c r="E79"/>
  <c r="E80"/>
  <c r="E81"/>
  <c r="E82"/>
  <c r="E83"/>
  <c r="E84"/>
  <c r="E11" i="24"/>
  <c r="E12"/>
  <c r="G177"/>
  <c r="G174"/>
  <c r="E175"/>
  <c r="G175" s="1"/>
  <c r="E176"/>
  <c r="G176" s="1"/>
  <c r="E177"/>
  <c r="E174"/>
  <c r="G177" i="23"/>
  <c r="G174"/>
  <c r="E175"/>
  <c r="G175" s="1"/>
  <c r="E176"/>
  <c r="G176" s="1"/>
  <c r="E174"/>
  <c r="E68"/>
  <c r="E50"/>
  <c r="E10"/>
  <c r="E11"/>
  <c r="E12"/>
  <c r="G175" i="22"/>
  <c r="G176"/>
  <c r="E175"/>
  <c r="E176"/>
  <c r="E174"/>
  <c r="G174" s="1"/>
  <c r="G176" i="21"/>
  <c r="G175"/>
  <c r="E10" i="22"/>
  <c r="E11"/>
  <c r="E12"/>
  <c r="E53" i="20"/>
  <c r="E93"/>
  <c r="E36" i="21"/>
  <c r="E37"/>
  <c r="E38"/>
  <c r="E39"/>
  <c r="E40"/>
  <c r="E41"/>
  <c r="E42"/>
  <c r="E43"/>
  <c r="E44"/>
  <c r="E45"/>
  <c r="E46"/>
  <c r="E83"/>
  <c r="E84"/>
  <c r="E35"/>
  <c r="E24"/>
  <c r="E11"/>
  <c r="E12"/>
  <c r="E10"/>
  <c r="E133" i="19"/>
  <c r="G133" s="1"/>
  <c r="F168" i="18"/>
  <c r="E87"/>
  <c r="E97"/>
  <c r="E93"/>
  <c r="E50" i="17"/>
  <c r="G174" i="16"/>
  <c r="G173"/>
  <c r="G174" i="15"/>
  <c r="G173"/>
  <c r="G174" i="14" l="1"/>
  <c r="G173"/>
  <c r="E50" i="13"/>
  <c r="E51"/>
  <c r="E52"/>
  <c r="E53"/>
  <c r="E54"/>
  <c r="E55"/>
  <c r="E56"/>
  <c r="E57"/>
  <c r="E58"/>
  <c r="G162" i="12" l="1"/>
  <c r="G163"/>
  <c r="G164"/>
  <c r="G170"/>
  <c r="G171"/>
  <c r="G172"/>
  <c r="E162"/>
  <c r="E163"/>
  <c r="E164"/>
  <c r="E165"/>
  <c r="G165" s="1"/>
  <c r="E166"/>
  <c r="G166" s="1"/>
  <c r="E167"/>
  <c r="G167" s="1"/>
  <c r="E168"/>
  <c r="G168" s="1"/>
  <c r="E169"/>
  <c r="G169" s="1"/>
  <c r="E170"/>
  <c r="E171"/>
  <c r="E172"/>
  <c r="E173"/>
  <c r="G173" s="1"/>
  <c r="E174"/>
  <c r="G174" s="1"/>
  <c r="E97"/>
  <c r="E98"/>
  <c r="E99"/>
  <c r="E100"/>
  <c r="E101"/>
  <c r="E94"/>
  <c r="E87"/>
  <c r="E88"/>
  <c r="E89"/>
  <c r="E90"/>
  <c r="E91"/>
  <c r="E73"/>
  <c r="E74"/>
  <c r="E75"/>
  <c r="E76"/>
  <c r="E77"/>
  <c r="E78"/>
  <c r="E79"/>
  <c r="E80"/>
  <c r="E81"/>
  <c r="E82"/>
  <c r="E83"/>
  <c r="E84"/>
  <c r="E63"/>
  <c r="E64"/>
  <c r="E65"/>
  <c r="E66"/>
  <c r="E67"/>
  <c r="E68"/>
  <c r="E69"/>
  <c r="E50"/>
  <c r="E51"/>
  <c r="E52"/>
  <c r="E53"/>
  <c r="E54"/>
  <c r="E55"/>
  <c r="E56"/>
  <c r="E57"/>
  <c r="E58"/>
  <c r="E36"/>
  <c r="E37"/>
  <c r="E38"/>
  <c r="E39"/>
  <c r="E40"/>
  <c r="E41"/>
  <c r="E42"/>
  <c r="E43"/>
  <c r="E44"/>
  <c r="E45"/>
  <c r="E46"/>
  <c r="E8"/>
  <c r="E9"/>
  <c r="E10"/>
  <c r="E11"/>
  <c r="E12"/>
  <c r="E7"/>
  <c r="E132" i="11"/>
  <c r="E133"/>
  <c r="E134"/>
  <c r="E135"/>
  <c r="E136"/>
  <c r="E137"/>
  <c r="E138"/>
  <c r="E139"/>
  <c r="E140"/>
  <c r="E141"/>
  <c r="G173" i="10"/>
  <c r="G174"/>
  <c r="E165" i="9" l="1"/>
  <c r="E62"/>
  <c r="E54"/>
  <c r="E55"/>
  <c r="E56"/>
  <c r="E57"/>
  <c r="E58"/>
  <c r="E173"/>
  <c r="G173" s="1"/>
  <c r="E174"/>
  <c r="G174" s="1"/>
  <c r="G173" i="8"/>
  <c r="G174"/>
  <c r="E162"/>
  <c r="E163"/>
  <c r="E164"/>
  <c r="E161"/>
  <c r="E106"/>
  <c r="E107"/>
  <c r="E105"/>
  <c r="E10"/>
  <c r="E11"/>
  <c r="E12"/>
  <c r="E9"/>
  <c r="E162" i="7"/>
  <c r="E163"/>
  <c r="E164"/>
  <c r="E161"/>
  <c r="E98"/>
  <c r="E23" i="33"/>
  <c r="E24"/>
  <c r="E22"/>
  <c r="E18"/>
  <c r="E162"/>
  <c r="E163"/>
  <c r="E164"/>
  <c r="E161"/>
  <c r="E106"/>
  <c r="E107"/>
  <c r="E109"/>
  <c r="E110"/>
  <c r="E111"/>
  <c r="E112"/>
  <c r="E115"/>
  <c r="E116"/>
  <c r="E117"/>
  <c r="E105"/>
  <c r="E99"/>
  <c r="E40"/>
  <c r="E41"/>
  <c r="E42"/>
  <c r="E43"/>
  <c r="E44"/>
  <c r="E45"/>
  <c r="E46"/>
  <c r="E38"/>
  <c r="E39"/>
  <c r="E37"/>
  <c r="E168" i="5" l="1"/>
  <c r="E169"/>
  <c r="E170"/>
  <c r="E171"/>
  <c r="E172"/>
  <c r="E167"/>
  <c r="G167" s="1"/>
  <c r="E166"/>
  <c r="F167"/>
  <c r="F168"/>
  <c r="F169"/>
  <c r="F170"/>
  <c r="F171"/>
  <c r="F172"/>
  <c r="F166"/>
  <c r="E73"/>
  <c r="E74"/>
  <c r="E75"/>
  <c r="E76"/>
  <c r="E77"/>
  <c r="E78"/>
  <c r="E79"/>
  <c r="E80"/>
  <c r="E81"/>
  <c r="E82"/>
  <c r="E83"/>
  <c r="E84"/>
  <c r="E72"/>
  <c r="F167" i="4"/>
  <c r="E167"/>
  <c r="E168"/>
  <c r="E169"/>
  <c r="E170"/>
  <c r="E171"/>
  <c r="E172"/>
  <c r="H3" i="48"/>
  <c r="H4"/>
  <c r="H5"/>
  <c r="H6"/>
  <c r="H7"/>
  <c r="H8"/>
  <c r="H9"/>
  <c r="H10"/>
  <c r="H11"/>
  <c r="H12"/>
  <c r="H13"/>
  <c r="H14"/>
  <c r="H15"/>
  <c r="H16"/>
  <c r="H17"/>
  <c r="H18"/>
  <c r="H19"/>
  <c r="H20"/>
  <c r="H21"/>
  <c r="H22"/>
  <c r="H23"/>
  <c r="H24"/>
  <c r="H25"/>
  <c r="H26"/>
  <c r="H27"/>
  <c r="H28"/>
  <c r="H29"/>
  <c r="H30"/>
  <c r="H31"/>
  <c r="H32"/>
  <c r="H2"/>
  <c r="F166" i="3" l="1"/>
  <c r="F167"/>
  <c r="F168"/>
  <c r="F169"/>
  <c r="F170"/>
  <c r="F171"/>
  <c r="F172"/>
  <c r="G163" i="2"/>
  <c r="E56" i="3"/>
  <c r="E172" i="2"/>
  <c r="E171"/>
  <c r="E170"/>
  <c r="E169"/>
  <c r="E168"/>
  <c r="E167"/>
  <c r="E165"/>
  <c r="F15" i="31" l="1"/>
  <c r="F9" i="8"/>
  <c r="AZ34" i="1"/>
  <c r="AS34"/>
  <c r="E162" i="43"/>
  <c r="E163"/>
  <c r="E164"/>
  <c r="E165"/>
  <c r="E166"/>
  <c r="E167"/>
  <c r="E168"/>
  <c r="E169"/>
  <c r="E170"/>
  <c r="E171"/>
  <c r="E172"/>
  <c r="E10"/>
  <c r="E11"/>
  <c r="E12"/>
  <c r="E98" i="27"/>
  <c r="G135"/>
  <c r="E34" i="1"/>
  <c r="F34"/>
  <c r="T34"/>
  <c r="V34" s="1"/>
  <c r="AM34"/>
  <c r="F168" i="40"/>
  <c r="F169"/>
  <c r="F170"/>
  <c r="F171"/>
  <c r="F172"/>
  <c r="E24" i="25"/>
  <c r="E19" i="24"/>
  <c r="E17" i="48" l="1"/>
  <c r="E162" i="19"/>
  <c r="E163"/>
  <c r="E164"/>
  <c r="E165"/>
  <c r="E168"/>
  <c r="E171"/>
  <c r="E132"/>
  <c r="E134"/>
  <c r="E135"/>
  <c r="E136"/>
  <c r="E137"/>
  <c r="E138"/>
  <c r="E139"/>
  <c r="E140"/>
  <c r="E141"/>
  <c r="E125"/>
  <c r="E126"/>
  <c r="E127"/>
  <c r="E128"/>
  <c r="E116"/>
  <c r="E111"/>
  <c r="E112"/>
  <c r="E106"/>
  <c r="E107"/>
  <c r="E97"/>
  <c r="E98"/>
  <c r="E99"/>
  <c r="E100"/>
  <c r="E101"/>
  <c r="E94"/>
  <c r="E87"/>
  <c r="E88"/>
  <c r="E89"/>
  <c r="E90"/>
  <c r="E91"/>
  <c r="G91" s="1"/>
  <c r="H91" s="1"/>
  <c r="E73"/>
  <c r="E74"/>
  <c r="E75"/>
  <c r="E76"/>
  <c r="E77"/>
  <c r="E78"/>
  <c r="E79"/>
  <c r="E80"/>
  <c r="E81"/>
  <c r="E82"/>
  <c r="E83"/>
  <c r="E84"/>
  <c r="E63"/>
  <c r="E64"/>
  <c r="E65"/>
  <c r="E66"/>
  <c r="E67"/>
  <c r="E68"/>
  <c r="E69"/>
  <c r="E50"/>
  <c r="E51"/>
  <c r="E52"/>
  <c r="E53"/>
  <c r="E54"/>
  <c r="E55"/>
  <c r="E56"/>
  <c r="E57"/>
  <c r="E58"/>
  <c r="E36"/>
  <c r="E37"/>
  <c r="E38"/>
  <c r="E39"/>
  <c r="E40"/>
  <c r="E41"/>
  <c r="E42"/>
  <c r="E43"/>
  <c r="E44"/>
  <c r="E45"/>
  <c r="E46"/>
  <c r="E10"/>
  <c r="E11"/>
  <c r="E12"/>
  <c r="E73" i="18"/>
  <c r="E74"/>
  <c r="E75"/>
  <c r="E76"/>
  <c r="E77"/>
  <c r="E78"/>
  <c r="E79"/>
  <c r="E80"/>
  <c r="E81"/>
  <c r="E82"/>
  <c r="E83"/>
  <c r="E87" i="17"/>
  <c r="E88"/>
  <c r="E89"/>
  <c r="E90"/>
  <c r="E91"/>
  <c r="G91" s="1"/>
  <c r="H91" s="1"/>
  <c r="E132" i="16"/>
  <c r="E133"/>
  <c r="E134"/>
  <c r="E135"/>
  <c r="E136"/>
  <c r="E137"/>
  <c r="E138"/>
  <c r="E139"/>
  <c r="E140"/>
  <c r="E141"/>
  <c r="E50" i="15"/>
  <c r="E51"/>
  <c r="E52"/>
  <c r="E53"/>
  <c r="E54"/>
  <c r="E55"/>
  <c r="E56"/>
  <c r="E57"/>
  <c r="E58"/>
  <c r="E40"/>
  <c r="E40" i="14" l="1"/>
  <c r="E40" i="13"/>
  <c r="E162" i="10"/>
  <c r="E163"/>
  <c r="E164"/>
  <c r="E171"/>
  <c r="E132"/>
  <c r="E133"/>
  <c r="E134"/>
  <c r="E135"/>
  <c r="E136"/>
  <c r="E137"/>
  <c r="E138"/>
  <c r="E139"/>
  <c r="E140"/>
  <c r="E141"/>
  <c r="E125"/>
  <c r="E126"/>
  <c r="E127"/>
  <c r="E128"/>
  <c r="E106"/>
  <c r="E107"/>
  <c r="E97"/>
  <c r="E98"/>
  <c r="E99"/>
  <c r="E100"/>
  <c r="E101"/>
  <c r="E94"/>
  <c r="E87"/>
  <c r="E88"/>
  <c r="E89"/>
  <c r="E90"/>
  <c r="E91"/>
  <c r="G91" s="1"/>
  <c r="H91" s="1"/>
  <c r="J91" s="1"/>
  <c r="E73"/>
  <c r="E74"/>
  <c r="E75"/>
  <c r="E76"/>
  <c r="E77"/>
  <c r="E78"/>
  <c r="E79"/>
  <c r="E80"/>
  <c r="E81"/>
  <c r="E82"/>
  <c r="E83"/>
  <c r="E63"/>
  <c r="E64"/>
  <c r="E65"/>
  <c r="E66"/>
  <c r="E67"/>
  <c r="E68"/>
  <c r="E69"/>
  <c r="E50"/>
  <c r="E51"/>
  <c r="E52"/>
  <c r="E53"/>
  <c r="E54"/>
  <c r="E55"/>
  <c r="E56"/>
  <c r="E57"/>
  <c r="E58"/>
  <c r="E36"/>
  <c r="E37"/>
  <c r="E38"/>
  <c r="E39"/>
  <c r="E40"/>
  <c r="E41"/>
  <c r="E42"/>
  <c r="E43"/>
  <c r="E44"/>
  <c r="E45"/>
  <c r="E46"/>
  <c r="E19"/>
  <c r="E10"/>
  <c r="E11"/>
  <c r="E12"/>
  <c r="E91" i="9"/>
  <c r="G91" s="1"/>
  <c r="H91" s="1"/>
  <c r="E133" i="7"/>
  <c r="E134"/>
  <c r="N133" i="9"/>
  <c r="E87" i="4" l="1"/>
  <c r="E88"/>
  <c r="E89"/>
  <c r="E90"/>
  <c r="E91"/>
  <c r="G91" s="1"/>
  <c r="E162"/>
  <c r="E163"/>
  <c r="E164"/>
  <c r="E165"/>
  <c r="E125"/>
  <c r="E126"/>
  <c r="E127"/>
  <c r="E128"/>
  <c r="E129"/>
  <c r="E50" l="1"/>
  <c r="E51"/>
  <c r="E52"/>
  <c r="E53"/>
  <c r="E54"/>
  <c r="E55"/>
  <c r="E56"/>
  <c r="E57"/>
  <c r="E58"/>
  <c r="E23"/>
  <c r="E22"/>
  <c r="G91" i="2"/>
  <c r="H91" s="1"/>
  <c r="E91" i="5"/>
  <c r="G91" s="1"/>
  <c r="H91" s="1"/>
  <c r="J91" s="1"/>
  <c r="E91" i="33"/>
  <c r="G91" s="1"/>
  <c r="E91" i="7"/>
  <c r="G91" s="1"/>
  <c r="H91" s="1"/>
  <c r="J91" s="1"/>
  <c r="E91" i="8"/>
  <c r="G91" s="1"/>
  <c r="E91" i="11"/>
  <c r="G91" s="1"/>
  <c r="G91" i="12"/>
  <c r="H91" s="1"/>
  <c r="E91" i="13"/>
  <c r="G91" s="1"/>
  <c r="H91" s="1"/>
  <c r="E91" i="14"/>
  <c r="G91" s="1"/>
  <c r="H91" s="1"/>
  <c r="E91" i="15"/>
  <c r="G91" s="1"/>
  <c r="H91" s="1"/>
  <c r="J91" s="1"/>
  <c r="E91" i="16"/>
  <c r="G91" s="1"/>
  <c r="H91" s="1"/>
  <c r="E91" i="18"/>
  <c r="G91" s="1"/>
  <c r="H91" s="1"/>
  <c r="E91" i="20"/>
  <c r="G91" s="1"/>
  <c r="E91" i="21"/>
  <c r="G91" s="1"/>
  <c r="H91" s="1"/>
  <c r="J91" s="1"/>
  <c r="E91" i="22"/>
  <c r="G91" s="1"/>
  <c r="E91" i="23"/>
  <c r="G91" s="1"/>
  <c r="E91" i="24"/>
  <c r="G91" s="1"/>
  <c r="E91" i="25"/>
  <c r="G91" s="1"/>
  <c r="H91" s="1"/>
  <c r="E91" i="40"/>
  <c r="G91" s="1"/>
  <c r="H91" s="1"/>
  <c r="G91" i="27"/>
  <c r="H91" s="1"/>
  <c r="G91" i="28"/>
  <c r="H91" s="1"/>
  <c r="E91" i="29"/>
  <c r="G91" s="1"/>
  <c r="H91" s="1"/>
  <c r="E91" i="30"/>
  <c r="G91" s="1"/>
  <c r="H91" s="1"/>
  <c r="E91" i="43"/>
  <c r="G91" s="1"/>
  <c r="E91" i="31"/>
  <c r="G91" s="1"/>
  <c r="H91" s="1"/>
  <c r="J91" s="1"/>
  <c r="E91" i="3"/>
  <c r="G91" s="1"/>
  <c r="B32" i="47"/>
  <c r="K32"/>
  <c r="L32"/>
  <c r="E31" i="48"/>
  <c r="G31"/>
  <c r="E132" i="43"/>
  <c r="E133"/>
  <c r="E134"/>
  <c r="E135"/>
  <c r="E136"/>
  <c r="E137"/>
  <c r="E138"/>
  <c r="E139"/>
  <c r="E140"/>
  <c r="E141"/>
  <c r="H91" i="23" l="1"/>
  <c r="H91" i="24" s="1"/>
  <c r="J91" s="1"/>
  <c r="H91" i="8"/>
  <c r="J91" s="1"/>
  <c r="H91" i="22"/>
  <c r="J91" s="1"/>
  <c r="E10" i="40"/>
  <c r="E135" i="25"/>
  <c r="E134"/>
  <c r="G174" i="21"/>
  <c r="G174" i="20"/>
  <c r="E45" i="11"/>
  <c r="E46"/>
  <c r="E105"/>
  <c r="E93" i="9"/>
  <c r="E83"/>
  <c r="H114" i="3"/>
  <c r="H114" i="4" s="1"/>
  <c r="H114" i="5" s="1"/>
  <c r="H109" i="3"/>
  <c r="H109" i="4" s="1"/>
  <c r="H109" i="5" s="1"/>
  <c r="J91" i="23" l="1"/>
  <c r="E77" i="7"/>
  <c r="E12" i="9"/>
  <c r="E11"/>
  <c r="E11" i="7"/>
  <c r="E12"/>
  <c r="E12" i="3"/>
  <c r="E11"/>
  <c r="E23"/>
  <c r="E22"/>
  <c r="E162" i="5"/>
  <c r="E163"/>
  <c r="E164"/>
  <c r="E161"/>
  <c r="E132"/>
  <c r="E133"/>
  <c r="G133" s="1"/>
  <c r="E134"/>
  <c r="E135"/>
  <c r="E136"/>
  <c r="E137"/>
  <c r="E138"/>
  <c r="E139"/>
  <c r="E140"/>
  <c r="E141"/>
  <c r="E131"/>
  <c r="E125"/>
  <c r="E126"/>
  <c r="E127"/>
  <c r="E128"/>
  <c r="E124"/>
  <c r="E108"/>
  <c r="E109"/>
  <c r="E110"/>
  <c r="E111"/>
  <c r="E112"/>
  <c r="E113"/>
  <c r="E114"/>
  <c r="E115"/>
  <c r="E116"/>
  <c r="E106"/>
  <c r="E107"/>
  <c r="E105"/>
  <c r="E94"/>
  <c r="E96"/>
  <c r="E97"/>
  <c r="E98"/>
  <c r="E99"/>
  <c r="E100"/>
  <c r="E101"/>
  <c r="E93"/>
  <c r="E87"/>
  <c r="E88"/>
  <c r="E89"/>
  <c r="E90"/>
  <c r="E86"/>
  <c r="E63"/>
  <c r="E64"/>
  <c r="E65"/>
  <c r="E66"/>
  <c r="E67"/>
  <c r="E68"/>
  <c r="E69"/>
  <c r="E50"/>
  <c r="E51"/>
  <c r="E52"/>
  <c r="E53"/>
  <c r="E54"/>
  <c r="E55"/>
  <c r="E56"/>
  <c r="E57"/>
  <c r="E58"/>
  <c r="E49"/>
  <c r="E36"/>
  <c r="E37"/>
  <c r="E38"/>
  <c r="E39"/>
  <c r="E40"/>
  <c r="E41"/>
  <c r="E42"/>
  <c r="E43"/>
  <c r="E44"/>
  <c r="E45"/>
  <c r="E46"/>
  <c r="E35"/>
  <c r="E19"/>
  <c r="E20"/>
  <c r="E18"/>
  <c r="E11"/>
  <c r="E12"/>
  <c r="E165" i="3"/>
  <c r="E164"/>
  <c r="E163"/>
  <c r="E162"/>
  <c r="E161"/>
  <c r="E161" i="4"/>
  <c r="E141"/>
  <c r="E140"/>
  <c r="E139"/>
  <c r="E138"/>
  <c r="E137"/>
  <c r="E136"/>
  <c r="E135"/>
  <c r="E134"/>
  <c r="E133"/>
  <c r="E132"/>
  <c r="E131"/>
  <c r="E124"/>
  <c r="E116"/>
  <c r="E115"/>
  <c r="E112"/>
  <c r="E111"/>
  <c r="E110"/>
  <c r="E107"/>
  <c r="E106"/>
  <c r="E105"/>
  <c r="E101"/>
  <c r="E100"/>
  <c r="E99"/>
  <c r="E98"/>
  <c r="E97"/>
  <c r="E96"/>
  <c r="E95"/>
  <c r="E94"/>
  <c r="E93"/>
  <c r="E86"/>
  <c r="E85"/>
  <c r="E84"/>
  <c r="E83"/>
  <c r="E82"/>
  <c r="E81"/>
  <c r="E80"/>
  <c r="E79"/>
  <c r="E78"/>
  <c r="E77"/>
  <c r="E76"/>
  <c r="E75"/>
  <c r="E74"/>
  <c r="E73"/>
  <c r="E72"/>
  <c r="E69"/>
  <c r="E68"/>
  <c r="E67"/>
  <c r="E66"/>
  <c r="E65"/>
  <c r="E64"/>
  <c r="E63"/>
  <c r="E49"/>
  <c r="E46"/>
  <c r="E45"/>
  <c r="E44"/>
  <c r="E43"/>
  <c r="E42"/>
  <c r="E41"/>
  <c r="E40"/>
  <c r="E39"/>
  <c r="E38"/>
  <c r="E37"/>
  <c r="E36"/>
  <c r="E35"/>
  <c r="E19"/>
  <c r="E10"/>
  <c r="E11"/>
  <c r="E12"/>
  <c r="E132" i="3"/>
  <c r="E133"/>
  <c r="E134"/>
  <c r="E135"/>
  <c r="E136"/>
  <c r="E137"/>
  <c r="E138"/>
  <c r="E139"/>
  <c r="E140"/>
  <c r="E141"/>
  <c r="E131"/>
  <c r="E125"/>
  <c r="E126"/>
  <c r="E127"/>
  <c r="E128"/>
  <c r="E124"/>
  <c r="E116"/>
  <c r="E115"/>
  <c r="E111"/>
  <c r="E112"/>
  <c r="E110"/>
  <c r="E106"/>
  <c r="E107"/>
  <c r="E105"/>
  <c r="E95"/>
  <c r="E96"/>
  <c r="E97"/>
  <c r="E98"/>
  <c r="E99"/>
  <c r="E100"/>
  <c r="E101"/>
  <c r="E94"/>
  <c r="E93"/>
  <c r="E73"/>
  <c r="E74"/>
  <c r="E75"/>
  <c r="E76"/>
  <c r="E77"/>
  <c r="E78"/>
  <c r="E79"/>
  <c r="E80"/>
  <c r="E81"/>
  <c r="E82"/>
  <c r="E83"/>
  <c r="E84"/>
  <c r="E85"/>
  <c r="E86"/>
  <c r="E87"/>
  <c r="E88"/>
  <c r="E89"/>
  <c r="E90"/>
  <c r="E72"/>
  <c r="E63"/>
  <c r="E64"/>
  <c r="E65"/>
  <c r="E66"/>
  <c r="E67"/>
  <c r="E68"/>
  <c r="E69"/>
  <c r="E62"/>
  <c r="E50"/>
  <c r="E51"/>
  <c r="E52"/>
  <c r="E53"/>
  <c r="E54"/>
  <c r="E55"/>
  <c r="E57"/>
  <c r="E58"/>
  <c r="E49"/>
  <c r="E36"/>
  <c r="E37"/>
  <c r="E38"/>
  <c r="E39"/>
  <c r="E40"/>
  <c r="E41"/>
  <c r="E43"/>
  <c r="E44"/>
  <c r="E45"/>
  <c r="E46"/>
  <c r="E35"/>
  <c r="E19"/>
  <c r="E15"/>
  <c r="E15" i="4" s="1"/>
  <c r="E15" i="5" s="1"/>
  <c r="E9" i="3"/>
  <c r="E9" i="4" s="1"/>
  <c r="E9" i="5" s="1"/>
  <c r="F9" s="1"/>
  <c r="E10" i="3"/>
  <c r="E8"/>
  <c r="E8" i="4" s="1"/>
  <c r="E8" i="5" s="1"/>
  <c r="E7" i="3"/>
  <c r="E7" i="4" s="1"/>
  <c r="E7" i="5" s="1"/>
  <c r="E12" i="11" l="1"/>
  <c r="E11"/>
  <c r="E29" i="5"/>
  <c r="F33" i="1"/>
  <c r="E33"/>
  <c r="D33"/>
  <c r="T33"/>
  <c r="V33" s="1"/>
  <c r="N41" i="31" l="1"/>
  <c r="O135" i="29" l="1"/>
  <c r="E133"/>
  <c r="F24"/>
  <c r="F24" i="28"/>
  <c r="E24" i="29" s="1"/>
  <c r="E85" i="27"/>
  <c r="E95" i="40"/>
  <c r="E24" i="27"/>
  <c r="O16" i="40"/>
  <c r="O17"/>
  <c r="O32"/>
  <c r="O33"/>
  <c r="E10" i="25"/>
  <c r="E132" i="24"/>
  <c r="E133"/>
  <c r="E134"/>
  <c r="E135"/>
  <c r="E136"/>
  <c r="E137"/>
  <c r="E138"/>
  <c r="E139"/>
  <c r="E140"/>
  <c r="E141"/>
  <c r="E125"/>
  <c r="E126"/>
  <c r="E127"/>
  <c r="E128"/>
  <c r="E87"/>
  <c r="E88"/>
  <c r="E89"/>
  <c r="E90"/>
  <c r="E73"/>
  <c r="E74"/>
  <c r="E75"/>
  <c r="E76"/>
  <c r="E77"/>
  <c r="E78"/>
  <c r="E79"/>
  <c r="E80"/>
  <c r="E81"/>
  <c r="E82"/>
  <c r="E83"/>
  <c r="E84"/>
  <c r="E63"/>
  <c r="E64"/>
  <c r="E65"/>
  <c r="E66"/>
  <c r="E67"/>
  <c r="E68"/>
  <c r="E69"/>
  <c r="E50"/>
  <c r="E51"/>
  <c r="E52"/>
  <c r="E53"/>
  <c r="E54"/>
  <c r="E55"/>
  <c r="E56"/>
  <c r="E57"/>
  <c r="E58"/>
  <c r="E36"/>
  <c r="E37"/>
  <c r="E38"/>
  <c r="E39"/>
  <c r="E40"/>
  <c r="E41"/>
  <c r="E42"/>
  <c r="E43"/>
  <c r="E44"/>
  <c r="E45"/>
  <c r="E46"/>
  <c r="E10"/>
  <c r="E132" i="21"/>
  <c r="E133"/>
  <c r="E134"/>
  <c r="E135"/>
  <c r="E136"/>
  <c r="E137"/>
  <c r="E138"/>
  <c r="E139"/>
  <c r="E140"/>
  <c r="E141"/>
  <c r="E76"/>
  <c r="G76" s="1"/>
  <c r="R24" i="44" s="1"/>
  <c r="Q21" i="49" s="1"/>
  <c r="E73" i="21"/>
  <c r="E74"/>
  <c r="E75"/>
  <c r="E77"/>
  <c r="E162" i="20"/>
  <c r="E163"/>
  <c r="E164"/>
  <c r="E165"/>
  <c r="E161"/>
  <c r="F167" i="19"/>
  <c r="E167" i="20" s="1"/>
  <c r="F168" i="19"/>
  <c r="E168" i="20" s="1"/>
  <c r="F169" i="19"/>
  <c r="E169" i="20" s="1"/>
  <c r="F170" i="19"/>
  <c r="E170" i="20" s="1"/>
  <c r="F171" i="19"/>
  <c r="E171" i="20" s="1"/>
  <c r="F172" i="19"/>
  <c r="E172" i="20" s="1"/>
  <c r="F166" i="19"/>
  <c r="E166" i="20" s="1"/>
  <c r="E164" i="18"/>
  <c r="E163"/>
  <c r="E162"/>
  <c r="E161"/>
  <c r="E98"/>
  <c r="E134" i="15"/>
  <c r="E126" i="16"/>
  <c r="L3" i="47"/>
  <c r="L4"/>
  <c r="L5"/>
  <c r="L6"/>
  <c r="L7"/>
  <c r="L8"/>
  <c r="L9"/>
  <c r="L10"/>
  <c r="L11"/>
  <c r="L12"/>
  <c r="L13"/>
  <c r="L14"/>
  <c r="L15"/>
  <c r="L16"/>
  <c r="L17"/>
  <c r="L18"/>
  <c r="L19"/>
  <c r="L20"/>
  <c r="L21"/>
  <c r="L22"/>
  <c r="L23"/>
  <c r="L24"/>
  <c r="L25"/>
  <c r="L26"/>
  <c r="L27"/>
  <c r="L28"/>
  <c r="L29"/>
  <c r="L30"/>
  <c r="L31"/>
  <c r="L2"/>
  <c r="E73" i="11"/>
  <c r="E74"/>
  <c r="E75"/>
  <c r="E76"/>
  <c r="E77"/>
  <c r="E78"/>
  <c r="E79"/>
  <c r="E80"/>
  <c r="G80" s="1"/>
  <c r="E81"/>
  <c r="E82"/>
  <c r="E83"/>
  <c r="E84"/>
  <c r="E50"/>
  <c r="E51"/>
  <c r="E52"/>
  <c r="E53"/>
  <c r="E54"/>
  <c r="E55"/>
  <c r="E56"/>
  <c r="E57"/>
  <c r="E58"/>
  <c r="E63" i="9"/>
  <c r="E64"/>
  <c r="E65"/>
  <c r="E66"/>
  <c r="E67"/>
  <c r="E68"/>
  <c r="E69"/>
  <c r="E9"/>
  <c r="E9" i="10" s="1"/>
  <c r="E10" i="9"/>
  <c r="G166" i="5"/>
  <c r="F165"/>
  <c r="G164"/>
  <c r="G163"/>
  <c r="G162"/>
  <c r="G161"/>
  <c r="G141"/>
  <c r="G140"/>
  <c r="G139"/>
  <c r="G138"/>
  <c r="G137"/>
  <c r="G136"/>
  <c r="G135"/>
  <c r="G134"/>
  <c r="G132"/>
  <c r="G131"/>
  <c r="G128"/>
  <c r="G127"/>
  <c r="G126"/>
  <c r="G125"/>
  <c r="G124"/>
  <c r="G117"/>
  <c r="G116"/>
  <c r="G115"/>
  <c r="J114"/>
  <c r="G112"/>
  <c r="G111"/>
  <c r="G110"/>
  <c r="G107"/>
  <c r="G106"/>
  <c r="G105"/>
  <c r="G101"/>
  <c r="G100"/>
  <c r="G99"/>
  <c r="G98"/>
  <c r="G97"/>
  <c r="G96"/>
  <c r="G94"/>
  <c r="G93"/>
  <c r="G90"/>
  <c r="G89"/>
  <c r="G88"/>
  <c r="G87"/>
  <c r="G86"/>
  <c r="G84"/>
  <c r="G83"/>
  <c r="G82"/>
  <c r="G81"/>
  <c r="G80"/>
  <c r="G79"/>
  <c r="G78"/>
  <c r="G77"/>
  <c r="G76"/>
  <c r="G75"/>
  <c r="G74"/>
  <c r="G73"/>
  <c r="G72"/>
  <c r="H70"/>
  <c r="J70" s="1"/>
  <c r="G69"/>
  <c r="G68"/>
  <c r="G67"/>
  <c r="G64"/>
  <c r="G63"/>
  <c r="G62"/>
  <c r="H62" s="1"/>
  <c r="J62" s="1"/>
  <c r="G58"/>
  <c r="G57"/>
  <c r="G56"/>
  <c r="G55"/>
  <c r="G54"/>
  <c r="G53"/>
  <c r="G52"/>
  <c r="G51"/>
  <c r="G50"/>
  <c r="G49"/>
  <c r="G46"/>
  <c r="G45"/>
  <c r="G44"/>
  <c r="G43"/>
  <c r="G42"/>
  <c r="G41"/>
  <c r="G40"/>
  <c r="G39"/>
  <c r="G38"/>
  <c r="G37"/>
  <c r="G36"/>
  <c r="G35"/>
  <c r="G29"/>
  <c r="G22"/>
  <c r="G19"/>
  <c r="E30" s="1"/>
  <c r="I18"/>
  <c r="G18"/>
  <c r="G15"/>
  <c r="G12"/>
  <c r="H12" s="1"/>
  <c r="J12" s="1"/>
  <c r="G11"/>
  <c r="H11" s="1"/>
  <c r="J11" s="1"/>
  <c r="G10"/>
  <c r="G9"/>
  <c r="G8"/>
  <c r="I7"/>
  <c r="G7"/>
  <c r="F172" i="4"/>
  <c r="F171"/>
  <c r="F170"/>
  <c r="F169"/>
  <c r="F165"/>
  <c r="G164"/>
  <c r="G163"/>
  <c r="G162"/>
  <c r="G161"/>
  <c r="G141"/>
  <c r="G140"/>
  <c r="G139"/>
  <c r="G138"/>
  <c r="G137"/>
  <c r="G136"/>
  <c r="G135"/>
  <c r="G134"/>
  <c r="G133"/>
  <c r="G132"/>
  <c r="G131"/>
  <c r="G128"/>
  <c r="G127"/>
  <c r="G126"/>
  <c r="G125"/>
  <c r="G124"/>
  <c r="G117"/>
  <c r="G116"/>
  <c r="G115"/>
  <c r="J114"/>
  <c r="G112"/>
  <c r="G111"/>
  <c r="G110"/>
  <c r="G107"/>
  <c r="G106"/>
  <c r="G105"/>
  <c r="G101"/>
  <c r="G100"/>
  <c r="G99"/>
  <c r="G98"/>
  <c r="G97"/>
  <c r="G96"/>
  <c r="G94"/>
  <c r="G93"/>
  <c r="K90"/>
  <c r="G90"/>
  <c r="K89"/>
  <c r="G89"/>
  <c r="G88"/>
  <c r="G87"/>
  <c r="G86"/>
  <c r="G84"/>
  <c r="G83"/>
  <c r="G82"/>
  <c r="G81"/>
  <c r="G80"/>
  <c r="G79"/>
  <c r="G78"/>
  <c r="G77"/>
  <c r="G76"/>
  <c r="G75"/>
  <c r="G74"/>
  <c r="G73"/>
  <c r="G72"/>
  <c r="G69"/>
  <c r="G68"/>
  <c r="G67"/>
  <c r="G66"/>
  <c r="G65"/>
  <c r="G64"/>
  <c r="G63"/>
  <c r="G62"/>
  <c r="G58"/>
  <c r="G57"/>
  <c r="G56"/>
  <c r="G55"/>
  <c r="G54"/>
  <c r="G53"/>
  <c r="G52"/>
  <c r="G51"/>
  <c r="G50"/>
  <c r="G49"/>
  <c r="G46"/>
  <c r="G45"/>
  <c r="G44"/>
  <c r="G43"/>
  <c r="G42"/>
  <c r="G41"/>
  <c r="G40"/>
  <c r="G39"/>
  <c r="G38"/>
  <c r="G37"/>
  <c r="G36"/>
  <c r="G35"/>
  <c r="E29"/>
  <c r="G29" s="1"/>
  <c r="G22"/>
  <c r="G19"/>
  <c r="I18"/>
  <c r="G18"/>
  <c r="G15"/>
  <c r="G12"/>
  <c r="G11"/>
  <c r="G10"/>
  <c r="G9"/>
  <c r="G8"/>
  <c r="I7"/>
  <c r="G7"/>
  <c r="E166"/>
  <c r="G166" s="1"/>
  <c r="F165" i="3"/>
  <c r="G164"/>
  <c r="G163"/>
  <c r="G162"/>
  <c r="G161"/>
  <c r="G141"/>
  <c r="G140"/>
  <c r="G139"/>
  <c r="G138"/>
  <c r="G137"/>
  <c r="G136"/>
  <c r="G135"/>
  <c r="G134"/>
  <c r="G133"/>
  <c r="G132"/>
  <c r="G131"/>
  <c r="G128"/>
  <c r="G127"/>
  <c r="G126"/>
  <c r="G125"/>
  <c r="G124"/>
  <c r="G117"/>
  <c r="G116"/>
  <c r="G115"/>
  <c r="J114"/>
  <c r="G112"/>
  <c r="G111"/>
  <c r="G110"/>
  <c r="G107"/>
  <c r="G106"/>
  <c r="G105"/>
  <c r="G101"/>
  <c r="G100"/>
  <c r="G99"/>
  <c r="G98"/>
  <c r="G97"/>
  <c r="G96"/>
  <c r="G94"/>
  <c r="G93"/>
  <c r="G90"/>
  <c r="G89"/>
  <c r="G88"/>
  <c r="G87"/>
  <c r="G86"/>
  <c r="G84"/>
  <c r="G83"/>
  <c r="G82"/>
  <c r="G81"/>
  <c r="G80"/>
  <c r="G79"/>
  <c r="G78"/>
  <c r="G77"/>
  <c r="G76"/>
  <c r="G75"/>
  <c r="G74"/>
  <c r="G73"/>
  <c r="G72"/>
  <c r="G69"/>
  <c r="G68"/>
  <c r="G67"/>
  <c r="G66"/>
  <c r="G65"/>
  <c r="G64"/>
  <c r="G63"/>
  <c r="G62"/>
  <c r="G58"/>
  <c r="G57"/>
  <c r="G56"/>
  <c r="G55"/>
  <c r="G54"/>
  <c r="G53"/>
  <c r="G52"/>
  <c r="G51"/>
  <c r="G50"/>
  <c r="G49"/>
  <c r="G46"/>
  <c r="G45"/>
  <c r="G44"/>
  <c r="G43"/>
  <c r="G42"/>
  <c r="G41"/>
  <c r="G40"/>
  <c r="G39"/>
  <c r="G38"/>
  <c r="G37"/>
  <c r="G36"/>
  <c r="G35"/>
  <c r="E29"/>
  <c r="G29" s="1"/>
  <c r="G22"/>
  <c r="G19"/>
  <c r="I18"/>
  <c r="G18"/>
  <c r="G15"/>
  <c r="H12"/>
  <c r="G11"/>
  <c r="H11" s="1"/>
  <c r="G10"/>
  <c r="G9"/>
  <c r="G8"/>
  <c r="I7"/>
  <c r="G7"/>
  <c r="F172" i="2"/>
  <c r="F171"/>
  <c r="E171" i="3" s="1"/>
  <c r="F170" i="2"/>
  <c r="E170" i="3" s="1"/>
  <c r="F169" i="2"/>
  <c r="E169" i="3" s="1"/>
  <c r="F168" i="2"/>
  <c r="F167"/>
  <c r="G165"/>
  <c r="G164"/>
  <c r="G162"/>
  <c r="G161"/>
  <c r="G141"/>
  <c r="H141" s="1"/>
  <c r="J141" s="1"/>
  <c r="G140"/>
  <c r="H140" s="1"/>
  <c r="J140" s="1"/>
  <c r="G139"/>
  <c r="H139" s="1"/>
  <c r="J139" s="1"/>
  <c r="G138"/>
  <c r="H138" s="1"/>
  <c r="J138" s="1"/>
  <c r="G137"/>
  <c r="H137" s="1"/>
  <c r="J137" s="1"/>
  <c r="G136"/>
  <c r="H136" s="1"/>
  <c r="J136" s="1"/>
  <c r="G135"/>
  <c r="H135" s="1"/>
  <c r="J135" s="1"/>
  <c r="G134"/>
  <c r="H134" s="1"/>
  <c r="J134" s="1"/>
  <c r="G133"/>
  <c r="H133" s="1"/>
  <c r="J133" s="1"/>
  <c r="G132"/>
  <c r="H132" s="1"/>
  <c r="J132" s="1"/>
  <c r="G131"/>
  <c r="H131" s="1"/>
  <c r="J131" s="1"/>
  <c r="G128"/>
  <c r="H128" s="1"/>
  <c r="J128" s="1"/>
  <c r="G127"/>
  <c r="H127" s="1"/>
  <c r="J127" s="1"/>
  <c r="G126"/>
  <c r="H126" s="1"/>
  <c r="J126" s="1"/>
  <c r="G125"/>
  <c r="H125" s="1"/>
  <c r="J125" s="1"/>
  <c r="G124"/>
  <c r="H124" s="1"/>
  <c r="J124" s="1"/>
  <c r="G117"/>
  <c r="H117" s="1"/>
  <c r="G116"/>
  <c r="H116" s="1"/>
  <c r="J116" s="1"/>
  <c r="G115"/>
  <c r="H114"/>
  <c r="J114" s="1"/>
  <c r="G112"/>
  <c r="H112" s="1"/>
  <c r="J112" s="1"/>
  <c r="G111"/>
  <c r="G110"/>
  <c r="J107" s="1"/>
  <c r="H109"/>
  <c r="G107"/>
  <c r="H107" s="1"/>
  <c r="G106"/>
  <c r="H106" s="1"/>
  <c r="J106" s="1"/>
  <c r="G105"/>
  <c r="H105" s="1"/>
  <c r="J105" s="1"/>
  <c r="G101"/>
  <c r="H101" s="1"/>
  <c r="J101" s="1"/>
  <c r="G100"/>
  <c r="H100" s="1"/>
  <c r="J100" s="1"/>
  <c r="G99"/>
  <c r="H99" s="1"/>
  <c r="J99" s="1"/>
  <c r="G98"/>
  <c r="G97"/>
  <c r="H97" s="1"/>
  <c r="J97" s="1"/>
  <c r="G96"/>
  <c r="H96" s="1"/>
  <c r="J96" s="1"/>
  <c r="G94"/>
  <c r="D8" i="45" s="1"/>
  <c r="AN2" i="49" s="1"/>
  <c r="G93" i="2"/>
  <c r="G90"/>
  <c r="H90" s="1"/>
  <c r="J90" s="1"/>
  <c r="G89"/>
  <c r="H89" s="1"/>
  <c r="J89" s="1"/>
  <c r="G88"/>
  <c r="H88" s="1"/>
  <c r="J88" s="1"/>
  <c r="G87"/>
  <c r="H87" s="1"/>
  <c r="J87" s="1"/>
  <c r="G86"/>
  <c r="H86" s="1"/>
  <c r="J86" s="1"/>
  <c r="G84"/>
  <c r="H84" s="1"/>
  <c r="J84" s="1"/>
  <c r="G83"/>
  <c r="H83" s="1"/>
  <c r="J83" s="1"/>
  <c r="G82"/>
  <c r="H82" s="1"/>
  <c r="J82" s="1"/>
  <c r="G81"/>
  <c r="H81" s="1"/>
  <c r="J81" s="1"/>
  <c r="G80"/>
  <c r="H80" s="1"/>
  <c r="J80" s="1"/>
  <c r="G79"/>
  <c r="H79" s="1"/>
  <c r="J79" s="1"/>
  <c r="G78"/>
  <c r="H78" s="1"/>
  <c r="J78" s="1"/>
  <c r="G77"/>
  <c r="H77" s="1"/>
  <c r="J77" s="1"/>
  <c r="G76"/>
  <c r="H76" s="1"/>
  <c r="J76" s="1"/>
  <c r="G75"/>
  <c r="H75" s="1"/>
  <c r="J75" s="1"/>
  <c r="G74"/>
  <c r="H74" s="1"/>
  <c r="J74" s="1"/>
  <c r="G73"/>
  <c r="H73" s="1"/>
  <c r="J73" s="1"/>
  <c r="G72"/>
  <c r="H72" s="1"/>
  <c r="J72" s="1"/>
  <c r="H70"/>
  <c r="J70" s="1"/>
  <c r="G69"/>
  <c r="H69" s="1"/>
  <c r="J69" s="1"/>
  <c r="G68"/>
  <c r="H68" s="1"/>
  <c r="J68" s="1"/>
  <c r="G67"/>
  <c r="H67" s="1"/>
  <c r="J67" s="1"/>
  <c r="G66"/>
  <c r="H66" s="1"/>
  <c r="J66" s="1"/>
  <c r="G65"/>
  <c r="H65" s="1"/>
  <c r="J65" s="1"/>
  <c r="G64"/>
  <c r="H64" s="1"/>
  <c r="J64" s="1"/>
  <c r="G63"/>
  <c r="H63" s="1"/>
  <c r="J63" s="1"/>
  <c r="G62"/>
  <c r="H62" s="1"/>
  <c r="J62" s="1"/>
  <c r="G58"/>
  <c r="H58" s="1"/>
  <c r="J58" s="1"/>
  <c r="G57"/>
  <c r="H57" s="1"/>
  <c r="J57" s="1"/>
  <c r="G56"/>
  <c r="H56" s="1"/>
  <c r="J56" s="1"/>
  <c r="G55"/>
  <c r="H55" s="1"/>
  <c r="J55" s="1"/>
  <c r="G54"/>
  <c r="H54" s="1"/>
  <c r="J54" s="1"/>
  <c r="G53"/>
  <c r="H53" s="1"/>
  <c r="J53" s="1"/>
  <c r="G52"/>
  <c r="H52" s="1"/>
  <c r="J52" s="1"/>
  <c r="G51"/>
  <c r="G50"/>
  <c r="H50" s="1"/>
  <c r="J50" s="1"/>
  <c r="G49"/>
  <c r="H49" s="1"/>
  <c r="J49" s="1"/>
  <c r="G46"/>
  <c r="H46" s="1"/>
  <c r="J46" s="1"/>
  <c r="G45"/>
  <c r="H45" s="1"/>
  <c r="J45" s="1"/>
  <c r="G44"/>
  <c r="H44" s="1"/>
  <c r="J44" s="1"/>
  <c r="G43"/>
  <c r="H43" s="1"/>
  <c r="J43" s="1"/>
  <c r="G42"/>
  <c r="H42" s="1"/>
  <c r="J42" s="1"/>
  <c r="G41"/>
  <c r="H41" s="1"/>
  <c r="J41" s="1"/>
  <c r="G40"/>
  <c r="H40" s="1"/>
  <c r="J40" s="1"/>
  <c r="G39"/>
  <c r="H39" s="1"/>
  <c r="J39" s="1"/>
  <c r="G38"/>
  <c r="H38" s="1"/>
  <c r="J38" s="1"/>
  <c r="G37"/>
  <c r="H37" s="1"/>
  <c r="J37" s="1"/>
  <c r="G36"/>
  <c r="G35"/>
  <c r="H35" s="1"/>
  <c r="J35" s="1"/>
  <c r="G30"/>
  <c r="H30" s="1"/>
  <c r="J30" s="1"/>
  <c r="H23"/>
  <c r="G22"/>
  <c r="H22" s="1"/>
  <c r="J22" s="1"/>
  <c r="G19"/>
  <c r="G31" s="1"/>
  <c r="H31" s="1"/>
  <c r="J31" s="1"/>
  <c r="G18"/>
  <c r="G15"/>
  <c r="D5" i="44" s="1"/>
  <c r="G12" i="2"/>
  <c r="H12" s="1"/>
  <c r="J12" s="1"/>
  <c r="G11"/>
  <c r="H11" s="1"/>
  <c r="J11" s="1"/>
  <c r="G10"/>
  <c r="H10" s="1"/>
  <c r="J10" s="1"/>
  <c r="G9"/>
  <c r="G8"/>
  <c r="G7"/>
  <c r="G167" i="4" l="1"/>
  <c r="H140" i="3"/>
  <c r="J140" s="1"/>
  <c r="G172" i="4"/>
  <c r="G171" i="3"/>
  <c r="G171" i="4"/>
  <c r="G170"/>
  <c r="G170" i="3"/>
  <c r="G168" i="4"/>
  <c r="H133" i="3"/>
  <c r="H133" i="4" s="1"/>
  <c r="H133" i="5" s="1"/>
  <c r="J133" s="1"/>
  <c r="H105" i="3"/>
  <c r="H105" i="4" s="1"/>
  <c r="H105" i="5" s="1"/>
  <c r="J105" s="1"/>
  <c r="G172" i="2"/>
  <c r="E172" i="3"/>
  <c r="G172" s="1"/>
  <c r="G168" i="2"/>
  <c r="E168" i="3"/>
  <c r="G168" s="1"/>
  <c r="G167" i="2"/>
  <c r="E167" i="3"/>
  <c r="G166" i="2"/>
  <c r="G166" i="3"/>
  <c r="H111" i="2"/>
  <c r="J111" s="1"/>
  <c r="D22" i="45"/>
  <c r="J117" i="2"/>
  <c r="H117" i="3"/>
  <c r="J117" s="1"/>
  <c r="H137"/>
  <c r="H137" i="4" s="1"/>
  <c r="J137" s="1"/>
  <c r="H94" i="2"/>
  <c r="J94" s="1"/>
  <c r="H96" i="3"/>
  <c r="H96" i="4" s="1"/>
  <c r="J96" s="1"/>
  <c r="H35" i="3"/>
  <c r="H35" i="4" s="1"/>
  <c r="H35" i="5" s="1"/>
  <c r="J35" s="1"/>
  <c r="H41" i="3"/>
  <c r="J41" s="1"/>
  <c r="H39"/>
  <c r="H39" i="4" s="1"/>
  <c r="H39" i="5" s="1"/>
  <c r="J39" s="1"/>
  <c r="H49" i="3"/>
  <c r="H49" i="4" s="1"/>
  <c r="H49" i="5" s="1"/>
  <c r="J49" s="1"/>
  <c r="H38" i="3"/>
  <c r="J38" s="1"/>
  <c r="H37"/>
  <c r="H37" i="4" s="1"/>
  <c r="H7" i="2"/>
  <c r="J7" s="1"/>
  <c r="B5" i="44"/>
  <c r="J23" i="2"/>
  <c r="H23" i="3"/>
  <c r="G27" i="2"/>
  <c r="H27" s="1"/>
  <c r="J27" s="1"/>
  <c r="C5" i="44"/>
  <c r="H53" i="3"/>
  <c r="H53" i="4" s="1"/>
  <c r="H82" i="3"/>
  <c r="H82" i="4" s="1"/>
  <c r="H52" i="3"/>
  <c r="J52" s="1"/>
  <c r="H131"/>
  <c r="H131" i="4" s="1"/>
  <c r="D6" i="44"/>
  <c r="H62" i="3"/>
  <c r="H62" i="4" s="1"/>
  <c r="J62" s="1"/>
  <c r="H72" i="3"/>
  <c r="J72" s="1"/>
  <c r="H80"/>
  <c r="H80" i="4" s="1"/>
  <c r="H80" i="5" s="1"/>
  <c r="J80" s="1"/>
  <c r="H89" i="3"/>
  <c r="J89" s="1"/>
  <c r="H100"/>
  <c r="H100" i="4" s="1"/>
  <c r="H128" i="3"/>
  <c r="H128" i="4" s="1"/>
  <c r="H128" i="5" s="1"/>
  <c r="J128" s="1"/>
  <c r="H138" i="3"/>
  <c r="H138" i="4" s="1"/>
  <c r="D7" i="44"/>
  <c r="E28" i="5"/>
  <c r="G28" s="1"/>
  <c r="D8" i="44"/>
  <c r="H64" i="3"/>
  <c r="H64" i="4" s="1"/>
  <c r="H132" i="3"/>
  <c r="H132" i="4" s="1"/>
  <c r="H132" i="5" s="1"/>
  <c r="J132" s="1"/>
  <c r="H42" i="3"/>
  <c r="H42" i="4" s="1"/>
  <c r="H101" i="3"/>
  <c r="J101" s="1"/>
  <c r="H40"/>
  <c r="H40" i="4" s="1"/>
  <c r="H50" i="3"/>
  <c r="H50" i="4" s="1"/>
  <c r="H58" i="3"/>
  <c r="J58" s="1"/>
  <c r="H69"/>
  <c r="H69" i="4" s="1"/>
  <c r="H79" i="3"/>
  <c r="J79" s="1"/>
  <c r="H88"/>
  <c r="H88" i="4" s="1"/>
  <c r="J88" s="1"/>
  <c r="H99" i="3"/>
  <c r="J99" s="1"/>
  <c r="H112"/>
  <c r="H112" i="4" s="1"/>
  <c r="H127" i="3"/>
  <c r="H127" i="4" s="1"/>
  <c r="H127" i="5" s="1"/>
  <c r="J127" s="1"/>
  <c r="H57" i="3"/>
  <c r="J57" s="1"/>
  <c r="H68"/>
  <c r="J68" s="1"/>
  <c r="H78"/>
  <c r="J78" s="1"/>
  <c r="H87"/>
  <c r="H87" i="4" s="1"/>
  <c r="H126" i="3"/>
  <c r="J126" s="1"/>
  <c r="H136"/>
  <c r="H136" i="4" s="1"/>
  <c r="H43" i="3"/>
  <c r="H43" i="4" s="1"/>
  <c r="H73" i="3"/>
  <c r="H73" i="4" s="1"/>
  <c r="H139" i="3"/>
  <c r="H139" i="4" s="1"/>
  <c r="B8" i="44"/>
  <c r="H10" i="3"/>
  <c r="J10" s="1"/>
  <c r="H22"/>
  <c r="H22" i="4" s="1"/>
  <c r="H22" i="5" s="1"/>
  <c r="J22" s="1"/>
  <c r="H46" i="3"/>
  <c r="H46" i="4" s="1"/>
  <c r="H56" i="3"/>
  <c r="J56" s="1"/>
  <c r="H67"/>
  <c r="J67" s="1"/>
  <c r="H77"/>
  <c r="H77" i="4" s="1"/>
  <c r="H86" i="3"/>
  <c r="H86" i="4" s="1"/>
  <c r="H86" i="5" s="1"/>
  <c r="J86" s="1"/>
  <c r="H97" i="3"/>
  <c r="J97" s="1"/>
  <c r="H125"/>
  <c r="J125" s="1"/>
  <c r="H135"/>
  <c r="H135" i="4" s="1"/>
  <c r="H81" i="3"/>
  <c r="H81" i="4" s="1"/>
  <c r="E31" i="5"/>
  <c r="H45" i="3"/>
  <c r="H45" i="4" s="1"/>
  <c r="H66" i="3"/>
  <c r="J66" s="1"/>
  <c r="H76"/>
  <c r="H76" i="4" s="1"/>
  <c r="H84" i="3"/>
  <c r="H84" i="4" s="1"/>
  <c r="H107" i="3"/>
  <c r="J107" s="1"/>
  <c r="H124"/>
  <c r="J124" s="1"/>
  <c r="H134"/>
  <c r="J134" s="1"/>
  <c r="H74"/>
  <c r="J74" s="1"/>
  <c r="H116"/>
  <c r="H116" i="4" s="1"/>
  <c r="H140"/>
  <c r="H140" i="5" s="1"/>
  <c r="J140" s="1"/>
  <c r="H7" i="3"/>
  <c r="H7" i="4" s="1"/>
  <c r="H7" i="5" s="1"/>
  <c r="J7" s="1"/>
  <c r="B6" i="44"/>
  <c r="H63" i="3"/>
  <c r="H63" i="4" s="1"/>
  <c r="H90" i="3"/>
  <c r="H90" i="4" s="1"/>
  <c r="B7" i="44"/>
  <c r="H55" i="3"/>
  <c r="H55" i="4" s="1"/>
  <c r="C6" i="44"/>
  <c r="H44" i="3"/>
  <c r="H44" i="4" s="1"/>
  <c r="H54" i="3"/>
  <c r="H54" i="4" s="1"/>
  <c r="H65" i="3"/>
  <c r="H65" i="4" s="1"/>
  <c r="H75" i="3"/>
  <c r="H75" i="4" s="1"/>
  <c r="H83" i="3"/>
  <c r="H83" i="4" s="1"/>
  <c r="H94" i="3"/>
  <c r="J94" s="1"/>
  <c r="H106"/>
  <c r="J106" s="1"/>
  <c r="H141"/>
  <c r="H141" i="4" s="1"/>
  <c r="C7" i="44"/>
  <c r="E27" i="5"/>
  <c r="G27" s="1"/>
  <c r="C8" i="44"/>
  <c r="J11" i="3"/>
  <c r="H11" i="4"/>
  <c r="J11" s="1"/>
  <c r="J12" i="3"/>
  <c r="H12" i="4"/>
  <c r="J12" s="1"/>
  <c r="F119" i="5"/>
  <c r="E119" i="33" s="1"/>
  <c r="G153" i="5"/>
  <c r="G165" i="3"/>
  <c r="G129" i="2"/>
  <c r="H129" s="1"/>
  <c r="J129" s="1"/>
  <c r="G28"/>
  <c r="H28" s="1"/>
  <c r="J28" s="1"/>
  <c r="G95"/>
  <c r="G59"/>
  <c r="H59" s="1"/>
  <c r="J59" s="1"/>
  <c r="H19"/>
  <c r="J19" s="1"/>
  <c r="E27" i="4"/>
  <c r="G27" s="1"/>
  <c r="F8" i="45"/>
  <c r="AN4" i="49" s="1"/>
  <c r="E8" i="45"/>
  <c r="AN3" i="49" s="1"/>
  <c r="G20" i="5"/>
  <c r="G8" i="45"/>
  <c r="G169" i="2"/>
  <c r="G151"/>
  <c r="G152" s="1"/>
  <c r="H152" s="1"/>
  <c r="J152" s="1"/>
  <c r="G95" i="4"/>
  <c r="F119"/>
  <c r="E30"/>
  <c r="G30" s="1"/>
  <c r="G149"/>
  <c r="G150" s="1"/>
  <c r="G102" i="3"/>
  <c r="I139" i="4"/>
  <c r="I136"/>
  <c r="G13"/>
  <c r="N10" s="1"/>
  <c r="G20"/>
  <c r="G13" i="2"/>
  <c r="I13" s="1"/>
  <c r="G20"/>
  <c r="H36"/>
  <c r="J36" s="1"/>
  <c r="G113"/>
  <c r="H113" s="1"/>
  <c r="J113" s="1"/>
  <c r="I141"/>
  <c r="G171"/>
  <c r="H9"/>
  <c r="J9" s="1"/>
  <c r="H18"/>
  <c r="J18" s="1"/>
  <c r="G20" i="3"/>
  <c r="G167"/>
  <c r="G147" i="5"/>
  <c r="G171"/>
  <c r="G153" i="2"/>
  <c r="G154" s="1"/>
  <c r="H154" s="1"/>
  <c r="J154" s="1"/>
  <c r="G118"/>
  <c r="H118" s="1"/>
  <c r="J118" s="1"/>
  <c r="G165" i="5"/>
  <c r="E31" i="4"/>
  <c r="G31" s="1"/>
  <c r="G95" i="5"/>
  <c r="G24" i="2"/>
  <c r="H24" s="1"/>
  <c r="G143"/>
  <c r="G144" s="1"/>
  <c r="H144" s="1"/>
  <c r="J144" s="1"/>
  <c r="G47"/>
  <c r="H47" s="1"/>
  <c r="J47" s="1"/>
  <c r="H110"/>
  <c r="J110" s="1"/>
  <c r="G149"/>
  <c r="H149" s="1"/>
  <c r="J149" s="1"/>
  <c r="G165" i="4"/>
  <c r="G169"/>
  <c r="G120" i="2"/>
  <c r="H120" s="1"/>
  <c r="J120" s="1"/>
  <c r="G129" i="4"/>
  <c r="G147" i="2"/>
  <c r="H147" s="1"/>
  <c r="J147" s="1"/>
  <c r="H93"/>
  <c r="J93" s="1"/>
  <c r="G119"/>
  <c r="H119" s="1"/>
  <c r="J119" s="1"/>
  <c r="G170"/>
  <c r="G169" i="3"/>
  <c r="G168" i="5"/>
  <c r="G113"/>
  <c r="G85"/>
  <c r="G151"/>
  <c r="G145"/>
  <c r="G118"/>
  <c r="G13"/>
  <c r="G149"/>
  <c r="G59"/>
  <c r="F120"/>
  <c r="E120" i="33" s="1"/>
  <c r="G120" i="5"/>
  <c r="G102"/>
  <c r="G108"/>
  <c r="I134"/>
  <c r="G169"/>
  <c r="G129"/>
  <c r="G143"/>
  <c r="G47"/>
  <c r="G66"/>
  <c r="I137"/>
  <c r="G170"/>
  <c r="G31"/>
  <c r="G172"/>
  <c r="N8"/>
  <c r="I140"/>
  <c r="G65"/>
  <c r="G30"/>
  <c r="G119"/>
  <c r="G145" i="4"/>
  <c r="G85"/>
  <c r="G113"/>
  <c r="G59"/>
  <c r="F120"/>
  <c r="G120"/>
  <c r="G102"/>
  <c r="G151"/>
  <c r="G147"/>
  <c r="G118"/>
  <c r="G108"/>
  <c r="J105"/>
  <c r="G47"/>
  <c r="G143"/>
  <c r="E28"/>
  <c r="G28" s="1"/>
  <c r="G119"/>
  <c r="I141"/>
  <c r="G153"/>
  <c r="G13" i="3"/>
  <c r="G143"/>
  <c r="G47"/>
  <c r="J137"/>
  <c r="I139"/>
  <c r="E27"/>
  <c r="G27" s="1"/>
  <c r="G153"/>
  <c r="F119"/>
  <c r="G119"/>
  <c r="E30"/>
  <c r="G30" s="1"/>
  <c r="G145"/>
  <c r="G108"/>
  <c r="G113"/>
  <c r="G147"/>
  <c r="G95"/>
  <c r="G59"/>
  <c r="G149"/>
  <c r="I134"/>
  <c r="I141"/>
  <c r="G129"/>
  <c r="E28"/>
  <c r="G28" s="1"/>
  <c r="O16"/>
  <c r="G151"/>
  <c r="E31"/>
  <c r="G31" s="1"/>
  <c r="G118"/>
  <c r="G120"/>
  <c r="G85"/>
  <c r="F120"/>
  <c r="J49"/>
  <c r="G29" i="2"/>
  <c r="H29" s="1"/>
  <c r="J29" s="1"/>
  <c r="H143"/>
  <c r="J143" s="1"/>
  <c r="H8"/>
  <c r="J8" s="1"/>
  <c r="I9" s="1"/>
  <c r="I139"/>
  <c r="H51"/>
  <c r="J51" s="1"/>
  <c r="G85"/>
  <c r="H85" s="1"/>
  <c r="J85" s="1"/>
  <c r="H98"/>
  <c r="J98" s="1"/>
  <c r="G145"/>
  <c r="G108"/>
  <c r="H108" s="1"/>
  <c r="J108" s="1"/>
  <c r="I136"/>
  <c r="F119"/>
  <c r="H15"/>
  <c r="J15" s="1"/>
  <c r="I16" s="1"/>
  <c r="G102"/>
  <c r="H102" s="1"/>
  <c r="J102" s="1"/>
  <c r="F120"/>
  <c r="H115"/>
  <c r="J115" s="1"/>
  <c r="J105" i="3" l="1"/>
  <c r="H8"/>
  <c r="J8" s="1"/>
  <c r="I9" s="1"/>
  <c r="J96"/>
  <c r="H149"/>
  <c r="J149" s="1"/>
  <c r="H36"/>
  <c r="H36" i="4" s="1"/>
  <c r="J36" s="1"/>
  <c r="J35" i="3"/>
  <c r="H41" i="4"/>
  <c r="J41" s="1"/>
  <c r="J50" i="3"/>
  <c r="H89" i="4"/>
  <c r="H89" i="5" s="1"/>
  <c r="J89" s="1"/>
  <c r="J86" i="3"/>
  <c r="J42"/>
  <c r="J127" i="4"/>
  <c r="J127" i="3"/>
  <c r="J133"/>
  <c r="H115"/>
  <c r="J115" s="1"/>
  <c r="H110"/>
  <c r="H99" i="4"/>
  <c r="H99" i="5" s="1"/>
  <c r="J99" s="1"/>
  <c r="J87" i="3"/>
  <c r="H58" i="4"/>
  <c r="H58" i="5" s="1"/>
  <c r="J58" s="1"/>
  <c r="G150" i="2"/>
  <c r="H150" s="1"/>
  <c r="J150" s="1"/>
  <c r="H147" i="3"/>
  <c r="J147" s="1"/>
  <c r="G60" i="2"/>
  <c r="H60" s="1"/>
  <c r="J60" s="1"/>
  <c r="H47" i="3"/>
  <c r="H47" i="4" s="1"/>
  <c r="J47" s="1"/>
  <c r="H18" i="3"/>
  <c r="H15"/>
  <c r="H15" i="4" s="1"/>
  <c r="H15" i="5" s="1"/>
  <c r="J15" s="1"/>
  <c r="I16" s="1"/>
  <c r="H9" i="3"/>
  <c r="J37"/>
  <c r="J77"/>
  <c r="J7"/>
  <c r="H117" i="4"/>
  <c r="H117" i="5" s="1"/>
  <c r="J117" s="1"/>
  <c r="H125" i="4"/>
  <c r="H125" i="5" s="1"/>
  <c r="J125" s="1"/>
  <c r="J100" i="3"/>
  <c r="J131"/>
  <c r="J39"/>
  <c r="H38" i="4"/>
  <c r="H38" i="5" s="1"/>
  <c r="J38" s="1"/>
  <c r="H56" i="4"/>
  <c r="J56" s="1"/>
  <c r="H10"/>
  <c r="J10" s="1"/>
  <c r="J37"/>
  <c r="H37" i="5"/>
  <c r="J37" s="1"/>
  <c r="H67" i="4"/>
  <c r="H67" i="5" s="1"/>
  <c r="J67" s="1"/>
  <c r="J86" i="4"/>
  <c r="J83" i="3"/>
  <c r="H57" i="4"/>
  <c r="J57" s="1"/>
  <c r="J45" i="3"/>
  <c r="J88"/>
  <c r="H106" i="4"/>
  <c r="H106" i="5" s="1"/>
  <c r="J106" s="1"/>
  <c r="H97" i="4"/>
  <c r="H97" i="5" s="1"/>
  <c r="J97" s="1"/>
  <c r="J64" i="3"/>
  <c r="J128"/>
  <c r="J65"/>
  <c r="J7" i="4"/>
  <c r="J43" i="3"/>
  <c r="J69"/>
  <c r="J138"/>
  <c r="J82"/>
  <c r="H94" i="4"/>
  <c r="H94" i="5" s="1"/>
  <c r="J94" s="1"/>
  <c r="H98" i="3"/>
  <c r="J112"/>
  <c r="J132"/>
  <c r="J80"/>
  <c r="J73"/>
  <c r="H111"/>
  <c r="H107" i="4"/>
  <c r="H107" i="5" s="1"/>
  <c r="J107" s="1"/>
  <c r="H101" i="4"/>
  <c r="H113" i="3"/>
  <c r="H113" i="4" s="1"/>
  <c r="J140"/>
  <c r="H134"/>
  <c r="H134" i="5" s="1"/>
  <c r="J134" s="1"/>
  <c r="J76" i="3"/>
  <c r="J135"/>
  <c r="J136"/>
  <c r="H93"/>
  <c r="J63"/>
  <c r="J62"/>
  <c r="J50" i="4"/>
  <c r="H50" i="5"/>
  <c r="J50" s="1"/>
  <c r="H44"/>
  <c r="J44" s="1"/>
  <c r="J44" i="4"/>
  <c r="H51" i="3"/>
  <c r="J44"/>
  <c r="H143"/>
  <c r="H143" i="4" s="1"/>
  <c r="H143" i="5" s="1"/>
  <c r="J143" s="1"/>
  <c r="H57"/>
  <c r="J57" s="1"/>
  <c r="J46" i="3"/>
  <c r="J55"/>
  <c r="H52" i="4"/>
  <c r="J40" i="3"/>
  <c r="J53"/>
  <c r="H13" i="2"/>
  <c r="J13" s="1"/>
  <c r="H29" i="3"/>
  <c r="H20" i="2"/>
  <c r="J20" s="1"/>
  <c r="I20" s="1"/>
  <c r="E5" i="44"/>
  <c r="J24" i="2"/>
  <c r="H24" i="3"/>
  <c r="H27"/>
  <c r="H27" i="4" s="1"/>
  <c r="H19" i="3"/>
  <c r="H23" i="4"/>
  <c r="J23" i="3"/>
  <c r="H46" i="5"/>
  <c r="J46" s="1"/>
  <c r="J46" i="4"/>
  <c r="H82" i="5"/>
  <c r="J82" s="1"/>
  <c r="J82" i="4"/>
  <c r="H55" i="5"/>
  <c r="J55" s="1"/>
  <c r="J55" i="4"/>
  <c r="H76" i="5"/>
  <c r="J76" s="1"/>
  <c r="J76" i="4"/>
  <c r="H131" i="5"/>
  <c r="J131" s="1"/>
  <c r="J131" i="4"/>
  <c r="H40" i="5"/>
  <c r="J40" s="1"/>
  <c r="J40" i="4"/>
  <c r="H83" i="5"/>
  <c r="J83" s="1"/>
  <c r="J83" i="4"/>
  <c r="H138" i="5"/>
  <c r="J138" s="1"/>
  <c r="J138" i="4"/>
  <c r="H88" i="5"/>
  <c r="J88" s="1"/>
  <c r="J49" i="4"/>
  <c r="J54" i="3"/>
  <c r="H78" i="4"/>
  <c r="H78" i="5" s="1"/>
  <c r="J78" s="1"/>
  <c r="J35" i="4"/>
  <c r="J133"/>
  <c r="H137" i="5"/>
  <c r="J137" s="1"/>
  <c r="H68" i="4"/>
  <c r="J39"/>
  <c r="H126"/>
  <c r="J141" i="3"/>
  <c r="J75"/>
  <c r="J116"/>
  <c r="H79" i="4"/>
  <c r="J22" i="3"/>
  <c r="H72" i="4"/>
  <c r="J128"/>
  <c r="H75" i="5"/>
  <c r="J75" s="1"/>
  <c r="J75" i="4"/>
  <c r="J53"/>
  <c r="H53" i="5"/>
  <c r="J53" s="1"/>
  <c r="H84"/>
  <c r="J84" s="1"/>
  <c r="J84" i="4"/>
  <c r="H43" i="5"/>
  <c r="J43" s="1"/>
  <c r="J43" i="4"/>
  <c r="H136" i="5"/>
  <c r="J136" s="1"/>
  <c r="J136" i="4"/>
  <c r="H141" i="5"/>
  <c r="J141" s="1"/>
  <c r="J141" i="4"/>
  <c r="H81" i="5"/>
  <c r="J81" s="1"/>
  <c r="J81" i="4"/>
  <c r="J87"/>
  <c r="H87" i="5"/>
  <c r="J87" s="1"/>
  <c r="J42" i="4"/>
  <c r="H42" i="5"/>
  <c r="J42" s="1"/>
  <c r="H54"/>
  <c r="J54" s="1"/>
  <c r="J54" i="4"/>
  <c r="H116" i="5"/>
  <c r="J116" s="1"/>
  <c r="J116" i="4"/>
  <c r="H112" i="5"/>
  <c r="J112" s="1"/>
  <c r="J112" i="4"/>
  <c r="J100"/>
  <c r="H100" i="5"/>
  <c r="J100" s="1"/>
  <c r="H65"/>
  <c r="J65" s="1"/>
  <c r="J65" i="4"/>
  <c r="J63"/>
  <c r="H63" i="5"/>
  <c r="J63" s="1"/>
  <c r="J45" i="4"/>
  <c r="H45" i="5"/>
  <c r="J45" s="1"/>
  <c r="H135"/>
  <c r="J135" s="1"/>
  <c r="J135" i="4"/>
  <c r="H73" i="5"/>
  <c r="J73" s="1"/>
  <c r="J73" i="4"/>
  <c r="H69" i="5"/>
  <c r="J69" s="1"/>
  <c r="J69" i="4"/>
  <c r="H90" i="5"/>
  <c r="J90" s="1"/>
  <c r="J90" i="4"/>
  <c r="H77" i="5"/>
  <c r="J77" s="1"/>
  <c r="J77" i="4"/>
  <c r="J139"/>
  <c r="H139" i="5"/>
  <c r="J139" s="1"/>
  <c r="J64" i="4"/>
  <c r="H64" i="5"/>
  <c r="J64" s="1"/>
  <c r="H31" i="3"/>
  <c r="H31" i="4" s="1"/>
  <c r="H31" i="5" s="1"/>
  <c r="J31" s="1"/>
  <c r="E7" i="44"/>
  <c r="G154" i="5"/>
  <c r="H74" i="4"/>
  <c r="H118" i="3"/>
  <c r="H118" i="4" s="1"/>
  <c r="H95" i="3"/>
  <c r="J95" s="1"/>
  <c r="H120"/>
  <c r="J120" s="1"/>
  <c r="H129"/>
  <c r="J129" s="1"/>
  <c r="I13"/>
  <c r="H13"/>
  <c r="J13" s="1"/>
  <c r="H102"/>
  <c r="J102" s="1"/>
  <c r="J90"/>
  <c r="J84"/>
  <c r="J132" i="4"/>
  <c r="H59" i="3"/>
  <c r="J59" s="1"/>
  <c r="H20"/>
  <c r="H20" i="4" s="1"/>
  <c r="E6" i="44"/>
  <c r="H66" i="4"/>
  <c r="E8" i="44"/>
  <c r="H28" i="3"/>
  <c r="H28" i="4" s="1"/>
  <c r="J22"/>
  <c r="H96" i="5"/>
  <c r="J96" s="1"/>
  <c r="H85" i="3"/>
  <c r="H85" i="4" s="1"/>
  <c r="H119" i="3"/>
  <c r="J119" s="1"/>
  <c r="I13" i="5"/>
  <c r="H124" i="4"/>
  <c r="J139" i="3"/>
  <c r="J80" i="4"/>
  <c r="H108" i="3"/>
  <c r="H108" i="4" s="1"/>
  <c r="H30" i="3"/>
  <c r="H30" i="4" s="1"/>
  <c r="I13"/>
  <c r="J81" i="3"/>
  <c r="AN5" i="49"/>
  <c r="G148" i="5"/>
  <c r="G173" i="2"/>
  <c r="H151"/>
  <c r="J151" s="1"/>
  <c r="G121"/>
  <c r="H121" s="1"/>
  <c r="J121" s="1"/>
  <c r="F121"/>
  <c r="H153"/>
  <c r="J153" s="1"/>
  <c r="G148"/>
  <c r="H148" s="1"/>
  <c r="J148" s="1"/>
  <c r="G32" i="5"/>
  <c r="G144"/>
  <c r="F121"/>
  <c r="E121" i="33" s="1"/>
  <c r="G121" i="5"/>
  <c r="G146"/>
  <c r="G60"/>
  <c r="G152"/>
  <c r="G150"/>
  <c r="G152" i="4"/>
  <c r="G148"/>
  <c r="G154"/>
  <c r="G146"/>
  <c r="G32"/>
  <c r="G60"/>
  <c r="G144"/>
  <c r="F121"/>
  <c r="G121"/>
  <c r="G152" i="3"/>
  <c r="G148"/>
  <c r="G146"/>
  <c r="G32"/>
  <c r="G154"/>
  <c r="G144"/>
  <c r="G60"/>
  <c r="G150"/>
  <c r="F121"/>
  <c r="G121"/>
  <c r="G146" i="2"/>
  <c r="H146" s="1"/>
  <c r="J146" s="1"/>
  <c r="H145"/>
  <c r="J145" s="1"/>
  <c r="G32"/>
  <c r="H32" s="1"/>
  <c r="J32" s="1"/>
  <c r="J134" i="4" l="1"/>
  <c r="H36" i="5"/>
  <c r="J36" s="1"/>
  <c r="J113" i="3"/>
  <c r="H60"/>
  <c r="J60" s="1"/>
  <c r="J143"/>
  <c r="H8" i="4"/>
  <c r="J8" s="1"/>
  <c r="I9" s="1"/>
  <c r="H149"/>
  <c r="J149" s="1"/>
  <c r="J36" i="3"/>
  <c r="J27"/>
  <c r="J125" i="4"/>
  <c r="J107"/>
  <c r="H41" i="5"/>
  <c r="J41" s="1"/>
  <c r="H10"/>
  <c r="J10" s="1"/>
  <c r="H56"/>
  <c r="J56" s="1"/>
  <c r="H115" i="4"/>
  <c r="J115" s="1"/>
  <c r="J89"/>
  <c r="J38"/>
  <c r="J47" i="3"/>
  <c r="J94" i="4"/>
  <c r="H95"/>
  <c r="H95" i="5" s="1"/>
  <c r="J95" s="1"/>
  <c r="J110" i="3"/>
  <c r="H110" i="4"/>
  <c r="J99"/>
  <c r="J67"/>
  <c r="J58"/>
  <c r="H147"/>
  <c r="J147" s="1"/>
  <c r="H47" i="5"/>
  <c r="J47" s="1"/>
  <c r="I60" i="2"/>
  <c r="I59"/>
  <c r="J18" i="3"/>
  <c r="H18" i="4"/>
  <c r="J15"/>
  <c r="I16" s="1"/>
  <c r="J15" i="3"/>
  <c r="I16" s="1"/>
  <c r="H9" i="4"/>
  <c r="J9" i="3"/>
  <c r="J117" i="4"/>
  <c r="J113"/>
  <c r="H113" i="5"/>
  <c r="J113" s="1"/>
  <c r="J97" i="4"/>
  <c r="J28" i="3"/>
  <c r="H119" i="4"/>
  <c r="H119" i="5" s="1"/>
  <c r="J119" s="1"/>
  <c r="J31" i="3"/>
  <c r="J106" i="4"/>
  <c r="J78"/>
  <c r="H111"/>
  <c r="J111" i="3"/>
  <c r="J108"/>
  <c r="J85"/>
  <c r="H93" i="4"/>
  <c r="J93" i="3"/>
  <c r="H101" i="5"/>
  <c r="J101" s="1"/>
  <c r="J101" i="4"/>
  <c r="H98"/>
  <c r="J98" i="3"/>
  <c r="H120" i="4"/>
  <c r="H120" i="5" s="1"/>
  <c r="J120" s="1"/>
  <c r="H102" i="4"/>
  <c r="H59"/>
  <c r="H59" i="5" s="1"/>
  <c r="J59" s="1"/>
  <c r="H52"/>
  <c r="J52" s="1"/>
  <c r="J52" i="4"/>
  <c r="J51" i="3"/>
  <c r="H51" i="4"/>
  <c r="H153" i="3"/>
  <c r="H145"/>
  <c r="H151"/>
  <c r="H24" i="4"/>
  <c r="J24" i="3"/>
  <c r="H19" i="4"/>
  <c r="J19" i="3"/>
  <c r="H23" i="5"/>
  <c r="J23" s="1"/>
  <c r="J23" i="4"/>
  <c r="H29"/>
  <c r="J29" i="3"/>
  <c r="J30"/>
  <c r="H79" i="5"/>
  <c r="J79" s="1"/>
  <c r="J79" i="4"/>
  <c r="H13"/>
  <c r="J118" i="3"/>
  <c r="H68" i="5"/>
  <c r="J68" s="1"/>
  <c r="J68" i="4"/>
  <c r="H72" i="5"/>
  <c r="J72" s="1"/>
  <c r="J72" i="4"/>
  <c r="J126"/>
  <c r="H126" i="5"/>
  <c r="J126" s="1"/>
  <c r="J20" i="3"/>
  <c r="I20" s="1"/>
  <c r="H20" i="5"/>
  <c r="J20" s="1"/>
  <c r="I20" s="1"/>
  <c r="J20" i="4"/>
  <c r="I20" s="1"/>
  <c r="H30" i="5"/>
  <c r="J30" s="1"/>
  <c r="J30" i="4"/>
  <c r="J85"/>
  <c r="H85" i="5"/>
  <c r="J85" s="1"/>
  <c r="H118"/>
  <c r="J118" s="1"/>
  <c r="J118" i="4"/>
  <c r="H108" i="5"/>
  <c r="J108" s="1"/>
  <c r="J108" i="4"/>
  <c r="J28"/>
  <c r="H28" i="5"/>
  <c r="J28" s="1"/>
  <c r="J143" i="4"/>
  <c r="H146" i="3"/>
  <c r="J146" s="1"/>
  <c r="H27" i="5"/>
  <c r="J27" s="1"/>
  <c r="J27" i="4"/>
  <c r="H129"/>
  <c r="J31"/>
  <c r="H148" i="3"/>
  <c r="J148" s="1"/>
  <c r="H144"/>
  <c r="J144" s="1"/>
  <c r="H150"/>
  <c r="H150" i="4" s="1"/>
  <c r="J150" s="1"/>
  <c r="J124"/>
  <c r="H124" i="5"/>
  <c r="J124" s="1"/>
  <c r="J74" i="4"/>
  <c r="H74" i="5"/>
  <c r="J74" s="1"/>
  <c r="H152" i="3"/>
  <c r="J152" s="1"/>
  <c r="H66" i="5"/>
  <c r="J66" s="1"/>
  <c r="J66" i="4"/>
  <c r="H121" i="3"/>
  <c r="H121" i="4" s="1"/>
  <c r="H32" i="3"/>
  <c r="J32" s="1"/>
  <c r="H154"/>
  <c r="H154" i="4" s="1"/>
  <c r="H60"/>
  <c r="J60" s="1"/>
  <c r="I59" i="5"/>
  <c r="I60"/>
  <c r="I60" i="4"/>
  <c r="I59"/>
  <c r="I59" i="3"/>
  <c r="I60"/>
  <c r="H8" i="5" l="1"/>
  <c r="J8" s="1"/>
  <c r="I9" s="1"/>
  <c r="H115"/>
  <c r="J115" s="1"/>
  <c r="H149"/>
  <c r="J149" s="1"/>
  <c r="H147"/>
  <c r="J147" s="1"/>
  <c r="J95" i="4"/>
  <c r="H110" i="5"/>
  <c r="J110" s="1"/>
  <c r="J110" i="4"/>
  <c r="J120"/>
  <c r="J119"/>
  <c r="H18" i="5"/>
  <c r="J18" s="1"/>
  <c r="J18" i="4"/>
  <c r="J9"/>
  <c r="H9" i="5"/>
  <c r="J9" s="1"/>
  <c r="J154" i="3"/>
  <c r="J150"/>
  <c r="H146" i="4"/>
  <c r="J146" s="1"/>
  <c r="H32"/>
  <c r="J32" s="1"/>
  <c r="J111"/>
  <c r="H111" i="5"/>
  <c r="J111" s="1"/>
  <c r="J102" i="4"/>
  <c r="H102" i="5"/>
  <c r="J102" s="1"/>
  <c r="J98" i="4"/>
  <c r="H98" i="5"/>
  <c r="J98" s="1"/>
  <c r="H93"/>
  <c r="J93" s="1"/>
  <c r="J93" i="4"/>
  <c r="H51" i="5"/>
  <c r="J51" s="1"/>
  <c r="J51" i="4"/>
  <c r="J59"/>
  <c r="H153"/>
  <c r="J153" i="3"/>
  <c r="H145" i="4"/>
  <c r="J145" i="3"/>
  <c r="J151"/>
  <c r="H151" i="4"/>
  <c r="J29"/>
  <c r="H29" i="5"/>
  <c r="J29" s="1"/>
  <c r="H24"/>
  <c r="J24" s="1"/>
  <c r="J24" i="4"/>
  <c r="H19" i="5"/>
  <c r="J19" s="1"/>
  <c r="J19" i="4"/>
  <c r="H150" i="5"/>
  <c r="J150" s="1"/>
  <c r="H152" i="4"/>
  <c r="J13"/>
  <c r="H13" i="5"/>
  <c r="J13" s="1"/>
  <c r="H60"/>
  <c r="J60" s="1"/>
  <c r="H144" i="4"/>
  <c r="J144" s="1"/>
  <c r="H148"/>
  <c r="H146" i="5"/>
  <c r="J146" s="1"/>
  <c r="J154" i="4"/>
  <c r="H154" i="5"/>
  <c r="J154" s="1"/>
  <c r="H121"/>
  <c r="J121" s="1"/>
  <c r="J121" i="4"/>
  <c r="J121" i="3"/>
  <c r="H129" i="5"/>
  <c r="J129" s="1"/>
  <c r="J129" i="4"/>
  <c r="E10" i="7"/>
  <c r="BM1" i="49"/>
  <c r="BH1"/>
  <c r="BI1"/>
  <c r="BJ1"/>
  <c r="BK1"/>
  <c r="BL1"/>
  <c r="BG1"/>
  <c r="F1"/>
  <c r="G1"/>
  <c r="H1"/>
  <c r="I1"/>
  <c r="J1"/>
  <c r="K1"/>
  <c r="L1"/>
  <c r="M1"/>
  <c r="N1"/>
  <c r="O1"/>
  <c r="P1"/>
  <c r="Q1"/>
  <c r="R1"/>
  <c r="S1"/>
  <c r="T1"/>
  <c r="U1"/>
  <c r="V1"/>
  <c r="W1"/>
  <c r="X1"/>
  <c r="Y1"/>
  <c r="Z1"/>
  <c r="AA1"/>
  <c r="AB1"/>
  <c r="AC1"/>
  <c r="AD1"/>
  <c r="AE1"/>
  <c r="AF1"/>
  <c r="AG1"/>
  <c r="AH1"/>
  <c r="AI1"/>
  <c r="AJ1"/>
  <c r="AK1"/>
  <c r="AL1"/>
  <c r="E1"/>
  <c r="H32" i="5" l="1"/>
  <c r="J32" s="1"/>
  <c r="H144"/>
  <c r="J144" s="1"/>
  <c r="H153"/>
  <c r="J153" s="1"/>
  <c r="J153" i="4"/>
  <c r="H151" i="5"/>
  <c r="J151" s="1"/>
  <c r="J151" i="4"/>
  <c r="H145" i="5"/>
  <c r="J145" s="1"/>
  <c r="J145" i="4"/>
  <c r="H152" i="5"/>
  <c r="J152" s="1"/>
  <c r="J152" i="4"/>
  <c r="J148"/>
  <c r="H148" i="5"/>
  <c r="J148" s="1"/>
  <c r="E93" i="28"/>
  <c r="B3" i="49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E36" i="25" l="1"/>
  <c r="E37"/>
  <c r="E38"/>
  <c r="E39"/>
  <c r="E40"/>
  <c r="E41"/>
  <c r="E42"/>
  <c r="E43"/>
  <c r="E44"/>
  <c r="E45"/>
  <c r="E46"/>
  <c r="K31" i="47"/>
  <c r="G3" i="48"/>
  <c r="K3" i="47" s="1"/>
  <c r="G4" i="48"/>
  <c r="K4" i="47" s="1"/>
  <c r="G5" i="48"/>
  <c r="K5" i="47" s="1"/>
  <c r="G6" i="48"/>
  <c r="K6" i="47" s="1"/>
  <c r="G7" i="48"/>
  <c r="K7" i="47" s="1"/>
  <c r="G8" i="48"/>
  <c r="K8" i="47" s="1"/>
  <c r="G9" i="48"/>
  <c r="K9" i="47" s="1"/>
  <c r="G10" i="48"/>
  <c r="K10" i="47" s="1"/>
  <c r="G11" i="48"/>
  <c r="K11" i="47" s="1"/>
  <c r="G12" i="48"/>
  <c r="K12" i="47" s="1"/>
  <c r="G13" i="48"/>
  <c r="K13" i="47" s="1"/>
  <c r="G14" i="48"/>
  <c r="K14" i="47" s="1"/>
  <c r="G15" i="48"/>
  <c r="K15" i="47" s="1"/>
  <c r="G16" i="48"/>
  <c r="K16" i="47" s="1"/>
  <c r="G17" i="48"/>
  <c r="K17" i="47" s="1"/>
  <c r="G18" i="48"/>
  <c r="K18" i="47" s="1"/>
  <c r="G19" i="48"/>
  <c r="K19" i="47" s="1"/>
  <c r="G20" i="48"/>
  <c r="K20" i="47" s="1"/>
  <c r="G21" i="48"/>
  <c r="K21" i="47" s="1"/>
  <c r="G22" i="48"/>
  <c r="K22" i="47" s="1"/>
  <c r="G23" i="48"/>
  <c r="K23" i="47" s="1"/>
  <c r="G24" i="48"/>
  <c r="K24" i="47" s="1"/>
  <c r="G25" i="48"/>
  <c r="K25" i="47" s="1"/>
  <c r="G26" i="48"/>
  <c r="K26" i="47" s="1"/>
  <c r="G27" i="48"/>
  <c r="K27" i="47" s="1"/>
  <c r="G28" i="48"/>
  <c r="K28" i="47" s="1"/>
  <c r="G29" i="48"/>
  <c r="K29" i="47" s="1"/>
  <c r="G30" i="48"/>
  <c r="K30" i="47" s="1"/>
  <c r="E19" i="48"/>
  <c r="E20"/>
  <c r="E18"/>
  <c r="E16"/>
  <c r="E164" i="17"/>
  <c r="E163"/>
  <c r="K2" i="47"/>
  <c r="E73" i="14"/>
  <c r="E72"/>
  <c r="E132" i="12"/>
  <c r="E133"/>
  <c r="E134"/>
  <c r="E135"/>
  <c r="E136"/>
  <c r="E137"/>
  <c r="E138"/>
  <c r="E139"/>
  <c r="E140"/>
  <c r="E141"/>
  <c r="E9" i="11"/>
  <c r="E10"/>
  <c r="E63"/>
  <c r="E64"/>
  <c r="E65"/>
  <c r="E66"/>
  <c r="E67"/>
  <c r="E68"/>
  <c r="E69"/>
  <c r="E36"/>
  <c r="E37"/>
  <c r="E38"/>
  <c r="E39"/>
  <c r="E40"/>
  <c r="E41"/>
  <c r="E42"/>
  <c r="E43"/>
  <c r="E44"/>
  <c r="E73" i="9"/>
  <c r="E74"/>
  <c r="E75"/>
  <c r="E76"/>
  <c r="E77"/>
  <c r="E78"/>
  <c r="E79"/>
  <c r="E80"/>
  <c r="E81"/>
  <c r="E82"/>
  <c r="E84"/>
  <c r="E125" i="8"/>
  <c r="E126"/>
  <c r="E127"/>
  <c r="E128"/>
  <c r="E87"/>
  <c r="E88"/>
  <c r="E89"/>
  <c r="E90"/>
  <c r="E73"/>
  <c r="E74"/>
  <c r="E75"/>
  <c r="E76"/>
  <c r="E77"/>
  <c r="E78"/>
  <c r="E79"/>
  <c r="E80"/>
  <c r="E81"/>
  <c r="E82"/>
  <c r="E83"/>
  <c r="E84"/>
  <c r="E50"/>
  <c r="E51"/>
  <c r="E52"/>
  <c r="E53"/>
  <c r="E54"/>
  <c r="E55"/>
  <c r="E56"/>
  <c r="E57"/>
  <c r="E58"/>
  <c r="E36"/>
  <c r="E37"/>
  <c r="E38"/>
  <c r="E39"/>
  <c r="E40"/>
  <c r="E41"/>
  <c r="E42"/>
  <c r="E43"/>
  <c r="E44"/>
  <c r="E45"/>
  <c r="E46"/>
  <c r="G161"/>
  <c r="G162"/>
  <c r="G163"/>
  <c r="E50" i="43"/>
  <c r="E51"/>
  <c r="E52"/>
  <c r="E53"/>
  <c r="E54"/>
  <c r="E55"/>
  <c r="E56"/>
  <c r="E57"/>
  <c r="E58"/>
  <c r="E36"/>
  <c r="E37"/>
  <c r="E38"/>
  <c r="E39"/>
  <c r="E40"/>
  <c r="E41"/>
  <c r="E42"/>
  <c r="E43"/>
  <c r="E44"/>
  <c r="E45"/>
  <c r="E46"/>
  <c r="E125" i="30"/>
  <c r="E126"/>
  <c r="E127"/>
  <c r="E128"/>
  <c r="E87"/>
  <c r="E88"/>
  <c r="E89"/>
  <c r="E90"/>
  <c r="E73"/>
  <c r="E74"/>
  <c r="E75"/>
  <c r="E76"/>
  <c r="E77"/>
  <c r="E78"/>
  <c r="E79"/>
  <c r="E80"/>
  <c r="E81"/>
  <c r="E82"/>
  <c r="E83"/>
  <c r="E84"/>
  <c r="E63"/>
  <c r="E64"/>
  <c r="E65"/>
  <c r="E66"/>
  <c r="E67"/>
  <c r="E68"/>
  <c r="E69"/>
  <c r="E50"/>
  <c r="E51"/>
  <c r="E52"/>
  <c r="E53"/>
  <c r="E54"/>
  <c r="E55"/>
  <c r="E56"/>
  <c r="E57"/>
  <c r="E58"/>
  <c r="E87" i="29"/>
  <c r="E88"/>
  <c r="E89"/>
  <c r="E90"/>
  <c r="E111" i="27"/>
  <c r="E112"/>
  <c r="E97" i="29"/>
  <c r="E98"/>
  <c r="E99"/>
  <c r="E100"/>
  <c r="E101"/>
  <c r="E125"/>
  <c r="E126"/>
  <c r="E127"/>
  <c r="E128"/>
  <c r="E73"/>
  <c r="E74"/>
  <c r="E75"/>
  <c r="E76"/>
  <c r="E77"/>
  <c r="E78"/>
  <c r="E79"/>
  <c r="E80"/>
  <c r="E81"/>
  <c r="E82"/>
  <c r="E83"/>
  <c r="E84"/>
  <c r="G53" i="28"/>
  <c r="G54"/>
  <c r="G55"/>
  <c r="E87" i="40"/>
  <c r="E88"/>
  <c r="E89"/>
  <c r="E90"/>
  <c r="E5" i="48"/>
  <c r="E6"/>
  <c r="E7"/>
  <c r="E8"/>
  <c r="E9"/>
  <c r="E10"/>
  <c r="E11"/>
  <c r="E12"/>
  <c r="E13"/>
  <c r="E14"/>
  <c r="E15"/>
  <c r="E21"/>
  <c r="E22"/>
  <c r="E23"/>
  <c r="E24"/>
  <c r="E25"/>
  <c r="E26"/>
  <c r="E27"/>
  <c r="E28"/>
  <c r="E29"/>
  <c r="E30"/>
  <c r="E41" i="22"/>
  <c r="G41" s="1"/>
  <c r="E162" i="17"/>
  <c r="E73" i="13"/>
  <c r="E161" i="12"/>
  <c r="F167"/>
  <c r="F168"/>
  <c r="F169"/>
  <c r="F170"/>
  <c r="F171"/>
  <c r="F172"/>
  <c r="F166"/>
  <c r="E163" i="11"/>
  <c r="G163" s="1"/>
  <c r="E164"/>
  <c r="G164" s="1"/>
  <c r="E161"/>
  <c r="G161" s="1"/>
  <c r="E162"/>
  <c r="G162" s="1"/>
  <c r="F172"/>
  <c r="F171"/>
  <c r="F170"/>
  <c r="F169"/>
  <c r="F168"/>
  <c r="F167"/>
  <c r="F166"/>
  <c r="F165"/>
  <c r="G162" i="10"/>
  <c r="G163"/>
  <c r="G164"/>
  <c r="E161"/>
  <c r="G161" s="1"/>
  <c r="F172"/>
  <c r="E172" i="11" s="1"/>
  <c r="F171" i="10"/>
  <c r="E171" i="11" s="1"/>
  <c r="F170" i="10"/>
  <c r="E170" i="11" s="1"/>
  <c r="F169" i="10"/>
  <c r="E169" i="11" s="1"/>
  <c r="F168" i="10"/>
  <c r="E168" i="11" s="1"/>
  <c r="F167" i="10"/>
  <c r="E167" i="11" s="1"/>
  <c r="F166" i="10"/>
  <c r="E166" i="11" s="1"/>
  <c r="F165" i="10"/>
  <c r="E165" i="11" s="1"/>
  <c r="E162" i="9"/>
  <c r="G162" s="1"/>
  <c r="E163"/>
  <c r="G163" s="1"/>
  <c r="E164"/>
  <c r="G164" s="1"/>
  <c r="E161"/>
  <c r="G161" s="1"/>
  <c r="F172"/>
  <c r="E172" i="10" s="1"/>
  <c r="F171" i="9"/>
  <c r="F170"/>
  <c r="E170" i="10" s="1"/>
  <c r="F169" i="9"/>
  <c r="E169" i="10" s="1"/>
  <c r="F168" i="9"/>
  <c r="E168" i="10" s="1"/>
  <c r="F167" i="9"/>
  <c r="E167" i="10" s="1"/>
  <c r="F166" i="9"/>
  <c r="E166" i="10" s="1"/>
  <c r="F165" i="9"/>
  <c r="E165" i="10" s="1"/>
  <c r="F172" i="8"/>
  <c r="E172" i="9" s="1"/>
  <c r="F171" i="8"/>
  <c r="E171" i="9" s="1"/>
  <c r="F170" i="8"/>
  <c r="E170" i="9" s="1"/>
  <c r="F169" i="8"/>
  <c r="E169" i="9" s="1"/>
  <c r="F168" i="8"/>
  <c r="E168" i="9" s="1"/>
  <c r="F167" i="8"/>
  <c r="E167" i="9" s="1"/>
  <c r="F166" i="8"/>
  <c r="E166" i="9" s="1"/>
  <c r="F165" i="8"/>
  <c r="G164"/>
  <c r="H122" i="33"/>
  <c r="H114"/>
  <c r="H114" i="7" s="1"/>
  <c r="H114" i="8" s="1"/>
  <c r="H114" i="9" s="1"/>
  <c r="H114" i="10" s="1"/>
  <c r="H114" i="11" s="1"/>
  <c r="H109" i="33"/>
  <c r="H109" i="7" s="1"/>
  <c r="H109" i="8" s="1"/>
  <c r="H109" i="9" s="1"/>
  <c r="H109" i="10" s="1"/>
  <c r="E50" i="7"/>
  <c r="E51"/>
  <c r="E52"/>
  <c r="E53"/>
  <c r="E54"/>
  <c r="E55"/>
  <c r="E56"/>
  <c r="E57"/>
  <c r="E58"/>
  <c r="F172"/>
  <c r="E172" i="8" s="1"/>
  <c r="F171" i="7"/>
  <c r="E171" i="8" s="1"/>
  <c r="F170" i="7"/>
  <c r="E170" i="8" s="1"/>
  <c r="F169" i="7"/>
  <c r="E169" i="8" s="1"/>
  <c r="F168" i="7"/>
  <c r="E168" i="8" s="1"/>
  <c r="F167" i="7"/>
  <c r="E167" i="8" s="1"/>
  <c r="F166" i="7"/>
  <c r="E166" i="8" s="1"/>
  <c r="G165"/>
  <c r="G164" i="7"/>
  <c r="G163"/>
  <c r="G162"/>
  <c r="G161"/>
  <c r="F172" i="33"/>
  <c r="F171"/>
  <c r="F170"/>
  <c r="F169"/>
  <c r="F168"/>
  <c r="F167"/>
  <c r="F166"/>
  <c r="F165"/>
  <c r="G164"/>
  <c r="G163"/>
  <c r="G162"/>
  <c r="G161"/>
  <c r="E3" i="48"/>
  <c r="AN35" i="1"/>
  <c r="U35"/>
  <c r="Q35"/>
  <c r="N35"/>
  <c r="B3" i="47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G165" i="9" l="1"/>
  <c r="G171" i="8"/>
  <c r="G165" i="10"/>
  <c r="G167" i="8"/>
  <c r="G165" i="11"/>
  <c r="G167"/>
  <c r="E4" i="48"/>
  <c r="G171" i="11"/>
  <c r="G169"/>
  <c r="G166" i="10"/>
  <c r="G172" i="9"/>
  <c r="G171" i="10"/>
  <c r="G170" i="9"/>
  <c r="G166"/>
  <c r="G171"/>
  <c r="G169" i="8"/>
  <c r="G168" i="9"/>
  <c r="G172" i="8"/>
  <c r="G168"/>
  <c r="G166"/>
  <c r="G168" i="10"/>
  <c r="G172"/>
  <c r="G166" i="11"/>
  <c r="G170" i="8"/>
  <c r="G167" i="10"/>
  <c r="G170"/>
  <c r="G169"/>
  <c r="G169" i="9"/>
  <c r="G170" i="11"/>
  <c r="G168"/>
  <c r="G172"/>
  <c r="G167" i="9"/>
  <c r="N18" i="43"/>
  <c r="N40"/>
  <c r="N41"/>
  <c r="N10"/>
  <c r="N11"/>
  <c r="N12"/>
  <c r="N13"/>
  <c r="N14"/>
  <c r="N16"/>
  <c r="N17"/>
  <c r="N19"/>
  <c r="N20"/>
  <c r="N21"/>
  <c r="N22"/>
  <c r="N23"/>
  <c r="N24"/>
  <c r="N25"/>
  <c r="N26"/>
  <c r="N35"/>
  <c r="N36"/>
  <c r="N37"/>
  <c r="N39"/>
  <c r="N42"/>
  <c r="N43"/>
  <c r="N44"/>
  <c r="N45"/>
  <c r="N46"/>
  <c r="N47"/>
  <c r="E74" i="27" l="1"/>
  <c r="AP43" i="44" l="1"/>
  <c r="AP39"/>
  <c r="N39" i="25"/>
  <c r="E58"/>
  <c r="N20" i="24"/>
  <c r="I19"/>
  <c r="I18"/>
  <c r="E49" i="21" l="1"/>
  <c r="E133" i="20"/>
  <c r="E135"/>
  <c r="E136"/>
  <c r="E137"/>
  <c r="E138"/>
  <c r="E139"/>
  <c r="E140"/>
  <c r="E141"/>
  <c r="E79"/>
  <c r="E80"/>
  <c r="E81"/>
  <c r="E82"/>
  <c r="E83"/>
  <c r="E73"/>
  <c r="E74"/>
  <c r="E75"/>
  <c r="E76"/>
  <c r="E77"/>
  <c r="E78"/>
  <c r="E84"/>
  <c r="E50"/>
  <c r="E51"/>
  <c r="E52"/>
  <c r="E54"/>
  <c r="E55"/>
  <c r="E56"/>
  <c r="E57"/>
  <c r="E58"/>
  <c r="E49"/>
  <c r="E134"/>
  <c r="E36" i="17"/>
  <c r="E37"/>
  <c r="E38"/>
  <c r="E39"/>
  <c r="G39" s="1"/>
  <c r="E40"/>
  <c r="E41"/>
  <c r="E42"/>
  <c r="E43"/>
  <c r="E44"/>
  <c r="E45"/>
  <c r="E46"/>
  <c r="E135" i="13"/>
  <c r="E163" i="14"/>
  <c r="G161" i="12" l="1"/>
  <c r="E24" i="8"/>
  <c r="E23"/>
  <c r="E22"/>
  <c r="E23" i="7"/>
  <c r="E24"/>
  <c r="E22"/>
  <c r="H114" i="31" l="1"/>
  <c r="H109"/>
  <c r="E132" l="1"/>
  <c r="E133"/>
  <c r="E134"/>
  <c r="E135"/>
  <c r="E136"/>
  <c r="E137"/>
  <c r="E138"/>
  <c r="E139"/>
  <c r="E140"/>
  <c r="E141"/>
  <c r="E131"/>
  <c r="E125"/>
  <c r="E126"/>
  <c r="E127"/>
  <c r="E128"/>
  <c r="E124"/>
  <c r="E116"/>
  <c r="E115"/>
  <c r="E111"/>
  <c r="E112"/>
  <c r="E110"/>
  <c r="E106"/>
  <c r="E107"/>
  <c r="E105"/>
  <c r="E97"/>
  <c r="E98"/>
  <c r="E99"/>
  <c r="E100"/>
  <c r="E101"/>
  <c r="E96"/>
  <c r="E94"/>
  <c r="E93"/>
  <c r="E87"/>
  <c r="E88"/>
  <c r="E89"/>
  <c r="E90"/>
  <c r="E86"/>
  <c r="G86" s="1"/>
  <c r="E73"/>
  <c r="E74"/>
  <c r="E75"/>
  <c r="E76"/>
  <c r="E77"/>
  <c r="E78"/>
  <c r="E79"/>
  <c r="E80"/>
  <c r="E81"/>
  <c r="E82"/>
  <c r="E83"/>
  <c r="E84"/>
  <c r="E72"/>
  <c r="E64"/>
  <c r="E65"/>
  <c r="E66"/>
  <c r="E67"/>
  <c r="E68"/>
  <c r="E69"/>
  <c r="E62"/>
  <c r="E165" s="1"/>
  <c r="E50"/>
  <c r="E51"/>
  <c r="E52"/>
  <c r="E53"/>
  <c r="E54"/>
  <c r="E55"/>
  <c r="E56"/>
  <c r="E57"/>
  <c r="E58"/>
  <c r="E49"/>
  <c r="E37"/>
  <c r="E39"/>
  <c r="E40"/>
  <c r="E41"/>
  <c r="E42"/>
  <c r="E43"/>
  <c r="E44"/>
  <c r="E45"/>
  <c r="E46"/>
  <c r="E35"/>
  <c r="E29"/>
  <c r="E23"/>
  <c r="E24"/>
  <c r="E22"/>
  <c r="E19"/>
  <c r="E18"/>
  <c r="E10"/>
  <c r="E41" i="29"/>
  <c r="E132" i="40" l="1"/>
  <c r="E133"/>
  <c r="E134"/>
  <c r="E135"/>
  <c r="E136"/>
  <c r="E137"/>
  <c r="E138"/>
  <c r="E139"/>
  <c r="E140"/>
  <c r="E141"/>
  <c r="L86" i="20"/>
  <c r="E162" i="15" l="1"/>
  <c r="E105" i="9" l="1"/>
  <c r="E86" i="8"/>
  <c r="E105" i="7"/>
  <c r="E88" i="33"/>
  <c r="E89"/>
  <c r="E90"/>
  <c r="E85"/>
  <c r="E86"/>
  <c r="E87"/>
  <c r="E172" i="31" l="1"/>
  <c r="E171"/>
  <c r="E170"/>
  <c r="E169"/>
  <c r="E168"/>
  <c r="E167"/>
  <c r="N10" l="1"/>
  <c r="N11"/>
  <c r="N12"/>
  <c r="N13"/>
  <c r="N14"/>
  <c r="N15"/>
  <c r="N16"/>
  <c r="N17"/>
  <c r="N18"/>
  <c r="N19"/>
  <c r="N20"/>
  <c r="N21"/>
  <c r="N22"/>
  <c r="N23"/>
  <c r="N24"/>
  <c r="N25"/>
  <c r="N26"/>
  <c r="N32"/>
  <c r="N33"/>
  <c r="N34"/>
  <c r="N35"/>
  <c r="N36"/>
  <c r="N37"/>
  <c r="N38"/>
  <c r="N39"/>
  <c r="N40"/>
  <c r="N48"/>
  <c r="N61"/>
  <c r="N71"/>
  <c r="N92"/>
  <c r="N103"/>
  <c r="N104"/>
  <c r="N109"/>
  <c r="N114"/>
  <c r="N122"/>
  <c r="N123"/>
  <c r="G89"/>
  <c r="AC35" i="44" s="1"/>
  <c r="G90" i="31"/>
  <c r="G18" i="30"/>
  <c r="E85" i="43"/>
  <c r="E86"/>
  <c r="E87"/>
  <c r="E88"/>
  <c r="E89"/>
  <c r="G89" s="1"/>
  <c r="E90"/>
  <c r="G90" s="1"/>
  <c r="E161" i="30"/>
  <c r="E85"/>
  <c r="E86"/>
  <c r="G88"/>
  <c r="G89"/>
  <c r="G90"/>
  <c r="AB32" i="49" l="1"/>
  <c r="E86" i="29" l="1"/>
  <c r="E85"/>
  <c r="E85" i="28"/>
  <c r="E86"/>
  <c r="G89"/>
  <c r="G90"/>
  <c r="G89" i="27" l="1"/>
  <c r="G90"/>
  <c r="E86"/>
  <c r="N89" i="40"/>
  <c r="N82"/>
  <c r="P133"/>
  <c r="E86"/>
  <c r="G89"/>
  <c r="E85" i="25" l="1"/>
  <c r="E86"/>
  <c r="E87"/>
  <c r="E88"/>
  <c r="E89"/>
  <c r="G89" s="1"/>
  <c r="E90"/>
  <c r="G90" s="1"/>
  <c r="E86" i="24" l="1"/>
  <c r="G89"/>
  <c r="G90"/>
  <c r="E40" i="23" l="1"/>
  <c r="E41"/>
  <c r="E42"/>
  <c r="E73"/>
  <c r="E74"/>
  <c r="E75"/>
  <c r="E76"/>
  <c r="E77"/>
  <c r="E78"/>
  <c r="E79"/>
  <c r="E80"/>
  <c r="E81"/>
  <c r="E82"/>
  <c r="E83"/>
  <c r="G83" s="1"/>
  <c r="E84"/>
  <c r="E87"/>
  <c r="E88"/>
  <c r="E89"/>
  <c r="G89" s="1"/>
  <c r="E90"/>
  <c r="G90" s="1"/>
  <c r="E86"/>
  <c r="L48" i="22"/>
  <c r="E87"/>
  <c r="E88"/>
  <c r="E89"/>
  <c r="G89" s="1"/>
  <c r="E90"/>
  <c r="G90" s="1"/>
  <c r="E86"/>
  <c r="E23"/>
  <c r="E24"/>
  <c r="E22"/>
  <c r="L48" i="21"/>
  <c r="E87"/>
  <c r="G87" s="1"/>
  <c r="E88"/>
  <c r="G88" s="1"/>
  <c r="E89"/>
  <c r="G89" s="1"/>
  <c r="E90"/>
  <c r="G90" s="1"/>
  <c r="E86"/>
  <c r="G86" s="1"/>
  <c r="E62" i="20"/>
  <c r="E87"/>
  <c r="E88"/>
  <c r="E89"/>
  <c r="G89" s="1"/>
  <c r="E90"/>
  <c r="G90" s="1"/>
  <c r="E86"/>
  <c r="E161" i="19"/>
  <c r="E135" i="15"/>
  <c r="E136"/>
  <c r="E72"/>
  <c r="E136" i="13" l="1"/>
  <c r="G161" i="31" l="1"/>
  <c r="G161" i="30"/>
  <c r="G162" i="15"/>
  <c r="G164" i="31"/>
  <c r="G163"/>
  <c r="G162"/>
  <c r="G164" i="43"/>
  <c r="G163"/>
  <c r="G162"/>
  <c r="E161"/>
  <c r="G161" s="1"/>
  <c r="E164" i="30"/>
  <c r="G164" s="1"/>
  <c r="E163"/>
  <c r="G163" s="1"/>
  <c r="E162"/>
  <c r="G162" s="1"/>
  <c r="E164" i="29"/>
  <c r="G164" s="1"/>
  <c r="E163"/>
  <c r="G163" s="1"/>
  <c r="E162"/>
  <c r="G162" s="1"/>
  <c r="E161"/>
  <c r="G161" s="1"/>
  <c r="E164" i="28"/>
  <c r="G164" s="1"/>
  <c r="E163"/>
  <c r="G163" s="1"/>
  <c r="E162"/>
  <c r="G162" s="1"/>
  <c r="E161"/>
  <c r="G161" s="1"/>
  <c r="E164" i="27"/>
  <c r="G164" s="1"/>
  <c r="E163"/>
  <c r="G163" s="1"/>
  <c r="E162"/>
  <c r="G162" s="1"/>
  <c r="E161"/>
  <c r="G161" s="1"/>
  <c r="E164" i="40"/>
  <c r="G164" s="1"/>
  <c r="E163"/>
  <c r="G163" s="1"/>
  <c r="E162"/>
  <c r="G162" s="1"/>
  <c r="E161"/>
  <c r="G161" s="1"/>
  <c r="E164" i="25"/>
  <c r="G164" s="1"/>
  <c r="E163"/>
  <c r="G163" s="1"/>
  <c r="E162"/>
  <c r="G162" s="1"/>
  <c r="E161"/>
  <c r="G161" s="1"/>
  <c r="E164" i="24"/>
  <c r="G164" s="1"/>
  <c r="E163"/>
  <c r="G163" s="1"/>
  <c r="E162"/>
  <c r="G162" s="1"/>
  <c r="E161"/>
  <c r="G161" s="1"/>
  <c r="E164" i="23"/>
  <c r="G164" s="1"/>
  <c r="E163"/>
  <c r="G163" s="1"/>
  <c r="E162"/>
  <c r="G162" s="1"/>
  <c r="E161"/>
  <c r="G161" s="1"/>
  <c r="E164" i="22"/>
  <c r="G164" s="1"/>
  <c r="L164" s="1"/>
  <c r="E163"/>
  <c r="G163" s="1"/>
  <c r="L163" s="1"/>
  <c r="E162"/>
  <c r="G162" s="1"/>
  <c r="L162" s="1"/>
  <c r="E161"/>
  <c r="G161" s="1"/>
  <c r="L161" s="1"/>
  <c r="E164" i="21"/>
  <c r="G164" s="1"/>
  <c r="L164" s="1"/>
  <c r="E163"/>
  <c r="G163" s="1"/>
  <c r="L163" s="1"/>
  <c r="E162"/>
  <c r="G162" s="1"/>
  <c r="L162" s="1"/>
  <c r="E161"/>
  <c r="G161" s="1"/>
  <c r="G163" i="20"/>
  <c r="G162"/>
  <c r="G161"/>
  <c r="G164" i="19"/>
  <c r="G163"/>
  <c r="G162"/>
  <c r="G161"/>
  <c r="G164" i="18"/>
  <c r="G163"/>
  <c r="G162"/>
  <c r="G161"/>
  <c r="G164" i="17"/>
  <c r="G163"/>
  <c r="G162"/>
  <c r="E161"/>
  <c r="G161" s="1"/>
  <c r="E164" i="16"/>
  <c r="G164" s="1"/>
  <c r="E163"/>
  <c r="G163" s="1"/>
  <c r="E162"/>
  <c r="G162" s="1"/>
  <c r="E161"/>
  <c r="G161" s="1"/>
  <c r="E164" i="15"/>
  <c r="G164" s="1"/>
  <c r="E163"/>
  <c r="G163" s="1"/>
  <c r="E161"/>
  <c r="G161" s="1"/>
  <c r="E164" i="14"/>
  <c r="G164" s="1"/>
  <c r="G163"/>
  <c r="E162"/>
  <c r="G162" s="1"/>
  <c r="E161"/>
  <c r="G161" s="1"/>
  <c r="E164" i="13"/>
  <c r="G164" s="1"/>
  <c r="E163"/>
  <c r="G163" s="1"/>
  <c r="E162"/>
  <c r="G162" s="1"/>
  <c r="E161"/>
  <c r="G161" s="1"/>
  <c r="E138"/>
  <c r="F172" i="31"/>
  <c r="F171"/>
  <c r="F170"/>
  <c r="F169"/>
  <c r="F168"/>
  <c r="F167"/>
  <c r="G166"/>
  <c r="F165"/>
  <c r="G165" s="1"/>
  <c r="F172" i="43"/>
  <c r="F171"/>
  <c r="F170"/>
  <c r="F169"/>
  <c r="F168"/>
  <c r="F165"/>
  <c r="F172" i="30"/>
  <c r="F171"/>
  <c r="F170"/>
  <c r="F169"/>
  <c r="F168"/>
  <c r="F167"/>
  <c r="F166"/>
  <c r="F165"/>
  <c r="F172" i="29"/>
  <c r="F171"/>
  <c r="F170"/>
  <c r="F169"/>
  <c r="F168"/>
  <c r="F167"/>
  <c r="F166"/>
  <c r="F165"/>
  <c r="F172" i="28"/>
  <c r="F171"/>
  <c r="F170"/>
  <c r="F169"/>
  <c r="F168"/>
  <c r="F167"/>
  <c r="F166"/>
  <c r="F165"/>
  <c r="F172" i="27"/>
  <c r="F171"/>
  <c r="F170"/>
  <c r="F169"/>
  <c r="F168"/>
  <c r="F167"/>
  <c r="F166"/>
  <c r="F165"/>
  <c r="F167" i="40"/>
  <c r="F166"/>
  <c r="F165"/>
  <c r="F172" i="25"/>
  <c r="F171"/>
  <c r="F170"/>
  <c r="F169"/>
  <c r="F168"/>
  <c r="F167"/>
  <c r="F166"/>
  <c r="F165"/>
  <c r="F172" i="24"/>
  <c r="F171"/>
  <c r="F170"/>
  <c r="F169"/>
  <c r="F168"/>
  <c r="F167"/>
  <c r="F166"/>
  <c r="F165"/>
  <c r="F172" i="23"/>
  <c r="F171"/>
  <c r="F170"/>
  <c r="F169"/>
  <c r="F168"/>
  <c r="F167"/>
  <c r="F166"/>
  <c r="F172" i="22"/>
  <c r="F171"/>
  <c r="F170"/>
  <c r="F169"/>
  <c r="F168"/>
  <c r="F167"/>
  <c r="F166"/>
  <c r="F165"/>
  <c r="F172" i="21"/>
  <c r="F171"/>
  <c r="F170"/>
  <c r="F169"/>
  <c r="F168"/>
  <c r="F167"/>
  <c r="F166"/>
  <c r="F165"/>
  <c r="G165" i="20"/>
  <c r="G164"/>
  <c r="F172" i="18"/>
  <c r="E172" i="19" s="1"/>
  <c r="F171" i="18"/>
  <c r="F170"/>
  <c r="E170" i="19" s="1"/>
  <c r="F169" i="18"/>
  <c r="E169" i="19" s="1"/>
  <c r="F167" i="18"/>
  <c r="E167" i="19" s="1"/>
  <c r="F166" i="18"/>
  <c r="E166" i="19" s="1"/>
  <c r="F165" i="18"/>
  <c r="F172" i="17"/>
  <c r="F171"/>
  <c r="F170"/>
  <c r="F169"/>
  <c r="F168"/>
  <c r="F167"/>
  <c r="F166"/>
  <c r="F165"/>
  <c r="F172" i="16"/>
  <c r="E172" i="17" s="1"/>
  <c r="F171" i="16"/>
  <c r="E171" i="17" s="1"/>
  <c r="F170" i="16"/>
  <c r="E170" i="17" s="1"/>
  <c r="F169" i="16"/>
  <c r="E169" i="17" s="1"/>
  <c r="F168" i="16"/>
  <c r="E168" i="17" s="1"/>
  <c r="F167" i="16"/>
  <c r="E167" i="17" s="1"/>
  <c r="F165" i="16"/>
  <c r="E165" i="17" s="1"/>
  <c r="F172" i="15"/>
  <c r="F171"/>
  <c r="F170"/>
  <c r="F169"/>
  <c r="F168"/>
  <c r="F167"/>
  <c r="F166"/>
  <c r="F165"/>
  <c r="F172" i="14"/>
  <c r="F171"/>
  <c r="F170"/>
  <c r="F169"/>
  <c r="F168"/>
  <c r="F167"/>
  <c r="F166"/>
  <c r="F165"/>
  <c r="F172" i="13"/>
  <c r="F171"/>
  <c r="F170"/>
  <c r="F169"/>
  <c r="F168"/>
  <c r="F167"/>
  <c r="F166"/>
  <c r="F165"/>
  <c r="F165" i="12"/>
  <c r="L161" i="21" l="1"/>
  <c r="AD5" i="44"/>
  <c r="G18" i="7"/>
  <c r="E31" s="1"/>
  <c r="E87"/>
  <c r="E88"/>
  <c r="E89"/>
  <c r="G89" s="1"/>
  <c r="E90"/>
  <c r="G90" s="1"/>
  <c r="E86"/>
  <c r="G89" i="19"/>
  <c r="G90"/>
  <c r="E86"/>
  <c r="E88" i="18"/>
  <c r="E89"/>
  <c r="G89" s="1"/>
  <c r="E90"/>
  <c r="G90" s="1"/>
  <c r="E86"/>
  <c r="G86" s="1"/>
  <c r="G89" i="17"/>
  <c r="G90"/>
  <c r="E86"/>
  <c r="E87" i="16"/>
  <c r="E88"/>
  <c r="E89"/>
  <c r="G89" s="1"/>
  <c r="E90"/>
  <c r="G90" s="1"/>
  <c r="E86"/>
  <c r="E87" i="15"/>
  <c r="E88"/>
  <c r="E89"/>
  <c r="G89" s="1"/>
  <c r="E90"/>
  <c r="G90" s="1"/>
  <c r="E86"/>
  <c r="E87" i="14"/>
  <c r="E88"/>
  <c r="E89"/>
  <c r="G89" s="1"/>
  <c r="E90"/>
  <c r="G90" s="1"/>
  <c r="E86"/>
  <c r="E87" i="13"/>
  <c r="E88"/>
  <c r="E89"/>
  <c r="G89" s="1"/>
  <c r="E90"/>
  <c r="G90" s="1"/>
  <c r="E86"/>
  <c r="G89" i="12"/>
  <c r="G90"/>
  <c r="E86"/>
  <c r="G86" s="1"/>
  <c r="E87" i="11"/>
  <c r="E88"/>
  <c r="E89"/>
  <c r="G89" s="1"/>
  <c r="E90"/>
  <c r="G90" s="1"/>
  <c r="E86"/>
  <c r="G89" i="10"/>
  <c r="G90"/>
  <c r="E86"/>
  <c r="E87" i="9"/>
  <c r="E88"/>
  <c r="E89"/>
  <c r="G89" s="1"/>
  <c r="E90"/>
  <c r="G90" s="1"/>
  <c r="E86"/>
  <c r="G90" i="40"/>
  <c r="G90" i="8"/>
  <c r="G89"/>
  <c r="G90" i="33"/>
  <c r="G89"/>
  <c r="AC2" i="49" l="1"/>
  <c r="AD12" i="44"/>
  <c r="AC9" i="49" s="1"/>
  <c r="AD10" i="44"/>
  <c r="AC7" i="49" s="1"/>
  <c r="AD11" i="44"/>
  <c r="AC8" i="49" s="1"/>
  <c r="AD9" i="44"/>
  <c r="AC6" i="49" s="1"/>
  <c r="G89" i="29" l="1"/>
  <c r="G90"/>
  <c r="H90" s="1"/>
  <c r="J90" s="1"/>
  <c r="H90" i="9"/>
  <c r="H89"/>
  <c r="H90" i="12"/>
  <c r="J90" s="1"/>
  <c r="H89"/>
  <c r="J89" s="1"/>
  <c r="H90" i="13"/>
  <c r="J90" s="1"/>
  <c r="H89"/>
  <c r="J89" s="1"/>
  <c r="H90" i="14"/>
  <c r="J90" s="1"/>
  <c r="H89"/>
  <c r="J89" s="1"/>
  <c r="H90" i="15"/>
  <c r="J90" s="1"/>
  <c r="H89"/>
  <c r="J89" s="1"/>
  <c r="H90" i="16"/>
  <c r="J90" s="1"/>
  <c r="H89"/>
  <c r="J89" s="1"/>
  <c r="H90" i="17"/>
  <c r="J90" s="1"/>
  <c r="H89"/>
  <c r="J89" s="1"/>
  <c r="H90" i="18"/>
  <c r="J90" s="1"/>
  <c r="H89"/>
  <c r="J89" s="1"/>
  <c r="H90" i="19"/>
  <c r="J90" s="1"/>
  <c r="H89"/>
  <c r="H90" i="20"/>
  <c r="H90" i="25"/>
  <c r="J90" s="1"/>
  <c r="H89"/>
  <c r="J89" s="1"/>
  <c r="H90" i="40"/>
  <c r="J90" s="1"/>
  <c r="H89"/>
  <c r="J89" s="1"/>
  <c r="H90" i="27"/>
  <c r="J90" s="1"/>
  <c r="H89"/>
  <c r="J89" s="1"/>
  <c r="H90" i="28"/>
  <c r="J90" s="1"/>
  <c r="H89"/>
  <c r="J89" s="1"/>
  <c r="H90" i="30"/>
  <c r="H89"/>
  <c r="J90" l="1"/>
  <c r="H90" i="43"/>
  <c r="H90" i="31" s="1"/>
  <c r="N90" s="1"/>
  <c r="J89" i="30"/>
  <c r="H89" i="43"/>
  <c r="J89" s="1"/>
  <c r="J89" i="19"/>
  <c r="H89" i="20"/>
  <c r="J90"/>
  <c r="H90" i="21"/>
  <c r="J89" i="9"/>
  <c r="H89" i="10"/>
  <c r="J90" i="9"/>
  <c r="H90" i="10"/>
  <c r="H90" i="11" s="1"/>
  <c r="J90" s="1"/>
  <c r="AD8" i="44"/>
  <c r="AC5" i="49" s="1"/>
  <c r="AD6" i="44"/>
  <c r="AD7"/>
  <c r="AC4" i="49" s="1"/>
  <c r="H89" i="29"/>
  <c r="J89" s="1"/>
  <c r="H89" i="31" l="1"/>
  <c r="J89" s="1"/>
  <c r="AC3" i="49"/>
  <c r="J90" i="43"/>
  <c r="H89" i="21"/>
  <c r="J89" i="20"/>
  <c r="H90" i="22"/>
  <c r="J90" i="21"/>
  <c r="AD13" i="44"/>
  <c r="AC10" i="49" s="1"/>
  <c r="J90" i="10"/>
  <c r="H89" i="11"/>
  <c r="J89" s="1"/>
  <c r="J89" i="10"/>
  <c r="J90" i="31"/>
  <c r="E100" i="43"/>
  <c r="E101"/>
  <c r="O59" i="30"/>
  <c r="N88"/>
  <c r="E100"/>
  <c r="E99"/>
  <c r="E101"/>
  <c r="N89" i="31" l="1"/>
  <c r="H90" i="23"/>
  <c r="J90" i="22"/>
  <c r="J89" i="21"/>
  <c r="H89" i="22"/>
  <c r="E134" i="29"/>
  <c r="E135"/>
  <c r="E136"/>
  <c r="E137"/>
  <c r="E138"/>
  <c r="E139"/>
  <c r="E140"/>
  <c r="E141"/>
  <c r="E106"/>
  <c r="E107"/>
  <c r="E108"/>
  <c r="E109"/>
  <c r="E110"/>
  <c r="E111"/>
  <c r="E112"/>
  <c r="E113"/>
  <c r="E114"/>
  <c r="E115"/>
  <c r="E116"/>
  <c r="E63"/>
  <c r="E166" s="1"/>
  <c r="G166" s="1"/>
  <c r="E64"/>
  <c r="E167" s="1"/>
  <c r="G167" s="1"/>
  <c r="E65"/>
  <c r="E168" s="1"/>
  <c r="G168" s="1"/>
  <c r="E66"/>
  <c r="E169" s="1"/>
  <c r="G169" s="1"/>
  <c r="E67"/>
  <c r="E170" s="1"/>
  <c r="G170" s="1"/>
  <c r="E68"/>
  <c r="E171" s="1"/>
  <c r="G171" s="1"/>
  <c r="E69"/>
  <c r="E172" s="1"/>
  <c r="G172" s="1"/>
  <c r="E50"/>
  <c r="E36"/>
  <c r="E37"/>
  <c r="E38"/>
  <c r="E39"/>
  <c r="G39" s="1"/>
  <c r="E40"/>
  <c r="E42"/>
  <c r="E43"/>
  <c r="E44"/>
  <c r="E45"/>
  <c r="E46"/>
  <c r="E18"/>
  <c r="E10"/>
  <c r="E108" i="28"/>
  <c r="E109"/>
  <c r="E110"/>
  <c r="E113"/>
  <c r="E114"/>
  <c r="E115"/>
  <c r="E116"/>
  <c r="E112" i="25"/>
  <c r="G88" i="31"/>
  <c r="G88" i="43"/>
  <c r="G86"/>
  <c r="AC33" i="44"/>
  <c r="AB30" i="49" s="1"/>
  <c r="G87" i="29"/>
  <c r="G88"/>
  <c r="G86"/>
  <c r="G87" i="28"/>
  <c r="G88"/>
  <c r="G86"/>
  <c r="AA31" i="44" s="1"/>
  <c r="Z28" i="49" s="1"/>
  <c r="G88" i="27"/>
  <c r="G86"/>
  <c r="G87" i="40"/>
  <c r="G86"/>
  <c r="N86" s="1"/>
  <c r="G88" i="25"/>
  <c r="AC28" i="44" s="1"/>
  <c r="AB25" i="49" s="1"/>
  <c r="G86" i="25"/>
  <c r="AA28" i="44" s="1"/>
  <c r="Z25" i="49" s="1"/>
  <c r="G87" i="24"/>
  <c r="G88"/>
  <c r="G86"/>
  <c r="G86" i="23"/>
  <c r="G86" i="22"/>
  <c r="G88" i="20"/>
  <c r="G86"/>
  <c r="G88" i="19"/>
  <c r="G86"/>
  <c r="G88" i="17"/>
  <c r="G87" i="16"/>
  <c r="G86"/>
  <c r="G86" i="15"/>
  <c r="G86" i="14"/>
  <c r="G88" i="13"/>
  <c r="G86"/>
  <c r="G88" i="11"/>
  <c r="G86"/>
  <c r="G87" i="9"/>
  <c r="G86"/>
  <c r="G88" i="8"/>
  <c r="G86"/>
  <c r="G87" i="7"/>
  <c r="G86"/>
  <c r="G87" i="33"/>
  <c r="G88"/>
  <c r="G86"/>
  <c r="N86" s="1"/>
  <c r="G88" i="10"/>
  <c r="G87" i="8"/>
  <c r="G87" i="12"/>
  <c r="G87" i="20"/>
  <c r="G87" i="31"/>
  <c r="AA35" i="44" s="1"/>
  <c r="G88" i="7"/>
  <c r="AC10" i="44" s="1"/>
  <c r="AB7" i="49" s="1"/>
  <c r="G88" i="23"/>
  <c r="G87" i="11"/>
  <c r="G87" i="15"/>
  <c r="G87" i="19"/>
  <c r="G87" i="23"/>
  <c r="G87" i="43"/>
  <c r="G87" i="27"/>
  <c r="G88" i="15"/>
  <c r="G87" i="25"/>
  <c r="G88" i="12"/>
  <c r="G88" i="16"/>
  <c r="G88" i="9"/>
  <c r="AC12" i="44" s="1"/>
  <c r="AB9" i="49" s="1"/>
  <c r="G87" i="10"/>
  <c r="G86"/>
  <c r="G87" i="13"/>
  <c r="G88" i="14"/>
  <c r="G87"/>
  <c r="G87" i="17"/>
  <c r="G86"/>
  <c r="G88" i="18"/>
  <c r="G87"/>
  <c r="G88" i="22"/>
  <c r="G87"/>
  <c r="G88" i="40"/>
  <c r="G87" i="30"/>
  <c r="G86"/>
  <c r="AA33" i="44" s="1"/>
  <c r="Z30" i="49" s="1"/>
  <c r="AC27" i="44" l="1"/>
  <c r="AB24" i="49" s="1"/>
  <c r="AA27" i="44"/>
  <c r="Z24" i="49" s="1"/>
  <c r="J90" i="23"/>
  <c r="H90" i="24"/>
  <c r="J90" s="1"/>
  <c r="AC11" i="44"/>
  <c r="AB8" i="49" s="1"/>
  <c r="AB35" i="44"/>
  <c r="AA32" i="49" s="1"/>
  <c r="AD35" i="44"/>
  <c r="AC32" i="49" s="1"/>
  <c r="H89" i="23"/>
  <c r="J89" i="22"/>
  <c r="AC13" i="44"/>
  <c r="AB10" i="49" s="1"/>
  <c r="H89" i="33"/>
  <c r="AC8" i="44"/>
  <c r="AB5" i="49" s="1"/>
  <c r="H90" i="33"/>
  <c r="AB27" i="44"/>
  <c r="AA24" i="49" s="1"/>
  <c r="AD27" i="44"/>
  <c r="AC24" i="49" s="1"/>
  <c r="AD28" i="44"/>
  <c r="AC25" i="49" s="1"/>
  <c r="AB28" i="44"/>
  <c r="AA25" i="49" s="1"/>
  <c r="AA14" i="44"/>
  <c r="Z11" i="49" s="1"/>
  <c r="AA13" i="44"/>
  <c r="Z10" i="49" s="1"/>
  <c r="H86" i="9"/>
  <c r="J86" s="1"/>
  <c r="AA12" i="44"/>
  <c r="Z9" i="49" s="1"/>
  <c r="AA11" i="44"/>
  <c r="Z8" i="49" s="1"/>
  <c r="AA10" i="44"/>
  <c r="Z7" i="49" s="1"/>
  <c r="AB9" i="44"/>
  <c r="AA6" i="49" s="1"/>
  <c r="AC9" i="44"/>
  <c r="AB6" i="49" s="1"/>
  <c r="AA9" i="44"/>
  <c r="Z6" i="49" s="1"/>
  <c r="AB8" i="44"/>
  <c r="AA5" i="49" s="1"/>
  <c r="AA8" i="44"/>
  <c r="Z5" i="49" s="1"/>
  <c r="AA7" i="44"/>
  <c r="Z4" i="49" s="1"/>
  <c r="AC7" i="44"/>
  <c r="AB4" i="49" s="1"/>
  <c r="AC6" i="44"/>
  <c r="AB3" i="49" s="1"/>
  <c r="AB6" i="44"/>
  <c r="AA3" i="49" s="1"/>
  <c r="AB5" i="44"/>
  <c r="AB7"/>
  <c r="AA4" i="49" s="1"/>
  <c r="AA6" i="44"/>
  <c r="Z3" i="49" s="1"/>
  <c r="AA5" i="44"/>
  <c r="AC5"/>
  <c r="AA34"/>
  <c r="Z31" i="49" s="1"/>
  <c r="H86" i="29"/>
  <c r="J86" s="1"/>
  <c r="AA32" i="44"/>
  <c r="Z29" i="49" s="1"/>
  <c r="H86" i="27"/>
  <c r="J86" s="1"/>
  <c r="AA30" i="44"/>
  <c r="Z27" i="49" s="1"/>
  <c r="H86" i="40"/>
  <c r="J86" s="1"/>
  <c r="AA29" i="44"/>
  <c r="Z26" i="49" s="1"/>
  <c r="H86" i="25"/>
  <c r="J86" s="1"/>
  <c r="AA26" i="44"/>
  <c r="Z23" i="49" s="1"/>
  <c r="AA25" i="44"/>
  <c r="Z22" i="49" s="1"/>
  <c r="AA24" i="44"/>
  <c r="Z21" i="49" s="1"/>
  <c r="AA23" i="44"/>
  <c r="Z20" i="49" s="1"/>
  <c r="H86" i="19"/>
  <c r="J86" s="1"/>
  <c r="AA22" i="44"/>
  <c r="Z19" i="49" s="1"/>
  <c r="H86" i="18"/>
  <c r="J86" s="1"/>
  <c r="AA21" i="44"/>
  <c r="Z18" i="49" s="1"/>
  <c r="H86" i="17"/>
  <c r="J86" s="1"/>
  <c r="AA20" i="44"/>
  <c r="Z17" i="49" s="1"/>
  <c r="H86" i="16"/>
  <c r="J86" s="1"/>
  <c r="AA19" i="44"/>
  <c r="Z16" i="49" s="1"/>
  <c r="H86" i="15"/>
  <c r="J86" s="1"/>
  <c r="AA18" i="44"/>
  <c r="Z15" i="49" s="1"/>
  <c r="H86" i="14"/>
  <c r="J86" s="1"/>
  <c r="AA17" i="44"/>
  <c r="Z14" i="49" s="1"/>
  <c r="H86" i="13"/>
  <c r="J86" s="1"/>
  <c r="AA16" i="44"/>
  <c r="Z13" i="49" s="1"/>
  <c r="H86" i="12"/>
  <c r="J86" s="1"/>
  <c r="AA15" i="44"/>
  <c r="Z12" i="49" s="1"/>
  <c r="AB10" i="44"/>
  <c r="AA7" i="49" s="1"/>
  <c r="AC25" i="44"/>
  <c r="AB22" i="49" s="1"/>
  <c r="H87" i="13"/>
  <c r="J87" s="1"/>
  <c r="AB16" i="44"/>
  <c r="AA13" i="49" s="1"/>
  <c r="AD16" i="44"/>
  <c r="AC13" i="49" s="1"/>
  <c r="AD26" i="44"/>
  <c r="AC23" i="49" s="1"/>
  <c r="AB26" i="44"/>
  <c r="AA23" i="49" s="1"/>
  <c r="H87" i="12"/>
  <c r="J87" s="1"/>
  <c r="AD15" i="44"/>
  <c r="AC12" i="49" s="1"/>
  <c r="AB15" i="44"/>
  <c r="AA12" i="49" s="1"/>
  <c r="AD25" i="44"/>
  <c r="AC22" i="49" s="1"/>
  <c r="AB25" i="44"/>
  <c r="AA22" i="49" s="1"/>
  <c r="H88" i="18"/>
  <c r="J88" s="1"/>
  <c r="AC21" i="44"/>
  <c r="AB18" i="49" s="1"/>
  <c r="H88" i="14"/>
  <c r="J88" s="1"/>
  <c r="AC17" i="44"/>
  <c r="AB14" i="49" s="1"/>
  <c r="H88" i="9"/>
  <c r="J88" s="1"/>
  <c r="H87" i="25"/>
  <c r="J87" s="1"/>
  <c r="AD34" i="44"/>
  <c r="AC31" i="49" s="1"/>
  <c r="AB34" i="44"/>
  <c r="AA31" i="49" s="1"/>
  <c r="AD14" i="44"/>
  <c r="AB14"/>
  <c r="AA11" i="49" s="1"/>
  <c r="AD23" i="44"/>
  <c r="AC20" i="49" s="1"/>
  <c r="AB23" i="44"/>
  <c r="AA20" i="49" s="1"/>
  <c r="AC14" i="44"/>
  <c r="AB11" i="49" s="1"/>
  <c r="H88" i="17"/>
  <c r="J88" s="1"/>
  <c r="AC20" i="44"/>
  <c r="AB17" i="49" s="1"/>
  <c r="H87" i="40"/>
  <c r="J87" s="1"/>
  <c r="AD29" i="44"/>
  <c r="AC26" i="49" s="1"/>
  <c r="AB29" i="44"/>
  <c r="AA26" i="49" s="1"/>
  <c r="H88" i="28"/>
  <c r="J88" s="1"/>
  <c r="AC31" i="44"/>
  <c r="AB28" i="49" s="1"/>
  <c r="H87" i="29"/>
  <c r="J87" s="1"/>
  <c r="AB32" i="44"/>
  <c r="AA29" i="49" s="1"/>
  <c r="AD32" i="44"/>
  <c r="AC29" i="49" s="1"/>
  <c r="Z32"/>
  <c r="H87" i="18"/>
  <c r="J87" s="1"/>
  <c r="AD21" i="44"/>
  <c r="AC18" i="49" s="1"/>
  <c r="AB21" i="44"/>
  <c r="AA18" i="49" s="1"/>
  <c r="H88" i="12"/>
  <c r="J88" s="1"/>
  <c r="AC15" i="44"/>
  <c r="AB12" i="49" s="1"/>
  <c r="H88" i="13"/>
  <c r="J88" s="1"/>
  <c r="AC16" i="44"/>
  <c r="AB13" i="49" s="1"/>
  <c r="H87" i="16"/>
  <c r="J87" s="1"/>
  <c r="AD19" i="44"/>
  <c r="AC16" i="49" s="1"/>
  <c r="AB19" i="44"/>
  <c r="AA16" i="49" s="1"/>
  <c r="H88" i="19"/>
  <c r="J88" s="1"/>
  <c r="AC22" i="44"/>
  <c r="AB19" i="49" s="1"/>
  <c r="AC24" i="44"/>
  <c r="AB21" i="49" s="1"/>
  <c r="H88" i="29"/>
  <c r="J88" s="1"/>
  <c r="AC32" i="44"/>
  <c r="AB29" i="49" s="1"/>
  <c r="AC34" i="44"/>
  <c r="AB31" i="49" s="1"/>
  <c r="H88" i="40"/>
  <c r="J88" s="1"/>
  <c r="AC29" i="44"/>
  <c r="AB26" i="49" s="1"/>
  <c r="H87" i="14"/>
  <c r="J87" s="1"/>
  <c r="AD17" i="44"/>
  <c r="AC14" i="49" s="1"/>
  <c r="AB17" i="44"/>
  <c r="AA14" i="49" s="1"/>
  <c r="AB13" i="44"/>
  <c r="AA10" i="49" s="1"/>
  <c r="H87" i="27"/>
  <c r="J87" s="1"/>
  <c r="AD30" i="44"/>
  <c r="AC27" i="49" s="1"/>
  <c r="AB30" i="44"/>
  <c r="AA27" i="49" s="1"/>
  <c r="H87" i="15"/>
  <c r="J87" s="1"/>
  <c r="AD18" i="44"/>
  <c r="AC15" i="49" s="1"/>
  <c r="AB18" i="44"/>
  <c r="AA15" i="49" s="1"/>
  <c r="AD33" i="44"/>
  <c r="AC30" i="49" s="1"/>
  <c r="AB33" i="44"/>
  <c r="AA30" i="49" s="1"/>
  <c r="AB24" i="44"/>
  <c r="AA21" i="49" s="1"/>
  <c r="AD24" i="44"/>
  <c r="AC21" i="49" s="1"/>
  <c r="H87" i="17"/>
  <c r="J87" s="1"/>
  <c r="AB20" i="44"/>
  <c r="AA17" i="49" s="1"/>
  <c r="AD20" i="44"/>
  <c r="AC17" i="49" s="1"/>
  <c r="H88" i="16"/>
  <c r="J88" s="1"/>
  <c r="AC19" i="44"/>
  <c r="AB16" i="49" s="1"/>
  <c r="H88" i="15"/>
  <c r="J88" s="1"/>
  <c r="AC18" i="44"/>
  <c r="AB15" i="49" s="1"/>
  <c r="H87" i="19"/>
  <c r="J87" s="1"/>
  <c r="AD22" i="44"/>
  <c r="AC19" i="49" s="1"/>
  <c r="AB22" i="44"/>
  <c r="AA19" i="49" s="1"/>
  <c r="AB11" i="44"/>
  <c r="AA8" i="49" s="1"/>
  <c r="H87" i="9"/>
  <c r="J87" s="1"/>
  <c r="AB12" i="44"/>
  <c r="AA9" i="49" s="1"/>
  <c r="H88" i="25"/>
  <c r="J88" s="1"/>
  <c r="H88" i="27"/>
  <c r="J88" s="1"/>
  <c r="AC30" i="44"/>
  <c r="AB27" i="49" s="1"/>
  <c r="AC26" i="44"/>
  <c r="AB23" i="49" s="1"/>
  <c r="AC23" i="44"/>
  <c r="AB20" i="49" s="1"/>
  <c r="H87" i="28"/>
  <c r="J87" s="1"/>
  <c r="AD31" i="44"/>
  <c r="AC28" i="49" s="1"/>
  <c r="AB31" i="44"/>
  <c r="AA28" i="49" s="1"/>
  <c r="H87" i="30"/>
  <c r="J87" s="1"/>
  <c r="H88"/>
  <c r="J88" s="1"/>
  <c r="H86"/>
  <c r="H86" i="28"/>
  <c r="J86" s="1"/>
  <c r="E40" i="22"/>
  <c r="J89" i="23" l="1"/>
  <c r="H89" i="24"/>
  <c r="J89" s="1"/>
  <c r="H88" i="43"/>
  <c r="J88" s="1"/>
  <c r="Z2" i="49"/>
  <c r="AA36" i="44"/>
  <c r="AB2" i="49"/>
  <c r="AC36" i="44"/>
  <c r="AC11" i="49"/>
  <c r="AD36" i="44"/>
  <c r="AA2" i="49"/>
  <c r="AB36" i="44"/>
  <c r="H87" i="43"/>
  <c r="J87" s="1"/>
  <c r="J86" i="30"/>
  <c r="H86" i="43"/>
  <c r="J86" s="1"/>
  <c r="H88" i="20"/>
  <c r="H86"/>
  <c r="H87"/>
  <c r="H90" i="7"/>
  <c r="J90" i="33"/>
  <c r="H86" i="10"/>
  <c r="H87"/>
  <c r="H88"/>
  <c r="H89" i="7"/>
  <c r="J89" i="33"/>
  <c r="E41" i="18"/>
  <c r="E117" i="16"/>
  <c r="J89" i="7" l="1"/>
  <c r="H89" i="8"/>
  <c r="J89" s="1"/>
  <c r="J90" i="7"/>
  <c r="H90" i="8"/>
  <c r="J90" s="1"/>
  <c r="H88" i="31"/>
  <c r="N88" s="1"/>
  <c r="H87"/>
  <c r="N87" s="1"/>
  <c r="H86"/>
  <c r="N86" s="1"/>
  <c r="H86" i="21"/>
  <c r="J86" i="20"/>
  <c r="H87" i="21"/>
  <c r="J87" i="20"/>
  <c r="H88" i="21"/>
  <c r="J88" i="20"/>
  <c r="H86" i="11"/>
  <c r="J86" s="1"/>
  <c r="J86" i="10"/>
  <c r="H87" i="11"/>
  <c r="J87" s="1"/>
  <c r="J87" i="10"/>
  <c r="H88" i="11"/>
  <c r="J88" s="1"/>
  <c r="J88" i="10"/>
  <c r="E97" i="14"/>
  <c r="E98"/>
  <c r="E99"/>
  <c r="E100"/>
  <c r="E101"/>
  <c r="E10"/>
  <c r="E134" i="13"/>
  <c r="E137"/>
  <c r="E139"/>
  <c r="E140"/>
  <c r="E141"/>
  <c r="J88" i="31" l="1"/>
  <c r="J87"/>
  <c r="J86"/>
  <c r="J87" i="21"/>
  <c r="H87" i="22"/>
  <c r="J88" i="21"/>
  <c r="H88" i="22"/>
  <c r="H86"/>
  <c r="J86" i="21"/>
  <c r="H87" i="33"/>
  <c r="H88"/>
  <c r="E116" i="13"/>
  <c r="E106"/>
  <c r="E107"/>
  <c r="E110"/>
  <c r="E111"/>
  <c r="E112"/>
  <c r="E115"/>
  <c r="E94"/>
  <c r="E95"/>
  <c r="E96"/>
  <c r="E97"/>
  <c r="E98"/>
  <c r="E99"/>
  <c r="E100"/>
  <c r="E101"/>
  <c r="E38"/>
  <c r="E37"/>
  <c r="E8"/>
  <c r="E8" i="14" s="1"/>
  <c r="E10" i="13"/>
  <c r="E95" i="12"/>
  <c r="E96"/>
  <c r="E116"/>
  <c r="E115"/>
  <c r="E112"/>
  <c r="E111"/>
  <c r="E110"/>
  <c r="E107"/>
  <c r="E106"/>
  <c r="E49"/>
  <c r="E106" i="11"/>
  <c r="E107"/>
  <c r="E110"/>
  <c r="E111"/>
  <c r="E112"/>
  <c r="E115"/>
  <c r="E116"/>
  <c r="E101"/>
  <c r="E94"/>
  <c r="E96"/>
  <c r="E97"/>
  <c r="E98"/>
  <c r="E99"/>
  <c r="E100"/>
  <c r="G94" i="10"/>
  <c r="L8" i="45" s="1"/>
  <c r="AN10" i="49" s="1"/>
  <c r="E95" i="10"/>
  <c r="E96"/>
  <c r="G96" s="1"/>
  <c r="G97"/>
  <c r="G98"/>
  <c r="G99"/>
  <c r="G100"/>
  <c r="G101"/>
  <c r="G73"/>
  <c r="G74"/>
  <c r="G75"/>
  <c r="G77"/>
  <c r="G78"/>
  <c r="G79"/>
  <c r="G80"/>
  <c r="G81"/>
  <c r="G82"/>
  <c r="G83"/>
  <c r="E84"/>
  <c r="G84" s="1"/>
  <c r="G63"/>
  <c r="AF13" i="44" s="1"/>
  <c r="AE10" i="49" s="1"/>
  <c r="G64" i="10"/>
  <c r="G65"/>
  <c r="G66"/>
  <c r="G67"/>
  <c r="G68"/>
  <c r="G69"/>
  <c r="G51"/>
  <c r="G52"/>
  <c r="G53"/>
  <c r="G54"/>
  <c r="G55"/>
  <c r="G56"/>
  <c r="G57"/>
  <c r="G58"/>
  <c r="Y13" i="44" s="1"/>
  <c r="X10" i="49" s="1"/>
  <c r="G36" i="10"/>
  <c r="G37"/>
  <c r="G38"/>
  <c r="G39"/>
  <c r="G40"/>
  <c r="G41"/>
  <c r="G42"/>
  <c r="G43"/>
  <c r="G44"/>
  <c r="G45"/>
  <c r="G46"/>
  <c r="E23"/>
  <c r="E22"/>
  <c r="G22" s="1"/>
  <c r="G10"/>
  <c r="G11"/>
  <c r="G12"/>
  <c r="E105"/>
  <c r="G105" s="1"/>
  <c r="G106"/>
  <c r="G107"/>
  <c r="E109"/>
  <c r="E110"/>
  <c r="G110" s="1"/>
  <c r="E111"/>
  <c r="G111" s="1"/>
  <c r="E112"/>
  <c r="G112" s="1"/>
  <c r="E115"/>
  <c r="G115" s="1"/>
  <c r="E116"/>
  <c r="G116" s="1"/>
  <c r="G9"/>
  <c r="I7"/>
  <c r="E18"/>
  <c r="G18"/>
  <c r="G19"/>
  <c r="E29"/>
  <c r="G29" s="1"/>
  <c r="E35"/>
  <c r="G35" s="1"/>
  <c r="E49"/>
  <c r="G49" s="1"/>
  <c r="G50"/>
  <c r="E62"/>
  <c r="G62" s="1"/>
  <c r="AE13" i="44" s="1"/>
  <c r="AD10" i="49" s="1"/>
  <c r="E72" i="10"/>
  <c r="G72" s="1"/>
  <c r="E93"/>
  <c r="G93" s="1"/>
  <c r="J114"/>
  <c r="G117"/>
  <c r="E124"/>
  <c r="G124" s="1"/>
  <c r="G125"/>
  <c r="G126"/>
  <c r="G127"/>
  <c r="G128"/>
  <c r="E131"/>
  <c r="G131" s="1"/>
  <c r="G132"/>
  <c r="G133"/>
  <c r="G134"/>
  <c r="G135"/>
  <c r="G136"/>
  <c r="G137"/>
  <c r="AV13" i="44" s="1"/>
  <c r="G138" i="10"/>
  <c r="G139"/>
  <c r="G140"/>
  <c r="G141"/>
  <c r="E116" i="9"/>
  <c r="E111" i="8"/>
  <c r="E112"/>
  <c r="E112" i="9"/>
  <c r="E111" i="7"/>
  <c r="G111" s="1"/>
  <c r="E112"/>
  <c r="E110"/>
  <c r="E110" i="8"/>
  <c r="E110" i="9"/>
  <c r="E111"/>
  <c r="E115"/>
  <c r="E107"/>
  <c r="E106"/>
  <c r="G106" s="1"/>
  <c r="E116" i="7"/>
  <c r="E115"/>
  <c r="E124" i="8"/>
  <c r="E116"/>
  <c r="E115"/>
  <c r="E8" i="15" l="1"/>
  <c r="E8" i="16" s="1"/>
  <c r="O8" i="14"/>
  <c r="E9" i="13"/>
  <c r="E9" i="14" s="1"/>
  <c r="AU13" i="44"/>
  <c r="I13"/>
  <c r="H10" i="49" s="1"/>
  <c r="J13" i="44"/>
  <c r="I10" i="49" s="1"/>
  <c r="L13" i="44"/>
  <c r="K10" i="49" s="1"/>
  <c r="F13" i="44"/>
  <c r="E10" i="49" s="1"/>
  <c r="K13" i="44"/>
  <c r="J10" i="49" s="1"/>
  <c r="M13" i="44"/>
  <c r="L10" i="49" s="1"/>
  <c r="G13" i="44"/>
  <c r="F10" i="49" s="1"/>
  <c r="H13" i="44"/>
  <c r="G10" i="49" s="1"/>
  <c r="H86" i="33"/>
  <c r="J87" i="22"/>
  <c r="H87" i="23"/>
  <c r="J88" i="22"/>
  <c r="H88" i="23"/>
  <c r="H86"/>
  <c r="J86" i="22"/>
  <c r="H87" i="7"/>
  <c r="J87" i="33"/>
  <c r="L15" i="45"/>
  <c r="H88" i="7"/>
  <c r="J88" i="33"/>
  <c r="L14" i="45"/>
  <c r="E31" i="10"/>
  <c r="G31" s="1"/>
  <c r="E30"/>
  <c r="G30" s="1"/>
  <c r="G76"/>
  <c r="G85" s="1"/>
  <c r="G20"/>
  <c r="E13" i="44" s="1"/>
  <c r="G118" i="10"/>
  <c r="I137"/>
  <c r="G119"/>
  <c r="F119"/>
  <c r="G95"/>
  <c r="I139"/>
  <c r="G145"/>
  <c r="G149"/>
  <c r="G47"/>
  <c r="G143"/>
  <c r="I134"/>
  <c r="G120"/>
  <c r="G102"/>
  <c r="F120"/>
  <c r="G147"/>
  <c r="G59"/>
  <c r="G151"/>
  <c r="G153"/>
  <c r="G13"/>
  <c r="G113"/>
  <c r="G108"/>
  <c r="G110" i="7"/>
  <c r="E106"/>
  <c r="E107"/>
  <c r="J88" i="23" l="1"/>
  <c r="H88" i="24"/>
  <c r="J88" s="1"/>
  <c r="J86" i="23"/>
  <c r="H86" i="24"/>
  <c r="J86" s="1"/>
  <c r="J87" i="23"/>
  <c r="H87" i="24"/>
  <c r="J87" s="1"/>
  <c r="G9" i="12"/>
  <c r="E8" i="17"/>
  <c r="J88" i="7"/>
  <c r="H88" i="8"/>
  <c r="J88" s="1"/>
  <c r="J87" i="7"/>
  <c r="H87" i="8"/>
  <c r="J87" s="1"/>
  <c r="AT10" i="49"/>
  <c r="BB10"/>
  <c r="AS10"/>
  <c r="BA10"/>
  <c r="H86" i="7"/>
  <c r="J86" i="33"/>
  <c r="G121" i="10"/>
  <c r="F121"/>
  <c r="G60"/>
  <c r="I60" s="1"/>
  <c r="G107" i="7"/>
  <c r="G8" i="16" l="1"/>
  <c r="C19" i="44" s="1"/>
  <c r="J86" i="7"/>
  <c r="H86" i="8"/>
  <c r="J86" s="1"/>
  <c r="E101" i="33"/>
  <c r="E97" l="1"/>
  <c r="E8"/>
  <c r="G8" l="1"/>
  <c r="C9" i="44" s="1"/>
  <c r="E8" i="7"/>
  <c r="G8" s="1"/>
  <c r="C10" i="44" s="1"/>
  <c r="E29" i="43"/>
  <c r="N27" i="31" l="1"/>
  <c r="A3" i="46"/>
  <c r="G79" i="31"/>
  <c r="U35" i="44" s="1"/>
  <c r="G132" i="31"/>
  <c r="G133"/>
  <c r="G134"/>
  <c r="G136"/>
  <c r="G137"/>
  <c r="AV35" i="44" s="1"/>
  <c r="G138" i="31"/>
  <c r="AW35" i="44" s="1"/>
  <c r="G140" i="31"/>
  <c r="G141"/>
  <c r="AU35" i="44" s="1"/>
  <c r="G131" i="31"/>
  <c r="G126"/>
  <c r="AQ35" i="44" s="1"/>
  <c r="G124" i="31"/>
  <c r="E109" i="30"/>
  <c r="E108"/>
  <c r="G106" i="31"/>
  <c r="G107"/>
  <c r="G110"/>
  <c r="G111"/>
  <c r="G112"/>
  <c r="G115"/>
  <c r="G105"/>
  <c r="G94"/>
  <c r="AH8" i="45" s="1"/>
  <c r="AN32" i="49" s="1"/>
  <c r="G96" i="31"/>
  <c r="G98"/>
  <c r="G99"/>
  <c r="G100"/>
  <c r="G93"/>
  <c r="G73"/>
  <c r="O35" i="44" s="1"/>
  <c r="G74" i="31"/>
  <c r="P35" i="44" s="1"/>
  <c r="G75" i="31"/>
  <c r="Q35" i="44" s="1"/>
  <c r="G76" i="31"/>
  <c r="R35" i="44" s="1"/>
  <c r="G77" i="31"/>
  <c r="S35" i="44" s="1"/>
  <c r="G78" i="31"/>
  <c r="T35" i="44" s="1"/>
  <c r="G81" i="31"/>
  <c r="W35" i="44" s="1"/>
  <c r="G82" i="31"/>
  <c r="X35" i="44" s="1"/>
  <c r="G83" i="31"/>
  <c r="Z35" i="44" s="1"/>
  <c r="G84" i="31"/>
  <c r="G72"/>
  <c r="N35" i="44" s="1"/>
  <c r="G63" i="31"/>
  <c r="AF35" i="44" s="1"/>
  <c r="G168" i="31"/>
  <c r="G170"/>
  <c r="G172"/>
  <c r="G62"/>
  <c r="AE35" i="44" s="1"/>
  <c r="G50" i="31"/>
  <c r="G51"/>
  <c r="BB34" i="1" s="1"/>
  <c r="G53" i="31"/>
  <c r="BD34" i="1" s="1"/>
  <c r="G54" i="31"/>
  <c r="BE34" i="1" s="1"/>
  <c r="G55" i="31"/>
  <c r="BF34" i="1" s="1"/>
  <c r="G57" i="31"/>
  <c r="BH34" i="1" s="1"/>
  <c r="G58" i="31"/>
  <c r="Y35" i="44" s="1"/>
  <c r="G49" i="31"/>
  <c r="BA34" i="1" s="1"/>
  <c r="G36" i="31"/>
  <c r="M35" i="44" s="1"/>
  <c r="G37" i="31"/>
  <c r="G38"/>
  <c r="G39"/>
  <c r="G41"/>
  <c r="AV34" i="1" s="1"/>
  <c r="G42" i="31"/>
  <c r="AW34" i="1" s="1"/>
  <c r="G43" i="31"/>
  <c r="AX34" i="1" s="1"/>
  <c r="G45" i="31"/>
  <c r="G46"/>
  <c r="G35"/>
  <c r="AQ34" i="1" s="1"/>
  <c r="G22" i="31"/>
  <c r="G19"/>
  <c r="G15"/>
  <c r="G10"/>
  <c r="G80"/>
  <c r="V35" i="44" s="1"/>
  <c r="G97" i="31"/>
  <c r="G101"/>
  <c r="G139"/>
  <c r="G135"/>
  <c r="G128"/>
  <c r="AS35" i="44" s="1"/>
  <c r="G127" i="31"/>
  <c r="AR35" i="44" s="1"/>
  <c r="G125" i="31"/>
  <c r="AP35" i="44" s="1"/>
  <c r="G117" i="31"/>
  <c r="G116"/>
  <c r="D35" i="44" s="1"/>
  <c r="J114" i="31"/>
  <c r="G69"/>
  <c r="AL35" i="44" s="1"/>
  <c r="G65" i="31"/>
  <c r="AH35" i="44" s="1"/>
  <c r="G56" i="31"/>
  <c r="BG34" i="1" s="1"/>
  <c r="G52" i="31"/>
  <c r="G44"/>
  <c r="AY34" i="1" s="1"/>
  <c r="G40" i="31"/>
  <c r="AU34" i="1" s="1"/>
  <c r="G29" i="31"/>
  <c r="G18"/>
  <c r="I15"/>
  <c r="K9"/>
  <c r="M8"/>
  <c r="I7"/>
  <c r="I35" i="44" l="1"/>
  <c r="H32" i="49" s="1"/>
  <c r="AT34" i="1"/>
  <c r="H35" i="44"/>
  <c r="G32" i="49" s="1"/>
  <c r="BC34" i="1"/>
  <c r="L35" i="44"/>
  <c r="BI34" i="1"/>
  <c r="G35" i="44"/>
  <c r="AR34" i="1"/>
  <c r="AM35" i="44"/>
  <c r="BK34" i="1"/>
  <c r="AN35" i="44"/>
  <c r="M34" i="1"/>
  <c r="F35" i="44"/>
  <c r="E32" i="49" s="1"/>
  <c r="J35" i="44"/>
  <c r="I32" i="49" s="1"/>
  <c r="K35" i="44"/>
  <c r="J32" i="49" s="1"/>
  <c r="AO35" i="44"/>
  <c r="K32" i="49"/>
  <c r="F32"/>
  <c r="L32"/>
  <c r="E28" i="31"/>
  <c r="G28" s="1"/>
  <c r="E31"/>
  <c r="G31" s="1"/>
  <c r="AH14" i="45"/>
  <c r="AH15"/>
  <c r="E30" i="31"/>
  <c r="G30" s="1"/>
  <c r="AD32" i="49"/>
  <c r="AE32"/>
  <c r="G68" i="31"/>
  <c r="AK35" i="44" s="1"/>
  <c r="G171" i="31"/>
  <c r="G67"/>
  <c r="AJ35" i="44" s="1"/>
  <c r="G66" i="31"/>
  <c r="AI35" i="44" s="1"/>
  <c r="G169" i="31"/>
  <c r="G64"/>
  <c r="AG35" i="44" s="1"/>
  <c r="G167" i="31"/>
  <c r="X32" i="49"/>
  <c r="G20" i="31"/>
  <c r="G47"/>
  <c r="G59"/>
  <c r="G95"/>
  <c r="G108"/>
  <c r="I134"/>
  <c r="G129"/>
  <c r="H129" s="1"/>
  <c r="N129" s="1"/>
  <c r="G153"/>
  <c r="G145"/>
  <c r="G102"/>
  <c r="G120"/>
  <c r="G118"/>
  <c r="I137"/>
  <c r="G151"/>
  <c r="G85"/>
  <c r="G143"/>
  <c r="G147"/>
  <c r="G113"/>
  <c r="G149"/>
  <c r="I139"/>
  <c r="G119"/>
  <c r="O34" i="1" l="1"/>
  <c r="G32" i="47"/>
  <c r="E35" i="44"/>
  <c r="P34" i="1"/>
  <c r="AT35" i="44"/>
  <c r="AT32" i="49"/>
  <c r="BB32"/>
  <c r="AS32"/>
  <c r="BA32"/>
  <c r="N28" i="31"/>
  <c r="G173"/>
  <c r="G121"/>
  <c r="G60"/>
  <c r="S34" i="1" l="1"/>
  <c r="R34"/>
  <c r="I32" i="47"/>
  <c r="I8" i="29"/>
  <c r="I8" i="28" l="1"/>
  <c r="E29" i="27" l="1"/>
  <c r="I8" l="1"/>
  <c r="I8" i="40"/>
  <c r="I8" i="25"/>
  <c r="AI25" i="45"/>
  <c r="AI27"/>
  <c r="I8" i="24" l="1"/>
  <c r="I8" i="23"/>
  <c r="I8" i="22"/>
  <c r="G62" i="20"/>
  <c r="AE23" i="44" s="1"/>
  <c r="AD20" i="49" s="1"/>
  <c r="E58" i="21"/>
  <c r="I8"/>
  <c r="F4" i="45" l="1"/>
  <c r="E4"/>
  <c r="D4"/>
  <c r="J4" i="1" l="1"/>
  <c r="E8" i="18"/>
  <c r="E8" i="19" s="1"/>
  <c r="E8" i="20" s="1"/>
  <c r="E8" i="21" s="1"/>
  <c r="E8" i="22" s="1"/>
  <c r="E8" i="23" s="1"/>
  <c r="E8" i="24" s="1"/>
  <c r="E8" i="25" s="1"/>
  <c r="E8" i="40" s="1"/>
  <c r="E8" i="27" s="1"/>
  <c r="E8" i="28" s="1"/>
  <c r="K8" i="17"/>
  <c r="G72" i="15"/>
  <c r="E73"/>
  <c r="E75"/>
  <c r="E76"/>
  <c r="E77"/>
  <c r="E78"/>
  <c r="E79"/>
  <c r="E80"/>
  <c r="E81"/>
  <c r="E82"/>
  <c r="E83"/>
  <c r="E84"/>
  <c r="E36"/>
  <c r="E37"/>
  <c r="E38"/>
  <c r="E39"/>
  <c r="E41"/>
  <c r="E42"/>
  <c r="E43"/>
  <c r="E44"/>
  <c r="I8"/>
  <c r="G8"/>
  <c r="C18" i="44" s="1"/>
  <c r="G8" i="12"/>
  <c r="C15" i="44" s="1"/>
  <c r="G9" i="14"/>
  <c r="G58" i="12"/>
  <c r="G57"/>
  <c r="G56"/>
  <c r="G55"/>
  <c r="G54"/>
  <c r="G53"/>
  <c r="G52"/>
  <c r="G51"/>
  <c r="G50"/>
  <c r="G49"/>
  <c r="E7" i="13"/>
  <c r="E8" i="29" l="1"/>
  <c r="G7" i="13"/>
  <c r="B16" i="44" s="1"/>
  <c r="G8" i="24"/>
  <c r="C27" i="44" s="1"/>
  <c r="L15"/>
  <c r="K12" i="49" s="1"/>
  <c r="J35" i="1"/>
  <c r="Y15" i="44"/>
  <c r="X12" i="49" s="1"/>
  <c r="G59" i="12"/>
  <c r="E106" i="43"/>
  <c r="E107"/>
  <c r="E110"/>
  <c r="E111"/>
  <c r="E112"/>
  <c r="E115"/>
  <c r="E116"/>
  <c r="E105"/>
  <c r="E106" i="30"/>
  <c r="E107"/>
  <c r="E110"/>
  <c r="E111"/>
  <c r="E112"/>
  <c r="E113"/>
  <c r="E114"/>
  <c r="E115"/>
  <c r="E116"/>
  <c r="E105"/>
  <c r="G107" i="29"/>
  <c r="E105"/>
  <c r="E105" i="28"/>
  <c r="E106" i="27"/>
  <c r="E107"/>
  <c r="E108"/>
  <c r="E109"/>
  <c r="E110"/>
  <c r="E113"/>
  <c r="E114"/>
  <c r="E115"/>
  <c r="E116"/>
  <c r="E105"/>
  <c r="E106" i="40"/>
  <c r="E107"/>
  <c r="E108"/>
  <c r="E109"/>
  <c r="E110"/>
  <c r="E111"/>
  <c r="E112"/>
  <c r="E113"/>
  <c r="E114"/>
  <c r="E115"/>
  <c r="E116"/>
  <c r="E105"/>
  <c r="E116" i="25"/>
  <c r="E110"/>
  <c r="E111"/>
  <c r="E106"/>
  <c r="E107"/>
  <c r="E109"/>
  <c r="E113"/>
  <c r="E115"/>
  <c r="E105"/>
  <c r="E106" i="24"/>
  <c r="E107"/>
  <c r="E108"/>
  <c r="E109"/>
  <c r="E110"/>
  <c r="E111"/>
  <c r="E112"/>
  <c r="E113"/>
  <c r="E114"/>
  <c r="E115"/>
  <c r="E116"/>
  <c r="E105"/>
  <c r="E106" i="23"/>
  <c r="E107"/>
  <c r="E108"/>
  <c r="E109"/>
  <c r="E110"/>
  <c r="E111"/>
  <c r="E112"/>
  <c r="E113"/>
  <c r="E114"/>
  <c r="E115"/>
  <c r="E116"/>
  <c r="E105"/>
  <c r="E106" i="22"/>
  <c r="E107"/>
  <c r="E108"/>
  <c r="E109"/>
  <c r="E110"/>
  <c r="E111"/>
  <c r="E112"/>
  <c r="E113"/>
  <c r="E114"/>
  <c r="E115"/>
  <c r="E116"/>
  <c r="E105"/>
  <c r="E106" i="21"/>
  <c r="E107"/>
  <c r="E108"/>
  <c r="E109"/>
  <c r="E110"/>
  <c r="E111"/>
  <c r="E112"/>
  <c r="E113"/>
  <c r="E114"/>
  <c r="E115"/>
  <c r="E116"/>
  <c r="E106" i="20"/>
  <c r="E107"/>
  <c r="G107" s="1"/>
  <c r="E108"/>
  <c r="E109"/>
  <c r="E110"/>
  <c r="E111"/>
  <c r="E112"/>
  <c r="E113"/>
  <c r="E114"/>
  <c r="E115"/>
  <c r="G115" s="1"/>
  <c r="E116"/>
  <c r="E105"/>
  <c r="E108" i="19"/>
  <c r="E109"/>
  <c r="E110"/>
  <c r="E113"/>
  <c r="E114"/>
  <c r="E115"/>
  <c r="E105"/>
  <c r="E106" i="18"/>
  <c r="E107"/>
  <c r="E108"/>
  <c r="E109"/>
  <c r="E110"/>
  <c r="E111"/>
  <c r="E112"/>
  <c r="E113"/>
  <c r="E114"/>
  <c r="E115"/>
  <c r="E116"/>
  <c r="E105"/>
  <c r="E106" i="17"/>
  <c r="E107"/>
  <c r="E108"/>
  <c r="E109"/>
  <c r="E110"/>
  <c r="E111"/>
  <c r="E112"/>
  <c r="E113"/>
  <c r="E114"/>
  <c r="E115"/>
  <c r="E116"/>
  <c r="E105"/>
  <c r="E106" i="16"/>
  <c r="E107"/>
  <c r="E108"/>
  <c r="E109"/>
  <c r="E110"/>
  <c r="E111"/>
  <c r="E112"/>
  <c r="E113"/>
  <c r="E114"/>
  <c r="E115"/>
  <c r="E116"/>
  <c r="E105"/>
  <c r="E106" i="15"/>
  <c r="E107"/>
  <c r="E108"/>
  <c r="E109"/>
  <c r="E110"/>
  <c r="E111"/>
  <c r="E112"/>
  <c r="E113"/>
  <c r="E114"/>
  <c r="E115"/>
  <c r="E116"/>
  <c r="E105"/>
  <c r="E106" i="14"/>
  <c r="E107"/>
  <c r="E110"/>
  <c r="E111"/>
  <c r="E112"/>
  <c r="E115"/>
  <c r="E116"/>
  <c r="E105"/>
  <c r="E105" i="13"/>
  <c r="E29" i="33"/>
  <c r="G29" s="1"/>
  <c r="E29" i="7"/>
  <c r="G29" s="1"/>
  <c r="E29" i="8"/>
  <c r="G29" s="1"/>
  <c r="E29" i="11"/>
  <c r="G29" s="1"/>
  <c r="E29" i="12"/>
  <c r="G29" s="1"/>
  <c r="E29" i="13"/>
  <c r="E29" i="14"/>
  <c r="G29" s="1"/>
  <c r="E29" i="15"/>
  <c r="G29" s="1"/>
  <c r="E29" i="16"/>
  <c r="G29" s="1"/>
  <c r="E29" i="17"/>
  <c r="G29" s="1"/>
  <c r="E29" i="18"/>
  <c r="G29" s="1"/>
  <c r="E29" i="19"/>
  <c r="G29" s="1"/>
  <c r="E29" i="20"/>
  <c r="G29" s="1"/>
  <c r="E29" i="21"/>
  <c r="G29" s="1"/>
  <c r="E29" i="22"/>
  <c r="G29" s="1"/>
  <c r="E29" i="23"/>
  <c r="G29" s="1"/>
  <c r="E29" i="24"/>
  <c r="G29" s="1"/>
  <c r="E29" i="40"/>
  <c r="G29" s="1"/>
  <c r="E29" i="28"/>
  <c r="G29" s="1"/>
  <c r="E29" i="29"/>
  <c r="G29" s="1"/>
  <c r="E29" i="30"/>
  <c r="G29" s="1"/>
  <c r="G29" i="43"/>
  <c r="F8" i="29" l="1"/>
  <c r="E8" i="30" s="1"/>
  <c r="F8" s="1"/>
  <c r="G29" i="13"/>
  <c r="G117" i="33"/>
  <c r="H117" s="1"/>
  <c r="G116"/>
  <c r="G115"/>
  <c r="J114"/>
  <c r="G112"/>
  <c r="G111"/>
  <c r="G110"/>
  <c r="G107"/>
  <c r="G106"/>
  <c r="G105"/>
  <c r="G117" i="7"/>
  <c r="G116"/>
  <c r="G115"/>
  <c r="J114"/>
  <c r="G112"/>
  <c r="I21" i="45"/>
  <c r="AX7" i="49" s="1"/>
  <c r="I19" i="45"/>
  <c r="AW7" i="49" s="1"/>
  <c r="G106" i="7"/>
  <c r="G105"/>
  <c r="G117" i="8"/>
  <c r="G116"/>
  <c r="G115"/>
  <c r="J114"/>
  <c r="G112"/>
  <c r="G111"/>
  <c r="G110"/>
  <c r="G107"/>
  <c r="G106"/>
  <c r="G105"/>
  <c r="G117" i="9"/>
  <c r="G116"/>
  <c r="G115"/>
  <c r="J114"/>
  <c r="G112"/>
  <c r="G111"/>
  <c r="G110"/>
  <c r="G107"/>
  <c r="K18" i="45"/>
  <c r="AV9" i="49" s="1"/>
  <c r="G105" i="9"/>
  <c r="L23" i="45"/>
  <c r="AZ10" i="49" s="1"/>
  <c r="L22" i="45"/>
  <c r="AY10" i="49" s="1"/>
  <c r="L21" i="45"/>
  <c r="AX10" i="49" s="1"/>
  <c r="L19" i="45"/>
  <c r="AW10" i="49" s="1"/>
  <c r="L18" i="45"/>
  <c r="AV10" i="49" s="1"/>
  <c r="L17" i="45"/>
  <c r="AU10" i="49" s="1"/>
  <c r="G117" i="11"/>
  <c r="G116"/>
  <c r="G115"/>
  <c r="J114"/>
  <c r="G112"/>
  <c r="G111"/>
  <c r="G110"/>
  <c r="G107"/>
  <c r="G106"/>
  <c r="G117" i="12"/>
  <c r="G116"/>
  <c r="G115"/>
  <c r="N14" i="45" s="1"/>
  <c r="J114" i="12"/>
  <c r="G112"/>
  <c r="G111"/>
  <c r="G110"/>
  <c r="G107"/>
  <c r="G106"/>
  <c r="G105"/>
  <c r="G117" i="13"/>
  <c r="G116"/>
  <c r="G115"/>
  <c r="J114"/>
  <c r="G112"/>
  <c r="G111"/>
  <c r="G110"/>
  <c r="G107"/>
  <c r="G106"/>
  <c r="G105"/>
  <c r="G117" i="14"/>
  <c r="G116"/>
  <c r="P15" i="45" s="1"/>
  <c r="G115" i="14"/>
  <c r="J114"/>
  <c r="G112"/>
  <c r="P23" i="45" s="1"/>
  <c r="AZ14" i="49" s="1"/>
  <c r="G111" i="14"/>
  <c r="P22" i="45" s="1"/>
  <c r="AY14" i="49" s="1"/>
  <c r="G110" i="14"/>
  <c r="P21" i="45" s="1"/>
  <c r="AX14" i="49" s="1"/>
  <c r="G107" i="14"/>
  <c r="P19" i="45" s="1"/>
  <c r="AW14" i="49" s="1"/>
  <c r="G106" i="14"/>
  <c r="P18" i="45" s="1"/>
  <c r="AV14" i="49" s="1"/>
  <c r="G105" i="14"/>
  <c r="P17" i="45" s="1"/>
  <c r="AU14" i="49" s="1"/>
  <c r="G117" i="15"/>
  <c r="G116"/>
  <c r="Q15" i="45" s="1"/>
  <c r="G115" i="15"/>
  <c r="Q14" i="45" s="1"/>
  <c r="J114" i="15"/>
  <c r="G112"/>
  <c r="Q23" i="45" s="1"/>
  <c r="AZ15" i="49" s="1"/>
  <c r="G111" i="15"/>
  <c r="Q22" i="45" s="1"/>
  <c r="AY15" i="49" s="1"/>
  <c r="G110" i="15"/>
  <c r="Q21" i="45" s="1"/>
  <c r="AX15" i="49" s="1"/>
  <c r="G107" i="15"/>
  <c r="Q19" i="45" s="1"/>
  <c r="AW15" i="49" s="1"/>
  <c r="G106" i="15"/>
  <c r="Q18" i="45" s="1"/>
  <c r="AV15" i="49" s="1"/>
  <c r="G105" i="15"/>
  <c r="Q17" i="45" s="1"/>
  <c r="AU15" i="49" s="1"/>
  <c r="G117" i="16"/>
  <c r="G116"/>
  <c r="R15" i="45" s="1"/>
  <c r="G115" i="16"/>
  <c r="R14" i="45" s="1"/>
  <c r="J114" i="16"/>
  <c r="G112"/>
  <c r="R23" i="45" s="1"/>
  <c r="AZ16" i="49" s="1"/>
  <c r="G111" i="16"/>
  <c r="R22" i="45" s="1"/>
  <c r="AY16" i="49" s="1"/>
  <c r="G110" i="16"/>
  <c r="R21" i="45" s="1"/>
  <c r="AX16" i="49" s="1"/>
  <c r="G107" i="16"/>
  <c r="R19" i="45" s="1"/>
  <c r="AW16" i="49" s="1"/>
  <c r="G106" i="16"/>
  <c r="R18" i="45" s="1"/>
  <c r="AV16" i="49" s="1"/>
  <c r="G105" i="16"/>
  <c r="R17" i="45" s="1"/>
  <c r="AU16" i="49" s="1"/>
  <c r="G117" i="17"/>
  <c r="G116"/>
  <c r="S15" i="45" s="1"/>
  <c r="G115" i="17"/>
  <c r="J114"/>
  <c r="G112"/>
  <c r="S23" i="45" s="1"/>
  <c r="G111" i="17"/>
  <c r="S22" i="45" s="1"/>
  <c r="G110" i="17"/>
  <c r="S21" i="45" s="1"/>
  <c r="G107" i="17"/>
  <c r="S19" i="45" s="1"/>
  <c r="G106" i="17"/>
  <c r="S18" i="45" s="1"/>
  <c r="G105" i="17"/>
  <c r="S17" i="45" s="1"/>
  <c r="G117" i="18"/>
  <c r="G116"/>
  <c r="T15" i="45" s="1"/>
  <c r="G115" i="18"/>
  <c r="J114"/>
  <c r="G112"/>
  <c r="T23" i="45" s="1"/>
  <c r="AZ18" i="49" s="1"/>
  <c r="G111" i="18"/>
  <c r="T22" i="45" s="1"/>
  <c r="AY18" i="49" s="1"/>
  <c r="G110" i="18"/>
  <c r="T21" i="45" s="1"/>
  <c r="AX18" i="49" s="1"/>
  <c r="G107" i="18"/>
  <c r="T19" i="45" s="1"/>
  <c r="AW18" i="49" s="1"/>
  <c r="G106" i="18"/>
  <c r="T18" i="45" s="1"/>
  <c r="AV18" i="49" s="1"/>
  <c r="G105" i="18"/>
  <c r="T17" i="45" s="1"/>
  <c r="AU18" i="49" s="1"/>
  <c r="G117" i="19"/>
  <c r="G116"/>
  <c r="U15" i="45" s="1"/>
  <c r="G115" i="19"/>
  <c r="U14" i="45" s="1"/>
  <c r="J114" i="19"/>
  <c r="G112"/>
  <c r="U23" i="45" s="1"/>
  <c r="AZ19" i="49" s="1"/>
  <c r="G111" i="19"/>
  <c r="U22" i="45" s="1"/>
  <c r="AY19" i="49" s="1"/>
  <c r="G110" i="19"/>
  <c r="U21" i="45" s="1"/>
  <c r="AX19" i="49" s="1"/>
  <c r="G107" i="19"/>
  <c r="U19" i="45" s="1"/>
  <c r="AW19" i="49" s="1"/>
  <c r="G106" i="19"/>
  <c r="U18" i="45" s="1"/>
  <c r="AV19" i="49" s="1"/>
  <c r="G105" i="19"/>
  <c r="U17" i="45" s="1"/>
  <c r="AU19" i="49" s="1"/>
  <c r="G117" i="20"/>
  <c r="G116"/>
  <c r="J114"/>
  <c r="G112"/>
  <c r="G111"/>
  <c r="G110"/>
  <c r="G106"/>
  <c r="G105"/>
  <c r="G117" i="21"/>
  <c r="G116"/>
  <c r="G115"/>
  <c r="J114"/>
  <c r="G112"/>
  <c r="G111"/>
  <c r="G110"/>
  <c r="G107"/>
  <c r="G106"/>
  <c r="G105"/>
  <c r="G117" i="22"/>
  <c r="G116"/>
  <c r="G115"/>
  <c r="J114"/>
  <c r="G112"/>
  <c r="G111"/>
  <c r="G110"/>
  <c r="G107"/>
  <c r="G106"/>
  <c r="G105"/>
  <c r="G117" i="23"/>
  <c r="G116"/>
  <c r="G115"/>
  <c r="J114"/>
  <c r="G112"/>
  <c r="G111"/>
  <c r="G110"/>
  <c r="G107"/>
  <c r="G106"/>
  <c r="G105"/>
  <c r="G117" i="24"/>
  <c r="G116"/>
  <c r="Z15" i="45" s="1"/>
  <c r="G115" i="24"/>
  <c r="Z14" i="45" s="1"/>
  <c r="J114" i="24"/>
  <c r="G112"/>
  <c r="Z23" i="45" s="1"/>
  <c r="AZ24" i="49" s="1"/>
  <c r="G111" i="24"/>
  <c r="Z22" i="45" s="1"/>
  <c r="AY24" i="49" s="1"/>
  <c r="G110" i="24"/>
  <c r="Z21" i="45" s="1"/>
  <c r="AX24" i="49" s="1"/>
  <c r="G107" i="24"/>
  <c r="Z19" i="45" s="1"/>
  <c r="AW24" i="49" s="1"/>
  <c r="G106" i="24"/>
  <c r="Z18" i="45" s="1"/>
  <c r="AV24" i="49" s="1"/>
  <c r="G105" i="24"/>
  <c r="Z17" i="45" s="1"/>
  <c r="AU24" i="49" s="1"/>
  <c r="G117" i="25"/>
  <c r="G116"/>
  <c r="AA15" i="45" s="1"/>
  <c r="G115" i="25"/>
  <c r="J114"/>
  <c r="G112"/>
  <c r="AA23" i="45" s="1"/>
  <c r="AZ25" i="49" s="1"/>
  <c r="G111" i="25"/>
  <c r="AA22" i="45" s="1"/>
  <c r="AY25" i="49" s="1"/>
  <c r="G110" i="25"/>
  <c r="AA21" i="45" s="1"/>
  <c r="AX25" i="49" s="1"/>
  <c r="G107" i="25"/>
  <c r="AA19" i="45" s="1"/>
  <c r="AW25" i="49" s="1"/>
  <c r="G106" i="25"/>
  <c r="AA18" i="45" s="1"/>
  <c r="AV25" i="49" s="1"/>
  <c r="G105" i="25"/>
  <c r="AA17" i="45" s="1"/>
  <c r="AU25" i="49" s="1"/>
  <c r="G117" i="40"/>
  <c r="G116"/>
  <c r="AB15" i="45" s="1"/>
  <c r="G115" i="40"/>
  <c r="J114"/>
  <c r="G112"/>
  <c r="AB23" i="45" s="1"/>
  <c r="AZ26" i="49" s="1"/>
  <c r="G111" i="40"/>
  <c r="AB22" i="45" s="1"/>
  <c r="AY26" i="49" s="1"/>
  <c r="G110" i="40"/>
  <c r="AB21" i="45" s="1"/>
  <c r="AX26" i="49" s="1"/>
  <c r="G107" i="40"/>
  <c r="AB19" i="45" s="1"/>
  <c r="AW26" i="49" s="1"/>
  <c r="G106" i="40"/>
  <c r="AB18" i="45" s="1"/>
  <c r="AV26" i="49" s="1"/>
  <c r="G105" i="40"/>
  <c r="AB17" i="45" s="1"/>
  <c r="AU26" i="49" s="1"/>
  <c r="G117" i="27"/>
  <c r="G116"/>
  <c r="AC15" i="45" s="1"/>
  <c r="G115" i="27"/>
  <c r="AC14" i="45" s="1"/>
  <c r="J114" i="27"/>
  <c r="G112"/>
  <c r="AC23" i="45" s="1"/>
  <c r="AZ27" i="49" s="1"/>
  <c r="G111" i="27"/>
  <c r="AC22" i="45" s="1"/>
  <c r="AY27" i="49" s="1"/>
  <c r="G110" i="27"/>
  <c r="AC21" i="45" s="1"/>
  <c r="AX27" i="49" s="1"/>
  <c r="G107" i="27"/>
  <c r="AC19" i="45" s="1"/>
  <c r="AW27" i="49" s="1"/>
  <c r="G106" i="27"/>
  <c r="AC18" i="45" s="1"/>
  <c r="AV27" i="49" s="1"/>
  <c r="G105" i="27"/>
  <c r="AC17" i="45" s="1"/>
  <c r="AU27" i="49" s="1"/>
  <c r="G117" i="28"/>
  <c r="G116"/>
  <c r="AD15" i="45" s="1"/>
  <c r="G115" i="28"/>
  <c r="J114"/>
  <c r="G112"/>
  <c r="AD23" i="45" s="1"/>
  <c r="AZ28" i="49" s="1"/>
  <c r="G111" i="28"/>
  <c r="AD22" i="45" s="1"/>
  <c r="AY28" i="49" s="1"/>
  <c r="G110" i="28"/>
  <c r="AD21" i="45" s="1"/>
  <c r="AX28" i="49" s="1"/>
  <c r="G107" i="28"/>
  <c r="AD19" i="45" s="1"/>
  <c r="AW28" i="49" s="1"/>
  <c r="G106" i="28"/>
  <c r="AD18" i="45" s="1"/>
  <c r="AV28" i="49" s="1"/>
  <c r="G105" i="28"/>
  <c r="AD17" i="45" s="1"/>
  <c r="AU28" i="49" s="1"/>
  <c r="G117" i="29"/>
  <c r="G116"/>
  <c r="AE15" i="45" s="1"/>
  <c r="G115" i="29"/>
  <c r="J114"/>
  <c r="G112"/>
  <c r="AE23" i="45" s="1"/>
  <c r="AZ29" i="49" s="1"/>
  <c r="G111" i="29"/>
  <c r="AE22" i="45" s="1"/>
  <c r="AY29" i="49" s="1"/>
  <c r="G110" i="29"/>
  <c r="AE21" i="45" s="1"/>
  <c r="AX29" i="49" s="1"/>
  <c r="AE19" i="45"/>
  <c r="AW29" i="49" s="1"/>
  <c r="G106" i="29"/>
  <c r="AE18" i="45" s="1"/>
  <c r="AV29" i="49" s="1"/>
  <c r="G105" i="29"/>
  <c r="AE17" i="45" s="1"/>
  <c r="AU29" i="49" s="1"/>
  <c r="G117" i="30"/>
  <c r="G116"/>
  <c r="G115"/>
  <c r="J114"/>
  <c r="G112"/>
  <c r="G111"/>
  <c r="G110"/>
  <c r="G107"/>
  <c r="G106"/>
  <c r="G105"/>
  <c r="G117" i="43"/>
  <c r="G116"/>
  <c r="G115"/>
  <c r="J114"/>
  <c r="G112"/>
  <c r="G111"/>
  <c r="G110"/>
  <c r="G107"/>
  <c r="G106"/>
  <c r="G105"/>
  <c r="AH23" i="45"/>
  <c r="AZ32" i="49" s="1"/>
  <c r="AH22" i="45"/>
  <c r="AY32" i="49" s="1"/>
  <c r="AH21" i="45"/>
  <c r="AX32" i="49" s="1"/>
  <c r="AH19" i="45"/>
  <c r="AW32" i="49" s="1"/>
  <c r="AH18" i="45"/>
  <c r="AV32" i="49" s="1"/>
  <c r="AH17" i="45"/>
  <c r="AU32" i="49" s="1"/>
  <c r="G191" i="11"/>
  <c r="G192"/>
  <c r="G190"/>
  <c r="G186"/>
  <c r="G187"/>
  <c r="G185"/>
  <c r="G181"/>
  <c r="G182"/>
  <c r="G180"/>
  <c r="E8" i="43" l="1"/>
  <c r="F8" s="1"/>
  <c r="G8" s="1"/>
  <c r="C34" i="44" s="1"/>
  <c r="G8" i="30"/>
  <c r="AU17" i="49"/>
  <c r="AT26"/>
  <c r="BB26"/>
  <c r="AT25"/>
  <c r="BB25"/>
  <c r="AT24"/>
  <c r="BB24"/>
  <c r="AS24"/>
  <c r="BA24"/>
  <c r="AT19"/>
  <c r="BB19"/>
  <c r="AS19"/>
  <c r="BA19"/>
  <c r="AT18"/>
  <c r="BB18"/>
  <c r="AT16"/>
  <c r="BB16"/>
  <c r="AS16"/>
  <c r="BA16"/>
  <c r="AT15"/>
  <c r="BB15"/>
  <c r="AS15"/>
  <c r="BA15"/>
  <c r="AT14"/>
  <c r="BB14"/>
  <c r="AS12"/>
  <c r="BA12"/>
  <c r="AG17" i="45"/>
  <c r="AU31" i="49" s="1"/>
  <c r="AG15" i="45"/>
  <c r="BB31" i="49" s="1"/>
  <c r="AG14" i="45"/>
  <c r="BA31" i="49" s="1"/>
  <c r="AG23" i="45"/>
  <c r="AZ31" i="49" s="1"/>
  <c r="AG22" i="45"/>
  <c r="AY31" i="49" s="1"/>
  <c r="AG21" i="45"/>
  <c r="AX31" i="49" s="1"/>
  <c r="AG19" i="45"/>
  <c r="AW31" i="49" s="1"/>
  <c r="AG18" i="45"/>
  <c r="AV31" i="49" s="1"/>
  <c r="AT29"/>
  <c r="BB29"/>
  <c r="AT27"/>
  <c r="BB27"/>
  <c r="AT28"/>
  <c r="BB28"/>
  <c r="AS27"/>
  <c r="BA27"/>
  <c r="H117" i="7"/>
  <c r="H117" i="8" s="1"/>
  <c r="H117" i="9" s="1"/>
  <c r="H117" i="10" s="1"/>
  <c r="H117" i="11" s="1"/>
  <c r="W21" i="45"/>
  <c r="AX21" i="49" s="1"/>
  <c r="X22" i="45"/>
  <c r="AY22" i="49" s="1"/>
  <c r="W19" i="45"/>
  <c r="AW21" i="49" s="1"/>
  <c r="V17" i="45"/>
  <c r="AU20" i="49" s="1"/>
  <c r="V15" i="45"/>
  <c r="X21"/>
  <c r="AX22" i="49" s="1"/>
  <c r="W18" i="45"/>
  <c r="AV21" i="49" s="1"/>
  <c r="X19" i="45"/>
  <c r="AW22" i="49" s="1"/>
  <c r="W17" i="45"/>
  <c r="AU21" i="49" s="1"/>
  <c r="W15" i="45"/>
  <c r="W22"/>
  <c r="AY21" i="49" s="1"/>
  <c r="X18" i="45"/>
  <c r="AV22" i="49" s="1"/>
  <c r="V23" i="45"/>
  <c r="AZ20" i="49" s="1"/>
  <c r="V19" i="45"/>
  <c r="AW20" i="49" s="1"/>
  <c r="V18" i="45"/>
  <c r="AV20" i="49" s="1"/>
  <c r="X17" i="45"/>
  <c r="AU22" i="49" s="1"/>
  <c r="X15" i="45"/>
  <c r="V22"/>
  <c r="AY20" i="49" s="1"/>
  <c r="X23" i="45"/>
  <c r="AZ22" i="49" s="1"/>
  <c r="W23" i="45"/>
  <c r="AZ21" i="49" s="1"/>
  <c r="V21" i="45"/>
  <c r="AX20" i="49" s="1"/>
  <c r="D15" i="45"/>
  <c r="AT17" i="49" s="1"/>
  <c r="H116" i="33"/>
  <c r="H116" i="7" s="1"/>
  <c r="H116" i="8" s="1"/>
  <c r="H116" i="9" s="1"/>
  <c r="H116" i="10" s="1"/>
  <c r="H116" i="11" s="1"/>
  <c r="D14" i="45"/>
  <c r="E22"/>
  <c r="AY3" i="49" s="1"/>
  <c r="H111" i="33"/>
  <c r="H111" i="7" s="1"/>
  <c r="H111" i="8" s="1"/>
  <c r="H111" i="9" s="1"/>
  <c r="H111" i="10" s="1"/>
  <c r="H111" i="11" s="1"/>
  <c r="G19" i="45"/>
  <c r="AW5" i="49" s="1"/>
  <c r="K17" i="45"/>
  <c r="AU9" i="49" s="1"/>
  <c r="K22" i="45"/>
  <c r="AY9" i="49" s="1"/>
  <c r="K15" i="45"/>
  <c r="J19"/>
  <c r="AW8" i="49" s="1"/>
  <c r="I17" i="45"/>
  <c r="AU7" i="49" s="1"/>
  <c r="I23" i="45"/>
  <c r="AZ7" i="49" s="1"/>
  <c r="H21" i="45"/>
  <c r="AX6" i="49" s="1"/>
  <c r="G23" i="45"/>
  <c r="AZ5" i="49" s="1"/>
  <c r="E17" i="45"/>
  <c r="AU3" i="49" s="1"/>
  <c r="F22" i="45"/>
  <c r="AY4" i="49" s="1"/>
  <c r="K23" i="45"/>
  <c r="AZ9" i="49" s="1"/>
  <c r="J21" i="45"/>
  <c r="AX8" i="49" s="1"/>
  <c r="H17" i="45"/>
  <c r="AU6" i="49" s="1"/>
  <c r="H15" i="45"/>
  <c r="E21"/>
  <c r="AX3" i="49" s="1"/>
  <c r="H110" i="33"/>
  <c r="H110" i="7" s="1"/>
  <c r="H110" i="8" s="1"/>
  <c r="H110" i="9" s="1"/>
  <c r="H110" i="10" s="1"/>
  <c r="H110" i="11" s="1"/>
  <c r="F21" i="45"/>
  <c r="AX4" i="49" s="1"/>
  <c r="E19" i="45"/>
  <c r="AW3" i="49" s="1"/>
  <c r="H107" i="33"/>
  <c r="H107" i="7" s="1"/>
  <c r="H107" i="8" s="1"/>
  <c r="H107" i="9" s="1"/>
  <c r="H107" i="10" s="1"/>
  <c r="H107" i="11" s="1"/>
  <c r="F19" i="45"/>
  <c r="AW4" i="49" s="1"/>
  <c r="M14" i="45"/>
  <c r="K21"/>
  <c r="AX9" i="49" s="1"/>
  <c r="K14" i="45"/>
  <c r="J18"/>
  <c r="AV8" i="49" s="1"/>
  <c r="J23" i="45"/>
  <c r="AZ8" i="49" s="1"/>
  <c r="I15" i="45"/>
  <c r="H19"/>
  <c r="AW6" i="49" s="1"/>
  <c r="G17" i="45"/>
  <c r="AU5" i="49" s="1"/>
  <c r="G22" i="45"/>
  <c r="AY5" i="49" s="1"/>
  <c r="G15" i="45"/>
  <c r="F17"/>
  <c r="AU4" i="49" s="1"/>
  <c r="F15" i="45"/>
  <c r="H22"/>
  <c r="AY6" i="49" s="1"/>
  <c r="E15" i="45"/>
  <c r="F14"/>
  <c r="E18"/>
  <c r="AV3" i="49" s="1"/>
  <c r="H106" i="33"/>
  <c r="H106" i="7" s="1"/>
  <c r="H106" i="8" s="1"/>
  <c r="H106" i="9" s="1"/>
  <c r="H106" i="10" s="1"/>
  <c r="H106" i="11" s="1"/>
  <c r="E23" i="45"/>
  <c r="AZ3" i="49" s="1"/>
  <c r="H112" i="33"/>
  <c r="H112" i="7" s="1"/>
  <c r="H112" i="8" s="1"/>
  <c r="H112" i="9" s="1"/>
  <c r="H112" i="10" s="1"/>
  <c r="H112" i="11" s="1"/>
  <c r="F18" i="45"/>
  <c r="AV4" i="49" s="1"/>
  <c r="F23" i="45"/>
  <c r="AZ4" i="49" s="1"/>
  <c r="J17" i="45"/>
  <c r="AU8" i="49" s="1"/>
  <c r="J22" i="45"/>
  <c r="AY8" i="49" s="1"/>
  <c r="I14" i="45"/>
  <c r="H18"/>
  <c r="AV6" i="49" s="1"/>
  <c r="H23" i="45"/>
  <c r="AZ6" i="49" s="1"/>
  <c r="G21" i="45"/>
  <c r="AX5" i="49" s="1"/>
  <c r="M23" i="45"/>
  <c r="AZ11" i="49" s="1"/>
  <c r="M22" i="45"/>
  <c r="AY11" i="49" s="1"/>
  <c r="M19" i="45"/>
  <c r="AW11" i="49" s="1"/>
  <c r="M18" i="45"/>
  <c r="AV11" i="49" s="1"/>
  <c r="M15" i="45"/>
  <c r="J15"/>
  <c r="J14"/>
  <c r="G14"/>
  <c r="E14"/>
  <c r="N15"/>
  <c r="Y23"/>
  <c r="AZ23" i="49" s="1"/>
  <c r="H14" i="45"/>
  <c r="Y17"/>
  <c r="AU23" i="49" s="1"/>
  <c r="AF15" i="45"/>
  <c r="AF14"/>
  <c r="H115" i="29"/>
  <c r="J115" s="1"/>
  <c r="AE14" i="45"/>
  <c r="H115" i="28"/>
  <c r="J115" s="1"/>
  <c r="AD14" i="45"/>
  <c r="H115" i="40"/>
  <c r="J115" s="1"/>
  <c r="AB14" i="45"/>
  <c r="H115" i="25"/>
  <c r="J115" s="1"/>
  <c r="AA14" i="45"/>
  <c r="Y15"/>
  <c r="Y14"/>
  <c r="Y22"/>
  <c r="AY23" i="49" s="1"/>
  <c r="Y19" i="45"/>
  <c r="AW23" i="49" s="1"/>
  <c r="Y18" i="45"/>
  <c r="AV23" i="49" s="1"/>
  <c r="X14" i="45"/>
  <c r="W14"/>
  <c r="V14"/>
  <c r="H115" i="18"/>
  <c r="J115" s="1"/>
  <c r="T14" i="45"/>
  <c r="H115" i="17"/>
  <c r="J115" s="1"/>
  <c r="S14" i="45"/>
  <c r="O15"/>
  <c r="H115" i="14"/>
  <c r="J115" s="1"/>
  <c r="P14" i="45"/>
  <c r="O14"/>
  <c r="D18"/>
  <c r="AV2" i="49" s="1"/>
  <c r="D23" i="45"/>
  <c r="AZ2" i="49" s="1"/>
  <c r="D21" i="45"/>
  <c r="D17"/>
  <c r="AU2" i="49" s="1"/>
  <c r="D19" i="45"/>
  <c r="AW2" i="49" s="1"/>
  <c r="AF21" i="45"/>
  <c r="AX30" i="49" s="1"/>
  <c r="AF19" i="45"/>
  <c r="AW30" i="49" s="1"/>
  <c r="AF18" i="45"/>
  <c r="AV30" i="49" s="1"/>
  <c r="AF23" i="45"/>
  <c r="AZ30" i="49" s="1"/>
  <c r="AF17" i="45"/>
  <c r="AU30" i="49" s="1"/>
  <c r="AF22" i="45"/>
  <c r="AY30" i="49" s="1"/>
  <c r="O17" i="45"/>
  <c r="AU13" i="49" s="1"/>
  <c r="O21" i="45"/>
  <c r="AX13" i="49" s="1"/>
  <c r="O22" i="45"/>
  <c r="AY13" i="49" s="1"/>
  <c r="O19" i="45"/>
  <c r="AW13" i="49" s="1"/>
  <c r="O18" i="45"/>
  <c r="AV13" i="49" s="1"/>
  <c r="O23" i="45"/>
  <c r="AZ13" i="49" s="1"/>
  <c r="N21" i="45"/>
  <c r="AX12" i="49" s="1"/>
  <c r="N19" i="45"/>
  <c r="AW12" i="49" s="1"/>
  <c r="H115" i="12"/>
  <c r="J115" s="1"/>
  <c r="N18" i="45"/>
  <c r="AV12" i="49" s="1"/>
  <c r="N23" i="45"/>
  <c r="AZ12" i="49" s="1"/>
  <c r="N17" i="45"/>
  <c r="AU12" i="49" s="1"/>
  <c r="N22" i="45"/>
  <c r="AY12" i="49" s="1"/>
  <c r="G108" i="11"/>
  <c r="M17" i="45"/>
  <c r="AU11" i="49" s="1"/>
  <c r="G113" i="11"/>
  <c r="M21" i="45"/>
  <c r="AX11" i="49" s="1"/>
  <c r="G118" i="11"/>
  <c r="I22" i="45"/>
  <c r="AY7" i="49" s="1"/>
  <c r="G113" i="7"/>
  <c r="G108" i="9"/>
  <c r="K19" i="45"/>
  <c r="AW9" i="49" s="1"/>
  <c r="G118" i="7"/>
  <c r="G113" i="8"/>
  <c r="I18" i="45"/>
  <c r="AV7" i="49" s="1"/>
  <c r="G108" i="7"/>
  <c r="G18" i="45"/>
  <c r="AV5" i="49" s="1"/>
  <c r="G113" i="23"/>
  <c r="Y21" i="45"/>
  <c r="AX23" i="49" s="1"/>
  <c r="G118" i="13"/>
  <c r="G194" i="11"/>
  <c r="G108" i="27"/>
  <c r="G108" i="24"/>
  <c r="G113" i="22"/>
  <c r="G118" i="12"/>
  <c r="G113" i="9"/>
  <c r="G113" i="30"/>
  <c r="G118"/>
  <c r="G118" i="20"/>
  <c r="G118" i="19"/>
  <c r="G113" i="15"/>
  <c r="G108" i="14"/>
  <c r="G118" i="9"/>
  <c r="G118" i="25"/>
  <c r="G113" i="24"/>
  <c r="G108" i="43"/>
  <c r="G118"/>
  <c r="G113"/>
  <c r="G108" i="30"/>
  <c r="G108" i="28"/>
  <c r="G118"/>
  <c r="G108" i="25"/>
  <c r="G118" i="22"/>
  <c r="G118" i="21"/>
  <c r="G108"/>
  <c r="G108" i="20"/>
  <c r="G108" i="19"/>
  <c r="G118" i="18"/>
  <c r="G118" i="16"/>
  <c r="G113"/>
  <c r="H115" i="13"/>
  <c r="J115" s="1"/>
  <c r="G108" i="12"/>
  <c r="G108" i="29"/>
  <c r="G118"/>
  <c r="G118" i="27"/>
  <c r="G113"/>
  <c r="G113" i="40"/>
  <c r="G118"/>
  <c r="G108"/>
  <c r="G113" i="25"/>
  <c r="G118" i="24"/>
  <c r="G108" i="23"/>
  <c r="G118"/>
  <c r="G108" i="22"/>
  <c r="G113" i="19"/>
  <c r="G113" i="18"/>
  <c r="G108"/>
  <c r="G113" i="17"/>
  <c r="G108"/>
  <c r="G108" i="15"/>
  <c r="G118"/>
  <c r="G113" i="14"/>
  <c r="G118"/>
  <c r="G108" i="13"/>
  <c r="G113" i="12"/>
  <c r="G108" i="8"/>
  <c r="G118"/>
  <c r="G113" i="33"/>
  <c r="G118"/>
  <c r="G108"/>
  <c r="H115" i="23"/>
  <c r="J115" s="1"/>
  <c r="H115" i="15"/>
  <c r="J115" s="1"/>
  <c r="H115" i="24"/>
  <c r="J115" s="1"/>
  <c r="H115" i="16"/>
  <c r="J115" s="1"/>
  <c r="G113" i="28"/>
  <c r="G113" i="20"/>
  <c r="G118" i="17"/>
  <c r="G108" i="16"/>
  <c r="G113" i="29"/>
  <c r="G113" i="21"/>
  <c r="G113" i="13"/>
  <c r="H115" i="27"/>
  <c r="J115" s="1"/>
  <c r="H115" i="19"/>
  <c r="J115" s="1"/>
  <c r="H115" i="30"/>
  <c r="J115" s="1"/>
  <c r="G188" i="11"/>
  <c r="G183"/>
  <c r="C33" i="44" l="1"/>
  <c r="N8" i="43"/>
  <c r="E8" i="31"/>
  <c r="F8" s="1"/>
  <c r="G8" s="1"/>
  <c r="K33" i="1"/>
  <c r="G33"/>
  <c r="AS17" i="49"/>
  <c r="BB17"/>
  <c r="AZ17"/>
  <c r="H115" i="43"/>
  <c r="J115" s="1"/>
  <c r="AS26" i="49"/>
  <c r="BA26"/>
  <c r="AS25"/>
  <c r="BA25"/>
  <c r="AT23"/>
  <c r="BB23"/>
  <c r="AS23"/>
  <c r="BA23"/>
  <c r="AT22"/>
  <c r="BB22"/>
  <c r="AS22"/>
  <c r="BA22"/>
  <c r="AT21"/>
  <c r="BB21"/>
  <c r="AS21"/>
  <c r="BA21"/>
  <c r="AT20"/>
  <c r="BB20"/>
  <c r="AS20"/>
  <c r="BA20"/>
  <c r="AS18"/>
  <c r="BA18"/>
  <c r="AS14"/>
  <c r="BA14"/>
  <c r="AT13"/>
  <c r="BB13"/>
  <c r="AS13"/>
  <c r="BA13"/>
  <c r="AT12"/>
  <c r="BB12"/>
  <c r="AT11"/>
  <c r="BB11"/>
  <c r="AS11"/>
  <c r="BA11"/>
  <c r="AT9"/>
  <c r="BB9"/>
  <c r="AS9"/>
  <c r="BA9"/>
  <c r="AT8"/>
  <c r="BB8"/>
  <c r="AS8"/>
  <c r="BA8"/>
  <c r="AT7"/>
  <c r="BB7"/>
  <c r="AS7"/>
  <c r="BA7"/>
  <c r="AS6"/>
  <c r="BA6"/>
  <c r="AS3"/>
  <c r="BA3"/>
  <c r="AT4"/>
  <c r="BB4"/>
  <c r="AT3"/>
  <c r="BB3"/>
  <c r="AT5"/>
  <c r="BB5"/>
  <c r="AT6"/>
  <c r="BB6"/>
  <c r="AS5"/>
  <c r="BA5"/>
  <c r="AS4"/>
  <c r="BA4"/>
  <c r="AS2"/>
  <c r="BA2"/>
  <c r="BA17"/>
  <c r="AX2"/>
  <c r="AX17"/>
  <c r="AY17"/>
  <c r="AY2"/>
  <c r="AT2"/>
  <c r="BB2"/>
  <c r="AV17"/>
  <c r="AT31"/>
  <c r="AS31"/>
  <c r="AT30"/>
  <c r="BB30"/>
  <c r="AS30"/>
  <c r="BA30"/>
  <c r="AS29"/>
  <c r="BA29"/>
  <c r="AS28"/>
  <c r="BA28"/>
  <c r="AW17"/>
  <c r="H115" i="20"/>
  <c r="H105" i="33"/>
  <c r="H105" i="7" s="1"/>
  <c r="H105" i="8" s="1"/>
  <c r="H105" i="9" s="1"/>
  <c r="H105" i="10" s="1"/>
  <c r="H105" i="11" s="1"/>
  <c r="H113" i="33"/>
  <c r="H113" i="7" s="1"/>
  <c r="H113" i="8" s="1"/>
  <c r="H113" i="9" s="1"/>
  <c r="H113" i="10" s="1"/>
  <c r="H113" i="11" s="1"/>
  <c r="H108" i="33"/>
  <c r="H108" i="7" s="1"/>
  <c r="H108" i="8" s="1"/>
  <c r="H108" i="9" s="1"/>
  <c r="H108" i="10" s="1"/>
  <c r="H108" i="11" s="1"/>
  <c r="G121" i="7"/>
  <c r="H118" i="33"/>
  <c r="H118" i="7" s="1"/>
  <c r="H118" i="8" s="1"/>
  <c r="H118" i="9" s="1"/>
  <c r="H118" i="10" s="1"/>
  <c r="H118" i="11" s="1"/>
  <c r="F121"/>
  <c r="G121"/>
  <c r="G121" i="9"/>
  <c r="F121"/>
  <c r="F121" i="8"/>
  <c r="G121"/>
  <c r="F121" i="7"/>
  <c r="G121" i="12"/>
  <c r="F121"/>
  <c r="F121" i="14"/>
  <c r="G121"/>
  <c r="G121" i="17"/>
  <c r="F121"/>
  <c r="G121" i="18"/>
  <c r="F121"/>
  <c r="G121" i="16"/>
  <c r="F121"/>
  <c r="G121" i="43"/>
  <c r="G121" i="13"/>
  <c r="F121"/>
  <c r="F121" i="33"/>
  <c r="G121"/>
  <c r="F121" i="19"/>
  <c r="G121"/>
  <c r="G121" i="15"/>
  <c r="F121"/>
  <c r="G121" i="30"/>
  <c r="G121" i="29"/>
  <c r="G121" i="28"/>
  <c r="G121" i="27"/>
  <c r="G121" i="40"/>
  <c r="G121" i="25"/>
  <c r="G121" i="24"/>
  <c r="F121" i="23"/>
  <c r="G121"/>
  <c r="F121" i="22"/>
  <c r="G121"/>
  <c r="G121" i="21"/>
  <c r="F121"/>
  <c r="F121" i="20"/>
  <c r="G121"/>
  <c r="I8"/>
  <c r="I8" i="19"/>
  <c r="I8" i="18"/>
  <c r="I8" i="17"/>
  <c r="I7" i="16"/>
  <c r="I8"/>
  <c r="I8" i="14"/>
  <c r="I8" i="13"/>
  <c r="N8" i="31" l="1"/>
  <c r="I34" i="1"/>
  <c r="G34"/>
  <c r="K34"/>
  <c r="BO34" s="1"/>
  <c r="C35" i="44"/>
  <c r="E27" i="31"/>
  <c r="G27" s="1"/>
  <c r="G32" s="1"/>
  <c r="H115"/>
  <c r="N115" s="1"/>
  <c r="J115" i="20"/>
  <c r="H115" i="21"/>
  <c r="H121" i="33"/>
  <c r="H121" i="7" s="1"/>
  <c r="H121" i="8" s="1"/>
  <c r="H121" i="9" s="1"/>
  <c r="H121" i="10" s="1"/>
  <c r="H121" i="11" s="1"/>
  <c r="E19" i="8"/>
  <c r="E8"/>
  <c r="E8" i="9" l="1"/>
  <c r="L34" i="1"/>
  <c r="E32" i="47"/>
  <c r="J115" i="31"/>
  <c r="H115" i="22"/>
  <c r="J115" s="1"/>
  <c r="J115" i="21"/>
  <c r="H115" i="33"/>
  <c r="G8" i="13"/>
  <c r="C16" i="44" s="1"/>
  <c r="G8" i="14"/>
  <c r="C17" i="44" s="1"/>
  <c r="G8" i="17"/>
  <c r="C20" i="44" s="1"/>
  <c r="G8" i="18"/>
  <c r="G8" i="19"/>
  <c r="G8" i="20"/>
  <c r="C23" i="44" s="1"/>
  <c r="G8" i="21"/>
  <c r="C24" i="44" s="1"/>
  <c r="G8" i="22"/>
  <c r="C25" i="44" s="1"/>
  <c r="G8" i="23"/>
  <c r="C26" i="44" s="1"/>
  <c r="G8" i="25"/>
  <c r="C28" i="44" s="1"/>
  <c r="G8" i="40"/>
  <c r="C29" i="44" s="1"/>
  <c r="G8" i="27"/>
  <c r="C30" i="44" s="1"/>
  <c r="G8" i="28"/>
  <c r="C31" i="44" s="1"/>
  <c r="G8" i="29"/>
  <c r="C32" i="44" s="1"/>
  <c r="K9" i="43"/>
  <c r="M8"/>
  <c r="G8" i="8" l="1"/>
  <c r="C11" i="44" s="1"/>
  <c r="E8" i="10"/>
  <c r="G8" i="9"/>
  <c r="N11" i="19"/>
  <c r="C22" i="44"/>
  <c r="N11" i="18"/>
  <c r="C21" i="44"/>
  <c r="H115" i="7"/>
  <c r="J115" i="33"/>
  <c r="L8" i="22"/>
  <c r="E27" i="7"/>
  <c r="G27" s="1"/>
  <c r="E27" i="33"/>
  <c r="G27" s="1"/>
  <c r="E27" i="43"/>
  <c r="G27" s="1"/>
  <c r="K18" i="1"/>
  <c r="E27" i="16"/>
  <c r="G27" s="1"/>
  <c r="K27" i="1"/>
  <c r="E27" i="25"/>
  <c r="G27" s="1"/>
  <c r="K28" i="1"/>
  <c r="E27" i="40"/>
  <c r="G27" s="1"/>
  <c r="K30" i="1"/>
  <c r="E27" i="28"/>
  <c r="G27" s="1"/>
  <c r="K14" i="1"/>
  <c r="E27" i="12"/>
  <c r="G27" s="1"/>
  <c r="K31" i="1"/>
  <c r="E27" i="29"/>
  <c r="G27" s="1"/>
  <c r="K23" i="1"/>
  <c r="E27" i="21"/>
  <c r="G27" s="1"/>
  <c r="K15" i="1"/>
  <c r="E27" i="13"/>
  <c r="K25" i="1"/>
  <c r="E27" i="23"/>
  <c r="G27" s="1"/>
  <c r="K17" i="1"/>
  <c r="E27" i="15"/>
  <c r="G27" s="1"/>
  <c r="K26" i="1"/>
  <c r="E27" i="24"/>
  <c r="G27" s="1"/>
  <c r="K19" i="1"/>
  <c r="E27" i="17"/>
  <c r="G27" s="1"/>
  <c r="K20" i="1"/>
  <c r="E27" i="18"/>
  <c r="G27" s="1"/>
  <c r="K29" i="1"/>
  <c r="E27" i="27"/>
  <c r="G27" s="1"/>
  <c r="K21" i="1"/>
  <c r="E27" i="19"/>
  <c r="G27" s="1"/>
  <c r="K22" i="1"/>
  <c r="E27" i="20"/>
  <c r="G27" s="1"/>
  <c r="K32" i="1"/>
  <c r="E27" i="30"/>
  <c r="K24" i="1"/>
  <c r="E27" i="22"/>
  <c r="G27" s="1"/>
  <c r="K16" i="1"/>
  <c r="E27" i="14"/>
  <c r="G27" s="1"/>
  <c r="K9" i="1"/>
  <c r="K8"/>
  <c r="K7"/>
  <c r="K6"/>
  <c r="K5"/>
  <c r="K10" l="1"/>
  <c r="E27" i="8"/>
  <c r="G27" s="1"/>
  <c r="E8" i="11"/>
  <c r="G8" s="1"/>
  <c r="G8" i="10"/>
  <c r="C12" i="44"/>
  <c r="E27" i="9"/>
  <c r="G27" s="1"/>
  <c r="K11" i="1"/>
  <c r="H115" i="8"/>
  <c r="J115" i="7"/>
  <c r="K4" i="1"/>
  <c r="G27" i="13"/>
  <c r="G27" i="30"/>
  <c r="M10" i="29"/>
  <c r="I7"/>
  <c r="C14" i="44" l="1"/>
  <c r="E27" i="11"/>
  <c r="G27" s="1"/>
  <c r="K13" i="1"/>
  <c r="C13" i="44"/>
  <c r="E27" i="10"/>
  <c r="G27" s="1"/>
  <c r="K12" i="1"/>
  <c r="J115" i="8"/>
  <c r="H115" i="9"/>
  <c r="N7" i="28"/>
  <c r="K35" i="1" l="1"/>
  <c r="H35"/>
  <c r="C36" i="44"/>
  <c r="J115" i="9"/>
  <c r="H115" i="10"/>
  <c r="E10" i="28"/>
  <c r="L16" i="27"/>
  <c r="L19" s="1"/>
  <c r="H115" i="11" l="1"/>
  <c r="J115" s="1"/>
  <c r="J115" i="10"/>
  <c r="E23" i="27"/>
  <c r="G23" s="1"/>
  <c r="G24"/>
  <c r="I15"/>
  <c r="L10" i="40"/>
  <c r="G29" i="27" l="1"/>
  <c r="I15" i="40"/>
  <c r="J3" i="25"/>
  <c r="I3"/>
  <c r="H3"/>
  <c r="G3"/>
  <c r="I7"/>
  <c r="I15"/>
  <c r="G18" i="21" l="1"/>
  <c r="E31" l="1"/>
  <c r="G31" s="1"/>
  <c r="W5" i="45"/>
  <c r="G32" i="1"/>
  <c r="G31"/>
  <c r="G30"/>
  <c r="G29"/>
  <c r="G28"/>
  <c r="G27"/>
  <c r="G26"/>
  <c r="G25"/>
  <c r="G24"/>
  <c r="G16"/>
  <c r="G15"/>
  <c r="G14"/>
  <c r="G13"/>
  <c r="G12"/>
  <c r="G11"/>
  <c r="G10"/>
  <c r="G9"/>
  <c r="G8"/>
  <c r="G7"/>
  <c r="G6"/>
  <c r="G5"/>
  <c r="G4"/>
  <c r="G23" l="1"/>
  <c r="G19"/>
  <c r="G21"/>
  <c r="G18"/>
  <c r="G20"/>
  <c r="G17"/>
  <c r="G22"/>
  <c r="E166" i="30"/>
  <c r="G166" s="1"/>
  <c r="E167"/>
  <c r="G167" s="1"/>
  <c r="E168"/>
  <c r="G168" s="1"/>
  <c r="E169"/>
  <c r="G169" s="1"/>
  <c r="E170"/>
  <c r="G170" s="1"/>
  <c r="E171"/>
  <c r="G171" s="1"/>
  <c r="E172"/>
  <c r="G172" s="1"/>
  <c r="E51" i="29"/>
  <c r="E52"/>
  <c r="E53"/>
  <c r="E54"/>
  <c r="E55"/>
  <c r="E56"/>
  <c r="E57"/>
  <c r="E58"/>
  <c r="H17" i="25"/>
  <c r="G35" i="1" l="1"/>
  <c r="E72" i="17"/>
  <c r="E69"/>
  <c r="G172" s="1"/>
  <c r="E68"/>
  <c r="G171" s="1"/>
  <c r="E67"/>
  <c r="G170" s="1"/>
  <c r="E66"/>
  <c r="G169" s="1"/>
  <c r="E65"/>
  <c r="G168" s="1"/>
  <c r="E64"/>
  <c r="G167" s="1"/>
  <c r="E63"/>
  <c r="G166" s="1"/>
  <c r="E62"/>
  <c r="G165" s="1"/>
  <c r="E58"/>
  <c r="E57"/>
  <c r="E56"/>
  <c r="E55"/>
  <c r="E54"/>
  <c r="E53"/>
  <c r="E52"/>
  <c r="E51"/>
  <c r="E49"/>
  <c r="K49" s="1"/>
  <c r="G42"/>
  <c r="E35"/>
  <c r="E10"/>
  <c r="E24" i="12"/>
  <c r="E24" i="11"/>
  <c r="G173" i="17" l="1"/>
  <c r="E49" i="8" l="1"/>
  <c r="E72" l="1"/>
  <c r="E94" i="7" l="1"/>
  <c r="E132" i="25" l="1"/>
  <c r="E133"/>
  <c r="E136"/>
  <c r="E137"/>
  <c r="E138"/>
  <c r="E139"/>
  <c r="E140"/>
  <c r="E141"/>
  <c r="E131"/>
  <c r="E125"/>
  <c r="E126"/>
  <c r="E127"/>
  <c r="E128"/>
  <c r="E124"/>
  <c r="E94"/>
  <c r="E95"/>
  <c r="E96"/>
  <c r="E97"/>
  <c r="E98"/>
  <c r="E99"/>
  <c r="E100"/>
  <c r="E101"/>
  <c r="E93"/>
  <c r="G83"/>
  <c r="Z28" i="44" s="1"/>
  <c r="Y25" i="49" s="1"/>
  <c r="E72" i="25"/>
  <c r="E63"/>
  <c r="E166" s="1"/>
  <c r="G166" s="1"/>
  <c r="E64"/>
  <c r="E167" s="1"/>
  <c r="G167" s="1"/>
  <c r="E65"/>
  <c r="E168" s="1"/>
  <c r="G168" s="1"/>
  <c r="E66"/>
  <c r="E169" s="1"/>
  <c r="G169" s="1"/>
  <c r="E67"/>
  <c r="E170" s="1"/>
  <c r="G170" s="1"/>
  <c r="E68"/>
  <c r="E171" s="1"/>
  <c r="G171" s="1"/>
  <c r="E69"/>
  <c r="E172" s="1"/>
  <c r="G172" s="1"/>
  <c r="E62"/>
  <c r="E165" s="1"/>
  <c r="G165" s="1"/>
  <c r="E50"/>
  <c r="G50" s="1"/>
  <c r="E51"/>
  <c r="E52"/>
  <c r="E53"/>
  <c r="E54"/>
  <c r="E55"/>
  <c r="E56"/>
  <c r="E57"/>
  <c r="E49"/>
  <c r="E35"/>
  <c r="E23"/>
  <c r="G23" s="1"/>
  <c r="E22"/>
  <c r="G22" s="1"/>
  <c r="E19"/>
  <c r="E18"/>
  <c r="G24" l="1"/>
  <c r="E29" s="1"/>
  <c r="G29" s="1"/>
  <c r="L28" i="44"/>
  <c r="K25" i="49" s="1"/>
  <c r="G173" i="25"/>
  <c r="E35" i="13"/>
  <c r="I7" i="9"/>
  <c r="E93" i="8"/>
  <c r="E94"/>
  <c r="I7"/>
  <c r="G141" i="25" l="1"/>
  <c r="G140"/>
  <c r="G139"/>
  <c r="AX28" i="44" s="1"/>
  <c r="G138" i="25"/>
  <c r="G137"/>
  <c r="AV28" i="44" s="1"/>
  <c r="G136" i="25"/>
  <c r="G135"/>
  <c r="H135" s="1"/>
  <c r="G134"/>
  <c r="G133"/>
  <c r="G132"/>
  <c r="G131"/>
  <c r="G128"/>
  <c r="AS28" i="44" s="1"/>
  <c r="BL25" i="49" s="1"/>
  <c r="G127" i="25"/>
  <c r="AR28" i="44" s="1"/>
  <c r="BK25" i="49" s="1"/>
  <c r="G126" i="25"/>
  <c r="AQ28" i="44" s="1"/>
  <c r="BJ25" i="49" s="1"/>
  <c r="G125" i="25"/>
  <c r="AP28" i="44" s="1"/>
  <c r="BI25" i="49" s="1"/>
  <c r="G124" i="25"/>
  <c r="AO28" i="44" s="1"/>
  <c r="BH25" i="49" s="1"/>
  <c r="G101" i="25"/>
  <c r="G100"/>
  <c r="G99"/>
  <c r="AA13" i="45" s="1"/>
  <c r="BC25" i="49" s="1"/>
  <c r="G98" i="25"/>
  <c r="AA11" i="45" s="1"/>
  <c r="AQ25" i="49" s="1"/>
  <c r="G97" i="25"/>
  <c r="AA10" i="45" s="1"/>
  <c r="G96" i="25"/>
  <c r="AA9" i="45" s="1"/>
  <c r="G94" i="25"/>
  <c r="AA8" i="45" s="1"/>
  <c r="AN25" i="49" s="1"/>
  <c r="G93" i="25"/>
  <c r="AA7" i="45" s="1"/>
  <c r="G84" i="25"/>
  <c r="AM28" i="44" s="1"/>
  <c r="AL25" i="49" s="1"/>
  <c r="G82" i="25"/>
  <c r="X28" i="44" s="1"/>
  <c r="W25" i="49" s="1"/>
  <c r="G81" i="25"/>
  <c r="W28" i="44" s="1"/>
  <c r="V25" i="49" s="1"/>
  <c r="G80" i="25"/>
  <c r="V28" i="44" s="1"/>
  <c r="U25" i="49" s="1"/>
  <c r="G79" i="25"/>
  <c r="U28" i="44" s="1"/>
  <c r="T25" i="49" s="1"/>
  <c r="G78" i="25"/>
  <c r="T28" i="44" s="1"/>
  <c r="S25" i="49" s="1"/>
  <c r="G77" i="25"/>
  <c r="S28" i="44" s="1"/>
  <c r="R25" i="49" s="1"/>
  <c r="G76" i="25"/>
  <c r="R28" i="44" s="1"/>
  <c r="Q25" i="49" s="1"/>
  <c r="G75" i="25"/>
  <c r="Q28" i="44" s="1"/>
  <c r="P25" i="49" s="1"/>
  <c r="G74" i="25"/>
  <c r="P28" i="44" s="1"/>
  <c r="O25" i="49" s="1"/>
  <c r="G73" i="25"/>
  <c r="O28" i="44" s="1"/>
  <c r="N25" i="49" s="1"/>
  <c r="G72" i="25"/>
  <c r="N28" i="44" s="1"/>
  <c r="M25" i="49" s="1"/>
  <c r="G69" i="25"/>
  <c r="AL28" i="44" s="1"/>
  <c r="AK25" i="49" s="1"/>
  <c r="G68" i="25"/>
  <c r="AK28" i="44" s="1"/>
  <c r="AJ25" i="49" s="1"/>
  <c r="G67" i="25"/>
  <c r="AJ28" i="44" s="1"/>
  <c r="AI25" i="49" s="1"/>
  <c r="G66" i="25"/>
  <c r="AI28" i="44" s="1"/>
  <c r="AH25" i="49" s="1"/>
  <c r="G65" i="25"/>
  <c r="AH28" i="44" s="1"/>
  <c r="AG25" i="49" s="1"/>
  <c r="G64" i="25"/>
  <c r="AG28" i="44" s="1"/>
  <c r="AF25" i="49" s="1"/>
  <c r="G63" i="25"/>
  <c r="AF28" i="44" s="1"/>
  <c r="AE25" i="49" s="1"/>
  <c r="G62" i="25"/>
  <c r="AE28" i="44" s="1"/>
  <c r="AD25" i="49" s="1"/>
  <c r="G58" i="25"/>
  <c r="Y28" i="44" s="1"/>
  <c r="X25" i="49" s="1"/>
  <c r="G57" i="25"/>
  <c r="G56"/>
  <c r="G55"/>
  <c r="G54"/>
  <c r="G53"/>
  <c r="G52"/>
  <c r="G51"/>
  <c r="G49"/>
  <c r="G46"/>
  <c r="G45"/>
  <c r="G44"/>
  <c r="G43"/>
  <c r="G42"/>
  <c r="G41"/>
  <c r="G40"/>
  <c r="G39"/>
  <c r="G38"/>
  <c r="G37"/>
  <c r="G36"/>
  <c r="G35"/>
  <c r="G19"/>
  <c r="E30" s="1"/>
  <c r="G30" s="1"/>
  <c r="G18"/>
  <c r="G10"/>
  <c r="G20" l="1"/>
  <c r="E28" i="44" s="1"/>
  <c r="E31" i="25"/>
  <c r="G31" s="1"/>
  <c r="AA27" i="45"/>
  <c r="BF25" i="49" s="1"/>
  <c r="AR25"/>
  <c r="AP25"/>
  <c r="AM25"/>
  <c r="AA29" i="45"/>
  <c r="AO25" i="49"/>
  <c r="M28" i="44"/>
  <c r="L25" i="49" s="1"/>
  <c r="K28" i="44"/>
  <c r="J25" i="49" s="1"/>
  <c r="I28" i="44"/>
  <c r="H25" i="49" s="1"/>
  <c r="AU28" i="44"/>
  <c r="J28"/>
  <c r="I25" i="49" s="1"/>
  <c r="G28" i="44"/>
  <c r="F25" i="49" s="1"/>
  <c r="F28" i="44"/>
  <c r="E25" i="49" s="1"/>
  <c r="H28" i="44"/>
  <c r="G25" i="49" s="1"/>
  <c r="G85" i="25"/>
  <c r="AA30" i="45"/>
  <c r="AA5"/>
  <c r="H138" i="25"/>
  <c r="J138" s="1"/>
  <c r="AW28" i="44"/>
  <c r="AY28" s="1"/>
  <c r="AA25" i="45"/>
  <c r="BE25" i="49" s="1"/>
  <c r="AA6" i="45"/>
  <c r="G120" i="25"/>
  <c r="G119"/>
  <c r="H136"/>
  <c r="J136" s="1"/>
  <c r="H139"/>
  <c r="J139" s="1"/>
  <c r="G151"/>
  <c r="I134"/>
  <c r="G47"/>
  <c r="G145"/>
  <c r="G153"/>
  <c r="G102"/>
  <c r="J135"/>
  <c r="I137"/>
  <c r="G149"/>
  <c r="G59"/>
  <c r="G95"/>
  <c r="I139"/>
  <c r="G147"/>
  <c r="G143"/>
  <c r="E50" i="14"/>
  <c r="E51"/>
  <c r="E52"/>
  <c r="E53"/>
  <c r="E54"/>
  <c r="E55"/>
  <c r="E56"/>
  <c r="E57"/>
  <c r="E58"/>
  <c r="E36"/>
  <c r="E37"/>
  <c r="E38"/>
  <c r="E39"/>
  <c r="E41"/>
  <c r="E42"/>
  <c r="E43"/>
  <c r="E44"/>
  <c r="E41" i="13"/>
  <c r="G41" s="1"/>
  <c r="AA31" i="45" l="1"/>
  <c r="AA24"/>
  <c r="BD25" i="49" s="1"/>
  <c r="G60" i="25"/>
  <c r="E124" i="30"/>
  <c r="E35" i="28"/>
  <c r="G35" s="1"/>
  <c r="E36" i="23" l="1"/>
  <c r="E37"/>
  <c r="E38"/>
  <c r="E39"/>
  <c r="E43"/>
  <c r="G43" s="1"/>
  <c r="E44"/>
  <c r="E45"/>
  <c r="E46"/>
  <c r="E69" i="16"/>
  <c r="E172" s="1"/>
  <c r="G172" s="1"/>
  <c r="E68"/>
  <c r="E171" s="1"/>
  <c r="G171" s="1"/>
  <c r="E67"/>
  <c r="E170" s="1"/>
  <c r="G170" s="1"/>
  <c r="E66"/>
  <c r="E169" s="1"/>
  <c r="G169" s="1"/>
  <c r="E65"/>
  <c r="E168" s="1"/>
  <c r="G168" s="1"/>
  <c r="E64"/>
  <c r="E167" s="1"/>
  <c r="G167" s="1"/>
  <c r="E63"/>
  <c r="E166" s="1"/>
  <c r="G166" s="1"/>
  <c r="E165"/>
  <c r="G165" s="1"/>
  <c r="E58"/>
  <c r="E57"/>
  <c r="E56"/>
  <c r="E55"/>
  <c r="E54"/>
  <c r="E53"/>
  <c r="E52"/>
  <c r="E51"/>
  <c r="E50"/>
  <c r="E49"/>
  <c r="K49" s="1"/>
  <c r="E44"/>
  <c r="E43"/>
  <c r="E42"/>
  <c r="E41"/>
  <c r="G41" s="1"/>
  <c r="E40"/>
  <c r="E39"/>
  <c r="E38"/>
  <c r="E37"/>
  <c r="E36"/>
  <c r="E10"/>
  <c r="I7" i="15"/>
  <c r="E36" i="13"/>
  <c r="E39"/>
  <c r="E42"/>
  <c r="E43"/>
  <c r="E44"/>
  <c r="E55" i="40" l="1"/>
  <c r="E56"/>
  <c r="E57"/>
  <c r="E58"/>
  <c r="I7" i="7"/>
  <c r="I7" i="43"/>
  <c r="I7" i="30"/>
  <c r="I7" i="28"/>
  <c r="I7" i="27"/>
  <c r="I7" i="40"/>
  <c r="I7" i="21"/>
  <c r="I7" i="22"/>
  <c r="I7" i="24"/>
  <c r="I7" i="14"/>
  <c r="I7" i="13"/>
  <c r="I7" i="33"/>
  <c r="E23" i="19" l="1"/>
  <c r="E98" i="17"/>
  <c r="G98" s="1"/>
  <c r="S11" i="45" s="1"/>
  <c r="E97" i="17"/>
  <c r="G97" s="1"/>
  <c r="E125" i="13"/>
  <c r="G125" s="1"/>
  <c r="E126"/>
  <c r="G126" s="1"/>
  <c r="E127"/>
  <c r="G127" s="1"/>
  <c r="E128"/>
  <c r="G128" s="1"/>
  <c r="E63"/>
  <c r="E64"/>
  <c r="E42" i="7"/>
  <c r="G42" s="1"/>
  <c r="AW9" i="1" s="1"/>
  <c r="BI32" i="49"/>
  <c r="BJ32"/>
  <c r="BK32"/>
  <c r="BL32"/>
  <c r="AH10" i="45"/>
  <c r="AH11"/>
  <c r="AQ32" i="49" s="1"/>
  <c r="AH13" i="45"/>
  <c r="BC32" i="49" s="1"/>
  <c r="AH9" i="45"/>
  <c r="AH7"/>
  <c r="N32" i="49"/>
  <c r="Q32"/>
  <c r="R32"/>
  <c r="S32"/>
  <c r="T32"/>
  <c r="U32"/>
  <c r="V32"/>
  <c r="W32"/>
  <c r="Y32"/>
  <c r="M32"/>
  <c r="AF32"/>
  <c r="AG32"/>
  <c r="AH32"/>
  <c r="AI32"/>
  <c r="AJ32"/>
  <c r="AK32"/>
  <c r="G132" i="43"/>
  <c r="G133"/>
  <c r="AA33" i="1" s="1"/>
  <c r="G135" i="43"/>
  <c r="G136"/>
  <c r="G137"/>
  <c r="AD34" i="1" s="1"/>
  <c r="G138" i="43"/>
  <c r="G139"/>
  <c r="AI34" i="1" s="1"/>
  <c r="G140" i="43"/>
  <c r="AJ34" i="1" s="1"/>
  <c r="G141" i="43"/>
  <c r="E131"/>
  <c r="G131" s="1"/>
  <c r="E125"/>
  <c r="G125" s="1"/>
  <c r="E126"/>
  <c r="G126" s="1"/>
  <c r="AQ34" i="44" s="1"/>
  <c r="BJ31" i="49" s="1"/>
  <c r="E127" i="43"/>
  <c r="G127" s="1"/>
  <c r="AR34" i="44" s="1"/>
  <c r="BK31" i="49" s="1"/>
  <c r="E128" i="43"/>
  <c r="G128" s="1"/>
  <c r="AS34" i="44" s="1"/>
  <c r="BL31" i="49" s="1"/>
  <c r="E124" i="43"/>
  <c r="G124" s="1"/>
  <c r="AP33" i="1" s="1"/>
  <c r="E97" i="43"/>
  <c r="G97" s="1"/>
  <c r="E98"/>
  <c r="G98" s="1"/>
  <c r="E99"/>
  <c r="G99" s="1"/>
  <c r="G100"/>
  <c r="E96"/>
  <c r="G96" s="1"/>
  <c r="W33" i="1" s="1"/>
  <c r="E94" i="43"/>
  <c r="G94" s="1"/>
  <c r="AG8" i="45" s="1"/>
  <c r="AN31" i="49" s="1"/>
  <c r="E93" i="43"/>
  <c r="G93" s="1"/>
  <c r="AG7" i="45" s="1"/>
  <c r="E73" i="43"/>
  <c r="G73" s="1"/>
  <c r="O34" i="44" s="1"/>
  <c r="N31" i="49" s="1"/>
  <c r="E74" i="43"/>
  <c r="G74" s="1"/>
  <c r="P34" i="44" s="1"/>
  <c r="O31" i="49" s="1"/>
  <c r="E75" i="43"/>
  <c r="G75" s="1"/>
  <c r="Q34" i="44" s="1"/>
  <c r="P31" i="49" s="1"/>
  <c r="E76" i="43"/>
  <c r="G76" s="1"/>
  <c r="R34" i="44" s="1"/>
  <c r="Q31" i="49" s="1"/>
  <c r="E77" i="43"/>
  <c r="G77" s="1"/>
  <c r="S34" i="44" s="1"/>
  <c r="R31" i="49" s="1"/>
  <c r="E78" i="43"/>
  <c r="G78" s="1"/>
  <c r="T34" i="44" s="1"/>
  <c r="S31" i="49" s="1"/>
  <c r="E79" i="43"/>
  <c r="G79" s="1"/>
  <c r="U34" i="44" s="1"/>
  <c r="T31" i="49" s="1"/>
  <c r="E80" i="43"/>
  <c r="G80" s="1"/>
  <c r="V34" i="44" s="1"/>
  <c r="U31" i="49" s="1"/>
  <c r="E81" i="43"/>
  <c r="G81" s="1"/>
  <c r="W34" i="44" s="1"/>
  <c r="V31" i="49" s="1"/>
  <c r="E82" i="43"/>
  <c r="G82" s="1"/>
  <c r="X34" i="44" s="1"/>
  <c r="W31" i="49" s="1"/>
  <c r="E83" i="43"/>
  <c r="G83" s="1"/>
  <c r="Z34" i="44" s="1"/>
  <c r="Y31" i="49" s="1"/>
  <c r="E84" i="43"/>
  <c r="G84" s="1"/>
  <c r="E72"/>
  <c r="G72" s="1"/>
  <c r="N34" i="44" s="1"/>
  <c r="M31" i="49" s="1"/>
  <c r="E63" i="43"/>
  <c r="E64"/>
  <c r="E65"/>
  <c r="E66"/>
  <c r="E67"/>
  <c r="E68"/>
  <c r="E69"/>
  <c r="E62"/>
  <c r="G50"/>
  <c r="G51"/>
  <c r="G52"/>
  <c r="G53"/>
  <c r="G54"/>
  <c r="G55"/>
  <c r="G56"/>
  <c r="G57"/>
  <c r="G58"/>
  <c r="E49"/>
  <c r="G49" s="1"/>
  <c r="G36"/>
  <c r="G37"/>
  <c r="G38"/>
  <c r="G39"/>
  <c r="G40"/>
  <c r="G41"/>
  <c r="G42"/>
  <c r="G43"/>
  <c r="G44"/>
  <c r="G45"/>
  <c r="G46"/>
  <c r="E35"/>
  <c r="G35" s="1"/>
  <c r="E19"/>
  <c r="G19" s="1"/>
  <c r="E18"/>
  <c r="G10"/>
  <c r="E36" i="40"/>
  <c r="G36" s="1"/>
  <c r="E37"/>
  <c r="G37" s="1"/>
  <c r="E38"/>
  <c r="G38" s="1"/>
  <c r="E39"/>
  <c r="G39" s="1"/>
  <c r="E40"/>
  <c r="G40" s="1"/>
  <c r="E41"/>
  <c r="G41" s="1"/>
  <c r="E42"/>
  <c r="G42" s="1"/>
  <c r="E43"/>
  <c r="G43" s="1"/>
  <c r="E44"/>
  <c r="G44" s="1"/>
  <c r="E45"/>
  <c r="G45" s="1"/>
  <c r="E46"/>
  <c r="G46" s="1"/>
  <c r="G40" i="17"/>
  <c r="E101"/>
  <c r="G101" s="1"/>
  <c r="E100"/>
  <c r="G100" s="1"/>
  <c r="AM13" i="44"/>
  <c r="AL10" i="49" s="1"/>
  <c r="G22" i="43"/>
  <c r="G18"/>
  <c r="I15"/>
  <c r="G36" i="27"/>
  <c r="G37"/>
  <c r="G38"/>
  <c r="G39"/>
  <c r="G40"/>
  <c r="G41"/>
  <c r="G42"/>
  <c r="G43"/>
  <c r="G44"/>
  <c r="G45"/>
  <c r="G46"/>
  <c r="X27" i="1"/>
  <c r="Y27"/>
  <c r="G58" i="19"/>
  <c r="Y22" i="44" s="1"/>
  <c r="X19" i="49" s="1"/>
  <c r="E52" i="18"/>
  <c r="G52" s="1"/>
  <c r="BC20" i="1" s="1"/>
  <c r="E54" i="18"/>
  <c r="G54" s="1"/>
  <c r="BE20" i="1" s="1"/>
  <c r="G136" i="16"/>
  <c r="AD18" i="1" s="1"/>
  <c r="BH5"/>
  <c r="BG5"/>
  <c r="BF5"/>
  <c r="BE5"/>
  <c r="BD5"/>
  <c r="BB5"/>
  <c r="BA5"/>
  <c r="E126" i="42"/>
  <c r="G126" s="1"/>
  <c r="E125"/>
  <c r="G125" s="1"/>
  <c r="E124"/>
  <c r="G124" s="1"/>
  <c r="E123"/>
  <c r="G123" s="1"/>
  <c r="E122"/>
  <c r="G122" s="1"/>
  <c r="E121"/>
  <c r="G121" s="1"/>
  <c r="E120"/>
  <c r="G120" s="1"/>
  <c r="E119"/>
  <c r="G119" s="1"/>
  <c r="E118"/>
  <c r="G118" s="1"/>
  <c r="E117"/>
  <c r="G117" s="1"/>
  <c r="E116"/>
  <c r="G116" s="1"/>
  <c r="E101"/>
  <c r="G101" s="1"/>
  <c r="E100"/>
  <c r="G100" s="1"/>
  <c r="E99"/>
  <c r="G99" s="1"/>
  <c r="E98"/>
  <c r="G98" s="1"/>
  <c r="E97"/>
  <c r="G97" s="1"/>
  <c r="E94"/>
  <c r="G94" s="1"/>
  <c r="E93"/>
  <c r="G93" s="1"/>
  <c r="E92"/>
  <c r="G92" s="1"/>
  <c r="E91"/>
  <c r="G91" s="1"/>
  <c r="G90"/>
  <c r="E89"/>
  <c r="G89" s="1"/>
  <c r="E88"/>
  <c r="E87"/>
  <c r="G87" s="1"/>
  <c r="E86"/>
  <c r="G86" s="1"/>
  <c r="E83"/>
  <c r="G83" s="1"/>
  <c r="E82"/>
  <c r="G82" s="1"/>
  <c r="E81"/>
  <c r="G81" s="1"/>
  <c r="E80"/>
  <c r="G80" s="1"/>
  <c r="E79"/>
  <c r="G79" s="1"/>
  <c r="E78"/>
  <c r="G78" s="1"/>
  <c r="E77"/>
  <c r="G77" s="1"/>
  <c r="E76"/>
  <c r="G76" s="1"/>
  <c r="E75"/>
  <c r="G75" s="1"/>
  <c r="E74"/>
  <c r="G74" s="1"/>
  <c r="E73"/>
  <c r="G73" s="1"/>
  <c r="E72"/>
  <c r="G72" s="1"/>
  <c r="E71"/>
  <c r="G71" s="1"/>
  <c r="E68"/>
  <c r="G68" s="1"/>
  <c r="E67"/>
  <c r="G67" s="1"/>
  <c r="E66"/>
  <c r="G66" s="1"/>
  <c r="E65"/>
  <c r="G65" s="1"/>
  <c r="E64"/>
  <c r="G64" s="1"/>
  <c r="E63"/>
  <c r="G63" s="1"/>
  <c r="E62"/>
  <c r="G62" s="1"/>
  <c r="E61"/>
  <c r="G61" s="1"/>
  <c r="E57"/>
  <c r="G57" s="1"/>
  <c r="E56"/>
  <c r="G56" s="1"/>
  <c r="E55"/>
  <c r="G55" s="1"/>
  <c r="E54"/>
  <c r="G54" s="1"/>
  <c r="E53"/>
  <c r="G53" s="1"/>
  <c r="E52"/>
  <c r="G52" s="1"/>
  <c r="E51"/>
  <c r="G51" s="1"/>
  <c r="E50"/>
  <c r="G50" s="1"/>
  <c r="E49"/>
  <c r="G49" s="1"/>
  <c r="E48"/>
  <c r="G48" s="1"/>
  <c r="E45"/>
  <c r="G45" s="1"/>
  <c r="E44"/>
  <c r="G44" s="1"/>
  <c r="E43"/>
  <c r="G43" s="1"/>
  <c r="E42"/>
  <c r="G42" s="1"/>
  <c r="E41"/>
  <c r="G41" s="1"/>
  <c r="E40"/>
  <c r="G40" s="1"/>
  <c r="E39"/>
  <c r="G39" s="1"/>
  <c r="E38"/>
  <c r="G38" s="1"/>
  <c r="E37"/>
  <c r="G37" s="1"/>
  <c r="E36"/>
  <c r="G36" s="1"/>
  <c r="E35"/>
  <c r="G35" s="1"/>
  <c r="E34"/>
  <c r="G34" s="1"/>
  <c r="E29"/>
  <c r="G29" s="1"/>
  <c r="E24"/>
  <c r="E23"/>
  <c r="E22"/>
  <c r="G22" s="1"/>
  <c r="E19"/>
  <c r="G19" s="1"/>
  <c r="G18"/>
  <c r="E18"/>
  <c r="I15"/>
  <c r="E12"/>
  <c r="E11"/>
  <c r="G11" s="1"/>
  <c r="E10"/>
  <c r="G10" s="1"/>
  <c r="I7"/>
  <c r="J3"/>
  <c r="I3"/>
  <c r="H3"/>
  <c r="G3"/>
  <c r="I15" i="24"/>
  <c r="E101" i="20"/>
  <c r="G101" s="1"/>
  <c r="G36" i="11"/>
  <c r="G37"/>
  <c r="G38"/>
  <c r="G39"/>
  <c r="G40"/>
  <c r="G41"/>
  <c r="G42"/>
  <c r="AW13" i="1" s="1"/>
  <c r="G43" i="11"/>
  <c r="G44"/>
  <c r="G45"/>
  <c r="G46"/>
  <c r="AB12" i="1"/>
  <c r="AC12"/>
  <c r="AL12"/>
  <c r="AM12"/>
  <c r="AP13" i="44"/>
  <c r="BI10" i="49" s="1"/>
  <c r="AQ13" i="44"/>
  <c r="BJ10" i="49" s="1"/>
  <c r="AR13" i="44"/>
  <c r="BK10" i="49" s="1"/>
  <c r="AS13" i="44"/>
  <c r="BL10" i="49" s="1"/>
  <c r="O13" i="44"/>
  <c r="N10" i="49" s="1"/>
  <c r="P13" i="44"/>
  <c r="O10" i="49" s="1"/>
  <c r="Q13" i="44"/>
  <c r="P10" i="49" s="1"/>
  <c r="R13" i="44"/>
  <c r="Q10" i="49" s="1"/>
  <c r="S13" i="44"/>
  <c r="R10" i="49" s="1"/>
  <c r="T13" i="44"/>
  <c r="S10" i="49" s="1"/>
  <c r="U13" i="44"/>
  <c r="T10" i="49" s="1"/>
  <c r="V13" i="44"/>
  <c r="U10" i="49" s="1"/>
  <c r="W13" i="44"/>
  <c r="V10" i="49" s="1"/>
  <c r="X13" i="44"/>
  <c r="W10" i="49" s="1"/>
  <c r="Z13" i="44"/>
  <c r="Y10" i="49" s="1"/>
  <c r="G73" i="30"/>
  <c r="G74"/>
  <c r="G75"/>
  <c r="G76"/>
  <c r="G77"/>
  <c r="G78"/>
  <c r="G79"/>
  <c r="G80"/>
  <c r="G81"/>
  <c r="G82"/>
  <c r="G83"/>
  <c r="G84"/>
  <c r="BK27" i="1"/>
  <c r="AZ27"/>
  <c r="AR27"/>
  <c r="AS27"/>
  <c r="AW27"/>
  <c r="AY27"/>
  <c r="E128" i="20"/>
  <c r="G128" s="1"/>
  <c r="AS23" i="44" s="1"/>
  <c r="BL20" i="49" s="1"/>
  <c r="E127" i="20"/>
  <c r="G127" s="1"/>
  <c r="AR23" i="44" s="1"/>
  <c r="BK20" i="49" s="1"/>
  <c r="E126" i="20"/>
  <c r="G126" s="1"/>
  <c r="AQ23" i="44" s="1"/>
  <c r="BJ20" i="49" s="1"/>
  <c r="E96" i="20"/>
  <c r="G96" s="1"/>
  <c r="V9" i="45" s="1"/>
  <c r="E97" i="20"/>
  <c r="G97" s="1"/>
  <c r="E98"/>
  <c r="G98" s="1"/>
  <c r="E99"/>
  <c r="G99" s="1"/>
  <c r="V13" i="45" s="1"/>
  <c r="BC20" i="49" s="1"/>
  <c r="E100" i="20"/>
  <c r="G100" s="1"/>
  <c r="G73" i="15"/>
  <c r="G74"/>
  <c r="G75"/>
  <c r="G76"/>
  <c r="G77"/>
  <c r="G78"/>
  <c r="G79"/>
  <c r="G80"/>
  <c r="G81"/>
  <c r="G82"/>
  <c r="G83"/>
  <c r="G84"/>
  <c r="E9"/>
  <c r="G73" i="13"/>
  <c r="E74"/>
  <c r="G74" s="1"/>
  <c r="E75"/>
  <c r="G75" s="1"/>
  <c r="E76"/>
  <c r="G76" s="1"/>
  <c r="E77"/>
  <c r="G77" s="1"/>
  <c r="E78"/>
  <c r="G78" s="1"/>
  <c r="E79"/>
  <c r="G79" s="1"/>
  <c r="E80"/>
  <c r="G80" s="1"/>
  <c r="E81"/>
  <c r="G81" s="1"/>
  <c r="E82"/>
  <c r="G82" s="1"/>
  <c r="E83"/>
  <c r="G83" s="1"/>
  <c r="E84"/>
  <c r="G84" s="1"/>
  <c r="E65"/>
  <c r="E66"/>
  <c r="E67"/>
  <c r="E68"/>
  <c r="E69"/>
  <c r="G36"/>
  <c r="G37"/>
  <c r="G38"/>
  <c r="G39"/>
  <c r="G40"/>
  <c r="G42"/>
  <c r="G43"/>
  <c r="G44"/>
  <c r="G45"/>
  <c r="G46"/>
  <c r="G134" i="12"/>
  <c r="G135"/>
  <c r="G136"/>
  <c r="G137"/>
  <c r="G138"/>
  <c r="G139"/>
  <c r="G140"/>
  <c r="G141"/>
  <c r="BD14" i="1"/>
  <c r="BE14"/>
  <c r="BF14"/>
  <c r="BG14"/>
  <c r="BH14"/>
  <c r="G36" i="12"/>
  <c r="G37"/>
  <c r="G38"/>
  <c r="G39"/>
  <c r="G40"/>
  <c r="G41"/>
  <c r="G42"/>
  <c r="G43"/>
  <c r="G44"/>
  <c r="G45"/>
  <c r="G46"/>
  <c r="G97" i="11"/>
  <c r="M10" i="45" s="1"/>
  <c r="G98" i="11"/>
  <c r="G99"/>
  <c r="M13" i="45" s="1"/>
  <c r="BC11" i="49" s="1"/>
  <c r="G100" i="11"/>
  <c r="G101"/>
  <c r="G94"/>
  <c r="M8" i="45" s="1"/>
  <c r="AN11" i="49" s="1"/>
  <c r="G73" i="11"/>
  <c r="O14" i="44" s="1"/>
  <c r="N11" i="49" s="1"/>
  <c r="G74" i="11"/>
  <c r="P14" i="44" s="1"/>
  <c r="O11" i="49" s="1"/>
  <c r="G75" i="11"/>
  <c r="Q14" i="44" s="1"/>
  <c r="P11" i="49" s="1"/>
  <c r="G76" i="11"/>
  <c r="R14" i="44" s="1"/>
  <c r="Q11" i="49" s="1"/>
  <c r="G77" i="11"/>
  <c r="S14" i="44" s="1"/>
  <c r="R11" i="49" s="1"/>
  <c r="G78" i="11"/>
  <c r="T14" i="44" s="1"/>
  <c r="S11" i="49" s="1"/>
  <c r="G79" i="11"/>
  <c r="U14" i="44" s="1"/>
  <c r="T11" i="49" s="1"/>
  <c r="V14" i="44"/>
  <c r="U11" i="49" s="1"/>
  <c r="G81" i="11"/>
  <c r="W14" i="44" s="1"/>
  <c r="V11" i="49" s="1"/>
  <c r="G82" i="11"/>
  <c r="X14" i="44" s="1"/>
  <c r="W11" i="49" s="1"/>
  <c r="G83" i="11"/>
  <c r="Z14" i="44" s="1"/>
  <c r="Y11" i="49" s="1"/>
  <c r="G84" i="11"/>
  <c r="AM14" i="44" s="1"/>
  <c r="AL11" i="49" s="1"/>
  <c r="G50" i="11"/>
  <c r="G51"/>
  <c r="G52"/>
  <c r="BC13" i="1" s="1"/>
  <c r="G53" i="11"/>
  <c r="BD13" i="1" s="1"/>
  <c r="G54" i="11"/>
  <c r="BE13" i="1" s="1"/>
  <c r="G55" i="11"/>
  <c r="BF13" i="1" s="1"/>
  <c r="G56" i="11"/>
  <c r="BG13" i="1" s="1"/>
  <c r="G57" i="11"/>
  <c r="BH13" i="1" s="1"/>
  <c r="G58" i="11"/>
  <c r="Y14" i="44" s="1"/>
  <c r="X11" i="49" s="1"/>
  <c r="G9" i="8"/>
  <c r="G10"/>
  <c r="G11"/>
  <c r="G12"/>
  <c r="E18"/>
  <c r="G18"/>
  <c r="G19"/>
  <c r="G22"/>
  <c r="E35"/>
  <c r="G35" s="1"/>
  <c r="G36"/>
  <c r="G37"/>
  <c r="G38"/>
  <c r="G39"/>
  <c r="G40"/>
  <c r="G41"/>
  <c r="G42"/>
  <c r="AW10" i="1" s="1"/>
  <c r="G43" i="8"/>
  <c r="G44"/>
  <c r="G45"/>
  <c r="G46"/>
  <c r="G49"/>
  <c r="BA10" i="1" s="1"/>
  <c r="G50" i="8"/>
  <c r="G51"/>
  <c r="BB10" i="1" s="1"/>
  <c r="G52" i="8"/>
  <c r="BC10" i="1" s="1"/>
  <c r="G53" i="8"/>
  <c r="BD10" i="1" s="1"/>
  <c r="G54" i="8"/>
  <c r="BE10" i="1" s="1"/>
  <c r="G55" i="8"/>
  <c r="BF10" i="1" s="1"/>
  <c r="G56" i="8"/>
  <c r="G57"/>
  <c r="BH10" i="1" s="1"/>
  <c r="G58" i="8"/>
  <c r="Y11" i="44" s="1"/>
  <c r="X8" i="49" s="1"/>
  <c r="E62" i="8"/>
  <c r="G62" s="1"/>
  <c r="AE11" i="44" s="1"/>
  <c r="AD8" i="49" s="1"/>
  <c r="E63" i="8"/>
  <c r="G63" s="1"/>
  <c r="AF11" i="44" s="1"/>
  <c r="AE8" i="49" s="1"/>
  <c r="E64" i="8"/>
  <c r="G64" s="1"/>
  <c r="AG11" i="44" s="1"/>
  <c r="AF8" i="49" s="1"/>
  <c r="E65" i="8"/>
  <c r="G65" s="1"/>
  <c r="AH11" i="44" s="1"/>
  <c r="AG8" i="49" s="1"/>
  <c r="E66" i="8"/>
  <c r="G66" s="1"/>
  <c r="AI11" i="44" s="1"/>
  <c r="AH8" i="49" s="1"/>
  <c r="E67" i="8"/>
  <c r="G67" s="1"/>
  <c r="AJ11" i="44" s="1"/>
  <c r="AI8" i="49" s="1"/>
  <c r="E68" i="8"/>
  <c r="G68" s="1"/>
  <c r="AK11" i="44" s="1"/>
  <c r="AJ8" i="49" s="1"/>
  <c r="E69" i="8"/>
  <c r="G69" s="1"/>
  <c r="G72"/>
  <c r="G73"/>
  <c r="O11" i="44" s="1"/>
  <c r="N8" i="49" s="1"/>
  <c r="G74" i="8"/>
  <c r="P11" i="44" s="1"/>
  <c r="O8" i="49" s="1"/>
  <c r="G75" i="8"/>
  <c r="Q11" i="44" s="1"/>
  <c r="P8" i="49" s="1"/>
  <c r="G76" i="8"/>
  <c r="R11" i="44" s="1"/>
  <c r="Q8" i="49" s="1"/>
  <c r="G77" i="8"/>
  <c r="S11" i="44" s="1"/>
  <c r="R8" i="49" s="1"/>
  <c r="G78" i="8"/>
  <c r="T11" i="44" s="1"/>
  <c r="S8" i="49" s="1"/>
  <c r="G79" i="8"/>
  <c r="U11" i="44" s="1"/>
  <c r="T8" i="49" s="1"/>
  <c r="G80" i="8"/>
  <c r="V11" i="44" s="1"/>
  <c r="U8" i="49" s="1"/>
  <c r="G81" i="8"/>
  <c r="W11" i="44" s="1"/>
  <c r="V8" i="49" s="1"/>
  <c r="G82" i="8"/>
  <c r="X11" i="44" s="1"/>
  <c r="W8" i="49" s="1"/>
  <c r="G83" i="8"/>
  <c r="Z11" i="44" s="1"/>
  <c r="Y8" i="49" s="1"/>
  <c r="G84" i="8"/>
  <c r="G93"/>
  <c r="J7" i="45" s="1"/>
  <c r="G94" i="8"/>
  <c r="J8" i="45" s="1"/>
  <c r="AN8" i="49" s="1"/>
  <c r="E95" i="8"/>
  <c r="E96"/>
  <c r="G96" s="1"/>
  <c r="J9" i="45" s="1"/>
  <c r="E97" i="8"/>
  <c r="G97" s="1"/>
  <c r="E98"/>
  <c r="G98" s="1"/>
  <c r="E99"/>
  <c r="G99" s="1"/>
  <c r="J13" i="45" s="1"/>
  <c r="BC8" i="49" s="1"/>
  <c r="E100" i="8"/>
  <c r="G100" s="1"/>
  <c r="E101"/>
  <c r="G101" s="1"/>
  <c r="G124"/>
  <c r="G125"/>
  <c r="AP11" i="44" s="1"/>
  <c r="BI8" i="49" s="1"/>
  <c r="G126" i="8"/>
  <c r="AQ11" i="44" s="1"/>
  <c r="BJ8" i="49" s="1"/>
  <c r="G127" i="8"/>
  <c r="AR11" i="44" s="1"/>
  <c r="BK8" i="49" s="1"/>
  <c r="G128" i="8"/>
  <c r="AS11" i="44" s="1"/>
  <c r="BL8" i="49" s="1"/>
  <c r="E131" i="8"/>
  <c r="G131" s="1"/>
  <c r="E132"/>
  <c r="G132" s="1"/>
  <c r="E133"/>
  <c r="G133" s="1"/>
  <c r="E134"/>
  <c r="G134" s="1"/>
  <c r="AB10" i="1" s="1"/>
  <c r="E135" i="8"/>
  <c r="G135" s="1"/>
  <c r="AC10" i="1" s="1"/>
  <c r="E136" i="8"/>
  <c r="G136" s="1"/>
  <c r="E137"/>
  <c r="G137" s="1"/>
  <c r="AV11" i="44" s="1"/>
  <c r="E138" i="8"/>
  <c r="G138" s="1"/>
  <c r="AW11" i="44" s="1"/>
  <c r="E139" i="8"/>
  <c r="G139" s="1"/>
  <c r="E140"/>
  <c r="G140" s="1"/>
  <c r="E141"/>
  <c r="G141" s="1"/>
  <c r="F13" i="45"/>
  <c r="BC4" i="49" s="1"/>
  <c r="F9" i="45"/>
  <c r="AU6" i="1"/>
  <c r="BB6"/>
  <c r="BD6"/>
  <c r="BH6"/>
  <c r="Y7" i="44"/>
  <c r="X4" i="49" s="1"/>
  <c r="AI7" i="44"/>
  <c r="AH4" i="49" s="1"/>
  <c r="N7" i="44"/>
  <c r="M4" i="49" s="1"/>
  <c r="O7" i="44"/>
  <c r="N4" i="49" s="1"/>
  <c r="P7" i="44"/>
  <c r="O4" i="49" s="1"/>
  <c r="Q7" i="44"/>
  <c r="P4" i="49" s="1"/>
  <c r="R7" i="44"/>
  <c r="Q4" i="49" s="1"/>
  <c r="S7" i="44"/>
  <c r="R4" i="49" s="1"/>
  <c r="T7" i="44"/>
  <c r="S4" i="49" s="1"/>
  <c r="U7" i="44"/>
  <c r="T4" i="49" s="1"/>
  <c r="V7" i="44"/>
  <c r="U4" i="49" s="1"/>
  <c r="W7" i="44"/>
  <c r="V4" i="49" s="1"/>
  <c r="X7" i="44"/>
  <c r="W4" i="49" s="1"/>
  <c r="Z7" i="44"/>
  <c r="Y4" i="49" s="1"/>
  <c r="AM7" i="44"/>
  <c r="AL4" i="49" s="1"/>
  <c r="F7" i="45"/>
  <c r="AP7" i="44"/>
  <c r="BI4" i="49" s="1"/>
  <c r="AQ7" i="44"/>
  <c r="BJ4" i="49" s="1"/>
  <c r="AR7" i="44"/>
  <c r="BK4" i="49" s="1"/>
  <c r="AS7" i="44"/>
  <c r="BL4" i="49" s="1"/>
  <c r="AB6" i="1"/>
  <c r="AD6"/>
  <c r="AV7" i="44"/>
  <c r="AW7"/>
  <c r="E70" i="14"/>
  <c r="G70" s="1"/>
  <c r="J16" i="35" s="1"/>
  <c r="G64" i="9"/>
  <c r="AG12" i="44" s="1"/>
  <c r="AF9" i="49" s="1"/>
  <c r="E141" i="23"/>
  <c r="G141" s="1"/>
  <c r="E73" i="22"/>
  <c r="G73" s="1"/>
  <c r="O25" i="44" s="1"/>
  <c r="N22" i="49" s="1"/>
  <c r="E74" i="22"/>
  <c r="G74" s="1"/>
  <c r="P25" i="44" s="1"/>
  <c r="O22" i="49" s="1"/>
  <c r="E75" i="22"/>
  <c r="G75" s="1"/>
  <c r="Q25" i="44" s="1"/>
  <c r="P22" i="49" s="1"/>
  <c r="E76" i="22"/>
  <c r="G76" s="1"/>
  <c r="R25" i="44" s="1"/>
  <c r="Q22" i="49" s="1"/>
  <c r="E77" i="22"/>
  <c r="G77" s="1"/>
  <c r="S25" i="44" s="1"/>
  <c r="R22" i="49" s="1"/>
  <c r="E78" i="22"/>
  <c r="G78" s="1"/>
  <c r="T25" i="44" s="1"/>
  <c r="S22" i="49" s="1"/>
  <c r="E79" i="22"/>
  <c r="G79" s="1"/>
  <c r="U25" i="44" s="1"/>
  <c r="T22" i="49" s="1"/>
  <c r="E80" i="22"/>
  <c r="G80" s="1"/>
  <c r="V25" i="44" s="1"/>
  <c r="U22" i="49" s="1"/>
  <c r="E81" i="22"/>
  <c r="G81" s="1"/>
  <c r="W25" i="44" s="1"/>
  <c r="V22" i="49" s="1"/>
  <c r="E82" i="22"/>
  <c r="G82" s="1"/>
  <c r="X25" i="44" s="1"/>
  <c r="W22" i="49" s="1"/>
  <c r="E83" i="22"/>
  <c r="G83" s="1"/>
  <c r="Z25" i="44" s="1"/>
  <c r="Y22" i="49" s="1"/>
  <c r="E84" i="22"/>
  <c r="G84" s="1"/>
  <c r="E63"/>
  <c r="E64"/>
  <c r="E65"/>
  <c r="E66"/>
  <c r="E67"/>
  <c r="E68"/>
  <c r="E69"/>
  <c r="E50"/>
  <c r="G50" s="1"/>
  <c r="E51"/>
  <c r="G51" s="1"/>
  <c r="E52"/>
  <c r="G52" s="1"/>
  <c r="E53"/>
  <c r="G53" s="1"/>
  <c r="E54"/>
  <c r="G54" s="1"/>
  <c r="L54" s="1"/>
  <c r="E55"/>
  <c r="G55" s="1"/>
  <c r="L55" s="1"/>
  <c r="E56"/>
  <c r="G56" s="1"/>
  <c r="E57"/>
  <c r="G57" s="1"/>
  <c r="E58"/>
  <c r="G58" s="1"/>
  <c r="E36"/>
  <c r="G36" s="1"/>
  <c r="E37"/>
  <c r="G37" s="1"/>
  <c r="E38"/>
  <c r="G38" s="1"/>
  <c r="E39"/>
  <c r="G39" s="1"/>
  <c r="E42"/>
  <c r="G42" s="1"/>
  <c r="E43"/>
  <c r="G43" s="1"/>
  <c r="E44"/>
  <c r="G44" s="1"/>
  <c r="E45"/>
  <c r="G45" s="1"/>
  <c r="L45" s="1"/>
  <c r="E46"/>
  <c r="G46" s="1"/>
  <c r="I15" i="18"/>
  <c r="I7"/>
  <c r="G50" i="17"/>
  <c r="G51"/>
  <c r="BB19" i="1" s="1"/>
  <c r="G52" i="17"/>
  <c r="G53"/>
  <c r="G54"/>
  <c r="BE19" i="1" s="1"/>
  <c r="G55" i="17"/>
  <c r="BF19" i="1" s="1"/>
  <c r="G56" i="17"/>
  <c r="BG19" i="1" s="1"/>
  <c r="G57" i="17"/>
  <c r="BH19" i="1" s="1"/>
  <c r="G58" i="17"/>
  <c r="Y20" i="44" s="1"/>
  <c r="X17" i="49" s="1"/>
  <c r="G36" i="17"/>
  <c r="G37"/>
  <c r="G38"/>
  <c r="G41"/>
  <c r="AW19" i="1"/>
  <c r="G43" i="17"/>
  <c r="G44"/>
  <c r="G45"/>
  <c r="G46"/>
  <c r="E19"/>
  <c r="G19" s="1"/>
  <c r="E18"/>
  <c r="E63" i="14"/>
  <c r="E64"/>
  <c r="E65"/>
  <c r="E66"/>
  <c r="E67"/>
  <c r="E68"/>
  <c r="E69"/>
  <c r="G36"/>
  <c r="G37"/>
  <c r="G38"/>
  <c r="G39"/>
  <c r="G40"/>
  <c r="G41"/>
  <c r="G42"/>
  <c r="G43"/>
  <c r="G44"/>
  <c r="G45"/>
  <c r="G46"/>
  <c r="E132" i="13"/>
  <c r="G132" s="1"/>
  <c r="E133"/>
  <c r="G133" s="1"/>
  <c r="G134"/>
  <c r="G135"/>
  <c r="G136"/>
  <c r="G137"/>
  <c r="AV16" i="44" s="1"/>
  <c r="G138" i="13"/>
  <c r="G139"/>
  <c r="G140"/>
  <c r="G141"/>
  <c r="G97"/>
  <c r="G98"/>
  <c r="G99"/>
  <c r="G100"/>
  <c r="G101"/>
  <c r="G94"/>
  <c r="O8" i="45" s="1"/>
  <c r="AN13" i="49" s="1"/>
  <c r="H70" i="12"/>
  <c r="E84" i="14"/>
  <c r="G84" s="1"/>
  <c r="E83"/>
  <c r="G83" s="1"/>
  <c r="Z17" i="44" s="1"/>
  <c r="Y14" i="49" s="1"/>
  <c r="E82" i="14"/>
  <c r="G82" s="1"/>
  <c r="X17" i="44" s="1"/>
  <c r="W14" i="49" s="1"/>
  <c r="E81" i="14"/>
  <c r="G81" s="1"/>
  <c r="W17" i="44" s="1"/>
  <c r="V14" i="49" s="1"/>
  <c r="E80" i="14"/>
  <c r="G80" s="1"/>
  <c r="V17" i="44" s="1"/>
  <c r="U14" i="49" s="1"/>
  <c r="E79" i="14"/>
  <c r="G79" s="1"/>
  <c r="U17" i="44" s="1"/>
  <c r="T14" i="49" s="1"/>
  <c r="E78" i="14"/>
  <c r="G78" s="1"/>
  <c r="T17" i="44" s="1"/>
  <c r="S14" i="49" s="1"/>
  <c r="E77" i="14"/>
  <c r="G77" s="1"/>
  <c r="S17" i="44" s="1"/>
  <c r="R14" i="49" s="1"/>
  <c r="E76" i="14"/>
  <c r="G76" s="1"/>
  <c r="R17" i="44" s="1"/>
  <c r="Q14" i="49" s="1"/>
  <c r="E75" i="14"/>
  <c r="G75" s="1"/>
  <c r="Q17" i="44" s="1"/>
  <c r="P14" i="49" s="1"/>
  <c r="E74" i="14"/>
  <c r="G74" s="1"/>
  <c r="P17" i="44" s="1"/>
  <c r="O14" i="49" s="1"/>
  <c r="G73" i="14"/>
  <c r="O17" i="44" s="1"/>
  <c r="N14" i="49" s="1"/>
  <c r="G72" i="14"/>
  <c r="E72" i="13"/>
  <c r="G72" s="1"/>
  <c r="G84" i="12"/>
  <c r="G83"/>
  <c r="G82"/>
  <c r="G81"/>
  <c r="G80"/>
  <c r="G79"/>
  <c r="G78"/>
  <c r="G77"/>
  <c r="G76"/>
  <c r="G75"/>
  <c r="G74"/>
  <c r="G73"/>
  <c r="E72"/>
  <c r="G72" s="1"/>
  <c r="E72" i="11"/>
  <c r="G72" s="1"/>
  <c r="N13" i="44"/>
  <c r="M10" i="49" s="1"/>
  <c r="G84" i="9"/>
  <c r="G83"/>
  <c r="Z12" i="44" s="1"/>
  <c r="Y9" i="49" s="1"/>
  <c r="G82" i="9"/>
  <c r="X12" i="44" s="1"/>
  <c r="W9" i="49" s="1"/>
  <c r="G81" i="9"/>
  <c r="W12" i="44" s="1"/>
  <c r="V9" i="49" s="1"/>
  <c r="G80" i="9"/>
  <c r="V12" i="44" s="1"/>
  <c r="U9" i="49" s="1"/>
  <c r="G79" i="9"/>
  <c r="U12" i="44" s="1"/>
  <c r="T9" i="49" s="1"/>
  <c r="G78" i="9"/>
  <c r="T12" i="44" s="1"/>
  <c r="S9" i="49" s="1"/>
  <c r="G77" i="9"/>
  <c r="S12" i="44" s="1"/>
  <c r="R9" i="49" s="1"/>
  <c r="G76" i="9"/>
  <c r="R12" i="44" s="1"/>
  <c r="Q9" i="49" s="1"/>
  <c r="G75" i="9"/>
  <c r="Q12" i="44" s="1"/>
  <c r="P9" i="49" s="1"/>
  <c r="G74" i="9"/>
  <c r="P12" i="44" s="1"/>
  <c r="O9" i="49" s="1"/>
  <c r="G73" i="9"/>
  <c r="O12" i="44" s="1"/>
  <c r="N9" i="49" s="1"/>
  <c r="E72" i="9"/>
  <c r="G72" s="1"/>
  <c r="N12" i="44" s="1"/>
  <c r="M9" i="49" s="1"/>
  <c r="E84" i="7"/>
  <c r="G84" s="1"/>
  <c r="E83"/>
  <c r="G83" s="1"/>
  <c r="Z10" i="44" s="1"/>
  <c r="Y7" i="49" s="1"/>
  <c r="E82" i="7"/>
  <c r="G82" s="1"/>
  <c r="X10" i="44" s="1"/>
  <c r="W7" i="49" s="1"/>
  <c r="E81" i="7"/>
  <c r="G81" s="1"/>
  <c r="W10" i="44" s="1"/>
  <c r="V7" i="49" s="1"/>
  <c r="E80" i="7"/>
  <c r="G80" s="1"/>
  <c r="V10" i="44" s="1"/>
  <c r="U7" i="49" s="1"/>
  <c r="E79" i="7"/>
  <c r="G79" s="1"/>
  <c r="U10" i="44" s="1"/>
  <c r="T7" i="49" s="1"/>
  <c r="E78" i="7"/>
  <c r="G78" s="1"/>
  <c r="T10" i="44" s="1"/>
  <c r="S7" i="49" s="1"/>
  <c r="G77" i="7"/>
  <c r="S10" i="44" s="1"/>
  <c r="R7" i="49" s="1"/>
  <c r="E76" i="7"/>
  <c r="G76" s="1"/>
  <c r="R10" i="44" s="1"/>
  <c r="Q7" i="49" s="1"/>
  <c r="E75" i="7"/>
  <c r="G75" s="1"/>
  <c r="Q10" i="44" s="1"/>
  <c r="P7" i="49" s="1"/>
  <c r="E74" i="7"/>
  <c r="G74" s="1"/>
  <c r="P10" i="44" s="1"/>
  <c r="O7" i="49" s="1"/>
  <c r="E73" i="7"/>
  <c r="G73" s="1"/>
  <c r="O10" i="44" s="1"/>
  <c r="N7" i="49" s="1"/>
  <c r="E72" i="7"/>
  <c r="G72" s="1"/>
  <c r="N10" i="44" s="1"/>
  <c r="M7" i="49" s="1"/>
  <c r="E84" i="33"/>
  <c r="G84" s="1"/>
  <c r="E83"/>
  <c r="G83" s="1"/>
  <c r="Z9" i="44" s="1"/>
  <c r="Y6" i="49" s="1"/>
  <c r="E82" i="33"/>
  <c r="G82" s="1"/>
  <c r="X9" i="44" s="1"/>
  <c r="W6" i="49" s="1"/>
  <c r="E81" i="33"/>
  <c r="G81" s="1"/>
  <c r="W9" i="44" s="1"/>
  <c r="V6" i="49" s="1"/>
  <c r="E80" i="33"/>
  <c r="G80" s="1"/>
  <c r="V9" i="44" s="1"/>
  <c r="U6" i="49" s="1"/>
  <c r="E79" i="33"/>
  <c r="G79" s="1"/>
  <c r="U9" i="44" s="1"/>
  <c r="T6" i="49" s="1"/>
  <c r="E78" i="33"/>
  <c r="G78" s="1"/>
  <c r="T9" i="44" s="1"/>
  <c r="S6" i="49" s="1"/>
  <c r="E77" i="33"/>
  <c r="G77" s="1"/>
  <c r="S9" i="44" s="1"/>
  <c r="R6" i="49" s="1"/>
  <c r="E76" i="33"/>
  <c r="G76" s="1"/>
  <c r="R9" i="44" s="1"/>
  <c r="Q6" i="49" s="1"/>
  <c r="E75" i="33"/>
  <c r="G75" s="1"/>
  <c r="Q9" i="44" s="1"/>
  <c r="P6" i="49" s="1"/>
  <c r="E74" i="33"/>
  <c r="G74" s="1"/>
  <c r="P9" i="44" s="1"/>
  <c r="O6" i="49" s="1"/>
  <c r="E73" i="33"/>
  <c r="G73" s="1"/>
  <c r="O9" i="44" s="1"/>
  <c r="N6" i="49" s="1"/>
  <c r="E72" i="33"/>
  <c r="G72" s="1"/>
  <c r="N9" i="44" s="1"/>
  <c r="M6" i="49" s="1"/>
  <c r="AM8" i="44"/>
  <c r="AL5" i="49" s="1"/>
  <c r="Z8" i="44"/>
  <c r="Y5" i="49" s="1"/>
  <c r="X8" i="44"/>
  <c r="W5" i="49" s="1"/>
  <c r="W8" i="44"/>
  <c r="V5" i="49" s="1"/>
  <c r="V8" i="44"/>
  <c r="U5" i="49" s="1"/>
  <c r="U8" i="44"/>
  <c r="T5" i="49" s="1"/>
  <c r="T8" i="44"/>
  <c r="S5" i="49" s="1"/>
  <c r="S8" i="44"/>
  <c r="R5" i="49" s="1"/>
  <c r="R8" i="44"/>
  <c r="Q5" i="49" s="1"/>
  <c r="O8" i="44"/>
  <c r="N5" i="49" s="1"/>
  <c r="N8" i="44"/>
  <c r="M5" i="49" s="1"/>
  <c r="Z6" i="44"/>
  <c r="Y3" i="49" s="1"/>
  <c r="X6" i="44"/>
  <c r="W3" i="49" s="1"/>
  <c r="W6" i="44"/>
  <c r="V3" i="49" s="1"/>
  <c r="V6" i="44"/>
  <c r="U3" i="49" s="1"/>
  <c r="U6" i="44"/>
  <c r="T3" i="49" s="1"/>
  <c r="T6" i="44"/>
  <c r="S3" i="49" s="1"/>
  <c r="S6" i="44"/>
  <c r="R3" i="49" s="1"/>
  <c r="R6" i="44"/>
  <c r="Q3" i="49" s="1"/>
  <c r="Q6" i="44"/>
  <c r="P3" i="49" s="1"/>
  <c r="P6" i="44"/>
  <c r="O3" i="49" s="1"/>
  <c r="O6" i="44"/>
  <c r="N3" i="49" s="1"/>
  <c r="N6" i="44"/>
  <c r="M3" i="49" s="1"/>
  <c r="J3" i="40"/>
  <c r="I3"/>
  <c r="H3"/>
  <c r="G3"/>
  <c r="J3" i="24"/>
  <c r="I3"/>
  <c r="H3"/>
  <c r="G3"/>
  <c r="J3" i="23"/>
  <c r="I3"/>
  <c r="H3"/>
  <c r="G3"/>
  <c r="J3" i="22"/>
  <c r="I3"/>
  <c r="H3"/>
  <c r="G3"/>
  <c r="J3" i="21"/>
  <c r="I3"/>
  <c r="H3"/>
  <c r="G3"/>
  <c r="J3" i="19"/>
  <c r="I3"/>
  <c r="H3"/>
  <c r="G3"/>
  <c r="J3" i="13"/>
  <c r="I3"/>
  <c r="H3"/>
  <c r="G3"/>
  <c r="G132" i="11"/>
  <c r="G133"/>
  <c r="AA13" i="1" s="1"/>
  <c r="G134" i="11"/>
  <c r="AB13" i="1" s="1"/>
  <c r="G135" i="11"/>
  <c r="G136"/>
  <c r="AD13" i="1" s="1"/>
  <c r="G137" i="11"/>
  <c r="AV14" i="44" s="1"/>
  <c r="G138" i="11"/>
  <c r="G139"/>
  <c r="G140"/>
  <c r="G141"/>
  <c r="E125"/>
  <c r="G125" s="1"/>
  <c r="AP14" i="44" s="1"/>
  <c r="BI11" i="49" s="1"/>
  <c r="E126" i="11"/>
  <c r="G126" s="1"/>
  <c r="AQ14" i="44" s="1"/>
  <c r="BJ11" i="49" s="1"/>
  <c r="E127" i="11"/>
  <c r="G127" s="1"/>
  <c r="AR14" i="44" s="1"/>
  <c r="BK11" i="49" s="1"/>
  <c r="E128" i="11"/>
  <c r="G128" s="1"/>
  <c r="AS14" i="44" s="1"/>
  <c r="BL11" i="49" s="1"/>
  <c r="G10" i="11"/>
  <c r="G11"/>
  <c r="G12"/>
  <c r="E125" i="9"/>
  <c r="G125" s="1"/>
  <c r="AP12" i="44" s="1"/>
  <c r="BI9" i="49" s="1"/>
  <c r="E126" i="9"/>
  <c r="G126" s="1"/>
  <c r="AQ12" i="44" s="1"/>
  <c r="BJ9" i="49" s="1"/>
  <c r="E127" i="9"/>
  <c r="G127" s="1"/>
  <c r="AR12" i="44" s="1"/>
  <c r="BK9" i="49" s="1"/>
  <c r="E128" i="9"/>
  <c r="G128" s="1"/>
  <c r="AS12" i="44" s="1"/>
  <c r="BL9" i="49" s="1"/>
  <c r="E124" i="9"/>
  <c r="G124" s="1"/>
  <c r="D32" i="1"/>
  <c r="D31"/>
  <c r="D30"/>
  <c r="D29"/>
  <c r="D28"/>
  <c r="D27"/>
  <c r="D26"/>
  <c r="D25"/>
  <c r="D23"/>
  <c r="D22"/>
  <c r="D21"/>
  <c r="D20"/>
  <c r="D19"/>
  <c r="D18"/>
  <c r="D17"/>
  <c r="D16"/>
  <c r="D15"/>
  <c r="D14"/>
  <c r="D13"/>
  <c r="D12"/>
  <c r="D11"/>
  <c r="D10"/>
  <c r="D9"/>
  <c r="D8"/>
  <c r="D7"/>
  <c r="D6"/>
  <c r="D5"/>
  <c r="E32"/>
  <c r="E31"/>
  <c r="E30"/>
  <c r="E29"/>
  <c r="E28"/>
  <c r="E27"/>
  <c r="E26"/>
  <c r="E25"/>
  <c r="E24"/>
  <c r="E23"/>
  <c r="E22"/>
  <c r="E21"/>
  <c r="E20"/>
  <c r="E19"/>
  <c r="E18"/>
  <c r="E17"/>
  <c r="E16"/>
  <c r="E15"/>
  <c r="E14"/>
  <c r="E13"/>
  <c r="E12"/>
  <c r="E11"/>
  <c r="E10"/>
  <c r="E9"/>
  <c r="E8"/>
  <c r="E7"/>
  <c r="E6"/>
  <c r="E5"/>
  <c r="E4"/>
  <c r="D4"/>
  <c r="E141" i="30"/>
  <c r="G141" s="1"/>
  <c r="E140"/>
  <c r="G140" s="1"/>
  <c r="E139"/>
  <c r="G139" s="1"/>
  <c r="E138"/>
  <c r="G138" s="1"/>
  <c r="E137"/>
  <c r="G137" s="1"/>
  <c r="AV33" i="44" s="1"/>
  <c r="E136" i="30"/>
  <c r="G136" s="1"/>
  <c r="E135"/>
  <c r="G135" s="1"/>
  <c r="E134"/>
  <c r="G134" s="1"/>
  <c r="E133"/>
  <c r="G133" s="1"/>
  <c r="E132"/>
  <c r="G132" s="1"/>
  <c r="E131"/>
  <c r="G131" s="1"/>
  <c r="G128"/>
  <c r="G127"/>
  <c r="G126"/>
  <c r="G125"/>
  <c r="G124"/>
  <c r="G101"/>
  <c r="G100"/>
  <c r="G99"/>
  <c r="E98"/>
  <c r="G98" s="1"/>
  <c r="E97"/>
  <c r="G97" s="1"/>
  <c r="E96"/>
  <c r="G96" s="1"/>
  <c r="E94"/>
  <c r="E93"/>
  <c r="G93" s="1"/>
  <c r="E72"/>
  <c r="G72" s="1"/>
  <c r="G69"/>
  <c r="G68"/>
  <c r="G67"/>
  <c r="G66"/>
  <c r="G65"/>
  <c r="G64"/>
  <c r="G63"/>
  <c r="AF33" i="44" s="1"/>
  <c r="AE30" i="49" s="1"/>
  <c r="E62" i="30"/>
  <c r="G58"/>
  <c r="G57"/>
  <c r="G56"/>
  <c r="G55"/>
  <c r="G54"/>
  <c r="G53"/>
  <c r="G52"/>
  <c r="G51"/>
  <c r="G50"/>
  <c r="L33" i="44" s="1"/>
  <c r="K30" i="49" s="1"/>
  <c r="E49" i="30"/>
  <c r="G49" s="1"/>
  <c r="E46"/>
  <c r="G46" s="1"/>
  <c r="E45"/>
  <c r="G45" s="1"/>
  <c r="E44"/>
  <c r="G44" s="1"/>
  <c r="E43"/>
  <c r="G43" s="1"/>
  <c r="E42"/>
  <c r="G42" s="1"/>
  <c r="E41"/>
  <c r="G41" s="1"/>
  <c r="E40"/>
  <c r="G40" s="1"/>
  <c r="E39"/>
  <c r="G39" s="1"/>
  <c r="E38"/>
  <c r="G38" s="1"/>
  <c r="E37"/>
  <c r="G37" s="1"/>
  <c r="E36"/>
  <c r="G36" s="1"/>
  <c r="M33" i="44" s="1"/>
  <c r="L30" i="49" s="1"/>
  <c r="E35" i="30"/>
  <c r="G35" s="1"/>
  <c r="E24"/>
  <c r="E23"/>
  <c r="E22"/>
  <c r="G22" s="1"/>
  <c r="E19"/>
  <c r="G19" s="1"/>
  <c r="E18"/>
  <c r="E10"/>
  <c r="G10" s="1"/>
  <c r="G141" i="29"/>
  <c r="G140"/>
  <c r="G139"/>
  <c r="G138"/>
  <c r="AW32" i="44" s="1"/>
  <c r="G137" i="29"/>
  <c r="AV32" i="44" s="1"/>
  <c r="G136" i="29"/>
  <c r="AD31" i="1" s="1"/>
  <c r="G135" i="29"/>
  <c r="AC31" i="1" s="1"/>
  <c r="G134" i="29"/>
  <c r="AB31" i="1" s="1"/>
  <c r="G133" i="29"/>
  <c r="AA31" i="1" s="1"/>
  <c r="E132" i="29"/>
  <c r="G132" s="1"/>
  <c r="E131"/>
  <c r="G131" s="1"/>
  <c r="G128"/>
  <c r="AS32" i="44" s="1"/>
  <c r="BL29" i="49" s="1"/>
  <c r="G127" i="29"/>
  <c r="AR32" i="44" s="1"/>
  <c r="BK29" i="49" s="1"/>
  <c r="G126" i="29"/>
  <c r="AQ32" i="44" s="1"/>
  <c r="BJ29" i="49" s="1"/>
  <c r="G125" i="29"/>
  <c r="AP32" i="44" s="1"/>
  <c r="BI29" i="49" s="1"/>
  <c r="E124" i="29"/>
  <c r="G124" s="1"/>
  <c r="AO32" i="44" s="1"/>
  <c r="BH29" i="49" s="1"/>
  <c r="G101" i="29"/>
  <c r="G100"/>
  <c r="G99"/>
  <c r="AE13" i="45" s="1"/>
  <c r="BC29" i="49" s="1"/>
  <c r="G98" i="29"/>
  <c r="G97"/>
  <c r="E96"/>
  <c r="G96" s="1"/>
  <c r="AE9" i="45" s="1"/>
  <c r="E95" i="29"/>
  <c r="E94"/>
  <c r="G94" s="1"/>
  <c r="AE8" i="45" s="1"/>
  <c r="AN29" i="49" s="1"/>
  <c r="E93" i="29"/>
  <c r="G93" s="1"/>
  <c r="AE7" i="45" s="1"/>
  <c r="G84" i="29"/>
  <c r="AM32" i="44" s="1"/>
  <c r="AL29" i="49" s="1"/>
  <c r="G83" i="29"/>
  <c r="Z32" i="44" s="1"/>
  <c r="Y29" i="49" s="1"/>
  <c r="G82" i="29"/>
  <c r="X32" i="44" s="1"/>
  <c r="W29" i="49" s="1"/>
  <c r="G81" i="29"/>
  <c r="W32" i="44" s="1"/>
  <c r="V29" i="49" s="1"/>
  <c r="G80" i="29"/>
  <c r="V32" i="44" s="1"/>
  <c r="U29" i="49" s="1"/>
  <c r="G79" i="29"/>
  <c r="U32" i="44" s="1"/>
  <c r="T29" i="49" s="1"/>
  <c r="G78" i="29"/>
  <c r="T32" i="44" s="1"/>
  <c r="S29" i="49" s="1"/>
  <c r="G77" i="29"/>
  <c r="S32" i="44" s="1"/>
  <c r="R29" i="49" s="1"/>
  <c r="G76" i="29"/>
  <c r="R32" i="44" s="1"/>
  <c r="Q29" i="49" s="1"/>
  <c r="G75" i="29"/>
  <c r="Q32" i="44" s="1"/>
  <c r="P29" i="49" s="1"/>
  <c r="G74" i="29"/>
  <c r="P32" i="44" s="1"/>
  <c r="O29" i="49" s="1"/>
  <c r="G73" i="29"/>
  <c r="O32" i="44" s="1"/>
  <c r="N29" i="49" s="1"/>
  <c r="E72" i="29"/>
  <c r="G72" s="1"/>
  <c r="N32" i="44" s="1"/>
  <c r="M29" i="49" s="1"/>
  <c r="G69" i="29"/>
  <c r="AL32" i="44" s="1"/>
  <c r="AK29" i="49" s="1"/>
  <c r="G68" i="29"/>
  <c r="AK32" i="44" s="1"/>
  <c r="AJ29" i="49" s="1"/>
  <c r="G67" i="29"/>
  <c r="AJ32" i="44" s="1"/>
  <c r="AI29" i="49" s="1"/>
  <c r="G66" i="29"/>
  <c r="AI32" i="44" s="1"/>
  <c r="AH29" i="49" s="1"/>
  <c r="G65" i="29"/>
  <c r="AH32" i="44" s="1"/>
  <c r="AG29" i="49" s="1"/>
  <c r="G64" i="29"/>
  <c r="AG32" i="44" s="1"/>
  <c r="AF29" i="49" s="1"/>
  <c r="G63" i="29"/>
  <c r="AF32" i="44" s="1"/>
  <c r="AE29" i="49" s="1"/>
  <c r="E62" i="29"/>
  <c r="G58"/>
  <c r="Y32" i="44" s="1"/>
  <c r="X29" i="49" s="1"/>
  <c r="G57" i="29"/>
  <c r="BH31" i="1" s="1"/>
  <c r="G56" i="29"/>
  <c r="BG31" i="1" s="1"/>
  <c r="G55" i="29"/>
  <c r="G54"/>
  <c r="BE31" i="1" s="1"/>
  <c r="G53" i="29"/>
  <c r="G52"/>
  <c r="G51"/>
  <c r="BB31" i="1" s="1"/>
  <c r="G50" i="29"/>
  <c r="E49"/>
  <c r="G49" s="1"/>
  <c r="BA31" i="1" s="1"/>
  <c r="G46" i="29"/>
  <c r="G45"/>
  <c r="G44"/>
  <c r="G43"/>
  <c r="G42"/>
  <c r="AW31" i="1" s="1"/>
  <c r="G41" i="29"/>
  <c r="G40"/>
  <c r="G38"/>
  <c r="G37"/>
  <c r="G36"/>
  <c r="E35"/>
  <c r="G35" s="1"/>
  <c r="E23"/>
  <c r="E22"/>
  <c r="G22" s="1"/>
  <c r="E19"/>
  <c r="G19" s="1"/>
  <c r="G10"/>
  <c r="G141" i="28"/>
  <c r="G139"/>
  <c r="G138"/>
  <c r="G137"/>
  <c r="AV31" i="44" s="1"/>
  <c r="G136" i="28"/>
  <c r="G135"/>
  <c r="AC30" i="1" s="1"/>
  <c r="G134" i="28"/>
  <c r="AB30" i="1" s="1"/>
  <c r="G133" i="28"/>
  <c r="AA30" i="1" s="1"/>
  <c r="G132" i="28"/>
  <c r="E131"/>
  <c r="G131" s="1"/>
  <c r="G128"/>
  <c r="AS31" i="44" s="1"/>
  <c r="BL28" i="49" s="1"/>
  <c r="G127" i="28"/>
  <c r="AR31" i="44" s="1"/>
  <c r="BK28" i="49" s="1"/>
  <c r="G126" i="28"/>
  <c r="AQ31" i="44" s="1"/>
  <c r="BJ28" i="49" s="1"/>
  <c r="G125" i="28"/>
  <c r="AP31" i="44" s="1"/>
  <c r="BI28" i="49" s="1"/>
  <c r="E124" i="28"/>
  <c r="G124" s="1"/>
  <c r="E101"/>
  <c r="G101" s="1"/>
  <c r="E100"/>
  <c r="G100" s="1"/>
  <c r="E99"/>
  <c r="G99" s="1"/>
  <c r="AD13" i="45" s="1"/>
  <c r="BC28" i="49" s="1"/>
  <c r="E98" i="28"/>
  <c r="G98" s="1"/>
  <c r="E97"/>
  <c r="G97" s="1"/>
  <c r="AD10" i="45" s="1"/>
  <c r="E96" i="28"/>
  <c r="G96" s="1"/>
  <c r="AD9" i="45" s="1"/>
  <c r="E95" i="28"/>
  <c r="E94"/>
  <c r="G94" s="1"/>
  <c r="AD8" i="45" s="1"/>
  <c r="AN28" i="49" s="1"/>
  <c r="G93" i="28"/>
  <c r="AD7" i="45" s="1"/>
  <c r="G84" i="28"/>
  <c r="G83"/>
  <c r="Z31" i="44" s="1"/>
  <c r="Y28" i="49" s="1"/>
  <c r="G82" i="28"/>
  <c r="X31" i="44" s="1"/>
  <c r="W28" i="49" s="1"/>
  <c r="G81" i="28"/>
  <c r="W31" i="44" s="1"/>
  <c r="V28" i="49" s="1"/>
  <c r="G80" i="28"/>
  <c r="V31" i="44" s="1"/>
  <c r="U28" i="49" s="1"/>
  <c r="G79" i="28"/>
  <c r="U31" i="44" s="1"/>
  <c r="T28" i="49" s="1"/>
  <c r="G78" i="28"/>
  <c r="T31" i="44" s="1"/>
  <c r="S28" i="49" s="1"/>
  <c r="G77" i="28"/>
  <c r="S31" i="44" s="1"/>
  <c r="R28" i="49" s="1"/>
  <c r="G76" i="28"/>
  <c r="R31" i="44" s="1"/>
  <c r="Q28" i="49" s="1"/>
  <c r="G75" i="28"/>
  <c r="Q31" i="44" s="1"/>
  <c r="P28" i="49" s="1"/>
  <c r="G74" i="28"/>
  <c r="P31" i="44" s="1"/>
  <c r="O28" i="49" s="1"/>
  <c r="G73" i="28"/>
  <c r="O31" i="44" s="1"/>
  <c r="N28" i="49" s="1"/>
  <c r="E72" i="28"/>
  <c r="G72" s="1"/>
  <c r="N31" i="44" s="1"/>
  <c r="M28" i="49" s="1"/>
  <c r="E62" i="28"/>
  <c r="G58"/>
  <c r="G57"/>
  <c r="G56"/>
  <c r="BG30" i="1" s="1"/>
  <c r="BE30"/>
  <c r="G52" i="28"/>
  <c r="G51"/>
  <c r="G50"/>
  <c r="E49"/>
  <c r="G49" s="1"/>
  <c r="G46"/>
  <c r="G45"/>
  <c r="G44"/>
  <c r="G43"/>
  <c r="G42"/>
  <c r="G41"/>
  <c r="G40"/>
  <c r="G39"/>
  <c r="G38"/>
  <c r="G37"/>
  <c r="G36"/>
  <c r="AQ30" i="1"/>
  <c r="E23" i="28"/>
  <c r="E22"/>
  <c r="E19"/>
  <c r="G19" s="1"/>
  <c r="E18"/>
  <c r="G10"/>
  <c r="G141" i="27"/>
  <c r="G140"/>
  <c r="G139"/>
  <c r="G138"/>
  <c r="G137"/>
  <c r="AV30" i="44" s="1"/>
  <c r="G136" i="27"/>
  <c r="AD29" i="1" s="1"/>
  <c r="G134" i="27"/>
  <c r="AB29" i="1" s="1"/>
  <c r="G133" i="27"/>
  <c r="AA29" i="1" s="1"/>
  <c r="G132" i="27"/>
  <c r="E131"/>
  <c r="G131" s="1"/>
  <c r="G128"/>
  <c r="AS30" i="44" s="1"/>
  <c r="BL27" i="49" s="1"/>
  <c r="G127" i="27"/>
  <c r="AR30" i="44" s="1"/>
  <c r="BK27" i="49" s="1"/>
  <c r="G126" i="27"/>
  <c r="AQ30" i="44" s="1"/>
  <c r="BJ27" i="49" s="1"/>
  <c r="G125" i="27"/>
  <c r="AP30" i="44" s="1"/>
  <c r="BI27" i="49" s="1"/>
  <c r="E124" i="27"/>
  <c r="G124" s="1"/>
  <c r="E101"/>
  <c r="G101" s="1"/>
  <c r="E100"/>
  <c r="G100" s="1"/>
  <c r="E99"/>
  <c r="G99" s="1"/>
  <c r="AC13" i="45" s="1"/>
  <c r="BC27" i="49" s="1"/>
  <c r="G98" i="27"/>
  <c r="E97"/>
  <c r="G97" s="1"/>
  <c r="E96"/>
  <c r="G96" s="1"/>
  <c r="AC9" i="45" s="1"/>
  <c r="E95" i="27"/>
  <c r="E94"/>
  <c r="G94" s="1"/>
  <c r="AC8" i="45" s="1"/>
  <c r="AN27" i="49" s="1"/>
  <c r="E93" i="27"/>
  <c r="G93" s="1"/>
  <c r="AC7" i="45" s="1"/>
  <c r="E84" i="27"/>
  <c r="G84" s="1"/>
  <c r="E83"/>
  <c r="G83" s="1"/>
  <c r="Z30" i="44" s="1"/>
  <c r="Y27" i="49" s="1"/>
  <c r="E82" i="27"/>
  <c r="G82" s="1"/>
  <c r="X30" i="44" s="1"/>
  <c r="W27" i="49" s="1"/>
  <c r="E81" i="27"/>
  <c r="G81" s="1"/>
  <c r="W30" i="44" s="1"/>
  <c r="V27" i="49" s="1"/>
  <c r="E80" i="27"/>
  <c r="G80" s="1"/>
  <c r="V30" i="44" s="1"/>
  <c r="U27" i="49" s="1"/>
  <c r="E79" i="27"/>
  <c r="G79" s="1"/>
  <c r="U30" i="44" s="1"/>
  <c r="T27" i="49" s="1"/>
  <c r="E78" i="27"/>
  <c r="G78" s="1"/>
  <c r="T30" i="44" s="1"/>
  <c r="S27" i="49" s="1"/>
  <c r="E77" i="27"/>
  <c r="G77" s="1"/>
  <c r="S30" i="44" s="1"/>
  <c r="R27" i="49" s="1"/>
  <c r="E76" i="27"/>
  <c r="G76" s="1"/>
  <c r="R30" i="44" s="1"/>
  <c r="Q27" i="49" s="1"/>
  <c r="E75" i="27"/>
  <c r="G75" s="1"/>
  <c r="Q30" i="44" s="1"/>
  <c r="P27" i="49" s="1"/>
  <c r="G74" i="27"/>
  <c r="P30" i="44" s="1"/>
  <c r="O27" i="49" s="1"/>
  <c r="E73" i="27"/>
  <c r="G73" s="1"/>
  <c r="O30" i="44" s="1"/>
  <c r="N27" i="49" s="1"/>
  <c r="E72" i="27"/>
  <c r="G72" s="1"/>
  <c r="N30" i="44" s="1"/>
  <c r="M27" i="49" s="1"/>
  <c r="E62" i="27"/>
  <c r="G58"/>
  <c r="G57"/>
  <c r="G56"/>
  <c r="BG29" i="1" s="1"/>
  <c r="G55" i="27"/>
  <c r="G54"/>
  <c r="BE29" i="1" s="1"/>
  <c r="G53" i="27"/>
  <c r="BD29" i="1" s="1"/>
  <c r="G52" i="27"/>
  <c r="G51"/>
  <c r="BB29" i="1" s="1"/>
  <c r="G50" i="27"/>
  <c r="E49"/>
  <c r="G49" s="1"/>
  <c r="BA29" i="1" s="1"/>
  <c r="E35" i="27"/>
  <c r="G35" s="1"/>
  <c r="E22"/>
  <c r="G22" s="1"/>
  <c r="E19"/>
  <c r="G19" s="1"/>
  <c r="E18"/>
  <c r="E10"/>
  <c r="G10" s="1"/>
  <c r="G141" i="40"/>
  <c r="G140"/>
  <c r="G139"/>
  <c r="AX29" i="44" s="1"/>
  <c r="G138" i="40"/>
  <c r="AW29" i="44" s="1"/>
  <c r="G137" i="40"/>
  <c r="AV29" i="44" s="1"/>
  <c r="G136" i="40"/>
  <c r="AD28" i="1" s="1"/>
  <c r="G135" i="40"/>
  <c r="AC28" i="1" s="1"/>
  <c r="G134" i="40"/>
  <c r="AB28" i="1" s="1"/>
  <c r="G133" i="40"/>
  <c r="AA28" i="1" s="1"/>
  <c r="G132" i="40"/>
  <c r="E131"/>
  <c r="G131" s="1"/>
  <c r="E128"/>
  <c r="G128" s="1"/>
  <c r="AS29" i="44" s="1"/>
  <c r="BL26" i="49" s="1"/>
  <c r="E127" i="40"/>
  <c r="G127" s="1"/>
  <c r="AR29" i="44" s="1"/>
  <c r="BK26" i="49" s="1"/>
  <c r="E126" i="40"/>
  <c r="G126" s="1"/>
  <c r="AQ29" i="44" s="1"/>
  <c r="BJ26" i="49" s="1"/>
  <c r="E125" i="40"/>
  <c r="G125" s="1"/>
  <c r="AP29" i="44" s="1"/>
  <c r="BI26" i="49" s="1"/>
  <c r="E124" i="40"/>
  <c r="G124" s="1"/>
  <c r="E101"/>
  <c r="G101" s="1"/>
  <c r="E100"/>
  <c r="G100" s="1"/>
  <c r="E99"/>
  <c r="G99" s="1"/>
  <c r="AB13" i="45" s="1"/>
  <c r="BC26" i="49" s="1"/>
  <c r="E98" i="40"/>
  <c r="G98" s="1"/>
  <c r="E97"/>
  <c r="G97" s="1"/>
  <c r="E96"/>
  <c r="G96" s="1"/>
  <c r="AB9" i="45" s="1"/>
  <c r="E94" i="40"/>
  <c r="G94" s="1"/>
  <c r="AB8" i="45" s="1"/>
  <c r="AN26" i="49" s="1"/>
  <c r="E93" i="40"/>
  <c r="G93" s="1"/>
  <c r="AB7" i="45" s="1"/>
  <c r="E84" i="40"/>
  <c r="G84" s="1"/>
  <c r="E83"/>
  <c r="G83" s="1"/>
  <c r="Z29" i="44" s="1"/>
  <c r="Y26" i="49" s="1"/>
  <c r="E82" i="40"/>
  <c r="G82" s="1"/>
  <c r="X29" i="44" s="1"/>
  <c r="W26" i="49" s="1"/>
  <c r="E81" i="40"/>
  <c r="G81" s="1"/>
  <c r="W29" i="44" s="1"/>
  <c r="V26" i="49" s="1"/>
  <c r="E80" i="40"/>
  <c r="G80" s="1"/>
  <c r="V29" i="44" s="1"/>
  <c r="U26" i="49" s="1"/>
  <c r="E79" i="40"/>
  <c r="G79" s="1"/>
  <c r="U29" i="44" s="1"/>
  <c r="T26" i="49" s="1"/>
  <c r="E78" i="40"/>
  <c r="G78" s="1"/>
  <c r="T29" i="44" s="1"/>
  <c r="S26" i="49" s="1"/>
  <c r="E77" i="40"/>
  <c r="G77" s="1"/>
  <c r="S29" i="44" s="1"/>
  <c r="R26" i="49" s="1"/>
  <c r="E76" i="40"/>
  <c r="G76" s="1"/>
  <c r="R29" i="44" s="1"/>
  <c r="Q26" i="49" s="1"/>
  <c r="E75" i="40"/>
  <c r="G75" s="1"/>
  <c r="Q29" i="44" s="1"/>
  <c r="P26" i="49" s="1"/>
  <c r="E74" i="40"/>
  <c r="G74" s="1"/>
  <c r="P29" i="44" s="1"/>
  <c r="O26" i="49" s="1"/>
  <c r="E73" i="40"/>
  <c r="G73" s="1"/>
  <c r="O29" i="44" s="1"/>
  <c r="N26" i="49" s="1"/>
  <c r="E72" i="40"/>
  <c r="G72" s="1"/>
  <c r="N29" i="44" s="1"/>
  <c r="M26" i="49" s="1"/>
  <c r="E69" i="40"/>
  <c r="E68"/>
  <c r="E67"/>
  <c r="E66"/>
  <c r="E65"/>
  <c r="E64"/>
  <c r="E63"/>
  <c r="E62"/>
  <c r="G58"/>
  <c r="G57"/>
  <c r="BH28" i="1" s="1"/>
  <c r="G56" i="40"/>
  <c r="BG28" i="1" s="1"/>
  <c r="G55" i="40"/>
  <c r="BF28" i="1" s="1"/>
  <c r="E54" i="40"/>
  <c r="G54" s="1"/>
  <c r="E53"/>
  <c r="G53" s="1"/>
  <c r="BD28" i="1" s="1"/>
  <c r="E52" i="40"/>
  <c r="G52" s="1"/>
  <c r="BC28" i="1" s="1"/>
  <c r="E51" i="40"/>
  <c r="G51" s="1"/>
  <c r="BB28" i="1" s="1"/>
  <c r="E50" i="40"/>
  <c r="G50" s="1"/>
  <c r="E49"/>
  <c r="G49" s="1"/>
  <c r="E35"/>
  <c r="G35" s="1"/>
  <c r="E24"/>
  <c r="E23"/>
  <c r="G22"/>
  <c r="E19"/>
  <c r="G19" s="1"/>
  <c r="E18"/>
  <c r="G10"/>
  <c r="AM28" i="1"/>
  <c r="AL27"/>
  <c r="AD27"/>
  <c r="AB27"/>
  <c r="AA27"/>
  <c r="AP27"/>
  <c r="BH27"/>
  <c r="BG27"/>
  <c r="BF27"/>
  <c r="BD27"/>
  <c r="BB27"/>
  <c r="BI27"/>
  <c r="BA27"/>
  <c r="AQ27"/>
  <c r="G141" i="24"/>
  <c r="G140"/>
  <c r="G139"/>
  <c r="G138"/>
  <c r="G137"/>
  <c r="AV27" i="44" s="1"/>
  <c r="G136" i="24"/>
  <c r="AD26" i="1" s="1"/>
  <c r="G135" i="24"/>
  <c r="AC26" i="1" s="1"/>
  <c r="G134" i="24"/>
  <c r="AB26" i="1" s="1"/>
  <c r="G133" i="24"/>
  <c r="AA26" i="1" s="1"/>
  <c r="G132" i="24"/>
  <c r="E131"/>
  <c r="G131" s="1"/>
  <c r="G128"/>
  <c r="AS27" i="44" s="1"/>
  <c r="BL24" i="49" s="1"/>
  <c r="G127" i="24"/>
  <c r="AR27" i="44" s="1"/>
  <c r="BK24" i="49" s="1"/>
  <c r="G126" i="24"/>
  <c r="AQ27" i="44" s="1"/>
  <c r="BJ24" i="49" s="1"/>
  <c r="G125" i="24"/>
  <c r="AP27" i="44" s="1"/>
  <c r="BI24" i="49" s="1"/>
  <c r="E124" i="24"/>
  <c r="G124" s="1"/>
  <c r="E101"/>
  <c r="G101" s="1"/>
  <c r="E100"/>
  <c r="G100" s="1"/>
  <c r="E99"/>
  <c r="G99" s="1"/>
  <c r="Z13" i="45" s="1"/>
  <c r="BC24" i="49" s="1"/>
  <c r="E98" i="24"/>
  <c r="G98" s="1"/>
  <c r="E97"/>
  <c r="G97" s="1"/>
  <c r="E96"/>
  <c r="G96" s="1"/>
  <c r="Z9" i="45" s="1"/>
  <c r="E95" i="24"/>
  <c r="E94"/>
  <c r="G94" s="1"/>
  <c r="Z8" i="45" s="1"/>
  <c r="AN24" i="49" s="1"/>
  <c r="E93" i="24"/>
  <c r="G93" s="1"/>
  <c r="Z7" i="45" s="1"/>
  <c r="G84" i="24"/>
  <c r="G83"/>
  <c r="Z27" i="44" s="1"/>
  <c r="Y24" i="49" s="1"/>
  <c r="G82" i="24"/>
  <c r="X27" i="44" s="1"/>
  <c r="W24" i="49" s="1"/>
  <c r="G81" i="24"/>
  <c r="W27" i="44" s="1"/>
  <c r="V24" i="49" s="1"/>
  <c r="G80" i="24"/>
  <c r="V27" i="44" s="1"/>
  <c r="U24" i="49" s="1"/>
  <c r="G79" i="24"/>
  <c r="U27" i="44" s="1"/>
  <c r="T24" i="49" s="1"/>
  <c r="G78" i="24"/>
  <c r="T27" i="44" s="1"/>
  <c r="S24" i="49" s="1"/>
  <c r="G77" i="24"/>
  <c r="S27" i="44" s="1"/>
  <c r="R24" i="49" s="1"/>
  <c r="G76" i="24"/>
  <c r="R27" i="44" s="1"/>
  <c r="Q24" i="49" s="1"/>
  <c r="G75" i="24"/>
  <c r="Q27" i="44" s="1"/>
  <c r="P24" i="49" s="1"/>
  <c r="G74" i="24"/>
  <c r="P27" i="44" s="1"/>
  <c r="O24" i="49" s="1"/>
  <c r="G73" i="24"/>
  <c r="O27" i="44" s="1"/>
  <c r="N24" i="49" s="1"/>
  <c r="E72" i="24"/>
  <c r="G72" s="1"/>
  <c r="E62"/>
  <c r="G58"/>
  <c r="Y27" i="44" s="1"/>
  <c r="X24" i="49" s="1"/>
  <c r="G57" i="24"/>
  <c r="BH26" i="1" s="1"/>
  <c r="G56" i="24"/>
  <c r="BG26" i="1" s="1"/>
  <c r="G55" i="24"/>
  <c r="BF26" i="1" s="1"/>
  <c r="G54" i="24"/>
  <c r="BE26" i="1" s="1"/>
  <c r="G53" i="24"/>
  <c r="BD26" i="1" s="1"/>
  <c r="G52" i="24"/>
  <c r="BC26" i="1" s="1"/>
  <c r="G51" i="24"/>
  <c r="BB26" i="1" s="1"/>
  <c r="G50" i="24"/>
  <c r="E49"/>
  <c r="G49" s="1"/>
  <c r="BA26" i="1" s="1"/>
  <c r="G46" i="24"/>
  <c r="G45"/>
  <c r="G44"/>
  <c r="G43"/>
  <c r="G42"/>
  <c r="AW26" i="1" s="1"/>
  <c r="G41" i="24"/>
  <c r="G40"/>
  <c r="G39"/>
  <c r="G38"/>
  <c r="G37"/>
  <c r="G36"/>
  <c r="E35"/>
  <c r="G35" s="1"/>
  <c r="G22"/>
  <c r="G19"/>
  <c r="E18"/>
  <c r="G10"/>
  <c r="E140" i="23"/>
  <c r="G140" s="1"/>
  <c r="E139"/>
  <c r="G139" s="1"/>
  <c r="E138"/>
  <c r="G138" s="1"/>
  <c r="E137"/>
  <c r="G137" s="1"/>
  <c r="E136"/>
  <c r="G136" s="1"/>
  <c r="E135"/>
  <c r="G135" s="1"/>
  <c r="E134"/>
  <c r="G134" s="1"/>
  <c r="E133"/>
  <c r="G133" s="1"/>
  <c r="E132"/>
  <c r="G132" s="1"/>
  <c r="E131"/>
  <c r="G131" s="1"/>
  <c r="E128"/>
  <c r="G128" s="1"/>
  <c r="E127"/>
  <c r="G127" s="1"/>
  <c r="E126"/>
  <c r="G126" s="1"/>
  <c r="E125"/>
  <c r="G125" s="1"/>
  <c r="E124"/>
  <c r="G124" s="1"/>
  <c r="E101"/>
  <c r="G101" s="1"/>
  <c r="E100"/>
  <c r="G100" s="1"/>
  <c r="E99"/>
  <c r="G99" s="1"/>
  <c r="E98"/>
  <c r="G98" s="1"/>
  <c r="E97"/>
  <c r="G97" s="1"/>
  <c r="E96"/>
  <c r="G96" s="1"/>
  <c r="E95"/>
  <c r="E94"/>
  <c r="G94" s="1"/>
  <c r="Y8" i="45" s="1"/>
  <c r="AN23" i="49" s="1"/>
  <c r="E93" i="23"/>
  <c r="G93" s="1"/>
  <c r="G84"/>
  <c r="G82"/>
  <c r="G81"/>
  <c r="G80"/>
  <c r="G79"/>
  <c r="G78"/>
  <c r="G77"/>
  <c r="G76"/>
  <c r="G75"/>
  <c r="G74"/>
  <c r="G73"/>
  <c r="E72"/>
  <c r="G72" s="1"/>
  <c r="E69"/>
  <c r="E67"/>
  <c r="E66"/>
  <c r="E65"/>
  <c r="E64"/>
  <c r="E63"/>
  <c r="E62"/>
  <c r="E58"/>
  <c r="G58" s="1"/>
  <c r="E57"/>
  <c r="G57" s="1"/>
  <c r="E56"/>
  <c r="G56" s="1"/>
  <c r="E55"/>
  <c r="G55" s="1"/>
  <c r="E54"/>
  <c r="G54" s="1"/>
  <c r="E53"/>
  <c r="G53" s="1"/>
  <c r="E52"/>
  <c r="G52" s="1"/>
  <c r="E51"/>
  <c r="G51" s="1"/>
  <c r="G50"/>
  <c r="E49"/>
  <c r="G49" s="1"/>
  <c r="G46"/>
  <c r="G45"/>
  <c r="G44"/>
  <c r="G42"/>
  <c r="G41"/>
  <c r="G40"/>
  <c r="G39"/>
  <c r="G38"/>
  <c r="G37"/>
  <c r="G36"/>
  <c r="E35"/>
  <c r="G35" s="1"/>
  <c r="E24"/>
  <c r="E23"/>
  <c r="E22"/>
  <c r="G22" s="1"/>
  <c r="E19"/>
  <c r="G19" s="1"/>
  <c r="E18"/>
  <c r="G10"/>
  <c r="E141" i="22"/>
  <c r="G141" s="1"/>
  <c r="E140"/>
  <c r="G140" s="1"/>
  <c r="E139"/>
  <c r="G139" s="1"/>
  <c r="AX25" i="44" s="1"/>
  <c r="E138" i="22"/>
  <c r="G138" s="1"/>
  <c r="E137"/>
  <c r="G137" s="1"/>
  <c r="AV25" i="44" s="1"/>
  <c r="E136" i="22"/>
  <c r="G136" s="1"/>
  <c r="AD24" i="1" s="1"/>
  <c r="E135" i="22"/>
  <c r="G135" s="1"/>
  <c r="E134"/>
  <c r="G134" s="1"/>
  <c r="AB24" i="1" s="1"/>
  <c r="E133" i="22"/>
  <c r="G133" s="1"/>
  <c r="AA24" i="1" s="1"/>
  <c r="E132" i="22"/>
  <c r="G132" s="1"/>
  <c r="E131"/>
  <c r="G131" s="1"/>
  <c r="E128"/>
  <c r="G128" s="1"/>
  <c r="AS25" i="44" s="1"/>
  <c r="BL22" i="49" s="1"/>
  <c r="E127" i="22"/>
  <c r="G127" s="1"/>
  <c r="AR25" i="44" s="1"/>
  <c r="BK22" i="49" s="1"/>
  <c r="E126" i="22"/>
  <c r="G126" s="1"/>
  <c r="AQ25" i="44" s="1"/>
  <c r="BJ22" i="49" s="1"/>
  <c r="E125" i="22"/>
  <c r="G125" s="1"/>
  <c r="AP25" i="44" s="1"/>
  <c r="BI22" i="49" s="1"/>
  <c r="E124" i="22"/>
  <c r="G124" s="1"/>
  <c r="E101"/>
  <c r="G101" s="1"/>
  <c r="E100"/>
  <c r="G100" s="1"/>
  <c r="E99"/>
  <c r="G99" s="1"/>
  <c r="X13" i="45" s="1"/>
  <c r="BC22" i="49" s="1"/>
  <c r="E98" i="22"/>
  <c r="G98" s="1"/>
  <c r="E97"/>
  <c r="G97" s="1"/>
  <c r="E96"/>
  <c r="G96" s="1"/>
  <c r="X9" i="45" s="1"/>
  <c r="E94" i="22"/>
  <c r="G94" s="1"/>
  <c r="X8" i="45" s="1"/>
  <c r="AN22" i="49" s="1"/>
  <c r="E93" i="22"/>
  <c r="G93" s="1"/>
  <c r="X7" i="45" s="1"/>
  <c r="E72" i="22"/>
  <c r="G72" s="1"/>
  <c r="N25" i="44" s="1"/>
  <c r="M22" i="49" s="1"/>
  <c r="E62" i="22"/>
  <c r="E49"/>
  <c r="G49" s="1"/>
  <c r="E35"/>
  <c r="G35" s="1"/>
  <c r="G22"/>
  <c r="E19"/>
  <c r="G19" s="1"/>
  <c r="E18"/>
  <c r="G10"/>
  <c r="G141" i="21"/>
  <c r="G140"/>
  <c r="G139"/>
  <c r="AX24" i="44" s="1"/>
  <c r="G138" i="21"/>
  <c r="G137"/>
  <c r="AV24" i="44" s="1"/>
  <c r="G136" i="21"/>
  <c r="AD23" i="1" s="1"/>
  <c r="G135" i="21"/>
  <c r="G134"/>
  <c r="AB23" i="1" s="1"/>
  <c r="G133" i="21"/>
  <c r="G132"/>
  <c r="E131"/>
  <c r="G131" s="1"/>
  <c r="E128"/>
  <c r="G128" s="1"/>
  <c r="AS24" i="44" s="1"/>
  <c r="BL21" i="49" s="1"/>
  <c r="E127" i="21"/>
  <c r="G127" s="1"/>
  <c r="AR24" i="44" s="1"/>
  <c r="BK21" i="49" s="1"/>
  <c r="E126" i="21"/>
  <c r="G126" s="1"/>
  <c r="AQ24" i="44" s="1"/>
  <c r="BJ21" i="49" s="1"/>
  <c r="E125" i="21"/>
  <c r="G125" s="1"/>
  <c r="AP24" i="44" s="1"/>
  <c r="BI21" i="49" s="1"/>
  <c r="E124" i="21"/>
  <c r="G124" s="1"/>
  <c r="E101"/>
  <c r="G101" s="1"/>
  <c r="E100"/>
  <c r="G100" s="1"/>
  <c r="E99"/>
  <c r="G99" s="1"/>
  <c r="W13" i="45" s="1"/>
  <c r="BC21" i="49" s="1"/>
  <c r="E98" i="21"/>
  <c r="G98" s="1"/>
  <c r="E97"/>
  <c r="G97" s="1"/>
  <c r="E96"/>
  <c r="G96" s="1"/>
  <c r="W9" i="45" s="1"/>
  <c r="E95" i="21"/>
  <c r="E94"/>
  <c r="G94" s="1"/>
  <c r="W8" i="45" s="1"/>
  <c r="AN21" i="49" s="1"/>
  <c r="E93" i="21"/>
  <c r="G93" s="1"/>
  <c r="W7" i="45" s="1"/>
  <c r="G84" i="21"/>
  <c r="G83"/>
  <c r="Z24" i="44" s="1"/>
  <c r="Y21" i="49" s="1"/>
  <c r="E82" i="21"/>
  <c r="G82" s="1"/>
  <c r="X24" i="44" s="1"/>
  <c r="W21" i="49" s="1"/>
  <c r="E81" i="21"/>
  <c r="G81" s="1"/>
  <c r="W24" i="44" s="1"/>
  <c r="V21" i="49" s="1"/>
  <c r="E80" i="21"/>
  <c r="G80" s="1"/>
  <c r="V24" i="44" s="1"/>
  <c r="U21" i="49" s="1"/>
  <c r="E79" i="21"/>
  <c r="G79" s="1"/>
  <c r="U24" i="44" s="1"/>
  <c r="T21" i="49" s="1"/>
  <c r="E78" i="21"/>
  <c r="G78" s="1"/>
  <c r="T24" i="44" s="1"/>
  <c r="S21" i="49" s="1"/>
  <c r="G77" i="21"/>
  <c r="S24" i="44" s="1"/>
  <c r="R21" i="49" s="1"/>
  <c r="G75" i="21"/>
  <c r="Q24" i="44" s="1"/>
  <c r="P21" i="49" s="1"/>
  <c r="G74" i="21"/>
  <c r="P24" i="44" s="1"/>
  <c r="O21" i="49" s="1"/>
  <c r="G73" i="21"/>
  <c r="O24" i="44" s="1"/>
  <c r="N21" i="49" s="1"/>
  <c r="E72" i="21"/>
  <c r="G72" s="1"/>
  <c r="N24" i="44" s="1"/>
  <c r="M21" i="49" s="1"/>
  <c r="E69" i="21"/>
  <c r="E68"/>
  <c r="E67"/>
  <c r="E66"/>
  <c r="E65"/>
  <c r="E64"/>
  <c r="E63"/>
  <c r="E62"/>
  <c r="G58"/>
  <c r="E57"/>
  <c r="G57" s="1"/>
  <c r="E56"/>
  <c r="G56" s="1"/>
  <c r="E55"/>
  <c r="G55" s="1"/>
  <c r="E54"/>
  <c r="G54" s="1"/>
  <c r="E53"/>
  <c r="G53" s="1"/>
  <c r="L53" s="1"/>
  <c r="E52"/>
  <c r="G52" s="1"/>
  <c r="E51"/>
  <c r="G51" s="1"/>
  <c r="E50"/>
  <c r="G50" s="1"/>
  <c r="G49"/>
  <c r="G46"/>
  <c r="L46" s="1"/>
  <c r="G45"/>
  <c r="L45" s="1"/>
  <c r="G44"/>
  <c r="G43"/>
  <c r="G42"/>
  <c r="G41"/>
  <c r="G40"/>
  <c r="L40" s="1"/>
  <c r="G39"/>
  <c r="G38"/>
  <c r="G37"/>
  <c r="G36"/>
  <c r="G35"/>
  <c r="E23"/>
  <c r="E22"/>
  <c r="E19"/>
  <c r="G19" s="1"/>
  <c r="E18"/>
  <c r="G10"/>
  <c r="G141" i="20"/>
  <c r="G140"/>
  <c r="G139"/>
  <c r="G138"/>
  <c r="G137"/>
  <c r="AV23" i="44" s="1"/>
  <c r="G136" i="20"/>
  <c r="AD22" i="1" s="1"/>
  <c r="G135" i="20"/>
  <c r="G134"/>
  <c r="AB22" i="1" s="1"/>
  <c r="G133" i="20"/>
  <c r="AA22" i="1" s="1"/>
  <c r="E132" i="20"/>
  <c r="G132" s="1"/>
  <c r="E131"/>
  <c r="G131" s="1"/>
  <c r="E125"/>
  <c r="G125" s="1"/>
  <c r="AP23" i="44" s="1"/>
  <c r="BI20" i="49" s="1"/>
  <c r="E124" i="20"/>
  <c r="G124" s="1"/>
  <c r="E95"/>
  <c r="E94"/>
  <c r="G94" s="1"/>
  <c r="V8" i="45" s="1"/>
  <c r="AN20" i="49" s="1"/>
  <c r="G93" i="20"/>
  <c r="V7" i="45" s="1"/>
  <c r="G84" i="20"/>
  <c r="G83"/>
  <c r="Z23" i="44" s="1"/>
  <c r="Y20" i="49" s="1"/>
  <c r="G82" i="20"/>
  <c r="X23" i="44" s="1"/>
  <c r="W20" i="49" s="1"/>
  <c r="G81" i="20"/>
  <c r="W23" i="44" s="1"/>
  <c r="V20" i="49" s="1"/>
  <c r="G80" i="20"/>
  <c r="V23" i="44" s="1"/>
  <c r="U20" i="49" s="1"/>
  <c r="G79" i="20"/>
  <c r="U23" i="44" s="1"/>
  <c r="T20" i="49" s="1"/>
  <c r="G78" i="20"/>
  <c r="T23" i="44" s="1"/>
  <c r="S20" i="49" s="1"/>
  <c r="G77" i="20"/>
  <c r="S23" i="44" s="1"/>
  <c r="R20" i="49" s="1"/>
  <c r="G76" i="20"/>
  <c r="G75"/>
  <c r="Q23" i="44" s="1"/>
  <c r="P20" i="49" s="1"/>
  <c r="G74" i="20"/>
  <c r="P23" i="44" s="1"/>
  <c r="O20" i="49" s="1"/>
  <c r="G73" i="20"/>
  <c r="O23" i="44" s="1"/>
  <c r="N20" i="49" s="1"/>
  <c r="E72" i="20"/>
  <c r="G72" s="1"/>
  <c r="N23" i="44" s="1"/>
  <c r="M20" i="49" s="1"/>
  <c r="E69" i="20"/>
  <c r="E68"/>
  <c r="E67"/>
  <c r="E66"/>
  <c r="E65"/>
  <c r="E64"/>
  <c r="E63"/>
  <c r="G58"/>
  <c r="G57"/>
  <c r="BH22" i="1" s="1"/>
  <c r="G56" i="20"/>
  <c r="BG22" i="1" s="1"/>
  <c r="G55" i="20"/>
  <c r="BF22" i="1" s="1"/>
  <c r="G54" i="20"/>
  <c r="BE22" i="1" s="1"/>
  <c r="G53" i="20"/>
  <c r="BD22" i="1" s="1"/>
  <c r="G51" i="20"/>
  <c r="BB22" i="1" s="1"/>
  <c r="G50" i="20"/>
  <c r="G49"/>
  <c r="BA22" i="1" s="1"/>
  <c r="E47" i="20"/>
  <c r="G46"/>
  <c r="G45"/>
  <c r="E44"/>
  <c r="G44" s="1"/>
  <c r="E43"/>
  <c r="G43" s="1"/>
  <c r="E42"/>
  <c r="G42" s="1"/>
  <c r="E41"/>
  <c r="G41" s="1"/>
  <c r="E40"/>
  <c r="G40" s="1"/>
  <c r="E39"/>
  <c r="G39" s="1"/>
  <c r="E38"/>
  <c r="G38" s="1"/>
  <c r="E37"/>
  <c r="G37" s="1"/>
  <c r="E36"/>
  <c r="G36" s="1"/>
  <c r="E35"/>
  <c r="G35" s="1"/>
  <c r="G22"/>
  <c r="E19"/>
  <c r="G19" s="1"/>
  <c r="E18"/>
  <c r="E10"/>
  <c r="G138" i="19"/>
  <c r="G137"/>
  <c r="AV22" i="44" s="1"/>
  <c r="G132" i="19"/>
  <c r="E131"/>
  <c r="G131" s="1"/>
  <c r="G128"/>
  <c r="AS22" i="44" s="1"/>
  <c r="BL19" i="49" s="1"/>
  <c r="G127" i="19"/>
  <c r="AR22" i="44" s="1"/>
  <c r="BK19" i="49" s="1"/>
  <c r="G126" i="19"/>
  <c r="AQ22" i="44" s="1"/>
  <c r="BJ19" i="49" s="1"/>
  <c r="G125" i="19"/>
  <c r="AP22" i="44" s="1"/>
  <c r="BI19" i="49" s="1"/>
  <c r="E124" i="19"/>
  <c r="G124" s="1"/>
  <c r="G101"/>
  <c r="G100"/>
  <c r="G99"/>
  <c r="U13" i="45" s="1"/>
  <c r="BC19" i="49" s="1"/>
  <c r="G98" i="19"/>
  <c r="G97"/>
  <c r="E96"/>
  <c r="G96" s="1"/>
  <c r="U9" i="45" s="1"/>
  <c r="E95" i="19"/>
  <c r="G94"/>
  <c r="U8" i="45" s="1"/>
  <c r="AN19" i="49" s="1"/>
  <c r="E93" i="19"/>
  <c r="G93" s="1"/>
  <c r="U7" i="45" s="1"/>
  <c r="G84" i="19"/>
  <c r="G83"/>
  <c r="Z22" i="44" s="1"/>
  <c r="Y19" i="49" s="1"/>
  <c r="G82" i="19"/>
  <c r="X22" i="44" s="1"/>
  <c r="W19" i="49" s="1"/>
  <c r="G81" i="19"/>
  <c r="W22" i="44" s="1"/>
  <c r="V19" i="49" s="1"/>
  <c r="G80" i="19"/>
  <c r="V22" i="44" s="1"/>
  <c r="U19" i="49" s="1"/>
  <c r="G79" i="19"/>
  <c r="U22" i="44" s="1"/>
  <c r="T19" i="49" s="1"/>
  <c r="G78" i="19"/>
  <c r="T22" i="44" s="1"/>
  <c r="S19" i="49" s="1"/>
  <c r="G77" i="19"/>
  <c r="S22" i="44" s="1"/>
  <c r="R19" i="49" s="1"/>
  <c r="G76" i="19"/>
  <c r="R22" i="44" s="1"/>
  <c r="Q19" i="49" s="1"/>
  <c r="G75" i="19"/>
  <c r="Q22" i="44" s="1"/>
  <c r="P19" i="49" s="1"/>
  <c r="G74" i="19"/>
  <c r="P22" i="44" s="1"/>
  <c r="O19" i="49" s="1"/>
  <c r="G73" i="19"/>
  <c r="O22" i="44" s="1"/>
  <c r="N19" i="49" s="1"/>
  <c r="E72" i="19"/>
  <c r="G72" s="1"/>
  <c r="G172"/>
  <c r="E62"/>
  <c r="G57"/>
  <c r="BH21" i="1" s="1"/>
  <c r="G56" i="19"/>
  <c r="BG21" i="1" s="1"/>
  <c r="G55" i="19"/>
  <c r="G54"/>
  <c r="G53"/>
  <c r="BD21" i="1" s="1"/>
  <c r="G52" i="19"/>
  <c r="G51"/>
  <c r="BB21" i="1" s="1"/>
  <c r="G50" i="19"/>
  <c r="E49"/>
  <c r="G46"/>
  <c r="G45"/>
  <c r="G44"/>
  <c r="G43"/>
  <c r="G42"/>
  <c r="AW21" i="1" s="1"/>
  <c r="G41" i="19"/>
  <c r="G38"/>
  <c r="G36"/>
  <c r="E35"/>
  <c r="G35" s="1"/>
  <c r="E24"/>
  <c r="E22"/>
  <c r="G22" s="1"/>
  <c r="E19"/>
  <c r="G19" s="1"/>
  <c r="E18"/>
  <c r="G10"/>
  <c r="E141" i="18"/>
  <c r="G141" s="1"/>
  <c r="E140"/>
  <c r="E139"/>
  <c r="G139" s="1"/>
  <c r="E138"/>
  <c r="G138" s="1"/>
  <c r="E137"/>
  <c r="G137" s="1"/>
  <c r="AV21" i="44" s="1"/>
  <c r="E136" i="18"/>
  <c r="E135"/>
  <c r="G135" s="1"/>
  <c r="E134"/>
  <c r="E133"/>
  <c r="G133" s="1"/>
  <c r="E132"/>
  <c r="G132" s="1"/>
  <c r="E131"/>
  <c r="G131" s="1"/>
  <c r="E128"/>
  <c r="G128" s="1"/>
  <c r="AS21" i="44" s="1"/>
  <c r="BL18" i="49" s="1"/>
  <c r="E127" i="18"/>
  <c r="G127" s="1"/>
  <c r="AR21" i="44" s="1"/>
  <c r="BK18" i="49" s="1"/>
  <c r="E126" i="18"/>
  <c r="G126" s="1"/>
  <c r="AQ21" i="44" s="1"/>
  <c r="BJ18" i="49" s="1"/>
  <c r="E125" i="18"/>
  <c r="G125" s="1"/>
  <c r="AP21" i="44" s="1"/>
  <c r="BI18" i="49" s="1"/>
  <c r="E124" i="18"/>
  <c r="G124" s="1"/>
  <c r="E101"/>
  <c r="G101" s="1"/>
  <c r="E100"/>
  <c r="G100" s="1"/>
  <c r="E99"/>
  <c r="G99" s="1"/>
  <c r="T13" i="45" s="1"/>
  <c r="BC18" i="49" s="1"/>
  <c r="G98" i="18"/>
  <c r="G97"/>
  <c r="E96"/>
  <c r="G96" s="1"/>
  <c r="T9" i="45" s="1"/>
  <c r="AO18" i="49" s="1"/>
  <c r="E95" i="18"/>
  <c r="E94"/>
  <c r="G94" s="1"/>
  <c r="T8" i="45" s="1"/>
  <c r="AN18" i="49" s="1"/>
  <c r="G93" i="18"/>
  <c r="T7" i="45" s="1"/>
  <c r="E84" i="18"/>
  <c r="G84" s="1"/>
  <c r="G83"/>
  <c r="Z21" i="44" s="1"/>
  <c r="Y18" i="49" s="1"/>
  <c r="G82" i="18"/>
  <c r="X21" i="44" s="1"/>
  <c r="W18" i="49" s="1"/>
  <c r="G81" i="18"/>
  <c r="W21" i="44" s="1"/>
  <c r="V18" i="49" s="1"/>
  <c r="G80" i="18"/>
  <c r="V21" i="44" s="1"/>
  <c r="U18" i="49" s="1"/>
  <c r="G79" i="18"/>
  <c r="U21" i="44" s="1"/>
  <c r="T18" i="49" s="1"/>
  <c r="G78" i="18"/>
  <c r="T21" i="44" s="1"/>
  <c r="S18" i="49" s="1"/>
  <c r="G77" i="18"/>
  <c r="S21" i="44" s="1"/>
  <c r="R18" i="49" s="1"/>
  <c r="G76" i="18"/>
  <c r="R21" i="44" s="1"/>
  <c r="Q18" i="49" s="1"/>
  <c r="G75" i="18"/>
  <c r="Q21" i="44" s="1"/>
  <c r="P18" i="49" s="1"/>
  <c r="G74" i="18"/>
  <c r="P21" i="44" s="1"/>
  <c r="O18" i="49" s="1"/>
  <c r="G73" i="18"/>
  <c r="O21" i="44" s="1"/>
  <c r="N18" i="49" s="1"/>
  <c r="E72" i="18"/>
  <c r="G72" s="1"/>
  <c r="E69"/>
  <c r="E68"/>
  <c r="E67"/>
  <c r="E66"/>
  <c r="E65"/>
  <c r="E64"/>
  <c r="E63"/>
  <c r="E62"/>
  <c r="E58"/>
  <c r="G58" s="1"/>
  <c r="Y21" i="44" s="1"/>
  <c r="X18" i="49" s="1"/>
  <c r="E57" i="18"/>
  <c r="E56"/>
  <c r="E55"/>
  <c r="G55" s="1"/>
  <c r="BF20" i="1" s="1"/>
  <c r="E53" i="18"/>
  <c r="G53" s="1"/>
  <c r="BD20" i="1" s="1"/>
  <c r="E51" i="18"/>
  <c r="G51" s="1"/>
  <c r="BB20" i="1" s="1"/>
  <c r="E50" i="18"/>
  <c r="G50" s="1"/>
  <c r="L21" i="44" s="1"/>
  <c r="K18" i="49" s="1"/>
  <c r="E49" i="18"/>
  <c r="E46"/>
  <c r="G46" s="1"/>
  <c r="E45"/>
  <c r="G45" s="1"/>
  <c r="E44"/>
  <c r="G44" s="1"/>
  <c r="E43"/>
  <c r="G43" s="1"/>
  <c r="E42"/>
  <c r="G41"/>
  <c r="E40"/>
  <c r="G40" s="1"/>
  <c r="E39"/>
  <c r="E38"/>
  <c r="G38" s="1"/>
  <c r="E37"/>
  <c r="G37" s="1"/>
  <c r="E36"/>
  <c r="G36" s="1"/>
  <c r="M21" i="44" s="1"/>
  <c r="L18" i="49" s="1"/>
  <c r="E35" i="18"/>
  <c r="G35" s="1"/>
  <c r="E24"/>
  <c r="E23"/>
  <c r="E22"/>
  <c r="E19"/>
  <c r="G19" s="1"/>
  <c r="E18"/>
  <c r="E10"/>
  <c r="G10" s="1"/>
  <c r="E141" i="17"/>
  <c r="G141" s="1"/>
  <c r="E140"/>
  <c r="G140" s="1"/>
  <c r="E139"/>
  <c r="G139" s="1"/>
  <c r="E138"/>
  <c r="G138" s="1"/>
  <c r="E137"/>
  <c r="E136"/>
  <c r="G136" s="1"/>
  <c r="AD19" i="1" s="1"/>
  <c r="E135" i="17"/>
  <c r="G135" s="1"/>
  <c r="AC19" i="1" s="1"/>
  <c r="E134" i="17"/>
  <c r="G134" s="1"/>
  <c r="AB19" i="1" s="1"/>
  <c r="E133" i="17"/>
  <c r="G133" s="1"/>
  <c r="AA19" i="1" s="1"/>
  <c r="E132" i="17"/>
  <c r="G132" s="1"/>
  <c r="E131"/>
  <c r="G131" s="1"/>
  <c r="E128"/>
  <c r="G128" s="1"/>
  <c r="AS20" i="44" s="1"/>
  <c r="BL17" i="49" s="1"/>
  <c r="E127" i="17"/>
  <c r="G127" s="1"/>
  <c r="AR20" i="44" s="1"/>
  <c r="BK17" i="49" s="1"/>
  <c r="E126" i="17"/>
  <c r="G126" s="1"/>
  <c r="AQ20" i="44" s="1"/>
  <c r="BJ17" i="49" s="1"/>
  <c r="E125" i="17"/>
  <c r="G125" s="1"/>
  <c r="AP20" i="44" s="1"/>
  <c r="BI17" i="49" s="1"/>
  <c r="E124" i="17"/>
  <c r="G124" s="1"/>
  <c r="E99"/>
  <c r="G99" s="1"/>
  <c r="S13" i="45" s="1"/>
  <c r="E96" i="17"/>
  <c r="G96" s="1"/>
  <c r="S9" i="45" s="1"/>
  <c r="E95" i="17"/>
  <c r="E94"/>
  <c r="G94" s="1"/>
  <c r="S8" i="45" s="1"/>
  <c r="AN17" i="49" s="1"/>
  <c r="E93" i="17"/>
  <c r="G93" s="1"/>
  <c r="S7" i="45" s="1"/>
  <c r="E84" i="17"/>
  <c r="G84" s="1"/>
  <c r="E83"/>
  <c r="G83" s="1"/>
  <c r="Z20" i="44" s="1"/>
  <c r="Y17" i="49" s="1"/>
  <c r="E82" i="17"/>
  <c r="G82" s="1"/>
  <c r="X20" i="44" s="1"/>
  <c r="W17" i="49" s="1"/>
  <c r="E81" i="17"/>
  <c r="G81" s="1"/>
  <c r="W20" i="44" s="1"/>
  <c r="V17" i="49" s="1"/>
  <c r="E80" i="17"/>
  <c r="G80" s="1"/>
  <c r="V20" i="44" s="1"/>
  <c r="U17" i="49" s="1"/>
  <c r="E79" i="17"/>
  <c r="G79" s="1"/>
  <c r="U20" i="44" s="1"/>
  <c r="T17" i="49" s="1"/>
  <c r="E78" i="17"/>
  <c r="G78" s="1"/>
  <c r="T20" i="44" s="1"/>
  <c r="S17" i="49" s="1"/>
  <c r="E77" i="17"/>
  <c r="G77" s="1"/>
  <c r="S20" i="44" s="1"/>
  <c r="R17" i="49" s="1"/>
  <c r="E76" i="17"/>
  <c r="G76" s="1"/>
  <c r="R20" i="44" s="1"/>
  <c r="Q17" i="49" s="1"/>
  <c r="E75" i="17"/>
  <c r="G75" s="1"/>
  <c r="Q20" i="44" s="1"/>
  <c r="P17" i="49" s="1"/>
  <c r="E74" i="17"/>
  <c r="G74" s="1"/>
  <c r="P20" i="44" s="1"/>
  <c r="O17" i="49" s="1"/>
  <c r="E73" i="17"/>
  <c r="G73" s="1"/>
  <c r="O20" i="44" s="1"/>
  <c r="N17" i="49" s="1"/>
  <c r="G72" i="17"/>
  <c r="N20" i="44" s="1"/>
  <c r="M17" i="49" s="1"/>
  <c r="G69" i="17"/>
  <c r="AL20" i="44" s="1"/>
  <c r="AK17" i="49" s="1"/>
  <c r="G68" i="17"/>
  <c r="AK20" i="44" s="1"/>
  <c r="AJ17" i="49" s="1"/>
  <c r="G67" i="17"/>
  <c r="AJ20" i="44" s="1"/>
  <c r="AI17" i="49" s="1"/>
  <c r="G66" i="17"/>
  <c r="AI20" i="44" s="1"/>
  <c r="AH17" i="49" s="1"/>
  <c r="G65" i="17"/>
  <c r="AH20" i="44" s="1"/>
  <c r="AG17" i="49" s="1"/>
  <c r="G63" i="17"/>
  <c r="AF20" i="44" s="1"/>
  <c r="AE17" i="49" s="1"/>
  <c r="G62" i="17"/>
  <c r="AE20" i="44" s="1"/>
  <c r="AD17" i="49" s="1"/>
  <c r="G49" i="17"/>
  <c r="G35"/>
  <c r="E24"/>
  <c r="E23"/>
  <c r="E22"/>
  <c r="G22" s="1"/>
  <c r="G10"/>
  <c r="N11" s="1"/>
  <c r="G141" i="16"/>
  <c r="G140"/>
  <c r="G139"/>
  <c r="G138"/>
  <c r="G137"/>
  <c r="AV19" i="44" s="1"/>
  <c r="G135" i="16"/>
  <c r="G134"/>
  <c r="G133"/>
  <c r="AA18" i="1" s="1"/>
  <c r="G132" i="16"/>
  <c r="E131"/>
  <c r="G131" s="1"/>
  <c r="E128"/>
  <c r="G128" s="1"/>
  <c r="AS19" i="44" s="1"/>
  <c r="BL16" i="49" s="1"/>
  <c r="E127" i="16"/>
  <c r="G127" s="1"/>
  <c r="AR19" i="44" s="1"/>
  <c r="BK16" i="49" s="1"/>
  <c r="G126" i="16"/>
  <c r="AQ19" i="44" s="1"/>
  <c r="BJ16" i="49" s="1"/>
  <c r="E125" i="16"/>
  <c r="G125" s="1"/>
  <c r="AP19" i="44" s="1"/>
  <c r="BI16" i="49" s="1"/>
  <c r="E124" i="16"/>
  <c r="G124" s="1"/>
  <c r="E101"/>
  <c r="G101" s="1"/>
  <c r="E100"/>
  <c r="G100" s="1"/>
  <c r="E99"/>
  <c r="G99" s="1"/>
  <c r="R13" i="45" s="1"/>
  <c r="BC16" i="49" s="1"/>
  <c r="E98" i="16"/>
  <c r="G98" s="1"/>
  <c r="E97"/>
  <c r="G97" s="1"/>
  <c r="E96"/>
  <c r="G96" s="1"/>
  <c r="R9" i="45" s="1"/>
  <c r="E94" i="16"/>
  <c r="G94" s="1"/>
  <c r="R8" i="45" s="1"/>
  <c r="AN16" i="49" s="1"/>
  <c r="E93" i="16"/>
  <c r="G93" s="1"/>
  <c r="R7" i="45" s="1"/>
  <c r="E84" i="16"/>
  <c r="G84" s="1"/>
  <c r="E83"/>
  <c r="G83" s="1"/>
  <c r="Z19" i="44" s="1"/>
  <c r="Y16" i="49" s="1"/>
  <c r="E82" i="16"/>
  <c r="G82" s="1"/>
  <c r="X19" i="44" s="1"/>
  <c r="W16" i="49" s="1"/>
  <c r="E81" i="16"/>
  <c r="G81" s="1"/>
  <c r="W19" i="44" s="1"/>
  <c r="V16" i="49" s="1"/>
  <c r="E80" i="16"/>
  <c r="G80" s="1"/>
  <c r="V19" i="44" s="1"/>
  <c r="U16" i="49" s="1"/>
  <c r="E79" i="16"/>
  <c r="G79" s="1"/>
  <c r="U19" i="44" s="1"/>
  <c r="T16" i="49" s="1"/>
  <c r="E78" i="16"/>
  <c r="G78" s="1"/>
  <c r="T19" i="44" s="1"/>
  <c r="S16" i="49" s="1"/>
  <c r="E77" i="16"/>
  <c r="G77" s="1"/>
  <c r="S19" i="44" s="1"/>
  <c r="R16" i="49" s="1"/>
  <c r="E76" i="16"/>
  <c r="G76" s="1"/>
  <c r="R19" i="44" s="1"/>
  <c r="Q16" i="49" s="1"/>
  <c r="E75" i="16"/>
  <c r="G75" s="1"/>
  <c r="Q19" i="44" s="1"/>
  <c r="P16" i="49" s="1"/>
  <c r="E74" i="16"/>
  <c r="G74" s="1"/>
  <c r="P19" i="44" s="1"/>
  <c r="O16" i="49" s="1"/>
  <c r="E73" i="16"/>
  <c r="G73" s="1"/>
  <c r="E72"/>
  <c r="G72" s="1"/>
  <c r="N19" i="44" s="1"/>
  <c r="M16" i="49" s="1"/>
  <c r="G69" i="16"/>
  <c r="G68"/>
  <c r="AK19" i="44" s="1"/>
  <c r="AJ16" i="49" s="1"/>
  <c r="G67" i="16"/>
  <c r="AJ19" i="44" s="1"/>
  <c r="AI16" i="49" s="1"/>
  <c r="G66" i="16"/>
  <c r="AI19" i="44" s="1"/>
  <c r="AH16" i="49" s="1"/>
  <c r="G65" i="16"/>
  <c r="AH19" i="44" s="1"/>
  <c r="AG16" i="49" s="1"/>
  <c r="G64" i="16"/>
  <c r="AG19" i="44" s="1"/>
  <c r="AF16" i="49" s="1"/>
  <c r="G63" i="16"/>
  <c r="AF19" i="44" s="1"/>
  <c r="AE16" i="49" s="1"/>
  <c r="G62" i="16"/>
  <c r="AE19" i="44" s="1"/>
  <c r="AD16" i="49" s="1"/>
  <c r="G58" i="16"/>
  <c r="Y19" i="44" s="1"/>
  <c r="X16" i="49" s="1"/>
  <c r="G57" i="16"/>
  <c r="BH18" i="1" s="1"/>
  <c r="G56" i="16"/>
  <c r="BG18" i="1" s="1"/>
  <c r="G55" i="16"/>
  <c r="BF18" i="1" s="1"/>
  <c r="G54" i="16"/>
  <c r="BE18" i="1" s="1"/>
  <c r="G53" i="16"/>
  <c r="BD18" i="1" s="1"/>
  <c r="G52" i="16"/>
  <c r="G51"/>
  <c r="BB18" i="1" s="1"/>
  <c r="G50" i="16"/>
  <c r="G49"/>
  <c r="G46"/>
  <c r="G45"/>
  <c r="G44"/>
  <c r="G43"/>
  <c r="G42"/>
  <c r="G40"/>
  <c r="G38"/>
  <c r="G37"/>
  <c r="G36"/>
  <c r="E35"/>
  <c r="G35" s="1"/>
  <c r="E24"/>
  <c r="E23"/>
  <c r="E22"/>
  <c r="G22" s="1"/>
  <c r="E19"/>
  <c r="G19" s="1"/>
  <c r="E18"/>
  <c r="G10"/>
  <c r="E141" i="15"/>
  <c r="G141" s="1"/>
  <c r="E140"/>
  <c r="G140" s="1"/>
  <c r="E139"/>
  <c r="G139" s="1"/>
  <c r="E138"/>
  <c r="G138" s="1"/>
  <c r="E137"/>
  <c r="G137" s="1"/>
  <c r="AV18" i="44" s="1"/>
  <c r="G136" i="15"/>
  <c r="AD17" i="1" s="1"/>
  <c r="G135" i="15"/>
  <c r="G134"/>
  <c r="AB17" i="1" s="1"/>
  <c r="E133" i="15"/>
  <c r="G133" s="1"/>
  <c r="AA17" i="1" s="1"/>
  <c r="E132" i="15"/>
  <c r="G132" s="1"/>
  <c r="E131"/>
  <c r="G131" s="1"/>
  <c r="E128"/>
  <c r="G128" s="1"/>
  <c r="AS18" i="44" s="1"/>
  <c r="BL15" i="49" s="1"/>
  <c r="E127" i="15"/>
  <c r="G127" s="1"/>
  <c r="AR18" i="44" s="1"/>
  <c r="BK15" i="49" s="1"/>
  <c r="E126" i="15"/>
  <c r="G126" s="1"/>
  <c r="AQ18" i="44" s="1"/>
  <c r="BJ15" i="49" s="1"/>
  <c r="E125" i="15"/>
  <c r="G125" s="1"/>
  <c r="AP18" i="44" s="1"/>
  <c r="BI15" i="49" s="1"/>
  <c r="E124" i="15"/>
  <c r="G124" s="1"/>
  <c r="E101"/>
  <c r="G101" s="1"/>
  <c r="E100"/>
  <c r="G100" s="1"/>
  <c r="E99"/>
  <c r="G99" s="1"/>
  <c r="Q13" i="45" s="1"/>
  <c r="BC15" i="49" s="1"/>
  <c r="E98" i="15"/>
  <c r="G98" s="1"/>
  <c r="E97"/>
  <c r="G97" s="1"/>
  <c r="E96"/>
  <c r="G96" s="1"/>
  <c r="Q9" i="45" s="1"/>
  <c r="E95" i="15"/>
  <c r="E94"/>
  <c r="G94" s="1"/>
  <c r="Q8" i="45" s="1"/>
  <c r="AN15" i="49" s="1"/>
  <c r="E93" i="15"/>
  <c r="G93" s="1"/>
  <c r="Q7" i="45" s="1"/>
  <c r="E69" i="15"/>
  <c r="E68"/>
  <c r="E67"/>
  <c r="E66"/>
  <c r="E65"/>
  <c r="E64"/>
  <c r="E63"/>
  <c r="G58"/>
  <c r="G57"/>
  <c r="BH17" i="1" s="1"/>
  <c r="G56" i="15"/>
  <c r="G55"/>
  <c r="BF17" i="1" s="1"/>
  <c r="G54" i="15"/>
  <c r="BE17" i="1" s="1"/>
  <c r="G53" i="15"/>
  <c r="BD17" i="1" s="1"/>
  <c r="G52" i="15"/>
  <c r="G51"/>
  <c r="BB17" i="1" s="1"/>
  <c r="G50" i="15"/>
  <c r="E49"/>
  <c r="G49" s="1"/>
  <c r="BA17" i="1" s="1"/>
  <c r="G46" i="15"/>
  <c r="G45"/>
  <c r="G44"/>
  <c r="G43"/>
  <c r="G42"/>
  <c r="G41"/>
  <c r="G40"/>
  <c r="G39"/>
  <c r="G38"/>
  <c r="G37"/>
  <c r="G36"/>
  <c r="E35"/>
  <c r="G35" s="1"/>
  <c r="E24"/>
  <c r="E23"/>
  <c r="E22"/>
  <c r="G22" s="1"/>
  <c r="E19"/>
  <c r="G19" s="1"/>
  <c r="E18"/>
  <c r="E10"/>
  <c r="G10" s="1"/>
  <c r="E141" i="14"/>
  <c r="G141" s="1"/>
  <c r="E140"/>
  <c r="G140" s="1"/>
  <c r="E139"/>
  <c r="G139" s="1"/>
  <c r="AX17" i="44" s="1"/>
  <c r="E138" i="14"/>
  <c r="G138" s="1"/>
  <c r="E137"/>
  <c r="G137" s="1"/>
  <c r="AV17" i="44" s="1"/>
  <c r="E136" i="14"/>
  <c r="G136" s="1"/>
  <c r="AD16" i="1" s="1"/>
  <c r="E135" i="14"/>
  <c r="G135" s="1"/>
  <c r="AC16" i="1" s="1"/>
  <c r="E134" i="14"/>
  <c r="G134" s="1"/>
  <c r="AB16" i="1" s="1"/>
  <c r="E133" i="14"/>
  <c r="G133" s="1"/>
  <c r="AA16" i="1" s="1"/>
  <c r="E132" i="14"/>
  <c r="G132" s="1"/>
  <c r="E131"/>
  <c r="G131" s="1"/>
  <c r="E128"/>
  <c r="G128" s="1"/>
  <c r="AS17" i="44" s="1"/>
  <c r="BL14" i="49" s="1"/>
  <c r="E127" i="14"/>
  <c r="G127" s="1"/>
  <c r="AR17" i="44" s="1"/>
  <c r="BK14" i="49" s="1"/>
  <c r="E126" i="14"/>
  <c r="G126" s="1"/>
  <c r="AQ17" i="44" s="1"/>
  <c r="BJ14" i="49" s="1"/>
  <c r="E125" i="14"/>
  <c r="G125" s="1"/>
  <c r="AP17" i="44" s="1"/>
  <c r="BI14" i="49" s="1"/>
  <c r="E124" i="14"/>
  <c r="G124" s="1"/>
  <c r="G101"/>
  <c r="G100"/>
  <c r="G99"/>
  <c r="P13" i="45" s="1"/>
  <c r="BC14" i="49" s="1"/>
  <c r="G98" i="14"/>
  <c r="P11" i="45" s="1"/>
  <c r="AQ14" i="49" s="1"/>
  <c r="G97" i="14"/>
  <c r="E96"/>
  <c r="G96" s="1"/>
  <c r="P9" i="45" s="1"/>
  <c r="E95" i="14"/>
  <c r="E94"/>
  <c r="G94" s="1"/>
  <c r="P8" i="45" s="1"/>
  <c r="AN14" i="49" s="1"/>
  <c r="E93" i="14"/>
  <c r="G93" s="1"/>
  <c r="P7" i="45" s="1"/>
  <c r="E62" i="14"/>
  <c r="G58"/>
  <c r="G57"/>
  <c r="BH16" i="1" s="1"/>
  <c r="G56" i="14"/>
  <c r="BG16" i="1" s="1"/>
  <c r="G55" i="14"/>
  <c r="BF16" i="1" s="1"/>
  <c r="G54" i="14"/>
  <c r="BE16" i="1" s="1"/>
  <c r="G53" i="14"/>
  <c r="BD16" i="1" s="1"/>
  <c r="G52" i="14"/>
  <c r="G51"/>
  <c r="BB16" i="1" s="1"/>
  <c r="G50" i="14"/>
  <c r="E49"/>
  <c r="G49" s="1"/>
  <c r="BA16" i="1" s="1"/>
  <c r="E35" i="14"/>
  <c r="G35" s="1"/>
  <c r="G22"/>
  <c r="E19"/>
  <c r="G19" s="1"/>
  <c r="E18"/>
  <c r="E15"/>
  <c r="G10"/>
  <c r="E7"/>
  <c r="E131" i="13"/>
  <c r="G131" s="1"/>
  <c r="E124"/>
  <c r="G124" s="1"/>
  <c r="G96"/>
  <c r="E93"/>
  <c r="G93" s="1"/>
  <c r="E62"/>
  <c r="G58"/>
  <c r="G57"/>
  <c r="G56"/>
  <c r="G55"/>
  <c r="G54"/>
  <c r="G53"/>
  <c r="G52"/>
  <c r="G51"/>
  <c r="G50"/>
  <c r="E49"/>
  <c r="G49" s="1"/>
  <c r="G35"/>
  <c r="E24"/>
  <c r="E23"/>
  <c r="E22"/>
  <c r="G22" s="1"/>
  <c r="E19"/>
  <c r="G19" s="1"/>
  <c r="E18"/>
  <c r="G10"/>
  <c r="G9"/>
  <c r="G133" i="12"/>
  <c r="G132"/>
  <c r="E131"/>
  <c r="G131" s="1"/>
  <c r="E128"/>
  <c r="G128" s="1"/>
  <c r="E127"/>
  <c r="G127" s="1"/>
  <c r="E126"/>
  <c r="G126" s="1"/>
  <c r="E125"/>
  <c r="G125" s="1"/>
  <c r="E124"/>
  <c r="G124" s="1"/>
  <c r="G101"/>
  <c r="G100"/>
  <c r="G99"/>
  <c r="G98"/>
  <c r="G97"/>
  <c r="G96"/>
  <c r="G94"/>
  <c r="E93"/>
  <c r="G93" s="1"/>
  <c r="E62"/>
  <c r="BA14" i="1"/>
  <c r="E35" i="12"/>
  <c r="G35" s="1"/>
  <c r="E23"/>
  <c r="E22"/>
  <c r="G22" s="1"/>
  <c r="E19"/>
  <c r="G19" s="1"/>
  <c r="E18"/>
  <c r="G10"/>
  <c r="G7"/>
  <c r="B15" i="44" s="1"/>
  <c r="E131" i="11"/>
  <c r="G131" s="1"/>
  <c r="E124"/>
  <c r="G124" s="1"/>
  <c r="AO14" i="44" s="1"/>
  <c r="BH11" i="49" s="1"/>
  <c r="G96" i="11"/>
  <c r="E93"/>
  <c r="G93" s="1"/>
  <c r="E62"/>
  <c r="E49"/>
  <c r="G49" s="1"/>
  <c r="BA13" i="1" s="1"/>
  <c r="E35" i="11"/>
  <c r="G35" s="1"/>
  <c r="E23"/>
  <c r="E22"/>
  <c r="G22" s="1"/>
  <c r="E19"/>
  <c r="G19" s="1"/>
  <c r="E18"/>
  <c r="G9"/>
  <c r="AA12" i="1"/>
  <c r="L13" i="45"/>
  <c r="BC10" i="49" s="1"/>
  <c r="L9" i="45"/>
  <c r="L7"/>
  <c r="AK13" i="44"/>
  <c r="AJ10" i="49" s="1"/>
  <c r="AJ13" i="44"/>
  <c r="AI10" i="49" s="1"/>
  <c r="AI13" i="44"/>
  <c r="AH10" i="49" s="1"/>
  <c r="AH13" i="44"/>
  <c r="AG10" i="49" s="1"/>
  <c r="AG13" i="44"/>
  <c r="AF10" i="49" s="1"/>
  <c r="BH12" i="1"/>
  <c r="BG12"/>
  <c r="BF12"/>
  <c r="BE12"/>
  <c r="BC12"/>
  <c r="BB12"/>
  <c r="BA12"/>
  <c r="AW12"/>
  <c r="E141" i="9"/>
  <c r="G141" s="1"/>
  <c r="E140"/>
  <c r="G140" s="1"/>
  <c r="E139"/>
  <c r="G139" s="1"/>
  <c r="E138"/>
  <c r="G138" s="1"/>
  <c r="E137"/>
  <c r="G137" s="1"/>
  <c r="AV12" i="44" s="1"/>
  <c r="E136" i="9"/>
  <c r="G136" s="1"/>
  <c r="AD11" i="1" s="1"/>
  <c r="E135" i="9"/>
  <c r="G135" s="1"/>
  <c r="AC11" i="1" s="1"/>
  <c r="E134" i="9"/>
  <c r="G134" s="1"/>
  <c r="AB11" i="1" s="1"/>
  <c r="E133" i="9"/>
  <c r="G133" s="1"/>
  <c r="AA11" i="1" s="1"/>
  <c r="E132" i="9"/>
  <c r="G132" s="1"/>
  <c r="E131"/>
  <c r="G131" s="1"/>
  <c r="E101"/>
  <c r="G101" s="1"/>
  <c r="E100"/>
  <c r="G100" s="1"/>
  <c r="E99"/>
  <c r="G99" s="1"/>
  <c r="K13" i="45" s="1"/>
  <c r="BC9" i="49" s="1"/>
  <c r="E98" i="9"/>
  <c r="G98" s="1"/>
  <c r="E97"/>
  <c r="G97" s="1"/>
  <c r="K10" i="45" s="1"/>
  <c r="E96" i="9"/>
  <c r="G96" s="1"/>
  <c r="K9" i="45" s="1"/>
  <c r="E95" i="9"/>
  <c r="E94"/>
  <c r="G93"/>
  <c r="K7" i="45" s="1"/>
  <c r="G69" i="9"/>
  <c r="G68"/>
  <c r="AK12" i="44" s="1"/>
  <c r="AJ9" i="49" s="1"/>
  <c r="G67" i="9"/>
  <c r="AJ12" i="44" s="1"/>
  <c r="AI9" i="49" s="1"/>
  <c r="G66" i="9"/>
  <c r="AI12" i="44" s="1"/>
  <c r="AH9" i="49" s="1"/>
  <c r="G65" i="9"/>
  <c r="AH12" i="44" s="1"/>
  <c r="AG9" i="49" s="1"/>
  <c r="G63" i="9"/>
  <c r="AF12" i="44" s="1"/>
  <c r="AE9" i="49" s="1"/>
  <c r="G62" i="9"/>
  <c r="AE12" i="44" s="1"/>
  <c r="AD9" i="49" s="1"/>
  <c r="G58" i="9"/>
  <c r="Y12" i="44" s="1"/>
  <c r="X9" i="49" s="1"/>
  <c r="G57" i="9"/>
  <c r="BH11" i="1" s="1"/>
  <c r="G56" i="9"/>
  <c r="BG11" i="1" s="1"/>
  <c r="G55" i="9"/>
  <c r="BF11" i="1" s="1"/>
  <c r="G54" i="9"/>
  <c r="BE11" i="1" s="1"/>
  <c r="E53" i="9"/>
  <c r="G53" s="1"/>
  <c r="BD11" i="1" s="1"/>
  <c r="E52" i="9"/>
  <c r="G52" s="1"/>
  <c r="E51"/>
  <c r="G51" s="1"/>
  <c r="BB11" i="1" s="1"/>
  <c r="E50" i="9"/>
  <c r="G50" s="1"/>
  <c r="E49"/>
  <c r="G49" s="1"/>
  <c r="E46"/>
  <c r="G46" s="1"/>
  <c r="E45"/>
  <c r="G45" s="1"/>
  <c r="E44"/>
  <c r="G44" s="1"/>
  <c r="E43"/>
  <c r="G43" s="1"/>
  <c r="E42"/>
  <c r="G42" s="1"/>
  <c r="AW11" i="1" s="1"/>
  <c r="E41" i="9"/>
  <c r="G41" s="1"/>
  <c r="E40"/>
  <c r="G40" s="1"/>
  <c r="E39"/>
  <c r="G39" s="1"/>
  <c r="E38"/>
  <c r="G38" s="1"/>
  <c r="E37"/>
  <c r="G37" s="1"/>
  <c r="E36"/>
  <c r="G36" s="1"/>
  <c r="E35"/>
  <c r="G35" s="1"/>
  <c r="E24"/>
  <c r="E23"/>
  <c r="G23" s="1"/>
  <c r="E22"/>
  <c r="G22" s="1"/>
  <c r="E19"/>
  <c r="G19" s="1"/>
  <c r="E18"/>
  <c r="G12"/>
  <c r="G11"/>
  <c r="G10"/>
  <c r="G9"/>
  <c r="E141" i="7"/>
  <c r="G141" s="1"/>
  <c r="E140"/>
  <c r="G140" s="1"/>
  <c r="E139"/>
  <c r="G139" s="1"/>
  <c r="E138"/>
  <c r="G138" s="1"/>
  <c r="AW10" i="44" s="1"/>
  <c r="E137" i="7"/>
  <c r="G137" s="1"/>
  <c r="AV10" i="44" s="1"/>
  <c r="E136" i="7"/>
  <c r="G136" s="1"/>
  <c r="AD9" i="1" s="1"/>
  <c r="E135" i="7"/>
  <c r="G135" s="1"/>
  <c r="AC9" i="1" s="1"/>
  <c r="G134" i="7"/>
  <c r="AB9" i="1" s="1"/>
  <c r="G133" i="7"/>
  <c r="E132"/>
  <c r="G132" s="1"/>
  <c r="E131"/>
  <c r="G131" s="1"/>
  <c r="E128"/>
  <c r="G128" s="1"/>
  <c r="AS10" i="44" s="1"/>
  <c r="BL7" i="49" s="1"/>
  <c r="E127" i="7"/>
  <c r="G127" s="1"/>
  <c r="AR10" i="44" s="1"/>
  <c r="BK7" i="49" s="1"/>
  <c r="E126" i="7"/>
  <c r="G126" s="1"/>
  <c r="AQ10" i="44" s="1"/>
  <c r="BJ7" i="49" s="1"/>
  <c r="E125" i="7"/>
  <c r="G125" s="1"/>
  <c r="AP10" i="44" s="1"/>
  <c r="BI7" i="49" s="1"/>
  <c r="E124" i="7"/>
  <c r="G124" s="1"/>
  <c r="E101"/>
  <c r="G101" s="1"/>
  <c r="E100"/>
  <c r="G100" s="1"/>
  <c r="E99"/>
  <c r="G99" s="1"/>
  <c r="I13" i="45" s="1"/>
  <c r="BC7" i="49" s="1"/>
  <c r="G98" i="7"/>
  <c r="E97"/>
  <c r="G97" s="1"/>
  <c r="I10" i="45" s="1"/>
  <c r="E96" i="7"/>
  <c r="G96" s="1"/>
  <c r="I9" i="45" s="1"/>
  <c r="E95" i="7"/>
  <c r="G94"/>
  <c r="I8" i="45" s="1"/>
  <c r="AN7" i="49" s="1"/>
  <c r="E93" i="7"/>
  <c r="G93" s="1"/>
  <c r="I7" i="45" s="1"/>
  <c r="E69" i="7"/>
  <c r="E172" s="1"/>
  <c r="E68"/>
  <c r="E171" s="1"/>
  <c r="E67"/>
  <c r="E170" s="1"/>
  <c r="E66"/>
  <c r="E169" s="1"/>
  <c r="E65"/>
  <c r="E168" s="1"/>
  <c r="E64"/>
  <c r="E167" s="1"/>
  <c r="E63"/>
  <c r="E166" s="1"/>
  <c r="E62"/>
  <c r="E165" s="1"/>
  <c r="G58"/>
  <c r="Y10" i="44" s="1"/>
  <c r="X7" i="49" s="1"/>
  <c r="G57" i="7"/>
  <c r="BH9" i="1" s="1"/>
  <c r="G56" i="7"/>
  <c r="BG9" i="1" s="1"/>
  <c r="G55" i="7"/>
  <c r="BF9" i="1" s="1"/>
  <c r="G54" i="7"/>
  <c r="BE9" i="1" s="1"/>
  <c r="G53" i="7"/>
  <c r="BD9" i="1" s="1"/>
  <c r="G52" i="7"/>
  <c r="BC9" i="1" s="1"/>
  <c r="G51" i="7"/>
  <c r="G50"/>
  <c r="E49"/>
  <c r="G49" s="1"/>
  <c r="BA9" i="1" s="1"/>
  <c r="E46" i="7"/>
  <c r="G46" s="1"/>
  <c r="E45"/>
  <c r="G45" s="1"/>
  <c r="E44"/>
  <c r="G44" s="1"/>
  <c r="E43"/>
  <c r="G43" s="1"/>
  <c r="E41"/>
  <c r="G41" s="1"/>
  <c r="E40"/>
  <c r="G40" s="1"/>
  <c r="E39"/>
  <c r="G39" s="1"/>
  <c r="E38"/>
  <c r="G38" s="1"/>
  <c r="E37"/>
  <c r="G37" s="1"/>
  <c r="E36"/>
  <c r="G36" s="1"/>
  <c r="E35"/>
  <c r="G35" s="1"/>
  <c r="G22"/>
  <c r="E19"/>
  <c r="G19" s="1"/>
  <c r="E18"/>
  <c r="G12"/>
  <c r="G11"/>
  <c r="G10"/>
  <c r="E15" i="33"/>
  <c r="E132"/>
  <c r="G132" s="1"/>
  <c r="G133"/>
  <c r="AA8" i="1" s="1"/>
  <c r="E134" i="33"/>
  <c r="G134" s="1"/>
  <c r="AB8" i="1" s="1"/>
  <c r="E135" i="33"/>
  <c r="G135" s="1"/>
  <c r="E136"/>
  <c r="G136" s="1"/>
  <c r="AD8" i="1" s="1"/>
  <c r="E137" i="33"/>
  <c r="G137" s="1"/>
  <c r="AV9" i="44" s="1"/>
  <c r="E138" i="33"/>
  <c r="G138" s="1"/>
  <c r="E139"/>
  <c r="G139" s="1"/>
  <c r="E140"/>
  <c r="G140" s="1"/>
  <c r="E141"/>
  <c r="G141" s="1"/>
  <c r="E131"/>
  <c r="G131" s="1"/>
  <c r="E125"/>
  <c r="G125" s="1"/>
  <c r="AP9" i="44" s="1"/>
  <c r="BI6" i="49" s="1"/>
  <c r="E126" i="33"/>
  <c r="G126" s="1"/>
  <c r="AQ9" i="44" s="1"/>
  <c r="BJ6" i="49" s="1"/>
  <c r="E127" i="33"/>
  <c r="G127" s="1"/>
  <c r="AR9" i="44" s="1"/>
  <c r="BK6" i="49" s="1"/>
  <c r="E128" i="33"/>
  <c r="G128" s="1"/>
  <c r="AS9" i="44" s="1"/>
  <c r="BL6" i="49" s="1"/>
  <c r="E124" i="33"/>
  <c r="G124" s="1"/>
  <c r="G97"/>
  <c r="E98"/>
  <c r="G98" s="1"/>
  <c r="G99"/>
  <c r="H13" i="45" s="1"/>
  <c r="BC6" i="49" s="1"/>
  <c r="E100" i="33"/>
  <c r="G100" s="1"/>
  <c r="G101"/>
  <c r="E96"/>
  <c r="G96" s="1"/>
  <c r="H9" i="45" s="1"/>
  <c r="E94" i="33"/>
  <c r="G94" s="1"/>
  <c r="H8" i="45" s="1"/>
  <c r="AN6" i="49" s="1"/>
  <c r="E93" i="33"/>
  <c r="G93" s="1"/>
  <c r="H7" i="45" s="1"/>
  <c r="E63" i="33"/>
  <c r="E64"/>
  <c r="E65"/>
  <c r="E66"/>
  <c r="E67"/>
  <c r="E68"/>
  <c r="E69"/>
  <c r="E62"/>
  <c r="E165" s="1"/>
  <c r="E50"/>
  <c r="G50" s="1"/>
  <c r="E51"/>
  <c r="G51" s="1"/>
  <c r="BB8" i="1" s="1"/>
  <c r="E52" i="33"/>
  <c r="G52" s="1"/>
  <c r="BC8" i="1" s="1"/>
  <c r="E53" i="33"/>
  <c r="G53" s="1"/>
  <c r="BD8" i="1" s="1"/>
  <c r="E54" i="33"/>
  <c r="G54" s="1"/>
  <c r="BE8" i="1" s="1"/>
  <c r="E55" i="33"/>
  <c r="G55" s="1"/>
  <c r="BF8" i="1" s="1"/>
  <c r="E56" i="33"/>
  <c r="G56" s="1"/>
  <c r="BG8" i="1" s="1"/>
  <c r="E57" i="33"/>
  <c r="G57" s="1"/>
  <c r="BH8" i="1" s="1"/>
  <c r="E58" i="33"/>
  <c r="G58" s="1"/>
  <c r="Y9" i="44" s="1"/>
  <c r="X6" i="49" s="1"/>
  <c r="E49" i="33"/>
  <c r="G49" s="1"/>
  <c r="BA8" i="1" s="1"/>
  <c r="E36" i="33"/>
  <c r="G36" s="1"/>
  <c r="G37"/>
  <c r="G38"/>
  <c r="G39"/>
  <c r="G40"/>
  <c r="G41"/>
  <c r="G42"/>
  <c r="AW8" i="1" s="1"/>
  <c r="G43" i="33"/>
  <c r="G44"/>
  <c r="G45"/>
  <c r="G46"/>
  <c r="E35"/>
  <c r="G35" s="1"/>
  <c r="G22"/>
  <c r="E19"/>
  <c r="G19" s="1"/>
  <c r="E10"/>
  <c r="G10" s="1"/>
  <c r="E11"/>
  <c r="E12"/>
  <c r="E9"/>
  <c r="E7"/>
  <c r="E7" i="7" s="1"/>
  <c r="AC7" i="1"/>
  <c r="AV8" i="44"/>
  <c r="AW8"/>
  <c r="AP8"/>
  <c r="BI5" i="49" s="1"/>
  <c r="AQ8" i="44"/>
  <c r="BJ5" i="49" s="1"/>
  <c r="AR8" i="44"/>
  <c r="BK5" i="49" s="1"/>
  <c r="AS8" i="44"/>
  <c r="BL5" i="49" s="1"/>
  <c r="G9" i="45"/>
  <c r="G13"/>
  <c r="BC5" i="49" s="1"/>
  <c r="G7" i="45"/>
  <c r="BC7" i="1"/>
  <c r="BE7"/>
  <c r="BF7"/>
  <c r="BH7"/>
  <c r="Y8" i="44"/>
  <c r="X5" i="49" s="1"/>
  <c r="AW7" i="1"/>
  <c r="I15" i="30"/>
  <c r="G18" i="29"/>
  <c r="G140" i="28"/>
  <c r="G18"/>
  <c r="G18" i="27"/>
  <c r="G18" i="40"/>
  <c r="AC27" i="1"/>
  <c r="AU27"/>
  <c r="G18" i="24"/>
  <c r="G18" i="23"/>
  <c r="I7"/>
  <c r="G40" i="22"/>
  <c r="L40" s="1"/>
  <c r="G18"/>
  <c r="G18" i="20"/>
  <c r="I7"/>
  <c r="G40" i="19"/>
  <c r="AU21" i="1" s="1"/>
  <c r="G18" i="19"/>
  <c r="I15"/>
  <c r="I7"/>
  <c r="G18" i="18"/>
  <c r="G64" i="17"/>
  <c r="AG20" i="44" s="1"/>
  <c r="AF17" i="49" s="1"/>
  <c r="G18" i="17"/>
  <c r="I15"/>
  <c r="I7"/>
  <c r="G39" i="16"/>
  <c r="G18"/>
  <c r="G18" i="15"/>
  <c r="G18" i="14"/>
  <c r="G18" i="13"/>
  <c r="G18" i="12"/>
  <c r="G18" i="11"/>
  <c r="G18" i="9"/>
  <c r="G18" i="33"/>
  <c r="AW6" i="44"/>
  <c r="AV6"/>
  <c r="AD5" i="1"/>
  <c r="AB5"/>
  <c r="AS6" i="44"/>
  <c r="BL3" i="49" s="1"/>
  <c r="AR6" i="44"/>
  <c r="BK3" i="49" s="1"/>
  <c r="AQ6" i="44"/>
  <c r="BJ3" i="49" s="1"/>
  <c r="AP6" i="44"/>
  <c r="BI3" i="49" s="1"/>
  <c r="E13" i="45"/>
  <c r="BC3" i="49" s="1"/>
  <c r="E9" i="45"/>
  <c r="AO3" i="49" s="1"/>
  <c r="E7" i="45"/>
  <c r="AE6" i="44"/>
  <c r="AD3" i="49" s="1"/>
  <c r="BD23" i="1"/>
  <c r="F32"/>
  <c r="F31"/>
  <c r="F30"/>
  <c r="F29"/>
  <c r="F28"/>
  <c r="F27"/>
  <c r="F26"/>
  <c r="F25"/>
  <c r="F24"/>
  <c r="F23"/>
  <c r="F22"/>
  <c r="F21"/>
  <c r="F20"/>
  <c r="F19"/>
  <c r="F18"/>
  <c r="F17"/>
  <c r="F16"/>
  <c r="F15"/>
  <c r="F14"/>
  <c r="F13"/>
  <c r="F12"/>
  <c r="F11"/>
  <c r="F10"/>
  <c r="F9"/>
  <c r="F8"/>
  <c r="F7"/>
  <c r="F6"/>
  <c r="F5"/>
  <c r="F4"/>
  <c r="AV5" i="44"/>
  <c r="AB4" i="1"/>
  <c r="M5" i="44"/>
  <c r="I111" i="41"/>
  <c r="T25" i="1"/>
  <c r="T22"/>
  <c r="T7"/>
  <c r="T9"/>
  <c r="T12"/>
  <c r="T13"/>
  <c r="T14"/>
  <c r="T21"/>
  <c r="T15"/>
  <c r="T16"/>
  <c r="T18"/>
  <c r="T20"/>
  <c r="T24"/>
  <c r="T31"/>
  <c r="T27"/>
  <c r="T19"/>
  <c r="T10"/>
  <c r="T8"/>
  <c r="T17"/>
  <c r="T26"/>
  <c r="T28"/>
  <c r="T29"/>
  <c r="T30"/>
  <c r="T32"/>
  <c r="T23"/>
  <c r="T6"/>
  <c r="T5"/>
  <c r="F18" i="35"/>
  <c r="D18"/>
  <c r="F17"/>
  <c r="D17"/>
  <c r="F16"/>
  <c r="D16"/>
  <c r="F15"/>
  <c r="D15"/>
  <c r="F14"/>
  <c r="D14"/>
  <c r="F13"/>
  <c r="D13"/>
  <c r="F12"/>
  <c r="D12"/>
  <c r="F11"/>
  <c r="D11"/>
  <c r="F10"/>
  <c r="D10"/>
  <c r="F9"/>
  <c r="D9"/>
  <c r="F8"/>
  <c r="D8"/>
  <c r="F7"/>
  <c r="D7"/>
  <c r="F6"/>
  <c r="D6"/>
  <c r="F5"/>
  <c r="D5"/>
  <c r="F4"/>
  <c r="D4"/>
  <c r="L12"/>
  <c r="J12"/>
  <c r="L4"/>
  <c r="J4"/>
  <c r="AN36" i="1"/>
  <c r="C36"/>
  <c r="B36"/>
  <c r="J13" i="35"/>
  <c r="L13"/>
  <c r="H8"/>
  <c r="J8"/>
  <c r="M8"/>
  <c r="I8"/>
  <c r="L8"/>
  <c r="L7"/>
  <c r="J7"/>
  <c r="J9"/>
  <c r="L9"/>
  <c r="L5"/>
  <c r="J6"/>
  <c r="J10"/>
  <c r="J11"/>
  <c r="J5"/>
  <c r="L6"/>
  <c r="E8"/>
  <c r="L10"/>
  <c r="L11"/>
  <c r="L14"/>
  <c r="L15"/>
  <c r="L16"/>
  <c r="J18"/>
  <c r="J14"/>
  <c r="J15"/>
  <c r="J17"/>
  <c r="E3" i="41"/>
  <c r="F3"/>
  <c r="G3"/>
  <c r="H3"/>
  <c r="G15" i="14" l="1"/>
  <c r="D17" i="44" s="1"/>
  <c r="E15" i="15"/>
  <c r="E15" i="7"/>
  <c r="E9"/>
  <c r="G9" s="1"/>
  <c r="G13" s="1"/>
  <c r="E7" i="8"/>
  <c r="G7" i="14"/>
  <c r="E9" i="16"/>
  <c r="J33" i="44"/>
  <c r="I30" i="49" s="1"/>
  <c r="AC29" i="1"/>
  <c r="AE29" s="1"/>
  <c r="BF33"/>
  <c r="Y33"/>
  <c r="X34"/>
  <c r="AM33"/>
  <c r="AL34"/>
  <c r="AO34" s="1"/>
  <c r="BN34"/>
  <c r="AY33"/>
  <c r="AI33"/>
  <c r="AH34"/>
  <c r="AK34" s="1"/>
  <c r="AU33"/>
  <c r="BG33"/>
  <c r="AG13" i="45"/>
  <c r="BC31" i="49" s="1"/>
  <c r="Y34" i="1"/>
  <c r="BE33"/>
  <c r="X33"/>
  <c r="W34"/>
  <c r="AV33"/>
  <c r="BH33"/>
  <c r="AP34" i="44"/>
  <c r="BI31" i="49" s="1"/>
  <c r="AP34" i="1"/>
  <c r="AC33"/>
  <c r="AB34"/>
  <c r="AW33"/>
  <c r="AD33"/>
  <c r="AC34"/>
  <c r="G24" i="9"/>
  <c r="AJ33" i="1"/>
  <c r="AX35" i="44"/>
  <c r="AY35" s="1"/>
  <c r="AT33" i="1"/>
  <c r="I34" i="44"/>
  <c r="H31" i="49" s="1"/>
  <c r="I33" i="44"/>
  <c r="H30" i="49" s="1"/>
  <c r="G94" i="9"/>
  <c r="K8" i="45" s="1"/>
  <c r="AN9" i="49" s="1"/>
  <c r="AS33" i="1"/>
  <c r="H34" i="44"/>
  <c r="G31" i="49" s="1"/>
  <c r="G11" i="33"/>
  <c r="E11" i="13"/>
  <c r="G11" s="1"/>
  <c r="E11" i="17"/>
  <c r="G11" s="1"/>
  <c r="G11" i="21"/>
  <c r="E11" i="25"/>
  <c r="G11" s="1"/>
  <c r="E11" i="29"/>
  <c r="G11" s="1"/>
  <c r="G11" i="22"/>
  <c r="G11" i="12"/>
  <c r="E11" i="16"/>
  <c r="G11" s="1"/>
  <c r="E11" i="20"/>
  <c r="G11" s="1"/>
  <c r="G11" i="24"/>
  <c r="E11" i="28"/>
  <c r="G11" s="1"/>
  <c r="E11" i="31"/>
  <c r="G11" s="1"/>
  <c r="E11" i="18"/>
  <c r="G11" s="1"/>
  <c r="E11" i="15"/>
  <c r="G11" s="1"/>
  <c r="G11" i="19"/>
  <c r="G11" i="23"/>
  <c r="E11" i="27"/>
  <c r="G11" s="1"/>
  <c r="L21" s="1"/>
  <c r="G11" i="43"/>
  <c r="E11" i="14"/>
  <c r="G11" s="1"/>
  <c r="E11" i="40"/>
  <c r="G11" s="1"/>
  <c r="E11" i="30"/>
  <c r="G11" s="1"/>
  <c r="AQ33" i="1"/>
  <c r="F34" i="44"/>
  <c r="E31" i="49" s="1"/>
  <c r="G12" i="33"/>
  <c r="E12" i="14"/>
  <c r="G12" s="1"/>
  <c r="E12" i="18"/>
  <c r="G12" s="1"/>
  <c r="G12" i="22"/>
  <c r="E12" i="40"/>
  <c r="G12" s="1"/>
  <c r="E12" i="30"/>
  <c r="G12" s="1"/>
  <c r="G12" i="19"/>
  <c r="E12" i="13"/>
  <c r="G12" s="1"/>
  <c r="E12" i="17"/>
  <c r="G12" s="1"/>
  <c r="G12" i="21"/>
  <c r="E12" i="25"/>
  <c r="G12" s="1"/>
  <c r="E12" i="29"/>
  <c r="G12" s="1"/>
  <c r="E12" i="15"/>
  <c r="G12" s="1"/>
  <c r="E12" i="27"/>
  <c r="G12" s="1"/>
  <c r="G12" i="43"/>
  <c r="G12" i="23"/>
  <c r="G12" i="12"/>
  <c r="E12" i="16"/>
  <c r="G12" s="1"/>
  <c r="E12" i="20"/>
  <c r="G12" s="1"/>
  <c r="G12" i="24"/>
  <c r="E12" i="28"/>
  <c r="G12" s="1"/>
  <c r="E12" i="31"/>
  <c r="G12" s="1"/>
  <c r="L2" i="49"/>
  <c r="G22" i="28"/>
  <c r="E24"/>
  <c r="AR33" i="1"/>
  <c r="G34" i="44"/>
  <c r="AX33" i="1"/>
  <c r="K34" i="44"/>
  <c r="J31" i="49" s="1"/>
  <c r="BB33" i="1"/>
  <c r="BC33"/>
  <c r="AU34" i="44"/>
  <c r="AL33" i="1"/>
  <c r="AM34" i="44"/>
  <c r="AL31" i="49" s="1"/>
  <c r="BK33" i="1"/>
  <c r="BD33"/>
  <c r="L34" i="44"/>
  <c r="K31" i="49" s="1"/>
  <c r="BI33" i="1"/>
  <c r="BA33"/>
  <c r="M34" i="44"/>
  <c r="L31" i="49" s="1"/>
  <c r="AZ33" i="1"/>
  <c r="AV34" i="44"/>
  <c r="AH33" i="1"/>
  <c r="I124" i="28"/>
  <c r="BA28" i="1"/>
  <c r="G143" i="40"/>
  <c r="N8" i="45"/>
  <c r="AN12" i="49" s="1"/>
  <c r="G94" i="30"/>
  <c r="AF8" i="45" s="1"/>
  <c r="AN30" i="49" s="1"/>
  <c r="I29" i="45"/>
  <c r="AO7" i="49"/>
  <c r="P27" i="45"/>
  <c r="BF14" i="49" s="1"/>
  <c r="AR14"/>
  <c r="AE29" i="45"/>
  <c r="AO29" i="49"/>
  <c r="AP32"/>
  <c r="AM16"/>
  <c r="AM19"/>
  <c r="X29" i="45"/>
  <c r="AO22" i="49"/>
  <c r="Z29" i="45"/>
  <c r="AO24" i="49"/>
  <c r="AP28"/>
  <c r="AM8"/>
  <c r="AH27" i="45"/>
  <c r="BF32" i="49" s="1"/>
  <c r="AR32"/>
  <c r="R29" i="45"/>
  <c r="AO16" i="49"/>
  <c r="W29" i="45"/>
  <c r="AO21" i="49"/>
  <c r="AD27" i="45"/>
  <c r="BF28" i="49" s="1"/>
  <c r="AM6"/>
  <c r="AM3"/>
  <c r="AM7"/>
  <c r="AM9"/>
  <c r="P29" i="45"/>
  <c r="AO14" i="49"/>
  <c r="AM21"/>
  <c r="AM26"/>
  <c r="AM27"/>
  <c r="AD29" i="45"/>
  <c r="AO28" i="49"/>
  <c r="AM29"/>
  <c r="F27" i="45"/>
  <c r="BF4" i="49" s="1"/>
  <c r="AR4"/>
  <c r="AP11"/>
  <c r="AM31"/>
  <c r="AH29" i="45"/>
  <c r="AO32" i="49"/>
  <c r="K29" i="45"/>
  <c r="AO9" i="49"/>
  <c r="E29" i="45"/>
  <c r="H27"/>
  <c r="BF6" i="49" s="1"/>
  <c r="AR6"/>
  <c r="AM18"/>
  <c r="U27" i="45"/>
  <c r="BF19" i="49" s="1"/>
  <c r="AR19"/>
  <c r="F29" i="45"/>
  <c r="AO4" i="49"/>
  <c r="AM32"/>
  <c r="J27" i="45"/>
  <c r="BF8" i="49" s="1"/>
  <c r="AR8"/>
  <c r="E27" i="45"/>
  <c r="BF3" i="49" s="1"/>
  <c r="AR3"/>
  <c r="L29" i="45"/>
  <c r="AO10" i="49"/>
  <c r="S27" i="45"/>
  <c r="AM10" i="49"/>
  <c r="Q29" i="45"/>
  <c r="AO15" i="49"/>
  <c r="I27" i="45"/>
  <c r="BF7" i="49" s="1"/>
  <c r="AR7"/>
  <c r="K27" i="45"/>
  <c r="BF9" i="49" s="1"/>
  <c r="AR9"/>
  <c r="AM15"/>
  <c r="R27" i="45"/>
  <c r="BF16" i="49" s="1"/>
  <c r="AR16"/>
  <c r="AM17"/>
  <c r="W27" i="45"/>
  <c r="BF21" i="49" s="1"/>
  <c r="AR21"/>
  <c r="AM22"/>
  <c r="AM24"/>
  <c r="AC27" i="45"/>
  <c r="BF27" i="49" s="1"/>
  <c r="AR27"/>
  <c r="AE27" i="45"/>
  <c r="BF29" i="49" s="1"/>
  <c r="AR29"/>
  <c r="J29" i="45"/>
  <c r="AO8" i="49"/>
  <c r="M27" i="45"/>
  <c r="BF11" i="49" s="1"/>
  <c r="AR11"/>
  <c r="V29" i="45"/>
  <c r="AO20" i="49"/>
  <c r="AM5"/>
  <c r="L27" i="45"/>
  <c r="BF10" i="49" s="1"/>
  <c r="AR10"/>
  <c r="V27" i="45"/>
  <c r="BF20" i="49" s="1"/>
  <c r="AR20"/>
  <c r="AB29" i="45"/>
  <c r="AO26" i="49"/>
  <c r="S29" i="45"/>
  <c r="AO17" i="49"/>
  <c r="G29" i="45"/>
  <c r="AO5" i="49"/>
  <c r="AM14"/>
  <c r="T27" i="45"/>
  <c r="BF18" i="49" s="1"/>
  <c r="AR18"/>
  <c r="AB27" i="45"/>
  <c r="BF26" i="49" s="1"/>
  <c r="AR26"/>
  <c r="AM28"/>
  <c r="AC29" i="45"/>
  <c r="AO27" i="49"/>
  <c r="AM4"/>
  <c r="G27" i="45"/>
  <c r="BF5" i="49" s="1"/>
  <c r="AR5"/>
  <c r="H29" i="45"/>
  <c r="AO6" i="49"/>
  <c r="AP7"/>
  <c r="AP9"/>
  <c r="Q27" i="45"/>
  <c r="BF15" i="49" s="1"/>
  <c r="AR15"/>
  <c r="U29" i="45"/>
  <c r="AO19" i="49"/>
  <c r="AM20"/>
  <c r="X27" i="45"/>
  <c r="BF22" i="49" s="1"/>
  <c r="AR22"/>
  <c r="Z27" i="45"/>
  <c r="BF24" i="49" s="1"/>
  <c r="AR24"/>
  <c r="AA23" i="1"/>
  <c r="N133" i="21"/>
  <c r="G120" i="18"/>
  <c r="H120" s="1"/>
  <c r="J120" s="1"/>
  <c r="G33" i="44"/>
  <c r="F30" i="49" s="1"/>
  <c r="R23" i="44"/>
  <c r="Q20" i="49" s="1"/>
  <c r="AB18" i="1"/>
  <c r="AB36" s="1"/>
  <c r="I134" i="16"/>
  <c r="AU16" i="44"/>
  <c r="I8"/>
  <c r="H5" i="49" s="1"/>
  <c r="AU26" i="44"/>
  <c r="K10"/>
  <c r="J7" i="49" s="1"/>
  <c r="G25" i="44"/>
  <c r="F22" i="49" s="1"/>
  <c r="A6" i="46"/>
  <c r="F8" i="44"/>
  <c r="E5" i="49" s="1"/>
  <c r="H8" i="44"/>
  <c r="G5" i="49" s="1"/>
  <c r="BD7" i="1"/>
  <c r="K9" i="44"/>
  <c r="J6" i="49" s="1"/>
  <c r="L12" i="44"/>
  <c r="K9" i="49" s="1"/>
  <c r="F18" i="44"/>
  <c r="E15" i="49" s="1"/>
  <c r="K18" i="44"/>
  <c r="J15" i="49" s="1"/>
  <c r="F19" i="44"/>
  <c r="E16" i="49" s="1"/>
  <c r="M24" i="44"/>
  <c r="L21" i="49" s="1"/>
  <c r="L44" i="21"/>
  <c r="H27" i="44"/>
  <c r="G24" i="49" s="1"/>
  <c r="L31" i="44"/>
  <c r="K28" i="49" s="1"/>
  <c r="F32" i="44"/>
  <c r="E29" i="49" s="1"/>
  <c r="K20" i="44"/>
  <c r="J17" i="49" s="1"/>
  <c r="G15" i="44"/>
  <c r="F12" i="49" s="1"/>
  <c r="AU29" i="44"/>
  <c r="I25"/>
  <c r="H22" i="49" s="1"/>
  <c r="J9" i="44"/>
  <c r="I6" i="49" s="1"/>
  <c r="G18" i="44"/>
  <c r="F15" i="49" s="1"/>
  <c r="G19" i="44"/>
  <c r="F16" i="49" s="1"/>
  <c r="H21" i="44"/>
  <c r="G18" i="49" s="1"/>
  <c r="F5" i="45"/>
  <c r="L23" i="44"/>
  <c r="K20" i="49" s="1"/>
  <c r="H25" i="44"/>
  <c r="G22" i="49" s="1"/>
  <c r="M15" i="44"/>
  <c r="L12" i="49" s="1"/>
  <c r="K6" i="44"/>
  <c r="J3" i="49" s="1"/>
  <c r="M30" i="44"/>
  <c r="L27" i="49" s="1"/>
  <c r="I19" i="44"/>
  <c r="H16" i="49" s="1"/>
  <c r="M9" i="44"/>
  <c r="L6" i="49" s="1"/>
  <c r="I10" i="44"/>
  <c r="H7" i="49" s="1"/>
  <c r="L10" i="44"/>
  <c r="K7" i="49" s="1"/>
  <c r="I12" i="44"/>
  <c r="H9" i="49" s="1"/>
  <c r="I23" i="44"/>
  <c r="H20" i="49" s="1"/>
  <c r="F24" i="44"/>
  <c r="E21" i="49" s="1"/>
  <c r="K24" i="44"/>
  <c r="J21" i="49" s="1"/>
  <c r="G27" i="44"/>
  <c r="F24" i="49" s="1"/>
  <c r="I31" i="44"/>
  <c r="H28" i="49" s="1"/>
  <c r="F31" i="44"/>
  <c r="E28" i="49" s="1"/>
  <c r="K32" i="44"/>
  <c r="J29" i="49" s="1"/>
  <c r="I32" i="44"/>
  <c r="H29" i="49" s="1"/>
  <c r="M7" i="44"/>
  <c r="L4" i="49" s="1"/>
  <c r="H15" i="44"/>
  <c r="G12" i="49" s="1"/>
  <c r="M14" i="44"/>
  <c r="L11" i="49" s="1"/>
  <c r="L6" i="44"/>
  <c r="K3" i="49" s="1"/>
  <c r="F29" i="44"/>
  <c r="E26" i="49" s="1"/>
  <c r="F30" i="44"/>
  <c r="E27" i="49" s="1"/>
  <c r="L9" i="44"/>
  <c r="K6" i="49" s="1"/>
  <c r="F16" i="44"/>
  <c r="E13" i="49" s="1"/>
  <c r="F20" i="44"/>
  <c r="E17" i="49" s="1"/>
  <c r="L55" i="21"/>
  <c r="G9" i="44"/>
  <c r="F6" i="49" s="1"/>
  <c r="H10" i="44"/>
  <c r="G7" i="49" s="1"/>
  <c r="H12" i="44"/>
  <c r="G9" i="49" s="1"/>
  <c r="J18" i="44"/>
  <c r="I15" i="49" s="1"/>
  <c r="K19" i="44"/>
  <c r="J16" i="49" s="1"/>
  <c r="K26" i="44"/>
  <c r="J23" i="49" s="1"/>
  <c r="M27" i="44"/>
  <c r="L24" i="49" s="1"/>
  <c r="H31" i="44"/>
  <c r="G28" i="49" s="1"/>
  <c r="L20" i="44"/>
  <c r="K17" i="49" s="1"/>
  <c r="L11" i="44"/>
  <c r="K8" i="49" s="1"/>
  <c r="I15" i="44"/>
  <c r="H12" i="49" s="1"/>
  <c r="F33" i="44"/>
  <c r="E30" i="49" s="1"/>
  <c r="K33" i="44"/>
  <c r="J30" i="49" s="1"/>
  <c r="J20" i="44"/>
  <c r="I17" i="49" s="1"/>
  <c r="A5" i="46"/>
  <c r="M16" i="44"/>
  <c r="L13" i="49" s="1"/>
  <c r="J8" i="44"/>
  <c r="I5" i="49" s="1"/>
  <c r="H9" i="44"/>
  <c r="G6" i="49" s="1"/>
  <c r="G10" i="44"/>
  <c r="F7" i="49" s="1"/>
  <c r="G12" i="44"/>
  <c r="F9" i="49" s="1"/>
  <c r="L18" i="44"/>
  <c r="K15" i="49" s="1"/>
  <c r="J19" i="44"/>
  <c r="I16" i="49" s="1"/>
  <c r="H22" i="44"/>
  <c r="G19" i="49" s="1"/>
  <c r="G23" i="44"/>
  <c r="F20" i="49" s="1"/>
  <c r="F27" i="44"/>
  <c r="E24" i="49" s="1"/>
  <c r="K27" i="44"/>
  <c r="J24" i="49" s="1"/>
  <c r="G31" i="44"/>
  <c r="F28" i="49" s="1"/>
  <c r="J32" i="44"/>
  <c r="I29" i="49" s="1"/>
  <c r="M20" i="44"/>
  <c r="L17" i="49" s="1"/>
  <c r="K25" i="44"/>
  <c r="J22" i="49" s="1"/>
  <c r="H7" i="44"/>
  <c r="G4" i="49" s="1"/>
  <c r="J11" i="44"/>
  <c r="I8" i="49" s="1"/>
  <c r="H14" i="44"/>
  <c r="G11" i="49" s="1"/>
  <c r="I6" i="44"/>
  <c r="H3" i="49" s="1"/>
  <c r="M6" i="44"/>
  <c r="L3" i="49" s="1"/>
  <c r="J24" i="44"/>
  <c r="I21" i="49" s="1"/>
  <c r="M11" i="44"/>
  <c r="L8" i="49" s="1"/>
  <c r="K15" i="44"/>
  <c r="J12" i="49" s="1"/>
  <c r="M8" i="44"/>
  <c r="L5" i="49" s="1"/>
  <c r="M32" i="44"/>
  <c r="L29" i="49" s="1"/>
  <c r="F9" i="44"/>
  <c r="E6" i="49" s="1"/>
  <c r="I9" i="44"/>
  <c r="H6" i="49" s="1"/>
  <c r="M10" i="44"/>
  <c r="L7" i="49" s="1"/>
  <c r="M12" i="44"/>
  <c r="L9" i="49" s="1"/>
  <c r="F15" i="44"/>
  <c r="E12" i="49" s="1"/>
  <c r="I18" i="44"/>
  <c r="H15" i="49" s="1"/>
  <c r="M23" i="44"/>
  <c r="L20" i="49" s="1"/>
  <c r="L24" i="44"/>
  <c r="K21" i="49" s="1"/>
  <c r="L29" i="44"/>
  <c r="K26" i="49" s="1"/>
  <c r="L30" i="44"/>
  <c r="K27" i="49" s="1"/>
  <c r="M31" i="44"/>
  <c r="L28" i="49" s="1"/>
  <c r="L32" i="44"/>
  <c r="K29" i="49" s="1"/>
  <c r="L44" i="22"/>
  <c r="L25" i="44"/>
  <c r="K22" i="49" s="1"/>
  <c r="L14" i="44"/>
  <c r="K11" i="49" s="1"/>
  <c r="J15" i="44"/>
  <c r="I12" i="49" s="1"/>
  <c r="H6" i="44"/>
  <c r="G3" i="49" s="1"/>
  <c r="H24" i="44"/>
  <c r="G21" i="49" s="1"/>
  <c r="L27" i="44"/>
  <c r="K24" i="49" s="1"/>
  <c r="M18" i="44"/>
  <c r="L15" i="49" s="1"/>
  <c r="L8" i="44"/>
  <c r="K5" i="49" s="1"/>
  <c r="F10" i="44"/>
  <c r="E7" i="49" s="1"/>
  <c r="F12" i="44"/>
  <c r="E9" i="49" s="1"/>
  <c r="K12" i="44"/>
  <c r="J9" i="49" s="1"/>
  <c r="L16" i="44"/>
  <c r="K13" i="49" s="1"/>
  <c r="L17" i="44"/>
  <c r="K14" i="49" s="1"/>
  <c r="H18" i="44"/>
  <c r="G15" i="49" s="1"/>
  <c r="F23" i="44"/>
  <c r="E20" i="49" s="1"/>
  <c r="K23" i="44"/>
  <c r="J20" i="49" s="1"/>
  <c r="I24" i="44"/>
  <c r="H21" i="49" s="1"/>
  <c r="J27" i="44"/>
  <c r="I24" i="49" s="1"/>
  <c r="K31" i="44"/>
  <c r="J28" i="49" s="1"/>
  <c r="H32" i="44"/>
  <c r="G29" i="49" s="1"/>
  <c r="M17" i="44"/>
  <c r="L14" i="49" s="1"/>
  <c r="H20" i="44"/>
  <c r="G17" i="49" s="1"/>
  <c r="M25" i="44"/>
  <c r="L22" i="49" s="1"/>
  <c r="L7" i="44"/>
  <c r="K4" i="49" s="1"/>
  <c r="G6" i="44"/>
  <c r="F3" i="49" s="1"/>
  <c r="M29" i="44"/>
  <c r="L26" i="49" s="1"/>
  <c r="AU33" i="44"/>
  <c r="J5"/>
  <c r="AU8"/>
  <c r="H19"/>
  <c r="G16" i="49" s="1"/>
  <c r="BI18" i="1"/>
  <c r="L19" i="44"/>
  <c r="K16" i="49" s="1"/>
  <c r="M22" i="44"/>
  <c r="L19" i="49" s="1"/>
  <c r="AL22" i="1"/>
  <c r="AU23" i="44"/>
  <c r="F26"/>
  <c r="E23" i="49" s="1"/>
  <c r="AL13" i="1"/>
  <c r="AU14" i="44"/>
  <c r="BD19" i="1"/>
  <c r="I20" i="44"/>
  <c r="H17" i="49" s="1"/>
  <c r="K11" i="44"/>
  <c r="J8" i="49" s="1"/>
  <c r="F11" i="44"/>
  <c r="E8" i="49" s="1"/>
  <c r="K16" i="44"/>
  <c r="J13" i="49" s="1"/>
  <c r="K5" i="44"/>
  <c r="J2" i="49" s="1"/>
  <c r="AU6" i="44"/>
  <c r="F14"/>
  <c r="E11" i="49" s="1"/>
  <c r="AL16" i="1"/>
  <c r="AU17" i="44"/>
  <c r="F25"/>
  <c r="E22" i="49" s="1"/>
  <c r="M26" i="44"/>
  <c r="L23" i="49" s="1"/>
  <c r="K17" i="44"/>
  <c r="J14" i="49" s="1"/>
  <c r="G20" i="44"/>
  <c r="F17" i="49" s="1"/>
  <c r="I7" i="44"/>
  <c r="H4" i="49" s="1"/>
  <c r="J16" i="44"/>
  <c r="I13" i="49" s="1"/>
  <c r="I14" i="44"/>
  <c r="H11" i="49" s="1"/>
  <c r="J30" i="44"/>
  <c r="I27" i="49" s="1"/>
  <c r="K29" i="44"/>
  <c r="J26" i="49" s="1"/>
  <c r="AL30" i="1"/>
  <c r="AU31" i="44"/>
  <c r="AL17" i="1"/>
  <c r="AU18" i="44"/>
  <c r="G26"/>
  <c r="F23" i="49" s="1"/>
  <c r="AL18" i="1"/>
  <c r="AU19" i="44"/>
  <c r="L22"/>
  <c r="K19" i="49" s="1"/>
  <c r="H26" i="44"/>
  <c r="G23" i="49" s="1"/>
  <c r="J17" i="44"/>
  <c r="I14" i="49" s="1"/>
  <c r="G7" i="44"/>
  <c r="F4" i="49" s="1"/>
  <c r="I16" i="44"/>
  <c r="H13" i="49" s="1"/>
  <c r="G14" i="44"/>
  <c r="F11" i="49" s="1"/>
  <c r="I30" i="44"/>
  <c r="H27" i="49" s="1"/>
  <c r="J29" i="44"/>
  <c r="I26" i="49" s="1"/>
  <c r="AL9" i="1"/>
  <c r="AU10" i="44"/>
  <c r="J22"/>
  <c r="I19" i="49" s="1"/>
  <c r="AL24" i="1"/>
  <c r="AU25" i="44"/>
  <c r="I26"/>
  <c r="H23" i="49" s="1"/>
  <c r="L26" i="44"/>
  <c r="K23" i="49" s="1"/>
  <c r="AL28" i="1"/>
  <c r="AO28" s="1"/>
  <c r="AU27" i="44"/>
  <c r="L41" i="22"/>
  <c r="J25" i="44"/>
  <c r="I22" i="49" s="1"/>
  <c r="I11" i="44"/>
  <c r="H8" i="49" s="1"/>
  <c r="H16" i="44"/>
  <c r="G13" i="49" s="1"/>
  <c r="J6" i="44"/>
  <c r="I3" i="49" s="1"/>
  <c r="H30" i="44"/>
  <c r="G27" i="49" s="1"/>
  <c r="H5" i="44"/>
  <c r="G2" i="49" s="1"/>
  <c r="F5" i="44"/>
  <c r="E2" i="49" s="1"/>
  <c r="I17" i="44"/>
  <c r="H14" i="49" s="1"/>
  <c r="K8" i="44"/>
  <c r="J5" i="49" s="1"/>
  <c r="K7" i="44"/>
  <c r="J4" i="49" s="1"/>
  <c r="F7" i="44"/>
  <c r="E4" i="49" s="1"/>
  <c r="H11" i="44"/>
  <c r="G8" i="49" s="1"/>
  <c r="G16" i="44"/>
  <c r="F13" i="49" s="1"/>
  <c r="K14" i="44"/>
  <c r="J11" i="49" s="1"/>
  <c r="G30" i="44"/>
  <c r="F27" i="49" s="1"/>
  <c r="I29" i="44"/>
  <c r="H26" i="49" s="1"/>
  <c r="AU5" i="44"/>
  <c r="I5"/>
  <c r="L5"/>
  <c r="AU9"/>
  <c r="J10"/>
  <c r="I7" i="49" s="1"/>
  <c r="J12" i="44"/>
  <c r="I9" i="49" s="1"/>
  <c r="F17" i="44"/>
  <c r="E14" i="49" s="1"/>
  <c r="AZ18" i="1"/>
  <c r="M19" i="44"/>
  <c r="L16" i="49" s="1"/>
  <c r="G21" i="44"/>
  <c r="F18" i="49" s="1"/>
  <c r="K22" i="44"/>
  <c r="J19" i="49" s="1"/>
  <c r="G24" i="44"/>
  <c r="F21" i="49" s="1"/>
  <c r="AL23" i="1"/>
  <c r="AU24" i="44"/>
  <c r="J26"/>
  <c r="I23" i="49" s="1"/>
  <c r="I27" i="44"/>
  <c r="H24" i="49" s="1"/>
  <c r="AL29" i="1"/>
  <c r="AU30" i="44"/>
  <c r="J31"/>
  <c r="I28" i="49" s="1"/>
  <c r="AL31" i="1"/>
  <c r="AU32" i="44"/>
  <c r="H33"/>
  <c r="G30" i="49" s="1"/>
  <c r="H17" i="44"/>
  <c r="G14" i="49" s="1"/>
  <c r="G8" i="44"/>
  <c r="F5" i="49" s="1"/>
  <c r="AL10" i="1"/>
  <c r="AU11" i="44"/>
  <c r="G11"/>
  <c r="F8" i="49" s="1"/>
  <c r="AU15" i="44"/>
  <c r="H29"/>
  <c r="G26" i="49" s="1"/>
  <c r="J34" i="44"/>
  <c r="I31" i="49" s="1"/>
  <c r="AL6" i="1"/>
  <c r="AU7" i="44"/>
  <c r="AL11" i="1"/>
  <c r="AU12" i="44"/>
  <c r="AL19" i="1"/>
  <c r="AU20" i="44"/>
  <c r="G32"/>
  <c r="F29" i="49" s="1"/>
  <c r="G17" i="44"/>
  <c r="F14" i="49" s="1"/>
  <c r="J14" i="44"/>
  <c r="I11" i="49" s="1"/>
  <c r="F6" i="44"/>
  <c r="E3" i="49" s="1"/>
  <c r="K30" i="44"/>
  <c r="J27" i="49" s="1"/>
  <c r="G29" i="44"/>
  <c r="F26" i="49" s="1"/>
  <c r="G13" i="9"/>
  <c r="AF6" i="44"/>
  <c r="AE3" i="49" s="1"/>
  <c r="AE8" i="44"/>
  <c r="AD5" i="49" s="1"/>
  <c r="AI8" i="44"/>
  <c r="AH5" i="49" s="1"/>
  <c r="G68" i="33"/>
  <c r="AK9" i="44" s="1"/>
  <c r="AJ6" i="49" s="1"/>
  <c r="E171" i="33"/>
  <c r="G171" s="1"/>
  <c r="G64"/>
  <c r="AG9" i="44" s="1"/>
  <c r="AF6" i="49" s="1"/>
  <c r="E167" i="33"/>
  <c r="G167" s="1"/>
  <c r="G62" i="7"/>
  <c r="AE10" i="44" s="1"/>
  <c r="AD7" i="49" s="1"/>
  <c r="G165" i="7"/>
  <c r="G66"/>
  <c r="AI10" i="44" s="1"/>
  <c r="AH7" i="49" s="1"/>
  <c r="G169" i="7"/>
  <c r="G137" i="17"/>
  <c r="AV20" i="44" s="1"/>
  <c r="AH7"/>
  <c r="AG4" i="49" s="1"/>
  <c r="AJ6" i="44"/>
  <c r="AI3" i="49" s="1"/>
  <c r="AI6" i="44"/>
  <c r="AH3" i="49" s="1"/>
  <c r="AJ8" i="44"/>
  <c r="AI5" i="49" s="1"/>
  <c r="AF8" i="44"/>
  <c r="AE5" i="49" s="1"/>
  <c r="G69" i="33"/>
  <c r="AL9" i="44" s="1"/>
  <c r="AK6" i="49" s="1"/>
  <c r="E172" i="33"/>
  <c r="G172" s="1"/>
  <c r="G65"/>
  <c r="AH9" i="44" s="1"/>
  <c r="AG6" i="49" s="1"/>
  <c r="E168" i="33"/>
  <c r="G168" s="1"/>
  <c r="G65" i="7"/>
  <c r="AH10" i="44" s="1"/>
  <c r="AG7" i="49" s="1"/>
  <c r="G168" i="7"/>
  <c r="G69"/>
  <c r="AL10" i="44" s="1"/>
  <c r="AK7" i="49" s="1"/>
  <c r="G172" i="7"/>
  <c r="AE7" i="44"/>
  <c r="AD4" i="49" s="1"/>
  <c r="AH6" i="44"/>
  <c r="AG3" i="49" s="1"/>
  <c r="AK8" i="44"/>
  <c r="AJ5" i="49" s="1"/>
  <c r="AG8" i="44"/>
  <c r="AF5" i="49" s="1"/>
  <c r="G62" i="33"/>
  <c r="AE9" i="44" s="1"/>
  <c r="AD6" i="49" s="1"/>
  <c r="G165" i="33"/>
  <c r="G66"/>
  <c r="AI9" i="44" s="1"/>
  <c r="AH6" i="49" s="1"/>
  <c r="E169" i="33"/>
  <c r="G169" s="1"/>
  <c r="G64" i="7"/>
  <c r="AG10" i="44" s="1"/>
  <c r="AF7" i="49" s="1"/>
  <c r="G167" i="7"/>
  <c r="G68"/>
  <c r="AK10" i="44" s="1"/>
  <c r="AJ7" i="49" s="1"/>
  <c r="G171" i="7"/>
  <c r="AJ7" i="44"/>
  <c r="AI4" i="49" s="1"/>
  <c r="AF7" i="44"/>
  <c r="AE4" i="49" s="1"/>
  <c r="AG6" i="44"/>
  <c r="AF3" i="49" s="1"/>
  <c r="AK6" i="44"/>
  <c r="AJ3" i="49" s="1"/>
  <c r="AL8" i="44"/>
  <c r="AK5" i="49" s="1"/>
  <c r="AH8" i="44"/>
  <c r="AG5" i="49" s="1"/>
  <c r="G67" i="33"/>
  <c r="AJ9" i="44" s="1"/>
  <c r="AI6" i="49" s="1"/>
  <c r="E170" i="33"/>
  <c r="G170" s="1"/>
  <c r="G63"/>
  <c r="AF9" i="44" s="1"/>
  <c r="AE6" i="49" s="1"/>
  <c r="E166" i="33"/>
  <c r="G166" s="1"/>
  <c r="G63" i="7"/>
  <c r="AF10" i="44" s="1"/>
  <c r="AE7" i="49" s="1"/>
  <c r="G166" i="7"/>
  <c r="G67"/>
  <c r="AJ10" i="44" s="1"/>
  <c r="AI7" i="49" s="1"/>
  <c r="G170" i="7"/>
  <c r="AK7" i="44"/>
  <c r="AJ4" i="49" s="1"/>
  <c r="AG7" i="44"/>
  <c r="AF4" i="49" s="1"/>
  <c r="G119" i="33"/>
  <c r="F119"/>
  <c r="D35" i="1"/>
  <c r="F35"/>
  <c r="F38" s="1"/>
  <c r="AH30" i="45"/>
  <c r="G134" i="43"/>
  <c r="G120" i="40"/>
  <c r="H120" s="1"/>
  <c r="J120" s="1"/>
  <c r="N27" i="44"/>
  <c r="M24" i="49" s="1"/>
  <c r="G7" i="33"/>
  <c r="Y30" i="44"/>
  <c r="X27" i="49" s="1"/>
  <c r="Y31" i="44"/>
  <c r="X28" i="49" s="1"/>
  <c r="AW30" i="1"/>
  <c r="Y29" i="44"/>
  <c r="X26" i="49" s="1"/>
  <c r="G120" i="23"/>
  <c r="Y17" i="44"/>
  <c r="X14" i="49" s="1"/>
  <c r="Y18" i="44"/>
  <c r="X15" i="49" s="1"/>
  <c r="BC17" i="1"/>
  <c r="BC16"/>
  <c r="AW17"/>
  <c r="AW16"/>
  <c r="Y6" i="44"/>
  <c r="X3" i="49" s="1"/>
  <c r="AW5" i="1"/>
  <c r="A4" i="46"/>
  <c r="AM5" i="1"/>
  <c r="AM8"/>
  <c r="AM11"/>
  <c r="G63" i="15"/>
  <c r="AF18" i="44" s="1"/>
  <c r="AE15" i="49" s="1"/>
  <c r="E166" i="15"/>
  <c r="G166" s="1"/>
  <c r="AM18" i="1"/>
  <c r="AM19"/>
  <c r="G49" i="18"/>
  <c r="F21" i="44" s="1"/>
  <c r="E18" i="49" s="1"/>
  <c r="K49" i="18"/>
  <c r="G62"/>
  <c r="AE21" i="44" s="1"/>
  <c r="AD18" i="49" s="1"/>
  <c r="E165" i="18"/>
  <c r="G165" s="1"/>
  <c r="T29" i="45"/>
  <c r="G136" i="18"/>
  <c r="AD20" i="1" s="1"/>
  <c r="G140" i="18"/>
  <c r="G167" i="19"/>
  <c r="G64"/>
  <c r="AG22" i="44" s="1"/>
  <c r="AF19" i="49" s="1"/>
  <c r="G171" i="19"/>
  <c r="G134"/>
  <c r="AB21" i="1" s="1"/>
  <c r="AW22"/>
  <c r="G170" i="20"/>
  <c r="BB23" i="1"/>
  <c r="L51" i="21"/>
  <c r="G62"/>
  <c r="AE24" i="44" s="1"/>
  <c r="AD21" i="49" s="1"/>
  <c r="E165" i="21"/>
  <c r="G165" s="1"/>
  <c r="BG25" i="1"/>
  <c r="G63" i="23"/>
  <c r="E166"/>
  <c r="G166" s="1"/>
  <c r="AR26" i="44"/>
  <c r="BK23" i="49" s="1"/>
  <c r="BB24" i="1"/>
  <c r="L51" i="22"/>
  <c r="G63"/>
  <c r="AF25" i="44" s="1"/>
  <c r="AE22" i="49" s="1"/>
  <c r="E166" i="22"/>
  <c r="G166" s="1"/>
  <c r="L166" s="1"/>
  <c r="G63" i="11"/>
  <c r="AF14" i="44" s="1"/>
  <c r="AE11" i="49" s="1"/>
  <c r="G62" i="11"/>
  <c r="AE14" i="44" s="1"/>
  <c r="AD11" i="49" s="1"/>
  <c r="AM17" i="1"/>
  <c r="G42" i="18"/>
  <c r="AW20" i="1" s="1"/>
  <c r="G62" i="19"/>
  <c r="AE22" i="44" s="1"/>
  <c r="AD19" i="49" s="1"/>
  <c r="G165" i="19"/>
  <c r="G170"/>
  <c r="G67"/>
  <c r="AJ22" i="44" s="1"/>
  <c r="AI19" i="49" s="1"/>
  <c r="AA21" i="1"/>
  <c r="G141" i="19"/>
  <c r="G169" i="20"/>
  <c r="BE23" i="1"/>
  <c r="L54" i="21"/>
  <c r="BB25" i="1"/>
  <c r="BF25"/>
  <c r="G62" i="23"/>
  <c r="E165"/>
  <c r="AD25" i="1"/>
  <c r="AL25"/>
  <c r="G62" i="30"/>
  <c r="AE33" i="44" s="1"/>
  <c r="AD30" i="49" s="1"/>
  <c r="E165" i="30"/>
  <c r="G165" s="1"/>
  <c r="G173" s="1"/>
  <c r="BG24" i="1"/>
  <c r="L56" i="22"/>
  <c r="G62" i="43"/>
  <c r="AE34" i="44" s="1"/>
  <c r="AD31" i="49" s="1"/>
  <c r="G165" i="43"/>
  <c r="AM7" i="1"/>
  <c r="AM16"/>
  <c r="G134" i="18"/>
  <c r="AB20" i="1" s="1"/>
  <c r="G49" i="19"/>
  <c r="BA21" i="1" s="1"/>
  <c r="K49" i="19"/>
  <c r="G66"/>
  <c r="AI22" i="44" s="1"/>
  <c r="AH19" i="49" s="1"/>
  <c r="G169" i="19"/>
  <c r="G136"/>
  <c r="AD21" i="1" s="1"/>
  <c r="G140" i="19"/>
  <c r="G168" i="20"/>
  <c r="G172"/>
  <c r="BH23" i="1"/>
  <c r="L57" i="21"/>
  <c r="BE25" i="1"/>
  <c r="AP26" i="44"/>
  <c r="BI23" i="49" s="1"/>
  <c r="AC25" i="1"/>
  <c r="AM13"/>
  <c r="G63" i="14"/>
  <c r="AF17" i="44" s="1"/>
  <c r="AE14" i="49" s="1"/>
  <c r="E166" i="14"/>
  <c r="G166" s="1"/>
  <c r="G63" i="19"/>
  <c r="AF22" i="44" s="1"/>
  <c r="AE19" i="49" s="1"/>
  <c r="G166" i="19"/>
  <c r="BH24" i="1"/>
  <c r="L57" i="22"/>
  <c r="AW6" i="1"/>
  <c r="G63" i="43"/>
  <c r="AF34" i="44" s="1"/>
  <c r="AE31" i="49" s="1"/>
  <c r="G166" i="43"/>
  <c r="G62" i="13"/>
  <c r="AE16" i="44" s="1"/>
  <c r="AD13" i="49" s="1"/>
  <c r="E165" i="13"/>
  <c r="G165" s="1"/>
  <c r="G62" i="14"/>
  <c r="AE17" i="44" s="1"/>
  <c r="AD14" i="49" s="1"/>
  <c r="E165" i="14"/>
  <c r="G165" s="1"/>
  <c r="G63" i="18"/>
  <c r="AF21" i="44" s="1"/>
  <c r="AE18" i="49" s="1"/>
  <c r="E166" i="18"/>
  <c r="G166" s="1"/>
  <c r="AA20" i="1"/>
  <c r="G65" i="19"/>
  <c r="AH22" i="44" s="1"/>
  <c r="AG19" i="49" s="1"/>
  <c r="G168" i="19"/>
  <c r="G135"/>
  <c r="AC21" i="1" s="1"/>
  <c r="G139" i="19"/>
  <c r="AX22" i="44" s="1"/>
  <c r="G167" i="20"/>
  <c r="G171"/>
  <c r="BG23" i="1"/>
  <c r="L56" i="21"/>
  <c r="G63"/>
  <c r="AF24" i="44" s="1"/>
  <c r="AE21" i="49" s="1"/>
  <c r="E166" i="21"/>
  <c r="G166" s="1"/>
  <c r="L166" s="1"/>
  <c r="G62" i="22"/>
  <c r="AE25" i="44" s="1"/>
  <c r="AD22" i="49" s="1"/>
  <c r="E165" i="22"/>
  <c r="G165" s="1"/>
  <c r="L165" s="1"/>
  <c r="BH25" i="1"/>
  <c r="AS26" i="44"/>
  <c r="BL23" i="49" s="1"/>
  <c r="AV15" i="44"/>
  <c r="G63" i="13"/>
  <c r="AF16" i="44" s="1"/>
  <c r="AE13" i="49" s="1"/>
  <c r="E166" i="13"/>
  <c r="G166" s="1"/>
  <c r="BA19" i="1"/>
  <c r="AM31"/>
  <c r="AM30"/>
  <c r="AM29"/>
  <c r="AM26"/>
  <c r="AM25"/>
  <c r="AX26" i="44"/>
  <c r="AV26"/>
  <c r="AB25" i="1"/>
  <c r="AA25"/>
  <c r="AQ26" i="44"/>
  <c r="BJ23" i="49" s="1"/>
  <c r="Y13" i="45"/>
  <c r="BC23" i="49" s="1"/>
  <c r="Y9" i="45"/>
  <c r="Y7"/>
  <c r="Z26" i="44"/>
  <c r="Y23" i="49" s="1"/>
  <c r="X26" i="44"/>
  <c r="W23" i="49" s="1"/>
  <c r="W26" i="44"/>
  <c r="V23" i="49" s="1"/>
  <c r="V26" i="44"/>
  <c r="U23" i="49" s="1"/>
  <c r="U26" i="44"/>
  <c r="T23" i="49" s="1"/>
  <c r="T26" i="44"/>
  <c r="S23" i="49" s="1"/>
  <c r="S26" i="44"/>
  <c r="R23" i="49" s="1"/>
  <c r="R26" i="44"/>
  <c r="Q23" i="49" s="1"/>
  <c r="Q26" i="44"/>
  <c r="P23" i="49" s="1"/>
  <c r="P26" i="44"/>
  <c r="O23" i="49" s="1"/>
  <c r="O26" i="44"/>
  <c r="N23" i="49" s="1"/>
  <c r="N26" i="44"/>
  <c r="M23" i="49" s="1"/>
  <c r="Y26" i="44"/>
  <c r="X23" i="49" s="1"/>
  <c r="BD25" i="1"/>
  <c r="BC25"/>
  <c r="BA25"/>
  <c r="AM24"/>
  <c r="Y25" i="44"/>
  <c r="X22" i="49" s="1"/>
  <c r="L58" i="22"/>
  <c r="BD24" i="1"/>
  <c r="L53" i="22"/>
  <c r="BC24" i="1"/>
  <c r="L52" i="22"/>
  <c r="BA24" i="1"/>
  <c r="L49" i="22"/>
  <c r="L50"/>
  <c r="L46"/>
  <c r="L43"/>
  <c r="AW24" i="1"/>
  <c r="L42" i="22"/>
  <c r="L39"/>
  <c r="L38"/>
  <c r="L37"/>
  <c r="L36"/>
  <c r="L35"/>
  <c r="AM23" i="1"/>
  <c r="AM22"/>
  <c r="Y23" i="44"/>
  <c r="X20" i="49" s="1"/>
  <c r="Y24" i="44"/>
  <c r="X21" i="49" s="1"/>
  <c r="L58" i="21"/>
  <c r="BC23" i="1"/>
  <c r="L52" i="21"/>
  <c r="L50"/>
  <c r="BA23" i="1"/>
  <c r="L49" i="21"/>
  <c r="L43"/>
  <c r="AW23" i="1"/>
  <c r="L42" i="21"/>
  <c r="L41"/>
  <c r="L39"/>
  <c r="L38"/>
  <c r="L37"/>
  <c r="L36"/>
  <c r="L35"/>
  <c r="G69" i="19"/>
  <c r="AL22" i="44" s="1"/>
  <c r="AK19" i="49" s="1"/>
  <c r="Y16" i="44"/>
  <c r="X13" i="49" s="1"/>
  <c r="G69" i="12"/>
  <c r="G69" i="11"/>
  <c r="AL14" i="44" s="1"/>
  <c r="AK11" i="49" s="1"/>
  <c r="G68" i="11"/>
  <c r="AK14" i="44" s="1"/>
  <c r="AJ11" i="49" s="1"/>
  <c r="G67" i="11"/>
  <c r="AJ14" i="44" s="1"/>
  <c r="AI11" i="49" s="1"/>
  <c r="G66" i="11"/>
  <c r="AI14" i="44" s="1"/>
  <c r="AH11" i="49" s="1"/>
  <c r="G65" i="11"/>
  <c r="AH14" i="44" s="1"/>
  <c r="AG11" i="49" s="1"/>
  <c r="G64" i="11"/>
  <c r="AG14" i="44" s="1"/>
  <c r="AF11" i="49" s="1"/>
  <c r="F119" i="11"/>
  <c r="BH4" i="1"/>
  <c r="AY4"/>
  <c r="BI4"/>
  <c r="BG4"/>
  <c r="AG5" i="44"/>
  <c r="AS5"/>
  <c r="AH5"/>
  <c r="J105" i="10"/>
  <c r="AJ5" i="44"/>
  <c r="J118" i="10"/>
  <c r="N30" i="31"/>
  <c r="AX4" i="1"/>
  <c r="AF5" i="44"/>
  <c r="AM4" i="1"/>
  <c r="Y5" i="44"/>
  <c r="AZ4" i="1"/>
  <c r="AI5" i="44"/>
  <c r="AE5"/>
  <c r="AK5"/>
  <c r="AA4" i="1"/>
  <c r="AX5" i="44"/>
  <c r="J121" i="10"/>
  <c r="J116"/>
  <c r="N5" i="44"/>
  <c r="G69" i="43"/>
  <c r="AL34" i="44" s="1"/>
  <c r="AK31" i="49" s="1"/>
  <c r="G172" i="43"/>
  <c r="G68"/>
  <c r="AK34" i="44" s="1"/>
  <c r="AJ31" i="49" s="1"/>
  <c r="G171" i="43"/>
  <c r="G67"/>
  <c r="AJ34" i="44" s="1"/>
  <c r="AI31" i="49" s="1"/>
  <c r="G170" i="43"/>
  <c r="G66"/>
  <c r="AI34" i="44" s="1"/>
  <c r="AH31" i="49" s="1"/>
  <c r="G169" i="43"/>
  <c r="G65"/>
  <c r="AH34" i="44" s="1"/>
  <c r="AG31" i="49" s="1"/>
  <c r="G168" i="43"/>
  <c r="G64"/>
  <c r="AG34" i="44" s="1"/>
  <c r="AF31" i="49" s="1"/>
  <c r="G167" i="43"/>
  <c r="Y34" i="44"/>
  <c r="X31" i="49" s="1"/>
  <c r="Y33" i="44"/>
  <c r="X30" i="49" s="1"/>
  <c r="G62" i="29"/>
  <c r="AE32" i="44" s="1"/>
  <c r="AD29" i="49" s="1"/>
  <c r="E165" i="29"/>
  <c r="G165" s="1"/>
  <c r="G173" s="1"/>
  <c r="BD31" i="1"/>
  <c r="AW29"/>
  <c r="N42" i="27"/>
  <c r="G62" i="28"/>
  <c r="AE31" i="44" s="1"/>
  <c r="AD28" i="49" s="1"/>
  <c r="E165" i="28"/>
  <c r="G165" s="1"/>
  <c r="G66"/>
  <c r="AI31" i="44" s="1"/>
  <c r="AH28" i="49" s="1"/>
  <c r="E169" i="28"/>
  <c r="G169" s="1"/>
  <c r="G65"/>
  <c r="AH31" i="44" s="1"/>
  <c r="AG28" i="49" s="1"/>
  <c r="E168" i="28"/>
  <c r="G168" s="1"/>
  <c r="G69"/>
  <c r="AL31" i="44" s="1"/>
  <c r="AK28" i="49" s="1"/>
  <c r="E172" i="28"/>
  <c r="G172" s="1"/>
  <c r="G64"/>
  <c r="AG31" i="44" s="1"/>
  <c r="AF28" i="49" s="1"/>
  <c r="E167" i="28"/>
  <c r="G167" s="1"/>
  <c r="G68"/>
  <c r="AK31" i="44" s="1"/>
  <c r="AJ28" i="49" s="1"/>
  <c r="E171" i="28"/>
  <c r="G171" s="1"/>
  <c r="G63"/>
  <c r="AF31" i="44" s="1"/>
  <c r="AE28" i="49" s="1"/>
  <c r="E166" i="28"/>
  <c r="G166" s="1"/>
  <c r="G67"/>
  <c r="AJ31" i="44" s="1"/>
  <c r="AI28" i="49" s="1"/>
  <c r="E170" i="28"/>
  <c r="G170" s="1"/>
  <c r="G63" i="27"/>
  <c r="AF30" i="44" s="1"/>
  <c r="AE27" i="49" s="1"/>
  <c r="E166" i="27"/>
  <c r="G166" s="1"/>
  <c r="G67"/>
  <c r="AJ30" i="44" s="1"/>
  <c r="AI27" i="49" s="1"/>
  <c r="E170" i="27"/>
  <c r="G170" s="1"/>
  <c r="G62"/>
  <c r="AE30" i="44" s="1"/>
  <c r="AD27" i="49" s="1"/>
  <c r="E165" i="27"/>
  <c r="G165" s="1"/>
  <c r="G66"/>
  <c r="AI30" i="44" s="1"/>
  <c r="AH27" i="49" s="1"/>
  <c r="E169" i="27"/>
  <c r="G169" s="1"/>
  <c r="G65"/>
  <c r="AH30" i="44" s="1"/>
  <c r="AG27" i="49" s="1"/>
  <c r="E168" i="27"/>
  <c r="G168" s="1"/>
  <c r="G69"/>
  <c r="AL30" i="44" s="1"/>
  <c r="AK27" i="49" s="1"/>
  <c r="E172" i="27"/>
  <c r="G172" s="1"/>
  <c r="G64"/>
  <c r="AG30" i="44" s="1"/>
  <c r="AF27" i="49" s="1"/>
  <c r="E167" i="27"/>
  <c r="G167" s="1"/>
  <c r="G68"/>
  <c r="AK30" i="44" s="1"/>
  <c r="AJ27" i="49" s="1"/>
  <c r="E171" i="27"/>
  <c r="G171" s="1"/>
  <c r="G63" i="40"/>
  <c r="AF29" i="44" s="1"/>
  <c r="AE26" i="49" s="1"/>
  <c r="E166" i="40"/>
  <c r="G166" s="1"/>
  <c r="G67"/>
  <c r="AJ29" i="44" s="1"/>
  <c r="AI26" i="49" s="1"/>
  <c r="E170" i="40"/>
  <c r="G170" s="1"/>
  <c r="G62"/>
  <c r="AE29" i="44" s="1"/>
  <c r="AD26" i="49" s="1"/>
  <c r="E165" i="40"/>
  <c r="G165" s="1"/>
  <c r="G66"/>
  <c r="AI29" i="44" s="1"/>
  <c r="AH26" i="49" s="1"/>
  <c r="E169" i="40"/>
  <c r="G169" s="1"/>
  <c r="G65"/>
  <c r="AH29" i="44" s="1"/>
  <c r="AG26" i="49" s="1"/>
  <c r="E168" i="40"/>
  <c r="G168" s="1"/>
  <c r="G69"/>
  <c r="AL29" i="44" s="1"/>
  <c r="AK26" i="49" s="1"/>
  <c r="E172" i="40"/>
  <c r="G172" s="1"/>
  <c r="G64"/>
  <c r="AG29" i="44" s="1"/>
  <c r="AF26" i="49" s="1"/>
  <c r="E167" i="40"/>
  <c r="G167" s="1"/>
  <c r="G68"/>
  <c r="AK29" i="44" s="1"/>
  <c r="AJ26" i="49" s="1"/>
  <c r="E171" i="40"/>
  <c r="G171" s="1"/>
  <c r="G65" i="24"/>
  <c r="AH27" i="44" s="1"/>
  <c r="AG24" i="49" s="1"/>
  <c r="E168" i="24"/>
  <c r="G168" s="1"/>
  <c r="G69"/>
  <c r="AL27" i="44" s="1"/>
  <c r="AK24" i="49" s="1"/>
  <c r="E172" i="24"/>
  <c r="G172" s="1"/>
  <c r="G64"/>
  <c r="AG27" i="44" s="1"/>
  <c r="AF24" i="49" s="1"/>
  <c r="E167" i="24"/>
  <c r="G167" s="1"/>
  <c r="G68"/>
  <c r="AK27" i="44" s="1"/>
  <c r="AJ24" i="49" s="1"/>
  <c r="E171" i="24"/>
  <c r="G171" s="1"/>
  <c r="G63"/>
  <c r="AF27" i="44" s="1"/>
  <c r="AE24" i="49" s="1"/>
  <c r="E166" i="24"/>
  <c r="G166" s="1"/>
  <c r="G67"/>
  <c r="AJ27" i="44" s="1"/>
  <c r="AI24" i="49" s="1"/>
  <c r="E170" i="24"/>
  <c r="G170" s="1"/>
  <c r="G62"/>
  <c r="AE27" i="44" s="1"/>
  <c r="AD24" i="49" s="1"/>
  <c r="E165" i="24"/>
  <c r="G165" s="1"/>
  <c r="G66"/>
  <c r="AI27" i="44" s="1"/>
  <c r="AH24" i="49" s="1"/>
  <c r="E169" i="24"/>
  <c r="G169" s="1"/>
  <c r="G69" i="23"/>
  <c r="E172"/>
  <c r="G172" s="1"/>
  <c r="G68"/>
  <c r="E171"/>
  <c r="G171" s="1"/>
  <c r="G67"/>
  <c r="E170"/>
  <c r="G170" s="1"/>
  <c r="G66"/>
  <c r="E169"/>
  <c r="G169" s="1"/>
  <c r="G65"/>
  <c r="E168"/>
  <c r="G168" s="1"/>
  <c r="G64"/>
  <c r="E167"/>
  <c r="G167" s="1"/>
  <c r="G69" i="22"/>
  <c r="AL25" i="44" s="1"/>
  <c r="AK22" i="49" s="1"/>
  <c r="E172" i="22"/>
  <c r="G172" s="1"/>
  <c r="L172" s="1"/>
  <c r="G68"/>
  <c r="AK25" i="44" s="1"/>
  <c r="AJ22" i="49" s="1"/>
  <c r="E171" i="22"/>
  <c r="G171" s="1"/>
  <c r="L171" s="1"/>
  <c r="G67"/>
  <c r="AJ25" i="44" s="1"/>
  <c r="AI22" i="49" s="1"/>
  <c r="E170" i="22"/>
  <c r="G170" s="1"/>
  <c r="L170" s="1"/>
  <c r="G66"/>
  <c r="AI25" i="44" s="1"/>
  <c r="AH22" i="49" s="1"/>
  <c r="E169" i="22"/>
  <c r="G169" s="1"/>
  <c r="L169" s="1"/>
  <c r="G65"/>
  <c r="AH25" i="44" s="1"/>
  <c r="AG22" i="49" s="1"/>
  <c r="E168" i="22"/>
  <c r="G168" s="1"/>
  <c r="L168" s="1"/>
  <c r="G64"/>
  <c r="AG25" i="44" s="1"/>
  <c r="AF22" i="49" s="1"/>
  <c r="E167" i="22"/>
  <c r="G167" s="1"/>
  <c r="L167" s="1"/>
  <c r="G69" i="21"/>
  <c r="AL24" i="44" s="1"/>
  <c r="AK21" i="49" s="1"/>
  <c r="E172" i="21"/>
  <c r="G172" s="1"/>
  <c r="L172" s="1"/>
  <c r="G68"/>
  <c r="AK24" i="44" s="1"/>
  <c r="AJ21" i="49" s="1"/>
  <c r="E171" i="21"/>
  <c r="G171" s="1"/>
  <c r="L171" s="1"/>
  <c r="G67"/>
  <c r="AJ24" i="44" s="1"/>
  <c r="AI21" i="49" s="1"/>
  <c r="E170" i="21"/>
  <c r="G170" s="1"/>
  <c r="L170" s="1"/>
  <c r="G66"/>
  <c r="AI24" i="44" s="1"/>
  <c r="AH21" i="49" s="1"/>
  <c r="E169" i="21"/>
  <c r="G169" s="1"/>
  <c r="L169" s="1"/>
  <c r="G65"/>
  <c r="AH24" i="44" s="1"/>
  <c r="AG21" i="49" s="1"/>
  <c r="E168" i="21"/>
  <c r="G168" s="1"/>
  <c r="L168" s="1"/>
  <c r="G64"/>
  <c r="AG24" i="44" s="1"/>
  <c r="AF21" i="49" s="1"/>
  <c r="E167" i="21"/>
  <c r="G167" s="1"/>
  <c r="L167" s="1"/>
  <c r="G63" i="20"/>
  <c r="AF23" i="44" s="1"/>
  <c r="AE20" i="49" s="1"/>
  <c r="G166" i="20"/>
  <c r="G69"/>
  <c r="AL23" i="44" s="1"/>
  <c r="AK20" i="49" s="1"/>
  <c r="G68" i="20"/>
  <c r="AK23" i="44" s="1"/>
  <c r="AJ20" i="49" s="1"/>
  <c r="G67" i="20"/>
  <c r="AJ23" i="44" s="1"/>
  <c r="AI20" i="49" s="1"/>
  <c r="G66" i="20"/>
  <c r="AI23" i="44" s="1"/>
  <c r="AH20" i="49" s="1"/>
  <c r="G65" i="20"/>
  <c r="AH23" i="44" s="1"/>
  <c r="AG20" i="49" s="1"/>
  <c r="G64" i="20"/>
  <c r="AG23" i="44" s="1"/>
  <c r="AF20" i="49" s="1"/>
  <c r="G68" i="19"/>
  <c r="AK22" i="44" s="1"/>
  <c r="AJ19" i="49" s="1"/>
  <c r="G69" i="18"/>
  <c r="AL21" i="44" s="1"/>
  <c r="AK18" i="49" s="1"/>
  <c r="E172" i="18"/>
  <c r="G172" s="1"/>
  <c r="G68"/>
  <c r="AK21" i="44" s="1"/>
  <c r="AJ18" i="49" s="1"/>
  <c r="E171" i="18"/>
  <c r="G171" s="1"/>
  <c r="G67"/>
  <c r="AJ21" i="44" s="1"/>
  <c r="AI18" i="49" s="1"/>
  <c r="E170" i="18"/>
  <c r="G170" s="1"/>
  <c r="G66"/>
  <c r="AI21" i="44" s="1"/>
  <c r="AH18" i="49" s="1"/>
  <c r="E169" i="18"/>
  <c r="G169" s="1"/>
  <c r="G65"/>
  <c r="AH21" i="44" s="1"/>
  <c r="AG18" i="49" s="1"/>
  <c r="E168" i="18"/>
  <c r="G168" s="1"/>
  <c r="G64"/>
  <c r="AG21" i="44" s="1"/>
  <c r="AF18" i="49" s="1"/>
  <c r="E167" i="18"/>
  <c r="G167" s="1"/>
  <c r="G69" i="15"/>
  <c r="I17" i="35" s="1"/>
  <c r="E172" i="15"/>
  <c r="G172" s="1"/>
  <c r="G68"/>
  <c r="AK18" i="44" s="1"/>
  <c r="AJ15" i="49" s="1"/>
  <c r="E171" i="15"/>
  <c r="G171" s="1"/>
  <c r="G67"/>
  <c r="AJ18" i="44" s="1"/>
  <c r="AI15" i="49" s="1"/>
  <c r="E170" i="15"/>
  <c r="G170" s="1"/>
  <c r="G66"/>
  <c r="AI18" i="44" s="1"/>
  <c r="AH15" i="49" s="1"/>
  <c r="E169" i="15"/>
  <c r="G169" s="1"/>
  <c r="G65"/>
  <c r="AH18" i="44" s="1"/>
  <c r="AG15" i="49" s="1"/>
  <c r="E168" i="15"/>
  <c r="G168" s="1"/>
  <c r="G64"/>
  <c r="AG18" i="44" s="1"/>
  <c r="AF15" i="49" s="1"/>
  <c r="E167" i="15"/>
  <c r="G167" s="1"/>
  <c r="G62"/>
  <c r="AE18" i="44" s="1"/>
  <c r="AD15" i="49" s="1"/>
  <c r="E165" i="15"/>
  <c r="G165" s="1"/>
  <c r="G69" i="14"/>
  <c r="I16" i="35" s="1"/>
  <c r="E172" i="14"/>
  <c r="G172" s="1"/>
  <c r="G68"/>
  <c r="AK17" i="44" s="1"/>
  <c r="AJ14" i="49" s="1"/>
  <c r="E171" i="14"/>
  <c r="G171" s="1"/>
  <c r="G67"/>
  <c r="AJ17" i="44" s="1"/>
  <c r="AI14" i="49" s="1"/>
  <c r="E170" i="14"/>
  <c r="G170" s="1"/>
  <c r="G66"/>
  <c r="AI17" i="44" s="1"/>
  <c r="AH14" i="49" s="1"/>
  <c r="E169" i="14"/>
  <c r="G169" s="1"/>
  <c r="G65"/>
  <c r="AH17" i="44" s="1"/>
  <c r="AG14" i="49" s="1"/>
  <c r="E168" i="14"/>
  <c r="G168" s="1"/>
  <c r="G64"/>
  <c r="AG17" i="44" s="1"/>
  <c r="AF14" i="49" s="1"/>
  <c r="E167" i="14"/>
  <c r="G167" s="1"/>
  <c r="G69" i="13"/>
  <c r="E172"/>
  <c r="G172" s="1"/>
  <c r="G68"/>
  <c r="AK16" i="44" s="1"/>
  <c r="AJ13" i="49" s="1"/>
  <c r="E171" i="13"/>
  <c r="G171" s="1"/>
  <c r="G67"/>
  <c r="E170"/>
  <c r="G170" s="1"/>
  <c r="G66"/>
  <c r="AI16" i="44" s="1"/>
  <c r="AH13" i="49" s="1"/>
  <c r="E169" i="13"/>
  <c r="G169" s="1"/>
  <c r="G65"/>
  <c r="AH16" i="44" s="1"/>
  <c r="AG13" i="49" s="1"/>
  <c r="E168" i="13"/>
  <c r="G168" s="1"/>
  <c r="G64"/>
  <c r="AG16" i="44" s="1"/>
  <c r="AF13" i="49" s="1"/>
  <c r="E167" i="13"/>
  <c r="G167" s="1"/>
  <c r="F120" i="11"/>
  <c r="M9" i="45"/>
  <c r="F197" i="11"/>
  <c r="M7" i="45"/>
  <c r="F195" i="11"/>
  <c r="BH32" i="1"/>
  <c r="AG33" i="44"/>
  <c r="AF30" i="49" s="1"/>
  <c r="AK33" i="44"/>
  <c r="AJ30" i="49" s="1"/>
  <c r="AF13" i="45"/>
  <c r="BC30" i="49" s="1"/>
  <c r="AP33" i="44"/>
  <c r="BI30" i="49" s="1"/>
  <c r="AC32" i="1"/>
  <c r="AX33" i="44"/>
  <c r="J111" i="10"/>
  <c r="J106"/>
  <c r="V33" i="44"/>
  <c r="U30" i="49" s="1"/>
  <c r="R33" i="44"/>
  <c r="Q30" i="49" s="1"/>
  <c r="J108" i="10"/>
  <c r="AW32" i="1"/>
  <c r="BG32"/>
  <c r="AJ33" i="44"/>
  <c r="AI30" i="49" s="1"/>
  <c r="AF7" i="45"/>
  <c r="AF11"/>
  <c r="AQ30" i="49" s="1"/>
  <c r="AS33" i="44"/>
  <c r="BL30" i="49" s="1"/>
  <c r="AB32" i="1"/>
  <c r="AW33" i="44"/>
  <c r="J112" i="10"/>
  <c r="J107"/>
  <c r="W33" i="44"/>
  <c r="V30" i="49" s="1"/>
  <c r="S33" i="44"/>
  <c r="R30" i="49" s="1"/>
  <c r="O33" i="44"/>
  <c r="N30" i="49" s="1"/>
  <c r="D5" i="45"/>
  <c r="BB32" i="1"/>
  <c r="AI33" i="44"/>
  <c r="AH30" i="49" s="1"/>
  <c r="N33" i="44"/>
  <c r="M30" i="49" s="1"/>
  <c r="AF10" i="45"/>
  <c r="AR33" i="44"/>
  <c r="BK30" i="49" s="1"/>
  <c r="X33" i="44"/>
  <c r="W30" i="49" s="1"/>
  <c r="T33" i="44"/>
  <c r="S30" i="49" s="1"/>
  <c r="P33" i="44"/>
  <c r="O30" i="49" s="1"/>
  <c r="J117" i="10"/>
  <c r="BH36" i="1"/>
  <c r="AH33" i="44"/>
  <c r="AG30" i="49" s="1"/>
  <c r="AL33" i="44"/>
  <c r="AK30" i="49" s="1"/>
  <c r="AQ33" i="44"/>
  <c r="BJ30" i="49" s="1"/>
  <c r="AL32" i="1"/>
  <c r="J110" i="10"/>
  <c r="Z33" i="44"/>
  <c r="Y30" i="49" s="1"/>
  <c r="U33" i="44"/>
  <c r="T30" i="49" s="1"/>
  <c r="Q33" i="44"/>
  <c r="P30" i="49" s="1"/>
  <c r="J113" i="10"/>
  <c r="V16" i="44"/>
  <c r="U13" i="49" s="1"/>
  <c r="R16" i="44"/>
  <c r="Q13" i="49" s="1"/>
  <c r="AQ16" i="44"/>
  <c r="BJ13" i="49" s="1"/>
  <c r="AU24" i="1"/>
  <c r="BA15"/>
  <c r="BD15"/>
  <c r="BH15"/>
  <c r="O9" i="45"/>
  <c r="W16" i="44"/>
  <c r="V13" i="49" s="1"/>
  <c r="S16" i="44"/>
  <c r="R13" i="49" s="1"/>
  <c r="O16" i="44"/>
  <c r="N13" i="49" s="1"/>
  <c r="AR16" i="44"/>
  <c r="BK13" i="49" s="1"/>
  <c r="BE15" i="1"/>
  <c r="G119" i="13"/>
  <c r="O7" i="45"/>
  <c r="O13"/>
  <c r="BC13" i="49" s="1"/>
  <c r="X16" i="44"/>
  <c r="W13" i="49" s="1"/>
  <c r="T16" i="44"/>
  <c r="S13" i="49" s="1"/>
  <c r="P16" i="44"/>
  <c r="O13" i="49" s="1"/>
  <c r="AS16" i="44"/>
  <c r="BL13" i="49" s="1"/>
  <c r="F120" i="9"/>
  <c r="AW15" i="1"/>
  <c r="AP16" i="44"/>
  <c r="BI13" i="49" s="1"/>
  <c r="G20" i="7"/>
  <c r="AA15" i="1"/>
  <c r="Z16" i="44"/>
  <c r="Y13" i="49" s="1"/>
  <c r="U16" i="44"/>
  <c r="T13" i="49" s="1"/>
  <c r="Q16" i="44"/>
  <c r="P13" i="49" s="1"/>
  <c r="AB15" i="1"/>
  <c r="AL15"/>
  <c r="AD15"/>
  <c r="AM15"/>
  <c r="AC15"/>
  <c r="BF15"/>
  <c r="O15" i="44"/>
  <c r="N12" i="49" s="1"/>
  <c r="W15" i="44"/>
  <c r="V12" i="49" s="1"/>
  <c r="AM14" i="1"/>
  <c r="N13" i="45"/>
  <c r="BC12" i="49" s="1"/>
  <c r="AP15" i="44"/>
  <c r="BI12" i="49" s="1"/>
  <c r="R15" i="44"/>
  <c r="Q12" i="49" s="1"/>
  <c r="V15" i="44"/>
  <c r="U12" i="49" s="1"/>
  <c r="AB14" i="1"/>
  <c r="N7" i="45"/>
  <c r="AS15" i="44"/>
  <c r="BL12" i="49" s="1"/>
  <c r="Q15" i="44"/>
  <c r="P12" i="49" s="1"/>
  <c r="U15" i="44"/>
  <c r="T12" i="49" s="1"/>
  <c r="Z15" i="44"/>
  <c r="Y12" i="49" s="1"/>
  <c r="AW14" i="1"/>
  <c r="AC14"/>
  <c r="AQ15" i="44"/>
  <c r="BJ12" i="49" s="1"/>
  <c r="S15" i="44"/>
  <c r="R12" i="49" s="1"/>
  <c r="AR15" i="44"/>
  <c r="BK12" i="49" s="1"/>
  <c r="AA14" i="1"/>
  <c r="P15" i="44"/>
  <c r="O12" i="49" s="1"/>
  <c r="T15" i="44"/>
  <c r="S12" i="49" s="1"/>
  <c r="X15" i="44"/>
  <c r="W12" i="49" s="1"/>
  <c r="AL14" i="1"/>
  <c r="AD14"/>
  <c r="F120" i="33"/>
  <c r="N9" i="45"/>
  <c r="F120" i="12"/>
  <c r="E31" i="18"/>
  <c r="T5" i="45"/>
  <c r="E30" i="19"/>
  <c r="G30" s="1"/>
  <c r="U6" i="45"/>
  <c r="Y21" i="1"/>
  <c r="U11" i="45"/>
  <c r="AQ19" i="49" s="1"/>
  <c r="AI21" i="1"/>
  <c r="AW22" i="44"/>
  <c r="AH22" i="1"/>
  <c r="AH24"/>
  <c r="AI25"/>
  <c r="AW26" i="44"/>
  <c r="AI26" i="1"/>
  <c r="AW27" i="44"/>
  <c r="AF9" i="45"/>
  <c r="AH13" i="1"/>
  <c r="X15"/>
  <c r="O10" i="45"/>
  <c r="AI15" i="1"/>
  <c r="AW16" i="44"/>
  <c r="G5" i="45"/>
  <c r="E30" i="8"/>
  <c r="G30" s="1"/>
  <c r="J6" i="45"/>
  <c r="Y13" i="1"/>
  <c r="M11" i="45"/>
  <c r="G67" i="12"/>
  <c r="AH14" i="1"/>
  <c r="AJ12"/>
  <c r="AX13" i="44"/>
  <c r="E31" i="11"/>
  <c r="M5" i="45"/>
  <c r="E31" i="28"/>
  <c r="G31" s="1"/>
  <c r="AD5" i="45"/>
  <c r="Y8" i="1"/>
  <c r="H11" i="45"/>
  <c r="AQ6" i="49" s="1"/>
  <c r="AJ17" i="1"/>
  <c r="AX18" i="44"/>
  <c r="E30" i="18"/>
  <c r="G30" s="1"/>
  <c r="T6" i="45"/>
  <c r="BF21" i="1"/>
  <c r="L5" i="45"/>
  <c r="E31" i="19"/>
  <c r="G31" s="1"/>
  <c r="U5" i="45"/>
  <c r="E31" i="22"/>
  <c r="G31" s="1"/>
  <c r="X5" i="45"/>
  <c r="E31" i="27"/>
  <c r="G31" s="1"/>
  <c r="AC5" i="45"/>
  <c r="AI8" i="1"/>
  <c r="AW9" i="44"/>
  <c r="AJ9" i="1"/>
  <c r="AX10" i="44"/>
  <c r="AY10" s="1"/>
  <c r="Y11" i="1"/>
  <c r="K11" i="45"/>
  <c r="AJ11" i="1"/>
  <c r="AX12" i="44"/>
  <c r="E30" i="12"/>
  <c r="G30" s="1"/>
  <c r="N6" i="45"/>
  <c r="E30" i="14"/>
  <c r="G30" s="1"/>
  <c r="P6" i="45"/>
  <c r="Y17" i="1"/>
  <c r="Q11" i="45"/>
  <c r="AQ15" i="49" s="1"/>
  <c r="AI17" i="1"/>
  <c r="AW18" i="44"/>
  <c r="AJ20" i="1"/>
  <c r="AX21" i="44"/>
  <c r="X21" i="1"/>
  <c r="U10" i="45"/>
  <c r="AH21" i="1"/>
  <c r="AI23"/>
  <c r="AW24" i="44"/>
  <c r="AY24" s="1"/>
  <c r="AH25" i="1"/>
  <c r="AH26"/>
  <c r="AH31"/>
  <c r="G119" i="30"/>
  <c r="AI13" i="1"/>
  <c r="AW14" i="44"/>
  <c r="Y15" i="1"/>
  <c r="O11" i="45"/>
  <c r="AQ13" i="49" s="1"/>
  <c r="AJ15" i="1"/>
  <c r="AX16" i="44"/>
  <c r="AH10" i="1"/>
  <c r="X10"/>
  <c r="J10" i="45"/>
  <c r="G68" i="12"/>
  <c r="G63"/>
  <c r="AF15" i="44" s="1"/>
  <c r="AE12" i="49" s="1"/>
  <c r="AI14" i="1"/>
  <c r="AW15" i="44"/>
  <c r="E31" i="14"/>
  <c r="G31" s="1"/>
  <c r="P5" i="45"/>
  <c r="G62" i="12"/>
  <c r="AE15" i="44" s="1"/>
  <c r="AD12" i="49" s="1"/>
  <c r="E30" i="15"/>
  <c r="G30" s="1"/>
  <c r="Q6" i="45"/>
  <c r="E31" i="9"/>
  <c r="G31" s="1"/>
  <c r="K5" i="45"/>
  <c r="E31" i="13"/>
  <c r="G31" s="1"/>
  <c r="O5" i="45"/>
  <c r="E31" i="16"/>
  <c r="G31" s="1"/>
  <c r="R5" i="45"/>
  <c r="E31" i="17"/>
  <c r="G31" s="1"/>
  <c r="S5" i="45"/>
  <c r="E31" i="20"/>
  <c r="G31" s="1"/>
  <c r="V5" i="45"/>
  <c r="E31" i="40"/>
  <c r="G31" s="1"/>
  <c r="AB5" i="45"/>
  <c r="E31" i="29"/>
  <c r="G31" s="1"/>
  <c r="AE5" i="45"/>
  <c r="E30" i="33"/>
  <c r="G30" s="1"/>
  <c r="H30" s="1"/>
  <c r="H6" i="45"/>
  <c r="AJ8" i="1"/>
  <c r="AX9" i="44"/>
  <c r="E30" i="7"/>
  <c r="G30" s="1"/>
  <c r="I6" i="45"/>
  <c r="Y9" i="1"/>
  <c r="I11" i="45"/>
  <c r="AI11" i="1"/>
  <c r="AW12" i="44"/>
  <c r="Y12" i="1"/>
  <c r="L11" i="45"/>
  <c r="AQ10" i="49" s="1"/>
  <c r="E30" i="11"/>
  <c r="M6" i="45"/>
  <c r="Y14" i="1"/>
  <c r="N11" i="45"/>
  <c r="AQ12" i="49" s="1"/>
  <c r="AI16" i="1"/>
  <c r="AW17" i="44"/>
  <c r="X17" i="1"/>
  <c r="Q10" i="45"/>
  <c r="AH17" i="1"/>
  <c r="AW18"/>
  <c r="Y18"/>
  <c r="R11" i="45"/>
  <c r="AQ16" i="49" s="1"/>
  <c r="AJ18" i="1"/>
  <c r="AX19" i="44"/>
  <c r="AJ19" i="1"/>
  <c r="AX20" i="44"/>
  <c r="Y20" i="1"/>
  <c r="T11" i="45"/>
  <c r="AQ18" i="49" s="1"/>
  <c r="AI20" i="1"/>
  <c r="AW21" i="44"/>
  <c r="AJ22" i="1"/>
  <c r="AX23" i="44"/>
  <c r="AH23" i="1"/>
  <c r="AH30"/>
  <c r="AJ13"/>
  <c r="AX14" i="44"/>
  <c r="E30" i="17"/>
  <c r="G30" s="1"/>
  <c r="S6" i="45"/>
  <c r="BF24" i="1"/>
  <c r="Y10"/>
  <c r="J11" i="45"/>
  <c r="AQ8" i="49" s="1"/>
  <c r="G64" i="12"/>
  <c r="AJ14" i="1"/>
  <c r="AX15" i="44"/>
  <c r="AH12" i="1"/>
  <c r="G119" i="43"/>
  <c r="X19" i="1"/>
  <c r="S10" i="45"/>
  <c r="E31" i="33"/>
  <c r="G31" s="1"/>
  <c r="H5" i="45"/>
  <c r="E30" i="13"/>
  <c r="G30" s="1"/>
  <c r="O6" i="45"/>
  <c r="AH18" i="1"/>
  <c r="G31" i="7"/>
  <c r="I5" i="45"/>
  <c r="E31" i="12"/>
  <c r="G31" s="1"/>
  <c r="N5" i="45"/>
  <c r="E31" i="15"/>
  <c r="G31" s="1"/>
  <c r="Q5" i="45"/>
  <c r="X8" i="1"/>
  <c r="H10" i="45"/>
  <c r="E30" i="9"/>
  <c r="G30" s="1"/>
  <c r="K6" i="45"/>
  <c r="AH11" i="1"/>
  <c r="L6" i="45"/>
  <c r="X12" i="1"/>
  <c r="L10" i="45"/>
  <c r="X14" i="1"/>
  <c r="N10" i="45"/>
  <c r="X16" i="1"/>
  <c r="P10" i="45"/>
  <c r="AH16" i="1"/>
  <c r="E30" i="16"/>
  <c r="G30" s="1"/>
  <c r="R6" i="45"/>
  <c r="X18" i="1"/>
  <c r="R10" i="45"/>
  <c r="AI18" i="1"/>
  <c r="AW19" i="44"/>
  <c r="AI19" i="1"/>
  <c r="AW20" i="44"/>
  <c r="X20" i="1"/>
  <c r="T10" i="45"/>
  <c r="AH20" i="1"/>
  <c r="AI22"/>
  <c r="AW23" i="44"/>
  <c r="AI24" i="1"/>
  <c r="AW25" i="44"/>
  <c r="AJ26" i="1"/>
  <c r="AX27" i="44"/>
  <c r="AH29" i="1"/>
  <c r="BF6"/>
  <c r="AJ10"/>
  <c r="AX11" i="44"/>
  <c r="E31" i="8"/>
  <c r="G31" s="1"/>
  <c r="J5" i="45"/>
  <c r="G65" i="12"/>
  <c r="AI12" i="1"/>
  <c r="AW13" i="44"/>
  <c r="G66" i="12"/>
  <c r="G101" i="43"/>
  <c r="G120" s="1"/>
  <c r="BG6" i="1"/>
  <c r="BG7"/>
  <c r="AJ7"/>
  <c r="AX8" i="44"/>
  <c r="AY8" s="1"/>
  <c r="X7" i="1"/>
  <c r="G10" i="45"/>
  <c r="G6"/>
  <c r="Y7" i="1"/>
  <c r="G11" i="45"/>
  <c r="AQ5" i="49" s="1"/>
  <c r="F6" i="45"/>
  <c r="X6" i="1"/>
  <c r="F10" i="45"/>
  <c r="AJ6" i="1"/>
  <c r="AX7" i="44"/>
  <c r="AY7" s="1"/>
  <c r="Y6" i="1"/>
  <c r="F11" i="45"/>
  <c r="AQ4" i="49" s="1"/>
  <c r="D7" i="45"/>
  <c r="AW5" i="44"/>
  <c r="D9" i="45"/>
  <c r="AJ5" i="1"/>
  <c r="AX6" i="44"/>
  <c r="AY6" s="1"/>
  <c r="AH4" i="1"/>
  <c r="D10" i="45"/>
  <c r="H105" i="30"/>
  <c r="D13" i="45"/>
  <c r="AH5"/>
  <c r="E31" i="43"/>
  <c r="G31" s="1"/>
  <c r="AG5" i="45"/>
  <c r="AH6"/>
  <c r="AH25"/>
  <c r="BE32" i="49" s="1"/>
  <c r="AG9" i="45"/>
  <c r="E31" i="30"/>
  <c r="G31" s="1"/>
  <c r="AF5" i="45"/>
  <c r="AX34" i="44"/>
  <c r="AW34"/>
  <c r="AG11" i="45"/>
  <c r="AQ31" i="49" s="1"/>
  <c r="AG10" i="45"/>
  <c r="E30" i="43"/>
  <c r="G30" s="1"/>
  <c r="AG6" i="45"/>
  <c r="E30" i="30"/>
  <c r="G30" s="1"/>
  <c r="AF6" i="45"/>
  <c r="AF24" s="1"/>
  <c r="BD30" i="49" s="1"/>
  <c r="AJ31" i="1"/>
  <c r="AX32" i="44"/>
  <c r="Y31" i="1"/>
  <c r="AE11" i="45"/>
  <c r="AQ29" i="49" s="1"/>
  <c r="X31" i="1"/>
  <c r="AE10" i="45"/>
  <c r="BF31" i="1"/>
  <c r="E30" i="29"/>
  <c r="G30" s="1"/>
  <c r="AE6" i="45"/>
  <c r="AJ30" i="1"/>
  <c r="AX31" i="44"/>
  <c r="AI30" i="1"/>
  <c r="AW31" i="44"/>
  <c r="Y30" i="1"/>
  <c r="AD11" i="45"/>
  <c r="BF30" i="1"/>
  <c r="BF29"/>
  <c r="BC30"/>
  <c r="E30" i="28"/>
  <c r="G30" s="1"/>
  <c r="AD6" i="45"/>
  <c r="AJ29" i="1"/>
  <c r="AX30" i="44"/>
  <c r="AI29" i="1"/>
  <c r="AW30" i="44"/>
  <c r="Y29" i="1"/>
  <c r="AC11" i="45"/>
  <c r="AQ27" i="49" s="1"/>
  <c r="X29" i="1"/>
  <c r="AC10" i="45"/>
  <c r="E30" i="27"/>
  <c r="G30" s="1"/>
  <c r="AC6" i="45"/>
  <c r="AY29" i="44"/>
  <c r="Y28" i="1"/>
  <c r="AB11" i="45"/>
  <c r="AQ26" i="49" s="1"/>
  <c r="X28" i="1"/>
  <c r="AB10" i="45"/>
  <c r="E30" i="40"/>
  <c r="G30" s="1"/>
  <c r="AB6" i="45"/>
  <c r="E31" i="23"/>
  <c r="G31" s="1"/>
  <c r="Y5" i="45"/>
  <c r="E31" i="24"/>
  <c r="G31" s="1"/>
  <c r="Z5" i="45"/>
  <c r="Y26" i="1"/>
  <c r="Z11" i="45"/>
  <c r="AQ24" i="49" s="1"/>
  <c r="X26" i="1"/>
  <c r="Z10" i="45"/>
  <c r="E30" i="24"/>
  <c r="G30" s="1"/>
  <c r="Z6" i="45"/>
  <c r="Y25" i="1"/>
  <c r="Y11" i="45"/>
  <c r="AQ23" i="49" s="1"/>
  <c r="X25" i="1"/>
  <c r="Y10" i="45"/>
  <c r="E30" i="23"/>
  <c r="G30" s="1"/>
  <c r="Y6" i="45"/>
  <c r="Y24" i="1"/>
  <c r="X11" i="45"/>
  <c r="AQ22" i="49" s="1"/>
  <c r="X24" i="1"/>
  <c r="X10" i="45"/>
  <c r="E30" i="22"/>
  <c r="G30" s="1"/>
  <c r="X6" i="45"/>
  <c r="Y23" i="1"/>
  <c r="W11" i="45"/>
  <c r="AQ21" i="49" s="1"/>
  <c r="Y22" i="1"/>
  <c r="V11" i="45"/>
  <c r="AQ20" i="49" s="1"/>
  <c r="X23" i="1"/>
  <c r="W10" i="45"/>
  <c r="X22" i="1"/>
  <c r="V10" i="45"/>
  <c r="E30" i="21"/>
  <c r="G30" s="1"/>
  <c r="W6" i="45"/>
  <c r="W24" s="1"/>
  <c r="BD21" i="49" s="1"/>
  <c r="E30" i="20"/>
  <c r="G30" s="1"/>
  <c r="V6" i="45"/>
  <c r="D11"/>
  <c r="AQ2" i="49" s="1"/>
  <c r="D6" i="45"/>
  <c r="Y5" i="1"/>
  <c r="E11" i="45"/>
  <c r="AQ3" i="49" s="1"/>
  <c r="E5" i="45"/>
  <c r="X5" i="1"/>
  <c r="E10" i="45"/>
  <c r="E6"/>
  <c r="H108" i="12"/>
  <c r="J108" s="1"/>
  <c r="H108" i="14"/>
  <c r="J108" s="1"/>
  <c r="H108" i="24"/>
  <c r="J108" s="1"/>
  <c r="H108" i="28"/>
  <c r="J108" s="1"/>
  <c r="H108" i="27"/>
  <c r="J108" s="1"/>
  <c r="H108" i="15"/>
  <c r="J108" s="1"/>
  <c r="J108" i="9"/>
  <c r="H108" i="19"/>
  <c r="H108" i="29"/>
  <c r="J108" s="1"/>
  <c r="H108" i="40"/>
  <c r="J108" s="1"/>
  <c r="H108" i="25"/>
  <c r="J108" s="1"/>
  <c r="J108" i="33"/>
  <c r="H108" i="30"/>
  <c r="J108" i="7"/>
  <c r="H108" i="23"/>
  <c r="J108" s="1"/>
  <c r="J108" i="8"/>
  <c r="H108" i="18"/>
  <c r="J108" s="1"/>
  <c r="J108" i="11"/>
  <c r="H108" i="17"/>
  <c r="J108" s="1"/>
  <c r="H108" i="13"/>
  <c r="J108" s="1"/>
  <c r="H108" i="16"/>
  <c r="J108" s="1"/>
  <c r="J110" i="8"/>
  <c r="H110" i="23"/>
  <c r="J110" s="1"/>
  <c r="H110" i="13"/>
  <c r="J110" s="1"/>
  <c r="H110" i="17"/>
  <c r="J110" s="1"/>
  <c r="H110" i="25"/>
  <c r="J110" s="1"/>
  <c r="H110" i="30"/>
  <c r="H110" i="28"/>
  <c r="J110" s="1"/>
  <c r="H110" i="16"/>
  <c r="J110" s="1"/>
  <c r="J110" i="9"/>
  <c r="H110" i="15"/>
  <c r="J110" s="1"/>
  <c r="H110" i="24"/>
  <c r="J110" s="1"/>
  <c r="H110" i="29"/>
  <c r="J110" s="1"/>
  <c r="J110" i="7"/>
  <c r="H110" i="14"/>
  <c r="J110" s="1"/>
  <c r="H110" i="40"/>
  <c r="J110" s="1"/>
  <c r="H110" i="27"/>
  <c r="J110" s="1"/>
  <c r="H110" i="12"/>
  <c r="J110" s="1"/>
  <c r="H110" i="19"/>
  <c r="J110" i="11"/>
  <c r="H110" i="18"/>
  <c r="J110" s="1"/>
  <c r="J110" i="33"/>
  <c r="J105" i="9"/>
  <c r="J105" i="11"/>
  <c r="H105" i="13"/>
  <c r="J105" s="1"/>
  <c r="H105" i="17"/>
  <c r="J105" s="1"/>
  <c r="H105" i="25"/>
  <c r="J105" s="1"/>
  <c r="H105" i="19"/>
  <c r="H105" i="16"/>
  <c r="J105" s="1"/>
  <c r="H105" i="27"/>
  <c r="J105" s="1"/>
  <c r="H105" i="12"/>
  <c r="J105" s="1"/>
  <c r="H105" i="24"/>
  <c r="J105" s="1"/>
  <c r="H105" i="28"/>
  <c r="J105" s="1"/>
  <c r="H105" i="15"/>
  <c r="J105" s="1"/>
  <c r="H105" i="14"/>
  <c r="J105" s="1"/>
  <c r="H105" i="29"/>
  <c r="J105" s="1"/>
  <c r="J105" i="7"/>
  <c r="H105" i="40"/>
  <c r="J105" s="1"/>
  <c r="J105" i="8"/>
  <c r="H105" i="18"/>
  <c r="J105" s="1"/>
  <c r="J105" i="33"/>
  <c r="H105" i="23"/>
  <c r="J105" s="1"/>
  <c r="H111" i="12"/>
  <c r="J111" s="1"/>
  <c r="H111" i="15"/>
  <c r="J111" s="1"/>
  <c r="J111" i="33"/>
  <c r="H111" i="18"/>
  <c r="J111" s="1"/>
  <c r="H111" i="24"/>
  <c r="J111" s="1"/>
  <c r="H111" i="40"/>
  <c r="J111" s="1"/>
  <c r="H111" i="23"/>
  <c r="J111" s="1"/>
  <c r="J111" i="8"/>
  <c r="H111" i="29"/>
  <c r="J111" s="1"/>
  <c r="H111" i="30"/>
  <c r="J111" i="11"/>
  <c r="H111" i="19"/>
  <c r="H111" i="28"/>
  <c r="J111" s="1"/>
  <c r="H111" i="16"/>
  <c r="J111" s="1"/>
  <c r="H111" i="27"/>
  <c r="J111" s="1"/>
  <c r="J111" i="9"/>
  <c r="J111" i="7"/>
  <c r="H111" i="13"/>
  <c r="J111" s="1"/>
  <c r="H111" i="25"/>
  <c r="J111" s="1"/>
  <c r="H111" i="17"/>
  <c r="J111" s="1"/>
  <c r="H111" i="14"/>
  <c r="J111" s="1"/>
  <c r="J116" i="7"/>
  <c r="H116" i="15"/>
  <c r="J116" s="1"/>
  <c r="H116" i="24"/>
  <c r="J116" s="1"/>
  <c r="J116" i="8"/>
  <c r="H116" i="13"/>
  <c r="J116" s="1"/>
  <c r="H116" i="17"/>
  <c r="J116" s="1"/>
  <c r="H116" i="23"/>
  <c r="J116" s="1"/>
  <c r="H116" i="25"/>
  <c r="J116" s="1"/>
  <c r="H116" i="30"/>
  <c r="H116" i="29"/>
  <c r="J116" s="1"/>
  <c r="H116" i="28"/>
  <c r="J116" s="1"/>
  <c r="J116" i="9"/>
  <c r="H116" i="16"/>
  <c r="J116" s="1"/>
  <c r="H116" i="12"/>
  <c r="J116" s="1"/>
  <c r="H116" i="18"/>
  <c r="J116" s="1"/>
  <c r="H116" i="19"/>
  <c r="H116" i="14"/>
  <c r="J116" s="1"/>
  <c r="H116" i="40"/>
  <c r="J116" s="1"/>
  <c r="J116" i="33"/>
  <c r="H116" i="27"/>
  <c r="J116" s="1"/>
  <c r="J116" i="11"/>
  <c r="H112" i="19"/>
  <c r="J112" i="7"/>
  <c r="H112" i="14"/>
  <c r="J112" s="1"/>
  <c r="H112" i="15"/>
  <c r="J112" s="1"/>
  <c r="H112" i="27"/>
  <c r="J112" s="1"/>
  <c r="H112" i="23"/>
  <c r="J112" s="1"/>
  <c r="J112" i="33"/>
  <c r="H112" i="18"/>
  <c r="J112" s="1"/>
  <c r="H112" i="40"/>
  <c r="J112" s="1"/>
  <c r="H112" i="13"/>
  <c r="J112" s="1"/>
  <c r="H112" i="29"/>
  <c r="J112" s="1"/>
  <c r="J112" i="11"/>
  <c r="H112" i="28"/>
  <c r="J112" s="1"/>
  <c r="H112" i="24"/>
  <c r="J112" s="1"/>
  <c r="H112" i="12"/>
  <c r="J112" s="1"/>
  <c r="J112" i="8"/>
  <c r="H112" i="16"/>
  <c r="J112" s="1"/>
  <c r="H112" i="17"/>
  <c r="J112" s="1"/>
  <c r="H112" i="30"/>
  <c r="H112" i="25"/>
  <c r="J112" s="1"/>
  <c r="J112" i="9"/>
  <c r="W4" i="1"/>
  <c r="H118" i="13"/>
  <c r="J118" s="1"/>
  <c r="H118" i="29"/>
  <c r="J118" s="1"/>
  <c r="H118" i="12"/>
  <c r="J118" s="1"/>
  <c r="H118" i="28"/>
  <c r="J118" s="1"/>
  <c r="H118" i="16"/>
  <c r="J118" s="1"/>
  <c r="J118" i="33"/>
  <c r="J118" i="8"/>
  <c r="H118" i="15"/>
  <c r="J118" s="1"/>
  <c r="J118" i="7"/>
  <c r="H118" i="24"/>
  <c r="J118" s="1"/>
  <c r="H118" i="23"/>
  <c r="J118" s="1"/>
  <c r="H118" i="25"/>
  <c r="J118" s="1"/>
  <c r="H118" i="18"/>
  <c r="J118" s="1"/>
  <c r="H118" i="27"/>
  <c r="J118" s="1"/>
  <c r="H118" i="14"/>
  <c r="J118" s="1"/>
  <c r="H118" i="30"/>
  <c r="J118" i="9"/>
  <c r="H118" i="40"/>
  <c r="J118" s="1"/>
  <c r="J118" i="11"/>
  <c r="H118" i="19"/>
  <c r="H118" i="17"/>
  <c r="J118" s="1"/>
  <c r="X4" i="1"/>
  <c r="H119" i="25"/>
  <c r="J119" s="1"/>
  <c r="H120"/>
  <c r="J120" s="1"/>
  <c r="H106" i="15"/>
  <c r="J106" s="1"/>
  <c r="H106" i="16"/>
  <c r="J106" s="1"/>
  <c r="H106" i="24"/>
  <c r="J106" s="1"/>
  <c r="J106" i="7"/>
  <c r="H106" i="12"/>
  <c r="J106" s="1"/>
  <c r="H106" i="23"/>
  <c r="J106" s="1"/>
  <c r="H106" i="27"/>
  <c r="J106" s="1"/>
  <c r="J106" i="8"/>
  <c r="J106" i="33"/>
  <c r="H106" i="14"/>
  <c r="J106" s="1"/>
  <c r="H106" i="19"/>
  <c r="H106" i="30"/>
  <c r="J106" i="11"/>
  <c r="H106" i="13"/>
  <c r="J106" s="1"/>
  <c r="H106" i="18"/>
  <c r="J106" s="1"/>
  <c r="H106" i="40"/>
  <c r="J106" s="1"/>
  <c r="H106" i="17"/>
  <c r="J106" s="1"/>
  <c r="J106" i="9"/>
  <c r="H106" i="29"/>
  <c r="J106" s="1"/>
  <c r="H106" i="28"/>
  <c r="J106" s="1"/>
  <c r="H106" i="25"/>
  <c r="J106" s="1"/>
  <c r="H117" i="12"/>
  <c r="J117" s="1"/>
  <c r="H117" i="16"/>
  <c r="J117" s="1"/>
  <c r="H117" i="18"/>
  <c r="J117" s="1"/>
  <c r="H117" i="40"/>
  <c r="J117" s="1"/>
  <c r="H117" i="23"/>
  <c r="J117" s="1"/>
  <c r="J117" i="11"/>
  <c r="H117" i="24"/>
  <c r="J117" s="1"/>
  <c r="J117" i="8"/>
  <c r="H117" i="27"/>
  <c r="J117" s="1"/>
  <c r="H117" i="19"/>
  <c r="H117" i="17"/>
  <c r="J117" s="1"/>
  <c r="H117" i="15"/>
  <c r="J117" s="1"/>
  <c r="J117" i="9"/>
  <c r="J117" i="7"/>
  <c r="H117" i="25"/>
  <c r="J117" s="1"/>
  <c r="J117" i="33"/>
  <c r="H117" i="14"/>
  <c r="J117" s="1"/>
  <c r="H117" i="13"/>
  <c r="J117" s="1"/>
  <c r="H117" i="30"/>
  <c r="H117" i="28"/>
  <c r="J117" s="1"/>
  <c r="H117" i="29"/>
  <c r="J117" s="1"/>
  <c r="J121" i="8"/>
  <c r="H121" i="15"/>
  <c r="J121" s="1"/>
  <c r="H121" i="24"/>
  <c r="J121" s="1"/>
  <c r="H121" i="40"/>
  <c r="J121" s="1"/>
  <c r="J121" i="9"/>
  <c r="J121" i="33"/>
  <c r="H121" i="14"/>
  <c r="J121" s="1"/>
  <c r="J121" i="7"/>
  <c r="H121" i="16"/>
  <c r="J121" s="1"/>
  <c r="J121" i="11"/>
  <c r="H121" i="18"/>
  <c r="J121" s="1"/>
  <c r="H121" i="19"/>
  <c r="H121" i="23"/>
  <c r="J121" s="1"/>
  <c r="H121" i="25"/>
  <c r="J121" s="1"/>
  <c r="H121" i="27"/>
  <c r="J121" s="1"/>
  <c r="H121" i="28"/>
  <c r="J121" s="1"/>
  <c r="H121" i="29"/>
  <c r="J121" s="1"/>
  <c r="H121" i="13"/>
  <c r="J121" s="1"/>
  <c r="H121" i="17"/>
  <c r="J121" s="1"/>
  <c r="H121" i="30"/>
  <c r="H121" i="12"/>
  <c r="J121" s="1"/>
  <c r="H107" i="17"/>
  <c r="J107" s="1"/>
  <c r="H107" i="25"/>
  <c r="J107" s="1"/>
  <c r="H107" i="19"/>
  <c r="J107" i="9"/>
  <c r="H107" i="15"/>
  <c r="J107" s="1"/>
  <c r="J107" i="7"/>
  <c r="H107" i="18"/>
  <c r="J107" s="1"/>
  <c r="H107" i="23"/>
  <c r="J107" s="1"/>
  <c r="H107" i="40"/>
  <c r="J107" s="1"/>
  <c r="J107" i="11"/>
  <c r="H107" i="12"/>
  <c r="J107" s="1"/>
  <c r="H107" i="30"/>
  <c r="H107" i="14"/>
  <c r="J107" s="1"/>
  <c r="J107" i="33"/>
  <c r="H107" i="24"/>
  <c r="J107" s="1"/>
  <c r="H107" i="29"/>
  <c r="J107" s="1"/>
  <c r="J107" i="8"/>
  <c r="H107" i="27"/>
  <c r="J107" s="1"/>
  <c r="H107" i="28"/>
  <c r="J107" s="1"/>
  <c r="H107" i="16"/>
  <c r="J107" s="1"/>
  <c r="H107" i="13"/>
  <c r="J107" s="1"/>
  <c r="AM5" i="44"/>
  <c r="H113" i="24"/>
  <c r="J113" s="1"/>
  <c r="H113" i="14"/>
  <c r="J113" s="1"/>
  <c r="H113" i="23"/>
  <c r="J113" s="1"/>
  <c r="J113" i="8"/>
  <c r="H113" i="19"/>
  <c r="J113" i="7"/>
  <c r="J113" i="9"/>
  <c r="H113" i="25"/>
  <c r="J113" s="1"/>
  <c r="H113" i="16"/>
  <c r="J113" s="1"/>
  <c r="J113" i="33"/>
  <c r="H113" i="40"/>
  <c r="J113" s="1"/>
  <c r="H113" i="27"/>
  <c r="J113" s="1"/>
  <c r="H113" i="15"/>
  <c r="J113" s="1"/>
  <c r="H113" i="30"/>
  <c r="H113" i="12"/>
  <c r="J113" s="1"/>
  <c r="H113" i="17"/>
  <c r="J113" s="1"/>
  <c r="J113" i="11"/>
  <c r="H113" i="18"/>
  <c r="J113" s="1"/>
  <c r="H113" i="28"/>
  <c r="J113" s="1"/>
  <c r="H113" i="29"/>
  <c r="J113" s="1"/>
  <c r="H113" i="13"/>
  <c r="J113" s="1"/>
  <c r="F120"/>
  <c r="G120"/>
  <c r="F119" i="16"/>
  <c r="G119"/>
  <c r="H119" s="1"/>
  <c r="J119" s="1"/>
  <c r="F120"/>
  <c r="G120"/>
  <c r="H120" s="1"/>
  <c r="J120" s="1"/>
  <c r="F119" i="23"/>
  <c r="G119"/>
  <c r="F119" i="8"/>
  <c r="G119"/>
  <c r="G120" i="9"/>
  <c r="G120" i="11"/>
  <c r="G119" i="15"/>
  <c r="H119" s="1"/>
  <c r="J119" s="1"/>
  <c r="F120" i="17"/>
  <c r="G120"/>
  <c r="H120" s="1"/>
  <c r="J120" s="1"/>
  <c r="F119" i="20"/>
  <c r="G119"/>
  <c r="F120" i="8"/>
  <c r="G120"/>
  <c r="G119" i="11"/>
  <c r="F120" i="18"/>
  <c r="G120" i="33"/>
  <c r="F120" i="7"/>
  <c r="G120"/>
  <c r="F119" i="13"/>
  <c r="G119" i="24"/>
  <c r="H119" s="1"/>
  <c r="J119" s="1"/>
  <c r="G120"/>
  <c r="H120" s="1"/>
  <c r="J120" s="1"/>
  <c r="G120" i="28"/>
  <c r="H120" s="1"/>
  <c r="J120" s="1"/>
  <c r="F120" i="21"/>
  <c r="G120"/>
  <c r="G120" i="30"/>
  <c r="F119" i="7"/>
  <c r="G119"/>
  <c r="F120" i="15"/>
  <c r="G120"/>
  <c r="H120" s="1"/>
  <c r="J120" s="1"/>
  <c r="F119" i="19"/>
  <c r="G119"/>
  <c r="H119" s="1"/>
  <c r="J119" s="1"/>
  <c r="F119" i="21"/>
  <c r="G119"/>
  <c r="G119" i="27"/>
  <c r="H119" s="1"/>
  <c r="J119" s="1"/>
  <c r="G119" i="28"/>
  <c r="H119" s="1"/>
  <c r="J119" s="1"/>
  <c r="F119" i="9"/>
  <c r="G119"/>
  <c r="G120" i="14"/>
  <c r="H120" s="1"/>
  <c r="J120" s="1"/>
  <c r="F120"/>
  <c r="G120" i="22"/>
  <c r="F120"/>
  <c r="G120" i="29"/>
  <c r="H120" s="1"/>
  <c r="J120" s="1"/>
  <c r="G120" i="12"/>
  <c r="F119" i="14"/>
  <c r="G119"/>
  <c r="H119" s="1"/>
  <c r="J119" s="1"/>
  <c r="F120" i="19"/>
  <c r="G120"/>
  <c r="H120" s="1"/>
  <c r="J120" s="1"/>
  <c r="F119" i="22"/>
  <c r="G119"/>
  <c r="F120" i="23"/>
  <c r="F120" i="20"/>
  <c r="G120"/>
  <c r="G119" i="18"/>
  <c r="H119" s="1"/>
  <c r="J119" s="1"/>
  <c r="F119"/>
  <c r="F119" i="12"/>
  <c r="G119"/>
  <c r="G119" i="40"/>
  <c r="H119" s="1"/>
  <c r="J119" s="1"/>
  <c r="G120" i="27"/>
  <c r="H120" s="1"/>
  <c r="J120" s="1"/>
  <c r="G119" i="29"/>
  <c r="H119" s="1"/>
  <c r="J119" s="1"/>
  <c r="F119" i="17"/>
  <c r="G119"/>
  <c r="H119" s="1"/>
  <c r="J119" s="1"/>
  <c r="E11" i="35"/>
  <c r="G11" s="1"/>
  <c r="W19" i="1"/>
  <c r="W8"/>
  <c r="W9"/>
  <c r="W30"/>
  <c r="W18"/>
  <c r="W20"/>
  <c r="G199" i="11"/>
  <c r="W23" i="1"/>
  <c r="E17" i="35"/>
  <c r="G17" s="1"/>
  <c r="E15"/>
  <c r="G15" s="1"/>
  <c r="E16"/>
  <c r="G16" s="1"/>
  <c r="W24" i="1"/>
  <c r="W31"/>
  <c r="E12" i="35"/>
  <c r="G12" s="1"/>
  <c r="W21" i="1"/>
  <c r="W25"/>
  <c r="W22"/>
  <c r="E10" i="35"/>
  <c r="G10" s="1"/>
  <c r="W29" i="1"/>
  <c r="E13" i="35"/>
  <c r="G13" s="1"/>
  <c r="G102" i="11"/>
  <c r="AL5" i="1"/>
  <c r="AH8"/>
  <c r="I137" i="33"/>
  <c r="AH7" i="1"/>
  <c r="AL7"/>
  <c r="AM6"/>
  <c r="AH9"/>
  <c r="I137" i="7"/>
  <c r="AA7" i="1"/>
  <c r="AH5"/>
  <c r="AL8"/>
  <c r="I140" i="33"/>
  <c r="AM9" i="1"/>
  <c r="I140" i="7"/>
  <c r="AH6" i="1"/>
  <c r="AO34" i="44"/>
  <c r="BH31" i="49" s="1"/>
  <c r="AA9" i="1"/>
  <c r="AE9" s="1"/>
  <c r="I134" i="7"/>
  <c r="AI10" i="1"/>
  <c r="I137" i="8"/>
  <c r="I134"/>
  <c r="AM10" i="1"/>
  <c r="I140" i="8"/>
  <c r="I4" i="35"/>
  <c r="AL5" i="44"/>
  <c r="AT18" i="1"/>
  <c r="AQ7"/>
  <c r="AS7"/>
  <c r="AQ8"/>
  <c r="AX8"/>
  <c r="AT9"/>
  <c r="AY9"/>
  <c r="BI9"/>
  <c r="AS11"/>
  <c r="AZ12"/>
  <c r="AU12"/>
  <c r="AY12"/>
  <c r="BI12"/>
  <c r="I12" i="35"/>
  <c r="AL13" i="44"/>
  <c r="AK10" i="49" s="1"/>
  <c r="AV17" i="1"/>
  <c r="AV18"/>
  <c r="AU20"/>
  <c r="AY20"/>
  <c r="BI20"/>
  <c r="AQ22"/>
  <c r="AT22"/>
  <c r="AX22"/>
  <c r="AV23"/>
  <c r="AU25"/>
  <c r="AY25"/>
  <c r="BI25"/>
  <c r="AU26"/>
  <c r="AY26"/>
  <c r="BI26"/>
  <c r="AU30"/>
  <c r="AY30"/>
  <c r="BI30"/>
  <c r="AQ31"/>
  <c r="AY32"/>
  <c r="AY16"/>
  <c r="AU16"/>
  <c r="AZ16"/>
  <c r="AY19"/>
  <c r="AT19"/>
  <c r="BI19"/>
  <c r="AV24"/>
  <c r="AZ24"/>
  <c r="AN8" i="44"/>
  <c r="BG5" i="49" s="1"/>
  <c r="I7" i="35"/>
  <c r="AL7" i="44"/>
  <c r="AK4" i="49" s="1"/>
  <c r="BE6" i="1"/>
  <c r="BI6"/>
  <c r="AY6"/>
  <c r="I10" i="35"/>
  <c r="AL11" i="44"/>
  <c r="AK8" i="49" s="1"/>
  <c r="BI10" i="1"/>
  <c r="AY10"/>
  <c r="AU10"/>
  <c r="BI13"/>
  <c r="AY14"/>
  <c r="AU14"/>
  <c r="AS15"/>
  <c r="AX13"/>
  <c r="AS5"/>
  <c r="AR29"/>
  <c r="AV28"/>
  <c r="BJ28" s="1"/>
  <c r="AR28"/>
  <c r="AY7"/>
  <c r="BI7"/>
  <c r="AY8"/>
  <c r="AU8"/>
  <c r="AZ8"/>
  <c r="AS9"/>
  <c r="AX9"/>
  <c r="AQ12"/>
  <c r="AT12"/>
  <c r="AZ17"/>
  <c r="AU17"/>
  <c r="AY17"/>
  <c r="AU18"/>
  <c r="AY18"/>
  <c r="I18" i="35"/>
  <c r="AL19" i="44"/>
  <c r="AK16" i="49" s="1"/>
  <c r="AQ20" i="1"/>
  <c r="AX20"/>
  <c r="AZ21"/>
  <c r="AV21"/>
  <c r="AS22"/>
  <c r="AZ23"/>
  <c r="AU23"/>
  <c r="AY23"/>
  <c r="BI23"/>
  <c r="AQ24"/>
  <c r="AQ25"/>
  <c r="AT25"/>
  <c r="AX25"/>
  <c r="AQ26"/>
  <c r="AX26"/>
  <c r="AT30"/>
  <c r="BA30"/>
  <c r="AS31"/>
  <c r="AQ32"/>
  <c r="AT32"/>
  <c r="AV16"/>
  <c r="AR16"/>
  <c r="AV19"/>
  <c r="BJ19" s="1"/>
  <c r="AZ19"/>
  <c r="AR24"/>
  <c r="AR6"/>
  <c r="AV10"/>
  <c r="AR10"/>
  <c r="AV14"/>
  <c r="AR14"/>
  <c r="AX15"/>
  <c r="AT15"/>
  <c r="AY13"/>
  <c r="AU13"/>
  <c r="BI5"/>
  <c r="AS29"/>
  <c r="I5" i="35"/>
  <c r="AL6" i="44"/>
  <c r="AK3" i="49" s="1"/>
  <c r="AU7" i="1"/>
  <c r="AV8"/>
  <c r="BJ8" s="1"/>
  <c r="AR9"/>
  <c r="AZ11"/>
  <c r="AU11"/>
  <c r="AY11"/>
  <c r="BI11"/>
  <c r="AQ17"/>
  <c r="AT17"/>
  <c r="AX17"/>
  <c r="AS18"/>
  <c r="AX18"/>
  <c r="AY21"/>
  <c r="BI21"/>
  <c r="BE21"/>
  <c r="AV22"/>
  <c r="BI22"/>
  <c r="AT23"/>
  <c r="AX23"/>
  <c r="AS25"/>
  <c r="BI28"/>
  <c r="AS30"/>
  <c r="G153" i="29"/>
  <c r="AV31" i="1"/>
  <c r="AS32"/>
  <c r="AR19"/>
  <c r="AX24"/>
  <c r="AS24"/>
  <c r="AR7"/>
  <c r="AS6"/>
  <c r="AN7" i="44"/>
  <c r="BG4" i="49" s="1"/>
  <c r="AS10" i="1"/>
  <c r="AS14"/>
  <c r="AY15"/>
  <c r="AU15"/>
  <c r="AZ15"/>
  <c r="AV13"/>
  <c r="BJ13" s="1"/>
  <c r="AR13"/>
  <c r="AQ5"/>
  <c r="AU5"/>
  <c r="AY5"/>
  <c r="AX29"/>
  <c r="AU19"/>
  <c r="AX28"/>
  <c r="AT28"/>
  <c r="BG32" i="49"/>
  <c r="AS8" i="1"/>
  <c r="BI8"/>
  <c r="AU9"/>
  <c r="AT11"/>
  <c r="AX11"/>
  <c r="I11" i="35"/>
  <c r="AL12" i="44"/>
  <c r="AK9" i="49" s="1"/>
  <c r="AQ13" i="1"/>
  <c r="AQ15"/>
  <c r="AS17"/>
  <c r="AR20"/>
  <c r="AV20"/>
  <c r="AS21"/>
  <c r="AX21"/>
  <c r="AU22"/>
  <c r="AY22"/>
  <c r="AR25"/>
  <c r="AV25"/>
  <c r="AR26"/>
  <c r="AV26"/>
  <c r="BJ26" s="1"/>
  <c r="AQ29"/>
  <c r="AR30"/>
  <c r="AZ31"/>
  <c r="AU31"/>
  <c r="AY31"/>
  <c r="BI31"/>
  <c r="AR32"/>
  <c r="AX16"/>
  <c r="AT16"/>
  <c r="AX19"/>
  <c r="AS19"/>
  <c r="AY24"/>
  <c r="BE24"/>
  <c r="BI24"/>
  <c r="AX7"/>
  <c r="AQ6"/>
  <c r="AX10"/>
  <c r="AQ10"/>
  <c r="AX14"/>
  <c r="AT14"/>
  <c r="BI14"/>
  <c r="AV15"/>
  <c r="AR15"/>
  <c r="AY29"/>
  <c r="AU29"/>
  <c r="AZ29"/>
  <c r="AY28"/>
  <c r="AU28"/>
  <c r="AX30"/>
  <c r="AX31"/>
  <c r="AQ5" i="44"/>
  <c r="AP8" i="1"/>
  <c r="AO9" i="44"/>
  <c r="AP9" i="1"/>
  <c r="AO10" i="44"/>
  <c r="BH7" i="49" s="1"/>
  <c r="AP12" i="1"/>
  <c r="AO13" i="44"/>
  <c r="BH10" i="49" s="1"/>
  <c r="H18" i="35"/>
  <c r="BK19" i="1"/>
  <c r="AM20" i="44"/>
  <c r="AL17" i="49" s="1"/>
  <c r="N21" i="44"/>
  <c r="M18" i="49" s="1"/>
  <c r="N22" i="44"/>
  <c r="M19" i="49" s="1"/>
  <c r="BK21" i="1"/>
  <c r="AM22" i="44"/>
  <c r="AL19" i="49" s="1"/>
  <c r="BK25" i="1"/>
  <c r="AM26" i="44"/>
  <c r="AL23" i="49" s="1"/>
  <c r="BK26" i="1"/>
  <c r="AM27" i="44"/>
  <c r="AL24" i="49" s="1"/>
  <c r="V5" i="44"/>
  <c r="O5"/>
  <c r="M16" i="35"/>
  <c r="O16" s="1"/>
  <c r="N17" i="44"/>
  <c r="M14" i="49" s="1"/>
  <c r="BK16" i="1"/>
  <c r="AM17" i="44"/>
  <c r="AL14" i="49" s="1"/>
  <c r="AP6" i="1"/>
  <c r="AO7" i="44"/>
  <c r="BK15" i="1"/>
  <c r="AM16" i="44"/>
  <c r="AL13" i="49" s="1"/>
  <c r="P18" i="44"/>
  <c r="O15" i="49" s="1"/>
  <c r="BK32" i="1"/>
  <c r="AM33" i="44"/>
  <c r="AL30" i="49" s="1"/>
  <c r="O32"/>
  <c r="P32"/>
  <c r="U5" i="44"/>
  <c r="AP5" i="1"/>
  <c r="AO6" i="44"/>
  <c r="G57" i="18"/>
  <c r="BH20" i="1" s="1"/>
  <c r="AP20"/>
  <c r="AO21" i="44"/>
  <c r="BH18" i="49" s="1"/>
  <c r="G37" i="19"/>
  <c r="BK23" i="1"/>
  <c r="AM24" i="44"/>
  <c r="AL21" i="49" s="1"/>
  <c r="AP24" i="1"/>
  <c r="AO25" i="44"/>
  <c r="BH22" i="49" s="1"/>
  <c r="AP28" i="1"/>
  <c r="AO29" i="44"/>
  <c r="BH26" i="49" s="1"/>
  <c r="BK29" i="1"/>
  <c r="AM30" i="44"/>
  <c r="AL27" i="49" s="1"/>
  <c r="AP30" i="1"/>
  <c r="AO31" i="44"/>
  <c r="BH28" i="49" s="1"/>
  <c r="W5" i="44"/>
  <c r="Q5"/>
  <c r="BK13" i="1"/>
  <c r="AM12" i="44"/>
  <c r="AL9" i="49" s="1"/>
  <c r="M15" i="35"/>
  <c r="O15" s="1"/>
  <c r="N16" i="44"/>
  <c r="M13" i="49" s="1"/>
  <c r="BK10" i="1"/>
  <c r="AM11" i="44"/>
  <c r="AL8" i="49" s="1"/>
  <c r="M10" i="35"/>
  <c r="O10" s="1"/>
  <c r="N11" i="44"/>
  <c r="M8" i="49" s="1"/>
  <c r="Q18" i="44"/>
  <c r="P15" i="49" s="1"/>
  <c r="R5" i="44"/>
  <c r="AP7" i="1"/>
  <c r="AO8" i="44"/>
  <c r="H11" i="35"/>
  <c r="AP15" i="1"/>
  <c r="AO16" i="44"/>
  <c r="BH13" i="49" s="1"/>
  <c r="AP16" i="1"/>
  <c r="AO17" i="44"/>
  <c r="BH14" i="49" s="1"/>
  <c r="AP19" i="1"/>
  <c r="AO20" i="44"/>
  <c r="BH17" i="49" s="1"/>
  <c r="G56" i="18"/>
  <c r="AM20" i="1"/>
  <c r="AP21"/>
  <c r="AO22" i="44"/>
  <c r="BH19" i="49" s="1"/>
  <c r="BK22" i="1"/>
  <c r="AM23" i="44"/>
  <c r="AL20" i="49" s="1"/>
  <c r="AP22" i="1"/>
  <c r="AO23" i="44"/>
  <c r="BH20" i="49" s="1"/>
  <c r="AP25" i="1"/>
  <c r="AO26" i="44"/>
  <c r="BH23" i="49" s="1"/>
  <c r="AP26" i="1"/>
  <c r="AO27" i="44"/>
  <c r="BH24" i="49" s="1"/>
  <c r="BK28" i="1"/>
  <c r="AM29" i="44"/>
  <c r="AL26" i="49" s="1"/>
  <c r="AP32" i="1"/>
  <c r="AO33" i="44"/>
  <c r="BH30" i="49" s="1"/>
  <c r="X5" i="44"/>
  <c r="S5"/>
  <c r="BK5" i="1"/>
  <c r="AM6" i="44"/>
  <c r="AL3" i="49" s="1"/>
  <c r="BK9" i="1"/>
  <c r="AM10" i="44"/>
  <c r="AL7" i="49" s="1"/>
  <c r="M14" i="35"/>
  <c r="O14" s="1"/>
  <c r="N15" i="44"/>
  <c r="M12" i="49" s="1"/>
  <c r="BK14" i="1"/>
  <c r="AM15" i="44"/>
  <c r="AL12" i="49" s="1"/>
  <c r="AL32"/>
  <c r="BH32"/>
  <c r="P5" i="44"/>
  <c r="AR5"/>
  <c r="AP4" i="1"/>
  <c r="AO5" i="44"/>
  <c r="AZ5" s="1"/>
  <c r="AN5"/>
  <c r="H12" i="35"/>
  <c r="AP13" i="1"/>
  <c r="AP14"/>
  <c r="AO15" i="44"/>
  <c r="BH12" i="49" s="1"/>
  <c r="G39" i="18"/>
  <c r="BK20" i="1"/>
  <c r="AM21" i="44"/>
  <c r="AL18" i="49" s="1"/>
  <c r="G39" i="19"/>
  <c r="AP23" i="1"/>
  <c r="AO24" i="44"/>
  <c r="BH21" i="49" s="1"/>
  <c r="AP29" i="1"/>
  <c r="AO30" i="44"/>
  <c r="BH27" i="49" s="1"/>
  <c r="BK30" i="1"/>
  <c r="AM31" i="44"/>
  <c r="AL28" i="49" s="1"/>
  <c r="AP11" i="1"/>
  <c r="AO12" i="44"/>
  <c r="BH9" i="49" s="1"/>
  <c r="Z5" i="44"/>
  <c r="T5"/>
  <c r="P8"/>
  <c r="O5" i="49" s="1"/>
  <c r="Q8" i="44"/>
  <c r="P5" i="49" s="1"/>
  <c r="BK8" i="1"/>
  <c r="AM9" i="44"/>
  <c r="AL6" i="49" s="1"/>
  <c r="M13" i="35"/>
  <c r="O13" s="1"/>
  <c r="N14" i="44"/>
  <c r="M11" i="49" s="1"/>
  <c r="BK24" i="1"/>
  <c r="AM25" i="44"/>
  <c r="AL22" i="49" s="1"/>
  <c r="H7" i="35"/>
  <c r="AP10" i="1"/>
  <c r="AO11" i="44"/>
  <c r="BH8" i="49" s="1"/>
  <c r="H10" i="35"/>
  <c r="N18" i="44"/>
  <c r="M15" i="49" s="1"/>
  <c r="AP5" i="44"/>
  <c r="AP17" i="1"/>
  <c r="AO18" i="44"/>
  <c r="BH15" i="49" s="1"/>
  <c r="AP18" i="1"/>
  <c r="AO19" i="44"/>
  <c r="BH16" i="49" s="1"/>
  <c r="BK18" i="1"/>
  <c r="AM19" i="44"/>
  <c r="AL16" i="49" s="1"/>
  <c r="BK17" i="1"/>
  <c r="AM18" i="44"/>
  <c r="AL15" i="49" s="1"/>
  <c r="Z18" i="44"/>
  <c r="Y15" i="49" s="1"/>
  <c r="X18" i="44"/>
  <c r="W15" i="49" s="1"/>
  <c r="W18" i="44"/>
  <c r="V15" i="49" s="1"/>
  <c r="V18" i="44"/>
  <c r="U15" i="49" s="1"/>
  <c r="U18" i="44"/>
  <c r="T15" i="49" s="1"/>
  <c r="T18" i="44"/>
  <c r="S15" i="49" s="1"/>
  <c r="S18" i="44"/>
  <c r="R15" i="49" s="1"/>
  <c r="R18" i="44"/>
  <c r="Q15" i="49" s="1"/>
  <c r="M18" i="35"/>
  <c r="O19" i="44"/>
  <c r="N16" i="49" s="1"/>
  <c r="M17" i="35"/>
  <c r="O18" i="44"/>
  <c r="N15" i="49" s="1"/>
  <c r="M4" i="1"/>
  <c r="G2" i="47" s="1"/>
  <c r="G52" i="20"/>
  <c r="H23" i="44" s="1"/>
  <c r="G20" i="49" s="1"/>
  <c r="W13" i="1"/>
  <c r="G8" i="35"/>
  <c r="Q36" i="1"/>
  <c r="G149" i="21"/>
  <c r="G20" i="19"/>
  <c r="G20" i="24"/>
  <c r="E27" i="44" s="1"/>
  <c r="V30" i="1"/>
  <c r="V21"/>
  <c r="V9"/>
  <c r="V8"/>
  <c r="G95" i="11"/>
  <c r="G149" i="16"/>
  <c r="G95" i="28"/>
  <c r="G149" i="43"/>
  <c r="AT4" i="1"/>
  <c r="G147" i="29"/>
  <c r="G149" i="28"/>
  <c r="G20" i="40"/>
  <c r="E29" i="44" s="1"/>
  <c r="AJ27" i="1"/>
  <c r="AJ28"/>
  <c r="G153" i="43"/>
  <c r="G20" i="22"/>
  <c r="G20" i="21"/>
  <c r="E24" i="44" s="1"/>
  <c r="BB36" i="1"/>
  <c r="BF36"/>
  <c r="G95" i="27"/>
  <c r="G153" i="24"/>
  <c r="G151" i="40"/>
  <c r="G20" i="13"/>
  <c r="E16" i="44" s="1"/>
  <c r="G153" i="18"/>
  <c r="V31" i="1"/>
  <c r="V28"/>
  <c r="I139" i="24"/>
  <c r="G147" i="40"/>
  <c r="V7" i="1"/>
  <c r="I139" i="40"/>
  <c r="G147" i="22"/>
  <c r="G149" i="30"/>
  <c r="BC32" i="1"/>
  <c r="V6"/>
  <c r="AS23"/>
  <c r="G153" i="22"/>
  <c r="G145" i="40"/>
  <c r="I139" i="27"/>
  <c r="G153" i="14"/>
  <c r="G20" i="27"/>
  <c r="E30" i="44" s="1"/>
  <c r="G95" i="23"/>
  <c r="G95" i="40"/>
  <c r="G149" i="17"/>
  <c r="G20" i="42"/>
  <c r="E30" s="1"/>
  <c r="G30" s="1"/>
  <c r="G20" i="20"/>
  <c r="E23" i="44" s="1"/>
  <c r="G20" i="43"/>
  <c r="G153" i="8"/>
  <c r="I139" i="28"/>
  <c r="G20" i="23"/>
  <c r="E26" i="44" s="1"/>
  <c r="I134" i="23"/>
  <c r="W16" i="1"/>
  <c r="G20" i="33"/>
  <c r="E9" i="44" s="1"/>
  <c r="P12" i="1"/>
  <c r="I10" i="47" s="1"/>
  <c r="G151" i="19"/>
  <c r="I134" i="22"/>
  <c r="I137" i="40"/>
  <c r="I134" i="27"/>
  <c r="G102" i="28"/>
  <c r="E36" i="1"/>
  <c r="I139" i="17"/>
  <c r="BD36" i="1"/>
  <c r="G151" i="16"/>
  <c r="E18" i="35"/>
  <c r="G18" s="1"/>
  <c r="G95" i="16"/>
  <c r="BC19" i="1"/>
  <c r="I139" i="16"/>
  <c r="AA36" i="1"/>
  <c r="U36"/>
  <c r="G59" i="15"/>
  <c r="G20" i="14"/>
  <c r="AT27" i="1"/>
  <c r="BG17"/>
  <c r="G145" i="15"/>
  <c r="AZ26" i="1"/>
  <c r="G151" i="24"/>
  <c r="G20" i="11"/>
  <c r="E14" i="44" s="1"/>
  <c r="G102" i="19"/>
  <c r="I134" i="21"/>
  <c r="G85" i="40"/>
  <c r="BH30" i="1"/>
  <c r="G143" i="28"/>
  <c r="AC13" i="1"/>
  <c r="AE13" s="1"/>
  <c r="I137" i="11"/>
  <c r="BC27" i="1"/>
  <c r="G85" i="19"/>
  <c r="G59" i="28"/>
  <c r="I137" i="27"/>
  <c r="V26" i="1"/>
  <c r="G20" i="15"/>
  <c r="G20" i="18"/>
  <c r="E21" i="44" s="1"/>
  <c r="G95" i="15"/>
  <c r="G143" i="22"/>
  <c r="G143" i="27"/>
  <c r="G153" i="28"/>
  <c r="X30" i="1"/>
  <c r="G151" i="21"/>
  <c r="G145" i="22"/>
  <c r="G147" i="13"/>
  <c r="G147" i="16"/>
  <c r="G151" i="29"/>
  <c r="E9" i="35"/>
  <c r="G9" s="1"/>
  <c r="V25" i="1"/>
  <c r="G153" i="27"/>
  <c r="G147" i="17"/>
  <c r="G153" i="40"/>
  <c r="V29" i="1"/>
  <c r="V18"/>
  <c r="V14"/>
  <c r="V32"/>
  <c r="G20" i="17"/>
  <c r="E20" i="44" s="1"/>
  <c r="G95" i="12"/>
  <c r="G153" i="13"/>
  <c r="BE36" i="1"/>
  <c r="G85" i="17"/>
  <c r="G95"/>
  <c r="G95" i="20"/>
  <c r="G95" i="21"/>
  <c r="G151" i="20"/>
  <c r="G147" i="21"/>
  <c r="G143" i="23"/>
  <c r="I137" i="22"/>
  <c r="D36" i="1"/>
  <c r="J36"/>
  <c r="G95" i="8"/>
  <c r="AZ28" i="1"/>
  <c r="G149" i="9"/>
  <c r="G95" i="18"/>
  <c r="G85" i="23"/>
  <c r="G59" i="27"/>
  <c r="BH29" i="1"/>
  <c r="G20" i="8"/>
  <c r="AE16" i="1"/>
  <c r="G147" i="14"/>
  <c r="I139" i="12"/>
  <c r="G95" i="13"/>
  <c r="G85"/>
  <c r="G149"/>
  <c r="BC15" i="1"/>
  <c r="V13"/>
  <c r="AO12"/>
  <c r="I134" i="11"/>
  <c r="G85"/>
  <c r="G143"/>
  <c r="W11" i="1"/>
  <c r="BK12"/>
  <c r="AV12"/>
  <c r="G20" i="9"/>
  <c r="BK11" i="1"/>
  <c r="M11" i="35"/>
  <c r="O11" s="1"/>
  <c r="G85" i="9"/>
  <c r="BC11" i="1"/>
  <c r="G59" i="9"/>
  <c r="G143" i="8"/>
  <c r="G151" i="9"/>
  <c r="G13" i="8"/>
  <c r="W10" i="1"/>
  <c r="G85" i="8"/>
  <c r="BG10" i="1"/>
  <c r="G145" i="8"/>
  <c r="BB14" i="1"/>
  <c r="G153" i="12"/>
  <c r="G47" i="28"/>
  <c r="G151"/>
  <c r="AZ30" i="1"/>
  <c r="AR5"/>
  <c r="AZ13"/>
  <c r="G151" i="11"/>
  <c r="AA10" i="1"/>
  <c r="I139" i="23"/>
  <c r="AJ25" i="1"/>
  <c r="L17" i="35"/>
  <c r="G85" i="15"/>
  <c r="AQ4" i="1"/>
  <c r="AC17"/>
  <c r="AE17" s="1"/>
  <c r="I137" i="15"/>
  <c r="I139" i="22"/>
  <c r="AJ24" i="1"/>
  <c r="G151" i="12"/>
  <c r="AZ14" i="1"/>
  <c r="G149" i="14"/>
  <c r="AS16" i="1"/>
  <c r="AC22"/>
  <c r="AE22" s="1"/>
  <c r="I137" i="20"/>
  <c r="AR18" i="1"/>
  <c r="G153" i="16"/>
  <c r="G151" i="18"/>
  <c r="AZ20" i="1"/>
  <c r="AH15"/>
  <c r="I137" i="13"/>
  <c r="AD10" i="1"/>
  <c r="BB13"/>
  <c r="G153" i="11"/>
  <c r="AS13" i="1"/>
  <c r="G149" i="11"/>
  <c r="AI27" i="1"/>
  <c r="AI28"/>
  <c r="AR23"/>
  <c r="G153" i="21"/>
  <c r="AJ23" i="1"/>
  <c r="I139" i="21"/>
  <c r="AS26" i="1"/>
  <c r="G149" i="24"/>
  <c r="AQ28" i="1"/>
  <c r="X13"/>
  <c r="AV27"/>
  <c r="G145" i="14"/>
  <c r="G147" i="20"/>
  <c r="AR31" i="1"/>
  <c r="G59" i="17"/>
  <c r="AM27" i="1"/>
  <c r="AO27" s="1"/>
  <c r="G59" i="23"/>
  <c r="BD4" i="1"/>
  <c r="I139" i="18"/>
  <c r="G102" i="20"/>
  <c r="G149" i="22"/>
  <c r="G147" i="23"/>
  <c r="G143" i="13"/>
  <c r="V20" i="1"/>
  <c r="G153" i="23"/>
  <c r="G102" i="8"/>
  <c r="I139" i="9"/>
  <c r="I139" i="11"/>
  <c r="G143" i="24"/>
  <c r="I134" i="40"/>
  <c r="G149" i="15"/>
  <c r="BB30" i="1"/>
  <c r="V12"/>
  <c r="BA11"/>
  <c r="I134" i="13"/>
  <c r="G151" i="14"/>
  <c r="I134"/>
  <c r="I134" i="20"/>
  <c r="I134" i="28"/>
  <c r="G95" i="29"/>
  <c r="G85" i="12"/>
  <c r="AX12" i="1"/>
  <c r="AQ19"/>
  <c r="G143" i="17"/>
  <c r="AC23" i="1"/>
  <c r="I137" i="21"/>
  <c r="BI29" i="1"/>
  <c r="G151" i="27"/>
  <c r="AD12" i="1"/>
  <c r="AE12" s="1"/>
  <c r="AJ4"/>
  <c r="AC20"/>
  <c r="AT10"/>
  <c r="G147" i="8"/>
  <c r="G145" i="27"/>
  <c r="AV29" i="1"/>
  <c r="AV30"/>
  <c r="G145" i="28"/>
  <c r="BG15" i="1"/>
  <c r="G145" i="13"/>
  <c r="W15" i="1"/>
  <c r="G102" i="13"/>
  <c r="AQ23" i="1"/>
  <c r="G143" i="21"/>
  <c r="BF23" i="1"/>
  <c r="G145" i="21"/>
  <c r="AT26" i="1"/>
  <c r="G147" i="24"/>
  <c r="BD30" i="1"/>
  <c r="G147" i="28"/>
  <c r="AI31" i="1"/>
  <c r="I139" i="29"/>
  <c r="M12" i="35"/>
  <c r="O12" s="1"/>
  <c r="G151" i="17"/>
  <c r="E5" i="47"/>
  <c r="G151" i="8"/>
  <c r="AZ10" i="1"/>
  <c r="AT29"/>
  <c r="G147" i="27"/>
  <c r="AS4" i="1"/>
  <c r="G59" i="40"/>
  <c r="G85" i="28"/>
  <c r="BC18" i="1"/>
  <c r="AZ22"/>
  <c r="V27"/>
  <c r="I134" i="12"/>
  <c r="G102" i="16"/>
  <c r="G95" i="19"/>
  <c r="G95" i="22"/>
  <c r="G95" i="24"/>
  <c r="AE26" i="1"/>
  <c r="G85" i="22"/>
  <c r="G59" i="8"/>
  <c r="G147" i="12"/>
  <c r="O8" i="35"/>
  <c r="V10" i="1"/>
  <c r="F36"/>
  <c r="V5"/>
  <c r="AE11"/>
  <c r="G20" i="12"/>
  <c r="G151" i="15"/>
  <c r="I134"/>
  <c r="I139" i="20"/>
  <c r="V24" i="1"/>
  <c r="V15"/>
  <c r="V22"/>
  <c r="I134" i="24"/>
  <c r="G153" i="7"/>
  <c r="G47" i="16"/>
  <c r="AE19" i="1"/>
  <c r="G102" i="22"/>
  <c r="G109" i="42"/>
  <c r="G143" i="14"/>
  <c r="G95"/>
  <c r="G20" i="16"/>
  <c r="G85" i="20"/>
  <c r="G149" i="23"/>
  <c r="N36" i="1"/>
  <c r="G85" i="14"/>
  <c r="I139" i="13"/>
  <c r="G145" i="17"/>
  <c r="G47" i="27"/>
  <c r="G13" i="11"/>
  <c r="AD36" i="1"/>
  <c r="I139" i="15"/>
  <c r="G20" i="28"/>
  <c r="E31" i="44" s="1"/>
  <c r="G147" i="7"/>
  <c r="G143"/>
  <c r="G95" i="33"/>
  <c r="G95" i="7"/>
  <c r="BB9" i="1"/>
  <c r="AI9"/>
  <c r="M9" i="35"/>
  <c r="O9" s="1"/>
  <c r="G85" i="7"/>
  <c r="G47"/>
  <c r="AQ9" i="1"/>
  <c r="G149" i="7"/>
  <c r="AC8" i="1"/>
  <c r="AE8" s="1"/>
  <c r="I134" i="33"/>
  <c r="G102"/>
  <c r="G85"/>
  <c r="G151"/>
  <c r="AT8" i="1"/>
  <c r="G147" i="33"/>
  <c r="AS12" i="1"/>
  <c r="T36"/>
  <c r="V17"/>
  <c r="G102" i="7"/>
  <c r="X9" i="1"/>
  <c r="G143" i="9"/>
  <c r="AQ11" i="1"/>
  <c r="X11"/>
  <c r="G102" i="9"/>
  <c r="AR17" i="1"/>
  <c r="G153" i="15"/>
  <c r="W12" i="1"/>
  <c r="E14" i="35"/>
  <c r="G14" s="1"/>
  <c r="W14" i="1"/>
  <c r="BI15"/>
  <c r="G59" i="13"/>
  <c r="AZ25" i="1"/>
  <c r="G151" i="23"/>
  <c r="W26" i="1"/>
  <c r="G102" i="24"/>
  <c r="BE28" i="1"/>
  <c r="BE27"/>
  <c r="W27"/>
  <c r="Z27" s="1"/>
  <c r="W28"/>
  <c r="G102" i="40"/>
  <c r="G149" i="27"/>
  <c r="BC29" i="1"/>
  <c r="AD30"/>
  <c r="AE30" s="1"/>
  <c r="I137" i="28"/>
  <c r="Y19" i="1"/>
  <c r="G102" i="17"/>
  <c r="G149" i="12"/>
  <c r="BC14" i="1"/>
  <c r="AT24"/>
  <c r="G47" i="22"/>
  <c r="L47" s="1"/>
  <c r="AX27" i="1"/>
  <c r="Y16"/>
  <c r="G102" i="14"/>
  <c r="AJ16" i="1"/>
  <c r="I139" i="14"/>
  <c r="AQ18" i="1"/>
  <c r="G143" i="16"/>
  <c r="L18" i="35"/>
  <c r="G85" i="16"/>
  <c r="G47" i="15"/>
  <c r="G59" i="24"/>
  <c r="G47" i="13"/>
  <c r="I134" i="17"/>
  <c r="V19" i="1"/>
  <c r="I134" i="9"/>
  <c r="G85" i="21"/>
  <c r="AE27" i="1"/>
  <c r="AE28"/>
  <c r="G85" i="27"/>
  <c r="G47" i="40"/>
  <c r="G147" i="15"/>
  <c r="G145" i="16"/>
  <c r="I137" i="24"/>
  <c r="G102" i="18"/>
  <c r="G145" i="33"/>
  <c r="AZ9" i="1"/>
  <c r="G147" i="9"/>
  <c r="G102" i="12"/>
  <c r="G151" i="13"/>
  <c r="BB15" i="1"/>
  <c r="G59" i="14"/>
  <c r="G102" i="23"/>
  <c r="K8" i="35"/>
  <c r="V16" i="1"/>
  <c r="G145" i="7"/>
  <c r="G47" i="23"/>
  <c r="I137"/>
  <c r="H4" i="35"/>
  <c r="AR11" i="1"/>
  <c r="G153" i="9"/>
  <c r="AQ21" i="1"/>
  <c r="BC21"/>
  <c r="G149" i="19"/>
  <c r="AS28" i="1"/>
  <c r="G149" i="40"/>
  <c r="AV11" i="1"/>
  <c r="BJ11" s="1"/>
  <c r="G145" i="9"/>
  <c r="AQ14" i="1"/>
  <c r="G143" i="12"/>
  <c r="G47"/>
  <c r="G59" i="16"/>
  <c r="BA18" i="1"/>
  <c r="BA36" s="1"/>
  <c r="AW25"/>
  <c r="G145" i="23"/>
  <c r="AH28" i="1"/>
  <c r="AH27"/>
  <c r="AR8"/>
  <c r="G153" i="33"/>
  <c r="BD12" i="1"/>
  <c r="AC18"/>
  <c r="I137" i="16"/>
  <c r="AS20" i="1"/>
  <c r="G149" i="18"/>
  <c r="AR22" i="1"/>
  <c r="G153" i="20"/>
  <c r="AT13" i="1"/>
  <c r="G47" i="11"/>
  <c r="G147"/>
  <c r="G47" i="24"/>
  <c r="I137" i="9"/>
  <c r="G151" i="7"/>
  <c r="G59" i="21"/>
  <c r="L59" s="1"/>
  <c r="G85" i="24"/>
  <c r="G47" i="9"/>
  <c r="G145" i="19"/>
  <c r="G59" i="7"/>
  <c r="G59" i="33"/>
  <c r="AC24" i="1"/>
  <c r="AE24" s="1"/>
  <c r="V23"/>
  <c r="AL26"/>
  <c r="G85" i="18"/>
  <c r="G47" i="17"/>
  <c r="G145" i="11"/>
  <c r="J70" i="12"/>
  <c r="H70" i="13"/>
  <c r="G143" i="33"/>
  <c r="G145" i="24"/>
  <c r="I137" i="12"/>
  <c r="G47" i="21"/>
  <c r="L47" s="1"/>
  <c r="G47" i="14"/>
  <c r="G47" i="33"/>
  <c r="G149"/>
  <c r="G149" i="8"/>
  <c r="G145" i="12"/>
  <c r="I137" i="14"/>
  <c r="G143" i="20"/>
  <c r="G59" i="22"/>
  <c r="L59" s="1"/>
  <c r="I137" i="29"/>
  <c r="G153" i="17"/>
  <c r="AV9" i="1"/>
  <c r="BJ9" s="1"/>
  <c r="AR12"/>
  <c r="AQ16"/>
  <c r="BI16"/>
  <c r="BI17"/>
  <c r="W17"/>
  <c r="G47" i="8"/>
  <c r="G143" i="15"/>
  <c r="G102"/>
  <c r="G151" i="22"/>
  <c r="G102" i="21"/>
  <c r="G59" i="11"/>
  <c r="E12" i="47"/>
  <c r="G102" i="27"/>
  <c r="G149" i="29"/>
  <c r="I119" i="42"/>
  <c r="G143" i="30"/>
  <c r="G113" i="42"/>
  <c r="G88"/>
  <c r="AI7" i="1"/>
  <c r="AD7"/>
  <c r="AB7"/>
  <c r="E7" i="35"/>
  <c r="G7" s="1"/>
  <c r="W7" i="1"/>
  <c r="M6" i="35"/>
  <c r="O6" s="1"/>
  <c r="BB7" i="1"/>
  <c r="BA7"/>
  <c r="AV7"/>
  <c r="AT7"/>
  <c r="AZ7"/>
  <c r="M7"/>
  <c r="G5" i="47" s="1"/>
  <c r="W6" i="1"/>
  <c r="E6" i="35"/>
  <c r="G6" s="1"/>
  <c r="BK7" i="1"/>
  <c r="BK6"/>
  <c r="M7" i="35"/>
  <c r="O7" s="1"/>
  <c r="AI6" i="1"/>
  <c r="AC6"/>
  <c r="AA6"/>
  <c r="BC6"/>
  <c r="BA6"/>
  <c r="AX6"/>
  <c r="AV6"/>
  <c r="AT6"/>
  <c r="AZ6"/>
  <c r="M6"/>
  <c r="G4" i="47" s="1"/>
  <c r="E4"/>
  <c r="W5" i="1"/>
  <c r="E5" i="35"/>
  <c r="G5" s="1"/>
  <c r="AI5" i="1"/>
  <c r="AC5"/>
  <c r="AA5"/>
  <c r="M5" i="35"/>
  <c r="O5" s="1"/>
  <c r="BC5" i="1"/>
  <c r="BB4"/>
  <c r="AX5"/>
  <c r="AV5"/>
  <c r="AT5"/>
  <c r="AZ5"/>
  <c r="E3" i="47"/>
  <c r="AI4" i="1"/>
  <c r="BA4"/>
  <c r="G5" i="44"/>
  <c r="F2" i="49" s="1"/>
  <c r="AU4" i="1"/>
  <c r="AR4"/>
  <c r="AL4"/>
  <c r="AD4"/>
  <c r="AC4"/>
  <c r="Y4"/>
  <c r="E4" i="35"/>
  <c r="G4" s="1"/>
  <c r="BK4" i="1"/>
  <c r="M4" i="35"/>
  <c r="O4" s="1"/>
  <c r="BF4" i="1"/>
  <c r="BE4"/>
  <c r="BC4"/>
  <c r="AW4"/>
  <c r="AV4"/>
  <c r="E2" i="47"/>
  <c r="I137" i="43"/>
  <c r="G143"/>
  <c r="G151"/>
  <c r="I139"/>
  <c r="I124" i="42"/>
  <c r="I122"/>
  <c r="G95"/>
  <c r="G95" i="43"/>
  <c r="G84" i="42"/>
  <c r="G85" i="43"/>
  <c r="G145"/>
  <c r="G107" i="42"/>
  <c r="G58"/>
  <c r="G103"/>
  <c r="G59" i="43"/>
  <c r="G105" i="42"/>
  <c r="G47" i="43"/>
  <c r="G147"/>
  <c r="G111" i="42"/>
  <c r="G46"/>
  <c r="Y32" i="1"/>
  <c r="BK31"/>
  <c r="AP31"/>
  <c r="G102" i="29"/>
  <c r="X32" i="1"/>
  <c r="G102" i="30"/>
  <c r="W32" i="1"/>
  <c r="G85" i="29"/>
  <c r="G85" i="30"/>
  <c r="G20"/>
  <c r="E33" i="44" s="1"/>
  <c r="G20" i="29"/>
  <c r="AM32" i="1"/>
  <c r="AJ32"/>
  <c r="I139" i="30"/>
  <c r="AI32" i="1"/>
  <c r="AH32"/>
  <c r="AD32"/>
  <c r="I134" i="29"/>
  <c r="AE31" i="1"/>
  <c r="AA32"/>
  <c r="I134" i="30"/>
  <c r="I137"/>
  <c r="BF32" i="1"/>
  <c r="BE32"/>
  <c r="BD32"/>
  <c r="BC31"/>
  <c r="G153" i="30"/>
  <c r="BI32" i="1"/>
  <c r="G59" i="30"/>
  <c r="G59" i="29"/>
  <c r="G143"/>
  <c r="BA32" i="1"/>
  <c r="AX32"/>
  <c r="G145" i="29"/>
  <c r="AV32" i="1"/>
  <c r="G145" i="30"/>
  <c r="AU32" i="1"/>
  <c r="G147" i="30"/>
  <c r="AT31" i="1"/>
  <c r="AZ32"/>
  <c r="G47" i="30"/>
  <c r="G151"/>
  <c r="G47" i="29"/>
  <c r="BH6" i="49" l="1"/>
  <c r="AZ9" i="44"/>
  <c r="L24" i="45"/>
  <c r="BD10" i="49" s="1"/>
  <c r="BH3"/>
  <c r="AZ6" i="44"/>
  <c r="BH5" i="49"/>
  <c r="AZ8" i="44"/>
  <c r="BH4" i="49"/>
  <c r="AZ7" i="44"/>
  <c r="AN17"/>
  <c r="BG14" i="49" s="1"/>
  <c r="T24" i="45"/>
  <c r="BD18" i="49" s="1"/>
  <c r="B17" i="44"/>
  <c r="N7" i="14"/>
  <c r="E14" i="47"/>
  <c r="E15" i="16"/>
  <c r="G15" s="1"/>
  <c r="G15" i="15"/>
  <c r="AN18" i="44" s="1"/>
  <c r="G144" i="14"/>
  <c r="G152"/>
  <c r="G146"/>
  <c r="G154"/>
  <c r="AG27" i="45"/>
  <c r="BF31" i="49" s="1"/>
  <c r="G148" i="14"/>
  <c r="M16" i="1"/>
  <c r="G14" i="47" s="1"/>
  <c r="E28" i="14"/>
  <c r="G28" s="1"/>
  <c r="G32" s="1"/>
  <c r="G150"/>
  <c r="G129"/>
  <c r="AO33" i="1"/>
  <c r="G9" i="15"/>
  <c r="G13" s="1"/>
  <c r="G9" i="33"/>
  <c r="G13" s="1"/>
  <c r="I13" s="1"/>
  <c r="G15"/>
  <c r="G7" i="7"/>
  <c r="G144" s="1"/>
  <c r="E15" i="8"/>
  <c r="E7" i="9"/>
  <c r="O7" i="14"/>
  <c r="E7" i="15"/>
  <c r="E9" i="17"/>
  <c r="G13" i="14"/>
  <c r="I13" s="1"/>
  <c r="Z33" i="1"/>
  <c r="AR31" i="49"/>
  <c r="BL34" i="1"/>
  <c r="BJ33"/>
  <c r="AH31" i="45"/>
  <c r="AF33" i="1"/>
  <c r="AB33"/>
  <c r="AE33" s="1"/>
  <c r="AA34"/>
  <c r="AE34" s="1"/>
  <c r="Z34"/>
  <c r="BM34"/>
  <c r="AK33"/>
  <c r="BJ34"/>
  <c r="AF34"/>
  <c r="BP34"/>
  <c r="G13" i="13"/>
  <c r="I13" s="1"/>
  <c r="AO18" i="1"/>
  <c r="G13" i="12"/>
  <c r="I13" s="1"/>
  <c r="AO23" i="1"/>
  <c r="G95" i="9"/>
  <c r="BP33" i="1"/>
  <c r="AE24" i="45"/>
  <c r="BD29" i="49" s="1"/>
  <c r="G152" i="33"/>
  <c r="AH24" i="45"/>
  <c r="BD32" i="49" s="1"/>
  <c r="E24" i="45"/>
  <c r="BD3" i="49" s="1"/>
  <c r="K24" i="45"/>
  <c r="BD9" i="49" s="1"/>
  <c r="F24" i="45"/>
  <c r="BD4" i="49" s="1"/>
  <c r="AV36" i="44"/>
  <c r="V24" i="45"/>
  <c r="BD20" i="49" s="1"/>
  <c r="Z24" i="45"/>
  <c r="BD24" i="49" s="1"/>
  <c r="G24" i="45"/>
  <c r="BD5" i="49" s="1"/>
  <c r="S2"/>
  <c r="T36" i="44"/>
  <c r="BJ2" i="49"/>
  <c r="AQ36" i="44"/>
  <c r="T2" i="49"/>
  <c r="U36" i="44"/>
  <c r="AE2" i="49"/>
  <c r="AF2"/>
  <c r="A7" i="46"/>
  <c r="B9" i="44"/>
  <c r="K2" i="49"/>
  <c r="L36" i="44"/>
  <c r="AX36"/>
  <c r="P11" i="1"/>
  <c r="I9" i="47" s="1"/>
  <c r="E12" i="44"/>
  <c r="Y2" i="49"/>
  <c r="Z36" i="44"/>
  <c r="AJ2" i="49"/>
  <c r="H2"/>
  <c r="V2"/>
  <c r="W36" i="44"/>
  <c r="U2" i="49"/>
  <c r="V36" i="44"/>
  <c r="P9" i="1"/>
  <c r="I7" i="47" s="1"/>
  <c r="E10" i="44"/>
  <c r="BL2" i="49"/>
  <c r="AS36" i="44"/>
  <c r="H36"/>
  <c r="O2" i="49"/>
  <c r="P36" i="44"/>
  <c r="P2" i="49"/>
  <c r="Q36" i="44"/>
  <c r="N2" i="49"/>
  <c r="O36" i="44"/>
  <c r="AK2" i="49"/>
  <c r="AL2"/>
  <c r="AM36" i="44"/>
  <c r="X2" i="49"/>
  <c r="Y36" i="44"/>
  <c r="AG2" i="49"/>
  <c r="AD24" i="45"/>
  <c r="BD28" i="49" s="1"/>
  <c r="AG24" i="45"/>
  <c r="BD31" i="49" s="1"/>
  <c r="S24" i="45"/>
  <c r="I24"/>
  <c r="BD7" i="49" s="1"/>
  <c r="W2"/>
  <c r="X36" i="44"/>
  <c r="Q2" i="49"/>
  <c r="R36" i="44"/>
  <c r="I2" i="49"/>
  <c r="R2"/>
  <c r="S36" i="44"/>
  <c r="BK2" i="49"/>
  <c r="AR36" i="44"/>
  <c r="M2" i="49"/>
  <c r="N36" i="44"/>
  <c r="G95" i="30"/>
  <c r="X24" i="45"/>
  <c r="BD22" i="49" s="1"/>
  <c r="AQ17"/>
  <c r="AH2"/>
  <c r="AI2"/>
  <c r="F31"/>
  <c r="BG2"/>
  <c r="P10" i="1"/>
  <c r="I8" i="47" s="1"/>
  <c r="E11" i="44"/>
  <c r="BI2" i="49"/>
  <c r="AP36" i="44"/>
  <c r="BH2" i="49"/>
  <c r="AO36" i="44"/>
  <c r="AD2" i="49"/>
  <c r="AB24" i="45"/>
  <c r="BD26" i="49" s="1"/>
  <c r="AW36" i="44"/>
  <c r="M36"/>
  <c r="E34"/>
  <c r="P33" i="1"/>
  <c r="P31"/>
  <c r="I29" i="47" s="1"/>
  <c r="E32" i="44"/>
  <c r="Y24" i="45"/>
  <c r="BD23" i="49" s="1"/>
  <c r="P24" i="1"/>
  <c r="I22" i="47" s="1"/>
  <c r="E25" i="44"/>
  <c r="U24" i="45"/>
  <c r="BD19" i="49" s="1"/>
  <c r="P21" i="1"/>
  <c r="I19" i="47" s="1"/>
  <c r="E22" i="44"/>
  <c r="AL36" i="1"/>
  <c r="R24" i="45"/>
  <c r="BD16" i="49" s="1"/>
  <c r="P18" i="1"/>
  <c r="I16" i="47" s="1"/>
  <c r="E19" i="44"/>
  <c r="Q24" i="45"/>
  <c r="BD15" i="49" s="1"/>
  <c r="P17" i="1"/>
  <c r="I15" i="47" s="1"/>
  <c r="E18" i="44"/>
  <c r="P24" i="45"/>
  <c r="BD14" i="49" s="1"/>
  <c r="P16" i="1"/>
  <c r="I14" i="47" s="1"/>
  <c r="E17" i="44"/>
  <c r="O24" i="45"/>
  <c r="BD13" i="49" s="1"/>
  <c r="N24" i="45"/>
  <c r="BD12" i="49" s="1"/>
  <c r="E15" i="44"/>
  <c r="M24" i="45"/>
  <c r="BD11" i="49" s="1"/>
  <c r="J24" i="45"/>
  <c r="BD8" i="49" s="1"/>
  <c r="H24" i="45"/>
  <c r="BD6" i="49" s="1"/>
  <c r="D24" i="45"/>
  <c r="BD2" i="49" s="1"/>
  <c r="J113" i="30"/>
  <c r="H113" i="43"/>
  <c r="H113" i="31" s="1"/>
  <c r="N113" s="1"/>
  <c r="J108" i="30"/>
  <c r="H108" i="43"/>
  <c r="J108" s="1"/>
  <c r="J105" i="30"/>
  <c r="H105" i="43"/>
  <c r="H105" i="31" s="1"/>
  <c r="N105" s="1"/>
  <c r="J117" i="30"/>
  <c r="H117" i="43"/>
  <c r="J117" s="1"/>
  <c r="J106" i="30"/>
  <c r="H106" i="43"/>
  <c r="H106" i="31" s="1"/>
  <c r="N106" s="1"/>
  <c r="J118" i="30"/>
  <c r="H118" i="43"/>
  <c r="H118" i="31" s="1"/>
  <c r="N118" s="1"/>
  <c r="BC2" i="49"/>
  <c r="BC17"/>
  <c r="J112" i="30"/>
  <c r="H112" i="43"/>
  <c r="H112" i="31" s="1"/>
  <c r="N112" s="1"/>
  <c r="J110" i="30"/>
  <c r="H110" i="43"/>
  <c r="H110" i="31" s="1"/>
  <c r="N110" s="1"/>
  <c r="J107" i="30"/>
  <c r="H107" i="43"/>
  <c r="J107" s="1"/>
  <c r="J121" i="30"/>
  <c r="H121" i="43"/>
  <c r="H121" i="31" s="1"/>
  <c r="N121" s="1"/>
  <c r="J116" i="30"/>
  <c r="H116" i="43"/>
  <c r="H116" i="31" s="1"/>
  <c r="N116" s="1"/>
  <c r="J111" i="30"/>
  <c r="H111" i="43"/>
  <c r="J111" s="1"/>
  <c r="D25" i="45"/>
  <c r="AR28" i="49"/>
  <c r="AO31" i="1"/>
  <c r="AC24" i="45"/>
  <c r="BD27" i="49" s="1"/>
  <c r="AR17"/>
  <c r="D27" i="45"/>
  <c r="AP3" i="49"/>
  <c r="AP18"/>
  <c r="K25" i="45"/>
  <c r="BE9" i="49" s="1"/>
  <c r="AQ9"/>
  <c r="Y27" i="45"/>
  <c r="BF23" i="49" s="1"/>
  <c r="AR23"/>
  <c r="AP4"/>
  <c r="AP31"/>
  <c r="AP6"/>
  <c r="O27" i="45"/>
  <c r="BF13" i="49" s="1"/>
  <c r="AR13"/>
  <c r="AM23"/>
  <c r="AP21"/>
  <c r="AP22"/>
  <c r="AP5"/>
  <c r="AP16"/>
  <c r="AP12"/>
  <c r="AF27" i="45"/>
  <c r="BF30" i="49" s="1"/>
  <c r="AR30"/>
  <c r="AO24" i="1"/>
  <c r="D29" i="45"/>
  <c r="AO2" i="49"/>
  <c r="AM13"/>
  <c r="AP17"/>
  <c r="N29" i="45"/>
  <c r="AO12" i="49"/>
  <c r="N27" i="45"/>
  <c r="BF12" i="49" s="1"/>
  <c r="AR12"/>
  <c r="M29" i="45"/>
  <c r="AO11" i="49"/>
  <c r="AO17" i="1"/>
  <c r="AP10" i="49"/>
  <c r="I30" i="45"/>
  <c r="I31" s="1"/>
  <c r="AQ7" i="49"/>
  <c r="AP20"/>
  <c r="AP23"/>
  <c r="AP26"/>
  <c r="AP29"/>
  <c r="AP2"/>
  <c r="AP30"/>
  <c r="M30" i="45"/>
  <c r="AQ11" i="49"/>
  <c r="AP27"/>
  <c r="AP14"/>
  <c r="AP15"/>
  <c r="AF29" i="45"/>
  <c r="AO30" i="49"/>
  <c r="O29" i="45"/>
  <c r="AO13" i="49"/>
  <c r="AM11"/>
  <c r="AO6" i="1"/>
  <c r="AP8" i="49"/>
  <c r="AP13"/>
  <c r="Y29" i="45"/>
  <c r="AO23" i="49"/>
  <c r="AP24"/>
  <c r="AD25" i="45"/>
  <c r="BE28" i="49" s="1"/>
  <c r="AQ28"/>
  <c r="AG29" i="45"/>
  <c r="AO31" i="49"/>
  <c r="AR2"/>
  <c r="AM2"/>
  <c r="AP19"/>
  <c r="AM12"/>
  <c r="AM30"/>
  <c r="BA20" i="1"/>
  <c r="BA35" s="1"/>
  <c r="AO11"/>
  <c r="AE23"/>
  <c r="AO9"/>
  <c r="AO19"/>
  <c r="G37" i="44"/>
  <c r="AO22" i="1"/>
  <c r="AO16"/>
  <c r="H9" i="35"/>
  <c r="I134" i="43"/>
  <c r="BJ5" i="1"/>
  <c r="I9" i="35"/>
  <c r="AM36" i="1"/>
  <c r="J37" i="44"/>
  <c r="I37"/>
  <c r="I22"/>
  <c r="H19" i="49" s="1"/>
  <c r="G22" i="44"/>
  <c r="F19" i="49" s="1"/>
  <c r="AO30" i="1"/>
  <c r="H37" i="44"/>
  <c r="I21"/>
  <c r="H18" i="49" s="1"/>
  <c r="F37" i="44"/>
  <c r="K37"/>
  <c r="AO29" i="1"/>
  <c r="F22" i="44"/>
  <c r="E19" i="49" s="1"/>
  <c r="J23" i="44"/>
  <c r="I20" i="49" s="1"/>
  <c r="AL21" i="1"/>
  <c r="AU22" i="44"/>
  <c r="AL20" i="1"/>
  <c r="AO20" s="1"/>
  <c r="AU21" i="44"/>
  <c r="AO10" i="1"/>
  <c r="AO13"/>
  <c r="J7" i="44"/>
  <c r="I4" i="49" s="1"/>
  <c r="K21" i="44"/>
  <c r="J18" i="49" s="1"/>
  <c r="J21" i="44"/>
  <c r="I18" i="49" s="1"/>
  <c r="J112" i="19"/>
  <c r="H112" i="20"/>
  <c r="J116" i="19"/>
  <c r="H116" i="20"/>
  <c r="J118" i="19"/>
  <c r="H118" i="20"/>
  <c r="J105" i="19"/>
  <c r="H105" i="20"/>
  <c r="J117" i="19"/>
  <c r="H117" i="20"/>
  <c r="J111" i="19"/>
  <c r="H111" i="20"/>
  <c r="J108" i="19"/>
  <c r="H108" i="20"/>
  <c r="H120"/>
  <c r="J120" s="1"/>
  <c r="J107" i="19"/>
  <c r="H107" i="20"/>
  <c r="J121" i="19"/>
  <c r="H121" i="20"/>
  <c r="I137" i="17"/>
  <c r="H119" i="20"/>
  <c r="H119" i="21" s="1"/>
  <c r="J110" i="19"/>
  <c r="H110" i="20"/>
  <c r="J113" i="19"/>
  <c r="H113" i="20"/>
  <c r="E29" i="9"/>
  <c r="T11" i="1"/>
  <c r="V11" s="1"/>
  <c r="J106" i="19"/>
  <c r="H106" i="20"/>
  <c r="AJ21" i="1"/>
  <c r="AK21" s="1"/>
  <c r="G143" i="19"/>
  <c r="T30" i="45"/>
  <c r="T31" s="1"/>
  <c r="BJ14" i="1"/>
  <c r="G144" i="33"/>
  <c r="G146"/>
  <c r="E6" i="47"/>
  <c r="G150" i="33"/>
  <c r="G154"/>
  <c r="G148"/>
  <c r="I6" i="35"/>
  <c r="H6"/>
  <c r="I139" i="19"/>
  <c r="I134" i="18"/>
  <c r="AO7" i="1"/>
  <c r="AH19"/>
  <c r="AH35" s="1"/>
  <c r="H5" i="35"/>
  <c r="K5" s="1"/>
  <c r="AB35" i="1"/>
  <c r="AK23"/>
  <c r="H17" i="35"/>
  <c r="K17" s="1"/>
  <c r="L30" i="45"/>
  <c r="L31" s="1"/>
  <c r="BB35" i="1"/>
  <c r="F37"/>
  <c r="N31" i="31"/>
  <c r="AO25" i="1"/>
  <c r="AO8"/>
  <c r="AV35"/>
  <c r="BF35"/>
  <c r="BE35"/>
  <c r="AU35"/>
  <c r="AS35"/>
  <c r="AD35"/>
  <c r="AO14"/>
  <c r="AX35"/>
  <c r="AW35"/>
  <c r="AC35"/>
  <c r="AI35"/>
  <c r="BD35"/>
  <c r="AQ35"/>
  <c r="X35"/>
  <c r="W35"/>
  <c r="Y35"/>
  <c r="BK35"/>
  <c r="AP35"/>
  <c r="AY35"/>
  <c r="AZ35"/>
  <c r="BI35"/>
  <c r="O4"/>
  <c r="U30" i="45"/>
  <c r="U31" s="1"/>
  <c r="O7" i="1"/>
  <c r="O6"/>
  <c r="N30" i="45"/>
  <c r="O16" i="1"/>
  <c r="I25" i="45"/>
  <c r="BE7" i="49" s="1"/>
  <c r="AS36" i="1"/>
  <c r="BJ16"/>
  <c r="H30" i="45"/>
  <c r="H31" s="1"/>
  <c r="I13" i="35"/>
  <c r="AO15" i="1"/>
  <c r="AE14"/>
  <c r="I137" i="19"/>
  <c r="I134"/>
  <c r="G47" i="20"/>
  <c r="G145"/>
  <c r="BJ22" i="1"/>
  <c r="G59" i="19"/>
  <c r="G145" i="18"/>
  <c r="I137"/>
  <c r="AW36" i="1"/>
  <c r="AJ36"/>
  <c r="Q30" i="45"/>
  <c r="Q31" s="1"/>
  <c r="R30"/>
  <c r="R31" s="1"/>
  <c r="BC36" i="1"/>
  <c r="AL17" i="44"/>
  <c r="AK14" i="49" s="1"/>
  <c r="AL16" i="44"/>
  <c r="AK13" i="49" s="1"/>
  <c r="Z14" i="1"/>
  <c r="AO5"/>
  <c r="BL4"/>
  <c r="AE21"/>
  <c r="E25" i="45"/>
  <c r="BE3" i="49" s="1"/>
  <c r="E30" i="45"/>
  <c r="E31" s="1"/>
  <c r="W25"/>
  <c r="BE21" i="49" s="1"/>
  <c r="W30" i="45"/>
  <c r="W31" s="1"/>
  <c r="G31" i="18"/>
  <c r="K31"/>
  <c r="L165" i="21"/>
  <c r="L173" s="1"/>
  <c r="G173"/>
  <c r="AE20" i="1"/>
  <c r="Z30" i="45"/>
  <c r="Z31" s="1"/>
  <c r="O30"/>
  <c r="P25"/>
  <c r="BE14" i="49" s="1"/>
  <c r="P30" i="45"/>
  <c r="P31" s="1"/>
  <c r="AE26" i="44"/>
  <c r="AD23" i="49" s="1"/>
  <c r="J30" i="45"/>
  <c r="J31" s="1"/>
  <c r="K30"/>
  <c r="K31" s="1"/>
  <c r="T25"/>
  <c r="BE18" i="49" s="1"/>
  <c r="V25" i="45"/>
  <c r="BE20" i="49" s="1"/>
  <c r="V30" i="45"/>
  <c r="V31" s="1"/>
  <c r="S25"/>
  <c r="S30"/>
  <c r="S31" s="1"/>
  <c r="BP4" i="1"/>
  <c r="BN4"/>
  <c r="D30" i="45"/>
  <c r="G30"/>
  <c r="G31" s="1"/>
  <c r="AF26" i="44"/>
  <c r="AE23" i="49" s="1"/>
  <c r="F30" i="45"/>
  <c r="F31" s="1"/>
  <c r="AM21" i="1"/>
  <c r="AG30" i="45"/>
  <c r="AE30"/>
  <c r="AE31" s="1"/>
  <c r="AF30"/>
  <c r="AD30"/>
  <c r="AD31" s="1"/>
  <c r="AC30"/>
  <c r="AC31" s="1"/>
  <c r="AB30"/>
  <c r="AB31" s="1"/>
  <c r="G173" i="24"/>
  <c r="AO26" i="1"/>
  <c r="Y30" i="45"/>
  <c r="AE25" i="1"/>
  <c r="X30" i="45"/>
  <c r="X31" s="1"/>
  <c r="H120" i="23"/>
  <c r="J120" s="1"/>
  <c r="AL26" i="44"/>
  <c r="AK23" i="49" s="1"/>
  <c r="AK26" i="44"/>
  <c r="AJ23" i="49" s="1"/>
  <c r="AJ26" i="44"/>
  <c r="AI23" i="49" s="1"/>
  <c r="AI26" i="44"/>
  <c r="AH23" i="49" s="1"/>
  <c r="AH26" i="44"/>
  <c r="AG23" i="49" s="1"/>
  <c r="AG26" i="44"/>
  <c r="AF23" i="49" s="1"/>
  <c r="P25" i="1"/>
  <c r="H119" i="23"/>
  <c r="J119" s="1"/>
  <c r="BJ24" i="1"/>
  <c r="AT5" i="44"/>
  <c r="Z21" i="1"/>
  <c r="Y36"/>
  <c r="BA16" i="44"/>
  <c r="M25" i="45"/>
  <c r="BE11" i="49" s="1"/>
  <c r="I14" i="35"/>
  <c r="AL15" i="44"/>
  <c r="AK12" i="49" s="1"/>
  <c r="H13" i="35"/>
  <c r="AI36" i="1"/>
  <c r="AO4"/>
  <c r="Z7"/>
  <c r="N29" i="31"/>
  <c r="G173" i="43"/>
  <c r="BJ29" i="1"/>
  <c r="G173" i="28"/>
  <c r="G173" i="27"/>
  <c r="AY32" i="44"/>
  <c r="G173" i="40"/>
  <c r="G173" i="23"/>
  <c r="G173" i="22"/>
  <c r="U25" i="45"/>
  <c r="BE19" i="49" s="1"/>
  <c r="Z22" i="1"/>
  <c r="BJ21"/>
  <c r="G173" i="20"/>
  <c r="AY22" i="44"/>
  <c r="G173" i="19"/>
  <c r="Z20" i="1"/>
  <c r="G173" i="18"/>
  <c r="AK17" i="1"/>
  <c r="Z18"/>
  <c r="AL18" i="44"/>
  <c r="AK15" i="49" s="1"/>
  <c r="O25" i="45"/>
  <c r="BE13" i="49" s="1"/>
  <c r="H16" i="35"/>
  <c r="K16" s="1"/>
  <c r="AE15" i="1"/>
  <c r="I15" i="35"/>
  <c r="H15"/>
  <c r="AJ16" i="44"/>
  <c r="AI13" i="49" s="1"/>
  <c r="H119" i="13"/>
  <c r="J119" s="1"/>
  <c r="G30" i="11"/>
  <c r="G31"/>
  <c r="AY12" i="44"/>
  <c r="AK8" i="1"/>
  <c r="AY26" i="44"/>
  <c r="AY21"/>
  <c r="R25" i="45"/>
  <c r="BE16" i="49" s="1"/>
  <c r="AH36" i="1"/>
  <c r="AK26"/>
  <c r="AF25" i="45"/>
  <c r="BE30" i="49" s="1"/>
  <c r="AY33" i="44"/>
  <c r="M5" i="1"/>
  <c r="BJ6"/>
  <c r="H120" i="30"/>
  <c r="G102" i="43"/>
  <c r="Z6" i="1"/>
  <c r="BJ18"/>
  <c r="Y25" i="45"/>
  <c r="BE23" i="49" s="1"/>
  <c r="H119" i="30"/>
  <c r="G60"/>
  <c r="G147" i="19"/>
  <c r="G147" i="18"/>
  <c r="X36" i="1"/>
  <c r="AK20"/>
  <c r="Q25" i="45"/>
  <c r="BE15" i="49" s="1"/>
  <c r="G154" i="13"/>
  <c r="H120"/>
  <c r="J120" s="1"/>
  <c r="Z5" i="1"/>
  <c r="K11" i="35"/>
  <c r="AN6" i="44"/>
  <c r="BG3" i="49" s="1"/>
  <c r="AY5" i="44"/>
  <c r="AK18" i="1"/>
  <c r="Z17"/>
  <c r="AY18" i="44"/>
  <c r="AY17"/>
  <c r="G144" i="12"/>
  <c r="G150"/>
  <c r="AK11" i="1"/>
  <c r="G60" i="12"/>
  <c r="G152"/>
  <c r="H119"/>
  <c r="J119" s="1"/>
  <c r="H120"/>
  <c r="J120" s="1"/>
  <c r="AI15" i="44"/>
  <c r="AH12" i="49" s="1"/>
  <c r="AK15" i="44"/>
  <c r="AJ12" i="49" s="1"/>
  <c r="AJ15" i="44"/>
  <c r="AI12" i="49" s="1"/>
  <c r="G146" i="12"/>
  <c r="G148"/>
  <c r="AH15" i="44"/>
  <c r="AG12" i="49" s="1"/>
  <c r="AG15" i="44"/>
  <c r="AF12" i="49" s="1"/>
  <c r="G154" i="12"/>
  <c r="G60" i="11"/>
  <c r="I60" s="1"/>
  <c r="Z25" i="45"/>
  <c r="BE24" i="49" s="1"/>
  <c r="AK15" i="1"/>
  <c r="AY16" i="44"/>
  <c r="N25" i="45"/>
  <c r="BE12" i="49" s="1"/>
  <c r="AK14" i="1"/>
  <c r="AK13"/>
  <c r="AK12"/>
  <c r="Z12"/>
  <c r="L25" i="45"/>
  <c r="BE10" i="49" s="1"/>
  <c r="AK9" i="1"/>
  <c r="J25" i="45"/>
  <c r="BE8" i="49" s="1"/>
  <c r="H25" i="45"/>
  <c r="BE6" i="49" s="1"/>
  <c r="AK22" i="1"/>
  <c r="X25" i="45"/>
  <c r="BE22" i="49" s="1"/>
  <c r="AY11" i="44"/>
  <c r="AT8"/>
  <c r="BM5" i="49" s="1"/>
  <c r="AY9" i="44"/>
  <c r="E13" i="47"/>
  <c r="H14" i="35"/>
  <c r="Z29" i="1"/>
  <c r="AK29"/>
  <c r="AG25" i="45"/>
  <c r="BE31" i="49" s="1"/>
  <c r="AY25" i="44"/>
  <c r="AY23"/>
  <c r="AY19"/>
  <c r="Z9" i="1"/>
  <c r="Z15"/>
  <c r="Z10"/>
  <c r="AE25" i="45"/>
  <c r="BE29" i="49" s="1"/>
  <c r="AY20" i="44"/>
  <c r="AK16" i="1"/>
  <c r="AK24"/>
  <c r="AK25"/>
  <c r="AK10"/>
  <c r="Z8"/>
  <c r="AY13" i="44"/>
  <c r="AY27"/>
  <c r="AY15"/>
  <c r="AY14"/>
  <c r="AK7" i="1"/>
  <c r="F25" i="45"/>
  <c r="BE4" i="49" s="1"/>
  <c r="G25" i="45"/>
  <c r="BE5" i="49" s="1"/>
  <c r="T4" i="1"/>
  <c r="Z4"/>
  <c r="G60" i="43"/>
  <c r="AY34" i="44"/>
  <c r="AK31" i="1"/>
  <c r="Z31"/>
  <c r="BP31"/>
  <c r="BQ31" s="1"/>
  <c r="BJ31"/>
  <c r="BJ41" s="1"/>
  <c r="AK30"/>
  <c r="AY31" i="44"/>
  <c r="AC25" i="45"/>
  <c r="BE27" i="49" s="1"/>
  <c r="AY30" i="44"/>
  <c r="AB25" i="45"/>
  <c r="BE26" i="49" s="1"/>
  <c r="Z28" i="1"/>
  <c r="Z26"/>
  <c r="AF25"/>
  <c r="Z25"/>
  <c r="AF24"/>
  <c r="AG24" s="1"/>
  <c r="Z24"/>
  <c r="Z23"/>
  <c r="G149" i="20"/>
  <c r="G47" i="18"/>
  <c r="AF18" i="1"/>
  <c r="AF21"/>
  <c r="BG20"/>
  <c r="G146" i="13"/>
  <c r="G148"/>
  <c r="G152"/>
  <c r="G144"/>
  <c r="G150"/>
  <c r="Z19" i="1"/>
  <c r="AK5"/>
  <c r="BP24"/>
  <c r="BQ24" s="1"/>
  <c r="AV36"/>
  <c r="AF28"/>
  <c r="AG28" s="1"/>
  <c r="BP28"/>
  <c r="BQ28" s="1"/>
  <c r="G47" i="19"/>
  <c r="AX36" i="1"/>
  <c r="K18" i="35"/>
  <c r="BP21" i="1"/>
  <c r="BP23"/>
  <c r="AK6"/>
  <c r="AF19"/>
  <c r="AG19" s="1"/>
  <c r="AF15"/>
  <c r="Z30"/>
  <c r="AU36"/>
  <c r="K12" i="35"/>
  <c r="AT36" i="1"/>
  <c r="O17" i="35"/>
  <c r="BP13" i="1"/>
  <c r="BQ13" s="1"/>
  <c r="BP14"/>
  <c r="AT7" i="44"/>
  <c r="BM4" i="49" s="1"/>
  <c r="K7" i="35"/>
  <c r="AF16" i="1"/>
  <c r="AG16" s="1"/>
  <c r="BJ32"/>
  <c r="BP26"/>
  <c r="BQ26" s="1"/>
  <c r="AF14"/>
  <c r="AF31"/>
  <c r="AG31" s="1"/>
  <c r="BP16"/>
  <c r="BQ16" s="1"/>
  <c r="BP22"/>
  <c r="BQ22" s="1"/>
  <c r="AF26"/>
  <c r="AG26" s="1"/>
  <c r="AF22"/>
  <c r="AG22" s="1"/>
  <c r="BM32" i="49"/>
  <c r="AF13" i="1"/>
  <c r="AG13" s="1"/>
  <c r="K10" i="35"/>
  <c r="BP10" i="1"/>
  <c r="AF8"/>
  <c r="AG8" s="1"/>
  <c r="BP8"/>
  <c r="BQ8" s="1"/>
  <c r="K4" i="35"/>
  <c r="BP18" i="1"/>
  <c r="BP17"/>
  <c r="BQ17" s="1"/>
  <c r="BP19"/>
  <c r="BQ19" s="1"/>
  <c r="BJ4"/>
  <c r="AF7"/>
  <c r="BJ7"/>
  <c r="AR21"/>
  <c r="AR35" s="1"/>
  <c r="BJ25"/>
  <c r="BJ10"/>
  <c r="AF27"/>
  <c r="AG27" s="1"/>
  <c r="BJ27"/>
  <c r="AF12"/>
  <c r="AG12" s="1"/>
  <c r="BJ12"/>
  <c r="AT21"/>
  <c r="BJ23"/>
  <c r="BJ17"/>
  <c r="AT20"/>
  <c r="BJ15"/>
  <c r="AF30"/>
  <c r="AG30" s="1"/>
  <c r="BJ30"/>
  <c r="G153" i="19"/>
  <c r="G59" i="18"/>
  <c r="P4" i="1"/>
  <c r="I2" i="47" s="1"/>
  <c r="O18" i="35"/>
  <c r="G59" i="20"/>
  <c r="BC22" i="1"/>
  <c r="BN14"/>
  <c r="BN6"/>
  <c r="BN5"/>
  <c r="BM5"/>
  <c r="BL5"/>
  <c r="BM4"/>
  <c r="BL14"/>
  <c r="BM14"/>
  <c r="BL7"/>
  <c r="BM7"/>
  <c r="BL6"/>
  <c r="BM6"/>
  <c r="BN7"/>
  <c r="Z13"/>
  <c r="P28"/>
  <c r="I26" i="47" s="1"/>
  <c r="BP7" i="1"/>
  <c r="P20"/>
  <c r="I18" i="47" s="1"/>
  <c r="P15" i="1"/>
  <c r="I13" i="47" s="1"/>
  <c r="P26" i="1"/>
  <c r="I24" i="47" s="1"/>
  <c r="P6" i="1"/>
  <c r="I4" i="47" s="1"/>
  <c r="AK4" i="1"/>
  <c r="BP27"/>
  <c r="BQ27" s="1"/>
  <c r="G60" i="27"/>
  <c r="P23" i="1"/>
  <c r="I21" i="47" s="1"/>
  <c r="Z16" i="1"/>
  <c r="P22"/>
  <c r="I20" i="47" s="1"/>
  <c r="P8" i="1"/>
  <c r="I6" i="47" s="1"/>
  <c r="P13" i="1"/>
  <c r="I11" i="47" s="1"/>
  <c r="BP30" i="1"/>
  <c r="BQ30" s="1"/>
  <c r="P29"/>
  <c r="I27" i="47" s="1"/>
  <c r="Z11" i="1"/>
  <c r="AC36"/>
  <c r="G60" i="28"/>
  <c r="G60" i="17"/>
  <c r="G60" i="15"/>
  <c r="G60" i="16"/>
  <c r="AR36" i="1"/>
  <c r="BG36"/>
  <c r="P19"/>
  <c r="I17" i="47" s="1"/>
  <c r="G60" i="40"/>
  <c r="AK28" i="1"/>
  <c r="V36"/>
  <c r="AF17"/>
  <c r="AG17" s="1"/>
  <c r="G60" i="14"/>
  <c r="I59" s="1"/>
  <c r="BP15" i="1"/>
  <c r="P14"/>
  <c r="I12" i="47" s="1"/>
  <c r="BP12" i="1"/>
  <c r="BQ12" s="1"/>
  <c r="S12"/>
  <c r="R12"/>
  <c r="G60" i="9"/>
  <c r="AE10" i="1"/>
  <c r="AF10"/>
  <c r="P30"/>
  <c r="I28" i="47" s="1"/>
  <c r="W36" i="1"/>
  <c r="G60" i="23"/>
  <c r="P27" i="1"/>
  <c r="AF29"/>
  <c r="AG29" s="1"/>
  <c r="BP29"/>
  <c r="BQ29" s="1"/>
  <c r="H24" i="33"/>
  <c r="AF23" i="1"/>
  <c r="G60" i="22"/>
  <c r="L60" s="1"/>
  <c r="G60" i="8"/>
  <c r="AK27" i="1"/>
  <c r="L7"/>
  <c r="G60" i="7"/>
  <c r="I60" s="1"/>
  <c r="AQ36" i="1"/>
  <c r="AF11"/>
  <c r="AG11" s="1"/>
  <c r="BP11"/>
  <c r="BQ11" s="1"/>
  <c r="L14"/>
  <c r="L16"/>
  <c r="P7"/>
  <c r="I5" i="47" s="1"/>
  <c r="G60" i="33"/>
  <c r="P5" i="1"/>
  <c r="I3" i="47" s="1"/>
  <c r="G60" i="21"/>
  <c r="L60" s="1"/>
  <c r="G60" i="24"/>
  <c r="AE18" i="1"/>
  <c r="AE36" s="1"/>
  <c r="AF9"/>
  <c r="AG9" s="1"/>
  <c r="BP9"/>
  <c r="BQ9" s="1"/>
  <c r="J70" i="13"/>
  <c r="H70" i="14"/>
  <c r="H70" i="29" s="1"/>
  <c r="BP25" i="1"/>
  <c r="G60" i="13"/>
  <c r="AE7" i="1"/>
  <c r="AE6"/>
  <c r="BP6"/>
  <c r="AF6"/>
  <c r="L6"/>
  <c r="AE5"/>
  <c r="AF5"/>
  <c r="BP5"/>
  <c r="L5"/>
  <c r="AE4"/>
  <c r="AF4"/>
  <c r="L4"/>
  <c r="AO32"/>
  <c r="AE32"/>
  <c r="G59" i="42"/>
  <c r="Z32" i="1"/>
  <c r="P32"/>
  <c r="I30" i="47" s="1"/>
  <c r="AK32" i="1"/>
  <c r="AF32"/>
  <c r="BP32"/>
  <c r="G60" i="29"/>
  <c r="S10" i="1" l="1"/>
  <c r="R10"/>
  <c r="AT17" i="44"/>
  <c r="BM14" i="49" s="1"/>
  <c r="G129" i="15"/>
  <c r="BN16" i="1"/>
  <c r="BM16"/>
  <c r="BL16"/>
  <c r="E15" i="17"/>
  <c r="E15" i="18" s="1"/>
  <c r="BG15" i="49"/>
  <c r="AT18" i="44"/>
  <c r="BM15" i="49" s="1"/>
  <c r="E28" i="15"/>
  <c r="G28" s="1"/>
  <c r="G32" s="1"/>
  <c r="D18" i="44"/>
  <c r="M17" i="1"/>
  <c r="G146" i="7"/>
  <c r="D9" i="44"/>
  <c r="AN9"/>
  <c r="E28" i="33"/>
  <c r="G28" s="1"/>
  <c r="G32" s="1"/>
  <c r="G129"/>
  <c r="M8" i="1"/>
  <c r="I13" i="7"/>
  <c r="G7" i="8"/>
  <c r="G152" s="1"/>
  <c r="G152" i="7"/>
  <c r="G148"/>
  <c r="G150"/>
  <c r="B10" i="44"/>
  <c r="G154" i="7"/>
  <c r="D19" i="44"/>
  <c r="AN19"/>
  <c r="G129" i="16"/>
  <c r="E28"/>
  <c r="G28" s="1"/>
  <c r="G32" s="1"/>
  <c r="M18" i="1"/>
  <c r="G15" i="7"/>
  <c r="E15" i="9"/>
  <c r="G15" i="8"/>
  <c r="B11" i="44"/>
  <c r="E7" i="10"/>
  <c r="E7" i="16"/>
  <c r="G148" i="8"/>
  <c r="G9" i="16"/>
  <c r="G13" s="1"/>
  <c r="I60" s="1"/>
  <c r="K9" i="17"/>
  <c r="G9"/>
  <c r="G13" s="1"/>
  <c r="I60" s="1"/>
  <c r="E9" i="18"/>
  <c r="I60" i="12"/>
  <c r="BQ33" i="1"/>
  <c r="AG33"/>
  <c r="AA35"/>
  <c r="AG34"/>
  <c r="S18"/>
  <c r="BQ34"/>
  <c r="R9"/>
  <c r="S9"/>
  <c r="O31" i="45"/>
  <c r="AO36" i="1"/>
  <c r="L8"/>
  <c r="I60" i="15"/>
  <c r="Y31" i="45"/>
  <c r="R31" i="1"/>
  <c r="G29" i="9"/>
  <c r="AU36" i="44"/>
  <c r="BM8" i="1"/>
  <c r="AH36" i="44"/>
  <c r="BL8" i="1"/>
  <c r="E36" i="44"/>
  <c r="N31" i="45"/>
  <c r="K36" i="44"/>
  <c r="AF36"/>
  <c r="BN8" i="1"/>
  <c r="S17"/>
  <c r="R11"/>
  <c r="J118" i="43"/>
  <c r="F36" i="44"/>
  <c r="AG36"/>
  <c r="AY36"/>
  <c r="AE36"/>
  <c r="AI36"/>
  <c r="AL36"/>
  <c r="BQ23" i="1"/>
  <c r="AG31" i="45"/>
  <c r="R21" i="1"/>
  <c r="J36" i="44"/>
  <c r="G36"/>
  <c r="S21" i="1"/>
  <c r="AJ36" i="44"/>
  <c r="AK36"/>
  <c r="BM2" i="49"/>
  <c r="S11" i="1"/>
  <c r="I36" i="44"/>
  <c r="H111" i="31"/>
  <c r="N111" s="1"/>
  <c r="J116" i="43"/>
  <c r="H107" i="31"/>
  <c r="N107" s="1"/>
  <c r="H108"/>
  <c r="N108" s="1"/>
  <c r="R33" i="1"/>
  <c r="S33"/>
  <c r="J113" i="43"/>
  <c r="J121"/>
  <c r="J110"/>
  <c r="J106"/>
  <c r="J105"/>
  <c r="AF31" i="45"/>
  <c r="S31" i="1"/>
  <c r="S24"/>
  <c r="R24"/>
  <c r="R18"/>
  <c r="P36"/>
  <c r="R17"/>
  <c r="S16"/>
  <c r="R16"/>
  <c r="BO16" s="1"/>
  <c r="D31" i="45"/>
  <c r="H117" i="31"/>
  <c r="J117" s="1"/>
  <c r="J112" i="43"/>
  <c r="BD17" i="49"/>
  <c r="J119" i="30"/>
  <c r="H119" i="43"/>
  <c r="J120" i="30"/>
  <c r="H120" i="43"/>
  <c r="BF17" i="49"/>
  <c r="BF2"/>
  <c r="BE17"/>
  <c r="BE2"/>
  <c r="M31" i="45"/>
  <c r="G3" i="47"/>
  <c r="I25"/>
  <c r="R25" i="1"/>
  <c r="I23" i="47"/>
  <c r="K9" i="35"/>
  <c r="I31" i="47"/>
  <c r="K13" i="35"/>
  <c r="J112" i="31"/>
  <c r="AG23" i="1"/>
  <c r="AL35"/>
  <c r="H120" i="21"/>
  <c r="H120" i="22" s="1"/>
  <c r="J120" s="1"/>
  <c r="J119" i="21"/>
  <c r="H119" i="22"/>
  <c r="J119" s="1"/>
  <c r="J119" i="20"/>
  <c r="AT6" i="44"/>
  <c r="BM3" i="49" s="1"/>
  <c r="BA17" i="44"/>
  <c r="AO21" i="1"/>
  <c r="AO35" s="1"/>
  <c r="AJ35"/>
  <c r="H113" i="21"/>
  <c r="J113" i="20"/>
  <c r="H108" i="21"/>
  <c r="J108" i="20"/>
  <c r="H118" i="21"/>
  <c r="J118" i="20"/>
  <c r="H112" i="21"/>
  <c r="J112" i="20"/>
  <c r="K6" i="35"/>
  <c r="H111" i="21"/>
  <c r="J111" i="20"/>
  <c r="H105" i="21"/>
  <c r="J105" i="20"/>
  <c r="H121" i="21"/>
  <c r="J121" i="20"/>
  <c r="H110" i="21"/>
  <c r="J110" i="20"/>
  <c r="H106" i="21"/>
  <c r="J106" i="20"/>
  <c r="H107" i="21"/>
  <c r="J107" i="20"/>
  <c r="H117" i="21"/>
  <c r="J117" i="20"/>
  <c r="H116" i="21"/>
  <c r="J116" i="20"/>
  <c r="AK19" i="1"/>
  <c r="AK35" s="1"/>
  <c r="J110" i="31"/>
  <c r="J116"/>
  <c r="H119" i="33"/>
  <c r="AG14" i="1"/>
  <c r="BQ14"/>
  <c r="J106" i="31"/>
  <c r="M14" i="47"/>
  <c r="V4" i="1"/>
  <c r="V35" s="1"/>
  <c r="T35"/>
  <c r="P35"/>
  <c r="AM35"/>
  <c r="BC35"/>
  <c r="BR4"/>
  <c r="AE35"/>
  <c r="BG35"/>
  <c r="AT35"/>
  <c r="Z35"/>
  <c r="S7"/>
  <c r="M5" i="47"/>
  <c r="S20" i="1"/>
  <c r="R22"/>
  <c r="S25"/>
  <c r="S14"/>
  <c r="S6"/>
  <c r="M4" i="47"/>
  <c r="S15" i="1"/>
  <c r="S5"/>
  <c r="R13"/>
  <c r="S4"/>
  <c r="M2" i="47"/>
  <c r="R23" i="1"/>
  <c r="R26"/>
  <c r="O5"/>
  <c r="S28"/>
  <c r="BL15"/>
  <c r="J121" i="31"/>
  <c r="AG21" i="1"/>
  <c r="J113" i="31"/>
  <c r="J105"/>
  <c r="J118"/>
  <c r="G60" i="20"/>
  <c r="BQ21" i="1"/>
  <c r="G60" i="19"/>
  <c r="Z36" i="1"/>
  <c r="AK36"/>
  <c r="K14" i="35"/>
  <c r="BQ5" i="1"/>
  <c r="BQ4"/>
  <c r="BQ32"/>
  <c r="BQ25"/>
  <c r="AG25"/>
  <c r="BQ18"/>
  <c r="BQ15"/>
  <c r="AG15"/>
  <c r="BQ10"/>
  <c r="BQ6"/>
  <c r="BQ7"/>
  <c r="L15"/>
  <c r="K15" i="35"/>
  <c r="R4" i="1"/>
  <c r="AF20"/>
  <c r="AG20" s="1"/>
  <c r="I59" i="12"/>
  <c r="BM15" i="1"/>
  <c r="BN15"/>
  <c r="G60" i="18"/>
  <c r="BP20" i="1"/>
  <c r="BQ20" s="1"/>
  <c r="BJ20"/>
  <c r="BJ35" s="1"/>
  <c r="BP36"/>
  <c r="AG7"/>
  <c r="S26"/>
  <c r="R20"/>
  <c r="R15"/>
  <c r="R6"/>
  <c r="BO6" s="1"/>
  <c r="R28"/>
  <c r="S13"/>
  <c r="H139" i="33"/>
  <c r="H134"/>
  <c r="H134" i="7" s="1"/>
  <c r="H134" i="8" s="1"/>
  <c r="S23" i="1"/>
  <c r="S22"/>
  <c r="R29"/>
  <c r="S29"/>
  <c r="R8"/>
  <c r="S8"/>
  <c r="R14"/>
  <c r="I60" i="14"/>
  <c r="AF36" i="1"/>
  <c r="R19"/>
  <c r="S19"/>
  <c r="AG18"/>
  <c r="AG36" s="1"/>
  <c r="I60" i="9"/>
  <c r="AG10" i="1"/>
  <c r="H24" i="7"/>
  <c r="J24" i="33"/>
  <c r="R27" i="1"/>
  <c r="S27"/>
  <c r="R30"/>
  <c r="S30"/>
  <c r="I60" i="8"/>
  <c r="R5" i="1"/>
  <c r="I59" i="7"/>
  <c r="R7" i="1"/>
  <c r="BO7" s="1"/>
  <c r="H70" i="18"/>
  <c r="H70" i="21"/>
  <c r="H70" i="22" s="1"/>
  <c r="H70" i="23" s="1"/>
  <c r="H70" i="27"/>
  <c r="J70" i="14"/>
  <c r="H70" i="40"/>
  <c r="H70" i="28"/>
  <c r="H70" i="30"/>
  <c r="H70" i="43" s="1"/>
  <c r="H70" i="31" s="1"/>
  <c r="N70" s="1"/>
  <c r="H70" i="19"/>
  <c r="H70" i="20"/>
  <c r="H70" i="15"/>
  <c r="H69" i="42"/>
  <c r="H70" i="24"/>
  <c r="H70" i="25" s="1"/>
  <c r="K36" i="1"/>
  <c r="I59" i="13"/>
  <c r="I60"/>
  <c r="I59" i="33"/>
  <c r="I60"/>
  <c r="AG6" i="1"/>
  <c r="H95" i="33"/>
  <c r="AG5" i="1"/>
  <c r="AG4"/>
  <c r="H132" i="33"/>
  <c r="H68"/>
  <c r="H57"/>
  <c r="H45"/>
  <c r="H11"/>
  <c r="H11" i="7" s="1"/>
  <c r="H73" i="33"/>
  <c r="H43"/>
  <c r="H12"/>
  <c r="H12" i="7" s="1"/>
  <c r="AG32" i="1"/>
  <c r="S32"/>
  <c r="R32"/>
  <c r="BA18" i="44" l="1"/>
  <c r="G15" i="47"/>
  <c r="O17" i="1"/>
  <c r="BO17" s="1"/>
  <c r="G7" i="15"/>
  <c r="G152" s="1"/>
  <c r="G146" i="8"/>
  <c r="L10" i="1"/>
  <c r="G150" i="8"/>
  <c r="G7" i="9"/>
  <c r="G144" s="1"/>
  <c r="I59" i="8"/>
  <c r="G144"/>
  <c r="G6" i="47"/>
  <c r="M6" s="1"/>
  <c r="O8" i="1"/>
  <c r="BO8" s="1"/>
  <c r="BG6" i="49"/>
  <c r="AT9" i="44"/>
  <c r="BM6" i="49" s="1"/>
  <c r="G154" i="8"/>
  <c r="I13"/>
  <c r="E7" i="47"/>
  <c r="L9" i="1"/>
  <c r="BN9"/>
  <c r="BM9"/>
  <c r="BL9"/>
  <c r="E15" i="10"/>
  <c r="D11" i="44"/>
  <c r="E28" i="8"/>
  <c r="G28" s="1"/>
  <c r="G32" s="1"/>
  <c r="G129"/>
  <c r="AN11" i="44"/>
  <c r="M10" i="1"/>
  <c r="BG16" i="49"/>
  <c r="AT19" i="44"/>
  <c r="G16" i="47"/>
  <c r="O18" i="1"/>
  <c r="M36"/>
  <c r="E15" i="19"/>
  <c r="D10" i="44"/>
  <c r="E28" i="7"/>
  <c r="G28" s="1"/>
  <c r="G32" s="1"/>
  <c r="AN10" i="44"/>
  <c r="M9" i="1"/>
  <c r="G129" i="7"/>
  <c r="G15" i="17"/>
  <c r="B18" i="44"/>
  <c r="G146" i="15"/>
  <c r="E7" i="17"/>
  <c r="E9" i="19"/>
  <c r="B12" i="44"/>
  <c r="I13" i="9"/>
  <c r="E7" i="11"/>
  <c r="J111" i="31"/>
  <c r="S36" i="1"/>
  <c r="R36"/>
  <c r="J107" i="31"/>
  <c r="J108"/>
  <c r="J120" i="21"/>
  <c r="N117" i="31"/>
  <c r="H119"/>
  <c r="J119" i="43"/>
  <c r="H120" i="31"/>
  <c r="J120" i="43"/>
  <c r="H121" i="22"/>
  <c r="J121" s="1"/>
  <c r="J121" i="21"/>
  <c r="H113" i="22"/>
  <c r="J113" s="1"/>
  <c r="J113" i="21"/>
  <c r="H116" i="22"/>
  <c r="J116" s="1"/>
  <c r="J116" i="21"/>
  <c r="H110" i="22"/>
  <c r="J110" s="1"/>
  <c r="J110" i="21"/>
  <c r="H111" i="22"/>
  <c r="J111" s="1"/>
  <c r="J111" i="21"/>
  <c r="H117" i="22"/>
  <c r="J117" s="1"/>
  <c r="J117" i="21"/>
  <c r="H108" i="22"/>
  <c r="J108" s="1"/>
  <c r="J108" i="21"/>
  <c r="H112" i="22"/>
  <c r="J112" s="1"/>
  <c r="J112" i="21"/>
  <c r="H106" i="22"/>
  <c r="J106" s="1"/>
  <c r="J106" i="21"/>
  <c r="H105" i="22"/>
  <c r="J105" s="1"/>
  <c r="J105" i="21"/>
  <c r="H118" i="22"/>
  <c r="J118" s="1"/>
  <c r="J118" i="21"/>
  <c r="H107" i="22"/>
  <c r="J107" s="1"/>
  <c r="J107" i="21"/>
  <c r="H120" i="33"/>
  <c r="J120" s="1"/>
  <c r="H83"/>
  <c r="J119"/>
  <c r="H119" i="7"/>
  <c r="H31" i="33"/>
  <c r="BO5" i="1"/>
  <c r="H10" i="33"/>
  <c r="H10" i="7" s="1"/>
  <c r="AG35" i="1"/>
  <c r="AF35"/>
  <c r="S35"/>
  <c r="BO4"/>
  <c r="R35"/>
  <c r="M3" i="47"/>
  <c r="H19" i="33"/>
  <c r="H19" i="7" s="1"/>
  <c r="H81" i="33"/>
  <c r="H81" i="7" s="1"/>
  <c r="H22" i="33"/>
  <c r="J22" s="1"/>
  <c r="H28"/>
  <c r="J134"/>
  <c r="J134" i="7"/>
  <c r="H141" i="33"/>
  <c r="H141" i="7" s="1"/>
  <c r="J24"/>
  <c r="H24" i="8"/>
  <c r="H23" i="33"/>
  <c r="J95"/>
  <c r="H95" i="7"/>
  <c r="J132" i="33"/>
  <c r="H132" i="7"/>
  <c r="H138" i="33"/>
  <c r="H137"/>
  <c r="H131"/>
  <c r="H93"/>
  <c r="H77"/>
  <c r="H62"/>
  <c r="H64"/>
  <c r="J68"/>
  <c r="H68" i="7"/>
  <c r="J57" i="33"/>
  <c r="H57" i="7"/>
  <c r="H40" i="33"/>
  <c r="H38"/>
  <c r="H45" i="7"/>
  <c r="J45" i="33"/>
  <c r="H35"/>
  <c r="H9"/>
  <c r="H9" i="7" s="1"/>
  <c r="J11" i="33"/>
  <c r="J139"/>
  <c r="H139" i="7"/>
  <c r="H136" i="33"/>
  <c r="H134" i="9"/>
  <c r="H134" i="10" s="1"/>
  <c r="J134" s="1"/>
  <c r="J134" i="8"/>
  <c r="H126" i="33"/>
  <c r="H128"/>
  <c r="H127"/>
  <c r="H125"/>
  <c r="H124"/>
  <c r="H101"/>
  <c r="H100"/>
  <c r="H99"/>
  <c r="H98"/>
  <c r="H97"/>
  <c r="H102"/>
  <c r="H82"/>
  <c r="H80"/>
  <c r="H79"/>
  <c r="H78"/>
  <c r="H76"/>
  <c r="H75"/>
  <c r="H74"/>
  <c r="H73" i="7"/>
  <c r="J73" i="33"/>
  <c r="H67"/>
  <c r="H66"/>
  <c r="H65"/>
  <c r="H63"/>
  <c r="H58"/>
  <c r="H53"/>
  <c r="H52"/>
  <c r="H51"/>
  <c r="H59"/>
  <c r="H49"/>
  <c r="H43" i="7"/>
  <c r="J43" i="33"/>
  <c r="H143"/>
  <c r="H145"/>
  <c r="H39"/>
  <c r="J12"/>
  <c r="G154" i="15" l="1"/>
  <c r="L17" i="1"/>
  <c r="G148" i="15"/>
  <c r="G144"/>
  <c r="G150"/>
  <c r="O36" i="1"/>
  <c r="G15" i="18"/>
  <c r="D21" i="44" s="1"/>
  <c r="I13" i="15"/>
  <c r="I59"/>
  <c r="G148" i="9"/>
  <c r="G152"/>
  <c r="G150"/>
  <c r="G154"/>
  <c r="O7"/>
  <c r="I59"/>
  <c r="G146"/>
  <c r="BL10" i="1"/>
  <c r="G15" i="9"/>
  <c r="G129" s="1"/>
  <c r="BN10" i="1"/>
  <c r="BM10"/>
  <c r="E8" i="47"/>
  <c r="E15" i="11"/>
  <c r="D20" i="44"/>
  <c r="E28" i="17"/>
  <c r="G28" s="1"/>
  <c r="G32" s="1"/>
  <c r="M19" i="1"/>
  <c r="AN20" i="44"/>
  <c r="G129" i="17"/>
  <c r="H129" s="1"/>
  <c r="J129" s="1"/>
  <c r="BO18" i="1"/>
  <c r="BO36" s="1"/>
  <c r="E15" i="20"/>
  <c r="BG7" i="49"/>
  <c r="AT10" i="44"/>
  <c r="BG8" i="49"/>
  <c r="AT11" i="44"/>
  <c r="BM8" i="49" s="1"/>
  <c r="G7" i="47"/>
  <c r="M7" s="1"/>
  <c r="O9" i="1"/>
  <c r="BM16" i="49"/>
  <c r="BA19" i="44"/>
  <c r="G8" i="47"/>
  <c r="O10" i="1"/>
  <c r="BO10" s="1"/>
  <c r="G9" i="18"/>
  <c r="G13" s="1"/>
  <c r="G7" i="16"/>
  <c r="E9" i="20"/>
  <c r="G9" i="19"/>
  <c r="G13" s="1"/>
  <c r="K7" i="17"/>
  <c r="E7" i="18"/>
  <c r="G7" i="17"/>
  <c r="E9" i="47"/>
  <c r="L11" i="1"/>
  <c r="BL11"/>
  <c r="BN11"/>
  <c r="BM11"/>
  <c r="G7" i="11"/>
  <c r="G7" i="10"/>
  <c r="J119" i="31"/>
  <c r="N119"/>
  <c r="J120"/>
  <c r="N120"/>
  <c r="H151" i="33"/>
  <c r="J151" s="1"/>
  <c r="H120" i="7"/>
  <c r="H120" i="8" s="1"/>
  <c r="H18" i="33"/>
  <c r="H18" i="7" s="1"/>
  <c r="H31"/>
  <c r="J31" i="33"/>
  <c r="J119" i="7"/>
  <c r="H119" i="8"/>
  <c r="H152" i="33"/>
  <c r="J152" s="1"/>
  <c r="H154"/>
  <c r="J154" s="1"/>
  <c r="J81"/>
  <c r="H129"/>
  <c r="J129" s="1"/>
  <c r="H22" i="7"/>
  <c r="H22" i="8" s="1"/>
  <c r="H22" i="9" s="1"/>
  <c r="H22" i="10" s="1"/>
  <c r="J22" s="1"/>
  <c r="J30" i="33"/>
  <c r="H28" i="7"/>
  <c r="J28" i="33"/>
  <c r="H27"/>
  <c r="H46"/>
  <c r="J46" s="1"/>
  <c r="H133"/>
  <c r="H133" i="7" s="1"/>
  <c r="J141" i="33"/>
  <c r="J24" i="8"/>
  <c r="H24" i="9"/>
  <c r="H24" i="10" s="1"/>
  <c r="J24" s="1"/>
  <c r="J23" i="33"/>
  <c r="H23" i="7"/>
  <c r="J19" i="33"/>
  <c r="H95" i="8"/>
  <c r="J95" i="7"/>
  <c r="H56" i="33"/>
  <c r="H132" i="8"/>
  <c r="J132" i="7"/>
  <c r="H137"/>
  <c r="J137" i="33"/>
  <c r="J131"/>
  <c r="H131" i="7"/>
  <c r="H138"/>
  <c r="J138" i="33"/>
  <c r="J93"/>
  <c r="H93" i="7"/>
  <c r="H77"/>
  <c r="J77" i="33"/>
  <c r="J64"/>
  <c r="H64" i="7"/>
  <c r="J62" i="33"/>
  <c r="H62" i="7"/>
  <c r="H68" i="8"/>
  <c r="J68" i="7"/>
  <c r="H50" i="33"/>
  <c r="J57" i="7"/>
  <c r="H57" i="8"/>
  <c r="H37" i="33"/>
  <c r="H36"/>
  <c r="H45" i="8"/>
  <c r="J45" i="7"/>
  <c r="H44" i="33"/>
  <c r="H38" i="7"/>
  <c r="J38" i="33"/>
  <c r="H40" i="7"/>
  <c r="J40" i="33"/>
  <c r="J35"/>
  <c r="H35" i="7"/>
  <c r="J9" i="33"/>
  <c r="H11" i="8"/>
  <c r="J11" i="7"/>
  <c r="J19"/>
  <c r="H19" i="8"/>
  <c r="J141" i="7"/>
  <c r="H141" i="8"/>
  <c r="H140" i="33"/>
  <c r="J139" i="7"/>
  <c r="H139" i="8"/>
  <c r="J136" i="33"/>
  <c r="H136" i="7"/>
  <c r="H135" i="33"/>
  <c r="J134" i="9"/>
  <c r="J126" i="33"/>
  <c r="H126" i="7"/>
  <c r="H128"/>
  <c r="J128" i="33"/>
  <c r="J127"/>
  <c r="H127" i="7"/>
  <c r="H125"/>
  <c r="J125" i="33"/>
  <c r="H124" i="7"/>
  <c r="J124" i="33"/>
  <c r="H101" i="7"/>
  <c r="J101" i="33"/>
  <c r="H100" i="7"/>
  <c r="J100" i="33"/>
  <c r="J99"/>
  <c r="H99" i="7"/>
  <c r="H98"/>
  <c r="J98" i="33"/>
  <c r="J97"/>
  <c r="H97" i="7"/>
  <c r="H102"/>
  <c r="J102" i="33"/>
  <c r="H96"/>
  <c r="H94"/>
  <c r="H84"/>
  <c r="H85"/>
  <c r="H83" i="7"/>
  <c r="J83" i="33"/>
  <c r="J82"/>
  <c r="H82" i="7"/>
  <c r="J81"/>
  <c r="H81" i="8"/>
  <c r="J80" i="33"/>
  <c r="H80" i="7"/>
  <c r="J79" i="33"/>
  <c r="H79" i="7"/>
  <c r="J78" i="33"/>
  <c r="H78" i="7"/>
  <c r="J76" i="33"/>
  <c r="H76" i="7"/>
  <c r="J75" i="33"/>
  <c r="H75" i="7"/>
  <c r="J74" i="33"/>
  <c r="H74" i="7"/>
  <c r="J73"/>
  <c r="H73" i="8"/>
  <c r="H72" i="33"/>
  <c r="H69"/>
  <c r="H67" i="7"/>
  <c r="J67" i="33"/>
  <c r="J66"/>
  <c r="H66" i="7"/>
  <c r="J65" i="33"/>
  <c r="H65" i="7"/>
  <c r="J63" i="33"/>
  <c r="H63" i="7"/>
  <c r="J58" i="33"/>
  <c r="H58" i="7"/>
  <c r="H55" i="33"/>
  <c r="H54"/>
  <c r="J53"/>
  <c r="H53" i="7"/>
  <c r="H149" i="33"/>
  <c r="H52" i="7"/>
  <c r="J52" i="33"/>
  <c r="H51" i="7"/>
  <c r="J51" i="33"/>
  <c r="H59" i="7"/>
  <c r="J59" i="33"/>
  <c r="J49"/>
  <c r="H49" i="7"/>
  <c r="H43" i="8"/>
  <c r="J43" i="7"/>
  <c r="J143" i="33"/>
  <c r="H143" i="7"/>
  <c r="H42" i="33"/>
  <c r="J145"/>
  <c r="H145" i="7"/>
  <c r="H41" i="33"/>
  <c r="H39" i="7"/>
  <c r="J39" i="33"/>
  <c r="H147"/>
  <c r="H15"/>
  <c r="H12" i="8"/>
  <c r="J12" i="7"/>
  <c r="J10" i="33"/>
  <c r="H13"/>
  <c r="H13" i="7" s="1"/>
  <c r="H150" i="33"/>
  <c r="H7"/>
  <c r="H144"/>
  <c r="H146"/>
  <c r="H148"/>
  <c r="BL17" i="1" l="1"/>
  <c r="BM17"/>
  <c r="BN17"/>
  <c r="E15" i="47"/>
  <c r="M15" s="1"/>
  <c r="AN21" i="44"/>
  <c r="BG18" i="49" s="1"/>
  <c r="M20" i="1"/>
  <c r="O20" s="1"/>
  <c r="BO20" s="1"/>
  <c r="G129" i="18"/>
  <c r="H129" s="1"/>
  <c r="J129" s="1"/>
  <c r="E28"/>
  <c r="G28" s="1"/>
  <c r="G32" s="1"/>
  <c r="G15" i="19"/>
  <c r="E28" s="1"/>
  <c r="G28" s="1"/>
  <c r="G32" s="1"/>
  <c r="G15" i="10"/>
  <c r="AN13" i="44" s="1"/>
  <c r="M11" i="1"/>
  <c r="O11" s="1"/>
  <c r="BO11" s="1"/>
  <c r="M8" i="47"/>
  <c r="E28" i="9"/>
  <c r="G28" s="1"/>
  <c r="G32" s="1"/>
  <c r="AN12" i="44"/>
  <c r="AT12" s="1"/>
  <c r="BM9" i="49" s="1"/>
  <c r="D12" i="44"/>
  <c r="E15" i="21"/>
  <c r="G15" i="20"/>
  <c r="E15" i="12"/>
  <c r="BM7" i="49"/>
  <c r="G17" i="47"/>
  <c r="O19" i="1"/>
  <c r="BO19" s="1"/>
  <c r="M12"/>
  <c r="BO9"/>
  <c r="BG17" i="49"/>
  <c r="AT20" i="44"/>
  <c r="B14"/>
  <c r="G146" i="11"/>
  <c r="G148"/>
  <c r="G152"/>
  <c r="G154"/>
  <c r="G150"/>
  <c r="G144"/>
  <c r="I13"/>
  <c r="I59"/>
  <c r="E7" i="19"/>
  <c r="G7" i="18"/>
  <c r="I13" s="1"/>
  <c r="B13" i="44"/>
  <c r="G146" i="10"/>
  <c r="G144"/>
  <c r="G154"/>
  <c r="I13"/>
  <c r="G150"/>
  <c r="G152"/>
  <c r="G148"/>
  <c r="I59"/>
  <c r="B20" i="44"/>
  <c r="G146" i="17"/>
  <c r="G144"/>
  <c r="G148"/>
  <c r="G150"/>
  <c r="G152"/>
  <c r="G154"/>
  <c r="I59"/>
  <c r="I13"/>
  <c r="I60" i="18"/>
  <c r="I60" i="19"/>
  <c r="B19" i="44"/>
  <c r="G150" i="16"/>
  <c r="G148"/>
  <c r="G152"/>
  <c r="G146"/>
  <c r="G144"/>
  <c r="G154"/>
  <c r="I59"/>
  <c r="I13"/>
  <c r="E9" i="21"/>
  <c r="H151" i="7"/>
  <c r="H151" i="8" s="1"/>
  <c r="J120" i="7"/>
  <c r="J18" i="33"/>
  <c r="H31" i="8"/>
  <c r="J31" i="7"/>
  <c r="H119" i="9"/>
  <c r="J119" i="8"/>
  <c r="H120" i="9"/>
  <c r="J120" i="8"/>
  <c r="H153" i="33"/>
  <c r="H129" i="7"/>
  <c r="J129" s="1"/>
  <c r="J22" i="8"/>
  <c r="J22" i="7"/>
  <c r="J22" i="9"/>
  <c r="H30" i="7"/>
  <c r="J30" s="1"/>
  <c r="H28" i="8"/>
  <c r="J28" i="7"/>
  <c r="H27"/>
  <c r="J27" i="33"/>
  <c r="H46" i="7"/>
  <c r="H46" i="8" s="1"/>
  <c r="J133" i="33"/>
  <c r="J24" i="9"/>
  <c r="J23" i="7"/>
  <c r="H23" i="8"/>
  <c r="H22" i="11"/>
  <c r="J95" i="8"/>
  <c r="H95" i="9"/>
  <c r="H95" i="10" s="1"/>
  <c r="J95" s="1"/>
  <c r="H18" i="8"/>
  <c r="J18" i="7"/>
  <c r="J56" i="33"/>
  <c r="H56" i="7"/>
  <c r="H138" i="8"/>
  <c r="J138" i="7"/>
  <c r="J137"/>
  <c r="H137" i="8"/>
  <c r="J132"/>
  <c r="H132" i="9"/>
  <c r="H132" i="10" s="1"/>
  <c r="J132" s="1"/>
  <c r="H131" i="8"/>
  <c r="J131" i="7"/>
  <c r="J93"/>
  <c r="H93" i="8"/>
  <c r="J77" i="7"/>
  <c r="H77" i="8"/>
  <c r="H68" i="9"/>
  <c r="H68" i="10" s="1"/>
  <c r="J68" s="1"/>
  <c r="J68" i="8"/>
  <c r="H64"/>
  <c r="J64" i="7"/>
  <c r="H62" i="8"/>
  <c r="J62" i="7"/>
  <c r="H50"/>
  <c r="J50" i="33"/>
  <c r="J57" i="8"/>
  <c r="H57" i="9"/>
  <c r="H57" i="10" s="1"/>
  <c r="J57" s="1"/>
  <c r="H36" i="7"/>
  <c r="J36" i="33"/>
  <c r="J37"/>
  <c r="H37" i="7"/>
  <c r="H40" i="8"/>
  <c r="J40" i="7"/>
  <c r="J45" i="8"/>
  <c r="H45" i="9"/>
  <c r="H45" i="10" s="1"/>
  <c r="J38" i="7"/>
  <c r="H38" i="8"/>
  <c r="J44" i="33"/>
  <c r="H44" i="7"/>
  <c r="H35" i="8"/>
  <c r="J35" i="7"/>
  <c r="H20" i="33"/>
  <c r="J9" i="7"/>
  <c r="H9" i="8"/>
  <c r="H11" i="9"/>
  <c r="H11" i="10" s="1"/>
  <c r="J11" s="1"/>
  <c r="J11" i="8"/>
  <c r="H19" i="9"/>
  <c r="H19" i="10" s="1"/>
  <c r="J19" s="1"/>
  <c r="J19" i="8"/>
  <c r="H141" i="9"/>
  <c r="H141" i="10" s="1"/>
  <c r="J141" s="1"/>
  <c r="J141" i="8"/>
  <c r="J140" i="33"/>
  <c r="H140" i="7"/>
  <c r="H139" i="9"/>
  <c r="H139" i="10" s="1"/>
  <c r="J139" s="1"/>
  <c r="J139" i="8"/>
  <c r="J136" i="7"/>
  <c r="H136" i="8"/>
  <c r="H135" i="7"/>
  <c r="J135" i="33"/>
  <c r="H134" i="11"/>
  <c r="H133" i="8"/>
  <c r="J133" i="7"/>
  <c r="H126" i="8"/>
  <c r="J126" i="7"/>
  <c r="H128" i="8"/>
  <c r="J128" i="7"/>
  <c r="H127" i="8"/>
  <c r="J127" i="7"/>
  <c r="H125" i="8"/>
  <c r="J125" i="7"/>
  <c r="H124" i="8"/>
  <c r="J124" i="7"/>
  <c r="J101"/>
  <c r="H101" i="8"/>
  <c r="H100"/>
  <c r="J100" i="7"/>
  <c r="J99"/>
  <c r="H99" i="8"/>
  <c r="H98"/>
  <c r="J98" i="7"/>
  <c r="J97"/>
  <c r="H97" i="8"/>
  <c r="H102"/>
  <c r="J102" i="7"/>
  <c r="J96" i="33"/>
  <c r="H96" i="7"/>
  <c r="J94" i="33"/>
  <c r="H94" i="7"/>
  <c r="H84"/>
  <c r="J84" i="33"/>
  <c r="J85"/>
  <c r="H85" i="7"/>
  <c r="J83"/>
  <c r="H83" i="8"/>
  <c r="J82" i="7"/>
  <c r="H82" i="8"/>
  <c r="H81" i="9"/>
  <c r="H81" i="10" s="1"/>
  <c r="J81" s="1"/>
  <c r="J81" i="8"/>
  <c r="J80" i="7"/>
  <c r="H80" i="8"/>
  <c r="H79"/>
  <c r="J79" i="7"/>
  <c r="H78" i="8"/>
  <c r="J78" i="7"/>
  <c r="H76" i="8"/>
  <c r="J76" i="7"/>
  <c r="J75"/>
  <c r="H75" i="8"/>
  <c r="H74"/>
  <c r="J74" i="7"/>
  <c r="H73" i="9"/>
  <c r="H73" i="10" s="1"/>
  <c r="J73" s="1"/>
  <c r="J73" i="8"/>
  <c r="J72" i="33"/>
  <c r="H72" i="7"/>
  <c r="J69" i="33"/>
  <c r="H69" i="7"/>
  <c r="J67"/>
  <c r="H67" i="8"/>
  <c r="H66"/>
  <c r="J66" i="7"/>
  <c r="J65"/>
  <c r="H65" i="8"/>
  <c r="H63"/>
  <c r="J63" i="7"/>
  <c r="J58"/>
  <c r="H58" i="8"/>
  <c r="J55" i="33"/>
  <c r="H55" i="7"/>
  <c r="H54"/>
  <c r="J54" i="33"/>
  <c r="H53" i="8"/>
  <c r="J53" i="7"/>
  <c r="H149"/>
  <c r="J149" i="33"/>
  <c r="H52" i="8"/>
  <c r="J52" i="7"/>
  <c r="J51"/>
  <c r="H51" i="8"/>
  <c r="J49" i="7"/>
  <c r="H49" i="8"/>
  <c r="H59"/>
  <c r="J59" i="7"/>
  <c r="J143"/>
  <c r="H143" i="8"/>
  <c r="J43"/>
  <c r="H43" i="9"/>
  <c r="H43" i="10" s="1"/>
  <c r="J43" s="1"/>
  <c r="J42" i="33"/>
  <c r="H42" i="7"/>
  <c r="J145"/>
  <c r="H145" i="8"/>
  <c r="H41" i="7"/>
  <c r="J41" i="33"/>
  <c r="J147"/>
  <c r="H147" i="7"/>
  <c r="H47" i="33"/>
  <c r="J39" i="7"/>
  <c r="H39" i="8"/>
  <c r="J15" i="33"/>
  <c r="I16" s="1"/>
  <c r="H15" i="7"/>
  <c r="J12" i="8"/>
  <c r="H12" i="9"/>
  <c r="H12" i="10" s="1"/>
  <c r="J12" s="1"/>
  <c r="J10" i="7"/>
  <c r="H10" i="8"/>
  <c r="J13" i="33"/>
  <c r="H7" i="7"/>
  <c r="J7" i="33"/>
  <c r="J148"/>
  <c r="H148" i="7"/>
  <c r="H152"/>
  <c r="J152" s="1"/>
  <c r="H154"/>
  <c r="J154" s="1"/>
  <c r="H146"/>
  <c r="J146" i="33"/>
  <c r="J144"/>
  <c r="H144" i="7"/>
  <c r="J150" i="33"/>
  <c r="H150" i="7"/>
  <c r="G129" i="19" l="1"/>
  <c r="D13" i="44"/>
  <c r="E28" i="10"/>
  <c r="G28" s="1"/>
  <c r="G32" s="1"/>
  <c r="M21" i="1"/>
  <c r="O21" s="1"/>
  <c r="BO21" s="1"/>
  <c r="AN22" i="44"/>
  <c r="BG19" i="49" s="1"/>
  <c r="G129" i="10"/>
  <c r="G18" i="47"/>
  <c r="AT21" i="44"/>
  <c r="BA21" s="1"/>
  <c r="H129" i="19"/>
  <c r="J129" s="1"/>
  <c r="D22" i="44"/>
  <c r="G9" i="47"/>
  <c r="M9" s="1"/>
  <c r="G15" i="11"/>
  <c r="E28" s="1"/>
  <c r="G28" s="1"/>
  <c r="G32" s="1"/>
  <c r="G9" i="20"/>
  <c r="G13" s="1"/>
  <c r="I60" s="1"/>
  <c r="BG9" i="49"/>
  <c r="E15" i="22"/>
  <c r="D23" i="44"/>
  <c r="AN23"/>
  <c r="M22" i="1"/>
  <c r="E28" i="20"/>
  <c r="G28" s="1"/>
  <c r="G32" s="1"/>
  <c r="G129"/>
  <c r="E15" i="13"/>
  <c r="G15" s="1"/>
  <c r="G10" i="47"/>
  <c r="O12" i="1"/>
  <c r="BM17" i="49"/>
  <c r="BA20" i="44"/>
  <c r="BG10" i="49"/>
  <c r="AT13" i="44"/>
  <c r="BM10" i="49" s="1"/>
  <c r="E11" i="47"/>
  <c r="BM13" i="1"/>
  <c r="L13"/>
  <c r="BN13"/>
  <c r="BL13"/>
  <c r="E7" i="20"/>
  <c r="G7" i="19"/>
  <c r="B21" i="44"/>
  <c r="G144" i="18"/>
  <c r="G150"/>
  <c r="G154"/>
  <c r="G152"/>
  <c r="G148"/>
  <c r="G146"/>
  <c r="I59"/>
  <c r="E16" i="47"/>
  <c r="M16" s="1"/>
  <c r="BM18" i="1"/>
  <c r="BM36" s="1"/>
  <c r="BN18"/>
  <c r="L18"/>
  <c r="L36" s="1"/>
  <c r="BL18"/>
  <c r="BL36" s="1"/>
  <c r="I36"/>
  <c r="E10" i="47"/>
  <c r="BL12" i="1"/>
  <c r="L12"/>
  <c r="BM12"/>
  <c r="BN12"/>
  <c r="E9" i="22"/>
  <c r="E17" i="47"/>
  <c r="M17" s="1"/>
  <c r="BM19" i="1"/>
  <c r="BL19"/>
  <c r="L19"/>
  <c r="BN19"/>
  <c r="J45" i="10"/>
  <c r="H45" i="11"/>
  <c r="H29" i="33"/>
  <c r="J29" s="1"/>
  <c r="J151" i="7"/>
  <c r="H120" i="10"/>
  <c r="J120" i="9"/>
  <c r="H31"/>
  <c r="J31" i="8"/>
  <c r="H119" i="10"/>
  <c r="J119" i="9"/>
  <c r="J153" i="33"/>
  <c r="H153" i="7"/>
  <c r="H129" i="8"/>
  <c r="J129" s="1"/>
  <c r="H30"/>
  <c r="J30" s="1"/>
  <c r="H28" i="9"/>
  <c r="H28" i="10" s="1"/>
  <c r="J28" s="1"/>
  <c r="J28" i="8"/>
  <c r="H27"/>
  <c r="J27" i="7"/>
  <c r="J46"/>
  <c r="H24" i="11"/>
  <c r="J23" i="8"/>
  <c r="H23" i="9"/>
  <c r="H23" i="10" s="1"/>
  <c r="J23" s="1"/>
  <c r="H22" i="12"/>
  <c r="J22" i="11"/>
  <c r="J95" i="9"/>
  <c r="J18" i="8"/>
  <c r="H18" i="9"/>
  <c r="H18" i="10" s="1"/>
  <c r="J18" s="1"/>
  <c r="J56" i="7"/>
  <c r="H56" i="8"/>
  <c r="H131" i="9"/>
  <c r="H131" i="10" s="1"/>
  <c r="J131" s="1"/>
  <c r="J131" i="8"/>
  <c r="J138"/>
  <c r="H138" i="9"/>
  <c r="H138" i="10" s="1"/>
  <c r="J138" s="1"/>
  <c r="J132" i="9"/>
  <c r="J137" i="8"/>
  <c r="H137" i="9"/>
  <c r="H137" i="10" s="1"/>
  <c r="J137" s="1"/>
  <c r="H93" i="9"/>
  <c r="H93" i="10" s="1"/>
  <c r="J93" s="1"/>
  <c r="J93" i="8"/>
  <c r="H77" i="9"/>
  <c r="J77" i="8"/>
  <c r="H64" i="9"/>
  <c r="H64" i="10" s="1"/>
  <c r="J64" s="1"/>
  <c r="J64" i="8"/>
  <c r="H62" i="9"/>
  <c r="H62" i="10" s="1"/>
  <c r="J62" s="1"/>
  <c r="J62" i="8"/>
  <c r="J68" i="9"/>
  <c r="J50" i="7"/>
  <c r="H50" i="8"/>
  <c r="J57" i="9"/>
  <c r="H57" i="12"/>
  <c r="J57" s="1"/>
  <c r="J36" i="7"/>
  <c r="H36" i="8"/>
  <c r="H37"/>
  <c r="J37" i="7"/>
  <c r="J44"/>
  <c r="H44" i="8"/>
  <c r="J45" i="9"/>
  <c r="H35"/>
  <c r="H35" i="10" s="1"/>
  <c r="J35" s="1"/>
  <c r="J35" i="8"/>
  <c r="J40"/>
  <c r="H40" i="9"/>
  <c r="H40" i="10" s="1"/>
  <c r="J40" s="1"/>
  <c r="H38" i="9"/>
  <c r="H38" i="10" s="1"/>
  <c r="J38" s="1"/>
  <c r="J38" i="8"/>
  <c r="J20" i="33"/>
  <c r="H20" i="7"/>
  <c r="H9" i="9"/>
  <c r="H9" i="10" s="1"/>
  <c r="J9" s="1"/>
  <c r="J9" i="8"/>
  <c r="J11" i="9"/>
  <c r="H11" i="11"/>
  <c r="J11" s="1"/>
  <c r="J19" i="9"/>
  <c r="J141"/>
  <c r="J140" i="7"/>
  <c r="H140" i="8"/>
  <c r="J139" i="9"/>
  <c r="J136" i="8"/>
  <c r="H136" i="9"/>
  <c r="H136" i="10" s="1"/>
  <c r="J136" s="1"/>
  <c r="J135" i="7"/>
  <c r="H135" i="8"/>
  <c r="H134" i="12"/>
  <c r="J134" i="11"/>
  <c r="J133" i="8"/>
  <c r="H133" i="9"/>
  <c r="H133" i="10" s="1"/>
  <c r="J133" s="1"/>
  <c r="H126" i="9"/>
  <c r="H126" i="10" s="1"/>
  <c r="J126" s="1"/>
  <c r="J126" i="8"/>
  <c r="J128"/>
  <c r="H128" i="9"/>
  <c r="H128" i="10" s="1"/>
  <c r="J128" s="1"/>
  <c r="J127" i="8"/>
  <c r="H127" i="9"/>
  <c r="H127" i="10" s="1"/>
  <c r="J127" s="1"/>
  <c r="H125" i="9"/>
  <c r="H125" i="10" s="1"/>
  <c r="J125" s="1"/>
  <c r="J125" i="8"/>
  <c r="H124" i="9"/>
  <c r="H124" i="10" s="1"/>
  <c r="J124" s="1"/>
  <c r="J124" i="8"/>
  <c r="J101"/>
  <c r="H101" i="9"/>
  <c r="H101" i="10" s="1"/>
  <c r="J101" s="1"/>
  <c r="H100" i="9"/>
  <c r="H100" i="10" s="1"/>
  <c r="J100" s="1"/>
  <c r="J100" i="8"/>
  <c r="J99"/>
  <c r="H99" i="9"/>
  <c r="H99" i="10" s="1"/>
  <c r="J99" s="1"/>
  <c r="H98" i="9"/>
  <c r="H98" i="10" s="1"/>
  <c r="J98" s="1"/>
  <c r="J98" i="8"/>
  <c r="J97"/>
  <c r="H97" i="9"/>
  <c r="H97" i="10" s="1"/>
  <c r="J97" s="1"/>
  <c r="H96" i="8"/>
  <c r="J96" i="7"/>
  <c r="H102" i="9"/>
  <c r="H102" i="10" s="1"/>
  <c r="J102" s="1"/>
  <c r="J102" i="8"/>
  <c r="H94"/>
  <c r="J94" i="7"/>
  <c r="H84" i="8"/>
  <c r="J84" i="7"/>
  <c r="H85" i="8"/>
  <c r="J85" i="7"/>
  <c r="J83" i="8"/>
  <c r="H83" i="9"/>
  <c r="H83" i="10" s="1"/>
  <c r="J83" s="1"/>
  <c r="J82" i="8"/>
  <c r="H82" i="9"/>
  <c r="H82" i="10" s="1"/>
  <c r="J82" s="1"/>
  <c r="J81" i="9"/>
  <c r="J80" i="8"/>
  <c r="H80" i="9"/>
  <c r="H80" i="10" s="1"/>
  <c r="J80" s="1"/>
  <c r="H79" i="9"/>
  <c r="H79" i="10" s="1"/>
  <c r="J79" s="1"/>
  <c r="J79" i="8"/>
  <c r="J78"/>
  <c r="H78" i="9"/>
  <c r="H78" i="10" s="1"/>
  <c r="J78" s="1"/>
  <c r="J76" i="8"/>
  <c r="H76" i="9"/>
  <c r="H76" i="10" s="1"/>
  <c r="J76" s="1"/>
  <c r="H75" i="9"/>
  <c r="H75" i="10" s="1"/>
  <c r="J75" s="1"/>
  <c r="J75" i="8"/>
  <c r="J74"/>
  <c r="H74" i="9"/>
  <c r="H74" i="10" s="1"/>
  <c r="J74" s="1"/>
  <c r="J73" i="9"/>
  <c r="J72" i="7"/>
  <c r="H72" i="8"/>
  <c r="J69" i="7"/>
  <c r="H69" i="8"/>
  <c r="J67"/>
  <c r="H67" i="9"/>
  <c r="H67" i="10" s="1"/>
  <c r="J67" s="1"/>
  <c r="H66" i="9"/>
  <c r="H66" i="10" s="1"/>
  <c r="J66" s="1"/>
  <c r="J66" i="8"/>
  <c r="J65"/>
  <c r="H65" i="9"/>
  <c r="H65" i="10" s="1"/>
  <c r="J65" s="1"/>
  <c r="H63" i="9"/>
  <c r="H63" i="10" s="1"/>
  <c r="J63" s="1"/>
  <c r="J63" i="8"/>
  <c r="H58" i="9"/>
  <c r="H58" i="10" s="1"/>
  <c r="J58" s="1"/>
  <c r="J58" i="8"/>
  <c r="H55"/>
  <c r="J55" i="7"/>
  <c r="J54"/>
  <c r="H54" i="8"/>
  <c r="J53"/>
  <c r="H53" i="9"/>
  <c r="H53" i="10" s="1"/>
  <c r="J53" s="1"/>
  <c r="J149" i="7"/>
  <c r="H149" i="8"/>
  <c r="H52" i="9"/>
  <c r="H52" i="10" s="1"/>
  <c r="J52" s="1"/>
  <c r="J52" i="8"/>
  <c r="H51" i="9"/>
  <c r="H51" i="10" s="1"/>
  <c r="J51" s="1"/>
  <c r="J51" i="8"/>
  <c r="H49" i="9"/>
  <c r="H49" i="10" s="1"/>
  <c r="J49" s="1"/>
  <c r="J49" i="8"/>
  <c r="H59" i="9"/>
  <c r="H59" i="10" s="1"/>
  <c r="J59" s="1"/>
  <c r="J59" i="8"/>
  <c r="H46" i="9"/>
  <c r="H46" i="10" s="1"/>
  <c r="J46" i="8"/>
  <c r="H143" i="9"/>
  <c r="H143" i="10" s="1"/>
  <c r="J143" s="1"/>
  <c r="J143" i="8"/>
  <c r="J43" i="9"/>
  <c r="H42" i="8"/>
  <c r="J42" i="7"/>
  <c r="H145" i="9"/>
  <c r="H145" i="10" s="1"/>
  <c r="J145" s="1"/>
  <c r="J145" i="8"/>
  <c r="H41"/>
  <c r="J41" i="7"/>
  <c r="H60" i="33"/>
  <c r="H39" i="9"/>
  <c r="H39" i="10" s="1"/>
  <c r="J39" s="1"/>
  <c r="J39" i="8"/>
  <c r="J147" i="7"/>
  <c r="H147" i="8"/>
  <c r="J47" i="33"/>
  <c r="H47" i="7"/>
  <c r="J151" i="8"/>
  <c r="H151" i="9"/>
  <c r="H151" i="10" s="1"/>
  <c r="J151" s="1"/>
  <c r="J15" i="7"/>
  <c r="I16" s="1"/>
  <c r="H15" i="8"/>
  <c r="H12" i="11"/>
  <c r="J12" s="1"/>
  <c r="J12" i="9"/>
  <c r="H10"/>
  <c r="H10" i="10" s="1"/>
  <c r="J10" s="1"/>
  <c r="J10" i="8"/>
  <c r="H13"/>
  <c r="J13" i="7"/>
  <c r="H150" i="8"/>
  <c r="J150" i="7"/>
  <c r="H154" i="8"/>
  <c r="J154" s="1"/>
  <c r="H144"/>
  <c r="J144" i="7"/>
  <c r="H152" i="8"/>
  <c r="J152" s="1"/>
  <c r="H148"/>
  <c r="J148" i="7"/>
  <c r="H146" i="8"/>
  <c r="J146" i="7"/>
  <c r="J7"/>
  <c r="H7" i="8"/>
  <c r="M10" i="47" l="1"/>
  <c r="D14" i="44"/>
  <c r="AN14"/>
  <c r="AT22"/>
  <c r="G19" i="47"/>
  <c r="BM18" i="49"/>
  <c r="H129" i="20"/>
  <c r="J129" s="1"/>
  <c r="G15" i="21"/>
  <c r="AN24" i="44" s="1"/>
  <c r="G129" i="11"/>
  <c r="M13" i="1"/>
  <c r="O13" s="1"/>
  <c r="BO13" s="1"/>
  <c r="G9" i="21"/>
  <c r="G13" s="1"/>
  <c r="I60" s="1"/>
  <c r="G15" i="12"/>
  <c r="D15" i="44" s="1"/>
  <c r="E28" i="13"/>
  <c r="G28" s="1"/>
  <c r="G32" s="1"/>
  <c r="M15" i="1"/>
  <c r="AN16" i="44"/>
  <c r="G129" i="13"/>
  <c r="D16" i="44"/>
  <c r="E15" i="23"/>
  <c r="BM19" i="49"/>
  <c r="BA22" i="44"/>
  <c r="BG11" i="49"/>
  <c r="AT14" i="44"/>
  <c r="BG20" i="49"/>
  <c r="AT23" i="44"/>
  <c r="G20" i="47"/>
  <c r="O22" i="1"/>
  <c r="BO22" s="1"/>
  <c r="BO12"/>
  <c r="E18" i="47"/>
  <c r="M18" s="1"/>
  <c r="L20" i="1"/>
  <c r="BN20"/>
  <c r="BM20"/>
  <c r="BL20"/>
  <c r="E7" i="21"/>
  <c r="G7" i="20"/>
  <c r="E9" i="23"/>
  <c r="B22" i="44"/>
  <c r="G152" i="19"/>
  <c r="G146"/>
  <c r="G150"/>
  <c r="G154"/>
  <c r="G148"/>
  <c r="G144"/>
  <c r="I59"/>
  <c r="I13"/>
  <c r="J46" i="10"/>
  <c r="H46" i="11"/>
  <c r="H29" i="7"/>
  <c r="J29" s="1"/>
  <c r="H32" i="33"/>
  <c r="H32" i="7" s="1"/>
  <c r="J119" i="10"/>
  <c r="H119" i="11"/>
  <c r="J119" s="1"/>
  <c r="J120" i="10"/>
  <c r="H120" i="11"/>
  <c r="J120" s="1"/>
  <c r="J31" i="9"/>
  <c r="H31" i="10"/>
  <c r="J153" i="7"/>
  <c r="H153" i="8"/>
  <c r="J77" i="9"/>
  <c r="H77" i="10"/>
  <c r="J77" s="1"/>
  <c r="H30" i="9"/>
  <c r="J27" i="8"/>
  <c r="H27" i="9"/>
  <c r="H27" i="10" s="1"/>
  <c r="J27" s="1"/>
  <c r="H28" i="11"/>
  <c r="J28" i="9"/>
  <c r="J24" i="11"/>
  <c r="H24" i="12"/>
  <c r="J23" i="9"/>
  <c r="H22" i="13"/>
  <c r="J22" i="12"/>
  <c r="H95" i="11"/>
  <c r="J18" i="9"/>
  <c r="H56"/>
  <c r="H56" i="10" s="1"/>
  <c r="J56" s="1"/>
  <c r="J56" i="8"/>
  <c r="H132" i="11"/>
  <c r="J131" i="9"/>
  <c r="J137"/>
  <c r="J138"/>
  <c r="J93"/>
  <c r="H68" i="11"/>
  <c r="J62" i="9"/>
  <c r="J64"/>
  <c r="H50"/>
  <c r="H50" i="10" s="1"/>
  <c r="J50" s="1"/>
  <c r="J50" i="8"/>
  <c r="H57" i="11"/>
  <c r="H36" i="9"/>
  <c r="H36" i="10" s="1"/>
  <c r="J36" s="1"/>
  <c r="J36" i="8"/>
  <c r="H37" i="9"/>
  <c r="H37" i="10" s="1"/>
  <c r="J37" s="1"/>
  <c r="J37" i="8"/>
  <c r="J38" i="9"/>
  <c r="J35"/>
  <c r="J44" i="8"/>
  <c r="H44" i="9"/>
  <c r="H44" i="10" s="1"/>
  <c r="J40" i="9"/>
  <c r="H20" i="8"/>
  <c r="J20" i="7"/>
  <c r="J9" i="9"/>
  <c r="H9" i="11"/>
  <c r="J9" s="1"/>
  <c r="H19"/>
  <c r="H141"/>
  <c r="H140" i="9"/>
  <c r="H140" i="10" s="1"/>
  <c r="J140" s="1"/>
  <c r="J140" i="8"/>
  <c r="H139" i="11"/>
  <c r="J136" i="9"/>
  <c r="H135"/>
  <c r="H135" i="10" s="1"/>
  <c r="J135" s="1"/>
  <c r="J135" i="8"/>
  <c r="H134" i="13"/>
  <c r="J134" i="12"/>
  <c r="J133" i="9"/>
  <c r="J126"/>
  <c r="J128"/>
  <c r="J127"/>
  <c r="J125"/>
  <c r="J124"/>
  <c r="J101"/>
  <c r="J100"/>
  <c r="J99"/>
  <c r="J98"/>
  <c r="J97"/>
  <c r="J102"/>
  <c r="J96" i="8"/>
  <c r="H96" i="9"/>
  <c r="H96" i="10" s="1"/>
  <c r="J96" s="1"/>
  <c r="J94" i="8"/>
  <c r="H94" i="9"/>
  <c r="H94" i="10" s="1"/>
  <c r="J94" s="1"/>
  <c r="J84" i="8"/>
  <c r="H84" i="9"/>
  <c r="H84" i="10" s="1"/>
  <c r="J84" s="1"/>
  <c r="J85" i="8"/>
  <c r="H85" i="9"/>
  <c r="H85" i="10" s="1"/>
  <c r="J85" s="1"/>
  <c r="J83" i="9"/>
  <c r="J82"/>
  <c r="H81" i="11"/>
  <c r="J80" i="9"/>
  <c r="J79"/>
  <c r="J78"/>
  <c r="J76"/>
  <c r="J75"/>
  <c r="J74"/>
  <c r="H73" i="11"/>
  <c r="J72" i="8"/>
  <c r="H72" i="9"/>
  <c r="H72" i="10" s="1"/>
  <c r="J72" s="1"/>
  <c r="J69" i="8"/>
  <c r="H69" i="9"/>
  <c r="H69" i="10" s="1"/>
  <c r="J69" s="1"/>
  <c r="J67" i="9"/>
  <c r="J66"/>
  <c r="J65"/>
  <c r="J63"/>
  <c r="J58"/>
  <c r="H58" i="12"/>
  <c r="J58" s="1"/>
  <c r="J55" i="8"/>
  <c r="H55" i="9"/>
  <c r="H55" i="10" s="1"/>
  <c r="J55" s="1"/>
  <c r="J54" i="8"/>
  <c r="H54" i="9"/>
  <c r="H54" i="10" s="1"/>
  <c r="J54" s="1"/>
  <c r="H53" i="12"/>
  <c r="J53" s="1"/>
  <c r="J53" i="9"/>
  <c r="H149"/>
  <c r="H149" i="10" s="1"/>
  <c r="J149" s="1"/>
  <c r="J149" i="8"/>
  <c r="J52" i="9"/>
  <c r="H52" i="12"/>
  <c r="J52" s="1"/>
  <c r="H51"/>
  <c r="J51" s="1"/>
  <c r="J51" i="9"/>
  <c r="H59" i="12"/>
  <c r="J59" s="1"/>
  <c r="J59" i="9"/>
  <c r="H49" i="12"/>
  <c r="J49" s="1"/>
  <c r="J49" i="9"/>
  <c r="J46"/>
  <c r="H43" i="11"/>
  <c r="J143" i="9"/>
  <c r="H42"/>
  <c r="H42" i="10" s="1"/>
  <c r="J42" s="1"/>
  <c r="J42" i="8"/>
  <c r="J145" i="9"/>
  <c r="J41" i="8"/>
  <c r="H41" i="9"/>
  <c r="H41" i="10" s="1"/>
  <c r="J39" i="9"/>
  <c r="H47" i="8"/>
  <c r="J47" i="7"/>
  <c r="J60" i="33"/>
  <c r="H60" i="7"/>
  <c r="H147" i="9"/>
  <c r="H147" i="10" s="1"/>
  <c r="J147" s="1"/>
  <c r="J147" i="8"/>
  <c r="J151" i="9"/>
  <c r="H15"/>
  <c r="H15" i="10" s="1"/>
  <c r="J15" s="1"/>
  <c r="I16" s="1"/>
  <c r="J15" i="8"/>
  <c r="I16" s="1"/>
  <c r="H10" i="11"/>
  <c r="J10" s="1"/>
  <c r="J10" i="9"/>
  <c r="H13"/>
  <c r="H13" i="10" s="1"/>
  <c r="J13" i="8"/>
  <c r="J7"/>
  <c r="H7" i="9"/>
  <c r="J146" i="8"/>
  <c r="H146" i="9"/>
  <c r="H146" i="10" s="1"/>
  <c r="J146" s="1"/>
  <c r="H152" i="9"/>
  <c r="H154"/>
  <c r="H148"/>
  <c r="H148" i="10" s="1"/>
  <c r="J148" s="1"/>
  <c r="J148" i="8"/>
  <c r="H144" i="9"/>
  <c r="H144" i="10" s="1"/>
  <c r="J144" s="1"/>
  <c r="J144" i="8"/>
  <c r="H150" i="9"/>
  <c r="H150" i="10" s="1"/>
  <c r="J150" s="1"/>
  <c r="J150" i="8"/>
  <c r="G11" i="47" l="1"/>
  <c r="M11" s="1"/>
  <c r="E28" i="21"/>
  <c r="G28" s="1"/>
  <c r="G32" s="1"/>
  <c r="M23" i="1"/>
  <c r="O23" s="1"/>
  <c r="BO23" s="1"/>
  <c r="D24" i="44"/>
  <c r="G129" i="21"/>
  <c r="H129" s="1"/>
  <c r="J129" s="1"/>
  <c r="G15" i="22"/>
  <c r="M24" i="1" s="1"/>
  <c r="E28" i="12"/>
  <c r="G28" s="1"/>
  <c r="G32" s="1"/>
  <c r="AN15" i="44"/>
  <c r="AT15" s="1"/>
  <c r="BM12" i="49" s="1"/>
  <c r="G129" i="12"/>
  <c r="M14" i="1"/>
  <c r="G12" i="47" s="1"/>
  <c r="M12" s="1"/>
  <c r="BG21" i="49"/>
  <c r="AT24" i="44"/>
  <c r="E15" i="24"/>
  <c r="BM11" i="49"/>
  <c r="G13" i="47"/>
  <c r="M13" s="1"/>
  <c r="O15" i="1"/>
  <c r="BO15" s="1"/>
  <c r="BM20" i="49"/>
  <c r="BA23" i="44"/>
  <c r="BG13" i="49"/>
  <c r="AT16" i="44"/>
  <c r="BM13" i="49" s="1"/>
  <c r="B23" i="44"/>
  <c r="G148" i="20"/>
  <c r="G152"/>
  <c r="G154"/>
  <c r="G144"/>
  <c r="G150"/>
  <c r="G146"/>
  <c r="I59"/>
  <c r="I13"/>
  <c r="G9" i="22"/>
  <c r="G13" s="1"/>
  <c r="E9" i="24"/>
  <c r="E19" i="47"/>
  <c r="M19" s="1"/>
  <c r="BN21" i="1"/>
  <c r="L21"/>
  <c r="BM21"/>
  <c r="BL21"/>
  <c r="E7" i="22"/>
  <c r="H29" i="8"/>
  <c r="H29" i="9" s="1"/>
  <c r="H29" i="10" s="1"/>
  <c r="J29" s="1"/>
  <c r="J32" i="33"/>
  <c r="H31" i="11"/>
  <c r="J31" i="10"/>
  <c r="J153" i="8"/>
  <c r="H153" i="9"/>
  <c r="J13" i="10"/>
  <c r="H13" i="12"/>
  <c r="J30" i="9"/>
  <c r="H30" i="10"/>
  <c r="J30" s="1"/>
  <c r="J41"/>
  <c r="H41" i="11"/>
  <c r="J44" i="10"/>
  <c r="H44" i="11"/>
  <c r="J152" i="9"/>
  <c r="H152" i="10"/>
  <c r="J152" s="1"/>
  <c r="J154" i="9"/>
  <c r="H154" i="10"/>
  <c r="J154" s="1"/>
  <c r="J7" i="9"/>
  <c r="I9" s="1"/>
  <c r="H7" i="10"/>
  <c r="J7" s="1"/>
  <c r="I9" s="1"/>
  <c r="J27" i="9"/>
  <c r="H27" i="11"/>
  <c r="J28"/>
  <c r="J32" i="7"/>
  <c r="H32" i="8"/>
  <c r="J24" i="12"/>
  <c r="H24" i="13"/>
  <c r="H23" i="11"/>
  <c r="J22" i="13"/>
  <c r="H95" i="12"/>
  <c r="J95" i="11"/>
  <c r="H18"/>
  <c r="H56" i="12"/>
  <c r="J56" s="1"/>
  <c r="J56" i="9"/>
  <c r="H138" i="11"/>
  <c r="G197" s="1"/>
  <c r="H197" s="1"/>
  <c r="H131"/>
  <c r="G195" s="1"/>
  <c r="H195" s="1"/>
  <c r="H137"/>
  <c r="H132" i="12"/>
  <c r="J132" i="11"/>
  <c r="H93"/>
  <c r="H77"/>
  <c r="H64"/>
  <c r="H62"/>
  <c r="J68"/>
  <c r="H68" i="12"/>
  <c r="J50" i="9"/>
  <c r="H50" i="12"/>
  <c r="J50" s="1"/>
  <c r="J57" i="11"/>
  <c r="J37" i="9"/>
  <c r="J36"/>
  <c r="H38" i="11"/>
  <c r="J45"/>
  <c r="H45" i="12"/>
  <c r="J44" i="9"/>
  <c r="H40" i="11"/>
  <c r="H35"/>
  <c r="H20" i="9"/>
  <c r="H20" i="10" s="1"/>
  <c r="J20" s="1"/>
  <c r="I20" s="1"/>
  <c r="J20" i="8"/>
  <c r="H11" i="12"/>
  <c r="H11" i="13" s="1"/>
  <c r="H11" i="14" s="1"/>
  <c r="H11" i="15" s="1"/>
  <c r="H19" i="12"/>
  <c r="J19" i="11"/>
  <c r="J141"/>
  <c r="H141" i="12"/>
  <c r="J140" i="9"/>
  <c r="J139" i="11"/>
  <c r="H139" i="12"/>
  <c r="H136" i="11"/>
  <c r="J135" i="9"/>
  <c r="J134" i="13"/>
  <c r="H134" i="14"/>
  <c r="H133" i="11"/>
  <c r="H126"/>
  <c r="H128"/>
  <c r="H127"/>
  <c r="H125"/>
  <c r="H124"/>
  <c r="H101"/>
  <c r="H100"/>
  <c r="H99"/>
  <c r="H98"/>
  <c r="H97"/>
  <c r="H102"/>
  <c r="J96" i="9"/>
  <c r="J94"/>
  <c r="J84"/>
  <c r="J85"/>
  <c r="H83" i="11"/>
  <c r="H82"/>
  <c r="H81" i="12"/>
  <c r="J81" i="11"/>
  <c r="H80"/>
  <c r="H79"/>
  <c r="H78"/>
  <c r="H76"/>
  <c r="H75"/>
  <c r="H74"/>
  <c r="J73"/>
  <c r="H73" i="12"/>
  <c r="J72" i="9"/>
  <c r="J69"/>
  <c r="H67" i="11"/>
  <c r="H66"/>
  <c r="H65"/>
  <c r="H63"/>
  <c r="H58"/>
  <c r="J55" i="9"/>
  <c r="H55" i="12"/>
  <c r="J55" s="1"/>
  <c r="H54"/>
  <c r="J54" s="1"/>
  <c r="J54" i="9"/>
  <c r="H53" i="11"/>
  <c r="H52"/>
  <c r="J149" i="9"/>
  <c r="H51" i="11"/>
  <c r="H59"/>
  <c r="H49"/>
  <c r="H43" i="12"/>
  <c r="J43" i="11"/>
  <c r="H143"/>
  <c r="J42" i="9"/>
  <c r="J41"/>
  <c r="H145" i="11"/>
  <c r="H60" i="8"/>
  <c r="J60" i="7"/>
  <c r="J147" i="9"/>
  <c r="J47" i="8"/>
  <c r="H47" i="9"/>
  <c r="H47" i="10" s="1"/>
  <c r="J47" s="1"/>
  <c r="H39" i="11"/>
  <c r="H151"/>
  <c r="J15" i="9"/>
  <c r="I16" s="1"/>
  <c r="H12" i="12"/>
  <c r="H12" i="13" s="1"/>
  <c r="H12" i="14" s="1"/>
  <c r="H13" i="11"/>
  <c r="J13" i="9"/>
  <c r="J148"/>
  <c r="J146"/>
  <c r="J150"/>
  <c r="J144"/>
  <c r="G21" i="47" l="1"/>
  <c r="AN25" i="44"/>
  <c r="BG22" i="49" s="1"/>
  <c r="E28" i="22"/>
  <c r="G28" s="1"/>
  <c r="G32" s="1"/>
  <c r="G15" i="23"/>
  <c r="M25" i="1" s="1"/>
  <c r="O14"/>
  <c r="G129" i="22"/>
  <c r="H129" s="1"/>
  <c r="J129" s="1"/>
  <c r="D25" i="44"/>
  <c r="H28" i="12"/>
  <c r="H28" i="13" s="1"/>
  <c r="G9" i="23"/>
  <c r="G13" s="1"/>
  <c r="I60" s="1"/>
  <c r="BG12" i="49"/>
  <c r="BM21"/>
  <c r="BA24" i="44"/>
  <c r="BO14" i="1"/>
  <c r="E15" i="25"/>
  <c r="G22" i="47"/>
  <c r="O24" i="1"/>
  <c r="BO24" s="1"/>
  <c r="E20" i="47"/>
  <c r="M20" s="1"/>
  <c r="L22" i="1"/>
  <c r="BM22"/>
  <c r="BL22"/>
  <c r="BN22"/>
  <c r="I60" i="22"/>
  <c r="G7" i="21"/>
  <c r="E7" i="23"/>
  <c r="E9" i="25"/>
  <c r="G9" i="24"/>
  <c r="G13" s="1"/>
  <c r="J29" i="8"/>
  <c r="H31" i="12"/>
  <c r="J31" i="11"/>
  <c r="H153" i="10"/>
  <c r="J153" i="9"/>
  <c r="H30" i="11"/>
  <c r="J30" s="1"/>
  <c r="H29"/>
  <c r="J29" i="9"/>
  <c r="J32" i="8"/>
  <c r="H32" i="9"/>
  <c r="H32" i="10" s="1"/>
  <c r="J32" s="1"/>
  <c r="J27" i="11"/>
  <c r="H27" i="12"/>
  <c r="H24" i="14"/>
  <c r="J24" i="13"/>
  <c r="J23" i="11"/>
  <c r="H23" i="12"/>
  <c r="J22" i="14"/>
  <c r="H22" i="15"/>
  <c r="H95" i="13"/>
  <c r="J95" i="12"/>
  <c r="H18"/>
  <c r="J18" i="11"/>
  <c r="H56"/>
  <c r="J132" i="12"/>
  <c r="H132" i="13"/>
  <c r="H131" i="12"/>
  <c r="J131" i="11"/>
  <c r="J137"/>
  <c r="H137" i="12"/>
  <c r="J138" i="11"/>
  <c r="H138" i="12"/>
  <c r="H93"/>
  <c r="J93" i="11"/>
  <c r="H77" i="12"/>
  <c r="J77" i="11"/>
  <c r="J68" i="12"/>
  <c r="H68" i="13"/>
  <c r="J64" i="11"/>
  <c r="H64" i="12"/>
  <c r="H62"/>
  <c r="J62" i="11"/>
  <c r="H50"/>
  <c r="H57" i="13"/>
  <c r="H37" i="11"/>
  <c r="H36"/>
  <c r="H38" i="12"/>
  <c r="J38" i="11"/>
  <c r="H40" i="12"/>
  <c r="J40" i="11"/>
  <c r="H35" i="12"/>
  <c r="J35" i="11"/>
  <c r="J45" i="12"/>
  <c r="J20" i="9"/>
  <c r="H9" i="12"/>
  <c r="H9" i="13" s="1"/>
  <c r="H9" i="14" s="1"/>
  <c r="J11" i="12"/>
  <c r="J19"/>
  <c r="H19" i="13"/>
  <c r="H141"/>
  <c r="J141" i="12"/>
  <c r="H140" i="11"/>
  <c r="F199" s="1"/>
  <c r="H139" i="13"/>
  <c r="J139" i="12"/>
  <c r="H136"/>
  <c r="J136" i="11"/>
  <c r="H135"/>
  <c r="H134" i="15"/>
  <c r="H134" i="16" s="1"/>
  <c r="J134" s="1"/>
  <c r="J134" i="14"/>
  <c r="J133" i="11"/>
  <c r="H133" i="12"/>
  <c r="J126" i="11"/>
  <c r="H126" i="12"/>
  <c r="H128"/>
  <c r="J128" i="11"/>
  <c r="H127" i="12"/>
  <c r="J127" i="11"/>
  <c r="H125" i="12"/>
  <c r="J125" i="11"/>
  <c r="J124"/>
  <c r="H124" i="12"/>
  <c r="J101" i="11"/>
  <c r="H101" i="12"/>
  <c r="H100"/>
  <c r="J100" i="11"/>
  <c r="H99" i="12"/>
  <c r="J99" i="11"/>
  <c r="J98"/>
  <c r="H98" i="12"/>
  <c r="H97"/>
  <c r="J97" i="11"/>
  <c r="J102"/>
  <c r="H102" i="12"/>
  <c r="H96" i="11"/>
  <c r="H94"/>
  <c r="H84"/>
  <c r="H85"/>
  <c r="H85" i="12" s="1"/>
  <c r="J83" i="11"/>
  <c r="H83" i="12"/>
  <c r="H82"/>
  <c r="J82" i="11"/>
  <c r="H81" i="13"/>
  <c r="J81" i="12"/>
  <c r="H80"/>
  <c r="J80" i="11"/>
  <c r="H79" i="12"/>
  <c r="J79" i="11"/>
  <c r="H78" i="12"/>
  <c r="J78" i="11"/>
  <c r="J76"/>
  <c r="H76" i="12"/>
  <c r="J75" i="11"/>
  <c r="H75" i="12"/>
  <c r="H74"/>
  <c r="J74" i="11"/>
  <c r="J73" i="12"/>
  <c r="H73" i="13"/>
  <c r="H72" i="11"/>
  <c r="H69"/>
  <c r="J67"/>
  <c r="H67" i="12"/>
  <c r="J66" i="11"/>
  <c r="H66" i="12"/>
  <c r="H65"/>
  <c r="J65" i="11"/>
  <c r="J63"/>
  <c r="H63" i="12"/>
  <c r="J58" i="11"/>
  <c r="H55"/>
  <c r="H54"/>
  <c r="J53"/>
  <c r="J52"/>
  <c r="H149"/>
  <c r="J51"/>
  <c r="J49"/>
  <c r="J59"/>
  <c r="J46"/>
  <c r="H46" i="12"/>
  <c r="J143" i="11"/>
  <c r="H143" i="12"/>
  <c r="J43"/>
  <c r="H43" i="13"/>
  <c r="H42" i="11"/>
  <c r="H145" i="12"/>
  <c r="J145" i="11"/>
  <c r="J47" i="9"/>
  <c r="J60" i="8"/>
  <c r="H60" i="9"/>
  <c r="H60" i="10" s="1"/>
  <c r="H39" i="12"/>
  <c r="J39" i="11"/>
  <c r="H147"/>
  <c r="H151" i="12"/>
  <c r="J151" i="11"/>
  <c r="H15"/>
  <c r="J12" i="12"/>
  <c r="H10"/>
  <c r="H10" i="13" s="1"/>
  <c r="H10" i="14" s="1"/>
  <c r="H152" i="11"/>
  <c r="H144"/>
  <c r="H154"/>
  <c r="H7"/>
  <c r="H146"/>
  <c r="H150"/>
  <c r="H148"/>
  <c r="AT25" i="44" l="1"/>
  <c r="BA25" s="1"/>
  <c r="G7" i="22"/>
  <c r="L7" s="1"/>
  <c r="D26" i="44"/>
  <c r="G129" i="23"/>
  <c r="H129" s="1"/>
  <c r="J129" s="1"/>
  <c r="E28"/>
  <c r="G28" s="1"/>
  <c r="G32" s="1"/>
  <c r="AN26" i="44"/>
  <c r="AT26" s="1"/>
  <c r="J28" i="12"/>
  <c r="G15" i="24"/>
  <c r="E15" i="40"/>
  <c r="G23" i="47"/>
  <c r="O25" i="1"/>
  <c r="BO25" s="1"/>
  <c r="E7" i="24"/>
  <c r="G7" i="23"/>
  <c r="E9" i="40"/>
  <c r="G9" i="25"/>
  <c r="G13" s="1"/>
  <c r="I60" s="1"/>
  <c r="I60" i="24"/>
  <c r="B24" i="44"/>
  <c r="L7" i="21"/>
  <c r="G154"/>
  <c r="G144"/>
  <c r="G152"/>
  <c r="G148"/>
  <c r="G146"/>
  <c r="G150"/>
  <c r="I59"/>
  <c r="I13"/>
  <c r="H31" i="13"/>
  <c r="J31" i="12"/>
  <c r="J153" i="10"/>
  <c r="H153" i="11"/>
  <c r="H30" i="12"/>
  <c r="J30" s="1"/>
  <c r="J60" i="10"/>
  <c r="H60" i="11"/>
  <c r="H60" i="12" s="1"/>
  <c r="H29"/>
  <c r="J29" i="11"/>
  <c r="H28" i="14"/>
  <c r="J28" i="13"/>
  <c r="J32" i="9"/>
  <c r="H32" i="11"/>
  <c r="J27" i="12"/>
  <c r="H27" i="13"/>
  <c r="H199" i="11"/>
  <c r="J24" i="14"/>
  <c r="H24" i="15"/>
  <c r="J23" i="12"/>
  <c r="H23" i="13"/>
  <c r="H22" i="16"/>
  <c r="J22" i="15"/>
  <c r="H95" i="14"/>
  <c r="J95" i="13"/>
  <c r="J18" i="12"/>
  <c r="H18" i="13"/>
  <c r="J56" i="11"/>
  <c r="J137" i="12"/>
  <c r="H137" i="13"/>
  <c r="J131" i="12"/>
  <c r="H131" i="13"/>
  <c r="J132"/>
  <c r="H132" i="14"/>
  <c r="J138" i="12"/>
  <c r="H138" i="13"/>
  <c r="H93"/>
  <c r="J93" i="12"/>
  <c r="H77" i="13"/>
  <c r="J77" i="12"/>
  <c r="H68" i="14"/>
  <c r="J68" i="13"/>
  <c r="J62" i="12"/>
  <c r="H62" i="13"/>
  <c r="J64" i="12"/>
  <c r="H64" i="13"/>
  <c r="J50" i="11"/>
  <c r="J57" i="13"/>
  <c r="H57" i="14"/>
  <c r="H37" i="12"/>
  <c r="J37" i="11"/>
  <c r="H36" i="12"/>
  <c r="J36" i="11"/>
  <c r="J35" i="12"/>
  <c r="H35" i="13"/>
  <c r="J45"/>
  <c r="H45" i="14"/>
  <c r="J40" i="12"/>
  <c r="H40" i="13"/>
  <c r="H44" i="12"/>
  <c r="J44" i="11"/>
  <c r="J38" i="12"/>
  <c r="H38" i="13"/>
  <c r="H20" i="11"/>
  <c r="J9" i="12"/>
  <c r="J11" i="13"/>
  <c r="H19" i="14"/>
  <c r="J19" i="13"/>
  <c r="J141"/>
  <c r="H141" i="14"/>
  <c r="H140" i="12"/>
  <c r="J140" i="11"/>
  <c r="H139" i="14"/>
  <c r="J139" i="13"/>
  <c r="J136" i="12"/>
  <c r="H136" i="13"/>
  <c r="H135" i="12"/>
  <c r="J135" i="11"/>
  <c r="J134" i="15"/>
  <c r="H133" i="13"/>
  <c r="J133" i="12"/>
  <c r="J126"/>
  <c r="H126" i="13"/>
  <c r="J128" i="12"/>
  <c r="H128" i="13"/>
  <c r="J127" i="12"/>
  <c r="H127" i="13"/>
  <c r="J125" i="12"/>
  <c r="H125" i="13"/>
  <c r="J124" i="12"/>
  <c r="H124" i="13"/>
  <c r="H101"/>
  <c r="J101" i="12"/>
  <c r="H100" i="13"/>
  <c r="J100" i="12"/>
  <c r="H99" i="13"/>
  <c r="J99" i="12"/>
  <c r="J98"/>
  <c r="H98" i="13"/>
  <c r="J97" i="12"/>
  <c r="H97" i="13"/>
  <c r="J102" i="12"/>
  <c r="H102" i="13"/>
  <c r="H96" i="12"/>
  <c r="J96" i="11"/>
  <c r="H94" i="12"/>
  <c r="J94" i="11"/>
  <c r="J85"/>
  <c r="J84"/>
  <c r="H84" i="12"/>
  <c r="J83"/>
  <c r="H83" i="13"/>
  <c r="J82" i="12"/>
  <c r="H82" i="13"/>
  <c r="H81" i="14"/>
  <c r="H81" i="15" s="1"/>
  <c r="J81" i="13"/>
  <c r="J80" i="12"/>
  <c r="H80" i="13"/>
  <c r="H79"/>
  <c r="J79" i="12"/>
  <c r="J78"/>
  <c r="H78" i="13"/>
  <c r="J76" i="12"/>
  <c r="H76" i="13"/>
  <c r="H75"/>
  <c r="J75" i="12"/>
  <c r="H74" i="13"/>
  <c r="J74" i="12"/>
  <c r="H73" i="14"/>
  <c r="J73" s="1"/>
  <c r="J73" i="13"/>
  <c r="J72" i="11"/>
  <c r="H72" i="12"/>
  <c r="H69"/>
  <c r="J69" i="11"/>
  <c r="J67" i="12"/>
  <c r="H67" i="13"/>
  <c r="J66" i="12"/>
  <c r="H66" i="13"/>
  <c r="H65"/>
  <c r="J65" i="12"/>
  <c r="J63"/>
  <c r="H63" i="13"/>
  <c r="H58"/>
  <c r="J55" i="11"/>
  <c r="J54"/>
  <c r="H53" i="13"/>
  <c r="J149" i="11"/>
  <c r="H149" i="12"/>
  <c r="H51" i="13"/>
  <c r="H49"/>
  <c r="H59"/>
  <c r="J46" i="12"/>
  <c r="J143"/>
  <c r="H143" i="13"/>
  <c r="H43" i="14"/>
  <c r="J43" i="13"/>
  <c r="J42" i="11"/>
  <c r="H42" i="12"/>
  <c r="J145"/>
  <c r="H145" i="13"/>
  <c r="H41" i="12"/>
  <c r="J41" i="11"/>
  <c r="H147" i="12"/>
  <c r="J147" i="11"/>
  <c r="J60" i="9"/>
  <c r="J39" i="12"/>
  <c r="H39" i="13"/>
  <c r="H47" i="11"/>
  <c r="J151" i="12"/>
  <c r="H151" i="13"/>
  <c r="J15" i="11"/>
  <c r="I16" s="1"/>
  <c r="H15" i="12"/>
  <c r="J12" i="13"/>
  <c r="J10" i="12"/>
  <c r="H13" i="13"/>
  <c r="H13" i="14" s="1"/>
  <c r="J13" i="11"/>
  <c r="J146"/>
  <c r="H146" i="12"/>
  <c r="H152"/>
  <c r="J152" i="11"/>
  <c r="J144"/>
  <c r="H144" i="12"/>
  <c r="J150" i="11"/>
  <c r="H150" i="12"/>
  <c r="J7" i="11"/>
  <c r="I9" s="1"/>
  <c r="H7" i="12"/>
  <c r="H154"/>
  <c r="J154" i="11"/>
  <c r="H148" i="12"/>
  <c r="J148" i="11"/>
  <c r="BM22" i="49" l="1"/>
  <c r="BG23"/>
  <c r="G15" i="25"/>
  <c r="G129" s="1"/>
  <c r="E22" i="47"/>
  <c r="M22" s="1"/>
  <c r="G150" i="22"/>
  <c r="I13"/>
  <c r="G152"/>
  <c r="G146"/>
  <c r="G148"/>
  <c r="G154"/>
  <c r="B25" i="44"/>
  <c r="I59" i="22"/>
  <c r="G144"/>
  <c r="D27" i="44"/>
  <c r="E28" i="24"/>
  <c r="G28" s="1"/>
  <c r="G32" s="1"/>
  <c r="AN27" i="44"/>
  <c r="G129" i="24"/>
  <c r="H129" s="1"/>
  <c r="J129" s="1"/>
  <c r="M26" i="1"/>
  <c r="E15" i="27"/>
  <c r="BM23" i="49"/>
  <c r="BA26" i="44"/>
  <c r="E21" i="47"/>
  <c r="M21" s="1"/>
  <c r="BM23" i="1"/>
  <c r="L23"/>
  <c r="BL23"/>
  <c r="BN23"/>
  <c r="E7" i="25"/>
  <c r="G7" i="24"/>
  <c r="B26" i="44"/>
  <c r="G148" i="23"/>
  <c r="G146"/>
  <c r="G150"/>
  <c r="I13"/>
  <c r="G144"/>
  <c r="G152"/>
  <c r="G154"/>
  <c r="I59"/>
  <c r="E9" i="27"/>
  <c r="G9" i="40"/>
  <c r="G13" s="1"/>
  <c r="H31" i="14"/>
  <c r="J31" i="13"/>
  <c r="H153" i="12"/>
  <c r="H153" i="13" s="1"/>
  <c r="J153" i="11"/>
  <c r="H30" i="13"/>
  <c r="J30" s="1"/>
  <c r="J29" i="12"/>
  <c r="H29" i="13"/>
  <c r="J32" i="11"/>
  <c r="H32" i="12"/>
  <c r="H28" i="15"/>
  <c r="J28" i="14"/>
  <c r="J27" i="13"/>
  <c r="H27" i="14"/>
  <c r="J24" i="15"/>
  <c r="H24" i="16"/>
  <c r="J23" i="13"/>
  <c r="H23" i="14"/>
  <c r="H22" i="17"/>
  <c r="J22" i="16"/>
  <c r="J95" i="14"/>
  <c r="H95" i="15"/>
  <c r="J18" i="13"/>
  <c r="H18" i="14"/>
  <c r="H56" i="13"/>
  <c r="H137" i="14"/>
  <c r="J137" i="13"/>
  <c r="H132" i="15"/>
  <c r="J132" i="14"/>
  <c r="J138" i="13"/>
  <c r="H138" i="14"/>
  <c r="J131" i="13"/>
  <c r="H131" i="14"/>
  <c r="H93"/>
  <c r="J93" i="13"/>
  <c r="H77" i="14"/>
  <c r="J77" i="13"/>
  <c r="H68" i="15"/>
  <c r="J68" i="14"/>
  <c r="J64" i="13"/>
  <c r="H64" i="14"/>
  <c r="J62" i="13"/>
  <c r="H62" i="14"/>
  <c r="J57"/>
  <c r="H57" i="15"/>
  <c r="H50" i="13"/>
  <c r="J36" i="12"/>
  <c r="H36" i="13"/>
  <c r="J37" i="12"/>
  <c r="H37" i="13"/>
  <c r="J44" i="12"/>
  <c r="H44" i="13"/>
  <c r="H45" i="15"/>
  <c r="J45" i="14"/>
  <c r="J35" i="13"/>
  <c r="H35" i="14"/>
  <c r="H38"/>
  <c r="J38" i="13"/>
  <c r="J40"/>
  <c r="H40" i="14"/>
  <c r="H20" i="12"/>
  <c r="J20" i="11"/>
  <c r="I20" s="1"/>
  <c r="J11" i="14"/>
  <c r="J9" i="13"/>
  <c r="J19" i="14"/>
  <c r="H19" i="15"/>
  <c r="H141"/>
  <c r="J141" i="14"/>
  <c r="H140" i="13"/>
  <c r="J140" i="12"/>
  <c r="J139" i="14"/>
  <c r="H139" i="15"/>
  <c r="H136" i="14"/>
  <c r="J136" i="13"/>
  <c r="J135" i="12"/>
  <c r="H135" i="13"/>
  <c r="H134" i="17"/>
  <c r="H133" i="14"/>
  <c r="J133" i="13"/>
  <c r="J126"/>
  <c r="H126" i="14"/>
  <c r="J128" i="13"/>
  <c r="H128" i="14"/>
  <c r="J127" i="13"/>
  <c r="H127" i="14"/>
  <c r="J125" i="13"/>
  <c r="H125" i="14"/>
  <c r="J124" i="13"/>
  <c r="H124" i="14"/>
  <c r="J101" i="13"/>
  <c r="H101" i="14"/>
  <c r="J100" i="13"/>
  <c r="H100" i="14"/>
  <c r="J99" i="13"/>
  <c r="H99" i="14"/>
  <c r="J98" i="13"/>
  <c r="H98" i="14"/>
  <c r="H97"/>
  <c r="J97" i="13"/>
  <c r="J102"/>
  <c r="H102" i="14"/>
  <c r="J96" i="12"/>
  <c r="H96" i="13"/>
  <c r="H94"/>
  <c r="J94" i="12"/>
  <c r="J85"/>
  <c r="H85" i="13"/>
  <c r="J84" i="12"/>
  <c r="H84" i="13"/>
  <c r="J83"/>
  <c r="H83" i="14"/>
  <c r="H83" i="15" s="1"/>
  <c r="J82" i="13"/>
  <c r="H82" i="14"/>
  <c r="H82" i="15" s="1"/>
  <c r="J81" i="14"/>
  <c r="J80" i="13"/>
  <c r="H80" i="14"/>
  <c r="J80" s="1"/>
  <c r="H79"/>
  <c r="H80" i="15" s="1"/>
  <c r="J79" i="13"/>
  <c r="J78"/>
  <c r="H78" i="14"/>
  <c r="J76" i="13"/>
  <c r="H76" i="14"/>
  <c r="J76" s="1"/>
  <c r="J75" i="13"/>
  <c r="H75" i="14"/>
  <c r="J74" i="13"/>
  <c r="H74" i="14"/>
  <c r="H74" i="15" s="1"/>
  <c r="J72" i="12"/>
  <c r="H72" i="13"/>
  <c r="H72" i="15" s="1"/>
  <c r="J72" s="1"/>
  <c r="H69" i="13"/>
  <c r="J69" i="12"/>
  <c r="H67" i="14"/>
  <c r="J67" i="13"/>
  <c r="J66"/>
  <c r="H66" i="14"/>
  <c r="H65"/>
  <c r="J65" i="13"/>
  <c r="H63" i="14"/>
  <c r="J63" i="13"/>
  <c r="J58"/>
  <c r="H58" i="14"/>
  <c r="H55" i="13"/>
  <c r="H54"/>
  <c r="H53" i="14"/>
  <c r="J53" i="13"/>
  <c r="J52"/>
  <c r="J149" i="12"/>
  <c r="H149" i="13"/>
  <c r="H51" i="14"/>
  <c r="J51" i="13"/>
  <c r="H49" i="14"/>
  <c r="J49" i="13"/>
  <c r="J59"/>
  <c r="H59" i="14"/>
  <c r="J46" i="13"/>
  <c r="H46" i="14"/>
  <c r="H143"/>
  <c r="J143" i="13"/>
  <c r="H43" i="15"/>
  <c r="J43" i="14"/>
  <c r="H42" i="13"/>
  <c r="J42" i="12"/>
  <c r="H145" i="14"/>
  <c r="J145" i="13"/>
  <c r="J41" i="12"/>
  <c r="H41" i="13"/>
  <c r="H39" i="14"/>
  <c r="J39" i="13"/>
  <c r="H47" i="12"/>
  <c r="J47" i="11"/>
  <c r="H147" i="13"/>
  <c r="J147" i="12"/>
  <c r="H151" i="14"/>
  <c r="J151" i="13"/>
  <c r="J15" i="12"/>
  <c r="I16" s="1"/>
  <c r="H15" i="13"/>
  <c r="H129" s="1"/>
  <c r="H12" i="15"/>
  <c r="J12" i="14"/>
  <c r="J10" i="13"/>
  <c r="J13" i="12"/>
  <c r="H150" i="13"/>
  <c r="J150" i="12"/>
  <c r="H146" i="13"/>
  <c r="J146" i="12"/>
  <c r="H154" i="13"/>
  <c r="J154" s="1"/>
  <c r="J154" i="12"/>
  <c r="H7" i="13"/>
  <c r="J7" i="12"/>
  <c r="I9" s="1"/>
  <c r="J144"/>
  <c r="H144" i="13"/>
  <c r="J148" i="12"/>
  <c r="H148" i="13"/>
  <c r="J152" i="12"/>
  <c r="H152" i="13"/>
  <c r="J152" s="1"/>
  <c r="H31" i="15" l="1"/>
  <c r="J31" s="1"/>
  <c r="J31" i="14"/>
  <c r="D28" i="44"/>
  <c r="E28" i="25"/>
  <c r="G28" s="1"/>
  <c r="G32" s="1"/>
  <c r="G15" i="40"/>
  <c r="E28" s="1"/>
  <c r="G28" s="1"/>
  <c r="G32" s="1"/>
  <c r="AN28" i="44"/>
  <c r="BG25" i="49" s="1"/>
  <c r="M27" i="1"/>
  <c r="O27" s="1"/>
  <c r="BO27" s="1"/>
  <c r="L24"/>
  <c r="BN24"/>
  <c r="BL24"/>
  <c r="BM24"/>
  <c r="G24" i="47"/>
  <c r="O26" i="1"/>
  <c r="BO26" s="1"/>
  <c r="E15" i="28"/>
  <c r="H129" i="25"/>
  <c r="J129" s="1"/>
  <c r="BG24" i="49"/>
  <c r="AT27" i="44"/>
  <c r="E23" i="47"/>
  <c r="M23" s="1"/>
  <c r="BN25" i="1"/>
  <c r="BL25"/>
  <c r="BM25"/>
  <c r="L25"/>
  <c r="E7" i="40"/>
  <c r="E9" i="28"/>
  <c r="B27" i="44"/>
  <c r="G146" i="24"/>
  <c r="G144"/>
  <c r="G150"/>
  <c r="G154"/>
  <c r="G148"/>
  <c r="G152"/>
  <c r="I59"/>
  <c r="I13"/>
  <c r="I60" i="40"/>
  <c r="J153" i="13"/>
  <c r="H153" i="14"/>
  <c r="H30"/>
  <c r="J30" s="1"/>
  <c r="H29"/>
  <c r="J29" i="13"/>
  <c r="H28" i="16"/>
  <c r="J28" i="15"/>
  <c r="J32" i="12"/>
  <c r="H32" i="13"/>
  <c r="J27" i="14"/>
  <c r="H27" i="15"/>
  <c r="H76"/>
  <c r="H75"/>
  <c r="H78"/>
  <c r="H79"/>
  <c r="J77" i="14"/>
  <c r="H77" i="15"/>
  <c r="H77" i="16" s="1"/>
  <c r="H24" i="17"/>
  <c r="J24" i="16"/>
  <c r="H23" i="15"/>
  <c r="J23" i="14"/>
  <c r="H22" i="18"/>
  <c r="J22" i="17"/>
  <c r="H95" i="16"/>
  <c r="J95" i="15"/>
  <c r="H18"/>
  <c r="J18" i="14"/>
  <c r="H56"/>
  <c r="J56" i="13"/>
  <c r="J138" i="14"/>
  <c r="H138" i="15"/>
  <c r="H132" i="16"/>
  <c r="J132" i="15"/>
  <c r="H137"/>
  <c r="J137" i="14"/>
  <c r="H131" i="15"/>
  <c r="J131" i="14"/>
  <c r="H93" i="15"/>
  <c r="J93" i="14"/>
  <c r="J68" i="15"/>
  <c r="H68" i="16"/>
  <c r="J62" i="14"/>
  <c r="H62" i="15"/>
  <c r="H64"/>
  <c r="J64" i="14"/>
  <c r="J57" i="15"/>
  <c r="H57" i="16"/>
  <c r="J50" i="13"/>
  <c r="H50" i="14"/>
  <c r="J36" i="13"/>
  <c r="H36" i="14"/>
  <c r="H37"/>
  <c r="J37" i="13"/>
  <c r="H40" i="15"/>
  <c r="J40" i="14"/>
  <c r="J35"/>
  <c r="H35" i="15"/>
  <c r="H44" i="14"/>
  <c r="J44" i="13"/>
  <c r="H38" i="15"/>
  <c r="J38" i="14"/>
  <c r="J45" i="15"/>
  <c r="H45" i="16"/>
  <c r="J20" i="12"/>
  <c r="I20" s="1"/>
  <c r="H20" i="13"/>
  <c r="H11" i="16"/>
  <c r="J11" i="15"/>
  <c r="H9"/>
  <c r="J9" i="14"/>
  <c r="H19" i="16"/>
  <c r="J19" i="15"/>
  <c r="J141"/>
  <c r="H141" i="16"/>
  <c r="H140" i="14"/>
  <c r="J140" i="13"/>
  <c r="J139" i="15"/>
  <c r="H139" i="16"/>
  <c r="H136" i="15"/>
  <c r="J136" i="14"/>
  <c r="H135"/>
  <c r="J135" i="13"/>
  <c r="H134" i="18"/>
  <c r="H134" i="19" s="1"/>
  <c r="J134" i="17"/>
  <c r="H133" i="15"/>
  <c r="J133" i="14"/>
  <c r="J126"/>
  <c r="H126" i="15"/>
  <c r="J128" i="14"/>
  <c r="H128" i="15"/>
  <c r="H127"/>
  <c r="J127" i="14"/>
  <c r="H125" i="15"/>
  <c r="J125" i="14"/>
  <c r="H124" i="15"/>
  <c r="J124" i="14"/>
  <c r="H101" i="15"/>
  <c r="J101" i="14"/>
  <c r="H100" i="15"/>
  <c r="J100" i="14"/>
  <c r="H99" i="15"/>
  <c r="J99" i="14"/>
  <c r="J98"/>
  <c r="H98" i="15"/>
  <c r="J97" i="14"/>
  <c r="H97" i="15"/>
  <c r="H102"/>
  <c r="J102" i="14"/>
  <c r="J96" i="13"/>
  <c r="H96" i="14"/>
  <c r="J94" i="13"/>
  <c r="H94" i="14"/>
  <c r="J85" i="13"/>
  <c r="H85" i="14"/>
  <c r="H85" i="15" s="1"/>
  <c r="H84" i="14"/>
  <c r="H84" i="15" s="1"/>
  <c r="J84" i="13"/>
  <c r="J83" i="14"/>
  <c r="J82"/>
  <c r="H81" i="16"/>
  <c r="J81" i="15"/>
  <c r="J79" i="14"/>
  <c r="J78"/>
  <c r="J75"/>
  <c r="J74"/>
  <c r="H72"/>
  <c r="J72" i="13"/>
  <c r="J69"/>
  <c r="H69" i="14"/>
  <c r="J67"/>
  <c r="H67" i="15"/>
  <c r="H66"/>
  <c r="J66" i="14"/>
  <c r="J65"/>
  <c r="H65" i="15"/>
  <c r="J63" i="14"/>
  <c r="H63" i="15"/>
  <c r="J58" i="14"/>
  <c r="H58" i="15"/>
  <c r="H55" i="14"/>
  <c r="J55" i="13"/>
  <c r="J54"/>
  <c r="H54" i="14"/>
  <c r="J53"/>
  <c r="H53" i="15"/>
  <c r="J149" i="13"/>
  <c r="H149" i="14"/>
  <c r="J52"/>
  <c r="H52" i="15"/>
  <c r="H51"/>
  <c r="J51" i="14"/>
  <c r="H59" i="15"/>
  <c r="J59" i="14"/>
  <c r="J49"/>
  <c r="H49" i="15"/>
  <c r="J46" i="14"/>
  <c r="H46" i="15"/>
  <c r="H43" i="16"/>
  <c r="J43" i="15"/>
  <c r="J143" i="14"/>
  <c r="H143" i="15"/>
  <c r="H42" i="14"/>
  <c r="J42" i="13"/>
  <c r="H41" i="14"/>
  <c r="J41" i="13"/>
  <c r="H145" i="15"/>
  <c r="J145" i="14"/>
  <c r="J60" i="11"/>
  <c r="J47" i="12"/>
  <c r="H47" i="13"/>
  <c r="J39" i="14"/>
  <c r="H39" i="15"/>
  <c r="H147" i="14"/>
  <c r="J147" i="13"/>
  <c r="H151" i="15"/>
  <c r="J151" i="14"/>
  <c r="J15" i="13"/>
  <c r="I16" s="1"/>
  <c r="H15" i="14"/>
  <c r="J12" i="15"/>
  <c r="H12" i="16"/>
  <c r="H10" i="15"/>
  <c r="J10" i="14"/>
  <c r="J13" i="13"/>
  <c r="H152" i="14"/>
  <c r="H148"/>
  <c r="J148" i="13"/>
  <c r="H144" i="14"/>
  <c r="J144" i="13"/>
  <c r="J7"/>
  <c r="I9" s="1"/>
  <c r="H7" i="14"/>
  <c r="H146"/>
  <c r="J146" i="13"/>
  <c r="H154" i="14"/>
  <c r="H150"/>
  <c r="J150" i="13"/>
  <c r="H31" i="16" l="1"/>
  <c r="AT28" i="44"/>
  <c r="BA28" s="1"/>
  <c r="G25" i="47"/>
  <c r="AN29" i="44"/>
  <c r="AT29" s="1"/>
  <c r="G129" i="40"/>
  <c r="H129" s="1"/>
  <c r="J129" s="1"/>
  <c r="M28" i="1"/>
  <c r="G26" i="47" s="1"/>
  <c r="D29" i="44"/>
  <c r="G7" i="25"/>
  <c r="B28" i="44" s="1"/>
  <c r="G15" i="27"/>
  <c r="AN30" i="44" s="1"/>
  <c r="BM24" i="49"/>
  <c r="BA27" i="44"/>
  <c r="E15" i="29"/>
  <c r="E9"/>
  <c r="F9" s="1"/>
  <c r="E24" i="47"/>
  <c r="M24" s="1"/>
  <c r="L26" i="1"/>
  <c r="BN26"/>
  <c r="BM26"/>
  <c r="BL26"/>
  <c r="E7" i="27"/>
  <c r="G7" i="40"/>
  <c r="G9" i="27"/>
  <c r="G13" s="1"/>
  <c r="J153" i="14"/>
  <c r="H153" i="15"/>
  <c r="H30"/>
  <c r="J30" s="1"/>
  <c r="J29" i="14"/>
  <c r="H29" i="15"/>
  <c r="H32" i="14"/>
  <c r="J32" i="13"/>
  <c r="H28" i="17"/>
  <c r="J28" i="16"/>
  <c r="J27" i="15"/>
  <c r="H27" i="16"/>
  <c r="J77" i="15"/>
  <c r="H73"/>
  <c r="J24" i="17"/>
  <c r="H23" i="16"/>
  <c r="J23" i="15"/>
  <c r="H22" i="19"/>
  <c r="J22" i="18"/>
  <c r="H95" i="17"/>
  <c r="J95" i="16"/>
  <c r="J18" i="15"/>
  <c r="H18" i="16"/>
  <c r="J56" i="14"/>
  <c r="H56" i="15"/>
  <c r="H138" i="16"/>
  <c r="J138" i="15"/>
  <c r="H131" i="16"/>
  <c r="J131" i="15"/>
  <c r="H132" i="17"/>
  <c r="J132" i="16"/>
  <c r="H137"/>
  <c r="J137" i="15"/>
  <c r="J93"/>
  <c r="H93" i="16"/>
  <c r="J77"/>
  <c r="H77" i="17"/>
  <c r="H68"/>
  <c r="J68" i="16"/>
  <c r="J64" i="15"/>
  <c r="H64" i="16"/>
  <c r="J62" i="15"/>
  <c r="H62" i="16"/>
  <c r="H50" i="15"/>
  <c r="J50" i="14"/>
  <c r="H57" i="17"/>
  <c r="J57" i="16"/>
  <c r="H36" i="15"/>
  <c r="J36" i="14"/>
  <c r="J37"/>
  <c r="H37" i="15"/>
  <c r="H44"/>
  <c r="J44" i="14"/>
  <c r="H40" i="16"/>
  <c r="J40" i="15"/>
  <c r="J45" i="16"/>
  <c r="H45" i="17"/>
  <c r="J38" i="15"/>
  <c r="H38" i="16"/>
  <c r="H35"/>
  <c r="J35" i="15"/>
  <c r="H20" i="14"/>
  <c r="J20" i="13"/>
  <c r="H9" i="16"/>
  <c r="H9" i="17" s="1"/>
  <c r="J9" i="15"/>
  <c r="J11" i="16"/>
  <c r="H11" i="17"/>
  <c r="J19" i="16"/>
  <c r="H19" i="17"/>
  <c r="H141"/>
  <c r="J141" i="16"/>
  <c r="H140" i="15"/>
  <c r="J140" i="14"/>
  <c r="H139" i="17"/>
  <c r="J139" i="16"/>
  <c r="H136"/>
  <c r="J136" i="15"/>
  <c r="H135"/>
  <c r="J135" i="14"/>
  <c r="J134" i="18"/>
  <c r="H133" i="16"/>
  <c r="J133" i="15"/>
  <c r="J126"/>
  <c r="H126" i="16"/>
  <c r="H128"/>
  <c r="J128" i="15"/>
  <c r="J127"/>
  <c r="H127" i="16"/>
  <c r="J125" i="15"/>
  <c r="H125" i="16"/>
  <c r="J124" i="15"/>
  <c r="H124" i="16"/>
  <c r="J101" i="15"/>
  <c r="H101" i="16"/>
  <c r="H100"/>
  <c r="J100" i="15"/>
  <c r="H99" i="16"/>
  <c r="J99" i="15"/>
  <c r="J98"/>
  <c r="H98" i="16"/>
  <c r="H97"/>
  <c r="J97" i="15"/>
  <c r="H102" i="16"/>
  <c r="J102" i="15"/>
  <c r="H96"/>
  <c r="J96" i="14"/>
  <c r="J94"/>
  <c r="H94" i="15"/>
  <c r="J84" i="14"/>
  <c r="J85"/>
  <c r="H83" i="16"/>
  <c r="J83" i="15"/>
  <c r="J82"/>
  <c r="H82" i="16"/>
  <c r="H81" i="17"/>
  <c r="J81" i="16"/>
  <c r="J80" i="15"/>
  <c r="H80" i="16"/>
  <c r="J79" i="15"/>
  <c r="H79" i="16"/>
  <c r="J78" i="15"/>
  <c r="H78" i="16"/>
  <c r="H76"/>
  <c r="J76" i="15"/>
  <c r="H75" i="16"/>
  <c r="J75" i="15"/>
  <c r="J74"/>
  <c r="H74" i="16"/>
  <c r="J72" i="14"/>
  <c r="J69"/>
  <c r="H69" i="15"/>
  <c r="J67"/>
  <c r="H67" i="16"/>
  <c r="J66" i="15"/>
  <c r="H66" i="16"/>
  <c r="H65"/>
  <c r="J65" i="15"/>
  <c r="J63"/>
  <c r="H63" i="16"/>
  <c r="J58" i="15"/>
  <c r="H58" i="16"/>
  <c r="J55" i="14"/>
  <c r="H55" i="15"/>
  <c r="J54" i="14"/>
  <c r="H54" i="15"/>
  <c r="J53"/>
  <c r="H53" i="16"/>
  <c r="J149" i="14"/>
  <c r="H149" i="15"/>
  <c r="J52"/>
  <c r="H52" i="16"/>
  <c r="H51"/>
  <c r="J51" i="15"/>
  <c r="H49" i="16"/>
  <c r="J49" i="15"/>
  <c r="H59" i="16"/>
  <c r="J59" i="15"/>
  <c r="J46"/>
  <c r="H46" i="16"/>
  <c r="H143"/>
  <c r="J143" i="15"/>
  <c r="J43" i="16"/>
  <c r="H43" i="17"/>
  <c r="J42" i="14"/>
  <c r="H42" i="15"/>
  <c r="H145" i="16"/>
  <c r="J145" i="15"/>
  <c r="J41" i="14"/>
  <c r="H41" i="15"/>
  <c r="H47" i="14"/>
  <c r="J47" i="13"/>
  <c r="H39" i="16"/>
  <c r="J39" i="15"/>
  <c r="H60" i="13"/>
  <c r="J60" i="12"/>
  <c r="H147" i="15"/>
  <c r="J147" i="14"/>
  <c r="J151" i="15"/>
  <c r="H151" i="16"/>
  <c r="H15" i="15"/>
  <c r="J15" i="14"/>
  <c r="I16" s="1"/>
  <c r="H12" i="17"/>
  <c r="J12" i="16"/>
  <c r="J10" i="15"/>
  <c r="H10" i="16"/>
  <c r="J13" i="14"/>
  <c r="H13" i="15"/>
  <c r="J148" i="14"/>
  <c r="H148" i="15"/>
  <c r="H154"/>
  <c r="J154" i="14"/>
  <c r="H7" i="15"/>
  <c r="J7" i="14"/>
  <c r="I9" s="1"/>
  <c r="J150"/>
  <c r="H150" i="15"/>
  <c r="J146" i="14"/>
  <c r="H146" i="15"/>
  <c r="J144" i="14"/>
  <c r="H144" i="15"/>
  <c r="J152" i="14"/>
  <c r="H152" i="15"/>
  <c r="H31" i="17" l="1"/>
  <c r="H31" i="18" s="1"/>
  <c r="H31" i="19" s="1"/>
  <c r="H31" i="20" s="1"/>
  <c r="J31" i="16"/>
  <c r="O28" i="1"/>
  <c r="BO28" s="1"/>
  <c r="BM25" i="49"/>
  <c r="BG26"/>
  <c r="E28" i="27"/>
  <c r="G28" s="1"/>
  <c r="G32" s="1"/>
  <c r="I13" i="25"/>
  <c r="G154"/>
  <c r="G146"/>
  <c r="D30" i="44"/>
  <c r="G148" i="25"/>
  <c r="G150"/>
  <c r="M29" i="1"/>
  <c r="O29" s="1"/>
  <c r="BO29" s="1"/>
  <c r="G144" i="25"/>
  <c r="I59"/>
  <c r="G129" i="27"/>
  <c r="H129" s="1"/>
  <c r="J129" s="1"/>
  <c r="G152" i="25"/>
  <c r="E25" i="47"/>
  <c r="M25" s="1"/>
  <c r="G15" i="28"/>
  <c r="E28" s="1"/>
  <c r="G28" s="1"/>
  <c r="G32" s="1"/>
  <c r="F15" i="29"/>
  <c r="E15" i="30" s="1"/>
  <c r="BG27" i="49"/>
  <c r="AT30" i="44"/>
  <c r="BM26" i="49"/>
  <c r="BA29" i="44"/>
  <c r="G9" i="28"/>
  <c r="G13" s="1"/>
  <c r="E7"/>
  <c r="G7" i="27"/>
  <c r="I13" s="1"/>
  <c r="E9" i="30"/>
  <c r="G9" i="29"/>
  <c r="G13" s="1"/>
  <c r="B29" i="44"/>
  <c r="N7" i="40"/>
  <c r="N11" s="1"/>
  <c r="G144"/>
  <c r="G146"/>
  <c r="G150"/>
  <c r="G154"/>
  <c r="G152"/>
  <c r="G148"/>
  <c r="I59"/>
  <c r="I13"/>
  <c r="I60" i="27"/>
  <c r="J153" i="15"/>
  <c r="H153" i="16"/>
  <c r="H30"/>
  <c r="J30" s="1"/>
  <c r="H29"/>
  <c r="J29" i="15"/>
  <c r="H28" i="18"/>
  <c r="J28" i="17"/>
  <c r="J32" i="14"/>
  <c r="H32" i="15"/>
  <c r="J27" i="16"/>
  <c r="H27" i="17"/>
  <c r="J24" i="18"/>
  <c r="H24" i="19"/>
  <c r="J23" i="16"/>
  <c r="H23" i="17"/>
  <c r="J22" i="19"/>
  <c r="H95" i="18"/>
  <c r="J95" i="17"/>
  <c r="J18" i="16"/>
  <c r="H18" i="17"/>
  <c r="J56" i="15"/>
  <c r="H56" i="16"/>
  <c r="J137"/>
  <c r="H137" i="17"/>
  <c r="J131" i="16"/>
  <c r="H131" i="17"/>
  <c r="J132"/>
  <c r="H132" i="18"/>
  <c r="H132" i="19" s="1"/>
  <c r="H138" i="17"/>
  <c r="J138" i="16"/>
  <c r="H93" i="17"/>
  <c r="J93" i="16"/>
  <c r="J77" i="17"/>
  <c r="H77" i="18"/>
  <c r="J68" i="17"/>
  <c r="H68" i="18"/>
  <c r="H62" i="17"/>
  <c r="J62" i="16"/>
  <c r="J64"/>
  <c r="H64" i="17"/>
  <c r="H57" i="18"/>
  <c r="J57" i="17"/>
  <c r="H50" i="16"/>
  <c r="J50" i="15"/>
  <c r="H36" i="16"/>
  <c r="J36" i="15"/>
  <c r="J37"/>
  <c r="H37" i="16"/>
  <c r="H38" i="17"/>
  <c r="J38" i="16"/>
  <c r="J45" i="17"/>
  <c r="H45" i="18"/>
  <c r="H35" i="17"/>
  <c r="J35" i="16"/>
  <c r="J40"/>
  <c r="H40" i="17"/>
  <c r="J44" i="15"/>
  <c r="H44" i="16"/>
  <c r="J20" i="14"/>
  <c r="H20" i="15"/>
  <c r="J9" i="16"/>
  <c r="J11" i="17"/>
  <c r="H11" i="18"/>
  <c r="J19" i="17"/>
  <c r="H19" i="18"/>
  <c r="H141"/>
  <c r="H141" i="19" s="1"/>
  <c r="J141" i="17"/>
  <c r="H140" i="16"/>
  <c r="J140" i="15"/>
  <c r="J139" i="17"/>
  <c r="H139" i="18"/>
  <c r="H139" i="19" s="1"/>
  <c r="H136" i="17"/>
  <c r="J136" i="16"/>
  <c r="J135" i="15"/>
  <c r="H135" i="16"/>
  <c r="J135" s="1"/>
  <c r="J134" i="19"/>
  <c r="H134" i="20"/>
  <c r="H133" i="17"/>
  <c r="J133" i="16"/>
  <c r="J126"/>
  <c r="H126" i="17"/>
  <c r="H128"/>
  <c r="J128" i="16"/>
  <c r="J127"/>
  <c r="H127" i="17"/>
  <c r="J125" i="16"/>
  <c r="H125" i="17"/>
  <c r="H124"/>
  <c r="J124" i="16"/>
  <c r="J101"/>
  <c r="H101" i="17"/>
  <c r="H100"/>
  <c r="J100" i="16"/>
  <c r="H99" i="17"/>
  <c r="J99" i="16"/>
  <c r="H98" i="17"/>
  <c r="J98" i="16"/>
  <c r="J97"/>
  <c r="H97" i="17"/>
  <c r="J96" i="15"/>
  <c r="H96" i="16"/>
  <c r="H102" i="17"/>
  <c r="J102" i="16"/>
  <c r="H94"/>
  <c r="J94" i="15"/>
  <c r="H84" i="16"/>
  <c r="J84" i="15"/>
  <c r="J85"/>
  <c r="H85" i="16"/>
  <c r="J83"/>
  <c r="H83" i="17"/>
  <c r="J82" i="16"/>
  <c r="H82" i="17"/>
  <c r="H81" i="18"/>
  <c r="J81" i="17"/>
  <c r="J80" i="16"/>
  <c r="H80" i="17"/>
  <c r="J79" i="16"/>
  <c r="H79" i="17"/>
  <c r="J78" i="16"/>
  <c r="H78" i="17"/>
  <c r="H76"/>
  <c r="J76" i="16"/>
  <c r="J75"/>
  <c r="H75" i="17"/>
  <c r="H74"/>
  <c r="J74" i="16"/>
  <c r="J73" i="15"/>
  <c r="H73" i="16"/>
  <c r="H72"/>
  <c r="J69" i="15"/>
  <c r="H69" i="16"/>
  <c r="J67"/>
  <c r="H67" i="17"/>
  <c r="J66" i="16"/>
  <c r="H66" i="17"/>
  <c r="H65"/>
  <c r="J65" i="16"/>
  <c r="H63" i="17"/>
  <c r="J63" i="16"/>
  <c r="H58" i="17"/>
  <c r="J58" i="16"/>
  <c r="H55"/>
  <c r="J55" i="15"/>
  <c r="H54" i="16"/>
  <c r="J54" i="15"/>
  <c r="J53" i="16"/>
  <c r="H53" i="17"/>
  <c r="J149" i="15"/>
  <c r="H149" i="16"/>
  <c r="J52"/>
  <c r="H52" i="17"/>
  <c r="J51" i="16"/>
  <c r="H51" i="17"/>
  <c r="H49"/>
  <c r="J49" i="16"/>
  <c r="J59"/>
  <c r="H59" i="17"/>
  <c r="H46"/>
  <c r="J46" i="16"/>
  <c r="H43" i="18"/>
  <c r="J43" i="17"/>
  <c r="J143" i="16"/>
  <c r="H143" i="17"/>
  <c r="H143" i="18" s="1"/>
  <c r="J143" s="1"/>
  <c r="H42" i="16"/>
  <c r="J42" i="15"/>
  <c r="J145" i="16"/>
  <c r="H145" i="17"/>
  <c r="H41" i="16"/>
  <c r="J41" i="15"/>
  <c r="H60" i="14"/>
  <c r="J60" i="13"/>
  <c r="J47" i="14"/>
  <c r="H47" i="15"/>
  <c r="J147"/>
  <c r="H147" i="16"/>
  <c r="J39"/>
  <c r="H39" i="17"/>
  <c r="J151" i="16"/>
  <c r="H151" i="17"/>
  <c r="J15" i="15"/>
  <c r="I16" s="1"/>
  <c r="H15" i="16"/>
  <c r="J12" i="17"/>
  <c r="H12" i="18"/>
  <c r="J10" i="16"/>
  <c r="H10" i="17"/>
  <c r="J13" i="15"/>
  <c r="H13" i="16"/>
  <c r="H152"/>
  <c r="J152" i="15"/>
  <c r="J150"/>
  <c r="H150" i="16"/>
  <c r="J7" i="15"/>
  <c r="I9" s="1"/>
  <c r="H7" i="16"/>
  <c r="J144" i="15"/>
  <c r="H144" i="16"/>
  <c r="H146"/>
  <c r="J146" i="15"/>
  <c r="H148" i="16"/>
  <c r="J148" i="15"/>
  <c r="H154" i="16"/>
  <c r="J154" i="15"/>
  <c r="H31" i="21" l="1"/>
  <c r="J31" i="20"/>
  <c r="G27" i="47"/>
  <c r="D31" i="44"/>
  <c r="G129" i="28"/>
  <c r="H129" s="1"/>
  <c r="J129" s="1"/>
  <c r="BL27" i="1"/>
  <c r="BN27"/>
  <c r="AN31" i="44"/>
  <c r="AT31" s="1"/>
  <c r="L27" i="1"/>
  <c r="M30"/>
  <c r="O30" s="1"/>
  <c r="BO30" s="1"/>
  <c r="BM27"/>
  <c r="G15" i="29"/>
  <c r="D32" i="44" s="1"/>
  <c r="F15" i="30"/>
  <c r="G15" s="1"/>
  <c r="BM27" i="49"/>
  <c r="BA30" i="44"/>
  <c r="I60" i="28"/>
  <c r="E7" i="29"/>
  <c r="G7" i="28"/>
  <c r="I13" s="1"/>
  <c r="B30" i="44"/>
  <c r="G146" i="27"/>
  <c r="G150"/>
  <c r="G152"/>
  <c r="G144"/>
  <c r="G154"/>
  <c r="G148"/>
  <c r="I59"/>
  <c r="F9" i="30"/>
  <c r="G9" s="1"/>
  <c r="G13" s="1"/>
  <c r="I60" i="29"/>
  <c r="E26" i="47"/>
  <c r="M26" s="1"/>
  <c r="BN28" i="1"/>
  <c r="BL28"/>
  <c r="BM28"/>
  <c r="L28"/>
  <c r="J153" i="16"/>
  <c r="H153" i="17"/>
  <c r="H30"/>
  <c r="J30" s="1"/>
  <c r="H29"/>
  <c r="J29" i="16"/>
  <c r="H28" i="19"/>
  <c r="J28" i="18"/>
  <c r="J32" i="15"/>
  <c r="H32" i="16"/>
  <c r="J27" i="17"/>
  <c r="H27" i="18"/>
  <c r="H24" i="20"/>
  <c r="J24" i="19"/>
  <c r="H23" i="18"/>
  <c r="J23" i="17"/>
  <c r="J22" i="20"/>
  <c r="H22" i="21"/>
  <c r="H95" i="19"/>
  <c r="J95" i="18"/>
  <c r="H18"/>
  <c r="J18" i="17"/>
  <c r="J56" i="16"/>
  <c r="H56" i="17"/>
  <c r="J132" i="18"/>
  <c r="J138" i="17"/>
  <c r="H138" i="18"/>
  <c r="H138" i="19" s="1"/>
  <c r="J137" i="17"/>
  <c r="H137" i="18"/>
  <c r="H137" i="19" s="1"/>
  <c r="J131" i="17"/>
  <c r="H131" i="18"/>
  <c r="J93" i="17"/>
  <c r="H93" i="18"/>
  <c r="H77" i="19"/>
  <c r="J77" i="18"/>
  <c r="J64" i="17"/>
  <c r="H64" i="18"/>
  <c r="H68" i="19"/>
  <c r="J68" i="18"/>
  <c r="J62" i="17"/>
  <c r="H62" i="18"/>
  <c r="J57"/>
  <c r="H57" i="19"/>
  <c r="J50" i="16"/>
  <c r="H50" i="17"/>
  <c r="J36" i="16"/>
  <c r="H36" i="17"/>
  <c r="H37"/>
  <c r="J37" i="16"/>
  <c r="J38" i="17"/>
  <c r="H38" i="18"/>
  <c r="H44" i="17"/>
  <c r="J44" i="16"/>
  <c r="H35" i="18"/>
  <c r="J35" i="17"/>
  <c r="J40"/>
  <c r="H40" i="18"/>
  <c r="J45"/>
  <c r="H45" i="19"/>
  <c r="J20" i="15"/>
  <c r="H20" i="16"/>
  <c r="J9" i="17"/>
  <c r="H9" i="18"/>
  <c r="J11"/>
  <c r="H11" i="19"/>
  <c r="J19" i="18"/>
  <c r="H19" i="19"/>
  <c r="J141" i="18"/>
  <c r="J140" i="16"/>
  <c r="H140" i="17"/>
  <c r="J139" i="18"/>
  <c r="H136"/>
  <c r="H136" i="19" s="1"/>
  <c r="J136" i="17"/>
  <c r="H135"/>
  <c r="J134" i="20"/>
  <c r="H134" i="21"/>
  <c r="H133" i="18"/>
  <c r="H133" i="19" s="1"/>
  <c r="J133" i="17"/>
  <c r="J126"/>
  <c r="H126" i="18"/>
  <c r="J128" i="17"/>
  <c r="H128" i="18"/>
  <c r="H127"/>
  <c r="J127" i="17"/>
  <c r="H125" i="18"/>
  <c r="J125" i="17"/>
  <c r="J124"/>
  <c r="H124" i="18"/>
  <c r="J101" i="17"/>
  <c r="H101" i="18"/>
  <c r="H100"/>
  <c r="J100" i="17"/>
  <c r="J99"/>
  <c r="H99" i="18"/>
  <c r="H98"/>
  <c r="J98" i="17"/>
  <c r="H97" i="18"/>
  <c r="J97" i="17"/>
  <c r="J96" i="16"/>
  <c r="H96" i="17"/>
  <c r="H102" i="18"/>
  <c r="J102" i="17"/>
  <c r="J94" i="16"/>
  <c r="H94" i="17"/>
  <c r="J84" i="16"/>
  <c r="H84" i="17"/>
  <c r="H85"/>
  <c r="J85" i="16"/>
  <c r="H83" i="18"/>
  <c r="J83" i="17"/>
  <c r="H82" i="18"/>
  <c r="J82" i="17"/>
  <c r="H81" i="19"/>
  <c r="J81" i="18"/>
  <c r="H80"/>
  <c r="J80" i="17"/>
  <c r="H79" i="18"/>
  <c r="J79" i="17"/>
  <c r="J78"/>
  <c r="H78" i="18"/>
  <c r="J76" i="17"/>
  <c r="H76" i="18"/>
  <c r="J74" i="17"/>
  <c r="H74" i="18"/>
  <c r="H75"/>
  <c r="J75" i="17"/>
  <c r="J73" i="16"/>
  <c r="H73" i="17"/>
  <c r="H72"/>
  <c r="J72" i="16"/>
  <c r="H69" i="17"/>
  <c r="J69" i="16"/>
  <c r="H67" i="18"/>
  <c r="J67" i="17"/>
  <c r="H66" i="18"/>
  <c r="J66" i="17"/>
  <c r="H65" i="18"/>
  <c r="J65" i="17"/>
  <c r="H63" i="18"/>
  <c r="J63" i="17"/>
  <c r="H58" i="18"/>
  <c r="J58" i="17"/>
  <c r="J55" i="16"/>
  <c r="H55" i="17"/>
  <c r="J54" i="16"/>
  <c r="H54" i="17"/>
  <c r="J53"/>
  <c r="H53" i="18"/>
  <c r="H149" i="17"/>
  <c r="J149" i="16"/>
  <c r="J52" i="17"/>
  <c r="H52" i="18"/>
  <c r="H51"/>
  <c r="J51" i="17"/>
  <c r="H59" i="18"/>
  <c r="J59" i="17"/>
  <c r="J49"/>
  <c r="H49" i="18"/>
  <c r="H46"/>
  <c r="J46" i="17"/>
  <c r="J143"/>
  <c r="H43" i="19"/>
  <c r="J43" i="18"/>
  <c r="J42" i="16"/>
  <c r="H42" i="17"/>
  <c r="J145"/>
  <c r="H145" i="18"/>
  <c r="H41" i="17"/>
  <c r="J41" i="16"/>
  <c r="J60" i="14"/>
  <c r="H60" i="15"/>
  <c r="H147" i="17"/>
  <c r="J147" i="16"/>
  <c r="J39" i="17"/>
  <c r="H39" i="18"/>
  <c r="H47" i="16"/>
  <c r="J47" i="15"/>
  <c r="J151" i="17"/>
  <c r="H151" i="18"/>
  <c r="J15" i="16"/>
  <c r="I16" s="1"/>
  <c r="H15" i="17"/>
  <c r="J15" s="1"/>
  <c r="H12" i="19"/>
  <c r="J12" i="18"/>
  <c r="H10"/>
  <c r="J10" i="17"/>
  <c r="J13" i="16"/>
  <c r="H13" i="17"/>
  <c r="J148" i="16"/>
  <c r="H148" i="17"/>
  <c r="H144"/>
  <c r="H144" i="18" s="1"/>
  <c r="J144" s="1"/>
  <c r="J144" i="16"/>
  <c r="J150"/>
  <c r="H150" i="17"/>
  <c r="H154"/>
  <c r="J154" i="16"/>
  <c r="H146" i="17"/>
  <c r="J146" i="16"/>
  <c r="J152"/>
  <c r="H152" i="17"/>
  <c r="H7"/>
  <c r="J7" i="16"/>
  <c r="I9" s="1"/>
  <c r="H31" i="22" l="1"/>
  <c r="J31" i="21"/>
  <c r="G28" i="47"/>
  <c r="G129" i="29"/>
  <c r="M31" i="1"/>
  <c r="O31" s="1"/>
  <c r="BO31" s="1"/>
  <c r="BG28" i="49"/>
  <c r="E28" i="29"/>
  <c r="G28" s="1"/>
  <c r="G32" s="1"/>
  <c r="AN32" i="44"/>
  <c r="AT32" s="1"/>
  <c r="G29" i="47"/>
  <c r="BM28" i="49"/>
  <c r="BA31" i="44"/>
  <c r="D33"/>
  <c r="E28" i="30"/>
  <c r="G28" s="1"/>
  <c r="G32" s="1"/>
  <c r="M32" i="1"/>
  <c r="G129" i="30"/>
  <c r="AN33" i="44"/>
  <c r="E15" i="43"/>
  <c r="E15" i="42"/>
  <c r="G15" s="1"/>
  <c r="E28" s="1"/>
  <c r="G28" s="1"/>
  <c r="F7" i="29"/>
  <c r="E7" i="30" s="1"/>
  <c r="F7" s="1"/>
  <c r="B31" i="44"/>
  <c r="G144" i="28"/>
  <c r="G148"/>
  <c r="G150"/>
  <c r="G154"/>
  <c r="G146"/>
  <c r="G152"/>
  <c r="I59"/>
  <c r="I60" i="30"/>
  <c r="E27" i="47"/>
  <c r="M27" s="1"/>
  <c r="BL29" i="1"/>
  <c r="BM29"/>
  <c r="BN29"/>
  <c r="L29"/>
  <c r="E9" i="43"/>
  <c r="F9" s="1"/>
  <c r="E9" i="42"/>
  <c r="G9" s="1"/>
  <c r="G13" s="1"/>
  <c r="I59" s="1"/>
  <c r="J153" i="17"/>
  <c r="H153" i="18"/>
  <c r="H30"/>
  <c r="H30" i="19" s="1"/>
  <c r="J30" s="1"/>
  <c r="J29" i="17"/>
  <c r="H29" i="18"/>
  <c r="J28" i="19"/>
  <c r="H28" i="20"/>
  <c r="H27" i="19"/>
  <c r="J27" i="18"/>
  <c r="H32" i="17"/>
  <c r="J24" i="20"/>
  <c r="H24" i="21"/>
  <c r="J23" i="18"/>
  <c r="H23" i="19"/>
  <c r="H22" i="22"/>
  <c r="J22" i="21"/>
  <c r="J95" i="19"/>
  <c r="H95" i="20"/>
  <c r="H18" i="19"/>
  <c r="J18" i="18"/>
  <c r="J56" i="17"/>
  <c r="H56" i="18"/>
  <c r="J137"/>
  <c r="H132" i="20"/>
  <c r="J132" i="19"/>
  <c r="H131"/>
  <c r="J131" i="18"/>
  <c r="J138"/>
  <c r="J93"/>
  <c r="H93" i="19"/>
  <c r="H77" i="20"/>
  <c r="J77" i="19"/>
  <c r="H62"/>
  <c r="H62" i="20" s="1"/>
  <c r="J62" i="18"/>
  <c r="H64" i="19"/>
  <c r="J64" i="18"/>
  <c r="H68" i="20"/>
  <c r="J68" i="19"/>
  <c r="H57" i="20"/>
  <c r="J57" i="19"/>
  <c r="H50" i="18"/>
  <c r="J50" i="17"/>
  <c r="H37" i="18"/>
  <c r="J37" i="17"/>
  <c r="J36"/>
  <c r="H36" i="18"/>
  <c r="H40" i="19"/>
  <c r="J40" i="18"/>
  <c r="J38"/>
  <c r="H38" i="19"/>
  <c r="H35"/>
  <c r="J35" i="18"/>
  <c r="J44" i="17"/>
  <c r="H44" i="18"/>
  <c r="H45" i="20"/>
  <c r="J45" i="19"/>
  <c r="J20" i="16"/>
  <c r="H20" i="17"/>
  <c r="J9" i="18"/>
  <c r="H9" i="19"/>
  <c r="H11" i="20"/>
  <c r="J11" i="19"/>
  <c r="H19" i="20"/>
  <c r="J19" i="19"/>
  <c r="J141"/>
  <c r="H141" i="20"/>
  <c r="H140" i="18"/>
  <c r="H140" i="19" s="1"/>
  <c r="J140" i="17"/>
  <c r="H139" i="20"/>
  <c r="J139" i="19"/>
  <c r="J136" i="18"/>
  <c r="H135"/>
  <c r="H135" i="19" s="1"/>
  <c r="J135" i="17"/>
  <c r="H134" i="22"/>
  <c r="J134" i="21"/>
  <c r="J133" i="18"/>
  <c r="J126"/>
  <c r="H126" i="19"/>
  <c r="J128" i="18"/>
  <c r="H128" i="19"/>
  <c r="H127"/>
  <c r="J127" i="18"/>
  <c r="J125"/>
  <c r="H125" i="19"/>
  <c r="J124" i="18"/>
  <c r="H124" i="19"/>
  <c r="J101" i="18"/>
  <c r="H101" i="19"/>
  <c r="J100" i="18"/>
  <c r="H100" i="19"/>
  <c r="H99"/>
  <c r="J99" i="18"/>
  <c r="J98"/>
  <c r="H98" i="19"/>
  <c r="J97" i="18"/>
  <c r="H97" i="19"/>
  <c r="J96" i="17"/>
  <c r="H96" i="18"/>
  <c r="J102"/>
  <c r="H102" i="19"/>
  <c r="J94" i="17"/>
  <c r="H94" i="18"/>
  <c r="J85" i="17"/>
  <c r="H85" i="18"/>
  <c r="H84"/>
  <c r="J84" i="17"/>
  <c r="J83" i="18"/>
  <c r="H83" i="19"/>
  <c r="H82"/>
  <c r="J82" i="18"/>
  <c r="J81" i="19"/>
  <c r="H81" i="20"/>
  <c r="H80" i="19"/>
  <c r="J80" i="18"/>
  <c r="J79"/>
  <c r="H79" i="19"/>
  <c r="J78" i="18"/>
  <c r="H78" i="19"/>
  <c r="J76" i="18"/>
  <c r="H76" i="19"/>
  <c r="J74" i="18"/>
  <c r="H74" i="19"/>
  <c r="J75" i="18"/>
  <c r="H75" i="19"/>
  <c r="H73" i="18"/>
  <c r="J73" i="17"/>
  <c r="J72"/>
  <c r="H72" i="18"/>
  <c r="J69" i="17"/>
  <c r="H69" i="18"/>
  <c r="H67" i="19"/>
  <c r="J67" i="18"/>
  <c r="J66"/>
  <c r="H66" i="19"/>
  <c r="H65"/>
  <c r="J65" i="18"/>
  <c r="H63" i="19"/>
  <c r="J63" i="18"/>
  <c r="H58" i="19"/>
  <c r="J58" i="18"/>
  <c r="J55" i="17"/>
  <c r="H55" i="18"/>
  <c r="J54" i="17"/>
  <c r="H54" i="18"/>
  <c r="H53" i="19"/>
  <c r="J53" i="18"/>
  <c r="J149" i="17"/>
  <c r="H149" i="18"/>
  <c r="J52"/>
  <c r="H52" i="19"/>
  <c r="H51"/>
  <c r="J51" i="18"/>
  <c r="J49"/>
  <c r="H49" i="19"/>
  <c r="H59"/>
  <c r="J59" i="18"/>
  <c r="J46"/>
  <c r="H46" i="19"/>
  <c r="J43"/>
  <c r="H43" i="20"/>
  <c r="H143" i="19"/>
  <c r="H42" i="18"/>
  <c r="J42" i="17"/>
  <c r="H145" i="19"/>
  <c r="J145" i="18"/>
  <c r="J41" i="17"/>
  <c r="H41" i="18"/>
  <c r="H39" i="19"/>
  <c r="J39" i="18"/>
  <c r="H60" i="16"/>
  <c r="J60" i="15"/>
  <c r="H47" i="17"/>
  <c r="J47" i="16"/>
  <c r="J147" i="17"/>
  <c r="H147" i="18"/>
  <c r="H151" i="19"/>
  <c r="J151" i="18"/>
  <c r="I16" i="17"/>
  <c r="H15" i="18"/>
  <c r="J12" i="19"/>
  <c r="H12" i="20"/>
  <c r="H10" i="19"/>
  <c r="J10" i="18"/>
  <c r="H13"/>
  <c r="J13" i="17"/>
  <c r="J7"/>
  <c r="I9" s="1"/>
  <c r="H7" i="18"/>
  <c r="J146" i="17"/>
  <c r="H146" i="18"/>
  <c r="J144" i="17"/>
  <c r="J154"/>
  <c r="H154" i="18"/>
  <c r="H152"/>
  <c r="J152" i="17"/>
  <c r="H150" i="18"/>
  <c r="J150" i="17"/>
  <c r="H148" i="18"/>
  <c r="J148" i="17"/>
  <c r="H31" i="23" l="1"/>
  <c r="J31" i="22"/>
  <c r="G7" i="29"/>
  <c r="G146" s="1"/>
  <c r="BG29" i="49"/>
  <c r="G30" i="47"/>
  <c r="O32" i="1"/>
  <c r="BO32" s="1"/>
  <c r="BG30" i="49"/>
  <c r="AT33" i="44"/>
  <c r="F15" i="43"/>
  <c r="N15" s="1"/>
  <c r="BM29" i="49"/>
  <c r="BA32" i="44"/>
  <c r="G7" i="30"/>
  <c r="E7" i="42"/>
  <c r="G7" s="1"/>
  <c r="E7" i="43"/>
  <c r="F7" s="1"/>
  <c r="N9"/>
  <c r="E9" i="31"/>
  <c r="F9" s="1"/>
  <c r="G9" i="43"/>
  <c r="G13" s="1"/>
  <c r="I60" s="1"/>
  <c r="E28" i="47"/>
  <c r="M28" s="1"/>
  <c r="BM30" i="1"/>
  <c r="L30"/>
  <c r="BN30"/>
  <c r="BL30"/>
  <c r="H153" i="19"/>
  <c r="J153" i="18"/>
  <c r="H30" i="20"/>
  <c r="J30" s="1"/>
  <c r="J30" i="18"/>
  <c r="H29" i="19"/>
  <c r="J29" i="18"/>
  <c r="H27" i="20"/>
  <c r="J27" i="19"/>
  <c r="H28" i="21"/>
  <c r="J28" i="20"/>
  <c r="J32" i="17"/>
  <c r="H32" i="18"/>
  <c r="H24" i="22"/>
  <c r="J24" i="21"/>
  <c r="J23" i="19"/>
  <c r="H22" i="23"/>
  <c r="J22" i="22"/>
  <c r="J95" i="20"/>
  <c r="H95" i="21"/>
  <c r="J18" i="19"/>
  <c r="H18" i="20"/>
  <c r="J56" i="18"/>
  <c r="H56" i="19"/>
  <c r="H137" i="20"/>
  <c r="J137" i="19"/>
  <c r="J138"/>
  <c r="H138" i="20"/>
  <c r="H132" i="21"/>
  <c r="J132" i="20"/>
  <c r="J131" i="19"/>
  <c r="H131" i="20"/>
  <c r="H93"/>
  <c r="J93" i="19"/>
  <c r="H77" i="21"/>
  <c r="J77" i="20"/>
  <c r="H64"/>
  <c r="J64" i="19"/>
  <c r="H68" i="21"/>
  <c r="J68" i="20"/>
  <c r="J62" i="19"/>
  <c r="H50"/>
  <c r="J50" i="18"/>
  <c r="J57" i="20"/>
  <c r="H57" i="21"/>
  <c r="J37" i="18"/>
  <c r="H37" i="19"/>
  <c r="J36" i="18"/>
  <c r="H36" i="19"/>
  <c r="H40" i="20"/>
  <c r="J40" i="19"/>
  <c r="J44" i="18"/>
  <c r="H44" i="19"/>
  <c r="J38"/>
  <c r="H38" i="20"/>
  <c r="H45" i="21"/>
  <c r="J45" i="20"/>
  <c r="J35" i="19"/>
  <c r="H35" i="20"/>
  <c r="J20" i="17"/>
  <c r="H20" i="18"/>
  <c r="J9" i="19"/>
  <c r="H9" i="20"/>
  <c r="H11" i="21"/>
  <c r="J11" i="20"/>
  <c r="J19"/>
  <c r="H19" i="21"/>
  <c r="J141" i="20"/>
  <c r="H141" i="21"/>
  <c r="J140" i="18"/>
  <c r="H139" i="21"/>
  <c r="J139" i="20"/>
  <c r="H136"/>
  <c r="J136" i="19"/>
  <c r="J135" i="18"/>
  <c r="J134" i="22"/>
  <c r="H134" i="23"/>
  <c r="H133" i="20"/>
  <c r="J133" i="19"/>
  <c r="J126"/>
  <c r="H126" i="20"/>
  <c r="J128" i="19"/>
  <c r="H128" i="20"/>
  <c r="H127"/>
  <c r="J127" i="19"/>
  <c r="H125" i="20"/>
  <c r="J125" i="19"/>
  <c r="H124" i="20"/>
  <c r="J124" i="19"/>
  <c r="J101"/>
  <c r="H101" i="20"/>
  <c r="H100"/>
  <c r="J100" i="19"/>
  <c r="H99" i="20"/>
  <c r="J99" i="19"/>
  <c r="H98" i="20"/>
  <c r="J98" i="19"/>
  <c r="H97" i="20"/>
  <c r="J97" i="19"/>
  <c r="J102"/>
  <c r="H102" i="20"/>
  <c r="J96" i="18"/>
  <c r="H96" i="19"/>
  <c r="J94" i="18"/>
  <c r="H94" i="19"/>
  <c r="J84" i="18"/>
  <c r="H84" i="19"/>
  <c r="H85"/>
  <c r="J85" i="18"/>
  <c r="J83" i="19"/>
  <c r="H83" i="20"/>
  <c r="J82" i="19"/>
  <c r="H82" i="20"/>
  <c r="J81"/>
  <c r="H81" i="21"/>
  <c r="H80" i="20"/>
  <c r="J80" i="19"/>
  <c r="J79"/>
  <c r="H79" i="20"/>
  <c r="H78"/>
  <c r="J78" i="19"/>
  <c r="J76"/>
  <c r="H76" i="20"/>
  <c r="J74" i="19"/>
  <c r="H74" i="20"/>
  <c r="H75"/>
  <c r="J75" i="19"/>
  <c r="H73"/>
  <c r="J73" i="18"/>
  <c r="H72" i="19"/>
  <c r="J72" i="18"/>
  <c r="H69" i="19"/>
  <c r="J69" i="18"/>
  <c r="J67" i="19"/>
  <c r="H67" i="20"/>
  <c r="H66"/>
  <c r="J66" i="19"/>
  <c r="H65" i="20"/>
  <c r="J65" i="19"/>
  <c r="H63" i="20"/>
  <c r="J63" i="19"/>
  <c r="J58"/>
  <c r="H58" i="20"/>
  <c r="J55" i="18"/>
  <c r="H55" i="19"/>
  <c r="H54"/>
  <c r="J54" i="18"/>
  <c r="J53" i="19"/>
  <c r="H53" i="20"/>
  <c r="J52" i="19"/>
  <c r="H52" i="20"/>
  <c r="J149" i="18"/>
  <c r="H149" i="19"/>
  <c r="J51"/>
  <c r="H51" i="20"/>
  <c r="J49" i="19"/>
  <c r="H49" i="20"/>
  <c r="J59" i="19"/>
  <c r="H59" i="20"/>
  <c r="H46"/>
  <c r="J46" i="19"/>
  <c r="J43" i="20"/>
  <c r="H43" i="21"/>
  <c r="H143" i="20"/>
  <c r="J143" i="19"/>
  <c r="H42"/>
  <c r="J42" i="18"/>
  <c r="J145" i="19"/>
  <c r="H145" i="20"/>
  <c r="J41" i="18"/>
  <c r="H41" i="19"/>
  <c r="J147" i="18"/>
  <c r="H147" i="19"/>
  <c r="H47" i="18"/>
  <c r="J47" i="17"/>
  <c r="J39" i="19"/>
  <c r="H39" i="20"/>
  <c r="H60" i="17"/>
  <c r="J60" i="16"/>
  <c r="J151" i="19"/>
  <c r="H151" i="20"/>
  <c r="H15" i="19"/>
  <c r="J15" i="18"/>
  <c r="I16" s="1"/>
  <c r="J12" i="20"/>
  <c r="H12" i="21"/>
  <c r="J10" i="19"/>
  <c r="H10" i="20"/>
  <c r="H13" i="19"/>
  <c r="J13" i="18"/>
  <c r="J148"/>
  <c r="H148" i="19"/>
  <c r="H152"/>
  <c r="J152" i="18"/>
  <c r="H144" i="19"/>
  <c r="J7" i="18"/>
  <c r="I9" s="1"/>
  <c r="H7" i="19"/>
  <c r="H150"/>
  <c r="J150" i="18"/>
  <c r="H154" i="19"/>
  <c r="J154" s="1"/>
  <c r="J154" i="18"/>
  <c r="H146" i="19"/>
  <c r="J146" i="18"/>
  <c r="H31" i="24" l="1"/>
  <c r="H31" i="25" s="1"/>
  <c r="H31" i="40" s="1"/>
  <c r="H31" i="27" s="1"/>
  <c r="H31" i="28" s="1"/>
  <c r="H31" i="29" s="1"/>
  <c r="H31" i="30" s="1"/>
  <c r="H31" i="43" s="1"/>
  <c r="J31" i="23"/>
  <c r="B32" i="44"/>
  <c r="G150" i="29"/>
  <c r="I59"/>
  <c r="I13"/>
  <c r="G148"/>
  <c r="G152"/>
  <c r="BL31" i="1"/>
  <c r="G154" i="29"/>
  <c r="G144"/>
  <c r="BM30" i="49"/>
  <c r="BA33" i="44"/>
  <c r="G15" i="43"/>
  <c r="B33" i="44"/>
  <c r="G152" i="30"/>
  <c r="G146"/>
  <c r="G148"/>
  <c r="G150"/>
  <c r="G144"/>
  <c r="G154"/>
  <c r="I59"/>
  <c r="I13"/>
  <c r="E29" i="47"/>
  <c r="M29" s="1"/>
  <c r="E27" i="42"/>
  <c r="G27" s="1"/>
  <c r="G31" s="1"/>
  <c r="G104"/>
  <c r="I13"/>
  <c r="G114"/>
  <c r="G108"/>
  <c r="G110"/>
  <c r="I58"/>
  <c r="G106"/>
  <c r="G112"/>
  <c r="N7" i="43"/>
  <c r="E7" i="31"/>
  <c r="F7" s="1"/>
  <c r="G9"/>
  <c r="G13" s="1"/>
  <c r="I60" s="1"/>
  <c r="N9"/>
  <c r="H153" i="20"/>
  <c r="J153" i="19"/>
  <c r="H30" i="21"/>
  <c r="J30" s="1"/>
  <c r="J29" i="19"/>
  <c r="H29" i="20"/>
  <c r="J27"/>
  <c r="H27" i="21"/>
  <c r="H28" i="22"/>
  <c r="J28" i="21"/>
  <c r="H32" i="19"/>
  <c r="J32" i="18"/>
  <c r="H24" i="23"/>
  <c r="J24" i="22"/>
  <c r="H23" i="21"/>
  <c r="J23" i="20"/>
  <c r="J22" i="23"/>
  <c r="H22" i="24"/>
  <c r="H22" i="25" s="1"/>
  <c r="J22" s="1"/>
  <c r="J95" i="21"/>
  <c r="H95" i="22"/>
  <c r="H18" i="21"/>
  <c r="J18" i="20"/>
  <c r="J56" i="19"/>
  <c r="H56" i="20"/>
  <c r="H132" i="22"/>
  <c r="J132" i="21"/>
  <c r="J137" i="20"/>
  <c r="H137" i="21"/>
  <c r="J131" i="20"/>
  <c r="H131" i="21"/>
  <c r="J138" i="20"/>
  <c r="H138" i="21"/>
  <c r="H93"/>
  <c r="J93" i="20"/>
  <c r="H77" i="22"/>
  <c r="J77" i="21"/>
  <c r="H62"/>
  <c r="J62" i="20"/>
  <c r="J68" i="21"/>
  <c r="H68" i="22"/>
  <c r="H68" i="23" s="1"/>
  <c r="J64" i="20"/>
  <c r="H64" i="21"/>
  <c r="J50" i="19"/>
  <c r="H50" i="20"/>
  <c r="H57" i="22"/>
  <c r="J57" i="21"/>
  <c r="H37" i="20"/>
  <c r="J37" i="19"/>
  <c r="J36"/>
  <c r="H36" i="20"/>
  <c r="J35"/>
  <c r="H35" i="21"/>
  <c r="H38"/>
  <c r="J38" i="20"/>
  <c r="J45" i="21"/>
  <c r="H45" i="22"/>
  <c r="H40" i="21"/>
  <c r="J40" i="20"/>
  <c r="J44" i="19"/>
  <c r="H44" i="20"/>
  <c r="H20" i="19"/>
  <c r="J20" i="18"/>
  <c r="H9" i="21"/>
  <c r="J9" i="20"/>
  <c r="H11" i="22"/>
  <c r="J11" i="21"/>
  <c r="H19" i="22"/>
  <c r="J19" i="21"/>
  <c r="H141" i="22"/>
  <c r="J141" i="21"/>
  <c r="H140" i="20"/>
  <c r="J140" i="19"/>
  <c r="H139" i="22"/>
  <c r="J139" i="21"/>
  <c r="J136" i="20"/>
  <c r="H136" i="21"/>
  <c r="J135" i="19"/>
  <c r="H135" i="20"/>
  <c r="H134" i="24"/>
  <c r="H134" i="25" s="1"/>
  <c r="J134" s="1"/>
  <c r="J134" i="23"/>
  <c r="H133" i="21"/>
  <c r="J133" i="20"/>
  <c r="J126"/>
  <c r="H126" i="21"/>
  <c r="J128" i="20"/>
  <c r="H128" i="21"/>
  <c r="H127"/>
  <c r="J127" i="20"/>
  <c r="J125"/>
  <c r="H125" i="21"/>
  <c r="H124"/>
  <c r="J124" i="20"/>
  <c r="J101"/>
  <c r="H101" i="21"/>
  <c r="H100"/>
  <c r="J100" i="20"/>
  <c r="J99"/>
  <c r="H99" i="21"/>
  <c r="J98" i="20"/>
  <c r="H98" i="21"/>
  <c r="J97" i="20"/>
  <c r="H97" i="21"/>
  <c r="J102" i="20"/>
  <c r="H102" i="21"/>
  <c r="J96" i="19"/>
  <c r="H96" i="20"/>
  <c r="J94" i="19"/>
  <c r="H94" i="20"/>
  <c r="J85" i="19"/>
  <c r="H85" i="20"/>
  <c r="J84" i="19"/>
  <c r="H84" i="20"/>
  <c r="J83"/>
  <c r="H83" i="21"/>
  <c r="J82" i="20"/>
  <c r="H82" i="21"/>
  <c r="H81" i="22"/>
  <c r="J81" i="21"/>
  <c r="J80" i="20"/>
  <c r="H80" i="21"/>
  <c r="H79"/>
  <c r="J79" i="20"/>
  <c r="H78" i="21"/>
  <c r="J78" i="20"/>
  <c r="J76"/>
  <c r="H76" i="21"/>
  <c r="J74" i="20"/>
  <c r="H74" i="21"/>
  <c r="H75"/>
  <c r="J75" i="20"/>
  <c r="J73" i="19"/>
  <c r="H73" i="20"/>
  <c r="H72"/>
  <c r="J72" i="19"/>
  <c r="J69"/>
  <c r="H69" i="20"/>
  <c r="J67"/>
  <c r="H67" i="21"/>
  <c r="H66"/>
  <c r="J66" i="20"/>
  <c r="J65"/>
  <c r="H65" i="21"/>
  <c r="J63" i="20"/>
  <c r="H63" i="21"/>
  <c r="H58"/>
  <c r="J58" i="20"/>
  <c r="J55" i="19"/>
  <c r="H55" i="20"/>
  <c r="H54"/>
  <c r="J54" i="19"/>
  <c r="H53" i="21"/>
  <c r="J53" i="20"/>
  <c r="H52" i="21"/>
  <c r="J52" i="20"/>
  <c r="H149"/>
  <c r="J149" i="19"/>
  <c r="J51" i="20"/>
  <c r="H51" i="21"/>
  <c r="J49" i="20"/>
  <c r="H49" i="21"/>
  <c r="H59"/>
  <c r="J59" i="20"/>
  <c r="J46"/>
  <c r="H46" i="21"/>
  <c r="H43" i="22"/>
  <c r="J43" i="21"/>
  <c r="H143"/>
  <c r="J143" i="20"/>
  <c r="J42" i="19"/>
  <c r="H42" i="20"/>
  <c r="H145" i="21"/>
  <c r="J145" i="20"/>
  <c r="H41"/>
  <c r="J41" i="19"/>
  <c r="H39" i="21"/>
  <c r="J39" i="20"/>
  <c r="H147"/>
  <c r="J147" i="19"/>
  <c r="J60" i="17"/>
  <c r="H60" i="18"/>
  <c r="J47"/>
  <c r="H47" i="19"/>
  <c r="J151" i="20"/>
  <c r="H151" i="21"/>
  <c r="H15" i="20"/>
  <c r="J15" i="19"/>
  <c r="I16" s="1"/>
  <c r="H12" i="22"/>
  <c r="J12" i="21"/>
  <c r="J10" i="20"/>
  <c r="H10" i="21"/>
  <c r="H13" i="20"/>
  <c r="J13" i="19"/>
  <c r="H146" i="20"/>
  <c r="J146" i="19"/>
  <c r="J7"/>
  <c r="I9" s="1"/>
  <c r="H7" i="20"/>
  <c r="H148"/>
  <c r="J148" i="19"/>
  <c r="H154" i="20"/>
  <c r="H150"/>
  <c r="J150" i="19"/>
  <c r="H152" i="20"/>
  <c r="J152" s="1"/>
  <c r="J152" i="19"/>
  <c r="H144" i="20"/>
  <c r="J144" i="19"/>
  <c r="H31" i="31" l="1"/>
  <c r="J31" s="1"/>
  <c r="J31" i="43"/>
  <c r="L31" i="1"/>
  <c r="BN31"/>
  <c r="BM31"/>
  <c r="M33"/>
  <c r="D34" i="44"/>
  <c r="D36" s="1"/>
  <c r="AN34"/>
  <c r="G129" i="43"/>
  <c r="E28"/>
  <c r="G28" s="1"/>
  <c r="G32" s="1"/>
  <c r="E30" i="47"/>
  <c r="M30" s="1"/>
  <c r="BM32" i="1"/>
  <c r="BL32"/>
  <c r="BN32"/>
  <c r="L32"/>
  <c r="N7" i="31"/>
  <c r="G7"/>
  <c r="J153" i="20"/>
  <c r="H153" i="21"/>
  <c r="H30" i="22"/>
  <c r="J30" s="1"/>
  <c r="J29" i="20"/>
  <c r="H29" i="21"/>
  <c r="H28" i="23"/>
  <c r="J28" i="22"/>
  <c r="H32" i="20"/>
  <c r="J32" i="19"/>
  <c r="J27" i="21"/>
  <c r="H27" i="22"/>
  <c r="J24" i="23"/>
  <c r="H24" i="24"/>
  <c r="H24" i="25" s="1"/>
  <c r="J24" s="1"/>
  <c r="H23" i="22"/>
  <c r="J23" i="21"/>
  <c r="J22" i="24"/>
  <c r="J95" i="22"/>
  <c r="H95" i="23"/>
  <c r="H18" i="22"/>
  <c r="J18" i="21"/>
  <c r="J56" i="20"/>
  <c r="H56" i="21"/>
  <c r="J131"/>
  <c r="H131" i="22"/>
  <c r="H132" i="23"/>
  <c r="J132" i="22"/>
  <c r="H138"/>
  <c r="J138" i="21"/>
  <c r="J137"/>
  <c r="H137" i="22"/>
  <c r="H93"/>
  <c r="J93" i="21"/>
  <c r="H77" i="23"/>
  <c r="J77" i="22"/>
  <c r="J64" i="21"/>
  <c r="H64" i="22"/>
  <c r="H62"/>
  <c r="J62" i="21"/>
  <c r="J68" i="22"/>
  <c r="H57" i="23"/>
  <c r="J57" i="22"/>
  <c r="H50" i="21"/>
  <c r="J50" i="20"/>
  <c r="J37"/>
  <c r="H37" i="21"/>
  <c r="J36" i="20"/>
  <c r="H36" i="21"/>
  <c r="H40" i="22"/>
  <c r="J40" i="21"/>
  <c r="H35" i="22"/>
  <c r="J35" i="21"/>
  <c r="H38" i="22"/>
  <c r="J38" i="21"/>
  <c r="J44" i="20"/>
  <c r="H44" i="21"/>
  <c r="J45" i="22"/>
  <c r="H45" i="23"/>
  <c r="J20" i="19"/>
  <c r="H20" i="20"/>
  <c r="J9" i="21"/>
  <c r="H9" i="22"/>
  <c r="H11" i="23"/>
  <c r="J11" i="22"/>
  <c r="J19"/>
  <c r="H19" i="23"/>
  <c r="J141" i="22"/>
  <c r="H141" i="23"/>
  <c r="H141" i="24" s="1"/>
  <c r="H141" i="25" s="1"/>
  <c r="J141" s="1"/>
  <c r="H140" i="21"/>
  <c r="J140" i="20"/>
  <c r="H139" i="23"/>
  <c r="J139" i="22"/>
  <c r="J136" i="21"/>
  <c r="H136" i="22"/>
  <c r="H135" i="21"/>
  <c r="J135" i="20"/>
  <c r="J134" i="24"/>
  <c r="J133" i="21"/>
  <c r="H133" i="22"/>
  <c r="J126" i="21"/>
  <c r="H126" i="22"/>
  <c r="H128"/>
  <c r="J128" i="21"/>
  <c r="J127"/>
  <c r="H127" i="22"/>
  <c r="J125" i="21"/>
  <c r="H125" i="22"/>
  <c r="H124"/>
  <c r="J124" i="21"/>
  <c r="J101"/>
  <c r="H101" i="22"/>
  <c r="H100"/>
  <c r="J100" i="21"/>
  <c r="H99" i="22"/>
  <c r="J99" i="21"/>
  <c r="J98"/>
  <c r="H98" i="22"/>
  <c r="H97"/>
  <c r="J97" i="21"/>
  <c r="H102" i="22"/>
  <c r="J102" i="21"/>
  <c r="H96"/>
  <c r="J96" i="20"/>
  <c r="H94" i="21"/>
  <c r="J94" i="20"/>
  <c r="J85"/>
  <c r="H85" i="21"/>
  <c r="H84"/>
  <c r="J84" i="20"/>
  <c r="H83" i="22"/>
  <c r="J83" i="21"/>
  <c r="H82" i="22"/>
  <c r="J82" i="21"/>
  <c r="J81" i="22"/>
  <c r="H81" i="23"/>
  <c r="H80" i="22"/>
  <c r="J80" i="21"/>
  <c r="J79"/>
  <c r="H79" i="22"/>
  <c r="H78"/>
  <c r="J78" i="21"/>
  <c r="H76" i="22"/>
  <c r="J76" i="21"/>
  <c r="H74" i="22"/>
  <c r="J74" i="21"/>
  <c r="H75" i="22"/>
  <c r="J75" i="21"/>
  <c r="H72"/>
  <c r="J72" i="20"/>
  <c r="H73" i="21"/>
  <c r="J73" i="20"/>
  <c r="J69"/>
  <c r="H69" i="21"/>
  <c r="H69" i="22" s="1"/>
  <c r="H69" i="23" s="1"/>
  <c r="H67" i="22"/>
  <c r="J67" i="21"/>
  <c r="H66" i="22"/>
  <c r="J66" i="21"/>
  <c r="J65"/>
  <c r="H65" i="22"/>
  <c r="H63"/>
  <c r="J63" i="21"/>
  <c r="H58" i="22"/>
  <c r="J58" i="21"/>
  <c r="J55" i="20"/>
  <c r="H55" i="21"/>
  <c r="H54"/>
  <c r="J54" i="20"/>
  <c r="H53" i="22"/>
  <c r="J53" i="21"/>
  <c r="H149"/>
  <c r="J149" i="20"/>
  <c r="H52" i="22"/>
  <c r="J52" i="21"/>
  <c r="H51" i="22"/>
  <c r="J51" i="21"/>
  <c r="J49"/>
  <c r="H49" i="22"/>
  <c r="H59"/>
  <c r="J59" i="21"/>
  <c r="H46" i="22"/>
  <c r="J46" i="21"/>
  <c r="H43" i="23"/>
  <c r="J43" i="22"/>
  <c r="H143"/>
  <c r="J143" i="21"/>
  <c r="H42"/>
  <c r="J42" i="20"/>
  <c r="J145" i="21"/>
  <c r="H145" i="22"/>
  <c r="J41" i="20"/>
  <c r="H41" i="21"/>
  <c r="J60" i="18"/>
  <c r="H60" i="19"/>
  <c r="J147" i="20"/>
  <c r="H147" i="21"/>
  <c r="J47" i="19"/>
  <c r="H47" i="20"/>
  <c r="H39" i="22"/>
  <c r="J39" i="21"/>
  <c r="H151" i="22"/>
  <c r="J151" i="21"/>
  <c r="J15" i="20"/>
  <c r="I16" s="1"/>
  <c r="H15" i="21"/>
  <c r="H12" i="23"/>
  <c r="J12" i="22"/>
  <c r="H10"/>
  <c r="J10" i="21"/>
  <c r="J13" i="20"/>
  <c r="H13" i="21"/>
  <c r="H7"/>
  <c r="J7" i="20"/>
  <c r="H152" i="21"/>
  <c r="J152" s="1"/>
  <c r="H154"/>
  <c r="J154" s="1"/>
  <c r="J154" i="20"/>
  <c r="J144"/>
  <c r="H144" i="21"/>
  <c r="J150" i="20"/>
  <c r="H150" i="21"/>
  <c r="H148"/>
  <c r="J148" i="20"/>
  <c r="J146"/>
  <c r="H146" i="21"/>
  <c r="O33" i="1" l="1"/>
  <c r="G31" i="47"/>
  <c r="M35" i="1"/>
  <c r="BG31" i="49"/>
  <c r="AT34" i="44"/>
  <c r="AN36"/>
  <c r="G148" i="31"/>
  <c r="G146"/>
  <c r="G152"/>
  <c r="G144"/>
  <c r="G154"/>
  <c r="B35" i="44"/>
  <c r="I13" i="31"/>
  <c r="I59"/>
  <c r="G150"/>
  <c r="J153" i="21"/>
  <c r="H153" i="22"/>
  <c r="H30" i="23"/>
  <c r="J30" s="1"/>
  <c r="J29" i="21"/>
  <c r="H29" i="22"/>
  <c r="H32" i="21"/>
  <c r="J32" i="20"/>
  <c r="H28" i="24"/>
  <c r="J28" i="23"/>
  <c r="J27" i="22"/>
  <c r="H27" i="23"/>
  <c r="J24" i="24"/>
  <c r="H23" i="23"/>
  <c r="J23" i="22"/>
  <c r="H22" i="40"/>
  <c r="J95" i="23"/>
  <c r="H95" i="24"/>
  <c r="H95" i="25" s="1"/>
  <c r="J95" s="1"/>
  <c r="H18" i="23"/>
  <c r="J18" i="22"/>
  <c r="J56" i="21"/>
  <c r="H56" i="22"/>
  <c r="H131" i="23"/>
  <c r="J131" i="22"/>
  <c r="H132" i="24"/>
  <c r="H132" i="25" s="1"/>
  <c r="J132" s="1"/>
  <c r="J132" i="23"/>
  <c r="H138"/>
  <c r="J138" i="22"/>
  <c r="H137" i="23"/>
  <c r="J137" i="22"/>
  <c r="J93"/>
  <c r="H93" i="23"/>
  <c r="H77" i="24"/>
  <c r="H77" i="25" s="1"/>
  <c r="J77" s="1"/>
  <c r="J77" i="23"/>
  <c r="H64"/>
  <c r="J64" i="22"/>
  <c r="J62"/>
  <c r="H62" i="23"/>
  <c r="J68"/>
  <c r="H68" i="24"/>
  <c r="H68" i="25" s="1"/>
  <c r="J68" s="1"/>
  <c r="J50" i="21"/>
  <c r="H50" i="22"/>
  <c r="J57" i="23"/>
  <c r="H57" i="24"/>
  <c r="H57" i="25" s="1"/>
  <c r="J57" s="1"/>
  <c r="H37" i="22"/>
  <c r="J37" i="21"/>
  <c r="H36" i="22"/>
  <c r="J36" i="21"/>
  <c r="H35" i="23"/>
  <c r="J35" i="22"/>
  <c r="J44" i="21"/>
  <c r="H44" i="22"/>
  <c r="H38" i="23"/>
  <c r="J38" i="22"/>
  <c r="H40" i="23"/>
  <c r="J40" i="22"/>
  <c r="J45" i="23"/>
  <c r="H45" i="24"/>
  <c r="H45" i="25" s="1"/>
  <c r="J45" s="1"/>
  <c r="H20" i="21"/>
  <c r="J20" i="20"/>
  <c r="H9" i="23"/>
  <c r="J9" i="22"/>
  <c r="J11" i="23"/>
  <c r="H11" i="24"/>
  <c r="H11" i="25" s="1"/>
  <c r="J11" s="1"/>
  <c r="J19" i="23"/>
  <c r="H19" i="24"/>
  <c r="H19" i="25" s="1"/>
  <c r="J19" s="1"/>
  <c r="J141" i="23"/>
  <c r="H140" i="22"/>
  <c r="J140" i="21"/>
  <c r="J139" i="23"/>
  <c r="H136"/>
  <c r="J136" i="22"/>
  <c r="H135"/>
  <c r="J135" i="21"/>
  <c r="H134" i="40"/>
  <c r="J133" i="22"/>
  <c r="H133" i="23"/>
  <c r="J126" i="22"/>
  <c r="H126" i="23"/>
  <c r="H128"/>
  <c r="J128" i="22"/>
  <c r="H127" i="23"/>
  <c r="J127" i="22"/>
  <c r="J125"/>
  <c r="H125" i="23"/>
  <c r="J124" i="22"/>
  <c r="H124" i="23"/>
  <c r="J101" i="22"/>
  <c r="H101" i="23"/>
  <c r="J100" i="22"/>
  <c r="H100" i="23"/>
  <c r="J99" i="22"/>
  <c r="H99" i="23"/>
  <c r="J98" i="22"/>
  <c r="H98" i="23"/>
  <c r="J97" i="22"/>
  <c r="H97" i="23"/>
  <c r="H96" i="22"/>
  <c r="J96" i="21"/>
  <c r="J102" i="22"/>
  <c r="H102" i="23"/>
  <c r="J94" i="21"/>
  <c r="H94" i="22"/>
  <c r="H84"/>
  <c r="J84" i="21"/>
  <c r="H85" i="22"/>
  <c r="J85" i="21"/>
  <c r="J83" i="22"/>
  <c r="H83" i="23"/>
  <c r="H82"/>
  <c r="J82" i="22"/>
  <c r="H81" i="24"/>
  <c r="H81" i="25" s="1"/>
  <c r="J81" s="1"/>
  <c r="J81" i="23"/>
  <c r="J80" i="22"/>
  <c r="H80" i="23"/>
  <c r="H79"/>
  <c r="J79" i="22"/>
  <c r="J78"/>
  <c r="H78" i="23"/>
  <c r="J76" i="22"/>
  <c r="H76" i="23"/>
  <c r="H74"/>
  <c r="J74" i="22"/>
  <c r="H75" i="23"/>
  <c r="J75" i="22"/>
  <c r="J72" i="21"/>
  <c r="H72" i="22"/>
  <c r="J73" i="21"/>
  <c r="H73" i="22"/>
  <c r="J69" i="21"/>
  <c r="H67" i="23"/>
  <c r="J67" i="22"/>
  <c r="H66" i="23"/>
  <c r="J66" i="22"/>
  <c r="H65" i="23"/>
  <c r="J65" i="22"/>
  <c r="J63"/>
  <c r="H63" i="23"/>
  <c r="H58"/>
  <c r="J58" i="22"/>
  <c r="H55"/>
  <c r="J55" i="21"/>
  <c r="J54"/>
  <c r="H54" i="22"/>
  <c r="H53" i="23"/>
  <c r="J53" i="22"/>
  <c r="H52" i="23"/>
  <c r="J52" i="22"/>
  <c r="J149" i="21"/>
  <c r="H149" i="22"/>
  <c r="H51" i="23"/>
  <c r="J51" i="22"/>
  <c r="J49"/>
  <c r="H49" i="23"/>
  <c r="J59" i="22"/>
  <c r="H59" i="23"/>
  <c r="J46" i="22"/>
  <c r="H46" i="23"/>
  <c r="H143"/>
  <c r="J143" i="22"/>
  <c r="H43" i="24"/>
  <c r="H43" i="25" s="1"/>
  <c r="J43" s="1"/>
  <c r="J43" i="23"/>
  <c r="H42" i="22"/>
  <c r="J42" i="21"/>
  <c r="H145" i="23"/>
  <c r="J145" i="22"/>
  <c r="H41"/>
  <c r="J41" i="21"/>
  <c r="J47" i="20"/>
  <c r="H47" i="21"/>
  <c r="J60" i="19"/>
  <c r="H60" i="20"/>
  <c r="H147" i="22"/>
  <c r="J147" i="21"/>
  <c r="J39" i="22"/>
  <c r="H39" i="23"/>
  <c r="H151"/>
  <c r="J151" i="22"/>
  <c r="H15"/>
  <c r="J15" i="21"/>
  <c r="I16" s="1"/>
  <c r="H12" i="24"/>
  <c r="H12" i="25" s="1"/>
  <c r="J12" s="1"/>
  <c r="J12" i="23"/>
  <c r="H10"/>
  <c r="J10" i="22"/>
  <c r="J13" i="21"/>
  <c r="H13" i="22"/>
  <c r="H146"/>
  <c r="J146" i="21"/>
  <c r="H150" i="22"/>
  <c r="J150" i="21"/>
  <c r="J144"/>
  <c r="H144" i="22"/>
  <c r="H152"/>
  <c r="J7" i="21"/>
  <c r="H7" i="22"/>
  <c r="J7" s="1"/>
  <c r="H148"/>
  <c r="J148" i="21"/>
  <c r="H154" i="22"/>
  <c r="BO33" i="1" l="1"/>
  <c r="BO35" s="1"/>
  <c r="O35"/>
  <c r="BM31" i="49"/>
  <c r="BA34" i="44"/>
  <c r="AT36"/>
  <c r="H153" i="23"/>
  <c r="J153" i="22"/>
  <c r="H30" i="24"/>
  <c r="H30" i="25" s="1"/>
  <c r="H29" i="23"/>
  <c r="J29" i="22"/>
  <c r="J32" i="21"/>
  <c r="H32" i="22"/>
  <c r="H28" i="25"/>
  <c r="J28" i="24"/>
  <c r="J27" i="23"/>
  <c r="H27" i="24"/>
  <c r="H24" i="40"/>
  <c r="J23" i="23"/>
  <c r="H23" i="24"/>
  <c r="H23" i="25" s="1"/>
  <c r="J23" s="1"/>
  <c r="H22" i="27"/>
  <c r="J22" i="40"/>
  <c r="J95" i="24"/>
  <c r="H18"/>
  <c r="H18" i="25" s="1"/>
  <c r="J18" s="1"/>
  <c r="J18" i="23"/>
  <c r="H56"/>
  <c r="J56" i="22"/>
  <c r="J137" i="23"/>
  <c r="H137" i="24"/>
  <c r="H137" i="25" s="1"/>
  <c r="J137" s="1"/>
  <c r="J132" i="24"/>
  <c r="J138" i="23"/>
  <c r="H131" i="24"/>
  <c r="H131" i="25" s="1"/>
  <c r="J131" s="1"/>
  <c r="J131" i="23"/>
  <c r="J93"/>
  <c r="H93" i="24"/>
  <c r="H93" i="25" s="1"/>
  <c r="J93" s="1"/>
  <c r="J77" i="24"/>
  <c r="J64" i="23"/>
  <c r="H64" i="24"/>
  <c r="H64" i="25" s="1"/>
  <c r="J64" s="1"/>
  <c r="J68" i="24"/>
  <c r="H62"/>
  <c r="H62" i="25" s="1"/>
  <c r="J62" s="1"/>
  <c r="J62" i="23"/>
  <c r="H50"/>
  <c r="J50" i="22"/>
  <c r="J57" i="24"/>
  <c r="H36" i="23"/>
  <c r="J36" i="22"/>
  <c r="H37" i="23"/>
  <c r="J37" i="22"/>
  <c r="J35" i="23"/>
  <c r="H35" i="24"/>
  <c r="H35" i="25" s="1"/>
  <c r="J35" s="1"/>
  <c r="J45" i="24"/>
  <c r="J40" i="23"/>
  <c r="H40" i="24"/>
  <c r="H40" i="25" s="1"/>
  <c r="J40" s="1"/>
  <c r="J38" i="23"/>
  <c r="H38" i="24"/>
  <c r="H38" i="25" s="1"/>
  <c r="J38" s="1"/>
  <c r="H44" i="23"/>
  <c r="J44" i="22"/>
  <c r="J20" i="21"/>
  <c r="H20" i="22"/>
  <c r="J9" i="23"/>
  <c r="H9" i="24"/>
  <c r="H9" i="25" s="1"/>
  <c r="J9" s="1"/>
  <c r="J11" i="24"/>
  <c r="J19"/>
  <c r="J141"/>
  <c r="H140" i="23"/>
  <c r="J140" i="22"/>
  <c r="J139" i="24"/>
  <c r="J136" i="23"/>
  <c r="H135"/>
  <c r="J135" i="22"/>
  <c r="J134" i="40"/>
  <c r="H134" i="27"/>
  <c r="J133" i="23"/>
  <c r="H133" i="24"/>
  <c r="H133" i="25" s="1"/>
  <c r="J133" s="1"/>
  <c r="J126" i="23"/>
  <c r="H126" i="24"/>
  <c r="H126" i="25" s="1"/>
  <c r="J126" s="1"/>
  <c r="H128" i="24"/>
  <c r="J128" i="23"/>
  <c r="J127"/>
  <c r="H127" i="24"/>
  <c r="H127" i="25" s="1"/>
  <c r="J127" s="1"/>
  <c r="J125" i="23"/>
  <c r="H125" i="24"/>
  <c r="H125" i="25" s="1"/>
  <c r="J125" s="1"/>
  <c r="H124" i="24"/>
  <c r="H124" i="25" s="1"/>
  <c r="J124" s="1"/>
  <c r="J124" i="23"/>
  <c r="J101"/>
  <c r="H101" i="24"/>
  <c r="H101" i="25" s="1"/>
  <c r="J101" s="1"/>
  <c r="H100" i="24"/>
  <c r="H100" i="25" s="1"/>
  <c r="J100" s="1"/>
  <c r="J100" i="23"/>
  <c r="H99" i="24"/>
  <c r="H99" i="25" s="1"/>
  <c r="J99" s="1"/>
  <c r="J99" i="23"/>
  <c r="H98" i="24"/>
  <c r="H98" i="25" s="1"/>
  <c r="J98" s="1"/>
  <c r="J98" i="23"/>
  <c r="H97" i="24"/>
  <c r="H97" i="25" s="1"/>
  <c r="J97" s="1"/>
  <c r="J97" i="23"/>
  <c r="H102" i="24"/>
  <c r="H102" i="25" s="1"/>
  <c r="J102" s="1"/>
  <c r="J102" i="23"/>
  <c r="H96"/>
  <c r="J96" i="22"/>
  <c r="J94"/>
  <c r="H94" i="23"/>
  <c r="J84" i="22"/>
  <c r="H84" i="23"/>
  <c r="H85"/>
  <c r="J85" i="22"/>
  <c r="H83" i="24"/>
  <c r="H83" i="25" s="1"/>
  <c r="J83" s="1"/>
  <c r="J83" i="23"/>
  <c r="J82"/>
  <c r="H82" i="24"/>
  <c r="H82" i="25" s="1"/>
  <c r="J82" s="1"/>
  <c r="J81" i="24"/>
  <c r="J80" i="23"/>
  <c r="H80" i="24"/>
  <c r="H80" i="25" s="1"/>
  <c r="J80" s="1"/>
  <c r="J79" i="23"/>
  <c r="H79" i="24"/>
  <c r="H79" i="25" s="1"/>
  <c r="J79" s="1"/>
  <c r="J78" i="23"/>
  <c r="H78" i="24"/>
  <c r="H78" i="25" s="1"/>
  <c r="J78" s="1"/>
  <c r="J76" i="23"/>
  <c r="H76" i="24"/>
  <c r="H76" i="25" s="1"/>
  <c r="J76" s="1"/>
  <c r="J74" i="23"/>
  <c r="H74" i="24"/>
  <c r="H74" i="25" s="1"/>
  <c r="J74" s="1"/>
  <c r="H75" i="24"/>
  <c r="H75" i="25" s="1"/>
  <c r="J75" s="1"/>
  <c r="J75" i="23"/>
  <c r="H72"/>
  <c r="J72" i="22"/>
  <c r="H73" i="23"/>
  <c r="J73" i="22"/>
  <c r="J69"/>
  <c r="H67" i="24"/>
  <c r="H67" i="25" s="1"/>
  <c r="J67" s="1"/>
  <c r="J67" i="23"/>
  <c r="J66"/>
  <c r="H66" i="24"/>
  <c r="H66" i="25" s="1"/>
  <c r="J66" s="1"/>
  <c r="J65" i="23"/>
  <c r="H65" i="24"/>
  <c r="H65" i="25" s="1"/>
  <c r="J65" s="1"/>
  <c r="J63" i="23"/>
  <c r="H63" i="24"/>
  <c r="H63" i="25" s="1"/>
  <c r="J63" s="1"/>
  <c r="H58" i="24"/>
  <c r="H58" i="25" s="1"/>
  <c r="J58" s="1"/>
  <c r="J58" i="23"/>
  <c r="H55"/>
  <c r="J55" i="22"/>
  <c r="H54" i="23"/>
  <c r="J54" i="22"/>
  <c r="J53" i="23"/>
  <c r="H53" i="24"/>
  <c r="H53" i="25" s="1"/>
  <c r="J53" s="1"/>
  <c r="J149" i="22"/>
  <c r="H149" i="23"/>
  <c r="H52" i="24"/>
  <c r="H52" i="25" s="1"/>
  <c r="J52" s="1"/>
  <c r="J52" i="23"/>
  <c r="H51" i="24"/>
  <c r="H51" i="25" s="1"/>
  <c r="J51" s="1"/>
  <c r="J51" i="23"/>
  <c r="H59" i="24"/>
  <c r="H59" i="25" s="1"/>
  <c r="J59" s="1"/>
  <c r="J59" i="23"/>
  <c r="J49"/>
  <c r="H49" i="24"/>
  <c r="H49" i="25" s="1"/>
  <c r="J49" s="1"/>
  <c r="H46" i="24"/>
  <c r="H46" i="25" s="1"/>
  <c r="J46" s="1"/>
  <c r="J46" i="23"/>
  <c r="H143" i="24"/>
  <c r="H143" i="25" s="1"/>
  <c r="J143" s="1"/>
  <c r="J143" i="23"/>
  <c r="J43" i="24"/>
  <c r="J42" i="22"/>
  <c r="H42" i="23"/>
  <c r="J41" i="22"/>
  <c r="H41" i="23"/>
  <c r="H145" i="24"/>
  <c r="H145" i="25" s="1"/>
  <c r="J145" s="1"/>
  <c r="J145" i="23"/>
  <c r="H47" i="22"/>
  <c r="J47" i="21"/>
  <c r="H39" i="24"/>
  <c r="H39" i="25" s="1"/>
  <c r="J39" s="1"/>
  <c r="J39" i="23"/>
  <c r="H60" i="21"/>
  <c r="J60" i="20"/>
  <c r="J147" i="22"/>
  <c r="H147" i="23"/>
  <c r="H151" i="24"/>
  <c r="H151" i="25" s="1"/>
  <c r="J151" s="1"/>
  <c r="J151" i="23"/>
  <c r="J15" i="22"/>
  <c r="I16" s="1"/>
  <c r="H15" i="23"/>
  <c r="J12" i="24"/>
  <c r="J10" i="23"/>
  <c r="H10" i="24"/>
  <c r="H10" i="25" s="1"/>
  <c r="J10" s="1"/>
  <c r="H13" i="23"/>
  <c r="J13" i="22"/>
  <c r="H154" i="23"/>
  <c r="J154" i="22"/>
  <c r="H146" i="23"/>
  <c r="J146" i="22"/>
  <c r="H144" i="23"/>
  <c r="J144" i="22"/>
  <c r="H148" i="23"/>
  <c r="J148" i="22"/>
  <c r="H152" i="23"/>
  <c r="J152" i="22"/>
  <c r="H150" i="23"/>
  <c r="J150" i="22"/>
  <c r="H7" i="23"/>
  <c r="H153" i="24" l="1"/>
  <c r="J153" i="23"/>
  <c r="J30" i="24"/>
  <c r="J29" i="23"/>
  <c r="H29" i="24"/>
  <c r="H128" i="25"/>
  <c r="J128" s="1"/>
  <c r="J128" i="24"/>
  <c r="H28" i="40"/>
  <c r="J28" i="25"/>
  <c r="J27" i="24"/>
  <c r="H27" i="25"/>
  <c r="H32" i="23"/>
  <c r="J32" i="22"/>
  <c r="J30" i="25"/>
  <c r="H30" i="40"/>
  <c r="J24"/>
  <c r="H24" i="27"/>
  <c r="J23" i="24"/>
  <c r="H22" i="28"/>
  <c r="J22" i="27"/>
  <c r="H95" i="40"/>
  <c r="J18" i="24"/>
  <c r="J56" i="23"/>
  <c r="H56" i="24"/>
  <c r="H56" i="25" s="1"/>
  <c r="J56" s="1"/>
  <c r="J131" i="24"/>
  <c r="H132" i="40"/>
  <c r="J138" i="24"/>
  <c r="J137"/>
  <c r="J93"/>
  <c r="H77" i="40"/>
  <c r="J64" i="24"/>
  <c r="H68" i="40"/>
  <c r="J62" i="24"/>
  <c r="J50" i="23"/>
  <c r="H50" i="24"/>
  <c r="H50" i="25" s="1"/>
  <c r="J50" s="1"/>
  <c r="H57" i="40"/>
  <c r="J37" i="23"/>
  <c r="H37" i="24"/>
  <c r="H37" i="25" s="1"/>
  <c r="J37" s="1"/>
  <c r="J36" i="23"/>
  <c r="H36" i="24"/>
  <c r="H36" i="25" s="1"/>
  <c r="J36" s="1"/>
  <c r="J38" i="24"/>
  <c r="J35"/>
  <c r="J44" i="23"/>
  <c r="H44" i="24"/>
  <c r="H44" i="25" s="1"/>
  <c r="J44" s="1"/>
  <c r="H45" i="40"/>
  <c r="J40" i="24"/>
  <c r="H20" i="23"/>
  <c r="J20" i="22"/>
  <c r="J9" i="24"/>
  <c r="H11" i="40"/>
  <c r="H19"/>
  <c r="H141"/>
  <c r="J140" i="23"/>
  <c r="H140" i="24"/>
  <c r="H139" i="40"/>
  <c r="J136" i="24"/>
  <c r="J135" i="23"/>
  <c r="J134" i="27"/>
  <c r="H134" i="28"/>
  <c r="J133" i="24"/>
  <c r="J126"/>
  <c r="J127"/>
  <c r="J125"/>
  <c r="J124"/>
  <c r="J101"/>
  <c r="J100"/>
  <c r="J99"/>
  <c r="J98"/>
  <c r="J97"/>
  <c r="J102"/>
  <c r="H96"/>
  <c r="H96" i="25" s="1"/>
  <c r="J96" s="1"/>
  <c r="J96" i="23"/>
  <c r="H94" i="24"/>
  <c r="H94" i="25" s="1"/>
  <c r="J94" s="1"/>
  <c r="J94" i="23"/>
  <c r="J85"/>
  <c r="H85" i="24"/>
  <c r="H85" i="25" s="1"/>
  <c r="J85" s="1"/>
  <c r="J84" i="23"/>
  <c r="H84" i="24"/>
  <c r="H84" i="25" s="1"/>
  <c r="J84" s="1"/>
  <c r="J83" i="24"/>
  <c r="J82"/>
  <c r="H81" i="40"/>
  <c r="J80" i="24"/>
  <c r="J79"/>
  <c r="J78"/>
  <c r="J76"/>
  <c r="J75"/>
  <c r="J74"/>
  <c r="H73"/>
  <c r="H73" i="25" s="1"/>
  <c r="J73" s="1"/>
  <c r="J73" i="23"/>
  <c r="H72" i="24"/>
  <c r="H72" i="25" s="1"/>
  <c r="J72" s="1"/>
  <c r="J72" i="23"/>
  <c r="J69"/>
  <c r="H69" i="24"/>
  <c r="H69" i="25" s="1"/>
  <c r="J69" s="1"/>
  <c r="J67" i="24"/>
  <c r="J66"/>
  <c r="J65"/>
  <c r="J63"/>
  <c r="J58"/>
  <c r="J55" i="23"/>
  <c r="H55" i="24"/>
  <c r="H55" i="25" s="1"/>
  <c r="J55" s="1"/>
  <c r="J54" i="23"/>
  <c r="H54" i="24"/>
  <c r="H54" i="25" s="1"/>
  <c r="J54" s="1"/>
  <c r="J53" i="24"/>
  <c r="J149" i="23"/>
  <c r="H149" i="24"/>
  <c r="H149" i="25" s="1"/>
  <c r="J149" s="1"/>
  <c r="J52" i="24"/>
  <c r="J51"/>
  <c r="J49"/>
  <c r="J59"/>
  <c r="J46"/>
  <c r="H43" i="40"/>
  <c r="J143" i="24"/>
  <c r="H42"/>
  <c r="H42" i="25" s="1"/>
  <c r="J42" s="1"/>
  <c r="J42" i="23"/>
  <c r="J41"/>
  <c r="H41" i="24"/>
  <c r="H41" i="25" s="1"/>
  <c r="J41" s="1"/>
  <c r="J145" i="24"/>
  <c r="J39"/>
  <c r="H147"/>
  <c r="H147" i="25" s="1"/>
  <c r="J147" s="1"/>
  <c r="J147" i="23"/>
  <c r="H60" i="22"/>
  <c r="J60" i="21"/>
  <c r="J47" i="22"/>
  <c r="H47" i="23"/>
  <c r="J151" i="24"/>
  <c r="J15" i="23"/>
  <c r="I16" s="1"/>
  <c r="H15" i="24"/>
  <c r="H15" i="25" s="1"/>
  <c r="J15" s="1"/>
  <c r="I16" s="1"/>
  <c r="H12" i="40"/>
  <c r="J10" i="24"/>
  <c r="H13"/>
  <c r="H13" i="25" s="1"/>
  <c r="J13" i="23"/>
  <c r="H152" i="24"/>
  <c r="H152" i="25" s="1"/>
  <c r="J152" s="1"/>
  <c r="J152" i="23"/>
  <c r="J144"/>
  <c r="H144" i="24"/>
  <c r="H144" i="25" s="1"/>
  <c r="J144" s="1"/>
  <c r="H154" i="24"/>
  <c r="H154" i="25" s="1"/>
  <c r="J154" s="1"/>
  <c r="J154" i="23"/>
  <c r="H7" i="24"/>
  <c r="H7" i="25" s="1"/>
  <c r="J7" s="1"/>
  <c r="J7" i="23"/>
  <c r="J150"/>
  <c r="H150" i="24"/>
  <c r="H150" i="25" s="1"/>
  <c r="J150" s="1"/>
  <c r="H148" i="24"/>
  <c r="H148" i="25" s="1"/>
  <c r="J148" s="1"/>
  <c r="J148" i="23"/>
  <c r="H146" i="24"/>
  <c r="H146" i="25" s="1"/>
  <c r="J146" s="1"/>
  <c r="J146" i="23"/>
  <c r="J13" i="25" l="1"/>
  <c r="H13" i="40"/>
  <c r="J60" i="23"/>
  <c r="H47" i="24"/>
  <c r="H47" i="25" s="1"/>
  <c r="J47" s="1"/>
  <c r="H153"/>
  <c r="J153" i="24"/>
  <c r="H29" i="25"/>
  <c r="J29" i="24"/>
  <c r="J28" i="40"/>
  <c r="H28" i="27"/>
  <c r="J27" i="25"/>
  <c r="H27" i="40"/>
  <c r="H32" i="24"/>
  <c r="J32" i="23"/>
  <c r="J30" i="40"/>
  <c r="H30" i="27"/>
  <c r="H140" i="25"/>
  <c r="H24" i="28"/>
  <c r="J24" i="27"/>
  <c r="H23" i="40"/>
  <c r="H22" i="29"/>
  <c r="J22" i="28"/>
  <c r="J95" i="40"/>
  <c r="H95" i="27"/>
  <c r="H18" i="40"/>
  <c r="J56" i="24"/>
  <c r="H138" i="40"/>
  <c r="H137"/>
  <c r="H131"/>
  <c r="J132"/>
  <c r="H132" i="27"/>
  <c r="H93" i="40"/>
  <c r="H77" i="27"/>
  <c r="J77" i="40"/>
  <c r="H62"/>
  <c r="J68"/>
  <c r="H68" i="27"/>
  <c r="H64" i="40"/>
  <c r="H57" i="27"/>
  <c r="J57" i="40"/>
  <c r="J50" i="24"/>
  <c r="J37"/>
  <c r="J36"/>
  <c r="J44"/>
  <c r="H35" i="40"/>
  <c r="H38"/>
  <c r="H40"/>
  <c r="H45" i="27"/>
  <c r="J45" i="40"/>
  <c r="H20" i="24"/>
  <c r="H20" i="25" s="1"/>
  <c r="J20" s="1"/>
  <c r="J20" i="23"/>
  <c r="H9" i="40"/>
  <c r="H11" i="27"/>
  <c r="J11" i="40"/>
  <c r="H19" i="27"/>
  <c r="J19" i="40"/>
  <c r="H141" i="27"/>
  <c r="J141" i="40"/>
  <c r="J140" i="24"/>
  <c r="J139" i="40"/>
  <c r="H139" i="27"/>
  <c r="H136" i="40"/>
  <c r="J135" i="24"/>
  <c r="J134" i="28"/>
  <c r="H134" i="29"/>
  <c r="H133" i="40"/>
  <c r="H126"/>
  <c r="H128"/>
  <c r="H127"/>
  <c r="H125"/>
  <c r="H124"/>
  <c r="H101"/>
  <c r="H100"/>
  <c r="H99"/>
  <c r="H98"/>
  <c r="H97"/>
  <c r="H102"/>
  <c r="J96" i="24"/>
  <c r="J94"/>
  <c r="J85"/>
  <c r="J84"/>
  <c r="H83" i="40"/>
  <c r="H82"/>
  <c r="H81" i="27"/>
  <c r="J81" i="40"/>
  <c r="H80"/>
  <c r="H78"/>
  <c r="H79"/>
  <c r="H76"/>
  <c r="H75"/>
  <c r="H74"/>
  <c r="J73" i="24"/>
  <c r="J72"/>
  <c r="J69"/>
  <c r="H67" i="40"/>
  <c r="H66"/>
  <c r="H65"/>
  <c r="H63"/>
  <c r="H58"/>
  <c r="J55" i="24"/>
  <c r="J54"/>
  <c r="H53" i="40"/>
  <c r="H52"/>
  <c r="J149" i="24"/>
  <c r="H51" i="40"/>
  <c r="H59"/>
  <c r="H49"/>
  <c r="H46"/>
  <c r="H143"/>
  <c r="H43" i="27"/>
  <c r="J43" i="40"/>
  <c r="J42" i="24"/>
  <c r="J41"/>
  <c r="H145" i="40"/>
  <c r="H39"/>
  <c r="J147" i="24"/>
  <c r="J47" i="23"/>
  <c r="H60"/>
  <c r="J60" i="22"/>
  <c r="H151" i="40"/>
  <c r="J15" i="24"/>
  <c r="I16" s="1"/>
  <c r="J12" i="40"/>
  <c r="H12" i="27"/>
  <c r="H10" i="40"/>
  <c r="J13" i="24"/>
  <c r="J144"/>
  <c r="J146"/>
  <c r="J154"/>
  <c r="J152"/>
  <c r="J150"/>
  <c r="J148"/>
  <c r="J7"/>
  <c r="J153" i="25" l="1"/>
  <c r="H153" i="40"/>
  <c r="H29"/>
  <c r="J29" i="25"/>
  <c r="H32"/>
  <c r="J32" i="24"/>
  <c r="J28" i="27"/>
  <c r="H28" i="28"/>
  <c r="J27" i="40"/>
  <c r="H27" i="27"/>
  <c r="J30"/>
  <c r="H30" i="28"/>
  <c r="J140" i="25"/>
  <c r="H24" i="29"/>
  <c r="J24" i="28"/>
  <c r="H23" i="27"/>
  <c r="J23" i="40"/>
  <c r="H22" i="30"/>
  <c r="J22" i="29"/>
  <c r="H95" i="28"/>
  <c r="J95" i="27"/>
  <c r="J18" i="40"/>
  <c r="H18" i="27"/>
  <c r="H56" i="40"/>
  <c r="H137" i="27"/>
  <c r="J137" i="40"/>
  <c r="J131"/>
  <c r="H131" i="27"/>
  <c r="H138"/>
  <c r="J138" i="40"/>
  <c r="J132" i="27"/>
  <c r="H132" i="28"/>
  <c r="J93" i="40"/>
  <c r="H93" i="27"/>
  <c r="H77" i="28"/>
  <c r="J77" i="27"/>
  <c r="J62" i="40"/>
  <c r="H62" i="27"/>
  <c r="H64"/>
  <c r="J64" i="40"/>
  <c r="H68" i="28"/>
  <c r="J68" i="27"/>
  <c r="H57" i="28"/>
  <c r="J57" i="27"/>
  <c r="H50" i="40"/>
  <c r="H37"/>
  <c r="H36"/>
  <c r="J40"/>
  <c r="H40" i="27"/>
  <c r="H44" i="40"/>
  <c r="H45" i="28"/>
  <c r="J45" i="27"/>
  <c r="H38"/>
  <c r="J38" i="40"/>
  <c r="J35"/>
  <c r="H35" i="27"/>
  <c r="J20" i="24"/>
  <c r="H11" i="28"/>
  <c r="J11" i="27"/>
  <c r="H9"/>
  <c r="J9" i="40"/>
  <c r="J19" i="27"/>
  <c r="H19" i="28"/>
  <c r="J141" i="27"/>
  <c r="H141" i="28"/>
  <c r="H140" i="40"/>
  <c r="H139" i="28"/>
  <c r="J139" i="27"/>
  <c r="J136" i="40"/>
  <c r="H136" i="27"/>
  <c r="H135" i="40"/>
  <c r="H134" i="30"/>
  <c r="J134" i="29"/>
  <c r="J133" i="40"/>
  <c r="H133" i="27"/>
  <c r="H126"/>
  <c r="J126" i="40"/>
  <c r="J128"/>
  <c r="H128" i="27"/>
  <c r="H127"/>
  <c r="J127" i="40"/>
  <c r="H125" i="27"/>
  <c r="J125" i="40"/>
  <c r="J124"/>
  <c r="H124" i="27"/>
  <c r="J101" i="40"/>
  <c r="H101" i="27"/>
  <c r="H100"/>
  <c r="J100" i="40"/>
  <c r="J99"/>
  <c r="H99" i="27"/>
  <c r="J98" i="40"/>
  <c r="H98" i="27"/>
  <c r="J97" i="40"/>
  <c r="H97" i="27"/>
  <c r="J102" i="40"/>
  <c r="H102" i="27"/>
  <c r="H96" i="40"/>
  <c r="H94"/>
  <c r="H85"/>
  <c r="H84"/>
  <c r="J83"/>
  <c r="H83" i="27"/>
  <c r="H82"/>
  <c r="J82" i="40"/>
  <c r="J81" i="27"/>
  <c r="H81" i="28"/>
  <c r="J80" i="40"/>
  <c r="H80" i="27"/>
  <c r="H78"/>
  <c r="J78" i="40"/>
  <c r="H79" i="27"/>
  <c r="J79" i="40"/>
  <c r="H76" i="27"/>
  <c r="J76" i="40"/>
  <c r="H75" i="27"/>
  <c r="J75" i="40"/>
  <c r="H74" i="27"/>
  <c r="J74" i="40"/>
  <c r="H72"/>
  <c r="H73"/>
  <c r="H69"/>
  <c r="H67" i="27"/>
  <c r="J67" i="40"/>
  <c r="H66" i="27"/>
  <c r="J66" i="40"/>
  <c r="H65" i="27"/>
  <c r="J65" i="40"/>
  <c r="J63"/>
  <c r="H63" i="27"/>
  <c r="H58"/>
  <c r="J58" i="40"/>
  <c r="H55"/>
  <c r="H54"/>
  <c r="J53"/>
  <c r="H53" i="27"/>
  <c r="J52" i="40"/>
  <c r="H52" i="27"/>
  <c r="H149" i="40"/>
  <c r="J51"/>
  <c r="H51" i="27"/>
  <c r="J59" i="40"/>
  <c r="H59" i="27"/>
  <c r="J49" i="40"/>
  <c r="H49" i="27"/>
  <c r="J46" i="40"/>
  <c r="H46" i="27"/>
  <c r="H143"/>
  <c r="J143" i="40"/>
  <c r="J43" i="27"/>
  <c r="H43" i="28"/>
  <c r="H42" i="40"/>
  <c r="H41"/>
  <c r="J145"/>
  <c r="H145" i="27"/>
  <c r="H39"/>
  <c r="J39" i="40"/>
  <c r="H60" i="24"/>
  <c r="H60" i="25" s="1"/>
  <c r="J60" s="1"/>
  <c r="H147" i="40"/>
  <c r="J47" i="24"/>
  <c r="J151" i="40"/>
  <c r="H151" i="27"/>
  <c r="H15" i="40"/>
  <c r="H12" i="28"/>
  <c r="J12" i="27"/>
  <c r="J10" i="40"/>
  <c r="H10" i="27"/>
  <c r="H7" i="40"/>
  <c r="L13" s="1"/>
  <c r="H150"/>
  <c r="H154"/>
  <c r="H146"/>
  <c r="H148"/>
  <c r="H152"/>
  <c r="H144"/>
  <c r="J153" l="1"/>
  <c r="H153" i="27"/>
  <c r="J29" i="40"/>
  <c r="H29" i="27"/>
  <c r="H32" i="40"/>
  <c r="J32" i="25"/>
  <c r="J27" i="27"/>
  <c r="H27" i="28"/>
  <c r="J28"/>
  <c r="H28" i="29"/>
  <c r="J30" i="28"/>
  <c r="H30" i="29"/>
  <c r="H24" i="30"/>
  <c r="J24" i="29"/>
  <c r="H23" i="28"/>
  <c r="J23" i="27"/>
  <c r="J22" i="30"/>
  <c r="H22" i="43"/>
  <c r="H22" i="31" s="1"/>
  <c r="J22" s="1"/>
  <c r="H22" i="42"/>
  <c r="J22" s="1"/>
  <c r="J95" i="28"/>
  <c r="H95" i="29"/>
  <c r="H18" i="28"/>
  <c r="J18" i="27"/>
  <c r="H56"/>
  <c r="J56" i="40"/>
  <c r="J138" i="27"/>
  <c r="H138" i="28"/>
  <c r="J137" i="27"/>
  <c r="H137" i="28"/>
  <c r="H132" i="29"/>
  <c r="J132" i="28"/>
  <c r="H131"/>
  <c r="J131" i="27"/>
  <c r="J93"/>
  <c r="H93" i="28"/>
  <c r="H77" i="29"/>
  <c r="J77" i="28"/>
  <c r="J62" i="27"/>
  <c r="H62" i="28"/>
  <c r="H64"/>
  <c r="J64" i="27"/>
  <c r="H68" i="29"/>
  <c r="J68" i="28"/>
  <c r="J57"/>
  <c r="H57" i="29"/>
  <c r="H50" i="27"/>
  <c r="J50" i="40"/>
  <c r="J37"/>
  <c r="H37" i="27"/>
  <c r="J36" i="40"/>
  <c r="H36" i="27"/>
  <c r="H35" i="28"/>
  <c r="J35" i="27"/>
  <c r="J38"/>
  <c r="H38" i="28"/>
  <c r="H44" i="27"/>
  <c r="J44" i="40"/>
  <c r="J40" i="27"/>
  <c r="H40" i="28"/>
  <c r="J45"/>
  <c r="H45" i="29"/>
  <c r="H20" i="40"/>
  <c r="H9" i="28"/>
  <c r="J9" i="27"/>
  <c r="H11" i="29"/>
  <c r="J11" i="28"/>
  <c r="J19"/>
  <c r="H19" i="29"/>
  <c r="H141"/>
  <c r="J141" i="28"/>
  <c r="H140" i="27"/>
  <c r="J140" i="40"/>
  <c r="J139" i="28"/>
  <c r="H139" i="29"/>
  <c r="H136" i="28"/>
  <c r="J136" i="27"/>
  <c r="H135"/>
  <c r="J135" i="40"/>
  <c r="J134" i="30"/>
  <c r="H119" i="42"/>
  <c r="J119" s="1"/>
  <c r="H134" i="43"/>
  <c r="J133" i="27"/>
  <c r="H133" i="28"/>
  <c r="J126" i="27"/>
  <c r="H126" i="28"/>
  <c r="H128"/>
  <c r="J128" i="27"/>
  <c r="J127"/>
  <c r="H127" i="28"/>
  <c r="H125"/>
  <c r="J125" i="27"/>
  <c r="H124" i="28"/>
  <c r="J124" i="27"/>
  <c r="J101"/>
  <c r="H101" i="28"/>
  <c r="H100"/>
  <c r="J100" i="27"/>
  <c r="J99"/>
  <c r="H99" i="28"/>
  <c r="H98"/>
  <c r="J98" i="27"/>
  <c r="H97" i="28"/>
  <c r="J97" i="27"/>
  <c r="J96" i="40"/>
  <c r="H96" i="27"/>
  <c r="J102"/>
  <c r="H102" i="28"/>
  <c r="J94" i="40"/>
  <c r="H94" i="27"/>
  <c r="J84" i="40"/>
  <c r="H84" i="27"/>
  <c r="J85" i="40"/>
  <c r="H85" i="27"/>
  <c r="H83" i="28"/>
  <c r="J83" i="27"/>
  <c r="J82"/>
  <c r="H82" i="28"/>
  <c r="J81"/>
  <c r="H81" i="29"/>
  <c r="H80" i="28"/>
  <c r="J80" i="27"/>
  <c r="H79" i="28"/>
  <c r="J79" i="27"/>
  <c r="J78"/>
  <c r="H78" i="28"/>
  <c r="H76"/>
  <c r="J76" i="27"/>
  <c r="H75" i="28"/>
  <c r="J75" i="27"/>
  <c r="H74" i="28"/>
  <c r="J74" i="27"/>
  <c r="J72" i="40"/>
  <c r="H72" i="27"/>
  <c r="H73"/>
  <c r="J73" i="40"/>
  <c r="J69"/>
  <c r="H69" i="27"/>
  <c r="H67" i="28"/>
  <c r="J67" i="27"/>
  <c r="H66" i="28"/>
  <c r="J66" i="27"/>
  <c r="H65" i="28"/>
  <c r="J65" i="27"/>
  <c r="H63" i="28"/>
  <c r="J63" i="27"/>
  <c r="J58"/>
  <c r="H58" i="28"/>
  <c r="J55" i="40"/>
  <c r="H55" i="27"/>
  <c r="H54"/>
  <c r="J54" i="40"/>
  <c r="H53" i="28"/>
  <c r="J53" i="27"/>
  <c r="J52"/>
  <c r="H52" i="28"/>
  <c r="H149" i="27"/>
  <c r="J149" i="40"/>
  <c r="J51" i="27"/>
  <c r="H51" i="28"/>
  <c r="H59"/>
  <c r="J59" i="27"/>
  <c r="J49"/>
  <c r="H49" i="28"/>
  <c r="H46"/>
  <c r="J46" i="27"/>
  <c r="H43" i="29"/>
  <c r="J43" i="28"/>
  <c r="J143" i="27"/>
  <c r="H143" i="28"/>
  <c r="J42" i="40"/>
  <c r="H42" i="27"/>
  <c r="H145" i="28"/>
  <c r="J145" i="27"/>
  <c r="H41"/>
  <c r="J41" i="40"/>
  <c r="H47"/>
  <c r="J60" i="24"/>
  <c r="J147" i="40"/>
  <c r="H147" i="27"/>
  <c r="H39" i="28"/>
  <c r="J39" i="27"/>
  <c r="J151"/>
  <c r="H151" i="28"/>
  <c r="H15" i="27"/>
  <c r="J15" i="40"/>
  <c r="I16" s="1"/>
  <c r="H12" i="29"/>
  <c r="J12" i="28"/>
  <c r="J10" i="27"/>
  <c r="H10" i="28"/>
  <c r="J13" i="40"/>
  <c r="H13" i="27"/>
  <c r="H7"/>
  <c r="J7" i="40"/>
  <c r="J152"/>
  <c r="H152" i="27"/>
  <c r="J152" s="1"/>
  <c r="H150"/>
  <c r="J150" i="40"/>
  <c r="J146"/>
  <c r="H146" i="27"/>
  <c r="H144"/>
  <c r="J144" i="40"/>
  <c r="J148"/>
  <c r="H148" i="27"/>
  <c r="H154"/>
  <c r="J154" s="1"/>
  <c r="J154" i="40"/>
  <c r="H134" i="31" l="1"/>
  <c r="J134" s="1"/>
  <c r="H153" i="28"/>
  <c r="J153" i="27"/>
  <c r="H29" i="28"/>
  <c r="J29" i="27"/>
  <c r="J27" i="28"/>
  <c r="H27" i="29"/>
  <c r="J32" i="40"/>
  <c r="H32" i="27"/>
  <c r="J28" i="29"/>
  <c r="H28" i="30"/>
  <c r="J30" i="29"/>
  <c r="H30" i="30"/>
  <c r="H24" i="42"/>
  <c r="J24" s="1"/>
  <c r="H24" i="43"/>
  <c r="H24" i="31" s="1"/>
  <c r="J24" s="1"/>
  <c r="J24" i="30"/>
  <c r="H23" i="29"/>
  <c r="J23" i="28"/>
  <c r="J22" i="43"/>
  <c r="J95" i="29"/>
  <c r="H95" i="30"/>
  <c r="J18" i="28"/>
  <c r="H18" i="29"/>
  <c r="H18" i="30" s="1"/>
  <c r="H18" i="43" s="1"/>
  <c r="H56" i="28"/>
  <c r="J56" i="27"/>
  <c r="H138" i="29"/>
  <c r="J138" i="28"/>
  <c r="H131" i="29"/>
  <c r="J131" i="28"/>
  <c r="H132" i="30"/>
  <c r="J132" i="29"/>
  <c r="J137" i="28"/>
  <c r="H137" i="29"/>
  <c r="H93"/>
  <c r="J93" i="28"/>
  <c r="H77" i="30"/>
  <c r="J77" i="29"/>
  <c r="J62" i="28"/>
  <c r="H62" i="29"/>
  <c r="J64" i="28"/>
  <c r="H64" i="29"/>
  <c r="H68" i="30"/>
  <c r="J68" i="29"/>
  <c r="H50" i="28"/>
  <c r="J50" i="27"/>
  <c r="J57" i="29"/>
  <c r="H57" i="30"/>
  <c r="H37" i="28"/>
  <c r="J37" i="27"/>
  <c r="H36" i="28"/>
  <c r="J36" i="27"/>
  <c r="H35" i="29"/>
  <c r="J35" i="28"/>
  <c r="J40"/>
  <c r="H40" i="29"/>
  <c r="H38"/>
  <c r="J38" i="28"/>
  <c r="H44"/>
  <c r="J44" i="27"/>
  <c r="H45" i="30"/>
  <c r="J45" i="29"/>
  <c r="J20" i="40"/>
  <c r="H20" i="27"/>
  <c r="H11" i="30"/>
  <c r="J11" i="29"/>
  <c r="J9" i="28"/>
  <c r="H9" i="29"/>
  <c r="J19"/>
  <c r="H19" i="30"/>
  <c r="J141" i="29"/>
  <c r="H141" i="30"/>
  <c r="H140" i="28"/>
  <c r="J140" i="27"/>
  <c r="J139" i="29"/>
  <c r="H139" i="30"/>
  <c r="H136" i="29"/>
  <c r="J136" i="28"/>
  <c r="H135"/>
  <c r="J135" i="27"/>
  <c r="J134" i="43"/>
  <c r="H133" i="29"/>
  <c r="J133" i="28"/>
  <c r="H126" i="29"/>
  <c r="J126" i="28"/>
  <c r="H128" i="29"/>
  <c r="J128" i="28"/>
  <c r="J127"/>
  <c r="H127" i="29"/>
  <c r="J125" i="28"/>
  <c r="H125" i="29"/>
  <c r="J124" i="28"/>
  <c r="H124" i="29"/>
  <c r="J101" i="28"/>
  <c r="H101" i="29"/>
  <c r="J100" i="28"/>
  <c r="H100" i="29"/>
  <c r="H99"/>
  <c r="J99" i="28"/>
  <c r="J98"/>
  <c r="H98" i="29"/>
  <c r="J97" i="28"/>
  <c r="H97" i="29"/>
  <c r="H96" i="28"/>
  <c r="J96" i="27"/>
  <c r="J102" i="28"/>
  <c r="H102" i="29"/>
  <c r="H94" i="28"/>
  <c r="J94" i="27"/>
  <c r="J84"/>
  <c r="H84" i="28"/>
  <c r="H85"/>
  <c r="J85" i="27"/>
  <c r="J83" i="28"/>
  <c r="H83" i="29"/>
  <c r="J82" i="28"/>
  <c r="H82" i="29"/>
  <c r="H81" i="30"/>
  <c r="J81" i="29"/>
  <c r="H80"/>
  <c r="J80" i="28"/>
  <c r="J78"/>
  <c r="H78" i="29"/>
  <c r="J79" i="28"/>
  <c r="H79" i="29"/>
  <c r="H76"/>
  <c r="J76" i="28"/>
  <c r="J74"/>
  <c r="H74" i="29"/>
  <c r="J75" i="28"/>
  <c r="H75" i="29"/>
  <c r="H72" i="28"/>
  <c r="J72" i="27"/>
  <c r="J73"/>
  <c r="H73" i="28"/>
  <c r="J69" i="27"/>
  <c r="H69" i="28"/>
  <c r="J67"/>
  <c r="H67" i="29"/>
  <c r="J66" i="28"/>
  <c r="H66" i="29"/>
  <c r="H65"/>
  <c r="J65" i="28"/>
  <c r="J63"/>
  <c r="H63" i="29"/>
  <c r="J58" i="28"/>
  <c r="H58" i="29"/>
  <c r="H55" i="28"/>
  <c r="J55" i="27"/>
  <c r="J54"/>
  <c r="H54" i="28"/>
  <c r="J53"/>
  <c r="H53" i="29"/>
  <c r="J52" i="28"/>
  <c r="H52" i="29"/>
  <c r="J149" i="27"/>
  <c r="H149" i="28"/>
  <c r="J51"/>
  <c r="H51" i="29"/>
  <c r="J49" i="28"/>
  <c r="H49" i="29"/>
  <c r="J59" i="28"/>
  <c r="H59" i="29"/>
  <c r="J46" i="28"/>
  <c r="H46" i="29"/>
  <c r="J143" i="28"/>
  <c r="H143" i="29"/>
  <c r="J43"/>
  <c r="H43" i="30"/>
  <c r="H42" i="28"/>
  <c r="J42" i="27"/>
  <c r="H41" i="28"/>
  <c r="J41" i="27"/>
  <c r="J145" i="28"/>
  <c r="H145" i="29"/>
  <c r="J147" i="27"/>
  <c r="H147" i="28"/>
  <c r="J39"/>
  <c r="H39" i="29"/>
  <c r="H60" i="40"/>
  <c r="J47"/>
  <c r="H47" i="27"/>
  <c r="J151" i="28"/>
  <c r="H151" i="29"/>
  <c r="H15" i="28"/>
  <c r="J15" i="27"/>
  <c r="I16" s="1"/>
  <c r="H12" i="30"/>
  <c r="J12" i="29"/>
  <c r="J10" i="28"/>
  <c r="H10" i="29"/>
  <c r="H13" i="28"/>
  <c r="J13" i="27"/>
  <c r="J146"/>
  <c r="H146" i="28"/>
  <c r="H152"/>
  <c r="J150" i="27"/>
  <c r="H150" i="28"/>
  <c r="H148"/>
  <c r="J148" i="27"/>
  <c r="H154" i="28"/>
  <c r="J144" i="27"/>
  <c r="H144" i="28"/>
  <c r="J7" i="27"/>
  <c r="H7" i="28"/>
  <c r="J153" l="1"/>
  <c r="H153" i="29"/>
  <c r="J29" i="28"/>
  <c r="H29" i="29"/>
  <c r="H32" i="28"/>
  <c r="J32" i="27"/>
  <c r="J28" i="30"/>
  <c r="H28" i="43"/>
  <c r="J27" i="29"/>
  <c r="H27" i="30"/>
  <c r="J30"/>
  <c r="H30" i="43"/>
  <c r="J24"/>
  <c r="J23" i="29"/>
  <c r="H23" i="30"/>
  <c r="J95"/>
  <c r="H88" i="42"/>
  <c r="J88" s="1"/>
  <c r="H95" i="43"/>
  <c r="H95" i="31" s="1"/>
  <c r="J18" i="29"/>
  <c r="J56" i="28"/>
  <c r="H56" i="29"/>
  <c r="J131"/>
  <c r="H131" i="30"/>
  <c r="H117" i="42"/>
  <c r="J117" s="1"/>
  <c r="H132" i="43"/>
  <c r="J132" i="30"/>
  <c r="H138"/>
  <c r="J138" i="29"/>
  <c r="H137" i="30"/>
  <c r="J137" i="29"/>
  <c r="J93"/>
  <c r="H93" i="30"/>
  <c r="H76" i="42"/>
  <c r="J76" s="1"/>
  <c r="J77" i="30"/>
  <c r="H77" i="43"/>
  <c r="H77" i="31" s="1"/>
  <c r="J68" i="30"/>
  <c r="H68" i="43"/>
  <c r="H68" i="31" s="1"/>
  <c r="H67" i="42"/>
  <c r="J67" s="1"/>
  <c r="J62" i="29"/>
  <c r="H62" i="30"/>
  <c r="H64"/>
  <c r="J64" i="29"/>
  <c r="H57" i="43"/>
  <c r="H57" i="31" s="1"/>
  <c r="H56" i="42"/>
  <c r="J56" s="1"/>
  <c r="J57" i="30"/>
  <c r="J50" i="28"/>
  <c r="H50" i="29"/>
  <c r="J36" i="28"/>
  <c r="H36" i="29"/>
  <c r="H37"/>
  <c r="J37" i="28"/>
  <c r="J38" i="29"/>
  <c r="H38" i="30"/>
  <c r="H44" i="29"/>
  <c r="J44" i="28"/>
  <c r="H44" i="42"/>
  <c r="J44" s="1"/>
  <c r="J45" i="30"/>
  <c r="H45" i="43"/>
  <c r="H45" i="31" s="1"/>
  <c r="H35" i="30"/>
  <c r="J35" i="29"/>
  <c r="J40"/>
  <c r="H40" i="30"/>
  <c r="H20" i="28"/>
  <c r="J20" i="27"/>
  <c r="J11" i="30"/>
  <c r="H11" i="43"/>
  <c r="H11" i="42"/>
  <c r="J11" s="1"/>
  <c r="H9" i="30"/>
  <c r="J9" i="29"/>
  <c r="H19" i="42"/>
  <c r="J19" s="1"/>
  <c r="H19" i="43"/>
  <c r="J19" i="30"/>
  <c r="J141"/>
  <c r="H126" i="42"/>
  <c r="J126" s="1"/>
  <c r="H141" i="43"/>
  <c r="J140" i="28"/>
  <c r="H140" i="29"/>
  <c r="H124" i="42"/>
  <c r="J124" s="1"/>
  <c r="H139" i="43"/>
  <c r="J139" i="30"/>
  <c r="J136" i="29"/>
  <c r="H136" i="30"/>
  <c r="J135" i="28"/>
  <c r="H135" i="29"/>
  <c r="J133"/>
  <c r="H133" i="30"/>
  <c r="J126" i="29"/>
  <c r="H126" i="30"/>
  <c r="J128" i="29"/>
  <c r="H128" i="30"/>
  <c r="J127" i="29"/>
  <c r="H127" i="30"/>
  <c r="J125" i="29"/>
  <c r="H125" i="30"/>
  <c r="J124" i="29"/>
  <c r="H124" i="30"/>
  <c r="J101" i="29"/>
  <c r="H101" i="30"/>
  <c r="J100" i="29"/>
  <c r="H100" i="30"/>
  <c r="H99"/>
  <c r="J99" i="29"/>
  <c r="J98"/>
  <c r="H98" i="30"/>
  <c r="J97" i="29"/>
  <c r="H97" i="30"/>
  <c r="J102" i="29"/>
  <c r="H102" i="30"/>
  <c r="H96" i="29"/>
  <c r="J96" i="28"/>
  <c r="H94" i="29"/>
  <c r="J94" i="28"/>
  <c r="J85"/>
  <c r="H85" i="29"/>
  <c r="J84" i="28"/>
  <c r="H84" i="29"/>
  <c r="J83"/>
  <c r="H83" i="30"/>
  <c r="J82" i="29"/>
  <c r="H82" i="30"/>
  <c r="H80" i="42"/>
  <c r="J80" s="1"/>
  <c r="J81" i="30"/>
  <c r="H81" i="43"/>
  <c r="H81" i="31" s="1"/>
  <c r="J80" i="29"/>
  <c r="H80" i="30"/>
  <c r="J78" i="29"/>
  <c r="H78" i="30"/>
  <c r="J79" i="29"/>
  <c r="H79" i="30"/>
  <c r="J76" i="29"/>
  <c r="H76" i="30"/>
  <c r="J74" i="29"/>
  <c r="H74" i="30"/>
  <c r="J75" i="29"/>
  <c r="H75" i="30"/>
  <c r="H72" i="29"/>
  <c r="J72" i="28"/>
  <c r="J73"/>
  <c r="H73" i="29"/>
  <c r="J69" i="28"/>
  <c r="H69" i="29"/>
  <c r="J67"/>
  <c r="H67" i="30"/>
  <c r="J66" i="29"/>
  <c r="H66" i="30"/>
  <c r="J65" i="29"/>
  <c r="H65" i="30"/>
  <c r="H63"/>
  <c r="J63" i="29"/>
  <c r="J58"/>
  <c r="H58" i="30"/>
  <c r="H55" i="29"/>
  <c r="J55" i="28"/>
  <c r="H54" i="29"/>
  <c r="J54" i="28"/>
  <c r="J53" i="29"/>
  <c r="H53" i="30"/>
  <c r="J149" i="28"/>
  <c r="H149" i="29"/>
  <c r="J52"/>
  <c r="H52" i="30"/>
  <c r="J51" i="29"/>
  <c r="H51" i="30"/>
  <c r="H49"/>
  <c r="J49" i="29"/>
  <c r="J59"/>
  <c r="H59" i="30"/>
  <c r="J46" i="29"/>
  <c r="H46" i="30"/>
  <c r="H43" i="43"/>
  <c r="H43" i="31" s="1"/>
  <c r="H42" i="42"/>
  <c r="J42" s="1"/>
  <c r="J43" i="30"/>
  <c r="H143"/>
  <c r="J143" i="29"/>
  <c r="J42" i="28"/>
  <c r="H42" i="29"/>
  <c r="J145"/>
  <c r="H145" i="30"/>
  <c r="J41" i="28"/>
  <c r="H41" i="29"/>
  <c r="H47" i="28"/>
  <c r="H47" i="29" s="1"/>
  <c r="J47" i="27"/>
  <c r="J39" i="29"/>
  <c r="H39" i="30"/>
  <c r="J60" i="40"/>
  <c r="H60" i="27"/>
  <c r="J147" i="28"/>
  <c r="H147" i="29"/>
  <c r="J151"/>
  <c r="H151" i="30"/>
  <c r="J15" i="28"/>
  <c r="I16" s="1"/>
  <c r="H15" i="29"/>
  <c r="H12" i="43"/>
  <c r="J12" i="30"/>
  <c r="H12" i="42"/>
  <c r="J12" s="1"/>
  <c r="J10" i="29"/>
  <c r="H10" i="30"/>
  <c r="J13" i="28"/>
  <c r="H13" i="29"/>
  <c r="J7" i="28"/>
  <c r="H7" i="29"/>
  <c r="J150" i="28"/>
  <c r="H150" i="29"/>
  <c r="J146" i="28"/>
  <c r="H146" i="29"/>
  <c r="J152" i="28"/>
  <c r="H152" i="29"/>
  <c r="J152" s="1"/>
  <c r="J144" i="28"/>
  <c r="H144" i="29"/>
  <c r="J154" i="28"/>
  <c r="H154" i="29"/>
  <c r="J154" s="1"/>
  <c r="J148" i="28"/>
  <c r="H148" i="29"/>
  <c r="H12" i="31" l="1"/>
  <c r="J12" s="1"/>
  <c r="H132"/>
  <c r="J132" s="1"/>
  <c r="H11"/>
  <c r="J11" s="1"/>
  <c r="H139"/>
  <c r="J139" s="1"/>
  <c r="H141"/>
  <c r="J141" s="1"/>
  <c r="H19"/>
  <c r="J19" s="1"/>
  <c r="H30"/>
  <c r="J30" s="1"/>
  <c r="H28"/>
  <c r="J28" s="1"/>
  <c r="J68"/>
  <c r="N68"/>
  <c r="J43"/>
  <c r="N43"/>
  <c r="J45"/>
  <c r="N45"/>
  <c r="J95"/>
  <c r="N95"/>
  <c r="J153" i="29"/>
  <c r="H153" i="30"/>
  <c r="J81" i="31"/>
  <c r="N81"/>
  <c r="J77"/>
  <c r="N77"/>
  <c r="BH35" i="1"/>
  <c r="BP35" s="1"/>
  <c r="BQ35" s="1"/>
  <c r="J29" i="29"/>
  <c r="H29" i="30"/>
  <c r="J28" i="43"/>
  <c r="H32" i="29"/>
  <c r="J32" i="28"/>
  <c r="H27" i="43"/>
  <c r="H27" i="31" s="1"/>
  <c r="J27" i="30"/>
  <c r="J30" i="43"/>
  <c r="H29" i="42"/>
  <c r="J29" s="1"/>
  <c r="H23"/>
  <c r="J23" s="1"/>
  <c r="H23" i="43"/>
  <c r="H23" i="31" s="1"/>
  <c r="J23" s="1"/>
  <c r="J23" i="30"/>
  <c r="J95" i="43"/>
  <c r="J18" i="30"/>
  <c r="H18" i="42"/>
  <c r="J18" s="1"/>
  <c r="J56" i="29"/>
  <c r="H56" i="30"/>
  <c r="H138" i="43"/>
  <c r="H123" i="42"/>
  <c r="J123" s="1"/>
  <c r="J138" i="30"/>
  <c r="H131" i="43"/>
  <c r="H116" i="42"/>
  <c r="J116" s="1"/>
  <c r="J131" i="30"/>
  <c r="H137" i="43"/>
  <c r="J137" i="30"/>
  <c r="H122" i="42"/>
  <c r="J122" s="1"/>
  <c r="J132" i="43"/>
  <c r="H86" i="42"/>
  <c r="J86" s="1"/>
  <c r="H93" i="43"/>
  <c r="H93" i="31" s="1"/>
  <c r="J93" i="30"/>
  <c r="J77" i="43"/>
  <c r="H63" i="42"/>
  <c r="J63" s="1"/>
  <c r="H64" i="43"/>
  <c r="H64" i="31" s="1"/>
  <c r="J64" i="30"/>
  <c r="H62" i="43"/>
  <c r="H62" i="31" s="1"/>
  <c r="J62" i="30"/>
  <c r="H61" i="42"/>
  <c r="J61" s="1"/>
  <c r="J68" i="43"/>
  <c r="H50" i="30"/>
  <c r="J50" i="29"/>
  <c r="J57" i="43"/>
  <c r="J36" i="29"/>
  <c r="H36" i="30"/>
  <c r="J37" i="29"/>
  <c r="H37" i="30"/>
  <c r="H38" i="43"/>
  <c r="H37" i="42"/>
  <c r="J37" s="1"/>
  <c r="J38" i="30"/>
  <c r="H39" i="42"/>
  <c r="J39" s="1"/>
  <c r="J40" i="30"/>
  <c r="H40" i="43"/>
  <c r="J45"/>
  <c r="H44" i="30"/>
  <c r="J44" i="29"/>
  <c r="J35" i="30"/>
  <c r="H34" i="42"/>
  <c r="J34" s="1"/>
  <c r="H35" i="43"/>
  <c r="H20" i="29"/>
  <c r="J20" i="28"/>
  <c r="J11" i="43"/>
  <c r="H9"/>
  <c r="J9" i="30"/>
  <c r="H9" i="42"/>
  <c r="J9" s="1"/>
  <c r="J19" i="43"/>
  <c r="J141"/>
  <c r="J140" i="29"/>
  <c r="H140" i="30"/>
  <c r="J139" i="43"/>
  <c r="H121" i="42"/>
  <c r="J121" s="1"/>
  <c r="J136" i="30"/>
  <c r="H136" i="43"/>
  <c r="H135" i="30"/>
  <c r="J135" i="29"/>
  <c r="H133" i="43"/>
  <c r="H118" i="42"/>
  <c r="J118" s="1"/>
  <c r="J133" i="30"/>
  <c r="J126"/>
  <c r="H126" i="43"/>
  <c r="H126" i="31" s="1"/>
  <c r="H99" i="42"/>
  <c r="J99" s="1"/>
  <c r="H128" i="43"/>
  <c r="H128" i="31" s="1"/>
  <c r="J128" i="30"/>
  <c r="H101" i="42"/>
  <c r="J101" s="1"/>
  <c r="H100"/>
  <c r="J100" s="1"/>
  <c r="H127" i="43"/>
  <c r="H127" i="31" s="1"/>
  <c r="J127" i="30"/>
  <c r="J125"/>
  <c r="H125" i="43"/>
  <c r="H125" i="31" s="1"/>
  <c r="H98" i="42"/>
  <c r="J98" s="1"/>
  <c r="J124" i="30"/>
  <c r="H97" i="42"/>
  <c r="J97" s="1"/>
  <c r="H124" i="43"/>
  <c r="H124" i="31" s="1"/>
  <c r="H94" i="42"/>
  <c r="J94" s="1"/>
  <c r="H101" i="43"/>
  <c r="H101" i="31" s="1"/>
  <c r="J101" i="30"/>
  <c r="J100"/>
  <c r="H93" i="42"/>
  <c r="J93" s="1"/>
  <c r="H100" i="43"/>
  <c r="H100" i="31" s="1"/>
  <c r="H99" i="43"/>
  <c r="H99" i="31" s="1"/>
  <c r="H92" i="42"/>
  <c r="J92" s="1"/>
  <c r="J99" i="30"/>
  <c r="H98" i="43"/>
  <c r="H98" i="31" s="1"/>
  <c r="J98" i="30"/>
  <c r="H91" i="42"/>
  <c r="J91" s="1"/>
  <c r="H90"/>
  <c r="J90" s="1"/>
  <c r="H97" i="43"/>
  <c r="H97" i="31" s="1"/>
  <c r="J97" i="30"/>
  <c r="H95" i="42"/>
  <c r="J95" s="1"/>
  <c r="J102" i="30"/>
  <c r="H102" i="43"/>
  <c r="H102" i="31" s="1"/>
  <c r="J96" i="29"/>
  <c r="H96" i="30"/>
  <c r="J94" i="29"/>
  <c r="H94" i="30"/>
  <c r="J85" i="29"/>
  <c r="H85" i="30"/>
  <c r="H84"/>
  <c r="J84" i="29"/>
  <c r="J83" i="30"/>
  <c r="H83" i="43"/>
  <c r="H83" i="31" s="1"/>
  <c r="H82" i="42"/>
  <c r="J82" s="1"/>
  <c r="J82" i="30"/>
  <c r="H81" i="42"/>
  <c r="J81" s="1"/>
  <c r="H82" i="43"/>
  <c r="H82" i="31" s="1"/>
  <c r="J81" i="43"/>
  <c r="J80" i="30"/>
  <c r="H80" i="43"/>
  <c r="H80" i="31" s="1"/>
  <c r="H79" i="42"/>
  <c r="J79" s="1"/>
  <c r="J78" i="30"/>
  <c r="H77" i="42"/>
  <c r="J77" s="1"/>
  <c r="H78" i="43"/>
  <c r="H78" i="31" s="1"/>
  <c r="J79" i="30"/>
  <c r="H79" i="43"/>
  <c r="H79" i="31" s="1"/>
  <c r="H78" i="42"/>
  <c r="J78" s="1"/>
  <c r="H75"/>
  <c r="J75" s="1"/>
  <c r="H76" i="43"/>
  <c r="H76" i="31" s="1"/>
  <c r="J76" i="30"/>
  <c r="J74"/>
  <c r="H73" i="42"/>
  <c r="J73" s="1"/>
  <c r="H74" i="43"/>
  <c r="H74" i="31" s="1"/>
  <c r="H74" i="42"/>
  <c r="J74" s="1"/>
  <c r="J75" i="30"/>
  <c r="H75" i="43"/>
  <c r="H75" i="31" s="1"/>
  <c r="J73" i="29"/>
  <c r="H73" i="30"/>
  <c r="J72" i="29"/>
  <c r="H72" i="30"/>
  <c r="J69" i="29"/>
  <c r="H69" i="30"/>
  <c r="H67" i="43"/>
  <c r="H67" i="31" s="1"/>
  <c r="H66" i="42"/>
  <c r="J66" s="1"/>
  <c r="J67" i="30"/>
  <c r="J66"/>
  <c r="H66" i="43"/>
  <c r="H66" i="31" s="1"/>
  <c r="H65" i="42"/>
  <c r="J65" s="1"/>
  <c r="H64"/>
  <c r="J64" s="1"/>
  <c r="J65" i="30"/>
  <c r="H65" i="43"/>
  <c r="H65" i="31" s="1"/>
  <c r="H62" i="42"/>
  <c r="J62" s="1"/>
  <c r="H63" i="43"/>
  <c r="H63" i="31" s="1"/>
  <c r="J63" i="30"/>
  <c r="H57" i="42"/>
  <c r="J57" s="1"/>
  <c r="J58" i="30"/>
  <c r="H58" i="43"/>
  <c r="J55" i="29"/>
  <c r="H55" i="30"/>
  <c r="J54" i="29"/>
  <c r="H54" i="30"/>
  <c r="H52" i="42"/>
  <c r="J52" s="1"/>
  <c r="H53" i="43"/>
  <c r="H53" i="31" s="1"/>
  <c r="J53" i="30"/>
  <c r="H149"/>
  <c r="J149" i="29"/>
  <c r="H52" i="43"/>
  <c r="H52" i="31" s="1"/>
  <c r="J52" i="30"/>
  <c r="H51" i="42"/>
  <c r="J51" s="1"/>
  <c r="H51" i="43"/>
  <c r="H51" i="31" s="1"/>
  <c r="J51" i="30"/>
  <c r="H50" i="42"/>
  <c r="J50" s="1"/>
  <c r="H49" i="43"/>
  <c r="H49" i="31" s="1"/>
  <c r="H48" i="42"/>
  <c r="J48" s="1"/>
  <c r="J49" i="30"/>
  <c r="H58" i="42"/>
  <c r="J58" s="1"/>
  <c r="J59" i="30"/>
  <c r="H59" i="43"/>
  <c r="H59" i="31" s="1"/>
  <c r="H45" i="42"/>
  <c r="J45" s="1"/>
  <c r="H46" i="43"/>
  <c r="H46" i="31" s="1"/>
  <c r="J46" i="30"/>
  <c r="H143" i="43"/>
  <c r="J143" i="30"/>
  <c r="H103" i="42"/>
  <c r="J103" s="1"/>
  <c r="J43" i="43"/>
  <c r="H42" i="30"/>
  <c r="J42" i="29"/>
  <c r="J145" i="30"/>
  <c r="H145" i="43"/>
  <c r="H105" i="42"/>
  <c r="J105" s="1"/>
  <c r="J41" i="29"/>
  <c r="H41" i="30"/>
  <c r="H60" i="28"/>
  <c r="J60" i="27"/>
  <c r="J147" i="29"/>
  <c r="H147" i="30"/>
  <c r="J39"/>
  <c r="H38" i="42"/>
  <c r="J38" s="1"/>
  <c r="H39" i="43"/>
  <c r="J47" i="28"/>
  <c r="H111" i="42"/>
  <c r="J111" s="1"/>
  <c r="H151" i="43"/>
  <c r="J151" i="30"/>
  <c r="J15" i="29"/>
  <c r="I16" s="1"/>
  <c r="H15" i="30"/>
  <c r="J12" i="43"/>
  <c r="H10"/>
  <c r="H10" i="42"/>
  <c r="J10" s="1"/>
  <c r="J10" i="30"/>
  <c r="J13" i="29"/>
  <c r="H13" i="30"/>
  <c r="J148" i="29"/>
  <c r="H148" i="30"/>
  <c r="H152"/>
  <c r="J152" s="1"/>
  <c r="J146" i="29"/>
  <c r="H146" i="30"/>
  <c r="J7" i="29"/>
  <c r="H7" i="30"/>
  <c r="H154"/>
  <c r="J154" s="1"/>
  <c r="J144" i="29"/>
  <c r="H144" i="30"/>
  <c r="J150" i="29"/>
  <c r="H150" i="30"/>
  <c r="H9" i="31" l="1"/>
  <c r="J9" s="1"/>
  <c r="H35"/>
  <c r="J35" s="1"/>
  <c r="H131"/>
  <c r="J131" s="1"/>
  <c r="H151"/>
  <c r="J151" s="1"/>
  <c r="H10"/>
  <c r="J10" s="1"/>
  <c r="H133"/>
  <c r="J133" s="1"/>
  <c r="H38"/>
  <c r="J38" s="1"/>
  <c r="H138"/>
  <c r="J138" s="1"/>
  <c r="H18"/>
  <c r="J18" s="1"/>
  <c r="H39"/>
  <c r="J39" s="1"/>
  <c r="H145"/>
  <c r="J145" s="1"/>
  <c r="H58"/>
  <c r="N58" s="1"/>
  <c r="H136"/>
  <c r="J136" s="1"/>
  <c r="H40"/>
  <c r="J40" s="1"/>
  <c r="H143"/>
  <c r="J143" s="1"/>
  <c r="H137"/>
  <c r="J137" s="1"/>
  <c r="J59"/>
  <c r="N59"/>
  <c r="J51"/>
  <c r="N51"/>
  <c r="J79"/>
  <c r="N79"/>
  <c r="J128"/>
  <c r="N128"/>
  <c r="J52"/>
  <c r="N52"/>
  <c r="J53"/>
  <c r="N53"/>
  <c r="J65"/>
  <c r="N65"/>
  <c r="J66"/>
  <c r="N66"/>
  <c r="J67"/>
  <c r="N67"/>
  <c r="J102"/>
  <c r="N102"/>
  <c r="J97"/>
  <c r="N97"/>
  <c r="J98"/>
  <c r="N98"/>
  <c r="J100"/>
  <c r="N100"/>
  <c r="J101"/>
  <c r="N101"/>
  <c r="J64"/>
  <c r="N64"/>
  <c r="J93"/>
  <c r="N93"/>
  <c r="J153" i="30"/>
  <c r="H153" i="43"/>
  <c r="H153" i="31" s="1"/>
  <c r="H113" i="42"/>
  <c r="J113" s="1"/>
  <c r="J75" i="31"/>
  <c r="N75"/>
  <c r="J78"/>
  <c r="N78"/>
  <c r="J80"/>
  <c r="N80"/>
  <c r="J99"/>
  <c r="N99"/>
  <c r="J126"/>
  <c r="N126"/>
  <c r="J57"/>
  <c r="N57"/>
  <c r="J127"/>
  <c r="N127"/>
  <c r="J46"/>
  <c r="N46"/>
  <c r="J49"/>
  <c r="N49"/>
  <c r="J63"/>
  <c r="N63"/>
  <c r="J74"/>
  <c r="N74"/>
  <c r="J76"/>
  <c r="N76"/>
  <c r="J82"/>
  <c r="N82"/>
  <c r="J83"/>
  <c r="N83"/>
  <c r="J124"/>
  <c r="N124"/>
  <c r="J125"/>
  <c r="N125"/>
  <c r="J62"/>
  <c r="N62"/>
  <c r="J27"/>
  <c r="J29" i="30"/>
  <c r="H29" i="43"/>
  <c r="H29" i="31" s="1"/>
  <c r="H32" i="30"/>
  <c r="J32" i="29"/>
  <c r="J27" i="43"/>
  <c r="J23"/>
  <c r="J18"/>
  <c r="J56" i="30"/>
  <c r="H55" i="42"/>
  <c r="J55" s="1"/>
  <c r="H56" i="43"/>
  <c r="H56" i="31" s="1"/>
  <c r="J137" i="43"/>
  <c r="J138"/>
  <c r="J131"/>
  <c r="J93"/>
  <c r="J64"/>
  <c r="J62"/>
  <c r="H50"/>
  <c r="H50" i="31" s="1"/>
  <c r="H49" i="42"/>
  <c r="J49" s="1"/>
  <c r="J50" i="30"/>
  <c r="H35" i="42"/>
  <c r="J35" s="1"/>
  <c r="J36" i="30"/>
  <c r="H37" i="43"/>
  <c r="J37" i="30"/>
  <c r="H36" i="42"/>
  <c r="J36" s="1"/>
  <c r="J35" i="43"/>
  <c r="J40"/>
  <c r="H43" i="42"/>
  <c r="J43" s="1"/>
  <c r="H44" i="43"/>
  <c r="H44" i="31" s="1"/>
  <c r="J44" i="30"/>
  <c r="J38" i="43"/>
  <c r="H20" i="30"/>
  <c r="H20" i="43" s="1"/>
  <c r="H20" i="31" s="1"/>
  <c r="J20" i="29"/>
  <c r="J9" i="43"/>
  <c r="H125" i="42"/>
  <c r="J125" s="1"/>
  <c r="H140" i="43"/>
  <c r="J140" i="30"/>
  <c r="J136" i="43"/>
  <c r="J135" i="30"/>
  <c r="H120" i="42"/>
  <c r="J120" s="1"/>
  <c r="H135" i="43"/>
  <c r="H135" i="31" s="1"/>
  <c r="J133" i="43"/>
  <c r="J126"/>
  <c r="J128"/>
  <c r="J127"/>
  <c r="J125"/>
  <c r="J124"/>
  <c r="J101"/>
  <c r="J100"/>
  <c r="J99"/>
  <c r="J98"/>
  <c r="J97"/>
  <c r="H89" i="42"/>
  <c r="J89" s="1"/>
  <c r="J96" i="30"/>
  <c r="H96" i="43"/>
  <c r="H96" i="31" s="1"/>
  <c r="J102" i="43"/>
  <c r="H94"/>
  <c r="H94" i="31" s="1"/>
  <c r="J94" i="30"/>
  <c r="H87" i="42"/>
  <c r="J87" s="1"/>
  <c r="H84" i="43"/>
  <c r="H84" i="31" s="1"/>
  <c r="H83" i="42"/>
  <c r="J83" s="1"/>
  <c r="J84" i="30"/>
  <c r="J85"/>
  <c r="H84" i="42"/>
  <c r="J84" s="1"/>
  <c r="H85" i="43"/>
  <c r="H85" i="31" s="1"/>
  <c r="J83" i="43"/>
  <c r="J82"/>
  <c r="J80"/>
  <c r="J78"/>
  <c r="J79"/>
  <c r="J76"/>
  <c r="J75"/>
  <c r="J74"/>
  <c r="H72" i="42"/>
  <c r="J72" s="1"/>
  <c r="J73" i="30"/>
  <c r="H73" i="43"/>
  <c r="H73" i="31" s="1"/>
  <c r="J72" i="30"/>
  <c r="H71" i="42"/>
  <c r="J71" s="1"/>
  <c r="H72" i="43"/>
  <c r="H72" i="31" s="1"/>
  <c r="H69" i="43"/>
  <c r="H69" i="31" s="1"/>
  <c r="H68" i="42"/>
  <c r="J68" s="1"/>
  <c r="J69" i="30"/>
  <c r="J67" i="43"/>
  <c r="J66"/>
  <c r="J65"/>
  <c r="J63"/>
  <c r="J58"/>
  <c r="H54" i="42"/>
  <c r="J54" s="1"/>
  <c r="H55" i="43"/>
  <c r="H55" i="31" s="1"/>
  <c r="J55" i="30"/>
  <c r="H53" i="42"/>
  <c r="J53" s="1"/>
  <c r="J54" i="30"/>
  <c r="H54" i="43"/>
  <c r="H54" i="31" s="1"/>
  <c r="J53" i="43"/>
  <c r="H109" i="42"/>
  <c r="J109" s="1"/>
  <c r="H149" i="43"/>
  <c r="J149" i="30"/>
  <c r="J52" i="43"/>
  <c r="J51"/>
  <c r="J49"/>
  <c r="J59"/>
  <c r="J46"/>
  <c r="J143"/>
  <c r="J42" i="30"/>
  <c r="H42" i="43"/>
  <c r="H42" i="31" s="1"/>
  <c r="H41" i="42"/>
  <c r="J41" s="1"/>
  <c r="J145" i="43"/>
  <c r="J41" i="30"/>
  <c r="H40" i="42"/>
  <c r="J40" s="1"/>
  <c r="H41" i="43"/>
  <c r="H41" i="31" s="1"/>
  <c r="J39" i="43"/>
  <c r="J47" i="29"/>
  <c r="H47" i="30"/>
  <c r="H147" i="43"/>
  <c r="H107" i="42"/>
  <c r="J107" s="1"/>
  <c r="J147" i="30"/>
  <c r="H60" i="29"/>
  <c r="J60" i="28"/>
  <c r="J151" i="43"/>
  <c r="H28" i="42"/>
  <c r="J28" s="1"/>
  <c r="J15" i="30"/>
  <c r="I16" s="1"/>
  <c r="H15" i="42"/>
  <c r="J15" s="1"/>
  <c r="I16" s="1"/>
  <c r="H15" i="43"/>
  <c r="J10"/>
  <c r="J13" i="30"/>
  <c r="H13" i="42"/>
  <c r="J13" s="1"/>
  <c r="H13" i="43"/>
  <c r="J144" i="30"/>
  <c r="H104" i="42"/>
  <c r="J104" s="1"/>
  <c r="H106"/>
  <c r="J106" s="1"/>
  <c r="J146" i="30"/>
  <c r="H108" i="42"/>
  <c r="J108" s="1"/>
  <c r="J148" i="30"/>
  <c r="H110" i="42"/>
  <c r="J110" s="1"/>
  <c r="J150" i="30"/>
  <c r="H114" i="42"/>
  <c r="J114" s="1"/>
  <c r="H7"/>
  <c r="J7" s="1"/>
  <c r="I9" s="1"/>
  <c r="J7" i="30"/>
  <c r="I9" s="1"/>
  <c r="H112" i="42"/>
  <c r="J112" s="1"/>
  <c r="H15" i="31" l="1"/>
  <c r="J15" s="1"/>
  <c r="I16" s="1"/>
  <c r="J58"/>
  <c r="H147"/>
  <c r="J147" s="1"/>
  <c r="H13"/>
  <c r="J13" s="1"/>
  <c r="H149"/>
  <c r="J149" s="1"/>
  <c r="H140"/>
  <c r="J140" s="1"/>
  <c r="H36"/>
  <c r="J36" s="1"/>
  <c r="H37"/>
  <c r="J37" s="1"/>
  <c r="J96"/>
  <c r="N96"/>
  <c r="J69"/>
  <c r="N69"/>
  <c r="J73"/>
  <c r="N73"/>
  <c r="J84"/>
  <c r="N84"/>
  <c r="J153"/>
  <c r="J153" i="43"/>
  <c r="J72" i="31"/>
  <c r="N72"/>
  <c r="J42"/>
  <c r="N42"/>
  <c r="J54"/>
  <c r="N54"/>
  <c r="J55"/>
  <c r="N55"/>
  <c r="J85"/>
  <c r="N85"/>
  <c r="J94"/>
  <c r="N94"/>
  <c r="J44"/>
  <c r="N44"/>
  <c r="J50"/>
  <c r="N50"/>
  <c r="J41"/>
  <c r="J56"/>
  <c r="N56"/>
  <c r="J135" i="43"/>
  <c r="J135" i="31"/>
  <c r="J29"/>
  <c r="J29" i="43"/>
  <c r="H32"/>
  <c r="H32" i="31" s="1"/>
  <c r="J32" i="30"/>
  <c r="J56" i="43"/>
  <c r="J50"/>
  <c r="J36"/>
  <c r="J37"/>
  <c r="J44"/>
  <c r="J20" i="30"/>
  <c r="H20" i="42"/>
  <c r="J20" s="1"/>
  <c r="J20" i="31"/>
  <c r="H30" i="42"/>
  <c r="J30" s="1"/>
  <c r="J140" i="43"/>
  <c r="J96"/>
  <c r="J94"/>
  <c r="J84"/>
  <c r="J85"/>
  <c r="J72"/>
  <c r="J73"/>
  <c r="J69"/>
  <c r="J55"/>
  <c r="J54"/>
  <c r="J149"/>
  <c r="J42"/>
  <c r="J41"/>
  <c r="H60" i="30"/>
  <c r="J60" i="29"/>
  <c r="J147" i="43"/>
  <c r="J47" i="30"/>
  <c r="H46" i="42"/>
  <c r="J46" s="1"/>
  <c r="H47" i="43"/>
  <c r="H47" i="31" s="1"/>
  <c r="J15" i="43"/>
  <c r="I16" s="1"/>
  <c r="J13"/>
  <c r="H31" i="42"/>
  <c r="J31" s="1"/>
  <c r="H27"/>
  <c r="J27" s="1"/>
  <c r="J47" i="31" l="1"/>
  <c r="N47"/>
  <c r="J32" i="43"/>
  <c r="J32" i="31"/>
  <c r="J20" i="43"/>
  <c r="J60" i="30"/>
  <c r="H60" i="43"/>
  <c r="H60" i="31" s="1"/>
  <c r="H59" i="42"/>
  <c r="J59" s="1"/>
  <c r="J47" i="43"/>
  <c r="J60" i="31" l="1"/>
  <c r="N60"/>
  <c r="J60" i="43"/>
  <c r="H8" i="33" l="1"/>
  <c r="H8" i="7" s="1"/>
  <c r="J8" i="33" l="1"/>
  <c r="I9" s="1"/>
  <c r="J8" i="7" l="1"/>
  <c r="I9" s="1"/>
  <c r="H8" i="8"/>
  <c r="J8" l="1"/>
  <c r="I9" s="1"/>
  <c r="H8" i="9"/>
  <c r="H8" i="10" s="1"/>
  <c r="J8" s="1"/>
  <c r="J8" i="9" l="1"/>
  <c r="H8" i="11" l="1"/>
  <c r="J8" l="1"/>
  <c r="H8" i="12"/>
  <c r="J8" l="1"/>
  <c r="H8" i="13"/>
  <c r="H8" i="14" l="1"/>
  <c r="J8" i="13"/>
  <c r="J8" i="14" l="1"/>
  <c r="H8" i="15"/>
  <c r="H8" i="16" l="1"/>
  <c r="J8" i="15"/>
  <c r="H8" i="17" l="1"/>
  <c r="J8" i="16"/>
  <c r="J8" i="17" l="1"/>
  <c r="H8" i="18"/>
  <c r="H8" i="19" l="1"/>
  <c r="J8" i="18"/>
  <c r="H8" i="20" l="1"/>
  <c r="J8" i="19"/>
  <c r="H8" i="21" l="1"/>
  <c r="J8" i="20"/>
  <c r="I9" s="1"/>
  <c r="J8" i="21" l="1"/>
  <c r="I9" s="1"/>
  <c r="H8" i="22"/>
  <c r="J8" l="1"/>
  <c r="I9" s="1"/>
  <c r="H8" i="23"/>
  <c r="H8" i="24" l="1"/>
  <c r="J8" i="23"/>
  <c r="I9" s="1"/>
  <c r="H8" i="25" l="1"/>
  <c r="J8" i="24"/>
  <c r="I9" s="1"/>
  <c r="J8" i="25" l="1"/>
  <c r="I9" s="1"/>
  <c r="H8" i="40"/>
  <c r="H8" i="27" l="1"/>
  <c r="J8" i="40"/>
  <c r="I9" s="1"/>
  <c r="J8" i="27" l="1"/>
  <c r="I9" s="1"/>
  <c r="H8" i="28"/>
  <c r="J8" l="1"/>
  <c r="I9" s="1"/>
  <c r="H8" i="29"/>
  <c r="H8" i="30" l="1"/>
  <c r="J8" i="29"/>
  <c r="I9" s="1"/>
  <c r="H8" i="43" l="1"/>
  <c r="J8" i="30"/>
  <c r="H8" i="31" l="1"/>
  <c r="J8" s="1"/>
  <c r="J8" i="43"/>
  <c r="I18" i="42" l="1"/>
  <c r="I20" s="1"/>
  <c r="I18" i="9"/>
  <c r="I20" s="1"/>
  <c r="I18" i="25"/>
  <c r="I20" s="1"/>
  <c r="I18" i="15"/>
  <c r="I20" s="1"/>
  <c r="I18" i="18"/>
  <c r="I20" s="1"/>
  <c r="I18" i="43"/>
  <c r="I20" s="1"/>
  <c r="I18" i="17"/>
  <c r="I20" s="1"/>
  <c r="I18" i="14"/>
  <c r="I20" s="1"/>
  <c r="I18" i="31"/>
  <c r="I20" s="1"/>
  <c r="I18" i="21"/>
  <c r="I20" s="1"/>
  <c r="I18" i="20"/>
  <c r="I20" s="1"/>
  <c r="I18" i="19"/>
  <c r="I20" s="1"/>
  <c r="I18" i="27"/>
  <c r="I20" s="1"/>
  <c r="I18" i="16"/>
  <c r="I20" s="1"/>
  <c r="I18" i="30"/>
  <c r="I20" s="1"/>
  <c r="I18" i="23"/>
  <c r="I20" s="1"/>
  <c r="I18" i="40"/>
  <c r="I20" s="1"/>
  <c r="I18" i="13"/>
  <c r="I20" s="1"/>
  <c r="I20" i="24"/>
  <c r="I18" i="7"/>
  <c r="I20" s="1"/>
  <c r="I18" i="22"/>
  <c r="I20" s="1"/>
  <c r="I18" i="33"/>
  <c r="I20" s="1"/>
  <c r="I18" i="29"/>
  <c r="I20" s="1"/>
  <c r="I18" i="28"/>
  <c r="I20" s="1"/>
  <c r="I18" i="8"/>
  <c r="I20" s="1"/>
  <c r="G7" i="43"/>
  <c r="L33" i="1" l="1"/>
  <c r="BL33"/>
  <c r="BN33"/>
  <c r="BM33"/>
  <c r="H7" i="43"/>
  <c r="H7" i="31" s="1"/>
  <c r="B34" i="44"/>
  <c r="B36" s="1"/>
  <c r="G150" i="43"/>
  <c r="H150" s="1"/>
  <c r="H150" i="31" s="1"/>
  <c r="J150" s="1"/>
  <c r="G148" i="43"/>
  <c r="H148" s="1"/>
  <c r="H148" i="31" s="1"/>
  <c r="J148" s="1"/>
  <c r="G152" i="43"/>
  <c r="H152" s="1"/>
  <c r="H152" i="31" s="1"/>
  <c r="E31" i="47"/>
  <c r="I59" i="43"/>
  <c r="G146"/>
  <c r="H146" s="1"/>
  <c r="H146" i="31" s="1"/>
  <c r="G144" i="43"/>
  <c r="H144" s="1"/>
  <c r="H144" i="31" s="1"/>
  <c r="I13" i="43"/>
  <c r="G154"/>
  <c r="H154" s="1"/>
  <c r="H154" i="31" s="1"/>
  <c r="M31" i="47" l="1"/>
  <c r="I35" i="1"/>
  <c r="I37" s="1"/>
  <c r="J150" i="43"/>
  <c r="J148"/>
  <c r="J154"/>
  <c r="J154" i="31"/>
  <c r="J7" i="43"/>
  <c r="I9" s="1"/>
  <c r="J7" i="31"/>
  <c r="I9" s="1"/>
  <c r="J152"/>
  <c r="J152" i="43"/>
  <c r="J144" i="31"/>
  <c r="J144" i="43"/>
  <c r="L35" i="1"/>
  <c r="BN35"/>
  <c r="BM35"/>
  <c r="BL35"/>
  <c r="J146" i="31"/>
  <c r="J146" i="43"/>
</calcChain>
</file>

<file path=xl/comments1.xml><?xml version="1.0" encoding="utf-8"?>
<comments xmlns="http://schemas.openxmlformats.org/spreadsheetml/2006/main">
  <authors>
    <author>Ramesh.Kadam</author>
  </authors>
  <commentList>
    <comment ref="F55" authorId="0">
      <text>
        <r>
          <rPr>
            <b/>
            <sz val="16"/>
            <color indexed="81"/>
            <rFont val="Tahoma"/>
            <family val="2"/>
          </rPr>
          <t>Ramesh.Kadam:</t>
        </r>
        <r>
          <rPr>
            <sz val="16"/>
            <color indexed="81"/>
            <rFont val="Tahoma"/>
            <family val="2"/>
          </rPr>
          <t xml:space="preserve">
Previous day reading was inccorect.</t>
        </r>
      </text>
    </comment>
  </commentList>
</comments>
</file>

<file path=xl/comments2.xml><?xml version="1.0" encoding="utf-8"?>
<comments xmlns="http://schemas.openxmlformats.org/spreadsheetml/2006/main">
  <authors>
    <author>akash.hebale</author>
  </authors>
  <commentList>
    <comment ref="F55" authorId="0">
      <text>
        <r>
          <rPr>
            <b/>
            <sz val="9"/>
            <color indexed="81"/>
            <rFont val="Tahoma"/>
            <family val="2"/>
          </rPr>
          <t>akash.hebale:</t>
        </r>
        <r>
          <rPr>
            <sz val="9"/>
            <color indexed="81"/>
            <rFont val="Tahoma"/>
            <family val="2"/>
          </rPr>
          <t xml:space="preserve">
meter display faulty</t>
        </r>
      </text>
    </comment>
  </commentList>
</comments>
</file>

<file path=xl/sharedStrings.xml><?xml version="1.0" encoding="utf-8"?>
<sst xmlns="http://schemas.openxmlformats.org/spreadsheetml/2006/main" count="10451" uniqueCount="379">
  <si>
    <t>Date</t>
  </si>
  <si>
    <t>Min.Tem          (Degee)</t>
  </si>
  <si>
    <t>Avg.Temp     (Degree)</t>
  </si>
  <si>
    <t>Hum %</t>
  </si>
  <si>
    <t>Occu.</t>
  </si>
  <si>
    <t>KWAH</t>
  </si>
  <si>
    <t>Electricity</t>
  </si>
  <si>
    <t>Gas</t>
  </si>
  <si>
    <t>Water</t>
  </si>
  <si>
    <t>Water per occiped room</t>
  </si>
  <si>
    <t>Diesel</t>
  </si>
  <si>
    <t>Water Consumption Zone</t>
  </si>
  <si>
    <t>Chiller Running Hrs</t>
  </si>
  <si>
    <t>Chiller Total</t>
  </si>
  <si>
    <t>Chiller Avg. Laod</t>
  </si>
  <si>
    <t>Boiler Running Hrs</t>
  </si>
  <si>
    <t xml:space="preserve">Total boiler </t>
  </si>
  <si>
    <t>Hot Water Generator</t>
  </si>
  <si>
    <t>Total HWG RH</t>
  </si>
  <si>
    <t>HWG Gas consumption</t>
  </si>
  <si>
    <t>Transformer -1</t>
  </si>
  <si>
    <t>Transformer -2</t>
  </si>
  <si>
    <t xml:space="preserve">Total HLP Cost </t>
  </si>
  <si>
    <t>Chiller lock at 70%</t>
  </si>
  <si>
    <t>%</t>
  </si>
  <si>
    <t>KVAH</t>
  </si>
  <si>
    <t>Rate</t>
  </si>
  <si>
    <t>Total Cost(Rs)</t>
  </si>
  <si>
    <t>Per room</t>
  </si>
  <si>
    <t>Total Units(CuM)</t>
  </si>
  <si>
    <t>Units(KL)</t>
  </si>
  <si>
    <t>Ltrs</t>
  </si>
  <si>
    <t>Zone-1</t>
  </si>
  <si>
    <t>Zone-2</t>
  </si>
  <si>
    <t>Zone-3</t>
  </si>
  <si>
    <t>CH1</t>
  </si>
  <si>
    <t>CH2</t>
  </si>
  <si>
    <t>CH3</t>
  </si>
  <si>
    <t>CH4</t>
  </si>
  <si>
    <t xml:space="preserve">Total chiller </t>
  </si>
  <si>
    <t>Boiler1</t>
  </si>
  <si>
    <t>Boiler2</t>
  </si>
  <si>
    <t>Boiler3</t>
  </si>
  <si>
    <t>HWG1</t>
  </si>
  <si>
    <t>HWG2</t>
  </si>
  <si>
    <t>HVAC-1</t>
  </si>
  <si>
    <t>FPP-1</t>
  </si>
  <si>
    <t>MPP</t>
  </si>
  <si>
    <t>Lighting-1</t>
  </si>
  <si>
    <t>Cap bank 1100KVAR-1</t>
  </si>
  <si>
    <t>CH-1</t>
  </si>
  <si>
    <t>CH-2</t>
  </si>
  <si>
    <t>Chilled water Pump</t>
  </si>
  <si>
    <t xml:space="preserve">Co Generator </t>
  </si>
  <si>
    <t>Ball Room-2</t>
  </si>
  <si>
    <t>HVAC-2</t>
  </si>
  <si>
    <t>FPP-2</t>
  </si>
  <si>
    <t>Lighting-2</t>
  </si>
  <si>
    <t>Cap bank 1200KVAR-2</t>
  </si>
  <si>
    <t>CH-3</t>
  </si>
  <si>
    <t>CH-4</t>
  </si>
  <si>
    <t>Ball Room-1</t>
  </si>
  <si>
    <t>Cooling Tower consumption</t>
  </si>
  <si>
    <t>HVAC%</t>
  </si>
  <si>
    <t>Lighting%</t>
  </si>
  <si>
    <t>Power%</t>
  </si>
  <si>
    <t>Chiller Plant IKW</t>
  </si>
  <si>
    <t>Guest complaint</t>
  </si>
  <si>
    <t>occupancy</t>
  </si>
  <si>
    <t>Tanker</t>
  </si>
  <si>
    <t>BMC</t>
  </si>
  <si>
    <t>R.O. Plant Production</t>
  </si>
  <si>
    <t>Domestic Water</t>
  </si>
  <si>
    <t>Flushing Water</t>
  </si>
  <si>
    <t>Branches ( Domestic water )</t>
  </si>
  <si>
    <t>Pool</t>
  </si>
  <si>
    <t>B2 Laundry</t>
  </si>
  <si>
    <t>Boiler Feed Water</t>
  </si>
  <si>
    <t>Branches ( STP Water )</t>
  </si>
  <si>
    <t>CT  water</t>
  </si>
  <si>
    <t>STP flush</t>
  </si>
  <si>
    <t xml:space="preserve">Garden </t>
  </si>
  <si>
    <t>Domestic consumption</t>
  </si>
  <si>
    <t>STP +Flush Consumption</t>
  </si>
  <si>
    <t>BOH</t>
  </si>
  <si>
    <t>Guest Floor</t>
  </si>
  <si>
    <t xml:space="preserve">Guest floor% </t>
  </si>
  <si>
    <t xml:space="preserve">Electrical </t>
  </si>
  <si>
    <t>Boiler Running</t>
  </si>
  <si>
    <t>MK-1</t>
  </si>
  <si>
    <t>MK-2</t>
  </si>
  <si>
    <t>COLD ROOM'S</t>
  </si>
  <si>
    <t xml:space="preserve">B1 Laundry </t>
  </si>
  <si>
    <t xml:space="preserve">MOCK Up Room </t>
  </si>
  <si>
    <t xml:space="preserve">27th Floor </t>
  </si>
  <si>
    <t>Physic57</t>
  </si>
  <si>
    <t>Pinoor Legal- Power+lighting</t>
  </si>
  <si>
    <t xml:space="preserve">2nd floor plant room </t>
  </si>
  <si>
    <t>5th Floor</t>
  </si>
  <si>
    <t>12th Floor</t>
  </si>
  <si>
    <t xml:space="preserve">20th Floor </t>
  </si>
  <si>
    <t>27th Floor</t>
  </si>
  <si>
    <t>34th Floor</t>
  </si>
  <si>
    <t>Sanqi</t>
  </si>
  <si>
    <t>HWG</t>
  </si>
  <si>
    <t>Prato</t>
  </si>
  <si>
    <t>BR-1</t>
  </si>
  <si>
    <t>SanQi IND</t>
  </si>
  <si>
    <t>SanQi JPN</t>
  </si>
  <si>
    <t>Total</t>
  </si>
  <si>
    <t>24th Sep</t>
  </si>
  <si>
    <t>Today</t>
  </si>
  <si>
    <t>HWG AVG</t>
  </si>
  <si>
    <t>20 cub extra</t>
  </si>
  <si>
    <t>INR</t>
  </si>
  <si>
    <t>Extra</t>
  </si>
  <si>
    <t>Daily Utility Consumption Report</t>
  </si>
  <si>
    <t>Occupancy%</t>
  </si>
  <si>
    <t xml:space="preserve">Gas </t>
  </si>
  <si>
    <t xml:space="preserve">Avg temp </t>
  </si>
  <si>
    <t>Last year same month avg</t>
  </si>
  <si>
    <t>humidity</t>
  </si>
  <si>
    <t>Description</t>
  </si>
  <si>
    <t>Unit</t>
  </si>
  <si>
    <t>Yesterday</t>
  </si>
  <si>
    <t>units.consum</t>
  </si>
  <si>
    <t>MTD</t>
  </si>
  <si>
    <t>Budgeted</t>
  </si>
  <si>
    <t>Average/Day</t>
  </si>
  <si>
    <t>ELECTRICAL CONSUMPTION</t>
  </si>
  <si>
    <t>BEST Supply 11KV</t>
  </si>
  <si>
    <t>kwh</t>
  </si>
  <si>
    <t xml:space="preserve">BEST supply </t>
  </si>
  <si>
    <t>Transformer - 1 - 2500KVA</t>
  </si>
  <si>
    <t>Transformer - 2 -2500KVA</t>
  </si>
  <si>
    <t>DG set- 1 - 1425KVA</t>
  </si>
  <si>
    <t>DG set- 2  - 1425KVA</t>
  </si>
  <si>
    <t>SubTotal</t>
  </si>
  <si>
    <t xml:space="preserve">GAS  CONSUMPTION </t>
  </si>
  <si>
    <t>Gas consumption</t>
  </si>
  <si>
    <t>m3</t>
  </si>
  <si>
    <t>WATER CONSUMPTION</t>
  </si>
  <si>
    <t>Tankers</t>
  </si>
  <si>
    <t>KL</t>
  </si>
  <si>
    <t>Total water</t>
  </si>
  <si>
    <t>DIESEL  CONSUMPTION</t>
  </si>
  <si>
    <t>Boiler House  (H.S.D)</t>
  </si>
  <si>
    <t>L</t>
  </si>
  <si>
    <t>D-G Set (H.S.D)</t>
  </si>
  <si>
    <t>Total HSD  (H.S.D.) Stock</t>
  </si>
  <si>
    <t>TOTAL CONSUMPTION UNIT &amp;COST</t>
  </si>
  <si>
    <t>Utilities</t>
  </si>
  <si>
    <t>Units</t>
  </si>
  <si>
    <t>C.N.G</t>
  </si>
  <si>
    <t>Cu.Mtr</t>
  </si>
  <si>
    <t xml:space="preserve">H.S.D </t>
  </si>
  <si>
    <t>Ltr</t>
  </si>
  <si>
    <t>Water BMC</t>
  </si>
  <si>
    <t>Kl</t>
  </si>
  <si>
    <t>Water Tanker</t>
  </si>
  <si>
    <t xml:space="preserve">Total cost    </t>
  </si>
  <si>
    <t>BRANCH READINGS &amp; CONSUMPTION</t>
  </si>
  <si>
    <t>Transformer No 1 (Sub Feeders)</t>
  </si>
  <si>
    <t>Main HVAC Power Panel- 800A</t>
  </si>
  <si>
    <t>Main  Panel BALLROOM LVL-2 -2000A</t>
  </si>
  <si>
    <t>Fire Emergency Power Panel - 1000A</t>
  </si>
  <si>
    <t>Main Power Panel -1600A</t>
  </si>
  <si>
    <t>Main Lighting and Small power Panel</t>
  </si>
  <si>
    <t>Capacitor Bank -1  1100KVAR- 2500A</t>
  </si>
  <si>
    <t xml:space="preserve">Chiller No 1 </t>
  </si>
  <si>
    <t xml:space="preserve">Chiller No  2- </t>
  </si>
  <si>
    <t>Chiller Water pump Panel- 630A</t>
  </si>
  <si>
    <t>Co-Genrator</t>
  </si>
  <si>
    <t>Lawn Pantry</t>
  </si>
  <si>
    <t>Pavilion Power</t>
  </si>
  <si>
    <t xml:space="preserve">Sub Total </t>
  </si>
  <si>
    <t>Transformer No 2 (Sub Feeders)</t>
  </si>
  <si>
    <t>Main MV PanelBALLROOM LVL-1- 2000A</t>
  </si>
  <si>
    <t>Main Power Panel -1800A</t>
  </si>
  <si>
    <t>Capacitor Bank -2  1200KVAR- 2500A</t>
  </si>
  <si>
    <t>Chiller No -3 - 1200A</t>
  </si>
  <si>
    <t>Chiller No-4 - 1200A</t>
  </si>
  <si>
    <t>Kwh</t>
  </si>
  <si>
    <t>B2-Loundry power panel</t>
  </si>
  <si>
    <t>Total TR1 &amp; TR2</t>
  </si>
  <si>
    <t xml:space="preserve"> Floor lighting &amp; Power consumption</t>
  </si>
  <si>
    <t>KWh</t>
  </si>
  <si>
    <t xml:space="preserve">5th floor spa </t>
  </si>
  <si>
    <t xml:space="preserve">Consumption of Extra AHU run </t>
  </si>
  <si>
    <t xml:space="preserve"> Kitchen consumption</t>
  </si>
  <si>
    <t>Main kitchen power panel no 1</t>
  </si>
  <si>
    <t>Main kitchen power panel no 2</t>
  </si>
  <si>
    <t>Prato kitchen power panel</t>
  </si>
  <si>
    <t>San- Qi Indian Kitchen</t>
  </si>
  <si>
    <t>San- Qi Japanese Kitchen</t>
  </si>
  <si>
    <t>The club kitchen</t>
  </si>
  <si>
    <t>AER Kitchen</t>
  </si>
  <si>
    <t>Ball Room 1 kitchen</t>
  </si>
  <si>
    <t>Ball Room 2 kitchen</t>
  </si>
  <si>
    <t>STP Electrical</t>
  </si>
  <si>
    <t>Cooling Tower</t>
  </si>
  <si>
    <t xml:space="preserve">Total </t>
  </si>
  <si>
    <t>Pinoor Legal- Power</t>
  </si>
  <si>
    <t>Pinoor Legal- Lighting</t>
  </si>
  <si>
    <t>WATER</t>
  </si>
  <si>
    <t xml:space="preserve">R.o.plant </t>
  </si>
  <si>
    <t>STP Water Prod</t>
  </si>
  <si>
    <t xml:space="preserve">Total water Produce </t>
  </si>
  <si>
    <t>Domestic  Zone-1</t>
  </si>
  <si>
    <t>Domestic  Zone-2</t>
  </si>
  <si>
    <t>Domestic  Zone-3</t>
  </si>
  <si>
    <t>Flush Zone -1</t>
  </si>
  <si>
    <t>Flush Zone -2</t>
  </si>
  <si>
    <t>Flush Zone -3</t>
  </si>
  <si>
    <t xml:space="preserve"> </t>
  </si>
  <si>
    <t xml:space="preserve">Total water consum </t>
  </si>
  <si>
    <t xml:space="preserve">Water Branches </t>
  </si>
  <si>
    <t>Branches</t>
  </si>
  <si>
    <t>Swimming pool</t>
  </si>
  <si>
    <t>cooling tower filling water</t>
  </si>
  <si>
    <t>STP flush(new water meter)</t>
  </si>
  <si>
    <t>Garden Water Pump</t>
  </si>
  <si>
    <t xml:space="preserve">Flushing Water </t>
  </si>
  <si>
    <t>Flush Zone 2 pump meter</t>
  </si>
  <si>
    <t>Flush Zone 3 Pump Meter (wtp transfer )</t>
  </si>
  <si>
    <t>Flush Tanker</t>
  </si>
  <si>
    <t>Total Domestic Water (R.O +BMC)</t>
  </si>
  <si>
    <t xml:space="preserve">Total Domestic Consumption </t>
  </si>
  <si>
    <t xml:space="preserve">Total STP Consumption </t>
  </si>
  <si>
    <t xml:space="preserve">GAS Branch  CONSUMPTION </t>
  </si>
  <si>
    <t>H.W.G. Gas meter reading</t>
  </si>
  <si>
    <t>Prato Kitchen Gas meter Reading</t>
  </si>
  <si>
    <t>BallRoom Gas</t>
  </si>
  <si>
    <t>Sanqi IndianGas meter Reading</t>
  </si>
  <si>
    <t>Sanqi Japanese Gas meter Reading</t>
  </si>
  <si>
    <t>Boiler Gas Consumption</t>
  </si>
  <si>
    <t xml:space="preserve">Running Hrs </t>
  </si>
  <si>
    <t>DG Set - 1</t>
  </si>
  <si>
    <t>hr</t>
  </si>
  <si>
    <t>DG Set - 2</t>
  </si>
  <si>
    <t>Chiller - 1</t>
  </si>
  <si>
    <t>Chiller - 2</t>
  </si>
  <si>
    <t>Chiller - 3</t>
  </si>
  <si>
    <t>Chiller - 4</t>
  </si>
  <si>
    <t>Steam Boiler -1</t>
  </si>
  <si>
    <t>Steam Boiler -2</t>
  </si>
  <si>
    <t>Steam Boiler -3</t>
  </si>
  <si>
    <t xml:space="preserve">Hot Water Generator -1 </t>
  </si>
  <si>
    <t>Hot Water Generator -2</t>
  </si>
  <si>
    <t xml:space="preserve">Percentag  of ele, unit per area </t>
  </si>
  <si>
    <t>Total HVAC units</t>
  </si>
  <si>
    <t>% of HVAC units of Total Con.(LT)</t>
  </si>
  <si>
    <t>Total Chillers Units</t>
  </si>
  <si>
    <t>% of Chillers Units of Total Con.(LT)</t>
  </si>
  <si>
    <t>Total Lighting Units</t>
  </si>
  <si>
    <t>% of Lighting Units of Total Con.(LT)</t>
  </si>
  <si>
    <t>Total power Units</t>
  </si>
  <si>
    <t>% of power Units of Total Con.(LT)</t>
  </si>
  <si>
    <t>Total mansion power Units</t>
  </si>
  <si>
    <t>% of M,sion power Units of Total Con.(LT)</t>
  </si>
  <si>
    <t>Total fire &amp; em, power Units</t>
  </si>
  <si>
    <t>% of fire &amp; em  power Units of Total Con.(LT)</t>
  </si>
  <si>
    <t xml:space="preserve">Lower Basement </t>
  </si>
  <si>
    <t xml:space="preserve">upper basement </t>
  </si>
  <si>
    <t>Level 1</t>
  </si>
  <si>
    <t>Level  2</t>
  </si>
  <si>
    <t>Main Lighting &amp; Small power pannel  Sub meter</t>
  </si>
  <si>
    <t>.</t>
  </si>
  <si>
    <t>`</t>
  </si>
  <si>
    <t xml:space="preserve"> Daily Utility Consumption Report</t>
  </si>
  <si>
    <t>.++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</t>
  </si>
  <si>
    <t xml:space="preserve">         </t>
  </si>
  <si>
    <t xml:space="preserve">  </t>
  </si>
  <si>
    <t>Lighting</t>
  </si>
  <si>
    <t>Prepaired by- Ramesh</t>
  </si>
  <si>
    <t>\</t>
  </si>
  <si>
    <t>1643044-1655344</t>
  </si>
  <si>
    <t>GLR</t>
  </si>
  <si>
    <t>HWG3</t>
  </si>
  <si>
    <t>Date :-</t>
  </si>
  <si>
    <t>Prepaired by- Robert</t>
  </si>
  <si>
    <t>Last year same month(LYSM)</t>
  </si>
  <si>
    <t>Ambient Temp</t>
  </si>
  <si>
    <t>HUMIDITY%</t>
  </si>
  <si>
    <t>HTP  MD-1699</t>
  </si>
  <si>
    <t>H.T P.F--0.999</t>
  </si>
  <si>
    <t>ETP electrical</t>
  </si>
  <si>
    <t xml:space="preserve">Prepaired by- Devendra </t>
  </si>
  <si>
    <t>Cost/Unit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</si>
  <si>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</si>
  <si>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</si>
  <si>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</si>
  <si>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</si>
  <si>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</si>
  <si>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</si>
  <si>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</si>
  <si>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</si>
  <si>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</si>
  <si>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Total Guests </t>
  </si>
  <si>
    <t>Utilities day cost dh</t>
  </si>
  <si>
    <t>Mumbai</t>
  </si>
  <si>
    <t>Natual Gas (m3)</t>
  </si>
  <si>
    <t>Natural Gas $/m3</t>
  </si>
  <si>
    <t>Room Nights</t>
  </si>
  <si>
    <t>Comp Night</t>
  </si>
  <si>
    <t xml:space="preserve">Total Covers Guests </t>
  </si>
  <si>
    <t>Cummulative %</t>
  </si>
  <si>
    <t xml:space="preserve">Percentage  of ele, unit per area </t>
  </si>
  <si>
    <t>Total Room Nights</t>
  </si>
  <si>
    <t>Boiler3 (400Kg)</t>
  </si>
  <si>
    <t xml:space="preserve">                                                  </t>
  </si>
  <si>
    <t>20th Floor</t>
  </si>
  <si>
    <t>B1 Laundry</t>
  </si>
  <si>
    <t>R.o.plant</t>
  </si>
  <si>
    <t>Total Domestic Consumption</t>
  </si>
  <si>
    <t>Total STP Consumption</t>
  </si>
  <si>
    <t>CH-1+ CH2+CH3+CH4</t>
  </si>
  <si>
    <t>Boiler Running Hours</t>
  </si>
  <si>
    <t>HVAC</t>
  </si>
  <si>
    <t>Fire &amp; Emergency PP</t>
  </si>
  <si>
    <t>Main PP</t>
  </si>
  <si>
    <t>Lighting PP</t>
  </si>
  <si>
    <t>San- Qi Indian</t>
  </si>
  <si>
    <t>San- Qi Japanese</t>
  </si>
  <si>
    <t>The club</t>
  </si>
  <si>
    <t>AER</t>
  </si>
  <si>
    <t>Ball Room 1</t>
  </si>
  <si>
    <t>Ball Room 2</t>
  </si>
  <si>
    <t>STP</t>
  </si>
  <si>
    <t>MOCK Up Room</t>
  </si>
  <si>
    <t>2nd floor plant room</t>
  </si>
  <si>
    <t>MGL</t>
  </si>
  <si>
    <t>Boiler</t>
  </si>
  <si>
    <t>..</t>
  </si>
  <si>
    <t>STP Production</t>
  </si>
  <si>
    <t>Total Domestic Water (Tanker (R.O) +BMC)</t>
  </si>
  <si>
    <t>Total Tanke(RO) + BMC</t>
  </si>
  <si>
    <t>Flush Tanker-Zone-1</t>
  </si>
  <si>
    <t xml:space="preserve">Prepaired by--- Devendra </t>
  </si>
  <si>
    <t>Prepaired by--- Nilesh</t>
  </si>
  <si>
    <t xml:space="preserve">Prepaired by-- Devendra  </t>
  </si>
  <si>
    <t>HT Kwh</t>
  </si>
  <si>
    <t>HT Kvah</t>
  </si>
  <si>
    <t xml:space="preserve">Water </t>
  </si>
  <si>
    <t>MGL Gas</t>
  </si>
  <si>
    <t>Transformer -Load</t>
  </si>
  <si>
    <t>Prepaired by- Nilesh</t>
  </si>
  <si>
    <t xml:space="preserve">20th Floor project office meter reading </t>
  </si>
  <si>
    <t>Prepaired by- Devendra</t>
  </si>
  <si>
    <t xml:space="preserve">Average </t>
  </si>
  <si>
    <t>20th Floor Project office</t>
  </si>
  <si>
    <t xml:space="preserve">Prepaired by- Nilesh </t>
  </si>
  <si>
    <t>Prepaired by ---Nilesh</t>
  </si>
  <si>
    <t>Prepaired by-- Nilesh</t>
  </si>
  <si>
    <t>Prepaired by----Nilesh</t>
  </si>
  <si>
    <t>aaaa</t>
  </si>
  <si>
    <t>Paid occ %</t>
  </si>
  <si>
    <t xml:space="preserve">10th floor energy meter reading </t>
  </si>
  <si>
    <t xml:space="preserve">25th floor energy meter reading </t>
  </si>
  <si>
    <t>Prepaired by --- Prakash</t>
  </si>
  <si>
    <t>Prepaired by--- Prakash</t>
  </si>
  <si>
    <t>Prepaired by---Prakash</t>
  </si>
  <si>
    <t xml:space="preserve">Prepaired by - Devendra </t>
  </si>
  <si>
    <t xml:space="preserve">Prepaired by- </t>
  </si>
  <si>
    <t xml:space="preserve">Prepaired by--Devendra </t>
  </si>
  <si>
    <t xml:space="preserve">    </t>
  </si>
  <si>
    <t>Prepaired by Ramesh</t>
  </si>
  <si>
    <t>Prepaired by-Ramesh</t>
  </si>
  <si>
    <t>Prepaired by--Ramesh</t>
  </si>
  <si>
    <t>Prepaired by------- Ramesh</t>
  </si>
  <si>
    <t>Prepaired by -- Prakash</t>
  </si>
  <si>
    <t>Prepaired by- Prakash</t>
  </si>
  <si>
    <t>Prepaired by---- Prakash</t>
  </si>
  <si>
    <t>Prepaired by----Prakash</t>
  </si>
  <si>
    <t>Prepaired by---Nilesh</t>
  </si>
  <si>
    <t>Prepaired by--  Nilesh</t>
  </si>
  <si>
    <t>Hotel Paid Occupancy Occ%</t>
  </si>
  <si>
    <t>Units (Kvah)</t>
  </si>
  <si>
    <t>KwH</t>
  </si>
</sst>
</file>

<file path=xl/styles.xml><?xml version="1.0" encoding="utf-8"?>
<styleSheet xmlns="http://schemas.openxmlformats.org/spreadsheetml/2006/main">
  <numFmts count="1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"/>
    <numFmt numFmtId="165" formatCode="0.0%"/>
    <numFmt numFmtId="166" formatCode="[$-809]d\ mmmm\ yyyy;@"/>
    <numFmt numFmtId="167" formatCode="0.0E+00"/>
    <numFmt numFmtId="168" formatCode="#,##0;[Red]#,##0"/>
    <numFmt numFmtId="169" formatCode="_(* #,##0_);_(* \(#,##0\);_(* &quot;-&quot;??_);_(@_)"/>
    <numFmt numFmtId="170" formatCode="[$-809]dd\ mmmm\ yyyy;@"/>
    <numFmt numFmtId="171" formatCode="0.000"/>
    <numFmt numFmtId="172" formatCode="0.0000"/>
    <numFmt numFmtId="173" formatCode="0;[Red]0"/>
    <numFmt numFmtId="174" formatCode="0.00000"/>
    <numFmt numFmtId="175" formatCode="0_ ;[Red]\-0\ "/>
  </numFmts>
  <fonts count="136">
    <font>
      <sz val="12"/>
      <color theme="1"/>
      <name val="Cambria"/>
      <family val="2"/>
      <scheme val="maj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indexed="8"/>
      <name val="Arial"/>
      <family val="2"/>
    </font>
    <font>
      <b/>
      <sz val="10"/>
      <color rgb="FFFF0000"/>
      <name val="Arial"/>
      <family val="2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10"/>
      <color indexed="8"/>
      <name val="Arial"/>
      <family val="2"/>
    </font>
    <font>
      <sz val="8"/>
      <color indexed="8"/>
      <name val="Arial"/>
      <family val="2"/>
    </font>
    <font>
      <b/>
      <sz val="12"/>
      <color rgb="FFFF0000"/>
      <name val="Arial"/>
      <family val="2"/>
    </font>
    <font>
      <sz val="12"/>
      <name val="Arial"/>
      <family val="2"/>
    </font>
    <font>
      <sz val="12"/>
      <color indexed="8"/>
      <name val="Arial"/>
      <family val="2"/>
    </font>
    <font>
      <sz val="11"/>
      <color theme="1"/>
      <name val="Arial"/>
      <family val="2"/>
    </font>
    <font>
      <u/>
      <sz val="12"/>
      <color theme="10"/>
      <name val="Cambria"/>
      <family val="2"/>
    </font>
    <font>
      <b/>
      <u/>
      <sz val="12"/>
      <color rgb="FFFF0000"/>
      <name val="Cambria"/>
      <family val="1"/>
    </font>
    <font>
      <sz val="10"/>
      <name val="Arial"/>
      <family val="2"/>
    </font>
    <font>
      <b/>
      <sz val="16"/>
      <name val="Arial"/>
      <family val="2"/>
    </font>
    <font>
      <b/>
      <i/>
      <sz val="16"/>
      <name val="Arial"/>
      <family val="2"/>
    </font>
    <font>
      <b/>
      <i/>
      <sz val="16"/>
      <name val="Arial Black"/>
      <family val="2"/>
    </font>
    <font>
      <sz val="11"/>
      <color indexed="8"/>
      <name val="Calibri"/>
      <family val="2"/>
    </font>
    <font>
      <b/>
      <i/>
      <sz val="16"/>
      <color rgb="FF00B050"/>
      <name val="Arial"/>
      <family val="2"/>
    </font>
    <font>
      <b/>
      <i/>
      <sz val="16"/>
      <color indexed="10"/>
      <name val="Arial"/>
      <family val="2"/>
    </font>
    <font>
      <b/>
      <sz val="16"/>
      <color rgb="FFFF0000"/>
      <name val="Arial"/>
      <family val="2"/>
    </font>
    <font>
      <b/>
      <i/>
      <sz val="16"/>
      <color rgb="FFFF0000"/>
      <name val="Arial"/>
      <family val="2"/>
    </font>
    <font>
      <b/>
      <sz val="16"/>
      <color theme="1"/>
      <name val="Cambria"/>
      <family val="2"/>
      <scheme val="major"/>
    </font>
    <font>
      <b/>
      <i/>
      <sz val="16"/>
      <color theme="0"/>
      <name val="Arial"/>
      <family val="2"/>
    </font>
    <font>
      <b/>
      <sz val="16"/>
      <name val="Arial Black"/>
      <family val="2"/>
    </font>
    <font>
      <b/>
      <i/>
      <sz val="16"/>
      <color theme="1"/>
      <name val="Arial"/>
      <family val="2"/>
    </font>
    <font>
      <b/>
      <sz val="16"/>
      <color rgb="FF00B050"/>
      <name val="Arial"/>
      <family val="2"/>
    </font>
    <font>
      <b/>
      <i/>
      <sz val="16"/>
      <color indexed="8"/>
      <name val="Arial"/>
      <family val="2"/>
    </font>
    <font>
      <b/>
      <sz val="16"/>
      <color theme="1"/>
      <name val="Calibri"/>
      <family val="2"/>
      <scheme val="minor"/>
    </font>
    <font>
      <b/>
      <i/>
      <sz val="16"/>
      <color rgb="FFFF0000"/>
      <name val="Arial Black"/>
      <family val="2"/>
    </font>
    <font>
      <b/>
      <i/>
      <sz val="16"/>
      <color rgb="FFFFFF00"/>
      <name val="Arial"/>
      <family val="2"/>
    </font>
    <font>
      <b/>
      <sz val="18"/>
      <name val="Arial"/>
      <family val="2"/>
    </font>
    <font>
      <b/>
      <i/>
      <sz val="18"/>
      <name val="Arial"/>
      <family val="2"/>
    </font>
    <font>
      <b/>
      <sz val="18"/>
      <color indexed="8"/>
      <name val="Arial"/>
      <family val="2"/>
    </font>
    <font>
      <b/>
      <sz val="18"/>
      <color theme="1"/>
      <name val="Cambria"/>
      <family val="2"/>
      <scheme val="major"/>
    </font>
    <font>
      <b/>
      <i/>
      <sz val="18"/>
      <name val="Arial Black"/>
      <family val="2"/>
    </font>
    <font>
      <b/>
      <i/>
      <sz val="18"/>
      <color theme="0"/>
      <name val="Arial"/>
      <family val="2"/>
    </font>
    <font>
      <b/>
      <i/>
      <sz val="18"/>
      <color rgb="FFFFFF00"/>
      <name val="Arial"/>
      <family val="2"/>
    </font>
    <font>
      <b/>
      <i/>
      <sz val="18"/>
      <color theme="1"/>
      <name val="Arial"/>
      <family val="2"/>
    </font>
    <font>
      <b/>
      <i/>
      <sz val="18"/>
      <color rgb="FFFF0000"/>
      <name val="Arial"/>
      <family val="2"/>
    </font>
    <font>
      <b/>
      <i/>
      <sz val="18"/>
      <color rgb="FF00B050"/>
      <name val="Arial"/>
      <family val="2"/>
    </font>
    <font>
      <b/>
      <sz val="18"/>
      <color rgb="FFFF0000"/>
      <name val="Arial"/>
      <family val="2"/>
    </font>
    <font>
      <b/>
      <i/>
      <sz val="18"/>
      <color indexed="10"/>
      <name val="Arial"/>
      <family val="2"/>
    </font>
    <font>
      <b/>
      <i/>
      <sz val="18"/>
      <color indexed="8"/>
      <name val="Arial"/>
      <family val="2"/>
    </font>
    <font>
      <b/>
      <sz val="20"/>
      <color theme="1"/>
      <name val="Cambria"/>
      <family val="2"/>
      <scheme val="major"/>
    </font>
    <font>
      <b/>
      <i/>
      <sz val="20"/>
      <name val="Arial"/>
      <family val="2"/>
    </font>
    <font>
      <b/>
      <sz val="20"/>
      <name val="Arial"/>
      <family val="2"/>
    </font>
    <font>
      <b/>
      <i/>
      <sz val="20"/>
      <color theme="0"/>
      <name val="Arial"/>
      <family val="2"/>
    </font>
    <font>
      <b/>
      <sz val="20"/>
      <color theme="1"/>
      <name val="Calibri"/>
      <family val="2"/>
      <scheme val="minor"/>
    </font>
    <font>
      <b/>
      <sz val="20"/>
      <name val="Arial Black"/>
      <family val="2"/>
    </font>
    <font>
      <i/>
      <sz val="10"/>
      <name val="Arial"/>
      <family val="2"/>
    </font>
    <font>
      <sz val="12"/>
      <color rgb="FFFF0000"/>
      <name val="Arial"/>
      <family val="2"/>
    </font>
    <font>
      <sz val="12"/>
      <color theme="1"/>
      <name val="Arial"/>
      <family val="2"/>
    </font>
    <font>
      <sz val="18"/>
      <color theme="1"/>
      <name val="Arial"/>
      <family val="2"/>
    </font>
    <font>
      <b/>
      <sz val="18"/>
      <color theme="1"/>
      <name val="Arial"/>
      <family val="2"/>
    </font>
    <font>
      <b/>
      <sz val="20"/>
      <name val="Arial Unicode MS"/>
      <family val="2"/>
    </font>
    <font>
      <b/>
      <sz val="18"/>
      <name val="Arial Unicode MS"/>
      <family val="2"/>
    </font>
    <font>
      <b/>
      <sz val="20"/>
      <color indexed="8"/>
      <name val="Arial Unicode MS"/>
      <family val="2"/>
    </font>
    <font>
      <b/>
      <sz val="18"/>
      <color rgb="FFFF0000"/>
      <name val="Arial Unicode MS"/>
      <family val="2"/>
    </font>
    <font>
      <b/>
      <sz val="20"/>
      <color rgb="FFFF0000"/>
      <name val="Arial Unicode MS"/>
      <family val="2"/>
    </font>
    <font>
      <b/>
      <sz val="18"/>
      <color indexed="8"/>
      <name val="Arial Unicode MS"/>
      <family val="2"/>
    </font>
    <font>
      <b/>
      <sz val="18"/>
      <color theme="1"/>
      <name val="Arial Unicode MS"/>
      <family val="2"/>
    </font>
    <font>
      <b/>
      <sz val="16"/>
      <name val="Arial Unicode MS"/>
      <family val="2"/>
    </font>
    <font>
      <b/>
      <sz val="20"/>
      <color theme="1"/>
      <name val="Arial Unicode MS"/>
      <family val="2"/>
    </font>
    <font>
      <sz val="18"/>
      <color theme="1"/>
      <name val="Arial Unicode MS"/>
      <family val="2"/>
    </font>
    <font>
      <sz val="20"/>
      <color theme="1"/>
      <name val="Arial Unicode MS"/>
      <family val="2"/>
    </font>
    <font>
      <b/>
      <sz val="18"/>
      <color indexed="10"/>
      <name val="Arial Unicode MS"/>
      <family val="2"/>
    </font>
    <font>
      <b/>
      <sz val="16"/>
      <color theme="1"/>
      <name val="Arial Unicode MS"/>
      <family val="2"/>
    </font>
    <font>
      <b/>
      <sz val="16"/>
      <color indexed="8"/>
      <name val="Arial Unicode MS"/>
      <family val="2"/>
    </font>
    <font>
      <b/>
      <sz val="16"/>
      <color rgb="FF00B050"/>
      <name val="Arial Unicode MS"/>
      <family val="2"/>
    </font>
    <font>
      <b/>
      <sz val="16"/>
      <color rgb="FFFF0000"/>
      <name val="Arial Unicode MS"/>
      <family val="2"/>
    </font>
    <font>
      <b/>
      <sz val="16"/>
      <color indexed="10"/>
      <name val="Arial Unicode MS"/>
      <family val="2"/>
    </font>
    <font>
      <sz val="16"/>
      <color theme="1"/>
      <name val="Arial Unicode MS"/>
      <family val="2"/>
    </font>
    <font>
      <b/>
      <sz val="20"/>
      <color rgb="FFFFFF00"/>
      <name val="Arial Unicode MS"/>
      <family val="2"/>
    </font>
    <font>
      <b/>
      <sz val="18"/>
      <color rgb="FFFFFF00"/>
      <name val="Arial Unicode MS"/>
      <family val="2"/>
    </font>
    <font>
      <b/>
      <sz val="22"/>
      <color rgb="FFFF0000"/>
      <name val="Arial Black"/>
      <family val="2"/>
    </font>
    <font>
      <b/>
      <sz val="20"/>
      <color rgb="FFFF0000"/>
      <name val="Cambria"/>
      <family val="2"/>
      <scheme val="major"/>
    </font>
    <font>
      <sz val="16"/>
      <name val="Arial Unicode MS"/>
      <family val="2"/>
    </font>
    <font>
      <b/>
      <sz val="16"/>
      <color rgb="FFFFFF00"/>
      <name val="Arial Unicode MS"/>
      <family val="2"/>
    </font>
    <font>
      <sz val="20"/>
      <color theme="1"/>
      <name val="Cambria"/>
      <family val="1"/>
      <scheme val="major"/>
    </font>
    <font>
      <sz val="18"/>
      <color theme="1"/>
      <name val="Cambria"/>
      <family val="1"/>
      <scheme val="major"/>
    </font>
    <font>
      <sz val="20"/>
      <color rgb="FFFF0000"/>
      <name val="Cambria"/>
      <family val="1"/>
      <scheme val="major"/>
    </font>
    <font>
      <sz val="11"/>
      <color rgb="FFFF0000"/>
      <name val="Calibri"/>
      <family val="2"/>
      <scheme val="minor"/>
    </font>
    <font>
      <sz val="14"/>
      <color theme="1"/>
      <name val="Arial"/>
      <family val="2"/>
    </font>
    <font>
      <sz val="14"/>
      <color theme="1"/>
      <name val="Arial Unicode MS"/>
      <family val="2"/>
    </font>
    <font>
      <sz val="10"/>
      <color rgb="FFFF0000"/>
      <name val="Arial"/>
      <family val="2"/>
    </font>
    <font>
      <b/>
      <sz val="14"/>
      <color rgb="FFFF0000"/>
      <name val="Arial Black"/>
      <family val="2"/>
    </font>
    <font>
      <b/>
      <sz val="14"/>
      <color theme="1"/>
      <name val="Cambria"/>
      <family val="2"/>
      <scheme val="major"/>
    </font>
    <font>
      <b/>
      <sz val="14"/>
      <name val="Arial Unicode MS"/>
      <family val="2"/>
    </font>
    <font>
      <b/>
      <i/>
      <sz val="14"/>
      <color theme="0"/>
      <name val="Arial"/>
      <family val="2"/>
    </font>
    <font>
      <b/>
      <i/>
      <sz val="14"/>
      <name val="Arial"/>
      <family val="2"/>
    </font>
    <font>
      <b/>
      <sz val="14"/>
      <color rgb="FFFFFF00"/>
      <name val="Arial Unicode MS"/>
      <family val="2"/>
    </font>
    <font>
      <b/>
      <sz val="14"/>
      <name val="Arial"/>
      <family val="2"/>
    </font>
    <font>
      <b/>
      <sz val="14"/>
      <color theme="1"/>
      <name val="Arial Unicode MS"/>
      <family val="2"/>
    </font>
    <font>
      <b/>
      <sz val="14"/>
      <color indexed="8"/>
      <name val="Arial Unicode MS"/>
      <family val="2"/>
    </font>
    <font>
      <b/>
      <sz val="14"/>
      <color rgb="FF00B050"/>
      <name val="Arial Unicode MS"/>
      <family val="2"/>
    </font>
    <font>
      <b/>
      <sz val="14"/>
      <color rgb="FFFF0000"/>
      <name val="Arial Unicode MS"/>
      <family val="2"/>
    </font>
    <font>
      <b/>
      <sz val="14"/>
      <color theme="1"/>
      <name val="Arial"/>
      <family val="2"/>
    </font>
    <font>
      <b/>
      <sz val="14"/>
      <color indexed="10"/>
      <name val="Arial Unicode MS"/>
      <family val="2"/>
    </font>
    <font>
      <b/>
      <sz val="14"/>
      <name val="Arial Black"/>
      <family val="2"/>
    </font>
    <font>
      <b/>
      <sz val="14"/>
      <color theme="1"/>
      <name val="Calibri"/>
      <family val="2"/>
      <scheme val="minor"/>
    </font>
    <font>
      <b/>
      <sz val="18"/>
      <color theme="1"/>
      <name val="Arial Black"/>
      <family val="2"/>
    </font>
    <font>
      <sz val="12"/>
      <name val="Cambria"/>
      <family val="2"/>
      <scheme val="major"/>
    </font>
    <font>
      <b/>
      <sz val="10"/>
      <name val="Arial"/>
      <family val="2"/>
    </font>
    <font>
      <b/>
      <sz val="14"/>
      <color theme="1"/>
      <name val="Calibri"/>
      <family val="2"/>
    </font>
    <font>
      <b/>
      <sz val="22"/>
      <color theme="1"/>
      <name val="Arial Unicode MS"/>
      <family val="2"/>
    </font>
    <font>
      <sz val="10"/>
      <color rgb="FF000000"/>
      <name val="Arial"/>
      <family val="2"/>
    </font>
    <font>
      <sz val="12"/>
      <color rgb="FFFF0000"/>
      <name val="Cambria"/>
      <family val="2"/>
      <scheme val="major"/>
    </font>
    <font>
      <sz val="11"/>
      <name val="Cambria"/>
      <family val="2"/>
      <scheme val="major"/>
    </font>
    <font>
      <b/>
      <sz val="16"/>
      <color rgb="FF000000"/>
      <name val="Arial Unicode MS"/>
      <family val="2"/>
    </font>
    <font>
      <u/>
      <sz val="14"/>
      <color theme="10"/>
      <name val="Cambria"/>
      <family val="2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8"/>
      <color theme="0"/>
      <name val="Arial Unicode MS"/>
      <family val="2"/>
    </font>
    <font>
      <b/>
      <sz val="20"/>
      <color theme="0"/>
      <name val="Arial Unicode MS"/>
      <family val="2"/>
    </font>
    <font>
      <b/>
      <sz val="16"/>
      <color theme="0"/>
      <name val="Arial Unicode MS"/>
      <family val="2"/>
    </font>
    <font>
      <b/>
      <sz val="20"/>
      <color theme="0"/>
      <name val="Cambria"/>
      <family val="2"/>
      <scheme val="major"/>
    </font>
    <font>
      <b/>
      <sz val="16"/>
      <color theme="5"/>
      <name val="Arial Unicode MS"/>
      <family val="2"/>
    </font>
    <font>
      <sz val="10"/>
      <color theme="1"/>
      <name val="Cambria"/>
      <family val="2"/>
      <scheme val="major"/>
    </font>
    <font>
      <b/>
      <sz val="11"/>
      <color rgb="FF00B05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1"/>
      <color rgb="FFFFC000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rgb="FFFFC000"/>
      <name val="Calibri"/>
      <family val="2"/>
      <scheme val="minor"/>
    </font>
    <font>
      <b/>
      <sz val="8"/>
      <color indexed="8"/>
      <name val="Arial"/>
      <family val="2"/>
    </font>
    <font>
      <sz val="12"/>
      <color rgb="FF00B050"/>
      <name val="Arial"/>
      <family val="2"/>
    </font>
    <font>
      <sz val="10"/>
      <color rgb="FF00B05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6"/>
      <color indexed="81"/>
      <name val="Tahoma"/>
      <family val="2"/>
    </font>
    <font>
      <sz val="16"/>
      <color indexed="81"/>
      <name val="Tahoma"/>
      <family val="2"/>
    </font>
  </fonts>
  <fills count="2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59999389629810485"/>
        <bgColor indexed="64"/>
      </patternFill>
    </fill>
  </fills>
  <borders count="3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0">
    <xf numFmtId="0" fontId="0" fillId="0" borderId="0"/>
    <xf numFmtId="0" fontId="4" fillId="0" borderId="0"/>
    <xf numFmtId="0" fontId="15" fillId="0" borderId="0" applyNumberFormat="0" applyFill="0" applyBorder="0" applyAlignment="0" applyProtection="0">
      <alignment vertical="top"/>
      <protection locked="0"/>
    </xf>
    <xf numFmtId="0" fontId="17" fillId="0" borderId="0"/>
    <xf numFmtId="0" fontId="4" fillId="0" borderId="0"/>
    <xf numFmtId="43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43" fontId="21" fillId="0" borderId="0" applyFont="0" applyFill="0" applyBorder="0" applyAlignment="0" applyProtection="0"/>
    <xf numFmtId="44" fontId="17" fillId="0" borderId="0" applyFont="0" applyFill="0" applyBorder="0" applyAlignment="0" applyProtection="0"/>
    <xf numFmtId="0" fontId="17" fillId="0" borderId="0"/>
    <xf numFmtId="43" fontId="17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4" fillId="0" borderId="0"/>
    <xf numFmtId="0" fontId="17" fillId="0" borderId="0"/>
    <xf numFmtId="0" fontId="17" fillId="0" borderId="0"/>
    <xf numFmtId="0" fontId="4" fillId="0" borderId="0"/>
    <xf numFmtId="0" fontId="86" fillId="0" borderId="0" applyNumberFormat="0" applyFill="0" applyBorder="0" applyAlignment="0" applyProtection="0"/>
    <xf numFmtId="0" fontId="3" fillId="0" borderId="0"/>
    <xf numFmtId="0" fontId="2" fillId="0" borderId="0"/>
    <xf numFmtId="0" fontId="2" fillId="0" borderId="0"/>
  </cellStyleXfs>
  <cellXfs count="1779">
    <xf numFmtId="0" fontId="0" fillId="0" borderId="0" xfId="0"/>
    <xf numFmtId="0" fontId="6" fillId="0" borderId="1" xfId="1" applyFont="1" applyFill="1" applyBorder="1" applyAlignment="1">
      <alignment horizontal="center" vertical="center" wrapText="1"/>
    </xf>
    <xf numFmtId="1" fontId="7" fillId="0" borderId="1" xfId="1" applyNumberFormat="1" applyFont="1" applyBorder="1" applyAlignment="1">
      <alignment vertical="center" wrapText="1"/>
    </xf>
    <xf numFmtId="0" fontId="7" fillId="0" borderId="1" xfId="1" applyNumberFormat="1" applyFont="1" applyBorder="1" applyAlignment="1">
      <alignment horizontal="center" vertical="center" wrapText="1"/>
    </xf>
    <xf numFmtId="1" fontId="7" fillId="3" borderId="1" xfId="1" applyNumberFormat="1" applyFont="1" applyFill="1" applyBorder="1" applyAlignment="1">
      <alignment horizontal="center" vertical="center" wrapText="1"/>
    </xf>
    <xf numFmtId="0" fontId="7" fillId="0" borderId="2" xfId="1" applyFont="1" applyBorder="1" applyAlignment="1">
      <alignment horizontal="center" vertical="center" wrapText="1"/>
    </xf>
    <xf numFmtId="0" fontId="6" fillId="0" borderId="1" xfId="1" applyFont="1" applyFill="1" applyBorder="1" applyAlignment="1">
      <alignment vertical="center" wrapText="1"/>
    </xf>
    <xf numFmtId="0" fontId="8" fillId="0" borderId="1" xfId="1" applyFont="1" applyBorder="1" applyAlignment="1">
      <alignment horizontal="center" vertical="center" wrapText="1"/>
    </xf>
    <xf numFmtId="1" fontId="8" fillId="0" borderId="1" xfId="1" applyNumberFormat="1" applyFont="1" applyBorder="1" applyAlignment="1">
      <alignment vertical="center" wrapText="1"/>
    </xf>
    <xf numFmtId="0" fontId="8" fillId="0" borderId="1" xfId="1" applyNumberFormat="1" applyFont="1" applyBorder="1" applyAlignment="1">
      <alignment horizontal="center" vertical="center" wrapText="1"/>
    </xf>
    <xf numFmtId="1" fontId="8" fillId="0" borderId="1" xfId="1" applyNumberFormat="1" applyFont="1" applyBorder="1" applyAlignment="1">
      <alignment horizontal="center" vertical="center" wrapText="1"/>
    </xf>
    <xf numFmtId="0" fontId="8" fillId="0" borderId="1" xfId="1" applyFont="1" applyFill="1" applyBorder="1" applyAlignment="1">
      <alignment horizontal="center" vertical="center" wrapText="1"/>
    </xf>
    <xf numFmtId="0" fontId="9" fillId="0" borderId="1" xfId="1" applyFont="1" applyBorder="1" applyAlignment="1">
      <alignment horizontal="center" vertical="center" wrapText="1"/>
    </xf>
    <xf numFmtId="0" fontId="10" fillId="0" borderId="1" xfId="1" applyFont="1" applyFill="1" applyBorder="1" applyAlignment="1">
      <alignment vertical="top" wrapText="1"/>
    </xf>
    <xf numFmtId="0" fontId="10" fillId="0" borderId="1" xfId="1" applyFont="1" applyBorder="1" applyAlignment="1">
      <alignment horizontal="center" vertical="top" wrapText="1"/>
    </xf>
    <xf numFmtId="0" fontId="0" fillId="0" borderId="0" xfId="0" applyAlignment="1">
      <alignment wrapText="1"/>
    </xf>
    <xf numFmtId="0" fontId="11" fillId="0" borderId="1" xfId="1" applyFont="1" applyFill="1" applyBorder="1" applyAlignment="1">
      <alignment vertical="center" wrapText="1"/>
    </xf>
    <xf numFmtId="0" fontId="12" fillId="2" borderId="1" xfId="1" applyFont="1" applyFill="1" applyBorder="1" applyAlignment="1">
      <alignment horizontal="center" vertical="center" wrapText="1"/>
    </xf>
    <xf numFmtId="0" fontId="13" fillId="2" borderId="1" xfId="1" applyFont="1" applyFill="1" applyBorder="1" applyAlignment="1">
      <alignment horizontal="center" vertical="center" wrapText="1"/>
    </xf>
    <xf numFmtId="1" fontId="13" fillId="2" borderId="1" xfId="1" applyNumberFormat="1" applyFont="1" applyFill="1" applyBorder="1" applyAlignment="1">
      <alignment vertical="center" wrapText="1"/>
    </xf>
    <xf numFmtId="0" fontId="13" fillId="7" borderId="1" xfId="1" applyFont="1" applyFill="1" applyBorder="1" applyAlignment="1">
      <alignment vertical="top" wrapText="1"/>
    </xf>
    <xf numFmtId="1" fontId="13" fillId="7" borderId="1" xfId="1" applyNumberFormat="1" applyFont="1" applyFill="1" applyBorder="1" applyAlignment="1">
      <alignment vertical="top" wrapText="1"/>
    </xf>
    <xf numFmtId="2" fontId="13" fillId="0" borderId="1" xfId="1" applyNumberFormat="1" applyFont="1" applyFill="1" applyBorder="1" applyAlignment="1">
      <alignment vertical="top" wrapText="1"/>
    </xf>
    <xf numFmtId="2" fontId="13" fillId="0" borderId="1" xfId="1" applyNumberFormat="1" applyFont="1" applyBorder="1" applyAlignment="1"/>
    <xf numFmtId="10" fontId="13" fillId="0" borderId="1" xfId="1" applyNumberFormat="1" applyFont="1" applyBorder="1" applyAlignment="1"/>
    <xf numFmtId="2" fontId="13" fillId="7" borderId="1" xfId="1" applyNumberFormat="1" applyFont="1" applyFill="1" applyBorder="1" applyAlignment="1"/>
    <xf numFmtId="1" fontId="14" fillId="0" borderId="1" xfId="1" applyNumberFormat="1" applyFont="1" applyBorder="1" applyAlignment="1">
      <alignment horizontal="center" vertical="center" wrapText="1"/>
    </xf>
    <xf numFmtId="1" fontId="14" fillId="2" borderId="1" xfId="1" applyNumberFormat="1" applyFont="1" applyFill="1" applyBorder="1" applyAlignment="1">
      <alignment horizontal="center" vertical="center" wrapText="1"/>
    </xf>
    <xf numFmtId="1" fontId="13" fillId="0" borderId="1" xfId="1" applyNumberFormat="1" applyFont="1" applyFill="1" applyBorder="1" applyAlignment="1">
      <alignment horizontal="center" vertical="center" wrapText="1"/>
    </xf>
    <xf numFmtId="1" fontId="13" fillId="2" borderId="1" xfId="1" applyNumberFormat="1" applyFont="1" applyFill="1" applyBorder="1" applyAlignment="1">
      <alignment horizontal="center" vertical="center" wrapText="1"/>
    </xf>
    <xf numFmtId="0" fontId="11" fillId="0" borderId="1" xfId="1" applyFont="1" applyFill="1" applyBorder="1" applyAlignment="1">
      <alignment horizontal="center" vertical="center" wrapText="1"/>
    </xf>
    <xf numFmtId="0" fontId="13" fillId="0" borderId="1" xfId="1" applyFont="1" applyBorder="1" applyAlignment="1">
      <alignment horizontal="center" vertical="center" wrapText="1"/>
    </xf>
    <xf numFmtId="1" fontId="13" fillId="0" borderId="1" xfId="1" applyNumberFormat="1" applyFont="1" applyBorder="1" applyAlignment="1">
      <alignment vertical="center" wrapText="1"/>
    </xf>
    <xf numFmtId="0" fontId="13" fillId="0" borderId="1" xfId="1" applyNumberFormat="1" applyFont="1" applyBorder="1" applyAlignment="1">
      <alignment horizontal="center" vertical="center" wrapText="1"/>
    </xf>
    <xf numFmtId="1" fontId="13" fillId="0" borderId="1" xfId="1" applyNumberFormat="1" applyFont="1" applyBorder="1" applyAlignment="1"/>
    <xf numFmtId="1" fontId="4" fillId="0" borderId="0" xfId="1" applyNumberFormat="1" applyFont="1"/>
    <xf numFmtId="0" fontId="16" fillId="0" borderId="0" xfId="2" applyFont="1" applyAlignment="1" applyProtection="1"/>
    <xf numFmtId="0" fontId="0" fillId="0" borderId="0" xfId="0" applyFill="1"/>
    <xf numFmtId="0" fontId="18" fillId="0" borderId="0" xfId="0" applyFont="1"/>
    <xf numFmtId="0" fontId="19" fillId="9" borderId="1" xfId="3" applyFont="1" applyFill="1" applyBorder="1" applyAlignment="1">
      <alignment horizontal="center"/>
    </xf>
    <xf numFmtId="1" fontId="18" fillId="9" borderId="1" xfId="3" applyNumberFormat="1" applyFont="1" applyFill="1" applyBorder="1" applyAlignment="1">
      <alignment horizontal="center" vertical="center"/>
    </xf>
    <xf numFmtId="1" fontId="19" fillId="9" borderId="1" xfId="3" applyNumberFormat="1" applyFont="1" applyFill="1" applyBorder="1" applyAlignment="1">
      <alignment horizontal="center"/>
    </xf>
    <xf numFmtId="164" fontId="19" fillId="9" borderId="2" xfId="3" applyNumberFormat="1" applyFont="1" applyFill="1" applyBorder="1" applyAlignment="1">
      <alignment horizontal="center"/>
    </xf>
    <xf numFmtId="0" fontId="19" fillId="2" borderId="6" xfId="3" applyFont="1" applyFill="1" applyBorder="1" applyAlignment="1">
      <alignment horizontal="center" vertical="center"/>
    </xf>
    <xf numFmtId="0" fontId="18" fillId="0" borderId="0" xfId="0" applyFont="1" applyBorder="1"/>
    <xf numFmtId="0" fontId="19" fillId="9" borderId="1" xfId="3" applyFont="1" applyFill="1" applyBorder="1"/>
    <xf numFmtId="9" fontId="18" fillId="9" borderId="1" xfId="3" applyNumberFormat="1" applyFont="1" applyFill="1" applyBorder="1" applyAlignment="1">
      <alignment horizontal="left"/>
    </xf>
    <xf numFmtId="2" fontId="19" fillId="9" borderId="1" xfId="3" applyNumberFormat="1" applyFont="1" applyFill="1" applyBorder="1" applyAlignment="1">
      <alignment horizontal="center"/>
    </xf>
    <xf numFmtId="9" fontId="18" fillId="9" borderId="1" xfId="3" applyNumberFormat="1" applyFont="1" applyFill="1" applyBorder="1" applyAlignment="1">
      <alignment horizontal="center"/>
    </xf>
    <xf numFmtId="1" fontId="18" fillId="9" borderId="1" xfId="3" applyNumberFormat="1" applyFont="1" applyFill="1" applyBorder="1" applyAlignment="1">
      <alignment horizontal="center"/>
    </xf>
    <xf numFmtId="0" fontId="18" fillId="9" borderId="2" xfId="3" applyNumberFormat="1" applyFont="1" applyFill="1" applyBorder="1" applyAlignment="1">
      <alignment horizontal="center" vertical="center"/>
    </xf>
    <xf numFmtId="164" fontId="19" fillId="2" borderId="6" xfId="3" applyNumberFormat="1" applyFont="1" applyFill="1" applyBorder="1" applyAlignment="1">
      <alignment horizontal="center"/>
    </xf>
    <xf numFmtId="0" fontId="18" fillId="9" borderId="1" xfId="3" applyNumberFormat="1" applyFont="1" applyFill="1" applyBorder="1" applyAlignment="1">
      <alignment horizontal="center"/>
    </xf>
    <xf numFmtId="164" fontId="19" fillId="2" borderId="6" xfId="3" applyNumberFormat="1" applyFont="1" applyFill="1" applyBorder="1" applyAlignment="1">
      <alignment horizontal="center" vertical="center" wrapText="1" shrinkToFit="1"/>
    </xf>
    <xf numFmtId="0" fontId="19" fillId="8" borderId="1" xfId="3" applyFont="1" applyFill="1" applyBorder="1" applyAlignment="1">
      <alignment horizontal="center" vertical="center"/>
    </xf>
    <xf numFmtId="0" fontId="19" fillId="8" borderId="1" xfId="3" applyFont="1" applyFill="1" applyBorder="1" applyAlignment="1">
      <alignment horizontal="center"/>
    </xf>
    <xf numFmtId="2" fontId="18" fillId="8" borderId="1" xfId="3" applyNumberFormat="1" applyFont="1" applyFill="1" applyBorder="1" applyAlignment="1">
      <alignment horizontal="center"/>
    </xf>
    <xf numFmtId="1" fontId="19" fillId="8" borderId="1" xfId="3" applyNumberFormat="1" applyFont="1" applyFill="1" applyBorder="1" applyAlignment="1">
      <alignment horizontal="center"/>
    </xf>
    <xf numFmtId="1" fontId="19" fillId="8" borderId="2" xfId="5" applyNumberFormat="1" applyFont="1" applyFill="1" applyBorder="1" applyAlignment="1" applyProtection="1">
      <alignment horizontal="center"/>
    </xf>
    <xf numFmtId="1" fontId="19" fillId="2" borderId="6" xfId="5" applyNumberFormat="1" applyFont="1" applyFill="1" applyBorder="1" applyAlignment="1" applyProtection="1">
      <alignment horizontal="center"/>
    </xf>
    <xf numFmtId="0" fontId="19" fillId="11" borderId="1" xfId="3" applyFont="1" applyFill="1" applyBorder="1" applyAlignment="1">
      <alignment horizontal="center" vertical="center"/>
    </xf>
    <xf numFmtId="1" fontId="19" fillId="11" borderId="1" xfId="3" applyNumberFormat="1" applyFont="1" applyFill="1" applyBorder="1" applyAlignment="1">
      <alignment horizontal="center" vertical="center"/>
    </xf>
    <xf numFmtId="1" fontId="18" fillId="12" borderId="1" xfId="3" applyNumberFormat="1" applyFont="1" applyFill="1" applyBorder="1" applyAlignment="1">
      <alignment horizontal="center"/>
    </xf>
    <xf numFmtId="1" fontId="19" fillId="11" borderId="2" xfId="3" applyNumberFormat="1" applyFont="1" applyFill="1" applyBorder="1" applyAlignment="1">
      <alignment horizontal="center" vertical="center"/>
    </xf>
    <xf numFmtId="167" fontId="19" fillId="8" borderId="2" xfId="3" applyNumberFormat="1" applyFont="1" applyFill="1" applyBorder="1" applyAlignment="1">
      <alignment vertical="center"/>
    </xf>
    <xf numFmtId="167" fontId="19" fillId="8" borderId="3" xfId="3" applyNumberFormat="1" applyFont="1" applyFill="1" applyBorder="1" applyAlignment="1">
      <alignment vertical="center"/>
    </xf>
    <xf numFmtId="167" fontId="19" fillId="8" borderId="4" xfId="3" applyNumberFormat="1" applyFont="1" applyFill="1" applyBorder="1" applyAlignment="1">
      <alignment vertical="center"/>
    </xf>
    <xf numFmtId="0" fontId="18" fillId="0" borderId="1" xfId="4" applyFont="1" applyBorder="1" applyAlignment="1">
      <alignment horizontal="center"/>
    </xf>
    <xf numFmtId="1" fontId="19" fillId="8" borderId="1" xfId="5" applyNumberFormat="1" applyFont="1" applyFill="1" applyBorder="1" applyAlignment="1">
      <alignment horizontal="center" vertical="center"/>
    </xf>
    <xf numFmtId="2" fontId="18" fillId="8" borderId="1" xfId="3" applyNumberFormat="1" applyFont="1" applyFill="1" applyBorder="1" applyAlignment="1">
      <alignment horizontal="right"/>
    </xf>
    <xf numFmtId="2" fontId="19" fillId="8" borderId="1" xfId="3" applyNumberFormat="1" applyFont="1" applyFill="1" applyBorder="1" applyAlignment="1">
      <alignment horizontal="center"/>
    </xf>
    <xf numFmtId="0" fontId="19" fillId="11" borderId="1" xfId="3" applyFont="1" applyFill="1" applyBorder="1" applyAlignment="1">
      <alignment horizontal="center"/>
    </xf>
    <xf numFmtId="1" fontId="19" fillId="11" borderId="1" xfId="3" applyNumberFormat="1" applyFont="1" applyFill="1" applyBorder="1" applyAlignment="1">
      <alignment horizontal="center"/>
    </xf>
    <xf numFmtId="0" fontId="18" fillId="11" borderId="1" xfId="3" applyFont="1" applyFill="1" applyBorder="1" applyAlignment="1">
      <alignment horizontal="center"/>
    </xf>
    <xf numFmtId="1" fontId="19" fillId="11" borderId="2" xfId="3" applyNumberFormat="1" applyFont="1" applyFill="1" applyBorder="1" applyAlignment="1">
      <alignment horizontal="center"/>
    </xf>
    <xf numFmtId="0" fontId="19" fillId="2" borderId="6" xfId="3" applyFont="1" applyFill="1" applyBorder="1" applyAlignment="1">
      <alignment horizontal="center"/>
    </xf>
    <xf numFmtId="2" fontId="19" fillId="8" borderId="2" xfId="3" applyNumberFormat="1" applyFont="1" applyFill="1" applyBorder="1" applyAlignment="1">
      <alignment horizontal="left" vertical="center"/>
    </xf>
    <xf numFmtId="2" fontId="19" fillId="8" borderId="3" xfId="3" applyNumberFormat="1" applyFont="1" applyFill="1" applyBorder="1" applyAlignment="1">
      <alignment horizontal="left" vertical="center"/>
    </xf>
    <xf numFmtId="2" fontId="19" fillId="8" borderId="4" xfId="3" applyNumberFormat="1" applyFont="1" applyFill="1" applyBorder="1" applyAlignment="1">
      <alignment horizontal="left" vertical="center"/>
    </xf>
    <xf numFmtId="1" fontId="19" fillId="8" borderId="1" xfId="3" applyNumberFormat="1" applyFont="1" applyFill="1" applyBorder="1" applyAlignment="1">
      <alignment horizontal="center" vertical="center"/>
    </xf>
    <xf numFmtId="0" fontId="18" fillId="0" borderId="1" xfId="4" applyFont="1" applyBorder="1"/>
    <xf numFmtId="0" fontId="18" fillId="2" borderId="1" xfId="3" applyFont="1" applyFill="1" applyBorder="1" applyAlignment="1">
      <alignment horizontal="center"/>
    </xf>
    <xf numFmtId="0" fontId="5" fillId="0" borderId="1" xfId="4" applyFont="1" applyBorder="1" applyAlignment="1">
      <alignment horizontal="center"/>
    </xf>
    <xf numFmtId="2" fontId="19" fillId="2" borderId="6" xfId="5" applyNumberFormat="1" applyFont="1" applyFill="1" applyBorder="1" applyAlignment="1" applyProtection="1">
      <alignment horizontal="center"/>
    </xf>
    <xf numFmtId="165" fontId="18" fillId="0" borderId="1" xfId="6" applyNumberFormat="1" applyFont="1" applyFill="1" applyBorder="1" applyAlignment="1"/>
    <xf numFmtId="165" fontId="19" fillId="2" borderId="6" xfId="6" applyNumberFormat="1" applyFont="1" applyFill="1" applyBorder="1" applyAlignment="1">
      <alignment horizontal="center"/>
    </xf>
    <xf numFmtId="1" fontId="18" fillId="8" borderId="1" xfId="5" applyNumberFormat="1" applyFont="1" applyFill="1" applyBorder="1" applyAlignment="1">
      <alignment horizontal="right"/>
    </xf>
    <xf numFmtId="43" fontId="18" fillId="8" borderId="1" xfId="7" applyFont="1" applyFill="1" applyBorder="1" applyAlignment="1">
      <alignment horizontal="right" wrapText="1"/>
    </xf>
    <xf numFmtId="164" fontId="19" fillId="2" borderId="6" xfId="5" applyNumberFormat="1" applyFont="1" applyFill="1" applyBorder="1" applyAlignment="1" applyProtection="1">
      <alignment horizontal="center"/>
    </xf>
    <xf numFmtId="0" fontId="19" fillId="0" borderId="1" xfId="4" applyFont="1" applyBorder="1"/>
    <xf numFmtId="164" fontId="18" fillId="12" borderId="1" xfId="5" applyNumberFormat="1" applyFont="1" applyFill="1" applyBorder="1" applyAlignment="1" applyProtection="1">
      <alignment horizontal="right"/>
    </xf>
    <xf numFmtId="0" fontId="22" fillId="0" borderId="1" xfId="4" applyFont="1" applyBorder="1" applyAlignment="1">
      <alignment horizontal="center"/>
    </xf>
    <xf numFmtId="2" fontId="23" fillId="8" borderId="1" xfId="3" applyNumberFormat="1" applyFont="1" applyFill="1" applyBorder="1" applyAlignment="1">
      <alignment horizontal="center"/>
    </xf>
    <xf numFmtId="1" fontId="19" fillId="8" borderId="2" xfId="3" applyNumberFormat="1" applyFont="1" applyFill="1" applyBorder="1" applyAlignment="1">
      <alignment horizontal="center"/>
    </xf>
    <xf numFmtId="1" fontId="23" fillId="8" borderId="1" xfId="5" applyNumberFormat="1" applyFont="1" applyFill="1" applyBorder="1" applyAlignment="1">
      <alignment horizontal="center" vertical="center"/>
    </xf>
    <xf numFmtId="2" fontId="18" fillId="8" borderId="1" xfId="9" applyNumberFormat="1" applyFont="1" applyFill="1" applyBorder="1" applyAlignment="1">
      <alignment horizontal="right"/>
    </xf>
    <xf numFmtId="1" fontId="23" fillId="0" borderId="1" xfId="4" applyNumberFormat="1" applyFont="1" applyBorder="1" applyAlignment="1">
      <alignment horizontal="center"/>
    </xf>
    <xf numFmtId="1" fontId="23" fillId="8" borderId="1" xfId="3" applyNumberFormat="1" applyFont="1" applyFill="1" applyBorder="1" applyAlignment="1">
      <alignment horizontal="center" vertical="center"/>
    </xf>
    <xf numFmtId="0" fontId="20" fillId="10" borderId="1" xfId="3" applyFont="1" applyFill="1" applyBorder="1" applyAlignment="1"/>
    <xf numFmtId="0" fontId="20" fillId="10" borderId="2" xfId="3" applyFont="1" applyFill="1" applyBorder="1" applyAlignment="1"/>
    <xf numFmtId="0" fontId="20" fillId="10" borderId="3" xfId="3" applyFont="1" applyFill="1" applyBorder="1" applyAlignment="1"/>
    <xf numFmtId="0" fontId="19" fillId="10" borderId="3" xfId="3" applyFont="1" applyFill="1" applyBorder="1" applyAlignment="1"/>
    <xf numFmtId="1" fontId="19" fillId="10" borderId="1" xfId="3" applyNumberFormat="1" applyFont="1" applyFill="1" applyBorder="1" applyAlignment="1">
      <alignment horizontal="center"/>
    </xf>
    <xf numFmtId="164" fontId="18" fillId="10" borderId="1" xfId="5" applyNumberFormat="1" applyFont="1" applyFill="1" applyBorder="1" applyAlignment="1" applyProtection="1">
      <alignment horizontal="center" vertical="top"/>
    </xf>
    <xf numFmtId="1" fontId="19" fillId="10" borderId="2" xfId="5" applyNumberFormat="1" applyFont="1" applyFill="1" applyBorder="1" applyAlignment="1" applyProtection="1">
      <alignment horizontal="center"/>
    </xf>
    <xf numFmtId="164" fontId="18" fillId="8" borderId="1" xfId="5" applyNumberFormat="1" applyFont="1" applyFill="1" applyBorder="1" applyAlignment="1" applyProtection="1">
      <alignment horizontal="center" vertical="top"/>
    </xf>
    <xf numFmtId="0" fontId="20" fillId="10" borderId="1" xfId="4" applyFont="1" applyFill="1" applyBorder="1"/>
    <xf numFmtId="0" fontId="19" fillId="10" borderId="1" xfId="4" applyFont="1" applyFill="1" applyBorder="1"/>
    <xf numFmtId="0" fontId="5" fillId="10" borderId="1" xfId="4" applyFont="1" applyFill="1" applyBorder="1" applyAlignment="1">
      <alignment horizontal="center"/>
    </xf>
    <xf numFmtId="1" fontId="19" fillId="10" borderId="1" xfId="5" applyNumberFormat="1" applyFont="1" applyFill="1" applyBorder="1" applyAlignment="1">
      <alignment horizontal="center" vertical="center"/>
    </xf>
    <xf numFmtId="0" fontId="5" fillId="0" borderId="1" xfId="4" applyFont="1" applyBorder="1" applyAlignment="1">
      <alignment horizontal="center" wrapText="1"/>
    </xf>
    <xf numFmtId="164" fontId="19" fillId="2" borderId="0" xfId="5" applyNumberFormat="1" applyFont="1" applyFill="1" applyBorder="1" applyAlignment="1" applyProtection="1">
      <alignment horizontal="center"/>
    </xf>
    <xf numFmtId="2" fontId="24" fillId="8" borderId="1" xfId="3" applyNumberFormat="1" applyFont="1" applyFill="1" applyBorder="1" applyAlignment="1">
      <alignment horizontal="right"/>
    </xf>
    <xf numFmtId="0" fontId="25" fillId="13" borderId="1" xfId="4" applyFont="1" applyFill="1" applyBorder="1"/>
    <xf numFmtId="0" fontId="26" fillId="0" borderId="0" xfId="0" applyFont="1"/>
    <xf numFmtId="10" fontId="18" fillId="9" borderId="1" xfId="3" applyNumberFormat="1" applyFont="1" applyFill="1" applyBorder="1" applyAlignment="1">
      <alignment horizontal="center"/>
    </xf>
    <xf numFmtId="0" fontId="27" fillId="2" borderId="6" xfId="3" applyFont="1" applyFill="1" applyBorder="1" applyAlignment="1">
      <alignment horizontal="center" vertical="center"/>
    </xf>
    <xf numFmtId="0" fontId="26" fillId="0" borderId="0" xfId="0" applyFont="1" applyBorder="1"/>
    <xf numFmtId="164" fontId="27" fillId="2" borderId="6" xfId="3" applyNumberFormat="1" applyFont="1" applyFill="1" applyBorder="1" applyAlignment="1">
      <alignment horizontal="center"/>
    </xf>
    <xf numFmtId="2" fontId="22" fillId="8" borderId="1" xfId="3" applyNumberFormat="1" applyFont="1" applyFill="1" applyBorder="1" applyAlignment="1">
      <alignment horizontal="center"/>
    </xf>
    <xf numFmtId="0" fontId="22" fillId="8" borderId="1" xfId="3" applyFont="1" applyFill="1" applyBorder="1" applyAlignment="1">
      <alignment horizontal="center"/>
    </xf>
    <xf numFmtId="0" fontId="22" fillId="8" borderId="1" xfId="3" applyFont="1" applyFill="1" applyBorder="1" applyAlignment="1">
      <alignment horizontal="center" vertical="center"/>
    </xf>
    <xf numFmtId="1" fontId="29" fillId="11" borderId="1" xfId="3" applyNumberFormat="1" applyFont="1" applyFill="1" applyBorder="1" applyAlignment="1">
      <alignment horizontal="center"/>
    </xf>
    <xf numFmtId="1" fontId="25" fillId="11" borderId="2" xfId="3" applyNumberFormat="1" applyFont="1" applyFill="1" applyBorder="1" applyAlignment="1">
      <alignment horizontal="center"/>
    </xf>
    <xf numFmtId="1" fontId="29" fillId="8" borderId="1" xfId="5" applyNumberFormat="1" applyFont="1" applyFill="1" applyBorder="1" applyAlignment="1">
      <alignment horizontal="center" vertical="center"/>
    </xf>
    <xf numFmtId="164" fontId="22" fillId="8" borderId="1" xfId="5" applyNumberFormat="1" applyFont="1" applyFill="1" applyBorder="1" applyAlignment="1">
      <alignment horizontal="center" vertical="center"/>
    </xf>
    <xf numFmtId="0" fontId="29" fillId="11" borderId="1" xfId="3" applyFont="1" applyFill="1" applyBorder="1" applyAlignment="1">
      <alignment horizontal="center" vertical="center"/>
    </xf>
    <xf numFmtId="1" fontId="18" fillId="12" borderId="1" xfId="5" applyNumberFormat="1" applyFont="1" applyFill="1" applyBorder="1" applyAlignment="1" applyProtection="1">
      <alignment horizontal="center"/>
    </xf>
    <xf numFmtId="0" fontId="29" fillId="11" borderId="1" xfId="3" applyFont="1" applyFill="1" applyBorder="1" applyAlignment="1">
      <alignment horizontal="center"/>
    </xf>
    <xf numFmtId="1" fontId="29" fillId="8" borderId="1" xfId="3" applyNumberFormat="1" applyFont="1" applyFill="1" applyBorder="1" applyAlignment="1">
      <alignment horizontal="center"/>
    </xf>
    <xf numFmtId="165" fontId="29" fillId="8" borderId="1" xfId="6" applyNumberFormat="1" applyFont="1" applyFill="1" applyBorder="1" applyAlignment="1">
      <alignment horizontal="center"/>
    </xf>
    <xf numFmtId="164" fontId="29" fillId="8" borderId="1" xfId="3" applyNumberFormat="1" applyFont="1" applyFill="1" applyBorder="1" applyAlignment="1">
      <alignment horizontal="center"/>
    </xf>
    <xf numFmtId="2" fontId="29" fillId="8" borderId="1" xfId="3" applyNumberFormat="1" applyFont="1" applyFill="1" applyBorder="1" applyAlignment="1">
      <alignment horizontal="center"/>
    </xf>
    <xf numFmtId="0" fontId="19" fillId="8" borderId="7" xfId="3" applyFont="1" applyFill="1" applyBorder="1" applyAlignment="1">
      <alignment horizontal="center"/>
    </xf>
    <xf numFmtId="0" fontId="5" fillId="0" borderId="7" xfId="4" applyFont="1" applyBorder="1" applyAlignment="1">
      <alignment horizontal="center"/>
    </xf>
    <xf numFmtId="1" fontId="29" fillId="8" borderId="7" xfId="5" applyNumberFormat="1" applyFont="1" applyFill="1" applyBorder="1" applyAlignment="1">
      <alignment horizontal="center" vertical="center"/>
    </xf>
    <xf numFmtId="1" fontId="19" fillId="8" borderId="7" xfId="5" applyNumberFormat="1" applyFont="1" applyFill="1" applyBorder="1" applyAlignment="1" applyProtection="1">
      <alignment horizontal="center"/>
    </xf>
    <xf numFmtId="0" fontId="19" fillId="8" borderId="8" xfId="3" applyFont="1" applyFill="1" applyBorder="1" applyAlignment="1">
      <alignment horizontal="center"/>
    </xf>
    <xf numFmtId="0" fontId="18" fillId="0" borderId="8" xfId="4" applyFont="1" applyBorder="1" applyAlignment="1">
      <alignment horizontal="center"/>
    </xf>
    <xf numFmtId="1" fontId="19" fillId="8" borderId="8" xfId="5" applyNumberFormat="1" applyFont="1" applyFill="1" applyBorder="1" applyAlignment="1">
      <alignment horizontal="center" vertical="center"/>
    </xf>
    <xf numFmtId="43" fontId="18" fillId="8" borderId="8" xfId="7" applyFont="1" applyFill="1" applyBorder="1" applyAlignment="1">
      <alignment horizontal="right" wrapText="1"/>
    </xf>
    <xf numFmtId="1" fontId="19" fillId="8" borderId="12" xfId="5" applyNumberFormat="1" applyFont="1" applyFill="1" applyBorder="1" applyAlignment="1" applyProtection="1">
      <alignment horizontal="center"/>
    </xf>
    <xf numFmtId="1" fontId="22" fillId="8" borderId="1" xfId="5" applyNumberFormat="1" applyFont="1" applyFill="1" applyBorder="1" applyAlignment="1">
      <alignment horizontal="center" vertical="center"/>
    </xf>
    <xf numFmtId="0" fontId="24" fillId="11" borderId="1" xfId="3" applyFont="1" applyFill="1" applyBorder="1" applyAlignment="1">
      <alignment horizontal="center" vertical="center"/>
    </xf>
    <xf numFmtId="44" fontId="23" fillId="8" borderId="1" xfId="8" applyFont="1" applyFill="1" applyBorder="1" applyAlignment="1">
      <alignment horizontal="center"/>
    </xf>
    <xf numFmtId="1" fontId="24" fillId="8" borderId="1" xfId="3" applyNumberFormat="1" applyFont="1" applyFill="1" applyBorder="1" applyAlignment="1">
      <alignment horizontal="center"/>
    </xf>
    <xf numFmtId="0" fontId="23" fillId="8" borderId="1" xfId="3" applyFont="1" applyFill="1" applyBorder="1" applyAlignment="1">
      <alignment horizontal="center"/>
    </xf>
    <xf numFmtId="168" fontId="29" fillId="8" borderId="1" xfId="5" applyNumberFormat="1" applyFont="1" applyFill="1" applyBorder="1" applyAlignment="1" applyProtection="1">
      <alignment vertical="center"/>
    </xf>
    <xf numFmtId="164" fontId="24" fillId="8" borderId="1" xfId="5" applyNumberFormat="1" applyFont="1" applyFill="1" applyBorder="1" applyAlignment="1" applyProtection="1">
      <alignment horizontal="center"/>
    </xf>
    <xf numFmtId="0" fontId="22" fillId="2" borderId="1" xfId="3" applyFont="1" applyFill="1" applyBorder="1" applyAlignment="1">
      <alignment horizontal="center"/>
    </xf>
    <xf numFmtId="169" fontId="22" fillId="8" borderId="1" xfId="5" applyNumberFormat="1" applyFont="1" applyFill="1" applyBorder="1" applyAlignment="1" applyProtection="1">
      <alignment vertical="center"/>
    </xf>
    <xf numFmtId="1" fontId="30" fillId="2" borderId="1" xfId="3" applyNumberFormat="1" applyFont="1" applyFill="1" applyBorder="1" applyAlignment="1">
      <alignment horizontal="center" vertical="top"/>
    </xf>
    <xf numFmtId="0" fontId="18" fillId="10" borderId="1" xfId="3" applyFont="1" applyFill="1" applyBorder="1" applyAlignment="1"/>
    <xf numFmtId="0" fontId="32" fillId="0" borderId="0" xfId="4" applyFont="1"/>
    <xf numFmtId="0" fontId="24" fillId="13" borderId="1" xfId="0" applyFont="1" applyFill="1" applyBorder="1"/>
    <xf numFmtId="1" fontId="26" fillId="0" borderId="0" xfId="0" applyNumberFormat="1" applyFont="1" applyAlignment="1">
      <alignment horizontal="center"/>
    </xf>
    <xf numFmtId="1" fontId="26" fillId="0" borderId="0" xfId="0" applyNumberFormat="1" applyFont="1"/>
    <xf numFmtId="1" fontId="19" fillId="8" borderId="1" xfId="5" applyNumberFormat="1" applyFont="1" applyFill="1" applyBorder="1" applyAlignment="1" applyProtection="1">
      <alignment horizontal="center"/>
    </xf>
    <xf numFmtId="0" fontId="18" fillId="2" borderId="1" xfId="3" applyNumberFormat="1" applyFont="1" applyFill="1" applyBorder="1" applyAlignment="1">
      <alignment horizontal="center"/>
    </xf>
    <xf numFmtId="2" fontId="18" fillId="8" borderId="7" xfId="3" applyNumberFormat="1" applyFont="1" applyFill="1" applyBorder="1" applyAlignment="1">
      <alignment horizontal="center"/>
    </xf>
    <xf numFmtId="1" fontId="19" fillId="8" borderId="7" xfId="3" applyNumberFormat="1" applyFont="1" applyFill="1" applyBorder="1" applyAlignment="1">
      <alignment horizontal="center"/>
    </xf>
    <xf numFmtId="2" fontId="18" fillId="8" borderId="8" xfId="3" applyNumberFormat="1" applyFont="1" applyFill="1" applyBorder="1" applyAlignment="1">
      <alignment horizontal="center"/>
    </xf>
    <xf numFmtId="1" fontId="19" fillId="8" borderId="8" xfId="3" applyNumberFormat="1" applyFont="1" applyFill="1" applyBorder="1" applyAlignment="1">
      <alignment horizontal="center"/>
    </xf>
    <xf numFmtId="2" fontId="18" fillId="8" borderId="1" xfId="3" applyNumberFormat="1" applyFont="1" applyFill="1" applyBorder="1" applyAlignment="1">
      <alignment horizontal="center" vertical="center"/>
    </xf>
    <xf numFmtId="0" fontId="23" fillId="2" borderId="2" xfId="3" applyFont="1" applyFill="1" applyBorder="1" applyAlignment="1">
      <alignment horizontal="center"/>
    </xf>
    <xf numFmtId="0" fontId="23" fillId="2" borderId="3" xfId="3" applyFont="1" applyFill="1" applyBorder="1" applyAlignment="1">
      <alignment horizontal="center"/>
    </xf>
    <xf numFmtId="0" fontId="23" fillId="2" borderId="4" xfId="3" applyFont="1" applyFill="1" applyBorder="1" applyAlignment="1">
      <alignment horizontal="center"/>
    </xf>
    <xf numFmtId="0" fontId="23" fillId="13" borderId="2" xfId="3" applyFont="1" applyFill="1" applyBorder="1" applyAlignment="1">
      <alignment horizontal="center"/>
    </xf>
    <xf numFmtId="0" fontId="23" fillId="13" borderId="3" xfId="3" applyFont="1" applyFill="1" applyBorder="1" applyAlignment="1">
      <alignment horizontal="center"/>
    </xf>
    <xf numFmtId="0" fontId="23" fillId="13" borderId="4" xfId="3" applyFont="1" applyFill="1" applyBorder="1" applyAlignment="1">
      <alignment horizontal="center"/>
    </xf>
    <xf numFmtId="0" fontId="19" fillId="13" borderId="2" xfId="3" applyFont="1" applyFill="1" applyBorder="1" applyAlignment="1">
      <alignment horizontal="center" vertical="center"/>
    </xf>
    <xf numFmtId="0" fontId="19" fillId="13" borderId="3" xfId="3" applyFont="1" applyFill="1" applyBorder="1" applyAlignment="1">
      <alignment horizontal="center" vertical="center"/>
    </xf>
    <xf numFmtId="0" fontId="19" fillId="13" borderId="4" xfId="3" applyFont="1" applyFill="1" applyBorder="1" applyAlignment="1">
      <alignment horizontal="center" vertical="center"/>
    </xf>
    <xf numFmtId="0" fontId="19" fillId="10" borderId="1" xfId="3" applyFont="1" applyFill="1" applyBorder="1" applyAlignment="1">
      <alignment horizontal="center" vertical="center"/>
    </xf>
    <xf numFmtId="0" fontId="19" fillId="10" borderId="1" xfId="3" applyFont="1" applyFill="1" applyBorder="1" applyAlignment="1">
      <alignment horizontal="center"/>
    </xf>
    <xf numFmtId="0" fontId="19" fillId="8" borderId="3" xfId="3" applyFont="1" applyFill="1" applyBorder="1" applyAlignment="1">
      <alignment horizontal="left" vertical="justify"/>
    </xf>
    <xf numFmtId="0" fontId="19" fillId="8" borderId="4" xfId="3" applyFont="1" applyFill="1" applyBorder="1" applyAlignment="1">
      <alignment horizontal="left" vertical="justify"/>
    </xf>
    <xf numFmtId="0" fontId="19" fillId="10" borderId="2" xfId="3" applyFont="1" applyFill="1" applyBorder="1" applyAlignment="1">
      <alignment horizontal="center"/>
    </xf>
    <xf numFmtId="0" fontId="19" fillId="10" borderId="3" xfId="3" applyFont="1" applyFill="1" applyBorder="1" applyAlignment="1">
      <alignment horizontal="center"/>
    </xf>
    <xf numFmtId="0" fontId="19" fillId="10" borderId="4" xfId="3" applyFont="1" applyFill="1" applyBorder="1" applyAlignment="1">
      <alignment horizontal="center"/>
    </xf>
    <xf numFmtId="0" fontId="19" fillId="13" borderId="2" xfId="3" applyFont="1" applyFill="1" applyBorder="1" applyAlignment="1">
      <alignment horizontal="center"/>
    </xf>
    <xf numFmtId="0" fontId="19" fillId="13" borderId="3" xfId="3" applyFont="1" applyFill="1" applyBorder="1" applyAlignment="1">
      <alignment horizontal="center"/>
    </xf>
    <xf numFmtId="0" fontId="19" fillId="13" borderId="4" xfId="3" applyFont="1" applyFill="1" applyBorder="1" applyAlignment="1">
      <alignment horizontal="center"/>
    </xf>
    <xf numFmtId="0" fontId="19" fillId="8" borderId="9" xfId="3" applyFont="1" applyFill="1" applyBorder="1" applyAlignment="1">
      <alignment horizontal="left"/>
    </xf>
    <xf numFmtId="0" fontId="19" fillId="8" borderId="10" xfId="3" applyFont="1" applyFill="1" applyBorder="1" applyAlignment="1">
      <alignment horizontal="left"/>
    </xf>
    <xf numFmtId="0" fontId="19" fillId="8" borderId="11" xfId="3" applyFont="1" applyFill="1" applyBorder="1" applyAlignment="1">
      <alignment horizontal="left"/>
    </xf>
    <xf numFmtId="0" fontId="19" fillId="8" borderId="12" xfId="3" applyFont="1" applyFill="1" applyBorder="1" applyAlignment="1">
      <alignment horizontal="left"/>
    </xf>
    <xf numFmtId="0" fontId="19" fillId="8" borderId="5" xfId="3" applyFont="1" applyFill="1" applyBorder="1" applyAlignment="1">
      <alignment horizontal="left"/>
    </xf>
    <xf numFmtId="0" fontId="19" fillId="8" borderId="13" xfId="3" applyFont="1" applyFill="1" applyBorder="1" applyAlignment="1">
      <alignment horizontal="left"/>
    </xf>
    <xf numFmtId="0" fontId="18" fillId="9" borderId="3" xfId="3" applyFont="1" applyFill="1" applyBorder="1" applyAlignment="1">
      <alignment horizontal="center"/>
    </xf>
    <xf numFmtId="0" fontId="19" fillId="8" borderId="1" xfId="3" applyFont="1" applyFill="1" applyBorder="1" applyAlignment="1">
      <alignment horizontal="left" vertical="center"/>
    </xf>
    <xf numFmtId="0" fontId="18" fillId="9" borderId="1" xfId="3" applyFont="1" applyFill="1" applyBorder="1" applyAlignment="1">
      <alignment horizontal="center" vertical="center"/>
    </xf>
    <xf numFmtId="0" fontId="19" fillId="8" borderId="2" xfId="3" applyFont="1" applyFill="1" applyBorder="1" applyAlignment="1">
      <alignment horizontal="left" vertical="center"/>
    </xf>
    <xf numFmtId="0" fontId="19" fillId="8" borderId="3" xfId="3" applyFont="1" applyFill="1" applyBorder="1" applyAlignment="1">
      <alignment horizontal="left" vertical="center"/>
    </xf>
    <xf numFmtId="0" fontId="19" fillId="8" borderId="4" xfId="3" applyFont="1" applyFill="1" applyBorder="1" applyAlignment="1">
      <alignment horizontal="left" vertical="center"/>
    </xf>
    <xf numFmtId="170" fontId="19" fillId="9" borderId="1" xfId="3" applyNumberFormat="1" applyFont="1" applyFill="1" applyBorder="1" applyAlignment="1">
      <alignment horizontal="center"/>
    </xf>
    <xf numFmtId="0" fontId="5" fillId="2" borderId="1" xfId="4" applyFont="1" applyFill="1" applyBorder="1" applyAlignment="1">
      <alignment horizontal="center"/>
    </xf>
    <xf numFmtId="0" fontId="19" fillId="8" borderId="1" xfId="3" applyFont="1" applyFill="1" applyBorder="1" applyAlignment="1">
      <alignment horizontal="left"/>
    </xf>
    <xf numFmtId="1" fontId="19" fillId="8" borderId="1" xfId="5" applyNumberFormat="1" applyFont="1" applyFill="1" applyBorder="1" applyAlignment="1" applyProtection="1">
      <alignment horizontal="center" vertical="center"/>
    </xf>
    <xf numFmtId="1" fontId="25" fillId="10" borderId="1" xfId="5" applyNumberFormat="1" applyFont="1" applyFill="1" applyBorder="1" applyAlignment="1" applyProtection="1">
      <alignment horizontal="center"/>
    </xf>
    <xf numFmtId="164" fontId="18" fillId="2" borderId="1" xfId="5" applyNumberFormat="1" applyFont="1" applyFill="1" applyBorder="1" applyAlignment="1" applyProtection="1">
      <alignment horizontal="center" vertical="top"/>
    </xf>
    <xf numFmtId="164" fontId="18" fillId="2" borderId="1" xfId="5" applyNumberFormat="1" applyFont="1" applyFill="1" applyBorder="1" applyAlignment="1" applyProtection="1">
      <alignment horizontal="center" vertical="center"/>
    </xf>
    <xf numFmtId="1" fontId="19" fillId="2" borderId="1" xfId="3" applyNumberFormat="1" applyFont="1" applyFill="1" applyBorder="1" applyAlignment="1">
      <alignment horizontal="center" vertical="center"/>
    </xf>
    <xf numFmtId="1" fontId="19" fillId="8" borderId="7" xfId="5" applyNumberFormat="1" applyFont="1" applyFill="1" applyBorder="1" applyAlignment="1">
      <alignment horizontal="center" vertical="center"/>
    </xf>
    <xf numFmtId="1" fontId="19" fillId="8" borderId="15" xfId="5" applyNumberFormat="1" applyFont="1" applyFill="1" applyBorder="1" applyAlignment="1" applyProtection="1">
      <alignment horizontal="center" vertical="center"/>
    </xf>
    <xf numFmtId="1" fontId="19" fillId="2" borderId="1" xfId="5" applyNumberFormat="1" applyFont="1" applyFill="1" applyBorder="1" applyAlignment="1">
      <alignment horizontal="center" vertical="center"/>
    </xf>
    <xf numFmtId="1" fontId="19" fillId="2" borderId="1" xfId="3" applyNumberFormat="1" applyFont="1" applyFill="1" applyBorder="1" applyAlignment="1">
      <alignment horizontal="center"/>
    </xf>
    <xf numFmtId="0" fontId="19" fillId="2" borderId="1" xfId="4" applyFont="1" applyFill="1" applyBorder="1" applyAlignment="1">
      <alignment horizontal="center"/>
    </xf>
    <xf numFmtId="0" fontId="19" fillId="2" borderId="1" xfId="3" applyFont="1" applyFill="1" applyBorder="1" applyAlignment="1">
      <alignment horizontal="center" vertical="center"/>
    </xf>
    <xf numFmtId="0" fontId="19" fillId="0" borderId="1" xfId="4" applyFont="1" applyBorder="1" applyAlignment="1">
      <alignment horizontal="center"/>
    </xf>
    <xf numFmtId="164" fontId="18" fillId="10" borderId="1" xfId="5" applyNumberFormat="1" applyFont="1" applyFill="1" applyBorder="1" applyAlignment="1" applyProtection="1">
      <alignment horizontal="center"/>
    </xf>
    <xf numFmtId="0" fontId="18" fillId="0" borderId="1" xfId="4" applyFont="1" applyBorder="1" applyAlignment="1">
      <alignment horizontal="center" vertical="center"/>
    </xf>
    <xf numFmtId="0" fontId="18" fillId="2" borderId="1" xfId="4" applyFont="1" applyFill="1" applyBorder="1" applyAlignment="1">
      <alignment horizontal="center"/>
    </xf>
    <xf numFmtId="1" fontId="0" fillId="0" borderId="0" xfId="0" applyNumberFormat="1"/>
    <xf numFmtId="0" fontId="19" fillId="9" borderId="1" xfId="3" applyFont="1" applyFill="1" applyBorder="1" applyAlignment="1">
      <alignment horizontal="right" vertical="center"/>
    </xf>
    <xf numFmtId="9" fontId="19" fillId="9" borderId="1" xfId="4" applyNumberFormat="1" applyFont="1" applyFill="1" applyBorder="1"/>
    <xf numFmtId="0" fontId="20" fillId="8" borderId="9" xfId="3" applyFont="1" applyFill="1" applyBorder="1" applyAlignment="1">
      <alignment horizontal="center" vertical="center"/>
    </xf>
    <xf numFmtId="0" fontId="20" fillId="8" borderId="10" xfId="3" applyFont="1" applyFill="1" applyBorder="1" applyAlignment="1">
      <alignment horizontal="center" vertical="center"/>
    </xf>
    <xf numFmtId="0" fontId="20" fillId="8" borderId="11" xfId="3" applyFont="1" applyFill="1" applyBorder="1" applyAlignment="1">
      <alignment horizontal="center" vertical="center"/>
    </xf>
    <xf numFmtId="0" fontId="19" fillId="8" borderId="7" xfId="3" applyFont="1" applyFill="1" applyBorder="1" applyAlignment="1">
      <alignment horizontal="center" vertical="center"/>
    </xf>
    <xf numFmtId="2" fontId="20" fillId="2" borderId="7" xfId="3" applyNumberFormat="1" applyFont="1" applyFill="1" applyBorder="1" applyAlignment="1">
      <alignment horizontal="center" vertical="center"/>
    </xf>
    <xf numFmtId="164" fontId="20" fillId="8" borderId="7" xfId="3" applyNumberFormat="1" applyFont="1" applyFill="1" applyBorder="1" applyAlignment="1">
      <alignment horizontal="center" wrapText="1" shrinkToFit="1"/>
    </xf>
    <xf numFmtId="2" fontId="28" fillId="8" borderId="7" xfId="3" applyNumberFormat="1" applyFont="1" applyFill="1" applyBorder="1" applyAlignment="1">
      <alignment horizontal="right" vertical="center"/>
    </xf>
    <xf numFmtId="1" fontId="28" fillId="8" borderId="7" xfId="3" applyNumberFormat="1" applyFont="1" applyFill="1" applyBorder="1" applyAlignment="1">
      <alignment horizontal="center" vertical="center"/>
    </xf>
    <xf numFmtId="0" fontId="19" fillId="2" borderId="2" xfId="3" applyFont="1" applyFill="1" applyBorder="1" applyAlignment="1">
      <alignment horizontal="left" vertical="center"/>
    </xf>
    <xf numFmtId="0" fontId="19" fillId="2" borderId="3" xfId="3" applyFont="1" applyFill="1" applyBorder="1" applyAlignment="1">
      <alignment horizontal="left" vertical="center"/>
    </xf>
    <xf numFmtId="0" fontId="19" fillId="2" borderId="4" xfId="3" applyFont="1" applyFill="1" applyBorder="1" applyAlignment="1">
      <alignment horizontal="left" vertical="center"/>
    </xf>
    <xf numFmtId="0" fontId="19" fillId="2" borderId="1" xfId="3" applyFont="1" applyFill="1" applyBorder="1" applyAlignment="1">
      <alignment horizontal="center"/>
    </xf>
    <xf numFmtId="2" fontId="18" fillId="2" borderId="8" xfId="3" applyNumberFormat="1" applyFont="1" applyFill="1" applyBorder="1" applyAlignment="1">
      <alignment horizontal="center"/>
    </xf>
    <xf numFmtId="1" fontId="19" fillId="2" borderId="2" xfId="5" applyNumberFormat="1" applyFont="1" applyFill="1" applyBorder="1" applyAlignment="1" applyProtection="1">
      <alignment horizontal="center"/>
    </xf>
    <xf numFmtId="0" fontId="19" fillId="10" borderId="3" xfId="3" applyFont="1" applyFill="1" applyBorder="1" applyAlignment="1">
      <alignment vertical="center"/>
    </xf>
    <xf numFmtId="0" fontId="19" fillId="10" borderId="4" xfId="3" applyFont="1" applyFill="1" applyBorder="1" applyAlignment="1">
      <alignment vertical="center"/>
    </xf>
    <xf numFmtId="0" fontId="4" fillId="0" borderId="1" xfId="1" applyFont="1" applyBorder="1" applyAlignment="1">
      <alignment vertical="center" wrapText="1"/>
    </xf>
    <xf numFmtId="0" fontId="8" fillId="14" borderId="1" xfId="1" applyFont="1" applyFill="1" applyBorder="1" applyAlignment="1">
      <alignment horizontal="center" vertical="center" wrapText="1"/>
    </xf>
    <xf numFmtId="0" fontId="13" fillId="14" borderId="1" xfId="1" applyFont="1" applyFill="1" applyBorder="1" applyAlignment="1">
      <alignment vertical="top" wrapText="1"/>
    </xf>
    <xf numFmtId="1" fontId="4" fillId="14" borderId="0" xfId="1" applyNumberFormat="1" applyFont="1" applyFill="1"/>
    <xf numFmtId="0" fontId="0" fillId="14" borderId="0" xfId="0" applyFill="1"/>
    <xf numFmtId="0" fontId="7" fillId="14" borderId="1" xfId="1" applyFont="1" applyFill="1" applyBorder="1" applyAlignment="1">
      <alignment horizontal="center" vertical="center" wrapText="1"/>
    </xf>
    <xf numFmtId="1" fontId="13" fillId="14" borderId="1" xfId="1" applyNumberFormat="1" applyFont="1" applyFill="1" applyBorder="1" applyAlignment="1">
      <alignment vertical="top" wrapText="1"/>
    </xf>
    <xf numFmtId="0" fontId="13" fillId="14" borderId="1" xfId="1" applyFont="1" applyFill="1" applyBorder="1" applyAlignment="1">
      <alignment horizontal="center"/>
    </xf>
    <xf numFmtId="164" fontId="13" fillId="14" borderId="1" xfId="1" applyNumberFormat="1" applyFont="1" applyFill="1" applyBorder="1" applyAlignment="1">
      <alignment horizontal="center"/>
    </xf>
    <xf numFmtId="2" fontId="13" fillId="14" borderId="1" xfId="1" applyNumberFormat="1" applyFont="1" applyFill="1" applyBorder="1" applyAlignment="1">
      <alignment vertical="top" wrapText="1"/>
    </xf>
    <xf numFmtId="1" fontId="13" fillId="14" borderId="1" xfId="1" applyNumberFormat="1" applyFont="1" applyFill="1" applyBorder="1" applyAlignment="1">
      <alignment horizontal="center" vertical="top" wrapText="1"/>
    </xf>
    <xf numFmtId="0" fontId="19" fillId="0" borderId="2" xfId="4" applyFont="1" applyBorder="1" applyAlignment="1">
      <alignment vertical="center"/>
    </xf>
    <xf numFmtId="0" fontId="19" fillId="0" borderId="3" xfId="4" applyFont="1" applyBorder="1" applyAlignment="1">
      <alignment vertical="center"/>
    </xf>
    <xf numFmtId="0" fontId="19" fillId="0" borderId="4" xfId="4" applyFont="1" applyBorder="1" applyAlignment="1">
      <alignment vertical="center"/>
    </xf>
    <xf numFmtId="0" fontId="19" fillId="8" borderId="12" xfId="3" applyFont="1" applyFill="1" applyBorder="1" applyAlignment="1">
      <alignment horizontal="left" vertical="center"/>
    </xf>
    <xf numFmtId="0" fontId="19" fillId="8" borderId="5" xfId="3" applyFont="1" applyFill="1" applyBorder="1" applyAlignment="1">
      <alignment horizontal="left" vertical="center"/>
    </xf>
    <xf numFmtId="0" fontId="19" fillId="8" borderId="13" xfId="3" applyFont="1" applyFill="1" applyBorder="1" applyAlignment="1">
      <alignment horizontal="left" vertical="center"/>
    </xf>
    <xf numFmtId="0" fontId="18" fillId="2" borderId="8" xfId="3" applyNumberFormat="1" applyFont="1" applyFill="1" applyBorder="1" applyAlignment="1">
      <alignment horizontal="center"/>
    </xf>
    <xf numFmtId="0" fontId="19" fillId="8" borderId="9" xfId="3" applyFont="1" applyFill="1" applyBorder="1" applyAlignment="1">
      <alignment horizontal="left" vertical="center"/>
    </xf>
    <xf numFmtId="0" fontId="19" fillId="8" borderId="10" xfId="3" applyFont="1" applyFill="1" applyBorder="1" applyAlignment="1">
      <alignment horizontal="left" vertical="center"/>
    </xf>
    <xf numFmtId="0" fontId="19" fillId="8" borderId="11" xfId="3" applyFont="1" applyFill="1" applyBorder="1" applyAlignment="1">
      <alignment horizontal="left" vertical="center"/>
    </xf>
    <xf numFmtId="0" fontId="18" fillId="2" borderId="7" xfId="3" applyNumberFormat="1" applyFont="1" applyFill="1" applyBorder="1" applyAlignment="1">
      <alignment horizontal="center"/>
    </xf>
    <xf numFmtId="1" fontId="19" fillId="2" borderId="8" xfId="3" applyNumberFormat="1" applyFont="1" applyFill="1" applyBorder="1" applyAlignment="1">
      <alignment horizontal="center"/>
    </xf>
    <xf numFmtId="2" fontId="18" fillId="2" borderId="8" xfId="3" applyNumberFormat="1" applyFont="1" applyFill="1" applyBorder="1" applyAlignment="1">
      <alignment horizontal="right"/>
    </xf>
    <xf numFmtId="9" fontId="13" fillId="2" borderId="1" xfId="1" applyNumberFormat="1" applyFont="1" applyFill="1" applyBorder="1" applyAlignment="1">
      <alignment vertical="center" wrapText="1"/>
    </xf>
    <xf numFmtId="0" fontId="9" fillId="0" borderId="2" xfId="1" applyFont="1" applyBorder="1" applyAlignment="1">
      <alignment horizontal="center" vertical="center" wrapText="1"/>
    </xf>
    <xf numFmtId="2" fontId="13" fillId="0" borderId="2" xfId="1" applyNumberFormat="1" applyFont="1" applyBorder="1" applyAlignment="1"/>
    <xf numFmtId="0" fontId="10" fillId="0" borderId="21" xfId="1" applyFont="1" applyFill="1" applyBorder="1" applyAlignment="1">
      <alignment vertical="top" wrapText="1"/>
    </xf>
    <xf numFmtId="0" fontId="10" fillId="0" borderId="15" xfId="1" applyFont="1" applyFill="1" applyBorder="1" applyAlignment="1">
      <alignment vertical="top" wrapText="1"/>
    </xf>
    <xf numFmtId="1" fontId="13" fillId="2" borderId="21" xfId="1" applyNumberFormat="1" applyFont="1" applyFill="1" applyBorder="1" applyAlignment="1">
      <alignment vertical="center" wrapText="1"/>
    </xf>
    <xf numFmtId="1" fontId="13" fillId="2" borderId="15" xfId="1" applyNumberFormat="1" applyFont="1" applyFill="1" applyBorder="1" applyAlignment="1">
      <alignment vertical="center" wrapText="1"/>
    </xf>
    <xf numFmtId="2" fontId="35" fillId="8" borderId="1" xfId="3" applyNumberFormat="1" applyFont="1" applyFill="1" applyBorder="1" applyAlignment="1">
      <alignment horizontal="center"/>
    </xf>
    <xf numFmtId="0" fontId="35" fillId="0" borderId="1" xfId="4" applyFont="1" applyBorder="1" applyAlignment="1">
      <alignment horizontal="center"/>
    </xf>
    <xf numFmtId="2" fontId="36" fillId="8" borderId="1" xfId="3" applyNumberFormat="1" applyFont="1" applyFill="1" applyBorder="1" applyAlignment="1">
      <alignment horizontal="center"/>
    </xf>
    <xf numFmtId="0" fontId="37" fillId="0" borderId="7" xfId="4" applyFont="1" applyBorder="1" applyAlignment="1">
      <alignment horizontal="center"/>
    </xf>
    <xf numFmtId="0" fontId="37" fillId="0" borderId="1" xfId="4" applyFont="1" applyBorder="1" applyAlignment="1">
      <alignment horizontal="center"/>
    </xf>
    <xf numFmtId="0" fontId="36" fillId="8" borderId="1" xfId="3" applyFont="1" applyFill="1" applyBorder="1" applyAlignment="1">
      <alignment horizontal="center"/>
    </xf>
    <xf numFmtId="0" fontId="36" fillId="8" borderId="1" xfId="3" applyFont="1" applyFill="1" applyBorder="1" applyAlignment="1">
      <alignment horizontal="center" vertical="center"/>
    </xf>
    <xf numFmtId="1" fontId="36" fillId="2" borderId="1" xfId="3" applyNumberFormat="1" applyFont="1" applyFill="1" applyBorder="1" applyAlignment="1">
      <alignment horizontal="center" vertical="center"/>
    </xf>
    <xf numFmtId="0" fontId="37" fillId="0" borderId="1" xfId="4" applyFont="1" applyBorder="1" applyAlignment="1">
      <alignment horizontal="center" wrapText="1"/>
    </xf>
    <xf numFmtId="0" fontId="37" fillId="2" borderId="1" xfId="4" applyFont="1" applyFill="1" applyBorder="1" applyAlignment="1">
      <alignment horizontal="center"/>
    </xf>
    <xf numFmtId="0" fontId="36" fillId="2" borderId="1" xfId="3" applyFont="1" applyFill="1" applyBorder="1" applyAlignment="1">
      <alignment horizontal="center" vertical="center"/>
    </xf>
    <xf numFmtId="0" fontId="36" fillId="2" borderId="1" xfId="3" applyFont="1" applyFill="1" applyBorder="1" applyAlignment="1">
      <alignment horizontal="center"/>
    </xf>
    <xf numFmtId="0" fontId="35" fillId="0" borderId="8" xfId="4" applyFont="1" applyBorder="1" applyAlignment="1">
      <alignment horizontal="center"/>
    </xf>
    <xf numFmtId="0" fontId="35" fillId="2" borderId="1" xfId="3" applyNumberFormat="1" applyFont="1" applyFill="1" applyBorder="1" applyAlignment="1">
      <alignment horizontal="center"/>
    </xf>
    <xf numFmtId="1" fontId="36" fillId="8" borderId="1" xfId="3" applyNumberFormat="1" applyFont="1" applyFill="1" applyBorder="1" applyAlignment="1">
      <alignment horizontal="center"/>
    </xf>
    <xf numFmtId="1" fontId="35" fillId="12" borderId="1" xfId="3" applyNumberFormat="1" applyFont="1" applyFill="1" applyBorder="1" applyAlignment="1">
      <alignment horizontal="center"/>
    </xf>
    <xf numFmtId="1" fontId="36" fillId="8" borderId="1" xfId="5" applyNumberFormat="1" applyFont="1" applyFill="1" applyBorder="1" applyAlignment="1">
      <alignment horizontal="center" vertical="center"/>
    </xf>
    <xf numFmtId="9" fontId="36" fillId="8" borderId="1" xfId="6" applyNumberFormat="1" applyFont="1" applyFill="1" applyBorder="1" applyAlignment="1">
      <alignment horizontal="center"/>
    </xf>
    <xf numFmtId="0" fontId="38" fillId="0" borderId="0" xfId="0" applyFont="1"/>
    <xf numFmtId="166" fontId="39" fillId="9" borderId="2" xfId="3" applyNumberFormat="1" applyFont="1" applyFill="1" applyBorder="1" applyAlignment="1">
      <alignment horizontal="left"/>
    </xf>
    <xf numFmtId="170" fontId="36" fillId="9" borderId="1" xfId="3" applyNumberFormat="1" applyFont="1" applyFill="1" applyBorder="1" applyAlignment="1">
      <alignment horizontal="center"/>
    </xf>
    <xf numFmtId="9" fontId="36" fillId="9" borderId="1" xfId="4" applyNumberFormat="1" applyFont="1" applyFill="1" applyBorder="1"/>
    <xf numFmtId="0" fontId="35" fillId="9" borderId="1" xfId="3" applyFont="1" applyFill="1" applyBorder="1" applyAlignment="1">
      <alignment horizontal="center" vertical="center"/>
    </xf>
    <xf numFmtId="1" fontId="35" fillId="9" borderId="1" xfId="3" applyNumberFormat="1" applyFont="1" applyFill="1" applyBorder="1" applyAlignment="1">
      <alignment horizontal="center" vertical="center"/>
    </xf>
    <xf numFmtId="1" fontId="36" fillId="9" borderId="1" xfId="3" applyNumberFormat="1" applyFont="1" applyFill="1" applyBorder="1" applyAlignment="1">
      <alignment horizontal="center"/>
    </xf>
    <xf numFmtId="9" fontId="35" fillId="9" borderId="1" xfId="3" applyNumberFormat="1" applyFont="1" applyFill="1" applyBorder="1" applyAlignment="1">
      <alignment horizontal="left"/>
    </xf>
    <xf numFmtId="0" fontId="35" fillId="9" borderId="1" xfId="3" applyFont="1" applyFill="1" applyBorder="1" applyAlignment="1">
      <alignment horizontal="left"/>
    </xf>
    <xf numFmtId="10" fontId="35" fillId="9" borderId="1" xfId="3" applyNumberFormat="1" applyFont="1" applyFill="1" applyBorder="1" applyAlignment="1">
      <alignment horizontal="center"/>
    </xf>
    <xf numFmtId="1" fontId="35" fillId="9" borderId="1" xfId="3" applyNumberFormat="1" applyFont="1" applyFill="1" applyBorder="1" applyAlignment="1">
      <alignment horizontal="center"/>
    </xf>
    <xf numFmtId="0" fontId="38" fillId="0" borderId="0" xfId="0" applyFont="1" applyBorder="1"/>
    <xf numFmtId="0" fontId="36" fillId="9" borderId="1" xfId="3" applyFont="1" applyFill="1" applyBorder="1"/>
    <xf numFmtId="2" fontId="36" fillId="9" borderId="1" xfId="3" applyNumberFormat="1" applyFont="1" applyFill="1" applyBorder="1" applyAlignment="1">
      <alignment horizontal="center"/>
    </xf>
    <xf numFmtId="9" fontId="35" fillId="9" borderId="1" xfId="3" applyNumberFormat="1" applyFont="1" applyFill="1" applyBorder="1" applyAlignment="1">
      <alignment horizontal="center"/>
    </xf>
    <xf numFmtId="0" fontId="39" fillId="8" borderId="9" xfId="3" applyFont="1" applyFill="1" applyBorder="1" applyAlignment="1">
      <alignment horizontal="center" vertical="center"/>
    </xf>
    <xf numFmtId="0" fontId="39" fillId="8" borderId="10" xfId="3" applyFont="1" applyFill="1" applyBorder="1" applyAlignment="1">
      <alignment horizontal="center" vertical="center"/>
    </xf>
    <xf numFmtId="0" fontId="39" fillId="8" borderId="11" xfId="3" applyFont="1" applyFill="1" applyBorder="1" applyAlignment="1">
      <alignment horizontal="center" vertical="center"/>
    </xf>
    <xf numFmtId="0" fontId="36" fillId="8" borderId="7" xfId="3" applyFont="1" applyFill="1" applyBorder="1" applyAlignment="1">
      <alignment horizontal="center" vertical="center"/>
    </xf>
    <xf numFmtId="2" fontId="39" fillId="2" borderId="7" xfId="3" applyNumberFormat="1" applyFont="1" applyFill="1" applyBorder="1" applyAlignment="1">
      <alignment horizontal="center" vertical="center"/>
    </xf>
    <xf numFmtId="164" fontId="39" fillId="8" borderId="7" xfId="3" applyNumberFormat="1" applyFont="1" applyFill="1" applyBorder="1" applyAlignment="1">
      <alignment horizontal="center" wrapText="1" shrinkToFit="1"/>
    </xf>
    <xf numFmtId="0" fontId="36" fillId="8" borderId="9" xfId="3" applyFont="1" applyFill="1" applyBorder="1" applyAlignment="1">
      <alignment horizontal="left" vertical="center"/>
    </xf>
    <xf numFmtId="0" fontId="36" fillId="8" borderId="10" xfId="3" applyFont="1" applyFill="1" applyBorder="1" applyAlignment="1">
      <alignment horizontal="left" vertical="center"/>
    </xf>
    <xf numFmtId="0" fontId="36" fillId="8" borderId="11" xfId="3" applyFont="1" applyFill="1" applyBorder="1" applyAlignment="1">
      <alignment horizontal="left" vertical="center"/>
    </xf>
    <xf numFmtId="0" fontId="36" fillId="8" borderId="7" xfId="3" applyFont="1" applyFill="1" applyBorder="1" applyAlignment="1">
      <alignment horizontal="center"/>
    </xf>
    <xf numFmtId="2" fontId="35" fillId="8" borderId="7" xfId="3" applyNumberFormat="1" applyFont="1" applyFill="1" applyBorder="1" applyAlignment="1">
      <alignment horizontal="center"/>
    </xf>
    <xf numFmtId="1" fontId="36" fillId="2" borderId="7" xfId="5" applyNumberFormat="1" applyFont="1" applyFill="1" applyBorder="1" applyAlignment="1">
      <alignment horizontal="center" vertical="center"/>
    </xf>
    <xf numFmtId="1" fontId="36" fillId="8" borderId="2" xfId="5" applyNumberFormat="1" applyFont="1" applyFill="1" applyBorder="1" applyAlignment="1" applyProtection="1">
      <alignment horizontal="center"/>
    </xf>
    <xf numFmtId="0" fontId="36" fillId="8" borderId="12" xfId="3" applyFont="1" applyFill="1" applyBorder="1" applyAlignment="1">
      <alignment horizontal="left" vertical="center"/>
    </xf>
    <xf numFmtId="0" fontId="36" fillId="8" borderId="5" xfId="3" applyFont="1" applyFill="1" applyBorder="1" applyAlignment="1">
      <alignment horizontal="left" vertical="center"/>
    </xf>
    <xf numFmtId="0" fontId="36" fillId="8" borderId="13" xfId="3" applyFont="1" applyFill="1" applyBorder="1" applyAlignment="1">
      <alignment horizontal="left" vertical="center"/>
    </xf>
    <xf numFmtId="0" fontId="36" fillId="8" borderId="8" xfId="3" applyFont="1" applyFill="1" applyBorder="1" applyAlignment="1">
      <alignment horizontal="center"/>
    </xf>
    <xf numFmtId="2" fontId="35" fillId="8" borderId="8" xfId="3" applyNumberFormat="1" applyFont="1" applyFill="1" applyBorder="1" applyAlignment="1">
      <alignment horizontal="center"/>
    </xf>
    <xf numFmtId="1" fontId="36" fillId="8" borderId="8" xfId="5" applyNumberFormat="1" applyFont="1" applyFill="1" applyBorder="1" applyAlignment="1">
      <alignment horizontal="center" vertical="center"/>
    </xf>
    <xf numFmtId="167" fontId="36" fillId="8" borderId="2" xfId="3" applyNumberFormat="1" applyFont="1" applyFill="1" applyBorder="1" applyAlignment="1">
      <alignment vertical="center"/>
    </xf>
    <xf numFmtId="167" fontId="36" fillId="8" borderId="3" xfId="3" applyNumberFormat="1" applyFont="1" applyFill="1" applyBorder="1" applyAlignment="1">
      <alignment vertical="center"/>
    </xf>
    <xf numFmtId="167" fontId="36" fillId="8" borderId="4" xfId="3" applyNumberFormat="1" applyFont="1" applyFill="1" applyBorder="1" applyAlignment="1">
      <alignment vertical="center"/>
    </xf>
    <xf numFmtId="1" fontId="36" fillId="2" borderId="1" xfId="5" applyNumberFormat="1" applyFont="1" applyFill="1" applyBorder="1" applyAlignment="1">
      <alignment horizontal="center" vertical="center"/>
    </xf>
    <xf numFmtId="2" fontId="35" fillId="8" borderId="1" xfId="3" applyNumberFormat="1" applyFont="1" applyFill="1" applyBorder="1" applyAlignment="1">
      <alignment horizontal="right"/>
    </xf>
    <xf numFmtId="0" fontId="36" fillId="8" borderId="2" xfId="3" applyFont="1" applyFill="1" applyBorder="1" applyAlignment="1">
      <alignment horizontal="left" vertical="center"/>
    </xf>
    <xf numFmtId="0" fontId="36" fillId="8" borderId="3" xfId="3" applyFont="1" applyFill="1" applyBorder="1" applyAlignment="1">
      <alignment horizontal="left" vertical="center"/>
    </xf>
    <xf numFmtId="0" fontId="36" fillId="8" borderId="4" xfId="3" applyFont="1" applyFill="1" applyBorder="1" applyAlignment="1">
      <alignment horizontal="left" vertical="center"/>
    </xf>
    <xf numFmtId="0" fontId="36" fillId="8" borderId="9" xfId="3" applyFont="1" applyFill="1" applyBorder="1" applyAlignment="1">
      <alignment horizontal="left"/>
    </xf>
    <xf numFmtId="0" fontId="36" fillId="8" borderId="10" xfId="3" applyFont="1" applyFill="1" applyBorder="1" applyAlignment="1">
      <alignment horizontal="left"/>
    </xf>
    <xf numFmtId="0" fontId="36" fillId="8" borderId="11" xfId="3" applyFont="1" applyFill="1" applyBorder="1" applyAlignment="1">
      <alignment horizontal="left"/>
    </xf>
    <xf numFmtId="0" fontId="36" fillId="2" borderId="2" xfId="3" applyFont="1" applyFill="1" applyBorder="1" applyAlignment="1">
      <alignment horizontal="left" vertical="center"/>
    </xf>
    <xf numFmtId="0" fontId="36" fillId="2" borderId="3" xfId="3" applyFont="1" applyFill="1" applyBorder="1" applyAlignment="1">
      <alignment horizontal="left" vertical="center"/>
    </xf>
    <xf numFmtId="0" fontId="36" fillId="2" borderId="4" xfId="3" applyFont="1" applyFill="1" applyBorder="1" applyAlignment="1">
      <alignment horizontal="left" vertical="center"/>
    </xf>
    <xf numFmtId="0" fontId="35" fillId="2" borderId="1" xfId="4" applyFont="1" applyFill="1" applyBorder="1" applyAlignment="1">
      <alignment horizontal="center"/>
    </xf>
    <xf numFmtId="0" fontId="44" fillId="8" borderId="1" xfId="3" applyFont="1" applyFill="1" applyBorder="1" applyAlignment="1">
      <alignment horizontal="center"/>
    </xf>
    <xf numFmtId="164" fontId="44" fillId="8" borderId="1" xfId="5" applyNumberFormat="1" applyFont="1" applyFill="1" applyBorder="1" applyAlignment="1">
      <alignment horizontal="center" vertical="center"/>
    </xf>
    <xf numFmtId="0" fontId="44" fillId="0" borderId="1" xfId="4" applyFont="1" applyBorder="1" applyAlignment="1">
      <alignment horizontal="center"/>
    </xf>
    <xf numFmtId="0" fontId="46" fillId="2" borderId="2" xfId="3" applyFont="1" applyFill="1" applyBorder="1" applyAlignment="1">
      <alignment horizontal="center"/>
    </xf>
    <xf numFmtId="0" fontId="46" fillId="2" borderId="3" xfId="3" applyFont="1" applyFill="1" applyBorder="1" applyAlignment="1">
      <alignment horizontal="center"/>
    </xf>
    <xf numFmtId="0" fontId="46" fillId="2" borderId="4" xfId="3" applyFont="1" applyFill="1" applyBorder="1" applyAlignment="1">
      <alignment horizontal="center"/>
    </xf>
    <xf numFmtId="44" fontId="46" fillId="8" borderId="1" xfId="8" applyFont="1" applyFill="1" applyBorder="1" applyAlignment="1">
      <alignment horizontal="center"/>
    </xf>
    <xf numFmtId="2" fontId="46" fillId="8" borderId="1" xfId="3" applyNumberFormat="1" applyFont="1" applyFill="1" applyBorder="1" applyAlignment="1">
      <alignment horizontal="center"/>
    </xf>
    <xf numFmtId="164" fontId="42" fillId="8" borderId="1" xfId="3" applyNumberFormat="1" applyFont="1" applyFill="1" applyBorder="1" applyAlignment="1">
      <alignment horizontal="center"/>
    </xf>
    <xf numFmtId="0" fontId="46" fillId="8" borderId="1" xfId="3" applyFont="1" applyFill="1" applyBorder="1" applyAlignment="1">
      <alignment horizontal="center"/>
    </xf>
    <xf numFmtId="1" fontId="46" fillId="8" borderId="1" xfId="5" applyNumberFormat="1" applyFont="1" applyFill="1" applyBorder="1" applyAlignment="1">
      <alignment horizontal="center" vertical="center"/>
    </xf>
    <xf numFmtId="1" fontId="46" fillId="0" borderId="1" xfId="4" applyNumberFormat="1" applyFont="1" applyBorder="1" applyAlignment="1">
      <alignment horizontal="center"/>
    </xf>
    <xf numFmtId="1" fontId="46" fillId="8" borderId="1" xfId="3" applyNumberFormat="1" applyFont="1" applyFill="1" applyBorder="1" applyAlignment="1">
      <alignment horizontal="center" vertical="center"/>
    </xf>
    <xf numFmtId="0" fontId="44" fillId="2" borderId="1" xfId="3" applyFont="1" applyFill="1" applyBorder="1" applyAlignment="1">
      <alignment horizontal="center"/>
    </xf>
    <xf numFmtId="0" fontId="35" fillId="0" borderId="1" xfId="4" applyFont="1" applyBorder="1" applyAlignment="1">
      <alignment horizontal="center" vertical="center"/>
    </xf>
    <xf numFmtId="2" fontId="35" fillId="8" borderId="1" xfId="3" applyNumberFormat="1" applyFont="1" applyFill="1" applyBorder="1" applyAlignment="1">
      <alignment horizontal="center" vertical="center"/>
    </xf>
    <xf numFmtId="2" fontId="36" fillId="8" borderId="2" xfId="3" applyNumberFormat="1" applyFont="1" applyFill="1" applyBorder="1" applyAlignment="1">
      <alignment horizontal="left" vertical="center"/>
    </xf>
    <xf numFmtId="2" fontId="36" fillId="8" borderId="3" xfId="3" applyNumberFormat="1" applyFont="1" applyFill="1" applyBorder="1" applyAlignment="1">
      <alignment horizontal="left" vertical="center"/>
    </xf>
    <xf numFmtId="2" fontId="36" fillId="8" borderId="4" xfId="3" applyNumberFormat="1" applyFont="1" applyFill="1" applyBorder="1" applyAlignment="1">
      <alignment horizontal="left" vertical="center"/>
    </xf>
    <xf numFmtId="1" fontId="36" fillId="8" borderId="1" xfId="3" applyNumberFormat="1" applyFont="1" applyFill="1" applyBorder="1" applyAlignment="1">
      <alignment horizontal="center" vertical="center"/>
    </xf>
    <xf numFmtId="0" fontId="36" fillId="8" borderId="3" xfId="3" applyFont="1" applyFill="1" applyBorder="1" applyAlignment="1">
      <alignment horizontal="left" vertical="justify"/>
    </xf>
    <xf numFmtId="0" fontId="36" fillId="8" borderId="4" xfId="3" applyFont="1" applyFill="1" applyBorder="1" applyAlignment="1">
      <alignment horizontal="left" vertical="justify"/>
    </xf>
    <xf numFmtId="0" fontId="36" fillId="8" borderId="1" xfId="3" applyFont="1" applyFill="1" applyBorder="1" applyAlignment="1">
      <alignment horizontal="left" vertical="center"/>
    </xf>
    <xf numFmtId="0" fontId="36" fillId="0" borderId="2" xfId="4" applyFont="1" applyBorder="1" applyAlignment="1">
      <alignment vertical="center"/>
    </xf>
    <xf numFmtId="0" fontId="36" fillId="0" borderId="3" xfId="4" applyFont="1" applyBorder="1" applyAlignment="1">
      <alignment vertical="center"/>
    </xf>
    <xf numFmtId="0" fontId="36" fillId="0" borderId="4" xfId="4" applyFont="1" applyBorder="1" applyAlignment="1">
      <alignment vertical="center"/>
    </xf>
    <xf numFmtId="0" fontId="35" fillId="2" borderId="1" xfId="3" applyFont="1" applyFill="1" applyBorder="1" applyAlignment="1">
      <alignment horizontal="center"/>
    </xf>
    <xf numFmtId="0" fontId="36" fillId="2" borderId="1" xfId="4" applyFont="1" applyFill="1" applyBorder="1" applyAlignment="1">
      <alignment horizontal="center"/>
    </xf>
    <xf numFmtId="0" fontId="36" fillId="0" borderId="1" xfId="4" applyFont="1" applyBorder="1" applyAlignment="1">
      <alignment horizontal="center"/>
    </xf>
    <xf numFmtId="0" fontId="36" fillId="0" borderId="1" xfId="4" applyFont="1" applyBorder="1"/>
    <xf numFmtId="0" fontId="36" fillId="8" borderId="12" xfId="3" applyFont="1" applyFill="1" applyBorder="1" applyAlignment="1">
      <alignment horizontal="left"/>
    </xf>
    <xf numFmtId="0" fontId="36" fillId="8" borderId="5" xfId="3" applyFont="1" applyFill="1" applyBorder="1" applyAlignment="1">
      <alignment horizontal="left"/>
    </xf>
    <xf numFmtId="0" fontId="36" fillId="8" borderId="13" xfId="3" applyFont="1" applyFill="1" applyBorder="1" applyAlignment="1">
      <alignment horizontal="left"/>
    </xf>
    <xf numFmtId="43" fontId="35" fillId="8" borderId="1" xfId="7" applyFont="1" applyFill="1" applyBorder="1" applyAlignment="1">
      <alignment horizontal="right" wrapText="1"/>
    </xf>
    <xf numFmtId="164" fontId="36" fillId="2" borderId="0" xfId="5" applyNumberFormat="1" applyFont="1" applyFill="1" applyBorder="1" applyAlignment="1" applyProtection="1">
      <alignment horizontal="center"/>
    </xf>
    <xf numFmtId="1" fontId="38" fillId="0" borderId="0" xfId="0" applyNumberFormat="1" applyFont="1"/>
    <xf numFmtId="168" fontId="42" fillId="8" borderId="1" xfId="5" applyNumberFormat="1" applyFont="1" applyFill="1" applyBorder="1" applyAlignment="1" applyProtection="1">
      <alignment horizontal="center" vertical="center"/>
    </xf>
    <xf numFmtId="169" fontId="44" fillId="8" borderId="1" xfId="5" applyNumberFormat="1" applyFont="1" applyFill="1" applyBorder="1" applyAlignment="1" applyProtection="1">
      <alignment horizontal="center" vertical="center"/>
    </xf>
    <xf numFmtId="1" fontId="35" fillId="8" borderId="1" xfId="3" applyNumberFormat="1" applyFont="1" applyFill="1" applyBorder="1" applyAlignment="1">
      <alignment horizontal="center"/>
    </xf>
    <xf numFmtId="2" fontId="18" fillId="2" borderId="1" xfId="3" applyNumberFormat="1" applyFont="1" applyFill="1" applyBorder="1" applyAlignment="1">
      <alignment horizontal="right"/>
    </xf>
    <xf numFmtId="1" fontId="13" fillId="2" borderId="3" xfId="1" applyNumberFormat="1" applyFont="1" applyFill="1" applyBorder="1" applyAlignment="1">
      <alignment vertical="center" wrapText="1"/>
    </xf>
    <xf numFmtId="0" fontId="40" fillId="2" borderId="0" xfId="3" applyFont="1" applyFill="1" applyBorder="1" applyAlignment="1">
      <alignment horizontal="center" vertical="center"/>
    </xf>
    <xf numFmtId="164" fontId="40" fillId="2" borderId="0" xfId="3" applyNumberFormat="1" applyFont="1" applyFill="1" applyBorder="1" applyAlignment="1">
      <alignment horizontal="center"/>
    </xf>
    <xf numFmtId="1" fontId="36" fillId="2" borderId="0" xfId="5" applyNumberFormat="1" applyFont="1" applyFill="1" applyBorder="1" applyAlignment="1" applyProtection="1">
      <alignment horizontal="center"/>
    </xf>
    <xf numFmtId="0" fontId="36" fillId="2" borderId="0" xfId="3" applyFont="1" applyFill="1" applyBorder="1" applyAlignment="1">
      <alignment horizontal="center"/>
    </xf>
    <xf numFmtId="2" fontId="18" fillId="12" borderId="8" xfId="3" applyNumberFormat="1" applyFont="1" applyFill="1" applyBorder="1" applyAlignment="1">
      <alignment horizontal="center"/>
    </xf>
    <xf numFmtId="0" fontId="48" fillId="0" borderId="0" xfId="0" applyFont="1"/>
    <xf numFmtId="0" fontId="48" fillId="0" borderId="0" xfId="0" applyFont="1" applyBorder="1"/>
    <xf numFmtId="0" fontId="50" fillId="0" borderId="0" xfId="0" applyFont="1" applyBorder="1"/>
    <xf numFmtId="0" fontId="50" fillId="0" borderId="0" xfId="0" applyFont="1"/>
    <xf numFmtId="164" fontId="49" fillId="2" borderId="0" xfId="5" applyNumberFormat="1" applyFont="1" applyFill="1" applyBorder="1" applyAlignment="1" applyProtection="1">
      <alignment horizontal="center"/>
    </xf>
    <xf numFmtId="0" fontId="52" fillId="0" borderId="0" xfId="4" applyFont="1"/>
    <xf numFmtId="1" fontId="48" fillId="0" borderId="0" xfId="0" applyNumberFormat="1" applyFont="1"/>
    <xf numFmtId="9" fontId="0" fillId="0" borderId="0" xfId="0" applyNumberFormat="1"/>
    <xf numFmtId="9" fontId="13" fillId="0" borderId="1" xfId="1" applyNumberFormat="1" applyFont="1" applyBorder="1" applyAlignment="1">
      <alignment vertical="center" wrapText="1"/>
    </xf>
    <xf numFmtId="0" fontId="36" fillId="0" borderId="2" xfId="4" applyFont="1" applyBorder="1"/>
    <xf numFmtId="0" fontId="35" fillId="9" borderId="1" xfId="3" applyFont="1" applyFill="1" applyBorder="1" applyAlignment="1"/>
    <xf numFmtId="0" fontId="36" fillId="9" borderId="1" xfId="3" applyFont="1" applyFill="1" applyBorder="1" applyAlignment="1">
      <alignment horizontal="center"/>
    </xf>
    <xf numFmtId="0" fontId="36" fillId="15" borderId="1" xfId="3" applyFont="1" applyFill="1" applyBorder="1" applyAlignment="1">
      <alignment horizontal="center" vertical="center"/>
    </xf>
    <xf numFmtId="0" fontId="42" fillId="15" borderId="1" xfId="3" applyFont="1" applyFill="1" applyBorder="1" applyAlignment="1">
      <alignment horizontal="center"/>
    </xf>
    <xf numFmtId="1" fontId="42" fillId="15" borderId="1" xfId="3" applyNumberFormat="1" applyFont="1" applyFill="1" applyBorder="1" applyAlignment="1">
      <alignment horizontal="center"/>
    </xf>
    <xf numFmtId="0" fontId="42" fillId="15" borderId="1" xfId="3" applyFont="1" applyFill="1" applyBorder="1" applyAlignment="1">
      <alignment horizontal="center" vertical="center"/>
    </xf>
    <xf numFmtId="0" fontId="39" fillId="15" borderId="1" xfId="3" applyFont="1" applyFill="1" applyBorder="1" applyAlignment="1"/>
    <xf numFmtId="0" fontId="39" fillId="15" borderId="2" xfId="3" applyFont="1" applyFill="1" applyBorder="1" applyAlignment="1"/>
    <xf numFmtId="0" fontId="39" fillId="15" borderId="3" xfId="3" applyFont="1" applyFill="1" applyBorder="1" applyAlignment="1"/>
    <xf numFmtId="0" fontId="36" fillId="15" borderId="3" xfId="3" applyFont="1" applyFill="1" applyBorder="1" applyAlignment="1"/>
    <xf numFmtId="0" fontId="36" fillId="15" borderId="4" xfId="3" applyFont="1" applyFill="1" applyBorder="1" applyAlignment="1">
      <alignment vertical="center"/>
    </xf>
    <xf numFmtId="0" fontId="35" fillId="15" borderId="1" xfId="3" applyFont="1" applyFill="1" applyBorder="1" applyAlignment="1"/>
    <xf numFmtId="0" fontId="36" fillId="15" borderId="3" xfId="3" applyFont="1" applyFill="1" applyBorder="1" applyAlignment="1">
      <alignment horizontal="center"/>
    </xf>
    <xf numFmtId="1" fontId="36" fillId="15" borderId="1" xfId="5" applyNumberFormat="1" applyFont="1" applyFill="1" applyBorder="1" applyAlignment="1">
      <alignment horizontal="center"/>
    </xf>
    <xf numFmtId="0" fontId="36" fillId="16" borderId="2" xfId="3" applyFont="1" applyFill="1" applyBorder="1" applyAlignment="1">
      <alignment horizontal="center"/>
    </xf>
    <xf numFmtId="0" fontId="36" fillId="16" borderId="3" xfId="3" applyFont="1" applyFill="1" applyBorder="1" applyAlignment="1">
      <alignment horizontal="center"/>
    </xf>
    <xf numFmtId="0" fontId="36" fillId="16" borderId="4" xfId="3" applyFont="1" applyFill="1" applyBorder="1" applyAlignment="1">
      <alignment horizontal="center"/>
    </xf>
    <xf numFmtId="0" fontId="36" fillId="16" borderId="2" xfId="3" applyFont="1" applyFill="1" applyBorder="1" applyAlignment="1">
      <alignment horizontal="center" vertical="center"/>
    </xf>
    <xf numFmtId="0" fontId="36" fillId="16" borderId="3" xfId="3" applyFont="1" applyFill="1" applyBorder="1" applyAlignment="1">
      <alignment horizontal="center" vertical="center"/>
    </xf>
    <xf numFmtId="0" fontId="36" fillId="16" borderId="4" xfId="3" applyFont="1" applyFill="1" applyBorder="1" applyAlignment="1">
      <alignment horizontal="center" vertical="center"/>
    </xf>
    <xf numFmtId="0" fontId="46" fillId="16" borderId="2" xfId="3" applyFont="1" applyFill="1" applyBorder="1" applyAlignment="1">
      <alignment horizontal="center"/>
    </xf>
    <xf numFmtId="0" fontId="46" fillId="16" borderId="3" xfId="3" applyFont="1" applyFill="1" applyBorder="1" applyAlignment="1">
      <alignment horizontal="center"/>
    </xf>
    <xf numFmtId="0" fontId="46" fillId="16" borderId="4" xfId="3" applyFont="1" applyFill="1" applyBorder="1" applyAlignment="1">
      <alignment horizontal="center"/>
    </xf>
    <xf numFmtId="0" fontId="43" fillId="16" borderId="1" xfId="4" applyFont="1" applyFill="1" applyBorder="1"/>
    <xf numFmtId="0" fontId="45" fillId="16" borderId="1" xfId="0" applyFont="1" applyFill="1" applyBorder="1"/>
    <xf numFmtId="1" fontId="42" fillId="2" borderId="1" xfId="3" applyNumberFormat="1" applyFont="1" applyFill="1" applyBorder="1" applyAlignment="1">
      <alignment horizontal="center"/>
    </xf>
    <xf numFmtId="2" fontId="35" fillId="8" borderId="1" xfId="9" applyNumberFormat="1" applyFont="1" applyFill="1" applyBorder="1" applyAlignment="1">
      <alignment horizontal="center"/>
    </xf>
    <xf numFmtId="0" fontId="36" fillId="15" borderId="8" xfId="3" applyFont="1" applyFill="1" applyBorder="1" applyAlignment="1">
      <alignment horizontal="center" vertical="center"/>
    </xf>
    <xf numFmtId="0" fontId="36" fillId="8" borderId="8" xfId="3" applyFont="1" applyFill="1" applyBorder="1" applyAlignment="1">
      <alignment horizontal="center" vertical="center"/>
    </xf>
    <xf numFmtId="2" fontId="18" fillId="8" borderId="24" xfId="3" applyNumberFormat="1" applyFont="1" applyFill="1" applyBorder="1" applyAlignment="1">
      <alignment horizontal="center"/>
    </xf>
    <xf numFmtId="0" fontId="36" fillId="2" borderId="8" xfId="3" applyFont="1" applyFill="1" applyBorder="1" applyAlignment="1">
      <alignment horizontal="center"/>
    </xf>
    <xf numFmtId="0" fontId="36" fillId="15" borderId="8" xfId="3" applyFont="1" applyFill="1" applyBorder="1" applyAlignment="1">
      <alignment horizontal="center"/>
    </xf>
    <xf numFmtId="2" fontId="18" fillId="8" borderId="25" xfId="3" applyNumberFormat="1" applyFont="1" applyFill="1" applyBorder="1" applyAlignment="1">
      <alignment horizontal="center"/>
    </xf>
    <xf numFmtId="0" fontId="10" fillId="0" borderId="2" xfId="1" applyFont="1" applyBorder="1" applyAlignment="1">
      <alignment horizontal="center" vertical="top" wrapText="1"/>
    </xf>
    <xf numFmtId="0" fontId="4" fillId="0" borderId="1" xfId="1" applyFont="1" applyFill="1" applyBorder="1" applyAlignment="1">
      <alignment horizontal="center" vertical="center" wrapText="1"/>
    </xf>
    <xf numFmtId="0" fontId="44" fillId="8" borderId="8" xfId="3" applyFont="1" applyFill="1" applyBorder="1" applyAlignment="1">
      <alignment horizontal="center"/>
    </xf>
    <xf numFmtId="2" fontId="36" fillId="8" borderId="8" xfId="3" applyNumberFormat="1" applyFont="1" applyFill="1" applyBorder="1" applyAlignment="1">
      <alignment horizontal="center"/>
    </xf>
    <xf numFmtId="0" fontId="39" fillId="2" borderId="1" xfId="4" applyFont="1" applyFill="1" applyBorder="1" applyAlignment="1"/>
    <xf numFmtId="0" fontId="39" fillId="2" borderId="8" xfId="4" applyFont="1" applyFill="1" applyBorder="1" applyAlignment="1">
      <alignment horizontal="left"/>
    </xf>
    <xf numFmtId="2" fontId="50" fillId="8" borderId="1" xfId="3" applyNumberFormat="1" applyFont="1" applyFill="1" applyBorder="1" applyAlignment="1">
      <alignment horizontal="center"/>
    </xf>
    <xf numFmtId="164" fontId="49" fillId="2" borderId="0" xfId="3" applyNumberFormat="1" applyFont="1" applyFill="1" applyBorder="1" applyAlignment="1">
      <alignment horizontal="center" vertical="center" wrapText="1" shrinkToFit="1"/>
    </xf>
    <xf numFmtId="0" fontId="49" fillId="2" borderId="0" xfId="3" applyFont="1" applyFill="1" applyBorder="1" applyAlignment="1">
      <alignment horizontal="center" vertical="center"/>
    </xf>
    <xf numFmtId="1" fontId="49" fillId="2" borderId="0" xfId="5" applyNumberFormat="1" applyFont="1" applyFill="1" applyBorder="1" applyAlignment="1" applyProtection="1">
      <alignment horizontal="center"/>
    </xf>
    <xf numFmtId="0" fontId="49" fillId="2" borderId="0" xfId="3" applyFont="1" applyFill="1" applyBorder="1" applyAlignment="1">
      <alignment horizontal="center"/>
    </xf>
    <xf numFmtId="2" fontId="49" fillId="2" borderId="0" xfId="5" applyNumberFormat="1" applyFont="1" applyFill="1" applyBorder="1" applyAlignment="1" applyProtection="1">
      <alignment horizontal="center"/>
    </xf>
    <xf numFmtId="165" fontId="49" fillId="2" borderId="0" xfId="6" applyNumberFormat="1" applyFont="1" applyFill="1" applyBorder="1" applyAlignment="1">
      <alignment horizontal="center"/>
    </xf>
    <xf numFmtId="164" fontId="49" fillId="2" borderId="0" xfId="3" applyNumberFormat="1" applyFont="1" applyFill="1" applyBorder="1" applyAlignment="1">
      <alignment horizontal="center"/>
    </xf>
    <xf numFmtId="0" fontId="54" fillId="0" borderId="29" xfId="4" applyFont="1" applyBorder="1" applyAlignment="1">
      <alignment vertical="center" wrapText="1"/>
    </xf>
    <xf numFmtId="0" fontId="54" fillId="0" borderId="24" xfId="4" applyFont="1" applyBorder="1" applyAlignment="1">
      <alignment vertical="center" wrapText="1"/>
    </xf>
    <xf numFmtId="0" fontId="36" fillId="15" borderId="1" xfId="3" applyFont="1" applyFill="1" applyBorder="1" applyAlignment="1">
      <alignment horizontal="center"/>
    </xf>
    <xf numFmtId="0" fontId="36" fillId="8" borderId="1" xfId="3" applyFont="1" applyFill="1" applyBorder="1" applyAlignment="1">
      <alignment horizontal="left"/>
    </xf>
    <xf numFmtId="1" fontId="7" fillId="0" borderId="1" xfId="1" applyNumberFormat="1" applyFont="1" applyFill="1" applyBorder="1" applyAlignment="1">
      <alignment horizontal="center" vertical="center" wrapText="1"/>
    </xf>
    <xf numFmtId="0" fontId="4" fillId="0" borderId="5" xfId="1" applyFont="1" applyFill="1" applyBorder="1" applyAlignment="1">
      <alignment horizontal="center" vertical="center" wrapText="1"/>
    </xf>
    <xf numFmtId="1" fontId="55" fillId="2" borderId="1" xfId="1" applyNumberFormat="1" applyFont="1" applyFill="1" applyBorder="1" applyAlignment="1">
      <alignment vertical="center" wrapText="1"/>
    </xf>
    <xf numFmtId="2" fontId="48" fillId="0" borderId="0" xfId="0" applyNumberFormat="1" applyFont="1"/>
    <xf numFmtId="0" fontId="48" fillId="0" borderId="0" xfId="0" applyFont="1" applyFill="1"/>
    <xf numFmtId="0" fontId="58" fillId="0" borderId="0" xfId="0" applyFont="1"/>
    <xf numFmtId="0" fontId="58" fillId="0" borderId="0" xfId="0" applyFont="1" applyBorder="1"/>
    <xf numFmtId="1" fontId="58" fillId="0" borderId="0" xfId="0" applyNumberFormat="1" applyFont="1"/>
    <xf numFmtId="0" fontId="58" fillId="0" borderId="0" xfId="0" applyFont="1" applyFill="1"/>
    <xf numFmtId="0" fontId="57" fillId="0" borderId="0" xfId="0" applyFont="1" applyFill="1"/>
    <xf numFmtId="1" fontId="58" fillId="0" borderId="0" xfId="0" applyNumberFormat="1" applyFont="1" applyFill="1"/>
    <xf numFmtId="0" fontId="56" fillId="0" borderId="1" xfId="0" applyFont="1" applyBorder="1"/>
    <xf numFmtId="9" fontId="56" fillId="0" borderId="1" xfId="0" applyNumberFormat="1" applyFont="1" applyBorder="1"/>
    <xf numFmtId="1" fontId="56" fillId="0" borderId="1" xfId="0" applyNumberFormat="1" applyFont="1" applyBorder="1"/>
    <xf numFmtId="0" fontId="0" fillId="0" borderId="0" xfId="0" applyAlignment="1">
      <alignment vertical="center" wrapText="1"/>
    </xf>
    <xf numFmtId="0" fontId="56" fillId="0" borderId="1" xfId="0" applyFont="1" applyBorder="1" applyAlignment="1">
      <alignment vertical="center" wrapText="1"/>
    </xf>
    <xf numFmtId="0" fontId="59" fillId="15" borderId="1" xfId="3" applyFont="1" applyFill="1" applyBorder="1" applyAlignment="1"/>
    <xf numFmtId="0" fontId="65" fillId="0" borderId="0" xfId="0" applyFont="1"/>
    <xf numFmtId="2" fontId="66" fillId="8" borderId="1" xfId="3" applyNumberFormat="1" applyFont="1" applyFill="1" applyBorder="1" applyAlignment="1">
      <alignment horizontal="center"/>
    </xf>
    <xf numFmtId="0" fontId="69" fillId="0" borderId="0" xfId="0" applyFont="1"/>
    <xf numFmtId="0" fontId="67" fillId="0" borderId="0" xfId="0" applyFont="1"/>
    <xf numFmtId="0" fontId="59" fillId="15" borderId="1" xfId="3" applyFont="1" applyFill="1" applyBorder="1" applyAlignment="1">
      <alignment horizontal="center" vertical="center"/>
    </xf>
    <xf numFmtId="0" fontId="59" fillId="8" borderId="1" xfId="3" applyFont="1" applyFill="1" applyBorder="1" applyAlignment="1">
      <alignment horizontal="center" vertical="center"/>
    </xf>
    <xf numFmtId="1" fontId="66" fillId="8" borderId="1" xfId="3" applyNumberFormat="1" applyFont="1" applyFill="1" applyBorder="1" applyAlignment="1">
      <alignment horizontal="center"/>
    </xf>
    <xf numFmtId="0" fontId="60" fillId="9" borderId="1" xfId="3" applyFont="1" applyFill="1" applyBorder="1" applyAlignment="1">
      <alignment horizontal="center" vertical="center"/>
    </xf>
    <xf numFmtId="10" fontId="60" fillId="9" borderId="1" xfId="3" applyNumberFormat="1" applyFont="1" applyFill="1" applyBorder="1" applyAlignment="1">
      <alignment horizontal="center"/>
    </xf>
    <xf numFmtId="1" fontId="60" fillId="9" borderId="1" xfId="3" applyNumberFormat="1" applyFont="1" applyFill="1" applyBorder="1" applyAlignment="1">
      <alignment horizontal="center"/>
    </xf>
    <xf numFmtId="2" fontId="60" fillId="9" borderId="1" xfId="3" applyNumberFormat="1" applyFont="1" applyFill="1" applyBorder="1" applyAlignment="1">
      <alignment horizontal="center"/>
    </xf>
    <xf numFmtId="9" fontId="60" fillId="9" borderId="1" xfId="3" applyNumberFormat="1" applyFont="1" applyFill="1" applyBorder="1" applyAlignment="1">
      <alignment horizontal="center"/>
    </xf>
    <xf numFmtId="0" fontId="68" fillId="0" borderId="0" xfId="0" applyFont="1"/>
    <xf numFmtId="2" fontId="66" fillId="2" borderId="1" xfId="3" applyNumberFormat="1" applyFont="1" applyFill="1" applyBorder="1" applyAlignment="1">
      <alignment horizontal="center" vertical="center"/>
    </xf>
    <xf numFmtId="164" fontId="66" fillId="8" borderId="1" xfId="3" applyNumberFormat="1" applyFont="1" applyFill="1" applyBorder="1" applyAlignment="1">
      <alignment horizontal="center" wrapText="1" shrinkToFit="1"/>
    </xf>
    <xf numFmtId="2" fontId="66" fillId="8" borderId="1" xfId="3" applyNumberFormat="1" applyFont="1" applyFill="1" applyBorder="1" applyAlignment="1">
      <alignment horizontal="center" vertical="center"/>
    </xf>
    <xf numFmtId="1" fontId="66" fillId="8" borderId="1" xfId="3" applyNumberFormat="1" applyFont="1" applyFill="1" applyBorder="1" applyAlignment="1">
      <alignment horizontal="center" vertical="center"/>
    </xf>
    <xf numFmtId="0" fontId="66" fillId="15" borderId="1" xfId="3" applyFont="1" applyFill="1" applyBorder="1" applyAlignment="1">
      <alignment horizontal="center" vertical="center"/>
    </xf>
    <xf numFmtId="0" fontId="66" fillId="15" borderId="1" xfId="3" applyFont="1" applyFill="1" applyBorder="1" applyAlignment="1">
      <alignment horizontal="center"/>
    </xf>
    <xf numFmtId="1" fontId="66" fillId="2" borderId="1" xfId="5" applyNumberFormat="1" applyFont="1" applyFill="1" applyBorder="1" applyAlignment="1">
      <alignment horizontal="center" vertical="center"/>
    </xf>
    <xf numFmtId="0" fontId="66" fillId="2" borderId="1" xfId="3" applyNumberFormat="1" applyFont="1" applyFill="1" applyBorder="1" applyAlignment="1">
      <alignment horizontal="center"/>
    </xf>
    <xf numFmtId="2" fontId="66" fillId="8" borderId="8" xfId="3" applyNumberFormat="1" applyFont="1" applyFill="1" applyBorder="1" applyAlignment="1">
      <alignment horizontal="center"/>
    </xf>
    <xf numFmtId="1" fontId="66" fillId="2" borderId="7" xfId="5" applyNumberFormat="1" applyFont="1" applyFill="1" applyBorder="1" applyAlignment="1">
      <alignment horizontal="center" vertical="center"/>
    </xf>
    <xf numFmtId="1" fontId="66" fillId="2" borderId="8" xfId="3" applyNumberFormat="1" applyFont="1" applyFill="1" applyBorder="1" applyAlignment="1">
      <alignment horizontal="center"/>
    </xf>
    <xf numFmtId="0" fontId="66" fillId="0" borderId="1" xfId="4" applyFont="1" applyBorder="1" applyAlignment="1">
      <alignment horizontal="center"/>
    </xf>
    <xf numFmtId="1" fontId="66" fillId="12" borderId="1" xfId="3" applyNumberFormat="1" applyFont="1" applyFill="1" applyBorder="1" applyAlignment="1">
      <alignment horizontal="center"/>
    </xf>
    <xf numFmtId="2" fontId="66" fillId="8" borderId="1" xfId="3" applyNumberFormat="1" applyFont="1" applyFill="1" applyBorder="1" applyAlignment="1">
      <alignment horizontal="right"/>
    </xf>
    <xf numFmtId="1" fontId="66" fillId="8" borderId="1" xfId="5" applyNumberFormat="1" applyFont="1" applyFill="1" applyBorder="1" applyAlignment="1">
      <alignment horizontal="center" vertical="center"/>
    </xf>
    <xf numFmtId="2" fontId="66" fillId="2" borderId="1" xfId="3" applyNumberFormat="1" applyFont="1" applyFill="1" applyBorder="1" applyAlignment="1">
      <alignment horizontal="center"/>
    </xf>
    <xf numFmtId="0" fontId="71" fillId="15" borderId="1" xfId="3" applyFont="1" applyFill="1" applyBorder="1" applyAlignment="1">
      <alignment horizontal="center"/>
    </xf>
    <xf numFmtId="0" fontId="72" fillId="0" borderId="1" xfId="4" applyFont="1" applyBorder="1" applyAlignment="1">
      <alignment horizontal="center"/>
    </xf>
    <xf numFmtId="0" fontId="66" fillId="2" borderId="1" xfId="4" applyFont="1" applyFill="1" applyBorder="1" applyAlignment="1">
      <alignment horizontal="center"/>
    </xf>
    <xf numFmtId="1" fontId="66" fillId="2" borderId="1" xfId="3" applyNumberFormat="1" applyFont="1" applyFill="1" applyBorder="1" applyAlignment="1">
      <alignment horizontal="center"/>
    </xf>
    <xf numFmtId="2" fontId="66" fillId="12" borderId="1" xfId="3" applyNumberFormat="1" applyFont="1" applyFill="1" applyBorder="1" applyAlignment="1">
      <alignment horizontal="center"/>
    </xf>
    <xf numFmtId="1" fontId="71" fillId="15" borderId="1" xfId="3" applyNumberFormat="1" applyFont="1" applyFill="1" applyBorder="1" applyAlignment="1">
      <alignment horizontal="center"/>
    </xf>
    <xf numFmtId="0" fontId="66" fillId="0" borderId="1" xfId="4" applyFont="1" applyBorder="1"/>
    <xf numFmtId="0" fontId="73" fillId="8" borderId="1" xfId="3" applyFont="1" applyFill="1" applyBorder="1" applyAlignment="1">
      <alignment horizontal="center"/>
    </xf>
    <xf numFmtId="164" fontId="73" fillId="8" borderId="1" xfId="5" applyNumberFormat="1" applyFont="1" applyFill="1" applyBorder="1" applyAlignment="1">
      <alignment horizontal="center" vertical="center"/>
    </xf>
    <xf numFmtId="1" fontId="66" fillId="12" borderId="1" xfId="5" applyNumberFormat="1" applyFont="1" applyFill="1" applyBorder="1" applyAlignment="1" applyProtection="1">
      <alignment horizontal="center"/>
    </xf>
    <xf numFmtId="0" fontId="73" fillId="2" borderId="1" xfId="4" applyFont="1" applyFill="1" applyBorder="1" applyAlignment="1">
      <alignment horizontal="center"/>
    </xf>
    <xf numFmtId="0" fontId="71" fillId="15" borderId="1" xfId="3" applyFont="1" applyFill="1" applyBorder="1" applyAlignment="1">
      <alignment horizontal="center" vertical="center"/>
    </xf>
    <xf numFmtId="1" fontId="66" fillId="15" borderId="1" xfId="3" applyNumberFormat="1" applyFont="1" applyFill="1" applyBorder="1" applyAlignment="1">
      <alignment horizontal="center" vertical="center"/>
    </xf>
    <xf numFmtId="0" fontId="74" fillId="15" borderId="1" xfId="3" applyFont="1" applyFill="1" applyBorder="1" applyAlignment="1">
      <alignment horizontal="center" vertical="center"/>
    </xf>
    <xf numFmtId="2" fontId="75" fillId="8" borderId="1" xfId="3" applyNumberFormat="1" applyFont="1" applyFill="1" applyBorder="1" applyAlignment="1">
      <alignment horizontal="center"/>
    </xf>
    <xf numFmtId="164" fontId="71" fillId="8" borderId="1" xfId="3" applyNumberFormat="1" applyFont="1" applyFill="1" applyBorder="1" applyAlignment="1">
      <alignment horizontal="center"/>
    </xf>
    <xf numFmtId="1" fontId="74" fillId="8" borderId="1" xfId="3" applyNumberFormat="1" applyFont="1" applyFill="1" applyBorder="1" applyAlignment="1">
      <alignment horizontal="center"/>
    </xf>
    <xf numFmtId="1" fontId="75" fillId="8" borderId="1" xfId="5" applyNumberFormat="1" applyFont="1" applyFill="1" applyBorder="1" applyAlignment="1">
      <alignment horizontal="center" vertical="center"/>
    </xf>
    <xf numFmtId="2" fontId="66" fillId="8" borderId="1" xfId="9" applyNumberFormat="1" applyFont="1" applyFill="1" applyBorder="1" applyAlignment="1">
      <alignment horizontal="center"/>
    </xf>
    <xf numFmtId="168" fontId="71" fillId="8" borderId="1" xfId="5" applyNumberFormat="1" applyFont="1" applyFill="1" applyBorder="1" applyAlignment="1" applyProtection="1">
      <alignment horizontal="center" vertical="center"/>
    </xf>
    <xf numFmtId="164" fontId="74" fillId="8" borderId="1" xfId="5" applyNumberFormat="1" applyFont="1" applyFill="1" applyBorder="1" applyAlignment="1" applyProtection="1">
      <alignment horizontal="center"/>
    </xf>
    <xf numFmtId="1" fontId="75" fillId="0" borderId="1" xfId="4" applyNumberFormat="1" applyFont="1" applyBorder="1" applyAlignment="1">
      <alignment horizontal="center"/>
    </xf>
    <xf numFmtId="2" fontId="74" fillId="8" borderId="1" xfId="3" applyNumberFormat="1" applyFont="1" applyFill="1" applyBorder="1" applyAlignment="1">
      <alignment horizontal="right"/>
    </xf>
    <xf numFmtId="1" fontId="75" fillId="8" borderId="1" xfId="3" applyNumberFormat="1" applyFont="1" applyFill="1" applyBorder="1" applyAlignment="1">
      <alignment horizontal="center" vertical="center"/>
    </xf>
    <xf numFmtId="0" fontId="73" fillId="2" borderId="1" xfId="3" applyFont="1" applyFill="1" applyBorder="1" applyAlignment="1">
      <alignment horizontal="center"/>
    </xf>
    <xf numFmtId="169" fontId="73" fillId="8" borderId="1" xfId="5" applyNumberFormat="1" applyFont="1" applyFill="1" applyBorder="1" applyAlignment="1" applyProtection="1">
      <alignment horizontal="center" vertical="center"/>
    </xf>
    <xf numFmtId="1" fontId="73" fillId="2" borderId="1" xfId="3" applyNumberFormat="1" applyFont="1" applyFill="1" applyBorder="1" applyAlignment="1">
      <alignment horizontal="center" vertical="top"/>
    </xf>
    <xf numFmtId="0" fontId="66" fillId="0" borderId="1" xfId="4" applyFont="1" applyBorder="1" applyAlignment="1">
      <alignment horizontal="center" vertical="center"/>
    </xf>
    <xf numFmtId="0" fontId="66" fillId="8" borderId="1" xfId="3" applyFont="1" applyFill="1" applyBorder="1" applyAlignment="1">
      <alignment horizontal="center" vertical="center"/>
    </xf>
    <xf numFmtId="0" fontId="66" fillId="15" borderId="1" xfId="3" applyFont="1" applyFill="1" applyBorder="1" applyAlignment="1">
      <alignment vertical="center"/>
    </xf>
    <xf numFmtId="0" fontId="66" fillId="15" borderId="1" xfId="3" applyFont="1" applyFill="1" applyBorder="1" applyAlignment="1"/>
    <xf numFmtId="1" fontId="66" fillId="2" borderId="1" xfId="3" applyNumberFormat="1" applyFont="1" applyFill="1" applyBorder="1" applyAlignment="1">
      <alignment horizontal="center" vertical="center"/>
    </xf>
    <xf numFmtId="164" fontId="66" fillId="2" borderId="1" xfId="5" applyNumberFormat="1" applyFont="1" applyFill="1" applyBorder="1" applyAlignment="1" applyProtection="1">
      <alignment horizontal="center" vertical="center"/>
    </xf>
    <xf numFmtId="164" fontId="66" fillId="8" borderId="1" xfId="5" applyNumberFormat="1" applyFont="1" applyFill="1" applyBorder="1" applyAlignment="1" applyProtection="1">
      <alignment horizontal="center" vertical="top"/>
    </xf>
    <xf numFmtId="0" fontId="66" fillId="2" borderId="1" xfId="4" applyFont="1" applyFill="1" applyBorder="1" applyAlignment="1">
      <alignment horizontal="left"/>
    </xf>
    <xf numFmtId="0" fontId="66" fillId="2" borderId="1" xfId="4" applyFont="1" applyFill="1" applyBorder="1" applyAlignment="1"/>
    <xf numFmtId="0" fontId="72" fillId="2" borderId="1" xfId="4" applyFont="1" applyFill="1" applyBorder="1" applyAlignment="1">
      <alignment horizontal="center" wrapText="1"/>
    </xf>
    <xf numFmtId="0" fontId="72" fillId="0" borderId="1" xfId="4" applyFont="1" applyFill="1" applyBorder="1" applyAlignment="1">
      <alignment horizontal="center" wrapText="1"/>
    </xf>
    <xf numFmtId="0" fontId="72" fillId="0" borderId="1" xfId="4" applyFont="1" applyBorder="1" applyAlignment="1">
      <alignment horizontal="center" wrapText="1"/>
    </xf>
    <xf numFmtId="0" fontId="72" fillId="2" borderId="1" xfId="4" applyFont="1" applyFill="1" applyBorder="1" applyAlignment="1">
      <alignment horizontal="center"/>
    </xf>
    <xf numFmtId="0" fontId="66" fillId="8" borderId="1" xfId="3" applyFont="1" applyFill="1" applyBorder="1" applyAlignment="1">
      <alignment horizontal="center"/>
    </xf>
    <xf numFmtId="0" fontId="66" fillId="2" borderId="1" xfId="3" applyFont="1" applyFill="1" applyBorder="1" applyAlignment="1">
      <alignment horizontal="center"/>
    </xf>
    <xf numFmtId="1" fontId="71" fillId="2" borderId="1" xfId="3" applyNumberFormat="1" applyFont="1" applyFill="1" applyBorder="1" applyAlignment="1">
      <alignment horizontal="center"/>
    </xf>
    <xf numFmtId="43" fontId="66" fillId="8" borderId="1" xfId="7" applyFont="1" applyFill="1" applyBorder="1" applyAlignment="1">
      <alignment horizontal="right" wrapText="1"/>
    </xf>
    <xf numFmtId="2" fontId="66" fillId="10" borderId="24" xfId="3" applyNumberFormat="1" applyFont="1" applyFill="1" applyBorder="1" applyAlignment="1">
      <alignment horizontal="center" vertical="center"/>
    </xf>
    <xf numFmtId="0" fontId="72" fillId="10" borderId="24" xfId="4" applyFont="1" applyFill="1" applyBorder="1" applyAlignment="1">
      <alignment horizontal="center" vertical="center"/>
    </xf>
    <xf numFmtId="1" fontId="66" fillId="10" borderId="24" xfId="5" applyNumberFormat="1" applyFont="1" applyFill="1" applyBorder="1" applyAlignment="1">
      <alignment horizontal="center" vertical="center"/>
    </xf>
    <xf numFmtId="1" fontId="66" fillId="10" borderId="24" xfId="3" applyNumberFormat="1" applyFont="1" applyFill="1" applyBorder="1" applyAlignment="1">
      <alignment horizontal="center" vertical="center"/>
    </xf>
    <xf numFmtId="0" fontId="71" fillId="10" borderId="0" xfId="0" applyFont="1" applyFill="1" applyBorder="1" applyAlignment="1">
      <alignment horizontal="center" vertical="center"/>
    </xf>
    <xf numFmtId="0" fontId="71" fillId="0" borderId="1" xfId="0" applyFont="1" applyBorder="1" applyAlignment="1">
      <alignment horizontal="center"/>
    </xf>
    <xf numFmtId="1" fontId="71" fillId="0" borderId="1" xfId="0" applyNumberFormat="1" applyFont="1" applyBorder="1" applyAlignment="1">
      <alignment horizontal="center"/>
    </xf>
    <xf numFmtId="0" fontId="71" fillId="0" borderId="1" xfId="0" applyFont="1" applyFill="1" applyBorder="1" applyAlignment="1">
      <alignment horizontal="center"/>
    </xf>
    <xf numFmtId="0" fontId="71" fillId="0" borderId="1" xfId="0" applyFont="1" applyFill="1" applyBorder="1"/>
    <xf numFmtId="1" fontId="71" fillId="0" borderId="1" xfId="0" applyNumberFormat="1" applyFont="1" applyFill="1" applyBorder="1" applyAlignment="1">
      <alignment horizontal="center"/>
    </xf>
    <xf numFmtId="0" fontId="71" fillId="0" borderId="0" xfId="0" applyFont="1"/>
    <xf numFmtId="1" fontId="71" fillId="0" borderId="0" xfId="0" applyNumberFormat="1" applyFont="1" applyAlignment="1">
      <alignment horizontal="center"/>
    </xf>
    <xf numFmtId="1" fontId="71" fillId="0" borderId="0" xfId="0" applyNumberFormat="1" applyFont="1"/>
    <xf numFmtId="1" fontId="66" fillId="15" borderId="1" xfId="5" applyNumberFormat="1" applyFont="1" applyFill="1" applyBorder="1" applyAlignment="1">
      <alignment horizontal="center"/>
    </xf>
    <xf numFmtId="0" fontId="72" fillId="0" borderId="1" xfId="4" applyFont="1" applyFill="1" applyBorder="1" applyAlignment="1">
      <alignment horizontal="center"/>
    </xf>
    <xf numFmtId="0" fontId="71" fillId="0" borderId="1" xfId="0" applyFont="1" applyBorder="1"/>
    <xf numFmtId="9" fontId="66" fillId="8" borderId="1" xfId="6" applyNumberFormat="1" applyFont="1" applyFill="1" applyBorder="1" applyAlignment="1">
      <alignment horizontal="center"/>
    </xf>
    <xf numFmtId="165" fontId="66" fillId="0" borderId="1" xfId="6" applyNumberFormat="1" applyFont="1" applyFill="1" applyBorder="1" applyAlignment="1"/>
    <xf numFmtId="1" fontId="66" fillId="8" borderId="1" xfId="5" applyNumberFormat="1" applyFont="1" applyFill="1" applyBorder="1" applyAlignment="1">
      <alignment horizontal="right"/>
    </xf>
    <xf numFmtId="0" fontId="76" fillId="0" borderId="0" xfId="0" applyFont="1"/>
    <xf numFmtId="1" fontId="76" fillId="0" borderId="0" xfId="0" applyNumberFormat="1" applyFont="1" applyAlignment="1">
      <alignment horizontal="center"/>
    </xf>
    <xf numFmtId="1" fontId="76" fillId="0" borderId="0" xfId="0" applyNumberFormat="1" applyFont="1"/>
    <xf numFmtId="2" fontId="35" fillId="8" borderId="11" xfId="3" applyNumberFormat="1" applyFont="1" applyFill="1" applyBorder="1" applyAlignment="1">
      <alignment horizontal="center"/>
    </xf>
    <xf numFmtId="164" fontId="66" fillId="8" borderId="15" xfId="3" applyNumberFormat="1" applyFont="1" applyFill="1" applyBorder="1" applyAlignment="1">
      <alignment horizontal="center" wrapText="1" shrinkToFit="1"/>
    </xf>
    <xf numFmtId="0" fontId="66" fillId="15" borderId="15" xfId="3" applyFont="1" applyFill="1" applyBorder="1" applyAlignment="1">
      <alignment horizontal="center"/>
    </xf>
    <xf numFmtId="1" fontId="66" fillId="8" borderId="15" xfId="5" applyNumberFormat="1" applyFont="1" applyFill="1" applyBorder="1" applyAlignment="1" applyProtection="1">
      <alignment horizontal="center"/>
    </xf>
    <xf numFmtId="1" fontId="66" fillId="2" borderId="15" xfId="5" applyNumberFormat="1" applyFont="1" applyFill="1" applyBorder="1" applyAlignment="1" applyProtection="1">
      <alignment horizontal="center"/>
    </xf>
    <xf numFmtId="1" fontId="66" fillId="15" borderId="15" xfId="3" applyNumberFormat="1" applyFont="1" applyFill="1" applyBorder="1" applyAlignment="1">
      <alignment horizontal="center" vertical="center"/>
    </xf>
    <xf numFmtId="0" fontId="66" fillId="15" borderId="15" xfId="3" applyFont="1" applyFill="1" applyBorder="1" applyAlignment="1"/>
    <xf numFmtId="0" fontId="66" fillId="2" borderId="15" xfId="4" applyFont="1" applyFill="1" applyBorder="1" applyAlignment="1"/>
    <xf numFmtId="1" fontId="66" fillId="10" borderId="30" xfId="5" applyNumberFormat="1" applyFont="1" applyFill="1" applyBorder="1" applyAlignment="1" applyProtection="1">
      <alignment horizontal="center" vertical="center"/>
    </xf>
    <xf numFmtId="1" fontId="71" fillId="0" borderId="15" xfId="0" applyNumberFormat="1" applyFont="1" applyBorder="1" applyAlignment="1">
      <alignment horizontal="center"/>
    </xf>
    <xf numFmtId="1" fontId="71" fillId="0" borderId="15" xfId="0" applyNumberFormat="1" applyFont="1" applyFill="1" applyBorder="1" applyAlignment="1">
      <alignment horizontal="center"/>
    </xf>
    <xf numFmtId="0" fontId="71" fillId="0" borderId="0" xfId="0" applyFont="1" applyBorder="1"/>
    <xf numFmtId="1" fontId="71" fillId="0" borderId="0" xfId="0" applyNumberFormat="1" applyFont="1" applyBorder="1" applyAlignment="1">
      <alignment horizontal="center"/>
    </xf>
    <xf numFmtId="1" fontId="71" fillId="0" borderId="34" xfId="0" applyNumberFormat="1" applyFont="1" applyBorder="1"/>
    <xf numFmtId="0" fontId="71" fillId="15" borderId="15" xfId="3" applyFont="1" applyFill="1" applyBorder="1" applyAlignment="1">
      <alignment horizontal="center"/>
    </xf>
    <xf numFmtId="1" fontId="66" fillId="15" borderId="15" xfId="5" applyNumberFormat="1" applyFont="1" applyFill="1" applyBorder="1" applyAlignment="1">
      <alignment horizontal="center"/>
    </xf>
    <xf numFmtId="2" fontId="66" fillId="8" borderId="7" xfId="3" applyNumberFormat="1" applyFont="1" applyFill="1" applyBorder="1" applyAlignment="1">
      <alignment horizontal="center"/>
    </xf>
    <xf numFmtId="9" fontId="66" fillId="8" borderId="7" xfId="6" applyNumberFormat="1" applyFont="1" applyFill="1" applyBorder="1" applyAlignment="1">
      <alignment horizontal="center"/>
    </xf>
    <xf numFmtId="1" fontId="66" fillId="8" borderId="7" xfId="3" applyNumberFormat="1" applyFont="1" applyFill="1" applyBorder="1" applyAlignment="1">
      <alignment horizontal="center"/>
    </xf>
    <xf numFmtId="2" fontId="66" fillId="8" borderId="7" xfId="3" applyNumberFormat="1" applyFont="1" applyFill="1" applyBorder="1" applyAlignment="1">
      <alignment horizontal="right"/>
    </xf>
    <xf numFmtId="1" fontId="66" fillId="8" borderId="23" xfId="5" applyNumberFormat="1" applyFont="1" applyFill="1" applyBorder="1" applyAlignment="1" applyProtection="1">
      <alignment horizontal="center"/>
    </xf>
    <xf numFmtId="9" fontId="60" fillId="9" borderId="21" xfId="3" applyNumberFormat="1" applyFont="1" applyFill="1" applyBorder="1" applyAlignment="1">
      <alignment horizontal="left"/>
    </xf>
    <xf numFmtId="0" fontId="61" fillId="0" borderId="1" xfId="4" applyFont="1" applyBorder="1" applyAlignment="1">
      <alignment horizontal="left"/>
    </xf>
    <xf numFmtId="0" fontId="63" fillId="16" borderId="1" xfId="0" applyFont="1" applyFill="1" applyBorder="1"/>
    <xf numFmtId="0" fontId="65" fillId="0" borderId="0" xfId="0" applyFont="1" applyBorder="1"/>
    <xf numFmtId="0" fontId="68" fillId="0" borderId="1" xfId="0" applyFont="1" applyFill="1" applyBorder="1" applyAlignment="1">
      <alignment horizontal="left"/>
    </xf>
    <xf numFmtId="166" fontId="60" fillId="9" borderId="21" xfId="3" applyNumberFormat="1" applyFont="1" applyFill="1" applyBorder="1" applyAlignment="1">
      <alignment horizontal="left"/>
    </xf>
    <xf numFmtId="0" fontId="60" fillId="9" borderId="21" xfId="3" applyFont="1" applyFill="1" applyBorder="1"/>
    <xf numFmtId="0" fontId="60" fillId="8" borderId="21" xfId="3" applyFont="1" applyFill="1" applyBorder="1" applyAlignment="1">
      <alignment horizontal="center" vertical="center"/>
    </xf>
    <xf numFmtId="0" fontId="60" fillId="8" borderId="21" xfId="3" applyFont="1" applyFill="1" applyBorder="1" applyAlignment="1">
      <alignment horizontal="left" vertical="center"/>
    </xf>
    <xf numFmtId="0" fontId="59" fillId="8" borderId="1" xfId="3" applyFont="1" applyFill="1" applyBorder="1" applyAlignment="1">
      <alignment horizontal="left" vertical="center"/>
    </xf>
    <xf numFmtId="0" fontId="60" fillId="8" borderId="27" xfId="3" applyFont="1" applyFill="1" applyBorder="1" applyAlignment="1">
      <alignment horizontal="left" vertical="center"/>
    </xf>
    <xf numFmtId="0" fontId="60" fillId="8" borderId="5" xfId="3" applyFont="1" applyFill="1" applyBorder="1" applyAlignment="1">
      <alignment horizontal="left" vertical="center"/>
    </xf>
    <xf numFmtId="0" fontId="60" fillId="8" borderId="13" xfId="3" applyFont="1" applyFill="1" applyBorder="1" applyAlignment="1">
      <alignment horizontal="left" vertical="center"/>
    </xf>
    <xf numFmtId="167" fontId="60" fillId="8" borderId="21" xfId="3" applyNumberFormat="1" applyFont="1" applyFill="1" applyBorder="1" applyAlignment="1">
      <alignment vertical="center"/>
    </xf>
    <xf numFmtId="167" fontId="59" fillId="8" borderId="1" xfId="3" applyNumberFormat="1" applyFont="1" applyFill="1" applyBorder="1" applyAlignment="1">
      <alignment vertical="center"/>
    </xf>
    <xf numFmtId="0" fontId="60" fillId="16" borderId="21" xfId="3" applyFont="1" applyFill="1" applyBorder="1" applyAlignment="1">
      <alignment horizontal="center"/>
    </xf>
    <xf numFmtId="0" fontId="59" fillId="16" borderId="1" xfId="3" applyFont="1" applyFill="1" applyBorder="1" applyAlignment="1">
      <alignment horizontal="center"/>
    </xf>
    <xf numFmtId="0" fontId="60" fillId="2" borderId="21" xfId="3" applyFont="1" applyFill="1" applyBorder="1" applyAlignment="1">
      <alignment horizontal="left" vertical="center"/>
    </xf>
    <xf numFmtId="0" fontId="59" fillId="2" borderId="1" xfId="3" applyFont="1" applyFill="1" applyBorder="1" applyAlignment="1">
      <alignment horizontal="left" vertical="center"/>
    </xf>
    <xf numFmtId="0" fontId="59" fillId="8" borderId="1" xfId="3" applyFont="1" applyFill="1" applyBorder="1" applyAlignment="1">
      <alignment horizontal="left"/>
    </xf>
    <xf numFmtId="0" fontId="60" fillId="16" borderId="21" xfId="3" applyFont="1" applyFill="1" applyBorder="1" applyAlignment="1">
      <alignment horizontal="center" vertical="center"/>
    </xf>
    <xf numFmtId="0" fontId="59" fillId="16" borderId="1" xfId="3" applyFont="1" applyFill="1" applyBorder="1" applyAlignment="1">
      <alignment horizontal="center" vertical="center"/>
    </xf>
    <xf numFmtId="0" fontId="70" fillId="2" borderId="16" xfId="3" applyFont="1" applyFill="1" applyBorder="1" applyAlignment="1">
      <alignment horizontal="center"/>
    </xf>
    <xf numFmtId="0" fontId="70" fillId="2" borderId="3" xfId="3" applyFont="1" applyFill="1" applyBorder="1" applyAlignment="1">
      <alignment horizontal="center"/>
    </xf>
    <xf numFmtId="0" fontId="70" fillId="2" borderId="4" xfId="3" applyFont="1" applyFill="1" applyBorder="1" applyAlignment="1">
      <alignment horizontal="center"/>
    </xf>
    <xf numFmtId="0" fontId="70" fillId="16" borderId="16" xfId="3" applyFont="1" applyFill="1" applyBorder="1" applyAlignment="1">
      <alignment horizontal="center"/>
    </xf>
    <xf numFmtId="0" fontId="70" fillId="16" borderId="3" xfId="3" applyFont="1" applyFill="1" applyBorder="1" applyAlignment="1">
      <alignment horizontal="center"/>
    </xf>
    <xf numFmtId="0" fontId="70" fillId="16" borderId="4" xfId="3" applyFont="1" applyFill="1" applyBorder="1" applyAlignment="1">
      <alignment horizontal="center"/>
    </xf>
    <xf numFmtId="0" fontId="60" fillId="15" borderId="21" xfId="3" applyFont="1" applyFill="1" applyBorder="1" applyAlignment="1">
      <alignment horizontal="left"/>
    </xf>
    <xf numFmtId="2" fontId="60" fillId="8" borderId="21" xfId="3" applyNumberFormat="1" applyFont="1" applyFill="1" applyBorder="1" applyAlignment="1">
      <alignment horizontal="left" vertical="center"/>
    </xf>
    <xf numFmtId="2" fontId="59" fillId="8" borderId="1" xfId="3" applyNumberFormat="1" applyFont="1" applyFill="1" applyBorder="1" applyAlignment="1">
      <alignment horizontal="left" vertical="center"/>
    </xf>
    <xf numFmtId="0" fontId="59" fillId="8" borderId="1" xfId="3" applyFont="1" applyFill="1" applyBorder="1" applyAlignment="1">
      <alignment horizontal="left" vertical="justify"/>
    </xf>
    <xf numFmtId="0" fontId="60" fillId="15" borderId="21" xfId="3" applyFont="1" applyFill="1" applyBorder="1" applyAlignment="1"/>
    <xf numFmtId="0" fontId="60" fillId="0" borderId="21" xfId="4" applyFont="1" applyBorder="1" applyAlignment="1">
      <alignment vertical="center"/>
    </xf>
    <xf numFmtId="0" fontId="59" fillId="0" borderId="1" xfId="4" applyFont="1" applyBorder="1" applyAlignment="1">
      <alignment vertical="center"/>
    </xf>
    <xf numFmtId="0" fontId="62" fillId="16" borderId="21" xfId="4" applyFont="1" applyFill="1" applyBorder="1"/>
    <xf numFmtId="0" fontId="60" fillId="15" borderId="21" xfId="3" applyFont="1" applyFill="1" applyBorder="1" applyAlignment="1">
      <alignment horizontal="center"/>
    </xf>
    <xf numFmtId="0" fontId="60" fillId="10" borderId="32" xfId="3" applyFont="1" applyFill="1" applyBorder="1" applyAlignment="1">
      <alignment horizontal="center" vertical="center"/>
    </xf>
    <xf numFmtId="0" fontId="60" fillId="10" borderId="0" xfId="3" applyFont="1" applyFill="1" applyBorder="1" applyAlignment="1">
      <alignment horizontal="center" vertical="center"/>
    </xf>
    <xf numFmtId="0" fontId="60" fillId="0" borderId="21" xfId="4" applyFont="1" applyBorder="1"/>
    <xf numFmtId="0" fontId="60" fillId="15" borderId="21" xfId="3" applyFont="1" applyFill="1" applyBorder="1" applyAlignment="1">
      <alignment horizontal="center" vertical="center"/>
    </xf>
    <xf numFmtId="9" fontId="66" fillId="9" borderId="1" xfId="4" applyNumberFormat="1" applyFont="1" applyFill="1" applyBorder="1"/>
    <xf numFmtId="0" fontId="66" fillId="9" borderId="1" xfId="3" applyFont="1" applyFill="1" applyBorder="1" applyAlignment="1"/>
    <xf numFmtId="1" fontId="60" fillId="9" borderId="15" xfId="3" applyNumberFormat="1" applyFont="1" applyFill="1" applyBorder="1" applyAlignment="1">
      <alignment horizontal="center" vertical="center"/>
    </xf>
    <xf numFmtId="0" fontId="60" fillId="9" borderId="1" xfId="3" applyFont="1" applyFill="1" applyBorder="1" applyAlignment="1">
      <alignment horizontal="left"/>
    </xf>
    <xf numFmtId="1" fontId="60" fillId="9" borderId="15" xfId="3" applyNumberFormat="1" applyFont="1" applyFill="1" applyBorder="1" applyAlignment="1">
      <alignment horizontal="center"/>
    </xf>
    <xf numFmtId="9" fontId="60" fillId="9" borderId="1" xfId="3" applyNumberFormat="1" applyFont="1" applyFill="1" applyBorder="1" applyAlignment="1">
      <alignment horizontal="left"/>
    </xf>
    <xf numFmtId="0" fontId="66" fillId="8" borderId="8" xfId="3" applyFont="1" applyFill="1" applyBorder="1" applyAlignment="1">
      <alignment horizontal="center"/>
    </xf>
    <xf numFmtId="44" fontId="75" fillId="8" borderId="1" xfId="8" applyFont="1" applyFill="1" applyBorder="1" applyAlignment="1">
      <alignment horizontal="center"/>
    </xf>
    <xf numFmtId="0" fontId="75" fillId="8" borderId="1" xfId="3" applyFont="1" applyFill="1" applyBorder="1" applyAlignment="1">
      <alignment horizontal="center"/>
    </xf>
    <xf numFmtId="0" fontId="66" fillId="2" borderId="1" xfId="3" applyFont="1" applyFill="1" applyBorder="1" applyAlignment="1">
      <alignment horizontal="center" vertical="center"/>
    </xf>
    <xf numFmtId="0" fontId="66" fillId="10" borderId="31" xfId="3" applyFont="1" applyFill="1" applyBorder="1" applyAlignment="1">
      <alignment horizontal="center" vertical="center"/>
    </xf>
    <xf numFmtId="0" fontId="71" fillId="0" borderId="4" xfId="0" applyFont="1" applyBorder="1" applyAlignment="1">
      <alignment horizontal="center"/>
    </xf>
    <xf numFmtId="0" fontId="76" fillId="0" borderId="4" xfId="0" applyFont="1" applyFill="1" applyBorder="1"/>
    <xf numFmtId="0" fontId="71" fillId="0" borderId="4" xfId="0" applyFont="1" applyFill="1" applyBorder="1" applyAlignment="1">
      <alignment horizontal="center"/>
    </xf>
    <xf numFmtId="0" fontId="66" fillId="8" borderId="7" xfId="3" applyFont="1" applyFill="1" applyBorder="1" applyAlignment="1">
      <alignment horizontal="center"/>
    </xf>
    <xf numFmtId="0" fontId="66" fillId="12" borderId="1" xfId="4" applyFont="1" applyFill="1" applyBorder="1" applyAlignment="1">
      <alignment horizontal="center"/>
    </xf>
    <xf numFmtId="0" fontId="66" fillId="0" borderId="1" xfId="3" applyFont="1" applyFill="1" applyBorder="1" applyAlignment="1">
      <alignment horizontal="center"/>
    </xf>
    <xf numFmtId="1" fontId="80" fillId="12" borderId="0" xfId="0" applyNumberFormat="1" applyFont="1" applyFill="1"/>
    <xf numFmtId="1" fontId="80" fillId="0" borderId="0" xfId="0" applyNumberFormat="1" applyFont="1"/>
    <xf numFmtId="0" fontId="65" fillId="9" borderId="1" xfId="3" applyFont="1" applyFill="1" applyBorder="1" applyAlignment="1">
      <alignment horizontal="center" vertical="center"/>
    </xf>
    <xf numFmtId="2" fontId="65" fillId="9" borderId="1" xfId="3" applyNumberFormat="1" applyFont="1" applyFill="1" applyBorder="1" applyAlignment="1">
      <alignment horizontal="center"/>
    </xf>
    <xf numFmtId="2" fontId="71" fillId="2" borderId="1" xfId="3" applyNumberFormat="1" applyFont="1" applyFill="1" applyBorder="1" applyAlignment="1">
      <alignment horizontal="center" vertical="center"/>
    </xf>
    <xf numFmtId="2" fontId="71" fillId="8" borderId="1" xfId="3" applyNumberFormat="1" applyFont="1" applyFill="1" applyBorder="1" applyAlignment="1">
      <alignment horizontal="center"/>
    </xf>
    <xf numFmtId="2" fontId="71" fillId="8" borderId="8" xfId="3" applyNumberFormat="1" applyFont="1" applyFill="1" applyBorder="1" applyAlignment="1">
      <alignment horizontal="center"/>
    </xf>
    <xf numFmtId="0" fontId="71" fillId="0" borderId="1" xfId="4" applyFont="1" applyBorder="1" applyAlignment="1">
      <alignment horizontal="center"/>
    </xf>
    <xf numFmtId="0" fontId="71" fillId="0" borderId="1" xfId="4" applyFont="1" applyFill="1" applyBorder="1" applyAlignment="1">
      <alignment horizontal="center"/>
    </xf>
    <xf numFmtId="0" fontId="71" fillId="2" borderId="1" xfId="4" applyFont="1" applyFill="1" applyBorder="1" applyAlignment="1">
      <alignment horizontal="center"/>
    </xf>
    <xf numFmtId="0" fontId="71" fillId="8" borderId="1" xfId="3" applyFont="1" applyFill="1" applyBorder="1" applyAlignment="1">
      <alignment horizontal="center"/>
    </xf>
    <xf numFmtId="0" fontId="71" fillId="2" borderId="1" xfId="3" applyFont="1" applyFill="1" applyBorder="1" applyAlignment="1">
      <alignment horizontal="center"/>
    </xf>
    <xf numFmtId="0" fontId="71" fillId="0" borderId="1" xfId="4" applyFont="1" applyBorder="1" applyAlignment="1">
      <alignment horizontal="center" vertical="center"/>
    </xf>
    <xf numFmtId="2" fontId="71" fillId="8" borderId="1" xfId="3" applyNumberFormat="1" applyFont="1" applyFill="1" applyBorder="1" applyAlignment="1">
      <alignment horizontal="center" vertical="center"/>
    </xf>
    <xf numFmtId="0" fontId="71" fillId="8" borderId="1" xfId="3" applyFont="1" applyFill="1" applyBorder="1" applyAlignment="1">
      <alignment horizontal="center" vertical="center"/>
    </xf>
    <xf numFmtId="0" fontId="71" fillId="0" borderId="1" xfId="4" applyFont="1" applyFill="1" applyBorder="1" applyAlignment="1">
      <alignment horizontal="center" vertical="center"/>
    </xf>
    <xf numFmtId="0" fontId="71" fillId="15" borderId="1" xfId="3" applyFont="1" applyFill="1" applyBorder="1" applyAlignment="1">
      <alignment vertical="center"/>
    </xf>
    <xf numFmtId="1" fontId="71" fillId="2" borderId="1" xfId="3" applyNumberFormat="1" applyFont="1" applyFill="1" applyBorder="1" applyAlignment="1">
      <alignment horizontal="center" vertical="center"/>
    </xf>
    <xf numFmtId="0" fontId="71" fillId="2" borderId="1" xfId="4" applyFont="1" applyFill="1" applyBorder="1" applyAlignment="1"/>
    <xf numFmtId="0" fontId="71" fillId="0" borderId="1" xfId="4" applyFont="1" applyFill="1" applyBorder="1" applyAlignment="1">
      <alignment horizontal="center" wrapText="1"/>
    </xf>
    <xf numFmtId="0" fontId="71" fillId="0" borderId="1" xfId="3" applyFont="1" applyFill="1" applyBorder="1" applyAlignment="1">
      <alignment horizontal="center"/>
    </xf>
    <xf numFmtId="0" fontId="71" fillId="10" borderId="24" xfId="4" applyFont="1" applyFill="1" applyBorder="1" applyAlignment="1">
      <alignment horizontal="center" vertical="center"/>
    </xf>
    <xf numFmtId="0" fontId="71" fillId="12" borderId="1" xfId="4" applyFont="1" applyFill="1" applyBorder="1" applyAlignment="1">
      <alignment horizontal="center"/>
    </xf>
    <xf numFmtId="2" fontId="71" fillId="8" borderId="7" xfId="3" applyNumberFormat="1" applyFont="1" applyFill="1" applyBorder="1" applyAlignment="1">
      <alignment horizontal="center"/>
    </xf>
    <xf numFmtId="0" fontId="66" fillId="0" borderId="1" xfId="4" applyFont="1" applyFill="1" applyBorder="1" applyAlignment="1">
      <alignment horizontal="center"/>
    </xf>
    <xf numFmtId="1" fontId="66" fillId="0" borderId="1" xfId="5" applyNumberFormat="1" applyFont="1" applyFill="1" applyBorder="1" applyAlignment="1">
      <alignment horizontal="center" vertical="center"/>
    </xf>
    <xf numFmtId="0" fontId="66" fillId="0" borderId="1" xfId="4" applyFont="1" applyFill="1" applyBorder="1" applyAlignment="1">
      <alignment horizontal="center" vertical="center"/>
    </xf>
    <xf numFmtId="0" fontId="66" fillId="2" borderId="1" xfId="4" applyFont="1" applyFill="1" applyBorder="1" applyAlignment="1">
      <alignment horizontal="center" wrapText="1"/>
    </xf>
    <xf numFmtId="0" fontId="66" fillId="0" borderId="1" xfId="4" applyFont="1" applyFill="1" applyBorder="1" applyAlignment="1">
      <alignment horizontal="center" wrapText="1"/>
    </xf>
    <xf numFmtId="0" fontId="66" fillId="0" borderId="1" xfId="4" applyFont="1" applyBorder="1" applyAlignment="1">
      <alignment horizontal="center" wrapText="1"/>
    </xf>
    <xf numFmtId="0" fontId="66" fillId="10" borderId="24" xfId="4" applyFont="1" applyFill="1" applyBorder="1" applyAlignment="1">
      <alignment horizontal="center" vertical="center"/>
    </xf>
    <xf numFmtId="0" fontId="66" fillId="0" borderId="1" xfId="0" applyFont="1" applyBorder="1" applyAlignment="1">
      <alignment horizontal="center"/>
    </xf>
    <xf numFmtId="0" fontId="66" fillId="0" borderId="1" xfId="0" applyFont="1" applyFill="1" applyBorder="1" applyAlignment="1">
      <alignment horizontal="center"/>
    </xf>
    <xf numFmtId="1" fontId="66" fillId="0" borderId="1" xfId="0" applyNumberFormat="1" applyFont="1" applyFill="1" applyBorder="1" applyAlignment="1">
      <alignment horizontal="center"/>
    </xf>
    <xf numFmtId="0" fontId="66" fillId="0" borderId="0" xfId="0" applyFont="1" applyBorder="1"/>
    <xf numFmtId="0" fontId="81" fillId="0" borderId="0" xfId="0" applyFont="1"/>
    <xf numFmtId="0" fontId="66" fillId="0" borderId="0" xfId="0" applyFont="1"/>
    <xf numFmtId="1" fontId="82" fillId="20" borderId="1" xfId="5" applyNumberFormat="1" applyFont="1" applyFill="1" applyBorder="1" applyAlignment="1">
      <alignment horizontal="center" vertical="center"/>
    </xf>
    <xf numFmtId="0" fontId="78" fillId="21" borderId="21" xfId="3" applyFont="1" applyFill="1" applyBorder="1" applyAlignment="1">
      <alignment horizontal="left"/>
    </xf>
    <xf numFmtId="0" fontId="77" fillId="21" borderId="1" xfId="3" applyFont="1" applyFill="1" applyBorder="1" applyAlignment="1">
      <alignment horizontal="left"/>
    </xf>
    <xf numFmtId="0" fontId="82" fillId="21" borderId="1" xfId="3" applyFont="1" applyFill="1" applyBorder="1" applyAlignment="1">
      <alignment horizontal="center"/>
    </xf>
    <xf numFmtId="0" fontId="82" fillId="21" borderId="1" xfId="4" applyFont="1" applyFill="1" applyBorder="1" applyAlignment="1">
      <alignment horizontal="center"/>
    </xf>
    <xf numFmtId="1" fontId="82" fillId="21" borderId="1" xfId="5" applyNumberFormat="1" applyFont="1" applyFill="1" applyBorder="1" applyAlignment="1">
      <alignment horizontal="center" vertical="center"/>
    </xf>
    <xf numFmtId="1" fontId="82" fillId="21" borderId="1" xfId="3" applyNumberFormat="1" applyFont="1" applyFill="1" applyBorder="1" applyAlignment="1">
      <alignment horizontal="center"/>
    </xf>
    <xf numFmtId="0" fontId="82" fillId="21" borderId="1" xfId="3" applyNumberFormat="1" applyFont="1" applyFill="1" applyBorder="1" applyAlignment="1">
      <alignment horizontal="center"/>
    </xf>
    <xf numFmtId="1" fontId="82" fillId="21" borderId="15" xfId="5" applyNumberFormat="1" applyFont="1" applyFill="1" applyBorder="1" applyAlignment="1" applyProtection="1">
      <alignment horizontal="center"/>
    </xf>
    <xf numFmtId="0" fontId="78" fillId="21" borderId="21" xfId="3" applyFont="1" applyFill="1" applyBorder="1" applyAlignment="1">
      <alignment horizontal="left" vertical="center"/>
    </xf>
    <xf numFmtId="0" fontId="77" fillId="21" borderId="1" xfId="3" applyFont="1" applyFill="1" applyBorder="1" applyAlignment="1">
      <alignment horizontal="left" vertical="center"/>
    </xf>
    <xf numFmtId="2" fontId="82" fillId="21" borderId="1" xfId="3" applyNumberFormat="1" applyFont="1" applyFill="1" applyBorder="1" applyAlignment="1">
      <alignment horizontal="center"/>
    </xf>
    <xf numFmtId="0" fontId="65" fillId="8" borderId="21" xfId="3" applyFont="1" applyFill="1" applyBorder="1" applyAlignment="1">
      <alignment horizontal="left" vertical="center"/>
    </xf>
    <xf numFmtId="0" fontId="67" fillId="8" borderId="1" xfId="3" applyFont="1" applyFill="1" applyBorder="1" applyAlignment="1">
      <alignment horizontal="left" vertical="center"/>
    </xf>
    <xf numFmtId="1" fontId="71" fillId="20" borderId="1" xfId="5" applyNumberFormat="1" applyFont="1" applyFill="1" applyBorder="1" applyAlignment="1">
      <alignment horizontal="center" vertical="center"/>
    </xf>
    <xf numFmtId="1" fontId="71" fillId="8" borderId="1" xfId="3" applyNumberFormat="1" applyFont="1" applyFill="1" applyBorder="1" applyAlignment="1">
      <alignment horizontal="center"/>
    </xf>
    <xf numFmtId="0" fontId="71" fillId="2" borderId="1" xfId="3" applyNumberFormat="1" applyFont="1" applyFill="1" applyBorder="1" applyAlignment="1">
      <alignment horizontal="center"/>
    </xf>
    <xf numFmtId="1" fontId="71" fillId="8" borderId="15" xfId="5" applyNumberFormat="1" applyFont="1" applyFill="1" applyBorder="1" applyAlignment="1" applyProtection="1">
      <alignment horizontal="center"/>
    </xf>
    <xf numFmtId="0" fontId="65" fillId="8" borderId="27" xfId="3" applyFont="1" applyFill="1" applyBorder="1" applyAlignment="1">
      <alignment horizontal="left" vertical="center"/>
    </xf>
    <xf numFmtId="0" fontId="65" fillId="8" borderId="5" xfId="3" applyFont="1" applyFill="1" applyBorder="1" applyAlignment="1">
      <alignment horizontal="left" vertical="center"/>
    </xf>
    <xf numFmtId="0" fontId="65" fillId="8" borderId="13" xfId="3" applyFont="1" applyFill="1" applyBorder="1" applyAlignment="1">
      <alignment horizontal="left" vertical="center"/>
    </xf>
    <xf numFmtId="0" fontId="71" fillId="8" borderId="8" xfId="3" applyFont="1" applyFill="1" applyBorder="1" applyAlignment="1">
      <alignment horizontal="center"/>
    </xf>
    <xf numFmtId="1" fontId="71" fillId="2" borderId="8" xfId="3" applyNumberFormat="1" applyFont="1" applyFill="1" applyBorder="1" applyAlignment="1">
      <alignment horizontal="center"/>
    </xf>
    <xf numFmtId="167" fontId="65" fillId="8" borderId="21" xfId="3" applyNumberFormat="1" applyFont="1" applyFill="1" applyBorder="1" applyAlignment="1">
      <alignment vertical="center"/>
    </xf>
    <xf numFmtId="167" fontId="67" fillId="8" borderId="1" xfId="3" applyNumberFormat="1" applyFont="1" applyFill="1" applyBorder="1" applyAlignment="1">
      <alignment vertical="center"/>
    </xf>
    <xf numFmtId="1" fontId="71" fillId="2" borderId="1" xfId="5" applyNumberFormat="1" applyFont="1" applyFill="1" applyBorder="1" applyAlignment="1">
      <alignment horizontal="center" vertical="center"/>
    </xf>
    <xf numFmtId="1" fontId="71" fillId="12" borderId="1" xfId="3" applyNumberFormat="1" applyFont="1" applyFill="1" applyBorder="1" applyAlignment="1">
      <alignment horizontal="center"/>
    </xf>
    <xf numFmtId="2" fontId="71" fillId="8" borderId="1" xfId="3" applyNumberFormat="1" applyFont="1" applyFill="1" applyBorder="1" applyAlignment="1">
      <alignment horizontal="right"/>
    </xf>
    <xf numFmtId="0" fontId="65" fillId="16" borderId="21" xfId="3" applyFont="1" applyFill="1" applyBorder="1" applyAlignment="1">
      <alignment horizontal="center"/>
    </xf>
    <xf numFmtId="0" fontId="67" fillId="16" borderId="1" xfId="3" applyFont="1" applyFill="1" applyBorder="1" applyAlignment="1">
      <alignment horizontal="center"/>
    </xf>
    <xf numFmtId="1" fontId="71" fillId="8" borderId="1" xfId="5" applyNumberFormat="1" applyFont="1" applyFill="1" applyBorder="1" applyAlignment="1">
      <alignment horizontal="center" vertical="center"/>
    </xf>
    <xf numFmtId="2" fontId="71" fillId="2" borderId="1" xfId="3" applyNumberFormat="1" applyFont="1" applyFill="1" applyBorder="1" applyAlignment="1">
      <alignment horizontal="center"/>
    </xf>
    <xf numFmtId="0" fontId="71" fillId="0" borderId="1" xfId="4" applyFont="1" applyBorder="1"/>
    <xf numFmtId="164" fontId="71" fillId="20" borderId="1" xfId="5" applyNumberFormat="1" applyFont="1" applyFill="1" applyBorder="1" applyAlignment="1">
      <alignment horizontal="center" vertical="center"/>
    </xf>
    <xf numFmtId="1" fontId="71" fillId="12" borderId="1" xfId="5" applyNumberFormat="1" applyFont="1" applyFill="1" applyBorder="1" applyAlignment="1" applyProtection="1">
      <alignment horizontal="center"/>
    </xf>
    <xf numFmtId="1" fontId="66" fillId="8" borderId="1" xfId="9" applyNumberFormat="1" applyFont="1" applyFill="1" applyBorder="1" applyAlignment="1">
      <alignment horizontal="center"/>
    </xf>
    <xf numFmtId="0" fontId="66" fillId="21" borderId="1" xfId="4" applyFont="1" applyFill="1" applyBorder="1" applyAlignment="1">
      <alignment horizontal="center"/>
    </xf>
    <xf numFmtId="0" fontId="72" fillId="12" borderId="1" xfId="4" applyFont="1" applyFill="1" applyBorder="1" applyAlignment="1">
      <alignment horizontal="center"/>
    </xf>
    <xf numFmtId="1" fontId="71" fillId="2" borderId="8" xfId="5" applyNumberFormat="1" applyFont="1" applyFill="1" applyBorder="1" applyAlignment="1">
      <alignment horizontal="center" vertical="center"/>
    </xf>
    <xf numFmtId="171" fontId="48" fillId="0" borderId="0" xfId="0" applyNumberFormat="1" applyFont="1"/>
    <xf numFmtId="1" fontId="80" fillId="0" borderId="5" xfId="0" applyNumberFormat="1" applyFont="1" applyBorder="1"/>
    <xf numFmtId="1" fontId="66" fillId="0" borderId="1" xfId="3" applyNumberFormat="1" applyFont="1" applyFill="1" applyBorder="1" applyAlignment="1">
      <alignment horizontal="center"/>
    </xf>
    <xf numFmtId="2" fontId="66" fillId="0" borderId="1" xfId="3" applyNumberFormat="1" applyFont="1" applyFill="1" applyBorder="1" applyAlignment="1">
      <alignment horizontal="center"/>
    </xf>
    <xf numFmtId="1" fontId="66" fillId="0" borderId="15" xfId="5" applyNumberFormat="1" applyFont="1" applyFill="1" applyBorder="1" applyAlignment="1" applyProtection="1">
      <alignment horizontal="center"/>
    </xf>
    <xf numFmtId="172" fontId="48" fillId="0" borderId="0" xfId="0" applyNumberFormat="1" applyFont="1"/>
    <xf numFmtId="0" fontId="66" fillId="12" borderId="1" xfId="3" applyFont="1" applyFill="1" applyBorder="1" applyAlignment="1">
      <alignment horizontal="center"/>
    </xf>
    <xf numFmtId="0" fontId="38" fillId="0" borderId="0" xfId="0" applyFont="1" applyFill="1"/>
    <xf numFmtId="172" fontId="48" fillId="0" borderId="0" xfId="0" applyNumberFormat="1" applyFont="1" applyFill="1"/>
    <xf numFmtId="171" fontId="48" fillId="0" borderId="0" xfId="0" applyNumberFormat="1" applyFont="1" applyFill="1"/>
    <xf numFmtId="1" fontId="48" fillId="0" borderId="0" xfId="0" applyNumberFormat="1" applyFont="1" applyFill="1"/>
    <xf numFmtId="1" fontId="80" fillId="0" borderId="0" xfId="0" applyNumberFormat="1" applyFont="1" applyFill="1"/>
    <xf numFmtId="1" fontId="80" fillId="0" borderId="5" xfId="0" applyNumberFormat="1" applyFont="1" applyFill="1" applyBorder="1"/>
    <xf numFmtId="0" fontId="83" fillId="0" borderId="0" xfId="0" applyFont="1" applyFill="1" applyAlignment="1">
      <alignment horizontal="center"/>
    </xf>
    <xf numFmtId="0" fontId="84" fillId="0" borderId="0" xfId="0" applyFont="1" applyFill="1" applyAlignment="1">
      <alignment horizontal="center"/>
    </xf>
    <xf numFmtId="1" fontId="83" fillId="0" borderId="0" xfId="0" applyNumberFormat="1" applyFont="1" applyFill="1" applyAlignment="1">
      <alignment horizontal="center"/>
    </xf>
    <xf numFmtId="1" fontId="85" fillId="0" borderId="0" xfId="0" applyNumberFormat="1" applyFont="1" applyFill="1" applyAlignment="1">
      <alignment horizontal="center"/>
    </xf>
    <xf numFmtId="1" fontId="85" fillId="0" borderId="5" xfId="0" applyNumberFormat="1" applyFont="1" applyFill="1" applyBorder="1" applyAlignment="1">
      <alignment horizontal="center"/>
    </xf>
    <xf numFmtId="1" fontId="48" fillId="12" borderId="0" xfId="0" applyNumberFormat="1" applyFont="1" applyFill="1"/>
    <xf numFmtId="1" fontId="83" fillId="12" borderId="0" xfId="0" applyNumberFormat="1" applyFont="1" applyFill="1" applyAlignment="1">
      <alignment horizontal="center"/>
    </xf>
    <xf numFmtId="0" fontId="48" fillId="0" borderId="0" xfId="0" applyFont="1" applyAlignment="1">
      <alignment horizontal="center"/>
    </xf>
    <xf numFmtId="0" fontId="38" fillId="0" borderId="0" xfId="0" applyFont="1" applyAlignment="1">
      <alignment horizontal="center"/>
    </xf>
    <xf numFmtId="173" fontId="48" fillId="0" borderId="0" xfId="0" applyNumberFormat="1" applyFont="1" applyAlignment="1">
      <alignment horizontal="center"/>
    </xf>
    <xf numFmtId="173" fontId="48" fillId="12" borderId="0" xfId="0" applyNumberFormat="1" applyFont="1" applyFill="1" applyAlignment="1">
      <alignment horizontal="center"/>
    </xf>
    <xf numFmtId="173" fontId="48" fillId="0" borderId="0" xfId="0" applyNumberFormat="1" applyFont="1" applyFill="1" applyAlignment="1">
      <alignment horizontal="center"/>
    </xf>
    <xf numFmtId="172" fontId="48" fillId="12" borderId="0" xfId="0" applyNumberFormat="1" applyFont="1" applyFill="1"/>
    <xf numFmtId="172" fontId="83" fillId="12" borderId="0" xfId="0" applyNumberFormat="1" applyFont="1" applyFill="1" applyAlignment="1">
      <alignment horizontal="center"/>
    </xf>
    <xf numFmtId="0" fontId="62" fillId="0" borderId="21" xfId="4" applyFont="1" applyFill="1" applyBorder="1"/>
    <xf numFmtId="0" fontId="63" fillId="0" borderId="1" xfId="0" applyFont="1" applyFill="1" applyBorder="1"/>
    <xf numFmtId="0" fontId="66" fillId="0" borderId="1" xfId="4" applyFont="1" applyFill="1" applyBorder="1"/>
    <xf numFmtId="164" fontId="49" fillId="0" borderId="0" xfId="5" applyNumberFormat="1" applyFont="1" applyFill="1" applyBorder="1" applyAlignment="1" applyProtection="1">
      <alignment horizontal="center"/>
    </xf>
    <xf numFmtId="0" fontId="50" fillId="0" borderId="0" xfId="0" applyFont="1" applyFill="1" applyBorder="1"/>
    <xf numFmtId="0" fontId="50" fillId="0" borderId="0" xfId="0" applyFont="1" applyFill="1"/>
    <xf numFmtId="1" fontId="60" fillId="9" borderId="1" xfId="3" applyNumberFormat="1" applyFont="1" applyFill="1" applyBorder="1" applyAlignment="1">
      <alignment horizontal="center" vertical="center"/>
    </xf>
    <xf numFmtId="1" fontId="66" fillId="0" borderId="1" xfId="4" applyNumberFormat="1" applyFont="1" applyBorder="1" applyAlignment="1">
      <alignment horizontal="center"/>
    </xf>
    <xf numFmtId="1" fontId="66" fillId="15" borderId="1" xfId="3" applyNumberFormat="1" applyFont="1" applyFill="1" applyBorder="1" applyAlignment="1">
      <alignment horizontal="center"/>
    </xf>
    <xf numFmtId="1" fontId="66" fillId="21" borderId="1" xfId="4" applyNumberFormat="1" applyFont="1" applyFill="1" applyBorder="1" applyAlignment="1">
      <alignment horizontal="center"/>
    </xf>
    <xf numFmtId="1" fontId="66" fillId="2" borderId="1" xfId="4" applyNumberFormat="1" applyFont="1" applyFill="1" applyBorder="1" applyAlignment="1">
      <alignment horizontal="center"/>
    </xf>
    <xf numFmtId="1" fontId="66" fillId="0" borderId="1" xfId="4" applyNumberFormat="1" applyFont="1" applyBorder="1" applyAlignment="1">
      <alignment horizontal="center" vertical="center"/>
    </xf>
    <xf numFmtId="1" fontId="66" fillId="0" borderId="1" xfId="4" applyNumberFormat="1" applyFont="1" applyFill="1" applyBorder="1" applyAlignment="1">
      <alignment horizontal="center" vertical="center"/>
    </xf>
    <xf numFmtId="1" fontId="66" fillId="15" borderId="1" xfId="3" applyNumberFormat="1" applyFont="1" applyFill="1" applyBorder="1" applyAlignment="1">
      <alignment vertical="center"/>
    </xf>
    <xf numFmtId="1" fontId="66" fillId="0" borderId="1" xfId="4" applyNumberFormat="1" applyFont="1" applyFill="1" applyBorder="1" applyAlignment="1">
      <alignment horizontal="center"/>
    </xf>
    <xf numFmtId="1" fontId="66" fillId="2" borderId="1" xfId="4" applyNumberFormat="1" applyFont="1" applyFill="1" applyBorder="1" applyAlignment="1"/>
    <xf numFmtId="1" fontId="66" fillId="2" borderId="1" xfId="4" applyNumberFormat="1" applyFont="1" applyFill="1" applyBorder="1" applyAlignment="1">
      <alignment horizontal="center" wrapText="1"/>
    </xf>
    <xf numFmtId="1" fontId="66" fillId="0" borderId="1" xfId="4" applyNumberFormat="1" applyFont="1" applyFill="1" applyBorder="1" applyAlignment="1">
      <alignment horizontal="center" wrapText="1"/>
    </xf>
    <xf numFmtId="1" fontId="66" fillId="0" borderId="1" xfId="4" applyNumberFormat="1" applyFont="1" applyBorder="1" applyAlignment="1">
      <alignment horizontal="center" wrapText="1"/>
    </xf>
    <xf numFmtId="1" fontId="71" fillId="0" borderId="1" xfId="3" applyNumberFormat="1" applyFont="1" applyFill="1" applyBorder="1" applyAlignment="1">
      <alignment horizontal="center"/>
    </xf>
    <xf numFmtId="1" fontId="66" fillId="10" borderId="24" xfId="4" applyNumberFormat="1" applyFont="1" applyFill="1" applyBorder="1" applyAlignment="1">
      <alignment horizontal="center" vertical="center"/>
    </xf>
    <xf numFmtId="1" fontId="66" fillId="0" borderId="1" xfId="0" applyNumberFormat="1" applyFont="1" applyBorder="1" applyAlignment="1">
      <alignment horizontal="center"/>
    </xf>
    <xf numFmtId="1" fontId="66" fillId="0" borderId="0" xfId="0" applyNumberFormat="1" applyFont="1" applyBorder="1"/>
    <xf numFmtId="1" fontId="66" fillId="12" borderId="1" xfId="4" applyNumberFormat="1" applyFont="1" applyFill="1" applyBorder="1" applyAlignment="1">
      <alignment horizontal="center"/>
    </xf>
    <xf numFmtId="1" fontId="81" fillId="0" borderId="0" xfId="0" applyNumberFormat="1" applyFont="1"/>
    <xf numFmtId="1" fontId="66" fillId="0" borderId="0" xfId="0" applyNumberFormat="1" applyFont="1"/>
    <xf numFmtId="1" fontId="82" fillId="21" borderId="1" xfId="4" applyNumberFormat="1" applyFont="1" applyFill="1" applyBorder="1" applyAlignment="1">
      <alignment horizontal="center"/>
    </xf>
    <xf numFmtId="1" fontId="71" fillId="0" borderId="1" xfId="4" applyNumberFormat="1" applyFont="1" applyBorder="1" applyAlignment="1">
      <alignment horizontal="center"/>
    </xf>
    <xf numFmtId="1" fontId="72" fillId="0" borderId="1" xfId="4" applyNumberFormat="1" applyFont="1" applyBorder="1" applyAlignment="1">
      <alignment horizontal="center"/>
    </xf>
    <xf numFmtId="1" fontId="73" fillId="2" borderId="1" xfId="4" applyNumberFormat="1" applyFont="1" applyFill="1" applyBorder="1" applyAlignment="1">
      <alignment horizontal="center"/>
    </xf>
    <xf numFmtId="1" fontId="75" fillId="8" borderId="1" xfId="3" applyNumberFormat="1" applyFont="1" applyFill="1" applyBorder="1" applyAlignment="1">
      <alignment horizontal="center"/>
    </xf>
    <xf numFmtId="1" fontId="73" fillId="2" borderId="1" xfId="3" applyNumberFormat="1" applyFont="1" applyFill="1" applyBorder="1" applyAlignment="1">
      <alignment horizontal="center"/>
    </xf>
    <xf numFmtId="1" fontId="72" fillId="2" borderId="1" xfId="4" applyNumberFormat="1" applyFont="1" applyFill="1" applyBorder="1" applyAlignment="1">
      <alignment horizontal="center" wrapText="1"/>
    </xf>
    <xf numFmtId="1" fontId="72" fillId="2" borderId="1" xfId="4" applyNumberFormat="1" applyFont="1" applyFill="1" applyBorder="1" applyAlignment="1">
      <alignment horizontal="center"/>
    </xf>
    <xf numFmtId="1" fontId="72" fillId="10" borderId="24" xfId="4" applyNumberFormat="1" applyFont="1" applyFill="1" applyBorder="1" applyAlignment="1">
      <alignment horizontal="center" vertical="center"/>
    </xf>
    <xf numFmtId="1" fontId="71" fillId="0" borderId="0" xfId="0" applyNumberFormat="1" applyFont="1" applyBorder="1"/>
    <xf numFmtId="1" fontId="72" fillId="0" borderId="1" xfId="4" applyNumberFormat="1" applyFont="1" applyFill="1" applyBorder="1" applyAlignment="1">
      <alignment horizontal="center"/>
    </xf>
    <xf numFmtId="1" fontId="72" fillId="12" borderId="1" xfId="4" applyNumberFormat="1" applyFont="1" applyFill="1" applyBorder="1" applyAlignment="1">
      <alignment horizontal="center"/>
    </xf>
    <xf numFmtId="0" fontId="87" fillId="0" borderId="0" xfId="0" applyFont="1" applyFill="1"/>
    <xf numFmtId="0" fontId="15" fillId="0" borderId="0" xfId="2" applyAlignment="1" applyProtection="1"/>
    <xf numFmtId="0" fontId="15" fillId="0" borderId="0" xfId="2" applyFill="1" applyAlignment="1" applyProtection="1"/>
    <xf numFmtId="0" fontId="86" fillId="0" borderId="0" xfId="16" applyAlignment="1" applyProtection="1"/>
    <xf numFmtId="1" fontId="15" fillId="0" borderId="0" xfId="2" applyNumberFormat="1" applyAlignment="1" applyProtection="1"/>
    <xf numFmtId="1" fontId="66" fillId="12" borderId="1" xfId="5" applyNumberFormat="1" applyFont="1" applyFill="1" applyBorder="1" applyAlignment="1">
      <alignment horizontal="center" vertical="center"/>
    </xf>
    <xf numFmtId="1" fontId="66" fillId="12" borderId="15" xfId="5" applyNumberFormat="1" applyFont="1" applyFill="1" applyBorder="1" applyAlignment="1" applyProtection="1">
      <alignment horizontal="center"/>
    </xf>
    <xf numFmtId="0" fontId="48" fillId="12" borderId="0" xfId="0" applyFont="1" applyFill="1"/>
    <xf numFmtId="1" fontId="50" fillId="0" borderId="0" xfId="0" applyNumberFormat="1" applyFont="1"/>
    <xf numFmtId="1" fontId="50" fillId="0" borderId="0" xfId="0" applyNumberFormat="1" applyFont="1" applyFill="1"/>
    <xf numFmtId="1" fontId="57" fillId="0" borderId="0" xfId="0" applyNumberFormat="1" applyFont="1" applyFill="1"/>
    <xf numFmtId="1" fontId="74" fillId="12" borderId="1" xfId="5" applyNumberFormat="1" applyFont="1" applyFill="1" applyBorder="1" applyAlignment="1">
      <alignment horizontal="center" vertical="center"/>
    </xf>
    <xf numFmtId="0" fontId="71" fillId="0" borderId="4" xfId="0" applyFont="1" applyFill="1" applyBorder="1"/>
    <xf numFmtId="1" fontId="89" fillId="0" borderId="1" xfId="0" applyNumberFormat="1" applyFont="1" applyFill="1" applyBorder="1" applyAlignment="1">
      <alignment horizontal="center" wrapText="1"/>
    </xf>
    <xf numFmtId="0" fontId="72" fillId="12" borderId="1" xfId="4" applyFont="1" applyFill="1" applyBorder="1" applyAlignment="1">
      <alignment horizontal="center" wrapText="1"/>
    </xf>
    <xf numFmtId="0" fontId="66" fillId="12" borderId="1" xfId="0" applyFont="1" applyFill="1" applyBorder="1" applyAlignment="1">
      <alignment horizontal="center"/>
    </xf>
    <xf numFmtId="0" fontId="65" fillId="0" borderId="1" xfId="0" applyFont="1" applyBorder="1"/>
    <xf numFmtId="0" fontId="67" fillId="0" borderId="1" xfId="0" applyFont="1" applyBorder="1"/>
    <xf numFmtId="0" fontId="60" fillId="0" borderId="1" xfId="4" applyFont="1" applyBorder="1" applyAlignment="1">
      <alignment vertical="center"/>
    </xf>
    <xf numFmtId="0" fontId="77" fillId="2" borderId="1" xfId="3" applyFont="1" applyFill="1" applyBorder="1" applyAlignment="1">
      <alignment horizontal="left"/>
    </xf>
    <xf numFmtId="0" fontId="82" fillId="2" borderId="1" xfId="3" applyFont="1" applyFill="1" applyBorder="1" applyAlignment="1">
      <alignment horizontal="center"/>
    </xf>
    <xf numFmtId="0" fontId="82" fillId="2" borderId="1" xfId="4" applyFont="1" applyFill="1" applyBorder="1" applyAlignment="1">
      <alignment horizontal="center"/>
    </xf>
    <xf numFmtId="0" fontId="78" fillId="2" borderId="21" xfId="3" applyFont="1" applyFill="1" applyBorder="1" applyAlignment="1">
      <alignment horizontal="left" vertical="center"/>
    </xf>
    <xf numFmtId="0" fontId="77" fillId="2" borderId="1" xfId="3" applyFont="1" applyFill="1" applyBorder="1" applyAlignment="1">
      <alignment horizontal="left" vertical="center"/>
    </xf>
    <xf numFmtId="0" fontId="60" fillId="2" borderId="21" xfId="3" applyFont="1" applyFill="1" applyBorder="1" applyAlignment="1">
      <alignment horizontal="left"/>
    </xf>
    <xf numFmtId="0" fontId="59" fillId="2" borderId="1" xfId="3" applyFont="1" applyFill="1" applyBorder="1" applyAlignment="1">
      <alignment horizontal="left"/>
    </xf>
    <xf numFmtId="0" fontId="65" fillId="2" borderId="1" xfId="0" applyFont="1" applyFill="1" applyBorder="1"/>
    <xf numFmtId="0" fontId="67" fillId="2" borderId="1" xfId="0" applyFont="1" applyFill="1" applyBorder="1"/>
    <xf numFmtId="0" fontId="60" fillId="2" borderId="1" xfId="4" applyFont="1" applyFill="1" applyBorder="1" applyAlignment="1">
      <alignment vertical="center"/>
    </xf>
    <xf numFmtId="0" fontId="59" fillId="2" borderId="1" xfId="4" applyFont="1" applyFill="1" applyBorder="1" applyAlignment="1">
      <alignment vertical="center"/>
    </xf>
    <xf numFmtId="0" fontId="65" fillId="2" borderId="0" xfId="0" applyFont="1" applyFill="1"/>
    <xf numFmtId="0" fontId="67" fillId="2" borderId="0" xfId="0" applyFont="1" applyFill="1"/>
    <xf numFmtId="0" fontId="71" fillId="2" borderId="0" xfId="0" applyFont="1" applyFill="1"/>
    <xf numFmtId="0" fontId="66" fillId="2" borderId="0" xfId="0" applyFont="1" applyFill="1"/>
    <xf numFmtId="1" fontId="71" fillId="2" borderId="0" xfId="0" applyNumberFormat="1" applyFont="1" applyFill="1"/>
    <xf numFmtId="0" fontId="66" fillId="2" borderId="1" xfId="0" applyFont="1" applyFill="1" applyBorder="1" applyAlignment="1">
      <alignment horizontal="center"/>
    </xf>
    <xf numFmtId="1" fontId="48" fillId="0" borderId="0" xfId="0" applyNumberFormat="1" applyFont="1" applyBorder="1"/>
    <xf numFmtId="0" fontId="91" fillId="0" borderId="0" xfId="0" applyFont="1"/>
    <xf numFmtId="166" fontId="92" fillId="9" borderId="21" xfId="3" applyNumberFormat="1" applyFont="1" applyFill="1" applyBorder="1" applyAlignment="1">
      <alignment horizontal="left"/>
    </xf>
    <xf numFmtId="0" fontId="92" fillId="9" borderId="1" xfId="3" applyFont="1" applyFill="1" applyBorder="1" applyAlignment="1">
      <alignment horizontal="center"/>
    </xf>
    <xf numFmtId="9" fontId="92" fillId="9" borderId="1" xfId="4" applyNumberFormat="1" applyFont="1" applyFill="1" applyBorder="1"/>
    <xf numFmtId="0" fontId="92" fillId="9" borderId="1" xfId="3" applyFont="1" applyFill="1" applyBorder="1" applyAlignment="1">
      <alignment horizontal="center" vertical="center"/>
    </xf>
    <xf numFmtId="1" fontId="92" fillId="9" borderId="15" xfId="3" applyNumberFormat="1" applyFont="1" applyFill="1" applyBorder="1" applyAlignment="1">
      <alignment horizontal="center" vertical="center"/>
    </xf>
    <xf numFmtId="9" fontId="92" fillId="9" borderId="21" xfId="3" applyNumberFormat="1" applyFont="1" applyFill="1" applyBorder="1" applyAlignment="1">
      <alignment horizontal="left"/>
    </xf>
    <xf numFmtId="0" fontId="92" fillId="9" borderId="1" xfId="3" applyFont="1" applyFill="1" applyBorder="1" applyAlignment="1">
      <alignment horizontal="left"/>
    </xf>
    <xf numFmtId="0" fontId="92" fillId="9" borderId="1" xfId="3" applyFont="1" applyFill="1" applyBorder="1" applyAlignment="1"/>
    <xf numFmtId="10" fontId="92" fillId="9" borderId="1" xfId="3" applyNumberFormat="1" applyFont="1" applyFill="1" applyBorder="1" applyAlignment="1">
      <alignment horizontal="center"/>
    </xf>
    <xf numFmtId="1" fontId="92" fillId="9" borderId="1" xfId="3" applyNumberFormat="1" applyFont="1" applyFill="1" applyBorder="1" applyAlignment="1">
      <alignment horizontal="center"/>
    </xf>
    <xf numFmtId="1" fontId="92" fillId="9" borderId="15" xfId="3" applyNumberFormat="1" applyFont="1" applyFill="1" applyBorder="1" applyAlignment="1">
      <alignment horizontal="center"/>
    </xf>
    <xf numFmtId="0" fontId="93" fillId="2" borderId="0" xfId="3" applyFont="1" applyFill="1" applyBorder="1" applyAlignment="1">
      <alignment horizontal="center" vertical="center"/>
    </xf>
    <xf numFmtId="0" fontId="91" fillId="0" borderId="0" xfId="0" applyFont="1" applyBorder="1"/>
    <xf numFmtId="0" fontId="92" fillId="9" borderId="21" xfId="3" applyFont="1" applyFill="1" applyBorder="1"/>
    <xf numFmtId="9" fontId="92" fillId="9" borderId="1" xfId="3" applyNumberFormat="1" applyFont="1" applyFill="1" applyBorder="1" applyAlignment="1">
      <alignment horizontal="left"/>
    </xf>
    <xf numFmtId="2" fontId="92" fillId="9" borderId="1" xfId="3" applyNumberFormat="1" applyFont="1" applyFill="1" applyBorder="1" applyAlignment="1">
      <alignment horizontal="center"/>
    </xf>
    <xf numFmtId="9" fontId="92" fillId="9" borderId="1" xfId="3" applyNumberFormat="1" applyFont="1" applyFill="1" applyBorder="1" applyAlignment="1">
      <alignment horizontal="center"/>
    </xf>
    <xf numFmtId="164" fontId="93" fillId="2" borderId="0" xfId="3" applyNumberFormat="1" applyFont="1" applyFill="1" applyBorder="1" applyAlignment="1">
      <alignment horizontal="center"/>
    </xf>
    <xf numFmtId="0" fontId="92" fillId="8" borderId="21" xfId="3" applyFont="1" applyFill="1" applyBorder="1" applyAlignment="1">
      <alignment horizontal="center" vertical="center"/>
    </xf>
    <xf numFmtId="0" fontId="92" fillId="8" borderId="1" xfId="3" applyFont="1" applyFill="1" applyBorder="1" applyAlignment="1">
      <alignment horizontal="center" vertical="center"/>
    </xf>
    <xf numFmtId="2" fontId="92" fillId="2" borderId="1" xfId="3" applyNumberFormat="1" applyFont="1" applyFill="1" applyBorder="1" applyAlignment="1">
      <alignment horizontal="center" vertical="center"/>
    </xf>
    <xf numFmtId="164" fontId="92" fillId="8" borderId="1" xfId="3" applyNumberFormat="1" applyFont="1" applyFill="1" applyBorder="1" applyAlignment="1">
      <alignment horizontal="center" wrapText="1" shrinkToFit="1"/>
    </xf>
    <xf numFmtId="2" fontId="92" fillId="8" borderId="1" xfId="3" applyNumberFormat="1" applyFont="1" applyFill="1" applyBorder="1" applyAlignment="1">
      <alignment horizontal="center" vertical="center"/>
    </xf>
    <xf numFmtId="1" fontId="92" fillId="8" borderId="1" xfId="3" applyNumberFormat="1" applyFont="1" applyFill="1" applyBorder="1" applyAlignment="1">
      <alignment horizontal="center" vertical="center"/>
    </xf>
    <xf numFmtId="164" fontId="92" fillId="8" borderId="15" xfId="3" applyNumberFormat="1" applyFont="1" applyFill="1" applyBorder="1" applyAlignment="1">
      <alignment horizontal="center" wrapText="1" shrinkToFit="1"/>
    </xf>
    <xf numFmtId="164" fontId="94" fillId="2" borderId="0" xfId="3" applyNumberFormat="1" applyFont="1" applyFill="1" applyBorder="1" applyAlignment="1">
      <alignment horizontal="center" vertical="center" wrapText="1" shrinkToFit="1"/>
    </xf>
    <xf numFmtId="0" fontId="92" fillId="15" borderId="1" xfId="3" applyFont="1" applyFill="1" applyBorder="1" applyAlignment="1">
      <alignment horizontal="center" vertical="center"/>
    </xf>
    <xf numFmtId="0" fontId="92" fillId="15" borderId="1" xfId="3" applyFont="1" applyFill="1" applyBorder="1" applyAlignment="1">
      <alignment horizontal="center"/>
    </xf>
    <xf numFmtId="0" fontId="92" fillId="15" borderId="15" xfId="3" applyFont="1" applyFill="1" applyBorder="1" applyAlignment="1">
      <alignment horizontal="center"/>
    </xf>
    <xf numFmtId="0" fontId="94" fillId="2" borderId="0" xfId="3" applyFont="1" applyFill="1" applyBorder="1" applyAlignment="1">
      <alignment horizontal="center" vertical="center"/>
    </xf>
    <xf numFmtId="0" fontId="92" fillId="8" borderId="21" xfId="3" applyFont="1" applyFill="1" applyBorder="1" applyAlignment="1">
      <alignment horizontal="left" vertical="center"/>
    </xf>
    <xf numFmtId="0" fontId="92" fillId="8" borderId="1" xfId="3" applyFont="1" applyFill="1" applyBorder="1" applyAlignment="1">
      <alignment horizontal="left" vertical="center"/>
    </xf>
    <xf numFmtId="0" fontId="92" fillId="8" borderId="1" xfId="3" applyFont="1" applyFill="1" applyBorder="1" applyAlignment="1">
      <alignment horizontal="center"/>
    </xf>
    <xf numFmtId="2" fontId="92" fillId="8" borderId="1" xfId="3" applyNumberFormat="1" applyFont="1" applyFill="1" applyBorder="1" applyAlignment="1">
      <alignment horizontal="center"/>
    </xf>
    <xf numFmtId="1" fontId="92" fillId="2" borderId="1" xfId="5" applyNumberFormat="1" applyFont="1" applyFill="1" applyBorder="1" applyAlignment="1">
      <alignment horizontal="center" vertical="center"/>
    </xf>
    <xf numFmtId="1" fontId="92" fillId="8" borderId="1" xfId="3" applyNumberFormat="1" applyFont="1" applyFill="1" applyBorder="1" applyAlignment="1">
      <alignment horizontal="center"/>
    </xf>
    <xf numFmtId="0" fontId="92" fillId="2" borderId="1" xfId="3" applyNumberFormat="1" applyFont="1" applyFill="1" applyBorder="1" applyAlignment="1">
      <alignment horizontal="center"/>
    </xf>
    <xf numFmtId="1" fontId="92" fillId="8" borderId="15" xfId="5" applyNumberFormat="1" applyFont="1" applyFill="1" applyBorder="1" applyAlignment="1" applyProtection="1">
      <alignment horizontal="center"/>
    </xf>
    <xf numFmtId="2" fontId="96" fillId="8" borderId="11" xfId="3" applyNumberFormat="1" applyFont="1" applyFill="1" applyBorder="1" applyAlignment="1">
      <alignment horizontal="center"/>
    </xf>
    <xf numFmtId="1" fontId="91" fillId="0" borderId="0" xfId="0" applyNumberFormat="1" applyFont="1"/>
    <xf numFmtId="0" fontId="92" fillId="8" borderId="27" xfId="3" applyFont="1" applyFill="1" applyBorder="1" applyAlignment="1">
      <alignment horizontal="left" vertical="center"/>
    </xf>
    <xf numFmtId="0" fontId="92" fillId="8" borderId="5" xfId="3" applyFont="1" applyFill="1" applyBorder="1" applyAlignment="1">
      <alignment horizontal="left" vertical="center"/>
    </xf>
    <xf numFmtId="0" fontId="92" fillId="8" borderId="13" xfId="3" applyFont="1" applyFill="1" applyBorder="1" applyAlignment="1">
      <alignment horizontal="left" vertical="center"/>
    </xf>
    <xf numFmtId="0" fontId="92" fillId="8" borderId="8" xfId="3" applyFont="1" applyFill="1" applyBorder="1" applyAlignment="1">
      <alignment horizontal="center"/>
    </xf>
    <xf numFmtId="2" fontId="92" fillId="8" borderId="8" xfId="3" applyNumberFormat="1" applyFont="1" applyFill="1" applyBorder="1" applyAlignment="1">
      <alignment horizontal="center"/>
    </xf>
    <xf numFmtId="1" fontId="92" fillId="2" borderId="7" xfId="5" applyNumberFormat="1" applyFont="1" applyFill="1" applyBorder="1" applyAlignment="1">
      <alignment horizontal="center" vertical="center"/>
    </xf>
    <xf numFmtId="1" fontId="92" fillId="2" borderId="8" xfId="3" applyNumberFormat="1" applyFont="1" applyFill="1" applyBorder="1" applyAlignment="1">
      <alignment horizontal="center"/>
    </xf>
    <xf numFmtId="2" fontId="96" fillId="8" borderId="1" xfId="3" applyNumberFormat="1" applyFont="1" applyFill="1" applyBorder="1" applyAlignment="1">
      <alignment horizontal="center"/>
    </xf>
    <xf numFmtId="2" fontId="91" fillId="0" borderId="0" xfId="0" applyNumberFormat="1" applyFont="1"/>
    <xf numFmtId="167" fontId="92" fillId="8" borderId="21" xfId="3" applyNumberFormat="1" applyFont="1" applyFill="1" applyBorder="1" applyAlignment="1">
      <alignment vertical="center"/>
    </xf>
    <xf numFmtId="167" fontId="92" fillId="8" borderId="1" xfId="3" applyNumberFormat="1" applyFont="1" applyFill="1" applyBorder="1" applyAlignment="1">
      <alignment vertical="center"/>
    </xf>
    <xf numFmtId="0" fontId="92" fillId="0" borderId="1" xfId="4" applyFont="1" applyBorder="1" applyAlignment="1">
      <alignment horizontal="center"/>
    </xf>
    <xf numFmtId="1" fontId="92" fillId="12" borderId="1" xfId="3" applyNumberFormat="1" applyFont="1" applyFill="1" applyBorder="1" applyAlignment="1">
      <alignment horizontal="center"/>
    </xf>
    <xf numFmtId="1" fontId="94" fillId="2" borderId="0" xfId="5" applyNumberFormat="1" applyFont="1" applyFill="1" applyBorder="1" applyAlignment="1" applyProtection="1">
      <alignment horizontal="center"/>
    </xf>
    <xf numFmtId="2" fontId="92" fillId="8" borderId="1" xfId="3" applyNumberFormat="1" applyFont="1" applyFill="1" applyBorder="1" applyAlignment="1">
      <alignment horizontal="right"/>
    </xf>
    <xf numFmtId="0" fontId="92" fillId="16" borderId="21" xfId="3" applyFont="1" applyFill="1" applyBorder="1" applyAlignment="1">
      <alignment horizontal="center"/>
    </xf>
    <xf numFmtId="0" fontId="92" fillId="16" borderId="1" xfId="3" applyFont="1" applyFill="1" applyBorder="1" applyAlignment="1">
      <alignment horizontal="center"/>
    </xf>
    <xf numFmtId="1" fontId="92" fillId="8" borderId="1" xfId="5" applyNumberFormat="1" applyFont="1" applyFill="1" applyBorder="1" applyAlignment="1">
      <alignment horizontal="center" vertical="center"/>
    </xf>
    <xf numFmtId="2" fontId="92" fillId="2" borderId="1" xfId="3" applyNumberFormat="1" applyFont="1" applyFill="1" applyBorder="1" applyAlignment="1">
      <alignment horizontal="center"/>
    </xf>
    <xf numFmtId="0" fontId="97" fillId="15" borderId="1" xfId="3" applyFont="1" applyFill="1" applyBorder="1" applyAlignment="1">
      <alignment horizontal="center"/>
    </xf>
    <xf numFmtId="0" fontId="94" fillId="2" borderId="0" xfId="3" applyFont="1" applyFill="1" applyBorder="1" applyAlignment="1">
      <alignment horizontal="center"/>
    </xf>
    <xf numFmtId="0" fontId="92" fillId="8" borderId="21" xfId="3" applyFont="1" applyFill="1" applyBorder="1" applyAlignment="1">
      <alignment horizontal="left"/>
    </xf>
    <xf numFmtId="0" fontId="92" fillId="8" borderId="1" xfId="3" applyFont="1" applyFill="1" applyBorder="1" applyAlignment="1">
      <alignment horizontal="left"/>
    </xf>
    <xf numFmtId="0" fontId="98" fillId="0" borderId="1" xfId="4" applyFont="1" applyBorder="1" applyAlignment="1">
      <alignment horizontal="center"/>
    </xf>
    <xf numFmtId="0" fontId="92" fillId="2" borderId="21" xfId="3" applyFont="1" applyFill="1" applyBorder="1" applyAlignment="1">
      <alignment horizontal="left" vertical="center"/>
    </xf>
    <xf numFmtId="0" fontId="92" fillId="2" borderId="1" xfId="3" applyFont="1" applyFill="1" applyBorder="1" applyAlignment="1">
      <alignment horizontal="left" vertical="center"/>
    </xf>
    <xf numFmtId="0" fontId="92" fillId="2" borderId="1" xfId="3" applyFont="1" applyFill="1" applyBorder="1" applyAlignment="1">
      <alignment horizontal="center"/>
    </xf>
    <xf numFmtId="0" fontId="92" fillId="2" borderId="1" xfId="4" applyFont="1" applyFill="1" applyBorder="1" applyAlignment="1">
      <alignment horizontal="center"/>
    </xf>
    <xf numFmtId="1" fontId="92" fillId="2" borderId="1" xfId="3" applyNumberFormat="1" applyFont="1" applyFill="1" applyBorder="1" applyAlignment="1">
      <alignment horizontal="center"/>
    </xf>
    <xf numFmtId="2" fontId="92" fillId="12" borderId="1" xfId="3" applyNumberFormat="1" applyFont="1" applyFill="1" applyBorder="1" applyAlignment="1">
      <alignment horizontal="center"/>
    </xf>
    <xf numFmtId="1" fontId="92" fillId="2" borderId="15" xfId="5" applyNumberFormat="1" applyFont="1" applyFill="1" applyBorder="1" applyAlignment="1" applyProtection="1">
      <alignment horizontal="center"/>
    </xf>
    <xf numFmtId="1" fontId="97" fillId="15" borderId="1" xfId="3" applyNumberFormat="1" applyFont="1" applyFill="1" applyBorder="1" applyAlignment="1">
      <alignment horizontal="center"/>
    </xf>
    <xf numFmtId="0" fontId="92" fillId="0" borderId="1" xfId="4" applyFont="1" applyBorder="1"/>
    <xf numFmtId="0" fontId="99" fillId="8" borderId="1" xfId="3" applyFont="1" applyFill="1" applyBorder="1" applyAlignment="1">
      <alignment horizontal="center"/>
    </xf>
    <xf numFmtId="164" fontId="99" fillId="8" borderId="1" xfId="5" applyNumberFormat="1" applyFont="1" applyFill="1" applyBorder="1" applyAlignment="1">
      <alignment horizontal="center" vertical="center"/>
    </xf>
    <xf numFmtId="1" fontId="92" fillId="12" borderId="1" xfId="5" applyNumberFormat="1" applyFont="1" applyFill="1" applyBorder="1" applyAlignment="1" applyProtection="1">
      <alignment horizontal="center"/>
    </xf>
    <xf numFmtId="0" fontId="92" fillId="16" borderId="21" xfId="3" applyFont="1" applyFill="1" applyBorder="1" applyAlignment="1">
      <alignment horizontal="center" vertical="center"/>
    </xf>
    <xf numFmtId="0" fontId="92" fillId="16" borderId="1" xfId="3" applyFont="1" applyFill="1" applyBorder="1" applyAlignment="1">
      <alignment horizontal="center" vertical="center"/>
    </xf>
    <xf numFmtId="0" fontId="99" fillId="2" borderId="1" xfId="4" applyFont="1" applyFill="1" applyBorder="1" applyAlignment="1">
      <alignment horizontal="center"/>
    </xf>
    <xf numFmtId="0" fontId="97" fillId="15" borderId="1" xfId="3" applyFont="1" applyFill="1" applyBorder="1" applyAlignment="1">
      <alignment horizontal="center" vertical="center"/>
    </xf>
    <xf numFmtId="1" fontId="92" fillId="15" borderId="1" xfId="3" applyNumberFormat="1" applyFont="1" applyFill="1" applyBorder="1" applyAlignment="1">
      <alignment horizontal="center" vertical="center"/>
    </xf>
    <xf numFmtId="0" fontId="100" fillId="15" borderId="1" xfId="3" applyFont="1" applyFill="1" applyBorder="1" applyAlignment="1">
      <alignment horizontal="center" vertical="center"/>
    </xf>
    <xf numFmtId="1" fontId="92" fillId="15" borderId="15" xfId="3" applyNumberFormat="1" applyFont="1" applyFill="1" applyBorder="1" applyAlignment="1">
      <alignment horizontal="center" vertical="center"/>
    </xf>
    <xf numFmtId="0" fontId="101" fillId="0" borderId="0" xfId="0" applyFont="1" applyBorder="1"/>
    <xf numFmtId="0" fontId="101" fillId="0" borderId="0" xfId="0" applyFont="1"/>
    <xf numFmtId="0" fontId="102" fillId="2" borderId="16" xfId="3" applyFont="1" applyFill="1" applyBorder="1" applyAlignment="1">
      <alignment horizontal="center"/>
    </xf>
    <xf numFmtId="0" fontId="102" fillId="2" borderId="3" xfId="3" applyFont="1" applyFill="1" applyBorder="1" applyAlignment="1">
      <alignment horizontal="center"/>
    </xf>
    <xf numFmtId="0" fontId="102" fillId="2" borderId="4" xfId="3" applyFont="1" applyFill="1" applyBorder="1" applyAlignment="1">
      <alignment horizontal="center"/>
    </xf>
    <xf numFmtId="44" fontId="102" fillId="8" borderId="1" xfId="8" applyFont="1" applyFill="1" applyBorder="1" applyAlignment="1">
      <alignment horizontal="center"/>
    </xf>
    <xf numFmtId="2" fontId="102" fillId="8" borderId="1" xfId="3" applyNumberFormat="1" applyFont="1" applyFill="1" applyBorder="1" applyAlignment="1">
      <alignment horizontal="center"/>
    </xf>
    <xf numFmtId="164" fontId="97" fillId="8" borderId="1" xfId="3" applyNumberFormat="1" applyFont="1" applyFill="1" applyBorder="1" applyAlignment="1">
      <alignment horizontal="center"/>
    </xf>
    <xf numFmtId="1" fontId="100" fillId="8" borderId="1" xfId="3" applyNumberFormat="1" applyFont="1" applyFill="1" applyBorder="1" applyAlignment="1">
      <alignment horizontal="center"/>
    </xf>
    <xf numFmtId="0" fontId="102" fillId="8" borderId="1" xfId="3" applyFont="1" applyFill="1" applyBorder="1" applyAlignment="1">
      <alignment horizontal="center"/>
    </xf>
    <xf numFmtId="1" fontId="102" fillId="8" borderId="1" xfId="5" applyNumberFormat="1" applyFont="1" applyFill="1" applyBorder="1" applyAlignment="1">
      <alignment horizontal="center" vertical="center"/>
    </xf>
    <xf numFmtId="2" fontId="92" fillId="8" borderId="1" xfId="9" applyNumberFormat="1" applyFont="1" applyFill="1" applyBorder="1" applyAlignment="1">
      <alignment horizontal="center"/>
    </xf>
    <xf numFmtId="168" fontId="97" fillId="8" borderId="1" xfId="5" applyNumberFormat="1" applyFont="1" applyFill="1" applyBorder="1" applyAlignment="1" applyProtection="1">
      <alignment horizontal="center" vertical="center"/>
    </xf>
    <xf numFmtId="164" fontId="100" fillId="8" borderId="1" xfId="5" applyNumberFormat="1" applyFont="1" applyFill="1" applyBorder="1" applyAlignment="1" applyProtection="1">
      <alignment horizontal="center"/>
    </xf>
    <xf numFmtId="2" fontId="100" fillId="8" borderId="1" xfId="3" applyNumberFormat="1" applyFont="1" applyFill="1" applyBorder="1" applyAlignment="1">
      <alignment horizontal="right"/>
    </xf>
    <xf numFmtId="0" fontId="102" fillId="16" borderId="16" xfId="3" applyFont="1" applyFill="1" applyBorder="1" applyAlignment="1">
      <alignment horizontal="center"/>
    </xf>
    <xf numFmtId="0" fontId="102" fillId="16" borderId="3" xfId="3" applyFont="1" applyFill="1" applyBorder="1" applyAlignment="1">
      <alignment horizontal="center"/>
    </xf>
    <xf numFmtId="0" fontId="102" fillId="16" borderId="4" xfId="3" applyFont="1" applyFill="1" applyBorder="1" applyAlignment="1">
      <alignment horizontal="center"/>
    </xf>
    <xf numFmtId="0" fontId="99" fillId="2" borderId="1" xfId="3" applyFont="1" applyFill="1" applyBorder="1" applyAlignment="1">
      <alignment horizontal="center"/>
    </xf>
    <xf numFmtId="169" fontId="99" fillId="8" borderId="1" xfId="5" applyNumberFormat="1" applyFont="1" applyFill="1" applyBorder="1" applyAlignment="1" applyProtection="1">
      <alignment horizontal="center" vertical="center"/>
    </xf>
    <xf numFmtId="1" fontId="99" fillId="2" borderId="1" xfId="3" applyNumberFormat="1" applyFont="1" applyFill="1" applyBorder="1" applyAlignment="1">
      <alignment horizontal="center" vertical="top"/>
    </xf>
    <xf numFmtId="0" fontId="92" fillId="15" borderId="21" xfId="3" applyFont="1" applyFill="1" applyBorder="1" applyAlignment="1">
      <alignment horizontal="left"/>
    </xf>
    <xf numFmtId="0" fontId="92" fillId="15" borderId="1" xfId="3" applyFont="1" applyFill="1" applyBorder="1" applyAlignment="1">
      <alignment horizontal="left"/>
    </xf>
    <xf numFmtId="0" fontId="92" fillId="0" borderId="1" xfId="4" applyFont="1" applyBorder="1" applyAlignment="1">
      <alignment horizontal="center" vertical="center"/>
    </xf>
    <xf numFmtId="2" fontId="92" fillId="8" borderId="21" xfId="3" applyNumberFormat="1" applyFont="1" applyFill="1" applyBorder="1" applyAlignment="1">
      <alignment horizontal="left" vertical="center"/>
    </xf>
    <xf numFmtId="2" fontId="92" fillId="8" borderId="1" xfId="3" applyNumberFormat="1" applyFont="1" applyFill="1" applyBorder="1" applyAlignment="1">
      <alignment horizontal="left" vertical="center"/>
    </xf>
    <xf numFmtId="0" fontId="92" fillId="8" borderId="1" xfId="3" applyFont="1" applyFill="1" applyBorder="1" applyAlignment="1">
      <alignment horizontal="left" vertical="justify"/>
    </xf>
    <xf numFmtId="0" fontId="92" fillId="15" borderId="21" xfId="3" applyFont="1" applyFill="1" applyBorder="1" applyAlignment="1"/>
    <xf numFmtId="0" fontId="92" fillId="15" borderId="1" xfId="3" applyFont="1" applyFill="1" applyBorder="1" applyAlignment="1"/>
    <xf numFmtId="0" fontId="92" fillId="15" borderId="1" xfId="3" applyFont="1" applyFill="1" applyBorder="1" applyAlignment="1">
      <alignment vertical="center"/>
    </xf>
    <xf numFmtId="0" fontId="92" fillId="15" borderId="15" xfId="3" applyFont="1" applyFill="1" applyBorder="1" applyAlignment="1"/>
    <xf numFmtId="0" fontId="92" fillId="0" borderId="21" xfId="4" applyFont="1" applyBorder="1" applyAlignment="1">
      <alignment vertical="center"/>
    </xf>
    <xf numFmtId="0" fontId="92" fillId="0" borderId="1" xfId="4" applyFont="1" applyBorder="1" applyAlignment="1">
      <alignment vertical="center"/>
    </xf>
    <xf numFmtId="1" fontId="92" fillId="2" borderId="1" xfId="3" applyNumberFormat="1" applyFont="1" applyFill="1" applyBorder="1" applyAlignment="1">
      <alignment horizontal="center" vertical="center"/>
    </xf>
    <xf numFmtId="164" fontId="92" fillId="2" borderId="1" xfId="5" applyNumberFormat="1" applyFont="1" applyFill="1" applyBorder="1" applyAlignment="1" applyProtection="1">
      <alignment horizontal="center" vertical="center"/>
    </xf>
    <xf numFmtId="164" fontId="92" fillId="8" borderId="1" xfId="5" applyNumberFormat="1" applyFont="1" applyFill="1" applyBorder="1" applyAlignment="1" applyProtection="1">
      <alignment horizontal="center" vertical="top"/>
    </xf>
    <xf numFmtId="2" fontId="94" fillId="2" borderId="0" xfId="5" applyNumberFormat="1" applyFont="1" applyFill="1" applyBorder="1" applyAlignment="1" applyProtection="1">
      <alignment horizontal="center"/>
    </xf>
    <xf numFmtId="165" fontId="94" fillId="2" borderId="0" xfId="6" applyNumberFormat="1" applyFont="1" applyFill="1" applyBorder="1" applyAlignment="1">
      <alignment horizontal="center"/>
    </xf>
    <xf numFmtId="0" fontId="92" fillId="2" borderId="1" xfId="4" applyFont="1" applyFill="1" applyBorder="1" applyAlignment="1">
      <alignment horizontal="left"/>
    </xf>
    <xf numFmtId="0" fontId="92" fillId="2" borderId="1" xfId="4" applyFont="1" applyFill="1" applyBorder="1" applyAlignment="1"/>
    <xf numFmtId="0" fontId="92" fillId="2" borderId="15" xfId="4" applyFont="1" applyFill="1" applyBorder="1" applyAlignment="1"/>
    <xf numFmtId="0" fontId="98" fillId="2" borderId="1" xfId="4" applyFont="1" applyFill="1" applyBorder="1" applyAlignment="1">
      <alignment horizontal="center" wrapText="1"/>
    </xf>
    <xf numFmtId="0" fontId="98" fillId="0" borderId="1" xfId="4" applyFont="1" applyFill="1" applyBorder="1" applyAlignment="1">
      <alignment horizontal="center" wrapText="1"/>
    </xf>
    <xf numFmtId="0" fontId="98" fillId="0" borderId="1" xfId="4" applyFont="1" applyBorder="1" applyAlignment="1">
      <alignment horizontal="center" wrapText="1"/>
    </xf>
    <xf numFmtId="0" fontId="92" fillId="0" borderId="21" xfId="4" applyFont="1" applyBorder="1" applyAlignment="1">
      <alignment horizontal="left"/>
    </xf>
    <xf numFmtId="0" fontId="98" fillId="2" borderId="1" xfId="4" applyFont="1" applyFill="1" applyBorder="1" applyAlignment="1">
      <alignment horizontal="center"/>
    </xf>
    <xf numFmtId="0" fontId="92" fillId="2" borderId="1" xfId="3" applyFont="1" applyFill="1" applyBorder="1" applyAlignment="1">
      <alignment horizontal="center" vertical="center"/>
    </xf>
    <xf numFmtId="0" fontId="98" fillId="0" borderId="21" xfId="4" applyFont="1" applyBorder="1" applyAlignment="1">
      <alignment horizontal="left"/>
    </xf>
    <xf numFmtId="0" fontId="98" fillId="0" borderId="1" xfId="4" applyFont="1" applyBorder="1" applyAlignment="1">
      <alignment horizontal="left"/>
    </xf>
    <xf numFmtId="0" fontId="92" fillId="0" borderId="1" xfId="3" applyFont="1" applyFill="1" applyBorder="1" applyAlignment="1">
      <alignment horizontal="center"/>
    </xf>
    <xf numFmtId="164" fontId="94" fillId="2" borderId="0" xfId="5" applyNumberFormat="1" applyFont="1" applyFill="1" applyBorder="1" applyAlignment="1" applyProtection="1">
      <alignment horizontal="center"/>
    </xf>
    <xf numFmtId="0" fontId="100" fillId="16" borderId="21" xfId="4" applyFont="1" applyFill="1" applyBorder="1"/>
    <xf numFmtId="0" fontId="100" fillId="16" borderId="1" xfId="0" applyFont="1" applyFill="1" applyBorder="1"/>
    <xf numFmtId="0" fontId="96" fillId="0" borderId="0" xfId="0" applyFont="1" applyBorder="1"/>
    <xf numFmtId="0" fontId="96" fillId="0" borderId="0" xfId="0" applyFont="1"/>
    <xf numFmtId="0" fontId="100" fillId="0" borderId="21" xfId="4" applyFont="1" applyFill="1" applyBorder="1"/>
    <xf numFmtId="0" fontId="100" fillId="0" borderId="1" xfId="0" applyFont="1" applyFill="1" applyBorder="1"/>
    <xf numFmtId="0" fontId="92" fillId="0" borderId="1" xfId="4" applyFont="1" applyFill="1" applyBorder="1"/>
    <xf numFmtId="0" fontId="97" fillId="0" borderId="1" xfId="3" applyFont="1" applyFill="1" applyBorder="1" applyAlignment="1">
      <alignment horizontal="center"/>
    </xf>
    <xf numFmtId="1" fontId="92" fillId="0" borderId="1" xfId="3" applyNumberFormat="1" applyFont="1" applyFill="1" applyBorder="1" applyAlignment="1">
      <alignment horizontal="center"/>
    </xf>
    <xf numFmtId="1" fontId="92" fillId="0" borderId="1" xfId="5" applyNumberFormat="1" applyFont="1" applyFill="1" applyBorder="1" applyAlignment="1">
      <alignment horizontal="center" vertical="center"/>
    </xf>
    <xf numFmtId="1" fontId="92" fillId="0" borderId="15" xfId="5" applyNumberFormat="1" applyFont="1" applyFill="1" applyBorder="1" applyAlignment="1" applyProtection="1">
      <alignment horizontal="center"/>
    </xf>
    <xf numFmtId="164" fontId="94" fillId="0" borderId="0" xfId="5" applyNumberFormat="1" applyFont="1" applyFill="1" applyBorder="1" applyAlignment="1" applyProtection="1">
      <alignment horizontal="center"/>
    </xf>
    <xf numFmtId="0" fontId="96" fillId="0" borderId="0" xfId="0" applyFont="1" applyFill="1" applyBorder="1"/>
    <xf numFmtId="0" fontId="96" fillId="0" borderId="0" xfId="0" applyFont="1" applyFill="1"/>
    <xf numFmtId="0" fontId="92" fillId="15" borderId="21" xfId="3" applyFont="1" applyFill="1" applyBorder="1" applyAlignment="1">
      <alignment horizontal="center"/>
    </xf>
    <xf numFmtId="164" fontId="94" fillId="2" borderId="0" xfId="3" applyNumberFormat="1" applyFont="1" applyFill="1" applyBorder="1" applyAlignment="1">
      <alignment horizontal="center"/>
    </xf>
    <xf numFmtId="1" fontId="97" fillId="2" borderId="1" xfId="3" applyNumberFormat="1" applyFont="1" applyFill="1" applyBorder="1" applyAlignment="1">
      <alignment horizontal="center"/>
    </xf>
    <xf numFmtId="43" fontId="92" fillId="8" borderId="1" xfId="7" applyFont="1" applyFill="1" applyBorder="1" applyAlignment="1">
      <alignment horizontal="right" wrapText="1"/>
    </xf>
    <xf numFmtId="0" fontId="92" fillId="10" borderId="32" xfId="3" applyFont="1" applyFill="1" applyBorder="1" applyAlignment="1">
      <alignment horizontal="center" vertical="center"/>
    </xf>
    <xf numFmtId="0" fontId="92" fillId="10" borderId="0" xfId="3" applyFont="1" applyFill="1" applyBorder="1" applyAlignment="1">
      <alignment horizontal="center" vertical="center"/>
    </xf>
    <xf numFmtId="0" fontId="92" fillId="10" borderId="31" xfId="3" applyFont="1" applyFill="1" applyBorder="1" applyAlignment="1">
      <alignment horizontal="center" vertical="center"/>
    </xf>
    <xf numFmtId="2" fontId="92" fillId="10" borderId="24" xfId="3" applyNumberFormat="1" applyFont="1" applyFill="1" applyBorder="1" applyAlignment="1">
      <alignment horizontal="center" vertical="center"/>
    </xf>
    <xf numFmtId="0" fontId="98" fillId="10" borderId="24" xfId="4" applyFont="1" applyFill="1" applyBorder="1" applyAlignment="1">
      <alignment horizontal="center" vertical="center"/>
    </xf>
    <xf numFmtId="1" fontId="92" fillId="10" borderId="24" xfId="5" applyNumberFormat="1" applyFont="1" applyFill="1" applyBorder="1" applyAlignment="1">
      <alignment horizontal="center" vertical="center"/>
    </xf>
    <xf numFmtId="1" fontId="92" fillId="10" borderId="24" xfId="3" applyNumberFormat="1" applyFont="1" applyFill="1" applyBorder="1" applyAlignment="1">
      <alignment horizontal="center" vertical="center"/>
    </xf>
    <xf numFmtId="0" fontId="97" fillId="10" borderId="0" xfId="0" applyFont="1" applyFill="1" applyBorder="1" applyAlignment="1">
      <alignment horizontal="center" vertical="center"/>
    </xf>
    <xf numFmtId="1" fontId="92" fillId="10" borderId="30" xfId="5" applyNumberFormat="1" applyFont="1" applyFill="1" applyBorder="1" applyAlignment="1" applyProtection="1">
      <alignment horizontal="center" vertical="center"/>
    </xf>
    <xf numFmtId="0" fontId="97" fillId="0" borderId="0" xfId="0" applyFont="1" applyBorder="1"/>
    <xf numFmtId="0" fontId="97" fillId="0" borderId="4" xfId="0" applyFont="1" applyBorder="1" applyAlignment="1">
      <alignment horizontal="center"/>
    </xf>
    <xf numFmtId="0" fontId="97" fillId="0" borderId="1" xfId="0" applyFont="1" applyBorder="1" applyAlignment="1">
      <alignment horizontal="center"/>
    </xf>
    <xf numFmtId="1" fontId="97" fillId="0" borderId="1" xfId="0" applyNumberFormat="1" applyFont="1" applyBorder="1" applyAlignment="1">
      <alignment horizontal="center"/>
    </xf>
    <xf numFmtId="1" fontId="97" fillId="0" borderId="15" xfId="0" applyNumberFormat="1" applyFont="1" applyBorder="1" applyAlignment="1">
      <alignment horizontal="center"/>
    </xf>
    <xf numFmtId="0" fontId="97" fillId="0" borderId="1" xfId="0" applyFont="1" applyBorder="1" applyAlignment="1">
      <alignment horizontal="left"/>
    </xf>
    <xf numFmtId="0" fontId="97" fillId="0" borderId="1" xfId="0" applyFont="1" applyFill="1" applyBorder="1" applyAlignment="1">
      <alignment horizontal="center"/>
    </xf>
    <xf numFmtId="0" fontId="88" fillId="0" borderId="1" xfId="0" applyFont="1" applyFill="1" applyBorder="1" applyAlignment="1">
      <alignment horizontal="left"/>
    </xf>
    <xf numFmtId="0" fontId="88" fillId="0" borderId="4" xfId="0" applyFont="1" applyFill="1" applyBorder="1"/>
    <xf numFmtId="0" fontId="101" fillId="0" borderId="0" xfId="0" applyFont="1" applyFill="1"/>
    <xf numFmtId="0" fontId="97" fillId="0" borderId="1" xfId="0" applyFont="1" applyFill="1" applyBorder="1" applyAlignment="1">
      <alignment horizontal="left"/>
    </xf>
    <xf numFmtId="0" fontId="97" fillId="0" borderId="4" xfId="0" applyFont="1" applyFill="1" applyBorder="1" applyAlignment="1">
      <alignment horizontal="center"/>
    </xf>
    <xf numFmtId="0" fontId="97" fillId="0" borderId="1" xfId="0" applyFont="1" applyFill="1" applyBorder="1"/>
    <xf numFmtId="1" fontId="97" fillId="0" borderId="1" xfId="0" applyNumberFormat="1" applyFont="1" applyFill="1" applyBorder="1" applyAlignment="1">
      <alignment horizontal="center"/>
    </xf>
    <xf numFmtId="1" fontId="97" fillId="0" borderId="15" xfId="0" applyNumberFormat="1" applyFont="1" applyFill="1" applyBorder="1" applyAlignment="1">
      <alignment horizontal="center"/>
    </xf>
    <xf numFmtId="1" fontId="97" fillId="0" borderId="0" xfId="0" applyNumberFormat="1" applyFont="1" applyBorder="1" applyAlignment="1">
      <alignment horizontal="center"/>
    </xf>
    <xf numFmtId="1" fontId="97" fillId="0" borderId="34" xfId="0" applyNumberFormat="1" applyFont="1" applyBorder="1"/>
    <xf numFmtId="0" fontId="97" fillId="15" borderId="15" xfId="3" applyFont="1" applyFill="1" applyBorder="1" applyAlignment="1">
      <alignment horizontal="center"/>
    </xf>
    <xf numFmtId="0" fontId="92" fillId="12" borderId="1" xfId="4" applyFont="1" applyFill="1" applyBorder="1" applyAlignment="1">
      <alignment horizontal="center"/>
    </xf>
    <xf numFmtId="0" fontId="92" fillId="0" borderId="21" xfId="4" applyFont="1" applyBorder="1"/>
    <xf numFmtId="0" fontId="92" fillId="15" borderId="21" xfId="3" applyFont="1" applyFill="1" applyBorder="1" applyAlignment="1">
      <alignment horizontal="center" vertical="center"/>
    </xf>
    <xf numFmtId="1" fontId="92" fillId="15" borderId="1" xfId="5" applyNumberFormat="1" applyFont="1" applyFill="1" applyBorder="1" applyAlignment="1">
      <alignment horizontal="center"/>
    </xf>
    <xf numFmtId="1" fontId="92" fillId="15" borderId="15" xfId="5" applyNumberFormat="1" applyFont="1" applyFill="1" applyBorder="1" applyAlignment="1">
      <alignment horizontal="center"/>
    </xf>
    <xf numFmtId="0" fontId="98" fillId="0" borderId="1" xfId="4" applyFont="1" applyFill="1" applyBorder="1" applyAlignment="1">
      <alignment horizontal="center"/>
    </xf>
    <xf numFmtId="0" fontId="97" fillId="0" borderId="1" xfId="0" applyFont="1" applyBorder="1"/>
    <xf numFmtId="9" fontId="92" fillId="8" borderId="1" xfId="6" applyNumberFormat="1" applyFont="1" applyFill="1" applyBorder="1" applyAlignment="1">
      <alignment horizontal="center"/>
    </xf>
    <xf numFmtId="165" fontId="92" fillId="0" borderId="1" xfId="6" applyNumberFormat="1" applyFont="1" applyFill="1" applyBorder="1" applyAlignment="1"/>
    <xf numFmtId="1" fontId="92" fillId="8" borderId="1" xfId="5" applyNumberFormat="1" applyFont="1" applyFill="1" applyBorder="1" applyAlignment="1">
      <alignment horizontal="right"/>
    </xf>
    <xf numFmtId="0" fontId="104" fillId="0" borderId="0" xfId="4" applyFont="1"/>
    <xf numFmtId="0" fontId="92" fillId="8" borderId="7" xfId="3" applyFont="1" applyFill="1" applyBorder="1" applyAlignment="1">
      <alignment horizontal="center"/>
    </xf>
    <xf numFmtId="2" fontId="92" fillId="8" borderId="7" xfId="3" applyNumberFormat="1" applyFont="1" applyFill="1" applyBorder="1" applyAlignment="1">
      <alignment horizontal="center"/>
    </xf>
    <xf numFmtId="9" fontId="92" fillId="8" borderId="7" xfId="6" applyNumberFormat="1" applyFont="1" applyFill="1" applyBorder="1" applyAlignment="1">
      <alignment horizontal="center"/>
    </xf>
    <xf numFmtId="2" fontId="92" fillId="8" borderId="7" xfId="3" applyNumberFormat="1" applyFont="1" applyFill="1" applyBorder="1" applyAlignment="1">
      <alignment horizontal="right"/>
    </xf>
    <xf numFmtId="1" fontId="92" fillId="8" borderId="23" xfId="5" applyNumberFormat="1" applyFont="1" applyFill="1" applyBorder="1" applyAlignment="1" applyProtection="1">
      <alignment horizontal="center"/>
    </xf>
    <xf numFmtId="0" fontId="88" fillId="0" borderId="0" xfId="0" applyFont="1"/>
    <xf numFmtId="1" fontId="88" fillId="0" borderId="0" xfId="0" applyNumberFormat="1" applyFont="1" applyAlignment="1">
      <alignment horizontal="center"/>
    </xf>
    <xf numFmtId="1" fontId="88" fillId="0" borderId="0" xfId="0" applyNumberFormat="1" applyFont="1"/>
    <xf numFmtId="0" fontId="97" fillId="0" borderId="0" xfId="0" applyFont="1"/>
    <xf numFmtId="1" fontId="97" fillId="0" borderId="0" xfId="0" applyNumberFormat="1" applyFont="1" applyAlignment="1">
      <alignment horizontal="center"/>
    </xf>
    <xf numFmtId="1" fontId="97" fillId="0" borderId="0" xfId="0" applyNumberFormat="1" applyFont="1"/>
    <xf numFmtId="0" fontId="91" fillId="0" borderId="0" xfId="0" applyFont="1" applyAlignment="1">
      <alignment horizontal="center" vertical="center"/>
    </xf>
    <xf numFmtId="0" fontId="101" fillId="0" borderId="0" xfId="0" applyFont="1" applyAlignment="1">
      <alignment horizontal="center" vertical="center"/>
    </xf>
    <xf numFmtId="1" fontId="91" fillId="0" borderId="0" xfId="0" applyNumberFormat="1" applyFont="1" applyAlignment="1">
      <alignment horizontal="center" vertical="center"/>
    </xf>
    <xf numFmtId="0" fontId="96" fillId="0" borderId="0" xfId="0" applyFont="1" applyAlignment="1">
      <alignment horizontal="center" vertical="center"/>
    </xf>
    <xf numFmtId="0" fontId="96" fillId="0" borderId="0" xfId="0" applyFont="1" applyFill="1" applyAlignment="1">
      <alignment horizontal="center" vertical="center"/>
    </xf>
    <xf numFmtId="1" fontId="96" fillId="0" borderId="0" xfId="0" applyNumberFormat="1" applyFont="1" applyFill="1" applyAlignment="1">
      <alignment horizontal="center" vertical="center"/>
    </xf>
    <xf numFmtId="0" fontId="101" fillId="0" borderId="0" xfId="0" applyFont="1" applyFill="1" applyAlignment="1">
      <alignment horizontal="center" vertical="center"/>
    </xf>
    <xf numFmtId="0" fontId="87" fillId="0" borderId="0" xfId="0" applyFont="1" applyFill="1" applyAlignment="1">
      <alignment horizontal="center" vertical="center"/>
    </xf>
    <xf numFmtId="1" fontId="92" fillId="0" borderId="1" xfId="0" applyNumberFormat="1" applyFont="1" applyBorder="1" applyAlignment="1">
      <alignment horizontal="center"/>
    </xf>
    <xf numFmtId="1" fontId="92" fillId="12" borderId="1" xfId="5" applyNumberFormat="1" applyFont="1" applyFill="1" applyBorder="1" applyAlignment="1">
      <alignment horizontal="center" vertical="center"/>
    </xf>
    <xf numFmtId="174" fontId="96" fillId="0" borderId="0" xfId="0" applyNumberFormat="1" applyFont="1" applyFill="1" applyAlignment="1">
      <alignment horizontal="center" vertical="center"/>
    </xf>
    <xf numFmtId="171" fontId="91" fillId="0" borderId="0" xfId="0" applyNumberFormat="1" applyFont="1" applyAlignment="1">
      <alignment horizontal="center" vertical="center"/>
    </xf>
    <xf numFmtId="164" fontId="91" fillId="0" borderId="0" xfId="0" applyNumberFormat="1" applyFont="1" applyAlignment="1">
      <alignment horizontal="center" vertical="center"/>
    </xf>
    <xf numFmtId="9" fontId="92" fillId="9" borderId="1" xfId="4" applyNumberFormat="1" applyFont="1" applyFill="1" applyBorder="1" applyAlignment="1">
      <alignment horizontal="center"/>
    </xf>
    <xf numFmtId="164" fontId="73" fillId="12" borderId="1" xfId="5" applyNumberFormat="1" applyFont="1" applyFill="1" applyBorder="1" applyAlignment="1">
      <alignment horizontal="center" vertical="center"/>
    </xf>
    <xf numFmtId="2" fontId="71" fillId="8" borderId="0" xfId="3" applyNumberFormat="1" applyFont="1" applyFill="1" applyBorder="1" applyAlignment="1">
      <alignment horizontal="center"/>
    </xf>
    <xf numFmtId="2" fontId="48" fillId="0" borderId="0" xfId="0" applyNumberFormat="1" applyFont="1" applyBorder="1"/>
    <xf numFmtId="168" fontId="71" fillId="8" borderId="1" xfId="5" applyNumberFormat="1" applyFont="1" applyFill="1" applyBorder="1" applyAlignment="1" applyProtection="1">
      <alignment horizontal="right" vertical="center"/>
    </xf>
    <xf numFmtId="0" fontId="0" fillId="0" borderId="1" xfId="0" applyBorder="1" applyAlignment="1">
      <alignment vertical="center" wrapText="1"/>
    </xf>
    <xf numFmtId="0" fontId="0" fillId="0" borderId="1" xfId="0" applyBorder="1"/>
    <xf numFmtId="1" fontId="0" fillId="0" borderId="1" xfId="0" applyNumberFormat="1" applyBorder="1"/>
    <xf numFmtId="0" fontId="56" fillId="12" borderId="1" xfId="0" applyFont="1" applyFill="1" applyBorder="1"/>
    <xf numFmtId="1" fontId="80" fillId="0" borderId="0" xfId="0" applyNumberFormat="1" applyFont="1" applyBorder="1"/>
    <xf numFmtId="1" fontId="66" fillId="2" borderId="0" xfId="0" applyNumberFormat="1" applyFont="1" applyFill="1"/>
    <xf numFmtId="1" fontId="17" fillId="0" borderId="1" xfId="0" applyNumberFormat="1" applyFont="1" applyFill="1" applyBorder="1" applyAlignment="1">
      <alignment horizontal="center" wrapText="1"/>
    </xf>
    <xf numFmtId="170" fontId="35" fillId="9" borderId="1" xfId="3" applyNumberFormat="1" applyFont="1" applyFill="1" applyBorder="1" applyAlignment="1">
      <alignment horizontal="center"/>
    </xf>
    <xf numFmtId="0" fontId="66" fillId="2" borderId="1" xfId="4" applyFont="1" applyFill="1" applyBorder="1" applyAlignment="1">
      <alignment horizontal="center" vertical="center"/>
    </xf>
    <xf numFmtId="164" fontId="73" fillId="2" borderId="1" xfId="5" applyNumberFormat="1" applyFont="1" applyFill="1" applyBorder="1" applyAlignment="1">
      <alignment horizontal="center" vertical="center"/>
    </xf>
    <xf numFmtId="1" fontId="82" fillId="2" borderId="1" xfId="5" applyNumberFormat="1" applyFont="1" applyFill="1" applyBorder="1" applyAlignment="1">
      <alignment horizontal="center" vertical="center"/>
    </xf>
    <xf numFmtId="0" fontId="106" fillId="0" borderId="0" xfId="0" applyFont="1"/>
    <xf numFmtId="0" fontId="17" fillId="0" borderId="1" xfId="0" applyFont="1" applyBorder="1" applyAlignment="1">
      <alignment horizontal="center" wrapText="1"/>
    </xf>
    <xf numFmtId="0" fontId="17" fillId="0" borderId="29" xfId="0" applyFont="1" applyBorder="1" applyAlignment="1">
      <alignment horizontal="center" wrapText="1"/>
    </xf>
    <xf numFmtId="16" fontId="17" fillId="0" borderId="1" xfId="0" applyNumberFormat="1" applyFont="1" applyBorder="1" applyAlignment="1">
      <alignment horizontal="center" wrapText="1"/>
    </xf>
    <xf numFmtId="1" fontId="17" fillId="0" borderId="1" xfId="0" applyNumberFormat="1" applyFont="1" applyBorder="1" applyAlignment="1">
      <alignment horizontal="center" wrapText="1"/>
    </xf>
    <xf numFmtId="0" fontId="17" fillId="0" borderId="1" xfId="0" applyFont="1" applyFill="1" applyBorder="1" applyAlignment="1">
      <alignment horizontal="center" wrapText="1"/>
    </xf>
    <xf numFmtId="0" fontId="106" fillId="0" borderId="0" xfId="0" applyFont="1" applyFill="1"/>
    <xf numFmtId="1" fontId="17" fillId="2" borderId="1" xfId="0" applyNumberFormat="1" applyFont="1" applyFill="1" applyBorder="1" applyAlignment="1">
      <alignment horizontal="center" wrapText="1"/>
    </xf>
    <xf numFmtId="1" fontId="107" fillId="0" borderId="1" xfId="0" applyNumberFormat="1" applyFont="1" applyFill="1" applyBorder="1" applyAlignment="1">
      <alignment horizontal="center" wrapText="1"/>
    </xf>
    <xf numFmtId="1" fontId="106" fillId="0" borderId="0" xfId="0" applyNumberFormat="1" applyFont="1"/>
    <xf numFmtId="1" fontId="106" fillId="0" borderId="0" xfId="0" applyNumberFormat="1" applyFont="1" applyFill="1"/>
    <xf numFmtId="0" fontId="71" fillId="2" borderId="1" xfId="0" applyFont="1" applyFill="1" applyBorder="1" applyAlignment="1">
      <alignment horizontal="center"/>
    </xf>
    <xf numFmtId="164" fontId="71" fillId="12" borderId="1" xfId="5" applyNumberFormat="1" applyFont="1" applyFill="1" applyBorder="1" applyAlignment="1">
      <alignment horizontal="center" vertical="center"/>
    </xf>
    <xf numFmtId="1" fontId="71" fillId="12" borderId="1" xfId="5" applyNumberFormat="1" applyFont="1" applyFill="1" applyBorder="1" applyAlignment="1">
      <alignment horizontal="center" vertical="center"/>
    </xf>
    <xf numFmtId="1" fontId="89" fillId="0" borderId="1" xfId="0" applyNumberFormat="1" applyFont="1" applyBorder="1" applyAlignment="1">
      <alignment horizontal="center" wrapText="1"/>
    </xf>
    <xf numFmtId="1" fontId="107" fillId="0" borderId="1" xfId="0" applyNumberFormat="1" applyFont="1" applyBorder="1" applyAlignment="1">
      <alignment horizontal="center" wrapText="1"/>
    </xf>
    <xf numFmtId="1" fontId="82" fillId="2" borderId="1" xfId="3" applyNumberFormat="1" applyFont="1" applyFill="1" applyBorder="1" applyAlignment="1">
      <alignment horizontal="center"/>
    </xf>
    <xf numFmtId="1" fontId="82" fillId="2" borderId="15" xfId="5" applyNumberFormat="1" applyFont="1" applyFill="1" applyBorder="1" applyAlignment="1" applyProtection="1">
      <alignment horizontal="center"/>
    </xf>
    <xf numFmtId="169" fontId="73" fillId="8" borderId="1" xfId="5" applyNumberFormat="1" applyFont="1" applyFill="1" applyBorder="1" applyAlignment="1" applyProtection="1">
      <alignment vertical="center"/>
    </xf>
    <xf numFmtId="1" fontId="66" fillId="22" borderId="1" xfId="5" applyNumberFormat="1" applyFont="1" applyFill="1" applyBorder="1" applyAlignment="1">
      <alignment horizontal="center" vertical="center"/>
    </xf>
    <xf numFmtId="0" fontId="66" fillId="12" borderId="1" xfId="4" applyFont="1" applyFill="1" applyBorder="1" applyAlignment="1">
      <alignment horizontal="center" vertical="center"/>
    </xf>
    <xf numFmtId="0" fontId="66" fillId="10" borderId="1" xfId="4" applyFont="1" applyFill="1" applyBorder="1" applyAlignment="1">
      <alignment horizontal="center"/>
    </xf>
    <xf numFmtId="1" fontId="66" fillId="10" borderId="1" xfId="5" applyNumberFormat="1" applyFont="1" applyFill="1" applyBorder="1" applyAlignment="1">
      <alignment horizontal="center" vertical="center"/>
    </xf>
    <xf numFmtId="1" fontId="66" fillId="17" borderId="1" xfId="5" applyNumberFormat="1" applyFont="1" applyFill="1" applyBorder="1" applyAlignment="1">
      <alignment horizontal="center" vertical="center"/>
    </xf>
    <xf numFmtId="0" fontId="72" fillId="10" borderId="1" xfId="4" applyFont="1" applyFill="1" applyBorder="1" applyAlignment="1">
      <alignment horizontal="center"/>
    </xf>
    <xf numFmtId="0" fontId="72" fillId="22" borderId="1" xfId="4" applyFont="1" applyFill="1" applyBorder="1" applyAlignment="1">
      <alignment horizontal="center"/>
    </xf>
    <xf numFmtId="0" fontId="66" fillId="22" borderId="1" xfId="4" applyFont="1" applyFill="1" applyBorder="1" applyAlignment="1">
      <alignment horizontal="center"/>
    </xf>
    <xf numFmtId="0" fontId="66" fillId="17" borderId="1" xfId="4" applyFont="1" applyFill="1" applyBorder="1" applyAlignment="1">
      <alignment horizontal="center"/>
    </xf>
    <xf numFmtId="0" fontId="59" fillId="2" borderId="1" xfId="3" applyFont="1" applyFill="1" applyBorder="1" applyAlignment="1">
      <alignment horizontal="left" vertical="justify"/>
    </xf>
    <xf numFmtId="0" fontId="66" fillId="12" borderId="1" xfId="3" applyNumberFormat="1" applyFont="1" applyFill="1" applyBorder="1" applyAlignment="1">
      <alignment horizontal="center"/>
    </xf>
    <xf numFmtId="1" fontId="89" fillId="2" borderId="1" xfId="0" applyNumberFormat="1" applyFont="1" applyFill="1" applyBorder="1" applyAlignment="1">
      <alignment horizontal="center" wrapText="1"/>
    </xf>
    <xf numFmtId="1" fontId="89" fillId="12" borderId="1" xfId="0" applyNumberFormat="1" applyFont="1" applyFill="1" applyBorder="1" applyAlignment="1">
      <alignment horizontal="center" wrapText="1"/>
    </xf>
    <xf numFmtId="0" fontId="56" fillId="0" borderId="1" xfId="0" applyFont="1" applyFill="1" applyBorder="1" applyAlignment="1">
      <alignment vertical="center" wrapText="1"/>
    </xf>
    <xf numFmtId="0" fontId="56" fillId="0" borderId="1" xfId="0" applyFont="1" applyFill="1" applyBorder="1"/>
    <xf numFmtId="0" fontId="60" fillId="0" borderId="21" xfId="3" applyFont="1" applyFill="1" applyBorder="1" applyAlignment="1">
      <alignment horizontal="left"/>
    </xf>
    <xf numFmtId="0" fontId="60" fillId="0" borderId="1" xfId="3" applyFont="1" applyFill="1" applyBorder="1" applyAlignment="1">
      <alignment horizontal="left"/>
    </xf>
    <xf numFmtId="2" fontId="66" fillId="0" borderId="1" xfId="3" applyNumberFormat="1" applyFont="1" applyFill="1" applyBorder="1" applyAlignment="1">
      <alignment horizontal="right"/>
    </xf>
    <xf numFmtId="1" fontId="108" fillId="0" borderId="0" xfId="0" applyNumberFormat="1" applyFont="1"/>
    <xf numFmtId="1" fontId="109" fillId="0" borderId="0" xfId="0" applyNumberFormat="1" applyFont="1"/>
    <xf numFmtId="49" fontId="97" fillId="0" borderId="0" xfId="0" applyNumberFormat="1" applyFont="1"/>
    <xf numFmtId="1" fontId="110" fillId="0" borderId="1" xfId="0" applyNumberFormat="1" applyFont="1" applyFill="1" applyBorder="1" applyAlignment="1">
      <alignment horizontal="center" wrapText="1"/>
    </xf>
    <xf numFmtId="170" fontId="96" fillId="9" borderId="1" xfId="3" applyNumberFormat="1" applyFont="1" applyFill="1" applyBorder="1" applyAlignment="1">
      <alignment horizontal="center"/>
    </xf>
    <xf numFmtId="1" fontId="17" fillId="15" borderId="1" xfId="0" applyNumberFormat="1" applyFont="1" applyFill="1" applyBorder="1" applyAlignment="1">
      <alignment horizontal="center" wrapText="1"/>
    </xf>
    <xf numFmtId="0" fontId="106" fillId="15" borderId="0" xfId="0" applyFont="1" applyFill="1"/>
    <xf numFmtId="1" fontId="106" fillId="15" borderId="0" xfId="0" applyNumberFormat="1" applyFont="1" applyFill="1"/>
    <xf numFmtId="16" fontId="17" fillId="0" borderId="0" xfId="0" applyNumberFormat="1" applyFont="1" applyBorder="1" applyAlignment="1">
      <alignment horizontal="center" wrapText="1"/>
    </xf>
    <xf numFmtId="0" fontId="106" fillId="0" borderId="0" xfId="0" applyFont="1" applyBorder="1"/>
    <xf numFmtId="0" fontId="112" fillId="0" borderId="1" xfId="0" applyFont="1" applyBorder="1"/>
    <xf numFmtId="0" fontId="106" fillId="0" borderId="1" xfId="0" applyFont="1" applyBorder="1"/>
    <xf numFmtId="0" fontId="106" fillId="22" borderId="1" xfId="0" applyFont="1" applyFill="1" applyBorder="1"/>
    <xf numFmtId="0" fontId="111" fillId="0" borderId="1" xfId="0" applyFont="1" applyBorder="1"/>
    <xf numFmtId="1" fontId="113" fillId="21" borderId="1" xfId="3" applyNumberFormat="1" applyFont="1" applyFill="1" applyBorder="1" applyAlignment="1">
      <alignment horizontal="center"/>
    </xf>
    <xf numFmtId="0" fontId="113" fillId="21" borderId="1" xfId="3" applyNumberFormat="1" applyFont="1" applyFill="1" applyBorder="1" applyAlignment="1">
      <alignment horizontal="center"/>
    </xf>
    <xf numFmtId="1" fontId="113" fillId="21" borderId="15" xfId="5" applyNumberFormat="1" applyFont="1" applyFill="1" applyBorder="1" applyAlignment="1" applyProtection="1">
      <alignment horizontal="center"/>
    </xf>
    <xf numFmtId="2" fontId="113" fillId="21" borderId="1" xfId="3" applyNumberFormat="1" applyFont="1" applyFill="1" applyBorder="1" applyAlignment="1">
      <alignment horizontal="center"/>
    </xf>
    <xf numFmtId="1" fontId="113" fillId="8" borderId="1" xfId="3" applyNumberFormat="1" applyFont="1" applyFill="1" applyBorder="1" applyAlignment="1">
      <alignment horizontal="center"/>
    </xf>
    <xf numFmtId="2" fontId="113" fillId="2" borderId="1" xfId="3" applyNumberFormat="1" applyFont="1" applyFill="1" applyBorder="1" applyAlignment="1">
      <alignment horizontal="center"/>
    </xf>
    <xf numFmtId="1" fontId="113" fillId="8" borderId="15" xfId="5" applyNumberFormat="1" applyFont="1" applyFill="1" applyBorder="1" applyAlignment="1" applyProtection="1">
      <alignment horizontal="center"/>
    </xf>
    <xf numFmtId="0" fontId="113" fillId="15" borderId="1" xfId="3" applyFont="1" applyFill="1" applyBorder="1" applyAlignment="1">
      <alignment horizontal="center"/>
    </xf>
    <xf numFmtId="0" fontId="113" fillId="15" borderId="15" xfId="3" applyFont="1" applyFill="1" applyBorder="1" applyAlignment="1">
      <alignment horizontal="center"/>
    </xf>
    <xf numFmtId="0" fontId="113" fillId="2" borderId="1" xfId="3" applyNumberFormat="1" applyFont="1" applyFill="1" applyBorder="1" applyAlignment="1">
      <alignment horizontal="center"/>
    </xf>
    <xf numFmtId="0" fontId="113" fillId="8" borderId="1" xfId="3" applyFont="1" applyFill="1" applyBorder="1" applyAlignment="1">
      <alignment horizontal="center"/>
    </xf>
    <xf numFmtId="1" fontId="113" fillId="15" borderId="1" xfId="3" applyNumberFormat="1" applyFont="1" applyFill="1" applyBorder="1" applyAlignment="1">
      <alignment horizontal="center"/>
    </xf>
    <xf numFmtId="0" fontId="113" fillId="21" borderId="1" xfId="3" applyFont="1" applyFill="1" applyBorder="1" applyAlignment="1">
      <alignment horizontal="center"/>
    </xf>
    <xf numFmtId="1" fontId="113" fillId="21" borderId="1" xfId="4" applyNumberFormat="1" applyFont="1" applyFill="1" applyBorder="1" applyAlignment="1">
      <alignment horizontal="center"/>
    </xf>
    <xf numFmtId="0" fontId="114" fillId="0" borderId="0" xfId="2" applyFont="1" applyAlignment="1" applyProtection="1"/>
    <xf numFmtId="2" fontId="114" fillId="0" borderId="0" xfId="2" applyNumberFormat="1" applyFont="1" applyAlignment="1" applyProtection="1"/>
    <xf numFmtId="0" fontId="60" fillId="0" borderId="21" xfId="3" applyFont="1" applyFill="1" applyBorder="1" applyAlignment="1">
      <alignment horizontal="left" vertical="center"/>
    </xf>
    <xf numFmtId="0" fontId="59" fillId="0" borderId="1" xfId="3" applyFont="1" applyFill="1" applyBorder="1" applyAlignment="1">
      <alignment horizontal="left" vertical="justify"/>
    </xf>
    <xf numFmtId="1" fontId="49" fillId="0" borderId="0" xfId="5" applyNumberFormat="1" applyFont="1" applyFill="1" applyBorder="1" applyAlignment="1" applyProtection="1">
      <alignment horizontal="center"/>
    </xf>
    <xf numFmtId="0" fontId="48" fillId="0" borderId="0" xfId="0" applyFont="1" applyFill="1" applyBorder="1"/>
    <xf numFmtId="0" fontId="59" fillId="0" borderId="1" xfId="3" applyFont="1" applyFill="1" applyBorder="1" applyAlignment="1">
      <alignment horizontal="left" vertical="center"/>
    </xf>
    <xf numFmtId="1" fontId="66" fillId="0" borderId="1" xfId="3" applyNumberFormat="1" applyFont="1" applyFill="1" applyBorder="1" applyAlignment="1">
      <alignment horizontal="center" vertical="center"/>
    </xf>
    <xf numFmtId="2" fontId="60" fillId="0" borderId="21" xfId="3" applyNumberFormat="1" applyFont="1" applyFill="1" applyBorder="1" applyAlignment="1">
      <alignment horizontal="left" vertical="center"/>
    </xf>
    <xf numFmtId="2" fontId="59" fillId="0" borderId="1" xfId="3" applyNumberFormat="1" applyFont="1" applyFill="1" applyBorder="1" applyAlignment="1">
      <alignment horizontal="left" vertical="center"/>
    </xf>
    <xf numFmtId="0" fontId="49" fillId="0" borderId="0" xfId="3" applyFont="1" applyFill="1" applyBorder="1" applyAlignment="1">
      <alignment horizontal="center"/>
    </xf>
    <xf numFmtId="170" fontId="18" fillId="9" borderId="1" xfId="3" applyNumberFormat="1" applyFont="1" applyFill="1" applyBorder="1" applyAlignment="1">
      <alignment horizontal="center"/>
    </xf>
    <xf numFmtId="0" fontId="7" fillId="0" borderId="4" xfId="1" applyFont="1" applyFill="1" applyBorder="1" applyAlignment="1">
      <alignment horizontal="center" vertical="center" wrapText="1"/>
    </xf>
    <xf numFmtId="0" fontId="7" fillId="0" borderId="1" xfId="1" applyFont="1" applyBorder="1" applyAlignment="1">
      <alignment horizontal="center" vertical="center" wrapText="1"/>
    </xf>
    <xf numFmtId="0" fontId="106" fillId="17" borderId="5" xfId="0" applyFont="1" applyFill="1" applyBorder="1" applyAlignment="1">
      <alignment horizontal="center"/>
    </xf>
    <xf numFmtId="0" fontId="60" fillId="0" borderId="1" xfId="4" applyFont="1" applyBorder="1" applyAlignment="1">
      <alignment horizontal="left"/>
    </xf>
    <xf numFmtId="0" fontId="36" fillId="15" borderId="2" xfId="3" applyFont="1" applyFill="1" applyBorder="1" applyAlignment="1">
      <alignment horizontal="left"/>
    </xf>
    <xf numFmtId="0" fontId="36" fillId="15" borderId="3" xfId="3" applyFont="1" applyFill="1" applyBorder="1" applyAlignment="1">
      <alignment horizontal="left"/>
    </xf>
    <xf numFmtId="0" fontId="36" fillId="15" borderId="4" xfId="3" applyFont="1" applyFill="1" applyBorder="1" applyAlignment="1">
      <alignment horizontal="left"/>
    </xf>
    <xf numFmtId="0" fontId="36" fillId="15" borderId="2" xfId="3" applyFont="1" applyFill="1" applyBorder="1" applyAlignment="1">
      <alignment horizontal="center"/>
    </xf>
    <xf numFmtId="0" fontId="36" fillId="15" borderId="4" xfId="3" applyFont="1" applyFill="1" applyBorder="1" applyAlignment="1">
      <alignment horizontal="center"/>
    </xf>
    <xf numFmtId="0" fontId="36" fillId="8" borderId="2" xfId="3" applyFont="1" applyFill="1" applyBorder="1" applyAlignment="1">
      <alignment horizontal="left"/>
    </xf>
    <xf numFmtId="0" fontId="36" fillId="8" borderId="3" xfId="3" applyFont="1" applyFill="1" applyBorder="1" applyAlignment="1">
      <alignment horizontal="left"/>
    </xf>
    <xf numFmtId="0" fontId="36" fillId="8" borderId="4" xfId="3" applyFont="1" applyFill="1" applyBorder="1" applyAlignment="1">
      <alignment horizontal="left"/>
    </xf>
    <xf numFmtId="0" fontId="36" fillId="0" borderId="2" xfId="4" applyFont="1" applyBorder="1" applyAlignment="1">
      <alignment horizontal="left"/>
    </xf>
    <xf numFmtId="0" fontId="36" fillId="0" borderId="3" xfId="4" applyFont="1" applyBorder="1" applyAlignment="1">
      <alignment horizontal="left"/>
    </xf>
    <xf numFmtId="0" fontId="36" fillId="0" borderId="4" xfId="4" applyFont="1" applyBorder="1" applyAlignment="1">
      <alignment horizontal="left"/>
    </xf>
    <xf numFmtId="0" fontId="37" fillId="0" borderId="3" xfId="4" applyFont="1" applyBorder="1" applyAlignment="1">
      <alignment horizontal="left"/>
    </xf>
    <xf numFmtId="0" fontId="37" fillId="0" borderId="4" xfId="4" applyFont="1" applyBorder="1" applyAlignment="1">
      <alignment horizontal="left"/>
    </xf>
    <xf numFmtId="0" fontId="35" fillId="9" borderId="2" xfId="3" applyFont="1" applyFill="1" applyBorder="1" applyAlignment="1">
      <alignment horizontal="center"/>
    </xf>
    <xf numFmtId="0" fontId="19" fillId="8" borderId="2" xfId="3" applyFont="1" applyFill="1" applyBorder="1" applyAlignment="1">
      <alignment horizontal="left"/>
    </xf>
    <xf numFmtId="0" fontId="19" fillId="8" borderId="3" xfId="3" applyFont="1" applyFill="1" applyBorder="1" applyAlignment="1">
      <alignment horizontal="left"/>
    </xf>
    <xf numFmtId="0" fontId="19" fillId="8" borderId="4" xfId="3" applyFont="1" applyFill="1" applyBorder="1" applyAlignment="1">
      <alignment horizontal="left"/>
    </xf>
    <xf numFmtId="0" fontId="18" fillId="9" borderId="2" xfId="3" applyFont="1" applyFill="1" applyBorder="1" applyAlignment="1">
      <alignment horizontal="center"/>
    </xf>
    <xf numFmtId="0" fontId="18" fillId="9" borderId="4" xfId="3" applyFont="1" applyFill="1" applyBorder="1" applyAlignment="1">
      <alignment horizontal="center"/>
    </xf>
    <xf numFmtId="0" fontId="92" fillId="0" borderId="1" xfId="4" applyFont="1" applyBorder="1" applyAlignment="1">
      <alignment horizontal="left"/>
    </xf>
    <xf numFmtId="0" fontId="65" fillId="0" borderId="1" xfId="0" applyFont="1" applyFill="1" applyBorder="1" applyAlignment="1">
      <alignment horizontal="left"/>
    </xf>
    <xf numFmtId="0" fontId="65" fillId="0" borderId="1" xfId="0" applyFont="1" applyBorder="1" applyAlignment="1">
      <alignment horizontal="left"/>
    </xf>
    <xf numFmtId="0" fontId="68" fillId="0" borderId="1" xfId="0" applyFont="1" applyBorder="1" applyAlignment="1">
      <alignment horizontal="left"/>
    </xf>
    <xf numFmtId="0" fontId="60" fillId="8" borderId="21" xfId="3" applyFont="1" applyFill="1" applyBorder="1" applyAlignment="1">
      <alignment horizontal="left"/>
    </xf>
    <xf numFmtId="0" fontId="60" fillId="8" borderId="1" xfId="3" applyFont="1" applyFill="1" applyBorder="1" applyAlignment="1">
      <alignment horizontal="left"/>
    </xf>
    <xf numFmtId="0" fontId="60" fillId="9" borderId="1" xfId="3" applyFont="1" applyFill="1" applyBorder="1" applyAlignment="1">
      <alignment horizontal="center"/>
    </xf>
    <xf numFmtId="0" fontId="60" fillId="0" borderId="21" xfId="4" applyFont="1" applyBorder="1" applyAlignment="1">
      <alignment horizontal="left"/>
    </xf>
    <xf numFmtId="0" fontId="64" fillId="0" borderId="21" xfId="4" applyFont="1" applyBorder="1" applyAlignment="1">
      <alignment horizontal="left"/>
    </xf>
    <xf numFmtId="0" fontId="59" fillId="15" borderId="1" xfId="3" applyFont="1" applyFill="1" applyBorder="1" applyAlignment="1">
      <alignment horizontal="left"/>
    </xf>
    <xf numFmtId="0" fontId="59" fillId="15" borderId="1" xfId="3" applyFont="1" applyFill="1" applyBorder="1" applyAlignment="1">
      <alignment horizontal="center"/>
    </xf>
    <xf numFmtId="0" fontId="19" fillId="10" borderId="2" xfId="3" applyFont="1" applyFill="1" applyBorder="1" applyAlignment="1">
      <alignment horizontal="left"/>
    </xf>
    <xf numFmtId="0" fontId="19" fillId="10" borderId="3" xfId="3" applyFont="1" applyFill="1" applyBorder="1" applyAlignment="1">
      <alignment horizontal="left"/>
    </xf>
    <xf numFmtId="0" fontId="19" fillId="10" borderId="4" xfId="3" applyFont="1" applyFill="1" applyBorder="1" applyAlignment="1">
      <alignment horizontal="left"/>
    </xf>
    <xf numFmtId="0" fontId="115" fillId="0" borderId="35" xfId="17" applyFont="1" applyBorder="1" applyAlignment="1">
      <alignment horizontal="center"/>
    </xf>
    <xf numFmtId="0" fontId="116" fillId="0" borderId="35" xfId="17" applyFont="1" applyBorder="1" applyAlignment="1">
      <alignment horizontal="center"/>
    </xf>
    <xf numFmtId="1" fontId="116" fillId="0" borderId="35" xfId="17" applyNumberFormat="1" applyFont="1" applyBorder="1" applyAlignment="1">
      <alignment horizontal="center"/>
    </xf>
    <xf numFmtId="1" fontId="115" fillId="0" borderId="35" xfId="17" applyNumberFormat="1" applyFont="1" applyBorder="1" applyAlignment="1">
      <alignment horizontal="center" wrapText="1"/>
    </xf>
    <xf numFmtId="0" fontId="115" fillId="0" borderId="35" xfId="17" applyFont="1" applyBorder="1" applyAlignment="1">
      <alignment horizontal="center" wrapText="1"/>
    </xf>
    <xf numFmtId="0" fontId="115" fillId="0" borderId="0" xfId="17" applyFont="1" applyAlignment="1">
      <alignment wrapText="1"/>
    </xf>
    <xf numFmtId="0" fontId="115" fillId="0" borderId="0" xfId="17" applyFont="1"/>
    <xf numFmtId="0" fontId="17" fillId="0" borderId="0" xfId="17" applyFont="1" applyAlignment="1">
      <alignment horizontal="center"/>
    </xf>
    <xf numFmtId="0" fontId="89" fillId="0" borderId="0" xfId="17" applyFont="1" applyAlignment="1">
      <alignment horizontal="center"/>
    </xf>
    <xf numFmtId="1" fontId="89" fillId="0" borderId="0" xfId="17" applyNumberFormat="1" applyFont="1" applyAlignment="1">
      <alignment horizontal="center"/>
    </xf>
    <xf numFmtId="1" fontId="3" fillId="0" borderId="0" xfId="17" applyNumberFormat="1" applyAlignment="1">
      <alignment horizontal="center"/>
    </xf>
    <xf numFmtId="2" fontId="3" fillId="0" borderId="0" xfId="17" applyNumberFormat="1" applyAlignment="1">
      <alignment horizontal="center"/>
    </xf>
    <xf numFmtId="2" fontId="3" fillId="0" borderId="0" xfId="17" applyNumberFormat="1"/>
    <xf numFmtId="0" fontId="3" fillId="0" borderId="0" xfId="17"/>
    <xf numFmtId="0" fontId="3" fillId="0" borderId="0" xfId="17" applyAlignment="1">
      <alignment horizontal="center"/>
    </xf>
    <xf numFmtId="0" fontId="119" fillId="21" borderId="1" xfId="3" applyFont="1" applyFill="1" applyBorder="1" applyAlignment="1">
      <alignment horizontal="center"/>
    </xf>
    <xf numFmtId="0" fontId="119" fillId="21" borderId="1" xfId="4" applyFont="1" applyFill="1" applyBorder="1" applyAlignment="1">
      <alignment horizontal="center"/>
    </xf>
    <xf numFmtId="1" fontId="51" fillId="2" borderId="0" xfId="5" applyNumberFormat="1" applyFont="1" applyFill="1" applyBorder="1" applyAlignment="1" applyProtection="1">
      <alignment horizontal="center"/>
    </xf>
    <xf numFmtId="0" fontId="120" fillId="0" borderId="0" xfId="0" applyFont="1" applyBorder="1"/>
    <xf numFmtId="0" fontId="120" fillId="0" borderId="0" xfId="0" applyFont="1"/>
    <xf numFmtId="1" fontId="120" fillId="0" borderId="0" xfId="0" applyNumberFormat="1" applyFont="1"/>
    <xf numFmtId="0" fontId="117" fillId="21" borderId="21" xfId="3" applyFont="1" applyFill="1" applyBorder="1" applyAlignment="1">
      <alignment horizontal="left" vertical="center"/>
    </xf>
    <xf numFmtId="0" fontId="118" fillId="21" borderId="1" xfId="3" applyFont="1" applyFill="1" applyBorder="1" applyAlignment="1">
      <alignment horizontal="left" vertical="center"/>
    </xf>
    <xf numFmtId="1" fontId="121" fillId="21" borderId="1" xfId="3" applyNumberFormat="1" applyFont="1" applyFill="1" applyBorder="1" applyAlignment="1">
      <alignment horizontal="center"/>
    </xf>
    <xf numFmtId="0" fontId="121" fillId="21" borderId="1" xfId="3" applyNumberFormat="1" applyFont="1" applyFill="1" applyBorder="1" applyAlignment="1">
      <alignment horizontal="center"/>
    </xf>
    <xf numFmtId="1" fontId="121" fillId="21" borderId="15" xfId="5" applyNumberFormat="1" applyFont="1" applyFill="1" applyBorder="1" applyAlignment="1" applyProtection="1">
      <alignment horizontal="center"/>
    </xf>
    <xf numFmtId="1" fontId="121" fillId="21" borderId="1" xfId="5" applyNumberFormat="1" applyFont="1" applyFill="1" applyBorder="1" applyAlignment="1">
      <alignment horizontal="center" vertical="center"/>
    </xf>
    <xf numFmtId="2" fontId="121" fillId="21" borderId="1" xfId="3" applyNumberFormat="1" applyFont="1" applyFill="1" applyBorder="1" applyAlignment="1">
      <alignment horizontal="center"/>
    </xf>
    <xf numFmtId="0" fontId="65" fillId="21" borderId="21" xfId="3" applyFont="1" applyFill="1" applyBorder="1" applyAlignment="1">
      <alignment horizontal="left"/>
    </xf>
    <xf numFmtId="0" fontId="67" fillId="21" borderId="1" xfId="3" applyFont="1" applyFill="1" applyBorder="1" applyAlignment="1">
      <alignment horizontal="left"/>
    </xf>
    <xf numFmtId="0" fontId="71" fillId="21" borderId="1" xfId="3" applyFont="1" applyFill="1" applyBorder="1" applyAlignment="1">
      <alignment horizontal="center"/>
    </xf>
    <xf numFmtId="0" fontId="48" fillId="0" borderId="0" xfId="0" applyFont="1" applyFill="1" applyAlignment="1">
      <alignment horizontal="center"/>
    </xf>
    <xf numFmtId="0" fontId="38" fillId="0" borderId="0" xfId="0" applyFont="1" applyFill="1" applyAlignment="1">
      <alignment horizontal="center"/>
    </xf>
    <xf numFmtId="0" fontId="60" fillId="0" borderId="1" xfId="4" applyFont="1" applyBorder="1" applyAlignment="1">
      <alignment horizontal="left"/>
    </xf>
    <xf numFmtId="0" fontId="60" fillId="8" borderId="21" xfId="3" applyFont="1" applyFill="1" applyBorder="1" applyAlignment="1">
      <alignment horizontal="left"/>
    </xf>
    <xf numFmtId="0" fontId="60" fillId="8" borderId="1" xfId="3" applyFont="1" applyFill="1" applyBorder="1" applyAlignment="1">
      <alignment horizontal="left"/>
    </xf>
    <xf numFmtId="0" fontId="59" fillId="15" borderId="1" xfId="3" applyFont="1" applyFill="1" applyBorder="1" applyAlignment="1">
      <alignment horizontal="left"/>
    </xf>
    <xf numFmtId="0" fontId="60" fillId="0" borderId="21" xfId="4" applyFont="1" applyBorder="1" applyAlignment="1">
      <alignment horizontal="left"/>
    </xf>
    <xf numFmtId="0" fontId="59" fillId="15" borderId="1" xfId="3" applyFont="1" applyFill="1" applyBorder="1" applyAlignment="1">
      <alignment horizontal="center"/>
    </xf>
    <xf numFmtId="0" fontId="68" fillId="0" borderId="1" xfId="0" applyFont="1" applyBorder="1" applyAlignment="1">
      <alignment horizontal="left"/>
    </xf>
    <xf numFmtId="0" fontId="64" fillId="0" borderId="21" xfId="4" applyFont="1" applyBorder="1" applyAlignment="1">
      <alignment horizontal="left"/>
    </xf>
    <xf numFmtId="0" fontId="60" fillId="9" borderId="1" xfId="3" applyFont="1" applyFill="1" applyBorder="1" applyAlignment="1">
      <alignment horizontal="center"/>
    </xf>
    <xf numFmtId="0" fontId="65" fillId="0" borderId="1" xfId="0" applyFont="1" applyFill="1" applyBorder="1" applyAlignment="1">
      <alignment horizontal="left"/>
    </xf>
    <xf numFmtId="0" fontId="65" fillId="0" borderId="1" xfId="0" applyFont="1" applyBorder="1" applyAlignment="1">
      <alignment horizontal="left"/>
    </xf>
    <xf numFmtId="0" fontId="60" fillId="0" borderId="1" xfId="4" applyFont="1" applyBorder="1" applyAlignment="1">
      <alignment horizontal="left"/>
    </xf>
    <xf numFmtId="0" fontId="65" fillId="0" borderId="1" xfId="0" applyFont="1" applyFill="1" applyBorder="1" applyAlignment="1">
      <alignment horizontal="left"/>
    </xf>
    <xf numFmtId="0" fontId="65" fillId="0" borderId="1" xfId="0" applyFont="1" applyBorder="1" applyAlignment="1">
      <alignment horizontal="left"/>
    </xf>
    <xf numFmtId="0" fontId="68" fillId="0" borderId="1" xfId="0" applyFont="1" applyBorder="1" applyAlignment="1">
      <alignment horizontal="left"/>
    </xf>
    <xf numFmtId="0" fontId="60" fillId="8" borderId="21" xfId="3" applyFont="1" applyFill="1" applyBorder="1" applyAlignment="1">
      <alignment horizontal="left"/>
    </xf>
    <xf numFmtId="0" fontId="60" fillId="8" borderId="1" xfId="3" applyFont="1" applyFill="1" applyBorder="1" applyAlignment="1">
      <alignment horizontal="left"/>
    </xf>
    <xf numFmtId="0" fontId="60" fillId="9" borderId="1" xfId="3" applyFont="1" applyFill="1" applyBorder="1" applyAlignment="1">
      <alignment horizontal="center"/>
    </xf>
    <xf numFmtId="0" fontId="60" fillId="0" borderId="21" xfId="4" applyFont="1" applyBorder="1" applyAlignment="1">
      <alignment horizontal="left"/>
    </xf>
    <xf numFmtId="0" fontId="64" fillId="0" borderId="21" xfId="4" applyFont="1" applyBorder="1" applyAlignment="1">
      <alignment horizontal="left"/>
    </xf>
    <xf numFmtId="0" fontId="59" fillId="15" borderId="1" xfId="3" applyFont="1" applyFill="1" applyBorder="1" applyAlignment="1">
      <alignment horizontal="left"/>
    </xf>
    <xf numFmtId="0" fontId="59" fillId="15" borderId="1" xfId="3" applyFont="1" applyFill="1" applyBorder="1" applyAlignment="1">
      <alignment horizontal="center"/>
    </xf>
    <xf numFmtId="0" fontId="60" fillId="0" borderId="1" xfId="4" applyFont="1" applyBorder="1" applyAlignment="1">
      <alignment horizontal="left"/>
    </xf>
    <xf numFmtId="0" fontId="60" fillId="8" borderId="21" xfId="3" applyFont="1" applyFill="1" applyBorder="1" applyAlignment="1">
      <alignment horizontal="left"/>
    </xf>
    <xf numFmtId="0" fontId="60" fillId="8" borderId="1" xfId="3" applyFont="1" applyFill="1" applyBorder="1" applyAlignment="1">
      <alignment horizontal="left"/>
    </xf>
    <xf numFmtId="0" fontId="59" fillId="15" borderId="1" xfId="3" applyFont="1" applyFill="1" applyBorder="1" applyAlignment="1">
      <alignment horizontal="left"/>
    </xf>
    <xf numFmtId="0" fontId="60" fillId="0" borderId="21" xfId="4" applyFont="1" applyBorder="1" applyAlignment="1">
      <alignment horizontal="left"/>
    </xf>
    <xf numFmtId="0" fontId="59" fillId="15" borderId="1" xfId="3" applyFont="1" applyFill="1" applyBorder="1" applyAlignment="1">
      <alignment horizontal="center"/>
    </xf>
    <xf numFmtId="0" fontId="68" fillId="0" borderId="1" xfId="0" applyFont="1" applyBorder="1" applyAlignment="1">
      <alignment horizontal="left"/>
    </xf>
    <xf numFmtId="0" fontId="64" fillId="0" borderId="21" xfId="4" applyFont="1" applyBorder="1" applyAlignment="1">
      <alignment horizontal="left"/>
    </xf>
    <xf numFmtId="0" fontId="60" fillId="9" borderId="1" xfId="3" applyFont="1" applyFill="1" applyBorder="1" applyAlignment="1">
      <alignment horizontal="center"/>
    </xf>
    <xf numFmtId="0" fontId="65" fillId="0" borderId="1" xfId="0" applyFont="1" applyFill="1" applyBorder="1" applyAlignment="1">
      <alignment horizontal="left"/>
    </xf>
    <xf numFmtId="0" fontId="65" fillId="0" borderId="1" xfId="0" applyFont="1" applyBorder="1" applyAlignment="1">
      <alignment horizontal="left"/>
    </xf>
    <xf numFmtId="2" fontId="49" fillId="12" borderId="0" xfId="5" applyNumberFormat="1" applyFont="1" applyFill="1" applyBorder="1" applyAlignment="1" applyProtection="1">
      <alignment horizontal="center"/>
    </xf>
    <xf numFmtId="0" fontId="48" fillId="12" borderId="0" xfId="0" applyFont="1" applyFill="1" applyBorder="1"/>
    <xf numFmtId="0" fontId="60" fillId="15" borderId="15" xfId="3" applyFont="1" applyFill="1" applyBorder="1" applyAlignment="1">
      <alignment horizontal="center"/>
    </xf>
    <xf numFmtId="0" fontId="60" fillId="0" borderId="1" xfId="4" applyFont="1" applyBorder="1" applyAlignment="1">
      <alignment horizontal="left"/>
    </xf>
    <xf numFmtId="0" fontId="65" fillId="0" borderId="1" xfId="0" applyFont="1" applyFill="1" applyBorder="1" applyAlignment="1">
      <alignment horizontal="left"/>
    </xf>
    <xf numFmtId="0" fontId="65" fillId="0" borderId="1" xfId="0" applyFont="1" applyBorder="1" applyAlignment="1">
      <alignment horizontal="left"/>
    </xf>
    <xf numFmtId="0" fontId="68" fillId="0" borderId="1" xfId="0" applyFont="1" applyBorder="1" applyAlignment="1">
      <alignment horizontal="left"/>
    </xf>
    <xf numFmtId="0" fontId="60" fillId="8" borderId="21" xfId="3" applyFont="1" applyFill="1" applyBorder="1" applyAlignment="1">
      <alignment horizontal="left"/>
    </xf>
    <xf numFmtId="0" fontId="60" fillId="8" borderId="1" xfId="3" applyFont="1" applyFill="1" applyBorder="1" applyAlignment="1">
      <alignment horizontal="left"/>
    </xf>
    <xf numFmtId="0" fontId="60" fillId="9" borderId="1" xfId="3" applyFont="1" applyFill="1" applyBorder="1" applyAlignment="1">
      <alignment horizontal="center"/>
    </xf>
    <xf numFmtId="0" fontId="60" fillId="0" borderId="21" xfId="4" applyFont="1" applyBorder="1" applyAlignment="1">
      <alignment horizontal="left"/>
    </xf>
    <xf numFmtId="0" fontId="64" fillId="0" borderId="21" xfId="4" applyFont="1" applyBorder="1" applyAlignment="1">
      <alignment horizontal="left"/>
    </xf>
    <xf numFmtId="0" fontId="59" fillId="15" borderId="1" xfId="3" applyFont="1" applyFill="1" applyBorder="1" applyAlignment="1">
      <alignment horizontal="left"/>
    </xf>
    <xf numFmtId="0" fontId="59" fillId="15" borderId="1" xfId="3" applyFont="1" applyFill="1" applyBorder="1" applyAlignment="1">
      <alignment horizontal="center"/>
    </xf>
    <xf numFmtId="1" fontId="66" fillId="12" borderId="1" xfId="3" applyNumberFormat="1" applyFont="1" applyFill="1" applyBorder="1" applyAlignment="1">
      <alignment horizontal="center" vertical="center"/>
    </xf>
    <xf numFmtId="0" fontId="98" fillId="12" borderId="1" xfId="4" applyFont="1" applyFill="1" applyBorder="1" applyAlignment="1">
      <alignment horizontal="center" wrapText="1"/>
    </xf>
    <xf numFmtId="1" fontId="66" fillId="2" borderId="1" xfId="4" applyNumberFormat="1" applyFont="1" applyFill="1" applyBorder="1" applyAlignment="1">
      <alignment horizontal="center" vertical="center"/>
    </xf>
    <xf numFmtId="1" fontId="115" fillId="0" borderId="1" xfId="17" applyNumberFormat="1" applyFont="1" applyBorder="1" applyAlignment="1">
      <alignment horizontal="center" wrapText="1"/>
    </xf>
    <xf numFmtId="1" fontId="3" fillId="0" borderId="1" xfId="17" applyNumberFormat="1" applyBorder="1" applyAlignment="1">
      <alignment horizontal="center"/>
    </xf>
    <xf numFmtId="1" fontId="122" fillId="0" borderId="1" xfId="0" applyNumberFormat="1" applyFont="1" applyBorder="1" applyAlignment="1">
      <alignment horizontal="center"/>
    </xf>
    <xf numFmtId="0" fontId="60" fillId="2" borderId="1" xfId="3" applyFont="1" applyFill="1" applyBorder="1" applyAlignment="1">
      <alignment horizontal="left"/>
    </xf>
    <xf numFmtId="2" fontId="66" fillId="2" borderId="1" xfId="3" applyNumberFormat="1" applyFont="1" applyFill="1" applyBorder="1" applyAlignment="1">
      <alignment horizontal="right"/>
    </xf>
    <xf numFmtId="0" fontId="113" fillId="0" borderId="1" xfId="4" applyFont="1" applyBorder="1" applyAlignment="1">
      <alignment horizontal="center" vertical="center"/>
    </xf>
    <xf numFmtId="2" fontId="113" fillId="8" borderId="1" xfId="3" applyNumberFormat="1" applyFont="1" applyFill="1" applyBorder="1" applyAlignment="1">
      <alignment horizontal="center" vertical="center"/>
    </xf>
    <xf numFmtId="0" fontId="113" fillId="8" borderId="1" xfId="3" applyFont="1" applyFill="1" applyBorder="1" applyAlignment="1">
      <alignment horizontal="center" vertical="center"/>
    </xf>
    <xf numFmtId="0" fontId="113" fillId="15" borderId="1" xfId="3" applyFont="1" applyFill="1" applyBorder="1" applyAlignment="1">
      <alignment horizontal="center" vertical="center"/>
    </xf>
    <xf numFmtId="0" fontId="113" fillId="0" borderId="1" xfId="4" applyFont="1" applyFill="1" applyBorder="1" applyAlignment="1">
      <alignment horizontal="center" vertical="center"/>
    </xf>
    <xf numFmtId="0" fontId="113" fillId="15" borderId="1" xfId="3" applyFont="1" applyFill="1" applyBorder="1" applyAlignment="1">
      <alignment vertical="center"/>
    </xf>
    <xf numFmtId="1" fontId="113" fillId="2" borderId="1" xfId="3" applyNumberFormat="1" applyFont="1" applyFill="1" applyBorder="1" applyAlignment="1">
      <alignment horizontal="center" vertical="center"/>
    </xf>
    <xf numFmtId="0" fontId="113" fillId="0" borderId="1" xfId="4" applyFont="1" applyBorder="1" applyAlignment="1">
      <alignment horizontal="center"/>
    </xf>
    <xf numFmtId="0" fontId="113" fillId="0" borderId="1" xfId="4" applyFont="1" applyFill="1" applyBorder="1" applyAlignment="1">
      <alignment horizontal="center"/>
    </xf>
    <xf numFmtId="0" fontId="113" fillId="2" borderId="1" xfId="4" applyFont="1" applyFill="1" applyBorder="1" applyAlignment="1"/>
    <xf numFmtId="2" fontId="113" fillId="8" borderId="1" xfId="3" applyNumberFormat="1" applyFont="1" applyFill="1" applyBorder="1" applyAlignment="1">
      <alignment horizontal="center"/>
    </xf>
    <xf numFmtId="2" fontId="113" fillId="8" borderId="8" xfId="3" applyNumberFormat="1" applyFont="1" applyFill="1" applyBorder="1" applyAlignment="1">
      <alignment horizontal="center"/>
    </xf>
    <xf numFmtId="0" fontId="113" fillId="23" borderId="1" xfId="4" applyFont="1" applyFill="1" applyBorder="1" applyAlignment="1">
      <alignment horizontal="center" vertical="center"/>
    </xf>
    <xf numFmtId="0" fontId="78" fillId="2" borderId="21" xfId="3" applyFont="1" applyFill="1" applyBorder="1" applyAlignment="1">
      <alignment horizontal="left"/>
    </xf>
    <xf numFmtId="0" fontId="113" fillId="2" borderId="1" xfId="4" applyFont="1" applyFill="1" applyBorder="1" applyAlignment="1">
      <alignment horizontal="center"/>
    </xf>
    <xf numFmtId="1" fontId="113" fillId="2" borderId="1" xfId="5" applyNumberFormat="1" applyFont="1" applyFill="1" applyBorder="1" applyAlignment="1">
      <alignment horizontal="center" vertical="center"/>
    </xf>
    <xf numFmtId="1" fontId="113" fillId="2" borderId="1" xfId="3" applyNumberFormat="1" applyFont="1" applyFill="1" applyBorder="1" applyAlignment="1">
      <alignment horizontal="center"/>
    </xf>
    <xf numFmtId="1" fontId="113" fillId="2" borderId="15" xfId="5" applyNumberFormat="1" applyFont="1" applyFill="1" applyBorder="1" applyAlignment="1" applyProtection="1">
      <alignment horizontal="center"/>
    </xf>
    <xf numFmtId="0" fontId="113" fillId="2" borderId="1" xfId="3" applyFont="1" applyFill="1" applyBorder="1" applyAlignment="1">
      <alignment horizontal="center"/>
    </xf>
    <xf numFmtId="164" fontId="113" fillId="2" borderId="1" xfId="5" applyNumberFormat="1" applyFont="1" applyFill="1" applyBorder="1" applyAlignment="1">
      <alignment horizontal="center" vertical="center"/>
    </xf>
    <xf numFmtId="0" fontId="113" fillId="2" borderId="1" xfId="4" applyFont="1" applyFill="1" applyBorder="1" applyAlignment="1">
      <alignment horizontal="center" wrapText="1"/>
    </xf>
    <xf numFmtId="0" fontId="113" fillId="0" borderId="1" xfId="4" applyFont="1" applyFill="1" applyBorder="1" applyAlignment="1">
      <alignment horizontal="center" wrapText="1"/>
    </xf>
    <xf numFmtId="0" fontId="113" fillId="0" borderId="1" xfId="4" applyFont="1" applyBorder="1" applyAlignment="1">
      <alignment horizontal="center" wrapText="1"/>
    </xf>
    <xf numFmtId="0" fontId="113" fillId="0" borderId="1" xfId="3" applyFont="1" applyFill="1" applyBorder="1" applyAlignment="1">
      <alignment horizontal="center"/>
    </xf>
    <xf numFmtId="0" fontId="113" fillId="10" borderId="24" xfId="4" applyFont="1" applyFill="1" applyBorder="1" applyAlignment="1">
      <alignment horizontal="center" vertical="center"/>
    </xf>
    <xf numFmtId="0" fontId="113" fillId="0" borderId="1" xfId="0" applyFont="1" applyBorder="1" applyAlignment="1">
      <alignment horizontal="center"/>
    </xf>
    <xf numFmtId="0" fontId="113" fillId="0" borderId="1" xfId="0" applyFont="1" applyFill="1" applyBorder="1" applyAlignment="1">
      <alignment horizontal="center"/>
    </xf>
    <xf numFmtId="1" fontId="113" fillId="0" borderId="1" xfId="0" applyNumberFormat="1" applyFont="1" applyFill="1" applyBorder="1" applyAlignment="1">
      <alignment horizontal="center"/>
    </xf>
    <xf numFmtId="0" fontId="113" fillId="0" borderId="0" xfId="0" applyFont="1" applyBorder="1"/>
    <xf numFmtId="0" fontId="113" fillId="12" borderId="1" xfId="4" applyFont="1" applyFill="1" applyBorder="1" applyAlignment="1">
      <alignment horizontal="center"/>
    </xf>
    <xf numFmtId="2" fontId="113" fillId="8" borderId="7" xfId="3" applyNumberFormat="1" applyFont="1" applyFill="1" applyBorder="1" applyAlignment="1">
      <alignment horizontal="center"/>
    </xf>
    <xf numFmtId="0" fontId="113" fillId="2" borderId="1" xfId="0" applyFont="1" applyFill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0" fillId="0" borderId="1" xfId="0" applyBorder="1" applyAlignment="1">
      <alignment wrapText="1"/>
    </xf>
    <xf numFmtId="0" fontId="98" fillId="12" borderId="1" xfId="4" applyFont="1" applyFill="1" applyBorder="1" applyAlignment="1">
      <alignment horizontal="center"/>
    </xf>
    <xf numFmtId="0" fontId="92" fillId="12" borderId="1" xfId="3" applyFont="1" applyFill="1" applyBorder="1" applyAlignment="1">
      <alignment horizontal="center" vertical="center"/>
    </xf>
    <xf numFmtId="0" fontId="97" fillId="12" borderId="1" xfId="0" applyFont="1" applyFill="1" applyBorder="1" applyAlignment="1">
      <alignment horizontal="center"/>
    </xf>
    <xf numFmtId="0" fontId="115" fillId="0" borderId="5" xfId="18" applyFont="1" applyBorder="1"/>
    <xf numFmtId="0" fontId="116" fillId="0" borderId="5" xfId="18" applyFont="1" applyBorder="1" applyAlignment="1">
      <alignment horizontal="center"/>
    </xf>
    <xf numFmtId="0" fontId="115" fillId="0" borderId="0" xfId="18" applyFont="1"/>
    <xf numFmtId="0" fontId="17" fillId="0" borderId="0" xfId="19" applyFont="1" applyAlignment="1">
      <alignment horizontal="center"/>
    </xf>
    <xf numFmtId="0" fontId="86" fillId="0" borderId="0" xfId="18" applyFont="1" applyAlignment="1">
      <alignment horizontal="center"/>
    </xf>
    <xf numFmtId="0" fontId="2" fillId="0" borderId="0" xfId="18"/>
    <xf numFmtId="0" fontId="2" fillId="0" borderId="0" xfId="18" applyAlignment="1">
      <alignment horizontal="center"/>
    </xf>
    <xf numFmtId="0" fontId="97" fillId="12" borderId="1" xfId="3" applyFont="1" applyFill="1" applyBorder="1" applyAlignment="1">
      <alignment horizontal="center"/>
    </xf>
    <xf numFmtId="1" fontId="82" fillId="24" borderId="15" xfId="5" applyNumberFormat="1" applyFont="1" applyFill="1" applyBorder="1" applyAlignment="1" applyProtection="1">
      <alignment horizontal="center"/>
    </xf>
    <xf numFmtId="0" fontId="106" fillId="19" borderId="5" xfId="0" applyFont="1" applyFill="1" applyBorder="1" applyAlignment="1">
      <alignment horizontal="center"/>
    </xf>
    <xf numFmtId="0" fontId="4" fillId="0" borderId="27" xfId="1" applyFont="1" applyFill="1" applyBorder="1" applyAlignment="1">
      <alignment horizontal="center" vertical="center" wrapText="1"/>
    </xf>
    <xf numFmtId="0" fontId="4" fillId="0" borderId="36" xfId="1" applyFont="1" applyFill="1" applyBorder="1" applyAlignment="1">
      <alignment horizontal="center" vertical="center" wrapText="1"/>
    </xf>
    <xf numFmtId="0" fontId="106" fillId="19" borderId="0" xfId="0" applyFont="1" applyFill="1" applyBorder="1" applyAlignment="1">
      <alignment horizontal="center"/>
    </xf>
    <xf numFmtId="0" fontId="129" fillId="0" borderId="21" xfId="1" applyFont="1" applyFill="1" applyBorder="1" applyAlignment="1">
      <alignment vertical="top" wrapText="1"/>
    </xf>
    <xf numFmtId="0" fontId="129" fillId="0" borderId="1" xfId="1" applyFont="1" applyFill="1" applyBorder="1" applyAlignment="1">
      <alignment horizontal="center" vertical="top" wrapText="1"/>
    </xf>
    <xf numFmtId="0" fontId="129" fillId="0" borderId="15" xfId="1" applyFont="1" applyFill="1" applyBorder="1" applyAlignment="1">
      <alignment horizontal="center" vertical="top" wrapText="1"/>
    </xf>
    <xf numFmtId="1" fontId="123" fillId="0" borderId="5" xfId="18" applyNumberFormat="1" applyFont="1" applyFill="1" applyBorder="1" applyAlignment="1">
      <alignment horizontal="center" wrapText="1"/>
    </xf>
    <xf numFmtId="1" fontId="124" fillId="0" borderId="5" xfId="18" applyNumberFormat="1" applyFont="1" applyFill="1" applyBorder="1" applyAlignment="1">
      <alignment horizontal="center" wrapText="1"/>
    </xf>
    <xf numFmtId="1" fontId="125" fillId="0" borderId="5" xfId="18" applyNumberFormat="1" applyFont="1" applyFill="1" applyBorder="1" applyAlignment="1">
      <alignment horizontal="center" wrapText="1"/>
    </xf>
    <xf numFmtId="1" fontId="126" fillId="0" borderId="0" xfId="18" applyNumberFormat="1" applyFont="1" applyFill="1" applyAlignment="1">
      <alignment horizontal="center"/>
    </xf>
    <xf numFmtId="1" fontId="127" fillId="0" borderId="0" xfId="18" applyNumberFormat="1" applyFont="1" applyFill="1" applyAlignment="1">
      <alignment horizontal="center"/>
    </xf>
    <xf numFmtId="1" fontId="128" fillId="0" borderId="0" xfId="18" applyNumberFormat="1" applyFont="1" applyFill="1" applyAlignment="1">
      <alignment horizontal="center"/>
    </xf>
    <xf numFmtId="1" fontId="2" fillId="0" borderId="0" xfId="18" applyNumberFormat="1" applyFill="1" applyAlignment="1">
      <alignment horizontal="center"/>
    </xf>
    <xf numFmtId="0" fontId="2" fillId="0" borderId="0" xfId="18" applyFill="1" applyAlignment="1">
      <alignment horizontal="center"/>
    </xf>
    <xf numFmtId="0" fontId="2" fillId="0" borderId="0" xfId="18" applyFill="1"/>
    <xf numFmtId="0" fontId="60" fillId="0" borderId="1" xfId="4" applyFont="1" applyBorder="1" applyAlignment="1">
      <alignment horizontal="left"/>
    </xf>
    <xf numFmtId="0" fontId="65" fillId="0" borderId="1" xfId="0" applyFont="1" applyFill="1" applyBorder="1" applyAlignment="1">
      <alignment horizontal="left"/>
    </xf>
    <xf numFmtId="0" fontId="65" fillId="0" borderId="1" xfId="0" applyFont="1" applyBorder="1" applyAlignment="1">
      <alignment horizontal="left"/>
    </xf>
    <xf numFmtId="0" fontId="68" fillId="0" borderId="1" xfId="0" applyFont="1" applyBorder="1" applyAlignment="1">
      <alignment horizontal="left"/>
    </xf>
    <xf numFmtId="0" fontId="60" fillId="8" borderId="21" xfId="3" applyFont="1" applyFill="1" applyBorder="1" applyAlignment="1">
      <alignment horizontal="left"/>
    </xf>
    <xf numFmtId="0" fontId="60" fillId="8" borderId="1" xfId="3" applyFont="1" applyFill="1" applyBorder="1" applyAlignment="1">
      <alignment horizontal="left"/>
    </xf>
    <xf numFmtId="0" fontId="60" fillId="9" borderId="1" xfId="3" applyFont="1" applyFill="1" applyBorder="1" applyAlignment="1">
      <alignment horizontal="center"/>
    </xf>
    <xf numFmtId="0" fontId="60" fillId="0" borderId="21" xfId="4" applyFont="1" applyBorder="1" applyAlignment="1">
      <alignment horizontal="left"/>
    </xf>
    <xf numFmtId="0" fontId="64" fillId="0" borderId="21" xfId="4" applyFont="1" applyBorder="1" applyAlignment="1">
      <alignment horizontal="left"/>
    </xf>
    <xf numFmtId="0" fontId="59" fillId="15" borderId="1" xfId="3" applyFont="1" applyFill="1" applyBorder="1" applyAlignment="1">
      <alignment horizontal="left"/>
    </xf>
    <xf numFmtId="0" fontId="59" fillId="15" borderId="1" xfId="3" applyFont="1" applyFill="1" applyBorder="1" applyAlignment="1">
      <alignment horizontal="center"/>
    </xf>
    <xf numFmtId="0" fontId="66" fillId="12" borderId="1" xfId="4" applyFont="1" applyFill="1" applyBorder="1" applyAlignment="1">
      <alignment horizontal="center" wrapText="1"/>
    </xf>
    <xf numFmtId="0" fontId="66" fillId="12" borderId="1" xfId="3" applyFont="1" applyFill="1" applyBorder="1" applyAlignment="1">
      <alignment horizontal="center" vertical="center"/>
    </xf>
    <xf numFmtId="0" fontId="49" fillId="12" borderId="0" xfId="3" applyFont="1" applyFill="1" applyBorder="1" applyAlignment="1">
      <alignment horizontal="center"/>
    </xf>
    <xf numFmtId="0" fontId="74" fillId="0" borderId="1" xfId="0" applyFont="1" applyBorder="1" applyAlignment="1">
      <alignment horizontal="center"/>
    </xf>
    <xf numFmtId="2" fontId="49" fillId="0" borderId="0" xfId="5" applyNumberFormat="1" applyFont="1" applyFill="1" applyBorder="1" applyAlignment="1" applyProtection="1">
      <alignment horizontal="center"/>
    </xf>
    <xf numFmtId="0" fontId="0" fillId="0" borderId="1" xfId="0" applyBorder="1" applyAlignment="1">
      <alignment horizontal="center"/>
    </xf>
    <xf numFmtId="0" fontId="60" fillId="0" borderId="1" xfId="4" applyFont="1" applyBorder="1" applyAlignment="1">
      <alignment horizontal="left"/>
    </xf>
    <xf numFmtId="0" fontId="65" fillId="0" borderId="1" xfId="0" applyFont="1" applyFill="1" applyBorder="1" applyAlignment="1">
      <alignment horizontal="left"/>
    </xf>
    <xf numFmtId="0" fontId="65" fillId="0" borderId="1" xfId="0" applyFont="1" applyBorder="1" applyAlignment="1">
      <alignment horizontal="left"/>
    </xf>
    <xf numFmtId="0" fontId="68" fillId="0" borderId="1" xfId="0" applyFont="1" applyBorder="1" applyAlignment="1">
      <alignment horizontal="left"/>
    </xf>
    <xf numFmtId="0" fontId="60" fillId="8" borderId="21" xfId="3" applyFont="1" applyFill="1" applyBorder="1" applyAlignment="1">
      <alignment horizontal="left"/>
    </xf>
    <xf numFmtId="0" fontId="60" fillId="8" borderId="1" xfId="3" applyFont="1" applyFill="1" applyBorder="1" applyAlignment="1">
      <alignment horizontal="left"/>
    </xf>
    <xf numFmtId="0" fontId="60" fillId="9" borderId="1" xfId="3" applyFont="1" applyFill="1" applyBorder="1" applyAlignment="1">
      <alignment horizontal="center"/>
    </xf>
    <xf numFmtId="0" fontId="60" fillId="0" borderId="21" xfId="4" applyFont="1" applyBorder="1" applyAlignment="1">
      <alignment horizontal="left"/>
    </xf>
    <xf numFmtId="0" fontId="64" fillId="0" borderId="21" xfId="4" applyFont="1" applyBorder="1" applyAlignment="1">
      <alignment horizontal="left"/>
    </xf>
    <xf numFmtId="0" fontId="59" fillId="15" borderId="1" xfId="3" applyFont="1" applyFill="1" applyBorder="1" applyAlignment="1">
      <alignment horizontal="left"/>
    </xf>
    <xf numFmtId="0" fontId="59" fillId="15" borderId="1" xfId="3" applyFont="1" applyFill="1" applyBorder="1" applyAlignment="1">
      <alignment horizontal="center"/>
    </xf>
    <xf numFmtId="175" fontId="60" fillId="9" borderId="1" xfId="3" applyNumberFormat="1" applyFont="1" applyFill="1" applyBorder="1" applyAlignment="1">
      <alignment horizontal="center" vertical="center"/>
    </xf>
    <xf numFmtId="175" fontId="60" fillId="9" borderId="1" xfId="3" applyNumberFormat="1" applyFont="1" applyFill="1" applyBorder="1" applyAlignment="1">
      <alignment horizontal="center"/>
    </xf>
    <xf numFmtId="175" fontId="66" fillId="8" borderId="1" xfId="3" applyNumberFormat="1" applyFont="1" applyFill="1" applyBorder="1" applyAlignment="1">
      <alignment horizontal="center" wrapText="1" shrinkToFit="1"/>
    </xf>
    <xf numFmtId="175" fontId="66" fillId="15" borderId="1" xfId="3" applyNumberFormat="1" applyFont="1" applyFill="1" applyBorder="1" applyAlignment="1">
      <alignment horizontal="center" vertical="center"/>
    </xf>
    <xf numFmtId="175" fontId="66" fillId="2" borderId="1" xfId="5" applyNumberFormat="1" applyFont="1" applyFill="1" applyBorder="1" applyAlignment="1">
      <alignment horizontal="center" vertical="center"/>
    </xf>
    <xf numFmtId="175" fontId="66" fillId="2" borderId="7" xfId="5" applyNumberFormat="1" applyFont="1" applyFill="1" applyBorder="1" applyAlignment="1">
      <alignment horizontal="center" vertical="center"/>
    </xf>
    <xf numFmtId="175" fontId="66" fillId="8" borderId="1" xfId="5" applyNumberFormat="1" applyFont="1" applyFill="1" applyBorder="1" applyAlignment="1">
      <alignment horizontal="center" vertical="center"/>
    </xf>
    <xf numFmtId="175" fontId="71" fillId="15" borderId="1" xfId="3" applyNumberFormat="1" applyFont="1" applyFill="1" applyBorder="1" applyAlignment="1">
      <alignment horizontal="center"/>
    </xf>
    <xf numFmtId="175" fontId="74" fillId="12" borderId="1" xfId="5" applyNumberFormat="1" applyFont="1" applyFill="1" applyBorder="1" applyAlignment="1">
      <alignment horizontal="center" vertical="center"/>
    </xf>
    <xf numFmtId="175" fontId="73" fillId="8" borderId="1" xfId="5" applyNumberFormat="1" applyFont="1" applyFill="1" applyBorder="1" applyAlignment="1">
      <alignment horizontal="center" vertical="center"/>
    </xf>
    <xf numFmtId="175" fontId="71" fillId="15" borderId="1" xfId="3" applyNumberFormat="1" applyFont="1" applyFill="1" applyBorder="1" applyAlignment="1">
      <alignment horizontal="center" vertical="center"/>
    </xf>
    <xf numFmtId="175" fontId="71" fillId="8" borderId="1" xfId="3" applyNumberFormat="1" applyFont="1" applyFill="1" applyBorder="1" applyAlignment="1">
      <alignment horizontal="center"/>
    </xf>
    <xf numFmtId="175" fontId="71" fillId="8" borderId="1" xfId="5" applyNumberFormat="1" applyFont="1" applyFill="1" applyBorder="1" applyAlignment="1" applyProtection="1">
      <alignment horizontal="center" vertical="center"/>
    </xf>
    <xf numFmtId="175" fontId="73" fillId="8" borderId="1" xfId="5" applyNumberFormat="1" applyFont="1" applyFill="1" applyBorder="1" applyAlignment="1" applyProtection="1">
      <alignment horizontal="center" vertical="center"/>
    </xf>
    <xf numFmtId="175" fontId="66" fillId="15" borderId="1" xfId="3" applyNumberFormat="1" applyFont="1" applyFill="1" applyBorder="1" applyAlignment="1">
      <alignment horizontal="center"/>
    </xf>
    <xf numFmtId="175" fontId="66" fillId="15" borderId="1" xfId="3" applyNumberFormat="1" applyFont="1" applyFill="1" applyBorder="1" applyAlignment="1"/>
    <xf numFmtId="175" fontId="66" fillId="2" borderId="1" xfId="4" applyNumberFormat="1" applyFont="1" applyFill="1" applyBorder="1" applyAlignment="1"/>
    <xf numFmtId="175" fontId="66" fillId="8" borderId="1" xfId="3" applyNumberFormat="1" applyFont="1" applyFill="1" applyBorder="1" applyAlignment="1">
      <alignment horizontal="center"/>
    </xf>
    <xf numFmtId="175" fontId="66" fillId="0" borderId="1" xfId="3" applyNumberFormat="1" applyFont="1" applyFill="1" applyBorder="1" applyAlignment="1">
      <alignment horizontal="center"/>
    </xf>
    <xf numFmtId="175" fontId="71" fillId="2" borderId="1" xfId="3" applyNumberFormat="1" applyFont="1" applyFill="1" applyBorder="1" applyAlignment="1">
      <alignment horizontal="center"/>
    </xf>
    <xf numFmtId="175" fontId="66" fillId="10" borderId="24" xfId="5" applyNumberFormat="1" applyFont="1" applyFill="1" applyBorder="1" applyAlignment="1">
      <alignment horizontal="center" vertical="center"/>
    </xf>
    <xf numFmtId="175" fontId="71" fillId="0" borderId="1" xfId="0" applyNumberFormat="1" applyFont="1" applyBorder="1" applyAlignment="1">
      <alignment horizontal="center"/>
    </xf>
    <xf numFmtId="175" fontId="71" fillId="0" borderId="1" xfId="0" applyNumberFormat="1" applyFont="1" applyFill="1" applyBorder="1" applyAlignment="1">
      <alignment horizontal="center"/>
    </xf>
    <xf numFmtId="175" fontId="71" fillId="0" borderId="0" xfId="0" applyNumberFormat="1" applyFont="1" applyBorder="1"/>
    <xf numFmtId="175" fontId="66" fillId="15" borderId="1" xfId="5" applyNumberFormat="1" applyFont="1" applyFill="1" applyBorder="1" applyAlignment="1">
      <alignment horizontal="center"/>
    </xf>
    <xf numFmtId="175" fontId="66" fillId="0" borderId="1" xfId="5" applyNumberFormat="1" applyFont="1" applyFill="1" applyBorder="1" applyAlignment="1">
      <alignment horizontal="center" vertical="center"/>
    </xf>
    <xf numFmtId="175" fontId="66" fillId="8" borderId="1" xfId="6" applyNumberFormat="1" applyFont="1" applyFill="1" applyBorder="1" applyAlignment="1">
      <alignment horizontal="center"/>
    </xf>
    <xf numFmtId="175" fontId="66" fillId="8" borderId="7" xfId="6" applyNumberFormat="1" applyFont="1" applyFill="1" applyBorder="1" applyAlignment="1">
      <alignment horizontal="center"/>
    </xf>
    <xf numFmtId="175" fontId="76" fillId="0" borderId="0" xfId="0" applyNumberFormat="1" applyFont="1"/>
    <xf numFmtId="175" fontId="71" fillId="0" borderId="0" xfId="0" applyNumberFormat="1" applyFont="1"/>
    <xf numFmtId="0" fontId="49" fillId="0" borderId="0" xfId="3" applyFont="1" applyFill="1" applyBorder="1" applyAlignment="1">
      <alignment horizontal="center" vertical="center"/>
    </xf>
    <xf numFmtId="0" fontId="60" fillId="0" borderId="1" xfId="4" applyFont="1" applyBorder="1" applyAlignment="1">
      <alignment horizontal="left"/>
    </xf>
    <xf numFmtId="0" fontId="65" fillId="0" borderId="1" xfId="0" applyFont="1" applyFill="1" applyBorder="1" applyAlignment="1">
      <alignment horizontal="left"/>
    </xf>
    <xf numFmtId="0" fontId="65" fillId="0" borderId="1" xfId="0" applyFont="1" applyBorder="1" applyAlignment="1">
      <alignment horizontal="left"/>
    </xf>
    <xf numFmtId="0" fontId="60" fillId="8" borderId="21" xfId="3" applyFont="1" applyFill="1" applyBorder="1" applyAlignment="1">
      <alignment horizontal="left"/>
    </xf>
    <xf numFmtId="0" fontId="60" fillId="8" borderId="1" xfId="3" applyFont="1" applyFill="1" applyBorder="1" applyAlignment="1">
      <alignment horizontal="left"/>
    </xf>
    <xf numFmtId="0" fontId="60" fillId="9" borderId="1" xfId="3" applyFont="1" applyFill="1" applyBorder="1" applyAlignment="1">
      <alignment horizontal="center"/>
    </xf>
    <xf numFmtId="0" fontId="60" fillId="0" borderId="21" xfId="4" applyFont="1" applyBorder="1" applyAlignment="1">
      <alignment horizontal="left"/>
    </xf>
    <xf numFmtId="0" fontId="64" fillId="0" borderId="21" xfId="4" applyFont="1" applyBorder="1" applyAlignment="1">
      <alignment horizontal="left"/>
    </xf>
    <xf numFmtId="0" fontId="59" fillId="15" borderId="1" xfId="3" applyFont="1" applyFill="1" applyBorder="1" applyAlignment="1">
      <alignment horizontal="left"/>
    </xf>
    <xf numFmtId="0" fontId="59" fillId="15" borderId="1" xfId="3" applyFont="1" applyFill="1" applyBorder="1" applyAlignment="1">
      <alignment horizontal="center"/>
    </xf>
    <xf numFmtId="1" fontId="124" fillId="12" borderId="5" xfId="18" applyNumberFormat="1" applyFont="1" applyFill="1" applyBorder="1" applyAlignment="1">
      <alignment horizontal="center" wrapText="1"/>
    </xf>
    <xf numFmtId="1" fontId="127" fillId="12" borderId="0" xfId="18" applyNumberFormat="1" applyFont="1" applyFill="1" applyAlignment="1">
      <alignment horizontal="center"/>
    </xf>
    <xf numFmtId="0" fontId="2" fillId="12" borderId="0" xfId="18" applyFill="1"/>
    <xf numFmtId="1" fontId="98" fillId="25" borderId="1" xfId="4" applyNumberFormat="1" applyFont="1" applyFill="1" applyBorder="1" applyAlignment="1">
      <alignment horizontal="center"/>
    </xf>
    <xf numFmtId="1" fontId="92" fillId="25" borderId="1" xfId="5" applyNumberFormat="1" applyFont="1" applyFill="1" applyBorder="1" applyAlignment="1">
      <alignment horizontal="center" vertical="center"/>
    </xf>
    <xf numFmtId="1" fontId="91" fillId="0" borderId="1" xfId="0" applyNumberFormat="1" applyFont="1" applyBorder="1"/>
    <xf numFmtId="166" fontId="66" fillId="9" borderId="21" xfId="3" applyNumberFormat="1" applyFont="1" applyFill="1" applyBorder="1" applyAlignment="1">
      <alignment horizontal="left"/>
    </xf>
    <xf numFmtId="0" fontId="66" fillId="7" borderId="1" xfId="4" applyFont="1" applyFill="1" applyBorder="1" applyAlignment="1">
      <alignment horizontal="center"/>
    </xf>
    <xf numFmtId="0" fontId="107" fillId="0" borderId="4" xfId="0" applyFont="1" applyBorder="1" applyAlignment="1">
      <alignment horizontal="center" vertical="top" wrapText="1"/>
    </xf>
    <xf numFmtId="0" fontId="66" fillId="26" borderId="1" xfId="4" applyFont="1" applyFill="1" applyBorder="1" applyAlignment="1">
      <alignment horizontal="center"/>
    </xf>
    <xf numFmtId="1" fontId="66" fillId="26" borderId="1" xfId="5" applyNumberFormat="1" applyFont="1" applyFill="1" applyBorder="1" applyAlignment="1">
      <alignment horizontal="center" vertical="center"/>
    </xf>
    <xf numFmtId="0" fontId="60" fillId="0" borderId="1" xfId="3" applyFont="1" applyFill="1" applyBorder="1" applyAlignment="1">
      <alignment horizontal="center" vertical="center"/>
    </xf>
    <xf numFmtId="1" fontId="60" fillId="0" borderId="15" xfId="3" applyNumberFormat="1" applyFont="1" applyFill="1" applyBorder="1" applyAlignment="1">
      <alignment horizontal="center" vertical="center"/>
    </xf>
    <xf numFmtId="10" fontId="60" fillId="0" borderId="1" xfId="3" applyNumberFormat="1" applyFont="1" applyFill="1" applyBorder="1" applyAlignment="1">
      <alignment horizontal="center"/>
    </xf>
    <xf numFmtId="1" fontId="60" fillId="0" borderId="1" xfId="3" applyNumberFormat="1" applyFont="1" applyFill="1" applyBorder="1" applyAlignment="1">
      <alignment horizontal="center"/>
    </xf>
    <xf numFmtId="1" fontId="60" fillId="0" borderId="15" xfId="3" applyNumberFormat="1" applyFont="1" applyFill="1" applyBorder="1" applyAlignment="1">
      <alignment horizontal="center"/>
    </xf>
    <xf numFmtId="2" fontId="60" fillId="0" borderId="1" xfId="3" applyNumberFormat="1" applyFont="1" applyFill="1" applyBorder="1" applyAlignment="1">
      <alignment horizontal="center"/>
    </xf>
    <xf numFmtId="9" fontId="60" fillId="0" borderId="1" xfId="3" applyNumberFormat="1" applyFont="1" applyFill="1" applyBorder="1" applyAlignment="1">
      <alignment horizontal="center"/>
    </xf>
    <xf numFmtId="2" fontId="66" fillId="0" borderId="1" xfId="3" applyNumberFormat="1" applyFont="1" applyFill="1" applyBorder="1" applyAlignment="1">
      <alignment horizontal="center" vertical="center"/>
    </xf>
    <xf numFmtId="164" fontId="66" fillId="0" borderId="1" xfId="3" applyNumberFormat="1" applyFont="1" applyFill="1" applyBorder="1" applyAlignment="1">
      <alignment horizontal="center" wrapText="1" shrinkToFit="1"/>
    </xf>
    <xf numFmtId="164" fontId="66" fillId="0" borderId="15" xfId="3" applyNumberFormat="1" applyFont="1" applyFill="1" applyBorder="1" applyAlignment="1">
      <alignment horizontal="center" wrapText="1" shrinkToFit="1"/>
    </xf>
    <xf numFmtId="0" fontId="66" fillId="0" borderId="1" xfId="3" applyFont="1" applyFill="1" applyBorder="1" applyAlignment="1">
      <alignment horizontal="center" vertical="center"/>
    </xf>
    <xf numFmtId="0" fontId="66" fillId="0" borderId="15" xfId="3" applyFont="1" applyFill="1" applyBorder="1" applyAlignment="1">
      <alignment horizontal="center"/>
    </xf>
    <xf numFmtId="2" fontId="71" fillId="0" borderId="1" xfId="3" applyNumberFormat="1" applyFont="1" applyFill="1" applyBorder="1" applyAlignment="1">
      <alignment horizontal="center"/>
    </xf>
    <xf numFmtId="1" fontId="71" fillId="0" borderId="1" xfId="5" applyNumberFormat="1" applyFont="1" applyFill="1" applyBorder="1" applyAlignment="1">
      <alignment horizontal="center" vertical="center"/>
    </xf>
    <xf numFmtId="0" fontId="71" fillId="0" borderId="1" xfId="3" applyNumberFormat="1" applyFont="1" applyFill="1" applyBorder="1" applyAlignment="1">
      <alignment horizontal="center"/>
    </xf>
    <xf numFmtId="1" fontId="71" fillId="0" borderId="15" xfId="5" applyNumberFormat="1" applyFont="1" applyFill="1" applyBorder="1" applyAlignment="1" applyProtection="1">
      <alignment horizontal="center"/>
    </xf>
    <xf numFmtId="2" fontId="66" fillId="0" borderId="8" xfId="3" applyNumberFormat="1" applyFont="1" applyFill="1" applyBorder="1" applyAlignment="1">
      <alignment horizontal="center"/>
    </xf>
    <xf numFmtId="1" fontId="71" fillId="0" borderId="8" xfId="3" applyNumberFormat="1" applyFont="1" applyFill="1" applyBorder="1" applyAlignment="1">
      <alignment horizontal="center"/>
    </xf>
    <xf numFmtId="1" fontId="71" fillId="0" borderId="8" xfId="5" applyNumberFormat="1" applyFont="1" applyFill="1" applyBorder="1" applyAlignment="1">
      <alignment horizontal="center" vertical="center"/>
    </xf>
    <xf numFmtId="2" fontId="71" fillId="0" borderId="1" xfId="3" applyNumberFormat="1" applyFont="1" applyFill="1" applyBorder="1" applyAlignment="1">
      <alignment horizontal="right"/>
    </xf>
    <xf numFmtId="1" fontId="82" fillId="0" borderId="1" xfId="5" applyNumberFormat="1" applyFont="1" applyFill="1" applyBorder="1" applyAlignment="1">
      <alignment horizontal="center" vertical="center"/>
    </xf>
    <xf numFmtId="0" fontId="66" fillId="0" borderId="1" xfId="3" applyNumberFormat="1" applyFont="1" applyFill="1" applyBorder="1" applyAlignment="1">
      <alignment horizontal="center"/>
    </xf>
    <xf numFmtId="0" fontId="71" fillId="0" borderId="1" xfId="4" applyFont="1" applyFill="1" applyBorder="1"/>
    <xf numFmtId="164" fontId="71" fillId="0" borderId="1" xfId="5" applyNumberFormat="1" applyFont="1" applyFill="1" applyBorder="1" applyAlignment="1">
      <alignment horizontal="center" vertical="center"/>
    </xf>
    <xf numFmtId="1" fontId="71" fillId="0" borderId="1" xfId="5" applyNumberFormat="1" applyFont="1" applyFill="1" applyBorder="1" applyAlignment="1" applyProtection="1">
      <alignment horizontal="center"/>
    </xf>
    <xf numFmtId="0" fontId="73" fillId="0" borderId="1" xfId="4" applyFont="1" applyFill="1" applyBorder="1" applyAlignment="1">
      <alignment horizontal="center"/>
    </xf>
    <xf numFmtId="0" fontId="71" fillId="0" borderId="1" xfId="3" applyFont="1" applyFill="1" applyBorder="1" applyAlignment="1">
      <alignment horizontal="center" vertical="center"/>
    </xf>
    <xf numFmtId="0" fontId="74" fillId="0" borderId="1" xfId="3" applyFont="1" applyFill="1" applyBorder="1" applyAlignment="1">
      <alignment horizontal="center" vertical="center"/>
    </xf>
    <xf numFmtId="1" fontId="66" fillId="0" borderId="15" xfId="3" applyNumberFormat="1" applyFont="1" applyFill="1" applyBorder="1" applyAlignment="1">
      <alignment horizontal="center" vertical="center"/>
    </xf>
    <xf numFmtId="2" fontId="75" fillId="0" borderId="1" xfId="3" applyNumberFormat="1" applyFont="1" applyFill="1" applyBorder="1" applyAlignment="1">
      <alignment horizontal="center"/>
    </xf>
    <xf numFmtId="164" fontId="71" fillId="0" borderId="1" xfId="3" applyNumberFormat="1" applyFont="1" applyFill="1" applyBorder="1" applyAlignment="1">
      <alignment horizontal="center"/>
    </xf>
    <xf numFmtId="1" fontId="74" fillId="0" borderId="1" xfId="3" applyNumberFormat="1" applyFont="1" applyFill="1" applyBorder="1" applyAlignment="1">
      <alignment horizontal="center"/>
    </xf>
    <xf numFmtId="1" fontId="66" fillId="0" borderId="1" xfId="9" applyNumberFormat="1" applyFont="1" applyFill="1" applyBorder="1" applyAlignment="1">
      <alignment horizontal="center"/>
    </xf>
    <xf numFmtId="2" fontId="66" fillId="0" borderId="1" xfId="9" applyNumberFormat="1" applyFont="1" applyFill="1" applyBorder="1" applyAlignment="1">
      <alignment horizontal="center"/>
    </xf>
    <xf numFmtId="168" fontId="71" fillId="0" borderId="1" xfId="5" applyNumberFormat="1" applyFont="1" applyFill="1" applyBorder="1" applyAlignment="1" applyProtection="1">
      <alignment horizontal="center" vertical="center"/>
    </xf>
    <xf numFmtId="164" fontId="74" fillId="0" borderId="1" xfId="5" applyNumberFormat="1" applyFont="1" applyFill="1" applyBorder="1" applyAlignment="1" applyProtection="1">
      <alignment horizontal="center"/>
    </xf>
    <xf numFmtId="2" fontId="74" fillId="0" borderId="1" xfId="3" applyNumberFormat="1" applyFont="1" applyFill="1" applyBorder="1" applyAlignment="1">
      <alignment horizontal="right"/>
    </xf>
    <xf numFmtId="0" fontId="73" fillId="0" borderId="1" xfId="3" applyFont="1" applyFill="1" applyBorder="1" applyAlignment="1">
      <alignment horizontal="center"/>
    </xf>
    <xf numFmtId="169" fontId="73" fillId="0" borderId="1" xfId="5" applyNumberFormat="1" applyFont="1" applyFill="1" applyBorder="1" applyAlignment="1" applyProtection="1">
      <alignment horizontal="center" vertical="center"/>
    </xf>
    <xf numFmtId="1" fontId="73" fillId="0" borderId="1" xfId="3" applyNumberFormat="1" applyFont="1" applyFill="1" applyBorder="1" applyAlignment="1">
      <alignment horizontal="center" vertical="top"/>
    </xf>
    <xf numFmtId="0" fontId="66" fillId="0" borderId="1" xfId="3" applyFont="1" applyFill="1" applyBorder="1" applyAlignment="1">
      <alignment vertical="center"/>
    </xf>
    <xf numFmtId="0" fontId="66" fillId="0" borderId="1" xfId="3" applyFont="1" applyFill="1" applyBorder="1" applyAlignment="1"/>
    <xf numFmtId="0" fontId="66" fillId="0" borderId="15" xfId="3" applyFont="1" applyFill="1" applyBorder="1" applyAlignment="1"/>
    <xf numFmtId="164" fontId="66" fillId="0" borderId="1" xfId="5" applyNumberFormat="1" applyFont="1" applyFill="1" applyBorder="1" applyAlignment="1" applyProtection="1">
      <alignment horizontal="center" vertical="center"/>
    </xf>
    <xf numFmtId="164" fontId="66" fillId="0" borderId="1" xfId="5" applyNumberFormat="1" applyFont="1" applyFill="1" applyBorder="1" applyAlignment="1" applyProtection="1">
      <alignment horizontal="center" vertical="top"/>
    </xf>
    <xf numFmtId="0" fontId="66" fillId="0" borderId="1" xfId="4" applyFont="1" applyFill="1" applyBorder="1" applyAlignment="1"/>
    <xf numFmtId="0" fontId="66" fillId="0" borderId="15" xfId="4" applyFont="1" applyFill="1" applyBorder="1" applyAlignment="1"/>
    <xf numFmtId="43" fontId="66" fillId="0" borderId="1" xfId="7" applyFont="1" applyFill="1" applyBorder="1" applyAlignment="1">
      <alignment horizontal="right" wrapText="1"/>
    </xf>
    <xf numFmtId="0" fontId="66" fillId="0" borderId="24" xfId="4" applyFont="1" applyFill="1" applyBorder="1" applyAlignment="1">
      <alignment horizontal="center" vertical="center"/>
    </xf>
    <xf numFmtId="1" fontId="66" fillId="0" borderId="24" xfId="5" applyNumberFormat="1" applyFont="1" applyFill="1" applyBorder="1" applyAlignment="1">
      <alignment horizontal="center" vertical="center"/>
    </xf>
    <xf numFmtId="1" fontId="66" fillId="0" borderId="24" xfId="3" applyNumberFormat="1" applyFont="1" applyFill="1" applyBorder="1" applyAlignment="1">
      <alignment horizontal="center" vertical="center"/>
    </xf>
    <xf numFmtId="0" fontId="71" fillId="0" borderId="0" xfId="0" applyFont="1" applyFill="1" applyBorder="1" applyAlignment="1">
      <alignment horizontal="center" vertical="center"/>
    </xf>
    <xf numFmtId="1" fontId="66" fillId="0" borderId="30" xfId="5" applyNumberFormat="1" applyFont="1" applyFill="1" applyBorder="1" applyAlignment="1" applyProtection="1">
      <alignment horizontal="center" vertical="center"/>
    </xf>
    <xf numFmtId="0" fontId="71" fillId="0" borderId="0" xfId="0" applyFont="1" applyFill="1" applyBorder="1"/>
    <xf numFmtId="0" fontId="66" fillId="0" borderId="0" xfId="0" applyFont="1" applyFill="1" applyBorder="1"/>
    <xf numFmtId="1" fontId="71" fillId="0" borderId="0" xfId="0" applyNumberFormat="1" applyFont="1" applyFill="1" applyBorder="1" applyAlignment="1">
      <alignment horizontal="center"/>
    </xf>
    <xf numFmtId="1" fontId="71" fillId="0" borderId="34" xfId="0" applyNumberFormat="1" applyFont="1" applyFill="1" applyBorder="1"/>
    <xf numFmtId="0" fontId="71" fillId="0" borderId="15" xfId="3" applyFont="1" applyFill="1" applyBorder="1" applyAlignment="1">
      <alignment horizontal="center"/>
    </xf>
    <xf numFmtId="1" fontId="66" fillId="0" borderId="1" xfId="5" applyNumberFormat="1" applyFont="1" applyFill="1" applyBorder="1" applyAlignment="1">
      <alignment horizontal="center"/>
    </xf>
    <xf numFmtId="1" fontId="66" fillId="0" borderId="15" xfId="5" applyNumberFormat="1" applyFont="1" applyFill="1" applyBorder="1" applyAlignment="1">
      <alignment horizontal="center"/>
    </xf>
    <xf numFmtId="9" fontId="66" fillId="0" borderId="1" xfId="6" applyNumberFormat="1" applyFont="1" applyFill="1" applyBorder="1" applyAlignment="1">
      <alignment horizontal="center"/>
    </xf>
    <xf numFmtId="1" fontId="66" fillId="0" borderId="1" xfId="5" applyNumberFormat="1" applyFont="1" applyFill="1" applyBorder="1" applyAlignment="1">
      <alignment horizontal="right"/>
    </xf>
    <xf numFmtId="2" fontId="66" fillId="0" borderId="7" xfId="3" applyNumberFormat="1" applyFont="1" applyFill="1" applyBorder="1" applyAlignment="1">
      <alignment horizontal="center"/>
    </xf>
    <xf numFmtId="9" fontId="66" fillId="0" borderId="7" xfId="6" applyNumberFormat="1" applyFont="1" applyFill="1" applyBorder="1" applyAlignment="1">
      <alignment horizontal="center"/>
    </xf>
    <xf numFmtId="2" fontId="66" fillId="0" borderId="7" xfId="3" applyNumberFormat="1" applyFont="1" applyFill="1" applyBorder="1" applyAlignment="1">
      <alignment horizontal="right"/>
    </xf>
    <xf numFmtId="1" fontId="66" fillId="0" borderId="23" xfId="5" applyNumberFormat="1" applyFont="1" applyFill="1" applyBorder="1" applyAlignment="1" applyProtection="1">
      <alignment horizontal="center"/>
    </xf>
    <xf numFmtId="0" fontId="76" fillId="0" borderId="0" xfId="0" applyFont="1" applyFill="1"/>
    <xf numFmtId="0" fontId="81" fillId="0" borderId="0" xfId="0" applyFont="1" applyFill="1"/>
    <xf numFmtId="1" fontId="76" fillId="0" borderId="0" xfId="0" applyNumberFormat="1" applyFont="1" applyFill="1" applyAlignment="1">
      <alignment horizontal="center"/>
    </xf>
    <xf numFmtId="1" fontId="76" fillId="0" borderId="0" xfId="0" applyNumberFormat="1" applyFont="1" applyFill="1"/>
    <xf numFmtId="0" fontId="71" fillId="0" borderId="0" xfId="0" applyFont="1" applyFill="1"/>
    <xf numFmtId="0" fontId="66" fillId="0" borderId="0" xfId="0" applyFont="1" applyFill="1"/>
    <xf numFmtId="1" fontId="71" fillId="0" borderId="0" xfId="0" applyNumberFormat="1" applyFont="1" applyFill="1" applyAlignment="1">
      <alignment horizontal="center"/>
    </xf>
    <xf numFmtId="1" fontId="71" fillId="0" borderId="0" xfId="0" applyNumberFormat="1" applyFont="1" applyFill="1"/>
    <xf numFmtId="1" fontId="130" fillId="2" borderId="21" xfId="1" applyNumberFormat="1" applyFont="1" applyFill="1" applyBorder="1" applyAlignment="1">
      <alignment vertical="center" wrapText="1"/>
    </xf>
    <xf numFmtId="1" fontId="131" fillId="0" borderId="1" xfId="0" applyNumberFormat="1" applyFont="1" applyBorder="1" applyAlignment="1">
      <alignment horizontal="center" wrapText="1"/>
    </xf>
    <xf numFmtId="0" fontId="92" fillId="12" borderId="1" xfId="4" applyFont="1" applyFill="1" applyBorder="1" applyAlignment="1">
      <alignment horizontal="center" vertical="center"/>
    </xf>
    <xf numFmtId="2" fontId="92" fillId="0" borderId="1" xfId="3" applyNumberFormat="1" applyFont="1" applyFill="1" applyBorder="1" applyAlignment="1">
      <alignment horizontal="center"/>
    </xf>
    <xf numFmtId="0" fontId="92" fillId="0" borderId="1" xfId="4" applyFont="1" applyFill="1" applyBorder="1" applyAlignment="1">
      <alignment horizontal="center" vertical="center"/>
    </xf>
    <xf numFmtId="0" fontId="17" fillId="0" borderId="24" xfId="0" applyNumberFormat="1" applyFont="1" applyBorder="1" applyAlignment="1">
      <alignment horizontal="center" wrapText="1"/>
    </xf>
    <xf numFmtId="0" fontId="106" fillId="0" borderId="0" xfId="0" applyNumberFormat="1" applyFont="1"/>
    <xf numFmtId="1" fontId="17" fillId="0" borderId="24" xfId="0" applyNumberFormat="1" applyFont="1" applyBorder="1" applyAlignment="1">
      <alignment horizontal="center" wrapText="1"/>
    </xf>
    <xf numFmtId="1" fontId="55" fillId="2" borderId="21" xfId="1" applyNumberFormat="1" applyFont="1" applyFill="1" applyBorder="1" applyAlignment="1">
      <alignment vertical="center" wrapText="1"/>
    </xf>
    <xf numFmtId="0" fontId="71" fillId="12" borderId="1" xfId="0" applyFont="1" applyFill="1" applyBorder="1" applyAlignment="1">
      <alignment horizontal="center"/>
    </xf>
    <xf numFmtId="1" fontId="66" fillId="21" borderId="1" xfId="3" applyNumberFormat="1" applyFont="1" applyFill="1" applyBorder="1" applyAlignment="1">
      <alignment horizontal="center"/>
    </xf>
    <xf numFmtId="0" fontId="66" fillId="21" borderId="1" xfId="3" applyNumberFormat="1" applyFont="1" applyFill="1" applyBorder="1" applyAlignment="1">
      <alignment horizontal="center"/>
    </xf>
    <xf numFmtId="1" fontId="66" fillId="21" borderId="15" xfId="5" applyNumberFormat="1" applyFont="1" applyFill="1" applyBorder="1" applyAlignment="1" applyProtection="1">
      <alignment horizontal="center"/>
    </xf>
    <xf numFmtId="0" fontId="71" fillId="12" borderId="1" xfId="3" applyFont="1" applyFill="1" applyBorder="1" applyAlignment="1">
      <alignment horizontal="center"/>
    </xf>
    <xf numFmtId="175" fontId="71" fillId="0" borderId="0" xfId="0" applyNumberFormat="1" applyFont="1" applyAlignment="1">
      <alignment horizontal="center"/>
    </xf>
    <xf numFmtId="175" fontId="71" fillId="2" borderId="1" xfId="5" applyNumberFormat="1" applyFont="1" applyFill="1" applyBorder="1" applyAlignment="1">
      <alignment horizontal="center" vertical="center"/>
    </xf>
    <xf numFmtId="175" fontId="71" fillId="0" borderId="1" xfId="5" applyNumberFormat="1" applyFont="1" applyFill="1" applyBorder="1" applyAlignment="1">
      <alignment horizontal="center" vertical="center"/>
    </xf>
    <xf numFmtId="0" fontId="100" fillId="12" borderId="21" xfId="4" applyFont="1" applyFill="1" applyBorder="1"/>
    <xf numFmtId="0" fontId="100" fillId="12" borderId="1" xfId="0" applyFont="1" applyFill="1" applyBorder="1"/>
    <xf numFmtId="0" fontId="92" fillId="12" borderId="1" xfId="4" applyFont="1" applyFill="1" applyBorder="1"/>
    <xf numFmtId="1" fontId="92" fillId="12" borderId="15" xfId="5" applyNumberFormat="1" applyFont="1" applyFill="1" applyBorder="1" applyAlignment="1" applyProtection="1">
      <alignment horizontal="center"/>
    </xf>
    <xf numFmtId="164" fontId="94" fillId="12" borderId="0" xfId="5" applyNumberFormat="1" applyFont="1" applyFill="1" applyBorder="1" applyAlignment="1" applyProtection="1">
      <alignment horizontal="center"/>
    </xf>
    <xf numFmtId="0" fontId="96" fillId="12" borderId="0" xfId="0" applyFont="1" applyFill="1" applyBorder="1"/>
    <xf numFmtId="0" fontId="96" fillId="12" borderId="0" xfId="0" applyFont="1" applyFill="1"/>
    <xf numFmtId="1" fontId="96" fillId="12" borderId="0" xfId="0" applyNumberFormat="1" applyFont="1" applyFill="1"/>
    <xf numFmtId="1" fontId="91" fillId="12" borderId="0" xfId="0" applyNumberFormat="1" applyFont="1" applyFill="1"/>
    <xf numFmtId="0" fontId="92" fillId="0" borderId="1" xfId="3" applyFont="1" applyFill="1" applyBorder="1" applyAlignment="1">
      <alignment horizontal="center" vertical="center"/>
    </xf>
    <xf numFmtId="2" fontId="92" fillId="0" borderId="1" xfId="3" applyNumberFormat="1" applyFont="1" applyFill="1" applyBorder="1" applyAlignment="1">
      <alignment horizontal="center" vertical="center"/>
    </xf>
    <xf numFmtId="2" fontId="92" fillId="0" borderId="8" xfId="3" applyNumberFormat="1" applyFont="1" applyFill="1" applyBorder="1" applyAlignment="1">
      <alignment horizontal="center"/>
    </xf>
    <xf numFmtId="0" fontId="92" fillId="0" borderId="1" xfId="4" applyFont="1" applyFill="1" applyBorder="1" applyAlignment="1">
      <alignment horizontal="center"/>
    </xf>
    <xf numFmtId="0" fontId="99" fillId="0" borderId="1" xfId="3" applyFont="1" applyFill="1" applyBorder="1" applyAlignment="1">
      <alignment horizontal="center"/>
    </xf>
    <xf numFmtId="0" fontId="99" fillId="0" borderId="1" xfId="4" applyFont="1" applyFill="1" applyBorder="1" applyAlignment="1">
      <alignment horizontal="center"/>
    </xf>
    <xf numFmtId="2" fontId="102" fillId="0" borderId="1" xfId="3" applyNumberFormat="1" applyFont="1" applyFill="1" applyBorder="1" applyAlignment="1">
      <alignment horizontal="center"/>
    </xf>
    <xf numFmtId="2" fontId="92" fillId="0" borderId="1" xfId="9" applyNumberFormat="1" applyFont="1" applyFill="1" applyBorder="1" applyAlignment="1">
      <alignment horizontal="center"/>
    </xf>
    <xf numFmtId="0" fontId="92" fillId="0" borderId="1" xfId="3" applyFont="1" applyFill="1" applyBorder="1" applyAlignment="1">
      <alignment vertical="center"/>
    </xf>
    <xf numFmtId="1" fontId="92" fillId="0" borderId="1" xfId="3" applyNumberFormat="1" applyFont="1" applyFill="1" applyBorder="1" applyAlignment="1">
      <alignment horizontal="center" vertical="center"/>
    </xf>
    <xf numFmtId="0" fontId="92" fillId="0" borderId="1" xfId="4" applyFont="1" applyFill="1" applyBorder="1" applyAlignment="1"/>
    <xf numFmtId="0" fontId="98" fillId="0" borderId="24" xfId="4" applyFont="1" applyFill="1" applyBorder="1" applyAlignment="1">
      <alignment horizontal="center" vertical="center"/>
    </xf>
    <xf numFmtId="0" fontId="97" fillId="0" borderId="0" xfId="0" applyFont="1" applyFill="1" applyBorder="1"/>
    <xf numFmtId="2" fontId="92" fillId="0" borderId="7" xfId="3" applyNumberFormat="1" applyFont="1" applyFill="1" applyBorder="1" applyAlignment="1">
      <alignment horizontal="center"/>
    </xf>
    <xf numFmtId="0" fontId="88" fillId="0" borderId="0" xfId="0" applyFont="1" applyFill="1"/>
    <xf numFmtId="1" fontId="92" fillId="0" borderId="1" xfId="0" applyNumberFormat="1" applyFont="1" applyFill="1" applyBorder="1" applyAlignment="1">
      <alignment horizontal="center"/>
    </xf>
    <xf numFmtId="0" fontId="97" fillId="0" borderId="0" xfId="0" applyFont="1" applyFill="1"/>
    <xf numFmtId="1" fontId="115" fillId="0" borderId="37" xfId="17" applyNumberFormat="1" applyFont="1" applyFill="1" applyBorder="1" applyAlignment="1">
      <alignment horizontal="center" wrapText="1"/>
    </xf>
    <xf numFmtId="1" fontId="0" fillId="0" borderId="0" xfId="0" applyNumberFormat="1" applyAlignment="1">
      <alignment horizontal="center"/>
    </xf>
    <xf numFmtId="0" fontId="71" fillId="10" borderId="1" xfId="0" applyFont="1" applyFill="1" applyBorder="1" applyAlignment="1">
      <alignment horizontal="center"/>
    </xf>
    <xf numFmtId="0" fontId="71" fillId="0" borderId="0" xfId="0" applyFont="1" applyAlignment="1">
      <alignment horizontal="center"/>
    </xf>
    <xf numFmtId="0" fontId="60" fillId="8" borderId="1" xfId="3" applyFont="1" applyFill="1" applyBorder="1" applyAlignment="1">
      <alignment horizontal="center"/>
    </xf>
    <xf numFmtId="0" fontId="65" fillId="0" borderId="1" xfId="0" applyFont="1" applyBorder="1" applyAlignment="1">
      <alignment horizontal="center"/>
    </xf>
    <xf numFmtId="1" fontId="60" fillId="2" borderId="1" xfId="5" applyNumberFormat="1" applyFont="1" applyFill="1" applyBorder="1" applyAlignment="1">
      <alignment horizontal="center" vertical="center"/>
    </xf>
    <xf numFmtId="1" fontId="65" fillId="0" borderId="0" xfId="0" applyNumberFormat="1" applyFont="1" applyAlignment="1">
      <alignment horizontal="center"/>
    </xf>
    <xf numFmtId="1" fontId="65" fillId="0" borderId="0" xfId="0" applyNumberFormat="1" applyFont="1"/>
    <xf numFmtId="0" fontId="65" fillId="12" borderId="1" xfId="0" applyFont="1" applyFill="1" applyBorder="1" applyAlignment="1">
      <alignment horizontal="center"/>
    </xf>
    <xf numFmtId="0" fontId="38" fillId="0" borderId="0" xfId="0" applyFont="1" applyAlignment="1">
      <alignment horizontal="center" vertical="center"/>
    </xf>
    <xf numFmtId="16" fontId="5" fillId="2" borderId="0" xfId="1" applyNumberFormat="1" applyFont="1" applyFill="1" applyBorder="1" applyAlignment="1">
      <alignment horizontal="center" vertical="center" wrapText="1"/>
    </xf>
    <xf numFmtId="0" fontId="7" fillId="3" borderId="1" xfId="1" applyFont="1" applyFill="1" applyBorder="1" applyAlignment="1">
      <alignment horizontal="center" vertical="center" wrapText="1"/>
    </xf>
    <xf numFmtId="0" fontId="7" fillId="4" borderId="1" xfId="1" applyFont="1" applyFill="1" applyBorder="1" applyAlignment="1">
      <alignment horizontal="center" vertical="center" wrapText="1"/>
    </xf>
    <xf numFmtId="0" fontId="7" fillId="5" borderId="1" xfId="1" applyFont="1" applyFill="1" applyBorder="1" applyAlignment="1">
      <alignment horizontal="center" vertical="center" wrapText="1"/>
    </xf>
    <xf numFmtId="0" fontId="7" fillId="6" borderId="1" xfId="1" applyFont="1" applyFill="1" applyBorder="1" applyAlignment="1">
      <alignment horizontal="center" vertical="center" wrapText="1"/>
    </xf>
    <xf numFmtId="0" fontId="7" fillId="0" borderId="2" xfId="1" applyFont="1" applyFill="1" applyBorder="1" applyAlignment="1">
      <alignment horizontal="center" vertical="center" wrapText="1"/>
    </xf>
    <xf numFmtId="0" fontId="7" fillId="0" borderId="3" xfId="1" applyFont="1" applyFill="1" applyBorder="1" applyAlignment="1">
      <alignment horizontal="center" vertical="center" wrapText="1"/>
    </xf>
    <xf numFmtId="0" fontId="7" fillId="0" borderId="4" xfId="1" applyFont="1" applyFill="1" applyBorder="1" applyAlignment="1">
      <alignment horizontal="center" vertical="center" wrapText="1"/>
    </xf>
    <xf numFmtId="0" fontId="7" fillId="0" borderId="1" xfId="1" applyFont="1" applyBorder="1" applyAlignment="1">
      <alignment horizontal="center" vertical="center" wrapText="1"/>
    </xf>
    <xf numFmtId="0" fontId="4" fillId="0" borderId="19" xfId="1" applyFont="1" applyFill="1" applyBorder="1" applyAlignment="1">
      <alignment horizontal="center" vertical="center" wrapText="1"/>
    </xf>
    <xf numFmtId="0" fontId="4" fillId="0" borderId="14" xfId="1" applyFont="1" applyFill="1" applyBorder="1" applyAlignment="1">
      <alignment horizontal="center" vertical="center" wrapText="1"/>
    </xf>
    <xf numFmtId="0" fontId="4" fillId="0" borderId="20" xfId="1" applyFont="1" applyFill="1" applyBorder="1" applyAlignment="1">
      <alignment horizontal="center" vertical="center" wrapText="1"/>
    </xf>
    <xf numFmtId="0" fontId="56" fillId="0" borderId="1" xfId="0" applyFont="1" applyBorder="1" applyAlignment="1">
      <alignment horizontal="center" vertical="center" wrapText="1"/>
    </xf>
    <xf numFmtId="0" fontId="106" fillId="16" borderId="5" xfId="0" applyFont="1" applyFill="1" applyBorder="1" applyAlignment="1">
      <alignment horizontal="center"/>
    </xf>
    <xf numFmtId="0" fontId="106" fillId="17" borderId="5" xfId="0" applyFont="1" applyFill="1" applyBorder="1" applyAlignment="1">
      <alignment horizontal="center"/>
    </xf>
    <xf numFmtId="0" fontId="106" fillId="19" borderId="5" xfId="0" applyFont="1" applyFill="1" applyBorder="1" applyAlignment="1">
      <alignment horizontal="center"/>
    </xf>
    <xf numFmtId="0" fontId="1" fillId="0" borderId="19" xfId="1" applyFont="1" applyFill="1" applyBorder="1" applyAlignment="1">
      <alignment horizontal="center" vertical="center" wrapText="1"/>
    </xf>
    <xf numFmtId="0" fontId="106" fillId="17" borderId="3" xfId="0" applyFont="1" applyFill="1" applyBorder="1" applyAlignment="1">
      <alignment horizontal="center"/>
    </xf>
    <xf numFmtId="0" fontId="106" fillId="16" borderId="3" xfId="0" applyFont="1" applyFill="1" applyBorder="1" applyAlignment="1">
      <alignment horizontal="center"/>
    </xf>
    <xf numFmtId="0" fontId="59" fillId="15" borderId="16" xfId="3" applyFont="1" applyFill="1" applyBorder="1" applyAlignment="1">
      <alignment horizontal="left"/>
    </xf>
    <xf numFmtId="0" fontId="59" fillId="15" borderId="3" xfId="3" applyFont="1" applyFill="1" applyBorder="1" applyAlignment="1">
      <alignment horizontal="left"/>
    </xf>
    <xf numFmtId="0" fontId="59" fillId="15" borderId="4" xfId="3" applyFont="1" applyFill="1" applyBorder="1" applyAlignment="1">
      <alignment horizontal="left"/>
    </xf>
    <xf numFmtId="0" fontId="59" fillId="16" borderId="16" xfId="3" applyFont="1" applyFill="1" applyBorder="1" applyAlignment="1">
      <alignment horizontal="left"/>
    </xf>
    <xf numFmtId="0" fontId="59" fillId="16" borderId="3" xfId="3" applyFont="1" applyFill="1" applyBorder="1" applyAlignment="1">
      <alignment horizontal="left"/>
    </xf>
    <xf numFmtId="0" fontId="59" fillId="16" borderId="4" xfId="3" applyFont="1" applyFill="1" applyBorder="1" applyAlignment="1">
      <alignment horizontal="left"/>
    </xf>
    <xf numFmtId="0" fontId="60" fillId="0" borderId="16" xfId="4" applyFont="1" applyBorder="1" applyAlignment="1">
      <alignment horizontal="left"/>
    </xf>
    <xf numFmtId="0" fontId="60" fillId="0" borderId="3" xfId="4" applyFont="1" applyBorder="1" applyAlignment="1">
      <alignment horizontal="left"/>
    </xf>
    <xf numFmtId="0" fontId="60" fillId="0" borderId="4" xfId="4" applyFont="1" applyBorder="1" applyAlignment="1">
      <alignment horizontal="left"/>
    </xf>
    <xf numFmtId="0" fontId="60" fillId="8" borderId="16" xfId="3" applyFont="1" applyFill="1" applyBorder="1" applyAlignment="1">
      <alignment horizontal="left"/>
    </xf>
    <xf numFmtId="0" fontId="60" fillId="8" borderId="3" xfId="3" applyFont="1" applyFill="1" applyBorder="1" applyAlignment="1">
      <alignment horizontal="left"/>
    </xf>
    <xf numFmtId="0" fontId="60" fillId="8" borderId="4" xfId="3" applyFont="1" applyFill="1" applyBorder="1" applyAlignment="1">
      <alignment horizontal="left"/>
    </xf>
    <xf numFmtId="0" fontId="60" fillId="17" borderId="27" xfId="0" applyFont="1" applyFill="1" applyBorder="1" applyAlignment="1">
      <alignment horizontal="center"/>
    </xf>
    <xf numFmtId="0" fontId="60" fillId="17" borderId="5" xfId="0" applyFont="1" applyFill="1" applyBorder="1" applyAlignment="1">
      <alignment horizontal="center"/>
    </xf>
    <xf numFmtId="0" fontId="68" fillId="0" borderId="16" xfId="0" applyFont="1" applyBorder="1" applyAlignment="1">
      <alignment horizontal="left"/>
    </xf>
    <xf numFmtId="0" fontId="68" fillId="0" borderId="4" xfId="0" applyFont="1" applyBorder="1" applyAlignment="1">
      <alignment horizontal="left"/>
    </xf>
    <xf numFmtId="0" fontId="68" fillId="0" borderId="3" xfId="0" applyFont="1" applyBorder="1" applyAlignment="1">
      <alignment horizontal="left"/>
    </xf>
    <xf numFmtId="0" fontId="68" fillId="18" borderId="16" xfId="0" applyFont="1" applyFill="1" applyBorder="1" applyAlignment="1">
      <alignment horizontal="left"/>
    </xf>
    <xf numFmtId="0" fontId="68" fillId="18" borderId="4" xfId="0" applyFont="1" applyFill="1" applyBorder="1" applyAlignment="1">
      <alignment horizontal="left"/>
    </xf>
    <xf numFmtId="0" fontId="68" fillId="17" borderId="16" xfId="0" applyFont="1" applyFill="1" applyBorder="1" applyAlignment="1">
      <alignment horizontal="left"/>
    </xf>
    <xf numFmtId="0" fontId="68" fillId="17" borderId="4" xfId="0" applyFont="1" applyFill="1" applyBorder="1" applyAlignment="1">
      <alignment horizontal="left"/>
    </xf>
    <xf numFmtId="0" fontId="79" fillId="8" borderId="19" xfId="3" applyFont="1" applyFill="1" applyBorder="1" applyAlignment="1">
      <alignment horizontal="center"/>
    </xf>
    <xf numFmtId="0" fontId="79" fillId="8" borderId="14" xfId="3" applyFont="1" applyFill="1" applyBorder="1" applyAlignment="1">
      <alignment horizontal="center"/>
    </xf>
    <xf numFmtId="0" fontId="79" fillId="8" borderId="20" xfId="3" applyFont="1" applyFill="1" applyBorder="1" applyAlignment="1">
      <alignment horizontal="center"/>
    </xf>
    <xf numFmtId="0" fontId="77" fillId="15" borderId="16" xfId="3" applyFont="1" applyFill="1" applyBorder="1" applyAlignment="1">
      <alignment horizontal="center" vertical="center"/>
    </xf>
    <xf numFmtId="0" fontId="77" fillId="15" borderId="3" xfId="3" applyFont="1" applyFill="1" applyBorder="1" applyAlignment="1">
      <alignment horizontal="center" vertical="center"/>
    </xf>
    <xf numFmtId="0" fontId="77" fillId="15" borderId="4" xfId="3" applyFont="1" applyFill="1" applyBorder="1" applyAlignment="1">
      <alignment horizontal="center" vertical="center"/>
    </xf>
    <xf numFmtId="0" fontId="77" fillId="15" borderId="16" xfId="3" applyFont="1" applyFill="1" applyBorder="1" applyAlignment="1">
      <alignment horizontal="center"/>
    </xf>
    <xf numFmtId="0" fontId="77" fillId="15" borderId="3" xfId="3" applyFont="1" applyFill="1" applyBorder="1" applyAlignment="1">
      <alignment horizontal="center"/>
    </xf>
    <xf numFmtId="0" fontId="77" fillId="15" borderId="4" xfId="3" applyFont="1" applyFill="1" applyBorder="1" applyAlignment="1">
      <alignment horizontal="center"/>
    </xf>
    <xf numFmtId="0" fontId="60" fillId="9" borderId="2" xfId="3" applyFont="1" applyFill="1" applyBorder="1" applyAlignment="1">
      <alignment horizontal="center"/>
    </xf>
    <xf numFmtId="0" fontId="60" fillId="9" borderId="4" xfId="3" applyFont="1" applyFill="1" applyBorder="1" applyAlignment="1">
      <alignment horizontal="center"/>
    </xf>
    <xf numFmtId="0" fontId="78" fillId="15" borderId="16" xfId="3" applyFont="1" applyFill="1" applyBorder="1" applyAlignment="1">
      <alignment horizontal="center" vertical="center"/>
    </xf>
    <xf numFmtId="0" fontId="78" fillId="15" borderId="3" xfId="3" applyFont="1" applyFill="1" applyBorder="1" applyAlignment="1">
      <alignment horizontal="center" vertical="center"/>
    </xf>
    <xf numFmtId="0" fontId="78" fillId="15" borderId="4" xfId="3" applyFont="1" applyFill="1" applyBorder="1" applyAlignment="1">
      <alignment horizontal="center" vertical="center"/>
    </xf>
    <xf numFmtId="0" fontId="49" fillId="2" borderId="16" xfId="3" applyFont="1" applyFill="1" applyBorder="1" applyAlignment="1">
      <alignment horizontal="center" vertical="justify"/>
    </xf>
    <xf numFmtId="0" fontId="49" fillId="2" borderId="3" xfId="3" applyFont="1" applyFill="1" applyBorder="1" applyAlignment="1">
      <alignment horizontal="center" vertical="justify"/>
    </xf>
    <xf numFmtId="0" fontId="49" fillId="2" borderId="28" xfId="3" applyFont="1" applyFill="1" applyBorder="1" applyAlignment="1">
      <alignment horizontal="center" vertical="justify"/>
    </xf>
    <xf numFmtId="0" fontId="60" fillId="2" borderId="16" xfId="4" applyFont="1" applyFill="1" applyBorder="1" applyAlignment="1">
      <alignment horizontal="left"/>
    </xf>
    <xf numFmtId="0" fontId="60" fillId="2" borderId="3" xfId="4" applyFont="1" applyFill="1" applyBorder="1" applyAlignment="1">
      <alignment horizontal="left"/>
    </xf>
    <xf numFmtId="0" fontId="60" fillId="2" borderId="4" xfId="4" applyFont="1" applyFill="1" applyBorder="1" applyAlignment="1">
      <alignment horizontal="left"/>
    </xf>
    <xf numFmtId="0" fontId="60" fillId="8" borderId="26" xfId="3" applyFont="1" applyFill="1" applyBorder="1" applyAlignment="1">
      <alignment horizontal="left"/>
    </xf>
    <xf numFmtId="0" fontId="60" fillId="8" borderId="10" xfId="3" applyFont="1" applyFill="1" applyBorder="1" applyAlignment="1">
      <alignment horizontal="left"/>
    </xf>
    <xf numFmtId="0" fontId="60" fillId="8" borderId="11" xfId="3" applyFont="1" applyFill="1" applyBorder="1" applyAlignment="1">
      <alignment horizontal="left"/>
    </xf>
    <xf numFmtId="0" fontId="59" fillId="15" borderId="16" xfId="3" applyFont="1" applyFill="1" applyBorder="1" applyAlignment="1">
      <alignment horizontal="center"/>
    </xf>
    <xf numFmtId="0" fontId="59" fillId="15" borderId="4" xfId="3" applyFont="1" applyFill="1" applyBorder="1" applyAlignment="1">
      <alignment horizontal="center"/>
    </xf>
    <xf numFmtId="0" fontId="65" fillId="18" borderId="16" xfId="0" applyFont="1" applyFill="1" applyBorder="1" applyAlignment="1">
      <alignment horizontal="left"/>
    </xf>
    <xf numFmtId="0" fontId="65" fillId="18" borderId="4" xfId="0" applyFont="1" applyFill="1" applyBorder="1" applyAlignment="1">
      <alignment horizontal="left"/>
    </xf>
    <xf numFmtId="0" fontId="65" fillId="0" borderId="16" xfId="0" applyFont="1" applyFill="1" applyBorder="1" applyAlignment="1">
      <alignment horizontal="left"/>
    </xf>
    <xf numFmtId="0" fontId="65" fillId="0" borderId="4" xfId="0" applyFont="1" applyFill="1" applyBorder="1" applyAlignment="1">
      <alignment horizontal="left"/>
    </xf>
    <xf numFmtId="0" fontId="65" fillId="0" borderId="16" xfId="0" applyFont="1" applyBorder="1" applyAlignment="1">
      <alignment horizontal="left"/>
    </xf>
    <xf numFmtId="0" fontId="65" fillId="0" borderId="4" xfId="0" applyFont="1" applyBorder="1" applyAlignment="1">
      <alignment horizontal="left"/>
    </xf>
    <xf numFmtId="0" fontId="53" fillId="15" borderId="16" xfId="4" applyFont="1" applyFill="1" applyBorder="1" applyAlignment="1">
      <alignment horizontal="left"/>
    </xf>
    <xf numFmtId="0" fontId="53" fillId="15" borderId="3" xfId="4" applyFont="1" applyFill="1" applyBorder="1" applyAlignment="1">
      <alignment horizontal="left"/>
    </xf>
    <xf numFmtId="0" fontId="53" fillId="15" borderId="28" xfId="4" applyFont="1" applyFill="1" applyBorder="1" applyAlignment="1">
      <alignment horizontal="left"/>
    </xf>
    <xf numFmtId="0" fontId="64" fillId="0" borderId="16" xfId="4" applyFont="1" applyBorder="1" applyAlignment="1">
      <alignment horizontal="left"/>
    </xf>
    <xf numFmtId="0" fontId="64" fillId="0" borderId="3" xfId="4" applyFont="1" applyBorder="1" applyAlignment="1">
      <alignment horizontal="left"/>
    </xf>
    <xf numFmtId="0" fontId="64" fillId="0" borderId="4" xfId="4" applyFont="1" applyBorder="1" applyAlignment="1">
      <alignment horizontal="left"/>
    </xf>
    <xf numFmtId="0" fontId="60" fillId="0" borderId="1" xfId="4" applyFont="1" applyBorder="1" applyAlignment="1">
      <alignment horizontal="left"/>
    </xf>
    <xf numFmtId="0" fontId="105" fillId="0" borderId="2" xfId="0" applyFont="1" applyBorder="1" applyAlignment="1">
      <alignment horizontal="center"/>
    </xf>
    <xf numFmtId="0" fontId="105" fillId="0" borderId="3" xfId="0" applyFont="1" applyBorder="1" applyAlignment="1">
      <alignment horizontal="center"/>
    </xf>
    <xf numFmtId="0" fontId="105" fillId="0" borderId="4" xfId="0" applyFont="1" applyBorder="1" applyAlignment="1">
      <alignment horizontal="center"/>
    </xf>
    <xf numFmtId="0" fontId="65" fillId="8" borderId="16" xfId="3" applyFont="1" applyFill="1" applyBorder="1" applyAlignment="1">
      <alignment horizontal="left"/>
    </xf>
    <xf numFmtId="0" fontId="65" fillId="8" borderId="3" xfId="3" applyFont="1" applyFill="1" applyBorder="1" applyAlignment="1">
      <alignment horizontal="left"/>
    </xf>
    <xf numFmtId="0" fontId="65" fillId="8" borderId="4" xfId="3" applyFont="1" applyFill="1" applyBorder="1" applyAlignment="1">
      <alignment horizontal="left"/>
    </xf>
    <xf numFmtId="0" fontId="65" fillId="17" borderId="16" xfId="0" applyFont="1" applyFill="1" applyBorder="1" applyAlignment="1">
      <alignment horizontal="left"/>
    </xf>
    <xf numFmtId="0" fontId="65" fillId="17" borderId="4" xfId="0" applyFont="1" applyFill="1" applyBorder="1" applyAlignment="1">
      <alignment horizontal="left"/>
    </xf>
    <xf numFmtId="0" fontId="65" fillId="0" borderId="3" xfId="0" applyFont="1" applyBorder="1" applyAlignment="1">
      <alignment horizontal="left"/>
    </xf>
    <xf numFmtId="0" fontId="65" fillId="0" borderId="2" xfId="0" applyFont="1" applyBorder="1" applyAlignment="1">
      <alignment horizontal="left"/>
    </xf>
    <xf numFmtId="0" fontId="60" fillId="0" borderId="2" xfId="3" applyFont="1" applyFill="1" applyBorder="1" applyAlignment="1">
      <alignment horizontal="center"/>
    </xf>
    <xf numFmtId="0" fontId="60" fillId="0" borderId="4" xfId="3" applyFont="1" applyFill="1" applyBorder="1" applyAlignment="1">
      <alignment horizontal="center"/>
    </xf>
    <xf numFmtId="0" fontId="60" fillId="2" borderId="1" xfId="4" applyFont="1" applyFill="1" applyBorder="1" applyAlignment="1">
      <alignment horizontal="left"/>
    </xf>
    <xf numFmtId="0" fontId="64" fillId="2" borderId="16" xfId="4" applyFont="1" applyFill="1" applyBorder="1" applyAlignment="1">
      <alignment horizontal="left"/>
    </xf>
    <xf numFmtId="0" fontId="64" fillId="2" borderId="3" xfId="4" applyFont="1" applyFill="1" applyBorder="1" applyAlignment="1">
      <alignment horizontal="left"/>
    </xf>
    <xf numFmtId="0" fontId="64" fillId="2" borderId="4" xfId="4" applyFont="1" applyFill="1" applyBorder="1" applyAlignment="1">
      <alignment horizontal="left"/>
    </xf>
    <xf numFmtId="0" fontId="64" fillId="12" borderId="16" xfId="4" applyFont="1" applyFill="1" applyBorder="1" applyAlignment="1">
      <alignment horizontal="left"/>
    </xf>
    <xf numFmtId="0" fontId="64" fillId="12" borderId="3" xfId="4" applyFont="1" applyFill="1" applyBorder="1" applyAlignment="1">
      <alignment horizontal="left"/>
    </xf>
    <xf numFmtId="0" fontId="64" fillId="12" borderId="4" xfId="4" applyFont="1" applyFill="1" applyBorder="1" applyAlignment="1">
      <alignment horizontal="left"/>
    </xf>
    <xf numFmtId="0" fontId="64" fillId="0" borderId="16" xfId="4" applyFont="1" applyFill="1" applyBorder="1" applyAlignment="1">
      <alignment horizontal="left"/>
    </xf>
    <xf numFmtId="0" fontId="64" fillId="0" borderId="3" xfId="4" applyFont="1" applyFill="1" applyBorder="1" applyAlignment="1">
      <alignment horizontal="left"/>
    </xf>
    <xf numFmtId="0" fontId="64" fillId="0" borderId="4" xfId="4" applyFont="1" applyFill="1" applyBorder="1" applyAlignment="1">
      <alignment horizontal="left"/>
    </xf>
    <xf numFmtId="0" fontId="60" fillId="12" borderId="16" xfId="4" applyFont="1" applyFill="1" applyBorder="1" applyAlignment="1">
      <alignment horizontal="left"/>
    </xf>
    <xf numFmtId="0" fontId="60" fillId="12" borderId="3" xfId="4" applyFont="1" applyFill="1" applyBorder="1" applyAlignment="1">
      <alignment horizontal="left"/>
    </xf>
    <xf numFmtId="0" fontId="60" fillId="12" borderId="4" xfId="4" applyFont="1" applyFill="1" applyBorder="1" applyAlignment="1">
      <alignment horizontal="left"/>
    </xf>
    <xf numFmtId="0" fontId="92" fillId="0" borderId="1" xfId="4" applyFont="1" applyBorder="1" applyAlignment="1">
      <alignment horizontal="left"/>
    </xf>
    <xf numFmtId="0" fontId="97" fillId="0" borderId="2" xfId="0" applyFont="1" applyBorder="1" applyAlignment="1">
      <alignment horizontal="left"/>
    </xf>
    <xf numFmtId="0" fontId="97" fillId="0" borderId="4" xfId="0" applyFont="1" applyBorder="1" applyAlignment="1">
      <alignment horizontal="left"/>
    </xf>
    <xf numFmtId="0" fontId="90" fillId="8" borderId="19" xfId="3" applyFont="1" applyFill="1" applyBorder="1" applyAlignment="1">
      <alignment horizontal="center"/>
    </xf>
    <xf numFmtId="0" fontId="90" fillId="8" borderId="14" xfId="3" applyFont="1" applyFill="1" applyBorder="1" applyAlignment="1">
      <alignment horizontal="center"/>
    </xf>
    <xf numFmtId="0" fontId="90" fillId="8" borderId="20" xfId="3" applyFont="1" applyFill="1" applyBorder="1" applyAlignment="1">
      <alignment horizontal="center"/>
    </xf>
    <xf numFmtId="0" fontId="95" fillId="15" borderId="16" xfId="3" applyFont="1" applyFill="1" applyBorder="1" applyAlignment="1">
      <alignment horizontal="center" vertical="center"/>
    </xf>
    <xf numFmtId="0" fontId="95" fillId="15" borderId="3" xfId="3" applyFont="1" applyFill="1" applyBorder="1" applyAlignment="1">
      <alignment horizontal="center" vertical="center"/>
    </xf>
    <xf numFmtId="0" fontId="95" fillId="15" borderId="4" xfId="3" applyFont="1" applyFill="1" applyBorder="1" applyAlignment="1">
      <alignment horizontal="center" vertical="center"/>
    </xf>
    <xf numFmtId="0" fontId="95" fillId="15" borderId="16" xfId="3" applyFont="1" applyFill="1" applyBorder="1" applyAlignment="1">
      <alignment horizontal="center"/>
    </xf>
    <xf numFmtId="0" fontId="95" fillId="15" borderId="3" xfId="3" applyFont="1" applyFill="1" applyBorder="1" applyAlignment="1">
      <alignment horizontal="center"/>
    </xf>
    <xf numFmtId="0" fontId="95" fillId="15" borderId="4" xfId="3" applyFont="1" applyFill="1" applyBorder="1" applyAlignment="1">
      <alignment horizontal="center"/>
    </xf>
    <xf numFmtId="0" fontId="92" fillId="9" borderId="2" xfId="3" applyFont="1" applyFill="1" applyBorder="1" applyAlignment="1">
      <alignment horizontal="center"/>
    </xf>
    <xf numFmtId="0" fontId="92" fillId="9" borderId="4" xfId="3" applyFont="1" applyFill="1" applyBorder="1" applyAlignment="1">
      <alignment horizontal="center"/>
    </xf>
    <xf numFmtId="0" fontId="92" fillId="8" borderId="16" xfId="3" applyFont="1" applyFill="1" applyBorder="1" applyAlignment="1">
      <alignment horizontal="left"/>
    </xf>
    <xf numFmtId="0" fontId="92" fillId="8" borderId="3" xfId="3" applyFont="1" applyFill="1" applyBorder="1" applyAlignment="1">
      <alignment horizontal="left"/>
    </xf>
    <xf numFmtId="0" fontId="92" fillId="8" borderId="4" xfId="3" applyFont="1" applyFill="1" applyBorder="1" applyAlignment="1">
      <alignment horizontal="left"/>
    </xf>
    <xf numFmtId="0" fontId="94" fillId="2" borderId="16" xfId="3" applyFont="1" applyFill="1" applyBorder="1" applyAlignment="1">
      <alignment horizontal="center" vertical="justify"/>
    </xf>
    <xf numFmtId="0" fontId="94" fillId="2" borderId="3" xfId="3" applyFont="1" applyFill="1" applyBorder="1" applyAlignment="1">
      <alignment horizontal="center" vertical="justify"/>
    </xf>
    <xf numFmtId="0" fontId="94" fillId="2" borderId="28" xfId="3" applyFont="1" applyFill="1" applyBorder="1" applyAlignment="1">
      <alignment horizontal="center" vertical="justify"/>
    </xf>
    <xf numFmtId="0" fontId="92" fillId="0" borderId="16" xfId="4" applyFont="1" applyBorder="1" applyAlignment="1">
      <alignment horizontal="left"/>
    </xf>
    <xf numFmtId="0" fontId="92" fillId="0" borderId="3" xfId="4" applyFont="1" applyBorder="1" applyAlignment="1">
      <alignment horizontal="left"/>
    </xf>
    <xf numFmtId="0" fontId="92" fillId="0" borderId="4" xfId="4" applyFont="1" applyBorder="1" applyAlignment="1">
      <alignment horizontal="left"/>
    </xf>
    <xf numFmtId="0" fontId="98" fillId="0" borderId="16" xfId="4" applyFont="1" applyBorder="1" applyAlignment="1">
      <alignment horizontal="left"/>
    </xf>
    <xf numFmtId="0" fontId="98" fillId="0" borderId="3" xfId="4" applyFont="1" applyBorder="1" applyAlignment="1">
      <alignment horizontal="left"/>
    </xf>
    <xf numFmtId="0" fontId="98" fillId="0" borderId="4" xfId="4" applyFont="1" applyBorder="1" applyAlignment="1">
      <alignment horizontal="left"/>
    </xf>
    <xf numFmtId="0" fontId="103" fillId="15" borderId="16" xfId="4" applyFont="1" applyFill="1" applyBorder="1" applyAlignment="1">
      <alignment horizontal="left"/>
    </xf>
    <xf numFmtId="0" fontId="103" fillId="15" borderId="3" xfId="4" applyFont="1" applyFill="1" applyBorder="1" applyAlignment="1">
      <alignment horizontal="left"/>
    </xf>
    <xf numFmtId="0" fontId="103" fillId="15" borderId="28" xfId="4" applyFont="1" applyFill="1" applyBorder="1" applyAlignment="1">
      <alignment horizontal="left"/>
    </xf>
    <xf numFmtId="0" fontId="92" fillId="2" borderId="16" xfId="4" applyFont="1" applyFill="1" applyBorder="1" applyAlignment="1">
      <alignment horizontal="left"/>
    </xf>
    <xf numFmtId="0" fontId="92" fillId="2" borderId="3" xfId="4" applyFont="1" applyFill="1" applyBorder="1" applyAlignment="1">
      <alignment horizontal="left"/>
    </xf>
    <xf numFmtId="0" fontId="92" fillId="2" borderId="4" xfId="4" applyFont="1" applyFill="1" applyBorder="1" applyAlignment="1">
      <alignment horizontal="left"/>
    </xf>
    <xf numFmtId="0" fontId="92" fillId="16" borderId="16" xfId="3" applyFont="1" applyFill="1" applyBorder="1" applyAlignment="1">
      <alignment horizontal="left"/>
    </xf>
    <xf numFmtId="0" fontId="92" fillId="16" borderId="3" xfId="3" applyFont="1" applyFill="1" applyBorder="1" applyAlignment="1">
      <alignment horizontal="left"/>
    </xf>
    <xf numFmtId="0" fontId="92" fillId="16" borderId="4" xfId="3" applyFont="1" applyFill="1" applyBorder="1" applyAlignment="1">
      <alignment horizontal="left"/>
    </xf>
    <xf numFmtId="0" fontId="92" fillId="15" borderId="16" xfId="3" applyFont="1" applyFill="1" applyBorder="1" applyAlignment="1">
      <alignment horizontal="left"/>
    </xf>
    <xf numFmtId="0" fontId="92" fillId="15" borderId="3" xfId="3" applyFont="1" applyFill="1" applyBorder="1" applyAlignment="1">
      <alignment horizontal="left"/>
    </xf>
    <xf numFmtId="0" fontId="92" fillId="15" borderId="4" xfId="3" applyFont="1" applyFill="1" applyBorder="1" applyAlignment="1">
      <alignment horizontal="left"/>
    </xf>
    <xf numFmtId="0" fontId="92" fillId="15" borderId="16" xfId="3" applyFont="1" applyFill="1" applyBorder="1" applyAlignment="1">
      <alignment horizontal="center"/>
    </xf>
    <xf numFmtId="0" fontId="92" fillId="15" borderId="4" xfId="3" applyFont="1" applyFill="1" applyBorder="1" applyAlignment="1">
      <alignment horizontal="center"/>
    </xf>
    <xf numFmtId="0" fontId="92" fillId="8" borderId="26" xfId="3" applyFont="1" applyFill="1" applyBorder="1" applyAlignment="1">
      <alignment horizontal="left"/>
    </xf>
    <xf numFmtId="0" fontId="92" fillId="8" borderId="10" xfId="3" applyFont="1" applyFill="1" applyBorder="1" applyAlignment="1">
      <alignment horizontal="left"/>
    </xf>
    <xf numFmtId="0" fontId="92" fillId="8" borderId="11" xfId="3" applyFont="1" applyFill="1" applyBorder="1" applyAlignment="1">
      <alignment horizontal="left"/>
    </xf>
    <xf numFmtId="0" fontId="92" fillId="17" borderId="27" xfId="0" applyFont="1" applyFill="1" applyBorder="1" applyAlignment="1">
      <alignment horizontal="center"/>
    </xf>
    <xf numFmtId="0" fontId="92" fillId="17" borderId="5" xfId="0" applyFont="1" applyFill="1" applyBorder="1" applyAlignment="1">
      <alignment horizontal="center"/>
    </xf>
    <xf numFmtId="0" fontId="88" fillId="0" borderId="16" xfId="0" applyFont="1" applyBorder="1" applyAlignment="1">
      <alignment horizontal="left"/>
    </xf>
    <xf numFmtId="0" fontId="88" fillId="0" borderId="4" xfId="0" applyFont="1" applyBorder="1" applyAlignment="1">
      <alignment horizontal="left"/>
    </xf>
    <xf numFmtId="0" fontId="88" fillId="0" borderId="3" xfId="0" applyFont="1" applyBorder="1" applyAlignment="1">
      <alignment horizontal="left"/>
    </xf>
    <xf numFmtId="0" fontId="88" fillId="18" borderId="16" xfId="0" applyFont="1" applyFill="1" applyBorder="1" applyAlignment="1">
      <alignment horizontal="left"/>
    </xf>
    <xf numFmtId="0" fontId="88" fillId="18" borderId="4" xfId="0" applyFont="1" applyFill="1" applyBorder="1" applyAlignment="1">
      <alignment horizontal="left"/>
    </xf>
    <xf numFmtId="0" fontId="88" fillId="17" borderId="16" xfId="0" applyFont="1" applyFill="1" applyBorder="1" applyAlignment="1">
      <alignment horizontal="left"/>
    </xf>
    <xf numFmtId="0" fontId="88" fillId="17" borderId="4" xfId="0" applyFont="1" applyFill="1" applyBorder="1" applyAlignment="1">
      <alignment horizontal="left"/>
    </xf>
    <xf numFmtId="0" fontId="97" fillId="18" borderId="16" xfId="0" applyFont="1" applyFill="1" applyBorder="1" applyAlignment="1">
      <alignment horizontal="left"/>
    </xf>
    <xf numFmtId="0" fontId="97" fillId="18" borderId="4" xfId="0" applyFont="1" applyFill="1" applyBorder="1" applyAlignment="1">
      <alignment horizontal="left"/>
    </xf>
    <xf numFmtId="0" fontId="97" fillId="0" borderId="16" xfId="0" applyFont="1" applyFill="1" applyBorder="1" applyAlignment="1">
      <alignment horizontal="left"/>
    </xf>
    <xf numFmtId="0" fontId="97" fillId="0" borderId="4" xfId="0" applyFont="1" applyFill="1" applyBorder="1" applyAlignment="1">
      <alignment horizontal="left"/>
    </xf>
    <xf numFmtId="0" fontId="97" fillId="0" borderId="16" xfId="0" applyFont="1" applyBorder="1" applyAlignment="1">
      <alignment horizontal="left"/>
    </xf>
    <xf numFmtId="0" fontId="60" fillId="8" borderId="22" xfId="3" applyFont="1" applyFill="1" applyBorder="1" applyAlignment="1">
      <alignment horizontal="left"/>
    </xf>
    <xf numFmtId="0" fontId="60" fillId="8" borderId="7" xfId="3" applyFont="1" applyFill="1" applyBorder="1" applyAlignment="1">
      <alignment horizontal="left"/>
    </xf>
    <xf numFmtId="0" fontId="60" fillId="8" borderId="21" xfId="3" applyFont="1" applyFill="1" applyBorder="1" applyAlignment="1">
      <alignment horizontal="left"/>
    </xf>
    <xf numFmtId="0" fontId="60" fillId="8" borderId="1" xfId="3" applyFont="1" applyFill="1" applyBorder="1" applyAlignment="1">
      <alignment horizontal="left"/>
    </xf>
    <xf numFmtId="0" fontId="59" fillId="16" borderId="21" xfId="3" applyFont="1" applyFill="1" applyBorder="1" applyAlignment="1">
      <alignment horizontal="left"/>
    </xf>
    <xf numFmtId="0" fontId="59" fillId="16" borderId="1" xfId="3" applyFont="1" applyFill="1" applyBorder="1" applyAlignment="1">
      <alignment horizontal="left"/>
    </xf>
    <xf numFmtId="0" fontId="59" fillId="15" borderId="21" xfId="3" applyFont="1" applyFill="1" applyBorder="1" applyAlignment="1">
      <alignment horizontal="left"/>
    </xf>
    <xf numFmtId="0" fontId="59" fillId="15" borderId="1" xfId="3" applyFont="1" applyFill="1" applyBorder="1" applyAlignment="1">
      <alignment horizontal="left"/>
    </xf>
    <xf numFmtId="0" fontId="60" fillId="0" borderId="21" xfId="4" applyFont="1" applyBorder="1" applyAlignment="1">
      <alignment horizontal="left"/>
    </xf>
    <xf numFmtId="0" fontId="59" fillId="15" borderId="21" xfId="3" applyFont="1" applyFill="1" applyBorder="1" applyAlignment="1">
      <alignment horizontal="center"/>
    </xf>
    <xf numFmtId="0" fontId="59" fillId="15" borderId="1" xfId="3" applyFont="1" applyFill="1" applyBorder="1" applyAlignment="1">
      <alignment horizontal="center"/>
    </xf>
    <xf numFmtId="0" fontId="60" fillId="17" borderId="33" xfId="0" applyFont="1" applyFill="1" applyBorder="1" applyAlignment="1">
      <alignment horizontal="center"/>
    </xf>
    <xf numFmtId="0" fontId="60" fillId="17" borderId="0" xfId="0" applyFont="1" applyFill="1" applyBorder="1" applyAlignment="1">
      <alignment horizontal="center"/>
    </xf>
    <xf numFmtId="0" fontId="68" fillId="0" borderId="21" xfId="0" applyFont="1" applyBorder="1" applyAlignment="1">
      <alignment horizontal="left"/>
    </xf>
    <xf numFmtId="0" fontId="68" fillId="0" borderId="1" xfId="0" applyFont="1" applyBorder="1" applyAlignment="1">
      <alignment horizontal="left"/>
    </xf>
    <xf numFmtId="0" fontId="64" fillId="0" borderId="21" xfId="4" applyFont="1" applyBorder="1" applyAlignment="1">
      <alignment horizontal="left"/>
    </xf>
    <xf numFmtId="0" fontId="64" fillId="0" borderId="1" xfId="4" applyFont="1" applyBorder="1" applyAlignment="1">
      <alignment horizontal="left"/>
    </xf>
    <xf numFmtId="0" fontId="53" fillId="15" borderId="21" xfId="4" applyFont="1" applyFill="1" applyBorder="1" applyAlignment="1">
      <alignment horizontal="left"/>
    </xf>
    <xf numFmtId="0" fontId="53" fillId="15" borderId="1" xfId="4" applyFont="1" applyFill="1" applyBorder="1" applyAlignment="1">
      <alignment horizontal="left"/>
    </xf>
    <xf numFmtId="0" fontId="53" fillId="15" borderId="15" xfId="4" applyFont="1" applyFill="1" applyBorder="1" applyAlignment="1">
      <alignment horizontal="left"/>
    </xf>
    <xf numFmtId="0" fontId="77" fillId="15" borderId="21" xfId="3" applyFont="1" applyFill="1" applyBorder="1" applyAlignment="1">
      <alignment horizontal="center"/>
    </xf>
    <xf numFmtId="0" fontId="77" fillId="15" borderId="1" xfId="3" applyFont="1" applyFill="1" applyBorder="1" applyAlignment="1">
      <alignment horizontal="center"/>
    </xf>
    <xf numFmtId="0" fontId="49" fillId="2" borderId="21" xfId="3" applyFont="1" applyFill="1" applyBorder="1" applyAlignment="1">
      <alignment horizontal="center" vertical="justify"/>
    </xf>
    <xf numFmtId="0" fontId="49" fillId="2" borderId="1" xfId="3" applyFont="1" applyFill="1" applyBorder="1" applyAlignment="1">
      <alignment horizontal="center" vertical="justify"/>
    </xf>
    <xf numFmtId="0" fontId="49" fillId="2" borderId="15" xfId="3" applyFont="1" applyFill="1" applyBorder="1" applyAlignment="1">
      <alignment horizontal="center" vertical="justify"/>
    </xf>
    <xf numFmtId="0" fontId="60" fillId="2" borderId="21" xfId="4" applyFont="1" applyFill="1" applyBorder="1" applyAlignment="1">
      <alignment horizontal="left"/>
    </xf>
    <xf numFmtId="0" fontId="60" fillId="9" borderId="1" xfId="3" applyFont="1" applyFill="1" applyBorder="1" applyAlignment="1">
      <alignment horizontal="center"/>
    </xf>
    <xf numFmtId="0" fontId="77" fillId="15" borderId="21" xfId="3" applyFont="1" applyFill="1" applyBorder="1" applyAlignment="1">
      <alignment horizontal="center" vertical="center"/>
    </xf>
    <xf numFmtId="0" fontId="77" fillId="15" borderId="1" xfId="3" applyFont="1" applyFill="1" applyBorder="1" applyAlignment="1">
      <alignment horizontal="center" vertical="center"/>
    </xf>
    <xf numFmtId="0" fontId="68" fillId="18" borderId="21" xfId="0" applyFont="1" applyFill="1" applyBorder="1" applyAlignment="1">
      <alignment horizontal="left"/>
    </xf>
    <xf numFmtId="0" fontId="68" fillId="18" borderId="1" xfId="0" applyFont="1" applyFill="1" applyBorder="1" applyAlignment="1">
      <alignment horizontal="left"/>
    </xf>
    <xf numFmtId="0" fontId="68" fillId="17" borderId="21" xfId="0" applyFont="1" applyFill="1" applyBorder="1" applyAlignment="1">
      <alignment horizontal="left"/>
    </xf>
    <xf numFmtId="0" fontId="68" fillId="17" borderId="1" xfId="0" applyFont="1" applyFill="1" applyBorder="1" applyAlignment="1">
      <alignment horizontal="left"/>
    </xf>
    <xf numFmtId="0" fontId="65" fillId="18" borderId="21" xfId="0" applyFont="1" applyFill="1" applyBorder="1" applyAlignment="1">
      <alignment horizontal="left"/>
    </xf>
    <xf numFmtId="0" fontId="65" fillId="18" borderId="1" xfId="0" applyFont="1" applyFill="1" applyBorder="1" applyAlignment="1">
      <alignment horizontal="left"/>
    </xf>
    <xf numFmtId="0" fontId="65" fillId="0" borderId="21" xfId="0" applyFont="1" applyFill="1" applyBorder="1" applyAlignment="1">
      <alignment horizontal="left"/>
    </xf>
    <xf numFmtId="0" fontId="65" fillId="0" borderId="1" xfId="0" applyFont="1" applyFill="1" applyBorder="1" applyAlignment="1">
      <alignment horizontal="left"/>
    </xf>
    <xf numFmtId="0" fontId="65" fillId="0" borderId="21" xfId="0" applyFont="1" applyBorder="1" applyAlignment="1">
      <alignment horizontal="left"/>
    </xf>
    <xf numFmtId="0" fontId="65" fillId="0" borderId="1" xfId="0" applyFont="1" applyBorder="1" applyAlignment="1">
      <alignment horizontal="left"/>
    </xf>
    <xf numFmtId="0" fontId="33" fillId="8" borderId="5" xfId="3" applyFont="1" applyFill="1" applyBorder="1" applyAlignment="1">
      <alignment horizontal="center"/>
    </xf>
    <xf numFmtId="166" fontId="20" fillId="9" borderId="2" xfId="3" applyNumberFormat="1" applyFont="1" applyFill="1" applyBorder="1" applyAlignment="1">
      <alignment horizontal="left"/>
    </xf>
    <xf numFmtId="166" fontId="20" fillId="9" borderId="4" xfId="3" applyNumberFormat="1" applyFont="1" applyFill="1" applyBorder="1" applyAlignment="1">
      <alignment horizontal="left"/>
    </xf>
    <xf numFmtId="0" fontId="19" fillId="2" borderId="2" xfId="3" applyFont="1" applyFill="1" applyBorder="1" applyAlignment="1">
      <alignment horizontal="center" vertical="justify"/>
    </xf>
    <xf numFmtId="0" fontId="19" fillId="2" borderId="3" xfId="3" applyFont="1" applyFill="1" applyBorder="1" applyAlignment="1">
      <alignment horizontal="center" vertical="justify"/>
    </xf>
    <xf numFmtId="0" fontId="19" fillId="2" borderId="4" xfId="3" applyFont="1" applyFill="1" applyBorder="1" applyAlignment="1">
      <alignment horizontal="center" vertical="justify"/>
    </xf>
    <xf numFmtId="0" fontId="19" fillId="11" borderId="2" xfId="3" applyFont="1" applyFill="1" applyBorder="1" applyAlignment="1">
      <alignment horizontal="center"/>
    </xf>
    <xf numFmtId="0" fontId="19" fillId="11" borderId="4" xfId="3" applyFont="1" applyFill="1" applyBorder="1" applyAlignment="1">
      <alignment horizontal="center"/>
    </xf>
    <xf numFmtId="0" fontId="19" fillId="0" borderId="2" xfId="4" applyFont="1" applyBorder="1" applyAlignment="1">
      <alignment horizontal="left"/>
    </xf>
    <xf numFmtId="0" fontId="19" fillId="0" borderId="3" xfId="4" applyFont="1" applyBorder="1" applyAlignment="1">
      <alignment horizontal="left"/>
    </xf>
    <xf numFmtId="0" fontId="19" fillId="0" borderId="4" xfId="4" applyFont="1" applyBorder="1" applyAlignment="1">
      <alignment horizontal="left"/>
    </xf>
    <xf numFmtId="0" fontId="31" fillId="0" borderId="2" xfId="4" applyFont="1" applyBorder="1" applyAlignment="1">
      <alignment horizontal="left"/>
    </xf>
    <xf numFmtId="0" fontId="31" fillId="0" borderId="3" xfId="4" applyFont="1" applyBorder="1" applyAlignment="1">
      <alignment horizontal="left"/>
    </xf>
    <xf numFmtId="0" fontId="31" fillId="0" borderId="4" xfId="4" applyFont="1" applyBorder="1" applyAlignment="1">
      <alignment horizontal="left"/>
    </xf>
    <xf numFmtId="0" fontId="34" fillId="10" borderId="2" xfId="3" applyFont="1" applyFill="1" applyBorder="1" applyAlignment="1">
      <alignment horizontal="center"/>
    </xf>
    <xf numFmtId="0" fontId="34" fillId="10" borderId="3" xfId="3" applyFont="1" applyFill="1" applyBorder="1" applyAlignment="1">
      <alignment horizontal="center"/>
    </xf>
    <xf numFmtId="0" fontId="34" fillId="10" borderId="4" xfId="3" applyFont="1" applyFill="1" applyBorder="1" applyAlignment="1">
      <alignment horizontal="center"/>
    </xf>
    <xf numFmtId="0" fontId="34" fillId="10" borderId="17" xfId="3" applyFont="1" applyFill="1" applyBorder="1" applyAlignment="1">
      <alignment horizontal="center" vertical="center"/>
    </xf>
    <xf numFmtId="0" fontId="34" fillId="10" borderId="14" xfId="3" applyFont="1" applyFill="1" applyBorder="1" applyAlignment="1">
      <alignment horizontal="center" vertical="center"/>
    </xf>
    <xf numFmtId="0" fontId="34" fillId="10" borderId="18" xfId="3" applyFont="1" applyFill="1" applyBorder="1" applyAlignment="1">
      <alignment horizontal="center" vertical="center"/>
    </xf>
    <xf numFmtId="0" fontId="19" fillId="8" borderId="2" xfId="3" applyFont="1" applyFill="1" applyBorder="1" applyAlignment="1">
      <alignment horizontal="left"/>
    </xf>
    <xf numFmtId="0" fontId="19" fillId="8" borderId="3" xfId="3" applyFont="1" applyFill="1" applyBorder="1" applyAlignment="1">
      <alignment horizontal="left"/>
    </xf>
    <xf numFmtId="0" fontId="19" fillId="8" borderId="4" xfId="3" applyFont="1" applyFill="1" applyBorder="1" applyAlignment="1">
      <alignment horizontal="left"/>
    </xf>
    <xf numFmtId="0" fontId="34" fillId="10" borderId="2" xfId="3" applyFont="1" applyFill="1" applyBorder="1" applyAlignment="1">
      <alignment horizontal="center" vertical="center"/>
    </xf>
    <xf numFmtId="0" fontId="34" fillId="10" borderId="3" xfId="3" applyFont="1" applyFill="1" applyBorder="1" applyAlignment="1">
      <alignment horizontal="center" vertical="center"/>
    </xf>
    <xf numFmtId="0" fontId="34" fillId="10" borderId="4" xfId="3" applyFont="1" applyFill="1" applyBorder="1" applyAlignment="1">
      <alignment horizontal="center" vertical="center"/>
    </xf>
    <xf numFmtId="0" fontId="5" fillId="0" borderId="2" xfId="4" applyFont="1" applyBorder="1" applyAlignment="1">
      <alignment horizontal="left"/>
    </xf>
    <xf numFmtId="0" fontId="5" fillId="0" borderId="3" xfId="4" applyFont="1" applyBorder="1" applyAlignment="1">
      <alignment horizontal="left"/>
    </xf>
    <xf numFmtId="0" fontId="5" fillId="0" borderId="4" xfId="4" applyFont="1" applyBorder="1" applyAlignment="1">
      <alignment horizontal="left"/>
    </xf>
    <xf numFmtId="0" fontId="5" fillId="0" borderId="16" xfId="4" applyFont="1" applyBorder="1" applyAlignment="1">
      <alignment horizontal="left"/>
    </xf>
    <xf numFmtId="0" fontId="19" fillId="10" borderId="2" xfId="3" applyFont="1" applyFill="1" applyBorder="1" applyAlignment="1">
      <alignment horizontal="left"/>
    </xf>
    <xf numFmtId="0" fontId="19" fillId="10" borderId="3" xfId="3" applyFont="1" applyFill="1" applyBorder="1" applyAlignment="1">
      <alignment horizontal="left"/>
    </xf>
    <xf numFmtId="0" fontId="19" fillId="10" borderId="4" xfId="3" applyFont="1" applyFill="1" applyBorder="1" applyAlignment="1">
      <alignment horizontal="left"/>
    </xf>
    <xf numFmtId="0" fontId="36" fillId="8" borderId="2" xfId="3" applyFont="1" applyFill="1" applyBorder="1" applyAlignment="1">
      <alignment horizontal="left"/>
    </xf>
    <xf numFmtId="0" fontId="36" fillId="8" borderId="3" xfId="3" applyFont="1" applyFill="1" applyBorder="1" applyAlignment="1">
      <alignment horizontal="left"/>
    </xf>
    <xf numFmtId="0" fontId="36" fillId="8" borderId="4" xfId="3" applyFont="1" applyFill="1" applyBorder="1" applyAlignment="1">
      <alignment horizontal="left"/>
    </xf>
    <xf numFmtId="0" fontId="36" fillId="16" borderId="2" xfId="3" applyFont="1" applyFill="1" applyBorder="1" applyAlignment="1">
      <alignment horizontal="left"/>
    </xf>
    <xf numFmtId="0" fontId="36" fillId="16" borderId="3" xfId="3" applyFont="1" applyFill="1" applyBorder="1" applyAlignment="1">
      <alignment horizontal="left"/>
    </xf>
    <xf numFmtId="0" fontId="36" fillId="16" borderId="4" xfId="3" applyFont="1" applyFill="1" applyBorder="1" applyAlignment="1">
      <alignment horizontal="left"/>
    </xf>
    <xf numFmtId="0" fontId="36" fillId="15" borderId="2" xfId="3" applyFont="1" applyFill="1" applyBorder="1" applyAlignment="1">
      <alignment horizontal="left"/>
    </xf>
    <xf numFmtId="0" fontId="36" fillId="15" borderId="3" xfId="3" applyFont="1" applyFill="1" applyBorder="1" applyAlignment="1">
      <alignment horizontal="left"/>
    </xf>
    <xf numFmtId="0" fontId="36" fillId="15" borderId="4" xfId="3" applyFont="1" applyFill="1" applyBorder="1" applyAlignment="1">
      <alignment horizontal="left"/>
    </xf>
    <xf numFmtId="0" fontId="36" fillId="0" borderId="2" xfId="4" applyFont="1" applyBorder="1" applyAlignment="1">
      <alignment horizontal="left"/>
    </xf>
    <xf numFmtId="0" fontId="36" fillId="0" borderId="3" xfId="4" applyFont="1" applyBorder="1" applyAlignment="1">
      <alignment horizontal="left"/>
    </xf>
    <xf numFmtId="0" fontId="36" fillId="0" borderId="4" xfId="4" applyFont="1" applyBorder="1" applyAlignment="1">
      <alignment horizontal="left"/>
    </xf>
    <xf numFmtId="0" fontId="36" fillId="15" borderId="2" xfId="3" applyFont="1" applyFill="1" applyBorder="1" applyAlignment="1">
      <alignment horizontal="center"/>
    </xf>
    <xf numFmtId="0" fontId="36" fillId="15" borderId="4" xfId="3" applyFont="1" applyFill="1" applyBorder="1" applyAlignment="1">
      <alignment horizontal="center"/>
    </xf>
    <xf numFmtId="0" fontId="47" fillId="0" borderId="2" xfId="4" applyFont="1" applyBorder="1" applyAlignment="1">
      <alignment horizontal="left"/>
    </xf>
    <xf numFmtId="0" fontId="47" fillId="0" borderId="3" xfId="4" applyFont="1" applyBorder="1" applyAlignment="1">
      <alignment horizontal="left"/>
    </xf>
    <xf numFmtId="0" fontId="47" fillId="0" borderId="4" xfId="4" applyFont="1" applyBorder="1" applyAlignment="1">
      <alignment horizontal="left"/>
    </xf>
    <xf numFmtId="0" fontId="37" fillId="0" borderId="2" xfId="4" applyFont="1" applyBorder="1" applyAlignment="1">
      <alignment horizontal="left"/>
    </xf>
    <xf numFmtId="0" fontId="37" fillId="0" borderId="3" xfId="4" applyFont="1" applyBorder="1" applyAlignment="1">
      <alignment horizontal="left"/>
    </xf>
    <xf numFmtId="0" fontId="37" fillId="0" borderId="4" xfId="4" applyFont="1" applyBorder="1" applyAlignment="1">
      <alignment horizontal="left"/>
    </xf>
    <xf numFmtId="0" fontId="37" fillId="0" borderId="16" xfId="4" applyFont="1" applyBorder="1" applyAlignment="1">
      <alignment horizontal="left"/>
    </xf>
    <xf numFmtId="0" fontId="39" fillId="15" borderId="2" xfId="4" applyFont="1" applyFill="1" applyBorder="1" applyAlignment="1">
      <alignment horizontal="left"/>
    </xf>
    <xf numFmtId="0" fontId="39" fillId="15" borderId="3" xfId="4" applyFont="1" applyFill="1" applyBorder="1" applyAlignment="1">
      <alignment horizontal="left"/>
    </xf>
    <xf numFmtId="0" fontId="39" fillId="15" borderId="4" xfId="4" applyFont="1" applyFill="1" applyBorder="1" applyAlignment="1">
      <alignment horizontal="left"/>
    </xf>
    <xf numFmtId="0" fontId="41" fillId="15" borderId="2" xfId="3" applyFont="1" applyFill="1" applyBorder="1" applyAlignment="1">
      <alignment horizontal="center"/>
    </xf>
    <xf numFmtId="0" fontId="41" fillId="15" borderId="3" xfId="3" applyFont="1" applyFill="1" applyBorder="1" applyAlignment="1">
      <alignment horizontal="center"/>
    </xf>
    <xf numFmtId="0" fontId="41" fillId="15" borderId="4" xfId="3" applyFont="1" applyFill="1" applyBorder="1" applyAlignment="1">
      <alignment horizontal="center"/>
    </xf>
    <xf numFmtId="0" fontId="41" fillId="15" borderId="2" xfId="3" applyFont="1" applyFill="1" applyBorder="1" applyAlignment="1">
      <alignment horizontal="center" vertical="center"/>
    </xf>
    <xf numFmtId="0" fontId="41" fillId="15" borderId="3" xfId="3" applyFont="1" applyFill="1" applyBorder="1" applyAlignment="1">
      <alignment horizontal="center" vertical="center"/>
    </xf>
    <xf numFmtId="0" fontId="41" fillId="15" borderId="4" xfId="3" applyFont="1" applyFill="1" applyBorder="1" applyAlignment="1">
      <alignment horizontal="center" vertical="center"/>
    </xf>
    <xf numFmtId="0" fontId="36" fillId="2" borderId="2" xfId="4" applyFont="1" applyFill="1" applyBorder="1" applyAlignment="1">
      <alignment horizontal="left"/>
    </xf>
    <xf numFmtId="0" fontId="36" fillId="2" borderId="3" xfId="4" applyFont="1" applyFill="1" applyBorder="1" applyAlignment="1">
      <alignment horizontal="left"/>
    </xf>
    <xf numFmtId="0" fontId="36" fillId="2" borderId="4" xfId="4" applyFont="1" applyFill="1" applyBorder="1" applyAlignment="1">
      <alignment horizontal="left"/>
    </xf>
    <xf numFmtId="0" fontId="35" fillId="9" borderId="2" xfId="3" applyFont="1" applyFill="1" applyBorder="1" applyAlignment="1">
      <alignment horizontal="center"/>
    </xf>
    <xf numFmtId="0" fontId="35" fillId="9" borderId="4" xfId="3" applyFont="1" applyFill="1" applyBorder="1" applyAlignment="1">
      <alignment horizontal="center"/>
    </xf>
    <xf numFmtId="0" fontId="41" fillId="15" borderId="17" xfId="3" applyFont="1" applyFill="1" applyBorder="1" applyAlignment="1">
      <alignment horizontal="center" vertical="center"/>
    </xf>
    <xf numFmtId="0" fontId="41" fillId="15" borderId="14" xfId="3" applyFont="1" applyFill="1" applyBorder="1" applyAlignment="1">
      <alignment horizontal="center" vertical="center"/>
    </xf>
    <xf numFmtId="0" fontId="41" fillId="15" borderId="18" xfId="3" applyFont="1" applyFill="1" applyBorder="1" applyAlignment="1">
      <alignment horizontal="center" vertical="center"/>
    </xf>
  </cellXfs>
  <cellStyles count="20">
    <cellStyle name="Comma 2 2" xfId="10"/>
    <cellStyle name="Comma 2 3" xfId="5"/>
    <cellStyle name="Comma 3" xfId="7"/>
    <cellStyle name="Comma 3 2" xfId="11"/>
    <cellStyle name="Currency 2" xfId="8"/>
    <cellStyle name="Hyperlink" xfId="2" builtinId="8"/>
    <cellStyle name="Normal" xfId="0" builtinId="0"/>
    <cellStyle name="Normal 2" xfId="1"/>
    <cellStyle name="Normal 2 2" xfId="9"/>
    <cellStyle name="Normal 2 2 2" xfId="12"/>
    <cellStyle name="Normal 2 2 2 2" xfId="13"/>
    <cellStyle name="Normal 2 2 3" xfId="14"/>
    <cellStyle name="Normal 2 3" xfId="3"/>
    <cellStyle name="Normal 2 4" xfId="15"/>
    <cellStyle name="Normal 3" xfId="4"/>
    <cellStyle name="Normal 4" xfId="17"/>
    <cellStyle name="Normal 4 2" xfId="19"/>
    <cellStyle name="Normal 5" xfId="18"/>
    <cellStyle name="Percent 2" xfId="6"/>
    <cellStyle name="Warning Text" xfId="16" builtinId="11"/>
  </cellStyles>
  <dxfs count="0"/>
  <tableStyles count="0" defaultTableStyle="TableStyleMedium9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externalLink" Target="externalLinks/externalLink1.xml"/><Relationship Id="rId47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externalLink" Target="externalLinks/externalLink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externalLink" Target="externalLinks/externalLink2.xml"/><Relationship Id="rId48" Type="http://schemas.openxmlformats.org/officeDocument/2006/relationships/calcChain" Target="calcChain.xml"/></Relationships>
</file>

<file path=xl/charts/_rels/chart16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5.xml"/></Relationships>
</file>

<file path=xl/charts/_rels/chart17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cked"/>
        <c:ser>
          <c:idx val="0"/>
          <c:order val="0"/>
          <c:tx>
            <c:v>Chill running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HLP'!$AE$4:$AE$35</c:f>
              <c:numCache>
                <c:formatCode>0</c:formatCode>
                <c:ptCount val="32"/>
                <c:pt idx="0">
                  <c:v>24</c:v>
                </c:pt>
                <c:pt idx="1">
                  <c:v>24</c:v>
                </c:pt>
                <c:pt idx="2">
                  <c:v>24</c:v>
                </c:pt>
                <c:pt idx="3">
                  <c:v>24</c:v>
                </c:pt>
                <c:pt idx="4">
                  <c:v>29.999999999992724</c:v>
                </c:pt>
                <c:pt idx="5">
                  <c:v>24.490000000005239</c:v>
                </c:pt>
                <c:pt idx="6">
                  <c:v>24.689999999999998</c:v>
                </c:pt>
                <c:pt idx="7">
                  <c:v>23.800000000005241</c:v>
                </c:pt>
                <c:pt idx="8">
                  <c:v>24.419999999998254</c:v>
                </c:pt>
                <c:pt idx="9">
                  <c:v>23.44999999999709</c:v>
                </c:pt>
                <c:pt idx="10">
                  <c:v>23.970000000001164</c:v>
                </c:pt>
                <c:pt idx="11">
                  <c:v>23.979999999995925</c:v>
                </c:pt>
                <c:pt idx="12">
                  <c:v>29.100000000005821</c:v>
                </c:pt>
                <c:pt idx="13">
                  <c:v>31</c:v>
                </c:pt>
                <c:pt idx="14">
                  <c:v>24</c:v>
                </c:pt>
                <c:pt idx="15">
                  <c:v>24.309999999997672</c:v>
                </c:pt>
                <c:pt idx="16">
                  <c:v>25.959999999999127</c:v>
                </c:pt>
                <c:pt idx="17">
                  <c:v>29.930000000000291</c:v>
                </c:pt>
                <c:pt idx="18">
                  <c:v>31.319999999999709</c:v>
                </c:pt>
                <c:pt idx="19">
                  <c:v>32.640000000006694</c:v>
                </c:pt>
                <c:pt idx="20">
                  <c:v>32.040000000000873</c:v>
                </c:pt>
                <c:pt idx="21">
                  <c:v>30.290000000000873</c:v>
                </c:pt>
                <c:pt idx="22">
                  <c:v>29.510000000002037</c:v>
                </c:pt>
                <c:pt idx="23">
                  <c:v>30.999999999992724</c:v>
                </c:pt>
                <c:pt idx="24">
                  <c:v>24.44999999999709</c:v>
                </c:pt>
                <c:pt idx="25">
                  <c:v>34.960000000006403</c:v>
                </c:pt>
                <c:pt idx="26">
                  <c:v>34.759999999994761</c:v>
                </c:pt>
                <c:pt idx="27">
                  <c:v>-788.0099999999984</c:v>
                </c:pt>
                <c:pt idx="28">
                  <c:v>24.080000000001746</c:v>
                </c:pt>
                <c:pt idx="29">
                  <c:v>24.029999999998836</c:v>
                </c:pt>
                <c:pt idx="30">
                  <c:v>24.029999999998836</c:v>
                </c:pt>
                <c:pt idx="31">
                  <c:v>24.200000000000728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A08-45C2-8667-11A3A00B66DA}"/>
            </c:ext>
          </c:extLst>
        </c:ser>
        <c:dLbls>
          <c:showVal val="1"/>
        </c:dLbls>
        <c:dropLines/>
        <c:marker val="1"/>
        <c:axId val="136957312"/>
        <c:axId val="137692288"/>
      </c:lineChart>
      <c:catAx>
        <c:axId val="136957312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7692288"/>
        <c:crosses val="autoZero"/>
        <c:auto val="1"/>
        <c:lblAlgn val="ctr"/>
        <c:lblOffset val="100"/>
      </c:catAx>
      <c:valAx>
        <c:axId val="137692288"/>
        <c:scaling>
          <c:orientation val="minMax"/>
          <c:max val="40"/>
          <c:min val="25"/>
        </c:scaling>
        <c:delete val="1"/>
        <c:axPos val="l"/>
        <c:numFmt formatCode="0" sourceLinked="1"/>
        <c:tickLblPos val="none"/>
        <c:crossAx val="136957312"/>
        <c:crosses val="autoZero"/>
        <c:crossBetween val="between"/>
        <c:majorUnit val="2"/>
      </c:valAx>
    </c:plotArea>
    <c:legend>
      <c:legendPos val="t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9.5735134401303212E-2"/>
          <c:y val="5.9231442223568222E-2"/>
          <c:w val="0.8808649168853897"/>
          <c:h val="0.8053706017375134"/>
        </c:manualLayout>
      </c:layout>
      <c:lineChart>
        <c:grouping val="standard"/>
        <c:ser>
          <c:idx val="0"/>
          <c:order val="0"/>
          <c:tx>
            <c:v>Boiler running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HLP'!$AK$4:$AK$35</c:f>
              <c:numCache>
                <c:formatCode>0</c:formatCode>
                <c:ptCount val="32"/>
                <c:pt idx="0">
                  <c:v>0</c:v>
                </c:pt>
                <c:pt idx="1">
                  <c:v>10.189999999991414</c:v>
                </c:pt>
                <c:pt idx="2">
                  <c:v>9.0500000000065484</c:v>
                </c:pt>
                <c:pt idx="3">
                  <c:v>0.22000000000116415</c:v>
                </c:pt>
                <c:pt idx="4">
                  <c:v>11.309999999994034</c:v>
                </c:pt>
                <c:pt idx="5">
                  <c:v>4.9799999999995634</c:v>
                </c:pt>
                <c:pt idx="6">
                  <c:v>8.1599999999925785</c:v>
                </c:pt>
                <c:pt idx="7">
                  <c:v>9.2300000000104774</c:v>
                </c:pt>
                <c:pt idx="8">
                  <c:v>2</c:v>
                </c:pt>
                <c:pt idx="9">
                  <c:v>7.7999999999992724</c:v>
                </c:pt>
                <c:pt idx="10">
                  <c:v>7.5899999999965075</c:v>
                </c:pt>
                <c:pt idx="11">
                  <c:v>4.6499999999941792</c:v>
                </c:pt>
                <c:pt idx="12">
                  <c:v>8</c:v>
                </c:pt>
                <c:pt idx="13">
                  <c:v>8.9800000000032014</c:v>
                </c:pt>
                <c:pt idx="14">
                  <c:v>9.4900000000088767</c:v>
                </c:pt>
                <c:pt idx="15">
                  <c:v>0.49000000000160071</c:v>
                </c:pt>
                <c:pt idx="16">
                  <c:v>8.6099999999969441</c:v>
                </c:pt>
                <c:pt idx="17">
                  <c:v>12.829999999998108</c:v>
                </c:pt>
                <c:pt idx="18">
                  <c:v>12</c:v>
                </c:pt>
                <c:pt idx="19">
                  <c:v>10.950000000000728</c:v>
                </c:pt>
                <c:pt idx="20">
                  <c:v>10.739999999997963</c:v>
                </c:pt>
                <c:pt idx="21">
                  <c:v>9.6499999999941792</c:v>
                </c:pt>
                <c:pt idx="22">
                  <c:v>1.9400000000023283</c:v>
                </c:pt>
                <c:pt idx="23">
                  <c:v>10.510000000002037</c:v>
                </c:pt>
                <c:pt idx="24">
                  <c:v>10.510000000002037</c:v>
                </c:pt>
                <c:pt idx="25">
                  <c:v>8.4500000000007276</c:v>
                </c:pt>
                <c:pt idx="26">
                  <c:v>9.9500000000007276</c:v>
                </c:pt>
                <c:pt idx="27">
                  <c:v>-226.04000000000087</c:v>
                </c:pt>
                <c:pt idx="28">
                  <c:v>0.18000000000029104</c:v>
                </c:pt>
                <c:pt idx="29">
                  <c:v>9.5600000000049477</c:v>
                </c:pt>
                <c:pt idx="30">
                  <c:v>17.650000000004866</c:v>
                </c:pt>
                <c:pt idx="31">
                  <c:v>9.6300000000044292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D3B-4C0F-91E9-AFF4300F6F4E}"/>
            </c:ext>
          </c:extLst>
        </c:ser>
        <c:dropLines/>
        <c:marker val="1"/>
        <c:axId val="137729536"/>
        <c:axId val="137731072"/>
      </c:lineChart>
      <c:catAx>
        <c:axId val="13772953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7731072"/>
        <c:crosses val="autoZero"/>
        <c:auto val="1"/>
        <c:lblAlgn val="ctr"/>
        <c:lblOffset val="100"/>
      </c:catAx>
      <c:valAx>
        <c:axId val="137731072"/>
        <c:scaling>
          <c:orientation val="minMax"/>
          <c:max val="30"/>
          <c:min val="5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7729536"/>
        <c:crosses val="autoZero"/>
        <c:crossBetween val="between"/>
        <c:majorUnit val="5"/>
      </c:valAx>
    </c:plotArea>
    <c:legend>
      <c:legendPos val="r"/>
      <c:layout>
        <c:manualLayout>
          <c:xMode val="edge"/>
          <c:yMode val="edge"/>
          <c:x val="0.84993331914591752"/>
          <c:y val="0.52984300039420063"/>
          <c:w val="0.13414546154706994"/>
          <c:h val="8.8317037293400014E-2"/>
        </c:manualLayout>
      </c:layout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2390276651477514E-2"/>
          <c:y val="0.19624637858854221"/>
          <c:w val="0.7665649760906289"/>
          <c:h val="0.63491237283129798"/>
        </c:manualLayout>
      </c:layout>
      <c:lineChart>
        <c:grouping val="stacke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HLP'!$P$4:$P$35</c:f>
              <c:numCache>
                <c:formatCode>0</c:formatCode>
                <c:ptCount val="32"/>
                <c:pt idx="0">
                  <c:v>80</c:v>
                </c:pt>
                <c:pt idx="1">
                  <c:v>112</c:v>
                </c:pt>
                <c:pt idx="2">
                  <c:v>143</c:v>
                </c:pt>
                <c:pt idx="3">
                  <c:v>101</c:v>
                </c:pt>
                <c:pt idx="4">
                  <c:v>102</c:v>
                </c:pt>
                <c:pt idx="5">
                  <c:v>175</c:v>
                </c:pt>
                <c:pt idx="6">
                  <c:v>122</c:v>
                </c:pt>
                <c:pt idx="7">
                  <c:v>159</c:v>
                </c:pt>
                <c:pt idx="8">
                  <c:v>78</c:v>
                </c:pt>
                <c:pt idx="9">
                  <c:v>86</c:v>
                </c:pt>
                <c:pt idx="10">
                  <c:v>103</c:v>
                </c:pt>
                <c:pt idx="11">
                  <c:v>125</c:v>
                </c:pt>
                <c:pt idx="12">
                  <c:v>194</c:v>
                </c:pt>
                <c:pt idx="13">
                  <c:v>183</c:v>
                </c:pt>
                <c:pt idx="14">
                  <c:v>142</c:v>
                </c:pt>
                <c:pt idx="15">
                  <c:v>92</c:v>
                </c:pt>
                <c:pt idx="16">
                  <c:v>122</c:v>
                </c:pt>
                <c:pt idx="17">
                  <c:v>145</c:v>
                </c:pt>
                <c:pt idx="18">
                  <c:v>193</c:v>
                </c:pt>
                <c:pt idx="19">
                  <c:v>261</c:v>
                </c:pt>
                <c:pt idx="20">
                  <c:v>201</c:v>
                </c:pt>
                <c:pt idx="21">
                  <c:v>152</c:v>
                </c:pt>
                <c:pt idx="22">
                  <c:v>101</c:v>
                </c:pt>
                <c:pt idx="23">
                  <c:v>164</c:v>
                </c:pt>
                <c:pt idx="24">
                  <c:v>170</c:v>
                </c:pt>
                <c:pt idx="25">
                  <c:v>215</c:v>
                </c:pt>
                <c:pt idx="26">
                  <c:v>241</c:v>
                </c:pt>
                <c:pt idx="27">
                  <c:v>-1828</c:v>
                </c:pt>
                <c:pt idx="28">
                  <c:v>117</c:v>
                </c:pt>
                <c:pt idx="29">
                  <c:v>138</c:v>
                </c:pt>
                <c:pt idx="30">
                  <c:v>121</c:v>
                </c:pt>
                <c:pt idx="31">
                  <c:v>2510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E28-4C1B-B52C-80D475BA7673}"/>
            </c:ext>
          </c:extLst>
        </c:ser>
        <c:upDownBars>
          <c:gapWidth val="150"/>
          <c:upBars/>
          <c:downBars/>
        </c:upDownBars>
        <c:marker val="1"/>
        <c:axId val="137748480"/>
        <c:axId val="137750016"/>
      </c:lineChart>
      <c:catAx>
        <c:axId val="1377484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7750016"/>
        <c:crosses val="autoZero"/>
        <c:auto val="1"/>
        <c:lblAlgn val="ctr"/>
        <c:lblOffset val="100"/>
      </c:catAx>
      <c:valAx>
        <c:axId val="137750016"/>
        <c:scaling>
          <c:orientation val="minMax"/>
          <c:max val="350"/>
          <c:min val="150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7748480"/>
        <c:crosses val="autoZero"/>
        <c:crossBetween val="between"/>
        <c:minorUnit val="20"/>
      </c:valAx>
    </c:plotArea>
    <c:legend>
      <c:legendPos val="r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0546659205604323E-2"/>
          <c:y val="0.18855639071655694"/>
          <c:w val="0.85207697980350661"/>
          <c:h val="0.6577579613782617"/>
        </c:manualLayout>
      </c:layout>
      <c:lineChart>
        <c:grouping val="stacked"/>
        <c:ser>
          <c:idx val="0"/>
          <c:order val="0"/>
          <c:tx>
            <c:v>Gas</c:v>
          </c:tx>
          <c:dLbls>
            <c:dLbl>
              <c:idx val="0"/>
              <c:layout>
                <c:manualLayout>
                  <c:x val="-1.8126888217536975E-2"/>
                  <c:y val="0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0-6160-41AC-BDD6-063EAD72D46A}"/>
                </c:ext>
                <c:ext xmlns:c15="http://schemas.microsoft.com/office/drawing/2012/chart" uri="{CE6537A1-D6FC-4f65-9D91-7224C49458BB}"/>
              </c:extLst>
            </c:dLbl>
            <c:dLbl>
              <c:idx val="1"/>
              <c:layout>
                <c:manualLayout>
                  <c:x val="-2.4169184290029979E-2"/>
                  <c:y val="0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1-6160-41AC-BDD6-063EAD72D46A}"/>
                </c:ext>
                <c:ext xmlns:c15="http://schemas.microsoft.com/office/drawing/2012/chart" uri="{CE6537A1-D6FC-4f65-9D91-7224C49458BB}"/>
              </c:extLst>
            </c:dLbl>
            <c:dLbl>
              <c:idx val="2"/>
              <c:layout>
                <c:manualLayout>
                  <c:x val="-2.2155085599194352E-2"/>
                  <c:y val="-4.1237113402061855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2-6160-41AC-BDD6-063EAD72D46A}"/>
                </c:ex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 algn="ctr"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HLP'!$M$4:$M$35</c:f>
              <c:numCache>
                <c:formatCode>0</c:formatCode>
                <c:ptCount val="32"/>
                <c:pt idx="0">
                  <c:v>267</c:v>
                </c:pt>
                <c:pt idx="1">
                  <c:v>436.69999999995343</c:v>
                </c:pt>
                <c:pt idx="2">
                  <c:v>615.80400000000373</c:v>
                </c:pt>
                <c:pt idx="3">
                  <c:v>302.90400000009686</c:v>
                </c:pt>
                <c:pt idx="4">
                  <c:v>453.90200000000186</c:v>
                </c:pt>
                <c:pt idx="5">
                  <c:v>556.86999999987893</c:v>
                </c:pt>
                <c:pt idx="6">
                  <c:v>563.6500000001397</c:v>
                </c:pt>
                <c:pt idx="7">
                  <c:v>406.11999999987893</c:v>
                </c:pt>
                <c:pt idx="8">
                  <c:v>345.05000000004657</c:v>
                </c:pt>
                <c:pt idx="9">
                  <c:v>665</c:v>
                </c:pt>
                <c:pt idx="10">
                  <c:v>498</c:v>
                </c:pt>
                <c:pt idx="11">
                  <c:v>460</c:v>
                </c:pt>
                <c:pt idx="12">
                  <c:v>737</c:v>
                </c:pt>
                <c:pt idx="13">
                  <c:v>822</c:v>
                </c:pt>
                <c:pt idx="14">
                  <c:v>553</c:v>
                </c:pt>
                <c:pt idx="15">
                  <c:v>477.06499999994412</c:v>
                </c:pt>
                <c:pt idx="16">
                  <c:v>833.77800000016578</c:v>
                </c:pt>
                <c:pt idx="17">
                  <c:v>638.77700000000186</c:v>
                </c:pt>
                <c:pt idx="18">
                  <c:v>1049.74599999981</c:v>
                </c:pt>
                <c:pt idx="19">
                  <c:v>938.63400000007823</c:v>
                </c:pt>
                <c:pt idx="20">
                  <c:v>955.88999999989755</c:v>
                </c:pt>
                <c:pt idx="21">
                  <c:v>588.08000000007451</c:v>
                </c:pt>
                <c:pt idx="22">
                  <c:v>584.38000000012107</c:v>
                </c:pt>
                <c:pt idx="23">
                  <c:v>944.64999999990687</c:v>
                </c:pt>
                <c:pt idx="24">
                  <c:v>746</c:v>
                </c:pt>
                <c:pt idx="25">
                  <c:v>925</c:v>
                </c:pt>
                <c:pt idx="26">
                  <c:v>804</c:v>
                </c:pt>
                <c:pt idx="27">
                  <c:v>550</c:v>
                </c:pt>
                <c:pt idx="28">
                  <c:v>550</c:v>
                </c:pt>
                <c:pt idx="29">
                  <c:v>550</c:v>
                </c:pt>
                <c:pt idx="30">
                  <c:v>550</c:v>
                </c:pt>
                <c:pt idx="31">
                  <c:v>19369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6160-41AC-BDD6-063EAD72D46A}"/>
            </c:ext>
          </c:extLst>
        </c:ser>
        <c:marker val="1"/>
        <c:axId val="141362688"/>
        <c:axId val="141364224"/>
      </c:lineChart>
      <c:catAx>
        <c:axId val="1413626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1364224"/>
        <c:crosses val="autoZero"/>
        <c:auto val="1"/>
        <c:lblAlgn val="ctr"/>
        <c:lblOffset val="100"/>
      </c:catAx>
      <c:valAx>
        <c:axId val="141364224"/>
        <c:scaling>
          <c:orientation val="minMax"/>
          <c:max val="1700"/>
          <c:min val="1150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1362688"/>
        <c:crosses val="autoZero"/>
        <c:crossBetween val="between"/>
        <c:minorUnit val="50"/>
      </c:valAx>
    </c:plotArea>
    <c:legend>
      <c:legendPos val="r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 algn="l"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Lighting Consumption- KWh</a:t>
            </a:r>
          </a:p>
        </c:rich>
      </c:tx>
      <c:layout>
        <c:manualLayout>
          <c:xMode val="edge"/>
          <c:yMode val="edge"/>
          <c:x val="0.11688328234605669"/>
          <c:y val="1.8518576267076241E-2"/>
        </c:manualLayout>
      </c:layout>
    </c:title>
    <c:plotArea>
      <c:layout>
        <c:manualLayout>
          <c:layoutTarget val="inner"/>
          <c:xMode val="edge"/>
          <c:yMode val="edge"/>
          <c:x val="5.0988871035212803E-2"/>
          <c:y val="7.8544556731096282E-2"/>
          <c:w val="0.82133951306820063"/>
          <c:h val="0.65482210557013765"/>
        </c:manualLayout>
      </c:layout>
      <c:lineChart>
        <c:grouping val="standard"/>
        <c:ser>
          <c:idx val="0"/>
          <c:order val="0"/>
          <c:tx>
            <c:v>Lighting load</c:v>
          </c:tx>
          <c:marker>
            <c:symbol val="none"/>
          </c:marker>
          <c:dLbls>
            <c:dLbl>
              <c:idx val="0"/>
              <c:layout>
                <c:manualLayout>
                  <c:x val="-1.1282051282062807E-2"/>
                  <c:y val="-4.4004400440049933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0-9782-4948-A3B6-79164CB9A8BB}"/>
                </c:ext>
                <c:ext xmlns:c15="http://schemas.microsoft.com/office/drawing/2012/chart" uri="{CE6537A1-D6FC-4f65-9D91-7224C49458BB}"/>
              </c:extLst>
            </c:dLbl>
            <c:dLbl>
              <c:idx val="1"/>
              <c:layout>
                <c:manualLayout>
                  <c:x val="-9.2307692307694068E-3"/>
                  <c:y val="-3.0803080308030799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1-9782-4948-A3B6-79164CB9A8BB}"/>
                </c:ext>
                <c:ext xmlns:c15="http://schemas.microsoft.com/office/drawing/2012/chart" uri="{CE6537A1-D6FC-4f65-9D91-7224C49458BB}"/>
              </c:extLst>
            </c:dLbl>
            <c:dLbl>
              <c:idx val="2"/>
              <c:layout>
                <c:manualLayout>
                  <c:x val="-2.0512820512820495E-2"/>
                  <c:y val="-1.7601760176017601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2-9782-4948-A3B6-79164CB9A8BB}"/>
                </c:ext>
                <c:ext xmlns:c15="http://schemas.microsoft.com/office/drawing/2012/chart" uri="{CE6537A1-D6FC-4f65-9D91-7224C49458BB}"/>
              </c:extLst>
            </c:dLbl>
            <c:dLbl>
              <c:idx val="3"/>
              <c:layout>
                <c:manualLayout>
                  <c:x val="-1.3333333333333341E-2"/>
                  <c:y val="-1.3201320132013881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3-9782-4948-A3B6-79164CB9A8BB}"/>
                </c:ex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-3540000" vert="horz"/>
              <a:lstStyle/>
              <a:p>
                <a:pPr algn="ctr"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HLP'!$AT$4:$AT$35</c:f>
              <c:numCache>
                <c:formatCode>0</c:formatCode>
                <c:ptCount val="32"/>
                <c:pt idx="0">
                  <c:v>2002</c:v>
                </c:pt>
                <c:pt idx="1">
                  <c:v>2002.25</c:v>
                </c:pt>
                <c:pt idx="2">
                  <c:v>1903.9199999999837</c:v>
                </c:pt>
                <c:pt idx="3">
                  <c:v>2680.179999999993</c:v>
                </c:pt>
                <c:pt idx="4">
                  <c:v>3287.4400000000023</c:v>
                </c:pt>
                <c:pt idx="5">
                  <c:v>3169.640000000014</c:v>
                </c:pt>
                <c:pt idx="6">
                  <c:v>2961.6600000000326</c:v>
                </c:pt>
                <c:pt idx="7">
                  <c:v>2920.1999999999534</c:v>
                </c:pt>
                <c:pt idx="8">
                  <c:v>3069.710000000021</c:v>
                </c:pt>
                <c:pt idx="9">
                  <c:v>3175</c:v>
                </c:pt>
                <c:pt idx="10">
                  <c:v>3233</c:v>
                </c:pt>
                <c:pt idx="11">
                  <c:v>3517</c:v>
                </c:pt>
                <c:pt idx="12">
                  <c:v>3369</c:v>
                </c:pt>
                <c:pt idx="13">
                  <c:v>3252</c:v>
                </c:pt>
                <c:pt idx="14">
                  <c:v>2893</c:v>
                </c:pt>
                <c:pt idx="15">
                  <c:v>3172.9000000000233</c:v>
                </c:pt>
                <c:pt idx="16">
                  <c:v>3279.7699999999604</c:v>
                </c:pt>
                <c:pt idx="17">
                  <c:v>3490.7999999999884</c:v>
                </c:pt>
                <c:pt idx="18">
                  <c:v>3744.2800000000279</c:v>
                </c:pt>
                <c:pt idx="19">
                  <c:v>3610.7199999999721</c:v>
                </c:pt>
                <c:pt idx="20">
                  <c:v>3562.5200000000186</c:v>
                </c:pt>
                <c:pt idx="21">
                  <c:v>3410</c:v>
                </c:pt>
                <c:pt idx="22">
                  <c:v>3432.960000000021</c:v>
                </c:pt>
                <c:pt idx="23">
                  <c:v>3514.0499999999884</c:v>
                </c:pt>
                <c:pt idx="24">
                  <c:v>3655</c:v>
                </c:pt>
                <c:pt idx="25">
                  <c:v>3678</c:v>
                </c:pt>
                <c:pt idx="26">
                  <c:v>3715</c:v>
                </c:pt>
                <c:pt idx="27">
                  <c:v>-92616</c:v>
                </c:pt>
                <c:pt idx="28">
                  <c:v>2330</c:v>
                </c:pt>
                <c:pt idx="29">
                  <c:v>2409</c:v>
                </c:pt>
                <c:pt idx="30">
                  <c:v>2175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9782-4948-A3B6-79164CB9A8BB}"/>
            </c:ext>
          </c:extLst>
        </c:ser>
        <c:ser>
          <c:idx val="1"/>
          <c:order val="1"/>
          <c:marker>
            <c:symbol val="none"/>
          </c:marker>
          <c:val>
            <c:numRef>
              <c:f>'Daily HLP'!$BD$4:$BD$33</c:f>
              <c:numCache>
                <c:formatCode>0</c:formatCode>
                <c:ptCount val="30"/>
                <c:pt idx="0">
                  <c:v>544</c:v>
                </c:pt>
                <c:pt idx="1">
                  <c:v>514.30999999999767</c:v>
                </c:pt>
                <c:pt idx="2">
                  <c:v>522.59999999997672</c:v>
                </c:pt>
                <c:pt idx="3">
                  <c:v>82.760000000009313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0.33000000001629815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-0.40999999997438863</c:v>
                </c:pt>
                <c:pt idx="16">
                  <c:v>0.3999999999650754</c:v>
                </c:pt>
                <c:pt idx="17">
                  <c:v>-0.3999999999650754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0.40999999997438863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-3306</c:v>
                </c:pt>
                <c:pt idx="28">
                  <c:v>588</c:v>
                </c:pt>
                <c:pt idx="29">
                  <c:v>545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5-9782-4948-A3B6-79164CB9A8BB}"/>
            </c:ext>
          </c:extLst>
        </c:ser>
        <c:dropLines/>
        <c:marker val="1"/>
        <c:axId val="141418880"/>
        <c:axId val="141420416"/>
      </c:lineChart>
      <c:catAx>
        <c:axId val="1414188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1420416"/>
        <c:crosses val="autoZero"/>
        <c:auto val="1"/>
        <c:lblAlgn val="ctr"/>
        <c:lblOffset val="100"/>
      </c:catAx>
      <c:valAx>
        <c:axId val="141420416"/>
        <c:scaling>
          <c:orientation val="minMax"/>
          <c:max val="9000"/>
          <c:min val="6000"/>
        </c:scaling>
        <c:axPos val="l"/>
        <c:majorGridlines/>
        <c:title>
          <c:tx>
            <c:rich>
              <a:bodyPr rot="0" vert="wordArtVert"/>
              <a:lstStyle/>
              <a:p>
                <a:pPr algn="ctr">
                  <a:defRPr lang="en-US" sz="1200" b="1" i="0" u="none" strike="noStrike" baseline="0">
                    <a:solidFill>
                      <a:srgbClr val="FF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KWh- Units</a:t>
                </a:r>
              </a:p>
            </c:rich>
          </c:tx>
        </c:title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1418880"/>
        <c:crosses val="autoZero"/>
        <c:crossBetween val="between"/>
        <c:minorUnit val="500"/>
      </c:valAx>
    </c:plotArea>
    <c:legend>
      <c:legendPos val="r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paperSize="9" orientation="landscape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377350766933948E-2"/>
          <c:y val="0.17165536599591719"/>
          <c:w val="0.81155842904958064"/>
          <c:h val="0.65482210557013765"/>
        </c:manualLayout>
      </c:layout>
      <c:lineChart>
        <c:grouping val="standard"/>
        <c:ser>
          <c:idx val="0"/>
          <c:order val="0"/>
          <c:tx>
            <c:v>HVAC</c:v>
          </c:tx>
          <c:dLbls>
            <c:dLbl>
              <c:idx val="0"/>
              <c:layout>
                <c:manualLayout>
                  <c:x val="-2.2695035460998852E-2"/>
                  <c:y val="-5.0925925925925923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0-633E-4A65-83A0-B64B8987BB0B}"/>
                </c:ext>
                <c:ext xmlns:c15="http://schemas.microsoft.com/office/drawing/2012/chart" uri="{CE6537A1-D6FC-4f65-9D91-7224C49458BB}"/>
              </c:extLst>
            </c:dLbl>
            <c:dLbl>
              <c:idx val="1"/>
              <c:layout>
                <c:manualLayout>
                  <c:x val="-8.5106382978724568E-3"/>
                  <c:y val="-3.7037037037037056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1-633E-4A65-83A0-B64B8987BB0B}"/>
                </c:ext>
                <c:ext xmlns:c15="http://schemas.microsoft.com/office/drawing/2012/chart" uri="{CE6537A1-D6FC-4f65-9D91-7224C49458BB}"/>
              </c:extLst>
            </c:dLbl>
            <c:dLbl>
              <c:idx val="2"/>
              <c:layout>
                <c:manualLayout>
                  <c:x val="-2.2695035460998852E-2"/>
                  <c:y val="0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2-633E-4A65-83A0-B64B8987BB0B}"/>
                </c:ext>
                <c:ext xmlns:c15="http://schemas.microsoft.com/office/drawing/2012/chart" uri="{CE6537A1-D6FC-4f65-9D91-7224C49458BB}"/>
              </c:extLst>
            </c:dLbl>
            <c:dLbl>
              <c:idx val="3"/>
              <c:layout>
                <c:manualLayout>
                  <c:x val="-1.8439716312056712E-2"/>
                  <c:y val="-6.9444444444444503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3-633E-4A65-83A0-B64B8987BB0B}"/>
                </c:ext>
                <c:ext xmlns:c15="http://schemas.microsoft.com/office/drawing/2012/chart" uri="{CE6537A1-D6FC-4f65-9D91-7224C49458BB}"/>
              </c:extLst>
            </c:dLbl>
            <c:dLbl>
              <c:idx val="4"/>
              <c:layout>
                <c:manualLayout>
                  <c:x val="-1.7021276595744678E-2"/>
                  <c:y val="-4.6296296296296523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4-633E-4A65-83A0-B64B8987BB0B}"/>
                </c:ex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-1260000" vert="horz"/>
              <a:lstStyle/>
              <a:p>
                <a:pPr algn="ctr">
                  <a:defRPr lang="en-US"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HLP'!$AQ$4:$AQ$35</c:f>
              <c:numCache>
                <c:formatCode>0</c:formatCode>
                <c:ptCount val="32"/>
                <c:pt idx="0">
                  <c:v>2344</c:v>
                </c:pt>
                <c:pt idx="1">
                  <c:v>2407.9899999999907</c:v>
                </c:pt>
                <c:pt idx="2">
                  <c:v>2425.1999999999534</c:v>
                </c:pt>
                <c:pt idx="3">
                  <c:v>2421.5200000000186</c:v>
                </c:pt>
                <c:pt idx="4">
                  <c:v>2427.4400000000605</c:v>
                </c:pt>
                <c:pt idx="5">
                  <c:v>2676.4000000000233</c:v>
                </c:pt>
                <c:pt idx="6">
                  <c:v>2464.9599999999627</c:v>
                </c:pt>
                <c:pt idx="7">
                  <c:v>2459.6799999999348</c:v>
                </c:pt>
                <c:pt idx="8">
                  <c:v>2245.8100000000559</c:v>
                </c:pt>
                <c:pt idx="9">
                  <c:v>2172</c:v>
                </c:pt>
                <c:pt idx="10">
                  <c:v>2190</c:v>
                </c:pt>
                <c:pt idx="11">
                  <c:v>2554</c:v>
                </c:pt>
                <c:pt idx="12">
                  <c:v>2615</c:v>
                </c:pt>
                <c:pt idx="13">
                  <c:v>2582</c:v>
                </c:pt>
                <c:pt idx="14">
                  <c:v>2472</c:v>
                </c:pt>
                <c:pt idx="15">
                  <c:v>2502.7900000000373</c:v>
                </c:pt>
                <c:pt idx="16">
                  <c:v>2468.5599999999395</c:v>
                </c:pt>
                <c:pt idx="17">
                  <c:v>2647.5200000000186</c:v>
                </c:pt>
                <c:pt idx="18">
                  <c:v>2958.1600000000326</c:v>
                </c:pt>
                <c:pt idx="19">
                  <c:v>2905.5699999999488</c:v>
                </c:pt>
                <c:pt idx="20">
                  <c:v>2750.5</c:v>
                </c:pt>
                <c:pt idx="21">
                  <c:v>2900.9000000000233</c:v>
                </c:pt>
                <c:pt idx="22">
                  <c:v>2677.5</c:v>
                </c:pt>
                <c:pt idx="23">
                  <c:v>2800.5</c:v>
                </c:pt>
                <c:pt idx="24">
                  <c:v>2719</c:v>
                </c:pt>
                <c:pt idx="25">
                  <c:v>3030</c:v>
                </c:pt>
                <c:pt idx="26">
                  <c:v>3062</c:v>
                </c:pt>
                <c:pt idx="27">
                  <c:v>-77011</c:v>
                </c:pt>
                <c:pt idx="28">
                  <c:v>2408</c:v>
                </c:pt>
                <c:pt idx="29">
                  <c:v>2377</c:v>
                </c:pt>
                <c:pt idx="30">
                  <c:v>2345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5-633E-4A65-83A0-B64B8987BB0B}"/>
            </c:ext>
          </c:extLst>
        </c:ser>
        <c:marker val="1"/>
        <c:axId val="141449472"/>
        <c:axId val="141451264"/>
      </c:lineChart>
      <c:catAx>
        <c:axId val="14144947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1451264"/>
        <c:crosses val="autoZero"/>
        <c:auto val="1"/>
        <c:lblAlgn val="ctr"/>
        <c:lblOffset val="100"/>
      </c:catAx>
      <c:valAx>
        <c:axId val="141451264"/>
        <c:scaling>
          <c:orientation val="minMax"/>
          <c:max val="5000"/>
          <c:min val="3500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1449472"/>
        <c:crosses val="autoZero"/>
        <c:crossBetween val="between"/>
      </c:valAx>
    </c:plotArea>
    <c:legend>
      <c:legendPos val="r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Occupancy%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Occu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val>
            <c:numRef>
              <c:f>'Daily HLP'!$F$4:$F$35</c:f>
              <c:numCache>
                <c:formatCode>0%</c:formatCode>
                <c:ptCount val="32"/>
                <c:pt idx="0">
                  <c:v>0.73</c:v>
                </c:pt>
                <c:pt idx="1">
                  <c:v>0.6</c:v>
                </c:pt>
                <c:pt idx="2">
                  <c:v>0.56999999999999995</c:v>
                </c:pt>
                <c:pt idx="3">
                  <c:v>0.1</c:v>
                </c:pt>
                <c:pt idx="4">
                  <c:v>0.98</c:v>
                </c:pt>
                <c:pt idx="5">
                  <c:v>0.75</c:v>
                </c:pt>
                <c:pt idx="6">
                  <c:v>0.76</c:v>
                </c:pt>
                <c:pt idx="7">
                  <c:v>0.24</c:v>
                </c:pt>
                <c:pt idx="8">
                  <c:v>0.16</c:v>
                </c:pt>
                <c:pt idx="9">
                  <c:v>0.89</c:v>
                </c:pt>
                <c:pt idx="10">
                  <c:v>0.92</c:v>
                </c:pt>
                <c:pt idx="11">
                  <c:v>0.78</c:v>
                </c:pt>
                <c:pt idx="12">
                  <c:v>0.26</c:v>
                </c:pt>
                <c:pt idx="13">
                  <c:v>0.25</c:v>
                </c:pt>
                <c:pt idx="14">
                  <c:v>0.26</c:v>
                </c:pt>
                <c:pt idx="15">
                  <c:v>0.52</c:v>
                </c:pt>
                <c:pt idx="16">
                  <c:v>0.6</c:v>
                </c:pt>
                <c:pt idx="17">
                  <c:v>0.54</c:v>
                </c:pt>
                <c:pt idx="18">
                  <c:v>0.1</c:v>
                </c:pt>
                <c:pt idx="19">
                  <c:v>0.86</c:v>
                </c:pt>
                <c:pt idx="20">
                  <c:v>0.66</c:v>
                </c:pt>
                <c:pt idx="21">
                  <c:v>0.72</c:v>
                </c:pt>
                <c:pt idx="22">
                  <c:v>0.52</c:v>
                </c:pt>
                <c:pt idx="23">
                  <c:v>0.57999999999999996</c:v>
                </c:pt>
                <c:pt idx="24">
                  <c:v>0.88</c:v>
                </c:pt>
                <c:pt idx="25">
                  <c:v>1</c:v>
                </c:pt>
                <c:pt idx="26">
                  <c:v>0.67</c:v>
                </c:pt>
                <c:pt idx="27">
                  <c:v>0.71</c:v>
                </c:pt>
                <c:pt idx="28">
                  <c:v>0.98</c:v>
                </c:pt>
                <c:pt idx="29">
                  <c:v>0.62</c:v>
                </c:pt>
                <c:pt idx="30">
                  <c:v>29</c:v>
                </c:pt>
                <c:pt idx="31">
                  <c:v>1.5229032258064517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995-47D0-BC49-A93F36796861}"/>
            </c:ext>
          </c:extLst>
        </c:ser>
        <c:marker val="1"/>
        <c:axId val="141500416"/>
        <c:axId val="141501952"/>
      </c:lineChart>
      <c:catAx>
        <c:axId val="1415004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1501952"/>
        <c:crosses val="autoZero"/>
        <c:auto val="1"/>
        <c:lblAlgn val="ctr"/>
        <c:lblOffset val="100"/>
      </c:catAx>
      <c:valAx>
        <c:axId val="141501952"/>
        <c:scaling>
          <c:orientation val="minMax"/>
        </c:scaling>
        <c:axPos val="l"/>
        <c:majorGridlines/>
        <c:numFmt formatCode="0%" sourceLinked="1"/>
        <c:tickLblPos val="nextTo"/>
        <c:txPr>
          <a:bodyPr rot="0" vert="horz"/>
          <a:lstStyle/>
          <a:p>
            <a:pPr>
              <a:defRPr lang="en-US"/>
            </a:pPr>
            <a:endParaRPr lang="en-US"/>
          </a:p>
        </c:txPr>
        <c:crossAx val="141500416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spPr>
        <a:noFill/>
        <a:ln w="25400">
          <a:noFill/>
        </a:ln>
      </c:spPr>
      <c:txPr>
        <a:bodyPr/>
        <a:lstStyle/>
        <a:p>
          <a:pPr>
            <a:defRPr lang="en-US" sz="10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9.3383235707541132E-2"/>
          <c:y val="7.3685986989118823E-2"/>
          <c:w val="0.84017007099204855"/>
          <c:h val="0.77982210557013765"/>
        </c:manualLayout>
      </c:layout>
      <c:lineChart>
        <c:grouping val="standard"/>
        <c:ser>
          <c:idx val="0"/>
          <c:order val="0"/>
          <c:tx>
            <c:v>Kwh</c:v>
          </c:tx>
          <c:dLbls>
            <c:dLbl>
              <c:idx val="0"/>
              <c:layout>
                <c:manualLayout>
                  <c:x val="-3.0349013657056216E-2"/>
                  <c:y val="-6.8728522336769807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0-10BC-4B8D-846C-BE863E4393CD}"/>
                </c:ext>
                <c:ext xmlns:c15="http://schemas.microsoft.com/office/drawing/2012/chart" uri="{CE6537A1-D6FC-4f65-9D91-7224C49458BB}"/>
              </c:extLst>
            </c:dLbl>
            <c:dLbl>
              <c:idx val="1"/>
              <c:layout>
                <c:manualLayout>
                  <c:x val="-2.4279210925648612E-2"/>
                  <c:y val="-7.3310423825954693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1-10BC-4B8D-846C-BE863E4393CD}"/>
                </c:ext>
                <c:ext xmlns:c15="http://schemas.microsoft.com/office/drawing/2012/chart" uri="{CE6537A1-D6FC-4f65-9D91-7224C49458BB}"/>
              </c:extLst>
            </c:dLbl>
            <c:dLbl>
              <c:idx val="2"/>
              <c:layout>
                <c:manualLayout>
                  <c:x val="-3.0349013657056216E-2"/>
                  <c:y val="-9.6219931271477654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2-10BC-4B8D-846C-BE863E4393CD}"/>
                </c:ext>
                <c:ext xmlns:c15="http://schemas.microsoft.com/office/drawing/2012/chart" uri="{CE6537A1-D6FC-4f65-9D91-7224C49458BB}"/>
              </c:extLst>
            </c:dLbl>
            <c:dLbl>
              <c:idx val="3"/>
              <c:layout>
                <c:manualLayout>
                  <c:x val="-2.4279210925648612E-2"/>
                  <c:y val="-7.3310423825954693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3-10BC-4B8D-846C-BE863E4393CD}"/>
                </c:ext>
                <c:ext xmlns:c15="http://schemas.microsoft.com/office/drawing/2012/chart" uri="{CE6537A1-D6FC-4f65-9D91-7224C49458BB}"/>
              </c:extLst>
            </c:dLbl>
            <c:dLbl>
              <c:idx val="4"/>
              <c:layout>
                <c:manualLayout>
                  <c:x val="-2.6302478502781994E-2"/>
                  <c:y val="-8.7056128293241747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4-10BC-4B8D-846C-BE863E4393CD}"/>
                </c:ext>
                <c:ext xmlns:c15="http://schemas.microsoft.com/office/drawing/2012/chart" uri="{CE6537A1-D6FC-4f65-9D91-7224C49458BB}"/>
              </c:extLst>
            </c:dLbl>
            <c:dLbl>
              <c:idx val="5"/>
              <c:layout>
                <c:manualLayout>
                  <c:x val="-3.0349013657056216E-2"/>
                  <c:y val="-7.3310423825954693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5-10BC-4B8D-846C-BE863E4393CD}"/>
                </c:ext>
                <c:ext xmlns:c15="http://schemas.microsoft.com/office/drawing/2012/chart" uri="{CE6537A1-D6FC-4f65-9D91-7224C49458BB}"/>
              </c:extLst>
            </c:dLbl>
            <c:dLbl>
              <c:idx val="6"/>
              <c:layout>
                <c:manualLayout>
                  <c:x val="-2.8325746079919212E-2"/>
                  <c:y val="-9.6219931271477613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6-10BC-4B8D-846C-BE863E4393CD}"/>
                </c:ext>
                <c:ext xmlns:c15="http://schemas.microsoft.com/office/drawing/2012/chart" uri="{CE6537A1-D6FC-4f65-9D91-7224C49458BB}"/>
              </c:extLst>
            </c:dLbl>
            <c:dLbl>
              <c:idx val="7"/>
              <c:layout>
                <c:manualLayout>
                  <c:x val="-2.8325746079919212E-2"/>
                  <c:y val="-7.7892325315007532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7-10BC-4B8D-846C-BE863E4393CD}"/>
                </c:ext>
                <c:ext xmlns:c15="http://schemas.microsoft.com/office/drawing/2012/chart" uri="{CE6537A1-D6FC-4f65-9D91-7224C49458BB}"/>
              </c:extLst>
            </c:dLbl>
            <c:dLbl>
              <c:idx val="8"/>
              <c:layout>
                <c:manualLayout>
                  <c:x val="-3.2372281234193258E-2"/>
                  <c:y val="-8.7056128293241747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8-10BC-4B8D-846C-BE863E4393CD}"/>
                </c:ext>
                <c:ext xmlns:c15="http://schemas.microsoft.com/office/drawing/2012/chart" uri="{CE6537A1-D6FC-4f65-9D91-7224C49458BB}"/>
              </c:extLst>
            </c:dLbl>
            <c:dLbl>
              <c:idx val="9"/>
              <c:layout>
                <c:manualLayout>
                  <c:x val="-2.6302478502781994E-2"/>
                  <c:y val="-9.1638029782360228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9-10BC-4B8D-846C-BE863E4393CD}"/>
                </c:ext>
                <c:ext xmlns:c15="http://schemas.microsoft.com/office/drawing/2012/chart" uri="{CE6537A1-D6FC-4f65-9D91-7224C49458BB}"/>
              </c:extLst>
            </c:dLbl>
            <c:dLbl>
              <c:idx val="10"/>
              <c:layout>
                <c:manualLayout>
                  <c:x val="-2.4279210925648612E-2"/>
                  <c:y val="-9.1638029782360228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A-10BC-4B8D-846C-BE863E4393CD}"/>
                </c:ext>
                <c:ext xmlns:c15="http://schemas.microsoft.com/office/drawing/2012/chart" uri="{CE6537A1-D6FC-4f65-9D91-7224C49458BB}"/>
              </c:extLst>
            </c:dLbl>
            <c:dLbl>
              <c:idx val="11"/>
              <c:layout>
                <c:manualLayout>
                  <c:x val="-2.8325746079919212E-2"/>
                  <c:y val="-9.1638029782360228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B-10BC-4B8D-846C-BE863E4393CD}"/>
                </c:ex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 algn="ctr"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HLP'!$I$4:$I$35</c:f>
              <c:numCache>
                <c:formatCode>0</c:formatCode>
                <c:ptCount val="32"/>
                <c:pt idx="0">
                  <c:v>16655</c:v>
                </c:pt>
                <c:pt idx="1">
                  <c:v>16620.270000000019</c:v>
                </c:pt>
                <c:pt idx="2">
                  <c:v>16135.809999999998</c:v>
                </c:pt>
                <c:pt idx="3">
                  <c:v>16478.789999999979</c:v>
                </c:pt>
                <c:pt idx="4">
                  <c:v>20105.280000000028</c:v>
                </c:pt>
                <c:pt idx="5">
                  <c:v>18422.639999999956</c:v>
                </c:pt>
                <c:pt idx="6">
                  <c:v>17315.960000000021</c:v>
                </c:pt>
                <c:pt idx="7">
                  <c:v>17288.559999999998</c:v>
                </c:pt>
                <c:pt idx="8">
                  <c:v>16891.690000000002</c:v>
                </c:pt>
                <c:pt idx="9">
                  <c:v>17110</c:v>
                </c:pt>
                <c:pt idx="10">
                  <c:v>17188</c:v>
                </c:pt>
                <c:pt idx="11">
                  <c:v>18830</c:v>
                </c:pt>
                <c:pt idx="12">
                  <c:v>20443</c:v>
                </c:pt>
                <c:pt idx="13">
                  <c:v>19974</c:v>
                </c:pt>
                <c:pt idx="14">
                  <c:v>17859</c:v>
                </c:pt>
                <c:pt idx="15">
                  <c:v>18477.189999999944</c:v>
                </c:pt>
                <c:pt idx="16">
                  <c:v>19209.440000000061</c:v>
                </c:pt>
                <c:pt idx="17">
                  <c:v>20104.479999999981</c:v>
                </c:pt>
                <c:pt idx="18">
                  <c:v>23254.719999999972</c:v>
                </c:pt>
                <c:pt idx="19">
                  <c:v>23350.090000000084</c:v>
                </c:pt>
                <c:pt idx="20">
                  <c:v>21955.149999999907</c:v>
                </c:pt>
                <c:pt idx="21">
                  <c:v>20706.20000000007</c:v>
                </c:pt>
                <c:pt idx="22">
                  <c:v>19591.599999999977</c:v>
                </c:pt>
                <c:pt idx="23">
                  <c:v>22197.130000000005</c:v>
                </c:pt>
                <c:pt idx="24">
                  <c:v>19407</c:v>
                </c:pt>
                <c:pt idx="25">
                  <c:v>22760</c:v>
                </c:pt>
                <c:pt idx="26">
                  <c:v>22001</c:v>
                </c:pt>
                <c:pt idx="27">
                  <c:v>17150</c:v>
                </c:pt>
                <c:pt idx="28">
                  <c:v>17150</c:v>
                </c:pt>
                <c:pt idx="29">
                  <c:v>17150</c:v>
                </c:pt>
                <c:pt idx="30">
                  <c:v>17150</c:v>
                </c:pt>
                <c:pt idx="31">
                  <c:v>588932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C-10BC-4B8D-846C-BE863E4393CD}"/>
            </c:ext>
          </c:extLst>
        </c:ser>
        <c:dropLines/>
        <c:marker val="1"/>
        <c:axId val="141543296"/>
        <c:axId val="141544832"/>
      </c:lineChart>
      <c:catAx>
        <c:axId val="14154329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1544832"/>
        <c:crosses val="autoZero"/>
        <c:auto val="1"/>
        <c:lblAlgn val="ctr"/>
        <c:lblOffset val="100"/>
      </c:catAx>
      <c:valAx>
        <c:axId val="141544832"/>
        <c:scaling>
          <c:orientation val="minMax"/>
          <c:max val="34000"/>
          <c:min val="25000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1543296"/>
        <c:crosses val="autoZero"/>
        <c:crossBetween val="between"/>
        <c:majorUnit val="2000"/>
      </c:valAx>
    </c:plotArea>
    <c:dispBlanksAs val="gap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v>HWG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HLP'!$AO$4:$AO$33</c:f>
              <c:numCache>
                <c:formatCode>0</c:formatCode>
                <c:ptCount val="30"/>
                <c:pt idx="0">
                  <c:v>6.8199999999999363</c:v>
                </c:pt>
                <c:pt idx="1">
                  <c:v>6.5200000000004366</c:v>
                </c:pt>
                <c:pt idx="2">
                  <c:v>6.8099999999997181</c:v>
                </c:pt>
                <c:pt idx="3">
                  <c:v>7.0399999999999636</c:v>
                </c:pt>
                <c:pt idx="4">
                  <c:v>7.0999999999999091</c:v>
                </c:pt>
                <c:pt idx="5">
                  <c:v>7.3900000000001</c:v>
                </c:pt>
                <c:pt idx="6">
                  <c:v>6.5899999999999181</c:v>
                </c:pt>
                <c:pt idx="7">
                  <c:v>7.3400000000001455</c:v>
                </c:pt>
                <c:pt idx="8">
                  <c:v>7.7599999999999909</c:v>
                </c:pt>
                <c:pt idx="9">
                  <c:v>7.9000000000000909</c:v>
                </c:pt>
                <c:pt idx="10">
                  <c:v>8.5999999999999091</c:v>
                </c:pt>
                <c:pt idx="11">
                  <c:v>9.0900000000001455</c:v>
                </c:pt>
                <c:pt idx="12">
                  <c:v>9.2199999999997999</c:v>
                </c:pt>
                <c:pt idx="13">
                  <c:v>9.7100000000000364</c:v>
                </c:pt>
                <c:pt idx="14">
                  <c:v>10.410000000000082</c:v>
                </c:pt>
                <c:pt idx="15">
                  <c:v>9.3999999999998636</c:v>
                </c:pt>
                <c:pt idx="16">
                  <c:v>11.300000000000182</c:v>
                </c:pt>
                <c:pt idx="17">
                  <c:v>10.289999999999964</c:v>
                </c:pt>
                <c:pt idx="18">
                  <c:v>10.629999999999882</c:v>
                </c:pt>
                <c:pt idx="19">
                  <c:v>11.680000000000064</c:v>
                </c:pt>
                <c:pt idx="20">
                  <c:v>10.160000000000082</c:v>
                </c:pt>
                <c:pt idx="21">
                  <c:v>9.9199999999998454</c:v>
                </c:pt>
                <c:pt idx="22">
                  <c:v>10.820000000000164</c:v>
                </c:pt>
                <c:pt idx="23">
                  <c:v>10.7199999999998</c:v>
                </c:pt>
                <c:pt idx="24">
                  <c:v>10.820000000000164</c:v>
                </c:pt>
                <c:pt idx="25">
                  <c:v>11.5</c:v>
                </c:pt>
                <c:pt idx="26">
                  <c:v>10.5</c:v>
                </c:pt>
                <c:pt idx="27">
                  <c:v>-267</c:v>
                </c:pt>
                <c:pt idx="28">
                  <c:v>7.5599999999999454</c:v>
                </c:pt>
                <c:pt idx="29">
                  <c:v>8.0899999999999181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650-4F04-822D-8599D27ECD41}"/>
            </c:ext>
          </c:extLst>
        </c:ser>
        <c:marker val="1"/>
        <c:axId val="142724096"/>
        <c:axId val="142734080"/>
      </c:lineChart>
      <c:catAx>
        <c:axId val="14272409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2734080"/>
        <c:crosses val="autoZero"/>
        <c:auto val="1"/>
        <c:lblAlgn val="ctr"/>
        <c:lblOffset val="100"/>
      </c:catAx>
      <c:valAx>
        <c:axId val="142734080"/>
        <c:scaling>
          <c:orientation val="minMax"/>
          <c:max val="14"/>
          <c:min val="8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2724096"/>
        <c:crosses val="autoZero"/>
        <c:crossBetween val="between"/>
      </c:valAx>
    </c:plotArea>
    <c:legend>
      <c:legendPos val="r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1"/>
  <c:lang val="en-US"/>
  <c:chart>
    <c:title>
      <c:txPr>
        <a:bodyPr/>
        <a:lstStyle/>
        <a:p>
          <a:pPr>
            <a:defRPr lang="en-US"/>
          </a:pPr>
          <a:endParaRPr lang="en-US"/>
        </a:p>
      </c:txPr>
    </c:title>
    <c:view3D>
      <c:rotX val="30"/>
      <c:hPercent val="100"/>
      <c:depthPercent val="100"/>
      <c:perspective val="30"/>
    </c:view3D>
    <c:plotArea>
      <c:layout/>
      <c:pie3DChart>
        <c:varyColors val="1"/>
        <c:dLbls>
          <c:showPercent val="1"/>
        </c:dLbls>
      </c:pie3DChart>
    </c:plotArea>
    <c:legend>
      <c:legendPos val="t"/>
      <c:txPr>
        <a:bodyPr/>
        <a:lstStyle/>
        <a:p>
          <a:pPr>
            <a:defRPr lang="en-US"/>
          </a:pPr>
          <a:endParaRPr lang="en-US"/>
        </a:p>
      </c:txPr>
    </c:legend>
    <c:plotVisOnly val="1"/>
    <c:dispBlanksAs val="zero"/>
  </c:chart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1"/>
  <c:lang val="en-US"/>
  <c:chart>
    <c:view3D>
      <c:rotX val="30"/>
      <c:perspective val="30"/>
    </c:view3D>
    <c:plotArea>
      <c:layout/>
      <c:pie3DChart>
        <c:varyColors val="1"/>
      </c:pie3DChart>
      <c:spPr>
        <a:noFill/>
        <a:ln w="25400">
          <a:noFill/>
        </a:ln>
      </c:spPr>
    </c:plotArea>
    <c:plotVisOnly val="1"/>
    <c:dispBlanksAs val="zero"/>
  </c:chart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4.1828817210434806E-2"/>
          <c:y val="7.4487823818542173E-2"/>
          <c:w val="0.84489954093860065"/>
          <c:h val="0.79838984032443594"/>
        </c:manualLayout>
      </c:layout>
      <c:lineChart>
        <c:grouping val="standard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IN"/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'Section Load'!$AO$8:$AO$28</c:f>
              <c:numCache>
                <c:formatCode>0</c:formatCode>
                <c:ptCount val="21"/>
                <c:pt idx="0">
                  <c:v>179.52999999991152</c:v>
                </c:pt>
                <c:pt idx="1">
                  <c:v>181.65000000002328</c:v>
                </c:pt>
                <c:pt idx="2">
                  <c:v>189.30000000004657</c:v>
                </c:pt>
                <c:pt idx="3">
                  <c:v>182.21999999997206</c:v>
                </c:pt>
                <c:pt idx="4">
                  <c:v>178.89000000001397</c:v>
                </c:pt>
                <c:pt idx="5">
                  <c:v>206.10999999998603</c:v>
                </c:pt>
                <c:pt idx="6">
                  <c:v>211</c:v>
                </c:pt>
                <c:pt idx="7">
                  <c:v>230</c:v>
                </c:pt>
                <c:pt idx="8">
                  <c:v>238</c:v>
                </c:pt>
                <c:pt idx="9">
                  <c:v>245</c:v>
                </c:pt>
                <c:pt idx="10">
                  <c:v>259</c:v>
                </c:pt>
                <c:pt idx="11">
                  <c:v>259</c:v>
                </c:pt>
                <c:pt idx="12">
                  <c:v>262.6600000000326</c:v>
                </c:pt>
                <c:pt idx="13">
                  <c:v>303.17999999993481</c:v>
                </c:pt>
                <c:pt idx="14">
                  <c:v>272.86999999999534</c:v>
                </c:pt>
                <c:pt idx="15">
                  <c:v>287.67000000004191</c:v>
                </c:pt>
                <c:pt idx="16">
                  <c:v>312.82999999995809</c:v>
                </c:pt>
                <c:pt idx="17">
                  <c:v>270.79000000003725</c:v>
                </c:pt>
                <c:pt idx="18">
                  <c:v>264.77000000001863</c:v>
                </c:pt>
                <c:pt idx="19">
                  <c:v>283.38000000000466</c:v>
                </c:pt>
                <c:pt idx="20">
                  <c:v>288.84999999997672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2A5-40F5-8463-BC62617D9356}"/>
            </c:ext>
          </c:extLst>
        </c:ser>
        <c:ser>
          <c:idx val="1"/>
          <c:order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IN"/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'Section Load'!$AT$8:$AT$28</c:f>
              <c:numCache>
                <c:formatCode>0</c:formatCode>
                <c:ptCount val="21"/>
                <c:pt idx="0">
                  <c:v>55.374000000156229</c:v>
                </c:pt>
                <c:pt idx="1">
                  <c:v>208.0220000000063</c:v>
                </c:pt>
                <c:pt idx="2">
                  <c:v>295.5999999998312</c:v>
                </c:pt>
                <c:pt idx="3">
                  <c:v>332.05000000015571</c:v>
                </c:pt>
                <c:pt idx="4">
                  <c:v>168.72999999987042</c:v>
                </c:pt>
                <c:pt idx="5">
                  <c:v>63.940000000060536</c:v>
                </c:pt>
                <c:pt idx="6">
                  <c:v>388</c:v>
                </c:pt>
                <c:pt idx="7">
                  <c:v>202</c:v>
                </c:pt>
                <c:pt idx="8">
                  <c:v>160.39999999999418</c:v>
                </c:pt>
                <c:pt idx="9">
                  <c:v>362</c:v>
                </c:pt>
                <c:pt idx="10">
                  <c:v>464</c:v>
                </c:pt>
                <c:pt idx="11">
                  <c:v>205.60000000000582</c:v>
                </c:pt>
                <c:pt idx="12">
                  <c:v>115.52499999990687</c:v>
                </c:pt>
                <c:pt idx="13">
                  <c:v>430.9980000002306</c:v>
                </c:pt>
                <c:pt idx="14">
                  <c:v>261.90700000001925</c:v>
                </c:pt>
                <c:pt idx="15">
                  <c:v>627.49599999976817</c:v>
                </c:pt>
                <c:pt idx="16">
                  <c:v>491.11400000010508</c:v>
                </c:pt>
                <c:pt idx="17">
                  <c:v>574.79999999985557</c:v>
                </c:pt>
                <c:pt idx="18">
                  <c:v>210.25000000006912</c:v>
                </c:pt>
                <c:pt idx="19">
                  <c:v>173.39000000010128</c:v>
                </c:pt>
                <c:pt idx="20">
                  <c:v>544.91999999993823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C2A5-40F5-8463-BC62617D9356}"/>
            </c:ext>
          </c:extLst>
        </c:ser>
        <c:ser>
          <c:idx val="2"/>
          <c:order val="2"/>
          <c:tx>
            <c:v>Kitchen</c:v>
          </c:tx>
          <c:val>
            <c:numRef>
              <c:f>'Section Load'!$AQ$8:$AQ$28</c:f>
              <c:numCache>
                <c:formatCode>0</c:formatCode>
                <c:ptCount val="21"/>
                <c:pt idx="0">
                  <c:v>68.400000000023283</c:v>
                </c:pt>
                <c:pt idx="1">
                  <c:v>61.129999999975553</c:v>
                </c:pt>
                <c:pt idx="2">
                  <c:v>71.570000000006985</c:v>
                </c:pt>
                <c:pt idx="3">
                  <c:v>49.880000000004657</c:v>
                </c:pt>
                <c:pt idx="4">
                  <c:v>58</c:v>
                </c:pt>
                <c:pt idx="5">
                  <c:v>75</c:v>
                </c:pt>
                <c:pt idx="6">
                  <c:v>66</c:v>
                </c:pt>
                <c:pt idx="7">
                  <c:v>66</c:v>
                </c:pt>
                <c:pt idx="8">
                  <c:v>62</c:v>
                </c:pt>
                <c:pt idx="9">
                  <c:v>60</c:v>
                </c:pt>
                <c:pt idx="10">
                  <c:v>72</c:v>
                </c:pt>
                <c:pt idx="11">
                  <c:v>64</c:v>
                </c:pt>
                <c:pt idx="12">
                  <c:v>63.380000000004657</c:v>
                </c:pt>
                <c:pt idx="13">
                  <c:v>69.5</c:v>
                </c:pt>
                <c:pt idx="14">
                  <c:v>67.799999999988358</c:v>
                </c:pt>
                <c:pt idx="15">
                  <c:v>91.779999999998836</c:v>
                </c:pt>
                <c:pt idx="16">
                  <c:v>80.39000000001397</c:v>
                </c:pt>
                <c:pt idx="17">
                  <c:v>71.100000000005821</c:v>
                </c:pt>
                <c:pt idx="18">
                  <c:v>76.85999999998603</c:v>
                </c:pt>
                <c:pt idx="19">
                  <c:v>88.610000000015134</c:v>
                </c:pt>
                <c:pt idx="20">
                  <c:v>73.579999999987194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C2A5-40F5-8463-BC62617D9356}"/>
            </c:ext>
          </c:extLst>
        </c:ser>
        <c:marker val="1"/>
        <c:axId val="142817536"/>
        <c:axId val="142827520"/>
      </c:lineChart>
      <c:catAx>
        <c:axId val="142817536"/>
        <c:scaling>
          <c:orientation val="minMax"/>
        </c:scaling>
        <c:axPos val="b"/>
        <c:tickLblPos val="nextTo"/>
        <c:txPr>
          <a:bodyPr/>
          <a:lstStyle/>
          <a:p>
            <a:pPr>
              <a:defRPr lang="en-IN"/>
            </a:pPr>
            <a:endParaRPr lang="en-US"/>
          </a:p>
        </c:txPr>
        <c:crossAx val="142827520"/>
        <c:crosses val="autoZero"/>
        <c:auto val="1"/>
        <c:lblAlgn val="ctr"/>
        <c:lblOffset val="100"/>
      </c:catAx>
      <c:valAx>
        <c:axId val="142827520"/>
        <c:scaling>
          <c:orientation val="minMax"/>
        </c:scaling>
        <c:axPos val="l"/>
        <c:majorGridlines/>
        <c:numFmt formatCode="0" sourceLinked="1"/>
        <c:tickLblPos val="nextTo"/>
        <c:txPr>
          <a:bodyPr/>
          <a:lstStyle/>
          <a:p>
            <a:pPr>
              <a:defRPr lang="en-IN"/>
            </a:pPr>
            <a:endParaRPr lang="en-US"/>
          </a:p>
        </c:txPr>
        <c:crossAx val="142817536"/>
        <c:crosses val="autoZero"/>
        <c:crossBetween val="between"/>
      </c:valAx>
    </c:plotArea>
    <c:legend>
      <c:legendPos val="r"/>
      <c:txPr>
        <a:bodyPr/>
        <a:lstStyle/>
        <a:p>
          <a:pPr>
            <a:defRPr lang="en-IN"/>
          </a:pPr>
          <a:endParaRPr lang="en-US"/>
        </a:p>
      </c:txPr>
    </c:legend>
    <c:plotVisOnly val="1"/>
    <c:dispBlanksAs val="gap"/>
  </c:chart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Gas Consumption </a:t>
            </a:r>
          </a:p>
        </c:rich>
      </c:tx>
    </c:title>
    <c:plotArea>
      <c:layout>
        <c:manualLayout>
          <c:layoutTarget val="inner"/>
          <c:xMode val="edge"/>
          <c:yMode val="edge"/>
          <c:x val="7.0546659205604323E-2"/>
          <c:y val="0.18855639071655694"/>
          <c:w val="0.85207697980350661"/>
          <c:h val="0.6577579613782617"/>
        </c:manualLayout>
      </c:layout>
      <c:lineChart>
        <c:grouping val="stacked"/>
        <c:ser>
          <c:idx val="0"/>
          <c:order val="0"/>
          <c:dLbls>
            <c:dLbl>
              <c:idx val="0"/>
              <c:layout>
                <c:manualLayout>
                  <c:x val="-1.8126888217536986E-2"/>
                  <c:y val="0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0-C805-40EB-8609-4B8F01FF39E4}"/>
                </c:ext>
                <c:ext xmlns:c15="http://schemas.microsoft.com/office/drawing/2012/chart" uri="{CE6537A1-D6FC-4f65-9D91-7224C49458BB}"/>
              </c:extLst>
            </c:dLbl>
            <c:dLbl>
              <c:idx val="1"/>
              <c:layout>
                <c:manualLayout>
                  <c:x val="-2.4169184290029979E-2"/>
                  <c:y val="0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1-C805-40EB-8609-4B8F01FF39E4}"/>
                </c:ext>
                <c:ext xmlns:c15="http://schemas.microsoft.com/office/drawing/2012/chart" uri="{CE6537A1-D6FC-4f65-9D91-7224C49458BB}"/>
              </c:extLst>
            </c:dLbl>
            <c:dLbl>
              <c:idx val="2"/>
              <c:layout>
                <c:manualLayout>
                  <c:x val="-2.2155085599194352E-2"/>
                  <c:y val="-4.1237113402061855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2-C805-40EB-8609-4B8F01FF39E4}"/>
                </c:ex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 algn="ctr"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 (2)'!$E$4:$E$18</c:f>
              <c:numCache>
                <c:formatCode>0</c:formatCode>
                <c:ptCount val="15"/>
                <c:pt idx="0">
                  <c:v>13</c:v>
                </c:pt>
                <c:pt idx="1">
                  <c:v>36</c:v>
                </c:pt>
                <c:pt idx="2">
                  <c:v>71</c:v>
                </c:pt>
                <c:pt idx="3">
                  <c:v>27</c:v>
                </c:pt>
                <c:pt idx="4">
                  <c:v>0</c:v>
                </c:pt>
                <c:pt idx="5">
                  <c:v>73</c:v>
                </c:pt>
                <c:pt idx="6">
                  <c:v>67</c:v>
                </c:pt>
                <c:pt idx="7">
                  <c:v>34</c:v>
                </c:pt>
                <c:pt idx="8">
                  <c:v>24</c:v>
                </c:pt>
                <c:pt idx="9">
                  <c:v>59</c:v>
                </c:pt>
                <c:pt idx="10">
                  <c:v>46</c:v>
                </c:pt>
                <c:pt idx="11">
                  <c:v>36</c:v>
                </c:pt>
                <c:pt idx="12">
                  <c:v>64</c:v>
                </c:pt>
                <c:pt idx="13">
                  <c:v>68</c:v>
                </c:pt>
                <c:pt idx="14">
                  <c:v>65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C805-40EB-8609-4B8F01FF39E4}"/>
            </c:ext>
          </c:extLst>
        </c:ser>
        <c:dropLines/>
        <c:marker val="1"/>
        <c:axId val="176572288"/>
        <c:axId val="176573824"/>
      </c:lineChart>
      <c:lineChart>
        <c:grouping val="stacked"/>
        <c:ser>
          <c:idx val="1"/>
          <c:order val="1"/>
          <c:tx>
            <c:v>Occ%</c:v>
          </c:tx>
          <c:val>
            <c:numRef>
              <c:f>'Daily HLP (2)'!$D$4:$D$18</c:f>
              <c:numCache>
                <c:formatCode>0</c:formatCode>
                <c:ptCount val="15"/>
                <c:pt idx="0">
                  <c:v>363165</c:v>
                </c:pt>
                <c:pt idx="1">
                  <c:v>379785.27</c:v>
                </c:pt>
                <c:pt idx="2">
                  <c:v>412399.87</c:v>
                </c:pt>
                <c:pt idx="3">
                  <c:v>395921.08</c:v>
                </c:pt>
                <c:pt idx="4">
                  <c:v>0</c:v>
                </c:pt>
                <c:pt idx="5">
                  <c:v>450927.79</c:v>
                </c:pt>
                <c:pt idx="6">
                  <c:v>468243.75</c:v>
                </c:pt>
                <c:pt idx="7">
                  <c:v>485532.31</c:v>
                </c:pt>
                <c:pt idx="8">
                  <c:v>502424</c:v>
                </c:pt>
                <c:pt idx="9">
                  <c:v>519534</c:v>
                </c:pt>
                <c:pt idx="10">
                  <c:v>536722</c:v>
                </c:pt>
                <c:pt idx="11">
                  <c:v>555552</c:v>
                </c:pt>
                <c:pt idx="12">
                  <c:v>575995</c:v>
                </c:pt>
                <c:pt idx="13">
                  <c:v>595969</c:v>
                </c:pt>
                <c:pt idx="14">
                  <c:v>613828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C805-40EB-8609-4B8F01FF39E4}"/>
            </c:ext>
          </c:extLst>
        </c:ser>
        <c:marker val="1"/>
        <c:axId val="176579712"/>
        <c:axId val="176581248"/>
      </c:lineChart>
      <c:catAx>
        <c:axId val="1765722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6573824"/>
        <c:crosses val="autoZero"/>
        <c:auto val="1"/>
        <c:lblAlgn val="ctr"/>
        <c:lblOffset val="100"/>
      </c:catAx>
      <c:valAx>
        <c:axId val="176573824"/>
        <c:scaling>
          <c:orientation val="minMax"/>
          <c:max val="1700"/>
          <c:min val="1150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6572288"/>
        <c:crosses val="autoZero"/>
        <c:crossBetween val="between"/>
        <c:minorUnit val="50"/>
      </c:valAx>
      <c:catAx>
        <c:axId val="176579712"/>
        <c:scaling>
          <c:orientation val="minMax"/>
        </c:scaling>
        <c:delete val="1"/>
        <c:axPos val="b"/>
        <c:tickLblPos val="none"/>
        <c:crossAx val="176581248"/>
        <c:crosses val="autoZero"/>
        <c:auto val="1"/>
        <c:lblAlgn val="ctr"/>
        <c:lblOffset val="100"/>
      </c:catAx>
      <c:valAx>
        <c:axId val="176581248"/>
        <c:scaling>
          <c:orientation val="minMax"/>
        </c:scaling>
        <c:axPos val="r"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6579712"/>
        <c:crosses val="max"/>
        <c:crossBetween val="between"/>
      </c:valAx>
    </c:plotArea>
    <c:legend>
      <c:legendPos val="r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377350766933948E-2"/>
          <c:y val="0.17165536599591719"/>
          <c:w val="0.81155842904958064"/>
          <c:h val="0.65482210557013765"/>
        </c:manualLayout>
      </c:layout>
      <c:lineChart>
        <c:grouping val="standard"/>
        <c:ser>
          <c:idx val="0"/>
          <c:order val="0"/>
          <c:dLbls>
            <c:dLbl>
              <c:idx val="0"/>
              <c:layout>
                <c:manualLayout>
                  <c:x val="-2.2695035460998852E-2"/>
                  <c:y val="-5.0925925925925923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0-739C-4A5D-8657-5B775079F214}"/>
                </c:ext>
                <c:ext xmlns:c15="http://schemas.microsoft.com/office/drawing/2012/chart" uri="{CE6537A1-D6FC-4f65-9D91-7224C49458BB}"/>
              </c:extLst>
            </c:dLbl>
            <c:dLbl>
              <c:idx val="1"/>
              <c:layout>
                <c:manualLayout>
                  <c:x val="-8.5106382978724568E-3"/>
                  <c:y val="-3.7037037037037056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1-739C-4A5D-8657-5B775079F214}"/>
                </c:ext>
                <c:ext xmlns:c15="http://schemas.microsoft.com/office/drawing/2012/chart" uri="{CE6537A1-D6FC-4f65-9D91-7224C49458BB}"/>
              </c:extLst>
            </c:dLbl>
            <c:dLbl>
              <c:idx val="2"/>
              <c:layout>
                <c:manualLayout>
                  <c:x val="-2.2695035460998852E-2"/>
                  <c:y val="0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2-739C-4A5D-8657-5B775079F214}"/>
                </c:ext>
                <c:ext xmlns:c15="http://schemas.microsoft.com/office/drawing/2012/chart" uri="{CE6537A1-D6FC-4f65-9D91-7224C49458BB}"/>
              </c:extLst>
            </c:dLbl>
            <c:dLbl>
              <c:idx val="3"/>
              <c:layout>
                <c:manualLayout>
                  <c:x val="-1.8439716312056712E-2"/>
                  <c:y val="-6.9444444444444503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3-739C-4A5D-8657-5B775079F214}"/>
                </c:ext>
                <c:ext xmlns:c15="http://schemas.microsoft.com/office/drawing/2012/chart" uri="{CE6537A1-D6FC-4f65-9D91-7224C49458BB}"/>
              </c:extLst>
            </c:dLbl>
            <c:dLbl>
              <c:idx val="4"/>
              <c:layout>
                <c:manualLayout>
                  <c:x val="-1.7021276595744678E-2"/>
                  <c:y val="-4.6296296296296523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4-739C-4A5D-8657-5B775079F214}"/>
                </c:ex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-1260000" vert="horz"/>
              <a:lstStyle/>
              <a:p>
                <a:pPr algn="ctr">
                  <a:defRPr lang="en-US"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5-739C-4A5D-8657-5B775079F214}"/>
            </c:ext>
          </c:extLst>
        </c:ser>
        <c:marker val="1"/>
        <c:axId val="176618112"/>
        <c:axId val="176488832"/>
      </c:lineChart>
      <c:catAx>
        <c:axId val="17661811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6488832"/>
        <c:crosses val="autoZero"/>
        <c:auto val="1"/>
        <c:lblAlgn val="ctr"/>
        <c:lblOffset val="100"/>
      </c:catAx>
      <c:valAx>
        <c:axId val="176488832"/>
        <c:scaling>
          <c:orientation val="minMax"/>
          <c:max val="5000"/>
          <c:min val="35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6618112"/>
        <c:crosses val="autoZero"/>
        <c:crossBetween val="between"/>
      </c:valAx>
    </c:plotArea>
    <c:legend>
      <c:legendPos val="r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Occupancy%</a:t>
            </a:r>
          </a:p>
        </c:rich>
      </c:tx>
    </c:title>
    <c:plotArea>
      <c:layout/>
      <c:lineChart>
        <c:grouping val="standard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 (2)'!$D$4:$D$18</c:f>
              <c:numCache>
                <c:formatCode>0</c:formatCode>
                <c:ptCount val="15"/>
                <c:pt idx="0">
                  <c:v>363165</c:v>
                </c:pt>
                <c:pt idx="1">
                  <c:v>379785.27</c:v>
                </c:pt>
                <c:pt idx="2">
                  <c:v>412399.87</c:v>
                </c:pt>
                <c:pt idx="3">
                  <c:v>395921.08</c:v>
                </c:pt>
                <c:pt idx="4">
                  <c:v>0</c:v>
                </c:pt>
                <c:pt idx="5">
                  <c:v>450927.79</c:v>
                </c:pt>
                <c:pt idx="6">
                  <c:v>468243.75</c:v>
                </c:pt>
                <c:pt idx="7">
                  <c:v>485532.31</c:v>
                </c:pt>
                <c:pt idx="8">
                  <c:v>502424</c:v>
                </c:pt>
                <c:pt idx="9">
                  <c:v>519534</c:v>
                </c:pt>
                <c:pt idx="10">
                  <c:v>536722</c:v>
                </c:pt>
                <c:pt idx="11">
                  <c:v>555552</c:v>
                </c:pt>
                <c:pt idx="12">
                  <c:v>575995</c:v>
                </c:pt>
                <c:pt idx="13">
                  <c:v>595969</c:v>
                </c:pt>
                <c:pt idx="14">
                  <c:v>613828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1AC-4B5E-8E46-776F8F12A9BE}"/>
            </c:ext>
          </c:extLst>
        </c:ser>
        <c:dropLines/>
        <c:marker val="1"/>
        <c:axId val="176521984"/>
        <c:axId val="176523520"/>
      </c:lineChart>
      <c:catAx>
        <c:axId val="17652198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6523520"/>
        <c:crosses val="autoZero"/>
        <c:auto val="1"/>
        <c:lblAlgn val="ctr"/>
        <c:lblOffset val="100"/>
      </c:catAx>
      <c:valAx>
        <c:axId val="176523520"/>
        <c:scaling>
          <c:orientation val="minMax"/>
          <c:min val="10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6521984"/>
        <c:crosses val="autoZero"/>
        <c:crossBetween val="between"/>
      </c:valAx>
    </c:plotArea>
    <c:legend>
      <c:legendPos val="r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1966885389326334"/>
          <c:y val="0.19514233849454998"/>
          <c:w val="0.75319225721785465"/>
          <c:h val="0.65422173305483677"/>
        </c:manualLayout>
      </c:layout>
      <c:lineChart>
        <c:grouping val="standard"/>
        <c:ser>
          <c:idx val="0"/>
          <c:order val="0"/>
          <c:tx>
            <c:v>Hot Water Generator</c:v>
          </c:tx>
          <c:val>
            <c:numRef>
              <c:f>'Daily HLP (2)'!$O$4:$O$18</c:f>
              <c:numCache>
                <c:formatCode>0.00</c:formatCode>
                <c:ptCount val="15"/>
                <c:pt idx="0">
                  <c:v>14</c:v>
                </c:pt>
                <c:pt idx="1">
                  <c:v>13</c:v>
                </c:pt>
                <c:pt idx="2">
                  <c:v>12</c:v>
                </c:pt>
                <c:pt idx="3">
                  <c:v>14</c:v>
                </c:pt>
                <c:pt idx="4">
                  <c:v>0</c:v>
                </c:pt>
                <c:pt idx="5">
                  <c:v>13</c:v>
                </c:pt>
                <c:pt idx="6">
                  <c:v>17</c:v>
                </c:pt>
                <c:pt idx="7">
                  <c:v>11</c:v>
                </c:pt>
                <c:pt idx="8">
                  <c:v>12</c:v>
                </c:pt>
                <c:pt idx="9">
                  <c:v>13</c:v>
                </c:pt>
                <c:pt idx="10">
                  <c:v>14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38E-4387-930A-97DB28C6AA6C}"/>
            </c:ext>
          </c:extLst>
        </c:ser>
        <c:marker val="1"/>
        <c:axId val="176619520"/>
        <c:axId val="176621056"/>
      </c:lineChart>
      <c:lineChart>
        <c:grouping val="standard"/>
        <c:ser>
          <c:idx val="1"/>
          <c:order val="1"/>
          <c:tx>
            <c:v>Occ%</c:v>
          </c:tx>
          <c:val>
            <c:numRef>
              <c:f>'Daily HLP (2)'!$D$4:$D$18</c:f>
              <c:numCache>
                <c:formatCode>0</c:formatCode>
                <c:ptCount val="15"/>
                <c:pt idx="0">
                  <c:v>363165</c:v>
                </c:pt>
                <c:pt idx="1">
                  <c:v>379785.27</c:v>
                </c:pt>
                <c:pt idx="2">
                  <c:v>412399.87</c:v>
                </c:pt>
                <c:pt idx="3">
                  <c:v>395921.08</c:v>
                </c:pt>
                <c:pt idx="4">
                  <c:v>0</c:v>
                </c:pt>
                <c:pt idx="5">
                  <c:v>450927.79</c:v>
                </c:pt>
                <c:pt idx="6">
                  <c:v>468243.75</c:v>
                </c:pt>
                <c:pt idx="7">
                  <c:v>485532.31</c:v>
                </c:pt>
                <c:pt idx="8">
                  <c:v>502424</c:v>
                </c:pt>
                <c:pt idx="9">
                  <c:v>519534</c:v>
                </c:pt>
                <c:pt idx="10">
                  <c:v>536722</c:v>
                </c:pt>
                <c:pt idx="11">
                  <c:v>555552</c:v>
                </c:pt>
                <c:pt idx="12">
                  <c:v>575995</c:v>
                </c:pt>
                <c:pt idx="13">
                  <c:v>595969</c:v>
                </c:pt>
                <c:pt idx="14">
                  <c:v>613828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238E-4387-930A-97DB28C6AA6C}"/>
            </c:ext>
          </c:extLst>
        </c:ser>
        <c:marker val="1"/>
        <c:axId val="176622592"/>
        <c:axId val="176628480"/>
      </c:lineChart>
      <c:catAx>
        <c:axId val="17661952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6621056"/>
        <c:crosses val="autoZero"/>
        <c:auto val="1"/>
        <c:lblAlgn val="ctr"/>
        <c:lblOffset val="100"/>
      </c:catAx>
      <c:valAx>
        <c:axId val="176621056"/>
        <c:scaling>
          <c:orientation val="minMax"/>
          <c:min val="6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6619520"/>
        <c:crosses val="autoZero"/>
        <c:crossBetween val="between"/>
      </c:valAx>
      <c:catAx>
        <c:axId val="176622592"/>
        <c:scaling>
          <c:orientation val="minMax"/>
        </c:scaling>
        <c:delete val="1"/>
        <c:axPos val="b"/>
        <c:tickLblPos val="none"/>
        <c:crossAx val="176628480"/>
        <c:crosses val="autoZero"/>
        <c:auto val="1"/>
        <c:lblAlgn val="ctr"/>
        <c:lblOffset val="100"/>
      </c:catAx>
      <c:valAx>
        <c:axId val="176628480"/>
        <c:scaling>
          <c:orientation val="minMax"/>
        </c:scaling>
        <c:axPos val="r"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6622592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66730566086646581"/>
          <c:y val="0.18206831540425344"/>
          <c:w val="0.31602771875739138"/>
          <c:h val="0.10705112565154212"/>
        </c:manualLayout>
      </c:layout>
      <c:txPr>
        <a:bodyPr/>
        <a:lstStyle/>
        <a:p>
          <a:pPr>
            <a:defRPr lang="en-US" sz="84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  <c:userShapes r:id="rId1"/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0257330333708289"/>
          <c:y val="5.1489936964064897E-2"/>
          <c:w val="0.76499606299212664"/>
          <c:h val="0.79787418959275258"/>
        </c:manualLayout>
      </c:layout>
      <c:lineChart>
        <c:grouping val="standard"/>
        <c:ser>
          <c:idx val="0"/>
          <c:order val="0"/>
          <c:tx>
            <c:v>850Kg Boiler</c:v>
          </c:tx>
          <c:marker>
            <c:spPr>
              <a:solidFill>
                <a:schemeClr val="accent2"/>
              </a:solidFill>
            </c:spPr>
          </c:marker>
          <c:val>
            <c:numRef>
              <c:f>'Daily HLP (2)'!$K$4:$K$18</c:f>
              <c:numCache>
                <c:formatCode>0.00</c:formatCode>
                <c:ptCount val="15"/>
                <c:pt idx="0">
                  <c:v>104</c:v>
                </c:pt>
                <c:pt idx="1">
                  <c:v>89.25</c:v>
                </c:pt>
                <c:pt idx="2">
                  <c:v>92.5</c:v>
                </c:pt>
                <c:pt idx="3">
                  <c:v>87.179999999993015</c:v>
                </c:pt>
                <c:pt idx="4">
                  <c:v>0</c:v>
                </c:pt>
                <c:pt idx="5">
                  <c:v>155.15000000000873</c:v>
                </c:pt>
                <c:pt idx="6">
                  <c:v>122.19999999999709</c:v>
                </c:pt>
                <c:pt idx="7">
                  <c:v>102.47000000000116</c:v>
                </c:pt>
                <c:pt idx="8">
                  <c:v>125.19999999999709</c:v>
                </c:pt>
                <c:pt idx="9">
                  <c:v>170</c:v>
                </c:pt>
                <c:pt idx="10">
                  <c:v>152</c:v>
                </c:pt>
                <c:pt idx="11">
                  <c:v>227</c:v>
                </c:pt>
                <c:pt idx="12">
                  <c:v>217</c:v>
                </c:pt>
                <c:pt idx="13">
                  <c:v>209</c:v>
                </c:pt>
                <c:pt idx="14">
                  <c:v>202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08E-454E-8410-B9FE47C5AFD0}"/>
            </c:ext>
          </c:extLst>
        </c:ser>
        <c:ser>
          <c:idx val="1"/>
          <c:order val="1"/>
          <c:tx>
            <c:v>400Kg</c:v>
          </c:tx>
          <c:val>
            <c:numRef>
              <c:f>'Daily HLP (2)'!$J$4:$J$18</c:f>
              <c:numCache>
                <c:formatCode>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A08E-454E-8410-B9FE47C5AFD0}"/>
            </c:ext>
          </c:extLst>
        </c:ser>
        <c:marker val="1"/>
        <c:axId val="176692224"/>
        <c:axId val="176706304"/>
      </c:lineChart>
      <c:lineChart>
        <c:grouping val="standard"/>
        <c:ser>
          <c:idx val="2"/>
          <c:order val="2"/>
          <c:tx>
            <c:v>Occ%</c:v>
          </c:tx>
          <c:val>
            <c:numRef>
              <c:f>'Daily HLP (2)'!$D$4:$D$18</c:f>
              <c:numCache>
                <c:formatCode>0</c:formatCode>
                <c:ptCount val="15"/>
                <c:pt idx="0">
                  <c:v>363165</c:v>
                </c:pt>
                <c:pt idx="1">
                  <c:v>379785.27</c:v>
                </c:pt>
                <c:pt idx="2">
                  <c:v>412399.87</c:v>
                </c:pt>
                <c:pt idx="3">
                  <c:v>395921.08</c:v>
                </c:pt>
                <c:pt idx="4">
                  <c:v>0</c:v>
                </c:pt>
                <c:pt idx="5">
                  <c:v>450927.79</c:v>
                </c:pt>
                <c:pt idx="6">
                  <c:v>468243.75</c:v>
                </c:pt>
                <c:pt idx="7">
                  <c:v>485532.31</c:v>
                </c:pt>
                <c:pt idx="8">
                  <c:v>502424</c:v>
                </c:pt>
                <c:pt idx="9">
                  <c:v>519534</c:v>
                </c:pt>
                <c:pt idx="10">
                  <c:v>536722</c:v>
                </c:pt>
                <c:pt idx="11">
                  <c:v>555552</c:v>
                </c:pt>
                <c:pt idx="12">
                  <c:v>575995</c:v>
                </c:pt>
                <c:pt idx="13">
                  <c:v>595969</c:v>
                </c:pt>
                <c:pt idx="14">
                  <c:v>613828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A08E-454E-8410-B9FE47C5AFD0}"/>
            </c:ext>
          </c:extLst>
        </c:ser>
        <c:marker val="1"/>
        <c:axId val="176707840"/>
        <c:axId val="176709632"/>
      </c:lineChart>
      <c:catAx>
        <c:axId val="17669222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6706304"/>
        <c:crosses val="autoZero"/>
        <c:auto val="1"/>
        <c:lblAlgn val="ctr"/>
        <c:lblOffset val="100"/>
      </c:catAx>
      <c:valAx>
        <c:axId val="176706304"/>
        <c:scaling>
          <c:orientation val="minMax"/>
          <c:min val="8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6692224"/>
        <c:crosses val="autoZero"/>
        <c:crossBetween val="between"/>
        <c:majorUnit val="2"/>
      </c:valAx>
      <c:catAx>
        <c:axId val="176707840"/>
        <c:scaling>
          <c:orientation val="minMax"/>
        </c:scaling>
        <c:delete val="1"/>
        <c:axPos val="b"/>
        <c:tickLblPos val="none"/>
        <c:crossAx val="176709632"/>
        <c:crosses val="autoZero"/>
        <c:auto val="1"/>
        <c:lblAlgn val="ctr"/>
        <c:lblOffset val="100"/>
      </c:catAx>
      <c:valAx>
        <c:axId val="176709632"/>
        <c:scaling>
          <c:orientation val="minMax"/>
        </c:scaling>
        <c:axPos val="r"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6707840"/>
        <c:crosses val="max"/>
        <c:crossBetween val="between"/>
      </c:valAx>
    </c:plotArea>
    <c:legend>
      <c:legendPos val="r"/>
      <c:legendEntry>
        <c:idx val="0"/>
        <c:txPr>
          <a:bodyPr/>
          <a:lstStyle/>
          <a:p>
            <a:pPr>
              <a:defRPr sz="845" b="0" i="0" u="none" strike="noStrike" baseline="0">
                <a:solidFill>
                  <a:srgbClr val="FF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</c:legendEntry>
      <c:legendEntry>
        <c:idx val="1"/>
        <c:txPr>
          <a:bodyPr/>
          <a:lstStyle/>
          <a:p>
            <a:pPr>
              <a:defRPr sz="845" b="0" i="0" u="none" strike="noStrike" baseline="0">
                <a:solidFill>
                  <a:srgbClr val="FF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</c:legendEntry>
      <c:legendEntry>
        <c:idx val="2"/>
        <c:txPr>
          <a:bodyPr/>
          <a:lstStyle/>
          <a:p>
            <a:pPr>
              <a:defRPr sz="845" b="0" i="0" u="none" strike="noStrike" baseline="0">
                <a:solidFill>
                  <a:srgbClr val="FF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</c:legendEntry>
      <c:layout>
        <c:manualLayout>
          <c:xMode val="edge"/>
          <c:yMode val="edge"/>
          <c:x val="0.67161786815490065"/>
          <c:y val="0.59681416583488756"/>
          <c:w val="0.1751903099491009"/>
          <c:h val="0.25158848101733888"/>
        </c:manualLayout>
      </c:layout>
      <c:txPr>
        <a:bodyPr/>
        <a:lstStyle/>
        <a:p>
          <a:pPr>
            <a:defRPr lang="en-US" sz="84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5" Type="http://schemas.openxmlformats.org/officeDocument/2006/relationships/chart" Target="../charts/chart17.xml"/><Relationship Id="rId4" Type="http://schemas.openxmlformats.org/officeDocument/2006/relationships/chart" Target="../charts/chart1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438150</xdr:colOff>
      <xdr:row>68</xdr:row>
      <xdr:rowOff>28575</xdr:rowOff>
    </xdr:from>
    <xdr:to>
      <xdr:col>27</xdr:col>
      <xdr:colOff>476250</xdr:colOff>
      <xdr:row>81</xdr:row>
      <xdr:rowOff>9525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323850</xdr:colOff>
      <xdr:row>82</xdr:row>
      <xdr:rowOff>0</xdr:rowOff>
    </xdr:from>
    <xdr:to>
      <xdr:col>27</xdr:col>
      <xdr:colOff>657225</xdr:colOff>
      <xdr:row>95</xdr:row>
      <xdr:rowOff>0</xdr:rowOff>
    </xdr:to>
    <xdr:graphicFrame macro="">
      <xdr:nvGraphicFramePr>
        <xdr:cNvPr id="3" name="Chart 3">
          <a:extLst>
            <a:ext uri="{FF2B5EF4-FFF2-40B4-BE49-F238E27FC236}">
              <a16:creationId xmlns:a16="http://schemas.microsoft.com/office/drawing/2014/main" xmlns="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47625</xdr:colOff>
      <xdr:row>68</xdr:row>
      <xdr:rowOff>0</xdr:rowOff>
    </xdr:from>
    <xdr:to>
      <xdr:col>12</xdr:col>
      <xdr:colOff>266700</xdr:colOff>
      <xdr:row>82</xdr:row>
      <xdr:rowOff>95250</xdr:rowOff>
    </xdr:to>
    <xdr:graphicFrame macro="">
      <xdr:nvGraphicFramePr>
        <xdr:cNvPr id="4" name="Chart 4">
          <a:extLst>
            <a:ext uri="{FF2B5EF4-FFF2-40B4-BE49-F238E27FC236}">
              <a16:creationId xmlns:a16="http://schemas.microsoft.com/office/drawing/2014/main" xmlns="" id="{00000000-0008-0000-00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38100</xdr:colOff>
      <xdr:row>53</xdr:row>
      <xdr:rowOff>85725</xdr:rowOff>
    </xdr:from>
    <xdr:to>
      <xdr:col>12</xdr:col>
      <xdr:colOff>228600</xdr:colOff>
      <xdr:row>67</xdr:row>
      <xdr:rowOff>57150</xdr:rowOff>
    </xdr:to>
    <xdr:graphicFrame macro="">
      <xdr:nvGraphicFramePr>
        <xdr:cNvPr id="5" name="Chart 5">
          <a:extLst>
            <a:ext uri="{FF2B5EF4-FFF2-40B4-BE49-F238E27FC236}">
              <a16:creationId xmlns:a16="http://schemas.microsoft.com/office/drawing/2014/main" xmlns="" id="{00000000-0008-0000-00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285750</xdr:colOff>
      <xdr:row>53</xdr:row>
      <xdr:rowOff>95250</xdr:rowOff>
    </xdr:from>
    <xdr:to>
      <xdr:col>28</xdr:col>
      <xdr:colOff>219075</xdr:colOff>
      <xdr:row>67</xdr:row>
      <xdr:rowOff>180975</xdr:rowOff>
    </xdr:to>
    <xdr:graphicFrame macro="">
      <xdr:nvGraphicFramePr>
        <xdr:cNvPr id="6" name="Chart 10">
          <a:extLst>
            <a:ext uri="{FF2B5EF4-FFF2-40B4-BE49-F238E27FC236}">
              <a16:creationId xmlns:a16="http://schemas.microsoft.com/office/drawing/2014/main" xmlns="" id="{00000000-0008-0000-00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733425</xdr:colOff>
      <xdr:row>95</xdr:row>
      <xdr:rowOff>123825</xdr:rowOff>
    </xdr:from>
    <xdr:to>
      <xdr:col>16</xdr:col>
      <xdr:colOff>219075</xdr:colOff>
      <xdr:row>109</xdr:row>
      <xdr:rowOff>66675</xdr:rowOff>
    </xdr:to>
    <xdr:graphicFrame macro="">
      <xdr:nvGraphicFramePr>
        <xdr:cNvPr id="7" name="Chart 7">
          <a:extLst>
            <a:ext uri="{FF2B5EF4-FFF2-40B4-BE49-F238E27FC236}">
              <a16:creationId xmlns:a16="http://schemas.microsoft.com/office/drawing/2014/main" xmlns="" id="{00000000-0008-0000-00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13</xdr:col>
      <xdr:colOff>16328</xdr:colOff>
      <xdr:row>37</xdr:row>
      <xdr:rowOff>163285</xdr:rowOff>
    </xdr:from>
    <xdr:to>
      <xdr:col>25</xdr:col>
      <xdr:colOff>435428</xdr:colOff>
      <xdr:row>51</xdr:row>
      <xdr:rowOff>176893</xdr:rowOff>
    </xdr:to>
    <xdr:graphicFrame macro="">
      <xdr:nvGraphicFramePr>
        <xdr:cNvPr id="8" name="Chart 8">
          <a:extLst>
            <a:ext uri="{FF2B5EF4-FFF2-40B4-BE49-F238E27FC236}">
              <a16:creationId xmlns:a16="http://schemas.microsoft.com/office/drawing/2014/main" xmlns="" id="{00000000-0008-0000-00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</xdr:col>
      <xdr:colOff>38100</xdr:colOff>
      <xdr:row>39</xdr:row>
      <xdr:rowOff>0</xdr:rowOff>
    </xdr:from>
    <xdr:to>
      <xdr:col>12</xdr:col>
      <xdr:colOff>190500</xdr:colOff>
      <xdr:row>52</xdr:row>
      <xdr:rowOff>171450</xdr:rowOff>
    </xdr:to>
    <xdr:graphicFrame macro="">
      <xdr:nvGraphicFramePr>
        <xdr:cNvPr id="9" name="Chart 2401">
          <a:extLst>
            <a:ext uri="{FF2B5EF4-FFF2-40B4-BE49-F238E27FC236}">
              <a16:creationId xmlns:a16="http://schemas.microsoft.com/office/drawing/2014/main" xmlns="" id="{00000000-0008-0000-00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142875</xdr:colOff>
      <xdr:row>83</xdr:row>
      <xdr:rowOff>47625</xdr:rowOff>
    </xdr:from>
    <xdr:to>
      <xdr:col>12</xdr:col>
      <xdr:colOff>247650</xdr:colOff>
      <xdr:row>94</xdr:row>
      <xdr:rowOff>85725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xmlns="" id="{00000000-0008-0000-00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47625</xdr:colOff>
      <xdr:row>51</xdr:row>
      <xdr:rowOff>85725</xdr:rowOff>
    </xdr:from>
    <xdr:to>
      <xdr:col>22</xdr:col>
      <xdr:colOff>571500</xdr:colOff>
      <xdr:row>67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571500</xdr:colOff>
      <xdr:row>33</xdr:row>
      <xdr:rowOff>0</xdr:rowOff>
    </xdr:from>
    <xdr:to>
      <xdr:col>21</xdr:col>
      <xdr:colOff>266700</xdr:colOff>
      <xdr:row>34</xdr:row>
      <xdr:rowOff>161925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246529</xdr:colOff>
      <xdr:row>45</xdr:row>
      <xdr:rowOff>67235</xdr:rowOff>
    </xdr:from>
    <xdr:to>
      <xdr:col>42</xdr:col>
      <xdr:colOff>313765</xdr:colOff>
      <xdr:row>58</xdr:row>
      <xdr:rowOff>190501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190500</xdr:colOff>
      <xdr:row>20</xdr:row>
      <xdr:rowOff>28575</xdr:rowOff>
    </xdr:from>
    <xdr:to>
      <xdr:col>11</xdr:col>
      <xdr:colOff>419100</xdr:colOff>
      <xdr:row>33</xdr:row>
      <xdr:rowOff>200025</xdr:rowOff>
    </xdr:to>
    <xdr:graphicFrame macro="">
      <xdr:nvGraphicFramePr>
        <xdr:cNvPr id="2" name="Chart 5">
          <a:extLst>
            <a:ext uri="{FF2B5EF4-FFF2-40B4-BE49-F238E27FC236}">
              <a16:creationId xmlns:a16="http://schemas.microsoft.com/office/drawing/2014/main" xmlns="" id="{00000000-0008-0000-2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733425</xdr:colOff>
      <xdr:row>77</xdr:row>
      <xdr:rowOff>123825</xdr:rowOff>
    </xdr:from>
    <xdr:to>
      <xdr:col>7</xdr:col>
      <xdr:colOff>0</xdr:colOff>
      <xdr:row>91</xdr:row>
      <xdr:rowOff>66675</xdr:rowOff>
    </xdr:to>
    <xdr:graphicFrame macro="">
      <xdr:nvGraphicFramePr>
        <xdr:cNvPr id="3" name="Chart 7">
          <a:extLst>
            <a:ext uri="{FF2B5EF4-FFF2-40B4-BE49-F238E27FC236}">
              <a16:creationId xmlns:a16="http://schemas.microsoft.com/office/drawing/2014/main" xmlns="" id="{00000000-0008-0000-22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438150</xdr:colOff>
      <xdr:row>19</xdr:row>
      <xdr:rowOff>180975</xdr:rowOff>
    </xdr:from>
    <xdr:to>
      <xdr:col>20</xdr:col>
      <xdr:colOff>514350</xdr:colOff>
      <xdr:row>33</xdr:row>
      <xdr:rowOff>123825</xdr:rowOff>
    </xdr:to>
    <xdr:graphicFrame macro="">
      <xdr:nvGraphicFramePr>
        <xdr:cNvPr id="4" name="Chart 8">
          <a:extLst>
            <a:ext uri="{FF2B5EF4-FFF2-40B4-BE49-F238E27FC236}">
              <a16:creationId xmlns:a16="http://schemas.microsoft.com/office/drawing/2014/main" xmlns="" id="{00000000-0008-0000-22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190500</xdr:colOff>
      <xdr:row>35</xdr:row>
      <xdr:rowOff>180975</xdr:rowOff>
    </xdr:from>
    <xdr:to>
      <xdr:col>11</xdr:col>
      <xdr:colOff>400050</xdr:colOff>
      <xdr:row>49</xdr:row>
      <xdr:rowOff>85725</xdr:rowOff>
    </xdr:to>
    <xdr:graphicFrame macro="">
      <xdr:nvGraphicFramePr>
        <xdr:cNvPr id="5" name="Chart 10">
          <a:extLst>
            <a:ext uri="{FF2B5EF4-FFF2-40B4-BE49-F238E27FC236}">
              <a16:creationId xmlns:a16="http://schemas.microsoft.com/office/drawing/2014/main" xmlns="" id="{00000000-0008-0000-22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13</xdr:col>
      <xdr:colOff>57150</xdr:colOff>
      <xdr:row>35</xdr:row>
      <xdr:rowOff>95250</xdr:rowOff>
    </xdr:from>
    <xdr:to>
      <xdr:col>21</xdr:col>
      <xdr:colOff>333375</xdr:colOff>
      <xdr:row>49</xdr:row>
      <xdr:rowOff>0</xdr:rowOff>
    </xdr:to>
    <xdr:graphicFrame macro="">
      <xdr:nvGraphicFramePr>
        <xdr:cNvPr id="6" name="Chart 11">
          <a:extLst>
            <a:ext uri="{FF2B5EF4-FFF2-40B4-BE49-F238E27FC236}">
              <a16:creationId xmlns:a16="http://schemas.microsoft.com/office/drawing/2014/main" xmlns="" id="{00000000-0008-0000-22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0.22247</cdr:x>
      <cdr:y>0.07391</cdr:y>
    </cdr:from>
    <cdr:to>
      <cdr:x>0.65198</cdr:x>
      <cdr:y>0.16522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202532" y="202405"/>
          <a:ext cx="2321719" cy="25003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r>
            <a:rPr lang="en-US" sz="1600" b="1"/>
            <a:t>Hot Water Generator</a:t>
          </a:r>
        </a:p>
      </cdr:txBody>
    </cdr:sp>
  </cdr:relSizeAnchor>
</c:userShapes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0.22267</cdr:x>
      <cdr:y>0.10435</cdr:y>
    </cdr:from>
    <cdr:to>
      <cdr:x>0.48988</cdr:x>
      <cdr:y>0.18696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309688" y="285749"/>
          <a:ext cx="1571625" cy="22621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pPr algn="ctr"/>
          <a:r>
            <a:rPr lang="en-US" sz="1800" b="1"/>
            <a:t>Boiler</a:t>
          </a: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HLP%20Report\HLP%202021\e.%20water%20consumption%20May%20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Users\Joe.ElKhoury\AppData\Local\Microsoft\Windows\INetCache\Content.Outlook\SR778SAZ\2FS%20Mumbai_HEP_Daily_Mar%20202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Users\SUDHAK~1.APP\AppData\Local\Temp\notes0F0532\e.%20water%20consumption%20May%202020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</sheetNames>
    <sheetDataSet>
      <sheetData sheetId="0"/>
      <sheetData sheetId="1">
        <row r="3">
          <cell r="F3">
            <v>0.5</v>
          </cell>
        </row>
      </sheetData>
      <sheetData sheetId="2">
        <row r="3">
          <cell r="F3">
            <v>0.1</v>
          </cell>
        </row>
      </sheetData>
      <sheetData sheetId="3">
        <row r="3">
          <cell r="F3">
            <v>0.5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Daily HLP"/>
      <sheetName val="Occupancy"/>
      <sheetName val="Water Report"/>
      <sheetName val="Section Load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Daily HLP (2)"/>
      <sheetName val="Sheet1"/>
      <sheetName val="Sheet2"/>
      <sheetName val="Sheet3"/>
    </sheetNames>
    <sheetDataSet>
      <sheetData sheetId="0"/>
      <sheetData sheetId="1"/>
      <sheetData sheetId="2"/>
      <sheetData sheetId="3"/>
      <sheetData sheetId="4"/>
      <sheetData sheetId="5"/>
      <sheetData sheetId="6">
        <row r="7">
          <cell r="F7">
            <v>4467474</v>
          </cell>
          <cell r="I7">
            <v>12000</v>
          </cell>
        </row>
        <row r="11">
          <cell r="H11">
            <v>0</v>
          </cell>
        </row>
        <row r="12">
          <cell r="H12">
            <v>0</v>
          </cell>
        </row>
        <row r="18">
          <cell r="I18">
            <v>65</v>
          </cell>
        </row>
      </sheetData>
      <sheetData sheetId="7">
        <row r="7">
          <cell r="F7">
            <v>4489853</v>
          </cell>
        </row>
      </sheetData>
      <sheetData sheetId="8">
        <row r="7">
          <cell r="F7">
            <v>4510962</v>
          </cell>
        </row>
        <row r="11">
          <cell r="H11">
            <v>0</v>
          </cell>
        </row>
        <row r="12">
          <cell r="H12">
            <v>0</v>
          </cell>
        </row>
        <row r="62">
          <cell r="H62">
            <v>1.9999999967694748E-3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file:///\\mumfp02\MUM_DEPARTMENTS\EG\AppData\Local\Temp\HLP%20Report\HLP%2009\Guest%20complaint.xls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7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38"/>
  <sheetViews>
    <sheetView tabSelected="1" topLeftCell="A11" workbookViewId="0">
      <selection activeCell="E2" sqref="E2:E28"/>
    </sheetView>
  </sheetViews>
  <sheetFormatPr defaultColWidth="9" defaultRowHeight="15"/>
  <cols>
    <col min="1" max="1" width="9.6640625" style="1165" customWidth="1"/>
    <col min="2" max="3" width="9" style="1159"/>
    <col min="4" max="4" width="10.44140625" style="1160" customWidth="1"/>
    <col min="5" max="5" width="9.77734375" style="1161" customWidth="1"/>
    <col min="6" max="6" width="9.77734375" style="1165" customWidth="1"/>
    <col min="7" max="10" width="9" style="1165"/>
    <col min="11" max="12" width="9" style="1161"/>
    <col min="13" max="13" width="0" style="1164" hidden="1" customWidth="1"/>
    <col min="14" max="256" width="9" style="1164"/>
    <col min="257" max="257" width="9.6640625" style="1164" customWidth="1"/>
    <col min="258" max="259" width="9" style="1164"/>
    <col min="260" max="260" width="10.44140625" style="1164" customWidth="1"/>
    <col min="261" max="262" width="9.77734375" style="1164" customWidth="1"/>
    <col min="263" max="268" width="9" style="1164"/>
    <col min="269" max="269" width="0" style="1164" hidden="1" customWidth="1"/>
    <col min="270" max="512" width="9" style="1164"/>
    <col min="513" max="513" width="9.6640625" style="1164" customWidth="1"/>
    <col min="514" max="515" width="9" style="1164"/>
    <col min="516" max="516" width="10.44140625" style="1164" customWidth="1"/>
    <col min="517" max="518" width="9.77734375" style="1164" customWidth="1"/>
    <col min="519" max="524" width="9" style="1164"/>
    <col min="525" max="525" width="0" style="1164" hidden="1" customWidth="1"/>
    <col min="526" max="768" width="9" style="1164"/>
    <col min="769" max="769" width="9.6640625" style="1164" customWidth="1"/>
    <col min="770" max="771" width="9" style="1164"/>
    <col min="772" max="772" width="10.44140625" style="1164" customWidth="1"/>
    <col min="773" max="774" width="9.77734375" style="1164" customWidth="1"/>
    <col min="775" max="780" width="9" style="1164"/>
    <col min="781" max="781" width="0" style="1164" hidden="1" customWidth="1"/>
    <col min="782" max="1024" width="9" style="1164"/>
    <col min="1025" max="1025" width="9.6640625" style="1164" customWidth="1"/>
    <col min="1026" max="1027" width="9" style="1164"/>
    <col min="1028" max="1028" width="10.44140625" style="1164" customWidth="1"/>
    <col min="1029" max="1030" width="9.77734375" style="1164" customWidth="1"/>
    <col min="1031" max="1036" width="9" style="1164"/>
    <col min="1037" max="1037" width="0" style="1164" hidden="1" customWidth="1"/>
    <col min="1038" max="1280" width="9" style="1164"/>
    <col min="1281" max="1281" width="9.6640625" style="1164" customWidth="1"/>
    <col min="1282" max="1283" width="9" style="1164"/>
    <col min="1284" max="1284" width="10.44140625" style="1164" customWidth="1"/>
    <col min="1285" max="1286" width="9.77734375" style="1164" customWidth="1"/>
    <col min="1287" max="1292" width="9" style="1164"/>
    <col min="1293" max="1293" width="0" style="1164" hidden="1" customWidth="1"/>
    <col min="1294" max="1536" width="9" style="1164"/>
    <col min="1537" max="1537" width="9.6640625" style="1164" customWidth="1"/>
    <col min="1538" max="1539" width="9" style="1164"/>
    <col min="1540" max="1540" width="10.44140625" style="1164" customWidth="1"/>
    <col min="1541" max="1542" width="9.77734375" style="1164" customWidth="1"/>
    <col min="1543" max="1548" width="9" style="1164"/>
    <col min="1549" max="1549" width="0" style="1164" hidden="1" customWidth="1"/>
    <col min="1550" max="1792" width="9" style="1164"/>
    <col min="1793" max="1793" width="9.6640625" style="1164" customWidth="1"/>
    <col min="1794" max="1795" width="9" style="1164"/>
    <col min="1796" max="1796" width="10.44140625" style="1164" customWidth="1"/>
    <col min="1797" max="1798" width="9.77734375" style="1164" customWidth="1"/>
    <col min="1799" max="1804" width="9" style="1164"/>
    <col min="1805" max="1805" width="0" style="1164" hidden="1" customWidth="1"/>
    <col min="1806" max="2048" width="9" style="1164"/>
    <col min="2049" max="2049" width="9.6640625" style="1164" customWidth="1"/>
    <col min="2050" max="2051" width="9" style="1164"/>
    <col min="2052" max="2052" width="10.44140625" style="1164" customWidth="1"/>
    <col min="2053" max="2054" width="9.77734375" style="1164" customWidth="1"/>
    <col min="2055" max="2060" width="9" style="1164"/>
    <col min="2061" max="2061" width="0" style="1164" hidden="1" customWidth="1"/>
    <col min="2062" max="2304" width="9" style="1164"/>
    <col min="2305" max="2305" width="9.6640625" style="1164" customWidth="1"/>
    <col min="2306" max="2307" width="9" style="1164"/>
    <col min="2308" max="2308" width="10.44140625" style="1164" customWidth="1"/>
    <col min="2309" max="2310" width="9.77734375" style="1164" customWidth="1"/>
    <col min="2311" max="2316" width="9" style="1164"/>
    <col min="2317" max="2317" width="0" style="1164" hidden="1" customWidth="1"/>
    <col min="2318" max="2560" width="9" style="1164"/>
    <col min="2561" max="2561" width="9.6640625" style="1164" customWidth="1"/>
    <col min="2562" max="2563" width="9" style="1164"/>
    <col min="2564" max="2564" width="10.44140625" style="1164" customWidth="1"/>
    <col min="2565" max="2566" width="9.77734375" style="1164" customWidth="1"/>
    <col min="2567" max="2572" width="9" style="1164"/>
    <col min="2573" max="2573" width="0" style="1164" hidden="1" customWidth="1"/>
    <col min="2574" max="2816" width="9" style="1164"/>
    <col min="2817" max="2817" width="9.6640625" style="1164" customWidth="1"/>
    <col min="2818" max="2819" width="9" style="1164"/>
    <col min="2820" max="2820" width="10.44140625" style="1164" customWidth="1"/>
    <col min="2821" max="2822" width="9.77734375" style="1164" customWidth="1"/>
    <col min="2823" max="2828" width="9" style="1164"/>
    <col min="2829" max="2829" width="0" style="1164" hidden="1" customWidth="1"/>
    <col min="2830" max="3072" width="9" style="1164"/>
    <col min="3073" max="3073" width="9.6640625" style="1164" customWidth="1"/>
    <col min="3074" max="3075" width="9" style="1164"/>
    <col min="3076" max="3076" width="10.44140625" style="1164" customWidth="1"/>
    <col min="3077" max="3078" width="9.77734375" style="1164" customWidth="1"/>
    <col min="3079" max="3084" width="9" style="1164"/>
    <col min="3085" max="3085" width="0" style="1164" hidden="1" customWidth="1"/>
    <col min="3086" max="3328" width="9" style="1164"/>
    <col min="3329" max="3329" width="9.6640625" style="1164" customWidth="1"/>
    <col min="3330" max="3331" width="9" style="1164"/>
    <col min="3332" max="3332" width="10.44140625" style="1164" customWidth="1"/>
    <col min="3333" max="3334" width="9.77734375" style="1164" customWidth="1"/>
    <col min="3335" max="3340" width="9" style="1164"/>
    <col min="3341" max="3341" width="0" style="1164" hidden="1" customWidth="1"/>
    <col min="3342" max="3584" width="9" style="1164"/>
    <col min="3585" max="3585" width="9.6640625" style="1164" customWidth="1"/>
    <col min="3586" max="3587" width="9" style="1164"/>
    <col min="3588" max="3588" width="10.44140625" style="1164" customWidth="1"/>
    <col min="3589" max="3590" width="9.77734375" style="1164" customWidth="1"/>
    <col min="3591" max="3596" width="9" style="1164"/>
    <col min="3597" max="3597" width="0" style="1164" hidden="1" customWidth="1"/>
    <col min="3598" max="3840" width="9" style="1164"/>
    <col min="3841" max="3841" width="9.6640625" style="1164" customWidth="1"/>
    <col min="3842" max="3843" width="9" style="1164"/>
    <col min="3844" max="3844" width="10.44140625" style="1164" customWidth="1"/>
    <col min="3845" max="3846" width="9.77734375" style="1164" customWidth="1"/>
    <col min="3847" max="3852" width="9" style="1164"/>
    <col min="3853" max="3853" width="0" style="1164" hidden="1" customWidth="1"/>
    <col min="3854" max="4096" width="9" style="1164"/>
    <col min="4097" max="4097" width="9.6640625" style="1164" customWidth="1"/>
    <col min="4098" max="4099" width="9" style="1164"/>
    <col min="4100" max="4100" width="10.44140625" style="1164" customWidth="1"/>
    <col min="4101" max="4102" width="9.77734375" style="1164" customWidth="1"/>
    <col min="4103" max="4108" width="9" style="1164"/>
    <col min="4109" max="4109" width="0" style="1164" hidden="1" customWidth="1"/>
    <col min="4110" max="4352" width="9" style="1164"/>
    <col min="4353" max="4353" width="9.6640625" style="1164" customWidth="1"/>
    <col min="4354" max="4355" width="9" style="1164"/>
    <col min="4356" max="4356" width="10.44140625" style="1164" customWidth="1"/>
    <col min="4357" max="4358" width="9.77734375" style="1164" customWidth="1"/>
    <col min="4359" max="4364" width="9" style="1164"/>
    <col min="4365" max="4365" width="0" style="1164" hidden="1" customWidth="1"/>
    <col min="4366" max="4608" width="9" style="1164"/>
    <col min="4609" max="4609" width="9.6640625" style="1164" customWidth="1"/>
    <col min="4610" max="4611" width="9" style="1164"/>
    <col min="4612" max="4612" width="10.44140625" style="1164" customWidth="1"/>
    <col min="4613" max="4614" width="9.77734375" style="1164" customWidth="1"/>
    <col min="4615" max="4620" width="9" style="1164"/>
    <col min="4621" max="4621" width="0" style="1164" hidden="1" customWidth="1"/>
    <col min="4622" max="4864" width="9" style="1164"/>
    <col min="4865" max="4865" width="9.6640625" style="1164" customWidth="1"/>
    <col min="4866" max="4867" width="9" style="1164"/>
    <col min="4868" max="4868" width="10.44140625" style="1164" customWidth="1"/>
    <col min="4869" max="4870" width="9.77734375" style="1164" customWidth="1"/>
    <col min="4871" max="4876" width="9" style="1164"/>
    <col min="4877" max="4877" width="0" style="1164" hidden="1" customWidth="1"/>
    <col min="4878" max="5120" width="9" style="1164"/>
    <col min="5121" max="5121" width="9.6640625" style="1164" customWidth="1"/>
    <col min="5122" max="5123" width="9" style="1164"/>
    <col min="5124" max="5124" width="10.44140625" style="1164" customWidth="1"/>
    <col min="5125" max="5126" width="9.77734375" style="1164" customWidth="1"/>
    <col min="5127" max="5132" width="9" style="1164"/>
    <col min="5133" max="5133" width="0" style="1164" hidden="1" customWidth="1"/>
    <col min="5134" max="5376" width="9" style="1164"/>
    <col min="5377" max="5377" width="9.6640625" style="1164" customWidth="1"/>
    <col min="5378" max="5379" width="9" style="1164"/>
    <col min="5380" max="5380" width="10.44140625" style="1164" customWidth="1"/>
    <col min="5381" max="5382" width="9.77734375" style="1164" customWidth="1"/>
    <col min="5383" max="5388" width="9" style="1164"/>
    <col min="5389" max="5389" width="0" style="1164" hidden="1" customWidth="1"/>
    <col min="5390" max="5632" width="9" style="1164"/>
    <col min="5633" max="5633" width="9.6640625" style="1164" customWidth="1"/>
    <col min="5634" max="5635" width="9" style="1164"/>
    <col min="5636" max="5636" width="10.44140625" style="1164" customWidth="1"/>
    <col min="5637" max="5638" width="9.77734375" style="1164" customWidth="1"/>
    <col min="5639" max="5644" width="9" style="1164"/>
    <col min="5645" max="5645" width="0" style="1164" hidden="1" customWidth="1"/>
    <col min="5646" max="5888" width="9" style="1164"/>
    <col min="5889" max="5889" width="9.6640625" style="1164" customWidth="1"/>
    <col min="5890" max="5891" width="9" style="1164"/>
    <col min="5892" max="5892" width="10.44140625" style="1164" customWidth="1"/>
    <col min="5893" max="5894" width="9.77734375" style="1164" customWidth="1"/>
    <col min="5895" max="5900" width="9" style="1164"/>
    <col min="5901" max="5901" width="0" style="1164" hidden="1" customWidth="1"/>
    <col min="5902" max="6144" width="9" style="1164"/>
    <col min="6145" max="6145" width="9.6640625" style="1164" customWidth="1"/>
    <col min="6146" max="6147" width="9" style="1164"/>
    <col min="6148" max="6148" width="10.44140625" style="1164" customWidth="1"/>
    <col min="6149" max="6150" width="9.77734375" style="1164" customWidth="1"/>
    <col min="6151" max="6156" width="9" style="1164"/>
    <col min="6157" max="6157" width="0" style="1164" hidden="1" customWidth="1"/>
    <col min="6158" max="6400" width="9" style="1164"/>
    <col min="6401" max="6401" width="9.6640625" style="1164" customWidth="1"/>
    <col min="6402" max="6403" width="9" style="1164"/>
    <col min="6404" max="6404" width="10.44140625" style="1164" customWidth="1"/>
    <col min="6405" max="6406" width="9.77734375" style="1164" customWidth="1"/>
    <col min="6407" max="6412" width="9" style="1164"/>
    <col min="6413" max="6413" width="0" style="1164" hidden="1" customWidth="1"/>
    <col min="6414" max="6656" width="9" style="1164"/>
    <col min="6657" max="6657" width="9.6640625" style="1164" customWidth="1"/>
    <col min="6658" max="6659" width="9" style="1164"/>
    <col min="6660" max="6660" width="10.44140625" style="1164" customWidth="1"/>
    <col min="6661" max="6662" width="9.77734375" style="1164" customWidth="1"/>
    <col min="6663" max="6668" width="9" style="1164"/>
    <col min="6669" max="6669" width="0" style="1164" hidden="1" customWidth="1"/>
    <col min="6670" max="6912" width="9" style="1164"/>
    <col min="6913" max="6913" width="9.6640625" style="1164" customWidth="1"/>
    <col min="6914" max="6915" width="9" style="1164"/>
    <col min="6916" max="6916" width="10.44140625" style="1164" customWidth="1"/>
    <col min="6917" max="6918" width="9.77734375" style="1164" customWidth="1"/>
    <col min="6919" max="6924" width="9" style="1164"/>
    <col min="6925" max="6925" width="0" style="1164" hidden="1" customWidth="1"/>
    <col min="6926" max="7168" width="9" style="1164"/>
    <col min="7169" max="7169" width="9.6640625" style="1164" customWidth="1"/>
    <col min="7170" max="7171" width="9" style="1164"/>
    <col min="7172" max="7172" width="10.44140625" style="1164" customWidth="1"/>
    <col min="7173" max="7174" width="9.77734375" style="1164" customWidth="1"/>
    <col min="7175" max="7180" width="9" style="1164"/>
    <col min="7181" max="7181" width="0" style="1164" hidden="1" customWidth="1"/>
    <col min="7182" max="7424" width="9" style="1164"/>
    <col min="7425" max="7425" width="9.6640625" style="1164" customWidth="1"/>
    <col min="7426" max="7427" width="9" style="1164"/>
    <col min="7428" max="7428" width="10.44140625" style="1164" customWidth="1"/>
    <col min="7429" max="7430" width="9.77734375" style="1164" customWidth="1"/>
    <col min="7431" max="7436" width="9" style="1164"/>
    <col min="7437" max="7437" width="0" style="1164" hidden="1" customWidth="1"/>
    <col min="7438" max="7680" width="9" style="1164"/>
    <col min="7681" max="7681" width="9.6640625" style="1164" customWidth="1"/>
    <col min="7682" max="7683" width="9" style="1164"/>
    <col min="7684" max="7684" width="10.44140625" style="1164" customWidth="1"/>
    <col min="7685" max="7686" width="9.77734375" style="1164" customWidth="1"/>
    <col min="7687" max="7692" width="9" style="1164"/>
    <col min="7693" max="7693" width="0" style="1164" hidden="1" customWidth="1"/>
    <col min="7694" max="7936" width="9" style="1164"/>
    <col min="7937" max="7937" width="9.6640625" style="1164" customWidth="1"/>
    <col min="7938" max="7939" width="9" style="1164"/>
    <col min="7940" max="7940" width="10.44140625" style="1164" customWidth="1"/>
    <col min="7941" max="7942" width="9.77734375" style="1164" customWidth="1"/>
    <col min="7943" max="7948" width="9" style="1164"/>
    <col min="7949" max="7949" width="0" style="1164" hidden="1" customWidth="1"/>
    <col min="7950" max="8192" width="9" style="1164"/>
    <col min="8193" max="8193" width="9.6640625" style="1164" customWidth="1"/>
    <col min="8194" max="8195" width="9" style="1164"/>
    <col min="8196" max="8196" width="10.44140625" style="1164" customWidth="1"/>
    <col min="8197" max="8198" width="9.77734375" style="1164" customWidth="1"/>
    <col min="8199" max="8204" width="9" style="1164"/>
    <col min="8205" max="8205" width="0" style="1164" hidden="1" customWidth="1"/>
    <col min="8206" max="8448" width="9" style="1164"/>
    <col min="8449" max="8449" width="9.6640625" style="1164" customWidth="1"/>
    <col min="8450" max="8451" width="9" style="1164"/>
    <col min="8452" max="8452" width="10.44140625" style="1164" customWidth="1"/>
    <col min="8453" max="8454" width="9.77734375" style="1164" customWidth="1"/>
    <col min="8455" max="8460" width="9" style="1164"/>
    <col min="8461" max="8461" width="0" style="1164" hidden="1" customWidth="1"/>
    <col min="8462" max="8704" width="9" style="1164"/>
    <col min="8705" max="8705" width="9.6640625" style="1164" customWidth="1"/>
    <col min="8706" max="8707" width="9" style="1164"/>
    <col min="8708" max="8708" width="10.44140625" style="1164" customWidth="1"/>
    <col min="8709" max="8710" width="9.77734375" style="1164" customWidth="1"/>
    <col min="8711" max="8716" width="9" style="1164"/>
    <col min="8717" max="8717" width="0" style="1164" hidden="1" customWidth="1"/>
    <col min="8718" max="8960" width="9" style="1164"/>
    <col min="8961" max="8961" width="9.6640625" style="1164" customWidth="1"/>
    <col min="8962" max="8963" width="9" style="1164"/>
    <col min="8964" max="8964" width="10.44140625" style="1164" customWidth="1"/>
    <col min="8965" max="8966" width="9.77734375" style="1164" customWidth="1"/>
    <col min="8967" max="8972" width="9" style="1164"/>
    <col min="8973" max="8973" width="0" style="1164" hidden="1" customWidth="1"/>
    <col min="8974" max="9216" width="9" style="1164"/>
    <col min="9217" max="9217" width="9.6640625" style="1164" customWidth="1"/>
    <col min="9218" max="9219" width="9" style="1164"/>
    <col min="9220" max="9220" width="10.44140625" style="1164" customWidth="1"/>
    <col min="9221" max="9222" width="9.77734375" style="1164" customWidth="1"/>
    <col min="9223" max="9228" width="9" style="1164"/>
    <col min="9229" max="9229" width="0" style="1164" hidden="1" customWidth="1"/>
    <col min="9230" max="9472" width="9" style="1164"/>
    <col min="9473" max="9473" width="9.6640625" style="1164" customWidth="1"/>
    <col min="9474" max="9475" width="9" style="1164"/>
    <col min="9476" max="9476" width="10.44140625" style="1164" customWidth="1"/>
    <col min="9477" max="9478" width="9.77734375" style="1164" customWidth="1"/>
    <col min="9479" max="9484" width="9" style="1164"/>
    <col min="9485" max="9485" width="0" style="1164" hidden="1" customWidth="1"/>
    <col min="9486" max="9728" width="9" style="1164"/>
    <col min="9729" max="9729" width="9.6640625" style="1164" customWidth="1"/>
    <col min="9730" max="9731" width="9" style="1164"/>
    <col min="9732" max="9732" width="10.44140625" style="1164" customWidth="1"/>
    <col min="9733" max="9734" width="9.77734375" style="1164" customWidth="1"/>
    <col min="9735" max="9740" width="9" style="1164"/>
    <col min="9741" max="9741" width="0" style="1164" hidden="1" customWidth="1"/>
    <col min="9742" max="9984" width="9" style="1164"/>
    <col min="9985" max="9985" width="9.6640625" style="1164" customWidth="1"/>
    <col min="9986" max="9987" width="9" style="1164"/>
    <col min="9988" max="9988" width="10.44140625" style="1164" customWidth="1"/>
    <col min="9989" max="9990" width="9.77734375" style="1164" customWidth="1"/>
    <col min="9991" max="9996" width="9" style="1164"/>
    <col min="9997" max="9997" width="0" style="1164" hidden="1" customWidth="1"/>
    <col min="9998" max="10240" width="9" style="1164"/>
    <col min="10241" max="10241" width="9.6640625" style="1164" customWidth="1"/>
    <col min="10242" max="10243" width="9" style="1164"/>
    <col min="10244" max="10244" width="10.44140625" style="1164" customWidth="1"/>
    <col min="10245" max="10246" width="9.77734375" style="1164" customWidth="1"/>
    <col min="10247" max="10252" width="9" style="1164"/>
    <col min="10253" max="10253" width="0" style="1164" hidden="1" customWidth="1"/>
    <col min="10254" max="10496" width="9" style="1164"/>
    <col min="10497" max="10497" width="9.6640625" style="1164" customWidth="1"/>
    <col min="10498" max="10499" width="9" style="1164"/>
    <col min="10500" max="10500" width="10.44140625" style="1164" customWidth="1"/>
    <col min="10501" max="10502" width="9.77734375" style="1164" customWidth="1"/>
    <col min="10503" max="10508" width="9" style="1164"/>
    <col min="10509" max="10509" width="0" style="1164" hidden="1" customWidth="1"/>
    <col min="10510" max="10752" width="9" style="1164"/>
    <col min="10753" max="10753" width="9.6640625" style="1164" customWidth="1"/>
    <col min="10754" max="10755" width="9" style="1164"/>
    <col min="10756" max="10756" width="10.44140625" style="1164" customWidth="1"/>
    <col min="10757" max="10758" width="9.77734375" style="1164" customWidth="1"/>
    <col min="10759" max="10764" width="9" style="1164"/>
    <col min="10765" max="10765" width="0" style="1164" hidden="1" customWidth="1"/>
    <col min="10766" max="11008" width="9" style="1164"/>
    <col min="11009" max="11009" width="9.6640625" style="1164" customWidth="1"/>
    <col min="11010" max="11011" width="9" style="1164"/>
    <col min="11012" max="11012" width="10.44140625" style="1164" customWidth="1"/>
    <col min="11013" max="11014" width="9.77734375" style="1164" customWidth="1"/>
    <col min="11015" max="11020" width="9" style="1164"/>
    <col min="11021" max="11021" width="0" style="1164" hidden="1" customWidth="1"/>
    <col min="11022" max="11264" width="9" style="1164"/>
    <col min="11265" max="11265" width="9.6640625" style="1164" customWidth="1"/>
    <col min="11266" max="11267" width="9" style="1164"/>
    <col min="11268" max="11268" width="10.44140625" style="1164" customWidth="1"/>
    <col min="11269" max="11270" width="9.77734375" style="1164" customWidth="1"/>
    <col min="11271" max="11276" width="9" style="1164"/>
    <col min="11277" max="11277" width="0" style="1164" hidden="1" customWidth="1"/>
    <col min="11278" max="11520" width="9" style="1164"/>
    <col min="11521" max="11521" width="9.6640625" style="1164" customWidth="1"/>
    <col min="11522" max="11523" width="9" style="1164"/>
    <col min="11524" max="11524" width="10.44140625" style="1164" customWidth="1"/>
    <col min="11525" max="11526" width="9.77734375" style="1164" customWidth="1"/>
    <col min="11527" max="11532" width="9" style="1164"/>
    <col min="11533" max="11533" width="0" style="1164" hidden="1" customWidth="1"/>
    <col min="11534" max="11776" width="9" style="1164"/>
    <col min="11777" max="11777" width="9.6640625" style="1164" customWidth="1"/>
    <col min="11778" max="11779" width="9" style="1164"/>
    <col min="11780" max="11780" width="10.44140625" style="1164" customWidth="1"/>
    <col min="11781" max="11782" width="9.77734375" style="1164" customWidth="1"/>
    <col min="11783" max="11788" width="9" style="1164"/>
    <col min="11789" max="11789" width="0" style="1164" hidden="1" customWidth="1"/>
    <col min="11790" max="12032" width="9" style="1164"/>
    <col min="12033" max="12033" width="9.6640625" style="1164" customWidth="1"/>
    <col min="12034" max="12035" width="9" style="1164"/>
    <col min="12036" max="12036" width="10.44140625" style="1164" customWidth="1"/>
    <col min="12037" max="12038" width="9.77734375" style="1164" customWidth="1"/>
    <col min="12039" max="12044" width="9" style="1164"/>
    <col min="12045" max="12045" width="0" style="1164" hidden="1" customWidth="1"/>
    <col min="12046" max="12288" width="9" style="1164"/>
    <col min="12289" max="12289" width="9.6640625" style="1164" customWidth="1"/>
    <col min="12290" max="12291" width="9" style="1164"/>
    <col min="12292" max="12292" width="10.44140625" style="1164" customWidth="1"/>
    <col min="12293" max="12294" width="9.77734375" style="1164" customWidth="1"/>
    <col min="12295" max="12300" width="9" style="1164"/>
    <col min="12301" max="12301" width="0" style="1164" hidden="1" customWidth="1"/>
    <col min="12302" max="12544" width="9" style="1164"/>
    <col min="12545" max="12545" width="9.6640625" style="1164" customWidth="1"/>
    <col min="12546" max="12547" width="9" style="1164"/>
    <col min="12548" max="12548" width="10.44140625" style="1164" customWidth="1"/>
    <col min="12549" max="12550" width="9.77734375" style="1164" customWidth="1"/>
    <col min="12551" max="12556" width="9" style="1164"/>
    <col min="12557" max="12557" width="0" style="1164" hidden="1" customWidth="1"/>
    <col min="12558" max="12800" width="9" style="1164"/>
    <col min="12801" max="12801" width="9.6640625" style="1164" customWidth="1"/>
    <col min="12802" max="12803" width="9" style="1164"/>
    <col min="12804" max="12804" width="10.44140625" style="1164" customWidth="1"/>
    <col min="12805" max="12806" width="9.77734375" style="1164" customWidth="1"/>
    <col min="12807" max="12812" width="9" style="1164"/>
    <col min="12813" max="12813" width="0" style="1164" hidden="1" customWidth="1"/>
    <col min="12814" max="13056" width="9" style="1164"/>
    <col min="13057" max="13057" width="9.6640625" style="1164" customWidth="1"/>
    <col min="13058" max="13059" width="9" style="1164"/>
    <col min="13060" max="13060" width="10.44140625" style="1164" customWidth="1"/>
    <col min="13061" max="13062" width="9.77734375" style="1164" customWidth="1"/>
    <col min="13063" max="13068" width="9" style="1164"/>
    <col min="13069" max="13069" width="0" style="1164" hidden="1" customWidth="1"/>
    <col min="13070" max="13312" width="9" style="1164"/>
    <col min="13313" max="13313" width="9.6640625" style="1164" customWidth="1"/>
    <col min="13314" max="13315" width="9" style="1164"/>
    <col min="13316" max="13316" width="10.44140625" style="1164" customWidth="1"/>
    <col min="13317" max="13318" width="9.77734375" style="1164" customWidth="1"/>
    <col min="13319" max="13324" width="9" style="1164"/>
    <col min="13325" max="13325" width="0" style="1164" hidden="1" customWidth="1"/>
    <col min="13326" max="13568" width="9" style="1164"/>
    <col min="13569" max="13569" width="9.6640625" style="1164" customWidth="1"/>
    <col min="13570" max="13571" width="9" style="1164"/>
    <col min="13572" max="13572" width="10.44140625" style="1164" customWidth="1"/>
    <col min="13573" max="13574" width="9.77734375" style="1164" customWidth="1"/>
    <col min="13575" max="13580" width="9" style="1164"/>
    <col min="13581" max="13581" width="0" style="1164" hidden="1" customWidth="1"/>
    <col min="13582" max="13824" width="9" style="1164"/>
    <col min="13825" max="13825" width="9.6640625" style="1164" customWidth="1"/>
    <col min="13826" max="13827" width="9" style="1164"/>
    <col min="13828" max="13828" width="10.44140625" style="1164" customWidth="1"/>
    <col min="13829" max="13830" width="9.77734375" style="1164" customWidth="1"/>
    <col min="13831" max="13836" width="9" style="1164"/>
    <col min="13837" max="13837" width="0" style="1164" hidden="1" customWidth="1"/>
    <col min="13838" max="14080" width="9" style="1164"/>
    <col min="14081" max="14081" width="9.6640625" style="1164" customWidth="1"/>
    <col min="14082" max="14083" width="9" style="1164"/>
    <col min="14084" max="14084" width="10.44140625" style="1164" customWidth="1"/>
    <col min="14085" max="14086" width="9.77734375" style="1164" customWidth="1"/>
    <col min="14087" max="14092" width="9" style="1164"/>
    <col min="14093" max="14093" width="0" style="1164" hidden="1" customWidth="1"/>
    <col min="14094" max="14336" width="9" style="1164"/>
    <col min="14337" max="14337" width="9.6640625" style="1164" customWidth="1"/>
    <col min="14338" max="14339" width="9" style="1164"/>
    <col min="14340" max="14340" width="10.44140625" style="1164" customWidth="1"/>
    <col min="14341" max="14342" width="9.77734375" style="1164" customWidth="1"/>
    <col min="14343" max="14348" width="9" style="1164"/>
    <col min="14349" max="14349" width="0" style="1164" hidden="1" customWidth="1"/>
    <col min="14350" max="14592" width="9" style="1164"/>
    <col min="14593" max="14593" width="9.6640625" style="1164" customWidth="1"/>
    <col min="14594" max="14595" width="9" style="1164"/>
    <col min="14596" max="14596" width="10.44140625" style="1164" customWidth="1"/>
    <col min="14597" max="14598" width="9.77734375" style="1164" customWidth="1"/>
    <col min="14599" max="14604" width="9" style="1164"/>
    <col min="14605" max="14605" width="0" style="1164" hidden="1" customWidth="1"/>
    <col min="14606" max="14848" width="9" style="1164"/>
    <col min="14849" max="14849" width="9.6640625" style="1164" customWidth="1"/>
    <col min="14850" max="14851" width="9" style="1164"/>
    <col min="14852" max="14852" width="10.44140625" style="1164" customWidth="1"/>
    <col min="14853" max="14854" width="9.77734375" style="1164" customWidth="1"/>
    <col min="14855" max="14860" width="9" style="1164"/>
    <col min="14861" max="14861" width="0" style="1164" hidden="1" customWidth="1"/>
    <col min="14862" max="15104" width="9" style="1164"/>
    <col min="15105" max="15105" width="9.6640625" style="1164" customWidth="1"/>
    <col min="15106" max="15107" width="9" style="1164"/>
    <col min="15108" max="15108" width="10.44140625" style="1164" customWidth="1"/>
    <col min="15109" max="15110" width="9.77734375" style="1164" customWidth="1"/>
    <col min="15111" max="15116" width="9" style="1164"/>
    <col min="15117" max="15117" width="0" style="1164" hidden="1" customWidth="1"/>
    <col min="15118" max="15360" width="9" style="1164"/>
    <col min="15361" max="15361" width="9.6640625" style="1164" customWidth="1"/>
    <col min="15362" max="15363" width="9" style="1164"/>
    <col min="15364" max="15364" width="10.44140625" style="1164" customWidth="1"/>
    <col min="15365" max="15366" width="9.77734375" style="1164" customWidth="1"/>
    <col min="15367" max="15372" width="9" style="1164"/>
    <col min="15373" max="15373" width="0" style="1164" hidden="1" customWidth="1"/>
    <col min="15374" max="15616" width="9" style="1164"/>
    <col min="15617" max="15617" width="9.6640625" style="1164" customWidth="1"/>
    <col min="15618" max="15619" width="9" style="1164"/>
    <col min="15620" max="15620" width="10.44140625" style="1164" customWidth="1"/>
    <col min="15621" max="15622" width="9.77734375" style="1164" customWidth="1"/>
    <col min="15623" max="15628" width="9" style="1164"/>
    <col min="15629" max="15629" width="0" style="1164" hidden="1" customWidth="1"/>
    <col min="15630" max="15872" width="9" style="1164"/>
    <col min="15873" max="15873" width="9.6640625" style="1164" customWidth="1"/>
    <col min="15874" max="15875" width="9" style="1164"/>
    <col min="15876" max="15876" width="10.44140625" style="1164" customWidth="1"/>
    <col min="15877" max="15878" width="9.77734375" style="1164" customWidth="1"/>
    <col min="15879" max="15884" width="9" style="1164"/>
    <col min="15885" max="15885" width="0" style="1164" hidden="1" customWidth="1"/>
    <col min="15886" max="16128" width="9" style="1164"/>
    <col min="16129" max="16129" width="9.6640625" style="1164" customWidth="1"/>
    <col min="16130" max="16131" width="9" style="1164"/>
    <col min="16132" max="16132" width="10.44140625" style="1164" customWidth="1"/>
    <col min="16133" max="16134" width="9.77734375" style="1164" customWidth="1"/>
    <col min="16135" max="16140" width="9" style="1164"/>
    <col min="16141" max="16141" width="0" style="1164" hidden="1" customWidth="1"/>
    <col min="16142" max="16384" width="9" style="1164"/>
  </cols>
  <sheetData>
    <row r="1" spans="1:13" s="1157" customFormat="1" ht="60.75" thickBot="1">
      <c r="A1" s="1151" t="s">
        <v>289</v>
      </c>
      <c r="B1" s="1152" t="s">
        <v>290</v>
      </c>
      <c r="C1" s="1152" t="s">
        <v>291</v>
      </c>
      <c r="D1" s="1153" t="s">
        <v>292</v>
      </c>
      <c r="E1" s="1154" t="s">
        <v>293</v>
      </c>
      <c r="F1" s="1155" t="s">
        <v>294</v>
      </c>
      <c r="G1" s="1154" t="s">
        <v>301</v>
      </c>
      <c r="H1" s="1155" t="s">
        <v>302</v>
      </c>
      <c r="I1" s="1155" t="s">
        <v>295</v>
      </c>
      <c r="J1" s="1155" t="s">
        <v>296</v>
      </c>
      <c r="K1" s="1154" t="s">
        <v>297</v>
      </c>
      <c r="L1" s="1154" t="s">
        <v>298</v>
      </c>
      <c r="M1" s="1156" t="s">
        <v>299</v>
      </c>
    </row>
    <row r="2" spans="1:13">
      <c r="A2" s="1158" t="s">
        <v>300</v>
      </c>
      <c r="B2" s="1159">
        <v>1</v>
      </c>
      <c r="C2" s="1159">
        <v>6</v>
      </c>
      <c r="D2" s="1160">
        <v>2021</v>
      </c>
      <c r="E2" s="1161">
        <f>(IF('Daily HLP'!I4&gt;0,'Daily HLP'!I4,0))</f>
        <v>16655</v>
      </c>
      <c r="F2" s="1162">
        <v>9</v>
      </c>
      <c r="G2" s="1162">
        <f>(IF('Daily HLP'!M4&gt;0,'Daily HLP'!M4,0))</f>
        <v>267</v>
      </c>
      <c r="H2" s="1162">
        <v>52</v>
      </c>
      <c r="I2" s="1162">
        <f>(IF('Daily HLP'!P4&gt;0,'Daily HLP'!P4,0))</f>
        <v>80</v>
      </c>
      <c r="J2" s="1162">
        <v>118</v>
      </c>
      <c r="K2" s="1236">
        <f>Occupancy!G2</f>
        <v>57</v>
      </c>
      <c r="L2" s="1161">
        <f>Occupancy!F2</f>
        <v>57</v>
      </c>
      <c r="M2" s="1163" t="e">
        <f>E2*F2+G2*H2+#REF!*#REF!+I2*J2</f>
        <v>#REF!</v>
      </c>
    </row>
    <row r="3" spans="1:13">
      <c r="A3" s="1158" t="s">
        <v>300</v>
      </c>
      <c r="B3" s="1159">
        <f>B2+1</f>
        <v>2</v>
      </c>
      <c r="C3" s="1159">
        <v>6</v>
      </c>
      <c r="D3" s="1160">
        <v>2021</v>
      </c>
      <c r="E3" s="1161">
        <f>(IF('Daily HLP'!I5&gt;0,'Daily HLP'!I5,0))</f>
        <v>16620.270000000019</v>
      </c>
      <c r="F3" s="1162">
        <v>9</v>
      </c>
      <c r="G3" s="1162">
        <f>(IF('Daily HLP'!M5&gt;0,'Daily HLP'!M5,0))</f>
        <v>436.69999999995343</v>
      </c>
      <c r="H3" s="1162">
        <v>52</v>
      </c>
      <c r="I3" s="1162">
        <f>(IF('Daily HLP'!P5&gt;0,'Daily HLP'!P5,0))</f>
        <v>112</v>
      </c>
      <c r="J3" s="1162">
        <v>118</v>
      </c>
      <c r="K3" s="1236">
        <f>Occupancy!G3</f>
        <v>68</v>
      </c>
      <c r="L3" s="1161">
        <f>Occupancy!F3</f>
        <v>69</v>
      </c>
      <c r="M3" s="1163" t="e">
        <f>E3*F3+G3*H3+#REF!*#REF!+I3*J3</f>
        <v>#REF!</v>
      </c>
    </row>
    <row r="4" spans="1:13">
      <c r="A4" s="1158" t="s">
        <v>300</v>
      </c>
      <c r="B4" s="1159">
        <f t="shared" ref="B4:B32" si="0">B3+1</f>
        <v>3</v>
      </c>
      <c r="C4" s="1159">
        <v>6</v>
      </c>
      <c r="D4" s="1160">
        <v>2021</v>
      </c>
      <c r="E4" s="1161">
        <f>(IF('Daily HLP'!I6&gt;0,'Daily HLP'!I6,0))</f>
        <v>16135.809999999998</v>
      </c>
      <c r="F4" s="1162">
        <v>9</v>
      </c>
      <c r="G4" s="1162">
        <f>(IF('Daily HLP'!M6&gt;0,'Daily HLP'!M6,0))</f>
        <v>615.80400000000373</v>
      </c>
      <c r="H4" s="1162">
        <v>52</v>
      </c>
      <c r="I4" s="1162">
        <f>(IF('Daily HLP'!P6&gt;0,'Daily HLP'!P6,0))</f>
        <v>143</v>
      </c>
      <c r="J4" s="1162">
        <v>118</v>
      </c>
      <c r="K4" s="1236">
        <f>Occupancy!G4</f>
        <v>60</v>
      </c>
      <c r="L4" s="1161">
        <f>Occupancy!F4</f>
        <v>97</v>
      </c>
      <c r="M4" s="1163" t="e">
        <f>E4*F4+G4*H4+#REF!*#REF!+I4*J4</f>
        <v>#REF!</v>
      </c>
    </row>
    <row r="5" spans="1:13">
      <c r="A5" s="1158" t="s">
        <v>300</v>
      </c>
      <c r="B5" s="1159">
        <f t="shared" si="0"/>
        <v>4</v>
      </c>
      <c r="C5" s="1159">
        <v>6</v>
      </c>
      <c r="D5" s="1160">
        <v>2021</v>
      </c>
      <c r="E5" s="1161">
        <f>(IF('Daily HLP'!I7&gt;0,'Daily HLP'!I7,0))</f>
        <v>16478.789999999979</v>
      </c>
      <c r="F5" s="1162">
        <v>9</v>
      </c>
      <c r="G5" s="1162">
        <f>(IF('Daily HLP'!M7&gt;0,'Daily HLP'!M7,0))</f>
        <v>302.90400000009686</v>
      </c>
      <c r="H5" s="1162">
        <v>52</v>
      </c>
      <c r="I5" s="1162">
        <f>(IF('Daily HLP'!P7&gt;0,'Daily HLP'!P7,0))</f>
        <v>101</v>
      </c>
      <c r="J5" s="1162">
        <v>118</v>
      </c>
      <c r="K5" s="1236">
        <f>Occupancy!G5</f>
        <v>92</v>
      </c>
      <c r="L5" s="1161">
        <f>Occupancy!F5</f>
        <v>209</v>
      </c>
      <c r="M5" s="1163" t="e">
        <f>E5*F5+G5*H5+#REF!*#REF!+I5*J5</f>
        <v>#REF!</v>
      </c>
    </row>
    <row r="6" spans="1:13">
      <c r="A6" s="1158" t="s">
        <v>300</v>
      </c>
      <c r="B6" s="1159">
        <f t="shared" si="0"/>
        <v>5</v>
      </c>
      <c r="C6" s="1159">
        <v>6</v>
      </c>
      <c r="D6" s="1160">
        <v>2021</v>
      </c>
      <c r="E6" s="1161">
        <f>(IF('Daily HLP'!I8&gt;0,'Daily HLP'!I8,0))</f>
        <v>20105.280000000028</v>
      </c>
      <c r="F6" s="1162">
        <v>9</v>
      </c>
      <c r="G6" s="1162">
        <f>(IF('Daily HLP'!M8&gt;0,'Daily HLP'!M8,0))</f>
        <v>453.90200000000186</v>
      </c>
      <c r="H6" s="1162">
        <v>52</v>
      </c>
      <c r="I6" s="1162">
        <f>(IF('Daily HLP'!P8&gt;0,'Daily HLP'!P8,0))</f>
        <v>102</v>
      </c>
      <c r="J6" s="1162">
        <v>118</v>
      </c>
      <c r="K6" s="1236">
        <f>Occupancy!G6</f>
        <v>159</v>
      </c>
      <c r="L6" s="1161">
        <f>Occupancy!F6</f>
        <v>433</v>
      </c>
      <c r="M6" s="1163" t="e">
        <f>E6*F6+G6*H6+#REF!*#REF!+I6*J6</f>
        <v>#REF!</v>
      </c>
    </row>
    <row r="7" spans="1:13">
      <c r="A7" s="1158" t="s">
        <v>300</v>
      </c>
      <c r="B7" s="1159">
        <f t="shared" si="0"/>
        <v>6</v>
      </c>
      <c r="C7" s="1159">
        <v>6</v>
      </c>
      <c r="D7" s="1160">
        <v>2021</v>
      </c>
      <c r="E7" s="1161">
        <f>(IF('Daily HLP'!I9&gt;0,'Daily HLP'!I9,0))</f>
        <v>18422.639999999956</v>
      </c>
      <c r="F7" s="1162">
        <v>9</v>
      </c>
      <c r="G7" s="1162">
        <f>(IF('Daily HLP'!M9&gt;0,'Daily HLP'!M9,0))</f>
        <v>556.86999999987893</v>
      </c>
      <c r="H7" s="1162">
        <v>52</v>
      </c>
      <c r="I7" s="1162">
        <f>(IF('Daily HLP'!P9&gt;0,'Daily HLP'!P9,0))</f>
        <v>175</v>
      </c>
      <c r="J7" s="1162">
        <v>118</v>
      </c>
      <c r="K7" s="1236">
        <f>Occupancy!G7</f>
        <v>78</v>
      </c>
      <c r="L7" s="1161">
        <f>Occupancy!F7</f>
        <v>220</v>
      </c>
      <c r="M7" s="1163" t="e">
        <f>E7*F7+G7*H7+#REF!*#REF!+I7*J7</f>
        <v>#REF!</v>
      </c>
    </row>
    <row r="8" spans="1:13">
      <c r="A8" s="1158" t="s">
        <v>300</v>
      </c>
      <c r="B8" s="1159">
        <f t="shared" si="0"/>
        <v>7</v>
      </c>
      <c r="C8" s="1159">
        <v>6</v>
      </c>
      <c r="D8" s="1160">
        <v>2021</v>
      </c>
      <c r="E8" s="1161">
        <f>(IF('Daily HLP'!I10&gt;0,'Daily HLP'!I10,0))</f>
        <v>17315.960000000021</v>
      </c>
      <c r="F8" s="1162">
        <v>9</v>
      </c>
      <c r="G8" s="1162">
        <f>(IF('Daily HLP'!M10&gt;0,'Daily HLP'!M10,0))</f>
        <v>563.6500000001397</v>
      </c>
      <c r="H8" s="1162">
        <v>52</v>
      </c>
      <c r="I8" s="1162">
        <f>(IF('Daily HLP'!P10&gt;0,'Daily HLP'!P10,0))</f>
        <v>122</v>
      </c>
      <c r="J8" s="1162">
        <v>118</v>
      </c>
      <c r="K8" s="1236">
        <f>Occupancy!G8</f>
        <v>63</v>
      </c>
      <c r="L8" s="1161">
        <f>Occupancy!F8</f>
        <v>115</v>
      </c>
      <c r="M8" s="1163" t="e">
        <f>E8*F8+G8*H8+#REF!*#REF!+I8*J8</f>
        <v>#REF!</v>
      </c>
    </row>
    <row r="9" spans="1:13">
      <c r="A9" s="1158" t="s">
        <v>300</v>
      </c>
      <c r="B9" s="1159">
        <f t="shared" si="0"/>
        <v>8</v>
      </c>
      <c r="C9" s="1159">
        <v>6</v>
      </c>
      <c r="D9" s="1160">
        <v>2021</v>
      </c>
      <c r="E9" s="1161">
        <f>(IF('Daily HLP'!I11&gt;0,'Daily HLP'!I11,0))</f>
        <v>17288.559999999998</v>
      </c>
      <c r="F9" s="1162">
        <v>9</v>
      </c>
      <c r="G9" s="1162">
        <f>(IF('Daily HLP'!M11&gt;0,'Daily HLP'!M11,0))</f>
        <v>406.11999999987893</v>
      </c>
      <c r="H9" s="1162">
        <v>52</v>
      </c>
      <c r="I9" s="1162">
        <f>(IF('Daily HLP'!P11&gt;0,'Daily HLP'!P11,0))</f>
        <v>159</v>
      </c>
      <c r="J9" s="1162">
        <v>118</v>
      </c>
      <c r="K9" s="1236">
        <f>Occupancy!G9</f>
        <v>73</v>
      </c>
      <c r="L9" s="1161">
        <f>Occupancy!F9</f>
        <v>140</v>
      </c>
      <c r="M9" s="1163" t="e">
        <f>E9*F9+G9*H9+#REF!*#REF!+I9*J9</f>
        <v>#REF!</v>
      </c>
    </row>
    <row r="10" spans="1:13">
      <c r="A10" s="1158" t="s">
        <v>300</v>
      </c>
      <c r="B10" s="1159">
        <f t="shared" si="0"/>
        <v>9</v>
      </c>
      <c r="C10" s="1159">
        <v>6</v>
      </c>
      <c r="D10" s="1160">
        <v>2021</v>
      </c>
      <c r="E10" s="1161">
        <f>(IF('Daily HLP'!I12&gt;0,'Daily HLP'!I12,0))</f>
        <v>16891.690000000002</v>
      </c>
      <c r="F10" s="1162">
        <v>9</v>
      </c>
      <c r="G10" s="1162">
        <f>(IF('Daily HLP'!M12&gt;0,'Daily HLP'!M12,0))</f>
        <v>345.05000000004657</v>
      </c>
      <c r="H10" s="1162">
        <v>52</v>
      </c>
      <c r="I10" s="1162">
        <f>(IF('Daily HLP'!P12&gt;0,'Daily HLP'!P12,0))</f>
        <v>78</v>
      </c>
      <c r="J10" s="1162">
        <v>118</v>
      </c>
      <c r="K10" s="1236">
        <f>Occupancy!G10</f>
        <v>83</v>
      </c>
      <c r="L10" s="1161">
        <f>Occupancy!F10</f>
        <v>159</v>
      </c>
      <c r="M10" s="1163" t="e">
        <f>E10*F10+G10*H10+#REF!*#REF!+I10*J10</f>
        <v>#REF!</v>
      </c>
    </row>
    <row r="11" spans="1:13">
      <c r="A11" s="1158" t="s">
        <v>300</v>
      </c>
      <c r="B11" s="1159">
        <f t="shared" si="0"/>
        <v>10</v>
      </c>
      <c r="C11" s="1159">
        <v>6</v>
      </c>
      <c r="D11" s="1160">
        <v>2021</v>
      </c>
      <c r="E11" s="1161">
        <f>(IF('Daily HLP'!I13&gt;0,'Daily HLP'!I13,0))</f>
        <v>17110</v>
      </c>
      <c r="F11" s="1162">
        <v>9</v>
      </c>
      <c r="G11" s="1162">
        <f>(IF('Daily HLP'!M13&gt;0,'Daily HLP'!M13,0))</f>
        <v>665</v>
      </c>
      <c r="H11" s="1162">
        <v>52</v>
      </c>
      <c r="I11" s="1162">
        <f>(IF('Daily HLP'!P13&gt;0,'Daily HLP'!P13,0))</f>
        <v>86</v>
      </c>
      <c r="J11" s="1162">
        <v>118</v>
      </c>
      <c r="K11" s="1236">
        <f>Occupancy!G11</f>
        <v>86</v>
      </c>
      <c r="L11" s="1161">
        <f>Occupancy!F11</f>
        <v>182</v>
      </c>
      <c r="M11" s="1163" t="e">
        <f>E11*F11+G11*H11+#REF!*#REF!+I11*J11</f>
        <v>#REF!</v>
      </c>
    </row>
    <row r="12" spans="1:13">
      <c r="A12" s="1158" t="s">
        <v>300</v>
      </c>
      <c r="B12" s="1159">
        <f t="shared" si="0"/>
        <v>11</v>
      </c>
      <c r="C12" s="1159">
        <v>6</v>
      </c>
      <c r="D12" s="1160">
        <v>2021</v>
      </c>
      <c r="E12" s="1161">
        <f>(IF('Daily HLP'!I14&gt;0,'Daily HLP'!I14,0))</f>
        <v>17188</v>
      </c>
      <c r="F12" s="1162">
        <v>9</v>
      </c>
      <c r="G12" s="1162">
        <f>(IF('Daily HLP'!M14&gt;0,'Daily HLP'!M14,0))</f>
        <v>498</v>
      </c>
      <c r="H12" s="1162">
        <v>52</v>
      </c>
      <c r="I12" s="1162">
        <f>(IF('Daily HLP'!P14&gt;0,'Daily HLP'!P14,0))</f>
        <v>103</v>
      </c>
      <c r="J12" s="1162">
        <v>118</v>
      </c>
      <c r="K12" s="1236">
        <f>Occupancy!G12</f>
        <v>106</v>
      </c>
      <c r="L12" s="1161">
        <f>Occupancy!F12</f>
        <v>154</v>
      </c>
      <c r="M12" s="1163" t="e">
        <f>E12*F12+G12*H12+#REF!*#REF!+I12*J12</f>
        <v>#REF!</v>
      </c>
    </row>
    <row r="13" spans="1:13">
      <c r="A13" s="1158" t="s">
        <v>300</v>
      </c>
      <c r="B13" s="1159">
        <f t="shared" si="0"/>
        <v>12</v>
      </c>
      <c r="C13" s="1159">
        <v>6</v>
      </c>
      <c r="D13" s="1160">
        <v>2021</v>
      </c>
      <c r="E13" s="1161">
        <f>(IF('Daily HLP'!I15&gt;0,'Daily HLP'!I15,0))</f>
        <v>18830</v>
      </c>
      <c r="F13" s="1162">
        <v>9</v>
      </c>
      <c r="G13" s="1162">
        <f>(IF('Daily HLP'!M15&gt;0,'Daily HLP'!M15,0))</f>
        <v>460</v>
      </c>
      <c r="H13" s="1162">
        <v>52</v>
      </c>
      <c r="I13" s="1162">
        <f>(IF('Daily HLP'!P15&gt;0,'Daily HLP'!P15,0))</f>
        <v>125</v>
      </c>
      <c r="J13" s="1162">
        <v>118</v>
      </c>
      <c r="K13" s="1236">
        <f>Occupancy!G13</f>
        <v>186</v>
      </c>
      <c r="L13" s="1161">
        <f>Occupancy!F13</f>
        <v>399</v>
      </c>
      <c r="M13" s="1163" t="e">
        <f>E13*F13+G13*H13+#REF!*#REF!+I13*J13</f>
        <v>#REF!</v>
      </c>
    </row>
    <row r="14" spans="1:13">
      <c r="A14" s="1158" t="s">
        <v>300</v>
      </c>
      <c r="B14" s="1159">
        <f t="shared" si="0"/>
        <v>13</v>
      </c>
      <c r="C14" s="1159">
        <v>6</v>
      </c>
      <c r="D14" s="1160">
        <v>2021</v>
      </c>
      <c r="E14" s="1161">
        <f>(IF('Daily HLP'!I16&gt;0,'Daily HLP'!I16,0))</f>
        <v>20443</v>
      </c>
      <c r="F14" s="1162">
        <v>9</v>
      </c>
      <c r="G14" s="1162">
        <f>(IF('Daily HLP'!M16&gt;0,'Daily HLP'!M16,0))</f>
        <v>737</v>
      </c>
      <c r="H14" s="1162">
        <v>52</v>
      </c>
      <c r="I14" s="1162">
        <f>(IF('Daily HLP'!P16&gt;0,'Daily HLP'!P16,0))</f>
        <v>194</v>
      </c>
      <c r="J14" s="1162">
        <v>118</v>
      </c>
      <c r="K14" s="1236">
        <f>Occupancy!G14</f>
        <v>102</v>
      </c>
      <c r="L14" s="1161">
        <f>Occupancy!F14</f>
        <v>262</v>
      </c>
      <c r="M14" s="1163" t="e">
        <f>E14*F14+G14*H14+#REF!*#REF!+I14*J14</f>
        <v>#REF!</v>
      </c>
    </row>
    <row r="15" spans="1:13">
      <c r="A15" s="1158" t="s">
        <v>300</v>
      </c>
      <c r="B15" s="1159">
        <f t="shared" si="0"/>
        <v>14</v>
      </c>
      <c r="C15" s="1159">
        <v>6</v>
      </c>
      <c r="D15" s="1160">
        <v>2021</v>
      </c>
      <c r="E15" s="1161">
        <f>(IF('Daily HLP'!I17&gt;0,'Daily HLP'!I17,0))</f>
        <v>19974</v>
      </c>
      <c r="F15" s="1162">
        <v>9</v>
      </c>
      <c r="G15" s="1162">
        <f>(IF('Daily HLP'!M17&gt;0,'Daily HLP'!M17,0))</f>
        <v>822</v>
      </c>
      <c r="H15" s="1162">
        <v>52</v>
      </c>
      <c r="I15" s="1162">
        <f>(IF('Daily HLP'!P17&gt;0,'Daily HLP'!P17,0))</f>
        <v>183</v>
      </c>
      <c r="J15" s="1162">
        <v>118</v>
      </c>
      <c r="K15" s="1236">
        <f>Occupancy!G15</f>
        <v>82</v>
      </c>
      <c r="L15" s="1161">
        <f>Occupancy!F15</f>
        <v>149</v>
      </c>
      <c r="M15" s="1163" t="e">
        <f>E15*F15+G15*H15+#REF!*#REF!+I15*J15</f>
        <v>#REF!</v>
      </c>
    </row>
    <row r="16" spans="1:13">
      <c r="A16" s="1158" t="s">
        <v>300</v>
      </c>
      <c r="B16" s="1159">
        <f t="shared" si="0"/>
        <v>15</v>
      </c>
      <c r="C16" s="1159">
        <v>6</v>
      </c>
      <c r="D16" s="1160">
        <v>2021</v>
      </c>
      <c r="E16" s="1161">
        <f>(IF('Daily HLP'!I18&gt;0,'Daily HLP'!I18,0))</f>
        <v>17859</v>
      </c>
      <c r="F16" s="1162">
        <v>9</v>
      </c>
      <c r="G16" s="1162">
        <f>(IF('Daily HLP'!M18&gt;0,'Daily HLP'!M18,0))</f>
        <v>553</v>
      </c>
      <c r="H16" s="1162">
        <v>52</v>
      </c>
      <c r="I16" s="1162">
        <f>(IF('Daily HLP'!P18&gt;0,'Daily HLP'!P18,0))</f>
        <v>142</v>
      </c>
      <c r="J16" s="1162">
        <v>118</v>
      </c>
      <c r="K16" s="1236">
        <f>Occupancy!G16</f>
        <v>99</v>
      </c>
      <c r="L16" s="1161">
        <f>Occupancy!F16</f>
        <v>175</v>
      </c>
      <c r="M16" s="1163" t="e">
        <f>E16*F16+G16*H16+#REF!*#REF!+I16*J16</f>
        <v>#REF!</v>
      </c>
    </row>
    <row r="17" spans="1:13">
      <c r="A17" s="1158" t="s">
        <v>300</v>
      </c>
      <c r="B17" s="1159">
        <f t="shared" si="0"/>
        <v>16</v>
      </c>
      <c r="C17" s="1159">
        <v>6</v>
      </c>
      <c r="D17" s="1160">
        <v>2021</v>
      </c>
      <c r="E17" s="1161">
        <f>(IF('Daily HLP'!I19&gt;0,'Daily HLP'!I19,0))</f>
        <v>18477.189999999944</v>
      </c>
      <c r="F17" s="1162">
        <v>9</v>
      </c>
      <c r="G17" s="1162">
        <f>(IF('Daily HLP'!M19&gt;0,'Daily HLP'!M19,0))</f>
        <v>477.06499999994412</v>
      </c>
      <c r="H17" s="1162">
        <v>52</v>
      </c>
      <c r="I17" s="1162">
        <f>(IF('Daily HLP'!P19&gt;0,'Daily HLP'!P19,0))</f>
        <v>92</v>
      </c>
      <c r="J17" s="1162">
        <v>118</v>
      </c>
      <c r="K17" s="1236">
        <f>Occupancy!G17</f>
        <v>96</v>
      </c>
      <c r="L17" s="1161">
        <f>Occupancy!F17</f>
        <v>269</v>
      </c>
      <c r="M17" s="1163" t="e">
        <f>E17*F17+G17*H17+#REF!*#REF!+I17*J17</f>
        <v>#REF!</v>
      </c>
    </row>
    <row r="18" spans="1:13">
      <c r="A18" s="1158" t="s">
        <v>300</v>
      </c>
      <c r="B18" s="1159">
        <f t="shared" si="0"/>
        <v>17</v>
      </c>
      <c r="C18" s="1159">
        <v>6</v>
      </c>
      <c r="D18" s="1160">
        <v>2021</v>
      </c>
      <c r="E18" s="1161">
        <f>(IF('Daily HLP'!I20&gt;0,'Daily HLP'!I20,0))</f>
        <v>19209.440000000061</v>
      </c>
      <c r="F18" s="1162">
        <v>9</v>
      </c>
      <c r="G18" s="1162">
        <f>(IF('Daily HLP'!M20&gt;0,'Daily HLP'!M20,0))</f>
        <v>833.77800000016578</v>
      </c>
      <c r="H18" s="1162">
        <v>52</v>
      </c>
      <c r="I18" s="1162">
        <f>(IF('Daily HLP'!P20&gt;0,'Daily HLP'!P20,0))</f>
        <v>122</v>
      </c>
      <c r="J18" s="1162">
        <v>118</v>
      </c>
      <c r="K18" s="1236">
        <f>Occupancy!G18</f>
        <v>116</v>
      </c>
      <c r="L18" s="1161">
        <f>Occupancy!F18</f>
        <v>257</v>
      </c>
      <c r="M18" s="1163" t="e">
        <f>E18*F18+G18*H18+#REF!*#REF!+I18*J18</f>
        <v>#REF!</v>
      </c>
    </row>
    <row r="19" spans="1:13">
      <c r="A19" s="1158" t="s">
        <v>300</v>
      </c>
      <c r="B19" s="1159">
        <f t="shared" si="0"/>
        <v>18</v>
      </c>
      <c r="C19" s="1159">
        <v>6</v>
      </c>
      <c r="D19" s="1160">
        <v>2021</v>
      </c>
      <c r="E19" s="1161">
        <f>(IF('Daily HLP'!I21&gt;0,'Daily HLP'!I21,0))</f>
        <v>20104.479999999981</v>
      </c>
      <c r="F19" s="1162">
        <v>9</v>
      </c>
      <c r="G19" s="1162">
        <f>(IF('Daily HLP'!M21&gt;0,'Daily HLP'!M21,0))</f>
        <v>638.77700000000186</v>
      </c>
      <c r="H19" s="1162">
        <v>52</v>
      </c>
      <c r="I19" s="1162">
        <f>(IF('Daily HLP'!P21&gt;0,'Daily HLP'!P21,0))</f>
        <v>145</v>
      </c>
      <c r="J19" s="1162">
        <v>118</v>
      </c>
      <c r="K19" s="1236">
        <f>Occupancy!G19</f>
        <v>148</v>
      </c>
      <c r="L19" s="1161">
        <f>Occupancy!F19</f>
        <v>249</v>
      </c>
      <c r="M19" s="1163" t="e">
        <f>E19*F19+G19*H19+#REF!*#REF!+I19*J19</f>
        <v>#REF!</v>
      </c>
    </row>
    <row r="20" spans="1:13">
      <c r="A20" s="1158" t="s">
        <v>300</v>
      </c>
      <c r="B20" s="1159">
        <f t="shared" si="0"/>
        <v>19</v>
      </c>
      <c r="C20" s="1159">
        <v>6</v>
      </c>
      <c r="D20" s="1160">
        <v>2021</v>
      </c>
      <c r="E20" s="1161">
        <f>(IF('Daily HLP'!I22&gt;0,'Daily HLP'!I22,0))</f>
        <v>23254.719999999972</v>
      </c>
      <c r="F20" s="1162">
        <v>9</v>
      </c>
      <c r="G20" s="1162">
        <f>(IF('Daily HLP'!M22&gt;0,'Daily HLP'!M22,0))</f>
        <v>1049.74599999981</v>
      </c>
      <c r="H20" s="1162">
        <v>52</v>
      </c>
      <c r="I20" s="1162">
        <f>(IF('Daily HLP'!P22&gt;0,'Daily HLP'!P22,0))</f>
        <v>193</v>
      </c>
      <c r="J20" s="1162">
        <v>118</v>
      </c>
      <c r="K20" s="1236">
        <f>Occupancy!G20</f>
        <v>192</v>
      </c>
      <c r="L20" s="1161">
        <f>Occupancy!F20</f>
        <v>659</v>
      </c>
      <c r="M20" s="1163" t="e">
        <f>E20*F20+G20*H20+#REF!*#REF!+I20*J20</f>
        <v>#REF!</v>
      </c>
    </row>
    <row r="21" spans="1:13">
      <c r="A21" s="1158" t="s">
        <v>300</v>
      </c>
      <c r="B21" s="1159">
        <f t="shared" si="0"/>
        <v>20</v>
      </c>
      <c r="C21" s="1159">
        <v>6</v>
      </c>
      <c r="D21" s="1160">
        <v>2021</v>
      </c>
      <c r="E21" s="1161">
        <f>(IF('Daily HLP'!I23&gt;0,'Daily HLP'!I23,0))</f>
        <v>23350.090000000084</v>
      </c>
      <c r="F21" s="1162">
        <v>9</v>
      </c>
      <c r="G21" s="1162">
        <f>(IF('Daily HLP'!M23&gt;0,'Daily HLP'!M23,0))</f>
        <v>938.63400000007823</v>
      </c>
      <c r="H21" s="1162">
        <v>52</v>
      </c>
      <c r="I21" s="1162">
        <f>(IF('Daily HLP'!P23&gt;0,'Daily HLP'!P23,0))</f>
        <v>261</v>
      </c>
      <c r="J21" s="1162">
        <v>118</v>
      </c>
      <c r="K21" s="1236">
        <f>Occupancy!G21</f>
        <v>145</v>
      </c>
      <c r="L21" s="1161">
        <f>Occupancy!F21</f>
        <v>776</v>
      </c>
      <c r="M21" s="1163" t="e">
        <f>E21*F21+G21*H21+#REF!*#REF!+I21*J21</f>
        <v>#REF!</v>
      </c>
    </row>
    <row r="22" spans="1:13">
      <c r="A22" s="1158" t="s">
        <v>300</v>
      </c>
      <c r="B22" s="1159">
        <f t="shared" si="0"/>
        <v>21</v>
      </c>
      <c r="C22" s="1159">
        <v>6</v>
      </c>
      <c r="D22" s="1160">
        <v>2021</v>
      </c>
      <c r="E22" s="1161">
        <f>(IF('Daily HLP'!I24&gt;0,'Daily HLP'!I24,0))</f>
        <v>21955.149999999907</v>
      </c>
      <c r="F22" s="1162">
        <v>9</v>
      </c>
      <c r="G22" s="1162">
        <f>(IF('Daily HLP'!M24&gt;0,'Daily HLP'!M24,0))</f>
        <v>955.88999999989755</v>
      </c>
      <c r="H22" s="1162">
        <v>52</v>
      </c>
      <c r="I22" s="1162">
        <f>(IF('Daily HLP'!P24&gt;0,'Daily HLP'!P24,0))</f>
        <v>201</v>
      </c>
      <c r="J22" s="1162">
        <v>118</v>
      </c>
      <c r="K22" s="1236">
        <f>Occupancy!G22</f>
        <v>106</v>
      </c>
      <c r="L22" s="1161">
        <f>Occupancy!F22</f>
        <v>271</v>
      </c>
      <c r="M22" s="1163" t="e">
        <f>E22*F22+G22*H22+#REF!*#REF!+I22*J22</f>
        <v>#REF!</v>
      </c>
    </row>
    <row r="23" spans="1:13">
      <c r="A23" s="1158" t="s">
        <v>300</v>
      </c>
      <c r="B23" s="1159">
        <f t="shared" si="0"/>
        <v>22</v>
      </c>
      <c r="C23" s="1159">
        <v>6</v>
      </c>
      <c r="D23" s="1160">
        <v>2021</v>
      </c>
      <c r="E23" s="1161">
        <f>(IF('Daily HLP'!I25&gt;0,'Daily HLP'!I25,0))</f>
        <v>20706.20000000007</v>
      </c>
      <c r="F23" s="1162">
        <v>9</v>
      </c>
      <c r="G23" s="1162">
        <f>(IF('Daily HLP'!M25&gt;0,'Daily HLP'!M25,0))</f>
        <v>588.08000000007451</v>
      </c>
      <c r="H23" s="1162">
        <v>52</v>
      </c>
      <c r="I23" s="1162">
        <f>(IF('Daily HLP'!P25&gt;0,'Daily HLP'!P25,0))</f>
        <v>152</v>
      </c>
      <c r="J23" s="1162">
        <v>118</v>
      </c>
      <c r="K23" s="1236">
        <f>Occupancy!G23</f>
        <v>115</v>
      </c>
      <c r="L23" s="1161">
        <f>Occupancy!F23</f>
        <v>222</v>
      </c>
      <c r="M23" s="1163" t="e">
        <f>E23*F23+G23*H23+#REF!*#REF!+I23*J23</f>
        <v>#REF!</v>
      </c>
    </row>
    <row r="24" spans="1:13">
      <c r="A24" s="1158" t="s">
        <v>300</v>
      </c>
      <c r="B24" s="1159">
        <f t="shared" si="0"/>
        <v>23</v>
      </c>
      <c r="C24" s="1159">
        <v>6</v>
      </c>
      <c r="D24" s="1160">
        <v>2021</v>
      </c>
      <c r="E24" s="1161">
        <f>(IF('Daily HLP'!I26&gt;0,'Daily HLP'!I26,0))</f>
        <v>19591.599999999977</v>
      </c>
      <c r="F24" s="1162">
        <v>9</v>
      </c>
      <c r="G24" s="1162">
        <f>(IF('Daily HLP'!M26&gt;0,'Daily HLP'!M26,0))</f>
        <v>584.38000000012107</v>
      </c>
      <c r="H24" s="1162">
        <v>52</v>
      </c>
      <c r="I24" s="1162">
        <f>(IF('Daily HLP'!P26&gt;0,'Daily HLP'!P26,0))</f>
        <v>101</v>
      </c>
      <c r="J24" s="1162">
        <v>118</v>
      </c>
      <c r="K24" s="1236">
        <f>Occupancy!G24</f>
        <v>102</v>
      </c>
      <c r="L24" s="1161">
        <f>Occupancy!F24</f>
        <v>198</v>
      </c>
      <c r="M24" s="1163" t="e">
        <f>E24*F24+G24*H24+#REF!*#REF!+I24*J24</f>
        <v>#REF!</v>
      </c>
    </row>
    <row r="25" spans="1:13">
      <c r="A25" s="1158" t="s">
        <v>300</v>
      </c>
      <c r="B25" s="1159">
        <f t="shared" si="0"/>
        <v>24</v>
      </c>
      <c r="C25" s="1159">
        <v>6</v>
      </c>
      <c r="D25" s="1160">
        <v>2021</v>
      </c>
      <c r="E25" s="1161">
        <f>(IF('Daily HLP'!I27&gt;0,'Daily HLP'!I27,0))</f>
        <v>22197.130000000005</v>
      </c>
      <c r="F25" s="1162">
        <v>9</v>
      </c>
      <c r="G25" s="1162">
        <f>(IF('Daily HLP'!M27&gt;0,'Daily HLP'!M27,0))</f>
        <v>944.64999999990687</v>
      </c>
      <c r="H25" s="1162">
        <v>52</v>
      </c>
      <c r="I25" s="1162">
        <f>(IF('Daily HLP'!P27&gt;0,'Daily HLP'!P27,0))</f>
        <v>164</v>
      </c>
      <c r="J25" s="1162">
        <v>118</v>
      </c>
      <c r="K25" s="1236">
        <f>Occupancy!G25</f>
        <v>103</v>
      </c>
      <c r="L25" s="1161">
        <f>Occupancy!F25</f>
        <v>425</v>
      </c>
      <c r="M25" s="1163" t="e">
        <f>E25*F25+G25*H25+#REF!*#REF!+I25*J25</f>
        <v>#REF!</v>
      </c>
    </row>
    <row r="26" spans="1:13">
      <c r="A26" s="1158" t="s">
        <v>300</v>
      </c>
      <c r="B26" s="1159">
        <f>B25+1</f>
        <v>25</v>
      </c>
      <c r="C26" s="1159">
        <v>6</v>
      </c>
      <c r="D26" s="1160">
        <v>2021</v>
      </c>
      <c r="E26" s="1161">
        <f>(IF('Daily HLP'!I28&gt;0,'Daily HLP'!I28,0))</f>
        <v>19407</v>
      </c>
      <c r="F26" s="1162">
        <v>9</v>
      </c>
      <c r="G26" s="1162">
        <f>(IF('Daily HLP'!M28&gt;0,'Daily HLP'!M28,0))</f>
        <v>746</v>
      </c>
      <c r="H26" s="1162">
        <v>52</v>
      </c>
      <c r="I26" s="1162">
        <f>(IF('Daily HLP'!P28&gt;0,'Daily HLP'!P28,0))</f>
        <v>170</v>
      </c>
      <c r="J26" s="1162">
        <v>118</v>
      </c>
      <c r="K26" s="1236">
        <f>Occupancy!G26</f>
        <v>153</v>
      </c>
      <c r="L26" s="1161">
        <f>Occupancy!F26</f>
        <v>371</v>
      </c>
      <c r="M26" s="1163" t="e">
        <f>E26*F26+G26*H26+#REF!*#REF!+I26*J26</f>
        <v>#REF!</v>
      </c>
    </row>
    <row r="27" spans="1:13">
      <c r="A27" s="1158" t="s">
        <v>300</v>
      </c>
      <c r="B27" s="1159">
        <f t="shared" si="0"/>
        <v>26</v>
      </c>
      <c r="C27" s="1159">
        <v>6</v>
      </c>
      <c r="D27" s="1160">
        <v>2021</v>
      </c>
      <c r="E27" s="1161">
        <f>(IF('Daily HLP'!I29&gt;0,'Daily HLP'!I29,0))</f>
        <v>22760</v>
      </c>
      <c r="F27" s="1162">
        <v>9</v>
      </c>
      <c r="G27" s="1162">
        <f>(IF('Daily HLP'!M29&gt;0,'Daily HLP'!M29,0))</f>
        <v>925</v>
      </c>
      <c r="H27" s="1162">
        <v>52</v>
      </c>
      <c r="I27" s="1162">
        <f>(IF('Daily HLP'!P29&gt;0,'Daily HLP'!P29,0))</f>
        <v>215</v>
      </c>
      <c r="J27" s="1162">
        <v>118</v>
      </c>
      <c r="K27" s="1236">
        <f>Occupancy!G27</f>
        <v>179</v>
      </c>
      <c r="L27" s="1161">
        <f>Occupancy!F27</f>
        <v>534</v>
      </c>
      <c r="M27" s="1163" t="e">
        <f>E27*F27+G27*H27+#REF!*#REF!+I27*J27</f>
        <v>#REF!</v>
      </c>
    </row>
    <row r="28" spans="1:13">
      <c r="A28" s="1158" t="s">
        <v>300</v>
      </c>
      <c r="B28" s="1159">
        <f t="shared" si="0"/>
        <v>27</v>
      </c>
      <c r="C28" s="1159">
        <v>6</v>
      </c>
      <c r="D28" s="1160">
        <v>2021</v>
      </c>
      <c r="E28" s="1161">
        <f>(IF('Daily HLP'!I30&gt;0,'Daily HLP'!I30,0))</f>
        <v>22001</v>
      </c>
      <c r="F28" s="1162">
        <v>9</v>
      </c>
      <c r="G28" s="1162">
        <f>(IF('Daily HLP'!M30&gt;0,'Daily HLP'!M30,0))</f>
        <v>804</v>
      </c>
      <c r="H28" s="1162">
        <v>52</v>
      </c>
      <c r="I28" s="1162">
        <f>(IF('Daily HLP'!P30&gt;0,'Daily HLP'!P30,0))</f>
        <v>241</v>
      </c>
      <c r="J28" s="1162">
        <v>118</v>
      </c>
      <c r="K28" s="1236">
        <f>Occupancy!G28</f>
        <v>117</v>
      </c>
      <c r="L28" s="1161">
        <f>Occupancy!F28</f>
        <v>483</v>
      </c>
      <c r="M28" s="1163" t="e">
        <f>E28*F28+G28*H28+#REF!*#REF!+I28*J28</f>
        <v>#REF!</v>
      </c>
    </row>
    <row r="29" spans="1:13">
      <c r="A29" s="1158" t="s">
        <v>300</v>
      </c>
      <c r="B29" s="1159">
        <f t="shared" si="0"/>
        <v>28</v>
      </c>
      <c r="C29" s="1159">
        <v>6</v>
      </c>
      <c r="D29" s="1160">
        <v>2021</v>
      </c>
      <c r="E29" s="1161">
        <f>(IF('Daily HLP'!I31&gt;0,'Daily HLP'!I31,0))</f>
        <v>17150</v>
      </c>
      <c r="F29" s="1162">
        <v>9</v>
      </c>
      <c r="G29" s="1162">
        <f>(IF('Daily HLP'!M31&gt;0,'Daily HLP'!M31,0))</f>
        <v>550</v>
      </c>
      <c r="H29" s="1162">
        <v>52</v>
      </c>
      <c r="I29" s="1162">
        <f>(IF('Daily HLP'!P31&gt;0,'Daily HLP'!P31,0))</f>
        <v>0</v>
      </c>
      <c r="J29" s="1162">
        <v>118</v>
      </c>
      <c r="K29" s="1236">
        <f>Occupancy!G29</f>
        <v>0</v>
      </c>
      <c r="L29" s="1161">
        <f>Occupancy!F29</f>
        <v>0</v>
      </c>
      <c r="M29" s="1163" t="e">
        <f>E29*F29+G29*H29+#REF!*#REF!+I29*J29</f>
        <v>#REF!</v>
      </c>
    </row>
    <row r="30" spans="1:13">
      <c r="A30" s="1158" t="s">
        <v>300</v>
      </c>
      <c r="B30" s="1159">
        <f t="shared" si="0"/>
        <v>29</v>
      </c>
      <c r="C30" s="1159">
        <v>6</v>
      </c>
      <c r="D30" s="1160">
        <v>2021</v>
      </c>
      <c r="E30" s="1161">
        <f>(IF('Daily HLP'!I32&gt;0,'Daily HLP'!I32,0))</f>
        <v>17150</v>
      </c>
      <c r="F30" s="1162">
        <v>9</v>
      </c>
      <c r="G30" s="1162">
        <f>(IF('Daily HLP'!M32&gt;0,'Daily HLP'!M32,0))</f>
        <v>550</v>
      </c>
      <c r="H30" s="1162">
        <v>52</v>
      </c>
      <c r="I30" s="1162">
        <f>(IF('Daily HLP'!P32&gt;0,'Daily HLP'!P32,0))</f>
        <v>117</v>
      </c>
      <c r="J30" s="1162">
        <v>118</v>
      </c>
      <c r="K30" s="1236">
        <f>Occupancy!G30</f>
        <v>0</v>
      </c>
      <c r="L30" s="1161">
        <f>Occupancy!F30</f>
        <v>0</v>
      </c>
      <c r="M30" s="1163" t="e">
        <f>E30*F30+G30*H30+#REF!*#REF!+I30*J30</f>
        <v>#REF!</v>
      </c>
    </row>
    <row r="31" spans="1:13">
      <c r="A31" s="1158" t="s">
        <v>300</v>
      </c>
      <c r="B31" s="1159">
        <f t="shared" si="0"/>
        <v>30</v>
      </c>
      <c r="C31" s="1159">
        <v>6</v>
      </c>
      <c r="D31" s="1160">
        <v>2021</v>
      </c>
      <c r="E31" s="1161">
        <f>(IF('Daily HLP'!I33&gt;0,'Daily HLP'!I33,0))</f>
        <v>17150</v>
      </c>
      <c r="F31" s="1162">
        <v>9</v>
      </c>
      <c r="G31" s="1162">
        <f>(IF('Daily HLP'!M33&gt;0,'Daily HLP'!M33,0))</f>
        <v>550</v>
      </c>
      <c r="H31" s="1162">
        <v>52</v>
      </c>
      <c r="I31" s="1162">
        <f>(IF('Daily HLP'!P33&gt;0,'Daily HLP'!P33,0))</f>
        <v>138</v>
      </c>
      <c r="J31" s="1162">
        <v>118</v>
      </c>
      <c r="K31" s="1236">
        <f>Occupancy!G31</f>
        <v>0</v>
      </c>
      <c r="L31" s="1161">
        <f>Occupancy!F31</f>
        <v>0</v>
      </c>
      <c r="M31" s="1163" t="e">
        <f>E31*F31+G31*H31+#REF!*#REF!+I31*J31</f>
        <v>#REF!</v>
      </c>
    </row>
    <row r="32" spans="1:13" s="1161" customFormat="1">
      <c r="A32" s="1158" t="s">
        <v>300</v>
      </c>
      <c r="B32" s="1159">
        <f t="shared" si="0"/>
        <v>31</v>
      </c>
      <c r="C32" s="1159">
        <v>6</v>
      </c>
      <c r="D32" s="1160">
        <v>2021</v>
      </c>
      <c r="E32" s="1161">
        <f>(IF('Daily HLP'!I34&gt;0,'Daily HLP'!I34,0))</f>
        <v>17150</v>
      </c>
      <c r="F32" s="1162">
        <v>10</v>
      </c>
      <c r="G32" s="1162">
        <f>(IF('Daily HLP'!M34&gt;0,'Daily HLP'!M34,0))</f>
        <v>550</v>
      </c>
      <c r="H32" s="1162">
        <v>52</v>
      </c>
      <c r="I32" s="1162">
        <f>(IF('Daily HLP'!P34&gt;0,'Daily HLP'!P34,0))</f>
        <v>121</v>
      </c>
      <c r="J32" s="1162">
        <v>118</v>
      </c>
      <c r="K32" s="1236">
        <f>Occupancy!G32</f>
        <v>0</v>
      </c>
      <c r="L32" s="1161">
        <f>Occupancy!F32</f>
        <v>0</v>
      </c>
      <c r="M32" s="1164"/>
    </row>
    <row r="33" spans="1:13" s="1161" customFormat="1">
      <c r="A33" s="1165"/>
      <c r="B33" s="1159"/>
      <c r="C33" s="1159"/>
      <c r="D33" s="1160"/>
      <c r="F33" s="1162"/>
      <c r="G33" s="1162"/>
      <c r="H33" s="1162"/>
      <c r="I33" s="1162"/>
      <c r="J33" s="1162"/>
      <c r="M33" s="1164"/>
    </row>
    <row r="34" spans="1:13" s="1161" customFormat="1">
      <c r="A34" s="1165"/>
      <c r="B34" s="1159"/>
      <c r="C34" s="1159"/>
      <c r="D34" s="1160"/>
      <c r="F34" s="1162"/>
      <c r="G34" s="1162"/>
      <c r="H34" s="1162"/>
      <c r="I34" s="1162"/>
      <c r="J34" s="1162"/>
      <c r="M34" s="1164"/>
    </row>
    <row r="35" spans="1:13" s="1161" customFormat="1">
      <c r="A35" s="1165"/>
      <c r="B35" s="1159"/>
      <c r="C35" s="1159"/>
      <c r="D35" s="1160"/>
      <c r="F35" s="1162"/>
      <c r="G35" s="1162"/>
      <c r="H35" s="1162"/>
      <c r="I35" s="1162"/>
      <c r="J35" s="1162"/>
      <c r="M35" s="1164"/>
    </row>
    <row r="36" spans="1:13" s="1161" customFormat="1">
      <c r="A36" s="1165"/>
      <c r="B36" s="1159"/>
      <c r="C36" s="1159"/>
      <c r="D36" s="1160"/>
      <c r="F36" s="1162"/>
      <c r="G36" s="1162"/>
      <c r="H36" s="1162"/>
      <c r="I36" s="1162"/>
      <c r="J36" s="1162"/>
      <c r="M36" s="1164"/>
    </row>
    <row r="37" spans="1:13" s="1161" customFormat="1">
      <c r="A37" s="1165"/>
      <c r="B37" s="1159"/>
      <c r="C37" s="1159"/>
      <c r="D37" s="1160"/>
      <c r="F37" s="1162"/>
      <c r="G37" s="1162"/>
      <c r="H37" s="1162"/>
      <c r="I37" s="1162"/>
      <c r="J37" s="1162"/>
      <c r="M37" s="1164"/>
    </row>
    <row r="38" spans="1:13" s="1161" customFormat="1">
      <c r="A38" s="1165"/>
      <c r="B38" s="1159"/>
      <c r="C38" s="1159"/>
      <c r="D38" s="1160"/>
      <c r="F38" s="1162"/>
      <c r="G38" s="1162"/>
      <c r="H38" s="1162"/>
      <c r="I38" s="1162"/>
      <c r="J38" s="1162"/>
      <c r="M38" s="1164"/>
    </row>
  </sheetData>
  <pageMargins left="0.7" right="0.7" top="0.75" bottom="0.75" header="0.3" footer="0.3"/>
  <pageSetup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0070C0"/>
  </sheetPr>
  <dimension ref="A1:BM32"/>
  <sheetViews>
    <sheetView workbookViewId="0">
      <pane xSplit="2" ySplit="1" topLeftCell="V17" activePane="bottomRight" state="frozen"/>
      <selection pane="topRight" activeCell="C1" sqref="C1"/>
      <selection pane="bottomLeft" activeCell="A2" sqref="A2"/>
      <selection pane="bottomRight" activeCell="X28" sqref="X28"/>
    </sheetView>
  </sheetViews>
  <sheetFormatPr defaultColWidth="9" defaultRowHeight="15"/>
  <cols>
    <col min="1" max="1" width="20.109375" style="1278" customWidth="1"/>
    <col min="2" max="3" width="9" style="1282" customWidth="1"/>
    <col min="4" max="4" width="10.44140625" style="1282" customWidth="1"/>
    <col min="5" max="29" width="9.77734375" style="1298" customWidth="1"/>
    <col min="30" max="30" width="9" style="1298"/>
    <col min="31" max="31" width="9" style="1299"/>
    <col min="32" max="32" width="9" style="1298"/>
    <col min="33" max="39" width="9" style="1300"/>
    <col min="40" max="40" width="9" style="1372"/>
    <col min="41" max="49" width="9" style="1300"/>
    <col min="50" max="58" width="9" style="1372"/>
    <col min="59" max="65" width="9" style="1300"/>
    <col min="66" max="16384" width="9" style="1281"/>
  </cols>
  <sheetData>
    <row r="1" spans="1:65" s="1278" customFormat="1" ht="60" customHeight="1">
      <c r="A1" s="1276" t="s">
        <v>289</v>
      </c>
      <c r="B1" s="1277" t="s">
        <v>290</v>
      </c>
      <c r="C1" s="1277" t="s">
        <v>291</v>
      </c>
      <c r="D1" s="1277" t="s">
        <v>292</v>
      </c>
      <c r="E1" s="1292" t="str">
        <f>'Section Load'!F4</f>
        <v>HVAC</v>
      </c>
      <c r="F1" s="1292" t="str">
        <f>'Section Load'!G4</f>
        <v>Fire &amp; Emergency PP</v>
      </c>
      <c r="G1" s="1292" t="str">
        <f>'Section Load'!H4</f>
        <v>Main PP</v>
      </c>
      <c r="H1" s="1292" t="str">
        <f>'Section Load'!I4</f>
        <v>Lighting PP</v>
      </c>
      <c r="I1" s="1292" t="str">
        <f>'Section Load'!J4</f>
        <v>CH-1+ CH2+CH3+CH4</v>
      </c>
      <c r="J1" s="1292" t="str">
        <f>'Section Load'!K4</f>
        <v>Chilled water Pump</v>
      </c>
      <c r="K1" s="1292" t="str">
        <f>'Section Load'!L4</f>
        <v>Ball Room-1</v>
      </c>
      <c r="L1" s="1292" t="str">
        <f>'Section Load'!M4</f>
        <v>Ball Room-2</v>
      </c>
      <c r="M1" s="1292" t="str">
        <f>'Section Load'!N4</f>
        <v>MK-1</v>
      </c>
      <c r="N1" s="1292" t="str">
        <f>'Section Load'!O4</f>
        <v>MK-2</v>
      </c>
      <c r="O1" s="1292" t="str">
        <f>'Section Load'!P4</f>
        <v>Prato</v>
      </c>
      <c r="P1" s="1292" t="str">
        <f>'Section Load'!Q4</f>
        <v>San- Qi Indian</v>
      </c>
      <c r="Q1" s="1292" t="str">
        <f>'Section Load'!R4</f>
        <v>San- Qi Japanese</v>
      </c>
      <c r="R1" s="1292" t="str">
        <f>'Section Load'!S4</f>
        <v>The club</v>
      </c>
      <c r="S1" s="1292" t="str">
        <f>'Section Load'!T4</f>
        <v>AER</v>
      </c>
      <c r="T1" s="1292" t="str">
        <f>'Section Load'!U4</f>
        <v>COLD ROOM'S</v>
      </c>
      <c r="U1" s="1292" t="str">
        <f>'Section Load'!V4</f>
        <v>Ball Room 1</v>
      </c>
      <c r="V1" s="1292" t="str">
        <f>'Section Load'!W4</f>
        <v>Ball Room 2</v>
      </c>
      <c r="W1" s="1292" t="str">
        <f>'Section Load'!X4</f>
        <v>B1 Laundry</v>
      </c>
      <c r="X1" s="1292" t="str">
        <f>'Section Load'!Y4</f>
        <v>B2 Laundry</v>
      </c>
      <c r="Y1" s="1292" t="str">
        <f>'Section Load'!Z4</f>
        <v>STP</v>
      </c>
      <c r="Z1" s="1292" t="str">
        <f>'Section Load'!AA4</f>
        <v>MOCK Up Room</v>
      </c>
      <c r="AA1" s="1292" t="str">
        <f>'Section Load'!AB4</f>
        <v>27th Floor</v>
      </c>
      <c r="AB1" s="1292" t="str">
        <f>'Section Load'!AC4</f>
        <v>Physic57</v>
      </c>
      <c r="AC1" s="1292" t="str">
        <f>'Section Load'!AD4</f>
        <v>Pinoor Legal- Power+lighting</v>
      </c>
      <c r="AD1" s="1292" t="str">
        <f>'Section Load'!AE4</f>
        <v>2nd floor plant room</v>
      </c>
      <c r="AE1" s="1292" t="str">
        <f>'Section Load'!AF4</f>
        <v>5th Floor</v>
      </c>
      <c r="AF1" s="1292" t="str">
        <f>'Section Load'!AG4</f>
        <v>5th Floor</v>
      </c>
      <c r="AG1" s="1292" t="str">
        <f>'Section Load'!AH4</f>
        <v>12th Floor</v>
      </c>
      <c r="AH1" s="1292" t="str">
        <f>'Section Load'!AI4</f>
        <v>20th Floor</v>
      </c>
      <c r="AI1" s="1292" t="str">
        <f>'Section Load'!AJ4</f>
        <v>27th Floor</v>
      </c>
      <c r="AJ1" s="1292" t="str">
        <f>'Section Load'!AK4</f>
        <v>34th Floor</v>
      </c>
      <c r="AK1" s="1292" t="str">
        <f>'Section Load'!AL4</f>
        <v>Sanqi</v>
      </c>
      <c r="AL1" s="1292" t="str">
        <f>'Section Load'!AM4</f>
        <v>Cooling Tower</v>
      </c>
      <c r="AM1" s="1293" t="s">
        <v>313</v>
      </c>
      <c r="AN1" s="1370" t="s">
        <v>206</v>
      </c>
      <c r="AO1" s="1293" t="s">
        <v>208</v>
      </c>
      <c r="AP1" s="1293" t="s">
        <v>209</v>
      </c>
      <c r="AQ1" s="1293" t="s">
        <v>210</v>
      </c>
      <c r="AR1" s="1293" t="s">
        <v>211</v>
      </c>
      <c r="AS1" s="1293" t="s">
        <v>212</v>
      </c>
      <c r="AT1" s="1293" t="s">
        <v>213</v>
      </c>
      <c r="AU1" s="1293" t="s">
        <v>218</v>
      </c>
      <c r="AV1" s="1293" t="s">
        <v>76</v>
      </c>
      <c r="AW1" s="1293" t="s">
        <v>77</v>
      </c>
      <c r="AX1" s="1370" t="s">
        <v>219</v>
      </c>
      <c r="AY1" s="1370" t="s">
        <v>220</v>
      </c>
      <c r="AZ1" s="1370" t="s">
        <v>221</v>
      </c>
      <c r="BA1" s="1370" t="s">
        <v>223</v>
      </c>
      <c r="BB1" s="1370" t="s">
        <v>224</v>
      </c>
      <c r="BC1" s="1370" t="s">
        <v>337</v>
      </c>
      <c r="BD1" s="1370" t="s">
        <v>335</v>
      </c>
      <c r="BE1" s="1370" t="s">
        <v>314</v>
      </c>
      <c r="BF1" s="1370" t="s">
        <v>315</v>
      </c>
      <c r="BG1" s="1294" t="str">
        <f>'Section Load'!AN4</f>
        <v>MGL</v>
      </c>
      <c r="BH1" s="1294" t="str">
        <f>'Section Load'!AO4</f>
        <v>HWG</v>
      </c>
      <c r="BI1" s="1294" t="str">
        <f>'Section Load'!AP4</f>
        <v>Prato</v>
      </c>
      <c r="BJ1" s="1294" t="str">
        <f>'Section Load'!AQ4</f>
        <v>BR-1</v>
      </c>
      <c r="BK1" s="1294" t="str">
        <f>'Section Load'!AR4</f>
        <v>SanQi IND</v>
      </c>
      <c r="BL1" s="1294" t="str">
        <f>'Section Load'!AS4</f>
        <v>SanQi JPN</v>
      </c>
      <c r="BM1" s="1294" t="str">
        <f>'Section Load'!AT4</f>
        <v>Boiler</v>
      </c>
    </row>
    <row r="2" spans="1:65" ht="15" customHeight="1">
      <c r="A2" s="1279" t="s">
        <v>300</v>
      </c>
      <c r="B2" s="1280">
        <v>1</v>
      </c>
      <c r="C2" s="1280">
        <v>6</v>
      </c>
      <c r="D2" s="1280">
        <v>2021</v>
      </c>
      <c r="E2" s="1295">
        <f>(IF('Section Load'!F5&gt;0,'Section Load'!F5,0))</f>
        <v>2344</v>
      </c>
      <c r="F2" s="1295">
        <f>(IF('Section Load'!G5&gt;0,'Section Load'!G5,0))</f>
        <v>1278</v>
      </c>
      <c r="G2" s="1295">
        <f>(IF('Section Load'!H5&gt;0,'Section Load'!H5,0))</f>
        <v>1170</v>
      </c>
      <c r="H2" s="1295">
        <f>(IF('Section Load'!I5&gt;0,'Section Load'!I5,0))</f>
        <v>2546</v>
      </c>
      <c r="I2" s="1295">
        <f>(IF('Section Load'!J5&gt;0,'Section Load'!J5,0))</f>
        <v>5306.5100000000093</v>
      </c>
      <c r="J2" s="1295">
        <f>(IF('Section Load'!K5&gt;0,'Section Load'!K5,0))</f>
        <v>2272</v>
      </c>
      <c r="K2" s="1295">
        <f>(IF('Section Load'!L5&gt;0,'Section Load'!L5,0))</f>
        <v>814</v>
      </c>
      <c r="L2" s="1295">
        <f>(IF('Section Load'!M5&gt;0,'Section Load'!M5,0))</f>
        <v>446</v>
      </c>
      <c r="M2" s="1295">
        <f>(IF('Section Load'!N5&gt;0,'Section Load'!N5,0))</f>
        <v>14</v>
      </c>
      <c r="N2" s="1295">
        <f>(IF('Section Load'!O5&gt;0,'Section Load'!O5,0))</f>
        <v>1</v>
      </c>
      <c r="O2" s="1295">
        <f>(IF('Section Load'!P5&gt;0,'Section Load'!P5,0))</f>
        <v>7</v>
      </c>
      <c r="P2" s="1295">
        <f>(IF('Section Load'!Q5&gt;0,'Section Load'!Q5,0))</f>
        <v>54</v>
      </c>
      <c r="Q2" s="1295">
        <f>(IF('Section Load'!R5&gt;0,'Section Load'!R5,0))</f>
        <v>57</v>
      </c>
      <c r="R2" s="1295">
        <f>(IF('Section Load'!S5&gt;0,'Section Load'!S5,0))</f>
        <v>49</v>
      </c>
      <c r="S2" s="1295">
        <f>(IF('Section Load'!T5&gt;0,'Section Load'!T5,0))</f>
        <v>55</v>
      </c>
      <c r="T2" s="1295">
        <f>(IF('Section Load'!U5&gt;0,'Section Load'!U5,0))</f>
        <v>155</v>
      </c>
      <c r="U2" s="1295">
        <f>(IF('Section Load'!V5&gt;0,'Section Load'!V5,0))</f>
        <v>370</v>
      </c>
      <c r="V2" s="1295">
        <f>(IF('Section Load'!W5&gt;0,'Section Load'!W5,0))</f>
        <v>94</v>
      </c>
      <c r="W2" s="1295">
        <f>(IF('Section Load'!X5&gt;0,'Section Load'!X5,0))</f>
        <v>11</v>
      </c>
      <c r="X2" s="1295">
        <f>(IF('Section Load'!Y5&gt;0,'Section Load'!Y5,0))</f>
        <v>0</v>
      </c>
      <c r="Y2" s="1295">
        <f>(IF('Section Load'!Z5&gt;0,'Section Load'!Z5,0))</f>
        <v>152</v>
      </c>
      <c r="Z2" s="1295">
        <f>(IF('Section Load'!AA5&gt;0,'Section Load'!AA5,0))</f>
        <v>34</v>
      </c>
      <c r="AA2" s="1295">
        <f>(IF('Section Load'!AB5&gt;0,'Section Load'!AB5,0))</f>
        <v>21</v>
      </c>
      <c r="AB2" s="1295">
        <f>(IF('Section Load'!AC5&gt;0,'Section Load'!AC5,0))</f>
        <v>27</v>
      </c>
      <c r="AC2" s="1295">
        <f>(IF('Section Load'!AD5&gt;0,'Section Load'!AD5,0))</f>
        <v>10.500000000001364</v>
      </c>
      <c r="AD2" s="1295">
        <f>(IF('Section Load'!AE5&gt;0,'Section Load'!AE5,0))</f>
        <v>0</v>
      </c>
      <c r="AE2" s="1295">
        <f>(IF('Section Load'!AF5&gt;0,'Section Load'!AF5,0))</f>
        <v>0</v>
      </c>
      <c r="AF2" s="1295">
        <f>(IF('Section Load'!AG5&gt;0,'Section Load'!AG5,0))</f>
        <v>196</v>
      </c>
      <c r="AG2" s="1295">
        <f>(IF('Section Load'!AH5&gt;0,'Section Load'!AH5,0))</f>
        <v>239</v>
      </c>
      <c r="AH2" s="1295">
        <f>(IF('Section Load'!AI5&gt;0,'Section Load'!AI5,0))</f>
        <v>216</v>
      </c>
      <c r="AI2" s="1295">
        <f>(IF('Section Load'!AJ5&gt;0,'Section Load'!AJ5,0))</f>
        <v>310</v>
      </c>
      <c r="AJ2" s="1295">
        <f>(IF('Section Load'!AK5&gt;0,'Section Load'!AK5,0))</f>
        <v>0</v>
      </c>
      <c r="AK2" s="1295">
        <f>(IF('Section Load'!AL5&gt;0,'Section Load'!AL5,0))</f>
        <v>104</v>
      </c>
      <c r="AL2" s="1295">
        <f>(IF('Section Load'!AM5&gt;0,'Section Load'!AM5,0))</f>
        <v>827</v>
      </c>
      <c r="AM2" s="1296">
        <f>(IF('Water Report'!$D$7&gt;0,'Water Report'!$D$7,0))</f>
        <v>18</v>
      </c>
      <c r="AN2" s="1296">
        <f>(IF('Water Report'!$D$8&gt;0,'Water Report'!$D$8,0))</f>
        <v>58</v>
      </c>
      <c r="AO2" s="1296">
        <f>(IF('Water Report'!$D$9&gt;0,'Water Report'!$D$9,0))</f>
        <v>40</v>
      </c>
      <c r="AP2" s="1296">
        <f>(IF('Water Report'!$D$10&gt;0,'Water Report'!$D$10,0))</f>
        <v>13</v>
      </c>
      <c r="AQ2" s="1296">
        <f>(IF('Water Report'!$D$11&gt;0,'Water Report'!$D$11,0))</f>
        <v>15</v>
      </c>
      <c r="AR2" s="1296">
        <f>(IF('Water Report'!$D$13&gt;0,'Water Report'!$D$13,0))</f>
        <v>7</v>
      </c>
      <c r="AS2" s="1296">
        <f>(IF('Water Report'!$D$14&gt;0,'Water Report'!$D$14,0))</f>
        <v>12</v>
      </c>
      <c r="AT2" s="1296">
        <f>(IF('Water Report'!$D$15&gt;0,'Water Report'!$D$15,0))</f>
        <v>5</v>
      </c>
      <c r="AU2" s="1296">
        <f>(IF('Water Report'!$D$17&gt;0,'Water Report'!$D$17,0))</f>
        <v>0</v>
      </c>
      <c r="AV2" s="1296">
        <f>(IF('Water Report'!$D$18&gt;0,'Water Report'!$D$18,0))</f>
        <v>0</v>
      </c>
      <c r="AW2" s="1296">
        <f>(IF('Water Report'!$D$19&gt;0,'Water Report'!$D$19,0))</f>
        <v>0</v>
      </c>
      <c r="AX2" s="1371">
        <f>(IF('Water Report'!$D$21&gt;0,'Water Report'!$D$21,0))</f>
        <v>63</v>
      </c>
      <c r="AY2" s="1371">
        <f>(IF('Water Report'!$D$22&gt;0,'Water Report'!$D$22,0))</f>
        <v>0</v>
      </c>
      <c r="AZ2" s="1371">
        <f>(IF('Water Report'!$D$23&gt;0,'Water Report'!$D$23,0))</f>
        <v>16</v>
      </c>
      <c r="BA2" s="1371">
        <f>(IF('Water Report'!$D$14&gt;0,'Water Report'!$D$14,0))</f>
        <v>12</v>
      </c>
      <c r="BB2" s="1371">
        <f>(IF('Water Report'!$D$15&gt;0,'Water Report'!$D$15,0))</f>
        <v>5</v>
      </c>
      <c r="BC2" s="1371">
        <f>(IF('Water Report'!$D$13&gt;0,'Water Report'!$D$13,0))</f>
        <v>7</v>
      </c>
      <c r="BD2" s="1371">
        <f>(IF('Water Report'!$D$24&gt;0,'Water Report'!$D$24,0))</f>
        <v>80</v>
      </c>
      <c r="BE2" s="1371">
        <f>(IF('Water Report'!$D$25&gt;0,'Water Report'!$D$25,0))</f>
        <v>85</v>
      </c>
      <c r="BF2" s="1371">
        <f>(IF('Water Report'!$D$27&gt;0,'Water Report'!$D$27,0))</f>
        <v>86</v>
      </c>
      <c r="BG2" s="1297">
        <f>(IF('Section Load'!AN5&gt;0,'Section Load'!AN5,0))</f>
        <v>267</v>
      </c>
      <c r="BH2" s="1297">
        <f>(IF('Section Load'!AO5&gt;0,'Section Load'!AO5,0))</f>
        <v>175</v>
      </c>
      <c r="BI2" s="1297">
        <f>(IF('Section Load'!AP5&gt;0,'Section Load'!AP5,0))</f>
        <v>0</v>
      </c>
      <c r="BJ2" s="1297">
        <f>(IF('Section Load'!AQ5&gt;0,'Section Load'!AQ5,0))</f>
        <v>52</v>
      </c>
      <c r="BK2" s="1297">
        <f>(IF('Section Load'!AR5&gt;0,'Section Load'!AR5,0))</f>
        <v>0</v>
      </c>
      <c r="BL2" s="1297">
        <f>(IF('Section Load'!AS5&gt;0,'Section Load'!AS5,0))</f>
        <v>0</v>
      </c>
      <c r="BM2" s="1297">
        <f>(IF('Section Load'!AT5&gt;0,'Section Load'!AT5,0))</f>
        <v>40</v>
      </c>
    </row>
    <row r="3" spans="1:65">
      <c r="A3" s="1279" t="s">
        <v>300</v>
      </c>
      <c r="B3" s="1280">
        <f>B2+1</f>
        <v>2</v>
      </c>
      <c r="C3" s="1280">
        <v>6</v>
      </c>
      <c r="D3" s="1280">
        <v>2021</v>
      </c>
      <c r="E3" s="1295">
        <f>(IF('Section Load'!F6&gt;0,'Section Load'!F6,0))</f>
        <v>2408.1199999999953</v>
      </c>
      <c r="F3" s="1295">
        <f>(IF('Section Load'!G6&gt;0,'Section Load'!G6,0))</f>
        <v>1249.570000000007</v>
      </c>
      <c r="G3" s="1295">
        <f>(IF('Section Load'!H6&gt;0,'Section Load'!H6,0))</f>
        <v>1246.6900000000023</v>
      </c>
      <c r="H3" s="1295">
        <f>(IF('Section Load'!I6&gt;0,'Section Load'!I6,0))</f>
        <v>2516.5599999999977</v>
      </c>
      <c r="I3" s="1295">
        <f>(IF('Section Load'!J6&gt;0,'Section Load'!J6,0))</f>
        <v>4924.3699999999371</v>
      </c>
      <c r="J3" s="1295">
        <f>(IF('Section Load'!K6&gt;0,'Section Load'!K6,0))</f>
        <v>2270.4000000000233</v>
      </c>
      <c r="K3" s="1295">
        <f>(IF('Section Load'!L6&gt;0,'Section Load'!L6,0))</f>
        <v>854.71000000002095</v>
      </c>
      <c r="L3" s="1295">
        <f>(IF('Section Load'!M6&gt;0,'Section Load'!M6,0))</f>
        <v>488.12300000000005</v>
      </c>
      <c r="M3" s="1295">
        <f>(IF('Section Load'!N6&gt;0,'Section Load'!N6,0))</f>
        <v>13</v>
      </c>
      <c r="N3" s="1295">
        <f>(IF('Section Load'!O6&gt;0,'Section Load'!O6,0))</f>
        <v>1</v>
      </c>
      <c r="O3" s="1295">
        <f>(IF('Section Load'!P6&gt;0,'Section Load'!P6,0))</f>
        <v>6.9600000000000364</v>
      </c>
      <c r="P3" s="1295">
        <f>(IF('Section Load'!Q6&gt;0,'Section Load'!Q6,0))</f>
        <v>60.059999999999491</v>
      </c>
      <c r="Q3" s="1295">
        <f>(IF('Section Load'!R6&gt;0,'Section Load'!R6,0))</f>
        <v>55.430000000000291</v>
      </c>
      <c r="R3" s="1295">
        <f>(IF('Section Load'!S6&gt;0,'Section Load'!S6,0))</f>
        <v>48</v>
      </c>
      <c r="S3" s="1295">
        <f>(IF('Section Load'!T6&gt;0,'Section Load'!T6,0))</f>
        <v>53</v>
      </c>
      <c r="T3" s="1295">
        <f>(IF('Section Load'!U6&gt;0,'Section Load'!U6,0))</f>
        <v>166</v>
      </c>
      <c r="U3" s="1295">
        <f>(IF('Section Load'!V6&gt;0,'Section Load'!V6,0))</f>
        <v>368.23999999999069</v>
      </c>
      <c r="V3" s="1295">
        <f>(IF('Section Load'!W6&gt;0,'Section Load'!W6,0))</f>
        <v>90.040000000037253</v>
      </c>
      <c r="W3" s="1295">
        <f>(IF('Section Load'!X6&gt;0,'Section Load'!X6,0))</f>
        <v>23.729999999995925</v>
      </c>
      <c r="X3" s="1295">
        <f>(IF('Section Load'!Y6&gt;0,'Section Load'!Y6,0))</f>
        <v>104</v>
      </c>
      <c r="Y3" s="1295">
        <f>(IF('Section Load'!Z6&gt;0,'Section Load'!Z6,0))</f>
        <v>147</v>
      </c>
      <c r="Z3" s="1295">
        <f>(IF('Section Load'!AA6&gt;0,'Section Load'!AA6,0))</f>
        <v>32.799999999988358</v>
      </c>
      <c r="AA3" s="1295">
        <f>(IF('Section Load'!AB6&gt;0,'Section Load'!AB6,0))</f>
        <v>19.80000000000291</v>
      </c>
      <c r="AB3" s="1295">
        <f>(IF('Section Load'!AC6&gt;0,'Section Load'!AC6,0))</f>
        <v>23.829999999987194</v>
      </c>
      <c r="AC3" s="1295">
        <f>(IF('Section Load'!AD6&gt;0,'Section Load'!AD6,0))</f>
        <v>11.5</v>
      </c>
      <c r="AD3" s="1295">
        <f>(IF('Section Load'!AE6&gt;0,'Section Load'!AE6,0))</f>
        <v>0</v>
      </c>
      <c r="AE3" s="1295">
        <f>(IF('Section Load'!AF6&gt;0,'Section Load'!AF6,0))</f>
        <v>0</v>
      </c>
      <c r="AF3" s="1295">
        <f>(IF('Section Load'!AG6&gt;0,'Section Load'!AG6,0))</f>
        <v>183.88000000000466</v>
      </c>
      <c r="AG3" s="1295">
        <f>(IF('Section Load'!AH6&gt;0,'Section Load'!AH6,0))</f>
        <v>219.67999999999302</v>
      </c>
      <c r="AH3" s="1295">
        <f>(IF('Section Load'!AI6&gt;0,'Section Load'!AI6,0))</f>
        <v>223.12999999999738</v>
      </c>
      <c r="AI3" s="1295">
        <f>(IF('Section Load'!AJ6&gt;0,'Section Load'!AJ6,0))</f>
        <v>367.60999999998603</v>
      </c>
      <c r="AJ3" s="1295">
        <f>(IF('Section Load'!AK6&gt;0,'Section Load'!AK6,0))</f>
        <v>0</v>
      </c>
      <c r="AK3" s="1295">
        <f>(IF('Section Load'!AL6&gt;0,'Section Load'!AL6,0))</f>
        <v>89.25</v>
      </c>
      <c r="AL3" s="1295">
        <f>(IF('Section Load'!AM6&gt;0,'Section Load'!AM6,0))</f>
        <v>821</v>
      </c>
      <c r="AM3" s="1296">
        <f>(IF('Water Report'!$E$7&gt;0,'Water Report'!$E$7,0))</f>
        <v>42</v>
      </c>
      <c r="AN3" s="1296">
        <f>(IF('Water Report'!$E$8&gt;0,'Water Report'!$E$8,0))</f>
        <v>61</v>
      </c>
      <c r="AO3" s="1296">
        <f>(IF('Water Report'!$E$9&gt;0,'Water Report'!$E$9,0))</f>
        <v>36</v>
      </c>
      <c r="AP3" s="1296">
        <f>(IF('Water Report'!$E$10&gt;0,'Water Report'!$E$10,0))</f>
        <v>9</v>
      </c>
      <c r="AQ3" s="1296">
        <f>(IF('Water Report'!$E$11&gt;0,'Water Report'!$E$11,0))</f>
        <v>10</v>
      </c>
      <c r="AR3" s="1296">
        <f>(IF('Water Report'!$E$13&gt;0,'Water Report'!$E$13,0))</f>
        <v>4</v>
      </c>
      <c r="AS3" s="1296">
        <f>(IF('Water Report'!$E$14&gt;0,'Water Report'!$E$14,0))</f>
        <v>37</v>
      </c>
      <c r="AT3" s="1296">
        <f>(IF('Water Report'!$E$15&gt;0,'Water Report'!$E$15,0))</f>
        <v>3</v>
      </c>
      <c r="AU3" s="1296">
        <f>(IF('Water Report'!$E$17&gt;0,'Water Report'!$E$17,0))</f>
        <v>0</v>
      </c>
      <c r="AV3" s="1296">
        <f>(IF('Water Report'!$E$18&gt;0,'Water Report'!$E$18,0))</f>
        <v>0</v>
      </c>
      <c r="AW3" s="1296">
        <f>(IF('Water Report'!$E$19&gt;0,'Water Report'!$E$19,0))</f>
        <v>3</v>
      </c>
      <c r="AX3" s="1371">
        <f>(IF('Water Report'!$E$21&gt;0,'Water Report'!$E$21,0))</f>
        <v>42</v>
      </c>
      <c r="AY3" s="1371">
        <f>(IF('Water Report'!$E$22&gt;0,'Water Report'!$E$22,0))</f>
        <v>0</v>
      </c>
      <c r="AZ3" s="1371">
        <f>(IF('Water Report'!$E$23&gt;0,'Water Report'!$E$23,0))</f>
        <v>0</v>
      </c>
      <c r="BA3" s="1371">
        <f>(IF('Water Report'!$E$14&gt;0,'Water Report'!$E$14,0))</f>
        <v>37</v>
      </c>
      <c r="BB3" s="1371">
        <f>(IF('Water Report'!$E$15&gt;0,'Water Report'!$E$15,0))</f>
        <v>3</v>
      </c>
      <c r="BC3" s="1371">
        <f>(IF('Water Report'!$E$13&gt;0,'Water Report'!$E$13,0))</f>
        <v>4</v>
      </c>
      <c r="BD3" s="1371">
        <f>(IF('Water Report'!$E$24&gt;0,'Water Report'!$E$24,0))</f>
        <v>112</v>
      </c>
      <c r="BE3" s="1371">
        <f>(IF('Water Report'!$E$25&gt;0,'Water Report'!$E$25,0))</f>
        <v>95</v>
      </c>
      <c r="BF3" s="1371">
        <f>(IF('Water Report'!$E$27&gt;0,'Water Report'!$E$27,0))</f>
        <v>46</v>
      </c>
      <c r="BG3" s="1297">
        <f>(IF('Section Load'!AN6&gt;0,'Section Load'!AN6,0))</f>
        <v>436.69999999995343</v>
      </c>
      <c r="BH3" s="1297">
        <f>(IF('Section Load'!AO6&gt;0,'Section Load'!AO6,0))</f>
        <v>170.84999999997672</v>
      </c>
      <c r="BI3" s="1297">
        <f>(IF('Section Load'!AP6&gt;0,'Section Load'!AP6,0))</f>
        <v>0</v>
      </c>
      <c r="BJ3" s="1297">
        <f>(IF('Section Load'!AQ6&gt;0,'Section Load'!AQ6,0))</f>
        <v>63.329999999987194</v>
      </c>
      <c r="BK3" s="1297">
        <f>(IF('Section Load'!AR6&gt;0,'Section Load'!AR6,0))</f>
        <v>0.2000000000007276</v>
      </c>
      <c r="BL3" s="1297">
        <f>(IF('Section Load'!AS6&gt;0,'Section Load'!AS6,0))</f>
        <v>0</v>
      </c>
      <c r="BM3" s="1297">
        <f>(IF('Section Load'!AT6&gt;0,'Section Load'!AT6,0))</f>
        <v>202.61999999998807</v>
      </c>
    </row>
    <row r="4" spans="1:65">
      <c r="A4" s="1279" t="s">
        <v>300</v>
      </c>
      <c r="B4" s="1280">
        <f t="shared" ref="B4:B32" si="0">B3+1</f>
        <v>3</v>
      </c>
      <c r="C4" s="1280">
        <v>6</v>
      </c>
      <c r="D4" s="1280">
        <v>2021</v>
      </c>
      <c r="E4" s="1295">
        <f>(IF('Section Load'!F7&gt;0,'Section Load'!F7,0))</f>
        <v>2425.1999999999534</v>
      </c>
      <c r="F4" s="1295">
        <f>(IF('Section Load'!G7&gt;0,'Section Load'!G7,0))</f>
        <v>1251.0499999999884</v>
      </c>
      <c r="G4" s="1295">
        <f>(IF('Section Load'!H7&gt;0,'Section Load'!H7,0))</f>
        <v>1277.8999999999942</v>
      </c>
      <c r="H4" s="1295">
        <f>(IF('Section Load'!I7&gt;0,'Section Load'!I7,0))</f>
        <v>2426.5199999999604</v>
      </c>
      <c r="I4" s="1295">
        <f>(IF('Section Load'!J7&gt;0,'Section Load'!J7,0))</f>
        <v>4328.2400000001071</v>
      </c>
      <c r="J4" s="1295">
        <f>(IF('Section Load'!K7&gt;0,'Section Load'!K7,0))</f>
        <v>2314.2999999999302</v>
      </c>
      <c r="K4" s="1295">
        <f>(IF('Section Load'!L7&gt;0,'Section Load'!L7,0))</f>
        <v>869.23999999999069</v>
      </c>
      <c r="L4" s="1295">
        <f>(IF('Section Load'!M7&gt;0,'Section Load'!M7,0))</f>
        <v>475.35699999999997</v>
      </c>
      <c r="M4" s="1295">
        <f>(IF('Section Load'!N7&gt;0,'Section Load'!N7,0))</f>
        <v>14</v>
      </c>
      <c r="N4" s="1295">
        <f>(IF('Section Load'!O7&gt;0,'Section Load'!O7,0))</f>
        <v>2</v>
      </c>
      <c r="O4" s="1295">
        <f>(IF('Section Load'!P7&gt;0,'Section Load'!P7,0))</f>
        <v>0</v>
      </c>
      <c r="P4" s="1295">
        <f>(IF('Section Load'!Q7&gt;0,'Section Load'!Q7,0))</f>
        <v>49.940000000000509</v>
      </c>
      <c r="Q4" s="1295">
        <f>(IF('Section Load'!R7&gt;0,'Section Load'!R7,0))</f>
        <v>57.199999999999818</v>
      </c>
      <c r="R4" s="1295">
        <f>(IF('Section Load'!S7&gt;0,'Section Load'!S7,0))</f>
        <v>46</v>
      </c>
      <c r="S4" s="1295">
        <f>(IF('Section Load'!T7&gt;0,'Section Load'!T7,0))</f>
        <v>47</v>
      </c>
      <c r="T4" s="1295">
        <f>(IF('Section Load'!U7&gt;0,'Section Load'!U7,0))</f>
        <v>153</v>
      </c>
      <c r="U4" s="1295">
        <f>(IF('Section Load'!V7&gt;0,'Section Load'!V7,0))</f>
        <v>401.40000000002328</v>
      </c>
      <c r="V4" s="1295">
        <f>(IF('Section Load'!W7&gt;0,'Section Load'!W7,0))</f>
        <v>93.199999999953434</v>
      </c>
      <c r="W4" s="1295">
        <f>(IF('Section Load'!X7&gt;0,'Section Load'!X7,0))</f>
        <v>11.120000000009895</v>
      </c>
      <c r="X4" s="1295">
        <f>(IF('Section Load'!Y7&gt;0,'Section Load'!Y7,0))</f>
        <v>232.05999999999767</v>
      </c>
      <c r="Y4" s="1295">
        <f>(IF('Section Load'!Z7&gt;0,'Section Load'!Z7,0))</f>
        <v>218</v>
      </c>
      <c r="Z4" s="1295">
        <f>(IF('Section Load'!AA7&gt;0,'Section Load'!AA7,0))</f>
        <v>33.919999999983702</v>
      </c>
      <c r="AA4" s="1295">
        <f>(IF('Section Load'!AB7&gt;0,'Section Load'!AB7,0))</f>
        <v>21</v>
      </c>
      <c r="AB4" s="1295">
        <f>(IF('Section Load'!AC7&gt;0,'Section Load'!AC7,0))</f>
        <v>24.660000000003492</v>
      </c>
      <c r="AC4" s="1295">
        <f>(IF('Section Load'!AD7&gt;0,'Section Load'!AD7,0))</f>
        <v>11.400000000001455</v>
      </c>
      <c r="AD4" s="1295">
        <f>(IF('Section Load'!AE7&gt;0,'Section Load'!AE7,0))</f>
        <v>0</v>
      </c>
      <c r="AE4" s="1295">
        <f>(IF('Section Load'!AF7&gt;0,'Section Load'!AF7,0))</f>
        <v>0</v>
      </c>
      <c r="AF4" s="1295">
        <f>(IF('Section Load'!AG7&gt;0,'Section Load'!AG7,0))</f>
        <v>181.19000000000233</v>
      </c>
      <c r="AG4" s="1295">
        <f>(IF('Section Load'!AH7&gt;0,'Section Load'!AH7,0))</f>
        <v>177.63000000000466</v>
      </c>
      <c r="AH4" s="1295">
        <f>(IF('Section Load'!AI7&gt;0,'Section Load'!AI7,0))</f>
        <v>246.58000000000175</v>
      </c>
      <c r="AI4" s="1295">
        <f>(IF('Section Load'!AJ7&gt;0,'Section Load'!AJ7,0))</f>
        <v>308.92000000001281</v>
      </c>
      <c r="AJ4" s="1295">
        <f>(IF('Section Load'!AK7&gt;0,'Section Load'!AK7,0))</f>
        <v>0</v>
      </c>
      <c r="AK4" s="1295">
        <f>(IF('Section Load'!AL7&gt;0,'Section Load'!AL7,0))</f>
        <v>87.179999999993015</v>
      </c>
      <c r="AL4" s="1295">
        <f>(IF('Section Load'!AM7&gt;0,'Section Load'!AM7,0))</f>
        <v>756</v>
      </c>
      <c r="AM4" s="1296">
        <f>(IF('Water Report'!$F$7&gt;0,'Water Report'!$F$7,0))</f>
        <v>56</v>
      </c>
      <c r="AN4" s="1296">
        <f>(IF('Water Report'!$F$8&gt;0,'Water Report'!$F$8,0))</f>
        <v>99</v>
      </c>
      <c r="AO4" s="1296">
        <f>(IF('Water Report'!$F$9&gt;0,'Water Report'!$G$9,0))</f>
        <v>27</v>
      </c>
      <c r="AP4" s="1296">
        <f>(IF('Water Report'!$F$10&gt;0,'Water Report'!$F$10,0))</f>
        <v>10</v>
      </c>
      <c r="AQ4" s="1296">
        <f>(IF('Water Report'!$F$11&gt;0,'Water Report'!$F$11,0))</f>
        <v>11</v>
      </c>
      <c r="AR4" s="1296">
        <f>(IF('Water Report'!$F$13&gt;0,'Water Report'!$F$13,0))</f>
        <v>7</v>
      </c>
      <c r="AS4" s="1296">
        <f>(IF('Water Report'!$F$14&gt;0,'Water Report'!$F$14,0))</f>
        <v>23</v>
      </c>
      <c r="AT4" s="1296">
        <f>(IF('Water Report'!$F$15&gt;0,'Water Report'!$F$15,0))</f>
        <v>3</v>
      </c>
      <c r="AU4" s="1296">
        <f>(IF('Water Report'!$F$17&gt;0,'Water Report'!$F$17,0))</f>
        <v>0</v>
      </c>
      <c r="AV4" s="1296">
        <f>(IF('Water Report'!$F$18&gt;0,'Water Report'!$F$18,0))</f>
        <v>13</v>
      </c>
      <c r="AW4" s="1296">
        <f>(IF('Water Report'!$F$19&gt;0,'Water Report'!$F$19,0))</f>
        <v>0</v>
      </c>
      <c r="AX4" s="1371">
        <f>(IF('Water Report'!$F$21&gt;0,'Water Report'!$F$21,0))</f>
        <v>87</v>
      </c>
      <c r="AY4" s="1371">
        <f>(IF('Water Report'!$F$22&gt;0,'Water Report'!$F$22,0))</f>
        <v>0</v>
      </c>
      <c r="AZ4" s="1371">
        <f>(IF('Water Report'!$F$23&gt;0,'Water Report'!$F$23,0))</f>
        <v>14</v>
      </c>
      <c r="BA4" s="1371">
        <f>(IF('Water Report'!$F$14&gt;0,'Water Report'!$F$14,0))</f>
        <v>23</v>
      </c>
      <c r="BB4" s="1371">
        <f>(IF('Water Report'!$F$15&gt;0,'Water Report'!$F$15,0))</f>
        <v>3</v>
      </c>
      <c r="BC4" s="1371">
        <f>(IF('Water Report'!$F$13&gt;0,'Water Report'!$F$13,0))</f>
        <v>7</v>
      </c>
      <c r="BD4" s="1371">
        <f>(IF('Water Report'!$F$24&gt;0,'Water Report'!$F$24,0))</f>
        <v>143</v>
      </c>
      <c r="BE4" s="1371">
        <f>(IF('Water Report'!$F$25&gt;0,'Water Report'!$F$25,0))</f>
        <v>118</v>
      </c>
      <c r="BF4" s="1371">
        <f>(IF('Water Report'!$F$27&gt;0,'Water Report'!$F$27,0))</f>
        <v>108</v>
      </c>
      <c r="BG4" s="1297">
        <f>(IF('Section Load'!AN7&gt;0,'Section Load'!AN7,0))</f>
        <v>615.80400000000373</v>
      </c>
      <c r="BH4" s="1297">
        <f>(IF('Section Load'!AO7&gt;0,'Section Load'!AO7,0))</f>
        <v>178.45000000006985</v>
      </c>
      <c r="BI4" s="1297">
        <f>(IF('Section Load'!AP7&gt;0,'Section Load'!AP7,0))</f>
        <v>0</v>
      </c>
      <c r="BJ4" s="1297">
        <f>(IF('Section Load'!AQ7&gt;0,'Section Load'!AQ7,0))</f>
        <v>62.690000000002328</v>
      </c>
      <c r="BK4" s="1297">
        <f>(IF('Section Load'!AR7&gt;0,'Section Load'!AR7,0))</f>
        <v>0</v>
      </c>
      <c r="BL4" s="1297">
        <f>(IF('Section Load'!AS7&gt;0,'Section Load'!AS7,0))</f>
        <v>0</v>
      </c>
      <c r="BM4" s="1297">
        <f>(IF('Section Load'!AT7&gt;0,'Section Load'!AT7,0))</f>
        <v>374.66399999993155</v>
      </c>
    </row>
    <row r="5" spans="1:65">
      <c r="A5" s="1279" t="s">
        <v>300</v>
      </c>
      <c r="B5" s="1280">
        <f t="shared" si="0"/>
        <v>4</v>
      </c>
      <c r="C5" s="1280">
        <v>6</v>
      </c>
      <c r="D5" s="1280">
        <v>2021</v>
      </c>
      <c r="E5" s="1295">
        <f>(IF('Section Load'!F8&gt;0,'Section Load'!F8,0))</f>
        <v>2421.5200000000186</v>
      </c>
      <c r="F5" s="1295">
        <f>(IF('Section Load'!G8&gt;0,'Section Load'!G8,0))</f>
        <v>1305.7000000000116</v>
      </c>
      <c r="G5" s="1295">
        <f>(IF('Section Load'!H8&gt;0,'Section Load'!H8,0))</f>
        <v>1089.3699999999953</v>
      </c>
      <c r="H5" s="1295">
        <f>(IF('Section Load'!I8&gt;0,'Section Load'!I8,0))</f>
        <v>2762.9400000000023</v>
      </c>
      <c r="I5" s="1295">
        <f>(IF('Section Load'!J8&gt;0,'Section Load'!J8,0))</f>
        <v>4466.5599999999395</v>
      </c>
      <c r="J5" s="1295">
        <f>(IF('Section Load'!K8&gt;0,'Section Load'!K8,0))</f>
        <v>2358.8000000000466</v>
      </c>
      <c r="K5" s="1295">
        <f>(IF('Section Load'!L8&gt;0,'Section Load'!L8,0))</f>
        <v>1026.2000000000116</v>
      </c>
      <c r="L5" s="1295">
        <f>(IF('Section Load'!M8&gt;0,'Section Load'!M8,0))</f>
        <v>520.79</v>
      </c>
      <c r="M5" s="1295">
        <f>(IF('Section Load'!N8&gt;0,'Section Load'!N8,0))</f>
        <v>12</v>
      </c>
      <c r="N5" s="1295">
        <f>(IF('Section Load'!O8&gt;0,'Section Load'!O8,0))</f>
        <v>0</v>
      </c>
      <c r="O5" s="1295">
        <f>(IF('Section Load'!P8&gt;0,'Section Load'!P8,0))</f>
        <v>0</v>
      </c>
      <c r="P5" s="1295">
        <f>(IF('Section Load'!Q8&gt;0,'Section Load'!Q8,0))</f>
        <v>0</v>
      </c>
      <c r="Q5" s="1295">
        <f>(IF('Section Load'!R8&gt;0,'Section Load'!R8,0))</f>
        <v>62.019999999999527</v>
      </c>
      <c r="R5" s="1295">
        <f>(IF('Section Load'!S8&gt;0,'Section Load'!S8,0))</f>
        <v>49</v>
      </c>
      <c r="S5" s="1295">
        <f>(IF('Section Load'!T8&gt;0,'Section Load'!T8,0))</f>
        <v>93</v>
      </c>
      <c r="T5" s="1295">
        <f>(IF('Section Load'!U8&gt;0,'Section Load'!U8,0))</f>
        <v>151</v>
      </c>
      <c r="U5" s="1295">
        <f>(IF('Section Load'!V8&gt;0,'Section Load'!V8,0))</f>
        <v>343.6600000000326</v>
      </c>
      <c r="V5" s="1295">
        <f>(IF('Section Load'!W8&gt;0,'Section Load'!W8,0))</f>
        <v>86.599999999976717</v>
      </c>
      <c r="W5" s="1295">
        <f>(IF('Section Load'!X8&gt;0,'Section Load'!X8,0))</f>
        <v>10.059999999997672</v>
      </c>
      <c r="X5" s="1295">
        <f>(IF('Section Load'!Y8&gt;0,'Section Load'!Y8,0))</f>
        <v>3</v>
      </c>
      <c r="Y5" s="1295">
        <f>(IF('Section Load'!Z8&gt;0,'Section Load'!Z8,0))</f>
        <v>163</v>
      </c>
      <c r="Z5" s="1295">
        <f>(IF('Section Load'!AA8&gt;0,'Section Load'!AA8,0))</f>
        <v>28.540000000037253</v>
      </c>
      <c r="AA5" s="1295">
        <f>(IF('Section Load'!AB8&gt;0,'Section Load'!AB8,0))</f>
        <v>17.80000000000291</v>
      </c>
      <c r="AB5" s="1295">
        <f>(IF('Section Load'!AC8&gt;0,'Section Load'!AC8,0))</f>
        <v>74.770000000018626</v>
      </c>
      <c r="AC5" s="1295">
        <f>(IF('Section Load'!AD8&gt;0,'Section Load'!AD8,0))</f>
        <v>10.100000000000364</v>
      </c>
      <c r="AD5" s="1295">
        <f>(IF('Section Load'!AE8&gt;0,'Section Load'!AE8,0))</f>
        <v>0</v>
      </c>
      <c r="AE5" s="1295">
        <f>(IF('Section Load'!AF8&gt;0,'Section Load'!AF8,0))</f>
        <v>0</v>
      </c>
      <c r="AF5" s="1295">
        <f>(IF('Section Load'!AG8&gt;0,'Section Load'!AG8,0))</f>
        <v>197.36999999999534</v>
      </c>
      <c r="AG5" s="1295">
        <f>(IF('Section Load'!AH8&gt;0,'Section Load'!AH8,0))</f>
        <v>184.45999999999185</v>
      </c>
      <c r="AH5" s="1295">
        <f>(IF('Section Load'!AI8&gt;0,'Section Load'!AI8,0))</f>
        <v>319.11000000000058</v>
      </c>
      <c r="AI5" s="1295">
        <f>(IF('Section Load'!AJ8&gt;0,'Section Load'!AJ8,0))</f>
        <v>438.05999999999767</v>
      </c>
      <c r="AJ5" s="1295">
        <f>(IF('Section Load'!AK8&gt;0,'Section Load'!AK8,0))</f>
        <v>0</v>
      </c>
      <c r="AK5" s="1295">
        <f>(IF('Section Load'!AL8&gt;0,'Section Load'!AL8,0))</f>
        <v>92.5</v>
      </c>
      <c r="AL5" s="1295">
        <f>(IF('Section Load'!AM8&gt;0,'Section Load'!AM8,0))</f>
        <v>790</v>
      </c>
      <c r="AM5" s="1296">
        <f>(IF('Water Report'!$G$7&gt;0,'Water Report'!$F$7,0))</f>
        <v>56</v>
      </c>
      <c r="AN5" s="1296">
        <f>(IF('Water Report'!$G$8&gt;0,'Water Report'!$F$8,0))</f>
        <v>99</v>
      </c>
      <c r="AO5" s="1296">
        <f>(IF('Water Report'!$G$9&gt;0,'Water Report'!$H$9,0))</f>
        <v>50</v>
      </c>
      <c r="AP5" s="1296">
        <f>(IF('Water Report'!$G$10&gt;0,'Water Report'!$G$10,0))</f>
        <v>9</v>
      </c>
      <c r="AQ5" s="1296">
        <f>(IF('Water Report'!$G$11&gt;0,'Water Report'!$G$11,0))</f>
        <v>15</v>
      </c>
      <c r="AR5" s="1296">
        <f>(IF('Water Report'!$G$13&gt;0,'Water Report'!$G$13,0))</f>
        <v>10</v>
      </c>
      <c r="AS5" s="1296">
        <f>(IF('Water Report'!$G$14&gt;0,'Water Report'!$G$14,0))</f>
        <v>9</v>
      </c>
      <c r="AT5" s="1296">
        <f>(IF('Water Report'!$G$15&gt;0,'Water Report'!$G$15,0))</f>
        <v>5</v>
      </c>
      <c r="AU5" s="1296">
        <f>(IF('Water Report'!$G$17&gt;0,'Water Report'!$G$17,0))</f>
        <v>0</v>
      </c>
      <c r="AV5" s="1296">
        <f>(IF('Water Report'!$G$18&gt;0,'Water Report'!$G$18,0))</f>
        <v>0</v>
      </c>
      <c r="AW5" s="1296">
        <f>(IF('Water Report'!$G$19&gt;0,'Water Report'!$G$19,0))</f>
        <v>6</v>
      </c>
      <c r="AX5" s="1371">
        <f>(IF('Water Report'!$G$21&gt;0,'Water Report'!$G$21,0))</f>
        <v>65</v>
      </c>
      <c r="AY5" s="1371">
        <f>(IF('Water Report'!$G$22&gt;0,'Water Report'!$G$22,0))</f>
        <v>10</v>
      </c>
      <c r="AZ5" s="1371">
        <f>(IF('Water Report'!$G$23&gt;0,'Water Report'!$G$23,0))</f>
        <v>0</v>
      </c>
      <c r="BA5" s="1371">
        <f>(IF('Water Report'!$G$14&gt;0,'Water Report'!$G$14,0))</f>
        <v>9</v>
      </c>
      <c r="BB5" s="1371">
        <f>(IF('Water Report'!$G$15&gt;0,'Water Report'!$G$15,0))</f>
        <v>5</v>
      </c>
      <c r="BC5" s="1371">
        <f>(IF('Water Report'!$G$13&gt;0,'Water Report'!$G$13,0))</f>
        <v>10</v>
      </c>
      <c r="BD5" s="1371">
        <f>(IF('Water Report'!$G$24&gt;0,'Water Report'!$G$24,0))</f>
        <v>101</v>
      </c>
      <c r="BE5" s="1371">
        <f>(IF('Water Report'!$G$25&gt;0,'Water Report'!$G$25,0))</f>
        <v>65</v>
      </c>
      <c r="BF5" s="1371">
        <f>(IF('Water Report'!$G$27&gt;0,'Water Report'!$G$27,0))</f>
        <v>75</v>
      </c>
      <c r="BG5" s="1297">
        <f>(IF('Section Load'!AN8&gt;0,'Section Load'!AN8,0))</f>
        <v>302.90400000009686</v>
      </c>
      <c r="BH5" s="1297">
        <f>(IF('Section Load'!AO8&gt;0,'Section Load'!AO8,0))</f>
        <v>179.52999999991152</v>
      </c>
      <c r="BI5" s="1297">
        <f>(IF('Section Load'!AP8&gt;0,'Section Load'!AP8,0))</f>
        <v>0</v>
      </c>
      <c r="BJ5" s="1297">
        <f>(IF('Section Load'!AQ8&gt;0,'Section Load'!AQ8,0))</f>
        <v>68.400000000023283</v>
      </c>
      <c r="BK5" s="1297">
        <f>(IF('Section Load'!AR8&gt;0,'Section Load'!AR8,0))</f>
        <v>0</v>
      </c>
      <c r="BL5" s="1297">
        <f>(IF('Section Load'!AS8&gt;0,'Section Load'!AS8,0))</f>
        <v>0</v>
      </c>
      <c r="BM5" s="1297">
        <f>(IF('Section Load'!AT8&gt;0,'Section Load'!AT8,0))</f>
        <v>55.374000000156229</v>
      </c>
    </row>
    <row r="6" spans="1:65">
      <c r="A6" s="1279" t="s">
        <v>300</v>
      </c>
      <c r="B6" s="1280">
        <f t="shared" si="0"/>
        <v>5</v>
      </c>
      <c r="C6" s="1280">
        <v>6</v>
      </c>
      <c r="D6" s="1280">
        <v>2021</v>
      </c>
      <c r="E6" s="1295">
        <f>(IF('Section Load'!F9&gt;0,'Section Load'!F9,0))</f>
        <v>2427.4400000000605</v>
      </c>
      <c r="F6" s="1295">
        <f>(IF('Section Load'!G9&gt;0,'Section Load'!G9,0))</f>
        <v>1382.5499999999884</v>
      </c>
      <c r="G6" s="1295">
        <f>(IF('Section Load'!H9&gt;0,'Section Load'!H9,0))</f>
        <v>1403.7799999999697</v>
      </c>
      <c r="H6" s="1295">
        <f>(IF('Section Load'!I9&gt;0,'Section Load'!I9,0))</f>
        <v>3287.4400000000023</v>
      </c>
      <c r="I6" s="1295">
        <f>(IF('Section Load'!J9&gt;0,'Section Load'!J9,0))</f>
        <v>5836.539999999979</v>
      </c>
      <c r="J6" s="1295">
        <f>(IF('Section Load'!K9&gt;0,'Section Load'!K9,0))</f>
        <v>2676.1999999999534</v>
      </c>
      <c r="K6" s="1295">
        <f>(IF('Section Load'!L9&gt;0,'Section Load'!L9,0))</f>
        <v>1410.5199999999604</v>
      </c>
      <c r="L6" s="1295">
        <f>(IF('Section Load'!M9&gt;0,'Section Load'!M9,0))</f>
        <v>927.5</v>
      </c>
      <c r="M6" s="1295">
        <f>(IF('Section Load'!N9&gt;0,'Section Load'!N9,0))</f>
        <v>13</v>
      </c>
      <c r="N6" s="1295">
        <f>(IF('Section Load'!O9&gt;0,'Section Load'!O9,0))</f>
        <v>2</v>
      </c>
      <c r="O6" s="1295">
        <f>(IF('Section Load'!P9&gt;0,'Section Load'!P9,0))</f>
        <v>0</v>
      </c>
      <c r="P6" s="1295">
        <f>(IF('Section Load'!Q9&gt;0,'Section Load'!Q9,0))</f>
        <v>70.729999999999563</v>
      </c>
      <c r="Q6" s="1295">
        <f>(IF('Section Load'!R9&gt;0,'Section Load'!R9,0))</f>
        <v>66.070000000000618</v>
      </c>
      <c r="R6" s="1295">
        <f>(IF('Section Load'!S9&gt;0,'Section Load'!S9,0))</f>
        <v>51</v>
      </c>
      <c r="S6" s="1295">
        <f>(IF('Section Load'!T9&gt;0,'Section Load'!T9,0))</f>
        <v>131</v>
      </c>
      <c r="T6" s="1295">
        <f>(IF('Section Load'!U9&gt;0,'Section Load'!U9,0))</f>
        <v>145</v>
      </c>
      <c r="U6" s="1295">
        <f>(IF('Section Load'!V9&gt;0,'Section Load'!V9,0))</f>
        <v>448.26000000000931</v>
      </c>
      <c r="V6" s="1295">
        <f>(IF('Section Load'!W9&gt;0,'Section Load'!W9,0))</f>
        <v>90.400000000023283</v>
      </c>
      <c r="W6" s="1295">
        <f>(IF('Section Load'!X9&gt;0,'Section Load'!X9,0))</f>
        <v>27.129999999990105</v>
      </c>
      <c r="X6" s="1295">
        <f>(IF('Section Load'!Y9&gt;0,'Section Load'!Y9,0))</f>
        <v>107.81000000000495</v>
      </c>
      <c r="Y6" s="1295">
        <f>(IF('Section Load'!Z9&gt;0,'Section Load'!Z9,0))</f>
        <v>270</v>
      </c>
      <c r="Z6" s="1295">
        <f>(IF('Section Load'!AA9&gt;0,'Section Load'!AA9,0))</f>
        <v>31.459999999962747</v>
      </c>
      <c r="AA6" s="1295">
        <f>(IF('Section Load'!AB9&gt;0,'Section Load'!AB9,0))</f>
        <v>15</v>
      </c>
      <c r="AB6" s="1295">
        <f>(IF('Section Load'!AC9&gt;0,'Section Load'!AC9,0))</f>
        <v>27.269999999989523</v>
      </c>
      <c r="AC6" s="1295">
        <f>(IF('Section Load'!AD9&gt;0,'Section Load'!AD9,0))</f>
        <v>18</v>
      </c>
      <c r="AD6" s="1295">
        <f>(IF('Section Load'!AE9&gt;0,'Section Load'!AE9,0))</f>
        <v>0</v>
      </c>
      <c r="AE6" s="1295">
        <f>(IF('Section Load'!AF9&gt;0,'Section Load'!AF9,0))</f>
        <v>0</v>
      </c>
      <c r="AF6" s="1295">
        <f>(IF('Section Load'!AG9&gt;0,'Section Load'!AG9,0))</f>
        <v>255.30999999999767</v>
      </c>
      <c r="AG6" s="1295">
        <f>(IF('Section Load'!AH9&gt;0,'Section Load'!AH9,0))</f>
        <v>343.46000000002095</v>
      </c>
      <c r="AH6" s="1295">
        <f>(IF('Section Load'!AI9&gt;0,'Section Load'!AI9,0))</f>
        <v>397.37000000000262</v>
      </c>
      <c r="AI6" s="1295">
        <f>(IF('Section Load'!AJ9&gt;0,'Section Load'!AJ9,0))</f>
        <v>487.05999999999767</v>
      </c>
      <c r="AJ6" s="1295">
        <f>(IF('Section Load'!AK9&gt;0,'Section Load'!AK9,0))</f>
        <v>0</v>
      </c>
      <c r="AK6" s="1295">
        <f>(IF('Section Load'!AL9&gt;0,'Section Load'!AL9,0))</f>
        <v>128.05000000000291</v>
      </c>
      <c r="AL6" s="1295">
        <f>(IF('Section Load'!AM9&gt;0,'Section Load'!AM9,0))</f>
        <v>877</v>
      </c>
      <c r="AM6" s="1296">
        <f>(IF('Water Report'!$H$7&gt;0,'Water Report'!$H$7,0))</f>
        <v>51</v>
      </c>
      <c r="AN6" s="1296">
        <f>(IF('Water Report'!$H$8&gt;0,'Water Report'!$H$8,0))</f>
        <v>108</v>
      </c>
      <c r="AO6" s="1296">
        <f>(IF('Water Report'!$H$9&gt;0,'Water Report'!$H$9,0))</f>
        <v>50</v>
      </c>
      <c r="AP6" s="1296">
        <f>(IF('Water Report'!$H$10&gt;0,'Water Report'!$H$10,0))</f>
        <v>14</v>
      </c>
      <c r="AQ6" s="1296">
        <f>(IF('Water Report'!$H$11&gt;0,'Water Report'!$H$11,0))</f>
        <v>29</v>
      </c>
      <c r="AR6" s="1296">
        <f>(IF('Water Report'!$H$13&gt;0,'Water Report'!$H$13,0))</f>
        <v>5</v>
      </c>
      <c r="AS6" s="1296">
        <f>(IF('Water Report'!$H$14&gt;0,'Water Report'!$H$14,0))</f>
        <v>12</v>
      </c>
      <c r="AT6" s="1296">
        <f>(IF('Water Report'!$H$15&gt;0,'Water Report'!$H$15,0))</f>
        <v>8</v>
      </c>
      <c r="AU6" s="1296">
        <f>(IF('Water Report'!$H$17&gt;0,'Water Report'!$H$17,0))</f>
        <v>0</v>
      </c>
      <c r="AV6" s="1296">
        <f>(IF('Water Report'!$H$18&gt;0,'Water Report'!$H$18,0))</f>
        <v>1</v>
      </c>
      <c r="AW6" s="1296">
        <f>(IF('Water Report'!$H$19&gt;0,'Water Report'!$H$19,0))</f>
        <v>3</v>
      </c>
      <c r="AX6" s="1371">
        <f>(IF('Water Report'!$H$21&gt;0,'Water Report'!$H$21,0))</f>
        <v>88</v>
      </c>
      <c r="AY6" s="1371">
        <f>(IF('Water Report'!$H$22&gt;0,'Water Report'!$H$22,0))</f>
        <v>17</v>
      </c>
      <c r="AZ6" s="1371">
        <f>(IF('Water Report'!$H$23&gt;0,'Water Report'!$H$23,0))</f>
        <v>15</v>
      </c>
      <c r="BA6" s="1371">
        <f>(IF('Water Report'!$H$14&gt;0,'Water Report'!$H$14,0))</f>
        <v>12</v>
      </c>
      <c r="BB6" s="1371">
        <f>(IF('Water Report'!$H$15&gt;0,'Water Report'!$H$15,0))</f>
        <v>8</v>
      </c>
      <c r="BC6" s="1371">
        <f>(IF('Water Report'!$H$13&gt;0,'Water Report'!$H$13,0))</f>
        <v>5</v>
      </c>
      <c r="BD6" s="1371">
        <f>(IF('Water Report'!$H$24&gt;0,'Water Report'!$H$24,0))</f>
        <v>102</v>
      </c>
      <c r="BE6" s="1371">
        <f>(IF('Water Report'!$H$25&gt;0,'Water Report'!$H$25,0))</f>
        <v>113</v>
      </c>
      <c r="BF6" s="1371">
        <f>(IF('Water Report'!$H$27&gt;0,'Water Report'!$H$27,0))</f>
        <v>108</v>
      </c>
      <c r="BG6" s="1297">
        <f>(IF('Section Load'!AN9&gt;0,'Section Load'!AN9,0))</f>
        <v>453.90200000000186</v>
      </c>
      <c r="BH6" s="1297">
        <f>(IF('Section Load'!AO9&gt;0,'Section Load'!AO9,0))</f>
        <v>181.65000000002328</v>
      </c>
      <c r="BI6" s="1297">
        <f>(IF('Section Load'!AP9&gt;0,'Section Load'!AP9,0))</f>
        <v>0</v>
      </c>
      <c r="BJ6" s="1297">
        <f>(IF('Section Load'!AQ9&gt;0,'Section Load'!AQ9,0))</f>
        <v>61.129999999975553</v>
      </c>
      <c r="BK6" s="1297">
        <f>(IF('Section Load'!AR9&gt;0,'Section Load'!AR9,0))</f>
        <v>2.8999999999978172</v>
      </c>
      <c r="BL6" s="1297">
        <f>(IF('Section Load'!AS9&gt;0,'Section Load'!AS9,0))</f>
        <v>0.19999999999890861</v>
      </c>
      <c r="BM6" s="1297">
        <f>(IF('Section Load'!AT9&gt;0,'Section Load'!AT9,0))</f>
        <v>208.0220000000063</v>
      </c>
    </row>
    <row r="7" spans="1:65">
      <c r="A7" s="1279" t="s">
        <v>300</v>
      </c>
      <c r="B7" s="1280">
        <f t="shared" si="0"/>
        <v>6</v>
      </c>
      <c r="C7" s="1280">
        <v>6</v>
      </c>
      <c r="D7" s="1280">
        <v>2021</v>
      </c>
      <c r="E7" s="1295">
        <f>(IF('Section Load'!F10&gt;0,'Section Load'!F10,0))</f>
        <v>2676.4000000000233</v>
      </c>
      <c r="F7" s="1295">
        <f>(IF('Section Load'!G10&gt;0,'Section Load'!G10,0))</f>
        <v>1373</v>
      </c>
      <c r="G7" s="1295">
        <f>(IF('Section Load'!H10&gt;0,'Section Load'!H10,0))</f>
        <v>1420.2099999999919</v>
      </c>
      <c r="H7" s="1295">
        <f>(IF('Section Load'!I10&gt;0,'Section Load'!I10,0))</f>
        <v>3169.640000000014</v>
      </c>
      <c r="I7" s="1295">
        <f>(IF('Section Load'!J10&gt;0,'Section Load'!J10,0))</f>
        <v>5049.8000000000466</v>
      </c>
      <c r="J7" s="1295">
        <f>(IF('Section Load'!K10&gt;0,'Section Load'!K10,0))</f>
        <v>2410.1000000000931</v>
      </c>
      <c r="K7" s="1295">
        <f>(IF('Section Load'!L10&gt;0,'Section Load'!L10,0))</f>
        <v>1017.0400000000373</v>
      </c>
      <c r="L7" s="1295">
        <f>(IF('Section Load'!M10&gt;0,'Section Load'!M10,0))</f>
        <v>502.36000000000013</v>
      </c>
      <c r="M7" s="1295">
        <f>(IF('Section Load'!N10&gt;0,'Section Load'!N10,0))</f>
        <v>13</v>
      </c>
      <c r="N7" s="1295">
        <f>(IF('Section Load'!O10&gt;0,'Section Load'!O10,0))</f>
        <v>1</v>
      </c>
      <c r="O7" s="1295">
        <f>(IF('Section Load'!P10&gt;0,'Section Load'!P10,0))</f>
        <v>0</v>
      </c>
      <c r="P7" s="1295">
        <f>(IF('Section Load'!Q10&gt;0,'Section Load'!Q10,0))</f>
        <v>81.81000000000131</v>
      </c>
      <c r="Q7" s="1295">
        <f>(IF('Section Load'!R10&gt;0,'Section Load'!R10,0))</f>
        <v>59.739999999999782</v>
      </c>
      <c r="R7" s="1295">
        <f>(IF('Section Load'!S10&gt;0,'Section Load'!S10,0))</f>
        <v>54</v>
      </c>
      <c r="S7" s="1295">
        <f>(IF('Section Load'!T10&gt;0,'Section Load'!T10,0))</f>
        <v>135</v>
      </c>
      <c r="T7" s="1295">
        <f>(IF('Section Load'!U10&gt;0,'Section Load'!U10,0))</f>
        <v>166</v>
      </c>
      <c r="U7" s="1295">
        <f>(IF('Section Load'!V10&gt;0,'Section Load'!V10,0))</f>
        <v>421.47999999998137</v>
      </c>
      <c r="V7" s="1295">
        <f>(IF('Section Load'!W10&gt;0,'Section Load'!W10,0))</f>
        <v>91.07999999995809</v>
      </c>
      <c r="W7" s="1295">
        <f>(IF('Section Load'!X10&gt;0,'Section Load'!X10,0))</f>
        <v>11.840000000011059</v>
      </c>
      <c r="X7" s="1295">
        <f>(IF('Section Load'!Y10&gt;0,'Section Load'!Y10,0))</f>
        <v>161.5199999999968</v>
      </c>
      <c r="Y7" s="1295">
        <f>(IF('Section Load'!Z10&gt;0,'Section Load'!Z10,0))</f>
        <v>300</v>
      </c>
      <c r="Z7" s="1295">
        <f>(IF('Section Load'!AA10&gt;0,'Section Load'!AA10,0))</f>
        <v>30.92000000004191</v>
      </c>
      <c r="AA7" s="1295">
        <f>(IF('Section Load'!AB10&gt;0,'Section Load'!AB10,0))</f>
        <v>11</v>
      </c>
      <c r="AB7" s="1295">
        <f>(IF('Section Load'!AC10&gt;0,'Section Load'!AC10,0))</f>
        <v>115.45999999999185</v>
      </c>
      <c r="AC7" s="1295">
        <f>(IF('Section Load'!AD10&gt;0,'Section Load'!AD10,0))</f>
        <v>16.900000000001455</v>
      </c>
      <c r="AD7" s="1295">
        <f>(IF('Section Load'!AE10&gt;0,'Section Load'!AE10,0))</f>
        <v>0</v>
      </c>
      <c r="AE7" s="1295">
        <f>(IF('Section Load'!AF10&gt;0,'Section Load'!AF10,0))</f>
        <v>0</v>
      </c>
      <c r="AF7" s="1295">
        <f>(IF('Section Load'!AG10&gt;0,'Section Load'!AG10,0))</f>
        <v>290.86999999999534</v>
      </c>
      <c r="AG7" s="1295">
        <f>(IF('Section Load'!AH10&gt;0,'Section Load'!AH10,0))</f>
        <v>292.22999999998137</v>
      </c>
      <c r="AH7" s="1295">
        <f>(IF('Section Load'!AI10&gt;0,'Section Load'!AI10,0))</f>
        <v>388.47000000000116</v>
      </c>
      <c r="AI7" s="1295">
        <f>(IF('Section Load'!AJ10&gt;0,'Section Load'!AJ10,0))</f>
        <v>457.67999999999302</v>
      </c>
      <c r="AJ7" s="1295">
        <f>(IF('Section Load'!AK10&gt;0,'Section Load'!AK10,0))</f>
        <v>0</v>
      </c>
      <c r="AK7" s="1295">
        <f>(IF('Section Load'!AL10&gt;0,'Section Load'!AL10,0))</f>
        <v>155.15000000000873</v>
      </c>
      <c r="AL7" s="1295">
        <f>(IF('Section Load'!AM10&gt;0,'Section Load'!AM10,0))</f>
        <v>918</v>
      </c>
      <c r="AM7" s="1296">
        <f>(IF('Water Report'!$I$7&gt;0,'Water Report'!$I$7,0))</f>
        <v>85</v>
      </c>
      <c r="AN7" s="1296">
        <f>(IF('Water Report'!$I$8&gt;0,'Water Report'!$I$8,0))</f>
        <v>124</v>
      </c>
      <c r="AO7" s="1296">
        <f>(IF('Water Report'!$I$9&gt;0,'Water Report'!$I$9,0))</f>
        <v>73</v>
      </c>
      <c r="AP7" s="1296">
        <f>(IF('Water Report'!$I$10&gt;0,'Water Report'!$I$10,0))</f>
        <v>21</v>
      </c>
      <c r="AQ7" s="1296">
        <f>(IF('Water Report'!$I$11&gt;0,'Water Report'!$I$11,0))</f>
        <v>30</v>
      </c>
      <c r="AR7" s="1296">
        <f>(IF('Water Report'!$I$13&gt;0,'Water Report'!$I$13,0))</f>
        <v>18</v>
      </c>
      <c r="AS7" s="1296">
        <f>(IF('Water Report'!$I$14&gt;0,'Water Report'!$I$14,0))</f>
        <v>12</v>
      </c>
      <c r="AT7" s="1296">
        <f>(IF('Water Report'!$I$15&gt;0,'Water Report'!$I$15,0))</f>
        <v>13</v>
      </c>
      <c r="AU7" s="1296">
        <f>(IF('Water Report'!$I$17&gt;0,'Water Report'!$I$17,0))</f>
        <v>0</v>
      </c>
      <c r="AV7" s="1296">
        <f>(IF('Water Report'!$I$18&gt;0,'Water Report'!$I$18,0))</f>
        <v>10</v>
      </c>
      <c r="AW7" s="1296">
        <f>(IF('Water Report'!$I$19&gt;0,'Water Report'!$I$19,0))</f>
        <v>5</v>
      </c>
      <c r="AX7" s="1371">
        <f>(IF('Water Report'!$I$21&gt;0,'Water Report'!$I$21,0))</f>
        <v>63</v>
      </c>
      <c r="AY7" s="1371">
        <f>(IF('Water Report'!$I$22&gt;0,'Water Report'!$I$22,0))</f>
        <v>10</v>
      </c>
      <c r="AZ7" s="1371">
        <f>(IF('Water Report'!$I$23&gt;0,'Water Report'!$I$23,0))</f>
        <v>0</v>
      </c>
      <c r="BA7" s="1371">
        <f>(IF('Water Report'!$I$14&gt;0,'Water Report'!$I$14,0))</f>
        <v>12</v>
      </c>
      <c r="BB7" s="1371">
        <f>(IF('Water Report'!$I$15&gt;0,'Water Report'!$I$15,0))</f>
        <v>13</v>
      </c>
      <c r="BC7" s="1371">
        <f>(IF('Water Report'!$I$13&gt;0,'Water Report'!$I$13,0))</f>
        <v>18</v>
      </c>
      <c r="BD7" s="1371">
        <f>(IF('Water Report'!$I$24&gt;0,'Water Report'!$I$24,0))</f>
        <v>175</v>
      </c>
      <c r="BE7" s="1371">
        <f>(IF('Water Report'!$I$25&gt;0,'Water Report'!$I$25,0))</f>
        <v>149</v>
      </c>
      <c r="BF7" s="1371">
        <f>(IF('Water Report'!$I$27&gt;0,'Water Report'!$I$27,0))</f>
        <v>81</v>
      </c>
      <c r="BG7" s="1297">
        <f>(IF('Section Load'!AN10&gt;0,'Section Load'!AN10,0))</f>
        <v>556.86999999987893</v>
      </c>
      <c r="BH7" s="1297">
        <f>(IF('Section Load'!AO10&gt;0,'Section Load'!AO10,0))</f>
        <v>189.30000000004657</v>
      </c>
      <c r="BI7" s="1297">
        <f>(IF('Section Load'!AP10&gt;0,'Section Load'!AP10,0))</f>
        <v>0.39999999999417923</v>
      </c>
      <c r="BJ7" s="1297">
        <f>(IF('Section Load'!AQ10&gt;0,'Section Load'!AQ10,0))</f>
        <v>71.570000000006985</v>
      </c>
      <c r="BK7" s="1297">
        <f>(IF('Section Load'!AR10&gt;0,'Section Load'!AR10,0))</f>
        <v>0</v>
      </c>
      <c r="BL7" s="1297">
        <f>(IF('Section Load'!AS10&gt;0,'Section Load'!AS10,0))</f>
        <v>0</v>
      </c>
      <c r="BM7" s="1297">
        <f>(IF('Section Load'!AT10&gt;0,'Section Load'!AT10,0))</f>
        <v>295.5999999998312</v>
      </c>
    </row>
    <row r="8" spans="1:65">
      <c r="A8" s="1279" t="s">
        <v>300</v>
      </c>
      <c r="B8" s="1280">
        <f t="shared" si="0"/>
        <v>7</v>
      </c>
      <c r="C8" s="1280">
        <v>6</v>
      </c>
      <c r="D8" s="1280">
        <v>2021</v>
      </c>
      <c r="E8" s="1295">
        <f>(IF('Section Load'!F11&gt;0,'Section Load'!F11,0))</f>
        <v>2464.9599999999627</v>
      </c>
      <c r="F8" s="1295">
        <f>(IF('Section Load'!G11&gt;0,'Section Load'!G11,0))</f>
        <v>1289.6199999999953</v>
      </c>
      <c r="G8" s="1295">
        <f>(IF('Section Load'!H11&gt;0,'Section Load'!H11,0))</f>
        <v>1221.3999999999942</v>
      </c>
      <c r="H8" s="1295">
        <f>(IF('Section Load'!I11&gt;0,'Section Load'!I11,0))</f>
        <v>2961.6600000000326</v>
      </c>
      <c r="I8" s="1295">
        <f>(IF('Section Load'!J11&gt;0,'Section Load'!J11,0))</f>
        <v>4822.7399999999616</v>
      </c>
      <c r="J8" s="1295">
        <f>(IF('Section Load'!K11&gt;0,'Section Load'!K11,0))</f>
        <v>2436.8999999999069</v>
      </c>
      <c r="K8" s="1295">
        <f>(IF('Section Load'!L11&gt;0,'Section Load'!L11,0))</f>
        <v>844.47999999998137</v>
      </c>
      <c r="L8" s="1295">
        <f>(IF('Section Load'!M11&gt;0,'Section Load'!M11,0))</f>
        <v>523.92999999999984</v>
      </c>
      <c r="M8" s="1295">
        <f>(IF('Section Load'!N11&gt;0,'Section Load'!N11,0))</f>
        <v>17</v>
      </c>
      <c r="N8" s="1295">
        <f>(IF('Section Load'!O11&gt;0,'Section Load'!O11,0))</f>
        <v>1</v>
      </c>
      <c r="O8" s="1295">
        <f>(IF('Section Load'!P11&gt;0,'Section Load'!P11,0))</f>
        <v>0</v>
      </c>
      <c r="P8" s="1295">
        <f>(IF('Section Load'!Q11&gt;0,'Section Load'!Q11,0))</f>
        <v>77.979999999999563</v>
      </c>
      <c r="Q8" s="1295">
        <f>(IF('Section Load'!R11&gt;0,'Section Load'!R11,0))</f>
        <v>60.539999999999964</v>
      </c>
      <c r="R8" s="1295">
        <f>(IF('Section Load'!S11&gt;0,'Section Load'!S11,0))</f>
        <v>46</v>
      </c>
      <c r="S8" s="1295">
        <f>(IF('Section Load'!T11&gt;0,'Section Load'!T11,0))</f>
        <v>99</v>
      </c>
      <c r="T8" s="1295">
        <f>(IF('Section Load'!U11&gt;0,'Section Load'!U11,0))</f>
        <v>140</v>
      </c>
      <c r="U8" s="1295">
        <f>(IF('Section Load'!V11&gt;0,'Section Load'!V11,0))</f>
        <v>333.95999999996275</v>
      </c>
      <c r="V8" s="1295">
        <f>(IF('Section Load'!W11&gt;0,'Section Load'!W11,0))</f>
        <v>90.680000000051223</v>
      </c>
      <c r="W8" s="1295">
        <f>(IF('Section Load'!X11&gt;0,'Section Load'!X11,0))</f>
        <v>11.119999999995343</v>
      </c>
      <c r="X8" s="1295">
        <f>(IF('Section Load'!Y11&gt;0,'Section Load'!Y11,0))</f>
        <v>246.15000000000146</v>
      </c>
      <c r="Y8" s="1295">
        <f>(IF('Section Load'!Z11&gt;0,'Section Load'!Z11,0))</f>
        <v>182</v>
      </c>
      <c r="Z8" s="1295">
        <f>(IF('Section Load'!AA11&gt;0,'Section Load'!AA11,0))</f>
        <v>27.35999999998603</v>
      </c>
      <c r="AA8" s="1295">
        <f>(IF('Section Load'!AB11&gt;0,'Section Load'!AB11,0))</f>
        <v>22.5</v>
      </c>
      <c r="AB8" s="1295">
        <f>(IF('Section Load'!AC11&gt;0,'Section Load'!AC11,0))</f>
        <v>23.010000000009313</v>
      </c>
      <c r="AC8" s="1295">
        <f>(IF('Section Load'!AD11&gt;0,'Section Load'!AD11,0))</f>
        <v>35.399999999995543</v>
      </c>
      <c r="AD8" s="1295">
        <f>(IF('Section Load'!AE11&gt;0,'Section Load'!AE11,0))</f>
        <v>0</v>
      </c>
      <c r="AE8" s="1295">
        <f>(IF('Section Load'!AF11&gt;0,'Section Load'!AF11,0))</f>
        <v>0</v>
      </c>
      <c r="AF8" s="1295">
        <f>(IF('Section Load'!AG11&gt;0,'Section Load'!AG11,0))</f>
        <v>363.02000000001863</v>
      </c>
      <c r="AG8" s="1295">
        <f>(IF('Section Load'!AH11&gt;0,'Section Load'!AH11,0))</f>
        <v>212.49000000001979</v>
      </c>
      <c r="AH8" s="1295">
        <f>(IF('Section Load'!AI11&gt;0,'Section Load'!AI11,0))</f>
        <v>386.30999999999767</v>
      </c>
      <c r="AI8" s="1295">
        <f>(IF('Section Load'!AJ11&gt;0,'Section Load'!AJ11,0))</f>
        <v>374.34000000002561</v>
      </c>
      <c r="AJ8" s="1295">
        <f>(IF('Section Load'!AK11&gt;0,'Section Load'!AK11,0))</f>
        <v>0</v>
      </c>
      <c r="AK8" s="1295">
        <f>(IF('Section Load'!AL11&gt;0,'Section Load'!AL11,0))</f>
        <v>122.19999999999709</v>
      </c>
      <c r="AL8" s="1295">
        <f>(IF('Section Load'!AM11&gt;0,'Section Load'!AM11,0))</f>
        <v>763</v>
      </c>
      <c r="AM8" s="1296">
        <f>(IF('Water Report'!$J$7&gt;0,'Water Report'!$J$7,0))</f>
        <v>57</v>
      </c>
      <c r="AN8" s="1296">
        <f>(IF('Water Report'!$J$8&gt;0,'Water Report'!$J$8,0))</f>
        <v>80</v>
      </c>
      <c r="AO8" s="1296">
        <f>(IF('Water Report'!$J$9&gt;0,'Water Report'!$J$9,0))</f>
        <v>67</v>
      </c>
      <c r="AP8" s="1296">
        <f>(IF('Water Report'!$J$10&gt;0,'Water Report'!$J$10,0))</f>
        <v>7</v>
      </c>
      <c r="AQ8" s="1296">
        <f>(IF('Water Report'!$J$11&gt;0,'Water Report'!$J$11,0))</f>
        <v>19</v>
      </c>
      <c r="AR8" s="1296">
        <f>(IF('Water Report'!$J$13&gt;0,'Water Report'!$J$13,0))</f>
        <v>2</v>
      </c>
      <c r="AS8" s="1296">
        <f>(IF('Water Report'!$J$14&gt;0,'Water Report'!$J$14,0))</f>
        <v>14</v>
      </c>
      <c r="AT8" s="1296">
        <f>(IF('Water Report'!$J$15&gt;0,'Water Report'!$J$15,0))</f>
        <v>7</v>
      </c>
      <c r="AU8" s="1296">
        <f>(IF('Water Report'!$J$17&gt;0,'Water Report'!$J$17,0))</f>
        <v>0</v>
      </c>
      <c r="AV8" s="1296">
        <f>(IF('Water Report'!$J$18&gt;0,'Water Report'!$J$18,0))</f>
        <v>12</v>
      </c>
      <c r="AW8" s="1296">
        <f>(IF('Water Report'!$J$19&gt;0,'Water Report'!$J$19,0))</f>
        <v>4</v>
      </c>
      <c r="AX8" s="1371">
        <f>(IF('Water Report'!$J$21&gt;0,'Water Report'!$J$21,0))</f>
        <v>63</v>
      </c>
      <c r="AY8" s="1371">
        <f>(IF('Water Report'!$J$22&gt;0,'Water Report'!$J$22,0))</f>
        <v>0</v>
      </c>
      <c r="AZ8" s="1371">
        <f>(IF('Water Report'!$J$23&gt;0,'Water Report'!$J$23,0))</f>
        <v>0</v>
      </c>
      <c r="BA8" s="1371">
        <f>(IF('Water Report'!$J$14&gt;0,'Water Report'!$J$14,0))</f>
        <v>14</v>
      </c>
      <c r="BB8" s="1371">
        <f>(IF('Water Report'!$J$15&gt;0,'Water Report'!$J$15,0))</f>
        <v>7</v>
      </c>
      <c r="BC8" s="1371">
        <f>(IF('Water Report'!$J$13&gt;0,'Water Report'!$J$13,0))</f>
        <v>2</v>
      </c>
      <c r="BD8" s="1371">
        <f>(IF('Water Report'!$J$24&gt;0,'Water Report'!$J$24,0))</f>
        <v>122</v>
      </c>
      <c r="BE8" s="1371">
        <f>(IF('Water Report'!$J$25&gt;0,'Water Report'!$J$25,0))</f>
        <v>114</v>
      </c>
      <c r="BF8" s="1371">
        <f>(IF('Water Report'!$J$27&gt;0,'Water Report'!$J$27,0))</f>
        <v>65</v>
      </c>
      <c r="BG8" s="1297">
        <f>(IF('Section Load'!AN11&gt;0,'Section Load'!AN11,0))</f>
        <v>563.6500000001397</v>
      </c>
      <c r="BH8" s="1297">
        <f>(IF('Section Load'!AO11&gt;0,'Section Load'!AO11,0))</f>
        <v>182.21999999997206</v>
      </c>
      <c r="BI8" s="1297">
        <f>(IF('Section Load'!AP11&gt;0,'Section Load'!AP11,0))</f>
        <v>0</v>
      </c>
      <c r="BJ8" s="1297">
        <f>(IF('Section Load'!AQ11&gt;0,'Section Load'!AQ11,0))</f>
        <v>49.880000000004657</v>
      </c>
      <c r="BK8" s="1297">
        <f>(IF('Section Load'!AR11&gt;0,'Section Load'!AR11,0))</f>
        <v>0</v>
      </c>
      <c r="BL8" s="1297">
        <f>(IF('Section Load'!AS11&gt;0,'Section Load'!AS11,0))</f>
        <v>0</v>
      </c>
      <c r="BM8" s="1297">
        <f>(IF('Section Load'!AT11&gt;0,'Section Load'!AT11,0))</f>
        <v>332.05000000015571</v>
      </c>
    </row>
    <row r="9" spans="1:65">
      <c r="A9" s="1279" t="s">
        <v>300</v>
      </c>
      <c r="B9" s="1280">
        <f t="shared" si="0"/>
        <v>8</v>
      </c>
      <c r="C9" s="1280">
        <v>6</v>
      </c>
      <c r="D9" s="1280">
        <v>2021</v>
      </c>
      <c r="E9" s="1295">
        <f>(IF('Section Load'!F12&gt;0,'Section Load'!F12,0))</f>
        <v>2459.6799999999348</v>
      </c>
      <c r="F9" s="1295">
        <f>(IF('Section Load'!G12&gt;0,'Section Load'!G12,0))</f>
        <v>1347.640000000014</v>
      </c>
      <c r="G9" s="1295">
        <f>(IF('Section Load'!H12&gt;0,'Section Load'!H12,0))</f>
        <v>1148.8699999999953</v>
      </c>
      <c r="H9" s="1295">
        <f>(IF('Section Load'!I12&gt;0,'Section Load'!I12,0))</f>
        <v>2920.1999999999534</v>
      </c>
      <c r="I9" s="1295">
        <f>(IF('Section Load'!J12&gt;0,'Section Load'!J12,0))</f>
        <v>5104.1400000000431</v>
      </c>
      <c r="J9" s="1295">
        <f>(IF('Section Load'!K12&gt;0,'Section Load'!K12,0))</f>
        <v>2446.8000000000466</v>
      </c>
      <c r="K9" s="1295">
        <f>(IF('Section Load'!L12&gt;0,'Section Load'!L12,0))</f>
        <v>832.40000000002328</v>
      </c>
      <c r="L9" s="1295">
        <f>(IF('Section Load'!M12&gt;0,'Section Load'!M12,0))</f>
        <v>596.12000000000035</v>
      </c>
      <c r="M9" s="1295">
        <f>(IF('Section Load'!N12&gt;0,'Section Load'!N12,0))</f>
        <v>11</v>
      </c>
      <c r="N9" s="1295">
        <f>(IF('Section Load'!O12&gt;0,'Section Load'!O12,0))</f>
        <v>1</v>
      </c>
      <c r="O9" s="1295">
        <f>(IF('Section Load'!P12&gt;0,'Section Load'!P12,0))</f>
        <v>0</v>
      </c>
      <c r="P9" s="1295">
        <f>(IF('Section Load'!Q12&gt;0,'Section Load'!Q12,0))</f>
        <v>59.690000000000509</v>
      </c>
      <c r="Q9" s="1295">
        <f>(IF('Section Load'!R12&gt;0,'Section Load'!R12,0))</f>
        <v>54.649999999999636</v>
      </c>
      <c r="R9" s="1295">
        <f>(IF('Section Load'!S12&gt;0,'Section Load'!S12,0))</f>
        <v>51</v>
      </c>
      <c r="S9" s="1295">
        <f>(IF('Section Load'!T12&gt;0,'Section Load'!T12,0))</f>
        <v>57</v>
      </c>
      <c r="T9" s="1295">
        <f>(IF('Section Load'!U12&gt;0,'Section Load'!U12,0))</f>
        <v>136</v>
      </c>
      <c r="U9" s="1295">
        <f>(IF('Section Load'!V12&gt;0,'Section Load'!V12,0))</f>
        <v>332</v>
      </c>
      <c r="V9" s="1295">
        <f>(IF('Section Load'!W12&gt;0,'Section Load'!W12,0))</f>
        <v>188</v>
      </c>
      <c r="W9" s="1295">
        <f>(IF('Section Load'!X12&gt;0,'Section Load'!X12,0))</f>
        <v>25.600000000005821</v>
      </c>
      <c r="X9" s="1295">
        <f>(IF('Section Load'!Y12&gt;0,'Section Load'!Y12,0))</f>
        <v>81.25</v>
      </c>
      <c r="Y9" s="1295">
        <f>(IF('Section Load'!Z12&gt;0,'Section Load'!Z12,0))</f>
        <v>165</v>
      </c>
      <c r="Z9" s="1295">
        <f>(IF('Section Load'!AA12&gt;0,'Section Load'!AA12,0))</f>
        <v>33</v>
      </c>
      <c r="AA9" s="1295">
        <f>(IF('Section Load'!AB12&gt;0,'Section Load'!AB12,0))</f>
        <v>35</v>
      </c>
      <c r="AB9" s="1295">
        <f>(IF('Section Load'!AC12&gt;0,'Section Load'!AC12,0))</f>
        <v>26</v>
      </c>
      <c r="AC9" s="1295">
        <f>(IF('Section Load'!AD12&gt;0,'Section Load'!AD12,0))</f>
        <v>20.700000000003001</v>
      </c>
      <c r="AD9" s="1295">
        <f>(IF('Section Load'!AE12&gt;0,'Section Load'!AE12,0))</f>
        <v>0</v>
      </c>
      <c r="AE9" s="1295">
        <f>(IF('Section Load'!AF12&gt;0,'Section Load'!AF12,0))</f>
        <v>0</v>
      </c>
      <c r="AF9" s="1295">
        <f>(IF('Section Load'!AG12&gt;0,'Section Load'!AG12,0))</f>
        <v>338.02999999999884</v>
      </c>
      <c r="AG9" s="1295">
        <f>(IF('Section Load'!AH12&gt;0,'Section Load'!AH12,0))</f>
        <v>197.34999999997672</v>
      </c>
      <c r="AH9" s="1295">
        <f>(IF('Section Load'!AI12&gt;0,'Section Load'!AI12,0))</f>
        <v>407.66999999999825</v>
      </c>
      <c r="AI9" s="1295">
        <f>(IF('Section Load'!AJ12&gt;0,'Section Load'!AJ12,0))</f>
        <v>365.69999999998254</v>
      </c>
      <c r="AJ9" s="1295">
        <f>(IF('Section Load'!AK12&gt;0,'Section Load'!AK12,0))</f>
        <v>0</v>
      </c>
      <c r="AK9" s="1295">
        <f>(IF('Section Load'!AL12&gt;0,'Section Load'!AL12,0))</f>
        <v>102.47000000000116</v>
      </c>
      <c r="AL9" s="1295">
        <f>(IF('Section Load'!AM12&gt;0,'Section Load'!AM12,0))</f>
        <v>696</v>
      </c>
      <c r="AM9" s="1296">
        <f>(IF('Water Report'!$K$7&gt;0,'Water Report'!$K$7,0))</f>
        <v>40</v>
      </c>
      <c r="AN9" s="1296">
        <f>(IF('Water Report'!$K$8&gt;0,'Water Report'!$K$8,0))</f>
        <v>88</v>
      </c>
      <c r="AO9" s="1296">
        <f>(IF('Water Report'!$K$9&gt;0,'Water Report'!$K$9,0))</f>
        <v>34</v>
      </c>
      <c r="AP9" s="1296">
        <f>(IF('Water Report'!$K$10&gt;0,'Water Report'!$K$10,0))</f>
        <v>9</v>
      </c>
      <c r="AQ9" s="1296">
        <f>(IF('Water Report'!$K$11&gt;0,'Water Report'!$K$11,0))</f>
        <v>15</v>
      </c>
      <c r="AR9" s="1296">
        <f>(IF('Water Report'!$K$13&gt;0,'Water Report'!$K$13,0))</f>
        <v>5</v>
      </c>
      <c r="AS9" s="1296">
        <f>(IF('Water Report'!$K$14&gt;0,'Water Report'!$K$14,0))</f>
        <v>31</v>
      </c>
      <c r="AT9" s="1296">
        <f>(IF('Water Report'!$K$15&gt;0,'Water Report'!$K$15,0))</f>
        <v>6</v>
      </c>
      <c r="AU9" s="1296">
        <f>(IF('Water Report'!$K$17&gt;0,'Water Report'!$K$17,0))</f>
        <v>0</v>
      </c>
      <c r="AV9" s="1296">
        <f>(IF('Water Report'!$K$18&gt;0,'Water Report'!$K$18,0))</f>
        <v>0</v>
      </c>
      <c r="AW9" s="1296">
        <f>(IF('Water Report'!$K$19&gt;0,'Water Report'!$K$19,0))</f>
        <v>3</v>
      </c>
      <c r="AX9" s="1371">
        <f>(IF('Water Report'!$K$21&gt;0,'Water Report'!$K$21,0))</f>
        <v>45</v>
      </c>
      <c r="AY9" s="1371">
        <f>(IF('Water Report'!$K$22&gt;0,'Water Report'!$K$22,0))</f>
        <v>17</v>
      </c>
      <c r="AZ9" s="1371">
        <f>(IF('Water Report'!$K$23&gt;0,'Water Report'!$K$23,0))</f>
        <v>0</v>
      </c>
      <c r="BA9" s="1371">
        <f>(IF('Water Report'!$K$14&gt;0,'Water Report'!$K$14,0))</f>
        <v>31</v>
      </c>
      <c r="BB9" s="1371">
        <f>(IF('Water Report'!$K$15&gt;0,'Water Report'!$K$15,0))</f>
        <v>6</v>
      </c>
      <c r="BC9" s="1371">
        <f>(IF('Water Report'!$K$13&gt;0,'Water Report'!$K$13,0))</f>
        <v>5</v>
      </c>
      <c r="BD9" s="1371">
        <f>(IF('Water Report'!$K$24&gt;0,'Water Report'!$K$24,0))</f>
        <v>159</v>
      </c>
      <c r="BE9" s="1371">
        <f>(IF('Water Report'!$K$25&gt;0,'Water Report'!$K$25,0))</f>
        <v>95</v>
      </c>
      <c r="BF9" s="1371">
        <f>(IF('Water Report'!$K$27&gt;0,'Water Report'!$K$27,0))</f>
        <v>50</v>
      </c>
      <c r="BG9" s="1297">
        <f>(IF('Section Load'!AN12&gt;0,'Section Load'!AN12,0))</f>
        <v>406.11999999987893</v>
      </c>
      <c r="BH9" s="1297">
        <f>(IF('Section Load'!AO12&gt;0,'Section Load'!AO12,0))</f>
        <v>178.89000000001397</v>
      </c>
      <c r="BI9" s="1297">
        <f>(IF('Section Load'!AP12&gt;0,'Section Load'!AP12,0))</f>
        <v>0.39999999999417923</v>
      </c>
      <c r="BJ9" s="1297">
        <f>(IF('Section Load'!AQ12&gt;0,'Section Load'!AQ12,0))</f>
        <v>58</v>
      </c>
      <c r="BK9" s="1297">
        <f>(IF('Section Load'!AR12&gt;0,'Section Load'!AR12,0))</f>
        <v>0</v>
      </c>
      <c r="BL9" s="1297">
        <f>(IF('Section Load'!AS12&gt;0,'Section Load'!AS12,0))</f>
        <v>0.1000000000003638</v>
      </c>
      <c r="BM9" s="1297">
        <f>(IF('Section Load'!AT12&gt;0,'Section Load'!AT12,0))</f>
        <v>168.72999999987042</v>
      </c>
    </row>
    <row r="10" spans="1:65">
      <c r="A10" s="1279" t="s">
        <v>300</v>
      </c>
      <c r="B10" s="1280">
        <f t="shared" si="0"/>
        <v>9</v>
      </c>
      <c r="C10" s="1280">
        <v>6</v>
      </c>
      <c r="D10" s="1280">
        <v>2021</v>
      </c>
      <c r="E10" s="1295">
        <f>(IF('Section Load'!F13&gt;0,'Section Load'!F13,0))</f>
        <v>2245.8100000000559</v>
      </c>
      <c r="F10" s="1295">
        <f>(IF('Section Load'!G13&gt;0,'Section Load'!G13,0))</f>
        <v>1379.7399999999907</v>
      </c>
      <c r="G10" s="1295">
        <f>(IF('Section Load'!H13&gt;0,'Section Load'!H13,0))</f>
        <v>1004.8500000000058</v>
      </c>
      <c r="H10" s="1295">
        <f>(IF('Section Load'!I13&gt;0,'Section Load'!I13,0))</f>
        <v>3069.710000000021</v>
      </c>
      <c r="I10" s="1295">
        <f>(IF('Section Load'!J13&gt;0,'Section Load'!J13,0))</f>
        <v>4917.2599999999802</v>
      </c>
      <c r="J10" s="1295">
        <f>(IF('Section Load'!K13&gt;0,'Section Load'!K13,0))</f>
        <v>2440.5</v>
      </c>
      <c r="K10" s="1295">
        <f>(IF('Section Load'!L13&gt;0,'Section Load'!L13,0))</f>
        <v>877.40999999997439</v>
      </c>
      <c r="L10" s="1295">
        <f>(IF('Section Load'!M13&gt;0,'Section Load'!M13,0))</f>
        <v>614.81999999999971</v>
      </c>
      <c r="M10" s="1295">
        <f>(IF('Section Load'!N13&gt;0,'Section Load'!N13,0))</f>
        <v>12</v>
      </c>
      <c r="N10" s="1295">
        <f>(IF('Section Load'!O13&gt;0,'Section Load'!O13,0))</f>
        <v>1</v>
      </c>
      <c r="O10" s="1295">
        <f>(IF('Section Load'!P13&gt;0,'Section Load'!P13,0))</f>
        <v>0</v>
      </c>
      <c r="P10" s="1295">
        <f>(IF('Section Load'!Q13&gt;0,'Section Load'!Q13,0))</f>
        <v>59.6299999999992</v>
      </c>
      <c r="Q10" s="1295">
        <f>(IF('Section Load'!R13&gt;0,'Section Load'!R13,0))</f>
        <v>59.350000000000364</v>
      </c>
      <c r="R10" s="1295">
        <f>(IF('Section Load'!S13&gt;0,'Section Load'!S13,0))</f>
        <v>50</v>
      </c>
      <c r="S10" s="1295">
        <f>(IF('Section Load'!T13&gt;0,'Section Load'!T13,0))</f>
        <v>53</v>
      </c>
      <c r="T10" s="1295">
        <f>(IF('Section Load'!U13&gt;0,'Section Load'!U13,0))</f>
        <v>147</v>
      </c>
      <c r="U10" s="1295">
        <f>(IF('Section Load'!V13&gt;0,'Section Load'!V13,0))</f>
        <v>322</v>
      </c>
      <c r="V10" s="1295">
        <f>(IF('Section Load'!W13&gt;0,'Section Load'!W13,0))</f>
        <v>176</v>
      </c>
      <c r="W10" s="1295">
        <f>(IF('Section Load'!X13&gt;0,'Section Load'!X13,0))</f>
        <v>10.399999999994179</v>
      </c>
      <c r="X10" s="1295">
        <f>(IF('Section Load'!Y13&gt;0,'Section Load'!Y13,0))</f>
        <v>0</v>
      </c>
      <c r="Y10" s="1295">
        <f>(IF('Section Load'!Z13&gt;0,'Section Load'!Z13,0))</f>
        <v>175</v>
      </c>
      <c r="Z10" s="1295">
        <f>(IF('Section Load'!AA13&gt;0,'Section Load'!AA13,0))</f>
        <v>32</v>
      </c>
      <c r="AA10" s="1295">
        <f>(IF('Section Load'!AB13&gt;0,'Section Load'!AB13,0))</f>
        <v>17.19999999999709</v>
      </c>
      <c r="AB10" s="1295">
        <f>(IF('Section Load'!AC13&gt;0,'Section Load'!AC13,0))</f>
        <v>33</v>
      </c>
      <c r="AC10" s="1295">
        <f>(IF('Section Load'!AD13&gt;0,'Section Load'!AD13,0))</f>
        <v>22.199999999998454</v>
      </c>
      <c r="AD10" s="1295">
        <f>(IF('Section Load'!AE13&gt;0,'Section Load'!AE13,0))</f>
        <v>0</v>
      </c>
      <c r="AE10" s="1295">
        <f>(IF('Section Load'!AF13&gt;0,'Section Load'!AF13,0))</f>
        <v>0</v>
      </c>
      <c r="AF10" s="1295">
        <f>(IF('Section Load'!AG13&gt;0,'Section Load'!AG13,0))</f>
        <v>357.32999999998719</v>
      </c>
      <c r="AG10" s="1295">
        <f>(IF('Section Load'!AH13&gt;0,'Section Load'!AH13,0))</f>
        <v>234.70000000001164</v>
      </c>
      <c r="AH10" s="1295">
        <f>(IF('Section Load'!AI13&gt;0,'Section Load'!AI13,0))</f>
        <v>419.36000000000058</v>
      </c>
      <c r="AI10" s="1295">
        <f>(IF('Section Load'!AJ13&gt;0,'Section Load'!AJ13,0))</f>
        <v>394.63000000000466</v>
      </c>
      <c r="AJ10" s="1295">
        <f>(IF('Section Load'!AK13&gt;0,'Section Load'!AK13,0))</f>
        <v>0</v>
      </c>
      <c r="AK10" s="1295">
        <f>(IF('Section Load'!AL13&gt;0,'Section Load'!AL13,0))</f>
        <v>125.19999999999709</v>
      </c>
      <c r="AL10" s="1295">
        <f>(IF('Section Load'!AM13&gt;0,'Section Load'!AM13,0))</f>
        <v>558</v>
      </c>
      <c r="AM10" s="1296">
        <f>(IF('Water Report'!$L$7&gt;0,'Water Report'!$L$7,0))</f>
        <v>0</v>
      </c>
      <c r="AN10" s="1296">
        <f>(IF('Water Report'!$L$8&gt;0,'Water Report'!$L$8,0))</f>
        <v>84</v>
      </c>
      <c r="AO10" s="1296">
        <f>(IF('Water Report'!$L$9&gt;0,'Water Report'!$L$9,0))</f>
        <v>24</v>
      </c>
      <c r="AP10" s="1296">
        <f>(IF('Water Report'!$L$10&gt;0,'Water Report'!$L$10,0))</f>
        <v>10</v>
      </c>
      <c r="AQ10" s="1296">
        <f>(IF('Water Report'!$L$11&gt;0,'Water Report'!$L$11,0))</f>
        <v>15</v>
      </c>
      <c r="AR10" s="1296">
        <f>(IF('Water Report'!$L$13&gt;0,'Water Report'!$L$13,0))</f>
        <v>4</v>
      </c>
      <c r="AS10" s="1296">
        <f>(IF('Water Report'!$L$14&gt;0,'Water Report'!$L$14,0))</f>
        <v>4</v>
      </c>
      <c r="AT10" s="1296">
        <f>(IF('Water Report'!$L$15&gt;0,'Water Report'!$L$15,0))</f>
        <v>4</v>
      </c>
      <c r="AU10" s="1296">
        <f>(IF('Water Report'!$L$17&gt;0,'Water Report'!$L$17,0))</f>
        <v>0</v>
      </c>
      <c r="AV10" s="1296">
        <f>(IF('Water Report'!$L$18&gt;0,'Water Report'!$L$18,0))</f>
        <v>0</v>
      </c>
      <c r="AW10" s="1296">
        <f>(IF('Water Report'!$L$19&gt;0,'Water Report'!$L$19,0))</f>
        <v>0</v>
      </c>
      <c r="AX10" s="1371">
        <f>(IF('Water Report'!$L$21&gt;0,'Water Report'!$L$21,0))</f>
        <v>77</v>
      </c>
      <c r="AY10" s="1371">
        <f>(IF('Water Report'!$L$22&gt;0,'Water Report'!$L$22,0))</f>
        <v>0</v>
      </c>
      <c r="AZ10" s="1371">
        <f>(IF('Water Report'!$L$23&gt;0,'Water Report'!$L$23,0))</f>
        <v>0</v>
      </c>
      <c r="BA10" s="1371">
        <f>(IF('Water Report'!$L$14&gt;0,'Water Report'!$L$14,0))</f>
        <v>4</v>
      </c>
      <c r="BB10" s="1371">
        <f>(IF('Water Report'!$L$15&gt;0,'Water Report'!$L$15,0))</f>
        <v>4</v>
      </c>
      <c r="BC10" s="1371">
        <f>(IF('Water Report'!$L$13&gt;0,'Water Report'!$L$13,0))</f>
        <v>4</v>
      </c>
      <c r="BD10" s="1371">
        <f>(IF('Water Report'!$L$24&gt;0,'Water Report'!$L$24,0))</f>
        <v>78</v>
      </c>
      <c r="BE10" s="1371">
        <f>(IF('Water Report'!$L$25&gt;0,'Water Report'!$L$25,0))</f>
        <v>57</v>
      </c>
      <c r="BF10" s="1371">
        <f>(IF('Water Report'!$L$27&gt;0,'Water Report'!$L$27,0))</f>
        <v>81</v>
      </c>
      <c r="BG10" s="1297">
        <f>(IF('Section Load'!AN13&gt;0,'Section Load'!AN13,0))</f>
        <v>345.05000000004657</v>
      </c>
      <c r="BH10" s="1297">
        <f>(IF('Section Load'!AO13&gt;0,'Section Load'!AO13,0))</f>
        <v>206.10999999998603</v>
      </c>
      <c r="BI10" s="1297">
        <f>(IF('Section Load'!AP13&gt;0,'Section Load'!AP13,0))</f>
        <v>0</v>
      </c>
      <c r="BJ10" s="1297">
        <f>(IF('Section Load'!AQ13&gt;0,'Section Load'!AQ13,0))</f>
        <v>75</v>
      </c>
      <c r="BK10" s="1297">
        <f>(IF('Section Load'!AR13&gt;0,'Section Load'!AR13,0))</f>
        <v>0</v>
      </c>
      <c r="BL10" s="1297">
        <f>(IF('Section Load'!AS13&gt;0,'Section Load'!AS13,0))</f>
        <v>0</v>
      </c>
      <c r="BM10" s="1297">
        <f>(IF('Section Load'!AT13&gt;0,'Section Load'!AT13,0))</f>
        <v>63.940000000060536</v>
      </c>
    </row>
    <row r="11" spans="1:65">
      <c r="A11" s="1279" t="s">
        <v>300</v>
      </c>
      <c r="B11" s="1280">
        <f t="shared" si="0"/>
        <v>10</v>
      </c>
      <c r="C11" s="1280">
        <v>6</v>
      </c>
      <c r="D11" s="1280">
        <v>2021</v>
      </c>
      <c r="E11" s="1295">
        <f>(IF('Section Load'!F14&gt;0,'Section Load'!F14,0))</f>
        <v>2172</v>
      </c>
      <c r="F11" s="1295">
        <f>(IF('Section Load'!G14&gt;0,'Section Load'!G14,0))</f>
        <v>1349</v>
      </c>
      <c r="G11" s="1295">
        <f>(IF('Section Load'!H14&gt;0,'Section Load'!H14,0))</f>
        <v>1210</v>
      </c>
      <c r="H11" s="1295">
        <f>(IF('Section Load'!I14&gt;0,'Section Load'!I14,0))</f>
        <v>3175.3300000000163</v>
      </c>
      <c r="I11" s="1295">
        <f>(IF('Section Load'!J14&gt;0,'Section Load'!J14,0))</f>
        <v>4704.3899999999994</v>
      </c>
      <c r="J11" s="1295">
        <f>(IF('Section Load'!K14&gt;0,'Section Load'!K14,0))</f>
        <v>2439</v>
      </c>
      <c r="K11" s="1295">
        <f>(IF('Section Load'!L14&gt;0,'Section Load'!L14,0))</f>
        <v>890</v>
      </c>
      <c r="L11" s="1295">
        <f>(IF('Section Load'!M14&gt;0,'Section Load'!M14,0))</f>
        <v>564</v>
      </c>
      <c r="M11" s="1295">
        <f>(IF('Section Load'!N14&gt;0,'Section Load'!N14,0))</f>
        <v>13</v>
      </c>
      <c r="N11" s="1295">
        <f>(IF('Section Load'!O14&gt;0,'Section Load'!O14,0))</f>
        <v>1</v>
      </c>
      <c r="O11" s="1295">
        <f>(IF('Section Load'!P14&gt;0,'Section Load'!P14,0))</f>
        <v>0</v>
      </c>
      <c r="P11" s="1295">
        <f>(IF('Section Load'!Q14&gt;0,'Section Load'!Q14,0))</f>
        <v>57</v>
      </c>
      <c r="Q11" s="1295">
        <f>(IF('Section Load'!R14&gt;0,'Section Load'!R14,0))</f>
        <v>55</v>
      </c>
      <c r="R11" s="1295">
        <f>(IF('Section Load'!S14&gt;0,'Section Load'!S14,0))</f>
        <v>51</v>
      </c>
      <c r="S11" s="1295">
        <f>(IF('Section Load'!T14&gt;0,'Section Load'!T14,0))</f>
        <v>52</v>
      </c>
      <c r="T11" s="1295">
        <f>(IF('Section Load'!U14&gt;0,'Section Load'!U14,0))</f>
        <v>132</v>
      </c>
      <c r="U11" s="1295">
        <f>(IF('Section Load'!V14&gt;0,'Section Load'!V14,0))</f>
        <v>371</v>
      </c>
      <c r="V11" s="1295">
        <f>(IF('Section Load'!W14&gt;0,'Section Load'!W14,0))</f>
        <v>102</v>
      </c>
      <c r="W11" s="1295">
        <f>(IF('Section Load'!X14&gt;0,'Section Load'!X14,0))</f>
        <v>11</v>
      </c>
      <c r="X11" s="1295">
        <f>(IF('Section Load'!Y14&gt;0,'Section Load'!Y14,0))</f>
        <v>239.20999999999913</v>
      </c>
      <c r="Y11" s="1295">
        <f>(IF('Section Load'!Z14&gt;0,'Section Load'!Z14,0))</f>
        <v>232</v>
      </c>
      <c r="Z11" s="1295">
        <f>(IF('Section Load'!AA14&gt;0,'Section Load'!AA14,0))</f>
        <v>30</v>
      </c>
      <c r="AA11" s="1295">
        <f>(IF('Section Load'!AB14&gt;0,'Section Load'!AB14,0))</f>
        <v>26</v>
      </c>
      <c r="AB11" s="1295">
        <f>(IF('Section Load'!AC14&gt;0,'Section Load'!AC14,0))</f>
        <v>29</v>
      </c>
      <c r="AC11" s="1295">
        <f>(IF('Section Load'!AD14&gt;0,'Section Load'!AD14,0))</f>
        <v>34.599999999999909</v>
      </c>
      <c r="AD11" s="1295">
        <f>(IF('Section Load'!AE14&gt;0,'Section Load'!AE14,0))</f>
        <v>0</v>
      </c>
      <c r="AE11" s="1295">
        <f>(IF('Section Load'!AF14&gt;0,'Section Load'!AF14,0))</f>
        <v>0</v>
      </c>
      <c r="AF11" s="1295">
        <f>(IF('Section Load'!AG14&gt;0,'Section Load'!AG14,0))</f>
        <v>352</v>
      </c>
      <c r="AG11" s="1295">
        <f>(IF('Section Load'!AH14&gt;0,'Section Load'!AH14,0))</f>
        <v>266</v>
      </c>
      <c r="AH11" s="1295">
        <f>(IF('Section Load'!AI14&gt;0,'Section Load'!AI14,0))</f>
        <v>415</v>
      </c>
      <c r="AI11" s="1295">
        <f>(IF('Section Load'!AJ14&gt;0,'Section Load'!AJ14,0))</f>
        <v>377</v>
      </c>
      <c r="AJ11" s="1295">
        <f>(IF('Section Load'!AK14&gt;0,'Section Load'!AK14,0))</f>
        <v>0</v>
      </c>
      <c r="AK11" s="1295">
        <f>(IF('Section Load'!AL14&gt;0,'Section Load'!AL14,0))</f>
        <v>170</v>
      </c>
      <c r="AL11" s="1295">
        <f>(IF('Section Load'!AM14&gt;0,'Section Load'!AM14,0))</f>
        <v>592</v>
      </c>
      <c r="AM11" s="1296">
        <f>(IF('Water Report'!$M$7&gt;0,'Water Report'!$M$7,0))</f>
        <v>41</v>
      </c>
      <c r="AN11" s="1296">
        <f>(IF('Water Report'!$M$8&gt;0,'Water Report'!$M$8,0))</f>
        <v>116</v>
      </c>
      <c r="AO11" s="1296">
        <f>(IF('Water Report'!$M$9&gt;0,'Water Report'!$M$9,0))</f>
        <v>59</v>
      </c>
      <c r="AP11" s="1296">
        <f>(IF('Water Report'!$M$10&gt;0,'Water Report'!$M$10,0))</f>
        <v>11</v>
      </c>
      <c r="AQ11" s="1296">
        <f>(IF('Water Report'!$M$11&gt;0,'Water Report'!$M$11,0))</f>
        <v>16</v>
      </c>
      <c r="AR11" s="1296">
        <f>(IF('Water Report'!$M$13&gt;0,'Water Report'!$M$13,0))</f>
        <v>4</v>
      </c>
      <c r="AS11" s="1296">
        <f>(IF('Water Report'!$M$14&gt;0,'Water Report'!$M$14,0))</f>
        <v>10</v>
      </c>
      <c r="AT11" s="1296">
        <f>(IF('Water Report'!$M$15&gt;0,'Water Report'!$M$15,0))</f>
        <v>5</v>
      </c>
      <c r="AU11" s="1296">
        <f>(IF('Water Report'!$M$17&gt;0,'Water Report'!$M$17,0))</f>
        <v>0</v>
      </c>
      <c r="AV11" s="1296">
        <f>(IF('Water Report'!$M$18&gt;0,'Water Report'!$M$18,0))</f>
        <v>17</v>
      </c>
      <c r="AW11" s="1296">
        <f>(IF('Water Report'!$M$19&gt;0,'Water Report'!$M$19,0))</f>
        <v>7</v>
      </c>
      <c r="AX11" s="1371">
        <f>(IF('Water Report'!$M$21&gt;0,'Water Report'!$M$21,0))</f>
        <v>62</v>
      </c>
      <c r="AY11" s="1371">
        <f>(IF('Water Report'!$M$22&gt;0,'Water Report'!$M$22,0))</f>
        <v>13</v>
      </c>
      <c r="AZ11" s="1371">
        <f>(IF('Water Report'!$M$23&gt;0,'Water Report'!$M$23,0))</f>
        <v>0</v>
      </c>
      <c r="BA11" s="1371">
        <f>(IF('Water Report'!$M$14&gt;0,'Water Report'!$M$14,0))</f>
        <v>10</v>
      </c>
      <c r="BB11" s="1371">
        <f>(IF('Water Report'!$M$15&gt;0,'Water Report'!$M$15,0))</f>
        <v>5</v>
      </c>
      <c r="BC11" s="1371">
        <f>(IF('Water Report'!$M$13&gt;0,'Water Report'!$M$13,0))</f>
        <v>4</v>
      </c>
      <c r="BD11" s="1371">
        <f>(IF('Water Report'!$M$24&gt;0,'Water Report'!$M$24,0))</f>
        <v>86</v>
      </c>
      <c r="BE11" s="1371">
        <f>(IF('Water Report'!$M$25&gt;0,'Water Report'!$M$25,0))</f>
        <v>101</v>
      </c>
      <c r="BF11" s="1371">
        <f>(IF('Water Report'!$M$27&gt;0,'Water Report'!$M$27,0))</f>
        <v>66</v>
      </c>
      <c r="BG11" s="1297">
        <f>(IF('Section Load'!AN14&gt;0,'Section Load'!AN14,0))</f>
        <v>665</v>
      </c>
      <c r="BH11" s="1297">
        <f>(IF('Section Load'!AO14&gt;0,'Section Load'!AO14,0))</f>
        <v>211</v>
      </c>
      <c r="BI11" s="1297">
        <f>(IF('Section Load'!AP14&gt;0,'Section Load'!AP14,0))</f>
        <v>0</v>
      </c>
      <c r="BJ11" s="1297">
        <f>(IF('Section Load'!AQ14&gt;0,'Section Load'!AQ14,0))</f>
        <v>66</v>
      </c>
      <c r="BK11" s="1297">
        <f>(IF('Section Load'!AR14&gt;0,'Section Load'!AR14,0))</f>
        <v>0</v>
      </c>
      <c r="BL11" s="1297">
        <f>(IF('Section Load'!AS14&gt;0,'Section Load'!AS14,0))</f>
        <v>0</v>
      </c>
      <c r="BM11" s="1297">
        <f>(IF('Section Load'!AT14&gt;0,'Section Load'!AT14,0))</f>
        <v>388</v>
      </c>
    </row>
    <row r="12" spans="1:65">
      <c r="A12" s="1279" t="s">
        <v>300</v>
      </c>
      <c r="B12" s="1280">
        <f t="shared" si="0"/>
        <v>11</v>
      </c>
      <c r="C12" s="1280">
        <v>6</v>
      </c>
      <c r="D12" s="1280">
        <v>2021</v>
      </c>
      <c r="E12" s="1295">
        <f>(IF('Section Load'!F15&gt;0,'Section Load'!F15,0))</f>
        <v>2190</v>
      </c>
      <c r="F12" s="1295">
        <f>(IF('Section Load'!G15&gt;0,'Section Load'!G15,0))</f>
        <v>1386</v>
      </c>
      <c r="G12" s="1295">
        <f>(IF('Section Load'!H15&gt;0,'Section Load'!H15,0))</f>
        <v>1184</v>
      </c>
      <c r="H12" s="1295">
        <f>(IF('Section Load'!I15&gt;0,'Section Load'!I15,0))</f>
        <v>3233</v>
      </c>
      <c r="I12" s="1295">
        <f>(IF('Section Load'!J15&gt;0,'Section Load'!J15,0))</f>
        <v>4819</v>
      </c>
      <c r="J12" s="1295">
        <f>(IF('Section Load'!K15&gt;0,'Section Load'!K15,0))</f>
        <v>2435</v>
      </c>
      <c r="K12" s="1295">
        <f>(IF('Section Load'!L15&gt;0,'Section Load'!L15,0))</f>
        <v>897</v>
      </c>
      <c r="L12" s="1295">
        <f>(IF('Section Load'!M15&gt;0,'Section Load'!M15,0))</f>
        <v>578</v>
      </c>
      <c r="M12" s="1295">
        <f>(IF('Section Load'!N15&gt;0,'Section Load'!N15,0))</f>
        <v>14</v>
      </c>
      <c r="N12" s="1295">
        <f>(IF('Section Load'!O15&gt;0,'Section Load'!O15,0))</f>
        <v>1</v>
      </c>
      <c r="O12" s="1295">
        <f>(IF('Section Load'!P15&gt;0,'Section Load'!P15,0))</f>
        <v>0</v>
      </c>
      <c r="P12" s="1295">
        <f>(IF('Section Load'!Q15&gt;0,'Section Load'!Q15,0))</f>
        <v>76</v>
      </c>
      <c r="Q12" s="1295">
        <f>(IF('Section Load'!R15&gt;0,'Section Load'!R15,0))</f>
        <v>59</v>
      </c>
      <c r="R12" s="1295">
        <f>(IF('Section Load'!S15&gt;0,'Section Load'!S15,0))</f>
        <v>51</v>
      </c>
      <c r="S12" s="1295">
        <f>(IF('Section Load'!T15&gt;0,'Section Load'!T15,0))</f>
        <v>47</v>
      </c>
      <c r="T12" s="1295">
        <f>(IF('Section Load'!U15&gt;0,'Section Load'!U15,0))</f>
        <v>138</v>
      </c>
      <c r="U12" s="1295">
        <f>(IF('Section Load'!V15&gt;0,'Section Load'!V15,0))</f>
        <v>324</v>
      </c>
      <c r="V12" s="1295">
        <f>(IF('Section Load'!W15&gt;0,'Section Load'!W15,0))</f>
        <v>108</v>
      </c>
      <c r="W12" s="1295">
        <f>(IF('Section Load'!X15&gt;0,'Section Load'!X15,0))</f>
        <v>25</v>
      </c>
      <c r="X12" s="1295">
        <f>(IF('Section Load'!Y15&gt;0,'Section Load'!Y15,0))</f>
        <v>97</v>
      </c>
      <c r="Y12" s="1295">
        <f>(IF('Section Load'!Z15&gt;0,'Section Load'!Z15,0))</f>
        <v>176</v>
      </c>
      <c r="Z12" s="1295">
        <f>(IF('Section Load'!AA15&gt;0,'Section Load'!AA15,0))</f>
        <v>28</v>
      </c>
      <c r="AA12" s="1295">
        <f>(IF('Section Load'!AB15&gt;0,'Section Load'!AB15,0))</f>
        <v>19.600000000005821</v>
      </c>
      <c r="AB12" s="1295">
        <f>(IF('Section Load'!AC15&gt;0,'Section Load'!AC15,0))</f>
        <v>24</v>
      </c>
      <c r="AC12" s="1295">
        <f>(IF('Section Load'!AD15&gt;0,'Section Load'!AD15,0))</f>
        <v>22.600000000005821</v>
      </c>
      <c r="AD12" s="1295">
        <f>(IF('Section Load'!AE15&gt;0,'Section Load'!AE15,0))</f>
        <v>0</v>
      </c>
      <c r="AE12" s="1295">
        <f>(IF('Section Load'!AF15&gt;0,'Section Load'!AF15,0))</f>
        <v>0</v>
      </c>
      <c r="AF12" s="1295">
        <f>(IF('Section Load'!AG15&gt;0,'Section Load'!AG15,0))</f>
        <v>353</v>
      </c>
      <c r="AG12" s="1295">
        <f>(IF('Section Load'!AH15&gt;0,'Section Load'!AH15,0))</f>
        <v>270</v>
      </c>
      <c r="AH12" s="1295">
        <f>(IF('Section Load'!AI15&gt;0,'Section Load'!AI15,0))</f>
        <v>420</v>
      </c>
      <c r="AI12" s="1295">
        <f>(IF('Section Load'!AJ15&gt;0,'Section Load'!AJ15,0))</f>
        <v>426</v>
      </c>
      <c r="AJ12" s="1295">
        <f>(IF('Section Load'!AK15&gt;0,'Section Load'!AK15,0))</f>
        <v>0</v>
      </c>
      <c r="AK12" s="1295">
        <f>(IF('Section Load'!AL15&gt;0,'Section Load'!AL15,0))</f>
        <v>152</v>
      </c>
      <c r="AL12" s="1295">
        <f>(IF('Section Load'!AM15&gt;0,'Section Load'!AM15,0))</f>
        <v>564</v>
      </c>
      <c r="AM12" s="1296">
        <f>(IF('Water Report'!$N$7&gt;0,'Water Report'!$N$7,0))</f>
        <v>18</v>
      </c>
      <c r="AN12" s="1296">
        <f>(IF('Water Report'!$N$8&gt;0,'Water Report'!$N$8,0))</f>
        <v>114</v>
      </c>
      <c r="AO12" s="1296">
        <f>(IF('Water Report'!$N$9&gt;0,'Water Report'!$N$9,0))</f>
        <v>46</v>
      </c>
      <c r="AP12" s="1296">
        <f>(IF('Water Report'!$N$10&gt;0,'Water Report'!$N$10,0))</f>
        <v>9</v>
      </c>
      <c r="AQ12" s="1296">
        <f>(IF('Water Report'!$N$11&gt;0,'Water Report'!$N$11,0))</f>
        <v>26</v>
      </c>
      <c r="AR12" s="1296">
        <f>(IF('Water Report'!$N$13&gt;0,'Water Report'!$N$13,0))</f>
        <v>19</v>
      </c>
      <c r="AS12" s="1296">
        <f>(IF('Water Report'!$N$14&gt;0,'Water Report'!$N$14,0))</f>
        <v>5</v>
      </c>
      <c r="AT12" s="1296">
        <f>(IF('Water Report'!$N$15&gt;0,'Water Report'!$N$15,0))</f>
        <v>5</v>
      </c>
      <c r="AU12" s="1296">
        <f>(IF('Water Report'!$N$17&gt;0,'Water Report'!$N$17,0))</f>
        <v>0</v>
      </c>
      <c r="AV12" s="1296">
        <f>(IF('Water Report'!$N$18&gt;0,'Water Report'!$N$18,0))</f>
        <v>0</v>
      </c>
      <c r="AW12" s="1296">
        <f>(IF('Water Report'!$N$19&gt;0,'Water Report'!$N$19,0))</f>
        <v>3</v>
      </c>
      <c r="AX12" s="1371">
        <f>(IF('Water Report'!$N$21&gt;0,'Water Report'!$N$21,0))</f>
        <v>27</v>
      </c>
      <c r="AY12" s="1371">
        <f>(IF('Water Report'!$N$22&gt;0,'Water Report'!$N$22,0))</f>
        <v>30</v>
      </c>
      <c r="AZ12" s="1371">
        <f>(IF('Water Report'!$N$23&gt;0,'Water Report'!$N$23,0))</f>
        <v>0</v>
      </c>
      <c r="BA12" s="1371">
        <f>(IF('Water Report'!$N$14&gt;0,'Water Report'!$N$14,0))</f>
        <v>5</v>
      </c>
      <c r="BB12" s="1371">
        <f>(IF('Water Report'!$N$15&gt;0,'Water Report'!$N$15,0))</f>
        <v>5</v>
      </c>
      <c r="BC12" s="1371">
        <f>(IF('Water Report'!$N$13&gt;0,'Water Report'!$N$13,0))</f>
        <v>19</v>
      </c>
      <c r="BD12" s="1371">
        <f>(IF('Water Report'!$N$24&gt;0,'Water Report'!$N$24,0))</f>
        <v>103</v>
      </c>
      <c r="BE12" s="1371">
        <f>(IF('Water Report'!$N$25&gt;0,'Water Report'!$N$25,0))</f>
        <v>91</v>
      </c>
      <c r="BF12" s="1371">
        <f>(IF('Water Report'!$N$27&gt;0,'Water Report'!$N$27,0))</f>
        <v>46</v>
      </c>
      <c r="BG12" s="1297">
        <f>(IF('Section Load'!AN15&gt;0,'Section Load'!AN15,0))</f>
        <v>498</v>
      </c>
      <c r="BH12" s="1297">
        <f>(IF('Section Load'!AO15&gt;0,'Section Load'!AO15,0))</f>
        <v>230</v>
      </c>
      <c r="BI12" s="1297">
        <f>(IF('Section Load'!AP15&gt;0,'Section Load'!AP15,0))</f>
        <v>0</v>
      </c>
      <c r="BJ12" s="1297">
        <f>(IF('Section Load'!AQ15&gt;0,'Section Load'!AQ15,0))</f>
        <v>66</v>
      </c>
      <c r="BK12" s="1297">
        <f>(IF('Section Load'!AR15&gt;0,'Section Load'!AR15,0))</f>
        <v>0</v>
      </c>
      <c r="BL12" s="1297">
        <f>(IF('Section Load'!AS15&gt;0,'Section Load'!AS15,0))</f>
        <v>0</v>
      </c>
      <c r="BM12" s="1297">
        <f>(IF('Section Load'!AT15&gt;0,'Section Load'!AT15,0))</f>
        <v>202</v>
      </c>
    </row>
    <row r="13" spans="1:65">
      <c r="A13" s="1279" t="s">
        <v>300</v>
      </c>
      <c r="B13" s="1280">
        <f t="shared" si="0"/>
        <v>12</v>
      </c>
      <c r="C13" s="1280">
        <v>6</v>
      </c>
      <c r="D13" s="1280">
        <v>2021</v>
      </c>
      <c r="E13" s="1295">
        <f>(IF('Section Load'!F16&gt;0,'Section Load'!F16,0))</f>
        <v>2554</v>
      </c>
      <c r="F13" s="1295">
        <f>(IF('Section Load'!G16&gt;0,'Section Load'!G16,0))</f>
        <v>1461</v>
      </c>
      <c r="G13" s="1295">
        <f>(IF('Section Load'!H16&gt;0,'Section Load'!H16,0))</f>
        <v>1383</v>
      </c>
      <c r="H13" s="1295">
        <f>(IF('Section Load'!I16&gt;0,'Section Load'!I16,0))</f>
        <v>3517</v>
      </c>
      <c r="I13" s="1295">
        <f>(IF('Section Load'!J16&gt;0,'Section Load'!J16,0))</f>
        <v>5598</v>
      </c>
      <c r="J13" s="1295">
        <f>(IF('Section Load'!K16&gt;0,'Section Load'!K16,0))</f>
        <v>2382</v>
      </c>
      <c r="K13" s="1295">
        <f>(IF('Section Load'!L16&gt;0,'Section Load'!L16,0))</f>
        <v>939</v>
      </c>
      <c r="L13" s="1295">
        <f>(IF('Section Load'!M16&gt;0,'Section Load'!M16,0))</f>
        <v>544</v>
      </c>
      <c r="M13" s="1295">
        <f>(IF('Section Load'!N16&gt;0,'Section Load'!N16,0))</f>
        <v>12</v>
      </c>
      <c r="N13" s="1295">
        <f>(IF('Section Load'!O16&gt;0,'Section Load'!O16,0))</f>
        <v>2</v>
      </c>
      <c r="O13" s="1295">
        <f>(IF('Section Load'!P16&gt;0,'Section Load'!P16,0))</f>
        <v>0</v>
      </c>
      <c r="P13" s="1295">
        <f>(IF('Section Load'!Q16&gt;0,'Section Load'!Q16,0))</f>
        <v>143</v>
      </c>
      <c r="Q13" s="1295">
        <f>(IF('Section Load'!R16&gt;0,'Section Load'!R16,0))</f>
        <v>54</v>
      </c>
      <c r="R13" s="1295">
        <f>(IF('Section Load'!S16&gt;0,'Section Load'!S16,0))</f>
        <v>47</v>
      </c>
      <c r="S13" s="1295">
        <f>(IF('Section Load'!T16&gt;0,'Section Load'!T16,0))</f>
        <v>41</v>
      </c>
      <c r="T13" s="1295">
        <f>(IF('Section Load'!U16&gt;0,'Section Load'!U16,0))</f>
        <v>140</v>
      </c>
      <c r="U13" s="1295">
        <f>(IF('Section Load'!V16&gt;0,'Section Load'!V16,0))</f>
        <v>376</v>
      </c>
      <c r="V13" s="1295">
        <f>(IF('Section Load'!W16&gt;0,'Section Load'!W16,0))</f>
        <v>111</v>
      </c>
      <c r="W13" s="1295">
        <f>(IF('Section Load'!X16&gt;0,'Section Load'!X16,0))</f>
        <v>12</v>
      </c>
      <c r="X13" s="1295">
        <f>(IF('Section Load'!Y16&gt;0,'Section Load'!Y16,0))</f>
        <v>37</v>
      </c>
      <c r="Y13" s="1295">
        <f>(IF('Section Load'!Z16&gt;0,'Section Load'!Z16,0))</f>
        <v>198</v>
      </c>
      <c r="Z13" s="1295">
        <f>(IF('Section Load'!AA16&gt;0,'Section Load'!AA16,0))</f>
        <v>30</v>
      </c>
      <c r="AA13" s="1295">
        <f>(IF('Section Load'!AB16&gt;0,'Section Load'!AB16,0))</f>
        <v>12.399999999994179</v>
      </c>
      <c r="AB13" s="1295">
        <f>(IF('Section Load'!AC16&gt;0,'Section Load'!AC16,0))</f>
        <v>24</v>
      </c>
      <c r="AC13" s="1295">
        <f>(IF('Section Load'!AD16&gt;0,'Section Load'!AD16,0))</f>
        <v>13.399999999994179</v>
      </c>
      <c r="AD13" s="1295">
        <f>(IF('Section Load'!AE16&gt;0,'Section Load'!AE16,0))</f>
        <v>0</v>
      </c>
      <c r="AE13" s="1295">
        <f>(IF('Section Load'!AF16&gt;0,'Section Load'!AF16,0))</f>
        <v>0</v>
      </c>
      <c r="AF13" s="1295">
        <f>(IF('Section Load'!AG16&gt;0,'Section Load'!AG16,0))</f>
        <v>334</v>
      </c>
      <c r="AG13" s="1295">
        <f>(IF('Section Load'!AH16&gt;0,'Section Load'!AH16,0))</f>
        <v>366</v>
      </c>
      <c r="AH13" s="1295">
        <f>(IF('Section Load'!AI16&gt;0,'Section Load'!AI16,0))</f>
        <v>427</v>
      </c>
      <c r="AI13" s="1295">
        <f>(IF('Section Load'!AJ16&gt;0,'Section Load'!AJ16,0))</f>
        <v>459</v>
      </c>
      <c r="AJ13" s="1295">
        <f>(IF('Section Load'!AK16&gt;0,'Section Load'!AK16,0))</f>
        <v>0</v>
      </c>
      <c r="AK13" s="1295">
        <f>(IF('Section Load'!AL16&gt;0,'Section Load'!AL16,0))</f>
        <v>227</v>
      </c>
      <c r="AL13" s="1295">
        <f>(IF('Section Load'!AM16&gt;0,'Section Load'!AM16,0))</f>
        <v>596</v>
      </c>
      <c r="AM13" s="1296">
        <f>(IF('Water Report'!$O$7&gt;0,'Water Report'!$O$7,0))</f>
        <v>55</v>
      </c>
      <c r="AN13" s="1296">
        <f>(IF('Water Report'!$O$8&gt;0,'Water Report'!$O$8,0))</f>
        <v>154</v>
      </c>
      <c r="AO13" s="1296">
        <f>(IF('Water Report'!$O$9&gt;0,'Water Report'!$O$9,0))</f>
        <v>36</v>
      </c>
      <c r="AP13" s="1296">
        <f>(IF('Water Report'!$O$10&gt;0,'Water Report'!$O$10,0))</f>
        <v>16</v>
      </c>
      <c r="AQ13" s="1296">
        <f>(IF('Water Report'!$O$11&gt;0,'Water Report'!$O$11,0))</f>
        <v>37</v>
      </c>
      <c r="AR13" s="1296">
        <f>(IF('Water Report'!$O$13&gt;0,'Water Report'!$O$13,0))</f>
        <v>20</v>
      </c>
      <c r="AS13" s="1296">
        <f>(IF('Water Report'!$O$14&gt;0,'Water Report'!$O$14,0))</f>
        <v>11</v>
      </c>
      <c r="AT13" s="1296">
        <f>(IF('Water Report'!$O$15&gt;0,'Water Report'!$O$15,0))</f>
        <v>21</v>
      </c>
      <c r="AU13" s="1296">
        <f>(IF('Water Report'!$O$17&gt;0,'Water Report'!$O$17,0))</f>
        <v>0</v>
      </c>
      <c r="AV13" s="1296">
        <f>(IF('Water Report'!$O$18&gt;0,'Water Report'!$O$18,0))</f>
        <v>0</v>
      </c>
      <c r="AW13" s="1296">
        <f>(IF('Water Report'!$O$19&gt;0,'Water Report'!$O$19,0))</f>
        <v>4</v>
      </c>
      <c r="AX13" s="1371">
        <f>(IF('Water Report'!$O$21&gt;0,'Water Report'!$O$21,0))</f>
        <v>33</v>
      </c>
      <c r="AY13" s="1371">
        <f>(IF('Water Report'!$O$22&gt;0,'Water Report'!$O$22,0))</f>
        <v>22</v>
      </c>
      <c r="AZ13" s="1371">
        <f>(IF('Water Report'!$O$23&gt;0,'Water Report'!$O$23,0))</f>
        <v>0</v>
      </c>
      <c r="BA13" s="1371">
        <f>(IF('Water Report'!$O$14&gt;0,'Water Report'!$O$14,0))</f>
        <v>11</v>
      </c>
      <c r="BB13" s="1371">
        <f>(IF('Water Report'!$O$15&gt;0,'Water Report'!$O$15,0))</f>
        <v>21</v>
      </c>
      <c r="BC13" s="1371">
        <f>(IF('Water Report'!$O$13&gt;0,'Water Report'!$O$13,0))</f>
        <v>20</v>
      </c>
      <c r="BD13" s="1371">
        <f>(IF('Water Report'!$O$24&gt;0,'Water Report'!$O$24,0))</f>
        <v>125</v>
      </c>
      <c r="BE13" s="1371">
        <f>(IF('Water Report'!$O$25&gt;0,'Water Report'!$O$25,0))</f>
        <v>121</v>
      </c>
      <c r="BF13" s="1371">
        <f>(IF('Water Report'!$O$27&gt;0,'Water Report'!$O$27,0))</f>
        <v>53</v>
      </c>
      <c r="BG13" s="1297">
        <f>(IF('Section Load'!AN16&gt;0,'Section Load'!AN16,0))</f>
        <v>460</v>
      </c>
      <c r="BH13" s="1297">
        <f>(IF('Section Load'!AO16&gt;0,'Section Load'!AO16,0))</f>
        <v>238</v>
      </c>
      <c r="BI13" s="1297">
        <f>(IF('Section Load'!AP16&gt;0,'Section Load'!AP16,0))</f>
        <v>0</v>
      </c>
      <c r="BJ13" s="1297">
        <f>(IF('Section Load'!AQ16&gt;0,'Section Load'!AQ16,0))</f>
        <v>62</v>
      </c>
      <c r="BK13" s="1297">
        <f>(IF('Section Load'!AR16&gt;0,'Section Load'!AR16,0))</f>
        <v>0</v>
      </c>
      <c r="BL13" s="1297">
        <f>(IF('Section Load'!AS16&gt;0,'Section Load'!AS16,0))</f>
        <v>0</v>
      </c>
      <c r="BM13" s="1297">
        <f>(IF('Section Load'!AT16&gt;0,'Section Load'!AT16,0))</f>
        <v>160.39999999999418</v>
      </c>
    </row>
    <row r="14" spans="1:65">
      <c r="A14" s="1279" t="s">
        <v>300</v>
      </c>
      <c r="B14" s="1280">
        <f t="shared" si="0"/>
        <v>13</v>
      </c>
      <c r="C14" s="1280">
        <v>6</v>
      </c>
      <c r="D14" s="1280">
        <v>2021</v>
      </c>
      <c r="E14" s="1295">
        <f>(IF('Section Load'!F17&gt;0,'Section Load'!F17,0))</f>
        <v>2615</v>
      </c>
      <c r="F14" s="1295">
        <f>(IF('Section Load'!G17&gt;0,'Section Load'!G17,0))</f>
        <v>1413</v>
      </c>
      <c r="G14" s="1295">
        <f>(IF('Section Load'!H17&gt;0,'Section Load'!H17,0))</f>
        <v>1494</v>
      </c>
      <c r="H14" s="1295">
        <f>(IF('Section Load'!I17&gt;0,'Section Load'!I17,0))</f>
        <v>3369</v>
      </c>
      <c r="I14" s="1295">
        <f>(IF('Section Load'!J17&gt;0,'Section Load'!J17,0))</f>
        <v>6701.4799999999959</v>
      </c>
      <c r="J14" s="1295">
        <f>(IF('Section Load'!K17&gt;0,'Section Load'!K17,0))</f>
        <v>2647.33</v>
      </c>
      <c r="K14" s="1295">
        <f>(IF('Section Load'!L17&gt;0,'Section Load'!L17,0))</f>
        <v>1050</v>
      </c>
      <c r="L14" s="1295">
        <f>(IF('Section Load'!M17&gt;0,'Section Load'!M17,0))</f>
        <v>557</v>
      </c>
      <c r="M14" s="1295">
        <f>(IF('Section Load'!N17&gt;0,'Section Load'!N17,0))</f>
        <v>13</v>
      </c>
      <c r="N14" s="1295">
        <f>(IF('Section Load'!O17&gt;0,'Section Load'!O17,0))</f>
        <v>1</v>
      </c>
      <c r="O14" s="1295">
        <f>(IF('Section Load'!P17&gt;0,'Section Load'!P17,0))</f>
        <v>0</v>
      </c>
      <c r="P14" s="1295">
        <f>(IF('Section Load'!Q17&gt;0,'Section Load'!Q17,0))</f>
        <v>129</v>
      </c>
      <c r="Q14" s="1295">
        <f>(IF('Section Load'!R17&gt;0,'Section Load'!R17,0))</f>
        <v>55</v>
      </c>
      <c r="R14" s="1295">
        <f>(IF('Section Load'!S17&gt;0,'Section Load'!S17,0))</f>
        <v>56</v>
      </c>
      <c r="S14" s="1295">
        <f>(IF('Section Load'!T17&gt;0,'Section Load'!T17,0))</f>
        <v>30</v>
      </c>
      <c r="T14" s="1295">
        <f>(IF('Section Load'!U17&gt;0,'Section Load'!U17,0))</f>
        <v>136</v>
      </c>
      <c r="U14" s="1295">
        <f>(IF('Section Load'!V17&gt;0,'Section Load'!V17,0))</f>
        <v>380.52000000001863</v>
      </c>
      <c r="V14" s="1295">
        <f>(IF('Section Load'!W17&gt;0,'Section Load'!W17,0))</f>
        <v>124.80000000004657</v>
      </c>
      <c r="W14" s="1295">
        <f>(IF('Section Load'!X17&gt;0,'Section Load'!X17,0))</f>
        <v>11</v>
      </c>
      <c r="X14" s="1295">
        <f>(IF('Section Load'!Y17&gt;0,'Section Load'!Y17,0))</f>
        <v>238</v>
      </c>
      <c r="Y14" s="1295">
        <f>(IF('Section Load'!Z17&gt;0,'Section Load'!Z17,0))</f>
        <v>236</v>
      </c>
      <c r="Z14" s="1295">
        <f>(IF('Section Load'!AA17&gt;0,'Section Load'!AA17,0))</f>
        <v>29.440000000002328</v>
      </c>
      <c r="AA14" s="1295">
        <f>(IF('Section Load'!AB17&gt;0,'Section Load'!AB17,0))</f>
        <v>11</v>
      </c>
      <c r="AB14" s="1295">
        <f>(IF('Section Load'!AC17&gt;0,'Section Load'!AC17,0))</f>
        <v>22.730000000010477</v>
      </c>
      <c r="AC14" s="1295">
        <f>(IF('Section Load'!AD17&gt;0,'Section Load'!AD17,0))</f>
        <v>12.900000000000091</v>
      </c>
      <c r="AD14" s="1295">
        <f>(IF('Section Load'!AE17&gt;0,'Section Load'!AE17,0))</f>
        <v>0</v>
      </c>
      <c r="AE14" s="1295">
        <f>(IF('Section Load'!AF17&gt;0,'Section Load'!AF17,0))</f>
        <v>0</v>
      </c>
      <c r="AF14" s="1295">
        <f>(IF('Section Load'!AG17&gt;0,'Section Load'!AG17,0))</f>
        <v>352</v>
      </c>
      <c r="AG14" s="1295">
        <f>(IF('Section Load'!AH17&gt;0,'Section Load'!AH17,0))</f>
        <v>411</v>
      </c>
      <c r="AH14" s="1295">
        <f>(IF('Section Load'!AI17&gt;0,'Section Load'!AI17,0))</f>
        <v>376</v>
      </c>
      <c r="AI14" s="1295">
        <f>(IF('Section Load'!AJ17&gt;0,'Section Load'!AJ17,0))</f>
        <v>429</v>
      </c>
      <c r="AJ14" s="1295">
        <f>(IF('Section Load'!AK17&gt;0,'Section Load'!AK17,0))</f>
        <v>0</v>
      </c>
      <c r="AK14" s="1295">
        <f>(IF('Section Load'!AL17&gt;0,'Section Load'!AL17,0))</f>
        <v>217</v>
      </c>
      <c r="AL14" s="1295">
        <f>(IF('Section Load'!AM17&gt;0,'Section Load'!AM17,0))</f>
        <v>687</v>
      </c>
      <c r="AM14" s="1296">
        <f>(IF('Water Report'!$P$7&gt;0,'Water Report'!$P$7,0))</f>
        <v>124</v>
      </c>
      <c r="AN14" s="1296">
        <f>(IF('Water Report'!$P$8&gt;0,'Water Report'!$P$8,0))</f>
        <v>109</v>
      </c>
      <c r="AO14" s="1296">
        <f>(IF('Water Report'!$P$9&gt;0,'Water Report'!$P$9,0))</f>
        <v>64</v>
      </c>
      <c r="AP14" s="1296">
        <f>(IF('Water Report'!$P$10&gt;0,'Water Report'!$P$10,0))</f>
        <v>34</v>
      </c>
      <c r="AQ14" s="1296">
        <f>(IF('Water Report'!$P$11&gt;0,'Water Report'!$P$11,0))</f>
        <v>47</v>
      </c>
      <c r="AR14" s="1296">
        <f>(IF('Water Report'!$P$13&gt;0,'Water Report'!$P$13,0))</f>
        <v>8</v>
      </c>
      <c r="AS14" s="1296">
        <f>(IF('Water Report'!$P$14&gt;0,'Water Report'!$P$14,0))</f>
        <v>16</v>
      </c>
      <c r="AT14" s="1296">
        <f>(IF('Water Report'!$P$15&gt;0,'Water Report'!$P$15,0))</f>
        <v>15</v>
      </c>
      <c r="AU14" s="1296">
        <f>(IF('Water Report'!$P$17&gt;0,'Water Report'!$P$17,0))</f>
        <v>0</v>
      </c>
      <c r="AV14" s="1296">
        <f>(IF('Water Report'!$P$18&gt;0,'Water Report'!$P$18,0))</f>
        <v>13</v>
      </c>
      <c r="AW14" s="1296">
        <f>(IF('Water Report'!$P$19&gt;0,'Water Report'!$P$19,0))</f>
        <v>5</v>
      </c>
      <c r="AX14" s="1371">
        <f>(IF('Water Report'!$P$21&gt;0,'Water Report'!$P$21,0))</f>
        <v>63</v>
      </c>
      <c r="AY14" s="1371">
        <f>(IF('Water Report'!$P$22&gt;0,'Water Report'!$P$22,0))</f>
        <v>0</v>
      </c>
      <c r="AZ14" s="1371">
        <f>(IF('Water Report'!$P$23&gt;0,'Water Report'!$P$23,0))</f>
        <v>0</v>
      </c>
      <c r="BA14" s="1371">
        <f>(IF('Water Report'!$P$14&gt;0,'Water Report'!$P$14,0))</f>
        <v>16</v>
      </c>
      <c r="BB14" s="1371">
        <f>(IF('Water Report'!$P$15&gt;0,'Water Report'!$P$15,0))</f>
        <v>15</v>
      </c>
      <c r="BC14" s="1371">
        <f>(IF('Water Report'!$P$13&gt;0,'Water Report'!$P$13,0))</f>
        <v>8</v>
      </c>
      <c r="BD14" s="1371">
        <f>(IF('Water Report'!$P$24&gt;0,'Water Report'!$P$24,0))</f>
        <v>194</v>
      </c>
      <c r="BE14" s="1371">
        <f>(IF('Water Report'!$P$25&gt;0,'Water Report'!$P$25,0))</f>
        <v>176</v>
      </c>
      <c r="BF14" s="1371">
        <f>(IF('Water Report'!$P$27&gt;0,'Water Report'!$P$27,0))</f>
        <v>71</v>
      </c>
      <c r="BG14" s="1297">
        <f>(IF('Section Load'!AN17&gt;0,'Section Load'!AN17,0))</f>
        <v>737</v>
      </c>
      <c r="BH14" s="1297">
        <f>(IF('Section Load'!AO17&gt;0,'Section Load'!AO17,0))</f>
        <v>245</v>
      </c>
      <c r="BI14" s="1297">
        <f>(IF('Section Load'!AP17&gt;0,'Section Load'!AP17,0))</f>
        <v>0</v>
      </c>
      <c r="BJ14" s="1297">
        <f>(IF('Section Load'!AQ17&gt;0,'Section Load'!AQ17,0))</f>
        <v>60</v>
      </c>
      <c r="BK14" s="1297">
        <f>(IF('Section Load'!AR17&gt;0,'Section Load'!AR17,0))</f>
        <v>68</v>
      </c>
      <c r="BL14" s="1297">
        <f>(IF('Section Load'!AS17&gt;0,'Section Load'!AS17,0))</f>
        <v>2</v>
      </c>
      <c r="BM14" s="1297">
        <f>(IF('Section Load'!AT17&gt;0,'Section Load'!AT17,0))</f>
        <v>362</v>
      </c>
    </row>
    <row r="15" spans="1:65">
      <c r="A15" s="1279" t="s">
        <v>300</v>
      </c>
      <c r="B15" s="1280">
        <f t="shared" si="0"/>
        <v>14</v>
      </c>
      <c r="C15" s="1280">
        <v>6</v>
      </c>
      <c r="D15" s="1280">
        <v>2021</v>
      </c>
      <c r="E15" s="1295">
        <f>(IF('Section Load'!F18&gt;0,'Section Load'!F18,0))</f>
        <v>2581.8699999999953</v>
      </c>
      <c r="F15" s="1295">
        <f>(IF('Section Load'!G18&gt;0,'Section Load'!G18,0))</f>
        <v>1388</v>
      </c>
      <c r="G15" s="1295">
        <f>(IF('Section Load'!H18&gt;0,'Section Load'!H18,0))</f>
        <v>1470</v>
      </c>
      <c r="H15" s="1295">
        <f>(IF('Section Load'!I18&gt;0,'Section Load'!I18,0))</f>
        <v>3252</v>
      </c>
      <c r="I15" s="1295">
        <f>(IF('Section Load'!J18&gt;0,'Section Load'!J18,0))</f>
        <v>6350</v>
      </c>
      <c r="J15" s="1295">
        <f>(IF('Section Load'!K18&gt;0,'Section Load'!K18,0))</f>
        <v>2656</v>
      </c>
      <c r="K15" s="1295">
        <f>(IF('Section Load'!L18&gt;0,'Section Load'!L18,0))</f>
        <v>947</v>
      </c>
      <c r="L15" s="1295">
        <f>(IF('Section Load'!M18&gt;0,'Section Load'!M18,0))</f>
        <v>648</v>
      </c>
      <c r="M15" s="1295">
        <f>(IF('Section Load'!N18&gt;0,'Section Load'!N18,0))</f>
        <v>13</v>
      </c>
      <c r="N15" s="1295">
        <f>(IF('Section Load'!O18&gt;0,'Section Load'!O18,0))</f>
        <v>1</v>
      </c>
      <c r="O15" s="1295">
        <f>(IF('Section Load'!P18&gt;0,'Section Load'!P18,0))</f>
        <v>0</v>
      </c>
      <c r="P15" s="1295">
        <f>(IF('Section Load'!Q18&gt;0,'Section Load'!Q18,0))</f>
        <v>129</v>
      </c>
      <c r="Q15" s="1295">
        <f>(IF('Section Load'!R18&gt;0,'Section Load'!R18,0))</f>
        <v>61</v>
      </c>
      <c r="R15" s="1295">
        <f>(IF('Section Load'!S18&gt;0,'Section Load'!S18,0))</f>
        <v>50</v>
      </c>
      <c r="S15" s="1295">
        <f>(IF('Section Load'!T18&gt;0,'Section Load'!T18,0))</f>
        <v>46</v>
      </c>
      <c r="T15" s="1295">
        <f>(IF('Section Load'!U18&gt;0,'Section Load'!U18,0))</f>
        <v>152</v>
      </c>
      <c r="U15" s="1295">
        <f>(IF('Section Load'!V18&gt;0,'Section Load'!V18,0))</f>
        <v>354.47999999998137</v>
      </c>
      <c r="V15" s="1295">
        <f>(IF('Section Load'!W18&gt;0,'Section Load'!W18,0))</f>
        <v>154.19999999995343</v>
      </c>
      <c r="W15" s="1295">
        <f>(IF('Section Load'!X18&gt;0,'Section Load'!X18,0))</f>
        <v>22</v>
      </c>
      <c r="X15" s="1295">
        <f>(IF('Section Load'!Y18&gt;0,'Section Load'!Y18,0))</f>
        <v>224</v>
      </c>
      <c r="Y15" s="1295">
        <f>(IF('Section Load'!Z18&gt;0,'Section Load'!Z18,0))</f>
        <v>262</v>
      </c>
      <c r="Z15" s="1295">
        <f>(IF('Section Load'!AA18&gt;0,'Section Load'!AA18,0))</f>
        <v>28.559999999997672</v>
      </c>
      <c r="AA15" s="1295">
        <f>(IF('Section Load'!AB18&gt;0,'Section Load'!AB18,0))</f>
        <v>28</v>
      </c>
      <c r="AB15" s="1295">
        <f>(IF('Section Load'!AC18&gt;0,'Section Load'!AC18,0))</f>
        <v>151.26999999998952</v>
      </c>
      <c r="AC15" s="1295">
        <f>(IF('Section Load'!AD18&gt;0,'Section Load'!AD18,0))</f>
        <v>31.099999999999909</v>
      </c>
      <c r="AD15" s="1295">
        <f>(IF('Section Load'!AE18&gt;0,'Section Load'!AE18,0))</f>
        <v>0</v>
      </c>
      <c r="AE15" s="1295">
        <f>(IF('Section Load'!AF18&gt;0,'Section Load'!AF18,0))</f>
        <v>0</v>
      </c>
      <c r="AF15" s="1295">
        <f>(IF('Section Load'!AG18&gt;0,'Section Load'!AG18,0))</f>
        <v>380</v>
      </c>
      <c r="AG15" s="1295">
        <f>(IF('Section Load'!AH18&gt;0,'Section Load'!AH18,0))</f>
        <v>326</v>
      </c>
      <c r="AH15" s="1295">
        <f>(IF('Section Load'!AI18&gt;0,'Section Load'!AI18,0))</f>
        <v>309</v>
      </c>
      <c r="AI15" s="1295">
        <f>(IF('Section Load'!AJ18&gt;0,'Section Load'!AJ18,0))</f>
        <v>449</v>
      </c>
      <c r="AJ15" s="1295">
        <f>(IF('Section Load'!AK18&gt;0,'Section Load'!AK18,0))</f>
        <v>0</v>
      </c>
      <c r="AK15" s="1295">
        <f>(IF('Section Load'!AL18&gt;0,'Section Load'!AL18,0))</f>
        <v>209</v>
      </c>
      <c r="AL15" s="1295">
        <f>(IF('Section Load'!AM18&gt;0,'Section Load'!AM18,0))</f>
        <v>754</v>
      </c>
      <c r="AM15" s="1296">
        <f>(IF('Water Report'!$Q$7&gt;0,'Water Report'!$Q$7,0))</f>
        <v>68</v>
      </c>
      <c r="AN15" s="1296">
        <f>(IF('Water Report'!$Q$8&gt;0,'Water Report'!$Q$8,0))</f>
        <v>154</v>
      </c>
      <c r="AO15" s="1296">
        <f>(IF('Water Report'!$Q$9&gt;0,'Water Report'!$Q$9,0))</f>
        <v>68</v>
      </c>
      <c r="AP15" s="1296">
        <f>(IF('Water Report'!$Q$10&gt;0,'Water Report'!$Q$10,0))</f>
        <v>23</v>
      </c>
      <c r="AQ15" s="1296">
        <f>(IF('Water Report'!$Q$11&gt;0,'Water Report'!$Q$11,0))</f>
        <v>21</v>
      </c>
      <c r="AR15" s="1296">
        <f>(IF('Water Report'!$Q$13&gt;0,'Water Report'!$Q$13,0))</f>
        <v>8</v>
      </c>
      <c r="AS15" s="1296">
        <f>(IF('Water Report'!$Q$14&gt;0,'Water Report'!$Q$14,0))</f>
        <v>10</v>
      </c>
      <c r="AT15" s="1296">
        <f>(IF('Water Report'!$Q$15&gt;0,'Water Report'!$Q$15,0))</f>
        <v>6</v>
      </c>
      <c r="AU15" s="1296">
        <f>(IF('Water Report'!$Q$17&gt;0,'Water Report'!$Q$17,0))</f>
        <v>0</v>
      </c>
      <c r="AV15" s="1296">
        <f>(IF('Water Report'!$Q$18&gt;0,'Water Report'!$Q$18,0))</f>
        <v>14</v>
      </c>
      <c r="AW15" s="1296">
        <f>(IF('Water Report'!$Q$19&gt;0,'Water Report'!$Q$19,0))</f>
        <v>5</v>
      </c>
      <c r="AX15" s="1371">
        <f>(IF('Water Report'!$Q$21&gt;0,'Water Report'!$Q$21,0))</f>
        <v>73</v>
      </c>
      <c r="AY15" s="1371">
        <f>(IF('Water Report'!$Q$22&gt;0,'Water Report'!$Q$22,0))</f>
        <v>0</v>
      </c>
      <c r="AZ15" s="1371">
        <f>(IF('Water Report'!$Q$23&gt;0,'Water Report'!$Q$23,0))</f>
        <v>0</v>
      </c>
      <c r="BA15" s="1371">
        <f>(IF('Water Report'!$Q$14&gt;0,'Water Report'!$Q$14,0))</f>
        <v>10</v>
      </c>
      <c r="BB15" s="1371">
        <f>(IF('Water Report'!$Q$15&gt;0,'Water Report'!$Q$15,0))</f>
        <v>6</v>
      </c>
      <c r="BC15" s="1371">
        <f>(IF('Water Report'!$Q$13&gt;0,'Water Report'!$Q$13,0))</f>
        <v>8</v>
      </c>
      <c r="BD15" s="1371">
        <f>(IF('Water Report'!$Q$24&gt;0,'Water Report'!$Q$24,0))</f>
        <v>183</v>
      </c>
      <c r="BE15" s="1371">
        <f>(IF('Water Report'!$Q$25&gt;0,'Water Report'!$Q$25,0))</f>
        <v>128</v>
      </c>
      <c r="BF15" s="1371">
        <f>(IF('Water Report'!$Q$27&gt;0,'Water Report'!$Q$27,0))</f>
        <v>81</v>
      </c>
      <c r="BG15" s="1297">
        <f>(IF('Section Load'!AN18&gt;0,'Section Load'!AN18,0))</f>
        <v>822</v>
      </c>
      <c r="BH15" s="1297">
        <f>(IF('Section Load'!AO18&gt;0,'Section Load'!AO18,0))</f>
        <v>259</v>
      </c>
      <c r="BI15" s="1297">
        <f>(IF('Section Load'!AP18&gt;0,'Section Load'!AP18,0))</f>
        <v>0</v>
      </c>
      <c r="BJ15" s="1297">
        <f>(IF('Section Load'!AQ18&gt;0,'Section Load'!AQ18,0))</f>
        <v>72</v>
      </c>
      <c r="BK15" s="1297">
        <f>(IF('Section Load'!AR18&gt;0,'Section Load'!AR18,0))</f>
        <v>26</v>
      </c>
      <c r="BL15" s="1297">
        <f>(IF('Section Load'!AS18&gt;0,'Section Load'!AS18,0))</f>
        <v>1</v>
      </c>
      <c r="BM15" s="1297">
        <f>(IF('Section Load'!AT18&gt;0,'Section Load'!AT18,0))</f>
        <v>464</v>
      </c>
    </row>
    <row r="16" spans="1:65">
      <c r="A16" s="1279" t="s">
        <v>300</v>
      </c>
      <c r="B16" s="1280">
        <f t="shared" si="0"/>
        <v>15</v>
      </c>
      <c r="C16" s="1280">
        <v>6</v>
      </c>
      <c r="D16" s="1280">
        <v>2021</v>
      </c>
      <c r="E16" s="1295">
        <f>(IF('Section Load'!F19&gt;0,'Section Load'!F19,0))</f>
        <v>2472</v>
      </c>
      <c r="F16" s="1295">
        <f>(IF('Section Load'!G19&gt;0,'Section Load'!G19,0))</f>
        <v>1405</v>
      </c>
      <c r="G16" s="1295">
        <f>(IF('Section Load'!H19&gt;0,'Section Load'!H19,0))</f>
        <v>1253.9300000000512</v>
      </c>
      <c r="H16" s="1295">
        <f>(IF('Section Load'!I19&gt;0,'Section Load'!I19,0))</f>
        <v>2893</v>
      </c>
      <c r="I16" s="1295">
        <f>(IF('Section Load'!J19&gt;0,'Section Load'!J19,0))</f>
        <v>5200</v>
      </c>
      <c r="J16" s="1295">
        <f>(IF('Section Load'!K19&gt;0,'Section Load'!K19,0))</f>
        <v>2467</v>
      </c>
      <c r="K16" s="1295">
        <f>(IF('Section Load'!L19&gt;0,'Section Load'!L19,0))</f>
        <v>1012</v>
      </c>
      <c r="L16" s="1295">
        <f>(IF('Section Load'!M19&gt;0,'Section Load'!M19,0))</f>
        <v>664</v>
      </c>
      <c r="M16" s="1295">
        <f>(IF('Section Load'!N19&gt;0,'Section Load'!N19,0))</f>
        <v>13</v>
      </c>
      <c r="N16" s="1295">
        <f>(IF('Section Load'!O19&gt;0,'Section Load'!O19,0))</f>
        <v>2</v>
      </c>
      <c r="O16" s="1295">
        <f>(IF('Section Load'!P19&gt;0,'Section Load'!P19,0))</f>
        <v>1</v>
      </c>
      <c r="P16" s="1295">
        <f>(IF('Section Load'!Q19&gt;0,'Section Load'!Q19,0))</f>
        <v>127</v>
      </c>
      <c r="Q16" s="1295">
        <f>(IF('Section Load'!R19&gt;0,'Section Load'!R19,0))</f>
        <v>58</v>
      </c>
      <c r="R16" s="1295">
        <f>(IF('Section Load'!S19&gt;0,'Section Load'!S19,0))</f>
        <v>46</v>
      </c>
      <c r="S16" s="1295">
        <f>(IF('Section Load'!T19&gt;0,'Section Load'!T19,0))</f>
        <v>49</v>
      </c>
      <c r="T16" s="1295">
        <f>(IF('Section Load'!U19&gt;0,'Section Load'!U19,0))</f>
        <v>139</v>
      </c>
      <c r="U16" s="1295">
        <f>(IF('Section Load'!V19&gt;0,'Section Load'!V19,0))</f>
        <v>335</v>
      </c>
      <c r="V16" s="1295">
        <f>(IF('Section Load'!W19&gt;0,'Section Load'!W19,0))</f>
        <v>138</v>
      </c>
      <c r="W16" s="1295">
        <f>(IF('Section Load'!X19&gt;0,'Section Load'!X19,0))</f>
        <v>27</v>
      </c>
      <c r="X16" s="1295">
        <f>(IF('Section Load'!Y19&gt;0,'Section Load'!Y19,0))</f>
        <v>104</v>
      </c>
      <c r="Y16" s="1295">
        <f>(IF('Section Load'!Z19&gt;0,'Section Load'!Z19,0))</f>
        <v>143</v>
      </c>
      <c r="Z16" s="1295">
        <f>(IF('Section Load'!AA19&gt;0,'Section Load'!AA19,0))</f>
        <v>30</v>
      </c>
      <c r="AA16" s="1295">
        <f>(IF('Section Load'!AB19&gt;0,'Section Load'!AB19,0))</f>
        <v>25</v>
      </c>
      <c r="AB16" s="1295">
        <f>(IF('Section Load'!AC19&gt;0,'Section Load'!AC19,0))</f>
        <v>237</v>
      </c>
      <c r="AC16" s="1295">
        <f>(IF('Section Load'!AD19&gt;0,'Section Load'!AD19,0))</f>
        <v>28</v>
      </c>
      <c r="AD16" s="1295">
        <f>(IF('Section Load'!AE19&gt;0,'Section Load'!AE19,0))</f>
        <v>0.18000000000029104</v>
      </c>
      <c r="AE16" s="1295">
        <f>(IF('Section Load'!AF19&gt;0,'Section Load'!AF19,0))</f>
        <v>0</v>
      </c>
      <c r="AF16" s="1295">
        <f>(IF('Section Load'!AG19&gt;0,'Section Load'!AG19,0))</f>
        <v>376</v>
      </c>
      <c r="AG16" s="1295">
        <f>(IF('Section Load'!AH19&gt;0,'Section Load'!AH19,0))</f>
        <v>150</v>
      </c>
      <c r="AH16" s="1295">
        <f>(IF('Section Load'!AI19&gt;0,'Section Load'!AI19,0))</f>
        <v>268</v>
      </c>
      <c r="AI16" s="1295">
        <f>(IF('Section Load'!AJ19&gt;0,'Section Load'!AJ19,0))</f>
        <v>406</v>
      </c>
      <c r="AJ16" s="1295">
        <f>(IF('Section Load'!AK19&gt;0,'Section Load'!AK19,0))</f>
        <v>0</v>
      </c>
      <c r="AK16" s="1295">
        <f>(IF('Section Load'!AL19&gt;0,'Section Load'!AL19,0))</f>
        <v>202</v>
      </c>
      <c r="AL16" s="1295">
        <f>(IF('Section Load'!AM19&gt;0,'Section Load'!AM19,0))</f>
        <v>683</v>
      </c>
      <c r="AM16" s="1296">
        <f>(IF('Water Report'!$R$7&gt;0,'Water Report'!$R$7,0))</f>
        <v>57</v>
      </c>
      <c r="AN16" s="1296">
        <f>(IF('Water Report'!$R$8&gt;0,'Water Report'!$R$8,0))</f>
        <v>72</v>
      </c>
      <c r="AO16" s="1296">
        <f>(IF('Water Report'!$R$9&gt;0,'Water Report'!$R$9,0))</f>
        <v>65</v>
      </c>
      <c r="AP16" s="1296">
        <f>(IF('Water Report'!$R$10&gt;0,'Water Report'!$R$10,0))</f>
        <v>10</v>
      </c>
      <c r="AQ16" s="1296">
        <f>(IF('Water Report'!$R$11&gt;0,'Water Report'!$R$11,0))</f>
        <v>17</v>
      </c>
      <c r="AR16" s="1296">
        <f>(IF('Water Report'!$R$13&gt;0,'Water Report'!$R$13,0))</f>
        <v>7</v>
      </c>
      <c r="AS16" s="1296">
        <f>(IF('Water Report'!$R$14&gt;0,'Water Report'!$R$14,0))</f>
        <v>4</v>
      </c>
      <c r="AT16" s="1296">
        <f>(IF('Water Report'!$R$15&gt;0,'Water Report'!$R$15,0))</f>
        <v>7</v>
      </c>
      <c r="AU16" s="1296">
        <f>(IF('Water Report'!$R$17&gt;0,'Water Report'!$R$17,0))</f>
        <v>0</v>
      </c>
      <c r="AV16" s="1296">
        <f>(IF('Water Report'!$R$18&gt;0,'Water Report'!$R$18,0))</f>
        <v>0</v>
      </c>
      <c r="AW16" s="1296">
        <f>(IF('Water Report'!$R$19&gt;0,'Water Report'!$R$19,0))</f>
        <v>5</v>
      </c>
      <c r="AX16" s="1371">
        <f>(IF('Water Report'!$R$21&gt;0,'Water Report'!$R$21,0))</f>
        <v>45</v>
      </c>
      <c r="AY16" s="1371">
        <f>(IF('Water Report'!$R$22&gt;0,'Water Report'!$R$22,0))</f>
        <v>13</v>
      </c>
      <c r="AZ16" s="1371">
        <f>(IF('Water Report'!$R$23&gt;0,'Water Report'!$R$23,0))</f>
        <v>0</v>
      </c>
      <c r="BA16" s="1371">
        <f>(IF('Water Report'!$R$14&gt;0,'Water Report'!$R$14,0))</f>
        <v>4</v>
      </c>
      <c r="BB16" s="1371">
        <f>(IF('Water Report'!$R$15&gt;0,'Water Report'!$R$15,0))</f>
        <v>7</v>
      </c>
      <c r="BC16" s="1371">
        <f>(IF('Water Report'!$R$13&gt;0,'Water Report'!$R$13,0))</f>
        <v>7</v>
      </c>
      <c r="BD16" s="1371">
        <f>(IF('Water Report'!$R$24&gt;0,'Water Report'!$R$24,0))</f>
        <v>142</v>
      </c>
      <c r="BE16" s="1371">
        <f>(IF('Water Report'!$R$25&gt;0,'Water Report'!$R$25,0))</f>
        <v>103</v>
      </c>
      <c r="BF16" s="1371">
        <f>(IF('Water Report'!$R$27&gt;0,'Water Report'!$R$27,0))</f>
        <v>52</v>
      </c>
      <c r="BG16" s="1297">
        <f>(IF('Section Load'!AN19&gt;0,'Section Load'!AN19,0))</f>
        <v>553</v>
      </c>
      <c r="BH16" s="1297">
        <f>(IF('Section Load'!AO19&gt;0,'Section Load'!AO19,0))</f>
        <v>259</v>
      </c>
      <c r="BI16" s="1297">
        <f>(IF('Section Load'!AP19&gt;0,'Section Load'!AP19,0))</f>
        <v>0.39999999999417923</v>
      </c>
      <c r="BJ16" s="1297">
        <f>(IF('Section Load'!AQ19&gt;0,'Section Load'!AQ19,0))</f>
        <v>64</v>
      </c>
      <c r="BK16" s="1297">
        <f>(IF('Section Load'!AR19&gt;0,'Section Load'!AR19,0))</f>
        <v>23</v>
      </c>
      <c r="BL16" s="1297">
        <f>(IF('Section Load'!AS19&gt;0,'Section Load'!AS19,0))</f>
        <v>1</v>
      </c>
      <c r="BM16" s="1297">
        <f>(IF('Section Load'!AT19&gt;0,'Section Load'!AT19,0))</f>
        <v>205.60000000000582</v>
      </c>
    </row>
    <row r="17" spans="1:65">
      <c r="A17" s="1279" t="s">
        <v>300</v>
      </c>
      <c r="B17" s="1280">
        <f t="shared" si="0"/>
        <v>16</v>
      </c>
      <c r="C17" s="1280">
        <v>6</v>
      </c>
      <c r="D17" s="1280">
        <v>2021</v>
      </c>
      <c r="E17" s="1295">
        <f>(IF('Section Load'!F20&gt;0,'Section Load'!F20,0))</f>
        <v>2502.9200000000419</v>
      </c>
      <c r="F17" s="1295">
        <f>(IF('Section Load'!G20&gt;0,'Section Load'!G20,0))</f>
        <v>1424.929999999993</v>
      </c>
      <c r="G17" s="1295">
        <f>(IF('Section Load'!H20&gt;0,'Section Load'!H20,0))</f>
        <v>1231.3799999999464</v>
      </c>
      <c r="H17" s="1295">
        <f>(IF('Section Load'!I20&gt;0,'Section Load'!I20,0))</f>
        <v>3172.4900000000489</v>
      </c>
      <c r="I17" s="1295">
        <f>(IF('Section Load'!J20&gt;0,'Section Load'!J20,0))</f>
        <v>5374.2500000000291</v>
      </c>
      <c r="J17" s="1295">
        <f>(IF('Section Load'!K20&gt;0,'Section Load'!K20,0))</f>
        <v>2435</v>
      </c>
      <c r="K17" s="1295">
        <f>(IF('Section Load'!L20&gt;0,'Section Load'!L20,0))</f>
        <v>1103.8699999999953</v>
      </c>
      <c r="L17" s="1295">
        <f>(IF('Section Load'!M20&gt;0,'Section Load'!M20,0))</f>
        <v>813.1200000000008</v>
      </c>
      <c r="M17" s="1295">
        <f>(IF('Section Load'!N20&gt;0,'Section Load'!N20,0))</f>
        <v>13</v>
      </c>
      <c r="N17" s="1295">
        <f>(IF('Section Load'!O20&gt;0,'Section Load'!O20,0))</f>
        <v>1</v>
      </c>
      <c r="O17" s="1295">
        <f>(IF('Section Load'!P20&gt;0,'Section Load'!P20,0))</f>
        <v>1.8000000000029104</v>
      </c>
      <c r="P17" s="1295">
        <f>(IF('Section Load'!Q20&gt;0,'Section Load'!Q20,0))</f>
        <v>133.48999999999978</v>
      </c>
      <c r="Q17" s="1295">
        <f>(IF('Section Load'!R20&gt;0,'Section Load'!R20,0))</f>
        <v>56.719999999999345</v>
      </c>
      <c r="R17" s="1295">
        <f>(IF('Section Load'!S20&gt;0,'Section Load'!S20,0))</f>
        <v>58</v>
      </c>
      <c r="S17" s="1295">
        <f>(IF('Section Load'!T20&gt;0,'Section Load'!T20,0))</f>
        <v>68</v>
      </c>
      <c r="T17" s="1295">
        <f>(IF('Section Load'!U20&gt;0,'Section Load'!U20,0))</f>
        <v>154</v>
      </c>
      <c r="U17" s="1295">
        <f>(IF('Section Load'!V20&gt;0,'Section Load'!V20,0))</f>
        <v>396</v>
      </c>
      <c r="V17" s="1295">
        <f>(IF('Section Load'!W20&gt;0,'Section Load'!W20,0))</f>
        <v>114.28000000002794</v>
      </c>
      <c r="W17" s="1295">
        <f>(IF('Section Load'!X20&gt;0,'Section Load'!X20,0))</f>
        <v>13.660000000003492</v>
      </c>
      <c r="X17" s="1295">
        <f>(IF('Section Load'!Y20&gt;0,'Section Load'!Y20,0))</f>
        <v>17.110000000000582</v>
      </c>
      <c r="Y17" s="1295">
        <f>(IF('Section Load'!Z20&gt;0,'Section Load'!Z20,0))</f>
        <v>217</v>
      </c>
      <c r="Z17" s="1295">
        <f>(IF('Section Load'!AA20&gt;0,'Section Load'!AA20,0))</f>
        <v>36.440000000002328</v>
      </c>
      <c r="AA17" s="1295">
        <f>(IF('Section Load'!AB20&gt;0,'Section Load'!AB20,0))</f>
        <v>31.19999999999709</v>
      </c>
      <c r="AB17" s="1295">
        <f>(IF('Section Load'!AC20&gt;0,'Section Load'!AC20,0))</f>
        <v>78.910000000003492</v>
      </c>
      <c r="AC17" s="1295">
        <f>(IF('Section Load'!AD20&gt;0,'Section Load'!AD20,0))</f>
        <v>35.499999999997272</v>
      </c>
      <c r="AD17" s="1295">
        <f>(IF('Section Load'!AE20&gt;0,'Section Load'!AE20,0))</f>
        <v>0</v>
      </c>
      <c r="AE17" s="1295">
        <f>(IF('Section Load'!AF20&gt;0,'Section Load'!AF20,0))</f>
        <v>0</v>
      </c>
      <c r="AF17" s="1295">
        <f>(IF('Section Load'!AG20&gt;0,'Section Load'!AG20,0))</f>
        <v>415.35000000000582</v>
      </c>
      <c r="AG17" s="1295">
        <f>(IF('Section Load'!AH20&gt;0,'Section Load'!AH20,0))</f>
        <v>265.25</v>
      </c>
      <c r="AH17" s="1295">
        <f>(IF('Section Load'!AI20&gt;0,'Section Load'!AI20,0))</f>
        <v>300.2300000000032</v>
      </c>
      <c r="AI17" s="1295">
        <f>(IF('Section Load'!AJ20&gt;0,'Section Load'!AJ20,0))</f>
        <v>392.39000000001397</v>
      </c>
      <c r="AJ17" s="1295">
        <f>(IF('Section Load'!AK20&gt;0,'Section Load'!AK20,0))</f>
        <v>0</v>
      </c>
      <c r="AK17" s="1295">
        <f>(IF('Section Load'!AL20&gt;0,'Section Load'!AL20,0))</f>
        <v>228.27000000000407</v>
      </c>
      <c r="AL17" s="1295">
        <f>(IF('Section Load'!AM20&gt;0,'Section Load'!AM20,0))</f>
        <v>735</v>
      </c>
      <c r="AM17" s="1296">
        <f>(IF('Water Report'!$S$7&gt;0,'Water Report'!$S$7,0))</f>
        <v>31</v>
      </c>
      <c r="AN17" s="1296">
        <f>(IF('Water Report'!$S$8&gt;0,'Water Report'!$S$8,0))</f>
        <v>66</v>
      </c>
      <c r="AO17" s="1296">
        <f>(IF('Water Report'!$S$9&gt;0,'Water Report'!$S$9,0))</f>
        <v>34</v>
      </c>
      <c r="AP17" s="1296">
        <f>(IF('Water Report'!$S$10&gt;0,'Water Report'!$D$10,0))</f>
        <v>13</v>
      </c>
      <c r="AQ17" s="1296">
        <f>(IF('Water Report'!$S$11&gt;0,'Water Report'!$D$11,0))</f>
        <v>15</v>
      </c>
      <c r="AR17" s="1296">
        <f>(IF('Water Report'!$S$13&gt;0,'Water Report'!$D$13,0))</f>
        <v>7</v>
      </c>
      <c r="AS17" s="1296">
        <f>(IF('Water Report'!$S$14&gt;0,'Water Report'!$D$14,0))</f>
        <v>12</v>
      </c>
      <c r="AT17" s="1296">
        <f>(IF('Water Report'!$S$15&gt;0,'Water Report'!$D$15,0))</f>
        <v>5</v>
      </c>
      <c r="AU17" s="1296">
        <f>(IF('Water Report'!$S$17&gt;0,'Water Report'!$D$17,0))</f>
        <v>0</v>
      </c>
      <c r="AV17" s="1296">
        <f>(IF('Water Report'!$S$18&gt;0,'Water Report'!$D$18,0))</f>
        <v>0</v>
      </c>
      <c r="AW17" s="1296">
        <f>(IF('Water Report'!$S$19&gt;0,'Water Report'!$D$19,0))</f>
        <v>0</v>
      </c>
      <c r="AX17" s="1371">
        <f>(IF('Water Report'!$S$21&gt;0,'Water Report'!$D$21,0))</f>
        <v>63</v>
      </c>
      <c r="AY17" s="1371">
        <f>(IF('Water Report'!$S$22&gt;0,'Water Report'!$D$22,0))</f>
        <v>0</v>
      </c>
      <c r="AZ17" s="1371">
        <f>(IF('Water Report'!$S$23&gt;0,'Water Report'!$D$23,0))</f>
        <v>0</v>
      </c>
      <c r="BA17" s="1371">
        <f>(IF('Water Report'!$S$14&gt;0,'Water Report'!$D$14,0))</f>
        <v>12</v>
      </c>
      <c r="BB17" s="1371">
        <f>(IF('Water Report'!$S$15&gt;0,'Water Report'!$D$15,0))</f>
        <v>5</v>
      </c>
      <c r="BC17" s="1371">
        <f>(IF('Water Report'!$S$13&gt;0,'Water Report'!$D$13,0))</f>
        <v>7</v>
      </c>
      <c r="BD17" s="1371">
        <f>(IF('Water Report'!$S$24&gt;0,'Water Report'!$D$24,0))</f>
        <v>80</v>
      </c>
      <c r="BE17" s="1371">
        <f>(IF('Water Report'!$S$25&gt;0,'Water Report'!$D$25,0))</f>
        <v>85</v>
      </c>
      <c r="BF17" s="1371">
        <f>(IF('Water Report'!$S$27&gt;0,'Water Report'!$D$27,0))</f>
        <v>86</v>
      </c>
      <c r="BG17" s="1297">
        <f>(IF('Section Load'!AN20&gt;0,'Section Load'!AN20,0))</f>
        <v>477.06499999994412</v>
      </c>
      <c r="BH17" s="1297">
        <f>(IF('Section Load'!AO20&gt;0,'Section Load'!AO20,0))</f>
        <v>262.6600000000326</v>
      </c>
      <c r="BI17" s="1297">
        <f>(IF('Section Load'!AP20&gt;0,'Section Load'!AP20,0))</f>
        <v>0</v>
      </c>
      <c r="BJ17" s="1297">
        <f>(IF('Section Load'!AQ20&gt;0,'Section Load'!AQ20,0))</f>
        <v>63.380000000004657</v>
      </c>
      <c r="BK17" s="1297">
        <f>(IF('Section Load'!AR20&gt;0,'Section Load'!AR20,0))</f>
        <v>35.200000000000728</v>
      </c>
      <c r="BL17" s="1297">
        <f>(IF('Section Load'!AS20&gt;0,'Section Load'!AS20,0))</f>
        <v>0.2999999999992724</v>
      </c>
      <c r="BM17" s="1297">
        <f>(IF('Section Load'!AT20&gt;0,'Section Load'!AT20,0))</f>
        <v>115.52499999990687</v>
      </c>
    </row>
    <row r="18" spans="1:65">
      <c r="A18" s="1279" t="s">
        <v>300</v>
      </c>
      <c r="B18" s="1280">
        <f t="shared" si="0"/>
        <v>17</v>
      </c>
      <c r="C18" s="1280">
        <v>6</v>
      </c>
      <c r="D18" s="1280">
        <v>2021</v>
      </c>
      <c r="E18" s="1295">
        <f>(IF('Section Load'!F21&gt;0,'Section Load'!F21,0))</f>
        <v>2468.5599999999395</v>
      </c>
      <c r="F18" s="1295">
        <f>(IF('Section Load'!G21&gt;0,'Section Load'!G21,0))</f>
        <v>1431.4800000000105</v>
      </c>
      <c r="G18" s="1295">
        <f>(IF('Section Load'!H21&gt;0,'Section Load'!H21,0))</f>
        <v>1378.820000000007</v>
      </c>
      <c r="H18" s="1295">
        <f>(IF('Section Load'!I21&gt;0,'Section Load'!I21,0))</f>
        <v>3280.1699999999255</v>
      </c>
      <c r="I18" s="1295">
        <f>(IF('Section Load'!J21&gt;0,'Section Load'!J21,0))</f>
        <v>5676.4399999999587</v>
      </c>
      <c r="J18" s="1295">
        <f>(IF('Section Load'!K21&gt;0,'Section Load'!K21,0))</f>
        <v>2523.5</v>
      </c>
      <c r="K18" s="1295">
        <f>(IF('Section Load'!L21&gt;0,'Section Load'!L21,0))</f>
        <v>940.28000000002794</v>
      </c>
      <c r="L18" s="1295">
        <f>(IF('Section Load'!M21&gt;0,'Section Load'!M21,0))</f>
        <v>775.75</v>
      </c>
      <c r="M18" s="1295">
        <f>(IF('Section Load'!N21&gt;0,'Section Load'!N21,0))</f>
        <v>12</v>
      </c>
      <c r="N18" s="1295">
        <f>(IF('Section Load'!O21&gt;0,'Section Load'!O21,0))</f>
        <v>2</v>
      </c>
      <c r="O18" s="1295">
        <f>(IF('Section Load'!P21&gt;0,'Section Load'!P21,0))</f>
        <v>0.89999999999417923</v>
      </c>
      <c r="P18" s="1295">
        <f>(IF('Section Load'!Q21&gt;0,'Section Load'!Q21,0))</f>
        <v>130.07999999999993</v>
      </c>
      <c r="Q18" s="1295">
        <f>(IF('Section Load'!R21&gt;0,'Section Load'!R21,0))</f>
        <v>58.079999999999927</v>
      </c>
      <c r="R18" s="1295">
        <f>(IF('Section Load'!S21&gt;0,'Section Load'!S21,0))</f>
        <v>48</v>
      </c>
      <c r="S18" s="1295">
        <f>(IF('Section Load'!T21&gt;0,'Section Load'!T21,0))</f>
        <v>103</v>
      </c>
      <c r="T18" s="1295">
        <f>(IF('Section Load'!U21&gt;0,'Section Load'!U21,0))</f>
        <v>133</v>
      </c>
      <c r="U18" s="1295">
        <f>(IF('Section Load'!V21&gt;0,'Section Load'!V21,0))</f>
        <v>334.52000000001863</v>
      </c>
      <c r="V18" s="1295">
        <f>(IF('Section Load'!W21&gt;0,'Section Load'!W21,0))</f>
        <v>143.28000000002794</v>
      </c>
      <c r="W18" s="1295">
        <f>(IF('Section Load'!X21&gt;0,'Section Load'!X21,0))</f>
        <v>13.679999999993015</v>
      </c>
      <c r="X18" s="1295">
        <f>(IF('Section Load'!Y21&gt;0,'Section Load'!Y21,0))</f>
        <v>246.62999999999738</v>
      </c>
      <c r="Y18" s="1295">
        <f>(IF('Section Load'!Z21&gt;0,'Section Load'!Z21,0))</f>
        <v>164</v>
      </c>
      <c r="Z18" s="1295">
        <f>(IF('Section Load'!AA21&gt;0,'Section Load'!AA21,0))</f>
        <v>26.840000000025611</v>
      </c>
      <c r="AA18" s="1295">
        <f>(IF('Section Load'!AB21&gt;0,'Section Load'!AB21,0))</f>
        <v>18.600000000005821</v>
      </c>
      <c r="AB18" s="1295">
        <f>(IF('Section Load'!AC21&gt;0,'Section Load'!AC21,0))</f>
        <v>71.75</v>
      </c>
      <c r="AC18" s="1295">
        <f>(IF('Section Load'!AD21&gt;0,'Section Load'!AD21,0))</f>
        <v>20.20000000000573</v>
      </c>
      <c r="AD18" s="1295">
        <f>(IF('Section Load'!AE21&gt;0,'Section Load'!AE21,0))</f>
        <v>0</v>
      </c>
      <c r="AE18" s="1295">
        <f>(IF('Section Load'!AF21&gt;0,'Section Load'!AF21,0))</f>
        <v>0</v>
      </c>
      <c r="AF18" s="1295">
        <f>(IF('Section Load'!AG21&gt;0,'Section Load'!AG21,0))</f>
        <v>344.57999999998719</v>
      </c>
      <c r="AG18" s="1295">
        <f>(IF('Section Load'!AH21&gt;0,'Section Load'!AH21,0))</f>
        <v>342.29999999998836</v>
      </c>
      <c r="AH18" s="1295">
        <f>(IF('Section Load'!AI21&gt;0,'Section Load'!AI21,0))</f>
        <v>331.43999999999505</v>
      </c>
      <c r="AI18" s="1295">
        <f>(IF('Section Load'!AJ21&gt;0,'Section Load'!AJ21,0))</f>
        <v>426.03999999997905</v>
      </c>
      <c r="AJ18" s="1295">
        <f>(IF('Section Load'!AK21&gt;0,'Section Load'!AK21,0))</f>
        <v>0</v>
      </c>
      <c r="AK18" s="1295">
        <f>(IF('Section Load'!AL21&gt;0,'Section Load'!AL21,0))</f>
        <v>174.15999999998894</v>
      </c>
      <c r="AL18" s="1295">
        <f>(IF('Section Load'!AM21&gt;0,'Section Load'!AM21,0))</f>
        <v>706</v>
      </c>
      <c r="AM18" s="1296">
        <f>(IF('Water Report'!$T$7&gt;0,'Water Report'!$T$7,0))</f>
        <v>57</v>
      </c>
      <c r="AN18" s="1296">
        <f>(IF('Water Report'!$T$8&gt;0,'Water Report'!$T$8,0))</f>
        <v>66</v>
      </c>
      <c r="AO18" s="1296">
        <f>(IF('Water Report'!$T$9&gt;0,'Water Report'!$T$9,0))</f>
        <v>72</v>
      </c>
      <c r="AP18" s="1296">
        <f>(IF('Water Report'!$T$10&gt;0,'Water Report'!$T$10,0))</f>
        <v>10</v>
      </c>
      <c r="AQ18" s="1296">
        <f>(IF('Water Report'!$T$11&gt;0,'Water Report'!$T$11,0))</f>
        <v>22</v>
      </c>
      <c r="AR18" s="1296">
        <f>(IF('Water Report'!$T$13&gt;0,'Water Report'!$T$13,0))</f>
        <v>6</v>
      </c>
      <c r="AS18" s="1296">
        <f>(IF('Water Report'!$T$14&gt;0,'Water Report'!$T$14,0))</f>
        <v>5</v>
      </c>
      <c r="AT18" s="1296">
        <f>(IF('Water Report'!$T$15&gt;0,'Water Report'!$T$15,0))</f>
        <v>6</v>
      </c>
      <c r="AU18" s="1296">
        <f>(IF('Water Report'!$T$17&gt;0,'Water Report'!$T$17,0))</f>
        <v>0</v>
      </c>
      <c r="AV18" s="1296">
        <f>(IF('Water Report'!$T$18&gt;0,'Water Report'!$T$18,0))</f>
        <v>20</v>
      </c>
      <c r="AW18" s="1296">
        <f>(IF('Water Report'!$T$19&gt;0,'Water Report'!$T$19,0))</f>
        <v>0</v>
      </c>
      <c r="AX18" s="1371">
        <f>(IF('Water Report'!$T$21&gt;0,'Water Report'!$T$21,0))</f>
        <v>61</v>
      </c>
      <c r="AY18" s="1371">
        <f>(IF('Water Report'!$T$22&gt;0,'Water Report'!$T$22,0))</f>
        <v>10</v>
      </c>
      <c r="AZ18" s="1371">
        <f>(IF('Water Report'!$T$23&gt;0,'Water Report'!$T$23,0))</f>
        <v>0</v>
      </c>
      <c r="BA18" s="1371">
        <f>(IF('Water Report'!$T$14&gt;0,'Water Report'!$T$14,0))</f>
        <v>5</v>
      </c>
      <c r="BB18" s="1371">
        <f>(IF('Water Report'!$T$15&gt;0,'Water Report'!$T$15,0))</f>
        <v>6</v>
      </c>
      <c r="BC18" s="1371">
        <f>(IF('Water Report'!$T$13&gt;0,'Water Report'!$T$13,0))</f>
        <v>6</v>
      </c>
      <c r="BD18" s="1371">
        <f>(IF('Water Report'!$T$24&gt;0,'Water Report'!$T$24,0))</f>
        <v>122</v>
      </c>
      <c r="BE18" s="1371">
        <f>(IF('Water Report'!$T$25&gt;0,'Water Report'!$T$25,0))</f>
        <v>115</v>
      </c>
      <c r="BF18" s="1371">
        <f>(IF('Water Report'!$T$27&gt;0,'Water Report'!$T$27,0))</f>
        <v>67</v>
      </c>
      <c r="BG18" s="1297">
        <f>(IF('Section Load'!AN21&gt;0,'Section Load'!AN21,0))</f>
        <v>833.77800000016578</v>
      </c>
      <c r="BH18" s="1297">
        <f>(IF('Section Load'!AO21&gt;0,'Section Load'!AO21,0))</f>
        <v>303.17999999993481</v>
      </c>
      <c r="BI18" s="1297">
        <f>(IF('Section Load'!AP21&gt;0,'Section Load'!AP21,0))</f>
        <v>0</v>
      </c>
      <c r="BJ18" s="1297">
        <f>(IF('Section Load'!AQ21&gt;0,'Section Load'!AQ21,0))</f>
        <v>69.5</v>
      </c>
      <c r="BK18" s="1297">
        <f>(IF('Section Load'!AR21&gt;0,'Section Load'!AR21,0))</f>
        <v>30</v>
      </c>
      <c r="BL18" s="1297">
        <f>(IF('Section Load'!AS21&gt;0,'Section Load'!AS21,0))</f>
        <v>0.1000000000003638</v>
      </c>
      <c r="BM18" s="1297">
        <f>(IF('Section Load'!AT21&gt;0,'Section Load'!AT21,0))</f>
        <v>430.9980000002306</v>
      </c>
    </row>
    <row r="19" spans="1:65">
      <c r="A19" s="1279" t="s">
        <v>300</v>
      </c>
      <c r="B19" s="1280">
        <f t="shared" si="0"/>
        <v>18</v>
      </c>
      <c r="C19" s="1280">
        <v>6</v>
      </c>
      <c r="D19" s="1280">
        <v>2021</v>
      </c>
      <c r="E19" s="1295">
        <f>(IF('Section Load'!F22&gt;0,'Section Load'!F22,0))</f>
        <v>2647.5200000000186</v>
      </c>
      <c r="F19" s="1295">
        <f>(IF('Section Load'!G22&gt;0,'Section Load'!G22,0))</f>
        <v>1451.5899999999965</v>
      </c>
      <c r="G19" s="1295">
        <f>(IF('Section Load'!H22&gt;0,'Section Load'!H22,0))</f>
        <v>1375.1300000000338</v>
      </c>
      <c r="H19" s="1295">
        <f>(IF('Section Load'!I22&gt;0,'Section Load'!I22,0))</f>
        <v>3490.4000000000233</v>
      </c>
      <c r="I19" s="1295">
        <f>(IF('Section Load'!J22&gt;0,'Section Load'!J22,0))</f>
        <v>6328.7099999999336</v>
      </c>
      <c r="J19" s="1295">
        <f>(IF('Section Load'!K22&gt;0,'Section Load'!K22,0))</f>
        <v>2756.8999999999069</v>
      </c>
      <c r="K19" s="1295">
        <f>(IF('Section Load'!L22&gt;0,'Section Load'!L22,0))</f>
        <v>968.8399999999674</v>
      </c>
      <c r="L19" s="1295">
        <f>(IF('Section Load'!M22&gt;0,'Section Load'!M22,0))</f>
        <v>615.31999999999971</v>
      </c>
      <c r="M19" s="1295">
        <f>(IF('Section Load'!N22&gt;0,'Section Load'!N22,0))</f>
        <v>12</v>
      </c>
      <c r="N19" s="1295">
        <f>(IF('Section Load'!O22&gt;0,'Section Load'!O22,0))</f>
        <v>0</v>
      </c>
      <c r="O19" s="1295">
        <f>(IF('Section Load'!P22&gt;0,'Section Load'!P22,0))</f>
        <v>0.60000000000582077</v>
      </c>
      <c r="P19" s="1295">
        <f>(IF('Section Load'!Q22&gt;0,'Section Load'!Q22,0))</f>
        <v>142.85000000000036</v>
      </c>
      <c r="Q19" s="1295">
        <f>(IF('Section Load'!R22&gt;0,'Section Load'!R22,0))</f>
        <v>58.680000000000291</v>
      </c>
      <c r="R19" s="1295">
        <f>(IF('Section Load'!S22&gt;0,'Section Load'!S22,0))</f>
        <v>54</v>
      </c>
      <c r="S19" s="1295">
        <f>(IF('Section Load'!T22&gt;0,'Section Load'!T22,0))</f>
        <v>120</v>
      </c>
      <c r="T19" s="1295">
        <f>(IF('Section Load'!U22&gt;0,'Section Load'!U22,0))</f>
        <v>143</v>
      </c>
      <c r="U19" s="1295">
        <f>(IF('Section Load'!V22&gt;0,'Section Load'!V22,0))</f>
        <v>390.31999999994878</v>
      </c>
      <c r="V19" s="1295">
        <f>(IF('Section Load'!W22&gt;0,'Section Load'!W22,0))</f>
        <v>141.7599999998929</v>
      </c>
      <c r="W19" s="1295">
        <f>(IF('Section Load'!X22&gt;0,'Section Load'!X22,0))</f>
        <v>25.270000000004075</v>
      </c>
      <c r="X19" s="1295">
        <f>(IF('Section Load'!Y22&gt;0,'Section Load'!Y22,0))</f>
        <v>154.40000000000146</v>
      </c>
      <c r="Y19" s="1295">
        <f>(IF('Section Load'!Z22&gt;0,'Section Load'!Z22,0))</f>
        <v>200</v>
      </c>
      <c r="Z19" s="1295">
        <f>(IF('Section Load'!AA22&gt;0,'Section Load'!AA22,0))</f>
        <v>21.919999999983702</v>
      </c>
      <c r="AA19" s="1295">
        <f>(IF('Section Load'!AB22&gt;0,'Section Load'!AB22,0))</f>
        <v>28.899999999994179</v>
      </c>
      <c r="AB19" s="1295">
        <f>(IF('Section Load'!AC22&gt;0,'Section Load'!AC22,0))</f>
        <v>94.850000000005821</v>
      </c>
      <c r="AC19" s="1295">
        <f>(IF('Section Load'!AD22&gt;0,'Section Load'!AD22,0))</f>
        <v>32.399999999994179</v>
      </c>
      <c r="AD19" s="1295">
        <f>(IF('Section Load'!AE22&gt;0,'Section Load'!AE22,0))</f>
        <v>0.18000000000029104</v>
      </c>
      <c r="AE19" s="1295">
        <f>(IF('Section Load'!AF22&gt;0,'Section Load'!AF22,0))</f>
        <v>0</v>
      </c>
      <c r="AF19" s="1295">
        <f>(IF('Section Load'!AG22&gt;0,'Section Load'!AG22,0))</f>
        <v>345.02000000001863</v>
      </c>
      <c r="AG19" s="1295">
        <f>(IF('Section Load'!AH22&gt;0,'Section Load'!AH22,0))</f>
        <v>371.55999999999767</v>
      </c>
      <c r="AH19" s="1295">
        <f>(IF('Section Load'!AI22&gt;0,'Section Load'!AI22,0))</f>
        <v>352.84000000000378</v>
      </c>
      <c r="AI19" s="1295">
        <f>(IF('Section Load'!AJ22&gt;0,'Section Load'!AJ22,0))</f>
        <v>476.02000000001863</v>
      </c>
      <c r="AJ19" s="1295">
        <f>(IF('Section Load'!AK22&gt;0,'Section Load'!AK22,0))</f>
        <v>0</v>
      </c>
      <c r="AK19" s="1295">
        <f>(IF('Section Load'!AL22&gt;0,'Section Load'!AL22,0))</f>
        <v>244.95000000001164</v>
      </c>
      <c r="AL19" s="1295">
        <f>(IF('Section Load'!AM22&gt;0,'Section Load'!AM22,0))</f>
        <v>747</v>
      </c>
      <c r="AM19" s="1296">
        <f>(IF('Water Report'!$U$7&gt;0,'Water Report'!$U$7,0))</f>
        <v>51</v>
      </c>
      <c r="AN19" s="1296">
        <f>(IF('Water Report'!$U$8&gt;0,'Water Report'!$U$8,0))</f>
        <v>75</v>
      </c>
      <c r="AO19" s="1296">
        <f>(IF('Water Report'!$U$9&gt;0,'Water Report'!$U$9,0))</f>
        <v>56</v>
      </c>
      <c r="AP19" s="1296">
        <f>(IF('Water Report'!$U$10&gt;0,'Water Report'!$U$10,0))</f>
        <v>14</v>
      </c>
      <c r="AQ19" s="1296">
        <f>(IF('Water Report'!$U$11&gt;0,'Water Report'!$U$11,0))</f>
        <v>28</v>
      </c>
      <c r="AR19" s="1296">
        <f>(IF('Water Report'!$U$13&gt;0,'Water Report'!$U$13,0))</f>
        <v>5</v>
      </c>
      <c r="AS19" s="1296">
        <f>(IF('Water Report'!$U$14&gt;0,'Water Report'!$U$14,0))</f>
        <v>9</v>
      </c>
      <c r="AT19" s="1296">
        <f>(IF('Water Report'!$U$15&gt;0,'Water Report'!$U$15,0))</f>
        <v>8</v>
      </c>
      <c r="AU19" s="1296">
        <f>(IF('Water Report'!$U$17&gt;0,'Water Report'!$U$17,0))</f>
        <v>0</v>
      </c>
      <c r="AV19" s="1296">
        <f>(IF('Water Report'!$U$18&gt;0,'Water Report'!$U$18,0))</f>
        <v>1</v>
      </c>
      <c r="AW19" s="1296">
        <f>(IF('Water Report'!$U$19&gt;0,'Water Report'!$U$19,0))</f>
        <v>2</v>
      </c>
      <c r="AX19" s="1371">
        <f>(IF('Water Report'!$U$21&gt;0,'Water Report'!$U$21,0))</f>
        <v>75</v>
      </c>
      <c r="AY19" s="1371">
        <f>(IF('Water Report'!$U$22&gt;0,'Water Report'!$U$22,0))</f>
        <v>10</v>
      </c>
      <c r="AZ19" s="1371">
        <f>(IF('Water Report'!$U$23&gt;0,'Water Report'!$U$23,0))</f>
        <v>0</v>
      </c>
      <c r="BA19" s="1371">
        <f>(IF('Water Report'!$U$14&gt;0,'Water Report'!$U$14,0))</f>
        <v>9</v>
      </c>
      <c r="BB19" s="1371">
        <f>(IF('Water Report'!$U$15&gt;0,'Water Report'!$U$15,0))</f>
        <v>8</v>
      </c>
      <c r="BC19" s="1371">
        <f>(IF('Water Report'!$U$13&gt;0,'Water Report'!$U$13,0))</f>
        <v>5</v>
      </c>
      <c r="BD19" s="1371">
        <f>(IF('Water Report'!$U$24&gt;0,'Water Report'!$U$24,0))</f>
        <v>145</v>
      </c>
      <c r="BE19" s="1371">
        <f>(IF('Water Report'!$U$25&gt;0,'Water Report'!$U$25,0))</f>
        <v>115</v>
      </c>
      <c r="BF19" s="1371">
        <f>(IF('Water Report'!$U$27&gt;0,'Water Report'!$U$27,0))</f>
        <v>80</v>
      </c>
      <c r="BG19" s="1297">
        <f>(IF('Section Load'!AN22&gt;0,'Section Load'!AN22,0))</f>
        <v>638.77700000000186</v>
      </c>
      <c r="BH19" s="1297">
        <f>(IF('Section Load'!AO22&gt;0,'Section Load'!AO22,0))</f>
        <v>272.86999999999534</v>
      </c>
      <c r="BI19" s="1297">
        <f>(IF('Section Load'!AP22&gt;0,'Section Load'!AP22,0))</f>
        <v>0</v>
      </c>
      <c r="BJ19" s="1297">
        <f>(IF('Section Load'!AQ22&gt;0,'Section Load'!AQ22,0))</f>
        <v>67.799999999988358</v>
      </c>
      <c r="BK19" s="1297">
        <f>(IF('Section Load'!AR22&gt;0,'Section Load'!AR22,0))</f>
        <v>33.899999999997817</v>
      </c>
      <c r="BL19" s="1297">
        <f>(IF('Section Load'!AS22&gt;0,'Section Load'!AS22,0))</f>
        <v>2.3000000000010914</v>
      </c>
      <c r="BM19" s="1297">
        <f>(IF('Section Load'!AT22&gt;0,'Section Load'!AT22,0))</f>
        <v>261.90700000001925</v>
      </c>
    </row>
    <row r="20" spans="1:65">
      <c r="A20" s="1279" t="s">
        <v>300</v>
      </c>
      <c r="B20" s="1280">
        <f t="shared" si="0"/>
        <v>19</v>
      </c>
      <c r="C20" s="1280">
        <v>6</v>
      </c>
      <c r="D20" s="1280">
        <v>2021</v>
      </c>
      <c r="E20" s="1295">
        <f>(IF('Section Load'!F23&gt;0,'Section Load'!F23,0))</f>
        <v>2958.1600000000326</v>
      </c>
      <c r="F20" s="1295">
        <f>(IF('Section Load'!G23&gt;0,'Section Load'!G23,0))</f>
        <v>1546.2600000000093</v>
      </c>
      <c r="G20" s="1295">
        <f>(IF('Section Load'!H23&gt;0,'Section Load'!H23,0))</f>
        <v>1613.0699999999488</v>
      </c>
      <c r="H20" s="1295">
        <f>(IF('Section Load'!I23&gt;0,'Section Load'!I23,0))</f>
        <v>3744.2800000000279</v>
      </c>
      <c r="I20" s="1295">
        <f>(IF('Section Load'!J23&gt;0,'Section Load'!J23,0))</f>
        <v>7021.7100000000355</v>
      </c>
      <c r="J20" s="1295">
        <f>(IF('Section Load'!K23&gt;0,'Section Load'!K23,0))</f>
        <v>2927.67</v>
      </c>
      <c r="K20" s="1295">
        <f>(IF('Section Load'!L23&gt;0,'Section Load'!L23,0))</f>
        <v>1573.2399999999907</v>
      </c>
      <c r="L20" s="1295">
        <f>(IF('Section Load'!M23&gt;0,'Section Load'!M23,0))</f>
        <v>1030.2799999999988</v>
      </c>
      <c r="M20" s="1295">
        <f>(IF('Section Load'!N23&gt;0,'Section Load'!N23,0))</f>
        <v>13</v>
      </c>
      <c r="N20" s="1295">
        <f>(IF('Section Load'!O23&gt;0,'Section Load'!O23,0))</f>
        <v>1</v>
      </c>
      <c r="O20" s="1295">
        <f>(IF('Section Load'!P23&gt;0,'Section Load'!P23,0))</f>
        <v>1.0999999999912689</v>
      </c>
      <c r="P20" s="1295">
        <f>(IF('Section Load'!Q23&gt;0,'Section Load'!Q23,0))</f>
        <v>174.47999999999956</v>
      </c>
      <c r="Q20" s="1295">
        <f>(IF('Section Load'!R23&gt;0,'Section Load'!R23,0))</f>
        <v>66.550000000001091</v>
      </c>
      <c r="R20" s="1295">
        <f>(IF('Section Load'!S23&gt;0,'Section Load'!S23,0))</f>
        <v>43</v>
      </c>
      <c r="S20" s="1295">
        <f>(IF('Section Load'!T23&gt;0,'Section Load'!T23,0))</f>
        <v>121</v>
      </c>
      <c r="T20" s="1295">
        <f>(IF('Section Load'!U23&gt;0,'Section Load'!U23,0))</f>
        <v>147</v>
      </c>
      <c r="U20" s="1295">
        <f>(IF('Section Load'!V23&gt;0,'Section Load'!V23,0))</f>
        <v>404.32000000006519</v>
      </c>
      <c r="V20" s="1295">
        <f>(IF('Section Load'!W23&gt;0,'Section Load'!W23,0))</f>
        <v>184.64000000001397</v>
      </c>
      <c r="W20" s="1295">
        <f>(IF('Section Load'!X23&gt;0,'Section Load'!X23,0))</f>
        <v>18.910000000003492</v>
      </c>
      <c r="X20" s="1295">
        <f>(IF('Section Load'!Y23&gt;0,'Section Load'!Y23,0))</f>
        <v>314.12999999999738</v>
      </c>
      <c r="Y20" s="1295">
        <f>(IF('Section Load'!Z23&gt;0,'Section Load'!Z23,0))</f>
        <v>307</v>
      </c>
      <c r="Z20" s="1295">
        <f>(IF('Section Load'!AA23&gt;0,'Section Load'!AA23,0))</f>
        <v>16.039999999979045</v>
      </c>
      <c r="AA20" s="1295">
        <f>(IF('Section Load'!AB23&gt;0,'Section Load'!AB23,0))</f>
        <v>19.100000000005821</v>
      </c>
      <c r="AB20" s="1295">
        <f>(IF('Section Load'!AC23&gt;0,'Section Load'!AC23,0))</f>
        <v>55.319999999977881</v>
      </c>
      <c r="AC20" s="1295">
        <f>(IF('Section Load'!AD23&gt;0,'Section Load'!AD23,0))</f>
        <v>20.400000000005548</v>
      </c>
      <c r="AD20" s="1295">
        <f>(IF('Section Load'!AE23&gt;0,'Section Load'!AE23,0))</f>
        <v>2.0000000000436557E-2</v>
      </c>
      <c r="AE20" s="1295">
        <f>(IF('Section Load'!AF23&gt;0,'Section Load'!AF23,0))</f>
        <v>0</v>
      </c>
      <c r="AF20" s="1295">
        <f>(IF('Section Load'!AG23&gt;0,'Section Load'!AG23,0))</f>
        <v>343.6699999999837</v>
      </c>
      <c r="AG20" s="1295">
        <f>(IF('Section Load'!AH23&gt;0,'Section Load'!AH23,0))</f>
        <v>422.76000000000931</v>
      </c>
      <c r="AH20" s="1295">
        <f>(IF('Section Load'!AI23&gt;0,'Section Load'!AI23,0))</f>
        <v>421.45999999999913</v>
      </c>
      <c r="AI20" s="1295">
        <f>(IF('Section Load'!AJ23&gt;0,'Section Load'!AJ23,0))</f>
        <v>490.75999999998021</v>
      </c>
      <c r="AJ20" s="1295">
        <f>(IF('Section Load'!AK23&gt;0,'Section Load'!AK23,0))</f>
        <v>0</v>
      </c>
      <c r="AK20" s="1295">
        <f>(IF('Section Load'!AL23&gt;0,'Section Load'!AL23,0))</f>
        <v>279.52999999999884</v>
      </c>
      <c r="AL20" s="1295">
        <f>(IF('Section Load'!AM23&gt;0,'Section Load'!AM23,0))</f>
        <v>791</v>
      </c>
      <c r="AM20" s="1296">
        <f>(IF('Water Report'!$V$7&gt;0,'Water Report'!$V$7,0))</f>
        <v>99</v>
      </c>
      <c r="AN20" s="1296">
        <f>(IF('Water Report'!$V$8&gt;0,'Water Report'!$V$8,0))</f>
        <v>181</v>
      </c>
      <c r="AO20" s="1296">
        <f>(IF('Water Report'!$V$9&gt;0,'Water Report'!$V$9,0))</f>
        <v>75</v>
      </c>
      <c r="AP20" s="1296">
        <f>(IF('Water Report'!$V$10&gt;0,'Water Report'!$V$10,0))</f>
        <v>22</v>
      </c>
      <c r="AQ20" s="1296">
        <f>(IF('Water Report'!$V$11&gt;0,'Water Report'!$V$11,0))</f>
        <v>39</v>
      </c>
      <c r="AR20" s="1296">
        <f>(IF('Water Report'!$V$13&gt;0,'Water Report'!$V$13,0))</f>
        <v>14</v>
      </c>
      <c r="AS20" s="1296">
        <f>(IF('Water Report'!$V$14&gt;0,'Water Report'!$V$14,0))</f>
        <v>15</v>
      </c>
      <c r="AT20" s="1296">
        <f>(IF('Water Report'!$V$15&gt;0,'Water Report'!$V$15,0))</f>
        <v>9</v>
      </c>
      <c r="AU20" s="1296">
        <f>(IF('Water Report'!$V$17&gt;0,'Water Report'!$V$17,0))</f>
        <v>0</v>
      </c>
      <c r="AV20" s="1296">
        <f>(IF('Water Report'!$V$18&gt;0,'Water Report'!$V$18,0))</f>
        <v>15</v>
      </c>
      <c r="AW20" s="1296">
        <f>(IF('Water Report'!$V$19&gt;0,'Water Report'!$V$19,0))</f>
        <v>5</v>
      </c>
      <c r="AX20" s="1371">
        <f>(IF('Water Report'!$V$21&gt;0,'Water Report'!$V$21,0))</f>
        <v>70</v>
      </c>
      <c r="AY20" s="1371">
        <f>(IF('Water Report'!$V$22&gt;0,'Water Report'!$V$22,0))</f>
        <v>20</v>
      </c>
      <c r="AZ20" s="1371">
        <f>(IF('Water Report'!$V$23&gt;0,'Water Report'!$V$23,0))</f>
        <v>0</v>
      </c>
      <c r="BA20" s="1371">
        <f>(IF('Water Report'!$V$14&gt;0,'Water Report'!$V$14,0))</f>
        <v>15</v>
      </c>
      <c r="BB20" s="1371">
        <f>(IF('Water Report'!$V$15&gt;0,'Water Report'!$V$15,0))</f>
        <v>9</v>
      </c>
      <c r="BC20" s="1371">
        <f>(IF('Water Report'!$V$13&gt;0,'Water Report'!$V$13,0))</f>
        <v>14</v>
      </c>
      <c r="BD20" s="1371">
        <f>(IF('Water Report'!$V$24&gt;0,'Water Report'!$V$24,0))</f>
        <v>193</v>
      </c>
      <c r="BE20" s="1371">
        <f>(IF('Water Report'!$V$25&gt;0,'Water Report'!$V$25,0))</f>
        <v>160</v>
      </c>
      <c r="BF20" s="1371">
        <f>(IF('Water Report'!$V$27&gt;0,'Water Report'!$V$27,0))</f>
        <v>84</v>
      </c>
      <c r="BG20" s="1297">
        <f>(IF('Section Load'!AN23&gt;0,'Section Load'!AN23,0))</f>
        <v>1049.74599999981</v>
      </c>
      <c r="BH20" s="1297">
        <f>(IF('Section Load'!AO23&gt;0,'Section Load'!AO23,0))</f>
        <v>287.67000000004191</v>
      </c>
      <c r="BI20" s="1297">
        <f>(IF('Section Load'!AP23&gt;0,'Section Load'!AP23,0))</f>
        <v>0</v>
      </c>
      <c r="BJ20" s="1297">
        <f>(IF('Section Load'!AQ23&gt;0,'Section Load'!AQ23,0))</f>
        <v>91.779999999998836</v>
      </c>
      <c r="BK20" s="1297">
        <f>(IF('Section Load'!AR23&gt;0,'Section Load'!AR23,0))</f>
        <v>40.600000000002183</v>
      </c>
      <c r="BL20" s="1297">
        <f>(IF('Section Load'!AS23&gt;0,'Section Load'!AS23,0))</f>
        <v>2.1999999999989086</v>
      </c>
      <c r="BM20" s="1297">
        <f>(IF('Section Load'!AT23&gt;0,'Section Load'!AT23,0))</f>
        <v>627.49599999976817</v>
      </c>
    </row>
    <row r="21" spans="1:65">
      <c r="A21" s="1279" t="s">
        <v>300</v>
      </c>
      <c r="B21" s="1280">
        <f t="shared" si="0"/>
        <v>20</v>
      </c>
      <c r="C21" s="1280">
        <v>6</v>
      </c>
      <c r="D21" s="1280">
        <v>2021</v>
      </c>
      <c r="E21" s="1295">
        <f>(IF('Section Load'!F24&gt;0,'Section Load'!F24,0))</f>
        <v>2905.5699999999488</v>
      </c>
      <c r="F21" s="1295">
        <f>(IF('Section Load'!G24&gt;0,'Section Load'!G24,0))</f>
        <v>1538.789999999979</v>
      </c>
      <c r="G21" s="1295">
        <f>(IF('Section Load'!H24&gt;0,'Section Load'!H24,0))</f>
        <v>1728.1000000000058</v>
      </c>
      <c r="H21" s="1295">
        <f>(IF('Section Load'!I24&gt;0,'Section Load'!I24,0))</f>
        <v>3610.7199999999721</v>
      </c>
      <c r="I21" s="1295">
        <f>(IF('Section Load'!J24&gt;0,'Section Load'!J24,0))</f>
        <v>7097.9600000000355</v>
      </c>
      <c r="J21" s="1295">
        <f>(IF('Section Load'!K24&gt;0,'Section Load'!K24,0))</f>
        <v>2928.3000000000466</v>
      </c>
      <c r="K21" s="1295">
        <f>(IF('Section Load'!L24&gt;0,'Section Load'!L24,0))</f>
        <v>1836.4000000000233</v>
      </c>
      <c r="L21" s="1295">
        <f>(IF('Section Load'!M24&gt;0,'Section Load'!M24,0))</f>
        <v>1025.4000000000015</v>
      </c>
      <c r="M21" s="1295">
        <f>(IF('Section Load'!N24&gt;0,'Section Load'!N24,0))</f>
        <v>13</v>
      </c>
      <c r="N21" s="1295">
        <f>(IF('Section Load'!O24&gt;0,'Section Load'!O24,0))</f>
        <v>1</v>
      </c>
      <c r="O21" s="1295">
        <f>(IF('Section Load'!P24&gt;0,'Section Load'!P24,0))</f>
        <v>1.6000000000058208</v>
      </c>
      <c r="P21" s="1295">
        <f>(IF('Section Load'!Q24&gt;0,'Section Load'!Q24,0))</f>
        <v>144.35000000000036</v>
      </c>
      <c r="Q21" s="1295">
        <f>(IF('Section Load'!R24&gt;0,'Section Load'!R24,0))</f>
        <v>63.799999999999272</v>
      </c>
      <c r="R21" s="1295">
        <f>(IF('Section Load'!S24&gt;0,'Section Load'!S24,0))</f>
        <v>53</v>
      </c>
      <c r="S21" s="1295">
        <f>(IF('Section Load'!T24&gt;0,'Section Load'!T24,0))</f>
        <v>120</v>
      </c>
      <c r="T21" s="1295">
        <f>(IF('Section Load'!U24&gt;0,'Section Load'!U24,0))</f>
        <v>149</v>
      </c>
      <c r="U21" s="1295">
        <f>(IF('Section Load'!V24&gt;0,'Section Load'!V24,0))</f>
        <v>441.8399999999674</v>
      </c>
      <c r="V21" s="1295">
        <f>(IF('Section Load'!W24&gt;0,'Section Load'!W24,0))</f>
        <v>202.04000000003725</v>
      </c>
      <c r="W21" s="1295">
        <f>(IF('Section Load'!X24&gt;0,'Section Load'!X24,0))</f>
        <v>24.830000000001746</v>
      </c>
      <c r="X21" s="1295">
        <f>(IF('Section Load'!Y24&gt;0,'Section Load'!Y24,0))</f>
        <v>194.25</v>
      </c>
      <c r="Y21" s="1295">
        <f>(IF('Section Load'!Z24&gt;0,'Section Load'!Z24,0))</f>
        <v>259</v>
      </c>
      <c r="Z21" s="1295">
        <f>(IF('Section Load'!AA24&gt;0,'Section Load'!AA24,0))</f>
        <v>15.760000000009313</v>
      </c>
      <c r="AA21" s="1295">
        <f>(IF('Section Load'!AB24&gt;0,'Section Load'!AB24,0))</f>
        <v>10.899999999994179</v>
      </c>
      <c r="AB21" s="1295">
        <f>(IF('Section Load'!AC24&gt;0,'Section Load'!AC24,0))</f>
        <v>32.170000000012806</v>
      </c>
      <c r="AC21" s="1295">
        <f>(IF('Section Load'!AD24&gt;0,'Section Load'!AD24,0))</f>
        <v>13.29999999999427</v>
      </c>
      <c r="AD21" s="1295">
        <f>(IF('Section Load'!AE24&gt;0,'Section Load'!AE24,0))</f>
        <v>0</v>
      </c>
      <c r="AE21" s="1295">
        <f>(IF('Section Load'!AF24&gt;0,'Section Load'!AF24,0))</f>
        <v>0</v>
      </c>
      <c r="AF21" s="1295">
        <f>(IF('Section Load'!AG24&gt;0,'Section Load'!AG24,0))</f>
        <v>346.64999999999418</v>
      </c>
      <c r="AG21" s="1295">
        <f>(IF('Section Load'!AH24&gt;0,'Section Load'!AH24,0))</f>
        <v>377.97000000000116</v>
      </c>
      <c r="AH21" s="1295">
        <f>(IF('Section Load'!AI24&gt;0,'Section Load'!AI24,0))</f>
        <v>394.52999999999884</v>
      </c>
      <c r="AI21" s="1295">
        <f>(IF('Section Load'!AJ24&gt;0,'Section Load'!AJ24,0))</f>
        <v>459.70000000001164</v>
      </c>
      <c r="AJ21" s="1295">
        <f>(IF('Section Load'!AK24&gt;0,'Section Load'!AK24,0))</f>
        <v>0</v>
      </c>
      <c r="AK21" s="1295">
        <f>(IF('Section Load'!AL24&gt;0,'Section Load'!AL24,0))</f>
        <v>257.59999999999127</v>
      </c>
      <c r="AL21" s="1295">
        <f>(IF('Section Load'!AM24&gt;0,'Section Load'!AM24,0))</f>
        <v>866</v>
      </c>
      <c r="AM21" s="1296">
        <f>(IF('Water Report'!$W$7&gt;0,'Water Report'!$W$7,0))</f>
        <v>147</v>
      </c>
      <c r="AN21" s="1296">
        <f>(IF('Water Report'!$W$8&gt;0,'Water Report'!$W$8,0))</f>
        <v>208</v>
      </c>
      <c r="AO21" s="1296">
        <f>(IF('Water Report'!$W$9&gt;0,'Water Report'!$W$9,0))</f>
        <v>82</v>
      </c>
      <c r="AP21" s="1296">
        <f>(IF('Water Report'!$W$10&gt;0,'Water Report'!$W$10,0))</f>
        <v>42</v>
      </c>
      <c r="AQ21" s="1296">
        <f>(IF('Water Report'!$W$11&gt;0,'Water Report'!$W$11,0))</f>
        <v>42</v>
      </c>
      <c r="AR21" s="1296">
        <f>(IF('Water Report'!$W$13&gt;0,'Water Report'!$W$13,0))</f>
        <v>43</v>
      </c>
      <c r="AS21" s="1296">
        <f>(IF('Water Report'!$W$14&gt;0,'Water Report'!$W$14,0))</f>
        <v>36</v>
      </c>
      <c r="AT21" s="1296">
        <f>(IF('Water Report'!$W$15&gt;0,'Water Report'!$W$15,0))</f>
        <v>11</v>
      </c>
      <c r="AU21" s="1296">
        <f>(IF('Water Report'!$W$17&gt;0,'Water Report'!$W$17,0))</f>
        <v>0</v>
      </c>
      <c r="AV21" s="1296">
        <f>(IF('Water Report'!$W$18&gt;0,'Water Report'!$W$18,0))</f>
        <v>8</v>
      </c>
      <c r="AW21" s="1296">
        <f>(IF('Water Report'!$W$19&gt;0,'Water Report'!$W$19,0))</f>
        <v>5</v>
      </c>
      <c r="AX21" s="1371">
        <f>(IF('Water Report'!$W$21&gt;0,'Water Report'!$W$21,0))</f>
        <v>76</v>
      </c>
      <c r="AY21" s="1371">
        <f>(IF('Water Report'!$W$22&gt;0,'Water Report'!$W$22,0))</f>
        <v>15</v>
      </c>
      <c r="AZ21" s="1371">
        <f>(IF('Water Report'!$W$23&gt;0,'Water Report'!$W$23,0))</f>
        <v>0</v>
      </c>
      <c r="BA21" s="1371">
        <f>(IF('Water Report'!$W$14&gt;0,'Water Report'!$W$14,0))</f>
        <v>36</v>
      </c>
      <c r="BB21" s="1371">
        <f>(IF('Water Report'!$W$15&gt;0,'Water Report'!$W$15,0))</f>
        <v>11</v>
      </c>
      <c r="BC21" s="1371">
        <f>(IF('Water Report'!$W$13&gt;0,'Water Report'!$W$13,0))</f>
        <v>43</v>
      </c>
      <c r="BD21" s="1371">
        <f>(IF('Water Report'!$W$24&gt;0,'Water Report'!$W$24,0))</f>
        <v>261</v>
      </c>
      <c r="BE21" s="1371">
        <f>(IF('Water Report'!$W$25&gt;0,'Water Report'!$W$25,0))</f>
        <v>213</v>
      </c>
      <c r="BF21" s="1371">
        <f>(IF('Water Report'!$W$27&gt;0,'Water Report'!$W$27,0))</f>
        <v>119</v>
      </c>
      <c r="BG21" s="1297">
        <f>(IF('Section Load'!AN24&gt;0,'Section Load'!AN24,0))</f>
        <v>938.63400000007823</v>
      </c>
      <c r="BH21" s="1297">
        <f>(IF('Section Load'!AO24&gt;0,'Section Load'!AO24,0))</f>
        <v>312.82999999995809</v>
      </c>
      <c r="BI21" s="1297">
        <f>(IF('Section Load'!AP24&gt;0,'Section Load'!AP24,0))</f>
        <v>0</v>
      </c>
      <c r="BJ21" s="1297">
        <f>(IF('Section Load'!AQ24&gt;0,'Section Load'!AQ24,0))</f>
        <v>80.39000000001397</v>
      </c>
      <c r="BK21" s="1297">
        <f>(IF('Section Load'!AR24&gt;0,'Section Load'!AR24,0))</f>
        <v>52.700000000000728</v>
      </c>
      <c r="BL21" s="1297">
        <f>(IF('Section Load'!AS24&gt;0,'Section Load'!AS24,0))</f>
        <v>1.6000000000003638</v>
      </c>
      <c r="BM21" s="1297">
        <f>(IF('Section Load'!AT24&gt;0,'Section Load'!AT24,0))</f>
        <v>491.11400000010508</v>
      </c>
    </row>
    <row r="22" spans="1:65">
      <c r="A22" s="1279" t="s">
        <v>300</v>
      </c>
      <c r="B22" s="1280">
        <f t="shared" si="0"/>
        <v>21</v>
      </c>
      <c r="C22" s="1280">
        <v>6</v>
      </c>
      <c r="D22" s="1280">
        <v>2021</v>
      </c>
      <c r="E22" s="1295">
        <f>(IF('Section Load'!F25&gt;0,'Section Load'!F25,0))</f>
        <v>2750.5</v>
      </c>
      <c r="F22" s="1295">
        <f>(IF('Section Load'!G25&gt;0,'Section Load'!G25,0))</f>
        <v>1488.1700000000128</v>
      </c>
      <c r="G22" s="1295">
        <f>(IF('Section Load'!H25&gt;0,'Section Load'!H25,0))</f>
        <v>1628.320000000007</v>
      </c>
      <c r="H22" s="1295">
        <f>(IF('Section Load'!I25&gt;0,'Section Load'!I25,0))</f>
        <v>3562.5200000000186</v>
      </c>
      <c r="I22" s="1295">
        <f>(IF('Section Load'!J25&gt;0,'Section Load'!J25,0))</f>
        <v>6708.1100000000006</v>
      </c>
      <c r="J22" s="1295">
        <f>(IF('Section Load'!K25&gt;0,'Section Load'!K25,0))</f>
        <v>2871.6999999999534</v>
      </c>
      <c r="K22" s="1295">
        <f>(IF('Section Load'!L25&gt;0,'Section Load'!L25,0))</f>
        <v>1491.1999999999534</v>
      </c>
      <c r="L22" s="1295">
        <f>(IF('Section Load'!M25&gt;0,'Section Load'!M25,0))</f>
        <v>741.27999999999884</v>
      </c>
      <c r="M22" s="1295">
        <f>(IF('Section Load'!N25&gt;0,'Section Load'!N25,0))</f>
        <v>13</v>
      </c>
      <c r="N22" s="1295">
        <f>(IF('Section Load'!O25&gt;0,'Section Load'!O25,0))</f>
        <v>1</v>
      </c>
      <c r="O22" s="1295">
        <f>(IF('Section Load'!P25&gt;0,'Section Load'!P25,0))</f>
        <v>1</v>
      </c>
      <c r="P22" s="1295">
        <f>(IF('Section Load'!Q25&gt;0,'Section Load'!Q25,0))</f>
        <v>138.1299999999992</v>
      </c>
      <c r="Q22" s="1295">
        <f>(IF('Section Load'!R25&gt;0,'Section Load'!R25,0))</f>
        <v>67.700000000000728</v>
      </c>
      <c r="R22" s="1295">
        <f>(IF('Section Load'!S25&gt;0,'Section Load'!S25,0))</f>
        <v>50</v>
      </c>
      <c r="S22" s="1295">
        <f>(IF('Section Load'!T25&gt;0,'Section Load'!T25,0))</f>
        <v>70</v>
      </c>
      <c r="T22" s="1295">
        <f>(IF('Section Load'!U25&gt;0,'Section Load'!U25,0))</f>
        <v>144</v>
      </c>
      <c r="U22" s="1295">
        <f>(IF('Section Load'!V25&gt;0,'Section Load'!V25,0))</f>
        <v>370</v>
      </c>
      <c r="V22" s="1295">
        <f>(IF('Section Load'!W25&gt;0,'Section Load'!W25,0))</f>
        <v>184</v>
      </c>
      <c r="W22" s="1295">
        <f>(IF('Section Load'!X25&gt;0,'Section Load'!X25,0))</f>
        <v>12.649999999994179</v>
      </c>
      <c r="X22" s="1295">
        <f>(IF('Section Load'!Y25&gt;0,'Section Load'!Y25,0))</f>
        <v>242.69000000000233</v>
      </c>
      <c r="Y22" s="1295">
        <f>(IF('Section Load'!Z25&gt;0,'Section Load'!Z25,0))</f>
        <v>368</v>
      </c>
      <c r="Z22" s="1295">
        <f>(IF('Section Load'!AA25&gt;0,'Section Load'!AA25,0))</f>
        <v>16</v>
      </c>
      <c r="AA22" s="1295">
        <f>(IF('Section Load'!AB25&gt;0,'Section Load'!AB25,0))</f>
        <v>30.80000000000291</v>
      </c>
      <c r="AB22" s="1295">
        <f>(IF('Section Load'!AC25&gt;0,'Section Load'!AC25,0))</f>
        <v>84</v>
      </c>
      <c r="AC22" s="1295">
        <f>(IF('Section Load'!AD25&gt;0,'Section Load'!AD25,0))</f>
        <v>38.200000000003001</v>
      </c>
      <c r="AD22" s="1295">
        <f>(IF('Section Load'!AE25&gt;0,'Section Load'!AE25,0))</f>
        <v>0</v>
      </c>
      <c r="AE22" s="1295">
        <f>(IF('Section Load'!AF25&gt;0,'Section Load'!AF25,0))</f>
        <v>0</v>
      </c>
      <c r="AF22" s="1295">
        <f>(IF('Section Load'!AG25&gt;0,'Section Load'!AG25,0))</f>
        <v>390.48000000001048</v>
      </c>
      <c r="AG22" s="1295">
        <f>(IF('Section Load'!AH25&gt;0,'Section Load'!AH25,0))</f>
        <v>312.89999999999418</v>
      </c>
      <c r="AH22" s="1295">
        <f>(IF('Section Load'!AI25&gt;0,'Section Load'!AI25,0))</f>
        <v>401.65000000000146</v>
      </c>
      <c r="AI22" s="1295">
        <f>(IF('Section Load'!AJ25&gt;0,'Section Load'!AJ25,0))</f>
        <v>471.08999999999651</v>
      </c>
      <c r="AJ22" s="1295">
        <f>(IF('Section Load'!AK25&gt;0,'Section Load'!AK25,0))</f>
        <v>0</v>
      </c>
      <c r="AK22" s="1295">
        <f>(IF('Section Load'!AL25&gt;0,'Section Load'!AL25,0))</f>
        <v>235.32000000000698</v>
      </c>
      <c r="AL22" s="1295">
        <f>(IF('Section Load'!AM25&gt;0,'Section Load'!AM25,0))</f>
        <v>777</v>
      </c>
      <c r="AM22" s="1296">
        <f>(IF('Water Report'!$X$7&gt;0,'Water Report'!$X$7,0))</f>
        <v>100</v>
      </c>
      <c r="AN22" s="1296">
        <f>(IF('Water Report'!$X$8&gt;0,'Water Report'!$X$8,0))</f>
        <v>203</v>
      </c>
      <c r="AO22" s="1296">
        <f>(IF('Water Report'!$X$9&gt;0,'Water Report'!$X$9,0))</f>
        <v>70</v>
      </c>
      <c r="AP22" s="1296">
        <f>(IF('Water Report'!$X$10&gt;0,'Water Report'!$X$10,0))</f>
        <v>23</v>
      </c>
      <c r="AQ22" s="1296">
        <f>(IF('Water Report'!$X$11&gt;0,'Water Report'!$X$11,0))</f>
        <v>25</v>
      </c>
      <c r="AR22" s="1296">
        <f>(IF('Water Report'!$X$13&gt;0,'Water Report'!$X$13,0))</f>
        <v>11</v>
      </c>
      <c r="AS22" s="1296">
        <f>(IF('Water Report'!$X$14&gt;0,'Water Report'!$X$14,0))</f>
        <v>28</v>
      </c>
      <c r="AT22" s="1296">
        <f>(IF('Water Report'!$X$15&gt;0,'Water Report'!$X$15,0))</f>
        <v>12</v>
      </c>
      <c r="AU22" s="1296">
        <f>(IF('Water Report'!$X$17&gt;0,'Water Report'!$X$17,0))</f>
        <v>0</v>
      </c>
      <c r="AV22" s="1296">
        <f>(IF('Water Report'!$X$18&gt;0,'Water Report'!$X$18,0))</f>
        <v>12</v>
      </c>
      <c r="AW22" s="1296">
        <f>(IF('Water Report'!$X$19&gt;0,'Water Report'!$X$19,0))</f>
        <v>7</v>
      </c>
      <c r="AX22" s="1371">
        <f>(IF('Water Report'!$X$21&gt;0,'Water Report'!$X$21,0))</f>
        <v>114</v>
      </c>
      <c r="AY22" s="1371">
        <f>(IF('Water Report'!$X$22&gt;0,'Water Report'!$X$22,0))</f>
        <v>31</v>
      </c>
      <c r="AZ22" s="1371">
        <f>(IF('Water Report'!$X$23&gt;0,'Water Report'!$X$23,0))</f>
        <v>0</v>
      </c>
      <c r="BA22" s="1371">
        <f>(IF('Water Report'!$X$14&gt;0,'Water Report'!$X$14,0))</f>
        <v>28</v>
      </c>
      <c r="BB22" s="1371">
        <f>(IF('Water Report'!$X$15&gt;0,'Water Report'!$X$15,0))</f>
        <v>12</v>
      </c>
      <c r="BC22" s="1371">
        <f>(IF('Water Report'!$X$13&gt;0,'Water Report'!$X$13,0))</f>
        <v>11</v>
      </c>
      <c r="BD22" s="1371">
        <f>(IF('Water Report'!$X$24&gt;0,'Water Report'!$X$24,0))</f>
        <v>201</v>
      </c>
      <c r="BE22" s="1371">
        <f>(IF('Water Report'!$X$25&gt;0,'Water Report'!$X$25,0))</f>
        <v>158</v>
      </c>
      <c r="BF22" s="1371">
        <f>(IF('Water Report'!$X$27&gt;0,'Water Report'!$X$27,0))</f>
        <v>125</v>
      </c>
      <c r="BG22" s="1297">
        <f>(IF('Section Load'!AN25&gt;0,'Section Load'!AN25,0))</f>
        <v>955.88999999989755</v>
      </c>
      <c r="BH22" s="1297">
        <f>(IF('Section Load'!AO25&gt;0,'Section Load'!AO25,0))</f>
        <v>270.79000000003725</v>
      </c>
      <c r="BI22" s="1297">
        <f>(IF('Section Load'!AP25&gt;0,'Section Load'!AP25,0))</f>
        <v>0</v>
      </c>
      <c r="BJ22" s="1297">
        <f>(IF('Section Load'!AQ25&gt;0,'Section Load'!AQ25,0))</f>
        <v>71.100000000005821</v>
      </c>
      <c r="BK22" s="1297">
        <f>(IF('Section Load'!AR25&gt;0,'Section Load'!AR25,0))</f>
        <v>38.599999999998545</v>
      </c>
      <c r="BL22" s="1297">
        <f>(IF('Section Load'!AS25&gt;0,'Section Load'!AS25,0))</f>
        <v>0.6000000000003638</v>
      </c>
      <c r="BM22" s="1297">
        <f>(IF('Section Load'!AT25&gt;0,'Section Load'!AT25,0))</f>
        <v>574.79999999985557</v>
      </c>
    </row>
    <row r="23" spans="1:65">
      <c r="A23" s="1279" t="s">
        <v>300</v>
      </c>
      <c r="B23" s="1280">
        <f t="shared" si="0"/>
        <v>22</v>
      </c>
      <c r="C23" s="1280">
        <v>6</v>
      </c>
      <c r="D23" s="1280">
        <v>2021</v>
      </c>
      <c r="E23" s="1295">
        <f>(IF('Section Load'!F26&gt;0,'Section Load'!F26,0))</f>
        <v>2900.9000000000233</v>
      </c>
      <c r="F23" s="1295">
        <f>(IF('Section Load'!G26&gt;0,'Section Load'!G26,0))</f>
        <v>1479.0299999999988</v>
      </c>
      <c r="G23" s="1295">
        <f>(IF('Section Load'!H26&gt;0,'Section Load'!H26,0))</f>
        <v>1578</v>
      </c>
      <c r="H23" s="1295">
        <f>(IF('Section Load'!I26&gt;0,'Section Load'!I26,0))</f>
        <v>3410</v>
      </c>
      <c r="I23" s="1295">
        <f>(IF('Section Load'!J26&gt;0,'Section Load'!J26,0))</f>
        <v>6088.5700000000506</v>
      </c>
      <c r="J23" s="1295">
        <f>(IF('Section Load'!K26&gt;0,'Section Load'!K26,0))</f>
        <v>2901.7000000001863</v>
      </c>
      <c r="K23" s="1295">
        <f>(IF('Section Load'!L26&gt;0,'Section Load'!L26,0))</f>
        <v>1064.1600000000326</v>
      </c>
      <c r="L23" s="1295">
        <f>(IF('Section Load'!M26&gt;0,'Section Load'!M26,0))</f>
        <v>741.52000000000044</v>
      </c>
      <c r="M23" s="1295">
        <f>(IF('Section Load'!N26&gt;0,'Section Load'!N26,0))</f>
        <v>13</v>
      </c>
      <c r="N23" s="1295">
        <f>(IF('Section Load'!O26&gt;0,'Section Load'!O26,0))</f>
        <v>1</v>
      </c>
      <c r="O23" s="1295">
        <f>(IF('Section Load'!P26&gt;0,'Section Load'!P26,0))</f>
        <v>1</v>
      </c>
      <c r="P23" s="1295">
        <f>(IF('Section Load'!Q26&gt;0,'Section Load'!Q26,0))</f>
        <v>133.92000000000007</v>
      </c>
      <c r="Q23" s="1295">
        <f>(IF('Section Load'!R26&gt;0,'Section Load'!R26,0))</f>
        <v>71.059999999999491</v>
      </c>
      <c r="R23" s="1295">
        <f>(IF('Section Load'!S26&gt;0,'Section Load'!S26,0))</f>
        <v>48</v>
      </c>
      <c r="S23" s="1295">
        <f>(IF('Section Load'!T26&gt;0,'Section Load'!T26,0))</f>
        <v>50</v>
      </c>
      <c r="T23" s="1295">
        <f>(IF('Section Load'!U26&gt;0,'Section Load'!U26,0))</f>
        <v>149</v>
      </c>
      <c r="U23" s="1295">
        <f>(IF('Section Load'!V26&gt;0,'Section Load'!V26,0))</f>
        <v>341</v>
      </c>
      <c r="V23" s="1295">
        <f>(IF('Section Load'!W26&gt;0,'Section Load'!W26,0))</f>
        <v>204</v>
      </c>
      <c r="W23" s="1295">
        <f>(IF('Section Load'!X26&gt;0,'Section Load'!X26,0))</f>
        <v>24</v>
      </c>
      <c r="X23" s="1295">
        <f>(IF('Section Load'!Y26&gt;0,'Section Load'!Y26,0))</f>
        <v>92.169999999998254</v>
      </c>
      <c r="Y23" s="1295">
        <f>(IF('Section Load'!Z26&gt;0,'Section Load'!Z26,0))</f>
        <v>335</v>
      </c>
      <c r="Z23" s="1295">
        <f>(IF('Section Load'!AA26&gt;0,'Section Load'!AA26,0))</f>
        <v>17.159999999974389</v>
      </c>
      <c r="AA23" s="1295">
        <f>(IF('Section Load'!AB26&gt;0,'Section Load'!AB26,0))</f>
        <v>31.600000000005821</v>
      </c>
      <c r="AB23" s="1295">
        <f>(IF('Section Load'!AC26&gt;0,'Section Load'!AC26,0))</f>
        <v>120</v>
      </c>
      <c r="AC23" s="1295">
        <f>(IF('Section Load'!AD26&gt;0,'Section Load'!AD26,0))</f>
        <v>43.900000000005548</v>
      </c>
      <c r="AD23" s="1295">
        <f>(IF('Section Load'!AE26&gt;0,'Section Load'!AE26,0))</f>
        <v>0</v>
      </c>
      <c r="AE23" s="1295">
        <f>(IF('Section Load'!AF26&gt;0,'Section Load'!AF26,0))</f>
        <v>0</v>
      </c>
      <c r="AF23" s="1295">
        <f>(IF('Section Load'!AG26&gt;0,'Section Load'!AG26,0))</f>
        <v>384.51000000000931</v>
      </c>
      <c r="AG23" s="1295">
        <f>(IF('Section Load'!AH26&gt;0,'Section Load'!AH26,0))</f>
        <v>261.02999999999884</v>
      </c>
      <c r="AH23" s="1295">
        <f>(IF('Section Load'!AI26&gt;0,'Section Load'!AI26,0))</f>
        <v>392.37999999999738</v>
      </c>
      <c r="AI23" s="1295">
        <f>(IF('Section Load'!AJ26&gt;0,'Section Load'!AJ26,0))</f>
        <v>434</v>
      </c>
      <c r="AJ23" s="1295">
        <f>(IF('Section Load'!AK26&gt;0,'Section Load'!AK26,0))</f>
        <v>0</v>
      </c>
      <c r="AK23" s="1295">
        <f>(IF('Section Load'!AL26&gt;0,'Section Load'!AL26,0))</f>
        <v>251.11999999999534</v>
      </c>
      <c r="AL23" s="1295">
        <f>(IF('Section Load'!AM26&gt;0,'Section Load'!AM26,0))</f>
        <v>819</v>
      </c>
      <c r="AM23" s="1296">
        <f>(IF('Water Report'!$Y$7&gt;0,'Water Report'!$Y$7,0))</f>
        <v>63</v>
      </c>
      <c r="AN23" s="1296">
        <f>(IF('Water Report'!$Y$8&gt;0,'Water Report'!$Y$8,0))</f>
        <v>177</v>
      </c>
      <c r="AO23" s="1296">
        <f>(IF('Water Report'!$Y$9&gt;0,'Water Report'!$Y$9,0))</f>
        <v>58</v>
      </c>
      <c r="AP23" s="1296">
        <f>(IF('Water Report'!$Y$10&gt;0,'Water Report'!$Y$10,0))</f>
        <v>17</v>
      </c>
      <c r="AQ23" s="1296">
        <f>(IF('Water Report'!$Y$11&gt;0,'Water Report'!$Y$11,0))</f>
        <v>21</v>
      </c>
      <c r="AR23" s="1296">
        <f>(IF('Water Report'!$Y$13&gt;0,'Water Report'!$Y$13,0))</f>
        <v>46</v>
      </c>
      <c r="AS23" s="1296">
        <f>(IF('Water Report'!$Y$14&gt;0,'Water Report'!$Y$14,0))</f>
        <v>28</v>
      </c>
      <c r="AT23" s="1296">
        <f>(IF('Water Report'!$Y$15&gt;0,'Water Report'!$Y$15,0))</f>
        <v>6</v>
      </c>
      <c r="AU23" s="1296">
        <f>(IF('Water Report'!$Y$17&gt;0,'Water Report'!$Y$17,0))</f>
        <v>0</v>
      </c>
      <c r="AV23" s="1296">
        <f>(IF('Water Report'!$Y$18&gt;0,'Water Report'!$Y$18,0))</f>
        <v>0</v>
      </c>
      <c r="AW23" s="1296">
        <f>(IF('Water Report'!$Y$19&gt;0,'Water Report'!$Y$19,0))</f>
        <v>3</v>
      </c>
      <c r="AX23" s="1371">
        <f>(IF('Water Report'!$Y$21&gt;0,'Water Report'!$Y$21,0))</f>
        <v>163</v>
      </c>
      <c r="AY23" s="1371">
        <f>(IF('Water Report'!$Y$22&gt;0,'Water Report'!$Y$22,0))</f>
        <v>37</v>
      </c>
      <c r="AZ23" s="1371">
        <f>(IF('Water Report'!$Y$23&gt;0,'Water Report'!$Y$23,0))</f>
        <v>0</v>
      </c>
      <c r="BA23" s="1371">
        <f>(IF('Water Report'!$Y$14&gt;0,'Water Report'!$Y$14,0))</f>
        <v>28</v>
      </c>
      <c r="BB23" s="1371">
        <f>(IF('Water Report'!$Y$15&gt;0,'Water Report'!$Y$15,0))</f>
        <v>6</v>
      </c>
      <c r="BC23" s="1371">
        <f>(IF('Water Report'!$Y$13&gt;0,'Water Report'!$Y$13,0))</f>
        <v>46</v>
      </c>
      <c r="BD23" s="1371">
        <f>(IF('Water Report'!$Y$24&gt;0,'Water Report'!$Y$24,0))</f>
        <v>152</v>
      </c>
      <c r="BE23" s="1371">
        <f>(IF('Water Report'!$Y$25&gt;0,'Water Report'!$Y$25,0))</f>
        <v>130</v>
      </c>
      <c r="BF23" s="1371">
        <f>(IF('Water Report'!$Y$27&gt;0,'Water Report'!$Y$27,0))</f>
        <v>209</v>
      </c>
      <c r="BG23" s="1297">
        <f>(IF('Section Load'!AN26&gt;0,'Section Load'!AN26,0))</f>
        <v>588.08000000007451</v>
      </c>
      <c r="BH23" s="1297">
        <f>(IF('Section Load'!AO26&gt;0,'Section Load'!AO26,0))</f>
        <v>264.77000000001863</v>
      </c>
      <c r="BI23" s="1297">
        <f>(IF('Section Load'!AP26&gt;0,'Section Load'!AP26,0))</f>
        <v>0</v>
      </c>
      <c r="BJ23" s="1297">
        <f>(IF('Section Load'!AQ26&gt;0,'Section Load'!AQ26,0))</f>
        <v>76.85999999998603</v>
      </c>
      <c r="BK23" s="1297">
        <f>(IF('Section Load'!AR26&gt;0,'Section Load'!AR26,0))</f>
        <v>34.700000000000728</v>
      </c>
      <c r="BL23" s="1297">
        <f>(IF('Section Load'!AS26&gt;0,'Section Load'!AS26,0))</f>
        <v>1.5</v>
      </c>
      <c r="BM23" s="1297">
        <f>(IF('Section Load'!AT26&gt;0,'Section Load'!AT26,0))</f>
        <v>210.25000000006912</v>
      </c>
    </row>
    <row r="24" spans="1:65">
      <c r="A24" s="1279" t="s">
        <v>300</v>
      </c>
      <c r="B24" s="1280">
        <f t="shared" si="0"/>
        <v>23</v>
      </c>
      <c r="C24" s="1280">
        <v>6</v>
      </c>
      <c r="D24" s="1280">
        <v>2021</v>
      </c>
      <c r="E24" s="1295">
        <f>(IF('Section Load'!F27&gt;0,'Section Load'!F27,0))</f>
        <v>2677.4899999999907</v>
      </c>
      <c r="F24" s="1295">
        <f>(IF('Section Load'!G27&gt;0,'Section Load'!G27,0))</f>
        <v>1414.3399999999965</v>
      </c>
      <c r="G24" s="1295">
        <f>(IF('Section Load'!H27&gt;0,'Section Load'!H27,0))</f>
        <v>1354.2200000000012</v>
      </c>
      <c r="H24" s="1295">
        <f>(IF('Section Load'!I27&gt;0,'Section Load'!I27,0))</f>
        <v>3432.960000000021</v>
      </c>
      <c r="I24" s="1295">
        <f>(IF('Section Load'!J27&gt;0,'Section Load'!J27,0))</f>
        <v>5831.9499999999389</v>
      </c>
      <c r="J24" s="1295">
        <f>(IF('Section Load'!K27&gt;0,'Section Load'!K27,0))</f>
        <v>2742.5999999998603</v>
      </c>
      <c r="K24" s="1295">
        <f>(IF('Section Load'!L27&gt;0,'Section Load'!L27,0))</f>
        <v>989.40000000002328</v>
      </c>
      <c r="L24" s="1295">
        <f>(IF('Section Load'!M27&gt;0,'Section Load'!M27,0))</f>
        <v>662.30999999999949</v>
      </c>
      <c r="M24" s="1295">
        <f>(IF('Section Load'!N27&gt;0,'Section Load'!N27,0))</f>
        <v>13</v>
      </c>
      <c r="N24" s="1295">
        <f>(IF('Section Load'!O27&gt;0,'Section Load'!O27,0))</f>
        <v>2</v>
      </c>
      <c r="O24" s="1295">
        <f>(IF('Section Load'!P27&gt;0,'Section Load'!P27,0))</f>
        <v>1</v>
      </c>
      <c r="P24" s="1295">
        <f>(IF('Section Load'!Q27&gt;0,'Section Load'!Q27,0))</f>
        <v>155</v>
      </c>
      <c r="Q24" s="1295">
        <f>(IF('Section Load'!R27&gt;0,'Section Load'!R27,0))</f>
        <v>68.200000000000728</v>
      </c>
      <c r="R24" s="1295">
        <f>(IF('Section Load'!S27&gt;0,'Section Load'!S27,0))</f>
        <v>51</v>
      </c>
      <c r="S24" s="1295">
        <f>(IF('Section Load'!T27&gt;0,'Section Load'!T27,0))</f>
        <v>66</v>
      </c>
      <c r="T24" s="1295">
        <f>(IF('Section Load'!U27&gt;0,'Section Load'!U27,0))</f>
        <v>151</v>
      </c>
      <c r="U24" s="1295">
        <f>(IF('Section Load'!V27&gt;0,'Section Load'!V27,0))</f>
        <v>391.31999999994878</v>
      </c>
      <c r="V24" s="1295">
        <f>(IF('Section Load'!W27&gt;0,'Section Load'!W27,0))</f>
        <v>175.64000000001397</v>
      </c>
      <c r="W24" s="1295">
        <f>(IF('Section Load'!X27&gt;0,'Section Load'!X27,0))</f>
        <v>12.720000000001164</v>
      </c>
      <c r="X24" s="1295">
        <f>(IF('Section Load'!Y27&gt;0,'Section Load'!Y27,0))</f>
        <v>82.040000000000873</v>
      </c>
      <c r="Y24" s="1295">
        <f>(IF('Section Load'!Z27&gt;0,'Section Load'!Z27,0))</f>
        <v>138</v>
      </c>
      <c r="Z24" s="1295">
        <f>(IF('Section Load'!AA27&gt;0,'Section Load'!AA27,0))</f>
        <v>25.480000000039581</v>
      </c>
      <c r="AA24" s="1295">
        <f>(IF('Section Load'!AB27&gt;0,'Section Load'!AB27,0))</f>
        <v>32.899999999994179</v>
      </c>
      <c r="AB24" s="1295">
        <f>(IF('Section Load'!AC27&gt;0,'Section Load'!AC27,0))</f>
        <v>81</v>
      </c>
      <c r="AC24" s="1295">
        <f>(IF('Section Load'!AD27&gt;0,'Section Load'!AD27,0))</f>
        <v>49.199999999993906</v>
      </c>
      <c r="AD24" s="1295">
        <f>(IF('Section Load'!AE27&gt;0,'Section Load'!AE27,0))</f>
        <v>0</v>
      </c>
      <c r="AE24" s="1295">
        <f>(IF('Section Load'!AF27&gt;0,'Section Load'!AF27,0))</f>
        <v>0</v>
      </c>
      <c r="AF24" s="1295">
        <f>(IF('Section Load'!AG27&gt;0,'Section Load'!AG27,0))</f>
        <v>382.32999999998719</v>
      </c>
      <c r="AG24" s="1295">
        <f>(IF('Section Load'!AH27&gt;0,'Section Load'!AH27,0))</f>
        <v>289.42000000001281</v>
      </c>
      <c r="AH24" s="1295">
        <f>(IF('Section Load'!AI27&gt;0,'Section Load'!AI27,0))</f>
        <v>388.12000000000262</v>
      </c>
      <c r="AI24" s="1295">
        <f>(IF('Section Load'!AJ27&gt;0,'Section Load'!AJ27,0))</f>
        <v>421.67000000001281</v>
      </c>
      <c r="AJ24" s="1295">
        <f>(IF('Section Load'!AK27&gt;0,'Section Load'!AK27,0))</f>
        <v>0</v>
      </c>
      <c r="AK24" s="1295">
        <f>(IF('Section Load'!AL27&gt;0,'Section Load'!AL27,0))</f>
        <v>260.80000000000291</v>
      </c>
      <c r="AL24" s="1295">
        <f>(IF('Section Load'!AM27&gt;0,'Section Load'!AM27,0))</f>
        <v>782</v>
      </c>
      <c r="AM24" s="1296">
        <f>(IF('Water Report'!$Z$7&gt;0,'Water Report'!$Z$7,0))</f>
        <v>32</v>
      </c>
      <c r="AN24" s="1296">
        <f>(IF('Water Report'!$Z$8&gt;0,'Water Report'!$Z$8,0))</f>
        <v>106</v>
      </c>
      <c r="AO24" s="1296">
        <f>(IF('Water Report'!$Z$9&gt;0,'Water Report'!$Z$9,0))</f>
        <v>43</v>
      </c>
      <c r="AP24" s="1296">
        <f>(IF('Water Report'!$Z$10&gt;0,'Water Report'!$Z$10,0))</f>
        <v>17</v>
      </c>
      <c r="AQ24" s="1296">
        <f>(IF('Water Report'!$Z$11&gt;0,'Water Report'!$Z$11,0))</f>
        <v>22</v>
      </c>
      <c r="AR24" s="1296">
        <f>(IF('Water Report'!$Z$13&gt;0,'Water Report'!$Z$13,0))</f>
        <v>55</v>
      </c>
      <c r="AS24" s="1296">
        <f>(IF('Water Report'!$Z$14&gt;0,'Water Report'!$Z$14,0))</f>
        <v>13</v>
      </c>
      <c r="AT24" s="1296">
        <f>(IF('Water Report'!$Z$15&gt;0,'Water Report'!$Z$15,0))</f>
        <v>5</v>
      </c>
      <c r="AU24" s="1296">
        <f>(IF('Water Report'!$Z$17&gt;0,'Water Report'!$Z$17,0))</f>
        <v>0</v>
      </c>
      <c r="AV24" s="1296">
        <f>(IF('Water Report'!$Z$18&gt;0,'Water Report'!$Z$18,0))</f>
        <v>2</v>
      </c>
      <c r="AW24" s="1296">
        <f>(IF('Water Report'!$Z$19&gt;0,'Water Report'!$Z$19,0))</f>
        <v>3</v>
      </c>
      <c r="AX24" s="1371">
        <f>(IF('Water Report'!$Z$21&gt;0,'Water Report'!$Z$21,0))</f>
        <v>56</v>
      </c>
      <c r="AY24" s="1371">
        <f>(IF('Water Report'!$Z$22&gt;0,'Water Report'!$Z$22,0))</f>
        <v>19</v>
      </c>
      <c r="AZ24" s="1371">
        <f>(IF('Water Report'!$Z$23&gt;0,'Water Report'!$Z$23,0))</f>
        <v>0</v>
      </c>
      <c r="BA24" s="1371">
        <f>(IF('Water Report'!$Z$14&gt;0,'Water Report'!$Z$14,0))</f>
        <v>13</v>
      </c>
      <c r="BB24" s="1371">
        <f>(IF('Water Report'!$Z$15&gt;0,'Water Report'!$Z$15,0))</f>
        <v>5</v>
      </c>
      <c r="BC24" s="1371">
        <f>(IF('Water Report'!$Z$13&gt;0,'Water Report'!$Z$13,0))</f>
        <v>55</v>
      </c>
      <c r="BD24" s="1371">
        <f>(IF('Water Report'!$Z$24&gt;0,'Water Report'!$Z$24,0))</f>
        <v>101</v>
      </c>
      <c r="BE24" s="1371">
        <f>(IF('Water Report'!$Z$25&gt;0,'Water Report'!$Z$25,0))</f>
        <v>100</v>
      </c>
      <c r="BF24" s="1371">
        <f>(IF('Water Report'!$Z$27&gt;0,'Water Report'!$Z$27,0))</f>
        <v>111</v>
      </c>
      <c r="BG24" s="1297">
        <f>(IF('Section Load'!AN27&gt;0,'Section Load'!AN27,0))</f>
        <v>584.38000000012107</v>
      </c>
      <c r="BH24" s="1297">
        <f>(IF('Section Load'!AO27&gt;0,'Section Load'!AO27,0))</f>
        <v>283.38000000000466</v>
      </c>
      <c r="BI24" s="1297">
        <f>(IF('Section Load'!AP27&gt;0,'Section Load'!AP27,0))</f>
        <v>0</v>
      </c>
      <c r="BJ24" s="1297">
        <f>(IF('Section Load'!AQ27&gt;0,'Section Load'!AQ27,0))</f>
        <v>88.610000000015134</v>
      </c>
      <c r="BK24" s="1297">
        <f>(IF('Section Load'!AR27&gt;0,'Section Load'!AR27,0))</f>
        <v>36.5</v>
      </c>
      <c r="BL24" s="1297">
        <f>(IF('Section Load'!AS27&gt;0,'Section Load'!AS27,0))</f>
        <v>2.5</v>
      </c>
      <c r="BM24" s="1297">
        <f>(IF('Section Load'!AT27&gt;0,'Section Load'!AT27,0))</f>
        <v>173.39000000010128</v>
      </c>
    </row>
    <row r="25" spans="1:65">
      <c r="A25" s="1279" t="s">
        <v>300</v>
      </c>
      <c r="B25" s="1280">
        <f t="shared" si="0"/>
        <v>24</v>
      </c>
      <c r="C25" s="1280">
        <v>6</v>
      </c>
      <c r="D25" s="1280">
        <v>2021</v>
      </c>
      <c r="E25" s="1295">
        <f>(IF('Section Load'!F28&gt;0,'Section Load'!F28,0))</f>
        <v>2800.5</v>
      </c>
      <c r="F25" s="1295">
        <f>(IF('Section Load'!G28&gt;0,'Section Load'!G28,0))</f>
        <v>1486.5400000000081</v>
      </c>
      <c r="G25" s="1295">
        <f>(IF('Section Load'!H28&gt;0,'Section Load'!H28,0))</f>
        <v>1527.9600000000501</v>
      </c>
      <c r="H25" s="1295">
        <f>(IF('Section Load'!I28&gt;0,'Section Load'!I28,0))</f>
        <v>3514.4599999999627</v>
      </c>
      <c r="I25" s="1295">
        <f>(IF('Section Load'!J28&gt;0,'Section Load'!J28,0))</f>
        <v>6559.3000000000175</v>
      </c>
      <c r="J25" s="1295">
        <f>(IF('Section Load'!K28&gt;0,'Section Load'!K28,0))</f>
        <v>2919.3000000000466</v>
      </c>
      <c r="K25" s="1295">
        <f>(IF('Section Load'!L28&gt;0,'Section Load'!L28,0))</f>
        <v>1520.609999999986</v>
      </c>
      <c r="L25" s="1295">
        <f>(IF('Section Load'!M28&gt;0,'Section Load'!M28,0))</f>
        <v>1173.0200000000004</v>
      </c>
      <c r="M25" s="1295">
        <f>(IF('Section Load'!N28&gt;0,'Section Load'!N28,0))</f>
        <v>14</v>
      </c>
      <c r="N25" s="1295">
        <f>(IF('Section Load'!O28&gt;0,'Section Load'!O28,0))</f>
        <v>1</v>
      </c>
      <c r="O25" s="1295">
        <f>(IF('Section Load'!P28&gt;0,'Section Load'!P28,0))</f>
        <v>0</v>
      </c>
      <c r="P25" s="1295">
        <f>(IF('Section Load'!Q28&gt;0,'Section Load'!Q28,0))</f>
        <v>157.70000000000073</v>
      </c>
      <c r="Q25" s="1295">
        <f>(IF('Section Load'!R28&gt;0,'Section Load'!R28,0))</f>
        <v>69.209999999999127</v>
      </c>
      <c r="R25" s="1295">
        <f>(IF('Section Load'!S28&gt;0,'Section Load'!S28,0))</f>
        <v>45</v>
      </c>
      <c r="S25" s="1295">
        <f>(IF('Section Load'!T28&gt;0,'Section Load'!T28,0))</f>
        <v>76</v>
      </c>
      <c r="T25" s="1295">
        <f>(IF('Section Load'!U28&gt;0,'Section Load'!U28,0))</f>
        <v>168</v>
      </c>
      <c r="U25" s="1295">
        <f>(IF('Section Load'!V28&gt;0,'Section Load'!V28,0))</f>
        <v>399.68000000005122</v>
      </c>
      <c r="V25" s="1295">
        <f>(IF('Section Load'!W28&gt;0,'Section Load'!W28,0))</f>
        <v>185.35999999998603</v>
      </c>
      <c r="W25" s="1295">
        <f>(IF('Section Load'!X28&gt;0,'Section Load'!X28,0))</f>
        <v>14.279999999998836</v>
      </c>
      <c r="X25" s="1295">
        <f>(IF('Section Load'!Y28&gt;0,'Section Load'!Y28,0))</f>
        <v>220.58000000000175</v>
      </c>
      <c r="Y25" s="1295">
        <f>(IF('Section Load'!Z28&gt;0,'Section Load'!Z28,0))</f>
        <v>259</v>
      </c>
      <c r="Z25" s="1295">
        <f>(IF('Section Load'!AA28&gt;0,'Section Load'!AA28,0))</f>
        <v>39.35999999998603</v>
      </c>
      <c r="AA25" s="1295">
        <f>(IF('Section Load'!AB28&gt;0,'Section Load'!AB28,0))</f>
        <v>31</v>
      </c>
      <c r="AB25" s="1295">
        <f>(IF('Section Load'!AC28&gt;0,'Section Load'!AC28,0))</f>
        <v>147</v>
      </c>
      <c r="AC25" s="1295">
        <f>(IF('Section Load'!AD28&gt;0,'Section Load'!AD28,0))</f>
        <v>35.300000000000182</v>
      </c>
      <c r="AD25" s="1295">
        <f>(IF('Section Load'!AE28&gt;0,'Section Load'!AE28,0))</f>
        <v>0</v>
      </c>
      <c r="AE25" s="1295">
        <f>(IF('Section Load'!AF28&gt;0,'Section Load'!AF28,0))</f>
        <v>0</v>
      </c>
      <c r="AF25" s="1295">
        <f>(IF('Section Load'!AG28&gt;0,'Section Load'!AG28,0))</f>
        <v>404.41000000000349</v>
      </c>
      <c r="AG25" s="1295">
        <f>(IF('Section Load'!AH28&gt;0,'Section Load'!AH28,0))</f>
        <v>316.80999999999767</v>
      </c>
      <c r="AH25" s="1295">
        <f>(IF('Section Load'!AI28&gt;0,'Section Load'!AI28,0))</f>
        <v>407.34999999999854</v>
      </c>
      <c r="AI25" s="1295">
        <f>(IF('Section Load'!AJ28&gt;0,'Section Load'!AJ28,0))</f>
        <v>432.32999999998719</v>
      </c>
      <c r="AJ25" s="1295">
        <f>(IF('Section Load'!AK28&gt;0,'Section Load'!AK28,0))</f>
        <v>0</v>
      </c>
      <c r="AK25" s="1295">
        <f>(IF('Section Load'!AL28&gt;0,'Section Load'!AL28,0))</f>
        <v>237.25</v>
      </c>
      <c r="AL25" s="1295">
        <f>(IF('Section Load'!AM28&gt;0,'Section Load'!AM28,0))</f>
        <v>750</v>
      </c>
      <c r="AM25" s="1296">
        <f>(IF('Water Report'!$AA$7&gt;0,'Water Report'!$AA$7,0))</f>
        <v>75</v>
      </c>
      <c r="AN25" s="1296">
        <f>(IF('Water Report'!$AA$8&gt;0,'Water Report'!$AA$8,0))</f>
        <v>99</v>
      </c>
      <c r="AO25" s="1296">
        <f>(IF('Water Report'!$AA$9&gt;0,'Water Report'!$AA$9,0))</f>
        <v>73</v>
      </c>
      <c r="AP25" s="1296">
        <f>(IF('Water Report'!$AA$10&gt;0,'Water Report'!$AA$10,0))</f>
        <v>19</v>
      </c>
      <c r="AQ25" s="1296">
        <f>(IF('Water Report'!$AA$11&gt;0,'Water Report'!$AA$11,0))</f>
        <v>20</v>
      </c>
      <c r="AR25" s="1296">
        <f>(IF('Water Report'!$AA$13&gt;0,'Water Report'!$AA$13,0))</f>
        <v>23</v>
      </c>
      <c r="AS25" s="1296">
        <f>(IF('Water Report'!$AA$14&gt;0,'Water Report'!$AA$14,0))</f>
        <v>10</v>
      </c>
      <c r="AT25" s="1296">
        <f>(IF('Water Report'!$AA$15&gt;0,'Water Report'!$AA$15,0))</f>
        <v>6</v>
      </c>
      <c r="AU25" s="1296">
        <f>(IF('Water Report'!$AA$17&gt;0,'Water Report'!$AA$17,0))</f>
        <v>0</v>
      </c>
      <c r="AV25" s="1296">
        <f>(IF('Water Report'!$AA$18&gt;0,'Water Report'!$AA$18,0))</f>
        <v>25</v>
      </c>
      <c r="AW25" s="1296">
        <f>(IF('Water Report'!$AA$19&gt;0,'Water Report'!$AA$19,0))</f>
        <v>3</v>
      </c>
      <c r="AX25" s="1371">
        <f>(IF('Water Report'!$AA$21&gt;0,'Water Report'!$AA$21,0))</f>
        <v>55</v>
      </c>
      <c r="AY25" s="1371">
        <f>(IF('Water Report'!$AA$22&gt;0,'Water Report'!$AA$22,0))</f>
        <v>57</v>
      </c>
      <c r="AZ25" s="1371">
        <f>(IF('Water Report'!$AA$23&gt;0,'Water Report'!$AA$23,0))</f>
        <v>0</v>
      </c>
      <c r="BA25" s="1371">
        <f>(IF('Water Report'!$AA$14&gt;0,'Water Report'!$AA$14,0))</f>
        <v>10</v>
      </c>
      <c r="BB25" s="1371">
        <f>(IF('Water Report'!$AA$15&gt;0,'Water Report'!$AA$15,0))</f>
        <v>6</v>
      </c>
      <c r="BC25" s="1371">
        <f>(IF('Water Report'!$AA$13&gt;0,'Water Report'!$AA$13,0))</f>
        <v>23</v>
      </c>
      <c r="BD25" s="1371">
        <f>(IF('Water Report'!$AA$24&gt;0,'Water Report'!$AA$24,0))</f>
        <v>164</v>
      </c>
      <c r="BE25" s="1371">
        <f>(IF('Water Report'!$AA$25&gt;0,'Water Report'!$AA$25,0))</f>
        <v>128</v>
      </c>
      <c r="BF25" s="1371">
        <f>(IF('Water Report'!$AA$27&gt;0,'Water Report'!$AA$27,0))</f>
        <v>78</v>
      </c>
      <c r="BG25" s="1297">
        <f>(IF('Section Load'!AN28&gt;0,'Section Load'!AN28,0))</f>
        <v>944.64999999990687</v>
      </c>
      <c r="BH25" s="1297">
        <f>(IF('Section Load'!AO28&gt;0,'Section Load'!AO28,0))</f>
        <v>288.84999999997672</v>
      </c>
      <c r="BI25" s="1297">
        <f>(IF('Section Load'!AP28&gt;0,'Section Load'!AP28,0))</f>
        <v>0</v>
      </c>
      <c r="BJ25" s="1297">
        <f>(IF('Section Load'!AQ28&gt;0,'Section Load'!AQ28,0))</f>
        <v>73.579999999987194</v>
      </c>
      <c r="BK25" s="1297">
        <f>(IF('Section Load'!AR28&gt;0,'Section Load'!AR28,0))</f>
        <v>34.799999999999272</v>
      </c>
      <c r="BL25" s="1297">
        <f>(IF('Section Load'!AS28&gt;0,'Section Load'!AS28,0))</f>
        <v>2.8999999999996362</v>
      </c>
      <c r="BM25" s="1297">
        <f>(IF('Section Load'!AT28&gt;0,'Section Load'!AT28,0))</f>
        <v>544.91999999993823</v>
      </c>
    </row>
    <row r="26" spans="1:65">
      <c r="A26" s="1279" t="s">
        <v>300</v>
      </c>
      <c r="B26" s="1280">
        <f>B25+1</f>
        <v>25</v>
      </c>
      <c r="C26" s="1280">
        <v>6</v>
      </c>
      <c r="D26" s="1280">
        <v>2021</v>
      </c>
      <c r="E26" s="1295">
        <f>(IF('Section Load'!F29&gt;0,'Section Load'!F29,0))</f>
        <v>2719.0100000000093</v>
      </c>
      <c r="F26" s="1295">
        <f>(IF('Section Load'!G29&gt;0,'Section Load'!G29,0))</f>
        <v>1517.8699999999953</v>
      </c>
      <c r="G26" s="1295">
        <f>(IF('Section Load'!H29&gt;0,'Section Load'!H29,0))</f>
        <v>1537.0699999999488</v>
      </c>
      <c r="H26" s="1295">
        <f>(IF('Section Load'!I29&gt;0,'Section Load'!I29,0))</f>
        <v>3655</v>
      </c>
      <c r="I26" s="1295">
        <f>(IF('Section Load'!J29&gt;0,'Section Load'!J29,0))</f>
        <v>5087</v>
      </c>
      <c r="J26" s="1295">
        <f>(IF('Section Load'!K29&gt;0,'Section Load'!K29,0))</f>
        <v>2649</v>
      </c>
      <c r="K26" s="1295">
        <f>(IF('Section Load'!L29&gt;0,'Section Load'!L29,0))</f>
        <v>1032</v>
      </c>
      <c r="L26" s="1295">
        <f>(IF('Section Load'!M29&gt;0,'Section Load'!M29,0))</f>
        <v>642</v>
      </c>
      <c r="M26" s="1295">
        <f>(IF('Section Load'!N29&gt;0,'Section Load'!N29,0))</f>
        <v>12</v>
      </c>
      <c r="N26" s="1295">
        <f>(IF('Section Load'!O29&gt;0,'Section Load'!O29,0))</f>
        <v>1</v>
      </c>
      <c r="O26" s="1295">
        <f>(IF('Section Load'!P29&gt;0,'Section Load'!P29,0))</f>
        <v>0</v>
      </c>
      <c r="P26" s="1295">
        <f>(IF('Section Load'!Q29&gt;0,'Section Load'!Q29,0))</f>
        <v>149</v>
      </c>
      <c r="Q26" s="1295">
        <f>(IF('Section Load'!R29&gt;0,'Section Load'!R29,0))</f>
        <v>74</v>
      </c>
      <c r="R26" s="1295">
        <f>(IF('Section Load'!S29&gt;0,'Section Load'!S29,0))</f>
        <v>54</v>
      </c>
      <c r="S26" s="1295">
        <f>(IF('Section Load'!T29&gt;0,'Section Load'!T29,0))</f>
        <v>84</v>
      </c>
      <c r="T26" s="1295">
        <f>(IF('Section Load'!U29&gt;0,'Section Load'!U29,0))</f>
        <v>140</v>
      </c>
      <c r="U26" s="1295">
        <f>(IF('Section Load'!V29&gt;0,'Section Load'!V29,0))</f>
        <v>406</v>
      </c>
      <c r="V26" s="1295">
        <f>(IF('Section Load'!W29&gt;0,'Section Load'!W29,0))</f>
        <v>118</v>
      </c>
      <c r="W26" s="1295">
        <f>(IF('Section Load'!X29&gt;0,'Section Load'!X29,0))</f>
        <v>26</v>
      </c>
      <c r="X26" s="1295">
        <f>(IF('Section Load'!Y29&gt;0,'Section Load'!Y29,0))</f>
        <v>133</v>
      </c>
      <c r="Y26" s="1295">
        <f>(IF('Section Load'!Z29&gt;0,'Section Load'!Z29,0))</f>
        <v>171</v>
      </c>
      <c r="Z26" s="1295">
        <f>(IF('Section Load'!AA29&gt;0,'Section Load'!AA29,0))</f>
        <v>29</v>
      </c>
      <c r="AA26" s="1295">
        <f>(IF('Section Load'!AB29&gt;0,'Section Load'!AB29,0))</f>
        <v>36</v>
      </c>
      <c r="AB26" s="1295">
        <f>(IF('Section Load'!AC29&gt;0,'Section Load'!AC29,0))</f>
        <v>131</v>
      </c>
      <c r="AC26" s="1295">
        <f>(IF('Section Load'!AD29&gt;0,'Section Load'!AD29,0))</f>
        <v>40</v>
      </c>
      <c r="AD26" s="1295">
        <f>(IF('Section Load'!AE29&gt;0,'Section Load'!AE29,0))</f>
        <v>0</v>
      </c>
      <c r="AE26" s="1295">
        <f>(IF('Section Load'!AF29&gt;0,'Section Load'!AF29,0))</f>
        <v>0</v>
      </c>
      <c r="AF26" s="1295">
        <f>(IF('Section Load'!AG29&gt;0,'Section Load'!AG29,0))</f>
        <v>412</v>
      </c>
      <c r="AG26" s="1295">
        <f>(IF('Section Load'!AH29&gt;0,'Section Load'!AH29,0))</f>
        <v>399</v>
      </c>
      <c r="AH26" s="1295">
        <f>(IF('Section Load'!AI29&gt;0,'Section Load'!AI29,0))</f>
        <v>418</v>
      </c>
      <c r="AI26" s="1295">
        <f>(IF('Section Load'!AJ29&gt;0,'Section Load'!AJ29,0))</f>
        <v>458</v>
      </c>
      <c r="AJ26" s="1295">
        <f>(IF('Section Load'!AK29&gt;0,'Section Load'!AK29,0))</f>
        <v>0</v>
      </c>
      <c r="AK26" s="1295">
        <f>(IF('Section Load'!AL29&gt;0,'Section Load'!AL29,0))</f>
        <v>191</v>
      </c>
      <c r="AL26" s="1295">
        <f>(IF('Section Load'!AM29&gt;0,'Section Load'!AM29,0))</f>
        <v>732</v>
      </c>
      <c r="AM26" s="1296">
        <f>(IF('Water Report'!$AB$7&gt;0,'Water Report'!$AB$7,0))</f>
        <v>79</v>
      </c>
      <c r="AN26" s="1296">
        <f>(IF('Water Report'!$AB$8&gt;0,'Water Report'!$AB$8,0))</f>
        <v>91</v>
      </c>
      <c r="AO26" s="1296">
        <f>(IF('Water Report'!$AB$9&gt;0,'Water Report'!$AB$9,0))</f>
        <v>70</v>
      </c>
      <c r="AP26" s="1296">
        <f>(IF('Water Report'!$AB$10&gt;0,'Water Report'!$AB$10,0))</f>
        <v>21</v>
      </c>
      <c r="AQ26" s="1296">
        <f>(IF('Water Report'!$AB$11&gt;0,'Water Report'!$AB$11,0))</f>
        <v>19</v>
      </c>
      <c r="AR26" s="1296">
        <f>(IF('Water Report'!$AB$13&gt;0,'Water Report'!$AB$13,0))</f>
        <v>28</v>
      </c>
      <c r="AS26" s="1296">
        <f>(IF('Water Report'!$AB$14&gt;0,'Water Report'!$AB$14,0))</f>
        <v>29</v>
      </c>
      <c r="AT26" s="1296">
        <f>(IF('Water Report'!$AB$15&gt;0,'Water Report'!$AB$15,0))</f>
        <v>4</v>
      </c>
      <c r="AU26" s="1296">
        <f>(IF('Water Report'!$AB$17&gt;0,'Water Report'!$AB$17,0))</f>
        <v>0</v>
      </c>
      <c r="AV26" s="1296">
        <f>(IF('Water Report'!$AB$18&gt;0,'Water Report'!$AB$18,0))</f>
        <v>5</v>
      </c>
      <c r="AW26" s="1296">
        <f>(IF('Water Report'!$AB$19&gt;0,'Water Report'!$AB$19,0))</f>
        <v>5</v>
      </c>
      <c r="AX26" s="1371">
        <f>(IF('Water Report'!$AB$21&gt;0,'Water Report'!$AB$21,0))</f>
        <v>45</v>
      </c>
      <c r="AY26" s="1371">
        <f>(IF('Water Report'!$AB$22&gt;0,'Water Report'!$AB$22,0))</f>
        <v>16</v>
      </c>
      <c r="AZ26" s="1371">
        <f>(IF('Water Report'!$AB$23&gt;0,'Water Report'!$AB$23,0))</f>
        <v>0</v>
      </c>
      <c r="BA26" s="1371">
        <f>(IF('Water Report'!$AB$14&gt;0,'Water Report'!$AB$14,0))</f>
        <v>29</v>
      </c>
      <c r="BB26" s="1371">
        <f>(IF('Water Report'!$AB$15&gt;0,'Water Report'!$AB$15,0))</f>
        <v>4</v>
      </c>
      <c r="BC26" s="1371">
        <f>(IF('Water Report'!$AB$13&gt;0,'Water Report'!$AB$13,0))</f>
        <v>28</v>
      </c>
      <c r="BD26" s="1371">
        <f>(IF('Water Report'!$AB$24&gt;0,'Water Report'!$AB$24,0))</f>
        <v>170</v>
      </c>
      <c r="BE26" s="1371">
        <f>(IF('Water Report'!$AB$25&gt;0,'Water Report'!$AB$25,0))</f>
        <v>143</v>
      </c>
      <c r="BF26" s="1371">
        <f>(IF('Water Report'!$AB$27&gt;0,'Water Report'!$AB$27,0))</f>
        <v>73</v>
      </c>
      <c r="BG26" s="1297">
        <f>(IF('Section Load'!AN29&gt;0,'Section Load'!AN29,0))</f>
        <v>746</v>
      </c>
      <c r="BH26" s="1297">
        <f>(IF('Section Load'!AO29&gt;0,'Section Load'!AO29,0))</f>
        <v>265</v>
      </c>
      <c r="BI26" s="1297">
        <f>(IF('Section Load'!AP29&gt;0,'Section Load'!AP29,0))</f>
        <v>0</v>
      </c>
      <c r="BJ26" s="1297">
        <f>(IF('Section Load'!AQ29&gt;0,'Section Load'!AQ29,0))</f>
        <v>70</v>
      </c>
      <c r="BK26" s="1297">
        <f>(IF('Section Load'!AR29&gt;0,'Section Load'!AR29,0))</f>
        <v>39</v>
      </c>
      <c r="BL26" s="1297">
        <f>(IF('Section Load'!AS29&gt;0,'Section Load'!AS29,0))</f>
        <v>0</v>
      </c>
      <c r="BM26" s="1297">
        <f>(IF('Section Load'!AT29&gt;0,'Section Load'!AT29,0))</f>
        <v>372</v>
      </c>
    </row>
    <row r="27" spans="1:65">
      <c r="A27" s="1279" t="s">
        <v>300</v>
      </c>
      <c r="B27" s="1280">
        <f t="shared" si="0"/>
        <v>26</v>
      </c>
      <c r="C27" s="1280">
        <v>6</v>
      </c>
      <c r="D27" s="1280">
        <v>2021</v>
      </c>
      <c r="E27" s="1295">
        <f>(IF('Section Load'!F30&gt;0,'Section Load'!F30,0))</f>
        <v>3029.8699999999953</v>
      </c>
      <c r="F27" s="1295">
        <f>(IF('Section Load'!G30&gt;0,'Section Load'!G30,0))</f>
        <v>1521</v>
      </c>
      <c r="G27" s="1295">
        <f>(IF('Section Load'!H30&gt;0,'Section Load'!H30,0))</f>
        <v>1787</v>
      </c>
      <c r="H27" s="1295">
        <f>(IF('Section Load'!I30&gt;0,'Section Load'!I30,0))</f>
        <v>3678</v>
      </c>
      <c r="I27" s="1295">
        <f>(IF('Section Load'!J30&gt;0,'Section Load'!J30,0))</f>
        <v>6949</v>
      </c>
      <c r="J27" s="1295">
        <f>(IF('Section Load'!K30&gt;0,'Section Load'!K30,0))</f>
        <v>2958</v>
      </c>
      <c r="K27" s="1295">
        <f>(IF('Section Load'!L30&gt;0,'Section Load'!L30,0))</f>
        <v>1133</v>
      </c>
      <c r="L27" s="1295">
        <f>(IF('Section Load'!M30&gt;0,'Section Load'!M30,0))</f>
        <v>959</v>
      </c>
      <c r="M27" s="1295">
        <f>(IF('Section Load'!N30&gt;0,'Section Load'!N30,0))</f>
        <v>11</v>
      </c>
      <c r="N27" s="1295">
        <f>(IF('Section Load'!O30&gt;0,'Section Load'!O30,0))</f>
        <v>1</v>
      </c>
      <c r="O27" s="1295">
        <f>(IF('Section Load'!P30&gt;0,'Section Load'!P30,0))</f>
        <v>0</v>
      </c>
      <c r="P27" s="1295">
        <f>(IF('Section Load'!Q30&gt;0,'Section Load'!Q30,0))</f>
        <v>185</v>
      </c>
      <c r="Q27" s="1295">
        <f>(IF('Section Load'!R30&gt;0,'Section Load'!R30,0))</f>
        <v>81</v>
      </c>
      <c r="R27" s="1295">
        <f>(IF('Section Load'!S30&gt;0,'Section Load'!S30,0))</f>
        <v>60</v>
      </c>
      <c r="S27" s="1295">
        <f>(IF('Section Load'!T30&gt;0,'Section Load'!T30,0))</f>
        <v>117</v>
      </c>
      <c r="T27" s="1295">
        <f>(IF('Section Load'!U30&gt;0,'Section Load'!U30,0))</f>
        <v>150</v>
      </c>
      <c r="U27" s="1295">
        <f>(IF('Section Load'!V30&gt;0,'Section Load'!V30,0))</f>
        <v>428</v>
      </c>
      <c r="V27" s="1295">
        <f>(IF('Section Load'!W30&gt;0,'Section Load'!W30,0))</f>
        <v>157</v>
      </c>
      <c r="W27" s="1295">
        <f>(IF('Section Load'!X30&gt;0,'Section Load'!X30,0))</f>
        <v>14</v>
      </c>
      <c r="X27" s="1295">
        <f>(IF('Section Load'!Y30&gt;0,'Section Load'!Y30,0))</f>
        <v>252</v>
      </c>
      <c r="Y27" s="1295">
        <f>(IF('Section Load'!Z30&gt;0,'Section Load'!Z30,0))</f>
        <v>372</v>
      </c>
      <c r="Z27" s="1295">
        <f>(IF('Section Load'!AA30&gt;0,'Section Load'!AA30,0))</f>
        <v>27</v>
      </c>
      <c r="AA27" s="1295">
        <f>(IF('Section Load'!AB30&gt;0,'Section Load'!AB30,0))</f>
        <v>17</v>
      </c>
      <c r="AB27" s="1295">
        <f>(IF('Section Load'!AC30&gt;0,'Section Load'!AC30,0))</f>
        <v>126</v>
      </c>
      <c r="AC27" s="1295">
        <f>(IF('Section Load'!AD30&gt;0,'Section Load'!AD30,0))</f>
        <v>18</v>
      </c>
      <c r="AD27" s="1295">
        <f>(IF('Section Load'!AE30&gt;0,'Section Load'!AE30,0))</f>
        <v>0</v>
      </c>
      <c r="AE27" s="1295">
        <f>(IF('Section Load'!AF30&gt;0,'Section Load'!AF30,0))</f>
        <v>0</v>
      </c>
      <c r="AF27" s="1295">
        <f>(IF('Section Load'!AG30&gt;0,'Section Load'!AG30,0))</f>
        <v>321</v>
      </c>
      <c r="AG27" s="1295">
        <f>(IF('Section Load'!AH30&gt;0,'Section Load'!AH30,0))</f>
        <v>438</v>
      </c>
      <c r="AH27" s="1295">
        <f>(IF('Section Load'!AI30&gt;0,'Section Load'!AI30,0))</f>
        <v>448</v>
      </c>
      <c r="AI27" s="1295">
        <f>(IF('Section Load'!AJ30&gt;0,'Section Load'!AJ30,0))</f>
        <v>474</v>
      </c>
      <c r="AJ27" s="1295">
        <f>(IF('Section Load'!AK30&gt;0,'Section Load'!AK30,0))</f>
        <v>0</v>
      </c>
      <c r="AK27" s="1295">
        <f>(IF('Section Load'!AL30&gt;0,'Section Load'!AL30,0))</f>
        <v>209</v>
      </c>
      <c r="AL27" s="1295">
        <f>(IF('Section Load'!AM30&gt;0,'Section Load'!AM30,0))</f>
        <v>872</v>
      </c>
      <c r="AM27" s="1296">
        <f>(IF('Water Report'!$AC$7&gt;0,'Water Report'!$AC$7,0))</f>
        <v>117</v>
      </c>
      <c r="AN27" s="1296">
        <f>(IF('Water Report'!$AC$8&gt;0,'Water Report'!$AC$8,0))</f>
        <v>127</v>
      </c>
      <c r="AO27" s="1296">
        <f>(IF('Water Report'!$AC$9&gt;0,'Water Report'!$AC$9,0))</f>
        <v>79</v>
      </c>
      <c r="AP27" s="1296">
        <f>(IF('Water Report'!$AC$10&gt;0,'Water Report'!$AC$10,0))</f>
        <v>29</v>
      </c>
      <c r="AQ27" s="1296">
        <f>(IF('Water Report'!$AC$11&gt;0,'Water Report'!$AC$11,0))</f>
        <v>34</v>
      </c>
      <c r="AR27" s="1296">
        <f>(IF('Water Report'!$AC$13&gt;0,'Water Report'!$AC$13,0))</f>
        <v>63</v>
      </c>
      <c r="AS27" s="1296">
        <f>(IF('Water Report'!$AC$14&gt;0,'Water Report'!$AC$14,0))</f>
        <v>30</v>
      </c>
      <c r="AT27" s="1296">
        <f>(IF('Water Report'!$AC$15&gt;0,'Water Report'!$AC$15,0))</f>
        <v>9</v>
      </c>
      <c r="AU27" s="1296">
        <f>(IF('Water Report'!$AC$17&gt;0,'Water Report'!$AC$17,0))</f>
        <v>0</v>
      </c>
      <c r="AV27" s="1296">
        <f>(IF('Water Report'!$AC$18&gt;0,'Water Report'!$AC$18,0))</f>
        <v>16</v>
      </c>
      <c r="AW27" s="1296">
        <f>(IF('Water Report'!$AC$19&gt;0,'Water Report'!$AC$19,0))</f>
        <v>5</v>
      </c>
      <c r="AX27" s="1371">
        <f>(IF('Water Report'!$AC$21&gt;0,'Water Report'!$AC$21,0))</f>
        <v>54</v>
      </c>
      <c r="AY27" s="1371">
        <f>(IF('Water Report'!$AC$22&gt;0,'Water Report'!$AC$22,0))</f>
        <v>71</v>
      </c>
      <c r="AZ27" s="1371">
        <f>(IF('Water Report'!$AC$23&gt;0,'Water Report'!$AC$23,0))</f>
        <v>0</v>
      </c>
      <c r="BA27" s="1371">
        <f>(IF('Water Report'!$AC$14&gt;0,'Water Report'!$AC$14,0))</f>
        <v>30</v>
      </c>
      <c r="BB27" s="1371">
        <f>(IF('Water Report'!$AC$15&gt;0,'Water Report'!$AC$15,0))</f>
        <v>9</v>
      </c>
      <c r="BC27" s="1371">
        <f>(IF('Water Report'!$AC$13&gt;0,'Water Report'!$AC$13,0))</f>
        <v>63</v>
      </c>
      <c r="BD27" s="1371">
        <f>(IF('Water Report'!$AC$24&gt;0,'Water Report'!$AC$24,0))</f>
        <v>215</v>
      </c>
      <c r="BE27" s="1371">
        <f>(IF('Water Report'!$AC$25&gt;0,'Water Report'!$AC$25,0))</f>
        <v>181</v>
      </c>
      <c r="BF27" s="1371">
        <f>(IF('Water Report'!$AC$27&gt;0,'Water Report'!$AC$27,0))</f>
        <v>117</v>
      </c>
      <c r="BG27" s="1297">
        <f>(IF('Section Load'!AN30&gt;0,'Section Load'!AN30,0))</f>
        <v>925</v>
      </c>
      <c r="BH27" s="1297">
        <f>(IF('Section Load'!AO30&gt;0,'Section Load'!AO30,0))</f>
        <v>306</v>
      </c>
      <c r="BI27" s="1297">
        <f>(IF('Section Load'!AP30&gt;0,'Section Load'!AP30,0))</f>
        <v>0.39999999999417923</v>
      </c>
      <c r="BJ27" s="1297">
        <f>(IF('Section Load'!AQ30&gt;0,'Section Load'!AQ30,0))</f>
        <v>103</v>
      </c>
      <c r="BK27" s="1297">
        <f>(IF('Section Load'!AR30&gt;0,'Section Load'!AR30,0))</f>
        <v>37</v>
      </c>
      <c r="BL27" s="1297">
        <f>(IF('Section Load'!AS30&gt;0,'Section Load'!AS30,0))</f>
        <v>9</v>
      </c>
      <c r="BM27" s="1297">
        <f>(IF('Section Load'!AT30&gt;0,'Section Load'!AT30,0))</f>
        <v>469.60000000000582</v>
      </c>
    </row>
    <row r="28" spans="1:65">
      <c r="A28" s="1279" t="s">
        <v>300</v>
      </c>
      <c r="B28" s="1280">
        <f t="shared" si="0"/>
        <v>27</v>
      </c>
      <c r="C28" s="1280">
        <v>6</v>
      </c>
      <c r="D28" s="1280">
        <v>2021</v>
      </c>
      <c r="E28" s="1295">
        <f>(IF('Section Load'!F31&gt;0,'Section Load'!F31,0))</f>
        <v>3062.1300000000047</v>
      </c>
      <c r="F28" s="1295">
        <f>(IF('Section Load'!G31&gt;0,'Section Load'!G31,0))</f>
        <v>1492.1300000000047</v>
      </c>
      <c r="G28" s="1295">
        <f>(IF('Section Load'!H31&gt;0,'Section Load'!H31,0))</f>
        <v>1712.9300000000512</v>
      </c>
      <c r="H28" s="1295">
        <f>(IF('Section Load'!I31&gt;0,'Section Load'!I31,0))</f>
        <v>3715</v>
      </c>
      <c r="I28" s="1295">
        <f>(IF('Section Load'!J31&gt;0,'Section Load'!J31,0))</f>
        <v>6445</v>
      </c>
      <c r="J28" s="1295">
        <f>(IF('Section Load'!K31&gt;0,'Section Load'!K31,0))</f>
        <v>3057</v>
      </c>
      <c r="K28" s="1295">
        <f>(IF('Section Load'!L31&gt;0,'Section Load'!L31,0))</f>
        <v>1299</v>
      </c>
      <c r="L28" s="1295">
        <f>(IF('Section Load'!M31&gt;0,'Section Load'!M31,0))</f>
        <v>587</v>
      </c>
      <c r="M28" s="1295">
        <f>(IF('Section Load'!N31&gt;0,'Section Load'!N31,0))</f>
        <v>11</v>
      </c>
      <c r="N28" s="1295">
        <f>(IF('Section Load'!O31&gt;0,'Section Load'!O31,0))</f>
        <v>1</v>
      </c>
      <c r="O28" s="1295">
        <f>(IF('Section Load'!P31&gt;0,'Section Load'!P31,0))</f>
        <v>0</v>
      </c>
      <c r="P28" s="1295">
        <f>(IF('Section Load'!Q31&gt;0,'Section Load'!Q31,0))</f>
        <v>140</v>
      </c>
      <c r="Q28" s="1295">
        <f>(IF('Section Load'!R31&gt;0,'Section Load'!R31,0))</f>
        <v>77</v>
      </c>
      <c r="R28" s="1295">
        <f>(IF('Section Load'!S31&gt;0,'Section Load'!S31,0))</f>
        <v>57</v>
      </c>
      <c r="S28" s="1295">
        <f>(IF('Section Load'!T31&gt;0,'Section Load'!T31,0))</f>
        <v>152</v>
      </c>
      <c r="T28" s="1295">
        <f>(IF('Section Load'!U31&gt;0,'Section Load'!U31,0))</f>
        <v>139</v>
      </c>
      <c r="U28" s="1295">
        <f>(IF('Section Load'!V31&gt;0,'Section Load'!V31,0))</f>
        <v>460</v>
      </c>
      <c r="V28" s="1295">
        <f>(IF('Section Load'!W31&gt;0,'Section Load'!W31,0))</f>
        <v>131</v>
      </c>
      <c r="W28" s="1295">
        <f>(IF('Section Load'!X31&gt;0,'Section Load'!X31,0))</f>
        <v>25</v>
      </c>
      <c r="X28" s="1295">
        <f>(IF('Section Load'!Y31&gt;0,'Section Load'!Y31,0))</f>
        <v>141</v>
      </c>
      <c r="Y28" s="1295">
        <f>(IF('Section Load'!Z31&gt;0,'Section Load'!Z31,0))</f>
        <v>319</v>
      </c>
      <c r="Z28" s="1295">
        <f>(IF('Section Load'!AA31&gt;0,'Section Load'!AA31,0))</f>
        <v>39</v>
      </c>
      <c r="AA28" s="1295">
        <f>(IF('Section Load'!AB31&gt;0,'Section Load'!AB31,0))</f>
        <v>11</v>
      </c>
      <c r="AB28" s="1295">
        <f>(IF('Section Load'!AC31&gt;0,'Section Load'!AC31,0))</f>
        <v>34</v>
      </c>
      <c r="AC28" s="1295">
        <f>(IF('Section Load'!AD31&gt;0,'Section Load'!AD31,0))</f>
        <v>12</v>
      </c>
      <c r="AD28" s="1295">
        <f>(IF('Section Load'!AE31&gt;0,'Section Load'!AE31,0))</f>
        <v>0</v>
      </c>
      <c r="AE28" s="1295">
        <f>(IF('Section Load'!AF31&gt;0,'Section Load'!AF31,0))</f>
        <v>0</v>
      </c>
      <c r="AF28" s="1295">
        <f>(IF('Section Load'!AG31&gt;0,'Section Load'!AG31,0))</f>
        <v>385</v>
      </c>
      <c r="AG28" s="1295">
        <f>(IF('Section Load'!AH31&gt;0,'Section Load'!AH31,0))</f>
        <v>358</v>
      </c>
      <c r="AH28" s="1295">
        <f>(IF('Section Load'!AI31&gt;0,'Section Load'!AI31,0))</f>
        <v>374</v>
      </c>
      <c r="AI28" s="1295">
        <f>(IF('Section Load'!AJ31&gt;0,'Section Load'!AJ31,0))</f>
        <v>470</v>
      </c>
      <c r="AJ28" s="1295">
        <f>(IF('Section Load'!AK31&gt;0,'Section Load'!AK31,0))</f>
        <v>0</v>
      </c>
      <c r="AK28" s="1295">
        <f>(IF('Section Load'!AL31&gt;0,'Section Load'!AL31,0))</f>
        <v>323</v>
      </c>
      <c r="AL28" s="1295">
        <f>(IF('Section Load'!AM31&gt;0,'Section Load'!AM31,0))</f>
        <v>884</v>
      </c>
      <c r="AM28" s="1296">
        <f>(IF('Water Report'!$AD$7&gt;0,'Water Report'!$AD$7,0))</f>
        <v>130</v>
      </c>
      <c r="AN28" s="1296">
        <f>(IF('Water Report'!$AD$8&gt;0,'Water Report'!$AD$8,0))</f>
        <v>114</v>
      </c>
      <c r="AO28" s="1296">
        <f>(IF('Water Report'!$AD$9&gt;0,'Water Report'!$AD$9,0))</f>
        <v>73</v>
      </c>
      <c r="AP28" s="1296">
        <f>(IF('Water Report'!$AD$10&gt;0,'Water Report'!AD$10,0))</f>
        <v>35</v>
      </c>
      <c r="AQ28" s="1296">
        <f>(IF('Water Report'!$AD$11&gt;0,'Water Report'!AE$11,0))</f>
        <v>-739</v>
      </c>
      <c r="AR28" s="1296">
        <f>(IF('Water Report'!$AD$13&gt;0,'Water Report'!AF$13,0))</f>
        <v>4</v>
      </c>
      <c r="AS28" s="1296">
        <f>(IF('Water Report'!$AD$14&gt;0,'Water Report'!AG$14,0))</f>
        <v>9</v>
      </c>
      <c r="AT28" s="1296">
        <f>(IF('Water Report'!$AD$15&gt;0,'Water Report'!AH$15,0))</f>
        <v>6</v>
      </c>
      <c r="AU28" s="1296">
        <f>(IF('Water Report'!$AD$17&gt;0,'Water Report'!AI$17,0))</f>
        <v>0</v>
      </c>
      <c r="AV28" s="1296">
        <f>(IF('Water Report'!$AD$18&gt;0,'Water Report'!AJ$18,0))</f>
        <v>0</v>
      </c>
      <c r="AW28" s="1296">
        <f>(IF('Water Report'!$AD$19&gt;0,'Water Report'!AK$19,0))</f>
        <v>0</v>
      </c>
      <c r="AX28" s="1371">
        <f>(IF('Water Report'!$AD$21&gt;0,'Water Report'!AL$21,0))</f>
        <v>0</v>
      </c>
      <c r="AY28" s="1371">
        <f>(IF('Water Report'!$AD$22&gt;0,'Water Report'!AM$22,0))</f>
        <v>0</v>
      </c>
      <c r="AZ28" s="1371">
        <f>(IF('Water Report'!$AD$23&gt;0,'Water Report'!AN$23,0))</f>
        <v>0</v>
      </c>
      <c r="BA28" s="1371">
        <f>(IF('Water Report'!$AD$14&gt;0,'Water Report'!AO$14,0))</f>
        <v>0</v>
      </c>
      <c r="BB28" s="1371">
        <f>(IF('Water Report'!$AD$15&gt;0,'Water Report'!AP$15,0))</f>
        <v>0</v>
      </c>
      <c r="BC28" s="1371">
        <f>(IF('Water Report'!$AD$13&gt;0,'Water Report'!AQ$13,0))</f>
        <v>0</v>
      </c>
      <c r="BD28" s="1371">
        <f>(IF('Water Report'!$AD$24&gt;0,'Water Report'!AR$24,0))</f>
        <v>0</v>
      </c>
      <c r="BE28" s="1371">
        <f>(IF('Water Report'!$AD$25&gt;0,'Water Report'!AS$25,0))</f>
        <v>0</v>
      </c>
      <c r="BF28" s="1371">
        <f>(IF('Water Report'!$AD$27&gt;0,'Water Report'!AT$27,0))</f>
        <v>0</v>
      </c>
      <c r="BG28" s="1297">
        <f>(IF('Section Load'!AN31&gt;0,'Section Load'!AN31,0))</f>
        <v>804</v>
      </c>
      <c r="BH28" s="1297">
        <f>(IF('Section Load'!AO31&gt;0,'Section Load'!AO31,0))</f>
        <v>294</v>
      </c>
      <c r="BI28" s="1297">
        <f>(IF('Section Load'!AP31&gt;0,'Section Load'!AP31,0))</f>
        <v>0</v>
      </c>
      <c r="BJ28" s="1297">
        <f>(IF('Section Load'!AQ31&gt;0,'Section Load'!AQ31,0))</f>
        <v>92</v>
      </c>
      <c r="BK28" s="1297">
        <f>(IF('Section Load'!AR31&gt;0,'Section Load'!AR31,0))</f>
        <v>42</v>
      </c>
      <c r="BL28" s="1297">
        <f>(IF('Section Load'!AS31&gt;0,'Section Load'!AS31,0))</f>
        <v>7</v>
      </c>
      <c r="BM28" s="1297">
        <f>(IF('Section Load'!AT31&gt;0,'Section Load'!AT31,0))</f>
        <v>369</v>
      </c>
    </row>
    <row r="29" spans="1:65">
      <c r="A29" s="1279" t="s">
        <v>300</v>
      </c>
      <c r="B29" s="1280">
        <f t="shared" si="0"/>
        <v>28</v>
      </c>
      <c r="C29" s="1280">
        <v>6</v>
      </c>
      <c r="D29" s="1280">
        <v>2021</v>
      </c>
      <c r="E29" s="1295">
        <f>(IF('Section Load'!F32&gt;0,'Section Load'!F32,0))</f>
        <v>0</v>
      </c>
      <c r="F29" s="1295">
        <f>(IF('Section Load'!G32&gt;0,'Section Load'!G32,0))</f>
        <v>0</v>
      </c>
      <c r="G29" s="1295">
        <f>(IF('Section Load'!H32&gt;0,'Section Load'!H32,0))</f>
        <v>0</v>
      </c>
      <c r="H29" s="1295">
        <f>(IF('Section Load'!I32&gt;0,'Section Load'!I32,0))</f>
        <v>0</v>
      </c>
      <c r="I29" s="1295">
        <f>(IF('Section Load'!J32&gt;0,'Section Load'!J32,0))</f>
        <v>0</v>
      </c>
      <c r="J29" s="1295">
        <f>(IF('Section Load'!K32&gt;0,'Section Load'!K32,0))</f>
        <v>0</v>
      </c>
      <c r="K29" s="1295">
        <f>(IF('Section Load'!L32&gt;0,'Section Load'!L32,0))</f>
        <v>0</v>
      </c>
      <c r="L29" s="1295">
        <f>(IF('Section Load'!M32&gt;0,'Section Load'!M32,0))</f>
        <v>328476</v>
      </c>
      <c r="M29" s="1295">
        <f>(IF('Section Load'!N32&gt;0,'Section Load'!N32,0))</f>
        <v>0</v>
      </c>
      <c r="N29" s="1295">
        <f>(IF('Section Load'!O32&gt;0,'Section Load'!O32,0))</f>
        <v>0</v>
      </c>
      <c r="O29" s="1295">
        <f>(IF('Section Load'!P32&gt;0,'Section Load'!P32,0))</f>
        <v>0</v>
      </c>
      <c r="P29" s="1295">
        <f>(IF('Section Load'!Q32&gt;0,'Section Load'!Q32,0))</f>
        <v>0</v>
      </c>
      <c r="Q29" s="1295">
        <f>(IF('Section Load'!R32&gt;0,'Section Load'!R32,0))</f>
        <v>0</v>
      </c>
      <c r="R29" s="1295">
        <f>(IF('Section Load'!S32&gt;0,'Section Load'!S32,0))</f>
        <v>0</v>
      </c>
      <c r="S29" s="1295">
        <f>(IF('Section Load'!T32&gt;0,'Section Load'!T32,0))</f>
        <v>0</v>
      </c>
      <c r="T29" s="1295">
        <f>(IF('Section Load'!U32&gt;0,'Section Load'!U32,0))</f>
        <v>0</v>
      </c>
      <c r="U29" s="1295">
        <f>(IF('Section Load'!V32&gt;0,'Section Load'!V32,0))</f>
        <v>0</v>
      </c>
      <c r="V29" s="1295">
        <f>(IF('Section Load'!W32&gt;0,'Section Load'!W32,0))</f>
        <v>0</v>
      </c>
      <c r="W29" s="1295">
        <f>(IF('Section Load'!X32&gt;0,'Section Load'!X32,0))</f>
        <v>0</v>
      </c>
      <c r="X29" s="1295">
        <f>(IF('Section Load'!Y32&gt;0,'Section Load'!Y32,0))</f>
        <v>0</v>
      </c>
      <c r="Y29" s="1295">
        <f>(IF('Section Load'!Z32&gt;0,'Section Load'!Z32,0))</f>
        <v>0</v>
      </c>
      <c r="Z29" s="1295">
        <f>(IF('Section Load'!AA32&gt;0,'Section Load'!AA32,0))</f>
        <v>0</v>
      </c>
      <c r="AA29" s="1295">
        <f>(IF('Section Load'!AB32&gt;0,'Section Load'!AB32,0))</f>
        <v>0</v>
      </c>
      <c r="AB29" s="1295">
        <f>(IF('Section Load'!AC32&gt;0,'Section Load'!AC32,0))</f>
        <v>0</v>
      </c>
      <c r="AC29" s="1295">
        <f>(IF('Section Load'!AD32&gt;0,'Section Load'!AD32,0))</f>
        <v>0</v>
      </c>
      <c r="AD29" s="1295">
        <f>(IF('Section Load'!AE32&gt;0,'Section Load'!AE32,0))</f>
        <v>0</v>
      </c>
      <c r="AE29" s="1295">
        <f>(IF('Section Load'!AF32&gt;0,'Section Load'!AF32,0))</f>
        <v>2464</v>
      </c>
      <c r="AF29" s="1295">
        <f>(IF('Section Load'!AG32&gt;0,'Section Load'!AG32,0))</f>
        <v>0</v>
      </c>
      <c r="AG29" s="1295">
        <f>(IF('Section Load'!AH32&gt;0,'Section Load'!AH32,0))</f>
        <v>0</v>
      </c>
      <c r="AH29" s="1295">
        <f>(IF('Section Load'!AI32&gt;0,'Section Load'!AI32,0))</f>
        <v>0</v>
      </c>
      <c r="AI29" s="1295">
        <f>(IF('Section Load'!AJ32&gt;0,'Section Load'!AJ32,0))</f>
        <v>0</v>
      </c>
      <c r="AJ29" s="1295">
        <f>(IF('Section Load'!AK32&gt;0,'Section Load'!AK32,0))</f>
        <v>0</v>
      </c>
      <c r="AK29" s="1295">
        <f>(IF('Section Load'!AL32&gt;0,'Section Load'!AL32,0))</f>
        <v>0</v>
      </c>
      <c r="AL29" s="1295">
        <f>(IF('Section Load'!AM32&gt;0,'Section Load'!AM32,0))</f>
        <v>0</v>
      </c>
      <c r="AM29" s="1296">
        <f>(IF('Water Report'!$AE$7&gt;0,'Water Report'!$AE$7,0))</f>
        <v>0</v>
      </c>
      <c r="AN29" s="1296">
        <f>(IF('Water Report'!$AE$8&gt;0,'Water Report'!$AE$8,0))</f>
        <v>0</v>
      </c>
      <c r="AO29" s="1296">
        <f>(IF('Water Report'!$AE$9&gt;0,'Water Report'!$AE$9,0))</f>
        <v>0</v>
      </c>
      <c r="AP29" s="1296">
        <f>(IF('Water Report'!$AE$10&gt;0,'Water Report'!$AE$10,0))</f>
        <v>0</v>
      </c>
      <c r="AQ29" s="1296">
        <f>(IF('Water Report'!$AE$11&gt;0,'Water Report'!$AE$11,0))</f>
        <v>0</v>
      </c>
      <c r="AR29" s="1296">
        <f>(IF('Water Report'!$AE$13&gt;0,'Water Report'!$AE$13,0))</f>
        <v>0</v>
      </c>
      <c r="AS29" s="1296">
        <f>(IF('Water Report'!$AE$14&gt;0,'Water Report'!$AE$14,0))</f>
        <v>0</v>
      </c>
      <c r="AT29" s="1296">
        <f>(IF('Water Report'!$AE$15&gt;0,'Water Report'!$AE$15,0))</f>
        <v>0</v>
      </c>
      <c r="AU29" s="1296">
        <f>(IF('Water Report'!$AE$17&gt;0,'Water Report'!$AE$17,0))</f>
        <v>0</v>
      </c>
      <c r="AV29" s="1296">
        <f>(IF('Water Report'!$AE$18&gt;0,'Water Report'!$AE$18,0))</f>
        <v>0</v>
      </c>
      <c r="AW29" s="1296">
        <f>(IF('Water Report'!$AE$19&gt;0,'Water Report'!$AE$19,0))</f>
        <v>0</v>
      </c>
      <c r="AX29" s="1371">
        <f>(IF('Water Report'!$AE$21&gt;0,'Water Report'!$AE$21,0))</f>
        <v>0</v>
      </c>
      <c r="AY29" s="1371">
        <f>(IF('Water Report'!$AE$22&gt;0,'Water Report'!$AE$22,0))</f>
        <v>0</v>
      </c>
      <c r="AZ29" s="1371">
        <f>(IF('Water Report'!$AE$23&gt;0,'Water Report'!$AE$23,0))</f>
        <v>0</v>
      </c>
      <c r="BA29" s="1371">
        <f>(IF('Water Report'!$AE$14&gt;0,'Water Report'!$AE$14,0))</f>
        <v>0</v>
      </c>
      <c r="BB29" s="1371">
        <f>(IF('Water Report'!$AE$15&gt;0,'Water Report'!$AE$15,0))</f>
        <v>0</v>
      </c>
      <c r="BC29" s="1371">
        <f>(IF('Water Report'!$AE$13&gt;0,'Water Report'!$AE$13,0))</f>
        <v>0</v>
      </c>
      <c r="BD29" s="1371">
        <f>(IF('Water Report'!$AE$24&gt;0,'Water Report'!$AE$24,0))</f>
        <v>0</v>
      </c>
      <c r="BE29" s="1371">
        <f>(IF('Water Report'!$AE$25&gt;0,'Water Report'!$AE$25,0))</f>
        <v>0</v>
      </c>
      <c r="BF29" s="1371">
        <f>(IF('Water Report'!$AE$27&gt;0,'Water Report'!$AE$27,0))</f>
        <v>0</v>
      </c>
      <c r="BG29" s="1297">
        <f>(IF('Section Load'!AN32&gt;0,'Section Load'!AN32,0))</f>
        <v>550</v>
      </c>
      <c r="BH29" s="1297">
        <f>(IF('Section Load'!AO32&gt;0,'Section Load'!AO32,0))</f>
        <v>0</v>
      </c>
      <c r="BI29" s="1297">
        <f>(IF('Section Load'!AP32&gt;0,'Section Load'!AP32,0))</f>
        <v>0</v>
      </c>
      <c r="BJ29" s="1297">
        <f>(IF('Section Load'!AQ32&gt;0,'Section Load'!AQ32,0))</f>
        <v>0</v>
      </c>
      <c r="BK29" s="1297">
        <f>(IF('Section Load'!AR32&gt;0,'Section Load'!AR32,0))</f>
        <v>0</v>
      </c>
      <c r="BL29" s="1297">
        <f>(IF('Section Load'!AS32&gt;0,'Section Load'!AS32,0))</f>
        <v>0</v>
      </c>
      <c r="BM29" s="1297">
        <f>(IF('Section Load'!AT32&gt;0,'Section Load'!AT32,0))</f>
        <v>10338</v>
      </c>
    </row>
    <row r="30" spans="1:65">
      <c r="A30" s="1279" t="s">
        <v>300</v>
      </c>
      <c r="B30" s="1280">
        <f t="shared" si="0"/>
        <v>29</v>
      </c>
      <c r="C30" s="1280">
        <v>6</v>
      </c>
      <c r="D30" s="1280">
        <v>2021</v>
      </c>
      <c r="E30" s="1295">
        <f>(IF('Section Load'!F33&gt;0,'Section Load'!F33,0))</f>
        <v>2408</v>
      </c>
      <c r="F30" s="1295">
        <f>(IF('Section Load'!G33&gt;0,'Section Load'!G33,0))</f>
        <v>1353.8699999999953</v>
      </c>
      <c r="G30" s="1295">
        <f>(IF('Section Load'!H33&gt;0,'Section Load'!H33,0))</f>
        <v>1218</v>
      </c>
      <c r="H30" s="1295">
        <f>(IF('Section Load'!I33&gt;0,'Section Load'!I33,0))</f>
        <v>2918</v>
      </c>
      <c r="I30" s="1295">
        <f>(IF('Section Load'!J33&gt;0,'Section Load'!J33,0))</f>
        <v>4832</v>
      </c>
      <c r="J30" s="1295">
        <f>(IF('Section Load'!K33&gt;0,'Section Load'!K33,0))</f>
        <v>2325.67</v>
      </c>
      <c r="K30" s="1295">
        <f>(IF('Section Load'!L33&gt;0,'Section Load'!L33,0))</f>
        <v>866</v>
      </c>
      <c r="L30" s="1295">
        <f>(IF('Section Load'!M33&gt;0,'Section Load'!M33,0))</f>
        <v>0</v>
      </c>
      <c r="M30" s="1295">
        <f>(IF('Section Load'!N33&gt;0,'Section Load'!N33,0))</f>
        <v>11</v>
      </c>
      <c r="N30" s="1295">
        <f>(IF('Section Load'!O33&gt;0,'Section Load'!O33,0))</f>
        <v>1</v>
      </c>
      <c r="O30" s="1295">
        <f>(IF('Section Load'!P33&gt;0,'Section Load'!P33,0))</f>
        <v>7</v>
      </c>
      <c r="P30" s="1295">
        <f>(IF('Section Load'!Q33&gt;0,'Section Load'!Q33,0))</f>
        <v>56</v>
      </c>
      <c r="Q30" s="1295">
        <f>(IF('Section Load'!R33&gt;0,'Section Load'!R33,0))</f>
        <v>58</v>
      </c>
      <c r="R30" s="1295">
        <f>(IF('Section Load'!S33&gt;0,'Section Load'!S33,0))</f>
        <v>38</v>
      </c>
      <c r="S30" s="1295">
        <f>(IF('Section Load'!T33&gt;0,'Section Load'!T33,0))</f>
        <v>195</v>
      </c>
      <c r="T30" s="1295">
        <f>(IF('Section Load'!U33&gt;0,'Section Load'!U33,0))</f>
        <v>138</v>
      </c>
      <c r="U30" s="1295">
        <f>(IF('Section Load'!V33&gt;0,'Section Load'!V33,0))</f>
        <v>392</v>
      </c>
      <c r="V30" s="1295">
        <f>(IF('Section Load'!W33&gt;0,'Section Load'!W33,0))</f>
        <v>86</v>
      </c>
      <c r="W30" s="1295">
        <f>(IF('Section Load'!X33&gt;0,'Section Load'!X33,0))</f>
        <v>11</v>
      </c>
      <c r="X30" s="1295">
        <f>(IF('Section Load'!Y33&gt;0,'Section Load'!Y33,0))</f>
        <v>0</v>
      </c>
      <c r="Y30" s="1295">
        <f>(IF('Section Load'!Z33&gt;0,'Section Load'!Z33,0))</f>
        <v>169</v>
      </c>
      <c r="Z30" s="1295">
        <f>(IF('Section Load'!AA33&gt;0,'Section Load'!AA33,0))</f>
        <v>35</v>
      </c>
      <c r="AA30" s="1295">
        <f>(IF('Section Load'!AB33&gt;0,'Section Load'!AB33,0))</f>
        <v>15</v>
      </c>
      <c r="AB30" s="1295">
        <f>(IF('Section Load'!AC33&gt;0,'Section Load'!AC33,0))</f>
        <v>23</v>
      </c>
      <c r="AC30" s="1295">
        <f>(IF('Section Load'!AD33&gt;0,'Section Load'!AD33,0))</f>
        <v>15</v>
      </c>
      <c r="AD30" s="1295">
        <f>(IF('Section Load'!AE33&gt;0,'Section Load'!AE33,0))</f>
        <v>0</v>
      </c>
      <c r="AE30" s="1295">
        <f>(IF('Section Load'!AF33&gt;0,'Section Load'!AF33,0))</f>
        <v>4</v>
      </c>
      <c r="AF30" s="1295">
        <f>(IF('Section Load'!AG33&gt;0,'Section Load'!AG33,0))</f>
        <v>193</v>
      </c>
      <c r="AG30" s="1295">
        <f>(IF('Section Load'!AH33&gt;0,'Section Load'!AH33,0))</f>
        <v>213</v>
      </c>
      <c r="AH30" s="1295">
        <f>(IF('Section Load'!AI33&gt;0,'Section Load'!AI33,0))</f>
        <v>281</v>
      </c>
      <c r="AI30" s="1295">
        <f>(IF('Section Load'!AJ33&gt;0,'Section Load'!AJ33,0))</f>
        <v>539</v>
      </c>
      <c r="AJ30" s="1295">
        <f>(IF('Section Load'!AK33&gt;0,'Section Load'!AK33,0))</f>
        <v>0</v>
      </c>
      <c r="AK30" s="1295">
        <f>(IF('Section Load'!AL33&gt;0,'Section Load'!AL33,0))</f>
        <v>89</v>
      </c>
      <c r="AL30" s="1295">
        <f>(IF('Section Load'!AM33&gt;0,'Section Load'!AM33,0))</f>
        <v>872</v>
      </c>
      <c r="AM30" s="1296">
        <f>(IF('Water Report'!$AF$7&gt;0,'Water Report'!$AF$7,0))</f>
        <v>39</v>
      </c>
      <c r="AN30" s="1296">
        <f>(IF('Water Report'!$AF$8&gt;0,'Water Report'!$AF$8,0))</f>
        <v>68</v>
      </c>
      <c r="AO30" s="1296">
        <f>(IF('Water Report'!$AF$9&gt;0,'Water Report'!$AF$9,0))</f>
        <v>46</v>
      </c>
      <c r="AP30" s="1296">
        <f>(IF('Water Report'!$AF$10&gt;0,'Water Report'!$AF$10,0))</f>
        <v>9</v>
      </c>
      <c r="AQ30" s="1296">
        <f>(IF('Water Report'!$AF$11&gt;0,'Water Report'!$AF$11,0))</f>
        <v>35</v>
      </c>
      <c r="AR30" s="1296">
        <f>(IF('Water Report'!$AF$13&gt;0,'Water Report'!$AF$13,0))</f>
        <v>4</v>
      </c>
      <c r="AS30" s="1296">
        <f>(IF('Water Report'!$AF$14&gt;0,'Water Report'!$AF$14,0))</f>
        <v>7</v>
      </c>
      <c r="AT30" s="1296">
        <f>(IF('Water Report'!$AF$15&gt;0,'Water Report'!$AF$15,0))</f>
        <v>6</v>
      </c>
      <c r="AU30" s="1296">
        <f>(IF('Water Report'!$AF$17&gt;0,'Water Report'!$AF$17,0))</f>
        <v>0</v>
      </c>
      <c r="AV30" s="1296">
        <f>(IF('Water Report'!$AF$18&gt;0,'Water Report'!$AF$18,0))</f>
        <v>0</v>
      </c>
      <c r="AW30" s="1296">
        <f>(IF('Water Report'!$AF$19&gt;0,'Water Report'!$AF$19,0))</f>
        <v>0</v>
      </c>
      <c r="AX30" s="1371">
        <f>(IF('Water Report'!$AF$21&gt;0,'Water Report'!$AF$21,0))</f>
        <v>66</v>
      </c>
      <c r="AY30" s="1371">
        <f>(IF('Water Report'!$AF$22&gt;0,'Water Report'!$AF$22,0))</f>
        <v>18</v>
      </c>
      <c r="AZ30" s="1371">
        <f>(IF('Water Report'!$AF$23&gt;0,'Water Report'!$AF$23,0))</f>
        <v>17</v>
      </c>
      <c r="BA30" s="1371">
        <f>(IF('Water Report'!$AF$14&gt;0,'Water Report'!$AF$14,0))</f>
        <v>7</v>
      </c>
      <c r="BB30" s="1371">
        <f>(IF('Water Report'!$AF$15&gt;0,'Water Report'!$AF$15,0))</f>
        <v>6</v>
      </c>
      <c r="BC30" s="1371">
        <f>(IF('Water Report'!$AF$13&gt;0,'Water Report'!$AF$13,0))</f>
        <v>4</v>
      </c>
      <c r="BD30" s="1371">
        <f>(IF('Water Report'!$AF$24&gt;0,'Water Report'!$AF$24,0))</f>
        <v>117</v>
      </c>
      <c r="BE30" s="1371">
        <f>(IF('Water Report'!$AF$25&gt;0,'Water Report'!$AF$25,0))</f>
        <v>103</v>
      </c>
      <c r="BF30" s="1371">
        <f>(IF('Water Report'!$AF$27&gt;0,'Water Report'!$AF$27,0))</f>
        <v>87</v>
      </c>
      <c r="BG30" s="1297">
        <f>(IF('Section Load'!AN33&gt;0,'Section Load'!AN33,0))</f>
        <v>550</v>
      </c>
      <c r="BH30" s="1297">
        <f>(IF('Section Load'!AO33&gt;0,'Section Load'!AO33,0))</f>
        <v>197</v>
      </c>
      <c r="BI30" s="1297">
        <f>(IF('Section Load'!AP33&gt;0,'Section Load'!AP33,0))</f>
        <v>0</v>
      </c>
      <c r="BJ30" s="1297">
        <f>(IF('Section Load'!AQ33&gt;0,'Section Load'!AQ33,0))</f>
        <v>66</v>
      </c>
      <c r="BK30" s="1297">
        <f>(IF('Section Load'!AR33&gt;0,'Section Load'!AR33,0))</f>
        <v>0</v>
      </c>
      <c r="BL30" s="1297">
        <f>(IF('Section Load'!AS33&gt;0,'Section Load'!AS33,0))</f>
        <v>0</v>
      </c>
      <c r="BM30" s="1297">
        <f>(IF('Section Load'!AT33&gt;0,'Section Load'!AT33,0))</f>
        <v>287.39999999999418</v>
      </c>
    </row>
    <row r="31" spans="1:65">
      <c r="A31" s="1279" t="s">
        <v>300</v>
      </c>
      <c r="B31" s="1280">
        <f t="shared" si="0"/>
        <v>30</v>
      </c>
      <c r="C31" s="1280">
        <v>6</v>
      </c>
      <c r="D31" s="1280">
        <v>2021</v>
      </c>
      <c r="E31" s="1295">
        <f>(IF('Section Load'!F34&gt;0,'Section Load'!F34,0))</f>
        <v>2377</v>
      </c>
      <c r="F31" s="1295">
        <f>(IF('Section Load'!G34&gt;0,'Section Load'!G34,0))</f>
        <v>1302.1300000000047</v>
      </c>
      <c r="G31" s="1295">
        <f>(IF('Section Load'!H34&gt;0,'Section Load'!H34,0))</f>
        <v>1330.9300000000512</v>
      </c>
      <c r="H31" s="1295">
        <f>(IF('Section Load'!I34&gt;0,'Section Load'!I34,0))</f>
        <v>2954</v>
      </c>
      <c r="I31" s="1295">
        <f>(IF('Section Load'!J34&gt;0,'Section Load'!J34,0))</f>
        <v>5573</v>
      </c>
      <c r="J31" s="1295">
        <f>(IF('Section Load'!K34&gt;0,'Section Load'!K34,0))</f>
        <v>2307</v>
      </c>
      <c r="K31" s="1295">
        <f>(IF('Section Load'!L34&gt;0,'Section Load'!L34,0))</f>
        <v>926</v>
      </c>
      <c r="L31" s="1295">
        <f>(IF('Section Load'!M34&gt;0,'Section Load'!M34,0))</f>
        <v>0</v>
      </c>
      <c r="M31" s="1295">
        <f>(IF('Section Load'!N34&gt;0,'Section Load'!N34,0))</f>
        <v>14</v>
      </c>
      <c r="N31" s="1295">
        <f>(IF('Section Load'!O34&gt;0,'Section Load'!O34,0))</f>
        <v>1</v>
      </c>
      <c r="O31" s="1295">
        <f>(IF('Section Load'!P34&gt;0,'Section Load'!P34,0))</f>
        <v>6</v>
      </c>
      <c r="P31" s="1295">
        <f>(IF('Section Load'!Q34&gt;0,'Section Load'!Q34,0))</f>
        <v>54</v>
      </c>
      <c r="Q31" s="1295">
        <f>(IF('Section Load'!R34&gt;0,'Section Load'!R34,0))</f>
        <v>55</v>
      </c>
      <c r="R31" s="1295">
        <f>(IF('Section Load'!S34&gt;0,'Section Load'!S34,0))</f>
        <v>41</v>
      </c>
      <c r="S31" s="1295">
        <f>(IF('Section Load'!T34&gt;0,'Section Load'!T34,0))</f>
        <v>194</v>
      </c>
      <c r="T31" s="1295">
        <f>(IF('Section Load'!U34&gt;0,'Section Load'!U34,0))</f>
        <v>161</v>
      </c>
      <c r="U31" s="1295">
        <f>(IF('Section Load'!V34&gt;0,'Section Load'!V34,0))</f>
        <v>381</v>
      </c>
      <c r="V31" s="1295">
        <f>(IF('Section Load'!W34&gt;0,'Section Load'!W34,0))</f>
        <v>98</v>
      </c>
      <c r="W31" s="1295">
        <f>(IF('Section Load'!X34&gt;0,'Section Load'!X34,0))</f>
        <v>23</v>
      </c>
      <c r="X31" s="1295">
        <f>(IF('Section Load'!Y34&gt;0,'Section Load'!Y34,0))</f>
        <v>91</v>
      </c>
      <c r="Y31" s="1295">
        <f>(IF('Section Load'!Z34&gt;0,'Section Load'!Z34,0))</f>
        <v>224</v>
      </c>
      <c r="Z31" s="1295">
        <f>(IF('Section Load'!AA34&gt;0,'Section Load'!AA34,0))</f>
        <v>36</v>
      </c>
      <c r="AA31" s="1295">
        <f>(IF('Section Load'!AB34&gt;0,'Section Load'!AB34,0))</f>
        <v>12</v>
      </c>
      <c r="AB31" s="1295">
        <f>(IF('Section Load'!AC34&gt;0,'Section Load'!AC34,0))</f>
        <v>24</v>
      </c>
      <c r="AC31" s="1295">
        <f>(IF('Section Load'!AD34&gt;0,'Section Load'!AD34,0))</f>
        <v>12</v>
      </c>
      <c r="AD31" s="1295">
        <f>(IF('Section Load'!AE34&gt;0,'Section Load'!AE34,0))</f>
        <v>0</v>
      </c>
      <c r="AE31" s="1295">
        <f>(IF('Section Load'!AF34&gt;0,'Section Load'!AF34,0))</f>
        <v>4</v>
      </c>
      <c r="AF31" s="1295">
        <f>(IF('Section Load'!AG34&gt;0,'Section Load'!AG34,0))</f>
        <v>192</v>
      </c>
      <c r="AG31" s="1295">
        <f>(IF('Section Load'!AH34&gt;0,'Section Load'!AH34,0))</f>
        <v>216</v>
      </c>
      <c r="AH31" s="1295">
        <f>(IF('Section Load'!AI34&gt;0,'Section Load'!AI34,0))</f>
        <v>301</v>
      </c>
      <c r="AI31" s="1295">
        <f>(IF('Section Load'!AJ34&gt;0,'Section Load'!AJ34,0))</f>
        <v>526</v>
      </c>
      <c r="AJ31" s="1295">
        <f>(IF('Section Load'!AK34&gt;0,'Section Load'!AK34,0))</f>
        <v>0</v>
      </c>
      <c r="AK31" s="1295">
        <f>(IF('Section Load'!AL34&gt;0,'Section Load'!AL34,0))</f>
        <v>138</v>
      </c>
      <c r="AL31" s="1295">
        <f>(IF('Section Load'!AM34&gt;0,'Section Load'!AM34,0))</f>
        <v>802</v>
      </c>
      <c r="AM31" s="1296">
        <f>(IF('Water Report'!$AG$7&gt;0,'Water Report'!$AG$7,0))</f>
        <v>0</v>
      </c>
      <c r="AN31" s="1296">
        <f>(IF('Water Report'!$AG$8&gt;0,'Water Report'!$AG$8,0))</f>
        <v>112</v>
      </c>
      <c r="AO31" s="1296">
        <f>(IF('Water Report'!$AG$9&gt;0,'Water Report'!$AG$9,0))</f>
        <v>38</v>
      </c>
      <c r="AP31" s="1296">
        <f>(IF('Water Report'!$AG$10&gt;0,'Water Report'!$DAG$10,0))</f>
        <v>0</v>
      </c>
      <c r="AQ31" s="1296">
        <f>(IF('Water Report'!$AG$11&gt;0,'Water Report'!$DAG$11,0))</f>
        <v>0</v>
      </c>
      <c r="AR31" s="1296">
        <f>(IF('Water Report'!$AG$13&gt;0,'Water Report'!$DAG$13,0))</f>
        <v>0</v>
      </c>
      <c r="AS31" s="1296">
        <f>(IF('Water Report'!$AG$14&gt;0,'Water Report'!$DAG$14,0))</f>
        <v>0</v>
      </c>
      <c r="AT31" s="1296">
        <f>(IF('Water Report'!$AG$15&gt;0,'Water Report'!$DAG$15,0))</f>
        <v>0</v>
      </c>
      <c r="AU31" s="1296">
        <f>(IF('Water Report'!$AG$17&gt;0,'Water Report'!$DAG$17,0))</f>
        <v>0</v>
      </c>
      <c r="AV31" s="1296">
        <f>(IF('Water Report'!$AG$18&gt;0,'Water Report'!$DAG$18,0))</f>
        <v>0</v>
      </c>
      <c r="AW31" s="1296">
        <f>(IF('Water Report'!$AG$19&gt;0,'Water Report'!$DAG$19,0))</f>
        <v>0</v>
      </c>
      <c r="AX31" s="1371">
        <f>(IF('Water Report'!$AG$21&gt;0,'Water Report'!$DAG$21,0))</f>
        <v>0</v>
      </c>
      <c r="AY31" s="1371">
        <f>(IF('Water Report'!$AG$22&gt;0,'Water Report'!$DAG$22,0))</f>
        <v>0</v>
      </c>
      <c r="AZ31" s="1371">
        <f>(IF('Water Report'!$AG$23&gt;0,'Water Report'!$DAG$23,0))</f>
        <v>0</v>
      </c>
      <c r="BA31" s="1371">
        <f>(IF('Water Report'!$AG$14&gt;0,'Water Report'!$DAG$14,0))</f>
        <v>0</v>
      </c>
      <c r="BB31" s="1371">
        <f>(IF('Water Report'!$AG$15&gt;0,'Water Report'!$DAG$15,0))</f>
        <v>0</v>
      </c>
      <c r="BC31" s="1371">
        <f>(IF('Water Report'!$AG$13&gt;0,'Water Report'!$DAG$13,0))</f>
        <v>0</v>
      </c>
      <c r="BD31" s="1371">
        <f>(IF('Water Report'!$AG$24&gt;0,'Water Report'!$DAG$24,0))</f>
        <v>0</v>
      </c>
      <c r="BE31" s="1371">
        <f>(IF('Water Report'!$AG$25&gt;0,'Water Report'!$DAG$25,0))</f>
        <v>0</v>
      </c>
      <c r="BF31" s="1371">
        <f>(IF('Water Report'!$AG$27&gt;0,'Water Report'!$DAG$27,0))</f>
        <v>0</v>
      </c>
      <c r="BG31" s="1297">
        <f>(IF('Section Load'!AN34&gt;0,'Section Load'!AN34,0))</f>
        <v>550</v>
      </c>
      <c r="BH31" s="1297">
        <f>(IF('Section Load'!AO34&gt;0,'Section Load'!AO34,0))</f>
        <v>217</v>
      </c>
      <c r="BI31" s="1297">
        <f>(IF('Section Load'!AP34&gt;0,'Section Load'!AP34,0))</f>
        <v>0.39999999999417923</v>
      </c>
      <c r="BJ31" s="1297">
        <f>(IF('Section Load'!AQ34&gt;0,'Section Load'!AQ34,0))</f>
        <v>65</v>
      </c>
      <c r="BK31" s="1297">
        <f>(IF('Section Load'!AR34&gt;0,'Section Load'!AR34,0))</f>
        <v>0</v>
      </c>
      <c r="BL31" s="1297">
        <f>(IF('Section Load'!AS34&gt;0,'Section Load'!AS34,0))</f>
        <v>0</v>
      </c>
      <c r="BM31" s="1297">
        <f>(IF('Section Load'!AT34&gt;0,'Section Load'!AT34,0))</f>
        <v>267.60000000000582</v>
      </c>
    </row>
    <row r="32" spans="1:65">
      <c r="A32" s="1279" t="s">
        <v>300</v>
      </c>
      <c r="B32" s="1280">
        <f t="shared" si="0"/>
        <v>31</v>
      </c>
      <c r="C32" s="1280">
        <v>6</v>
      </c>
      <c r="D32" s="1280">
        <v>2021</v>
      </c>
      <c r="E32" s="1295">
        <f>(IF('Section Load'!F35&gt;0,'Section Load'!F35,0))</f>
        <v>2344.8699999999953</v>
      </c>
      <c r="F32" s="1295">
        <f>(IF('Section Load'!G35&gt;0,'Section Load'!G35,0))</f>
        <v>1260</v>
      </c>
      <c r="G32" s="1295">
        <f>(IF('Section Load'!H35&gt;0,'Section Load'!H35,0))</f>
        <v>1249</v>
      </c>
      <c r="H32" s="1295">
        <f>(IF('Section Load'!I35&gt;0,'Section Load'!I35,0))</f>
        <v>2684</v>
      </c>
      <c r="I32" s="1295">
        <f>(IF('Section Load'!J35&gt;0,'Section Load'!J35,0))</f>
        <v>5603</v>
      </c>
      <c r="J32" s="1295">
        <f>(IF('Section Load'!K35&gt;0,'Section Load'!K35,0))</f>
        <v>2277</v>
      </c>
      <c r="K32" s="1295">
        <f>(IF('Section Load'!L35&gt;0,'Section Load'!L35,0))</f>
        <v>884</v>
      </c>
      <c r="L32" s="1295">
        <f>(IF('Section Load'!M35&gt;0,'Section Load'!M35,0))</f>
        <v>173</v>
      </c>
      <c r="M32" s="1295">
        <f>(IF('Section Load'!N35&gt;0,'Section Load'!N35,0))</f>
        <v>12</v>
      </c>
      <c r="N32" s="1295">
        <f>(IF('Section Load'!O35&gt;0,'Section Load'!O35,0))</f>
        <v>1</v>
      </c>
      <c r="O32" s="1295">
        <f>(IF('Section Load'!P35&gt;0,'Section Load'!P35,0))</f>
        <v>7</v>
      </c>
      <c r="P32" s="1295">
        <f>(IF('Section Load'!Q35&gt;0,'Section Load'!Q35,0))</f>
        <v>54</v>
      </c>
      <c r="Q32" s="1295">
        <f>(IF('Section Load'!R35&gt;0,'Section Load'!R35,0))</f>
        <v>56</v>
      </c>
      <c r="R32" s="1295">
        <f>(IF('Section Load'!S35&gt;0,'Section Load'!S35,0))</f>
        <v>48</v>
      </c>
      <c r="S32" s="1295">
        <f>(IF('Section Load'!T35&gt;0,'Section Load'!T35,0))</f>
        <v>78</v>
      </c>
      <c r="T32" s="1295">
        <f>(IF('Section Load'!U35&gt;0,'Section Load'!U35,0))</f>
        <v>158</v>
      </c>
      <c r="U32" s="1295">
        <f>(IF('Section Load'!V35&gt;0,'Section Load'!V35,0))</f>
        <v>359</v>
      </c>
      <c r="V32" s="1295">
        <f>(IF('Section Load'!W35&gt;0,'Section Load'!W35,0))</f>
        <v>89</v>
      </c>
      <c r="W32" s="1295">
        <f>(IF('Section Load'!X35&gt;0,'Section Load'!X35,0))</f>
        <v>12</v>
      </c>
      <c r="X32" s="1295">
        <f>(IF('Section Load'!Y35&gt;0,'Section Load'!Y35,0))</f>
        <v>270</v>
      </c>
      <c r="Y32" s="1295">
        <f>(IF('Section Load'!Z35&gt;0,'Section Load'!Z35,0))</f>
        <v>193</v>
      </c>
      <c r="Z32" s="1295">
        <f>(IF('Section Load'!AA35&gt;0,'Section Load'!AA35,0))</f>
        <v>23</v>
      </c>
      <c r="AA32" s="1295">
        <f>(IF('Section Load'!AB35&gt;0,'Section Load'!AB35,0))</f>
        <v>94</v>
      </c>
      <c r="AB32" s="1295">
        <f>(IF('Section Load'!AC35&gt;0,'Section Load'!AC35,0))</f>
        <v>10.599999999998545</v>
      </c>
      <c r="AC32" s="1295">
        <f>(IF('Section Load'!AD35&gt;0,'Section Load'!AD35,0))</f>
        <v>94</v>
      </c>
      <c r="AD32" s="1295">
        <f>(IF('Section Load'!AE35&gt;0,'Section Load'!AE35,0))</f>
        <v>0</v>
      </c>
      <c r="AE32" s="1295">
        <f>(IF('Section Load'!AF35&gt;0,'Section Load'!AF35,0))</f>
        <v>0</v>
      </c>
      <c r="AF32" s="1295">
        <f>(IF('Section Load'!AG35&gt;0,'Section Load'!AG35,0))</f>
        <v>187</v>
      </c>
      <c r="AG32" s="1295">
        <f>(IF('Section Load'!AH35&gt;0,'Section Load'!AH35,0))</f>
        <v>221</v>
      </c>
      <c r="AH32" s="1295">
        <f>(IF('Section Load'!AI35&gt;0,'Section Load'!AI35,0))</f>
        <v>283</v>
      </c>
      <c r="AI32" s="1295">
        <f>(IF('Section Load'!AJ35&gt;0,'Section Load'!AJ35,0))</f>
        <v>422</v>
      </c>
      <c r="AJ32" s="1295">
        <f>(IF('Section Load'!AK35&gt;0,'Section Load'!AK35,0))</f>
        <v>0</v>
      </c>
      <c r="AK32" s="1295">
        <f>(IF('Section Load'!AL35&gt;0,'Section Load'!AL35,0))</f>
        <v>104</v>
      </c>
      <c r="AL32" s="1295">
        <f>(IF('Section Load'!AM35&gt;0,'Section Load'!AM35,0))</f>
        <v>805</v>
      </c>
      <c r="AM32" s="1296">
        <f>(IF('Water Report'!$AH$7&gt;0,'Water Report'!$AH$7,0))</f>
        <v>110</v>
      </c>
      <c r="AN32" s="1296">
        <f>(IF('Water Report'!$AH$8&gt;0,'Water Report'!$AH$8,0))</f>
        <v>79</v>
      </c>
      <c r="AO32" s="1296">
        <f>(IF('Water Report'!$AH$9&gt;0,'Water Report'!$AH$9,0))</f>
        <v>54</v>
      </c>
      <c r="AP32" s="1296">
        <f>(IF('Water Report'!$AH$10&gt;0,'Water Report'!$DAH$10,0))</f>
        <v>0</v>
      </c>
      <c r="AQ32" s="1296">
        <f>(IF('Water Report'!$AH$11&gt;0,'Water Report'!$DAH$11,0))</f>
        <v>0</v>
      </c>
      <c r="AR32" s="1296">
        <f>(IF('Water Report'!$AH$13&gt;0,'Water Report'!$DAH$13,0))</f>
        <v>0</v>
      </c>
      <c r="AS32" s="1296">
        <f>(IF('Water Report'!$AH$14&gt;0,'Water Report'!$DAH$14,0))</f>
        <v>0</v>
      </c>
      <c r="AT32" s="1296">
        <f>(IF('Water Report'!$AH$15&gt;0,'Water Report'!$DAH$15,0))</f>
        <v>0</v>
      </c>
      <c r="AU32" s="1296">
        <f>(IF('Water Report'!$AH$17&gt;0,'Water Report'!$DAH$17,0))</f>
        <v>0</v>
      </c>
      <c r="AV32" s="1296">
        <f>(IF('Water Report'!$AH$18&gt;0,'Water Report'!$DAH$18,0))</f>
        <v>0</v>
      </c>
      <c r="AW32" s="1296">
        <f>(IF('Water Report'!$AH$19&gt;0,'Water Report'!$DAH$19,0))</f>
        <v>0</v>
      </c>
      <c r="AX32" s="1371">
        <f>(IF('Water Report'!$AH$21&gt;0,'Water Report'!$DAH$21,0))</f>
        <v>0</v>
      </c>
      <c r="AY32" s="1371">
        <f>(IF('Water Report'!$AH$22&gt;0,'Water Report'!$DAH$22,0))</f>
        <v>0</v>
      </c>
      <c r="AZ32" s="1371">
        <f>(IF('Water Report'!$AH$23&gt;0,'Water Report'!$DAH$23,0))</f>
        <v>0</v>
      </c>
      <c r="BA32" s="1371">
        <f>(IF('Water Report'!$AH$14&gt;0,'Water Report'!$DAH$14,0))</f>
        <v>0</v>
      </c>
      <c r="BB32" s="1371">
        <f>(IF('Water Report'!$AH$15&gt;0,'Water Report'!$DAH$15,0))</f>
        <v>0</v>
      </c>
      <c r="BC32" s="1371">
        <f>(IF('Water Report'!$AH$13&gt;0,'Water Report'!$DAH$13,0))</f>
        <v>0</v>
      </c>
      <c r="BD32" s="1371">
        <f>(IF('Water Report'!$AH$24&gt;0,'Water Report'!$DAH$24,0))</f>
        <v>0</v>
      </c>
      <c r="BE32" s="1371">
        <f>(IF('Water Report'!$AH$25&gt;0,'Water Report'!$DAH$25,0))</f>
        <v>0</v>
      </c>
      <c r="BF32" s="1371">
        <f>(IF('Water Report'!$AH$27&gt;0,'Water Report'!$DAH$27,0))</f>
        <v>0</v>
      </c>
      <c r="BG32" s="1297">
        <f>(IF('Section Load'!AN35&gt;0,'Section Load'!AN35,0))</f>
        <v>550</v>
      </c>
      <c r="BH32" s="1297">
        <f>(IF('Section Load'!AO35&gt;0,'Section Load'!AO35,0))</f>
        <v>177</v>
      </c>
      <c r="BI32" s="1297">
        <f>(IF('Section Load'!AP35&gt;0,'Section Load'!AP35,0))</f>
        <v>0</v>
      </c>
      <c r="BJ32" s="1297">
        <f>(IF('Section Load'!AQ35&gt;0,'Section Load'!AQ35,0))</f>
        <v>58</v>
      </c>
      <c r="BK32" s="1297">
        <f>(IF('Section Load'!AR35&gt;0,'Section Load'!AR35,0))</f>
        <v>2</v>
      </c>
      <c r="BL32" s="1297">
        <f>(IF('Section Load'!AS35&gt;0,'Section Load'!AS35,0))</f>
        <v>1</v>
      </c>
      <c r="BM32" s="1297">
        <f>(IF('Section Load'!AT35&gt;0,'Section Load'!AT35,0))</f>
        <v>312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BR41"/>
  <sheetViews>
    <sheetView zoomScale="50" zoomScaleNormal="50" workbookViewId="0">
      <pane xSplit="1" topLeftCell="B1" activePane="topRight" state="frozen"/>
      <selection activeCell="F104" sqref="F104"/>
      <selection pane="topRight" activeCell="I4" sqref="I4:I30"/>
    </sheetView>
  </sheetViews>
  <sheetFormatPr defaultRowHeight="15.75"/>
  <cols>
    <col min="1" max="1" width="6.88671875" customWidth="1"/>
    <col min="2" max="2" width="8.33203125" customWidth="1"/>
    <col min="3" max="3" width="0.109375" customWidth="1"/>
    <col min="4" max="4" width="7" customWidth="1"/>
    <col min="5" max="6" width="6.109375" customWidth="1"/>
    <col min="7" max="7" width="10.21875" customWidth="1"/>
    <col min="8" max="8" width="7.33203125" customWidth="1"/>
    <col min="9" max="9" width="7.5546875" customWidth="1"/>
    <col min="10" max="10" width="6.109375" customWidth="1"/>
    <col min="11" max="11" width="12.21875" style="236" customWidth="1"/>
    <col min="12" max="12" width="6.88671875" style="236" customWidth="1"/>
    <col min="13" max="13" width="7.44140625" customWidth="1"/>
    <col min="14" max="14" width="6.109375" customWidth="1"/>
    <col min="15" max="15" width="8.6640625" style="236" customWidth="1"/>
    <col min="16" max="16" width="7.21875" customWidth="1"/>
    <col min="17" max="17" width="6.109375" customWidth="1"/>
    <col min="18" max="18" width="8.5546875" style="236" customWidth="1"/>
    <col min="19" max="19" width="11.5546875" style="236" customWidth="1"/>
    <col min="20" max="21" width="6.109375" customWidth="1"/>
    <col min="22" max="22" width="10.5546875" style="236" customWidth="1"/>
    <col min="23" max="23" width="7.77734375" style="37" customWidth="1"/>
    <col min="24" max="24" width="7" style="37" customWidth="1"/>
    <col min="25" max="25" width="7.44140625" style="37" customWidth="1"/>
    <col min="26" max="26" width="8.33203125" style="37" customWidth="1"/>
    <col min="27" max="30" width="6" customWidth="1"/>
    <col min="32" max="32" width="9.88671875" customWidth="1"/>
    <col min="33" max="33" width="9.21875" customWidth="1"/>
    <col min="34" max="34" width="5.88671875" customWidth="1"/>
    <col min="35" max="35" width="6.33203125" customWidth="1"/>
    <col min="36" max="36" width="5.5546875" customWidth="1"/>
    <col min="38" max="38" width="5.77734375" customWidth="1"/>
    <col min="39" max="39" width="5.44140625" customWidth="1"/>
    <col min="40" max="40" width="5.109375" customWidth="1"/>
    <col min="41" max="41" width="7" bestFit="1" customWidth="1"/>
    <col min="42" max="42" width="8" customWidth="1"/>
    <col min="43" max="43" width="7.5546875" bestFit="1" customWidth="1"/>
    <col min="44" max="44" width="6.109375" bestFit="1" customWidth="1"/>
    <col min="45" max="46" width="7.5546875" bestFit="1" customWidth="1"/>
    <col min="47" max="47" width="7.88671875" bestFit="1" customWidth="1"/>
    <col min="48" max="48" width="6.109375" bestFit="1" customWidth="1"/>
    <col min="49" max="49" width="7" bestFit="1" customWidth="1"/>
    <col min="50" max="50" width="8.21875" bestFit="1" customWidth="1"/>
    <col min="51" max="52" width="7.109375" customWidth="1"/>
    <col min="53" max="53" width="8" customWidth="1"/>
    <col min="54" max="57" width="6.6640625" customWidth="1"/>
    <col min="58" max="58" width="8.44140625" customWidth="1"/>
    <col min="59" max="59" width="7.6640625" customWidth="1"/>
    <col min="60" max="61" width="6.6640625" customWidth="1"/>
    <col min="62" max="62" width="7.44140625" customWidth="1"/>
    <col min="63" max="63" width="6.6640625" customWidth="1"/>
    <col min="64" max="66" width="8.77734375" customWidth="1"/>
    <col min="67" max="67" width="12.5546875" customWidth="1"/>
  </cols>
  <sheetData>
    <row r="1" spans="1:70" ht="21" thickBot="1">
      <c r="A1" s="1509"/>
      <c r="B1" s="1509"/>
      <c r="C1" s="1509"/>
      <c r="D1" s="1509"/>
      <c r="E1" s="1509"/>
      <c r="F1" s="1509"/>
      <c r="G1" s="1509"/>
      <c r="H1" s="1509"/>
      <c r="I1" s="1509"/>
      <c r="J1" s="1509"/>
      <c r="K1" s="1509"/>
      <c r="L1" s="1509"/>
      <c r="M1" s="1509"/>
      <c r="N1" s="1509"/>
      <c r="O1" s="1509"/>
      <c r="P1" s="1509"/>
      <c r="Q1" s="1509"/>
      <c r="R1" s="1509"/>
      <c r="S1" s="1509"/>
      <c r="T1" s="1509"/>
      <c r="U1" s="1509"/>
      <c r="V1" s="1509"/>
      <c r="W1" s="1509"/>
      <c r="X1" s="1509"/>
      <c r="Y1" s="1509"/>
      <c r="Z1" s="1509"/>
      <c r="AA1" s="1509"/>
      <c r="AB1" s="1509"/>
      <c r="AC1" s="1509"/>
      <c r="AD1" s="1509"/>
      <c r="AE1" s="1509"/>
      <c r="AF1" s="1509"/>
      <c r="AG1" s="1509"/>
      <c r="AH1" s="1509"/>
      <c r="AI1" s="1509"/>
      <c r="AJ1" s="1509"/>
      <c r="AK1" s="1509"/>
      <c r="AL1" s="1509"/>
      <c r="AM1" s="1509"/>
      <c r="AN1" s="1509"/>
      <c r="AO1" s="1509"/>
      <c r="AP1" s="1509"/>
      <c r="AQ1" s="1509"/>
      <c r="AR1" s="1509"/>
      <c r="AS1" s="1509"/>
      <c r="AT1" s="1509"/>
      <c r="AU1" s="1509"/>
      <c r="AV1" s="1509"/>
      <c r="AW1" s="1509"/>
      <c r="AX1" s="1509"/>
      <c r="AY1" s="1509"/>
      <c r="AZ1" s="1509"/>
      <c r="BA1" s="1509"/>
      <c r="BB1" s="1509"/>
      <c r="BC1" s="1509"/>
      <c r="BD1" s="1509"/>
      <c r="BE1" s="1509"/>
      <c r="BF1" s="1509"/>
      <c r="BG1" s="1509"/>
      <c r="BH1" s="1509"/>
      <c r="BI1" s="1509"/>
      <c r="BJ1" s="1509"/>
      <c r="BK1" s="1509"/>
      <c r="BL1" s="1509"/>
      <c r="BM1" s="1509"/>
      <c r="BN1" s="1509"/>
      <c r="BO1" s="1509"/>
    </row>
    <row r="2" spans="1:70" ht="28.5" customHeight="1">
      <c r="A2" s="1" t="s">
        <v>0</v>
      </c>
      <c r="B2" s="1" t="s">
        <v>0</v>
      </c>
      <c r="C2" s="1115" t="s">
        <v>1</v>
      </c>
      <c r="D2" s="2" t="s">
        <v>2</v>
      </c>
      <c r="E2" s="3" t="s">
        <v>3</v>
      </c>
      <c r="F2" s="437" t="s">
        <v>4</v>
      </c>
      <c r="G2" s="437" t="s">
        <v>5</v>
      </c>
      <c r="H2" s="437"/>
      <c r="I2" s="1510" t="s">
        <v>6</v>
      </c>
      <c r="J2" s="1510"/>
      <c r="K2" s="1510"/>
      <c r="L2" s="237"/>
      <c r="M2" s="1511" t="s">
        <v>7</v>
      </c>
      <c r="N2" s="1511"/>
      <c r="O2" s="1511"/>
      <c r="P2" s="1512" t="s">
        <v>8</v>
      </c>
      <c r="Q2" s="1512"/>
      <c r="R2" s="1512"/>
      <c r="S2" s="237" t="s">
        <v>9</v>
      </c>
      <c r="T2" s="1513" t="s">
        <v>10</v>
      </c>
      <c r="U2" s="1513"/>
      <c r="V2" s="1513"/>
      <c r="W2" s="1514" t="s">
        <v>11</v>
      </c>
      <c r="X2" s="1515"/>
      <c r="Y2" s="1516"/>
      <c r="Z2" s="1114"/>
      <c r="AA2" s="1517" t="s">
        <v>12</v>
      </c>
      <c r="AB2" s="1517"/>
      <c r="AC2" s="1517"/>
      <c r="AD2" s="1517"/>
      <c r="AE2" s="1115"/>
      <c r="AF2" s="1115" t="s">
        <v>13</v>
      </c>
      <c r="AG2" s="1115" t="s">
        <v>14</v>
      </c>
      <c r="AH2" s="1517" t="s">
        <v>15</v>
      </c>
      <c r="AI2" s="1517"/>
      <c r="AJ2" s="1517"/>
      <c r="AK2" s="1115" t="s">
        <v>16</v>
      </c>
      <c r="AL2" s="1517" t="s">
        <v>17</v>
      </c>
      <c r="AM2" s="1517"/>
      <c r="AN2" s="1517"/>
      <c r="AO2" s="1115" t="s">
        <v>18</v>
      </c>
      <c r="AP2" s="5" t="s">
        <v>19</v>
      </c>
      <c r="AQ2" s="1518" t="s">
        <v>20</v>
      </c>
      <c r="AR2" s="1519"/>
      <c r="AS2" s="1519"/>
      <c r="AT2" s="1519"/>
      <c r="AU2" s="1519"/>
      <c r="AV2" s="1519"/>
      <c r="AW2" s="1519"/>
      <c r="AX2" s="1519"/>
      <c r="AY2" s="1519"/>
      <c r="AZ2" s="1520"/>
      <c r="BA2" s="1518" t="s">
        <v>21</v>
      </c>
      <c r="BB2" s="1519"/>
      <c r="BC2" s="1519"/>
      <c r="BD2" s="1519"/>
      <c r="BE2" s="1519"/>
      <c r="BF2" s="1519"/>
      <c r="BG2" s="1519"/>
      <c r="BH2" s="1519"/>
      <c r="BI2" s="1519"/>
      <c r="BJ2" s="438"/>
      <c r="BK2" s="420"/>
      <c r="BL2" s="232"/>
      <c r="BM2" s="232"/>
      <c r="BN2" s="232"/>
      <c r="BO2" s="1115" t="s">
        <v>22</v>
      </c>
      <c r="BQ2" t="s">
        <v>23</v>
      </c>
    </row>
    <row r="3" spans="1:70" s="15" customFormat="1" ht="45">
      <c r="A3" s="6"/>
      <c r="B3" s="1"/>
      <c r="C3" s="7"/>
      <c r="D3" s="8"/>
      <c r="E3" s="9"/>
      <c r="F3" s="10" t="s">
        <v>24</v>
      </c>
      <c r="G3" s="10"/>
      <c r="H3" s="10" t="s">
        <v>378</v>
      </c>
      <c r="I3" s="11" t="s">
        <v>377</v>
      </c>
      <c r="J3" s="11" t="s">
        <v>26</v>
      </c>
      <c r="K3" s="233" t="s">
        <v>27</v>
      </c>
      <c r="L3" s="233" t="s">
        <v>28</v>
      </c>
      <c r="M3" s="11" t="s">
        <v>29</v>
      </c>
      <c r="N3" s="11" t="s">
        <v>26</v>
      </c>
      <c r="O3" s="233" t="s">
        <v>27</v>
      </c>
      <c r="P3" s="11" t="s">
        <v>30</v>
      </c>
      <c r="Q3" s="11" t="s">
        <v>26</v>
      </c>
      <c r="R3" s="233" t="s">
        <v>27</v>
      </c>
      <c r="S3" s="233"/>
      <c r="T3" s="7" t="s">
        <v>31</v>
      </c>
      <c r="U3" s="7" t="s">
        <v>26</v>
      </c>
      <c r="V3" s="233" t="s">
        <v>27</v>
      </c>
      <c r="W3" s="11" t="s">
        <v>32</v>
      </c>
      <c r="X3" s="11" t="s">
        <v>33</v>
      </c>
      <c r="Y3" s="11" t="s">
        <v>34</v>
      </c>
      <c r="Z3" s="11"/>
      <c r="AA3" s="12" t="s">
        <v>35</v>
      </c>
      <c r="AB3" s="12" t="s">
        <v>36</v>
      </c>
      <c r="AC3" s="12" t="s">
        <v>37</v>
      </c>
      <c r="AD3" s="12" t="s">
        <v>38</v>
      </c>
      <c r="AE3" s="12" t="s">
        <v>39</v>
      </c>
      <c r="AF3" s="12"/>
      <c r="AG3" s="12"/>
      <c r="AH3" s="12" t="s">
        <v>40</v>
      </c>
      <c r="AI3" s="12" t="s">
        <v>41</v>
      </c>
      <c r="AJ3" s="12" t="s">
        <v>42</v>
      </c>
      <c r="AK3" s="12"/>
      <c r="AL3" s="12" t="s">
        <v>43</v>
      </c>
      <c r="AM3" s="12" t="s">
        <v>44</v>
      </c>
      <c r="AN3" s="12"/>
      <c r="AO3" s="12"/>
      <c r="AP3" s="257"/>
      <c r="AQ3" s="259" t="s">
        <v>45</v>
      </c>
      <c r="AR3" s="13" t="s">
        <v>46</v>
      </c>
      <c r="AS3" s="13" t="s">
        <v>47</v>
      </c>
      <c r="AT3" s="13" t="s">
        <v>48</v>
      </c>
      <c r="AU3" s="13" t="s">
        <v>49</v>
      </c>
      <c r="AV3" s="13" t="s">
        <v>50</v>
      </c>
      <c r="AW3" s="13" t="s">
        <v>51</v>
      </c>
      <c r="AX3" s="13" t="s">
        <v>52</v>
      </c>
      <c r="AY3" s="13" t="s">
        <v>53</v>
      </c>
      <c r="AZ3" s="260" t="s">
        <v>54</v>
      </c>
      <c r="BA3" s="259" t="s">
        <v>55</v>
      </c>
      <c r="BB3" s="13" t="s">
        <v>56</v>
      </c>
      <c r="BC3" s="13" t="s">
        <v>47</v>
      </c>
      <c r="BD3" s="13" t="s">
        <v>57</v>
      </c>
      <c r="BE3" s="13" t="s">
        <v>58</v>
      </c>
      <c r="BF3" s="14" t="s">
        <v>59</v>
      </c>
      <c r="BG3" s="14" t="s">
        <v>60</v>
      </c>
      <c r="BH3" s="14" t="s">
        <v>52</v>
      </c>
      <c r="BI3" s="419" t="s">
        <v>61</v>
      </c>
      <c r="BJ3" s="419"/>
      <c r="BK3" s="14" t="s">
        <v>62</v>
      </c>
      <c r="BL3" s="14" t="s">
        <v>63</v>
      </c>
      <c r="BM3" s="14" t="s">
        <v>64</v>
      </c>
      <c r="BN3" s="14" t="s">
        <v>65</v>
      </c>
      <c r="BO3" s="12"/>
      <c r="BP3" s="15" t="s">
        <v>66</v>
      </c>
    </row>
    <row r="4" spans="1:70">
      <c r="A4" s="16">
        <v>1</v>
      </c>
      <c r="B4" s="17">
        <v>1</v>
      </c>
      <c r="C4" s="18"/>
      <c r="D4" s="19">
        <f>'1'!D3</f>
        <v>30</v>
      </c>
      <c r="E4" s="256">
        <f>'1'!D4</f>
        <v>0.8</v>
      </c>
      <c r="F4" s="256">
        <f>'1'!D2</f>
        <v>0.73</v>
      </c>
      <c r="G4" s="19">
        <f>'1'!G8</f>
        <v>16655</v>
      </c>
      <c r="H4" s="19">
        <f>'1'!G7</f>
        <v>16562</v>
      </c>
      <c r="I4" s="19">
        <f>'1'!G8</f>
        <v>16655</v>
      </c>
      <c r="J4" s="19">
        <f>'1'!F27</f>
        <v>9</v>
      </c>
      <c r="K4" s="242">
        <f>H4*J4</f>
        <v>149058</v>
      </c>
      <c r="L4" s="238">
        <f>I4/202</f>
        <v>82.450495049504951</v>
      </c>
      <c r="M4" s="19">
        <f>'1'!G15</f>
        <v>267</v>
      </c>
      <c r="N4" s="19">
        <v>35</v>
      </c>
      <c r="O4" s="238">
        <f>M4*N4</f>
        <v>9345</v>
      </c>
      <c r="P4" s="19">
        <f>'1'!G20</f>
        <v>80</v>
      </c>
      <c r="Q4" s="19">
        <v>134</v>
      </c>
      <c r="R4" s="239">
        <f t="shared" ref="R4:R33" si="0">P4*Q4</f>
        <v>10720</v>
      </c>
      <c r="S4" s="240">
        <f t="shared" ref="S4:S33" si="1">P4/(F4*202/100)</f>
        <v>54.252000542520001</v>
      </c>
      <c r="T4" s="19">
        <f>'1'!G24</f>
        <v>120</v>
      </c>
      <c r="U4" s="19">
        <v>69</v>
      </c>
      <c r="V4" s="241">
        <f>T4*U4</f>
        <v>8280</v>
      </c>
      <c r="W4" s="22">
        <f>'1'!G96</f>
        <v>40</v>
      </c>
      <c r="X4" s="22">
        <f>'1'!G97</f>
        <v>13</v>
      </c>
      <c r="Y4" s="22">
        <f>'1'!G98</f>
        <v>15</v>
      </c>
      <c r="Z4" s="22">
        <f>W4+X4+Y4</f>
        <v>68</v>
      </c>
      <c r="AA4" s="19">
        <f>'1'!G133</f>
        <v>0</v>
      </c>
      <c r="AB4" s="19">
        <f>'1'!G134</f>
        <v>0</v>
      </c>
      <c r="AC4" s="19">
        <f>'1'!G135</f>
        <v>0</v>
      </c>
      <c r="AD4" s="19">
        <f>'1'!G136</f>
        <v>24</v>
      </c>
      <c r="AE4" s="19">
        <f>AA4+AB4+AC4+AD4</f>
        <v>24</v>
      </c>
      <c r="AF4" s="23">
        <f t="shared" ref="AF4:AF33" si="2">AV4+AW4+BF4+BG4</f>
        <v>5306.5100000000093</v>
      </c>
      <c r="AG4" s="23">
        <f>AF4/AE4</f>
        <v>221.10458333333372</v>
      </c>
      <c r="AH4" s="19">
        <f>'1'!G137</f>
        <v>0</v>
      </c>
      <c r="AI4" s="19">
        <f>'1'!G138</f>
        <v>0</v>
      </c>
      <c r="AJ4" s="19">
        <f>'1'!G139</f>
        <v>0</v>
      </c>
      <c r="AK4" s="19">
        <f>AH4+AI4+AJ4</f>
        <v>0</v>
      </c>
      <c r="AL4" s="19">
        <f>'1'!G140</f>
        <v>6.8199999999999363</v>
      </c>
      <c r="AM4" s="19">
        <f>'1'!G141</f>
        <v>0</v>
      </c>
      <c r="AN4" s="19"/>
      <c r="AO4" s="19">
        <f>AL4+AM4</f>
        <v>6.8199999999999363</v>
      </c>
      <c r="AP4" s="258">
        <f>'1'!G124</f>
        <v>175</v>
      </c>
      <c r="AQ4" s="261">
        <f>'1'!G35</f>
        <v>2344</v>
      </c>
      <c r="AR4" s="19">
        <f>'1'!G37</f>
        <v>1278</v>
      </c>
      <c r="AS4" s="19">
        <f>'1'!G38</f>
        <v>1170</v>
      </c>
      <c r="AT4" s="19">
        <f>'1'!G39</f>
        <v>2002</v>
      </c>
      <c r="AU4" s="19">
        <f>'1'!G40</f>
        <v>0</v>
      </c>
      <c r="AV4" s="19">
        <f>'1'!G41</f>
        <v>0</v>
      </c>
      <c r="AW4" s="19">
        <f>'1'!G42</f>
        <v>0</v>
      </c>
      <c r="AX4" s="19">
        <f>'1'!G43</f>
        <v>2272</v>
      </c>
      <c r="AY4" s="19">
        <f>'1'!G44</f>
        <v>0</v>
      </c>
      <c r="AZ4" s="262">
        <f>'1'!G36</f>
        <v>446</v>
      </c>
      <c r="BA4" s="261">
        <f>'1'!G49</f>
        <v>0</v>
      </c>
      <c r="BB4" s="19">
        <f>'1'!G51</f>
        <v>0</v>
      </c>
      <c r="BC4" s="19">
        <f>'1'!G52</f>
        <v>0</v>
      </c>
      <c r="BD4" s="19">
        <f>'1'!G53</f>
        <v>544</v>
      </c>
      <c r="BE4" s="19">
        <f>'1'!G54</f>
        <v>90</v>
      </c>
      <c r="BF4" s="19">
        <f>'1'!G55</f>
        <v>0</v>
      </c>
      <c r="BG4" s="19">
        <f>'1'!G56</f>
        <v>5306.5100000000093</v>
      </c>
      <c r="BH4" s="19">
        <f>'1'!G57</f>
        <v>0</v>
      </c>
      <c r="BI4" s="262">
        <f>'1'!G50</f>
        <v>814</v>
      </c>
      <c r="BJ4" s="370">
        <f>SUM(AV4,AW4,BF4,BG4)</f>
        <v>5306.5100000000093</v>
      </c>
      <c r="BK4" s="370">
        <f>'1'!G84</f>
        <v>827</v>
      </c>
      <c r="BL4" s="23">
        <f>SUM(AQ4,AV4,AW4,AX4,BA4,BF4,BG4,BH4)/I4%</f>
        <v>59.576763734614282</v>
      </c>
      <c r="BM4" s="23">
        <f>SUM(AT4,BD4)/I4%</f>
        <v>15.286700690483338</v>
      </c>
      <c r="BN4" s="24">
        <f>(AS4+BC4)/I4</f>
        <v>7.0249174422095467E-2</v>
      </c>
      <c r="BO4" s="25">
        <f>K4+O4+R4+V4</f>
        <v>177403</v>
      </c>
      <c r="BP4" s="213">
        <f>SUM(AV4,AW4,AX4,BF4,BG4,BH4,BK4)</f>
        <v>8405.5100000000093</v>
      </c>
      <c r="BQ4">
        <f>BP4/(AE4*280)</f>
        <v>1.2508199404761919</v>
      </c>
      <c r="BR4" s="213">
        <f>SUM(AV4,AW4,BF4,BG4)/(AE4*400)</f>
        <v>0.55276145833333434</v>
      </c>
    </row>
    <row r="5" spans="1:70">
      <c r="A5" s="16">
        <v>2</v>
      </c>
      <c r="B5" s="26">
        <v>2</v>
      </c>
      <c r="C5" s="26"/>
      <c r="D5" s="19">
        <f>'2'!D3</f>
        <v>30</v>
      </c>
      <c r="E5" s="256">
        <f>'2'!D4</f>
        <v>0.8</v>
      </c>
      <c r="F5" s="256">
        <f>'2'!D2</f>
        <v>0.6</v>
      </c>
      <c r="G5" s="19">
        <f>'2'!G8</f>
        <v>16620.270000000019</v>
      </c>
      <c r="H5" s="19">
        <f>'2'!G7</f>
        <v>16547.630000000005</v>
      </c>
      <c r="I5" s="19">
        <f>'2'!G8</f>
        <v>16620.270000000019</v>
      </c>
      <c r="J5" s="19">
        <v>10</v>
      </c>
      <c r="K5" s="242">
        <f t="shared" ref="K5:K33" si="3">H5*J5</f>
        <v>165476.30000000005</v>
      </c>
      <c r="L5" s="238">
        <f t="shared" ref="L5:L33" si="4">I5/202</f>
        <v>82.278564356435737</v>
      </c>
      <c r="M5" s="19">
        <f>'2'!G15</f>
        <v>436.69999999995343</v>
      </c>
      <c r="N5" s="19">
        <v>35</v>
      </c>
      <c r="O5" s="238">
        <f t="shared" ref="O5:O33" si="5">M5*N5</f>
        <v>15284.49999999837</v>
      </c>
      <c r="P5" s="19">
        <f>'2'!G20</f>
        <v>112</v>
      </c>
      <c r="Q5" s="19">
        <v>134</v>
      </c>
      <c r="R5" s="239">
        <f t="shared" si="0"/>
        <v>15008</v>
      </c>
      <c r="S5" s="240">
        <f t="shared" si="1"/>
        <v>92.409240924092416</v>
      </c>
      <c r="T5" s="19">
        <f>'2'!G24</f>
        <v>0</v>
      </c>
      <c r="U5" s="19">
        <v>69</v>
      </c>
      <c r="V5" s="241">
        <f t="shared" ref="V5:V33" si="6">T5*U5</f>
        <v>0</v>
      </c>
      <c r="W5" s="22">
        <f>'2'!G96</f>
        <v>36</v>
      </c>
      <c r="X5" s="22">
        <f>'2'!G97</f>
        <v>9</v>
      </c>
      <c r="Y5" s="22">
        <f>'2'!G98</f>
        <v>10</v>
      </c>
      <c r="Z5" s="22">
        <f t="shared" ref="Z5:Z33" si="7">W5+X5+Y5</f>
        <v>55</v>
      </c>
      <c r="AA5" s="19">
        <f>'2'!G133</f>
        <v>0</v>
      </c>
      <c r="AB5" s="19">
        <f>'2'!G134</f>
        <v>0</v>
      </c>
      <c r="AC5" s="19">
        <f>'2'!G135</f>
        <v>0</v>
      </c>
      <c r="AD5" s="19">
        <f>'2'!G136</f>
        <v>24</v>
      </c>
      <c r="AE5" s="19">
        <f t="shared" ref="AE5:AE33" si="8">AA5+AB5+AC5+AD5</f>
        <v>24</v>
      </c>
      <c r="AF5" s="23">
        <f t="shared" si="2"/>
        <v>4924.3699999999371</v>
      </c>
      <c r="AG5" s="23">
        <f t="shared" ref="AG5:AG33" si="9">AF5/AE5</f>
        <v>205.18208333333072</v>
      </c>
      <c r="AH5" s="19">
        <f>'2'!G137</f>
        <v>3.9999999997235136E-2</v>
      </c>
      <c r="AI5" s="19">
        <f>'2'!G138</f>
        <v>0</v>
      </c>
      <c r="AJ5" s="19">
        <f>'2'!G139</f>
        <v>10.149999999994179</v>
      </c>
      <c r="AK5" s="19">
        <f t="shared" ref="AK5:AK33" si="10">AH5+AI5+AJ5</f>
        <v>10.189999999991414</v>
      </c>
      <c r="AL5" s="19">
        <f>'2'!G140</f>
        <v>6.5500000000001819</v>
      </c>
      <c r="AM5" s="19">
        <f>'2'!G141</f>
        <v>-2.9999999999745341E-2</v>
      </c>
      <c r="AN5" s="19"/>
      <c r="AO5" s="19">
        <f t="shared" ref="AO5:AO33" si="11">AL5+AM5</f>
        <v>6.5200000000004366</v>
      </c>
      <c r="AP5" s="258">
        <f>'2'!G124</f>
        <v>170.84999999997672</v>
      </c>
      <c r="AQ5" s="261">
        <f>'2'!G35</f>
        <v>2407.9899999999907</v>
      </c>
      <c r="AR5" s="19">
        <f>'2'!G37</f>
        <v>1249.7000000000116</v>
      </c>
      <c r="AS5" s="19">
        <f>'2'!G38</f>
        <v>1246.6900000000023</v>
      </c>
      <c r="AT5" s="19">
        <f>'2'!G39</f>
        <v>2002.25</v>
      </c>
      <c r="AU5" s="19">
        <f>'2'!G40</f>
        <v>-9.9999999999909051E-3</v>
      </c>
      <c r="AV5" s="19">
        <f>'2'!G41</f>
        <v>0.13000000000465661</v>
      </c>
      <c r="AW5" s="19">
        <f>'2'!G42</f>
        <v>0</v>
      </c>
      <c r="AX5" s="19">
        <f>'2'!G43</f>
        <v>2270.4000000000233</v>
      </c>
      <c r="AY5" s="19">
        <f>'2'!G44</f>
        <v>0</v>
      </c>
      <c r="AZ5" s="262">
        <f>'2'!G36</f>
        <v>488.12300000000005</v>
      </c>
      <c r="BA5" s="261">
        <f>'2'!G49</f>
        <v>0.13000000000465661</v>
      </c>
      <c r="BB5" s="19">
        <f>'2'!G51</f>
        <v>-0.13000000000465661</v>
      </c>
      <c r="BC5" s="19">
        <f>'2'!G52</f>
        <v>0</v>
      </c>
      <c r="BD5" s="19">
        <f>'2'!G53</f>
        <v>514.30999999999767</v>
      </c>
      <c r="BE5" s="19">
        <f>'2'!G54</f>
        <v>83.829999999999927</v>
      </c>
      <c r="BF5" s="19">
        <f>'2'!G55</f>
        <v>-0.32000000000698492</v>
      </c>
      <c r="BG5" s="19">
        <f>'2'!G56</f>
        <v>4924.5599999999395</v>
      </c>
      <c r="BH5" s="19">
        <f>'2'!G57</f>
        <v>0</v>
      </c>
      <c r="BI5" s="262">
        <f>'2'!G50</f>
        <v>854.71000000002095</v>
      </c>
      <c r="BJ5" s="370">
        <f t="shared" ref="BJ5:BJ32" si="12">SUM(AV5,AW5,BF5,BG5)</f>
        <v>4924.3699999999371</v>
      </c>
      <c r="BK5" s="370">
        <f>'2'!G84</f>
        <v>821</v>
      </c>
      <c r="BL5" s="23">
        <f t="shared" ref="BL5:BL33" si="13">SUM(AQ5,AV5,AW5,AX5,BA5,BF5,BG5,BH5)/I5%</f>
        <v>57.778182905572201</v>
      </c>
      <c r="BM5" s="23">
        <f t="shared" ref="BM5:BM33" si="14">SUM(AT5,BD5)/I5%</f>
        <v>15.14151093814959</v>
      </c>
      <c r="BN5" s="24">
        <f t="shared" ref="BN5:BN33" si="15">(AS5+BC5)/I5</f>
        <v>7.5010213432152487E-2</v>
      </c>
      <c r="BO5" s="25">
        <f t="shared" ref="BO5:BO33" si="16">K5+O5+R5+V5</f>
        <v>195768.79999999842</v>
      </c>
      <c r="BP5" s="213">
        <f t="shared" ref="BP5:BP35" si="17">SUM(AV5,AW5,AX5,BF5,BG5,BH5,BK5)</f>
        <v>8015.7699999999604</v>
      </c>
      <c r="BQ5">
        <f t="shared" ref="BQ5:BQ35" si="18">BP5/(AE5*280)</f>
        <v>1.1928229166666608</v>
      </c>
    </row>
    <row r="6" spans="1:70">
      <c r="A6" s="16">
        <v>3</v>
      </c>
      <c r="B6" s="26">
        <v>3</v>
      </c>
      <c r="C6" s="26"/>
      <c r="D6" s="19">
        <f>'3'!D3</f>
        <v>29</v>
      </c>
      <c r="E6" s="256">
        <f>'3'!D4</f>
        <v>0.78</v>
      </c>
      <c r="F6" s="256">
        <f>'3'!D2</f>
        <v>0.56999999999999995</v>
      </c>
      <c r="G6" s="19">
        <f>'3'!G8</f>
        <v>16135.809999999998</v>
      </c>
      <c r="H6" s="19">
        <f>'3'!G7</f>
        <v>16075.239999999991</v>
      </c>
      <c r="I6" s="19">
        <f>'3'!G8</f>
        <v>16135.809999999998</v>
      </c>
      <c r="J6" s="19">
        <v>10</v>
      </c>
      <c r="K6" s="242">
        <f t="shared" si="3"/>
        <v>160752.39999999991</v>
      </c>
      <c r="L6" s="238">
        <f t="shared" si="4"/>
        <v>79.880247524752463</v>
      </c>
      <c r="M6" s="19">
        <f>'3'!G15</f>
        <v>615.80400000000373</v>
      </c>
      <c r="N6" s="19">
        <v>35</v>
      </c>
      <c r="O6" s="238">
        <f t="shared" si="5"/>
        <v>21553.14000000013</v>
      </c>
      <c r="P6" s="19">
        <f>'3'!G20</f>
        <v>143</v>
      </c>
      <c r="Q6" s="19">
        <v>134</v>
      </c>
      <c r="R6" s="239">
        <f t="shared" si="0"/>
        <v>19162</v>
      </c>
      <c r="S6" s="240">
        <f t="shared" si="1"/>
        <v>124.19663018933475</v>
      </c>
      <c r="T6" s="19">
        <f>'3'!G24</f>
        <v>0</v>
      </c>
      <c r="U6" s="19">
        <v>69</v>
      </c>
      <c r="V6" s="241">
        <f t="shared" si="6"/>
        <v>0</v>
      </c>
      <c r="W6" s="22">
        <f>'3'!G96</f>
        <v>71</v>
      </c>
      <c r="X6" s="22">
        <f>'3'!G97</f>
        <v>10</v>
      </c>
      <c r="Y6" s="22">
        <f>'3'!G98</f>
        <v>11</v>
      </c>
      <c r="Z6" s="22">
        <f>W6+X6+Y6</f>
        <v>92</v>
      </c>
      <c r="AA6" s="19">
        <f>'3'!G133</f>
        <v>0</v>
      </c>
      <c r="AB6" s="19">
        <f>'3'!G134</f>
        <v>0</v>
      </c>
      <c r="AC6" s="19">
        <f>'3'!G135</f>
        <v>0</v>
      </c>
      <c r="AD6" s="19">
        <f>'3'!G136</f>
        <v>24</v>
      </c>
      <c r="AE6" s="19">
        <f t="shared" si="8"/>
        <v>24</v>
      </c>
      <c r="AF6" s="23">
        <f t="shared" si="2"/>
        <v>4328.2400000001071</v>
      </c>
      <c r="AG6" s="23">
        <f t="shared" si="9"/>
        <v>180.3433333333378</v>
      </c>
      <c r="AH6" s="19">
        <f>'3'!G137</f>
        <v>7</v>
      </c>
      <c r="AI6" s="19">
        <f>'3'!G138</f>
        <v>-0.2999999999992724</v>
      </c>
      <c r="AJ6" s="19">
        <f>'3'!G139</f>
        <v>2.3500000000058208</v>
      </c>
      <c r="AK6" s="19">
        <f t="shared" si="10"/>
        <v>9.0500000000065484</v>
      </c>
      <c r="AL6" s="19">
        <f>'3'!G140</f>
        <v>6.7799999999999727</v>
      </c>
      <c r="AM6" s="19">
        <f>'3'!G141</f>
        <v>2.9999999999745341E-2</v>
      </c>
      <c r="AN6" s="19"/>
      <c r="AO6" s="19">
        <f t="shared" si="11"/>
        <v>6.8099999999997181</v>
      </c>
      <c r="AP6" s="258">
        <f>'3'!G124</f>
        <v>178.45000000006985</v>
      </c>
      <c r="AQ6" s="261">
        <f>'3'!G35</f>
        <v>2425.1999999999534</v>
      </c>
      <c r="AR6" s="19">
        <f>'3'!G37</f>
        <v>1251.0499999999884</v>
      </c>
      <c r="AS6" s="19">
        <f>'3'!G38</f>
        <v>1277.8999999999942</v>
      </c>
      <c r="AT6" s="19">
        <f>'3'!G39</f>
        <v>1903.9199999999837</v>
      </c>
      <c r="AU6" s="19">
        <f>'3'!G40</f>
        <v>0</v>
      </c>
      <c r="AV6" s="19">
        <f>'3'!G41</f>
        <v>0</v>
      </c>
      <c r="AW6" s="19">
        <f>'3'!G42</f>
        <v>0</v>
      </c>
      <c r="AX6" s="19">
        <f>'3'!G43</f>
        <v>2314.2999999999302</v>
      </c>
      <c r="AY6" s="19">
        <f>'3'!G44</f>
        <v>0</v>
      </c>
      <c r="AZ6" s="262">
        <f>'3'!G36</f>
        <v>475.35699999999997</v>
      </c>
      <c r="BA6" s="261">
        <f>'3'!G49</f>
        <v>0</v>
      </c>
      <c r="BB6" s="19">
        <f>'3'!G51</f>
        <v>0</v>
      </c>
      <c r="BC6" s="19">
        <f>'3'!G52</f>
        <v>0</v>
      </c>
      <c r="BD6" s="19">
        <f>'3'!G53</f>
        <v>522.59999999997672</v>
      </c>
      <c r="BE6" s="19">
        <f>'3'!G54</f>
        <v>79.190000000000509</v>
      </c>
      <c r="BF6" s="19">
        <f>'3'!G55</f>
        <v>0</v>
      </c>
      <c r="BG6" s="19">
        <f>'3'!G56</f>
        <v>4328.2400000001071</v>
      </c>
      <c r="BH6" s="19">
        <f>'3'!G57</f>
        <v>0</v>
      </c>
      <c r="BI6" s="262">
        <f>'3'!G50</f>
        <v>869.23999999999069</v>
      </c>
      <c r="BJ6" s="370">
        <f t="shared" si="12"/>
        <v>4328.2400000001071</v>
      </c>
      <c r="BK6" s="370">
        <f>'3'!G84</f>
        <v>756</v>
      </c>
      <c r="BL6" s="23">
        <f t="shared" si="13"/>
        <v>56.196373160070628</v>
      </c>
      <c r="BM6" s="23">
        <f t="shared" si="14"/>
        <v>15.038104687647913</v>
      </c>
      <c r="BN6" s="24">
        <f t="shared" si="15"/>
        <v>7.9196520038349136E-2</v>
      </c>
      <c r="BO6" s="25">
        <f t="shared" si="16"/>
        <v>201467.54000000004</v>
      </c>
      <c r="BP6" s="213">
        <f t="shared" si="17"/>
        <v>7398.5400000000373</v>
      </c>
      <c r="BQ6">
        <f t="shared" si="18"/>
        <v>1.1009732142857198</v>
      </c>
    </row>
    <row r="7" spans="1:70">
      <c r="A7" s="16">
        <v>4</v>
      </c>
      <c r="B7" s="27">
        <v>4</v>
      </c>
      <c r="C7" s="27"/>
      <c r="D7" s="19">
        <f>'4'!D3</f>
        <v>34</v>
      </c>
      <c r="E7" s="256">
        <f>'4'!D4</f>
        <v>0.84</v>
      </c>
      <c r="F7" s="256">
        <f>'4'!D2</f>
        <v>0.1</v>
      </c>
      <c r="G7" s="19">
        <f>'4'!G8</f>
        <v>16478.789999999979</v>
      </c>
      <c r="H7" s="19">
        <f>'4'!G7</f>
        <v>16418.200000000012</v>
      </c>
      <c r="I7" s="19">
        <f>'4'!G8</f>
        <v>16478.789999999979</v>
      </c>
      <c r="J7" s="19">
        <v>10</v>
      </c>
      <c r="K7" s="242">
        <f t="shared" si="3"/>
        <v>164182.00000000012</v>
      </c>
      <c r="L7" s="238">
        <f t="shared" si="4"/>
        <v>81.578168316831579</v>
      </c>
      <c r="M7" s="19">
        <f>'4'!G15</f>
        <v>302.90400000009686</v>
      </c>
      <c r="N7" s="19">
        <v>35</v>
      </c>
      <c r="O7" s="238">
        <f t="shared" si="5"/>
        <v>10601.64000000339</v>
      </c>
      <c r="P7" s="19">
        <f>'4'!G20</f>
        <v>101</v>
      </c>
      <c r="Q7" s="19">
        <v>134</v>
      </c>
      <c r="R7" s="239">
        <f t="shared" si="0"/>
        <v>13534</v>
      </c>
      <c r="S7" s="240">
        <f t="shared" si="1"/>
        <v>499.99999999999989</v>
      </c>
      <c r="T7" s="19">
        <f>'4'!G24</f>
        <v>0</v>
      </c>
      <c r="U7" s="19">
        <v>69</v>
      </c>
      <c r="V7" s="241">
        <f t="shared" si="6"/>
        <v>0</v>
      </c>
      <c r="W7" s="22">
        <f>'4'!G96</f>
        <v>27</v>
      </c>
      <c r="X7" s="22">
        <f>'4'!G97</f>
        <v>9</v>
      </c>
      <c r="Y7" s="22">
        <f>'4'!G98</f>
        <v>15</v>
      </c>
      <c r="Z7" s="22">
        <f t="shared" si="7"/>
        <v>51</v>
      </c>
      <c r="AA7" s="19">
        <f>'4'!G133</f>
        <v>0</v>
      </c>
      <c r="AB7" s="19">
        <f>'4'!G134</f>
        <v>0</v>
      </c>
      <c r="AC7" s="19">
        <f>'4'!G135</f>
        <v>0</v>
      </c>
      <c r="AD7" s="19">
        <f>'4'!G136</f>
        <v>24</v>
      </c>
      <c r="AE7" s="19">
        <f t="shared" si="8"/>
        <v>24</v>
      </c>
      <c r="AF7" s="23">
        <f t="shared" si="2"/>
        <v>4466.5599999999395</v>
      </c>
      <c r="AG7" s="23">
        <f t="shared" si="9"/>
        <v>186.10666666666415</v>
      </c>
      <c r="AH7" s="19">
        <f>'4'!G137</f>
        <v>-7.9999999998108251E-2</v>
      </c>
      <c r="AI7" s="19">
        <f>'4'!G138</f>
        <v>0.2999999999992724</v>
      </c>
      <c r="AJ7" s="19">
        <f>'4'!G139</f>
        <v>0</v>
      </c>
      <c r="AK7" s="19">
        <f t="shared" si="10"/>
        <v>0.22000000000116415</v>
      </c>
      <c r="AL7" s="19">
        <f>'4'!G140</f>
        <v>7.0399999999999636</v>
      </c>
      <c r="AM7" s="19">
        <f>'4'!G141</f>
        <v>0</v>
      </c>
      <c r="AN7" s="19"/>
      <c r="AO7" s="19">
        <f t="shared" si="11"/>
        <v>7.0399999999999636</v>
      </c>
      <c r="AP7" s="258">
        <f>'4'!G124</f>
        <v>179.52999999991152</v>
      </c>
      <c r="AQ7" s="261">
        <f>'4'!G35</f>
        <v>2421.5200000000186</v>
      </c>
      <c r="AR7" s="19">
        <f>'4'!G37</f>
        <v>1305.570000000007</v>
      </c>
      <c r="AS7" s="19">
        <f>'4'!G38</f>
        <v>1089.3699999999953</v>
      </c>
      <c r="AT7" s="19">
        <f>'4'!G39</f>
        <v>2680.179999999993</v>
      </c>
      <c r="AU7" s="19">
        <f>'4'!G40</f>
        <v>0</v>
      </c>
      <c r="AV7" s="19">
        <f>'4'!G41</f>
        <v>0</v>
      </c>
      <c r="AW7" s="19">
        <f>'4'!G42</f>
        <v>0</v>
      </c>
      <c r="AX7" s="19">
        <f>'4'!G43</f>
        <v>2358.8000000000466</v>
      </c>
      <c r="AY7" s="19">
        <f>'4'!G44</f>
        <v>0</v>
      </c>
      <c r="AZ7" s="262">
        <f>'4'!G36</f>
        <v>520.79</v>
      </c>
      <c r="BA7" s="261">
        <f>'4'!G49</f>
        <v>0</v>
      </c>
      <c r="BB7" s="19">
        <f>'4'!G51</f>
        <v>0.13000000000465661</v>
      </c>
      <c r="BC7" s="19">
        <f>'4'!G52</f>
        <v>0</v>
      </c>
      <c r="BD7" s="19">
        <f>'4'!G53</f>
        <v>82.760000000009313</v>
      </c>
      <c r="BE7" s="19">
        <f>'4'!G54</f>
        <v>84.819999999999709</v>
      </c>
      <c r="BF7" s="19">
        <f>'4'!G55</f>
        <v>0</v>
      </c>
      <c r="BG7" s="19">
        <f>'4'!G56</f>
        <v>4466.5599999999395</v>
      </c>
      <c r="BH7" s="19">
        <f>'4'!G57</f>
        <v>0</v>
      </c>
      <c r="BI7" s="262">
        <f>'4'!G50</f>
        <v>1026.2000000000116</v>
      </c>
      <c r="BJ7" s="370">
        <f t="shared" si="12"/>
        <v>4466.5599999999395</v>
      </c>
      <c r="BK7" s="370">
        <f>'3'!G84</f>
        <v>756</v>
      </c>
      <c r="BL7" s="23">
        <f t="shared" si="13"/>
        <v>56.113828745921374</v>
      </c>
      <c r="BM7" s="23">
        <f t="shared" si="14"/>
        <v>16.76664366740523</v>
      </c>
      <c r="BN7" s="24">
        <f t="shared" si="15"/>
        <v>6.6107402303202889E-2</v>
      </c>
      <c r="BO7" s="25">
        <f t="shared" si="16"/>
        <v>188317.64000000351</v>
      </c>
      <c r="BP7" s="213">
        <f t="shared" si="17"/>
        <v>7581.359999999986</v>
      </c>
      <c r="BQ7">
        <f t="shared" si="18"/>
        <v>1.1281785714285693</v>
      </c>
    </row>
    <row r="8" spans="1:70">
      <c r="A8" s="16">
        <v>5</v>
      </c>
      <c r="B8" s="27">
        <v>5</v>
      </c>
      <c r="C8" s="27"/>
      <c r="D8" s="19">
        <f>'5'!D3</f>
        <v>34</v>
      </c>
      <c r="E8" s="256">
        <f>'5'!D4</f>
        <v>0.84</v>
      </c>
      <c r="F8" s="256">
        <f>'5'!D2</f>
        <v>0.98</v>
      </c>
      <c r="G8" s="19">
        <f>'5'!G8</f>
        <v>20105.280000000028</v>
      </c>
      <c r="H8" s="19">
        <f>'5'!G7</f>
        <v>20003.640000000014</v>
      </c>
      <c r="I8" s="19">
        <f>'5'!G8</f>
        <v>20105.280000000028</v>
      </c>
      <c r="J8" s="19">
        <v>10</v>
      </c>
      <c r="K8" s="242">
        <f t="shared" si="3"/>
        <v>200036.40000000014</v>
      </c>
      <c r="L8" s="238">
        <f t="shared" si="4"/>
        <v>99.531089108911033</v>
      </c>
      <c r="M8" s="19">
        <f>'5'!G15</f>
        <v>453.90200000000186</v>
      </c>
      <c r="N8" s="19">
        <v>35</v>
      </c>
      <c r="O8" s="238">
        <f t="shared" si="5"/>
        <v>15886.570000000065</v>
      </c>
      <c r="P8" s="19">
        <f>'5'!G20</f>
        <v>102</v>
      </c>
      <c r="Q8" s="19">
        <v>134</v>
      </c>
      <c r="R8" s="239">
        <f t="shared" si="0"/>
        <v>13668</v>
      </c>
      <c r="S8" s="240">
        <f t="shared" si="1"/>
        <v>51.525560719337243</v>
      </c>
      <c r="T8" s="19">
        <f>'5'!G24</f>
        <v>0</v>
      </c>
      <c r="U8" s="19">
        <v>69</v>
      </c>
      <c r="V8" s="241">
        <f t="shared" si="6"/>
        <v>0</v>
      </c>
      <c r="W8" s="22">
        <f>'5'!G96</f>
        <v>50</v>
      </c>
      <c r="X8" s="22">
        <f>'5'!G97</f>
        <v>14</v>
      </c>
      <c r="Y8" s="22">
        <f>'5'!G98</f>
        <v>29</v>
      </c>
      <c r="Z8" s="22">
        <f t="shared" si="7"/>
        <v>93</v>
      </c>
      <c r="AA8" s="19">
        <f>'5'!G133</f>
        <v>5.1699999999982538</v>
      </c>
      <c r="AB8" s="19">
        <f>'5'!G134</f>
        <v>0</v>
      </c>
      <c r="AC8" s="19">
        <f>'5'!G135</f>
        <v>0.33999999999650754</v>
      </c>
      <c r="AD8" s="19">
        <f>'5'!G136</f>
        <v>24.489999999997963</v>
      </c>
      <c r="AE8" s="19">
        <f t="shared" si="8"/>
        <v>29.999999999992724</v>
      </c>
      <c r="AF8" s="23">
        <f t="shared" si="2"/>
        <v>5836.539999999979</v>
      </c>
      <c r="AG8" s="23">
        <f t="shared" si="9"/>
        <v>194.55133333337983</v>
      </c>
      <c r="AH8" s="19">
        <f>'5'!G137</f>
        <v>7.9999999998108251E-2</v>
      </c>
      <c r="AI8" s="19">
        <f>'5'!G138</f>
        <v>0</v>
      </c>
      <c r="AJ8" s="19">
        <f>'5'!G139</f>
        <v>11.229999999995925</v>
      </c>
      <c r="AK8" s="19">
        <f t="shared" si="10"/>
        <v>11.309999999994034</v>
      </c>
      <c r="AL8" s="19">
        <f>'5'!G140</f>
        <v>7.0999999999999091</v>
      </c>
      <c r="AM8" s="19">
        <f>'5'!G141</f>
        <v>0</v>
      </c>
      <c r="AN8" s="19"/>
      <c r="AO8" s="19">
        <f t="shared" si="11"/>
        <v>7.0999999999999091</v>
      </c>
      <c r="AP8" s="258">
        <f>'5'!G124</f>
        <v>181.65000000002328</v>
      </c>
      <c r="AQ8" s="261">
        <f>'5'!G35</f>
        <v>2427.4400000000605</v>
      </c>
      <c r="AR8" s="19">
        <f>'5'!G37</f>
        <v>1382.679999999993</v>
      </c>
      <c r="AS8" s="19">
        <f>'5'!G38</f>
        <v>1403.710000000021</v>
      </c>
      <c r="AT8" s="19">
        <f>'5'!G39</f>
        <v>3287.4400000000023</v>
      </c>
      <c r="AU8" s="19">
        <f>'5'!G40</f>
        <v>168.09999999999991</v>
      </c>
      <c r="AV8" s="19">
        <f>'5'!G41</f>
        <v>925.94000000000233</v>
      </c>
      <c r="AW8" s="19">
        <f>'5'!G42</f>
        <v>0</v>
      </c>
      <c r="AX8" s="19">
        <f>'5'!G43</f>
        <v>2676.1999999999534</v>
      </c>
      <c r="AY8" s="19">
        <f>'5'!G44</f>
        <v>0</v>
      </c>
      <c r="AZ8" s="262">
        <f>'5'!G36</f>
        <v>927.5</v>
      </c>
      <c r="BA8" s="261">
        <f>'5'!G49</f>
        <v>0</v>
      </c>
      <c r="BB8" s="19">
        <f>'5'!G51</f>
        <v>-0.13000000000465661</v>
      </c>
      <c r="BC8" s="19">
        <f>'5'!G52</f>
        <v>6.9999999948777258E-2</v>
      </c>
      <c r="BD8" s="19">
        <f>'5'!G53</f>
        <v>0</v>
      </c>
      <c r="BE8" s="19">
        <f>'5'!G54</f>
        <v>83.819999999999709</v>
      </c>
      <c r="BF8" s="19">
        <f>'5'!G55</f>
        <v>0</v>
      </c>
      <c r="BG8" s="19">
        <f>'5'!G56</f>
        <v>4910.5999999999767</v>
      </c>
      <c r="BH8" s="19">
        <f>'5'!G57</f>
        <v>0</v>
      </c>
      <c r="BI8" s="262">
        <f>'5'!G50</f>
        <v>1410.5199999999604</v>
      </c>
      <c r="BJ8" s="370">
        <f t="shared" si="12"/>
        <v>5836.539999999979</v>
      </c>
      <c r="BK8" s="370">
        <f>'5'!G84</f>
        <v>877</v>
      </c>
      <c r="BL8" s="23">
        <f t="shared" si="13"/>
        <v>54.414462270607416</v>
      </c>
      <c r="BM8" s="23">
        <f t="shared" si="14"/>
        <v>16.351127663976815</v>
      </c>
      <c r="BN8" s="24">
        <f t="shared" si="15"/>
        <v>6.9821459835424718E-2</v>
      </c>
      <c r="BO8" s="25">
        <f t="shared" si="16"/>
        <v>229590.9700000002</v>
      </c>
      <c r="BP8" s="213">
        <f t="shared" si="17"/>
        <v>9389.7399999999325</v>
      </c>
      <c r="BQ8">
        <f t="shared" si="18"/>
        <v>1.1178261904764535</v>
      </c>
    </row>
    <row r="9" spans="1:70">
      <c r="A9" s="16">
        <v>6</v>
      </c>
      <c r="B9" s="17">
        <v>6</v>
      </c>
      <c r="C9" s="26"/>
      <c r="D9" s="19">
        <f>'6'!D3</f>
        <v>34</v>
      </c>
      <c r="E9" s="256">
        <f>'6'!D4</f>
        <v>0.84</v>
      </c>
      <c r="F9" s="256">
        <f>'6'!D2</f>
        <v>0.75</v>
      </c>
      <c r="G9" s="19">
        <f>'6'!G8</f>
        <v>18422.639999999956</v>
      </c>
      <c r="H9" s="19">
        <f>'6'!G7</f>
        <v>18334.27999999997</v>
      </c>
      <c r="I9" s="19">
        <f>'6'!G8</f>
        <v>18422.639999999956</v>
      </c>
      <c r="J9" s="19">
        <v>10</v>
      </c>
      <c r="K9" s="242">
        <f t="shared" si="3"/>
        <v>183342.7999999997</v>
      </c>
      <c r="L9" s="238">
        <f t="shared" si="4"/>
        <v>91.201188118811658</v>
      </c>
      <c r="M9" s="19">
        <f>'6'!G15</f>
        <v>556.86999999987893</v>
      </c>
      <c r="N9" s="19">
        <v>35</v>
      </c>
      <c r="O9" s="238">
        <f t="shared" si="5"/>
        <v>19490.449999995762</v>
      </c>
      <c r="P9" s="19">
        <f>'6'!G20</f>
        <v>175</v>
      </c>
      <c r="Q9" s="19">
        <v>134</v>
      </c>
      <c r="R9" s="239">
        <f t="shared" si="0"/>
        <v>23450</v>
      </c>
      <c r="S9" s="240">
        <f t="shared" si="1"/>
        <v>115.51155115511551</v>
      </c>
      <c r="T9" s="19">
        <f>'6'!G24</f>
        <v>0</v>
      </c>
      <c r="U9" s="19">
        <v>69</v>
      </c>
      <c r="V9" s="241">
        <f t="shared" si="6"/>
        <v>0</v>
      </c>
      <c r="W9" s="22">
        <f>'6'!G96</f>
        <v>73</v>
      </c>
      <c r="X9" s="22">
        <f>'6'!G97</f>
        <v>21</v>
      </c>
      <c r="Y9" s="22">
        <f>'6'!G98</f>
        <v>30</v>
      </c>
      <c r="Z9" s="22">
        <f t="shared" si="7"/>
        <v>124</v>
      </c>
      <c r="AA9" s="19">
        <f>'6'!G133</f>
        <v>0</v>
      </c>
      <c r="AB9" s="19">
        <f>'6'!G134</f>
        <v>0</v>
      </c>
      <c r="AC9" s="19">
        <f>'6'!G135</f>
        <v>0</v>
      </c>
      <c r="AD9" s="19">
        <f>'6'!G136</f>
        <v>24.490000000005239</v>
      </c>
      <c r="AE9" s="19">
        <f t="shared" si="8"/>
        <v>24.490000000005239</v>
      </c>
      <c r="AF9" s="23">
        <f t="shared" si="2"/>
        <v>5049.8000000000466</v>
      </c>
      <c r="AG9" s="23">
        <f t="shared" si="9"/>
        <v>206.19844834622157</v>
      </c>
      <c r="AH9" s="19">
        <f>'6'!G137</f>
        <v>4.9799999999995634</v>
      </c>
      <c r="AI9" s="19">
        <f>'6'!G138</f>
        <v>0</v>
      </c>
      <c r="AJ9" s="19">
        <f>'6'!G139</f>
        <v>0</v>
      </c>
      <c r="AK9" s="19">
        <f t="shared" si="10"/>
        <v>4.9799999999995634</v>
      </c>
      <c r="AL9" s="19">
        <f>'6'!G140</f>
        <v>7.3900000000001</v>
      </c>
      <c r="AM9" s="19">
        <f>'6'!G141</f>
        <v>0</v>
      </c>
      <c r="AN9" s="19"/>
      <c r="AO9" s="19">
        <f t="shared" si="11"/>
        <v>7.3900000000001</v>
      </c>
      <c r="AP9" s="258">
        <f>'6'!G124</f>
        <v>189.30000000004657</v>
      </c>
      <c r="AQ9" s="261">
        <f>'6'!G35</f>
        <v>2676.4000000000233</v>
      </c>
      <c r="AR9" s="19">
        <f>'6'!G37</f>
        <v>1373</v>
      </c>
      <c r="AS9" s="19">
        <f>'6'!G38</f>
        <v>1420.2099999999919</v>
      </c>
      <c r="AT9" s="19">
        <f>'6'!G39</f>
        <v>3169.640000000014</v>
      </c>
      <c r="AU9" s="19">
        <f>'6'!G40</f>
        <v>0</v>
      </c>
      <c r="AV9" s="19">
        <f>'6'!G41</f>
        <v>0</v>
      </c>
      <c r="AW9" s="19">
        <f>'6'!G42</f>
        <v>0</v>
      </c>
      <c r="AX9" s="19">
        <f>'6'!G43</f>
        <v>2410.1000000000931</v>
      </c>
      <c r="AY9" s="19">
        <f>'6'!G44</f>
        <v>0</v>
      </c>
      <c r="AZ9" s="262">
        <f>'6'!G36</f>
        <v>502.36000000000013</v>
      </c>
      <c r="BA9" s="261">
        <f>'6'!G49</f>
        <v>0</v>
      </c>
      <c r="BB9" s="19">
        <f>'6'!G51</f>
        <v>0</v>
      </c>
      <c r="BC9" s="19">
        <f>'6'!G52</f>
        <v>0</v>
      </c>
      <c r="BD9" s="19">
        <f>'6'!G53</f>
        <v>0</v>
      </c>
      <c r="BE9" s="19">
        <f>'6'!G54</f>
        <v>82.219999999999345</v>
      </c>
      <c r="BF9" s="19">
        <f>'6'!G55</f>
        <v>0</v>
      </c>
      <c r="BG9" s="19">
        <f>'6'!G56</f>
        <v>5049.8000000000466</v>
      </c>
      <c r="BH9" s="19">
        <f>'6'!G57</f>
        <v>0</v>
      </c>
      <c r="BI9" s="262">
        <f>'6'!G50</f>
        <v>1017.0400000000373</v>
      </c>
      <c r="BJ9" s="370">
        <f t="shared" si="12"/>
        <v>5049.8000000000466</v>
      </c>
      <c r="BK9" s="370">
        <f>'6'!G84</f>
        <v>918</v>
      </c>
      <c r="BL9" s="23">
        <f t="shared" si="13"/>
        <v>55.020887342965977</v>
      </c>
      <c r="BM9" s="23">
        <f t="shared" si="14"/>
        <v>17.205134551834163</v>
      </c>
      <c r="BN9" s="24">
        <f t="shared" si="15"/>
        <v>7.7090471289673751E-2</v>
      </c>
      <c r="BO9" s="25">
        <f t="shared" si="16"/>
        <v>226283.24999999546</v>
      </c>
      <c r="BP9" s="213">
        <f t="shared" si="17"/>
        <v>8377.9000000001397</v>
      </c>
      <c r="BQ9">
        <f t="shared" si="18"/>
        <v>1.2217669019422428</v>
      </c>
    </row>
    <row r="10" spans="1:70">
      <c r="A10" s="16">
        <v>7</v>
      </c>
      <c r="B10" s="26">
        <v>7</v>
      </c>
      <c r="C10" s="27"/>
      <c r="D10" s="19">
        <f>'7'!D3</f>
        <v>33</v>
      </c>
      <c r="E10" s="256">
        <f>'7'!D4</f>
        <v>0.8</v>
      </c>
      <c r="F10" s="256">
        <f>'7'!D2</f>
        <v>0.76</v>
      </c>
      <c r="G10" s="19">
        <f>'7'!G8</f>
        <v>17315.960000000021</v>
      </c>
      <c r="H10" s="19">
        <f>'7'!G7</f>
        <v>17237.040000000037</v>
      </c>
      <c r="I10" s="19">
        <f>'7'!G8</f>
        <v>17315.960000000021</v>
      </c>
      <c r="J10" s="19">
        <v>10</v>
      </c>
      <c r="K10" s="242">
        <f t="shared" si="3"/>
        <v>172370.40000000037</v>
      </c>
      <c r="L10" s="238">
        <f t="shared" si="4"/>
        <v>85.722574257425848</v>
      </c>
      <c r="M10" s="19">
        <f>'7'!G15</f>
        <v>563.6500000001397</v>
      </c>
      <c r="N10" s="19">
        <v>35</v>
      </c>
      <c r="O10" s="238">
        <f t="shared" si="5"/>
        <v>19727.750000004889</v>
      </c>
      <c r="P10" s="19">
        <f>'7'!G20</f>
        <v>122</v>
      </c>
      <c r="Q10" s="19">
        <v>134</v>
      </c>
      <c r="R10" s="239">
        <f t="shared" si="0"/>
        <v>16348</v>
      </c>
      <c r="S10" s="240">
        <f t="shared" si="1"/>
        <v>79.468473163105784</v>
      </c>
      <c r="T10" s="19">
        <f>'7'!G24</f>
        <v>0</v>
      </c>
      <c r="U10" s="19">
        <v>69</v>
      </c>
      <c r="V10" s="241">
        <f t="shared" si="6"/>
        <v>0</v>
      </c>
      <c r="W10" s="22">
        <f>'7'!G96</f>
        <v>67</v>
      </c>
      <c r="X10" s="22">
        <f>'7'!G97</f>
        <v>7</v>
      </c>
      <c r="Y10" s="22">
        <f>'7'!G98</f>
        <v>19</v>
      </c>
      <c r="Z10" s="22">
        <f t="shared" si="7"/>
        <v>93</v>
      </c>
      <c r="AA10" s="19">
        <f>'7'!G133</f>
        <v>10.319999999999709</v>
      </c>
      <c r="AB10" s="19">
        <f>'7'!G134</f>
        <v>0.18999999999999773</v>
      </c>
      <c r="AC10" s="19">
        <f>'7'!G135</f>
        <v>0.11000000000058208</v>
      </c>
      <c r="AD10" s="19">
        <f>'7'!G136</f>
        <v>14.069999999999709</v>
      </c>
      <c r="AE10" s="19">
        <f t="shared" si="8"/>
        <v>24.689999999999998</v>
      </c>
      <c r="AF10" s="23">
        <f t="shared" si="2"/>
        <v>4822.7399999999616</v>
      </c>
      <c r="AG10" s="23">
        <f t="shared" si="9"/>
        <v>195.3317132442269</v>
      </c>
      <c r="AH10" s="19">
        <f>'7'!G137</f>
        <v>6.4500000000007276</v>
      </c>
      <c r="AI10" s="19">
        <f>'7'!G138</f>
        <v>0</v>
      </c>
      <c r="AJ10" s="19">
        <f>'7'!G139</f>
        <v>1.7099999999918509</v>
      </c>
      <c r="AK10" s="19">
        <f t="shared" si="10"/>
        <v>8.1599999999925785</v>
      </c>
      <c r="AL10" s="19">
        <f>'7'!G140</f>
        <v>6.5899999999999181</v>
      </c>
      <c r="AM10" s="19">
        <f>'7'!G141</f>
        <v>0</v>
      </c>
      <c r="AN10" s="19"/>
      <c r="AO10" s="19">
        <f t="shared" si="11"/>
        <v>6.5899999999999181</v>
      </c>
      <c r="AP10" s="258">
        <f>'7'!G124</f>
        <v>182.21999999997206</v>
      </c>
      <c r="AQ10" s="261">
        <f>'7'!G35</f>
        <v>2464.9599999999627</v>
      </c>
      <c r="AR10" s="19">
        <f>'7'!G37</f>
        <v>1289.6199999999953</v>
      </c>
      <c r="AS10" s="19">
        <f>'7'!G38</f>
        <v>1221.3999999999942</v>
      </c>
      <c r="AT10" s="19">
        <f>'7'!G39</f>
        <v>2961.6600000000326</v>
      </c>
      <c r="AU10" s="19">
        <f>'7'!G40</f>
        <v>0</v>
      </c>
      <c r="AV10" s="19">
        <f>'7'!G41</f>
        <v>2174.4199999999837</v>
      </c>
      <c r="AW10" s="19">
        <f>'7'!G42</f>
        <v>11.639999999999418</v>
      </c>
      <c r="AX10" s="19">
        <f>'7'!G43</f>
        <v>2436.8999999999069</v>
      </c>
      <c r="AY10" s="19">
        <f>'7'!G44</f>
        <v>0</v>
      </c>
      <c r="AZ10" s="262">
        <f>'7'!G36</f>
        <v>523.92999999999984</v>
      </c>
      <c r="BA10" s="261">
        <f>'7'!G49</f>
        <v>0</v>
      </c>
      <c r="BB10" s="19">
        <f>'7'!G51</f>
        <v>0</v>
      </c>
      <c r="BC10" s="19">
        <f>'7'!G52</f>
        <v>0</v>
      </c>
      <c r="BD10" s="19">
        <f>'7'!G53</f>
        <v>0</v>
      </c>
      <c r="BE10" s="19">
        <f>'7'!G54</f>
        <v>83.260000000000218</v>
      </c>
      <c r="BF10" s="19">
        <f>'7'!G55</f>
        <v>25.840000000011059</v>
      </c>
      <c r="BG10" s="19">
        <f>'7'!G56</f>
        <v>2610.8399999999674</v>
      </c>
      <c r="BH10" s="19">
        <f>'7'!G57</f>
        <v>0</v>
      </c>
      <c r="BI10" s="262">
        <f>'7'!G50</f>
        <v>844.47999999998137</v>
      </c>
      <c r="BJ10" s="370">
        <f t="shared" si="12"/>
        <v>4822.7399999999616</v>
      </c>
      <c r="BK10" s="370">
        <f>'7'!G84</f>
        <v>763</v>
      </c>
      <c r="BL10" s="23">
        <f t="shared" si="13"/>
        <v>56.159750888774397</v>
      </c>
      <c r="BM10" s="23">
        <f t="shared" si="14"/>
        <v>17.103643113058872</v>
      </c>
      <c r="BN10" s="24">
        <f t="shared" si="15"/>
        <v>7.0536083474435879E-2</v>
      </c>
      <c r="BO10" s="25">
        <f t="shared" si="16"/>
        <v>208446.15000000526</v>
      </c>
      <c r="BP10" s="213">
        <f t="shared" si="17"/>
        <v>8022.6399999998685</v>
      </c>
      <c r="BQ10">
        <f t="shared" si="18"/>
        <v>1.1604813979054374</v>
      </c>
    </row>
    <row r="11" spans="1:70">
      <c r="A11" s="16">
        <v>8</v>
      </c>
      <c r="B11" s="26">
        <v>8</v>
      </c>
      <c r="C11" s="18"/>
      <c r="D11" s="19">
        <f>'8'!D3</f>
        <v>27</v>
      </c>
      <c r="E11" s="256">
        <f>'8'!D4</f>
        <v>0.78</v>
      </c>
      <c r="F11" s="256">
        <f>'8'!D2</f>
        <v>0.24</v>
      </c>
      <c r="G11" s="19">
        <f>'8'!G8</f>
        <v>17288.559999999998</v>
      </c>
      <c r="H11" s="19">
        <f>'8'!G7</f>
        <v>17225.719999999972</v>
      </c>
      <c r="I11" s="19">
        <f>'8'!G8</f>
        <v>17288.559999999998</v>
      </c>
      <c r="J11" s="19">
        <v>10</v>
      </c>
      <c r="K11" s="242">
        <f t="shared" si="3"/>
        <v>172257.19999999972</v>
      </c>
      <c r="L11" s="238">
        <f t="shared" si="4"/>
        <v>85.586930693069291</v>
      </c>
      <c r="M11" s="19">
        <f>'8'!G15</f>
        <v>406.11999999987893</v>
      </c>
      <c r="N11" s="19">
        <v>35</v>
      </c>
      <c r="O11" s="238">
        <f t="shared" si="5"/>
        <v>14214.199999995762</v>
      </c>
      <c r="P11" s="19">
        <f>'8'!G20</f>
        <v>159</v>
      </c>
      <c r="Q11" s="19">
        <v>134</v>
      </c>
      <c r="R11" s="239">
        <f t="shared" si="0"/>
        <v>21306</v>
      </c>
      <c r="S11" s="240">
        <f t="shared" si="1"/>
        <v>327.97029702970298</v>
      </c>
      <c r="T11" s="19">
        <f>'8'!G24</f>
        <v>0</v>
      </c>
      <c r="U11" s="19">
        <v>69</v>
      </c>
      <c r="V11" s="241">
        <f t="shared" si="6"/>
        <v>0</v>
      </c>
      <c r="W11" s="22">
        <f>'8'!G96</f>
        <v>34</v>
      </c>
      <c r="X11" s="22">
        <f>'8'!G97</f>
        <v>9</v>
      </c>
      <c r="Y11" s="22">
        <f>'8'!G98</f>
        <v>15</v>
      </c>
      <c r="Z11" s="22">
        <f t="shared" si="7"/>
        <v>58</v>
      </c>
      <c r="AA11" s="19">
        <f>'8'!G133</f>
        <v>23.990000000005239</v>
      </c>
      <c r="AB11" s="19">
        <f>'8'!G134</f>
        <v>-0.18999999999999773</v>
      </c>
      <c r="AC11" s="19">
        <f>'8'!G135</f>
        <v>0</v>
      </c>
      <c r="AD11" s="19">
        <f>'8'!G136</f>
        <v>0</v>
      </c>
      <c r="AE11" s="19">
        <f t="shared" si="8"/>
        <v>23.800000000005241</v>
      </c>
      <c r="AF11" s="23">
        <f t="shared" si="2"/>
        <v>5104.1400000000431</v>
      </c>
      <c r="AG11" s="23">
        <f t="shared" si="9"/>
        <v>214.4596638655008</v>
      </c>
      <c r="AH11" s="19">
        <f>'8'!G137</f>
        <v>0</v>
      </c>
      <c r="AI11" s="19">
        <f>'8'!G138</f>
        <v>0</v>
      </c>
      <c r="AJ11" s="19">
        <f>'8'!G139</f>
        <v>9.2300000000104774</v>
      </c>
      <c r="AK11" s="19">
        <f t="shared" si="10"/>
        <v>9.2300000000104774</v>
      </c>
      <c r="AL11" s="19">
        <f>'8'!G140</f>
        <v>7.3400000000001455</v>
      </c>
      <c r="AM11" s="19">
        <f>'8'!G141</f>
        <v>0</v>
      </c>
      <c r="AN11" s="19"/>
      <c r="AO11" s="19">
        <f t="shared" si="11"/>
        <v>7.3400000000001455</v>
      </c>
      <c r="AP11" s="258">
        <f>'8'!G124</f>
        <v>178.89000000001397</v>
      </c>
      <c r="AQ11" s="261">
        <f>'8'!G35</f>
        <v>2459.6799999999348</v>
      </c>
      <c r="AR11" s="19">
        <f>'8'!G37</f>
        <v>1347.640000000014</v>
      </c>
      <c r="AS11" s="19">
        <f>'8'!G38</f>
        <v>1148.8699999999953</v>
      </c>
      <c r="AT11" s="19">
        <f>'8'!G39</f>
        <v>2920.1999999999534</v>
      </c>
      <c r="AU11" s="19">
        <f>'8'!G40</f>
        <v>0</v>
      </c>
      <c r="AV11" s="19">
        <f>'8'!G41</f>
        <v>5094.1000000000058</v>
      </c>
      <c r="AW11" s="19">
        <f>'8'!G42</f>
        <v>0</v>
      </c>
      <c r="AX11" s="19">
        <f>'8'!G43</f>
        <v>2446.8000000000466</v>
      </c>
      <c r="AY11" s="23">
        <f>'8'!G44</f>
        <v>0</v>
      </c>
      <c r="AZ11" s="262">
        <f>'8'!G36</f>
        <v>596.12000000000035</v>
      </c>
      <c r="BA11" s="261">
        <f>'8'!G49</f>
        <v>0</v>
      </c>
      <c r="BB11" s="19">
        <f>'8'!G51</f>
        <v>0</v>
      </c>
      <c r="BC11" s="19">
        <f>'8'!G52</f>
        <v>0</v>
      </c>
      <c r="BD11" s="19">
        <f>'8'!G53</f>
        <v>0</v>
      </c>
      <c r="BE11" s="19">
        <f>'8'!G54</f>
        <v>82.210000000000946</v>
      </c>
      <c r="BF11" s="19">
        <f>'8'!G55</f>
        <v>0</v>
      </c>
      <c r="BG11" s="19">
        <f>'8'!G56</f>
        <v>10.040000000037253</v>
      </c>
      <c r="BH11" s="19">
        <f>'8'!G57</f>
        <v>0</v>
      </c>
      <c r="BI11" s="262">
        <f>'8'!G50</f>
        <v>832.40000000002328</v>
      </c>
      <c r="BJ11" s="370">
        <f t="shared" si="12"/>
        <v>5104.1400000000431</v>
      </c>
      <c r="BK11" s="370">
        <f>'8'!G84</f>
        <v>696</v>
      </c>
      <c r="BL11" s="23">
        <f t="shared" si="13"/>
        <v>57.903145201219914</v>
      </c>
      <c r="BM11" s="23">
        <f t="shared" si="14"/>
        <v>16.890938285201045</v>
      </c>
      <c r="BN11" s="24">
        <f t="shared" si="15"/>
        <v>6.6452613751520978E-2</v>
      </c>
      <c r="BO11" s="25">
        <f t="shared" si="16"/>
        <v>207777.39999999548</v>
      </c>
      <c r="BP11" s="213">
        <f t="shared" si="17"/>
        <v>8246.9400000000896</v>
      </c>
      <c r="BQ11">
        <f t="shared" si="18"/>
        <v>1.2375360144055032</v>
      </c>
    </row>
    <row r="12" spans="1:70">
      <c r="A12" s="16">
        <v>9</v>
      </c>
      <c r="B12" s="27">
        <v>9</v>
      </c>
      <c r="C12" s="26"/>
      <c r="D12" s="19">
        <f>'9'!D3</f>
        <v>31</v>
      </c>
      <c r="E12" s="256">
        <f>'9'!D4</f>
        <v>0.88</v>
      </c>
      <c r="F12" s="256">
        <f>'9'!D2</f>
        <v>0.16</v>
      </c>
      <c r="G12" s="19">
        <f>'9'!G8</f>
        <v>16891.690000000002</v>
      </c>
      <c r="H12" s="19">
        <f>'9'!G7</f>
        <v>16842.25</v>
      </c>
      <c r="I12" s="19">
        <f>'9'!G8</f>
        <v>16891.690000000002</v>
      </c>
      <c r="J12" s="19">
        <v>10</v>
      </c>
      <c r="K12" s="242">
        <f t="shared" si="3"/>
        <v>168422.5</v>
      </c>
      <c r="L12" s="238">
        <f t="shared" si="4"/>
        <v>83.622227722772294</v>
      </c>
      <c r="M12" s="19">
        <f>'9'!G15</f>
        <v>345.05000000004657</v>
      </c>
      <c r="N12" s="19">
        <v>35</v>
      </c>
      <c r="O12" s="238">
        <f t="shared" si="5"/>
        <v>12076.75000000163</v>
      </c>
      <c r="P12" s="19">
        <f>'9'!G20</f>
        <v>78</v>
      </c>
      <c r="Q12" s="19">
        <v>134</v>
      </c>
      <c r="R12" s="239">
        <f t="shared" si="0"/>
        <v>10452</v>
      </c>
      <c r="S12" s="240">
        <f t="shared" si="1"/>
        <v>241.33663366336634</v>
      </c>
      <c r="T12" s="19">
        <f>'9'!G24</f>
        <v>0</v>
      </c>
      <c r="U12" s="19">
        <v>69</v>
      </c>
      <c r="V12" s="241">
        <f t="shared" si="6"/>
        <v>0</v>
      </c>
      <c r="W12" s="22">
        <f>'9'!G96</f>
        <v>24</v>
      </c>
      <c r="X12" s="22">
        <f>'9'!G97</f>
        <v>10</v>
      </c>
      <c r="Y12" s="22">
        <f>'9'!G98</f>
        <v>15</v>
      </c>
      <c r="Z12" s="22">
        <f t="shared" si="7"/>
        <v>49</v>
      </c>
      <c r="AA12" s="19">
        <f>'9'!G133</f>
        <v>24.419999999998254</v>
      </c>
      <c r="AB12" s="19">
        <f>'9'!G134</f>
        <v>0</v>
      </c>
      <c r="AC12" s="19">
        <f>'9'!G135</f>
        <v>0</v>
      </c>
      <c r="AD12" s="19">
        <f>'9'!G136</f>
        <v>0</v>
      </c>
      <c r="AE12" s="19">
        <f t="shared" si="8"/>
        <v>24.419999999998254</v>
      </c>
      <c r="AF12" s="23">
        <f t="shared" si="2"/>
        <v>4917.2599999999802</v>
      </c>
      <c r="AG12" s="23">
        <f t="shared" si="9"/>
        <v>201.36199836201195</v>
      </c>
      <c r="AH12" s="19">
        <f>'9'!G137</f>
        <v>0</v>
      </c>
      <c r="AI12" s="19">
        <f>'9'!G138</f>
        <v>0</v>
      </c>
      <c r="AJ12" s="19">
        <f>'9'!G139</f>
        <v>2</v>
      </c>
      <c r="AK12" s="19">
        <f t="shared" si="10"/>
        <v>2</v>
      </c>
      <c r="AL12" s="19">
        <f>'9'!G140</f>
        <v>7.8799999999998818</v>
      </c>
      <c r="AM12" s="19">
        <f>'9'!G141</f>
        <v>-0.11999999999989086</v>
      </c>
      <c r="AN12" s="19"/>
      <c r="AO12" s="19">
        <f t="shared" si="11"/>
        <v>7.7599999999999909</v>
      </c>
      <c r="AP12" s="258">
        <f>'9'!G124</f>
        <v>206.10999999998603</v>
      </c>
      <c r="AQ12" s="261">
        <f>'9'!G35</f>
        <v>2245.8100000000559</v>
      </c>
      <c r="AR12" s="19">
        <f>'9'!G37</f>
        <v>1379.7399999999907</v>
      </c>
      <c r="AS12" s="19">
        <f>'9'!G38</f>
        <v>1004.8500000000058</v>
      </c>
      <c r="AT12" s="19">
        <f>'9'!G39</f>
        <v>3069.710000000021</v>
      </c>
      <c r="AU12" s="19">
        <f>'9'!G40</f>
        <v>-8.9999999999918145E-2</v>
      </c>
      <c r="AV12" s="19">
        <f>'9'!G41</f>
        <v>4907.4100000000035</v>
      </c>
      <c r="AW12" s="19">
        <f>'9'!G42</f>
        <v>0</v>
      </c>
      <c r="AX12" s="19">
        <f>'9'!G43</f>
        <v>2440.5</v>
      </c>
      <c r="AY12" s="23">
        <f>'9'!G44</f>
        <v>0</v>
      </c>
      <c r="AZ12" s="262">
        <f>'9'!G36</f>
        <v>614.81999999999971</v>
      </c>
      <c r="BA12" s="261">
        <f>'9'!G49</f>
        <v>0</v>
      </c>
      <c r="BB12" s="19">
        <f>'9'!G51</f>
        <v>0</v>
      </c>
      <c r="BC12" s="19">
        <f>'9'!G52</f>
        <v>0</v>
      </c>
      <c r="BD12" s="19">
        <f>'9'!G53</f>
        <v>0</v>
      </c>
      <c r="BE12" s="19">
        <f>'9'!G54</f>
        <v>80.649999999999636</v>
      </c>
      <c r="BF12" s="19">
        <f>'9'!G55</f>
        <v>0</v>
      </c>
      <c r="BG12" s="19">
        <f>'9'!G56</f>
        <v>9.8499999999767169</v>
      </c>
      <c r="BH12" s="19">
        <f>'9'!G57</f>
        <v>0</v>
      </c>
      <c r="BI12" s="262">
        <f>'9'!G50</f>
        <v>877.40999999997439</v>
      </c>
      <c r="BJ12" s="370">
        <f t="shared" si="12"/>
        <v>4917.2599999999802</v>
      </c>
      <c r="BK12" s="370">
        <f>'8'!G84</f>
        <v>696</v>
      </c>
      <c r="BL12" s="23">
        <f t="shared" si="13"/>
        <v>56.853813916784141</v>
      </c>
      <c r="BM12" s="23">
        <f t="shared" si="14"/>
        <v>18.172900402505732</v>
      </c>
      <c r="BN12" s="24">
        <f t="shared" si="15"/>
        <v>5.948783099855643E-2</v>
      </c>
      <c r="BO12" s="25">
        <f t="shared" si="16"/>
        <v>190951.25000000163</v>
      </c>
      <c r="BP12" s="213">
        <f t="shared" si="17"/>
        <v>8053.7599999999802</v>
      </c>
      <c r="BQ12">
        <f t="shared" si="18"/>
        <v>1.1778635778636593</v>
      </c>
    </row>
    <row r="13" spans="1:70">
      <c r="A13" s="16">
        <v>10</v>
      </c>
      <c r="B13" s="27">
        <v>10</v>
      </c>
      <c r="C13" s="26"/>
      <c r="D13" s="19">
        <f>'10'!D3</f>
        <v>29</v>
      </c>
      <c r="E13" s="256">
        <f>'10'!D4</f>
        <v>0.78</v>
      </c>
      <c r="F13" s="256">
        <f>'10'!D2</f>
        <v>0.89</v>
      </c>
      <c r="G13" s="19">
        <f>'10'!G8</f>
        <v>17110</v>
      </c>
      <c r="H13" s="19">
        <f>'10'!G7</f>
        <v>17057</v>
      </c>
      <c r="I13" s="19">
        <f>'10'!G8</f>
        <v>17110</v>
      </c>
      <c r="J13" s="19">
        <v>10</v>
      </c>
      <c r="K13" s="242">
        <f t="shared" si="3"/>
        <v>170570</v>
      </c>
      <c r="L13" s="238">
        <f t="shared" si="4"/>
        <v>84.702970297029708</v>
      </c>
      <c r="M13" s="19">
        <f>'10'!G15</f>
        <v>665</v>
      </c>
      <c r="N13" s="19">
        <v>35</v>
      </c>
      <c r="O13" s="238">
        <f t="shared" si="5"/>
        <v>23275</v>
      </c>
      <c r="P13" s="19">
        <f>'10'!G20</f>
        <v>86</v>
      </c>
      <c r="Q13" s="19">
        <v>134</v>
      </c>
      <c r="R13" s="239">
        <f t="shared" si="0"/>
        <v>11524</v>
      </c>
      <c r="S13" s="240">
        <f t="shared" si="1"/>
        <v>47.836244298587161</v>
      </c>
      <c r="T13" s="19">
        <f>'10'!G24</f>
        <v>0</v>
      </c>
      <c r="U13" s="19">
        <v>69</v>
      </c>
      <c r="V13" s="241">
        <f t="shared" si="6"/>
        <v>0</v>
      </c>
      <c r="W13" s="22">
        <f>'10'!G96</f>
        <v>59</v>
      </c>
      <c r="X13" s="22">
        <f>'10'!G97</f>
        <v>11</v>
      </c>
      <c r="Y13" s="22">
        <f>'10'!G98</f>
        <v>16</v>
      </c>
      <c r="Z13" s="22">
        <f t="shared" si="7"/>
        <v>86</v>
      </c>
      <c r="AA13" s="19">
        <f>'10'!G133</f>
        <v>23.44999999999709</v>
      </c>
      <c r="AB13" s="19">
        <f>'10'!G134</f>
        <v>0</v>
      </c>
      <c r="AC13" s="19">
        <f>'10'!G135</f>
        <v>0</v>
      </c>
      <c r="AD13" s="19">
        <f>'10'!G136</f>
        <v>0</v>
      </c>
      <c r="AE13" s="19">
        <f t="shared" si="8"/>
        <v>23.44999999999709</v>
      </c>
      <c r="AF13" s="23">
        <f t="shared" si="2"/>
        <v>4704.3899999999994</v>
      </c>
      <c r="AG13" s="23">
        <f t="shared" si="9"/>
        <v>200.61364605546197</v>
      </c>
      <c r="AH13" s="19">
        <f>'10'!G137</f>
        <v>7.7999999999992724</v>
      </c>
      <c r="AI13" s="19">
        <f>'10'!G138</f>
        <v>0</v>
      </c>
      <c r="AJ13" s="19">
        <f>'10'!G139</f>
        <v>0</v>
      </c>
      <c r="AK13" s="19">
        <f t="shared" si="10"/>
        <v>7.7999999999992724</v>
      </c>
      <c r="AL13" s="19">
        <f>'10'!G140</f>
        <v>7.9000000000000909</v>
      </c>
      <c r="AM13" s="19">
        <f>'10'!G141</f>
        <v>0</v>
      </c>
      <c r="AN13" s="19"/>
      <c r="AO13" s="19">
        <f t="shared" si="11"/>
        <v>7.9000000000000909</v>
      </c>
      <c r="AP13" s="258">
        <f>'10'!G124</f>
        <v>211</v>
      </c>
      <c r="AQ13" s="261">
        <f>'10'!G35</f>
        <v>2172</v>
      </c>
      <c r="AR13" s="19">
        <f>'10'!G37</f>
        <v>1349</v>
      </c>
      <c r="AS13" s="19">
        <f>'10'!G38</f>
        <v>1210</v>
      </c>
      <c r="AT13" s="19">
        <f>'10'!G39</f>
        <v>3175</v>
      </c>
      <c r="AU13" s="19">
        <f>'10'!G40</f>
        <v>0</v>
      </c>
      <c r="AV13" s="19">
        <f>'10'!G41</f>
        <v>4704</v>
      </c>
      <c r="AW13" s="19">
        <f>'10'!G42</f>
        <v>0.38999999999941792</v>
      </c>
      <c r="AX13" s="19">
        <f>'10'!G43</f>
        <v>2439</v>
      </c>
      <c r="AY13" s="23">
        <f>'10'!G44</f>
        <v>0</v>
      </c>
      <c r="AZ13" s="262">
        <f>'10'!G36</f>
        <v>564</v>
      </c>
      <c r="BA13" s="261">
        <f>'10'!G49</f>
        <v>0</v>
      </c>
      <c r="BB13" s="19">
        <f>'10'!G51</f>
        <v>0</v>
      </c>
      <c r="BC13" s="19">
        <f>'10'!G52</f>
        <v>0</v>
      </c>
      <c r="BD13" s="19">
        <f>'10'!G53</f>
        <v>0.33000000001629815</v>
      </c>
      <c r="BE13" s="19">
        <f>'10'!G54</f>
        <v>79</v>
      </c>
      <c r="BF13" s="19">
        <f>'10'!G55</f>
        <v>0</v>
      </c>
      <c r="BG13" s="19">
        <f>'10'!G56</f>
        <v>0</v>
      </c>
      <c r="BH13" s="19">
        <f>'10'!G57</f>
        <v>0</v>
      </c>
      <c r="BI13" s="262">
        <f>'10'!G50</f>
        <v>890</v>
      </c>
      <c r="BJ13" s="370">
        <f t="shared" si="12"/>
        <v>4704.3899999999994</v>
      </c>
      <c r="BK13" s="370">
        <f>'8'!G84</f>
        <v>696</v>
      </c>
      <c r="BL13" s="23">
        <f t="shared" si="13"/>
        <v>54.444126241963765</v>
      </c>
      <c r="BM13" s="23">
        <f t="shared" si="14"/>
        <v>18.558328462887296</v>
      </c>
      <c r="BN13" s="24">
        <f t="shared" si="15"/>
        <v>7.0718877849210993E-2</v>
      </c>
      <c r="BO13" s="25">
        <f t="shared" si="16"/>
        <v>205369</v>
      </c>
      <c r="BP13" s="213">
        <f t="shared" si="17"/>
        <v>7839.3899999999994</v>
      </c>
      <c r="BQ13">
        <f t="shared" si="18"/>
        <v>1.1939369479136419</v>
      </c>
    </row>
    <row r="14" spans="1:70">
      <c r="A14" s="16">
        <v>11</v>
      </c>
      <c r="B14" s="17">
        <v>11</v>
      </c>
      <c r="C14" s="27"/>
      <c r="D14" s="19">
        <f>'11'!D3</f>
        <v>29</v>
      </c>
      <c r="E14" s="256">
        <f>'11'!D4</f>
        <v>0.8</v>
      </c>
      <c r="F14" s="256">
        <f>'11'!D2</f>
        <v>0.92</v>
      </c>
      <c r="G14" s="19">
        <f>'11'!G8</f>
        <v>17188</v>
      </c>
      <c r="H14" s="19">
        <f>'11'!G7</f>
        <v>17131</v>
      </c>
      <c r="I14" s="19">
        <f>'11'!G8</f>
        <v>17188</v>
      </c>
      <c r="J14" s="19">
        <v>10</v>
      </c>
      <c r="K14" s="242">
        <f t="shared" si="3"/>
        <v>171310</v>
      </c>
      <c r="L14" s="238">
        <f t="shared" si="4"/>
        <v>85.089108910891085</v>
      </c>
      <c r="M14" s="19">
        <f>'11'!G15</f>
        <v>498</v>
      </c>
      <c r="N14" s="19">
        <v>35</v>
      </c>
      <c r="O14" s="238">
        <f t="shared" si="5"/>
        <v>17430</v>
      </c>
      <c r="P14" s="19">
        <f>'11'!G20</f>
        <v>103</v>
      </c>
      <c r="Q14" s="19">
        <v>134</v>
      </c>
      <c r="R14" s="239">
        <f t="shared" si="0"/>
        <v>13802</v>
      </c>
      <c r="S14" s="240">
        <f t="shared" si="1"/>
        <v>55.42402066293586</v>
      </c>
      <c r="T14" s="19">
        <f>'11'!G24</f>
        <v>0</v>
      </c>
      <c r="U14" s="19">
        <v>69</v>
      </c>
      <c r="V14" s="241">
        <f t="shared" si="6"/>
        <v>0</v>
      </c>
      <c r="W14" s="22">
        <f>'11'!G96</f>
        <v>46</v>
      </c>
      <c r="X14" s="22">
        <f>'11'!G97</f>
        <v>9</v>
      </c>
      <c r="Y14" s="22">
        <f>'11'!G98</f>
        <v>26</v>
      </c>
      <c r="Z14" s="22">
        <f t="shared" si="7"/>
        <v>81</v>
      </c>
      <c r="AA14" s="19">
        <f>'11'!G133</f>
        <v>24.020000000004075</v>
      </c>
      <c r="AB14" s="19">
        <f>'11'!G134</f>
        <v>0</v>
      </c>
      <c r="AC14" s="19">
        <f>'11'!G135</f>
        <v>0</v>
      </c>
      <c r="AD14" s="19">
        <f>'11'!G136</f>
        <v>-5.0000000002910383E-2</v>
      </c>
      <c r="AE14" s="19">
        <f t="shared" si="8"/>
        <v>23.970000000001164</v>
      </c>
      <c r="AF14" s="23">
        <f t="shared" si="2"/>
        <v>4819</v>
      </c>
      <c r="AG14" s="23">
        <f t="shared" si="9"/>
        <v>201.04297037963144</v>
      </c>
      <c r="AH14" s="19">
        <f>'11'!G137</f>
        <v>0</v>
      </c>
      <c r="AI14" s="19">
        <f>'11'!G138</f>
        <v>0</v>
      </c>
      <c r="AJ14" s="19">
        <f>'11'!G139</f>
        <v>7.5899999999965075</v>
      </c>
      <c r="AK14" s="19">
        <f t="shared" si="10"/>
        <v>7.5899999999965075</v>
      </c>
      <c r="AL14" s="19">
        <f>'11'!G140</f>
        <v>8.5999999999999091</v>
      </c>
      <c r="AM14" s="19">
        <f>'11'!G141</f>
        <v>0</v>
      </c>
      <c r="AN14" s="19"/>
      <c r="AO14" s="19">
        <f t="shared" si="11"/>
        <v>8.5999999999999091</v>
      </c>
      <c r="AP14" s="258">
        <f>'11'!G124</f>
        <v>230</v>
      </c>
      <c r="AQ14" s="261">
        <f>'11'!G35</f>
        <v>2190</v>
      </c>
      <c r="AR14" s="19">
        <f>'11'!G37</f>
        <v>1386</v>
      </c>
      <c r="AS14" s="19">
        <f>'11'!G38</f>
        <v>1184</v>
      </c>
      <c r="AT14" s="19">
        <f>'11'!G39</f>
        <v>3233</v>
      </c>
      <c r="AU14" s="19">
        <f>'11'!G40</f>
        <v>0</v>
      </c>
      <c r="AV14" s="19">
        <f>'11'!G41</f>
        <v>4819</v>
      </c>
      <c r="AW14" s="19">
        <f>'11'!G42</f>
        <v>0</v>
      </c>
      <c r="AX14" s="19">
        <f>'11'!G43</f>
        <v>2435</v>
      </c>
      <c r="AY14" s="23">
        <f>'11'!G44</f>
        <v>0</v>
      </c>
      <c r="AZ14" s="262">
        <f>'11'!G36</f>
        <v>578</v>
      </c>
      <c r="BA14" s="261">
        <f>'11'!G49</f>
        <v>0</v>
      </c>
      <c r="BB14" s="19">
        <f>'11'!G51</f>
        <v>0</v>
      </c>
      <c r="BC14" s="19">
        <f>'11'!G52</f>
        <v>0</v>
      </c>
      <c r="BD14" s="19">
        <f>'11'!G53</f>
        <v>0</v>
      </c>
      <c r="BE14" s="19">
        <f>'11'!G54</f>
        <v>82</v>
      </c>
      <c r="BF14" s="19">
        <f>'11'!G55</f>
        <v>0</v>
      </c>
      <c r="BG14" s="19">
        <f>'11'!G56</f>
        <v>0</v>
      </c>
      <c r="BH14" s="19">
        <f>'11'!G57</f>
        <v>0</v>
      </c>
      <c r="BI14" s="262">
        <f>'11'!G50</f>
        <v>897</v>
      </c>
      <c r="BJ14" s="370">
        <f t="shared" si="12"/>
        <v>4819</v>
      </c>
      <c r="BK14" s="370">
        <f>'11'!G84</f>
        <v>564</v>
      </c>
      <c r="BL14" s="23">
        <f t="shared" si="13"/>
        <v>54.945310681871071</v>
      </c>
      <c r="BM14" s="23">
        <f t="shared" si="14"/>
        <v>18.809634628810798</v>
      </c>
      <c r="BN14" s="24">
        <f t="shared" si="15"/>
        <v>6.8885268792180585E-2</v>
      </c>
      <c r="BO14" s="25">
        <f t="shared" si="16"/>
        <v>202542</v>
      </c>
      <c r="BP14" s="213">
        <f t="shared" si="17"/>
        <v>7818</v>
      </c>
      <c r="BQ14">
        <f t="shared" si="18"/>
        <v>1.1648489182906641</v>
      </c>
    </row>
    <row r="15" spans="1:70">
      <c r="A15" s="16">
        <v>12</v>
      </c>
      <c r="B15" s="26">
        <v>12</v>
      </c>
      <c r="C15" s="27"/>
      <c r="D15" s="19">
        <f>'12'!D3</f>
        <v>28</v>
      </c>
      <c r="E15" s="256">
        <f>'12'!D4</f>
        <v>0.79</v>
      </c>
      <c r="F15" s="256">
        <f>'12'!D2</f>
        <v>0.78</v>
      </c>
      <c r="G15" s="19">
        <f>'12'!G8</f>
        <v>18830</v>
      </c>
      <c r="H15" s="19">
        <f>'12'!G7</f>
        <v>18761</v>
      </c>
      <c r="I15" s="19">
        <f>'12'!G8</f>
        <v>18830</v>
      </c>
      <c r="J15" s="19">
        <v>10</v>
      </c>
      <c r="K15" s="242">
        <f t="shared" si="3"/>
        <v>187610</v>
      </c>
      <c r="L15" s="238">
        <f t="shared" si="4"/>
        <v>93.21782178217822</v>
      </c>
      <c r="M15" s="19">
        <f>'12'!G15</f>
        <v>460</v>
      </c>
      <c r="N15" s="19">
        <v>35</v>
      </c>
      <c r="O15" s="234">
        <f t="shared" si="5"/>
        <v>16100</v>
      </c>
      <c r="P15" s="19">
        <f>'12'!G20</f>
        <v>125</v>
      </c>
      <c r="Q15" s="19">
        <v>134</v>
      </c>
      <c r="R15" s="239">
        <f t="shared" si="0"/>
        <v>16750</v>
      </c>
      <c r="S15" s="240">
        <f t="shared" si="1"/>
        <v>79.334856562579333</v>
      </c>
      <c r="T15" s="19">
        <f>'12'!G24</f>
        <v>0</v>
      </c>
      <c r="U15" s="19">
        <v>69</v>
      </c>
      <c r="V15" s="241">
        <f t="shared" si="6"/>
        <v>0</v>
      </c>
      <c r="W15" s="22">
        <f>'12'!G96</f>
        <v>36</v>
      </c>
      <c r="X15" s="22">
        <f>'12'!G97</f>
        <v>16</v>
      </c>
      <c r="Y15" s="22">
        <f>'12'!G98</f>
        <v>37</v>
      </c>
      <c r="Z15" s="22">
        <f t="shared" si="7"/>
        <v>89</v>
      </c>
      <c r="AA15" s="19">
        <f>'12'!G133</f>
        <v>23.979999999995925</v>
      </c>
      <c r="AB15" s="19">
        <f>'12'!G134</f>
        <v>0</v>
      </c>
      <c r="AC15" s="19">
        <f>'12'!G135</f>
        <v>0</v>
      </c>
      <c r="AD15" s="19">
        <f>'12'!G136</f>
        <v>0</v>
      </c>
      <c r="AE15" s="19">
        <f t="shared" si="8"/>
        <v>23.979999999995925</v>
      </c>
      <c r="AF15" s="23">
        <f t="shared" si="2"/>
        <v>5598</v>
      </c>
      <c r="AG15" s="23">
        <f t="shared" si="9"/>
        <v>233.44453711430154</v>
      </c>
      <c r="AH15" s="19">
        <f>'12'!G137</f>
        <v>0</v>
      </c>
      <c r="AI15" s="19">
        <f>'12'!G138</f>
        <v>0</v>
      </c>
      <c r="AJ15" s="19">
        <f>'12'!G139</f>
        <v>4.6499999999941792</v>
      </c>
      <c r="AK15" s="19">
        <f t="shared" si="10"/>
        <v>4.6499999999941792</v>
      </c>
      <c r="AL15" s="19">
        <f>'12'!G140</f>
        <v>9.0900000000001455</v>
      </c>
      <c r="AM15" s="19">
        <f>'12'!G141</f>
        <v>0</v>
      </c>
      <c r="AN15" s="19"/>
      <c r="AO15" s="19">
        <f t="shared" si="11"/>
        <v>9.0900000000001455</v>
      </c>
      <c r="AP15" s="258">
        <f>'12'!G124</f>
        <v>238</v>
      </c>
      <c r="AQ15" s="261">
        <f>'12'!G35</f>
        <v>2554</v>
      </c>
      <c r="AR15" s="19">
        <f>'12'!G37</f>
        <v>1461</v>
      </c>
      <c r="AS15" s="19">
        <f>'12'!G38</f>
        <v>1383</v>
      </c>
      <c r="AT15" s="19">
        <f>'12'!G39</f>
        <v>3517</v>
      </c>
      <c r="AU15" s="19">
        <f>'12'!G40</f>
        <v>0</v>
      </c>
      <c r="AV15" s="19">
        <f>'12'!G41</f>
        <v>5598</v>
      </c>
      <c r="AW15" s="19">
        <f>'12'!G42</f>
        <v>0</v>
      </c>
      <c r="AX15" s="19">
        <f>'12'!G43</f>
        <v>2382</v>
      </c>
      <c r="AY15" s="23">
        <f>'12'!G44</f>
        <v>0</v>
      </c>
      <c r="AZ15" s="262">
        <f>'12'!G36</f>
        <v>544</v>
      </c>
      <c r="BA15" s="261">
        <f>'12'!G49</f>
        <v>0</v>
      </c>
      <c r="BB15" s="19">
        <f>'12'!G51</f>
        <v>0</v>
      </c>
      <c r="BC15" s="19">
        <f>'12'!G52</f>
        <v>0</v>
      </c>
      <c r="BD15" s="19">
        <f>'12'!G53</f>
        <v>0</v>
      </c>
      <c r="BE15" s="19">
        <f>'12'!G54</f>
        <v>83</v>
      </c>
      <c r="BF15" s="19">
        <f>'12'!G55</f>
        <v>0</v>
      </c>
      <c r="BG15" s="19">
        <f>'12'!G56</f>
        <v>0</v>
      </c>
      <c r="BH15" s="19">
        <f>'12'!G57</f>
        <v>0</v>
      </c>
      <c r="BI15" s="262">
        <f>'12'!G50</f>
        <v>939</v>
      </c>
      <c r="BJ15" s="370">
        <f t="shared" si="12"/>
        <v>5598</v>
      </c>
      <c r="BK15" s="370">
        <f>'12'!G84</f>
        <v>596</v>
      </c>
      <c r="BL15" s="23">
        <f t="shared" si="13"/>
        <v>55.942644715878913</v>
      </c>
      <c r="BM15" s="23">
        <f t="shared" si="14"/>
        <v>18.677642060541686</v>
      </c>
      <c r="BN15" s="24">
        <f t="shared" si="15"/>
        <v>7.3446627721720656E-2</v>
      </c>
      <c r="BO15" s="25">
        <f t="shared" si="16"/>
        <v>220460</v>
      </c>
      <c r="BP15" s="213">
        <f t="shared" si="17"/>
        <v>8576</v>
      </c>
      <c r="BQ15">
        <f t="shared" si="18"/>
        <v>1.2772548552367236</v>
      </c>
    </row>
    <row r="16" spans="1:70">
      <c r="A16" s="16">
        <v>13</v>
      </c>
      <c r="B16" s="26">
        <v>13</v>
      </c>
      <c r="C16" s="26"/>
      <c r="D16" s="19">
        <f>'13'!D3</f>
        <v>27</v>
      </c>
      <c r="E16" s="256">
        <f>'13'!D4</f>
        <v>0.92</v>
      </c>
      <c r="F16" s="256">
        <f>'13'!D2</f>
        <v>0.26</v>
      </c>
      <c r="G16" s="19">
        <f>'13'!G8</f>
        <v>20443</v>
      </c>
      <c r="H16" s="19">
        <f>'13'!G7</f>
        <v>20334</v>
      </c>
      <c r="I16" s="19">
        <f>'13'!G8</f>
        <v>20443</v>
      </c>
      <c r="J16" s="19">
        <v>10</v>
      </c>
      <c r="K16" s="242">
        <f t="shared" si="3"/>
        <v>203340</v>
      </c>
      <c r="L16" s="238">
        <f t="shared" si="4"/>
        <v>101.20297029702971</v>
      </c>
      <c r="M16" s="19">
        <f>'13'!G15</f>
        <v>737</v>
      </c>
      <c r="N16" s="19">
        <v>35</v>
      </c>
      <c r="O16" s="234">
        <f t="shared" si="5"/>
        <v>25795</v>
      </c>
      <c r="P16" s="19">
        <f>'13'!G20</f>
        <v>194</v>
      </c>
      <c r="Q16" s="19">
        <v>134</v>
      </c>
      <c r="R16" s="239">
        <f t="shared" si="0"/>
        <v>25996</v>
      </c>
      <c r="S16" s="240">
        <f t="shared" si="1"/>
        <v>369.38309215536941</v>
      </c>
      <c r="T16" s="19">
        <f>'13'!G24</f>
        <v>0</v>
      </c>
      <c r="U16" s="19">
        <v>69</v>
      </c>
      <c r="V16" s="241">
        <f t="shared" si="6"/>
        <v>0</v>
      </c>
      <c r="W16" s="22">
        <f>'13'!G96</f>
        <v>64</v>
      </c>
      <c r="X16" s="22">
        <f>'13'!G97</f>
        <v>34</v>
      </c>
      <c r="Y16" s="22">
        <f>'13'!G98</f>
        <v>47</v>
      </c>
      <c r="Z16" s="22">
        <f t="shared" si="7"/>
        <v>145</v>
      </c>
      <c r="AA16" s="19">
        <f>'13'!G133</f>
        <v>23.55000000000291</v>
      </c>
      <c r="AB16" s="19">
        <f>'13'!G134</f>
        <v>0</v>
      </c>
      <c r="AC16" s="19">
        <f>'13'!G135</f>
        <v>5.5500000000029104</v>
      </c>
      <c r="AD16" s="19">
        <f>'13'!G136</f>
        <v>0</v>
      </c>
      <c r="AE16" s="19">
        <f t="shared" si="8"/>
        <v>29.100000000005821</v>
      </c>
      <c r="AF16" s="23">
        <f t="shared" si="2"/>
        <v>6701.4799999999959</v>
      </c>
      <c r="AG16" s="23">
        <f t="shared" si="9"/>
        <v>230.29140893466169</v>
      </c>
      <c r="AH16" s="19">
        <f>'13'!G137</f>
        <v>8</v>
      </c>
      <c r="AI16" s="19">
        <f>'13'!G138</f>
        <v>0</v>
      </c>
      <c r="AJ16" s="19">
        <f>'13'!G139</f>
        <v>0</v>
      </c>
      <c r="AK16" s="19">
        <f t="shared" si="10"/>
        <v>8</v>
      </c>
      <c r="AL16" s="19">
        <f>'13'!G140</f>
        <v>9.2199999999997999</v>
      </c>
      <c r="AM16" s="19">
        <f>'13'!G141</f>
        <v>0</v>
      </c>
      <c r="AN16" s="19"/>
      <c r="AO16" s="19">
        <f t="shared" si="11"/>
        <v>9.2199999999997999</v>
      </c>
      <c r="AP16" s="258">
        <f>'13'!G124</f>
        <v>245</v>
      </c>
      <c r="AQ16" s="261">
        <f>'13'!G35</f>
        <v>2615</v>
      </c>
      <c r="AR16" s="19">
        <f>'13'!G37</f>
        <v>1413</v>
      </c>
      <c r="AS16" s="19">
        <f>'13'!G38</f>
        <v>1494</v>
      </c>
      <c r="AT16" s="19">
        <f>'13'!G39</f>
        <v>3369</v>
      </c>
      <c r="AU16" s="19">
        <f>'13'!G40</f>
        <v>169</v>
      </c>
      <c r="AV16" s="19">
        <f>'13'!G41</f>
        <v>5498</v>
      </c>
      <c r="AW16" s="19">
        <f>'13'!G42</f>
        <v>0</v>
      </c>
      <c r="AX16" s="19">
        <f>'13'!G43</f>
        <v>2647</v>
      </c>
      <c r="AY16" s="23">
        <f>'13'!G44</f>
        <v>0</v>
      </c>
      <c r="AZ16" s="262">
        <f>'13'!G36</f>
        <v>557</v>
      </c>
      <c r="BA16" s="261">
        <f>'13'!G49</f>
        <v>0</v>
      </c>
      <c r="BB16" s="19">
        <f>'13'!G51</f>
        <v>0</v>
      </c>
      <c r="BC16" s="19">
        <f>'13'!G52</f>
        <v>0</v>
      </c>
      <c r="BD16" s="19">
        <f>'13'!G53</f>
        <v>0</v>
      </c>
      <c r="BE16" s="19">
        <f>'13'!G54</f>
        <v>81</v>
      </c>
      <c r="BF16" s="19">
        <f>'13'!G55</f>
        <v>1161.4799999999959</v>
      </c>
      <c r="BG16" s="19">
        <f>'13'!G56</f>
        <v>42</v>
      </c>
      <c r="BH16" s="19">
        <f>'13'!G57</f>
        <v>0.32999999999992724</v>
      </c>
      <c r="BI16" s="262">
        <f>'13'!G50</f>
        <v>1050</v>
      </c>
      <c r="BJ16" s="370">
        <f t="shared" si="12"/>
        <v>6701.4799999999959</v>
      </c>
      <c r="BK16" s="370">
        <f>'13'!G84</f>
        <v>687</v>
      </c>
      <c r="BL16" s="23">
        <f t="shared" si="13"/>
        <v>58.522770630533657</v>
      </c>
      <c r="BM16" s="23">
        <f t="shared" si="14"/>
        <v>16.479968693440298</v>
      </c>
      <c r="BN16" s="24">
        <f t="shared" si="15"/>
        <v>7.3081250305728124E-2</v>
      </c>
      <c r="BO16" s="25">
        <f t="shared" si="16"/>
        <v>255131</v>
      </c>
      <c r="BP16" s="213">
        <f t="shared" si="17"/>
        <v>10035.809999999996</v>
      </c>
      <c r="BQ16">
        <f t="shared" si="18"/>
        <v>1.2316899852722125</v>
      </c>
    </row>
    <row r="17" spans="1:69">
      <c r="A17" s="16">
        <v>14</v>
      </c>
      <c r="B17" s="17">
        <v>14</v>
      </c>
      <c r="C17" s="27"/>
      <c r="D17" s="19">
        <f>'14'!D3</f>
        <v>28</v>
      </c>
      <c r="E17" s="256">
        <f>'14'!D4</f>
        <v>0.85</v>
      </c>
      <c r="F17" s="256">
        <f>'14'!D2</f>
        <v>0.25</v>
      </c>
      <c r="G17" s="19">
        <f>'14'!G8</f>
        <v>19974</v>
      </c>
      <c r="H17" s="19">
        <f>'14'!G7</f>
        <v>19865</v>
      </c>
      <c r="I17" s="19">
        <f>'14'!G8</f>
        <v>19974</v>
      </c>
      <c r="J17" s="19">
        <v>10</v>
      </c>
      <c r="K17" s="242">
        <f t="shared" si="3"/>
        <v>198650</v>
      </c>
      <c r="L17" s="238">
        <f t="shared" si="4"/>
        <v>98.881188118811878</v>
      </c>
      <c r="M17" s="19">
        <f>'14'!G15</f>
        <v>822</v>
      </c>
      <c r="N17" s="19">
        <v>35</v>
      </c>
      <c r="O17" s="234">
        <f t="shared" si="5"/>
        <v>28770</v>
      </c>
      <c r="P17" s="19">
        <f>'14'!G20</f>
        <v>183</v>
      </c>
      <c r="Q17" s="19">
        <v>134</v>
      </c>
      <c r="R17" s="239">
        <f t="shared" si="0"/>
        <v>24522</v>
      </c>
      <c r="S17" s="240">
        <f t="shared" si="1"/>
        <v>362.37623762376239</v>
      </c>
      <c r="T17" s="19">
        <f>'14'!G24</f>
        <v>0</v>
      </c>
      <c r="U17" s="19">
        <v>69</v>
      </c>
      <c r="V17" s="241">
        <f t="shared" si="6"/>
        <v>0</v>
      </c>
      <c r="W17" s="22">
        <f>'14'!G96</f>
        <v>68</v>
      </c>
      <c r="X17" s="22">
        <f>'14'!G97</f>
        <v>23</v>
      </c>
      <c r="Y17" s="22">
        <f>'14'!G98</f>
        <v>21</v>
      </c>
      <c r="Z17" s="22">
        <f>W17+X17+Y17</f>
        <v>112</v>
      </c>
      <c r="AA17" s="19">
        <f>'14'!G133</f>
        <v>24</v>
      </c>
      <c r="AB17" s="19">
        <f>'14'!G134</f>
        <v>0</v>
      </c>
      <c r="AC17" s="19">
        <f>'14'!G135</f>
        <v>7</v>
      </c>
      <c r="AD17" s="19">
        <f>'14'!G136</f>
        <v>0</v>
      </c>
      <c r="AE17" s="19">
        <f t="shared" si="8"/>
        <v>31</v>
      </c>
      <c r="AF17" s="23">
        <f t="shared" si="2"/>
        <v>6350</v>
      </c>
      <c r="AG17" s="23">
        <f t="shared" si="9"/>
        <v>204.83870967741936</v>
      </c>
      <c r="AH17" s="19">
        <f>'14'!G137</f>
        <v>8.9800000000032014</v>
      </c>
      <c r="AI17" s="19">
        <f>'14'!G138</f>
        <v>0</v>
      </c>
      <c r="AJ17" s="19">
        <f>'14'!G139</f>
        <v>0</v>
      </c>
      <c r="AK17" s="19">
        <f t="shared" si="10"/>
        <v>8.9800000000032014</v>
      </c>
      <c r="AL17" s="19">
        <f>'14'!G140</f>
        <v>9.7100000000000364</v>
      </c>
      <c r="AM17" s="19">
        <f>'14'!G141</f>
        <v>0</v>
      </c>
      <c r="AN17" s="19"/>
      <c r="AO17" s="19">
        <f t="shared" si="11"/>
        <v>9.7100000000000364</v>
      </c>
      <c r="AP17" s="258">
        <f>'14'!G124</f>
        <v>259</v>
      </c>
      <c r="AQ17" s="261">
        <f>'14'!G35</f>
        <v>2582</v>
      </c>
      <c r="AR17" s="19">
        <f>'14'!G37</f>
        <v>1388</v>
      </c>
      <c r="AS17" s="19">
        <f>'14'!G38</f>
        <v>1470</v>
      </c>
      <c r="AT17" s="19">
        <f>'14'!G39</f>
        <v>3252</v>
      </c>
      <c r="AU17" s="19">
        <f>'14'!G40</f>
        <v>232</v>
      </c>
      <c r="AV17" s="19">
        <f>'14'!G41</f>
        <v>5138</v>
      </c>
      <c r="AW17" s="19">
        <f>'14'!G42</f>
        <v>0</v>
      </c>
      <c r="AX17" s="19">
        <f>'14'!G43</f>
        <v>2656</v>
      </c>
      <c r="AY17" s="23">
        <f>'14'!G44</f>
        <v>0</v>
      </c>
      <c r="AZ17" s="262">
        <f>'14'!G36</f>
        <v>648</v>
      </c>
      <c r="BA17" s="261">
        <f>'14'!G49</f>
        <v>-0.13000000000465661</v>
      </c>
      <c r="BB17" s="19">
        <f>'14'!G51</f>
        <v>0</v>
      </c>
      <c r="BC17" s="19">
        <f>'14'!G52</f>
        <v>0</v>
      </c>
      <c r="BD17" s="19">
        <f>'14'!G53</f>
        <v>0</v>
      </c>
      <c r="BE17" s="19">
        <f>'14'!G54</f>
        <v>83</v>
      </c>
      <c r="BF17" s="19">
        <f>'14'!G55</f>
        <v>1202</v>
      </c>
      <c r="BG17" s="19">
        <f>'14'!G56</f>
        <v>10</v>
      </c>
      <c r="BH17" s="19">
        <f>'14'!G57</f>
        <v>0</v>
      </c>
      <c r="BI17" s="262">
        <f>'14'!G50</f>
        <v>947</v>
      </c>
      <c r="BJ17" s="370">
        <f t="shared" si="12"/>
        <v>6350</v>
      </c>
      <c r="BK17" s="370">
        <f>'14'!G84</f>
        <v>754</v>
      </c>
      <c r="BL17" s="23">
        <f t="shared" si="13"/>
        <v>58.014769199959922</v>
      </c>
      <c r="BM17" s="23">
        <f t="shared" si="14"/>
        <v>16.281165515169722</v>
      </c>
      <c r="BN17" s="24">
        <f t="shared" si="15"/>
        <v>7.3595674376689693E-2</v>
      </c>
      <c r="BO17" s="25">
        <f t="shared" si="16"/>
        <v>251942</v>
      </c>
      <c r="BP17" s="213">
        <f t="shared" si="17"/>
        <v>9760</v>
      </c>
      <c r="BQ17">
        <f t="shared" si="18"/>
        <v>1.1244239631336406</v>
      </c>
    </row>
    <row r="18" spans="1:69">
      <c r="A18" s="16">
        <v>15</v>
      </c>
      <c r="B18" s="26">
        <v>15</v>
      </c>
      <c r="C18" s="18"/>
      <c r="D18" s="19">
        <f>'15'!D3</f>
        <v>28</v>
      </c>
      <c r="E18" s="256">
        <f>'15'!D4</f>
        <v>0.89</v>
      </c>
      <c r="F18" s="256">
        <f>'15'!D2</f>
        <v>0.26</v>
      </c>
      <c r="G18" s="19">
        <f>'15'!G8</f>
        <v>17859</v>
      </c>
      <c r="H18" s="19">
        <f>'15'!G7</f>
        <v>17768</v>
      </c>
      <c r="I18" s="19">
        <f>'15'!G8</f>
        <v>17859</v>
      </c>
      <c r="J18" s="19">
        <v>10</v>
      </c>
      <c r="K18" s="242">
        <f t="shared" si="3"/>
        <v>177680</v>
      </c>
      <c r="L18" s="238">
        <f t="shared" si="4"/>
        <v>88.410891089108915</v>
      </c>
      <c r="M18" s="19">
        <f>'15'!G15</f>
        <v>553</v>
      </c>
      <c r="N18" s="19">
        <v>35</v>
      </c>
      <c r="O18" s="234">
        <f t="shared" si="5"/>
        <v>19355</v>
      </c>
      <c r="P18" s="19">
        <f>'15'!G20</f>
        <v>142</v>
      </c>
      <c r="Q18" s="19">
        <v>134</v>
      </c>
      <c r="R18" s="239">
        <f t="shared" si="0"/>
        <v>19028</v>
      </c>
      <c r="S18" s="240">
        <f t="shared" si="1"/>
        <v>270.37319116527038</v>
      </c>
      <c r="T18" s="19">
        <f>'15'!G24</f>
        <v>0</v>
      </c>
      <c r="U18" s="19">
        <v>69</v>
      </c>
      <c r="V18" s="241">
        <f t="shared" si="6"/>
        <v>0</v>
      </c>
      <c r="W18" s="22">
        <f>'15'!G96</f>
        <v>65</v>
      </c>
      <c r="X18" s="22">
        <f>'15'!G97</f>
        <v>10</v>
      </c>
      <c r="Y18" s="22">
        <f>'15'!G98</f>
        <v>17</v>
      </c>
      <c r="Z18" s="22">
        <f t="shared" si="7"/>
        <v>92</v>
      </c>
      <c r="AA18" s="19">
        <f>'15'!G133</f>
        <v>24</v>
      </c>
      <c r="AB18" s="19">
        <f>'15'!G134</f>
        <v>0</v>
      </c>
      <c r="AC18" s="19">
        <f>'15'!G135</f>
        <v>0</v>
      </c>
      <c r="AD18" s="19">
        <f>'15'!G136</f>
        <v>0</v>
      </c>
      <c r="AE18" s="19">
        <f t="shared" si="8"/>
        <v>24</v>
      </c>
      <c r="AF18" s="23">
        <f t="shared" si="2"/>
        <v>5200</v>
      </c>
      <c r="AG18" s="23">
        <f t="shared" si="9"/>
        <v>216.66666666666666</v>
      </c>
      <c r="AH18" s="19">
        <f>'15'!G137</f>
        <v>-0.49000000000160071</v>
      </c>
      <c r="AI18" s="19">
        <f>'15'!G138</f>
        <v>0</v>
      </c>
      <c r="AJ18" s="19">
        <f>'15'!G139</f>
        <v>9.9800000000104774</v>
      </c>
      <c r="AK18" s="19">
        <f t="shared" si="10"/>
        <v>9.4900000000088767</v>
      </c>
      <c r="AL18" s="19">
        <f>'15'!G140</f>
        <v>10.410000000000082</v>
      </c>
      <c r="AM18" s="19">
        <f>'15'!G141</f>
        <v>0</v>
      </c>
      <c r="AN18" s="19"/>
      <c r="AO18" s="19">
        <f t="shared" si="11"/>
        <v>10.410000000000082</v>
      </c>
      <c r="AP18" s="258">
        <f>'15'!G124</f>
        <v>259</v>
      </c>
      <c r="AQ18" s="261">
        <f>'15'!G35</f>
        <v>2472</v>
      </c>
      <c r="AR18" s="19">
        <f>'15'!G37</f>
        <v>1405</v>
      </c>
      <c r="AS18" s="19">
        <f>'15'!G38</f>
        <v>1254</v>
      </c>
      <c r="AT18" s="19">
        <f>'15'!G39</f>
        <v>2893</v>
      </c>
      <c r="AU18" s="19">
        <f>'15'!G40</f>
        <v>220</v>
      </c>
      <c r="AV18" s="19">
        <f>'15'!G41</f>
        <v>5189</v>
      </c>
      <c r="AW18" s="19">
        <f>'15'!G42</f>
        <v>0</v>
      </c>
      <c r="AX18" s="19">
        <f>'15'!G43</f>
        <v>2467</v>
      </c>
      <c r="AY18" s="23">
        <f>'15'!G44</f>
        <v>0</v>
      </c>
      <c r="AZ18" s="262">
        <f>'15'!G36</f>
        <v>664</v>
      </c>
      <c r="BA18" s="261">
        <f>'15'!G49</f>
        <v>0</v>
      </c>
      <c r="BB18" s="19">
        <f>'15'!G51</f>
        <v>0</v>
      </c>
      <c r="BC18" s="19">
        <f>'15'!G52</f>
        <v>-6.9999999948777258E-2</v>
      </c>
      <c r="BD18" s="19">
        <f>'15'!G53</f>
        <v>0</v>
      </c>
      <c r="BE18" s="19">
        <f>'15'!G54</f>
        <v>59</v>
      </c>
      <c r="BF18" s="19">
        <f>'15'!G55</f>
        <v>0</v>
      </c>
      <c r="BG18" s="19">
        <f>'15'!G56</f>
        <v>11</v>
      </c>
      <c r="BH18" s="19">
        <f>'15'!G57</f>
        <v>0</v>
      </c>
      <c r="BI18" s="262">
        <f>'15'!G50</f>
        <v>1012</v>
      </c>
      <c r="BJ18" s="370">
        <f t="shared" si="12"/>
        <v>5200</v>
      </c>
      <c r="BK18" s="370">
        <f>'15'!G84</f>
        <v>683</v>
      </c>
      <c r="BL18" s="23">
        <f t="shared" si="13"/>
        <v>56.772495660451312</v>
      </c>
      <c r="BM18" s="23">
        <f t="shared" si="14"/>
        <v>16.19911529200963</v>
      </c>
      <c r="BN18" s="24">
        <f t="shared" si="15"/>
        <v>7.0212777871104276E-2</v>
      </c>
      <c r="BO18" s="25">
        <f t="shared" si="16"/>
        <v>216063</v>
      </c>
      <c r="BP18" s="213">
        <f t="shared" si="17"/>
        <v>8350</v>
      </c>
      <c r="BQ18">
        <f t="shared" si="18"/>
        <v>1.2425595238095237</v>
      </c>
    </row>
    <row r="19" spans="1:69">
      <c r="A19" s="16">
        <v>16</v>
      </c>
      <c r="B19" s="26">
        <v>16</v>
      </c>
      <c r="C19" s="26"/>
      <c r="D19" s="19">
        <f>'16'!D3</f>
        <v>30</v>
      </c>
      <c r="E19" s="256">
        <f>'16'!D4</f>
        <v>0.78</v>
      </c>
      <c r="F19" s="256">
        <f>'16'!D2</f>
        <v>0.52</v>
      </c>
      <c r="G19" s="19">
        <f>'16'!G8</f>
        <v>18477.189999999944</v>
      </c>
      <c r="H19" s="19">
        <f>'16'!G7</f>
        <v>18406.310000000056</v>
      </c>
      <c r="I19" s="19">
        <f>'16'!G8</f>
        <v>18477.189999999944</v>
      </c>
      <c r="J19" s="19">
        <v>10</v>
      </c>
      <c r="K19" s="242">
        <f t="shared" si="3"/>
        <v>184063.10000000056</v>
      </c>
      <c r="L19" s="238">
        <f t="shared" si="4"/>
        <v>91.471237623762093</v>
      </c>
      <c r="M19" s="19">
        <f>'16'!G15</f>
        <v>477.06499999994412</v>
      </c>
      <c r="N19" s="19">
        <v>35</v>
      </c>
      <c r="O19" s="234">
        <f t="shared" si="5"/>
        <v>16697.274999998044</v>
      </c>
      <c r="P19" s="19">
        <f>'16'!G20</f>
        <v>92</v>
      </c>
      <c r="Q19" s="19">
        <v>134</v>
      </c>
      <c r="R19" s="239">
        <f t="shared" si="0"/>
        <v>12328</v>
      </c>
      <c r="S19" s="240">
        <f t="shared" si="1"/>
        <v>87.58568164508759</v>
      </c>
      <c r="T19" s="19">
        <f>'16'!G24</f>
        <v>0</v>
      </c>
      <c r="U19" s="19">
        <v>69</v>
      </c>
      <c r="V19" s="241">
        <f t="shared" si="6"/>
        <v>0</v>
      </c>
      <c r="W19" s="22">
        <f>'16'!G96</f>
        <v>34</v>
      </c>
      <c r="X19" s="22">
        <f>'16'!G97</f>
        <v>12</v>
      </c>
      <c r="Y19" s="22">
        <f>'16'!G98</f>
        <v>20</v>
      </c>
      <c r="Z19" s="22">
        <f t="shared" si="7"/>
        <v>66</v>
      </c>
      <c r="AA19" s="19">
        <f>'16'!G133</f>
        <v>24.309999999997672</v>
      </c>
      <c r="AB19" s="19">
        <f>'16'!G134</f>
        <v>0</v>
      </c>
      <c r="AC19" s="19">
        <f>'16'!G135</f>
        <v>0</v>
      </c>
      <c r="AD19" s="19">
        <f>'16'!G136</f>
        <v>0</v>
      </c>
      <c r="AE19" s="19">
        <f t="shared" si="8"/>
        <v>24.309999999997672</v>
      </c>
      <c r="AF19" s="23">
        <f t="shared" si="2"/>
        <v>5374.2500000000291</v>
      </c>
      <c r="AG19" s="23">
        <f t="shared" si="9"/>
        <v>221.07157548336255</v>
      </c>
      <c r="AH19" s="19">
        <f>'16'!G137</f>
        <v>0.49000000000160071</v>
      </c>
      <c r="AI19" s="19">
        <f>'16'!G138</f>
        <v>0</v>
      </c>
      <c r="AJ19" s="19">
        <f>'16'!G139</f>
        <v>0</v>
      </c>
      <c r="AK19" s="19">
        <f t="shared" si="10"/>
        <v>0.49000000000160071</v>
      </c>
      <c r="AL19" s="19">
        <f>'16'!G140</f>
        <v>9.3999999999998636</v>
      </c>
      <c r="AM19" s="19">
        <f>'16'!G141</f>
        <v>0</v>
      </c>
      <c r="AN19" s="19"/>
      <c r="AO19" s="19">
        <f t="shared" si="11"/>
        <v>9.3999999999998636</v>
      </c>
      <c r="AP19" s="258">
        <f>'16'!G124</f>
        <v>262.6600000000326</v>
      </c>
      <c r="AQ19" s="261">
        <f>'16'!G35</f>
        <v>2502.7900000000373</v>
      </c>
      <c r="AR19" s="19">
        <f>'16'!G37</f>
        <v>1424.929999999993</v>
      </c>
      <c r="AS19" s="19">
        <f>'16'!G38</f>
        <v>1231.3099999999977</v>
      </c>
      <c r="AT19" s="19">
        <f>'16'!G39</f>
        <v>3172.9000000000233</v>
      </c>
      <c r="AU19" s="19">
        <f>'16'!G40</f>
        <v>119.94000000000005</v>
      </c>
      <c r="AV19" s="19">
        <f>'16'!G41</f>
        <v>5364.6500000000233</v>
      </c>
      <c r="AW19" s="19">
        <f>'16'!G42</f>
        <v>-0.91999999999825377</v>
      </c>
      <c r="AX19" s="19">
        <f>'16'!G43</f>
        <v>2435</v>
      </c>
      <c r="AY19" s="23">
        <f>'16'!G44</f>
        <v>0</v>
      </c>
      <c r="AZ19" s="262">
        <f>'16'!G36</f>
        <v>813.1200000000008</v>
      </c>
      <c r="BA19" s="261">
        <f>'16'!G49</f>
        <v>0.13000000000465661</v>
      </c>
      <c r="BB19" s="19">
        <f>'16'!G51</f>
        <v>0</v>
      </c>
      <c r="BC19" s="19">
        <f>'16'!G52</f>
        <v>6.9999999948777258E-2</v>
      </c>
      <c r="BD19" s="19">
        <f>'16'!G53</f>
        <v>-0.40999999997438863</v>
      </c>
      <c r="BE19" s="19">
        <f>'16'!G54</f>
        <v>0.27000000000043656</v>
      </c>
      <c r="BF19" s="19">
        <f>'16'!G55</f>
        <v>9.9999999947613105E-3</v>
      </c>
      <c r="BG19" s="19">
        <f>'16'!G56</f>
        <v>10.510000000009313</v>
      </c>
      <c r="BH19" s="19">
        <f>'16'!G57</f>
        <v>0</v>
      </c>
      <c r="BI19" s="262">
        <f>'16'!G50</f>
        <v>1103.8699999999953</v>
      </c>
      <c r="BJ19" s="370">
        <f t="shared" si="12"/>
        <v>5374.2500000000291</v>
      </c>
      <c r="BK19" s="370">
        <f>'16'!G84</f>
        <v>735</v>
      </c>
      <c r="BL19" s="23">
        <f t="shared" si="13"/>
        <v>55.810272016470591</v>
      </c>
      <c r="BM19" s="23">
        <f t="shared" si="14"/>
        <v>17.169764450114211</v>
      </c>
      <c r="BN19" s="24">
        <f t="shared" si="15"/>
        <v>6.66432504076621E-2</v>
      </c>
      <c r="BO19" s="25">
        <f t="shared" si="16"/>
        <v>213088.3749999986</v>
      </c>
      <c r="BP19" s="213">
        <f t="shared" si="17"/>
        <v>8544.2500000000291</v>
      </c>
      <c r="BQ19">
        <f t="shared" si="18"/>
        <v>1.2552521008404607</v>
      </c>
    </row>
    <row r="20" spans="1:69">
      <c r="A20" s="16">
        <v>17</v>
      </c>
      <c r="B20" s="27">
        <v>17</v>
      </c>
      <c r="C20" s="26"/>
      <c r="D20" s="19">
        <f>'17'!D3</f>
        <v>29</v>
      </c>
      <c r="E20" s="256">
        <f>'17'!D4</f>
        <v>0.8</v>
      </c>
      <c r="F20" s="256">
        <f>'17'!D2</f>
        <v>0.6</v>
      </c>
      <c r="G20" s="19">
        <f>'17'!G8</f>
        <v>19209.440000000061</v>
      </c>
      <c r="H20" s="19">
        <f>'17'!G7</f>
        <v>19129.879999999888</v>
      </c>
      <c r="I20" s="19">
        <f>'17'!G8</f>
        <v>19209.440000000061</v>
      </c>
      <c r="J20" s="19">
        <v>10</v>
      </c>
      <c r="K20" s="242">
        <f t="shared" si="3"/>
        <v>191298.79999999888</v>
      </c>
      <c r="L20" s="238">
        <f t="shared" si="4"/>
        <v>95.096237623762676</v>
      </c>
      <c r="M20" s="19">
        <f>'17'!G15</f>
        <v>833.77800000016578</v>
      </c>
      <c r="N20" s="19">
        <v>35</v>
      </c>
      <c r="O20" s="234">
        <f t="shared" si="5"/>
        <v>29182.230000005802</v>
      </c>
      <c r="P20" s="19">
        <f>'17'!G20</f>
        <v>122</v>
      </c>
      <c r="Q20" s="19">
        <v>134</v>
      </c>
      <c r="R20" s="239">
        <f t="shared" si="0"/>
        <v>16348</v>
      </c>
      <c r="S20" s="240">
        <f t="shared" si="1"/>
        <v>100.66006600660066</v>
      </c>
      <c r="T20" s="19">
        <f>'17'!G24</f>
        <v>0</v>
      </c>
      <c r="U20" s="19">
        <v>69</v>
      </c>
      <c r="V20" s="241">
        <f t="shared" si="6"/>
        <v>0</v>
      </c>
      <c r="W20" s="22">
        <f>'17'!G96</f>
        <v>72</v>
      </c>
      <c r="X20" s="22">
        <f>'17'!G97</f>
        <v>10</v>
      </c>
      <c r="Y20" s="22">
        <f>'17'!G98</f>
        <v>22</v>
      </c>
      <c r="Z20" s="22">
        <f t="shared" si="7"/>
        <v>104</v>
      </c>
      <c r="AA20" s="19">
        <f>'17'!G133</f>
        <v>17.690000000002328</v>
      </c>
      <c r="AB20" s="19">
        <f>'17'!G134</f>
        <v>0</v>
      </c>
      <c r="AC20" s="19">
        <f>'17'!G135</f>
        <v>8.2699999999967986</v>
      </c>
      <c r="AD20" s="19">
        <f>'17'!G136</f>
        <v>0</v>
      </c>
      <c r="AE20" s="19">
        <f t="shared" si="8"/>
        <v>25.959999999999127</v>
      </c>
      <c r="AF20" s="23">
        <f t="shared" si="2"/>
        <v>5676.4399999999587</v>
      </c>
      <c r="AG20" s="23">
        <f t="shared" si="9"/>
        <v>218.6610169491583</v>
      </c>
      <c r="AH20" s="19">
        <f>'17'!G137</f>
        <v>8.6099999999969441</v>
      </c>
      <c r="AI20" s="19">
        <f>'17'!G138</f>
        <v>0</v>
      </c>
      <c r="AJ20" s="19">
        <f>'17'!G139</f>
        <v>0</v>
      </c>
      <c r="AK20" s="19">
        <f t="shared" si="10"/>
        <v>8.6099999999969441</v>
      </c>
      <c r="AL20" s="19">
        <f>'17'!G140</f>
        <v>11.300000000000182</v>
      </c>
      <c r="AM20" s="19">
        <f>'17'!G141</f>
        <v>0</v>
      </c>
      <c r="AN20" s="19"/>
      <c r="AO20" s="19">
        <f t="shared" si="11"/>
        <v>11.300000000000182</v>
      </c>
      <c r="AP20" s="258">
        <f>'17'!G124</f>
        <v>303.17999999993481</v>
      </c>
      <c r="AQ20" s="261">
        <f>'17'!G35</f>
        <v>2468.5599999999395</v>
      </c>
      <c r="AR20" s="19">
        <f>'17'!G37</f>
        <v>1431.3500000000058</v>
      </c>
      <c r="AS20" s="19">
        <f>'17'!G38</f>
        <v>1378.820000000007</v>
      </c>
      <c r="AT20" s="19">
        <f>'17'!G39</f>
        <v>3279.7699999999604</v>
      </c>
      <c r="AU20" s="19">
        <f>'17'!G40</f>
        <v>221.57999999999993</v>
      </c>
      <c r="AV20" s="19">
        <f>'17'!G41</f>
        <v>3934.2599999999511</v>
      </c>
      <c r="AW20" s="19">
        <f>'17'!G42</f>
        <v>0</v>
      </c>
      <c r="AX20" s="19">
        <f>'17'!G43</f>
        <v>2523.5</v>
      </c>
      <c r="AY20" s="23">
        <f>'17'!G44</f>
        <v>0</v>
      </c>
      <c r="AZ20" s="262">
        <f>'17'!G36</f>
        <v>775.75</v>
      </c>
      <c r="BA20" s="261">
        <f>'17'!G49</f>
        <v>0</v>
      </c>
      <c r="BB20" s="19">
        <f>'17'!G51</f>
        <v>0.13000000000465661</v>
      </c>
      <c r="BC20" s="19">
        <f>'17'!G52</f>
        <v>0</v>
      </c>
      <c r="BD20" s="19">
        <f>'17'!G53</f>
        <v>0.3999999999650754</v>
      </c>
      <c r="BE20" s="19">
        <f>'17'!G54</f>
        <v>0</v>
      </c>
      <c r="BF20" s="19">
        <f>'17'!G55</f>
        <v>1732.0600000000122</v>
      </c>
      <c r="BG20" s="19">
        <f>'17'!G56</f>
        <v>10.119999999995343</v>
      </c>
      <c r="BH20" s="19">
        <f>'17'!G57</f>
        <v>0</v>
      </c>
      <c r="BI20" s="262">
        <f>'17'!G50</f>
        <v>940.28000000002794</v>
      </c>
      <c r="BJ20" s="370">
        <f t="shared" si="12"/>
        <v>5676.4399999999587</v>
      </c>
      <c r="BK20" s="370">
        <f>'17'!G84</f>
        <v>706</v>
      </c>
      <c r="BL20" s="23">
        <f t="shared" si="13"/>
        <v>55.537798082608681</v>
      </c>
      <c r="BM20" s="23">
        <f t="shared" si="14"/>
        <v>17.075823136957222</v>
      </c>
      <c r="BN20" s="24">
        <f t="shared" si="15"/>
        <v>7.1778250693409207E-2</v>
      </c>
      <c r="BO20" s="25">
        <f t="shared" si="16"/>
        <v>236829.03000000468</v>
      </c>
      <c r="BP20" s="213">
        <f t="shared" si="17"/>
        <v>8905.9399999999587</v>
      </c>
      <c r="BQ20">
        <f t="shared" si="18"/>
        <v>1.2252283733216291</v>
      </c>
    </row>
    <row r="21" spans="1:69">
      <c r="A21" s="16">
        <v>18</v>
      </c>
      <c r="B21" s="27">
        <v>18</v>
      </c>
      <c r="C21" s="27"/>
      <c r="D21" s="19">
        <f>'18'!D3</f>
        <v>29</v>
      </c>
      <c r="E21" s="256">
        <f>'18'!D4</f>
        <v>0.79</v>
      </c>
      <c r="F21" s="256">
        <f>'18'!D2</f>
        <v>0.54</v>
      </c>
      <c r="G21" s="19">
        <f>'18'!G8</f>
        <v>20104.479999999981</v>
      </c>
      <c r="H21" s="19">
        <f>'18'!G7</f>
        <v>20005.520000000019</v>
      </c>
      <c r="I21" s="19">
        <f>'18'!G8</f>
        <v>20104.479999999981</v>
      </c>
      <c r="J21" s="19">
        <v>10</v>
      </c>
      <c r="K21" s="242">
        <f t="shared" si="3"/>
        <v>200055.20000000019</v>
      </c>
      <c r="L21" s="238">
        <f t="shared" si="4"/>
        <v>99.527128712871189</v>
      </c>
      <c r="M21" s="19">
        <f>'18'!G15</f>
        <v>638.77700000000186</v>
      </c>
      <c r="N21" s="19">
        <v>35</v>
      </c>
      <c r="O21" s="234">
        <f t="shared" si="5"/>
        <v>22357.195000000065</v>
      </c>
      <c r="P21" s="19">
        <f>'18'!G20</f>
        <v>145</v>
      </c>
      <c r="Q21" s="19">
        <v>134</v>
      </c>
      <c r="R21" s="239">
        <f t="shared" si="0"/>
        <v>19430</v>
      </c>
      <c r="S21" s="240">
        <f t="shared" si="1"/>
        <v>132.92995966263291</v>
      </c>
      <c r="T21" s="19">
        <f>'18'!G24</f>
        <v>0</v>
      </c>
      <c r="U21" s="19">
        <v>69</v>
      </c>
      <c r="V21" s="241">
        <f t="shared" si="6"/>
        <v>0</v>
      </c>
      <c r="W21" s="22">
        <f>'18'!G96</f>
        <v>56</v>
      </c>
      <c r="X21" s="22">
        <f>'18'!G97</f>
        <v>14</v>
      </c>
      <c r="Y21" s="22">
        <f>'18'!G98</f>
        <v>28</v>
      </c>
      <c r="Z21" s="22">
        <f t="shared" si="7"/>
        <v>98</v>
      </c>
      <c r="AA21" s="19">
        <f>'18'!G133</f>
        <v>6</v>
      </c>
      <c r="AB21" s="19">
        <f>'18'!G134</f>
        <v>0</v>
      </c>
      <c r="AC21" s="19">
        <f>'18'!G135</f>
        <v>23.930000000000291</v>
      </c>
      <c r="AD21" s="19">
        <f>'18'!G136</f>
        <v>0</v>
      </c>
      <c r="AE21" s="19">
        <f t="shared" si="8"/>
        <v>29.930000000000291</v>
      </c>
      <c r="AF21" s="23">
        <f t="shared" si="2"/>
        <v>6328.7099999999336</v>
      </c>
      <c r="AG21" s="23">
        <f t="shared" si="9"/>
        <v>211.45038422986542</v>
      </c>
      <c r="AH21" s="19">
        <f>'18'!G137</f>
        <v>0</v>
      </c>
      <c r="AI21" s="19">
        <f>'18'!G138</f>
        <v>4.9999999999272404E-2</v>
      </c>
      <c r="AJ21" s="19">
        <f>'18'!G139</f>
        <v>12.779999999998836</v>
      </c>
      <c r="AK21" s="19">
        <f t="shared" si="10"/>
        <v>12.829999999998108</v>
      </c>
      <c r="AL21" s="19">
        <f>'18'!G140</f>
        <v>10.199999999999818</v>
      </c>
      <c r="AM21" s="19">
        <f>'18'!G141</f>
        <v>9.0000000000145519E-2</v>
      </c>
      <c r="AN21" s="19"/>
      <c r="AO21" s="19">
        <f t="shared" si="11"/>
        <v>10.289999999999964</v>
      </c>
      <c r="AP21" s="258">
        <f>'18'!G124</f>
        <v>272.86999999999534</v>
      </c>
      <c r="AQ21" s="261">
        <f>'18'!G35</f>
        <v>2647.5200000000186</v>
      </c>
      <c r="AR21" s="19">
        <f>'18'!G37</f>
        <v>1451.5899999999965</v>
      </c>
      <c r="AS21" s="19">
        <f>'18'!G38</f>
        <v>1375.1999999999825</v>
      </c>
      <c r="AT21" s="19">
        <f>'18'!G39</f>
        <v>3490.7999999999884</v>
      </c>
      <c r="AU21" s="19">
        <f>'18'!G40</f>
        <v>637.88999999999987</v>
      </c>
      <c r="AV21" s="19">
        <f>'18'!G41</f>
        <v>1273.9400000000023</v>
      </c>
      <c r="AW21" s="19">
        <f>'18'!G42</f>
        <v>0</v>
      </c>
      <c r="AX21" s="19">
        <f>'18'!G43</f>
        <v>2756.8999999999069</v>
      </c>
      <c r="AY21" s="23">
        <f>'18'!G44</f>
        <v>0</v>
      </c>
      <c r="AZ21" s="262">
        <f>'18'!G36</f>
        <v>615.31999999999971</v>
      </c>
      <c r="BA21" s="261">
        <f>'18'!G49</f>
        <v>0</v>
      </c>
      <c r="BB21" s="19">
        <f>'18'!G51</f>
        <v>0</v>
      </c>
      <c r="BC21" s="19">
        <f>'18'!G52</f>
        <v>-6.9999999948777258E-2</v>
      </c>
      <c r="BD21" s="19">
        <f>'18'!G53</f>
        <v>-0.3999999999650754</v>
      </c>
      <c r="BE21" s="19">
        <f>'18'!G54</f>
        <v>7.999999999992724E-2</v>
      </c>
      <c r="BF21" s="19">
        <f>'18'!G55</f>
        <v>5044.3299999999872</v>
      </c>
      <c r="BG21" s="19">
        <f>'18'!G56</f>
        <v>10.439999999944121</v>
      </c>
      <c r="BH21" s="19">
        <f>'18'!G57</f>
        <v>0</v>
      </c>
      <c r="BI21" s="262">
        <f>'18'!G50</f>
        <v>968.8399999999674</v>
      </c>
      <c r="BJ21" s="370">
        <f t="shared" si="12"/>
        <v>6328.7099999999336</v>
      </c>
      <c r="BK21" s="370">
        <f>'18'!G84</f>
        <v>747</v>
      </c>
      <c r="BL21" s="23">
        <f t="shared" si="13"/>
        <v>58.360773320174758</v>
      </c>
      <c r="BM21" s="23">
        <f t="shared" si="14"/>
        <v>17.361304545056758</v>
      </c>
      <c r="BN21" s="24">
        <f t="shared" si="15"/>
        <v>6.8399182669735062E-2</v>
      </c>
      <c r="BO21" s="25">
        <f t="shared" si="16"/>
        <v>241842.39500000025</v>
      </c>
      <c r="BP21" s="213">
        <f t="shared" si="17"/>
        <v>9832.6099999998405</v>
      </c>
      <c r="BQ21">
        <f t="shared" si="18"/>
        <v>1.1732864779723813</v>
      </c>
    </row>
    <row r="22" spans="1:69">
      <c r="A22" s="16">
        <v>19</v>
      </c>
      <c r="B22" s="17">
        <v>19</v>
      </c>
      <c r="C22" s="27"/>
      <c r="D22" s="19">
        <f>'19'!D3</f>
        <v>27</v>
      </c>
      <c r="E22" s="256">
        <f>'19'!D4</f>
        <v>0.84</v>
      </c>
      <c r="F22" s="256">
        <f>'19'!D2</f>
        <v>0.1</v>
      </c>
      <c r="G22" s="19">
        <f>'19'!G8</f>
        <v>23254.719999999972</v>
      </c>
      <c r="H22" s="19">
        <f>'19'!G7</f>
        <v>23122.440000000061</v>
      </c>
      <c r="I22" s="19">
        <f>'19'!G8</f>
        <v>23254.719999999972</v>
      </c>
      <c r="J22" s="19">
        <v>10</v>
      </c>
      <c r="K22" s="242">
        <f t="shared" si="3"/>
        <v>231224.40000000061</v>
      </c>
      <c r="L22" s="238">
        <f t="shared" si="4"/>
        <v>115.12237623762363</v>
      </c>
      <c r="M22" s="19">
        <f>'19'!G15</f>
        <v>1049.74599999981</v>
      </c>
      <c r="N22" s="19">
        <v>35</v>
      </c>
      <c r="O22" s="234">
        <f t="shared" si="5"/>
        <v>36741.10999999335</v>
      </c>
      <c r="P22" s="19">
        <f>'19'!G20</f>
        <v>193</v>
      </c>
      <c r="Q22" s="19">
        <v>134</v>
      </c>
      <c r="R22" s="239">
        <f t="shared" si="0"/>
        <v>25862</v>
      </c>
      <c r="S22" s="240">
        <f t="shared" si="1"/>
        <v>955.4455445544553</v>
      </c>
      <c r="T22" s="19">
        <f>'19'!G24</f>
        <v>0</v>
      </c>
      <c r="U22" s="19">
        <v>69</v>
      </c>
      <c r="V22" s="241">
        <f t="shared" si="6"/>
        <v>0</v>
      </c>
      <c r="W22" s="22">
        <f>'19'!G96</f>
        <v>75</v>
      </c>
      <c r="X22" s="22">
        <f>'19'!G97</f>
        <v>22</v>
      </c>
      <c r="Y22" s="22">
        <f>'19'!G98</f>
        <v>39</v>
      </c>
      <c r="Z22" s="22">
        <f t="shared" si="7"/>
        <v>136</v>
      </c>
      <c r="AA22" s="19">
        <f>'19'!G133</f>
        <v>7.5199999999967986</v>
      </c>
      <c r="AB22" s="19">
        <f>'19'!G134</f>
        <v>0</v>
      </c>
      <c r="AC22" s="19">
        <f>'19'!G135</f>
        <v>23.80000000000291</v>
      </c>
      <c r="AD22" s="19">
        <f>'19'!G136</f>
        <v>0</v>
      </c>
      <c r="AE22" s="19">
        <f t="shared" si="8"/>
        <v>31.319999999999709</v>
      </c>
      <c r="AF22" s="23">
        <f t="shared" si="2"/>
        <v>7021.7100000000355</v>
      </c>
      <c r="AG22" s="23">
        <f t="shared" si="9"/>
        <v>224.19252873563539</v>
      </c>
      <c r="AH22" s="19">
        <f>'19'!G137</f>
        <v>0</v>
      </c>
      <c r="AI22" s="19">
        <f>'19'!G138</f>
        <v>12</v>
      </c>
      <c r="AJ22" s="19">
        <f>'19'!G139</f>
        <v>0</v>
      </c>
      <c r="AK22" s="19">
        <f t="shared" si="10"/>
        <v>12</v>
      </c>
      <c r="AL22" s="19">
        <f>'19'!G140</f>
        <v>10.720000000000027</v>
      </c>
      <c r="AM22" s="19">
        <f>'19'!G141</f>
        <v>-9.0000000000145519E-2</v>
      </c>
      <c r="AN22" s="19"/>
      <c r="AO22" s="19">
        <f t="shared" si="11"/>
        <v>10.629999999999882</v>
      </c>
      <c r="AP22" s="258">
        <f>'19'!G124</f>
        <v>287.67000000004191</v>
      </c>
      <c r="AQ22" s="261">
        <f>'19'!G35</f>
        <v>2958.1600000000326</v>
      </c>
      <c r="AR22" s="19">
        <f>'19'!G37</f>
        <v>1546.390000000014</v>
      </c>
      <c r="AS22" s="19">
        <f>'19'!G38</f>
        <v>1613</v>
      </c>
      <c r="AT22" s="19">
        <f>'19'!G39</f>
        <v>3744.2800000000279</v>
      </c>
      <c r="AU22" s="19">
        <f>'19'!G40</f>
        <v>596.64000000000033</v>
      </c>
      <c r="AV22" s="19">
        <f>'19'!G41</f>
        <v>1510.6199999999953</v>
      </c>
      <c r="AW22" s="19">
        <f>'19'!G42</f>
        <v>0</v>
      </c>
      <c r="AX22" s="19">
        <f>'19'!G43</f>
        <v>2928</v>
      </c>
      <c r="AY22" s="23">
        <f>'19'!G44</f>
        <v>0</v>
      </c>
      <c r="AZ22" s="262">
        <f>'19'!G36</f>
        <v>1030.2799999999988</v>
      </c>
      <c r="BA22" s="261">
        <f>'19'!G49</f>
        <v>0</v>
      </c>
      <c r="BB22" s="19">
        <f>'19'!G51</f>
        <v>-0.13000000000465661</v>
      </c>
      <c r="BC22" s="19">
        <f>'19'!G52</f>
        <v>6.9999999948777258E-2</v>
      </c>
      <c r="BD22" s="19">
        <f>'19'!G53</f>
        <v>0</v>
      </c>
      <c r="BE22" s="19">
        <f>'19'!G54</f>
        <v>2.9999999998835847E-2</v>
      </c>
      <c r="BF22" s="19">
        <f>'19'!G55</f>
        <v>5500.9300000000076</v>
      </c>
      <c r="BG22" s="19">
        <f>'19'!G56</f>
        <v>10.160000000032596</v>
      </c>
      <c r="BH22" s="19">
        <f>'19'!G57</f>
        <v>-0.32999999999992724</v>
      </c>
      <c r="BI22" s="262">
        <f>'19'!G50</f>
        <v>1573.2399999999907</v>
      </c>
      <c r="BJ22" s="370">
        <f t="shared" si="12"/>
        <v>7021.7100000000355</v>
      </c>
      <c r="BK22" s="370">
        <f>'19'!G84</f>
        <v>791</v>
      </c>
      <c r="BL22" s="23">
        <f t="shared" si="13"/>
        <v>55.505032956750647</v>
      </c>
      <c r="BM22" s="23">
        <f t="shared" si="14"/>
        <v>16.101161398632332</v>
      </c>
      <c r="BN22" s="24">
        <f t="shared" si="15"/>
        <v>6.9365272942437092E-2</v>
      </c>
      <c r="BO22" s="25">
        <f t="shared" si="16"/>
        <v>293827.50999999396</v>
      </c>
      <c r="BP22" s="213">
        <f t="shared" si="17"/>
        <v>10740.380000000036</v>
      </c>
      <c r="BQ22">
        <f t="shared" si="18"/>
        <v>1.2247286079182784</v>
      </c>
    </row>
    <row r="23" spans="1:69">
      <c r="A23" s="16">
        <v>20</v>
      </c>
      <c r="B23" s="26">
        <v>20</v>
      </c>
      <c r="C23" s="26"/>
      <c r="D23" s="19">
        <f>'20'!D3</f>
        <v>27</v>
      </c>
      <c r="E23" s="256">
        <f>'20'!D4</f>
        <v>0.84</v>
      </c>
      <c r="F23" s="256">
        <f>'20'!D2</f>
        <v>0.86</v>
      </c>
      <c r="G23" s="19">
        <f>'20'!G8</f>
        <v>23350.090000000084</v>
      </c>
      <c r="H23" s="19">
        <f>'20'!G7</f>
        <v>23247.679999999935</v>
      </c>
      <c r="I23" s="19">
        <f>'20'!G8</f>
        <v>23350.090000000084</v>
      </c>
      <c r="J23" s="19">
        <v>10</v>
      </c>
      <c r="K23" s="242">
        <f t="shared" si="3"/>
        <v>232476.79999999935</v>
      </c>
      <c r="L23" s="238">
        <f t="shared" si="4"/>
        <v>115.59450495049546</v>
      </c>
      <c r="M23" s="19">
        <f>'20'!G15</f>
        <v>938.63400000007823</v>
      </c>
      <c r="N23" s="19">
        <v>35</v>
      </c>
      <c r="O23" s="234">
        <f t="shared" si="5"/>
        <v>32852.190000002738</v>
      </c>
      <c r="P23" s="19">
        <f>'20'!G20</f>
        <v>261</v>
      </c>
      <c r="Q23" s="19">
        <v>134</v>
      </c>
      <c r="R23" s="239">
        <f t="shared" si="0"/>
        <v>34974</v>
      </c>
      <c r="S23" s="240">
        <f t="shared" si="1"/>
        <v>150.24176836288279</v>
      </c>
      <c r="T23" s="19">
        <f>'20'!G24</f>
        <v>0</v>
      </c>
      <c r="U23" s="19">
        <v>69</v>
      </c>
      <c r="V23" s="241">
        <f t="shared" si="6"/>
        <v>0</v>
      </c>
      <c r="W23" s="22">
        <f>'20'!G96</f>
        <v>82</v>
      </c>
      <c r="X23" s="22">
        <f>'20'!G97</f>
        <v>42</v>
      </c>
      <c r="Y23" s="22">
        <f>'20'!G98</f>
        <v>42</v>
      </c>
      <c r="Z23" s="22">
        <f t="shared" si="7"/>
        <v>166</v>
      </c>
      <c r="AA23" s="19">
        <f>'20'!G133</f>
        <v>13.55000000000291</v>
      </c>
      <c r="AB23" s="19">
        <f>'20'!G134</f>
        <v>0</v>
      </c>
      <c r="AC23" s="19">
        <f>'20'!G135</f>
        <v>19.040000000000873</v>
      </c>
      <c r="AD23" s="19">
        <f>'20'!G136</f>
        <v>5.0000000002910383E-2</v>
      </c>
      <c r="AE23" s="19">
        <f t="shared" si="8"/>
        <v>32.640000000006694</v>
      </c>
      <c r="AF23" s="23">
        <f t="shared" si="2"/>
        <v>7097.9600000000355</v>
      </c>
      <c r="AG23" s="23">
        <f t="shared" si="9"/>
        <v>217.46200980387806</v>
      </c>
      <c r="AH23" s="19">
        <f>'20'!G137</f>
        <v>0</v>
      </c>
      <c r="AI23" s="19">
        <f>'20'!G138</f>
        <v>7.2800000000024738</v>
      </c>
      <c r="AJ23" s="19">
        <f>'20'!G139</f>
        <v>3.6699999999982538</v>
      </c>
      <c r="AK23" s="19">
        <f t="shared" si="10"/>
        <v>10.950000000000728</v>
      </c>
      <c r="AL23" s="19">
        <f>'20'!G140</f>
        <v>11.680000000000064</v>
      </c>
      <c r="AM23" s="19">
        <f>'20'!G141</f>
        <v>0</v>
      </c>
      <c r="AN23" s="19"/>
      <c r="AO23" s="19">
        <f t="shared" si="11"/>
        <v>11.680000000000064</v>
      </c>
      <c r="AP23" s="258">
        <f>'20'!G124</f>
        <v>312.82999999995809</v>
      </c>
      <c r="AQ23" s="261">
        <f>'20'!G35</f>
        <v>2905.5699999999488</v>
      </c>
      <c r="AR23" s="19">
        <f>'20'!G37</f>
        <v>1538.789999999979</v>
      </c>
      <c r="AS23" s="19">
        <f>'20'!G38</f>
        <v>1728.1000000000058</v>
      </c>
      <c r="AT23" s="19">
        <f>'20'!G39</f>
        <v>3610.7199999999721</v>
      </c>
      <c r="AU23" s="19">
        <f>'20'!G40</f>
        <v>344.25999999999976</v>
      </c>
      <c r="AV23" s="19">
        <f>'20'!G41</f>
        <v>3099.9800000000396</v>
      </c>
      <c r="AW23" s="19">
        <f>'20'!G42</f>
        <v>0</v>
      </c>
      <c r="AX23" s="19">
        <f>'20'!G43</f>
        <v>2928.3000000000466</v>
      </c>
      <c r="AY23" s="23">
        <f>'20'!G44</f>
        <v>0</v>
      </c>
      <c r="AZ23" s="262">
        <f>'20'!G36</f>
        <v>1025.4000000000015</v>
      </c>
      <c r="BA23" s="261">
        <f>'20'!G49</f>
        <v>0</v>
      </c>
      <c r="BB23" s="19">
        <f>'20'!G51</f>
        <v>0</v>
      </c>
      <c r="BC23" s="19">
        <f>'20'!G52</f>
        <v>0</v>
      </c>
      <c r="BD23" s="19">
        <f>'20'!G577</f>
        <v>0</v>
      </c>
      <c r="BE23" s="19">
        <f>'20'!G54</f>
        <v>1.0000000000218279E-2</v>
      </c>
      <c r="BF23" s="19">
        <f>'20'!G55</f>
        <v>3987.9799999999959</v>
      </c>
      <c r="BG23" s="19">
        <f>'20'!G56</f>
        <v>10</v>
      </c>
      <c r="BH23" s="19">
        <f>'20'!G57</f>
        <v>0</v>
      </c>
      <c r="BI23" s="262">
        <f>'20'!G50</f>
        <v>1836.4000000000233</v>
      </c>
      <c r="BJ23" s="370">
        <f t="shared" si="12"/>
        <v>7097.9600000000355</v>
      </c>
      <c r="BK23" s="370">
        <f>'20'!G84</f>
        <v>866</v>
      </c>
      <c r="BL23" s="23">
        <f t="shared" si="13"/>
        <v>55.382356127963469</v>
      </c>
      <c r="BM23" s="23">
        <f t="shared" si="14"/>
        <v>15.463409348743236</v>
      </c>
      <c r="BN23" s="24">
        <f t="shared" si="15"/>
        <v>7.4008280053738537E-2</v>
      </c>
      <c r="BO23" s="25">
        <f t="shared" si="16"/>
        <v>300302.99000000209</v>
      </c>
      <c r="BP23" s="213">
        <f t="shared" si="17"/>
        <v>10892.260000000082</v>
      </c>
      <c r="BQ23">
        <f t="shared" si="18"/>
        <v>1.1918176645655909</v>
      </c>
    </row>
    <row r="24" spans="1:69">
      <c r="A24" s="16">
        <v>21</v>
      </c>
      <c r="B24" s="26">
        <v>21</v>
      </c>
      <c r="C24" s="28"/>
      <c r="D24" s="19">
        <v>21</v>
      </c>
      <c r="E24" s="256">
        <f>'21'!D4</f>
        <v>0.84</v>
      </c>
      <c r="F24" s="256">
        <f>'21'!D2</f>
        <v>0.66</v>
      </c>
      <c r="G24" s="19">
        <f>'21'!G8</f>
        <v>21955.149999999907</v>
      </c>
      <c r="H24" s="19">
        <f>'21'!G7</f>
        <v>21854.320000000065</v>
      </c>
      <c r="I24" s="19">
        <f>'21'!G8</f>
        <v>21955.149999999907</v>
      </c>
      <c r="J24" s="19">
        <v>10</v>
      </c>
      <c r="K24" s="242">
        <f t="shared" si="3"/>
        <v>218543.20000000065</v>
      </c>
      <c r="L24" s="238">
        <f t="shared" si="4"/>
        <v>108.68886138613816</v>
      </c>
      <c r="M24" s="19">
        <f>'21'!G15</f>
        <v>955.88999999989755</v>
      </c>
      <c r="N24" s="19">
        <v>35</v>
      </c>
      <c r="O24" s="234">
        <f t="shared" si="5"/>
        <v>33456.149999996414</v>
      </c>
      <c r="P24" s="19">
        <f>'21'!G20</f>
        <v>201</v>
      </c>
      <c r="Q24" s="19">
        <v>134</v>
      </c>
      <c r="R24" s="239">
        <f t="shared" si="0"/>
        <v>26934</v>
      </c>
      <c r="S24" s="240">
        <f t="shared" si="1"/>
        <v>150.76507650765078</v>
      </c>
      <c r="T24" s="19">
        <f>'21'!G24</f>
        <v>0</v>
      </c>
      <c r="U24" s="19">
        <v>69</v>
      </c>
      <c r="V24" s="241">
        <f t="shared" si="6"/>
        <v>0</v>
      </c>
      <c r="W24" s="22">
        <f>'21'!G96</f>
        <v>70</v>
      </c>
      <c r="X24" s="22">
        <f>'21'!G97</f>
        <v>23</v>
      </c>
      <c r="Y24" s="22">
        <f>'21'!G98</f>
        <v>25</v>
      </c>
      <c r="Z24" s="22">
        <f t="shared" si="7"/>
        <v>118</v>
      </c>
      <c r="AA24" s="19">
        <f>'21'!G133</f>
        <v>24.029999999998836</v>
      </c>
      <c r="AB24" s="19">
        <f>'21'!G134</f>
        <v>0</v>
      </c>
      <c r="AC24" s="19">
        <f>'21'!G135</f>
        <v>8.0100000000020373</v>
      </c>
      <c r="AD24" s="19">
        <f>'21'!G136</f>
        <v>0</v>
      </c>
      <c r="AE24" s="19">
        <f t="shared" si="8"/>
        <v>32.040000000000873</v>
      </c>
      <c r="AF24" s="23">
        <f t="shared" si="2"/>
        <v>6708.1100000000006</v>
      </c>
      <c r="AG24" s="23">
        <f t="shared" si="9"/>
        <v>209.36672908863352</v>
      </c>
      <c r="AH24" s="19">
        <f>'21'!G137</f>
        <v>0</v>
      </c>
      <c r="AI24" s="19">
        <f>'21'!G138</f>
        <v>10.739999999997963</v>
      </c>
      <c r="AJ24" s="19">
        <f>'21'!G139</f>
        <v>0</v>
      </c>
      <c r="AK24" s="19">
        <f t="shared" si="10"/>
        <v>10.739999999997963</v>
      </c>
      <c r="AL24" s="19">
        <f>'21'!G140</f>
        <v>10.160000000000082</v>
      </c>
      <c r="AM24" s="19">
        <f>'21'!G141</f>
        <v>0</v>
      </c>
      <c r="AN24" s="19"/>
      <c r="AO24" s="19">
        <f t="shared" si="11"/>
        <v>10.160000000000082</v>
      </c>
      <c r="AP24" s="258">
        <f>'21'!G124</f>
        <v>270.79000000003725</v>
      </c>
      <c r="AQ24" s="261">
        <f>'21'!G35</f>
        <v>2750.5</v>
      </c>
      <c r="AR24" s="19">
        <f>'21'!G37</f>
        <v>1488.1700000000128</v>
      </c>
      <c r="AS24" s="19">
        <f>'21'!G38</f>
        <v>1628.320000000007</v>
      </c>
      <c r="AT24" s="19">
        <f>'21'!G39</f>
        <v>3562.5200000000186</v>
      </c>
      <c r="AU24" s="19">
        <f>'21'!G40</f>
        <v>388.65000000000009</v>
      </c>
      <c r="AV24" s="19">
        <f>'21'!G41</f>
        <v>5182.640000000014</v>
      </c>
      <c r="AW24" s="19">
        <f>'21'!G42</f>
        <v>0</v>
      </c>
      <c r="AX24" s="19">
        <f>'21'!G43</f>
        <v>2871.6999999999534</v>
      </c>
      <c r="AY24" s="23">
        <f>'21'!G44</f>
        <v>0</v>
      </c>
      <c r="AZ24" s="262">
        <f>'21'!G36</f>
        <v>741.27999999999884</v>
      </c>
      <c r="BA24" s="261">
        <f>'21'!G49</f>
        <v>0</v>
      </c>
      <c r="BB24" s="19">
        <f>'21'!G51</f>
        <v>0</v>
      </c>
      <c r="BC24" s="19">
        <f>'21'!G52</f>
        <v>0</v>
      </c>
      <c r="BD24" s="19">
        <f>'21'!G53</f>
        <v>0</v>
      </c>
      <c r="BE24" s="19">
        <f>'21'!G54</f>
        <v>0</v>
      </c>
      <c r="BF24" s="19">
        <f>'21'!G55</f>
        <v>1515.2299999999959</v>
      </c>
      <c r="BG24" s="19">
        <f>'21'!G56</f>
        <v>10.239999999990687</v>
      </c>
      <c r="BH24" s="19">
        <f>'21'!G57</f>
        <v>0</v>
      </c>
      <c r="BI24" s="262">
        <f>'21'!G50</f>
        <v>1491.1999999999534</v>
      </c>
      <c r="BJ24" s="370">
        <f t="shared" si="12"/>
        <v>6708.1100000000006</v>
      </c>
      <c r="BK24" s="370">
        <f>'21'!G84</f>
        <v>777</v>
      </c>
      <c r="BL24" s="23">
        <f t="shared" si="13"/>
        <v>56.161356219383634</v>
      </c>
      <c r="BM24" s="23">
        <f t="shared" si="14"/>
        <v>16.226352359241606</v>
      </c>
      <c r="BN24" s="24">
        <f t="shared" si="15"/>
        <v>7.4165742434008142E-2</v>
      </c>
      <c r="BO24" s="25">
        <f t="shared" si="16"/>
        <v>278933.34999999707</v>
      </c>
      <c r="BP24" s="213">
        <f t="shared" si="17"/>
        <v>10356.809999999954</v>
      </c>
      <c r="BQ24">
        <f t="shared" si="18"/>
        <v>1.1544509095772775</v>
      </c>
    </row>
    <row r="25" spans="1:69">
      <c r="A25" s="16">
        <v>22</v>
      </c>
      <c r="B25" s="27">
        <v>22</v>
      </c>
      <c r="C25" s="28"/>
      <c r="D25" s="19">
        <f>'22'!D3</f>
        <v>27</v>
      </c>
      <c r="E25" s="256">
        <f>'22'!D4</f>
        <v>0.84</v>
      </c>
      <c r="F25" s="256">
        <f>'22'!D2</f>
        <v>0.72</v>
      </c>
      <c r="G25" s="19">
        <f>'22'!G8</f>
        <v>20706.20000000007</v>
      </c>
      <c r="H25" s="19">
        <f>'22'!G7</f>
        <v>20593.679999999935</v>
      </c>
      <c r="I25" s="19">
        <f>'22'!G8</f>
        <v>20706.20000000007</v>
      </c>
      <c r="J25" s="19">
        <v>10</v>
      </c>
      <c r="K25" s="242">
        <f t="shared" si="3"/>
        <v>205936.79999999935</v>
      </c>
      <c r="L25" s="238">
        <f t="shared" si="4"/>
        <v>102.50594059405975</v>
      </c>
      <c r="M25" s="19">
        <f>'22'!G15</f>
        <v>588.08000000007451</v>
      </c>
      <c r="N25" s="19">
        <v>35</v>
      </c>
      <c r="O25" s="234">
        <f t="shared" si="5"/>
        <v>20582.800000002608</v>
      </c>
      <c r="P25" s="19">
        <f>'22'!G20</f>
        <v>152</v>
      </c>
      <c r="Q25" s="19">
        <v>134</v>
      </c>
      <c r="R25" s="239">
        <f t="shared" si="0"/>
        <v>20368</v>
      </c>
      <c r="S25" s="240">
        <f t="shared" si="1"/>
        <v>104.51045104510452</v>
      </c>
      <c r="T25" s="19">
        <f>'22'!G24</f>
        <v>0</v>
      </c>
      <c r="U25" s="19">
        <v>69</v>
      </c>
      <c r="V25" s="241">
        <f t="shared" si="6"/>
        <v>0</v>
      </c>
      <c r="W25" s="22">
        <f>'22'!G96</f>
        <v>58</v>
      </c>
      <c r="X25" s="22">
        <f>'22'!G97</f>
        <v>17</v>
      </c>
      <c r="Y25" s="22">
        <f>'22'!G98</f>
        <v>21</v>
      </c>
      <c r="Z25" s="22">
        <f t="shared" si="7"/>
        <v>96</v>
      </c>
      <c r="AA25" s="19">
        <f>'22'!G133</f>
        <v>16.980000000003201</v>
      </c>
      <c r="AB25" s="19">
        <f>'22'!G134</f>
        <v>0</v>
      </c>
      <c r="AC25" s="19">
        <f>'22'!G135</f>
        <v>13.309999999997672</v>
      </c>
      <c r="AD25" s="19">
        <f>'22'!G136</f>
        <v>0</v>
      </c>
      <c r="AE25" s="19">
        <f t="shared" si="8"/>
        <v>30.290000000000873</v>
      </c>
      <c r="AF25" s="23">
        <f t="shared" si="2"/>
        <v>6088.5700000000506</v>
      </c>
      <c r="AG25" s="23">
        <f t="shared" si="9"/>
        <v>201.00924397490508</v>
      </c>
      <c r="AH25" s="19">
        <f>'22'!G137</f>
        <v>0</v>
      </c>
      <c r="AI25" s="19">
        <f>'22'!G138</f>
        <v>0</v>
      </c>
      <c r="AJ25" s="19">
        <f>'22'!G139</f>
        <v>9.6499999999941792</v>
      </c>
      <c r="AK25" s="19">
        <f t="shared" si="10"/>
        <v>9.6499999999941792</v>
      </c>
      <c r="AL25" s="19">
        <f>'22'!G140</f>
        <v>9.9199999999998454</v>
      </c>
      <c r="AM25" s="19">
        <f>'22'!G141</f>
        <v>0</v>
      </c>
      <c r="AN25" s="19"/>
      <c r="AO25" s="19">
        <f t="shared" si="11"/>
        <v>9.9199999999998454</v>
      </c>
      <c r="AP25" s="258">
        <f>'22'!G124</f>
        <v>264.77000000001863</v>
      </c>
      <c r="AQ25" s="261">
        <f>'22'!G35</f>
        <v>2900.9000000000233</v>
      </c>
      <c r="AR25" s="19">
        <f>'22'!G37</f>
        <v>1479.0299999999988</v>
      </c>
      <c r="AS25" s="19">
        <f>'22'!G38</f>
        <v>1578</v>
      </c>
      <c r="AT25" s="19">
        <f>'22'!G39</f>
        <v>3410</v>
      </c>
      <c r="AU25" s="19">
        <f>'22'!G40</f>
        <v>620.85999999999967</v>
      </c>
      <c r="AV25" s="19">
        <f>'22'!G41</f>
        <v>3460.1599999999744</v>
      </c>
      <c r="AW25" s="19">
        <f>'22'!G42</f>
        <v>0</v>
      </c>
      <c r="AX25" s="19">
        <f>'22'!G43</f>
        <v>2901.7000000001863</v>
      </c>
      <c r="AY25" s="23">
        <f>'22'!G44</f>
        <v>0</v>
      </c>
      <c r="AZ25" s="262">
        <f>'22'!G36</f>
        <v>741.52000000000044</v>
      </c>
      <c r="BA25" s="261">
        <f>'22'!G49</f>
        <v>0</v>
      </c>
      <c r="BB25" s="19">
        <f>'22'!G51</f>
        <v>0</v>
      </c>
      <c r="BC25" s="19">
        <f>'22'!G52</f>
        <v>0</v>
      </c>
      <c r="BD25" s="19">
        <f>'22'!G53</f>
        <v>0</v>
      </c>
      <c r="BE25" s="19">
        <f>'22'!G54</f>
        <v>0</v>
      </c>
      <c r="BF25" s="19">
        <f>'22'!G55</f>
        <v>2618.0900000000111</v>
      </c>
      <c r="BG25" s="19">
        <f>'22'!G56</f>
        <v>10.320000000065193</v>
      </c>
      <c r="BH25" s="19">
        <f>'22'!G57</f>
        <v>0</v>
      </c>
      <c r="BI25" s="262">
        <f>'22'!G50</f>
        <v>1064.1600000000326</v>
      </c>
      <c r="BJ25" s="370">
        <f t="shared" si="12"/>
        <v>6088.5700000000506</v>
      </c>
      <c r="BK25" s="370">
        <f>'22'!G84</f>
        <v>819</v>
      </c>
      <c r="BL25" s="23">
        <f t="shared" si="13"/>
        <v>57.428065024003537</v>
      </c>
      <c r="BM25" s="23">
        <f t="shared" si="14"/>
        <v>16.468497358279109</v>
      </c>
      <c r="BN25" s="24">
        <f t="shared" si="15"/>
        <v>7.6209058156493939E-2</v>
      </c>
      <c r="BO25" s="25">
        <f t="shared" si="16"/>
        <v>246887.60000000196</v>
      </c>
      <c r="BP25" s="213">
        <f t="shared" si="17"/>
        <v>9809.2700000002369</v>
      </c>
      <c r="BQ25">
        <f t="shared" si="18"/>
        <v>1.1565898693581043</v>
      </c>
    </row>
    <row r="26" spans="1:69">
      <c r="A26" s="16">
        <v>23</v>
      </c>
      <c r="B26" s="27">
        <v>23</v>
      </c>
      <c r="C26" s="28"/>
      <c r="D26" s="19">
        <f>'23'!D3</f>
        <v>30</v>
      </c>
      <c r="E26" s="256">
        <f>'23'!D4</f>
        <v>0.78</v>
      </c>
      <c r="F26" s="256">
        <f>'23'!D2</f>
        <v>0.52</v>
      </c>
      <c r="G26" s="19">
        <f>'23'!G8</f>
        <v>19591.599999999977</v>
      </c>
      <c r="H26" s="19">
        <f>'23'!G7</f>
        <v>19503.840000000084</v>
      </c>
      <c r="I26" s="19">
        <f>'23'!G8</f>
        <v>19591.599999999977</v>
      </c>
      <c r="J26" s="19">
        <v>10</v>
      </c>
      <c r="K26" s="242">
        <f t="shared" si="3"/>
        <v>195038.40000000084</v>
      </c>
      <c r="L26" s="238">
        <f t="shared" si="4"/>
        <v>96.98811881188108</v>
      </c>
      <c r="M26" s="19">
        <f>'23'!G15</f>
        <v>584.38000000012107</v>
      </c>
      <c r="N26" s="19">
        <v>35</v>
      </c>
      <c r="O26" s="234">
        <f t="shared" si="5"/>
        <v>20453.300000004238</v>
      </c>
      <c r="P26" s="19">
        <f>'23'!G20</f>
        <v>101</v>
      </c>
      <c r="Q26" s="19">
        <v>134</v>
      </c>
      <c r="R26" s="239">
        <f t="shared" si="0"/>
        <v>13534</v>
      </c>
      <c r="S26" s="240">
        <f t="shared" si="1"/>
        <v>96.15384615384616</v>
      </c>
      <c r="T26" s="19">
        <f>'23'!G24</f>
        <v>0</v>
      </c>
      <c r="U26" s="19">
        <v>69</v>
      </c>
      <c r="V26" s="241">
        <f t="shared" si="6"/>
        <v>0</v>
      </c>
      <c r="W26" s="22">
        <f>'23'!G96</f>
        <v>43</v>
      </c>
      <c r="X26" s="22">
        <f>'23'!G97</f>
        <v>17</v>
      </c>
      <c r="Y26" s="22">
        <f>'23'!G98</f>
        <v>22</v>
      </c>
      <c r="Z26" s="22">
        <f t="shared" si="7"/>
        <v>82</v>
      </c>
      <c r="AA26" s="19">
        <f>'23'!G133</f>
        <v>5.430000000000291</v>
      </c>
      <c r="AB26" s="19">
        <f>'23'!G134</f>
        <v>0</v>
      </c>
      <c r="AC26" s="19">
        <f>'23'!G135</f>
        <v>24.080000000001746</v>
      </c>
      <c r="AD26" s="19">
        <f>'23'!G136</f>
        <v>0</v>
      </c>
      <c r="AE26" s="19">
        <f t="shared" si="8"/>
        <v>29.510000000002037</v>
      </c>
      <c r="AF26" s="23">
        <f t="shared" si="2"/>
        <v>5831.9499999999389</v>
      </c>
      <c r="AG26" s="23">
        <f t="shared" si="9"/>
        <v>197.62622839713779</v>
      </c>
      <c r="AH26" s="19">
        <f>'23'!G137</f>
        <v>1.9400000000023283</v>
      </c>
      <c r="AI26" s="19">
        <f>'23'!G138</f>
        <v>0</v>
      </c>
      <c r="AJ26" s="19">
        <f>'23'!G139</f>
        <v>0</v>
      </c>
      <c r="AK26" s="19">
        <f t="shared" si="10"/>
        <v>1.9400000000023283</v>
      </c>
      <c r="AL26" s="19">
        <f>'23'!G140</f>
        <v>10.820000000000164</v>
      </c>
      <c r="AM26" s="19">
        <f>'23'!G141</f>
        <v>0</v>
      </c>
      <c r="AN26" s="19"/>
      <c r="AO26" s="19">
        <f t="shared" si="11"/>
        <v>10.820000000000164</v>
      </c>
      <c r="AP26" s="258">
        <f>'23'!G124</f>
        <v>283.38000000000466</v>
      </c>
      <c r="AQ26" s="261">
        <f>'23'!G35</f>
        <v>2677.5</v>
      </c>
      <c r="AR26" s="19">
        <f>'23'!G37</f>
        <v>1414.3399999999965</v>
      </c>
      <c r="AS26" s="19">
        <f>'23'!G38</f>
        <v>1354.2200000000012</v>
      </c>
      <c r="AT26" s="19">
        <f>'23'!G39</f>
        <v>3432.960000000021</v>
      </c>
      <c r="AU26" s="19">
        <f>'23'!G40</f>
        <v>324.68000000000029</v>
      </c>
      <c r="AV26" s="19">
        <f>'23'!G41</f>
        <v>1074.179999999993</v>
      </c>
      <c r="AW26" s="19">
        <f>'23'!G42</f>
        <v>0</v>
      </c>
      <c r="AX26" s="19">
        <f>'23'!G43</f>
        <v>2742.5999999998603</v>
      </c>
      <c r="AY26" s="23">
        <f>'23'!G44</f>
        <v>0</v>
      </c>
      <c r="AZ26" s="262">
        <f>'23'!G36</f>
        <v>662.30999999999949</v>
      </c>
      <c r="BA26" s="261">
        <f>'23'!G49</f>
        <v>-1.0000000009313226E-2</v>
      </c>
      <c r="BB26" s="19">
        <f>'23'!G51</f>
        <v>0</v>
      </c>
      <c r="BC26" s="19">
        <f>'23'!G52</f>
        <v>0</v>
      </c>
      <c r="BD26" s="19">
        <f>'23'!G53</f>
        <v>0</v>
      </c>
      <c r="BE26" s="19">
        <f>'23'!G54</f>
        <v>2.0000000000436557E-2</v>
      </c>
      <c r="BF26" s="19">
        <f>'23'!G55</f>
        <v>4747.5699999999924</v>
      </c>
      <c r="BG26" s="19">
        <f>'23'!G56</f>
        <v>10.199999999953434</v>
      </c>
      <c r="BH26" s="19">
        <f>'23'!G57</f>
        <v>0</v>
      </c>
      <c r="BI26" s="262">
        <f>'23'!G50</f>
        <v>989.40000000002328</v>
      </c>
      <c r="BJ26" s="370">
        <f t="shared" si="12"/>
        <v>5831.9499999999389</v>
      </c>
      <c r="BK26" s="370">
        <f>'23'!G84</f>
        <v>782</v>
      </c>
      <c r="BL26" s="23">
        <f t="shared" si="13"/>
        <v>57.432981481858569</v>
      </c>
      <c r="BM26" s="23">
        <f t="shared" si="14"/>
        <v>17.522611731558552</v>
      </c>
      <c r="BN26" s="24">
        <f t="shared" si="15"/>
        <v>6.9122481063312993E-2</v>
      </c>
      <c r="BO26" s="25">
        <f t="shared" si="16"/>
        <v>229025.70000000508</v>
      </c>
      <c r="BP26" s="213">
        <f t="shared" si="17"/>
        <v>9356.5499999997992</v>
      </c>
      <c r="BQ26">
        <f t="shared" si="18"/>
        <v>1.1323703829209413</v>
      </c>
    </row>
    <row r="27" spans="1:69">
      <c r="A27" s="16">
        <v>24</v>
      </c>
      <c r="B27" s="17">
        <v>24</v>
      </c>
      <c r="C27" s="28"/>
      <c r="D27" s="19">
        <f>'24'!D3</f>
        <v>28</v>
      </c>
      <c r="E27" s="256">
        <f>'24'!D4</f>
        <v>0.8</v>
      </c>
      <c r="F27" s="256">
        <f>'24'!D2</f>
        <v>0.57999999999999996</v>
      </c>
      <c r="G27" s="19">
        <f>'24'!G8</f>
        <v>22197.130000000005</v>
      </c>
      <c r="H27" s="19">
        <f>'24'!G7</f>
        <v>22111.329999999958</v>
      </c>
      <c r="I27" s="19">
        <f>'24'!G8</f>
        <v>22197.130000000005</v>
      </c>
      <c r="J27" s="19">
        <v>10</v>
      </c>
      <c r="K27" s="242">
        <f t="shared" si="3"/>
        <v>221113.29999999958</v>
      </c>
      <c r="L27" s="238">
        <f t="shared" si="4"/>
        <v>109.88678217821784</v>
      </c>
      <c r="M27" s="19">
        <f>'24'!G15</f>
        <v>944.64999999990687</v>
      </c>
      <c r="N27" s="19">
        <v>35</v>
      </c>
      <c r="O27" s="234">
        <f t="shared" si="5"/>
        <v>33062.74999999674</v>
      </c>
      <c r="P27" s="19">
        <f>'24'!G20</f>
        <v>164</v>
      </c>
      <c r="Q27" s="19">
        <v>134</v>
      </c>
      <c r="R27" s="239">
        <f t="shared" si="0"/>
        <v>21976</v>
      </c>
      <c r="S27" s="240">
        <f t="shared" si="1"/>
        <v>139.97951519289862</v>
      </c>
      <c r="T27" s="19">
        <f>'24'!G24</f>
        <v>0</v>
      </c>
      <c r="U27" s="19">
        <v>69</v>
      </c>
      <c r="V27" s="241">
        <f t="shared" si="6"/>
        <v>0</v>
      </c>
      <c r="W27" s="22">
        <f>'24'!G96</f>
        <v>73</v>
      </c>
      <c r="X27" s="22">
        <f>'24'!G97</f>
        <v>19</v>
      </c>
      <c r="Y27" s="22">
        <f>'24'!G98</f>
        <v>20</v>
      </c>
      <c r="Z27" s="22">
        <f t="shared" si="7"/>
        <v>112</v>
      </c>
      <c r="AA27" s="19">
        <f>'24'!G133</f>
        <v>7.4899999999979627</v>
      </c>
      <c r="AB27" s="19">
        <f>'24'!G134</f>
        <v>0</v>
      </c>
      <c r="AC27" s="19">
        <f>'24'!G135</f>
        <v>23.559999999997672</v>
      </c>
      <c r="AD27" s="19">
        <f>'24'!G136</f>
        <v>-5.0000000002910383E-2</v>
      </c>
      <c r="AE27" s="19">
        <f t="shared" si="8"/>
        <v>30.999999999992724</v>
      </c>
      <c r="AF27" s="23">
        <f t="shared" si="2"/>
        <v>6559.3000000000175</v>
      </c>
      <c r="AG27" s="23">
        <f t="shared" si="9"/>
        <v>211.59032258069539</v>
      </c>
      <c r="AH27" s="19">
        <f>'24'!G137</f>
        <v>-4.0000000000873115E-2</v>
      </c>
      <c r="AI27" s="19">
        <f>'24'!G138</f>
        <v>9.5</v>
      </c>
      <c r="AJ27" s="19">
        <f>'24'!G139</f>
        <v>1.0500000000029104</v>
      </c>
      <c r="AK27" s="19">
        <f t="shared" si="10"/>
        <v>10.510000000002037</v>
      </c>
      <c r="AL27" s="19">
        <f>'24'!G140</f>
        <v>10.7199999999998</v>
      </c>
      <c r="AM27" s="19">
        <f>'24'!G141</f>
        <v>0</v>
      </c>
      <c r="AN27" s="19"/>
      <c r="AO27" s="19">
        <f t="shared" si="11"/>
        <v>10.7199999999998</v>
      </c>
      <c r="AP27" s="258">
        <f>'24'!G124</f>
        <v>288.84999999997672</v>
      </c>
      <c r="AQ27" s="261">
        <f>'24'!G35</f>
        <v>2800.5</v>
      </c>
      <c r="AR27" s="19">
        <f>'24'!G37</f>
        <v>1486.4100000000035</v>
      </c>
      <c r="AS27" s="19">
        <f>'24'!G38</f>
        <v>1528.0299999999988</v>
      </c>
      <c r="AT27" s="19">
        <f>'24'!G39</f>
        <v>3514.0499999999884</v>
      </c>
      <c r="AU27" s="19">
        <f>'24'!G40</f>
        <v>520.5</v>
      </c>
      <c r="AV27" s="19">
        <f>'24'!G41</f>
        <v>1565.570000000007</v>
      </c>
      <c r="AW27" s="19">
        <f>'24'!G42</f>
        <v>-8.000000000174623E-2</v>
      </c>
      <c r="AX27" s="19">
        <f>'24'!G43</f>
        <v>2919.3000000000466</v>
      </c>
      <c r="AY27" s="23">
        <f>'24'!G44</f>
        <v>0</v>
      </c>
      <c r="AZ27" s="262">
        <f>'24'!G36</f>
        <v>1173.0200000000004</v>
      </c>
      <c r="BA27" s="261">
        <f>'24'!G49</f>
        <v>0</v>
      </c>
      <c r="BB27" s="19">
        <f>'24'!G51</f>
        <v>0.13000000000465661</v>
      </c>
      <c r="BC27" s="19">
        <f>'24'!G52</f>
        <v>-6.9999999948777258E-2</v>
      </c>
      <c r="BD27" s="19">
        <f>'24'!G53</f>
        <v>0.40999999997438863</v>
      </c>
      <c r="BE27" s="19">
        <f>'24'!G54</f>
        <v>-0.40999999999985448</v>
      </c>
      <c r="BF27" s="19">
        <f>'24'!G55</f>
        <v>4993.8000000000029</v>
      </c>
      <c r="BG27" s="19">
        <f>'24'!G56</f>
        <v>1.0000000009313226E-2</v>
      </c>
      <c r="BH27" s="19">
        <f>'24'!G57</f>
        <v>0</v>
      </c>
      <c r="BI27" s="262">
        <f>'24'!G50</f>
        <v>1520.609999999986</v>
      </c>
      <c r="BJ27" s="370">
        <f t="shared" si="12"/>
        <v>6559.3000000000175</v>
      </c>
      <c r="BK27" s="370">
        <f>'24'!G84</f>
        <v>750</v>
      </c>
      <c r="BL27" s="23">
        <f t="shared" si="13"/>
        <v>55.318412785797364</v>
      </c>
      <c r="BM27" s="23">
        <f t="shared" si="14"/>
        <v>15.832947772977688</v>
      </c>
      <c r="BN27" s="24">
        <f t="shared" si="15"/>
        <v>6.8835926085942176E-2</v>
      </c>
      <c r="BO27" s="25">
        <f t="shared" si="16"/>
        <v>276152.04999999632</v>
      </c>
      <c r="BP27" s="213">
        <f t="shared" si="17"/>
        <v>10228.600000000064</v>
      </c>
      <c r="BQ27">
        <f t="shared" si="18"/>
        <v>1.1784101382491319</v>
      </c>
    </row>
    <row r="28" spans="1:69">
      <c r="A28" s="16">
        <v>25</v>
      </c>
      <c r="B28" s="26">
        <v>25</v>
      </c>
      <c r="C28" s="28"/>
      <c r="D28" s="19">
        <f>'25'!D3</f>
        <v>28</v>
      </c>
      <c r="E28" s="256">
        <f>'25'!D4</f>
        <v>0.8</v>
      </c>
      <c r="F28" s="256">
        <f>'25'!D2</f>
        <v>0.88</v>
      </c>
      <c r="G28" s="19">
        <f>'25'!G8</f>
        <v>19407</v>
      </c>
      <c r="H28" s="19">
        <f>'25'!G7</f>
        <v>19320</v>
      </c>
      <c r="I28" s="19">
        <f>'25'!G8</f>
        <v>19407</v>
      </c>
      <c r="J28" s="19">
        <v>10</v>
      </c>
      <c r="K28" s="242">
        <f t="shared" si="3"/>
        <v>193200</v>
      </c>
      <c r="L28" s="238">
        <f t="shared" si="4"/>
        <v>96.074257425742573</v>
      </c>
      <c r="M28" s="19">
        <f>'25'!G15</f>
        <v>746</v>
      </c>
      <c r="N28" s="19">
        <v>35</v>
      </c>
      <c r="O28" s="234">
        <f t="shared" si="5"/>
        <v>26110</v>
      </c>
      <c r="P28" s="19">
        <f>'25'!G20</f>
        <v>170</v>
      </c>
      <c r="Q28" s="19">
        <v>134</v>
      </c>
      <c r="R28" s="239">
        <f t="shared" si="0"/>
        <v>22780</v>
      </c>
      <c r="S28" s="240">
        <f t="shared" si="1"/>
        <v>95.634563456345646</v>
      </c>
      <c r="T28" s="19">
        <f>'25'!G24</f>
        <v>0</v>
      </c>
      <c r="U28" s="19">
        <v>69</v>
      </c>
      <c r="V28" s="241">
        <f t="shared" si="6"/>
        <v>0</v>
      </c>
      <c r="W28" s="22">
        <f>'25'!G96</f>
        <v>70</v>
      </c>
      <c r="X28" s="22">
        <f>'25'!G97</f>
        <v>21</v>
      </c>
      <c r="Y28" s="22">
        <f>'25'!G98</f>
        <v>19</v>
      </c>
      <c r="Z28" s="22">
        <f t="shared" si="7"/>
        <v>110</v>
      </c>
      <c r="AA28" s="19">
        <f>'25'!G133</f>
        <v>0</v>
      </c>
      <c r="AB28" s="19">
        <f>'25'!G134</f>
        <v>0</v>
      </c>
      <c r="AC28" s="19">
        <f>'25'!G135</f>
        <v>24.44999999999709</v>
      </c>
      <c r="AD28" s="19">
        <f>'25'!G136</f>
        <v>0</v>
      </c>
      <c r="AE28" s="19">
        <f t="shared" si="8"/>
        <v>24.44999999999709</v>
      </c>
      <c r="AF28" s="23">
        <f t="shared" si="2"/>
        <v>5087</v>
      </c>
      <c r="AG28" s="23">
        <f t="shared" si="9"/>
        <v>208.05725971372621</v>
      </c>
      <c r="AH28" s="19">
        <f>'24'!G137</f>
        <v>-4.0000000000873115E-2</v>
      </c>
      <c r="AI28" s="19">
        <f>'24'!G138</f>
        <v>9.5</v>
      </c>
      <c r="AJ28" s="19">
        <f>'24'!G139</f>
        <v>1.0500000000029104</v>
      </c>
      <c r="AK28" s="19">
        <f t="shared" si="10"/>
        <v>10.510000000002037</v>
      </c>
      <c r="AL28" s="19">
        <f>'23'!G140</f>
        <v>10.820000000000164</v>
      </c>
      <c r="AM28" s="19">
        <f>'24'!G141</f>
        <v>0</v>
      </c>
      <c r="AN28" s="19"/>
      <c r="AO28" s="19">
        <f t="shared" si="11"/>
        <v>10.820000000000164</v>
      </c>
      <c r="AP28" s="258">
        <f>'25'!G124</f>
        <v>265</v>
      </c>
      <c r="AQ28" s="261">
        <f>'25'!G35</f>
        <v>2719</v>
      </c>
      <c r="AR28" s="19">
        <f>'25'!G37</f>
        <v>1518</v>
      </c>
      <c r="AS28" s="19">
        <f>'25'!G38</f>
        <v>1537</v>
      </c>
      <c r="AT28" s="19">
        <f>'25'!G39</f>
        <v>3655</v>
      </c>
      <c r="AU28" s="19">
        <f>'25'!G40</f>
        <v>0</v>
      </c>
      <c r="AV28" s="19">
        <f>'25'!G41</f>
        <v>0</v>
      </c>
      <c r="AW28" s="19"/>
      <c r="AX28" s="19">
        <f>'25'!G43</f>
        <v>2649</v>
      </c>
      <c r="AY28" s="23">
        <f>'25'!G44</f>
        <v>0</v>
      </c>
      <c r="AZ28" s="262">
        <f>'25'!G36</f>
        <v>642</v>
      </c>
      <c r="BA28" s="261">
        <f>'25'!G49</f>
        <v>1.0000000009313226E-2</v>
      </c>
      <c r="BB28" s="19">
        <f>'25'!G51</f>
        <v>-0.13000000000465661</v>
      </c>
      <c r="BC28" s="19">
        <f>'25'!G52</f>
        <v>6.9999999948777258E-2</v>
      </c>
      <c r="BD28" s="19">
        <f>'25'!G53</f>
        <v>0</v>
      </c>
      <c r="BE28" s="19">
        <f>'24'!G54</f>
        <v>-0.40999999999985448</v>
      </c>
      <c r="BF28" s="19">
        <f>'25'!G55</f>
        <v>5087</v>
      </c>
      <c r="BG28" s="19">
        <f>'25'!G56</f>
        <v>0</v>
      </c>
      <c r="BH28" s="19">
        <f>'25'!G57</f>
        <v>0</v>
      </c>
      <c r="BI28" s="262">
        <f>'25'!G50</f>
        <v>1032</v>
      </c>
      <c r="BJ28" s="370">
        <f t="shared" si="12"/>
        <v>5087</v>
      </c>
      <c r="BK28" s="370">
        <f>'25'!G84</f>
        <v>732</v>
      </c>
      <c r="BL28" s="23">
        <f t="shared" si="13"/>
        <v>53.872365641263514</v>
      </c>
      <c r="BM28" s="23">
        <f t="shared" si="14"/>
        <v>18.833410625032204</v>
      </c>
      <c r="BN28" s="24">
        <f t="shared" si="15"/>
        <v>7.9201834389650574E-2</v>
      </c>
      <c r="BO28" s="25">
        <f t="shared" si="16"/>
        <v>242090</v>
      </c>
      <c r="BP28" s="213">
        <f t="shared" si="17"/>
        <v>8468</v>
      </c>
      <c r="BQ28">
        <f t="shared" si="18"/>
        <v>1.2369266725096417</v>
      </c>
    </row>
    <row r="29" spans="1:69">
      <c r="A29" s="16">
        <v>26</v>
      </c>
      <c r="B29" s="26">
        <v>26</v>
      </c>
      <c r="C29" s="29"/>
      <c r="D29" s="19">
        <f>'26'!D3</f>
        <v>28</v>
      </c>
      <c r="E29" s="256">
        <f>'26'!D4</f>
        <v>0.78</v>
      </c>
      <c r="F29" s="256">
        <f>'26'!D2</f>
        <v>1</v>
      </c>
      <c r="G29" s="19">
        <f>'26'!G8</f>
        <v>22760</v>
      </c>
      <c r="H29" s="19">
        <f>'26'!G7</f>
        <v>22643</v>
      </c>
      <c r="I29" s="19">
        <f>'26'!G8</f>
        <v>22760</v>
      </c>
      <c r="J29" s="19">
        <v>10</v>
      </c>
      <c r="K29" s="242">
        <f t="shared" si="3"/>
        <v>226430</v>
      </c>
      <c r="L29" s="238">
        <f t="shared" si="4"/>
        <v>112.67326732673267</v>
      </c>
      <c r="M29" s="19">
        <f>'26'!G15</f>
        <v>925</v>
      </c>
      <c r="N29" s="19">
        <v>35</v>
      </c>
      <c r="O29" s="234">
        <f t="shared" si="5"/>
        <v>32375</v>
      </c>
      <c r="P29" s="19">
        <f>'26'!G20</f>
        <v>215</v>
      </c>
      <c r="Q29" s="19">
        <v>134</v>
      </c>
      <c r="R29" s="239">
        <f t="shared" si="0"/>
        <v>28810</v>
      </c>
      <c r="S29" s="240">
        <f t="shared" si="1"/>
        <v>106.43564356435644</v>
      </c>
      <c r="T29" s="19">
        <f>'26'!G24</f>
        <v>0</v>
      </c>
      <c r="U29" s="19">
        <v>69</v>
      </c>
      <c r="V29" s="241">
        <f t="shared" si="6"/>
        <v>0</v>
      </c>
      <c r="W29" s="22">
        <f>'26'!G96</f>
        <v>79</v>
      </c>
      <c r="X29" s="22">
        <f>'26'!G97</f>
        <v>29</v>
      </c>
      <c r="Y29" s="22">
        <f>'26'!G98</f>
        <v>34</v>
      </c>
      <c r="Z29" s="22">
        <f t="shared" si="7"/>
        <v>142</v>
      </c>
      <c r="AA29" s="19">
        <f>'26'!G133</f>
        <v>14</v>
      </c>
      <c r="AB29" s="19">
        <f>'26'!G134</f>
        <v>0</v>
      </c>
      <c r="AC29" s="19">
        <f>'26'!G135</f>
        <v>20.960000000006403</v>
      </c>
      <c r="AD29" s="19">
        <f>'26'!G136</f>
        <v>0</v>
      </c>
      <c r="AE29" s="19">
        <f t="shared" si="8"/>
        <v>34.960000000006403</v>
      </c>
      <c r="AF29" s="23">
        <f t="shared" si="2"/>
        <v>6949</v>
      </c>
      <c r="AG29" s="23">
        <f t="shared" si="9"/>
        <v>198.7700228832588</v>
      </c>
      <c r="AH29" s="19">
        <f>'26'!G137</f>
        <v>8.4500000000007276</v>
      </c>
      <c r="AI29" s="19">
        <f>'26'!G138</f>
        <v>0</v>
      </c>
      <c r="AJ29" s="19">
        <f>'26'!G139</f>
        <v>0</v>
      </c>
      <c r="AK29" s="19">
        <f t="shared" si="10"/>
        <v>8.4500000000007276</v>
      </c>
      <c r="AL29" s="19">
        <f>'26'!G140</f>
        <v>11.5</v>
      </c>
      <c r="AM29" s="19">
        <f>'26'!G141</f>
        <v>0</v>
      </c>
      <c r="AN29" s="19"/>
      <c r="AO29" s="19">
        <f t="shared" si="11"/>
        <v>11.5</v>
      </c>
      <c r="AP29" s="258">
        <f>'26'!G124</f>
        <v>306</v>
      </c>
      <c r="AQ29" s="261">
        <f>'26'!G35</f>
        <v>3030</v>
      </c>
      <c r="AR29" s="19">
        <f>'26'!G37</f>
        <v>1521</v>
      </c>
      <c r="AS29" s="19">
        <f>'26'!G38</f>
        <v>1787</v>
      </c>
      <c r="AT29" s="19">
        <f>'26'!G39</f>
        <v>3678</v>
      </c>
      <c r="AU29" s="19">
        <f>'26'!G40</f>
        <v>281</v>
      </c>
      <c r="AV29" s="19">
        <f>'26'!G41</f>
        <v>2890</v>
      </c>
      <c r="AW29" s="19">
        <f>'26'!G42</f>
        <v>0</v>
      </c>
      <c r="AX29" s="19">
        <f>'26'!G43</f>
        <v>2958</v>
      </c>
      <c r="AY29" s="23">
        <f>'26'!G44</f>
        <v>0</v>
      </c>
      <c r="AZ29" s="262">
        <f>'26'!G36</f>
        <v>959</v>
      </c>
      <c r="BA29" s="261">
        <f>'26'!G49</f>
        <v>-0.13000000000465661</v>
      </c>
      <c r="BB29" s="19">
        <f>'26'!G51</f>
        <v>0</v>
      </c>
      <c r="BC29" s="19">
        <f>'26'!G52</f>
        <v>0</v>
      </c>
      <c r="BD29" s="19">
        <f>'26'!G53</f>
        <v>0</v>
      </c>
      <c r="BE29" s="19">
        <f>'26'!G54</f>
        <v>0</v>
      </c>
      <c r="BF29" s="19">
        <f>'26'!G55</f>
        <v>4059</v>
      </c>
      <c r="BG29" s="19">
        <f>'26'!G56</f>
        <v>0</v>
      </c>
      <c r="BH29" s="19">
        <f>'26'!G57</f>
        <v>0</v>
      </c>
      <c r="BI29" s="262">
        <f>'26'!G50</f>
        <v>1133</v>
      </c>
      <c r="BJ29" s="370">
        <f t="shared" si="12"/>
        <v>6949</v>
      </c>
      <c r="BK29" s="370">
        <f>'26'!G84</f>
        <v>872</v>
      </c>
      <c r="BL29" s="23">
        <f t="shared" si="13"/>
        <v>56.840377855887503</v>
      </c>
      <c r="BM29" s="23">
        <f t="shared" si="14"/>
        <v>16.159929701230229</v>
      </c>
      <c r="BN29" s="24">
        <f t="shared" si="15"/>
        <v>7.851493848857645E-2</v>
      </c>
      <c r="BO29" s="25">
        <f t="shared" si="16"/>
        <v>287615</v>
      </c>
      <c r="BP29" s="213">
        <f t="shared" si="17"/>
        <v>10779</v>
      </c>
      <c r="BQ29">
        <f t="shared" si="18"/>
        <v>1.1011564236676636</v>
      </c>
    </row>
    <row r="30" spans="1:69">
      <c r="A30" s="16">
        <v>27</v>
      </c>
      <c r="B30" s="17">
        <v>27</v>
      </c>
      <c r="C30" s="28"/>
      <c r="D30" s="19">
        <f>'27'!D3</f>
        <v>29</v>
      </c>
      <c r="E30" s="256">
        <f>'27'!D4</f>
        <v>0.79</v>
      </c>
      <c r="F30" s="256">
        <f>'27'!D2</f>
        <v>0.67</v>
      </c>
      <c r="G30" s="19">
        <f>'27'!G8</f>
        <v>22001</v>
      </c>
      <c r="H30" s="19">
        <f>'27'!G7</f>
        <v>21890</v>
      </c>
      <c r="I30" s="19">
        <f>'27'!G8</f>
        <v>22001</v>
      </c>
      <c r="J30" s="19">
        <v>10</v>
      </c>
      <c r="K30" s="242">
        <f t="shared" si="3"/>
        <v>218900</v>
      </c>
      <c r="L30" s="238">
        <f t="shared" si="4"/>
        <v>108.91584158415841</v>
      </c>
      <c r="M30" s="19">
        <f>'27'!G15</f>
        <v>804</v>
      </c>
      <c r="N30" s="19">
        <v>35</v>
      </c>
      <c r="O30" s="234">
        <f t="shared" si="5"/>
        <v>28140</v>
      </c>
      <c r="P30" s="19">
        <f>'27'!G20</f>
        <v>241</v>
      </c>
      <c r="Q30" s="19">
        <v>134</v>
      </c>
      <c r="R30" s="239">
        <f t="shared" si="0"/>
        <v>32294</v>
      </c>
      <c r="S30" s="240">
        <f t="shared" si="1"/>
        <v>178.07004581055122</v>
      </c>
      <c r="T30" s="19">
        <f>'27'!G24</f>
        <v>0</v>
      </c>
      <c r="U30" s="19">
        <v>69</v>
      </c>
      <c r="V30" s="241">
        <f t="shared" si="6"/>
        <v>0</v>
      </c>
      <c r="W30" s="22">
        <f>'27'!G96</f>
        <v>73</v>
      </c>
      <c r="X30" s="22">
        <f>'27'!G97</f>
        <v>35</v>
      </c>
      <c r="Y30" s="22">
        <f>'27'!G98</f>
        <v>36</v>
      </c>
      <c r="Z30" s="22">
        <f t="shared" si="7"/>
        <v>144</v>
      </c>
      <c r="AA30" s="19">
        <f>'27'!G133</f>
        <v>24</v>
      </c>
      <c r="AB30" s="19">
        <f>'27'!G134</f>
        <v>0</v>
      </c>
      <c r="AC30" s="19">
        <f>'27'!G135</f>
        <v>10.759999999994761</v>
      </c>
      <c r="AD30" s="19">
        <f>'27'!G136</f>
        <v>0</v>
      </c>
      <c r="AE30" s="19">
        <f t="shared" si="8"/>
        <v>34.759999999994761</v>
      </c>
      <c r="AF30" s="23">
        <f t="shared" si="2"/>
        <v>6445</v>
      </c>
      <c r="AG30" s="23">
        <f t="shared" si="9"/>
        <v>185.41426927505671</v>
      </c>
      <c r="AH30" s="19">
        <f>'27'!G137</f>
        <v>4.4799999999995634</v>
      </c>
      <c r="AI30" s="19">
        <f>'27'!G138</f>
        <v>0.38999999999941792</v>
      </c>
      <c r="AJ30" s="19">
        <f>'27'!G139</f>
        <v>5.0800000000017462</v>
      </c>
      <c r="AK30" s="19">
        <f t="shared" si="10"/>
        <v>9.9500000000007276</v>
      </c>
      <c r="AL30" s="19">
        <f>'27'!G140</f>
        <v>10.5</v>
      </c>
      <c r="AM30" s="19">
        <f>'27'!G141</f>
        <v>0</v>
      </c>
      <c r="AN30" s="19"/>
      <c r="AO30" s="19">
        <f t="shared" si="11"/>
        <v>10.5</v>
      </c>
      <c r="AP30" s="258">
        <f>'27'!G124</f>
        <v>294</v>
      </c>
      <c r="AQ30" s="261">
        <f>'27'!G35</f>
        <v>3062</v>
      </c>
      <c r="AR30" s="19">
        <f>'27'!G37</f>
        <v>1492</v>
      </c>
      <c r="AS30" s="19">
        <f>'27'!G38</f>
        <v>1713</v>
      </c>
      <c r="AT30" s="19">
        <f>'27'!G39</f>
        <v>3715</v>
      </c>
      <c r="AU30" s="19">
        <f>'27'!G40</f>
        <v>380</v>
      </c>
      <c r="AV30" s="19">
        <f>'27'!G41</f>
        <v>4771</v>
      </c>
      <c r="AW30" s="19">
        <f>'27'!G42</f>
        <v>0</v>
      </c>
      <c r="AX30" s="19">
        <f>'27'!G43</f>
        <v>3057</v>
      </c>
      <c r="AY30" s="23">
        <f>'27'!G44</f>
        <v>0</v>
      </c>
      <c r="AZ30" s="262">
        <f>'27'!G36</f>
        <v>587</v>
      </c>
      <c r="BA30" s="261">
        <f>'27'!G49</f>
        <v>0.13000000000465661</v>
      </c>
      <c r="BB30" s="19">
        <f>'27'!G51</f>
        <v>0.13000000000465661</v>
      </c>
      <c r="BC30" s="19">
        <f>'27'!G52</f>
        <v>-6.9999999948777258E-2</v>
      </c>
      <c r="BD30" s="19">
        <f>'27'!G53</f>
        <v>0</v>
      </c>
      <c r="BE30" s="19">
        <f>'27'!G54</f>
        <v>0</v>
      </c>
      <c r="BF30" s="19">
        <f>'27'!G55</f>
        <v>1674</v>
      </c>
      <c r="BG30" s="19">
        <f>'27'!G56</f>
        <v>0</v>
      </c>
      <c r="BH30" s="19">
        <f>'27'!G57</f>
        <v>0</v>
      </c>
      <c r="BI30" s="262">
        <f>'27'!G50</f>
        <v>1299</v>
      </c>
      <c r="BJ30" s="370">
        <f t="shared" si="12"/>
        <v>6445</v>
      </c>
      <c r="BK30" s="370">
        <f>'27'!G84</f>
        <v>884</v>
      </c>
      <c r="BL30" s="23">
        <f t="shared" si="13"/>
        <v>57.107086041543589</v>
      </c>
      <c r="BM30" s="23">
        <f t="shared" si="14"/>
        <v>16.885596109267762</v>
      </c>
      <c r="BN30" s="24">
        <f t="shared" si="15"/>
        <v>7.7856915594748027E-2</v>
      </c>
      <c r="BO30" s="25">
        <f t="shared" si="16"/>
        <v>279334</v>
      </c>
      <c r="BP30" s="213">
        <f t="shared" si="17"/>
        <v>10386</v>
      </c>
      <c r="BQ30">
        <f t="shared" si="18"/>
        <v>1.0671132664805159</v>
      </c>
    </row>
    <row r="31" spans="1:69">
      <c r="A31" s="16">
        <v>28</v>
      </c>
      <c r="B31" s="26">
        <v>28</v>
      </c>
      <c r="C31" s="28"/>
      <c r="D31" s="19">
        <f>'28'!D3</f>
        <v>30</v>
      </c>
      <c r="E31" s="256">
        <f>'28'!D4</f>
        <v>0.78</v>
      </c>
      <c r="F31" s="256">
        <f>'28'!D2</f>
        <v>0.71</v>
      </c>
      <c r="G31" s="19">
        <f>'28'!G8</f>
        <v>17150</v>
      </c>
      <c r="H31" s="19">
        <f>'28'!G7</f>
        <v>17000</v>
      </c>
      <c r="I31" s="19">
        <f>'28'!G8</f>
        <v>17150</v>
      </c>
      <c r="J31" s="19">
        <v>10</v>
      </c>
      <c r="K31" s="242">
        <f t="shared" si="3"/>
        <v>170000</v>
      </c>
      <c r="L31" s="238">
        <f t="shared" si="4"/>
        <v>84.900990099009903</v>
      </c>
      <c r="M31" s="19">
        <f>'28'!G15</f>
        <v>550</v>
      </c>
      <c r="N31" s="19">
        <v>35</v>
      </c>
      <c r="O31" s="234">
        <f t="shared" si="5"/>
        <v>19250</v>
      </c>
      <c r="P31" s="19">
        <f>'28'!G20</f>
        <v>-1828</v>
      </c>
      <c r="Q31" s="19">
        <v>134</v>
      </c>
      <c r="R31" s="239">
        <f t="shared" si="0"/>
        <v>-244952</v>
      </c>
      <c r="S31" s="240">
        <f t="shared" si="1"/>
        <v>-1274.5781620415564</v>
      </c>
      <c r="T31" s="19">
        <f>'28'!G24</f>
        <v>0</v>
      </c>
      <c r="U31" s="19">
        <v>69</v>
      </c>
      <c r="V31" s="241">
        <f t="shared" si="6"/>
        <v>0</v>
      </c>
      <c r="W31" s="22">
        <f>'28'!G96</f>
        <v>-1683</v>
      </c>
      <c r="X31" s="22">
        <f>'28'!G97</f>
        <v>-500</v>
      </c>
      <c r="Y31" s="22">
        <f>'28'!G98</f>
        <v>-739</v>
      </c>
      <c r="Z31" s="22">
        <f t="shared" si="7"/>
        <v>-2922</v>
      </c>
      <c r="AA31" s="19">
        <f>'28'!G133</f>
        <v>-344</v>
      </c>
      <c r="AB31" s="19">
        <f>'28'!G134</f>
        <v>0</v>
      </c>
      <c r="AC31" s="19">
        <f>'28'!G135</f>
        <v>-213.16999999999825</v>
      </c>
      <c r="AD31" s="19">
        <f>'28'!G136</f>
        <v>-230.84000000000015</v>
      </c>
      <c r="AE31" s="19">
        <f t="shared" si="8"/>
        <v>-788.0099999999984</v>
      </c>
      <c r="AF31" s="23">
        <f t="shared" si="2"/>
        <v>-169304</v>
      </c>
      <c r="AG31" s="23">
        <f t="shared" si="9"/>
        <v>214.85006535450103</v>
      </c>
      <c r="AH31" s="19">
        <f>'28'!G137</f>
        <v>-79.470000000001164</v>
      </c>
      <c r="AI31" s="19">
        <f>'28'!G138</f>
        <v>-39.569999999999709</v>
      </c>
      <c r="AJ31" s="19">
        <f>'28'!G139</f>
        <v>-107</v>
      </c>
      <c r="AK31" s="19">
        <f t="shared" si="10"/>
        <v>-226.04000000000087</v>
      </c>
      <c r="AL31" s="19">
        <f>'28'!G140</f>
        <v>-267</v>
      </c>
      <c r="AM31" s="19">
        <f>'28'!G141</f>
        <v>0</v>
      </c>
      <c r="AN31" s="19"/>
      <c r="AO31" s="19">
        <f t="shared" si="11"/>
        <v>-267</v>
      </c>
      <c r="AP31" s="258">
        <f>'28'!G124</f>
        <v>-7087</v>
      </c>
      <c r="AQ31" s="261">
        <f>'28'!G35</f>
        <v>-77011</v>
      </c>
      <c r="AR31" s="19">
        <f>'28'!G37</f>
        <v>-41967</v>
      </c>
      <c r="AS31" s="19">
        <f>'28'!G38</f>
        <v>-41228</v>
      </c>
      <c r="AT31" s="19">
        <f>'28'!G39</f>
        <v>-92616</v>
      </c>
      <c r="AU31" s="19">
        <f>'28'!G40</f>
        <v>-5225</v>
      </c>
      <c r="AV31" s="19">
        <f>'28'!G41</f>
        <v>-78175</v>
      </c>
      <c r="AW31" s="19">
        <f>'28'!G42</f>
        <v>-11</v>
      </c>
      <c r="AX31" s="439">
        <f>'28'!G43</f>
        <v>-77233</v>
      </c>
      <c r="AY31" s="23">
        <f>'28'!G44</f>
        <v>0</v>
      </c>
      <c r="AZ31" s="262">
        <f>'28'!G36</f>
        <v>328476</v>
      </c>
      <c r="BA31" s="261">
        <f>'28'!G49</f>
        <v>0</v>
      </c>
      <c r="BB31" s="19">
        <f>'28'!G51</f>
        <v>0</v>
      </c>
      <c r="BC31" s="19">
        <f>'28'!G52</f>
        <v>6.9999999948777258E-2</v>
      </c>
      <c r="BD31" s="19">
        <f>'28'!G53</f>
        <v>-3306</v>
      </c>
      <c r="BE31" s="19">
        <f>'28'!G54</f>
        <v>-1451</v>
      </c>
      <c r="BF31" s="19">
        <f>'28'!G55</f>
        <v>-43349</v>
      </c>
      <c r="BG31" s="19">
        <f>'28'!G56</f>
        <v>-47769</v>
      </c>
      <c r="BH31" s="19">
        <f>'28'!G57</f>
        <v>0.32999999999992724</v>
      </c>
      <c r="BI31" s="262">
        <f>'28'!G50</f>
        <v>-31909</v>
      </c>
      <c r="BJ31" s="370">
        <f t="shared" si="12"/>
        <v>-169304</v>
      </c>
      <c r="BK31" s="370">
        <f>'28'!G84</f>
        <v>-22822</v>
      </c>
      <c r="BL31" s="23">
        <f>SUM(AQ31,AV31,AW31,AX31,BA31,BF31,BG31,BH31)/I31%</f>
        <v>-1886.5753352769677</v>
      </c>
      <c r="BM31" s="23">
        <f t="shared" si="14"/>
        <v>-559.31195335276971</v>
      </c>
      <c r="BN31" s="24">
        <f t="shared" si="15"/>
        <v>-2.4039609329446092</v>
      </c>
      <c r="BO31" s="25">
        <f t="shared" si="16"/>
        <v>-55702</v>
      </c>
      <c r="BP31" s="213">
        <f t="shared" si="17"/>
        <v>-269358.67000000004</v>
      </c>
      <c r="BQ31">
        <f t="shared" si="18"/>
        <v>1.2207906625550464</v>
      </c>
    </row>
    <row r="32" spans="1:69">
      <c r="A32" s="16">
        <v>29</v>
      </c>
      <c r="B32" s="26">
        <v>29</v>
      </c>
      <c r="C32" s="28"/>
      <c r="D32" s="19">
        <f>'29'!D3</f>
        <v>30</v>
      </c>
      <c r="E32" s="256">
        <f>'29'!D4</f>
        <v>0.78</v>
      </c>
      <c r="F32" s="256">
        <f>'29'!D2</f>
        <v>0.98</v>
      </c>
      <c r="G32" s="19">
        <f>'29'!G8</f>
        <v>17150</v>
      </c>
      <c r="H32" s="19">
        <f>'29'!G7</f>
        <v>17000</v>
      </c>
      <c r="I32" s="19">
        <f>'29'!G8</f>
        <v>17150</v>
      </c>
      <c r="J32" s="19">
        <v>10</v>
      </c>
      <c r="K32" s="242">
        <f t="shared" si="3"/>
        <v>170000</v>
      </c>
      <c r="L32" s="238">
        <f t="shared" si="4"/>
        <v>84.900990099009903</v>
      </c>
      <c r="M32" s="19">
        <f>'29'!G15</f>
        <v>550</v>
      </c>
      <c r="N32" s="19">
        <v>35</v>
      </c>
      <c r="O32" s="234">
        <f t="shared" si="5"/>
        <v>19250</v>
      </c>
      <c r="P32" s="19">
        <f>'29'!G20</f>
        <v>117</v>
      </c>
      <c r="Q32" s="19">
        <v>134</v>
      </c>
      <c r="R32" s="239">
        <f t="shared" si="0"/>
        <v>15678</v>
      </c>
      <c r="S32" s="240">
        <f t="shared" si="1"/>
        <v>59.102849060416247</v>
      </c>
      <c r="T32" s="19">
        <f>'29'!G24</f>
        <v>0</v>
      </c>
      <c r="U32" s="19">
        <v>69</v>
      </c>
      <c r="V32" s="241">
        <f t="shared" si="6"/>
        <v>0</v>
      </c>
      <c r="W32" s="22">
        <f>'29'!G96</f>
        <v>46</v>
      </c>
      <c r="X32" s="22">
        <f>'29'!G97</f>
        <v>9</v>
      </c>
      <c r="Y32" s="22">
        <f>'29'!G98</f>
        <v>35</v>
      </c>
      <c r="Z32" s="22">
        <f t="shared" si="7"/>
        <v>90</v>
      </c>
      <c r="AA32" s="19">
        <f>'29'!G133</f>
        <v>0</v>
      </c>
      <c r="AB32" s="19">
        <f>'29'!G134</f>
        <v>0</v>
      </c>
      <c r="AC32" s="19">
        <f>'29'!G135</f>
        <v>0</v>
      </c>
      <c r="AD32" s="19">
        <f>'29'!G136</f>
        <v>24.080000000001746</v>
      </c>
      <c r="AE32" s="19">
        <f t="shared" si="8"/>
        <v>24.080000000001746</v>
      </c>
      <c r="AF32" s="23">
        <f t="shared" si="2"/>
        <v>4832</v>
      </c>
      <c r="AG32" s="23">
        <f t="shared" si="9"/>
        <v>200.66445182722796</v>
      </c>
      <c r="AH32" s="19">
        <f>'29'!G137</f>
        <v>0</v>
      </c>
      <c r="AI32" s="19">
        <f>'29'!G138</f>
        <v>0.18000000000029104</v>
      </c>
      <c r="AJ32" s="19">
        <f>'29'!G139</f>
        <v>0</v>
      </c>
      <c r="AK32" s="19">
        <f t="shared" si="10"/>
        <v>0.18000000000029104</v>
      </c>
      <c r="AL32" s="19">
        <f>'29'!G140</f>
        <v>7.4400000000000546</v>
      </c>
      <c r="AM32" s="19">
        <f>'29'!G141</f>
        <v>0.11999999999989086</v>
      </c>
      <c r="AN32" s="19"/>
      <c r="AO32" s="19">
        <f t="shared" si="11"/>
        <v>7.5599999999999454</v>
      </c>
      <c r="AP32" s="258">
        <f>'29'!G124</f>
        <v>197</v>
      </c>
      <c r="AQ32" s="261">
        <f>'29'!G35</f>
        <v>2408</v>
      </c>
      <c r="AR32" s="19">
        <f>'29'!G37</f>
        <v>1354</v>
      </c>
      <c r="AS32" s="19">
        <f>'29'!G38</f>
        <v>1218</v>
      </c>
      <c r="AT32" s="19">
        <f>'29'!G39</f>
        <v>2330</v>
      </c>
      <c r="AU32" s="19">
        <f>'29'!G40</f>
        <v>0</v>
      </c>
      <c r="AV32" s="19">
        <f>'29'!G41</f>
        <v>0</v>
      </c>
      <c r="AW32" s="19">
        <f>'29'!G42</f>
        <v>0</v>
      </c>
      <c r="AX32" s="19">
        <f>'29'!G43</f>
        <v>2326</v>
      </c>
      <c r="AY32" s="23">
        <f>'29'!G44</f>
        <v>0</v>
      </c>
      <c r="AZ32" s="262">
        <f>'29'!G36</f>
        <v>0</v>
      </c>
      <c r="BA32" s="261">
        <f>'29'!G49</f>
        <v>0</v>
      </c>
      <c r="BB32" s="19">
        <f>'29'!G51</f>
        <v>-0.13000000000465661</v>
      </c>
      <c r="BC32" s="19">
        <f>'29'!G52</f>
        <v>0</v>
      </c>
      <c r="BD32" s="19">
        <f>'29'!G53</f>
        <v>588</v>
      </c>
      <c r="BE32" s="19">
        <f>'29'!G54</f>
        <v>80</v>
      </c>
      <c r="BF32" s="19">
        <f>'29'!G55</f>
        <v>0</v>
      </c>
      <c r="BG32" s="19">
        <f>'29'!G56</f>
        <v>4832</v>
      </c>
      <c r="BH32" s="19">
        <f>'29'!G57</f>
        <v>-0.32999999999992724</v>
      </c>
      <c r="BI32" s="262">
        <f>'29'!G50</f>
        <v>866</v>
      </c>
      <c r="BJ32" s="370">
        <f t="shared" si="12"/>
        <v>4832</v>
      </c>
      <c r="BK32" s="370">
        <f>'29'!G84</f>
        <v>872</v>
      </c>
      <c r="BL32" s="23">
        <f t="shared" si="13"/>
        <v>55.776501457725949</v>
      </c>
      <c r="BM32" s="23">
        <f t="shared" si="14"/>
        <v>17.014577259475217</v>
      </c>
      <c r="BN32" s="24">
        <f t="shared" si="15"/>
        <v>7.1020408163265311E-2</v>
      </c>
      <c r="BO32" s="25">
        <f t="shared" si="16"/>
        <v>204928</v>
      </c>
      <c r="BP32" s="213">
        <f t="shared" si="17"/>
        <v>8029.67</v>
      </c>
      <c r="BQ32">
        <f t="shared" si="18"/>
        <v>1.1909216302799326</v>
      </c>
    </row>
    <row r="33" spans="1:69">
      <c r="A33" s="16">
        <v>30</v>
      </c>
      <c r="B33" s="27">
        <v>30</v>
      </c>
      <c r="C33" s="28"/>
      <c r="D33" s="19">
        <f>'30'!D3</f>
        <v>29</v>
      </c>
      <c r="E33" s="256">
        <f>'30'!D4</f>
        <v>0.8</v>
      </c>
      <c r="F33" s="256">
        <f>'30'!D2</f>
        <v>0.62</v>
      </c>
      <c r="G33" s="19">
        <f>'30'!G8</f>
        <v>17150</v>
      </c>
      <c r="H33" s="19">
        <f>'30'!G7</f>
        <v>17000</v>
      </c>
      <c r="I33" s="19">
        <f>'30'!G8</f>
        <v>17150</v>
      </c>
      <c r="J33" s="19">
        <v>10</v>
      </c>
      <c r="K33" s="242">
        <f t="shared" si="3"/>
        <v>170000</v>
      </c>
      <c r="L33" s="238">
        <f t="shared" si="4"/>
        <v>84.900990099009903</v>
      </c>
      <c r="M33" s="19">
        <f>'30'!G15</f>
        <v>550</v>
      </c>
      <c r="N33" s="19">
        <v>35</v>
      </c>
      <c r="O33" s="234">
        <f t="shared" si="5"/>
        <v>19250</v>
      </c>
      <c r="P33" s="19">
        <f>'30'!G20</f>
        <v>138</v>
      </c>
      <c r="Q33" s="19">
        <v>134</v>
      </c>
      <c r="R33" s="239">
        <f t="shared" si="0"/>
        <v>18492</v>
      </c>
      <c r="S33" s="240">
        <f t="shared" si="1"/>
        <v>110.18843819865857</v>
      </c>
      <c r="T33" s="19">
        <f>'30'!G24</f>
        <v>0</v>
      </c>
      <c r="U33" s="19">
        <v>69</v>
      </c>
      <c r="V33" s="241">
        <f t="shared" si="6"/>
        <v>0</v>
      </c>
      <c r="W33" s="22">
        <f>'30'!G96</f>
        <v>38</v>
      </c>
      <c r="X33" s="22">
        <f>'30'!G97</f>
        <v>13</v>
      </c>
      <c r="Y33" s="22">
        <f>'30'!G98</f>
        <v>34</v>
      </c>
      <c r="Z33" s="22">
        <f t="shared" si="7"/>
        <v>85</v>
      </c>
      <c r="AA33" s="19">
        <f>'30'!G133</f>
        <v>0</v>
      </c>
      <c r="AB33" s="19">
        <f>'30'!G134</f>
        <v>0</v>
      </c>
      <c r="AC33" s="19">
        <f>'30'!G135</f>
        <v>0</v>
      </c>
      <c r="AD33" s="19">
        <f>'30'!G136</f>
        <v>24.029999999998836</v>
      </c>
      <c r="AE33" s="19">
        <f t="shared" si="8"/>
        <v>24.029999999998836</v>
      </c>
      <c r="AF33" s="23">
        <f t="shared" si="2"/>
        <v>5573</v>
      </c>
      <c r="AG33" s="23">
        <f t="shared" si="9"/>
        <v>231.91843528923303</v>
      </c>
      <c r="AH33" s="19">
        <f>'30'!G137</f>
        <v>0</v>
      </c>
      <c r="AI33" s="19">
        <f>'30'!G138</f>
        <v>-0.18000000000029104</v>
      </c>
      <c r="AJ33" s="19">
        <f>'30'!G139</f>
        <v>9.7400000000052387</v>
      </c>
      <c r="AK33" s="19">
        <f t="shared" si="10"/>
        <v>9.5600000000049477</v>
      </c>
      <c r="AL33" s="19">
        <f>'30'!G140</f>
        <v>8.0899999999999181</v>
      </c>
      <c r="AM33" s="19">
        <f>'30'!G141</f>
        <v>0</v>
      </c>
      <c r="AN33" s="19"/>
      <c r="AO33" s="19">
        <f t="shared" si="11"/>
        <v>8.0899999999999181</v>
      </c>
      <c r="AP33" s="258">
        <f>'30'!G124</f>
        <v>217</v>
      </c>
      <c r="AQ33" s="261">
        <f>'30'!G35</f>
        <v>2377</v>
      </c>
      <c r="AR33" s="19">
        <f>'30'!G37</f>
        <v>1302</v>
      </c>
      <c r="AS33" s="19">
        <f>'30'!G38</f>
        <v>1331</v>
      </c>
      <c r="AT33" s="19">
        <f>'30'!G39</f>
        <v>2409</v>
      </c>
      <c r="AU33" s="19">
        <f>'30'!G40</f>
        <v>0</v>
      </c>
      <c r="AV33" s="19">
        <f>'30'!G41</f>
        <v>0</v>
      </c>
      <c r="AW33" s="19">
        <f>'30'!G42</f>
        <v>0</v>
      </c>
      <c r="AX33" s="19">
        <f>'30'!G43</f>
        <v>2307</v>
      </c>
      <c r="AY33" s="23">
        <f>'30'!G44</f>
        <v>0</v>
      </c>
      <c r="AZ33" s="262">
        <f>'30'!G36</f>
        <v>0</v>
      </c>
      <c r="BA33" s="261">
        <f>'30'!G49</f>
        <v>0</v>
      </c>
      <c r="BB33" s="19">
        <f>'30'!G51</f>
        <v>0.13000000000465661</v>
      </c>
      <c r="BC33" s="19">
        <f>'30'!G52</f>
        <v>-6.9999999948777258E-2</v>
      </c>
      <c r="BD33" s="19">
        <f>'30'!G53</f>
        <v>545</v>
      </c>
      <c r="BE33" s="19">
        <f>'30'!G54</f>
        <v>82</v>
      </c>
      <c r="BF33" s="19">
        <f>'30'!G55</f>
        <v>0</v>
      </c>
      <c r="BG33" s="19">
        <f>'30'!G56</f>
        <v>5573</v>
      </c>
      <c r="BH33" s="19">
        <f>'30'!G57</f>
        <v>0</v>
      </c>
      <c r="BI33" s="262">
        <f>'30'!G50</f>
        <v>926</v>
      </c>
      <c r="BJ33" s="370">
        <f t="shared" ref="BJ33" si="19">SUM(AV33,AW33,BF33,BG33)</f>
        <v>5573</v>
      </c>
      <c r="BK33" s="370">
        <f>'30'!G84</f>
        <v>802</v>
      </c>
      <c r="BL33" s="23">
        <f t="shared" si="13"/>
        <v>59.807580174927111</v>
      </c>
      <c r="BM33" s="23">
        <f t="shared" si="14"/>
        <v>17.224489795918366</v>
      </c>
      <c r="BN33" s="24">
        <f t="shared" si="15"/>
        <v>7.7605247813414061E-2</v>
      </c>
      <c r="BO33" s="25">
        <f t="shared" si="16"/>
        <v>207742</v>
      </c>
      <c r="BP33" s="213">
        <f t="shared" si="17"/>
        <v>8682</v>
      </c>
      <c r="BQ33">
        <f t="shared" si="18"/>
        <v>1.2903513465311842</v>
      </c>
    </row>
    <row r="34" spans="1:69">
      <c r="A34" s="16">
        <v>31</v>
      </c>
      <c r="B34" s="27">
        <v>31</v>
      </c>
      <c r="C34" s="28"/>
      <c r="D34" s="19">
        <v>30</v>
      </c>
      <c r="E34" s="256" t="str">
        <f>'30'!D5</f>
        <v>Unit</v>
      </c>
      <c r="F34" s="256">
        <f>'30'!D3</f>
        <v>29</v>
      </c>
      <c r="G34" s="19">
        <f>'31'!G8</f>
        <v>17150</v>
      </c>
      <c r="H34" s="19">
        <f>'31'!G7</f>
        <v>17000</v>
      </c>
      <c r="I34" s="19">
        <f>'31'!G8</f>
        <v>17150</v>
      </c>
      <c r="J34" s="19">
        <v>11</v>
      </c>
      <c r="K34" s="242">
        <f t="shared" ref="K34" si="20">H34*J34</f>
        <v>187000</v>
      </c>
      <c r="L34" s="238">
        <f t="shared" ref="L34" si="21">I34/202</f>
        <v>84.900990099009903</v>
      </c>
      <c r="M34" s="19">
        <f>'31'!G15</f>
        <v>550</v>
      </c>
      <c r="N34" s="19">
        <v>36</v>
      </c>
      <c r="O34" s="234">
        <f t="shared" ref="O34" si="22">M34*N34</f>
        <v>19800</v>
      </c>
      <c r="P34" s="19">
        <f>'31'!G20</f>
        <v>121</v>
      </c>
      <c r="Q34" s="19">
        <v>134</v>
      </c>
      <c r="R34" s="239">
        <f t="shared" ref="R34" si="23">P34*Q34</f>
        <v>16214</v>
      </c>
      <c r="S34" s="240">
        <f t="shared" ref="S34" si="24">P34/(F34*202/100)</f>
        <v>2.0655513827244794</v>
      </c>
      <c r="T34" s="19">
        <f>'30'!G25</f>
        <v>0</v>
      </c>
      <c r="U34" s="19">
        <v>70</v>
      </c>
      <c r="V34" s="241">
        <f t="shared" ref="V34" si="25">T34*U34</f>
        <v>0</v>
      </c>
      <c r="W34" s="22">
        <f>'30'!G97</f>
        <v>13</v>
      </c>
      <c r="X34" s="22">
        <f>'30'!G98</f>
        <v>34</v>
      </c>
      <c r="Y34" s="22">
        <f>'30'!G99</f>
        <v>2</v>
      </c>
      <c r="Z34" s="22">
        <f t="shared" ref="Z34" si="26">W34+X34+Y34</f>
        <v>49</v>
      </c>
      <c r="AA34" s="19">
        <f>'30'!G134</f>
        <v>0</v>
      </c>
      <c r="AB34" s="19">
        <f>'30'!G135</f>
        <v>0</v>
      </c>
      <c r="AC34" s="19">
        <f>'30'!G136</f>
        <v>24.029999999998836</v>
      </c>
      <c r="AD34" s="19">
        <f>'30'!G137</f>
        <v>0</v>
      </c>
      <c r="AE34" s="19">
        <f t="shared" ref="AE34" si="27">AA34+AB34+AC34+AD34</f>
        <v>24.029999999998836</v>
      </c>
      <c r="AF34" s="23">
        <f t="shared" ref="AF34" si="28">AV34+AW34+BF34+BG34</f>
        <v>5603</v>
      </c>
      <c r="AG34" s="23">
        <f t="shared" ref="AG34" si="29">AF34/AE34</f>
        <v>233.16687473991973</v>
      </c>
      <c r="AH34" s="19">
        <f>'30'!G138</f>
        <v>-0.18000000000029104</v>
      </c>
      <c r="AI34" s="19">
        <f>'30'!G139</f>
        <v>9.7400000000052387</v>
      </c>
      <c r="AJ34" s="19">
        <f>'30'!G140</f>
        <v>8.0899999999999181</v>
      </c>
      <c r="AK34" s="19">
        <f t="shared" ref="AK34" si="30">AH34+AI34+AJ34</f>
        <v>17.650000000004866</v>
      </c>
      <c r="AL34" s="19">
        <f>'30'!G141</f>
        <v>0</v>
      </c>
      <c r="AM34" s="19">
        <f>'30'!G142</f>
        <v>0</v>
      </c>
      <c r="AN34" s="19"/>
      <c r="AO34" s="19">
        <f t="shared" ref="AO34" si="31">AL34+AM34</f>
        <v>0</v>
      </c>
      <c r="AP34" s="258">
        <f>'30'!G125</f>
        <v>0.39999999999417923</v>
      </c>
      <c r="AQ34" s="261">
        <f>'31'!G35</f>
        <v>2345</v>
      </c>
      <c r="AR34" s="19">
        <f>'31'!G37</f>
        <v>1260</v>
      </c>
      <c r="AS34" s="19">
        <f>'31'!G38</f>
        <v>1249</v>
      </c>
      <c r="AT34" s="19">
        <f>'31'!G39</f>
        <v>2175</v>
      </c>
      <c r="AU34" s="19">
        <f>'31'!G40</f>
        <v>0</v>
      </c>
      <c r="AV34" s="19">
        <f>'31'!G41</f>
        <v>0</v>
      </c>
      <c r="AW34" s="19">
        <f>'31'!G42</f>
        <v>1</v>
      </c>
      <c r="AX34" s="19">
        <f>'31'!G43</f>
        <v>2277</v>
      </c>
      <c r="AY34" s="23">
        <f>'31'!G44</f>
        <v>0</v>
      </c>
      <c r="AZ34" s="262">
        <f>'31'!G36</f>
        <v>173</v>
      </c>
      <c r="BA34" s="261">
        <f>'31'!G49</f>
        <v>-0.13000000000465661</v>
      </c>
      <c r="BB34" s="19">
        <f>'31'!G51</f>
        <v>0</v>
      </c>
      <c r="BC34" s="19">
        <f>'31'!G52</f>
        <v>0</v>
      </c>
      <c r="BD34" s="19">
        <f>'31'!G53</f>
        <v>509</v>
      </c>
      <c r="BE34" s="19">
        <f>'31'!G54</f>
        <v>72</v>
      </c>
      <c r="BF34" s="19">
        <f>'31'!G55</f>
        <v>0</v>
      </c>
      <c r="BG34" s="19">
        <f>'31'!G56</f>
        <v>5602</v>
      </c>
      <c r="BH34" s="19">
        <f>'31'!G57</f>
        <v>0</v>
      </c>
      <c r="BI34" s="262">
        <f>'31'!G50</f>
        <v>884</v>
      </c>
      <c r="BJ34" s="370">
        <f t="shared" ref="BJ34" si="32">SUM(AV34,AW34,BF34,BG34)</f>
        <v>5603</v>
      </c>
      <c r="BK34" s="370">
        <f>'31'!G84</f>
        <v>805</v>
      </c>
      <c r="BL34" s="23">
        <f t="shared" ref="BL34" si="33">SUM(AQ34,AV34,AW34,AX34,BA34,BF34,BG34,BH34)/I34%</f>
        <v>59.620233236151577</v>
      </c>
      <c r="BM34" s="23">
        <f t="shared" ref="BM34" si="34">SUM(AT34,BD34)/I34%</f>
        <v>15.650145772594753</v>
      </c>
      <c r="BN34" s="24">
        <f t="shared" ref="BN34" si="35">(AS34+BC34)/I34</f>
        <v>7.2827988338192415E-2</v>
      </c>
      <c r="BO34" s="25">
        <f t="shared" ref="BO34" si="36">K34+O34+R34+V34</f>
        <v>223014</v>
      </c>
      <c r="BP34" s="213">
        <f t="shared" ref="BP34" si="37">SUM(AV34,AW34,AX34,BF34,BG34,BH34,BK34)</f>
        <v>8685</v>
      </c>
      <c r="BQ34">
        <f t="shared" ref="BQ34" si="38">BP34/(AE34*280)</f>
        <v>1.2907972177635725</v>
      </c>
    </row>
    <row r="35" spans="1:69">
      <c r="A35" s="16" t="s">
        <v>201</v>
      </c>
      <c r="B35" s="30"/>
      <c r="C35" s="31"/>
      <c r="D35" s="32">
        <f>AVERAGE(D4:D34)</f>
        <v>29.129032258064516</v>
      </c>
      <c r="E35" s="33"/>
      <c r="F35" s="384">
        <f>AVERAGE(F4:F34)</f>
        <v>1.5229032258064517</v>
      </c>
      <c r="G35" s="34">
        <f>SUM(G4:G34)</f>
        <v>588932</v>
      </c>
      <c r="H35" s="34">
        <f>SUM(H4:H34)</f>
        <v>585990</v>
      </c>
      <c r="I35" s="34">
        <f t="shared" ref="I35:BO35" si="39">SUM(I4:I34)</f>
        <v>588932</v>
      </c>
      <c r="J35" s="34">
        <f t="shared" si="39"/>
        <v>310</v>
      </c>
      <c r="K35" s="34">
        <f t="shared" si="39"/>
        <v>5860338</v>
      </c>
      <c r="L35" s="34">
        <f t="shared" si="39"/>
        <v>2915.5049504950493</v>
      </c>
      <c r="M35" s="34">
        <f t="shared" si="39"/>
        <v>19369</v>
      </c>
      <c r="N35" s="34">
        <f t="shared" si="39"/>
        <v>1086</v>
      </c>
      <c r="O35" s="34">
        <f t="shared" si="39"/>
        <v>678465</v>
      </c>
      <c r="P35" s="34">
        <f t="shared" si="39"/>
        <v>2510</v>
      </c>
      <c r="Q35" s="34">
        <f t="shared" si="39"/>
        <v>4154</v>
      </c>
      <c r="R35" s="34">
        <f t="shared" si="39"/>
        <v>336340</v>
      </c>
      <c r="S35" s="34">
        <f t="shared" si="39"/>
        <v>3966.5888684177348</v>
      </c>
      <c r="T35" s="34">
        <f t="shared" si="39"/>
        <v>120</v>
      </c>
      <c r="U35" s="34">
        <f t="shared" si="39"/>
        <v>2140</v>
      </c>
      <c r="V35" s="34">
        <f t="shared" si="39"/>
        <v>8280</v>
      </c>
      <c r="W35" s="34">
        <f t="shared" si="39"/>
        <v>-41</v>
      </c>
      <c r="X35" s="34">
        <f t="shared" si="39"/>
        <v>22</v>
      </c>
      <c r="Y35" s="34">
        <f t="shared" si="39"/>
        <v>-17</v>
      </c>
      <c r="Z35" s="34">
        <f t="shared" si="39"/>
        <v>-36</v>
      </c>
      <c r="AA35" s="34">
        <f t="shared" si="39"/>
        <v>23.900000000001455</v>
      </c>
      <c r="AB35" s="34">
        <f t="shared" si="39"/>
        <v>0</v>
      </c>
      <c r="AC35" s="34">
        <f t="shared" si="39"/>
        <v>24.029999999998836</v>
      </c>
      <c r="AD35" s="34">
        <f t="shared" si="39"/>
        <v>-23.729999999999563</v>
      </c>
      <c r="AE35" s="34">
        <f t="shared" si="39"/>
        <v>24.200000000000728</v>
      </c>
      <c r="AF35" s="34">
        <f t="shared" si="39"/>
        <v>1.0299999999988358</v>
      </c>
      <c r="AG35" s="34">
        <f t="shared" si="39"/>
        <v>6476.8091809723446</v>
      </c>
      <c r="AH35" s="34">
        <f t="shared" si="39"/>
        <v>-13.000000000003638</v>
      </c>
      <c r="AI35" s="34">
        <f t="shared" si="39"/>
        <v>19.630000000004657</v>
      </c>
      <c r="AJ35" s="34">
        <f t="shared" si="39"/>
        <v>3.0000000000034106</v>
      </c>
      <c r="AK35" s="34">
        <f t="shared" si="39"/>
        <v>9.6300000000044292</v>
      </c>
      <c r="AL35" s="34">
        <f t="shared" si="39"/>
        <v>-5.3099999999999454</v>
      </c>
      <c r="AM35" s="34">
        <f t="shared" si="39"/>
        <v>0</v>
      </c>
      <c r="AN35" s="34">
        <f t="shared" si="39"/>
        <v>0</v>
      </c>
      <c r="AO35" s="34">
        <f t="shared" si="39"/>
        <v>-5.3099999999999454</v>
      </c>
      <c r="AP35" s="34">
        <f t="shared" si="39"/>
        <v>-176.60000000000582</v>
      </c>
      <c r="AQ35" s="34">
        <f t="shared" si="39"/>
        <v>0</v>
      </c>
      <c r="AR35" s="34">
        <f t="shared" si="39"/>
        <v>0</v>
      </c>
      <c r="AS35" s="34">
        <f t="shared" si="39"/>
        <v>0</v>
      </c>
      <c r="AT35" s="34">
        <f t="shared" si="39"/>
        <v>0</v>
      </c>
      <c r="AU35" s="34">
        <f t="shared" si="39"/>
        <v>0</v>
      </c>
      <c r="AV35" s="34">
        <f t="shared" si="39"/>
        <v>0</v>
      </c>
      <c r="AW35" s="34">
        <f t="shared" si="39"/>
        <v>1.0299999999988358</v>
      </c>
      <c r="AX35" s="34">
        <f t="shared" si="39"/>
        <v>0</v>
      </c>
      <c r="AY35" s="34">
        <f t="shared" si="39"/>
        <v>0</v>
      </c>
      <c r="AZ35" s="34">
        <f t="shared" si="39"/>
        <v>347065</v>
      </c>
      <c r="BA35" s="34">
        <f t="shared" si="39"/>
        <v>0</v>
      </c>
      <c r="BB35" s="34">
        <f t="shared" si="39"/>
        <v>0</v>
      </c>
      <c r="BC35" s="34">
        <f t="shared" si="39"/>
        <v>0</v>
      </c>
      <c r="BD35" s="34">
        <f t="shared" si="39"/>
        <v>0</v>
      </c>
      <c r="BE35" s="34">
        <f t="shared" si="39"/>
        <v>-0.40999999999985448</v>
      </c>
      <c r="BF35" s="34">
        <f t="shared" si="39"/>
        <v>0</v>
      </c>
      <c r="BG35" s="34">
        <f t="shared" si="39"/>
        <v>0</v>
      </c>
      <c r="BH35" s="34">
        <f t="shared" si="39"/>
        <v>0</v>
      </c>
      <c r="BI35" s="34">
        <f t="shared" si="39"/>
        <v>0</v>
      </c>
      <c r="BJ35" s="34">
        <f t="shared" si="39"/>
        <v>1.0299999999988358</v>
      </c>
      <c r="BK35" s="34">
        <f t="shared" si="39"/>
        <v>208</v>
      </c>
      <c r="BL35" s="34">
        <f t="shared" si="39"/>
        <v>-187.95481755726837</v>
      </c>
      <c r="BM35" s="34">
        <f t="shared" si="39"/>
        <v>-55.359373334568318</v>
      </c>
      <c r="BN35" s="34">
        <f t="shared" si="39"/>
        <v>-0.24451390918797733</v>
      </c>
      <c r="BO35" s="34">
        <f t="shared" si="39"/>
        <v>6883422.9999999991</v>
      </c>
      <c r="BP35" s="213">
        <f t="shared" si="17"/>
        <v>209.02999999999884</v>
      </c>
      <c r="BQ35">
        <f t="shared" si="18"/>
        <v>3.0848583234945774E-2</v>
      </c>
    </row>
    <row r="36" spans="1:69">
      <c r="A36" s="35"/>
      <c r="B36" s="35">
        <f t="shared" ref="B36:F36" si="40">B18-B17</f>
        <v>1</v>
      </c>
      <c r="C36" s="35">
        <f t="shared" si="40"/>
        <v>0</v>
      </c>
      <c r="D36" s="35">
        <f t="shared" si="40"/>
        <v>0</v>
      </c>
      <c r="E36" s="35">
        <f t="shared" si="40"/>
        <v>4.0000000000000036E-2</v>
      </c>
      <c r="F36" s="35">
        <f t="shared" si="40"/>
        <v>1.0000000000000009E-2</v>
      </c>
      <c r="G36" s="35"/>
      <c r="H36" s="35"/>
      <c r="I36" s="35">
        <f t="shared" ref="I36:AO36" si="41">I18-I17</f>
        <v>-2115</v>
      </c>
      <c r="J36" s="35">
        <f t="shared" si="41"/>
        <v>0</v>
      </c>
      <c r="K36" s="235">
        <f t="shared" si="41"/>
        <v>-20970</v>
      </c>
      <c r="L36" s="235">
        <f t="shared" si="41"/>
        <v>-10.470297029702962</v>
      </c>
      <c r="M36" s="35">
        <f t="shared" si="41"/>
        <v>-269</v>
      </c>
      <c r="N36" s="35">
        <f t="shared" si="41"/>
        <v>0</v>
      </c>
      <c r="O36" s="235">
        <f t="shared" si="41"/>
        <v>-9415</v>
      </c>
      <c r="P36" s="35">
        <f t="shared" si="41"/>
        <v>-41</v>
      </c>
      <c r="Q36" s="35">
        <f t="shared" si="41"/>
        <v>0</v>
      </c>
      <c r="R36" s="235">
        <f t="shared" si="41"/>
        <v>-5494</v>
      </c>
      <c r="S36" s="235">
        <f t="shared" si="41"/>
        <v>-92.003046458492008</v>
      </c>
      <c r="T36" s="35">
        <f t="shared" si="41"/>
        <v>0</v>
      </c>
      <c r="U36" s="35">
        <f t="shared" si="41"/>
        <v>0</v>
      </c>
      <c r="V36" s="235">
        <f t="shared" si="41"/>
        <v>0</v>
      </c>
      <c r="W36" s="35">
        <f t="shared" si="41"/>
        <v>-3</v>
      </c>
      <c r="X36" s="35">
        <f t="shared" si="41"/>
        <v>-13</v>
      </c>
      <c r="Y36" s="35">
        <f t="shared" si="41"/>
        <v>-4</v>
      </c>
      <c r="Z36" s="35">
        <f t="shared" si="41"/>
        <v>-20</v>
      </c>
      <c r="AA36" s="35">
        <f t="shared" si="41"/>
        <v>0</v>
      </c>
      <c r="AB36" s="35">
        <f t="shared" si="41"/>
        <v>0</v>
      </c>
      <c r="AC36" s="35">
        <f t="shared" si="41"/>
        <v>-7</v>
      </c>
      <c r="AD36" s="35">
        <f t="shared" si="41"/>
        <v>0</v>
      </c>
      <c r="AE36" s="35">
        <f t="shared" si="41"/>
        <v>-7</v>
      </c>
      <c r="AF36" s="35">
        <f t="shared" si="41"/>
        <v>-1150</v>
      </c>
      <c r="AG36" s="35">
        <f t="shared" si="41"/>
        <v>11.827956989247298</v>
      </c>
      <c r="AH36" s="35">
        <f t="shared" si="41"/>
        <v>-9.4700000000048021</v>
      </c>
      <c r="AI36" s="35">
        <f t="shared" si="41"/>
        <v>0</v>
      </c>
      <c r="AJ36" s="35">
        <f t="shared" si="41"/>
        <v>9.9800000000104774</v>
      </c>
      <c r="AK36" s="35">
        <f t="shared" si="41"/>
        <v>0.51000000000567525</v>
      </c>
      <c r="AL36" s="35">
        <f t="shared" si="41"/>
        <v>0.70000000000004547</v>
      </c>
      <c r="AM36" s="35">
        <f t="shared" si="41"/>
        <v>0</v>
      </c>
      <c r="AN36" s="35">
        <f t="shared" si="41"/>
        <v>0</v>
      </c>
      <c r="AO36" s="35">
        <f t="shared" si="41"/>
        <v>0.70000000000004547</v>
      </c>
      <c r="AP36" s="35"/>
      <c r="AQ36" s="35">
        <f t="shared" ref="AQ36:AX36" si="42">AQ18-AQ17</f>
        <v>-110</v>
      </c>
      <c r="AR36" s="35">
        <f t="shared" si="42"/>
        <v>17</v>
      </c>
      <c r="AS36" s="35">
        <f t="shared" si="42"/>
        <v>-216</v>
      </c>
      <c r="AT36" s="35">
        <f t="shared" si="42"/>
        <v>-359</v>
      </c>
      <c r="AU36" s="35">
        <f t="shared" si="42"/>
        <v>-12</v>
      </c>
      <c r="AV36" s="35">
        <f t="shared" si="42"/>
        <v>51</v>
      </c>
      <c r="AW36" s="35">
        <f t="shared" si="42"/>
        <v>0</v>
      </c>
      <c r="AX36" s="35">
        <f t="shared" si="42"/>
        <v>-189</v>
      </c>
      <c r="AY36" s="35"/>
      <c r="AZ36" s="35"/>
      <c r="BA36" s="35">
        <f t="shared" ref="BA36:BH36" si="43">BA18-BA17</f>
        <v>0.13000000000465661</v>
      </c>
      <c r="BB36" s="35">
        <f t="shared" si="43"/>
        <v>0</v>
      </c>
      <c r="BC36" s="35">
        <f t="shared" si="43"/>
        <v>-6.9999999948777258E-2</v>
      </c>
      <c r="BD36" s="35">
        <f t="shared" si="43"/>
        <v>0</v>
      </c>
      <c r="BE36" s="35">
        <f t="shared" si="43"/>
        <v>-24</v>
      </c>
      <c r="BF36" s="35">
        <f t="shared" si="43"/>
        <v>-1202</v>
      </c>
      <c r="BG36" s="35">
        <f t="shared" si="43"/>
        <v>1</v>
      </c>
      <c r="BH36" s="35">
        <f t="shared" si="43"/>
        <v>0</v>
      </c>
      <c r="BI36" s="35"/>
      <c r="BJ36" s="35"/>
      <c r="BK36" s="35"/>
      <c r="BL36" s="35">
        <f>BL18-BL17</f>
        <v>-1.2422735395086093</v>
      </c>
      <c r="BM36" s="35">
        <f>BM18-BM17</f>
        <v>-8.2050223160091917E-2</v>
      </c>
      <c r="BN36" s="35"/>
      <c r="BO36" s="35">
        <f>BO18-BO17</f>
        <v>-35879</v>
      </c>
      <c r="BP36" s="35">
        <f>BP18-BP17</f>
        <v>-1410</v>
      </c>
    </row>
    <row r="37" spans="1:69">
      <c r="F37" s="213">
        <f>AVERAGE(F4:F35)</f>
        <v>1.5229032258064517</v>
      </c>
      <c r="G37" s="213"/>
      <c r="H37" s="213"/>
      <c r="I37" s="213">
        <f>AVERAGE(I4:I35)</f>
        <v>36808.25</v>
      </c>
    </row>
    <row r="38" spans="1:69">
      <c r="B38" s="36" t="s">
        <v>67</v>
      </c>
      <c r="F38" s="383">
        <f>AVERAGE(F4:F35)</f>
        <v>1.5229032258064517</v>
      </c>
      <c r="G38" s="383"/>
      <c r="H38" s="383"/>
    </row>
    <row r="41" spans="1:69">
      <c r="BJ41">
        <f>(BJ31+BK31)/400</f>
        <v>-480.315</v>
      </c>
    </row>
  </sheetData>
  <mergeCells count="11">
    <mergeCell ref="A1:BO1"/>
    <mergeCell ref="I2:K2"/>
    <mergeCell ref="M2:O2"/>
    <mergeCell ref="P2:R2"/>
    <mergeCell ref="T2:V2"/>
    <mergeCell ref="W2:Y2"/>
    <mergeCell ref="AA2:AD2"/>
    <mergeCell ref="AH2:AJ2"/>
    <mergeCell ref="AL2:AN2"/>
    <mergeCell ref="AQ2:AZ2"/>
    <mergeCell ref="BA2:BI2"/>
  </mergeCells>
  <hyperlinks>
    <hyperlink ref="B38" r:id="rId1"/>
  </hyperlinks>
  <pageMargins left="0.7" right="0.7" top="0.75" bottom="0.75" header="0.3" footer="0.3"/>
  <pageSetup orientation="portrait" r:id="rId2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32"/>
  <sheetViews>
    <sheetView topLeftCell="A10" workbookViewId="0">
      <selection activeCell="B28" sqref="B22:B28"/>
    </sheetView>
  </sheetViews>
  <sheetFormatPr defaultRowHeight="15.75"/>
  <cols>
    <col min="2" max="2" width="8.5546875" style="1161" customWidth="1"/>
    <col min="3" max="3" width="7.44140625" style="1161" customWidth="1"/>
    <col min="4" max="4" width="7.5546875" style="1161" customWidth="1"/>
    <col min="5" max="5" width="7.88671875" style="1161" customWidth="1"/>
    <col min="6" max="6" width="10.6640625" style="1161" customWidth="1"/>
    <col min="8" max="8" width="7.5546875" customWidth="1"/>
  </cols>
  <sheetData>
    <row r="1" spans="1:11" ht="47.25">
      <c r="A1" s="1027"/>
      <c r="B1" s="1234" t="s">
        <v>376</v>
      </c>
      <c r="C1" s="1234" t="s">
        <v>303</v>
      </c>
      <c r="D1" s="1234" t="s">
        <v>304</v>
      </c>
      <c r="E1" s="1234" t="s">
        <v>306</v>
      </c>
      <c r="F1" s="1234" t="s">
        <v>305</v>
      </c>
      <c r="G1" s="1272" t="s">
        <v>308</v>
      </c>
      <c r="H1" s="1498" t="s">
        <v>356</v>
      </c>
    </row>
    <row r="2" spans="1:11">
      <c r="A2" s="1027">
        <v>1</v>
      </c>
      <c r="B2" s="1235">
        <f>C2/202%</f>
        <v>13.861386138613861</v>
      </c>
      <c r="C2" s="1235">
        <v>28</v>
      </c>
      <c r="D2" s="1235">
        <v>29</v>
      </c>
      <c r="E2" s="1235">
        <f>SUM(C2:D2)/202%</f>
        <v>28.217821782178216</v>
      </c>
      <c r="F2" s="1271">
        <v>57</v>
      </c>
      <c r="G2" s="1271">
        <f>C2+D2</f>
        <v>57</v>
      </c>
      <c r="H2" s="1499">
        <f>C2/202%</f>
        <v>13.861386138613861</v>
      </c>
      <c r="K2">
        <f>10/202</f>
        <v>4.9504950495049507E-2</v>
      </c>
    </row>
    <row r="3" spans="1:11">
      <c r="A3" s="1027">
        <v>2</v>
      </c>
      <c r="B3" s="1235">
        <f t="shared" ref="B3:B32" si="0">C3/202%</f>
        <v>19.306930693069308</v>
      </c>
      <c r="C3" s="1235">
        <v>39</v>
      </c>
      <c r="D3" s="1235">
        <v>29</v>
      </c>
      <c r="E3" s="1235">
        <f t="shared" ref="E3:E5" si="1">SUM(C3:D3)/202%</f>
        <v>33.663366336633665</v>
      </c>
      <c r="F3" s="1271">
        <v>69</v>
      </c>
      <c r="G3" s="1271">
        <f t="shared" ref="G3:G31" si="2">C3+D3</f>
        <v>68</v>
      </c>
      <c r="H3" s="1499">
        <f t="shared" ref="H3:H32" si="3">C3/202%</f>
        <v>19.306930693069308</v>
      </c>
    </row>
    <row r="4" spans="1:11">
      <c r="A4" s="1027">
        <v>3</v>
      </c>
      <c r="B4" s="1235">
        <f t="shared" si="0"/>
        <v>16.336633663366335</v>
      </c>
      <c r="C4" s="1235">
        <v>33</v>
      </c>
      <c r="D4" s="1235">
        <v>27</v>
      </c>
      <c r="E4" s="1235">
        <f t="shared" si="1"/>
        <v>29.702970297029704</v>
      </c>
      <c r="F4" s="1271">
        <v>97</v>
      </c>
      <c r="G4" s="1271">
        <f t="shared" si="2"/>
        <v>60</v>
      </c>
      <c r="H4" s="1499">
        <f t="shared" si="3"/>
        <v>16.336633663366335</v>
      </c>
    </row>
    <row r="5" spans="1:11">
      <c r="A5" s="1027">
        <v>4</v>
      </c>
      <c r="B5" s="1235">
        <f t="shared" si="0"/>
        <v>32.178217821782177</v>
      </c>
      <c r="C5" s="1235">
        <v>65</v>
      </c>
      <c r="D5" s="1235">
        <v>27</v>
      </c>
      <c r="E5" s="1235">
        <f t="shared" si="1"/>
        <v>45.544554455445542</v>
      </c>
      <c r="F5" s="1271">
        <v>209</v>
      </c>
      <c r="G5" s="1271">
        <f t="shared" si="2"/>
        <v>92</v>
      </c>
      <c r="H5" s="1499">
        <f t="shared" si="3"/>
        <v>32.178217821782177</v>
      </c>
    </row>
    <row r="6" spans="1:11">
      <c r="A6" s="1027">
        <v>5</v>
      </c>
      <c r="B6" s="1235">
        <f t="shared" si="0"/>
        <v>64.356435643564353</v>
      </c>
      <c r="C6" s="1235">
        <v>130</v>
      </c>
      <c r="D6" s="1235">
        <v>29</v>
      </c>
      <c r="E6" s="1235">
        <f t="shared" ref="E6:E31" si="4">SUM(C6:D6)/202%</f>
        <v>78.712871287128706</v>
      </c>
      <c r="F6" s="1271">
        <v>433</v>
      </c>
      <c r="G6" s="1271">
        <f t="shared" si="2"/>
        <v>159</v>
      </c>
      <c r="H6" s="1499">
        <f t="shared" si="3"/>
        <v>64.356435643564353</v>
      </c>
    </row>
    <row r="7" spans="1:11">
      <c r="A7" s="1027">
        <v>6</v>
      </c>
      <c r="B7" s="1235">
        <f t="shared" si="0"/>
        <v>25.247524752475247</v>
      </c>
      <c r="C7" s="1235">
        <v>51</v>
      </c>
      <c r="D7" s="1235">
        <v>27</v>
      </c>
      <c r="E7" s="1235">
        <f t="shared" si="4"/>
        <v>38.613861386138616</v>
      </c>
      <c r="F7" s="1271">
        <v>220</v>
      </c>
      <c r="G7" s="1271">
        <f t="shared" si="2"/>
        <v>78</v>
      </c>
      <c r="H7" s="1499">
        <f t="shared" si="3"/>
        <v>25.247524752475247</v>
      </c>
    </row>
    <row r="8" spans="1:11">
      <c r="A8" s="1027">
        <v>7</v>
      </c>
      <c r="B8" s="1235">
        <f t="shared" si="0"/>
        <v>17.821782178217823</v>
      </c>
      <c r="C8" s="1235">
        <v>36</v>
      </c>
      <c r="D8" s="1235">
        <v>27</v>
      </c>
      <c r="E8" s="1235">
        <f t="shared" si="4"/>
        <v>31.188118811881189</v>
      </c>
      <c r="F8" s="1271">
        <v>115</v>
      </c>
      <c r="G8" s="1271">
        <f t="shared" si="2"/>
        <v>63</v>
      </c>
      <c r="H8" s="1499">
        <f t="shared" si="3"/>
        <v>17.821782178217823</v>
      </c>
    </row>
    <row r="9" spans="1:11">
      <c r="A9" s="1027">
        <v>8</v>
      </c>
      <c r="B9" s="1235">
        <f t="shared" si="0"/>
        <v>22.772277227722771</v>
      </c>
      <c r="C9" s="1235">
        <v>46</v>
      </c>
      <c r="D9" s="1235">
        <v>27</v>
      </c>
      <c r="E9" s="1235">
        <f t="shared" si="4"/>
        <v>36.138613861386141</v>
      </c>
      <c r="F9" s="1271">
        <v>140</v>
      </c>
      <c r="G9" s="1271">
        <f t="shared" si="2"/>
        <v>73</v>
      </c>
      <c r="H9" s="1499">
        <f t="shared" si="3"/>
        <v>22.772277227722771</v>
      </c>
    </row>
    <row r="10" spans="1:11">
      <c r="A10" s="1027">
        <v>9</v>
      </c>
      <c r="B10" s="1235">
        <f t="shared" si="0"/>
        <v>26.732673267326732</v>
      </c>
      <c r="C10" s="1235">
        <v>54</v>
      </c>
      <c r="D10" s="1235">
        <v>29</v>
      </c>
      <c r="E10" s="1235">
        <f t="shared" si="4"/>
        <v>41.089108910891092</v>
      </c>
      <c r="F10" s="1271">
        <v>159</v>
      </c>
      <c r="G10" s="1271">
        <f t="shared" si="2"/>
        <v>83</v>
      </c>
      <c r="H10" s="1499">
        <f t="shared" si="3"/>
        <v>26.732673267326732</v>
      </c>
    </row>
    <row r="11" spans="1:11">
      <c r="A11" s="1027">
        <v>10</v>
      </c>
      <c r="B11" s="1235">
        <f t="shared" si="0"/>
        <v>28.217821782178216</v>
      </c>
      <c r="C11" s="1235">
        <v>57</v>
      </c>
      <c r="D11" s="1235">
        <v>29</v>
      </c>
      <c r="E11" s="1235">
        <f t="shared" si="4"/>
        <v>42.574257425742573</v>
      </c>
      <c r="F11" s="1271">
        <v>182</v>
      </c>
      <c r="G11" s="1271">
        <f t="shared" si="2"/>
        <v>86</v>
      </c>
      <c r="H11" s="1499">
        <f t="shared" si="3"/>
        <v>28.217821782178216</v>
      </c>
    </row>
    <row r="12" spans="1:11">
      <c r="A12" s="1027">
        <v>11</v>
      </c>
      <c r="B12" s="1235">
        <f t="shared" si="0"/>
        <v>38.613861386138616</v>
      </c>
      <c r="C12" s="1235">
        <v>78</v>
      </c>
      <c r="D12" s="1235">
        <v>28</v>
      </c>
      <c r="E12" s="1235">
        <f t="shared" si="4"/>
        <v>52.475247524752476</v>
      </c>
      <c r="F12" s="1271">
        <v>154</v>
      </c>
      <c r="G12" s="1271">
        <f t="shared" si="2"/>
        <v>106</v>
      </c>
      <c r="H12" s="1499">
        <f t="shared" si="3"/>
        <v>38.613861386138616</v>
      </c>
    </row>
    <row r="13" spans="1:11">
      <c r="A13" s="1027">
        <v>12</v>
      </c>
      <c r="B13" s="1235">
        <f t="shared" si="0"/>
        <v>78.712871287128706</v>
      </c>
      <c r="C13" s="1235">
        <v>159</v>
      </c>
      <c r="D13" s="1235">
        <v>27</v>
      </c>
      <c r="E13" s="1235">
        <f t="shared" si="4"/>
        <v>92.079207920792072</v>
      </c>
      <c r="F13" s="1235">
        <v>399</v>
      </c>
      <c r="G13" s="1271">
        <f t="shared" si="2"/>
        <v>186</v>
      </c>
      <c r="H13" s="1499">
        <f t="shared" si="3"/>
        <v>78.712871287128706</v>
      </c>
    </row>
    <row r="14" spans="1:11">
      <c r="A14" s="1027">
        <v>13</v>
      </c>
      <c r="B14" s="1235">
        <f t="shared" si="0"/>
        <v>37.128712871287128</v>
      </c>
      <c r="C14" s="1235">
        <v>75</v>
      </c>
      <c r="D14" s="1235">
        <v>27</v>
      </c>
      <c r="E14" s="1235">
        <f t="shared" si="4"/>
        <v>50.495049504950494</v>
      </c>
      <c r="F14" s="1235">
        <v>262</v>
      </c>
      <c r="G14" s="1271">
        <f t="shared" si="2"/>
        <v>102</v>
      </c>
      <c r="H14" s="1499">
        <f t="shared" si="3"/>
        <v>37.128712871287128</v>
      </c>
    </row>
    <row r="15" spans="1:11">
      <c r="A15" s="1027">
        <v>14</v>
      </c>
      <c r="B15" s="1235">
        <f t="shared" si="0"/>
        <v>26.732673267326732</v>
      </c>
      <c r="C15" s="1235">
        <v>54</v>
      </c>
      <c r="D15" s="1235">
        <v>28</v>
      </c>
      <c r="E15" s="1235">
        <f t="shared" si="4"/>
        <v>40.594059405940591</v>
      </c>
      <c r="F15" s="1235">
        <v>149</v>
      </c>
      <c r="G15" s="1271">
        <f t="shared" si="2"/>
        <v>82</v>
      </c>
      <c r="H15" s="1499">
        <f t="shared" si="3"/>
        <v>26.732673267326732</v>
      </c>
    </row>
    <row r="16" spans="1:11">
      <c r="A16" s="1027">
        <v>15</v>
      </c>
      <c r="B16" s="1235">
        <f t="shared" si="0"/>
        <v>35.148514851485146</v>
      </c>
      <c r="C16" s="1235">
        <v>71</v>
      </c>
      <c r="D16" s="1235">
        <v>28</v>
      </c>
      <c r="E16" s="1235">
        <f t="shared" si="4"/>
        <v>49.009900990099013</v>
      </c>
      <c r="F16" s="1235">
        <v>175</v>
      </c>
      <c r="G16" s="1271">
        <f t="shared" si="2"/>
        <v>99</v>
      </c>
      <c r="H16" s="1499">
        <f t="shared" si="3"/>
        <v>35.148514851485146</v>
      </c>
    </row>
    <row r="17" spans="1:10">
      <c r="A17" s="1027">
        <v>16</v>
      </c>
      <c r="B17" s="1235">
        <f t="shared" si="0"/>
        <v>33.663366336633665</v>
      </c>
      <c r="C17" s="1235">
        <v>68</v>
      </c>
      <c r="D17" s="1235">
        <v>28</v>
      </c>
      <c r="E17" s="1235">
        <f>SUM(C17:D17)/202%</f>
        <v>47.524752475247524</v>
      </c>
      <c r="F17" s="1235">
        <v>269</v>
      </c>
      <c r="G17" s="1271">
        <f t="shared" si="2"/>
        <v>96</v>
      </c>
      <c r="H17" s="1499">
        <f t="shared" si="3"/>
        <v>33.663366336633665</v>
      </c>
    </row>
    <row r="18" spans="1:10">
      <c r="A18" s="1027">
        <v>17</v>
      </c>
      <c r="B18" s="1235">
        <f t="shared" si="0"/>
        <v>44.059405940594061</v>
      </c>
      <c r="C18" s="1235">
        <v>89</v>
      </c>
      <c r="D18" s="1235">
        <v>27</v>
      </c>
      <c r="E18" s="1235">
        <f t="shared" si="4"/>
        <v>57.425742574257427</v>
      </c>
      <c r="F18" s="1235">
        <v>257</v>
      </c>
      <c r="G18" s="1271">
        <f t="shared" si="2"/>
        <v>116</v>
      </c>
      <c r="H18" s="1499">
        <f t="shared" si="3"/>
        <v>44.059405940594061</v>
      </c>
    </row>
    <row r="19" spans="1:10">
      <c r="A19" s="1027">
        <v>18</v>
      </c>
      <c r="B19" s="1235">
        <f t="shared" si="0"/>
        <v>58.910891089108908</v>
      </c>
      <c r="C19" s="1161">
        <v>119</v>
      </c>
      <c r="D19" s="1161">
        <v>29</v>
      </c>
      <c r="E19" s="1235">
        <f t="shared" si="4"/>
        <v>73.267326732673268</v>
      </c>
      <c r="F19" s="1161">
        <v>249</v>
      </c>
      <c r="G19" s="1271">
        <f t="shared" si="2"/>
        <v>148</v>
      </c>
      <c r="H19" s="1499">
        <f t="shared" si="3"/>
        <v>58.910891089108908</v>
      </c>
    </row>
    <row r="20" spans="1:10">
      <c r="A20" s="1027">
        <v>19</v>
      </c>
      <c r="B20" s="1235">
        <f t="shared" si="0"/>
        <v>81.683168316831683</v>
      </c>
      <c r="C20" s="1235">
        <v>165</v>
      </c>
      <c r="D20" s="1235">
        <v>27</v>
      </c>
      <c r="E20" s="1235">
        <f t="shared" si="4"/>
        <v>95.049504950495049</v>
      </c>
      <c r="F20" s="1235">
        <v>659</v>
      </c>
      <c r="G20" s="1271">
        <f t="shared" si="2"/>
        <v>192</v>
      </c>
      <c r="H20" s="1499">
        <f t="shared" si="3"/>
        <v>81.683168316831683</v>
      </c>
      <c r="J20">
        <f>165/192</f>
        <v>0.859375</v>
      </c>
    </row>
    <row r="21" spans="1:10">
      <c r="A21" s="1027">
        <v>20</v>
      </c>
      <c r="B21" s="1235">
        <f t="shared" si="0"/>
        <v>56.930693069306933</v>
      </c>
      <c r="C21" s="1235">
        <v>115</v>
      </c>
      <c r="D21" s="1235">
        <v>30</v>
      </c>
      <c r="E21" s="1235">
        <f t="shared" si="4"/>
        <v>71.78217821782178</v>
      </c>
      <c r="F21" s="1235">
        <v>776</v>
      </c>
      <c r="G21" s="1271">
        <f t="shared" si="2"/>
        <v>145</v>
      </c>
      <c r="H21" s="1499">
        <f t="shared" si="3"/>
        <v>56.930693069306933</v>
      </c>
    </row>
    <row r="22" spans="1:10">
      <c r="A22" s="1027">
        <v>21</v>
      </c>
      <c r="B22" s="1235">
        <f t="shared" si="0"/>
        <v>38.118811881188115</v>
      </c>
      <c r="C22" s="1235">
        <v>77</v>
      </c>
      <c r="D22" s="1235">
        <v>29</v>
      </c>
      <c r="E22" s="1235">
        <f t="shared" si="4"/>
        <v>52.475247524752476</v>
      </c>
      <c r="F22" s="1235">
        <v>271</v>
      </c>
      <c r="G22" s="1271">
        <f t="shared" si="2"/>
        <v>106</v>
      </c>
      <c r="H22" s="1499">
        <f t="shared" si="3"/>
        <v>38.118811881188115</v>
      </c>
    </row>
    <row r="23" spans="1:10">
      <c r="A23" s="1027">
        <v>22</v>
      </c>
      <c r="B23" s="1235">
        <f t="shared" si="0"/>
        <v>42.574257425742573</v>
      </c>
      <c r="C23" s="1235">
        <v>86</v>
      </c>
      <c r="D23" s="1235">
        <v>29</v>
      </c>
      <c r="E23" s="1235">
        <f t="shared" si="4"/>
        <v>56.930693069306933</v>
      </c>
      <c r="F23" s="1235">
        <v>222</v>
      </c>
      <c r="G23" s="1271">
        <f t="shared" si="2"/>
        <v>115</v>
      </c>
      <c r="H23" s="1499">
        <f t="shared" si="3"/>
        <v>42.574257425742573</v>
      </c>
    </row>
    <row r="24" spans="1:10">
      <c r="A24" s="1027">
        <v>23</v>
      </c>
      <c r="B24" s="1235">
        <f t="shared" si="0"/>
        <v>36.138613861386141</v>
      </c>
      <c r="C24" s="1235">
        <v>73</v>
      </c>
      <c r="D24" s="1235">
        <v>29</v>
      </c>
      <c r="E24" s="1235">
        <f t="shared" si="4"/>
        <v>50.495049504950494</v>
      </c>
      <c r="F24" s="1235">
        <v>198</v>
      </c>
      <c r="G24" s="1271">
        <f t="shared" si="2"/>
        <v>102</v>
      </c>
      <c r="H24" s="1499">
        <f t="shared" si="3"/>
        <v>36.138613861386141</v>
      </c>
    </row>
    <row r="25" spans="1:10">
      <c r="A25" s="1027">
        <v>24</v>
      </c>
      <c r="B25" s="1235">
        <f t="shared" si="0"/>
        <v>38.118811881188115</v>
      </c>
      <c r="C25" s="1235">
        <v>77</v>
      </c>
      <c r="D25" s="1235">
        <v>26</v>
      </c>
      <c r="E25" s="1235">
        <f t="shared" si="4"/>
        <v>50.990099009900987</v>
      </c>
      <c r="F25" s="1235">
        <v>425</v>
      </c>
      <c r="G25" s="1271">
        <f t="shared" si="2"/>
        <v>103</v>
      </c>
      <c r="H25" s="1499">
        <f t="shared" si="3"/>
        <v>38.118811881188115</v>
      </c>
    </row>
    <row r="26" spans="1:10">
      <c r="A26" s="1027">
        <v>25</v>
      </c>
      <c r="B26" s="1235">
        <f t="shared" si="0"/>
        <v>63.366336633663366</v>
      </c>
      <c r="C26" s="1235">
        <v>128</v>
      </c>
      <c r="D26" s="1235">
        <v>25</v>
      </c>
      <c r="E26" s="1235">
        <f t="shared" si="4"/>
        <v>75.742574257425744</v>
      </c>
      <c r="F26" s="1235">
        <v>371</v>
      </c>
      <c r="G26" s="1271">
        <f t="shared" si="2"/>
        <v>153</v>
      </c>
      <c r="H26" s="1499">
        <f t="shared" si="3"/>
        <v>63.366336633663366</v>
      </c>
    </row>
    <row r="27" spans="1:10">
      <c r="A27" s="1027">
        <v>26</v>
      </c>
      <c r="B27" s="1235">
        <f t="shared" si="0"/>
        <v>77.722772277227719</v>
      </c>
      <c r="C27" s="1235">
        <v>157</v>
      </c>
      <c r="D27" s="1235">
        <v>22</v>
      </c>
      <c r="E27" s="1235">
        <f t="shared" si="4"/>
        <v>88.613861386138609</v>
      </c>
      <c r="F27" s="1235">
        <v>534</v>
      </c>
      <c r="G27" s="1271">
        <f t="shared" si="2"/>
        <v>179</v>
      </c>
      <c r="H27" s="1499">
        <f t="shared" si="3"/>
        <v>77.722772277227719</v>
      </c>
    </row>
    <row r="28" spans="1:10">
      <c r="A28" s="1027">
        <v>27</v>
      </c>
      <c r="B28" s="1235">
        <f t="shared" si="0"/>
        <v>45.544554455445542</v>
      </c>
      <c r="C28" s="1235">
        <v>92</v>
      </c>
      <c r="D28" s="1235">
        <v>25</v>
      </c>
      <c r="E28" s="1235">
        <f t="shared" si="4"/>
        <v>57.920792079207921</v>
      </c>
      <c r="F28" s="1235">
        <v>483</v>
      </c>
      <c r="G28" s="1271">
        <f t="shared" si="2"/>
        <v>117</v>
      </c>
      <c r="H28" s="1499">
        <f t="shared" si="3"/>
        <v>45.544554455445542</v>
      </c>
    </row>
    <row r="29" spans="1:10">
      <c r="A29" s="1027">
        <v>28</v>
      </c>
      <c r="B29" s="1235">
        <f t="shared" si="0"/>
        <v>0</v>
      </c>
      <c r="C29" s="1235"/>
      <c r="D29" s="1235"/>
      <c r="E29" s="1235">
        <f t="shared" si="4"/>
        <v>0</v>
      </c>
      <c r="F29" s="1235"/>
      <c r="G29" s="1271">
        <f t="shared" si="2"/>
        <v>0</v>
      </c>
      <c r="H29" s="1499">
        <f t="shared" si="3"/>
        <v>0</v>
      </c>
    </row>
    <row r="30" spans="1:10">
      <c r="A30" s="1027">
        <v>29</v>
      </c>
      <c r="B30" s="1235">
        <f t="shared" si="0"/>
        <v>0</v>
      </c>
      <c r="C30" s="1235"/>
      <c r="D30" s="1235"/>
      <c r="E30" s="1235">
        <f t="shared" si="4"/>
        <v>0</v>
      </c>
      <c r="F30" s="1235"/>
      <c r="G30" s="1271">
        <f t="shared" si="2"/>
        <v>0</v>
      </c>
      <c r="H30" s="1499">
        <f t="shared" si="3"/>
        <v>0</v>
      </c>
    </row>
    <row r="31" spans="1:10">
      <c r="A31" s="1027">
        <v>30</v>
      </c>
      <c r="B31" s="1235">
        <f t="shared" si="0"/>
        <v>0</v>
      </c>
      <c r="C31" s="1235"/>
      <c r="D31" s="1235"/>
      <c r="E31" s="1235">
        <f t="shared" si="4"/>
        <v>0</v>
      </c>
      <c r="F31" s="1235"/>
      <c r="G31" s="1317">
        <f t="shared" si="2"/>
        <v>0</v>
      </c>
      <c r="H31" s="1499">
        <f t="shared" si="3"/>
        <v>0</v>
      </c>
    </row>
    <row r="32" spans="1:10">
      <c r="A32" s="1027">
        <v>31</v>
      </c>
      <c r="B32" s="1235">
        <f t="shared" si="0"/>
        <v>0</v>
      </c>
      <c r="C32" s="1235"/>
      <c r="D32" s="1235"/>
      <c r="E32" s="1235"/>
      <c r="F32" s="1235"/>
      <c r="G32" s="1317"/>
      <c r="H32" s="1499">
        <f t="shared" si="3"/>
        <v>0</v>
      </c>
    </row>
  </sheetData>
  <pageMargins left="0.7" right="0.7" top="0.75" bottom="0.75" header="0.3" footer="0.3"/>
  <pageSetup orientation="portrait" horizontalDpi="4294967295" verticalDpi="4294967295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B3:AI31"/>
  <sheetViews>
    <sheetView zoomScale="90" zoomScaleNormal="90" workbookViewId="0">
      <selection activeCell="J14" sqref="J14"/>
    </sheetView>
  </sheetViews>
  <sheetFormatPr defaultRowHeight="15.75"/>
  <cols>
    <col min="2" max="2" width="16.44140625" style="451" customWidth="1"/>
    <col min="3" max="3" width="18.6640625" customWidth="1"/>
    <col min="4" max="4" width="5.88671875" customWidth="1"/>
    <col min="5" max="7" width="5.33203125" customWidth="1"/>
    <col min="8" max="8" width="6.44140625" customWidth="1"/>
    <col min="9" max="12" width="5.33203125" customWidth="1"/>
    <col min="13" max="13" width="6.5546875" customWidth="1"/>
    <col min="14" max="14" width="4.44140625" customWidth="1"/>
    <col min="15" max="15" width="5.77734375" customWidth="1"/>
    <col min="16" max="16" width="5.44140625" customWidth="1"/>
    <col min="17" max="17" width="5.5546875" bestFit="1" customWidth="1"/>
    <col min="18" max="27" width="4.44140625" customWidth="1"/>
    <col min="28" max="28" width="5.77734375" customWidth="1"/>
    <col min="29" max="34" width="4.44140625" customWidth="1"/>
  </cols>
  <sheetData>
    <row r="3" spans="2:35" s="37" customFormat="1">
      <c r="B3" s="1069"/>
      <c r="C3" s="1070" t="s">
        <v>0</v>
      </c>
      <c r="D3" s="1029">
        <v>1</v>
      </c>
      <c r="E3" s="1029">
        <v>2</v>
      </c>
      <c r="F3" s="1029">
        <v>3</v>
      </c>
      <c r="G3" s="1029">
        <v>4</v>
      </c>
      <c r="H3" s="1029">
        <v>5</v>
      </c>
      <c r="I3" s="1029">
        <v>6</v>
      </c>
      <c r="J3" s="1029">
        <v>7</v>
      </c>
      <c r="K3" s="1029">
        <v>8</v>
      </c>
      <c r="L3" s="1029">
        <v>9</v>
      </c>
      <c r="M3" s="1029">
        <v>10</v>
      </c>
      <c r="N3" s="1029">
        <v>11</v>
      </c>
      <c r="O3" s="1029">
        <v>12</v>
      </c>
      <c r="P3" s="1029">
        <v>13</v>
      </c>
      <c r="Q3" s="1029">
        <v>14</v>
      </c>
      <c r="R3" s="1070">
        <v>15</v>
      </c>
      <c r="S3" s="1070">
        <v>16</v>
      </c>
      <c r="T3" s="1070">
        <v>17</v>
      </c>
      <c r="U3" s="1070">
        <v>18</v>
      </c>
      <c r="V3" s="1070">
        <v>19</v>
      </c>
      <c r="W3" s="1070">
        <v>20</v>
      </c>
      <c r="X3" s="1070">
        <v>21</v>
      </c>
      <c r="Y3" s="1070">
        <v>22</v>
      </c>
      <c r="Z3" s="1070">
        <v>23</v>
      </c>
      <c r="AA3" s="1070">
        <v>24</v>
      </c>
      <c r="AB3" s="1070">
        <v>25</v>
      </c>
      <c r="AC3" s="1070">
        <v>26</v>
      </c>
      <c r="AD3" s="1070">
        <v>27</v>
      </c>
      <c r="AE3" s="1070">
        <v>28</v>
      </c>
      <c r="AF3" s="1070">
        <v>29</v>
      </c>
      <c r="AG3" s="1070">
        <v>30</v>
      </c>
      <c r="AH3" s="1070">
        <v>31</v>
      </c>
      <c r="AI3" s="1070"/>
    </row>
    <row r="4" spans="2:35">
      <c r="B4" s="452"/>
      <c r="C4" s="448" t="s">
        <v>68</v>
      </c>
      <c r="D4" s="449">
        <f>'[1]1'!F3</f>
        <v>0.5</v>
      </c>
      <c r="E4" s="449">
        <f>'[1]2'!F3</f>
        <v>0.1</v>
      </c>
      <c r="F4" s="449">
        <f>'[1]3'!F3</f>
        <v>0.5</v>
      </c>
      <c r="G4" s="449"/>
      <c r="H4" s="449"/>
      <c r="I4" s="449"/>
      <c r="J4" s="449"/>
      <c r="K4" s="449"/>
      <c r="L4" s="449"/>
      <c r="M4" s="449"/>
      <c r="N4" s="449"/>
      <c r="O4" s="449"/>
      <c r="P4" s="449"/>
      <c r="Q4" s="449"/>
      <c r="R4" s="449"/>
      <c r="S4" s="449"/>
      <c r="T4" s="449"/>
      <c r="U4" s="449"/>
      <c r="V4" s="449"/>
      <c r="W4" s="449"/>
      <c r="X4" s="449"/>
      <c r="Y4" s="449"/>
      <c r="Z4" s="449"/>
      <c r="AA4" s="449"/>
      <c r="AB4" s="449"/>
      <c r="AC4" s="449"/>
      <c r="AD4" s="449"/>
      <c r="AE4" s="449"/>
      <c r="AF4" s="449"/>
      <c r="AG4" s="449"/>
      <c r="AH4" s="449"/>
      <c r="AI4" s="448"/>
    </row>
    <row r="5" spans="2:35">
      <c r="B5" s="452"/>
      <c r="C5" s="448" t="s">
        <v>69</v>
      </c>
      <c r="D5" s="450">
        <f>'1'!G18</f>
        <v>20</v>
      </c>
      <c r="E5" s="450">
        <f>'2'!G18</f>
        <v>60</v>
      </c>
      <c r="F5" s="450">
        <f>'3'!G18</f>
        <v>80</v>
      </c>
      <c r="G5" s="450">
        <f>'4'!G18</f>
        <v>40</v>
      </c>
      <c r="H5" s="450">
        <f>'5'!G18</f>
        <v>40</v>
      </c>
      <c r="I5" s="450">
        <f>'6'!G18</f>
        <v>110</v>
      </c>
      <c r="J5" s="450">
        <f>'7'!G18</f>
        <v>60</v>
      </c>
      <c r="K5" s="450">
        <f>'8'!G18</f>
        <v>100</v>
      </c>
      <c r="L5" s="450">
        <f>'9'!G18</f>
        <v>0</v>
      </c>
      <c r="M5" s="450">
        <f>'10'!G18</f>
        <v>20</v>
      </c>
      <c r="N5" s="450">
        <f>'11'!G18</f>
        <v>40</v>
      </c>
      <c r="O5" s="450">
        <f>'12'!G18</f>
        <v>60</v>
      </c>
      <c r="P5" s="450">
        <f>'13'!G18</f>
        <v>130</v>
      </c>
      <c r="Q5" s="450">
        <f>'14'!G18</f>
        <v>120</v>
      </c>
      <c r="R5" s="450">
        <f>'15'!G18</f>
        <v>80</v>
      </c>
      <c r="S5" s="450">
        <f>'16'!G18</f>
        <v>30</v>
      </c>
      <c r="T5" s="450">
        <f>'17'!G18</f>
        <v>60</v>
      </c>
      <c r="U5" s="450">
        <f>'18'!G18</f>
        <v>80</v>
      </c>
      <c r="V5" s="450">
        <f>'19'!G18</f>
        <v>130</v>
      </c>
      <c r="W5" s="450">
        <f>'20'!G18</f>
        <v>200</v>
      </c>
      <c r="X5" s="450">
        <f>'21'!G18</f>
        <v>140</v>
      </c>
      <c r="Y5" s="450">
        <f>'22'!G18</f>
        <v>90</v>
      </c>
      <c r="Z5" s="450">
        <f>'23'!G18</f>
        <v>40</v>
      </c>
      <c r="AA5" s="450">
        <f>'24'!G18</f>
        <v>100</v>
      </c>
      <c r="AB5" s="450">
        <f>'25'!G18</f>
        <v>110</v>
      </c>
      <c r="AC5" s="450">
        <f>'26'!G18</f>
        <v>150</v>
      </c>
      <c r="AD5" s="450">
        <f>'27'!G18</f>
        <v>180</v>
      </c>
      <c r="AE5" s="450">
        <f>'28'!G18</f>
        <v>40</v>
      </c>
      <c r="AF5" s="450">
        <f>'29'!G18</f>
        <v>60</v>
      </c>
      <c r="AG5" s="450">
        <f>'30'!G18</f>
        <v>80</v>
      </c>
      <c r="AH5" s="450">
        <f>'31'!G18</f>
        <v>60</v>
      </c>
      <c r="AI5" s="448"/>
    </row>
    <row r="6" spans="2:35">
      <c r="B6" s="452"/>
      <c r="C6" s="448" t="s">
        <v>70</v>
      </c>
      <c r="D6" s="450">
        <f>'1'!G19</f>
        <v>60</v>
      </c>
      <c r="E6" s="450">
        <f>'2'!G19</f>
        <v>52</v>
      </c>
      <c r="F6" s="450">
        <f>'3'!G19</f>
        <v>63</v>
      </c>
      <c r="G6" s="450">
        <f>'4'!G19</f>
        <v>61</v>
      </c>
      <c r="H6" s="450">
        <f>'5'!G19</f>
        <v>62</v>
      </c>
      <c r="I6" s="450">
        <f>'6'!G19</f>
        <v>65</v>
      </c>
      <c r="J6" s="450">
        <f>'7'!G19</f>
        <v>62</v>
      </c>
      <c r="K6" s="450">
        <f>'8'!G19</f>
        <v>59</v>
      </c>
      <c r="L6" s="450">
        <f>'9'!G19</f>
        <v>78</v>
      </c>
      <c r="M6" s="450">
        <f>'10'!G19</f>
        <v>66</v>
      </c>
      <c r="N6" s="450">
        <f>'11'!G19</f>
        <v>63</v>
      </c>
      <c r="O6" s="450">
        <f>'12'!G19</f>
        <v>65</v>
      </c>
      <c r="P6" s="450">
        <f>'13'!G19</f>
        <v>64</v>
      </c>
      <c r="Q6" s="450">
        <f>'14'!G19</f>
        <v>63</v>
      </c>
      <c r="R6" s="450">
        <f>'15'!G19</f>
        <v>62</v>
      </c>
      <c r="S6" s="450">
        <f>'16'!G19</f>
        <v>62</v>
      </c>
      <c r="T6" s="450">
        <f>'17'!G19</f>
        <v>62</v>
      </c>
      <c r="U6" s="450">
        <f>'18'!G19</f>
        <v>65</v>
      </c>
      <c r="V6" s="450">
        <f>'19'!G19</f>
        <v>63</v>
      </c>
      <c r="W6" s="450">
        <f>'20'!G19</f>
        <v>61</v>
      </c>
      <c r="X6" s="450">
        <f>'21'!G19</f>
        <v>61</v>
      </c>
      <c r="Y6" s="450">
        <f>'22'!G19</f>
        <v>62</v>
      </c>
      <c r="Z6" s="450">
        <f>'23'!G19</f>
        <v>61</v>
      </c>
      <c r="AA6" s="450">
        <f>'24'!G19</f>
        <v>64</v>
      </c>
      <c r="AB6" s="450">
        <f>'25'!G19</f>
        <v>60</v>
      </c>
      <c r="AC6" s="450">
        <f>'26'!G19</f>
        <v>65</v>
      </c>
      <c r="AD6" s="450">
        <f>'27'!G19</f>
        <v>61</v>
      </c>
      <c r="AE6" s="450">
        <f>'28'!G19</f>
        <v>-1868</v>
      </c>
      <c r="AF6" s="450">
        <f>'29'!G19</f>
        <v>57</v>
      </c>
      <c r="AG6" s="450">
        <f>'30'!G19</f>
        <v>58</v>
      </c>
      <c r="AH6" s="450">
        <f>'31'!G19</f>
        <v>61</v>
      </c>
      <c r="AI6" s="448"/>
    </row>
    <row r="7" spans="2:35">
      <c r="B7" s="452"/>
      <c r="C7" s="448" t="s">
        <v>71</v>
      </c>
      <c r="D7" s="450">
        <f>'1'!G93</f>
        <v>18</v>
      </c>
      <c r="E7" s="450">
        <f>'2'!G93</f>
        <v>42</v>
      </c>
      <c r="F7" s="450">
        <f>'3'!G93</f>
        <v>56</v>
      </c>
      <c r="G7" s="450">
        <f>'4'!G93</f>
        <v>5</v>
      </c>
      <c r="H7" s="450">
        <f>'5'!G93</f>
        <v>51</v>
      </c>
      <c r="I7" s="450">
        <f>'6'!G93</f>
        <v>85</v>
      </c>
      <c r="J7" s="450">
        <f>'7'!G93</f>
        <v>57</v>
      </c>
      <c r="K7" s="450">
        <f>'8'!G93</f>
        <v>40</v>
      </c>
      <c r="L7" s="450">
        <f>'9'!G93</f>
        <v>0</v>
      </c>
      <c r="M7" s="450">
        <f>'10'!G93</f>
        <v>41</v>
      </c>
      <c r="N7" s="450">
        <f>'11'!G93</f>
        <v>18</v>
      </c>
      <c r="O7" s="450">
        <f>'12'!G93</f>
        <v>55</v>
      </c>
      <c r="P7" s="450">
        <f>'13'!G93</f>
        <v>124</v>
      </c>
      <c r="Q7" s="450">
        <f>'14'!G93</f>
        <v>68</v>
      </c>
      <c r="R7" s="450">
        <f>'15'!G93</f>
        <v>57</v>
      </c>
      <c r="S7" s="450">
        <f>'16'!G93</f>
        <v>31</v>
      </c>
      <c r="T7" s="450">
        <f>'17'!G93</f>
        <v>57</v>
      </c>
      <c r="U7" s="450">
        <f>'18'!G93</f>
        <v>51</v>
      </c>
      <c r="V7" s="450">
        <f>'19'!G93</f>
        <v>99</v>
      </c>
      <c r="W7" s="450">
        <f>'20'!G93</f>
        <v>147</v>
      </c>
      <c r="X7" s="450">
        <f>'21'!G93</f>
        <v>100</v>
      </c>
      <c r="Y7" s="450">
        <f>'22'!G93</f>
        <v>63</v>
      </c>
      <c r="Z7" s="450">
        <f>'23'!G93</f>
        <v>32</v>
      </c>
      <c r="AA7" s="450">
        <f>'24'!G93</f>
        <v>75</v>
      </c>
      <c r="AB7" s="450">
        <f>'25'!G93</f>
        <v>79</v>
      </c>
      <c r="AC7" s="450">
        <f>'26'!G93</f>
        <v>117</v>
      </c>
      <c r="AD7" s="450">
        <f>'27'!G93</f>
        <v>130</v>
      </c>
      <c r="AE7" s="450">
        <f>'28'!G93</f>
        <v>-1847</v>
      </c>
      <c r="AF7" s="450">
        <f>'29'!G93</f>
        <v>39</v>
      </c>
      <c r="AG7" s="450">
        <f>'30'!G93</f>
        <v>0</v>
      </c>
      <c r="AH7" s="450">
        <f>'31'!G93</f>
        <v>110</v>
      </c>
      <c r="AI7" s="448"/>
    </row>
    <row r="8" spans="2:35">
      <c r="B8" s="452"/>
      <c r="C8" s="448" t="s">
        <v>334</v>
      </c>
      <c r="D8" s="450">
        <f>'1'!G94</f>
        <v>58</v>
      </c>
      <c r="E8" s="450">
        <f>'2'!G94</f>
        <v>61</v>
      </c>
      <c r="F8" s="450">
        <f>'3'!G94</f>
        <v>99</v>
      </c>
      <c r="G8" s="450">
        <f>'4'!G94</f>
        <v>81</v>
      </c>
      <c r="H8" s="450">
        <f>'5'!G94</f>
        <v>108</v>
      </c>
      <c r="I8" s="450">
        <f>'6'!G94</f>
        <v>124</v>
      </c>
      <c r="J8" s="450">
        <f>'7'!G94</f>
        <v>80</v>
      </c>
      <c r="K8" s="450">
        <f>'8'!G94</f>
        <v>88</v>
      </c>
      <c r="L8" s="450">
        <f>'9'!G94</f>
        <v>84</v>
      </c>
      <c r="M8" s="450">
        <f>'10'!G94</f>
        <v>116</v>
      </c>
      <c r="N8" s="450">
        <f>'11'!G94</f>
        <v>114</v>
      </c>
      <c r="O8" s="450">
        <f>'12'!G94</f>
        <v>154</v>
      </c>
      <c r="P8" s="450">
        <f>'13'!G94</f>
        <v>109</v>
      </c>
      <c r="Q8" s="450">
        <f>'14'!G94</f>
        <v>154</v>
      </c>
      <c r="R8" s="450">
        <f>'15'!G94</f>
        <v>72</v>
      </c>
      <c r="S8" s="450">
        <f>'16'!G94</f>
        <v>66</v>
      </c>
      <c r="T8" s="450">
        <f>'17'!G94</f>
        <v>66</v>
      </c>
      <c r="U8" s="450">
        <f>'18'!G94</f>
        <v>75</v>
      </c>
      <c r="V8" s="450">
        <f>'19'!G94</f>
        <v>181</v>
      </c>
      <c r="W8" s="450">
        <f>'20'!G94</f>
        <v>208</v>
      </c>
      <c r="X8" s="450">
        <f>'21'!G94</f>
        <v>203</v>
      </c>
      <c r="Y8" s="450">
        <f>'22'!G94</f>
        <v>177</v>
      </c>
      <c r="Z8" s="450">
        <f>'23'!G94</f>
        <v>106</v>
      </c>
      <c r="AA8" s="450">
        <f>'24'!G94</f>
        <v>99</v>
      </c>
      <c r="AB8" s="450">
        <f>'25'!G94</f>
        <v>91</v>
      </c>
      <c r="AC8" s="450">
        <f>'26'!G94</f>
        <v>127</v>
      </c>
      <c r="AD8" s="450">
        <f>'27'!G94</f>
        <v>114</v>
      </c>
      <c r="AE8" s="450">
        <f>'28'!G94</f>
        <v>-3274</v>
      </c>
      <c r="AF8" s="450">
        <f>'29'!G94</f>
        <v>68</v>
      </c>
      <c r="AG8" s="450">
        <f>'30'!G94</f>
        <v>112</v>
      </c>
      <c r="AH8" s="450">
        <f>'31'!G94</f>
        <v>79</v>
      </c>
      <c r="AI8" s="448"/>
    </row>
    <row r="9" spans="2:35">
      <c r="B9" s="1521" t="s">
        <v>72</v>
      </c>
      <c r="C9" s="448" t="s">
        <v>32</v>
      </c>
      <c r="D9" s="450">
        <f>'1'!G96</f>
        <v>40</v>
      </c>
      <c r="E9" s="450">
        <f>'2'!G96</f>
        <v>36</v>
      </c>
      <c r="F9" s="450">
        <f>'3'!G96</f>
        <v>71</v>
      </c>
      <c r="G9" s="450">
        <f>'4'!G96</f>
        <v>27</v>
      </c>
      <c r="H9" s="450">
        <f>'5'!G96</f>
        <v>50</v>
      </c>
      <c r="I9" s="450">
        <f>'6'!G96</f>
        <v>73</v>
      </c>
      <c r="J9" s="450">
        <f>'7'!G96</f>
        <v>67</v>
      </c>
      <c r="K9" s="450">
        <f>'8'!G96</f>
        <v>34</v>
      </c>
      <c r="L9" s="450">
        <f>'9'!G96</f>
        <v>24</v>
      </c>
      <c r="M9" s="450">
        <f>'10'!G96</f>
        <v>59</v>
      </c>
      <c r="N9" s="450">
        <f>'11'!G96</f>
        <v>46</v>
      </c>
      <c r="O9" s="450">
        <f>'12'!G96</f>
        <v>36</v>
      </c>
      <c r="P9" s="450">
        <f>'13'!G96</f>
        <v>64</v>
      </c>
      <c r="Q9" s="450">
        <f>'14'!G96</f>
        <v>68</v>
      </c>
      <c r="R9" s="450">
        <f>'15'!G96</f>
        <v>65</v>
      </c>
      <c r="S9" s="450">
        <f>'16'!G96</f>
        <v>34</v>
      </c>
      <c r="T9" s="450">
        <f>'17'!G96</f>
        <v>72</v>
      </c>
      <c r="U9" s="450">
        <f>'18'!G96</f>
        <v>56</v>
      </c>
      <c r="V9" s="450">
        <f>'19'!G96</f>
        <v>75</v>
      </c>
      <c r="W9" s="450">
        <f>'20'!G96</f>
        <v>82</v>
      </c>
      <c r="X9" s="450">
        <f>'21'!G96</f>
        <v>70</v>
      </c>
      <c r="Y9" s="450">
        <f>'22'!G96</f>
        <v>58</v>
      </c>
      <c r="Z9" s="450">
        <f>'23'!G96</f>
        <v>43</v>
      </c>
      <c r="AA9" s="450">
        <f>'24'!G96</f>
        <v>73</v>
      </c>
      <c r="AB9" s="450">
        <f>'25'!G96</f>
        <v>70</v>
      </c>
      <c r="AC9" s="450">
        <f>'26'!G96</f>
        <v>79</v>
      </c>
      <c r="AD9" s="450">
        <f>'27'!G96</f>
        <v>73</v>
      </c>
      <c r="AE9" s="450">
        <f>'28'!G96</f>
        <v>-1683</v>
      </c>
      <c r="AF9" s="450">
        <f>'29'!G96</f>
        <v>46</v>
      </c>
      <c r="AG9" s="450">
        <f>'30'!G96</f>
        <v>38</v>
      </c>
      <c r="AH9" s="450">
        <f>'31'!G96</f>
        <v>54</v>
      </c>
      <c r="AI9" s="448"/>
    </row>
    <row r="10" spans="2:35">
      <c r="B10" s="1521"/>
      <c r="C10" s="448" t="s">
        <v>33</v>
      </c>
      <c r="D10" s="450">
        <f>'1'!G97</f>
        <v>13</v>
      </c>
      <c r="E10" s="450">
        <f>'2'!G97</f>
        <v>9</v>
      </c>
      <c r="F10" s="450">
        <f>'3'!G97</f>
        <v>10</v>
      </c>
      <c r="G10" s="450">
        <f>'4'!G97</f>
        <v>9</v>
      </c>
      <c r="H10" s="450">
        <f>'5'!G97</f>
        <v>14</v>
      </c>
      <c r="I10" s="450">
        <f>'6'!G97</f>
        <v>21</v>
      </c>
      <c r="J10" s="450">
        <f>'7'!G97</f>
        <v>7</v>
      </c>
      <c r="K10" s="450">
        <f>'8'!G97</f>
        <v>9</v>
      </c>
      <c r="L10" s="450">
        <f>'9'!G97</f>
        <v>10</v>
      </c>
      <c r="M10" s="450">
        <f>'10'!G97</f>
        <v>11</v>
      </c>
      <c r="N10" s="450">
        <f>'11'!G97</f>
        <v>9</v>
      </c>
      <c r="O10" s="450">
        <f>'12'!G97</f>
        <v>16</v>
      </c>
      <c r="P10" s="450">
        <f>'13'!G97</f>
        <v>34</v>
      </c>
      <c r="Q10" s="450">
        <f>'14'!G97</f>
        <v>23</v>
      </c>
      <c r="R10" s="450">
        <f>'15'!G97</f>
        <v>10</v>
      </c>
      <c r="S10" s="450">
        <f>'16'!G97</f>
        <v>12</v>
      </c>
      <c r="T10" s="450">
        <f>'17'!G97</f>
        <v>10</v>
      </c>
      <c r="U10" s="450">
        <f>'18'!G97</f>
        <v>14</v>
      </c>
      <c r="V10" s="450">
        <f>'19'!G97</f>
        <v>22</v>
      </c>
      <c r="W10" s="450">
        <f>'20'!G97</f>
        <v>42</v>
      </c>
      <c r="X10" s="450">
        <f>'21'!G97</f>
        <v>23</v>
      </c>
      <c r="Y10" s="450">
        <f>'22'!G97</f>
        <v>17</v>
      </c>
      <c r="Z10" s="450">
        <f>'23'!G97</f>
        <v>17</v>
      </c>
      <c r="AA10" s="450">
        <f>'24'!G97</f>
        <v>19</v>
      </c>
      <c r="AB10" s="450">
        <f>'25'!G97</f>
        <v>21</v>
      </c>
      <c r="AC10" s="450">
        <f>'26'!G97</f>
        <v>29</v>
      </c>
      <c r="AD10" s="450">
        <f>'27'!G97</f>
        <v>35</v>
      </c>
      <c r="AE10" s="450">
        <f>'28'!G97</f>
        <v>-500</v>
      </c>
      <c r="AF10" s="450">
        <f>'29'!G97</f>
        <v>9</v>
      </c>
      <c r="AG10" s="450">
        <f>'30'!G97</f>
        <v>13</v>
      </c>
      <c r="AH10" s="450">
        <f>'31'!G97</f>
        <v>12</v>
      </c>
      <c r="AI10" s="448"/>
    </row>
    <row r="11" spans="2:35">
      <c r="B11" s="1521"/>
      <c r="C11" s="448" t="s">
        <v>34</v>
      </c>
      <c r="D11" s="450">
        <f>'1'!G98</f>
        <v>15</v>
      </c>
      <c r="E11" s="450">
        <f>'2'!G98</f>
        <v>10</v>
      </c>
      <c r="F11" s="450">
        <f>'3'!G98</f>
        <v>11</v>
      </c>
      <c r="G11" s="450">
        <f>'4'!G98</f>
        <v>15</v>
      </c>
      <c r="H11" s="450">
        <f>'5'!G98</f>
        <v>29</v>
      </c>
      <c r="I11" s="450">
        <f>'6'!G98</f>
        <v>30</v>
      </c>
      <c r="J11" s="450">
        <f>'7'!G98</f>
        <v>19</v>
      </c>
      <c r="K11" s="450">
        <f>'8'!G98</f>
        <v>15</v>
      </c>
      <c r="L11" s="450">
        <f>'9'!G98</f>
        <v>15</v>
      </c>
      <c r="M11" s="450">
        <f>'10'!G98</f>
        <v>16</v>
      </c>
      <c r="N11" s="450">
        <f>'11'!G98</f>
        <v>26</v>
      </c>
      <c r="O11" s="450">
        <f>'12'!G98</f>
        <v>37</v>
      </c>
      <c r="P11" s="450">
        <f>'13'!G98</f>
        <v>47</v>
      </c>
      <c r="Q11" s="450">
        <f>'14'!G98</f>
        <v>21</v>
      </c>
      <c r="R11" s="450">
        <f>'15'!G98</f>
        <v>17</v>
      </c>
      <c r="S11" s="450">
        <f>'16'!G98</f>
        <v>20</v>
      </c>
      <c r="T11" s="450">
        <f>'17'!G98</f>
        <v>22</v>
      </c>
      <c r="U11" s="450">
        <f>'18'!G98</f>
        <v>28</v>
      </c>
      <c r="V11" s="450">
        <f>'19'!G98</f>
        <v>39</v>
      </c>
      <c r="W11" s="450">
        <f>'20'!G98</f>
        <v>42</v>
      </c>
      <c r="X11" s="450">
        <f>'21'!G98</f>
        <v>25</v>
      </c>
      <c r="Y11" s="450">
        <f>'22'!G98</f>
        <v>21</v>
      </c>
      <c r="Z11" s="450">
        <f>'23'!G98</f>
        <v>22</v>
      </c>
      <c r="AA11" s="450">
        <f>'24'!G98</f>
        <v>20</v>
      </c>
      <c r="AB11" s="450">
        <f>'25'!G98</f>
        <v>19</v>
      </c>
      <c r="AC11" s="450">
        <f>'26'!G98</f>
        <v>34</v>
      </c>
      <c r="AD11" s="450">
        <f>'27'!G98</f>
        <v>36</v>
      </c>
      <c r="AE11" s="450">
        <f>'28'!G98</f>
        <v>-739</v>
      </c>
      <c r="AF11" s="450">
        <f>'29'!G98</f>
        <v>35</v>
      </c>
      <c r="AG11" s="450">
        <f>'30'!G98</f>
        <v>34</v>
      </c>
      <c r="AH11" s="450">
        <f>'31'!G98</f>
        <v>19</v>
      </c>
      <c r="AI11" s="448"/>
    </row>
    <row r="12" spans="2:35">
      <c r="B12" s="452"/>
      <c r="C12" s="448"/>
      <c r="D12" s="448"/>
      <c r="E12" s="448"/>
      <c r="F12" s="448"/>
      <c r="G12" s="448"/>
      <c r="H12" s="448"/>
      <c r="I12" s="448"/>
      <c r="J12" s="448"/>
      <c r="K12" s="448"/>
      <c r="L12" s="448"/>
      <c r="M12" s="448"/>
      <c r="N12" s="448"/>
      <c r="O12" s="448"/>
      <c r="P12" s="448"/>
      <c r="Q12" s="448"/>
      <c r="R12" s="448"/>
      <c r="S12" s="448"/>
      <c r="T12" s="448"/>
      <c r="U12" s="448"/>
      <c r="V12" s="448"/>
      <c r="W12" s="448"/>
      <c r="X12" s="448"/>
      <c r="Y12" s="448"/>
      <c r="Z12" s="448"/>
      <c r="AA12" s="448"/>
      <c r="AB12" s="448"/>
      <c r="AC12" s="448"/>
      <c r="AD12" s="448"/>
      <c r="AE12" s="448"/>
      <c r="AF12" s="448"/>
      <c r="AG12" s="448"/>
      <c r="AH12" s="448"/>
      <c r="AI12" s="448"/>
    </row>
    <row r="13" spans="2:35">
      <c r="B13" s="1521" t="s">
        <v>73</v>
      </c>
      <c r="C13" s="448" t="s">
        <v>32</v>
      </c>
      <c r="D13" s="450">
        <f>'1'!G99</f>
        <v>7</v>
      </c>
      <c r="E13" s="450">
        <f>'2'!G99</f>
        <v>4</v>
      </c>
      <c r="F13" s="450">
        <f>'3'!G99</f>
        <v>7</v>
      </c>
      <c r="G13" s="450">
        <f>'4'!G99</f>
        <v>10</v>
      </c>
      <c r="H13" s="450">
        <f>'5'!G99</f>
        <v>5</v>
      </c>
      <c r="I13" s="450">
        <f>'6'!G99</f>
        <v>18</v>
      </c>
      <c r="J13" s="450">
        <f>'7'!G99</f>
        <v>2</v>
      </c>
      <c r="K13" s="450">
        <f>'8'!G99</f>
        <v>5</v>
      </c>
      <c r="L13" s="450">
        <f>'9'!G99</f>
        <v>4</v>
      </c>
      <c r="M13" s="450">
        <f>'10'!G99</f>
        <v>4</v>
      </c>
      <c r="N13" s="450">
        <f>'11'!G99</f>
        <v>19</v>
      </c>
      <c r="O13" s="450">
        <f>'12'!G99</f>
        <v>20</v>
      </c>
      <c r="P13" s="450">
        <f>'13'!G99</f>
        <v>8</v>
      </c>
      <c r="Q13" s="450">
        <f>'14'!G99</f>
        <v>8</v>
      </c>
      <c r="R13" s="450">
        <f>'15'!G99</f>
        <v>7</v>
      </c>
      <c r="S13" s="450">
        <f>'16'!G99</f>
        <v>3</v>
      </c>
      <c r="T13" s="450">
        <f>'17'!G99</f>
        <v>6</v>
      </c>
      <c r="U13" s="450">
        <f>'18'!G99</f>
        <v>5</v>
      </c>
      <c r="V13" s="450">
        <f>'19'!G99</f>
        <v>14</v>
      </c>
      <c r="W13" s="450">
        <f>'20'!G99</f>
        <v>43</v>
      </c>
      <c r="X13" s="450">
        <f>'21'!G99</f>
        <v>11</v>
      </c>
      <c r="Y13" s="450">
        <f>'22'!G99</f>
        <v>46</v>
      </c>
      <c r="Z13" s="450">
        <f>'23'!G99</f>
        <v>55</v>
      </c>
      <c r="AA13" s="450">
        <f>'24'!G99</f>
        <v>23</v>
      </c>
      <c r="AB13" s="450">
        <f>'25'!G99</f>
        <v>28</v>
      </c>
      <c r="AC13" s="450">
        <f>'26'!G99</f>
        <v>63</v>
      </c>
      <c r="AD13" s="450">
        <f>'27'!G99</f>
        <v>37</v>
      </c>
      <c r="AE13" s="450">
        <f>'28'!G99</f>
        <v>-472</v>
      </c>
      <c r="AF13" s="450">
        <f>'29'!G99</f>
        <v>4</v>
      </c>
      <c r="AG13" s="450">
        <f>'30'!G99</f>
        <v>2</v>
      </c>
      <c r="AH13" s="450">
        <f>'31'!G99</f>
        <v>4</v>
      </c>
      <c r="AI13" s="448"/>
    </row>
    <row r="14" spans="2:35">
      <c r="B14" s="1521"/>
      <c r="C14" s="448" t="s">
        <v>33</v>
      </c>
      <c r="D14" s="450">
        <f>'1'!G115</f>
        <v>12</v>
      </c>
      <c r="E14" s="450">
        <f>'2'!G115</f>
        <v>37</v>
      </c>
      <c r="F14" s="450">
        <f>'3'!G115</f>
        <v>23</v>
      </c>
      <c r="G14" s="450">
        <f>'4'!G115</f>
        <v>9</v>
      </c>
      <c r="H14" s="450">
        <f>'5'!G115</f>
        <v>12</v>
      </c>
      <c r="I14" s="450">
        <f>'6'!G115</f>
        <v>12</v>
      </c>
      <c r="J14" s="450">
        <f>'7'!G115</f>
        <v>14</v>
      </c>
      <c r="K14" s="450">
        <f>'8'!G115</f>
        <v>31</v>
      </c>
      <c r="L14" s="450">
        <f>'9'!G115</f>
        <v>4</v>
      </c>
      <c r="M14" s="450">
        <f>'10'!G115</f>
        <v>10</v>
      </c>
      <c r="N14" s="450">
        <f>'11'!G115</f>
        <v>5</v>
      </c>
      <c r="O14" s="450">
        <f>'12'!G115</f>
        <v>11</v>
      </c>
      <c r="P14" s="450">
        <f>'13'!G115</f>
        <v>16</v>
      </c>
      <c r="Q14" s="450">
        <f>'14'!G115</f>
        <v>10</v>
      </c>
      <c r="R14" s="450">
        <f>'15'!G115</f>
        <v>4</v>
      </c>
      <c r="S14" s="450">
        <f>'16'!G115</f>
        <v>6</v>
      </c>
      <c r="T14" s="450">
        <f>'17'!G115</f>
        <v>5</v>
      </c>
      <c r="U14" s="450">
        <f>'18'!G115</f>
        <v>9</v>
      </c>
      <c r="V14" s="450">
        <f>'19'!G115</f>
        <v>15</v>
      </c>
      <c r="W14" s="450">
        <f>'20'!G115</f>
        <v>36</v>
      </c>
      <c r="X14" s="450">
        <f>'21'!G115</f>
        <v>28</v>
      </c>
      <c r="Y14" s="450">
        <f>'22'!G115</f>
        <v>28</v>
      </c>
      <c r="Z14" s="450">
        <f>'23'!G115</f>
        <v>13</v>
      </c>
      <c r="AA14" s="450">
        <f>'24'!G115</f>
        <v>10</v>
      </c>
      <c r="AB14" s="450">
        <f>'25'!G115</f>
        <v>29</v>
      </c>
      <c r="AC14" s="450">
        <f>'26'!G115</f>
        <v>30</v>
      </c>
      <c r="AD14" s="450">
        <f>'27'!G115</f>
        <v>31</v>
      </c>
      <c r="AE14" s="450">
        <f>'28'!G115</f>
        <v>-474</v>
      </c>
      <c r="AF14" s="450">
        <f>'29'!G115</f>
        <v>7</v>
      </c>
      <c r="AG14" s="450">
        <f>'30'!G115</f>
        <v>9</v>
      </c>
      <c r="AH14" s="450">
        <f>'31'!G115</f>
        <v>8</v>
      </c>
      <c r="AI14" s="448"/>
    </row>
    <row r="15" spans="2:35">
      <c r="B15" s="1521"/>
      <c r="C15" s="448" t="s">
        <v>34</v>
      </c>
      <c r="D15" s="450">
        <f>'1'!G116</f>
        <v>5</v>
      </c>
      <c r="E15" s="450">
        <f>'2'!G116</f>
        <v>3</v>
      </c>
      <c r="F15" s="450">
        <f>'3'!G116</f>
        <v>3</v>
      </c>
      <c r="G15" s="450">
        <f>'4'!G116</f>
        <v>5</v>
      </c>
      <c r="H15" s="450">
        <f>'5'!G116</f>
        <v>8</v>
      </c>
      <c r="I15" s="450">
        <f>'6'!G116</f>
        <v>13</v>
      </c>
      <c r="J15" s="450">
        <f>'7'!G116</f>
        <v>7</v>
      </c>
      <c r="K15" s="450">
        <f>'8'!G116</f>
        <v>6</v>
      </c>
      <c r="L15" s="450">
        <f>'9'!G116</f>
        <v>4</v>
      </c>
      <c r="M15" s="450">
        <f>'10'!G116</f>
        <v>5</v>
      </c>
      <c r="N15" s="450">
        <f>'11'!G116</f>
        <v>5</v>
      </c>
      <c r="O15" s="450">
        <f>'12'!G116</f>
        <v>21</v>
      </c>
      <c r="P15" s="450">
        <f>'13'!G116</f>
        <v>15</v>
      </c>
      <c r="Q15" s="450">
        <f>'14'!G116</f>
        <v>6</v>
      </c>
      <c r="R15" s="450">
        <f>'15'!G116</f>
        <v>7</v>
      </c>
      <c r="S15" s="450">
        <f>'16'!G116</f>
        <v>6</v>
      </c>
      <c r="T15" s="450">
        <f>'17'!G116</f>
        <v>6</v>
      </c>
      <c r="U15" s="450">
        <f>'18'!G116</f>
        <v>8</v>
      </c>
      <c r="V15" s="450">
        <f>'19'!G116</f>
        <v>9</v>
      </c>
      <c r="W15" s="450">
        <f>'20'!G116</f>
        <v>11</v>
      </c>
      <c r="X15" s="450">
        <f>'21'!G116</f>
        <v>12</v>
      </c>
      <c r="Y15" s="450">
        <f>'22'!G116</f>
        <v>6</v>
      </c>
      <c r="Z15" s="450">
        <f>'23'!G116</f>
        <v>5</v>
      </c>
      <c r="AA15" s="450">
        <f>'24'!G116</f>
        <v>6</v>
      </c>
      <c r="AB15" s="450">
        <f>'25'!G116</f>
        <v>4</v>
      </c>
      <c r="AC15" s="450">
        <f>'26'!G116</f>
        <v>9</v>
      </c>
      <c r="AD15" s="450">
        <f>'27'!G116</f>
        <v>13</v>
      </c>
      <c r="AE15" s="450">
        <f>'28'!G116</f>
        <v>-231</v>
      </c>
      <c r="AF15" s="450">
        <f>'29'!G116</f>
        <v>6</v>
      </c>
      <c r="AG15" s="450">
        <f>'30'!G116</f>
        <v>11</v>
      </c>
      <c r="AH15" s="450">
        <f>'31'!G116</f>
        <v>6</v>
      </c>
      <c r="AI15" s="448"/>
    </row>
    <row r="16" spans="2:35">
      <c r="B16" s="452"/>
      <c r="C16" s="448"/>
      <c r="D16" s="448"/>
      <c r="E16" s="448"/>
      <c r="F16" s="448"/>
      <c r="G16" s="448"/>
      <c r="H16" s="448"/>
      <c r="I16" s="448"/>
      <c r="J16" s="448"/>
      <c r="K16" s="448"/>
      <c r="L16" s="448"/>
      <c r="M16" s="448"/>
      <c r="N16" s="448"/>
      <c r="O16" s="448"/>
      <c r="P16" s="448"/>
      <c r="Q16" s="448"/>
      <c r="R16" s="448"/>
      <c r="S16" s="448"/>
      <c r="T16" s="448"/>
      <c r="U16" s="448"/>
      <c r="V16" s="448"/>
      <c r="W16" s="448"/>
      <c r="X16" s="448"/>
      <c r="Y16" s="448"/>
      <c r="Z16" s="448"/>
      <c r="AA16" s="448"/>
      <c r="AB16" s="448"/>
      <c r="AC16" s="448"/>
      <c r="AD16" s="448"/>
      <c r="AE16" s="448"/>
      <c r="AF16" s="448"/>
      <c r="AG16" s="448"/>
      <c r="AH16" s="448"/>
      <c r="AI16" s="448"/>
    </row>
    <row r="17" spans="2:35">
      <c r="B17" s="1521" t="s">
        <v>74</v>
      </c>
      <c r="C17" s="448" t="s">
        <v>75</v>
      </c>
      <c r="D17" s="448">
        <f>'1'!G105</f>
        <v>0</v>
      </c>
      <c r="E17" s="450">
        <f>'2'!G105</f>
        <v>0</v>
      </c>
      <c r="F17" s="450">
        <f>'3'!G105</f>
        <v>0</v>
      </c>
      <c r="G17" s="450">
        <f>'4'!G105</f>
        <v>0</v>
      </c>
      <c r="H17" s="450">
        <f>'5'!G105</f>
        <v>0</v>
      </c>
      <c r="I17" s="450">
        <f>'6'!G105</f>
        <v>0</v>
      </c>
      <c r="J17" s="450">
        <f>'7'!G105</f>
        <v>0</v>
      </c>
      <c r="K17" s="450">
        <f>'8'!G105</f>
        <v>0</v>
      </c>
      <c r="L17" s="450">
        <f>'9'!G105</f>
        <v>0</v>
      </c>
      <c r="M17" s="450">
        <f>'10'!G105</f>
        <v>0</v>
      </c>
      <c r="N17" s="450">
        <f>'11'!G105</f>
        <v>0</v>
      </c>
      <c r="O17" s="450">
        <f>'12'!G105</f>
        <v>0</v>
      </c>
      <c r="P17" s="450">
        <f>'13'!G105</f>
        <v>0</v>
      </c>
      <c r="Q17" s="450">
        <f>'14'!G105</f>
        <v>0</v>
      </c>
      <c r="R17" s="450">
        <f>'15'!G105</f>
        <v>0</v>
      </c>
      <c r="S17" s="450">
        <f>'16'!G105</f>
        <v>0</v>
      </c>
      <c r="T17" s="450">
        <f>'17'!G105</f>
        <v>0</v>
      </c>
      <c r="U17" s="450">
        <f>'18'!G105</f>
        <v>0</v>
      </c>
      <c r="V17" s="450">
        <f>'19'!G105</f>
        <v>0</v>
      </c>
      <c r="W17" s="450">
        <f>'20'!G105</f>
        <v>0</v>
      </c>
      <c r="X17" s="450">
        <f>'21'!G105</f>
        <v>0</v>
      </c>
      <c r="Y17" s="450">
        <f>'22'!G105</f>
        <v>0</v>
      </c>
      <c r="Z17" s="450">
        <f>'23'!G105</f>
        <v>0</v>
      </c>
      <c r="AA17" s="450">
        <f>'24'!G105</f>
        <v>0</v>
      </c>
      <c r="AB17" s="450">
        <f>'25'!G105</f>
        <v>0</v>
      </c>
      <c r="AC17" s="450">
        <f>'26'!G105</f>
        <v>0</v>
      </c>
      <c r="AD17" s="450">
        <f>'27'!G105</f>
        <v>0</v>
      </c>
      <c r="AE17" s="450">
        <f>'28'!G105</f>
        <v>-153</v>
      </c>
      <c r="AF17" s="450">
        <f>'29'!G105</f>
        <v>0</v>
      </c>
      <c r="AG17" s="450">
        <f>'30'!G105</f>
        <v>0</v>
      </c>
      <c r="AH17" s="450">
        <f>'31'!G105</f>
        <v>0</v>
      </c>
      <c r="AI17" s="448"/>
    </row>
    <row r="18" spans="2:35">
      <c r="B18" s="1521"/>
      <c r="C18" s="448" t="s">
        <v>76</v>
      </c>
      <c r="D18" s="448">
        <f>'1'!G106</f>
        <v>0</v>
      </c>
      <c r="E18" s="450">
        <f>'2'!G106</f>
        <v>0</v>
      </c>
      <c r="F18" s="450">
        <f>'3'!G106</f>
        <v>13</v>
      </c>
      <c r="G18" s="450">
        <f>'4'!G106</f>
        <v>0</v>
      </c>
      <c r="H18" s="450">
        <f>'5'!G106</f>
        <v>1</v>
      </c>
      <c r="I18" s="450">
        <f>'6'!G106</f>
        <v>10</v>
      </c>
      <c r="J18" s="450">
        <f>'7'!G106</f>
        <v>12</v>
      </c>
      <c r="K18" s="450">
        <f>'8'!G106</f>
        <v>0</v>
      </c>
      <c r="L18" s="450">
        <f>'9'!G106</f>
        <v>0</v>
      </c>
      <c r="M18" s="450">
        <f>'10'!G106</f>
        <v>17</v>
      </c>
      <c r="N18" s="450">
        <f>'11'!G106</f>
        <v>0</v>
      </c>
      <c r="O18" s="450">
        <f>'12'!G106</f>
        <v>0</v>
      </c>
      <c r="P18" s="450">
        <f>'13'!G106</f>
        <v>13</v>
      </c>
      <c r="Q18" s="450">
        <f>'14'!G106</f>
        <v>14</v>
      </c>
      <c r="R18" s="450">
        <f>'15'!G106</f>
        <v>0</v>
      </c>
      <c r="S18" s="450">
        <f>'16'!G106</f>
        <v>0</v>
      </c>
      <c r="T18" s="450">
        <f>'17'!G106</f>
        <v>20</v>
      </c>
      <c r="U18" s="450">
        <f>'18'!G106</f>
        <v>1</v>
      </c>
      <c r="V18" s="450">
        <f>'19'!G106</f>
        <v>15</v>
      </c>
      <c r="W18" s="450">
        <f>'20'!G106</f>
        <v>8</v>
      </c>
      <c r="X18" s="450">
        <f>'21'!G106</f>
        <v>12</v>
      </c>
      <c r="Y18" s="450">
        <f>'22'!G106</f>
        <v>0</v>
      </c>
      <c r="Z18" s="450">
        <f>'23'!G106</f>
        <v>2</v>
      </c>
      <c r="AA18" s="450">
        <f>'24'!G106</f>
        <v>25</v>
      </c>
      <c r="AB18" s="450">
        <f>'25'!G106</f>
        <v>5</v>
      </c>
      <c r="AC18" s="450">
        <f>'26'!G106</f>
        <v>16</v>
      </c>
      <c r="AD18" s="450">
        <f>'27'!G106</f>
        <v>6</v>
      </c>
      <c r="AE18" s="450">
        <f>'28'!G106</f>
        <v>-205</v>
      </c>
      <c r="AF18" s="450">
        <f>'29'!G106</f>
        <v>0</v>
      </c>
      <c r="AG18" s="450">
        <f>'30'!G106</f>
        <v>0</v>
      </c>
      <c r="AH18" s="450">
        <f>'31'!G106</f>
        <v>15</v>
      </c>
      <c r="AI18" s="448"/>
    </row>
    <row r="19" spans="2:35">
      <c r="B19" s="1521"/>
      <c r="C19" s="448" t="s">
        <v>77</v>
      </c>
      <c r="D19" s="448">
        <f>'1'!G107</f>
        <v>0</v>
      </c>
      <c r="E19" s="450">
        <f>'2'!G107</f>
        <v>3</v>
      </c>
      <c r="F19" s="450">
        <f>'3'!G107</f>
        <v>0</v>
      </c>
      <c r="G19" s="450">
        <f>'4'!G107</f>
        <v>6</v>
      </c>
      <c r="H19" s="450">
        <f>'5'!G107</f>
        <v>3</v>
      </c>
      <c r="I19" s="450">
        <f>'6'!G107</f>
        <v>5</v>
      </c>
      <c r="J19" s="450">
        <f>'7'!G107</f>
        <v>4</v>
      </c>
      <c r="K19" s="450">
        <f>'8'!G107</f>
        <v>3</v>
      </c>
      <c r="L19" s="450">
        <f>'9'!G107</f>
        <v>0</v>
      </c>
      <c r="M19" s="450">
        <f>'10'!G107</f>
        <v>7</v>
      </c>
      <c r="N19" s="450">
        <f>'11'!G107</f>
        <v>3</v>
      </c>
      <c r="O19" s="450">
        <f>'12'!G107</f>
        <v>4</v>
      </c>
      <c r="P19" s="450">
        <f>'13'!G107</f>
        <v>5</v>
      </c>
      <c r="Q19" s="450">
        <f>'14'!G107</f>
        <v>5</v>
      </c>
      <c r="R19" s="450">
        <f>'15'!G107</f>
        <v>5</v>
      </c>
      <c r="S19" s="450">
        <f>'16'!G107</f>
        <v>8</v>
      </c>
      <c r="T19" s="450">
        <f>'17'!G107</f>
        <v>-2</v>
      </c>
      <c r="U19" s="450">
        <f>'18'!G107</f>
        <v>2</v>
      </c>
      <c r="V19" s="450">
        <f>'19'!G107</f>
        <v>5</v>
      </c>
      <c r="W19" s="450">
        <f>'20'!G107</f>
        <v>5</v>
      </c>
      <c r="X19" s="450">
        <f>'21'!G107</f>
        <v>7</v>
      </c>
      <c r="Y19" s="450">
        <f>'22'!G107</f>
        <v>3</v>
      </c>
      <c r="Z19" s="450">
        <f>'23'!G107</f>
        <v>3</v>
      </c>
      <c r="AA19" s="450">
        <f>'24'!G107</f>
        <v>3</v>
      </c>
      <c r="AB19" s="450">
        <f>'25'!G107</f>
        <v>5</v>
      </c>
      <c r="AC19" s="450">
        <f>'26'!G107</f>
        <v>5</v>
      </c>
      <c r="AD19" s="450">
        <f>'27'!G107</f>
        <v>5</v>
      </c>
      <c r="AE19" s="450">
        <f>'28'!G107</f>
        <v>-111</v>
      </c>
      <c r="AF19" s="450">
        <f>'29'!G107</f>
        <v>0</v>
      </c>
      <c r="AG19" s="450">
        <f>'30'!G107</f>
        <v>3</v>
      </c>
      <c r="AH19" s="450">
        <f>'31'!G107</f>
        <v>6</v>
      </c>
      <c r="AI19" s="448"/>
    </row>
    <row r="20" spans="2:35">
      <c r="B20" s="452"/>
      <c r="C20" s="448"/>
      <c r="D20" s="448"/>
      <c r="E20" s="448"/>
      <c r="F20" s="448"/>
      <c r="G20" s="448"/>
      <c r="H20" s="448"/>
      <c r="I20" s="448"/>
      <c r="J20" s="448"/>
      <c r="K20" s="448"/>
      <c r="L20" s="448"/>
      <c r="M20" s="448"/>
      <c r="N20" s="448"/>
      <c r="O20" s="448"/>
      <c r="P20" s="448"/>
      <c r="Q20" s="448"/>
      <c r="R20" s="448"/>
      <c r="S20" s="448"/>
      <c r="T20" s="448"/>
      <c r="U20" s="448"/>
      <c r="V20" s="448"/>
      <c r="W20" s="448"/>
      <c r="X20" s="448"/>
      <c r="Y20" s="448"/>
      <c r="Z20" s="448"/>
      <c r="AA20" s="448"/>
      <c r="AB20" s="448"/>
      <c r="AC20" s="448"/>
      <c r="AD20" s="448"/>
      <c r="AE20" s="448"/>
      <c r="AF20" s="448"/>
      <c r="AG20" s="448"/>
      <c r="AH20" s="448"/>
      <c r="AI20" s="448"/>
    </row>
    <row r="21" spans="2:35">
      <c r="B21" s="1521" t="s">
        <v>78</v>
      </c>
      <c r="C21" s="448" t="s">
        <v>79</v>
      </c>
      <c r="D21" s="448">
        <f>'1'!G110</f>
        <v>63</v>
      </c>
      <c r="E21" s="450">
        <f>'2'!G110</f>
        <v>42</v>
      </c>
      <c r="F21" s="450">
        <f>'3'!G110</f>
        <v>87</v>
      </c>
      <c r="G21" s="450">
        <f>'4'!G110</f>
        <v>65</v>
      </c>
      <c r="H21" s="450">
        <f>'5'!G110</f>
        <v>88</v>
      </c>
      <c r="I21" s="450">
        <f>'6'!G110</f>
        <v>63</v>
      </c>
      <c r="J21" s="450">
        <f>'7'!G110</f>
        <v>63</v>
      </c>
      <c r="K21" s="450">
        <f>'8'!G110</f>
        <v>45</v>
      </c>
      <c r="L21" s="450">
        <f>'9'!G110</f>
        <v>77</v>
      </c>
      <c r="M21" s="450">
        <f>'10'!G110</f>
        <v>62</v>
      </c>
      <c r="N21" s="450">
        <f>'11'!G110</f>
        <v>27</v>
      </c>
      <c r="O21" s="450">
        <f>'12'!G110</f>
        <v>33</v>
      </c>
      <c r="P21" s="450">
        <f>'13'!G110</f>
        <v>63</v>
      </c>
      <c r="Q21" s="450">
        <f>'14'!G110</f>
        <v>73</v>
      </c>
      <c r="R21" s="450">
        <f>'15'!G110</f>
        <v>45</v>
      </c>
      <c r="S21" s="450">
        <f>'16'!G110</f>
        <v>41</v>
      </c>
      <c r="T21" s="450">
        <f>'17'!G110</f>
        <v>61</v>
      </c>
      <c r="U21" s="450">
        <f>'18'!G110</f>
        <v>75</v>
      </c>
      <c r="V21" s="450">
        <f>'19'!G110</f>
        <v>70</v>
      </c>
      <c r="W21" s="450">
        <f>'20'!G110</f>
        <v>76</v>
      </c>
      <c r="X21" s="450">
        <f>'21'!G110</f>
        <v>114</v>
      </c>
      <c r="Y21" s="450">
        <f>'22'!G110</f>
        <v>163</v>
      </c>
      <c r="Z21" s="450">
        <f>'23'!G110</f>
        <v>56</v>
      </c>
      <c r="AA21" s="450">
        <f>'24'!G110</f>
        <v>55</v>
      </c>
      <c r="AB21" s="450">
        <f>'25'!G110</f>
        <v>45</v>
      </c>
      <c r="AC21" s="450">
        <f>'26'!G110</f>
        <v>54</v>
      </c>
      <c r="AD21" s="450">
        <f>'27'!G110</f>
        <v>68</v>
      </c>
      <c r="AE21" s="450">
        <f>'28'!G110</f>
        <v>-1963</v>
      </c>
      <c r="AF21" s="450">
        <f>'29'!G110</f>
        <v>66</v>
      </c>
      <c r="AG21" s="450">
        <f>'30'!G110</f>
        <v>59</v>
      </c>
      <c r="AH21" s="450">
        <f>'31'!G110</f>
        <v>64</v>
      </c>
      <c r="AI21" s="448"/>
    </row>
    <row r="22" spans="2:35">
      <c r="B22" s="1521"/>
      <c r="C22" s="448" t="s">
        <v>80</v>
      </c>
      <c r="D22" s="448">
        <f>'1'!G111</f>
        <v>0</v>
      </c>
      <c r="E22" s="450">
        <f>'2'!G111</f>
        <v>0</v>
      </c>
      <c r="F22" s="450">
        <f>'3'!G111</f>
        <v>0</v>
      </c>
      <c r="G22" s="450">
        <f>'4'!G111</f>
        <v>10</v>
      </c>
      <c r="H22" s="450">
        <f>'5'!G111</f>
        <v>17</v>
      </c>
      <c r="I22" s="450">
        <f>'6'!G111</f>
        <v>10</v>
      </c>
      <c r="J22" s="450">
        <f>'7'!G111</f>
        <v>0</v>
      </c>
      <c r="K22" s="450">
        <f>'8'!G111</f>
        <v>17</v>
      </c>
      <c r="L22" s="450">
        <f>'9'!G111</f>
        <v>0</v>
      </c>
      <c r="M22" s="450">
        <f>'10'!G111</f>
        <v>13</v>
      </c>
      <c r="N22" s="450">
        <f>'11'!G111</f>
        <v>30</v>
      </c>
      <c r="O22" s="450">
        <f>'12'!G111</f>
        <v>22</v>
      </c>
      <c r="P22" s="450">
        <f>'13'!G111</f>
        <v>0</v>
      </c>
      <c r="Q22" s="450">
        <f>'14'!G111</f>
        <v>0</v>
      </c>
      <c r="R22" s="450">
        <f>'15'!G111</f>
        <v>13</v>
      </c>
      <c r="S22" s="450">
        <f>'16'!G111</f>
        <v>0</v>
      </c>
      <c r="T22" s="450">
        <f>'17'!G111</f>
        <v>10</v>
      </c>
      <c r="U22" s="450">
        <f>'18'!G111</f>
        <v>10</v>
      </c>
      <c r="V22" s="450">
        <f>'19'!G111</f>
        <v>20</v>
      </c>
      <c r="W22" s="450">
        <f>'20'!G111</f>
        <v>15</v>
      </c>
      <c r="X22" s="450">
        <f>'21'!G111</f>
        <v>31</v>
      </c>
      <c r="Y22" s="450">
        <f>'22'!G111</f>
        <v>37</v>
      </c>
      <c r="Z22" s="450">
        <f>'23'!G111</f>
        <v>19</v>
      </c>
      <c r="AA22" s="450">
        <f>'24'!G111</f>
        <v>57</v>
      </c>
      <c r="AB22" s="450">
        <f>'25'!G111</f>
        <v>16</v>
      </c>
      <c r="AC22" s="450">
        <f>'26'!G111</f>
        <v>71</v>
      </c>
      <c r="AD22" s="450">
        <f>'27'!G111</f>
        <v>50</v>
      </c>
      <c r="AE22" s="450">
        <f>'28'!G111</f>
        <v>-504</v>
      </c>
      <c r="AF22" s="450">
        <f>'29'!G111</f>
        <v>18</v>
      </c>
      <c r="AG22" s="450">
        <f>'30'!G111</f>
        <v>18</v>
      </c>
      <c r="AH22" s="450">
        <f>'31'!G111</f>
        <v>0</v>
      </c>
      <c r="AI22" s="448"/>
    </row>
    <row r="23" spans="2:35">
      <c r="B23" s="1521"/>
      <c r="C23" s="448" t="s">
        <v>81</v>
      </c>
      <c r="D23" s="448">
        <f>'1'!G112</f>
        <v>16</v>
      </c>
      <c r="E23" s="450">
        <f>'2'!G112</f>
        <v>0</v>
      </c>
      <c r="F23" s="450">
        <f>'3'!G112</f>
        <v>14</v>
      </c>
      <c r="G23" s="450">
        <f>'4'!G112</f>
        <v>0</v>
      </c>
      <c r="H23" s="450">
        <f>'5'!G112</f>
        <v>15</v>
      </c>
      <c r="I23" s="450">
        <f>'6'!G112</f>
        <v>0</v>
      </c>
      <c r="J23" s="450">
        <f>'7'!G112</f>
        <v>0</v>
      </c>
      <c r="K23" s="450">
        <f>'8'!G112</f>
        <v>0</v>
      </c>
      <c r="L23" s="450">
        <f>'9'!G112</f>
        <v>0</v>
      </c>
      <c r="M23" s="450">
        <f>'10'!G112</f>
        <v>0</v>
      </c>
      <c r="N23" s="450">
        <f>'11'!G112</f>
        <v>0</v>
      </c>
      <c r="O23" s="450">
        <f>'12'!G112</f>
        <v>0</v>
      </c>
      <c r="P23" s="450">
        <f>'13'!G112</f>
        <v>0</v>
      </c>
      <c r="Q23" s="450">
        <f>'14'!G112</f>
        <v>0</v>
      </c>
      <c r="R23" s="450">
        <f>'15'!G112</f>
        <v>0</v>
      </c>
      <c r="S23" s="450">
        <f>'16'!G112</f>
        <v>0</v>
      </c>
      <c r="T23" s="450">
        <f>'17'!G112</f>
        <v>0</v>
      </c>
      <c r="U23" s="450">
        <f>'18'!G112</f>
        <v>0</v>
      </c>
      <c r="V23" s="450">
        <f>'19'!G112</f>
        <v>0</v>
      </c>
      <c r="W23" s="450">
        <f>'20'!G112</f>
        <v>0</v>
      </c>
      <c r="X23" s="450">
        <f>'21'!G112</f>
        <v>0</v>
      </c>
      <c r="Y23" s="450">
        <f>'22'!G112</f>
        <v>0</v>
      </c>
      <c r="Z23" s="450">
        <f>'23'!G112</f>
        <v>0</v>
      </c>
      <c r="AA23" s="450">
        <f>'24'!G112</f>
        <v>0</v>
      </c>
      <c r="AB23" s="450">
        <f>'25'!G112</f>
        <v>0</v>
      </c>
      <c r="AC23" s="450">
        <f>'26'!G112</f>
        <v>0</v>
      </c>
      <c r="AD23" s="450">
        <f>'27'!G112</f>
        <v>0</v>
      </c>
      <c r="AE23" s="450">
        <f>'28'!G112</f>
        <v>-62</v>
      </c>
      <c r="AF23" s="450">
        <f>'29'!G112</f>
        <v>17</v>
      </c>
      <c r="AG23" s="450">
        <f>'30'!G112</f>
        <v>0</v>
      </c>
      <c r="AH23" s="450">
        <f>'31'!G112</f>
        <v>0</v>
      </c>
      <c r="AI23" s="448"/>
    </row>
    <row r="24" spans="2:35" ht="30">
      <c r="B24" s="452" t="s">
        <v>336</v>
      </c>
      <c r="C24" s="448"/>
      <c r="D24" s="450">
        <f>SUM(D5:D6)</f>
        <v>80</v>
      </c>
      <c r="E24" s="450">
        <f t="shared" ref="E24:AH24" si="0">SUM(E5:E6)</f>
        <v>112</v>
      </c>
      <c r="F24" s="450">
        <f t="shared" si="0"/>
        <v>143</v>
      </c>
      <c r="G24" s="450">
        <f t="shared" si="0"/>
        <v>101</v>
      </c>
      <c r="H24" s="450">
        <f t="shared" si="0"/>
        <v>102</v>
      </c>
      <c r="I24" s="450">
        <f t="shared" si="0"/>
        <v>175</v>
      </c>
      <c r="J24" s="450">
        <f t="shared" si="0"/>
        <v>122</v>
      </c>
      <c r="K24" s="450">
        <f t="shared" si="0"/>
        <v>159</v>
      </c>
      <c r="L24" s="450">
        <f t="shared" si="0"/>
        <v>78</v>
      </c>
      <c r="M24" s="450">
        <f t="shared" si="0"/>
        <v>86</v>
      </c>
      <c r="N24" s="450">
        <f t="shared" si="0"/>
        <v>103</v>
      </c>
      <c r="O24" s="450">
        <f t="shared" si="0"/>
        <v>125</v>
      </c>
      <c r="P24" s="450">
        <f t="shared" si="0"/>
        <v>194</v>
      </c>
      <c r="Q24" s="450">
        <f t="shared" si="0"/>
        <v>183</v>
      </c>
      <c r="R24" s="450">
        <f t="shared" si="0"/>
        <v>142</v>
      </c>
      <c r="S24" s="450">
        <f t="shared" si="0"/>
        <v>92</v>
      </c>
      <c r="T24" s="450">
        <f t="shared" si="0"/>
        <v>122</v>
      </c>
      <c r="U24" s="450">
        <f t="shared" si="0"/>
        <v>145</v>
      </c>
      <c r="V24" s="450">
        <f t="shared" si="0"/>
        <v>193</v>
      </c>
      <c r="W24" s="450">
        <f t="shared" si="0"/>
        <v>261</v>
      </c>
      <c r="X24" s="450">
        <f t="shared" si="0"/>
        <v>201</v>
      </c>
      <c r="Y24" s="450">
        <f t="shared" si="0"/>
        <v>152</v>
      </c>
      <c r="Z24" s="450">
        <f t="shared" si="0"/>
        <v>101</v>
      </c>
      <c r="AA24" s="450">
        <f t="shared" si="0"/>
        <v>164</v>
      </c>
      <c r="AB24" s="450">
        <f t="shared" si="0"/>
        <v>170</v>
      </c>
      <c r="AC24" s="450">
        <f t="shared" si="0"/>
        <v>215</v>
      </c>
      <c r="AD24" s="450">
        <f t="shared" si="0"/>
        <v>241</v>
      </c>
      <c r="AE24" s="450">
        <f t="shared" si="0"/>
        <v>-1828</v>
      </c>
      <c r="AF24" s="450">
        <f t="shared" si="0"/>
        <v>117</v>
      </c>
      <c r="AG24" s="450">
        <f t="shared" si="0"/>
        <v>138</v>
      </c>
      <c r="AH24" s="450">
        <f t="shared" si="0"/>
        <v>121</v>
      </c>
      <c r="AI24" s="448"/>
    </row>
    <row r="25" spans="2:35" ht="30">
      <c r="B25" s="452" t="s">
        <v>82</v>
      </c>
      <c r="C25" s="448"/>
      <c r="D25" s="450">
        <f>SUM(D9:D11,D14:D15,)</f>
        <v>85</v>
      </c>
      <c r="E25" s="450">
        <f t="shared" ref="E25:AI25" si="1">SUM(E9:E11,E14:E15,)</f>
        <v>95</v>
      </c>
      <c r="F25" s="450">
        <f t="shared" si="1"/>
        <v>118</v>
      </c>
      <c r="G25" s="450">
        <f t="shared" si="1"/>
        <v>65</v>
      </c>
      <c r="H25" s="450">
        <f t="shared" si="1"/>
        <v>113</v>
      </c>
      <c r="I25" s="450">
        <f t="shared" si="1"/>
        <v>149</v>
      </c>
      <c r="J25" s="450">
        <f t="shared" si="1"/>
        <v>114</v>
      </c>
      <c r="K25" s="450">
        <f t="shared" si="1"/>
        <v>95</v>
      </c>
      <c r="L25" s="450">
        <f t="shared" si="1"/>
        <v>57</v>
      </c>
      <c r="M25" s="450">
        <f t="shared" si="1"/>
        <v>101</v>
      </c>
      <c r="N25" s="450">
        <f t="shared" si="1"/>
        <v>91</v>
      </c>
      <c r="O25" s="450">
        <f t="shared" si="1"/>
        <v>121</v>
      </c>
      <c r="P25" s="450">
        <f t="shared" si="1"/>
        <v>176</v>
      </c>
      <c r="Q25" s="450">
        <f t="shared" si="1"/>
        <v>128</v>
      </c>
      <c r="R25" s="450">
        <f t="shared" si="1"/>
        <v>103</v>
      </c>
      <c r="S25" s="450">
        <f t="shared" si="1"/>
        <v>78</v>
      </c>
      <c r="T25" s="450">
        <f>SUM(T9:T11,T14:T15,)</f>
        <v>115</v>
      </c>
      <c r="U25" s="450">
        <f t="shared" si="1"/>
        <v>115</v>
      </c>
      <c r="V25" s="450">
        <f t="shared" si="1"/>
        <v>160</v>
      </c>
      <c r="W25" s="450">
        <f t="shared" si="1"/>
        <v>213</v>
      </c>
      <c r="X25" s="450">
        <f t="shared" si="1"/>
        <v>158</v>
      </c>
      <c r="Y25" s="450">
        <f t="shared" si="1"/>
        <v>130</v>
      </c>
      <c r="Z25" s="450">
        <f t="shared" si="1"/>
        <v>100</v>
      </c>
      <c r="AA25" s="450">
        <f t="shared" si="1"/>
        <v>128</v>
      </c>
      <c r="AB25" s="450">
        <f t="shared" si="1"/>
        <v>143</v>
      </c>
      <c r="AC25" s="450">
        <f t="shared" si="1"/>
        <v>181</v>
      </c>
      <c r="AD25" s="450">
        <f t="shared" si="1"/>
        <v>188</v>
      </c>
      <c r="AE25" s="450">
        <f t="shared" si="1"/>
        <v>-3627</v>
      </c>
      <c r="AF25" s="450">
        <f t="shared" si="1"/>
        <v>103</v>
      </c>
      <c r="AG25" s="450">
        <f t="shared" si="1"/>
        <v>105</v>
      </c>
      <c r="AH25" s="450">
        <f t="shared" si="1"/>
        <v>99</v>
      </c>
      <c r="AI25" s="450">
        <f t="shared" si="1"/>
        <v>0</v>
      </c>
    </row>
    <row r="26" spans="2:35">
      <c r="B26" s="452"/>
      <c r="C26" s="448"/>
      <c r="D26" s="448"/>
      <c r="E26" s="448"/>
      <c r="F26" s="448"/>
      <c r="G26" s="448"/>
      <c r="H26" s="448"/>
      <c r="I26" s="448"/>
      <c r="J26" s="448"/>
      <c r="K26" s="448"/>
      <c r="L26" s="448"/>
      <c r="M26" s="448"/>
      <c r="N26" s="448"/>
      <c r="O26" s="448"/>
      <c r="P26" s="448"/>
      <c r="Q26" s="448"/>
      <c r="R26" s="448"/>
      <c r="S26" s="448"/>
      <c r="T26" s="448"/>
      <c r="U26" s="448"/>
      <c r="V26" s="448"/>
      <c r="W26" s="448"/>
      <c r="X26" s="448"/>
      <c r="Y26" s="448"/>
      <c r="Z26" s="448"/>
      <c r="AA26" s="448"/>
      <c r="AB26" s="448"/>
      <c r="AC26" s="448"/>
      <c r="AD26" s="448"/>
      <c r="AE26" s="448"/>
      <c r="AF26" s="448"/>
      <c r="AG26" s="448"/>
      <c r="AH26" s="448"/>
      <c r="AI26" s="448"/>
    </row>
    <row r="27" spans="2:35" ht="30">
      <c r="B27" s="452" t="s">
        <v>83</v>
      </c>
      <c r="C27" s="448"/>
      <c r="D27" s="450">
        <f>SUM(D13,D21,D23)</f>
        <v>86</v>
      </c>
      <c r="E27" s="450">
        <f t="shared" ref="E27:AH27" si="2">SUM(E13,E21,E23)</f>
        <v>46</v>
      </c>
      <c r="F27" s="450">
        <f>SUM(F13,F21,F23)</f>
        <v>108</v>
      </c>
      <c r="G27" s="450">
        <f t="shared" si="2"/>
        <v>75</v>
      </c>
      <c r="H27" s="450">
        <f t="shared" si="2"/>
        <v>108</v>
      </c>
      <c r="I27" s="450">
        <f t="shared" si="2"/>
        <v>81</v>
      </c>
      <c r="J27" s="450">
        <f t="shared" si="2"/>
        <v>65</v>
      </c>
      <c r="K27" s="450">
        <f t="shared" si="2"/>
        <v>50</v>
      </c>
      <c r="L27" s="450">
        <f t="shared" si="2"/>
        <v>81</v>
      </c>
      <c r="M27" s="450">
        <f t="shared" si="2"/>
        <v>66</v>
      </c>
      <c r="N27" s="450">
        <f t="shared" si="2"/>
        <v>46</v>
      </c>
      <c r="O27" s="450">
        <f t="shared" si="2"/>
        <v>53</v>
      </c>
      <c r="P27" s="450">
        <f t="shared" si="2"/>
        <v>71</v>
      </c>
      <c r="Q27" s="450">
        <f t="shared" si="2"/>
        <v>81</v>
      </c>
      <c r="R27" s="450">
        <f t="shared" si="2"/>
        <v>52</v>
      </c>
      <c r="S27" s="450">
        <f t="shared" si="2"/>
        <v>44</v>
      </c>
      <c r="T27" s="450">
        <f t="shared" si="2"/>
        <v>67</v>
      </c>
      <c r="U27" s="450">
        <f t="shared" si="2"/>
        <v>80</v>
      </c>
      <c r="V27" s="450">
        <f t="shared" si="2"/>
        <v>84</v>
      </c>
      <c r="W27" s="450">
        <f t="shared" si="2"/>
        <v>119</v>
      </c>
      <c r="X27" s="450">
        <f t="shared" si="2"/>
        <v>125</v>
      </c>
      <c r="Y27" s="450">
        <f t="shared" si="2"/>
        <v>209</v>
      </c>
      <c r="Z27" s="450">
        <f t="shared" si="2"/>
        <v>111</v>
      </c>
      <c r="AA27" s="450">
        <f t="shared" si="2"/>
        <v>78</v>
      </c>
      <c r="AB27" s="450">
        <f t="shared" si="2"/>
        <v>73</v>
      </c>
      <c r="AC27" s="450">
        <f t="shared" si="2"/>
        <v>117</v>
      </c>
      <c r="AD27" s="450">
        <f t="shared" si="2"/>
        <v>105</v>
      </c>
      <c r="AE27" s="450">
        <f t="shared" si="2"/>
        <v>-2497</v>
      </c>
      <c r="AF27" s="450">
        <f t="shared" si="2"/>
        <v>87</v>
      </c>
      <c r="AG27" s="450">
        <f t="shared" si="2"/>
        <v>61</v>
      </c>
      <c r="AH27" s="450">
        <f t="shared" si="2"/>
        <v>68</v>
      </c>
      <c r="AI27" s="450">
        <f t="shared" ref="AI27" si="3">SUM(AI13)</f>
        <v>0</v>
      </c>
    </row>
    <row r="28" spans="2:35">
      <c r="B28" s="1026"/>
      <c r="C28" s="1027"/>
      <c r="D28" s="1027"/>
      <c r="E28" s="1027"/>
      <c r="F28" s="1027"/>
      <c r="G28" s="1027"/>
      <c r="H28" s="1027"/>
      <c r="I28" s="1027"/>
      <c r="J28" s="1027"/>
      <c r="K28" s="1027"/>
      <c r="L28" s="1027"/>
      <c r="M28" s="1027"/>
      <c r="N28" s="1027"/>
      <c r="O28" s="1027"/>
      <c r="P28" s="1027"/>
      <c r="Q28" s="1027"/>
      <c r="R28" s="1027"/>
      <c r="S28" s="1027"/>
      <c r="T28" s="1027"/>
      <c r="U28" s="1027"/>
      <c r="V28" s="1027"/>
      <c r="W28" s="1027"/>
      <c r="X28" s="1027"/>
      <c r="Y28" s="1027"/>
      <c r="Z28" s="1027"/>
      <c r="AA28" s="1027"/>
      <c r="AB28" s="1027"/>
      <c r="AC28" s="1027"/>
      <c r="AD28" s="1027"/>
      <c r="AE28" s="1027"/>
      <c r="AF28" s="1027"/>
      <c r="AG28" s="1027"/>
      <c r="AH28" s="1027"/>
      <c r="AI28" s="1027"/>
    </row>
    <row r="29" spans="2:35">
      <c r="B29" s="1026" t="s">
        <v>84</v>
      </c>
      <c r="C29" s="1027"/>
      <c r="D29" s="1028">
        <f>D9</f>
        <v>40</v>
      </c>
      <c r="E29" s="1028">
        <f t="shared" ref="E29:AH29" si="4">E9</f>
        <v>36</v>
      </c>
      <c r="F29" s="1028">
        <f t="shared" si="4"/>
        <v>71</v>
      </c>
      <c r="G29" s="1028">
        <f t="shared" si="4"/>
        <v>27</v>
      </c>
      <c r="H29" s="1028">
        <f t="shared" si="4"/>
        <v>50</v>
      </c>
      <c r="I29" s="1028">
        <f t="shared" si="4"/>
        <v>73</v>
      </c>
      <c r="J29" s="1028">
        <f t="shared" si="4"/>
        <v>67</v>
      </c>
      <c r="K29" s="1028">
        <f t="shared" si="4"/>
        <v>34</v>
      </c>
      <c r="L29" s="1028">
        <f t="shared" si="4"/>
        <v>24</v>
      </c>
      <c r="M29" s="1028">
        <f t="shared" si="4"/>
        <v>59</v>
      </c>
      <c r="N29" s="1028">
        <f t="shared" si="4"/>
        <v>46</v>
      </c>
      <c r="O29" s="1028">
        <f t="shared" si="4"/>
        <v>36</v>
      </c>
      <c r="P29" s="1028">
        <f t="shared" si="4"/>
        <v>64</v>
      </c>
      <c r="Q29" s="1028">
        <f t="shared" si="4"/>
        <v>68</v>
      </c>
      <c r="R29" s="1028">
        <f t="shared" si="4"/>
        <v>65</v>
      </c>
      <c r="S29" s="1028">
        <f t="shared" si="4"/>
        <v>34</v>
      </c>
      <c r="T29" s="1028">
        <f t="shared" si="4"/>
        <v>72</v>
      </c>
      <c r="U29" s="1028">
        <f t="shared" si="4"/>
        <v>56</v>
      </c>
      <c r="V29" s="1028">
        <f t="shared" si="4"/>
        <v>75</v>
      </c>
      <c r="W29" s="1028">
        <f t="shared" si="4"/>
        <v>82</v>
      </c>
      <c r="X29" s="1028">
        <f t="shared" si="4"/>
        <v>70</v>
      </c>
      <c r="Y29" s="1028">
        <f t="shared" si="4"/>
        <v>58</v>
      </c>
      <c r="Z29" s="1028">
        <f t="shared" si="4"/>
        <v>43</v>
      </c>
      <c r="AA29" s="1028">
        <f t="shared" si="4"/>
        <v>73</v>
      </c>
      <c r="AB29" s="1028">
        <f t="shared" si="4"/>
        <v>70</v>
      </c>
      <c r="AC29" s="1028">
        <f t="shared" si="4"/>
        <v>79</v>
      </c>
      <c r="AD29" s="1028">
        <f t="shared" si="4"/>
        <v>73</v>
      </c>
      <c r="AE29" s="1028">
        <f t="shared" si="4"/>
        <v>-1683</v>
      </c>
      <c r="AF29" s="1028">
        <f t="shared" si="4"/>
        <v>46</v>
      </c>
      <c r="AG29" s="1028">
        <f t="shared" si="4"/>
        <v>38</v>
      </c>
      <c r="AH29" s="1028">
        <f t="shared" si="4"/>
        <v>54</v>
      </c>
      <c r="AI29" s="1027"/>
    </row>
    <row r="30" spans="2:35">
      <c r="B30" s="1026" t="s">
        <v>85</v>
      </c>
      <c r="C30" s="1027"/>
      <c r="D30" s="1028">
        <f>SUM(D10:D11,D14:D15)</f>
        <v>45</v>
      </c>
      <c r="E30" s="1028">
        <f t="shared" ref="E30:AH30" si="5">SUM(E10:E11,E14:E15)</f>
        <v>59</v>
      </c>
      <c r="F30" s="1028">
        <f t="shared" si="5"/>
        <v>47</v>
      </c>
      <c r="G30" s="1028">
        <f t="shared" si="5"/>
        <v>38</v>
      </c>
      <c r="H30" s="1028">
        <f t="shared" si="5"/>
        <v>63</v>
      </c>
      <c r="I30" s="1028">
        <f t="shared" si="5"/>
        <v>76</v>
      </c>
      <c r="J30" s="1028">
        <f t="shared" si="5"/>
        <v>47</v>
      </c>
      <c r="K30" s="1028">
        <f t="shared" si="5"/>
        <v>61</v>
      </c>
      <c r="L30" s="1028">
        <f t="shared" si="5"/>
        <v>33</v>
      </c>
      <c r="M30" s="1028">
        <f t="shared" si="5"/>
        <v>42</v>
      </c>
      <c r="N30" s="1028">
        <f t="shared" si="5"/>
        <v>45</v>
      </c>
      <c r="O30" s="1028">
        <f t="shared" si="5"/>
        <v>85</v>
      </c>
      <c r="P30" s="1028">
        <f t="shared" si="5"/>
        <v>112</v>
      </c>
      <c r="Q30" s="1028">
        <f t="shared" si="5"/>
        <v>60</v>
      </c>
      <c r="R30" s="1028">
        <f t="shared" si="5"/>
        <v>38</v>
      </c>
      <c r="S30" s="1028">
        <f t="shared" si="5"/>
        <v>44</v>
      </c>
      <c r="T30" s="1028">
        <f t="shared" si="5"/>
        <v>43</v>
      </c>
      <c r="U30" s="1028">
        <f t="shared" si="5"/>
        <v>59</v>
      </c>
      <c r="V30" s="1028">
        <f t="shared" si="5"/>
        <v>85</v>
      </c>
      <c r="W30" s="1028">
        <f t="shared" si="5"/>
        <v>131</v>
      </c>
      <c r="X30" s="1028">
        <f t="shared" si="5"/>
        <v>88</v>
      </c>
      <c r="Y30" s="1028">
        <f t="shared" si="5"/>
        <v>72</v>
      </c>
      <c r="Z30" s="1028">
        <f t="shared" si="5"/>
        <v>57</v>
      </c>
      <c r="AA30" s="1028">
        <f t="shared" si="5"/>
        <v>55</v>
      </c>
      <c r="AB30" s="1028">
        <f t="shared" si="5"/>
        <v>73</v>
      </c>
      <c r="AC30" s="1028">
        <f t="shared" si="5"/>
        <v>102</v>
      </c>
      <c r="AD30" s="1028">
        <f t="shared" si="5"/>
        <v>115</v>
      </c>
      <c r="AE30" s="1028">
        <f t="shared" si="5"/>
        <v>-1944</v>
      </c>
      <c r="AF30" s="1028">
        <f t="shared" si="5"/>
        <v>57</v>
      </c>
      <c r="AG30" s="1028">
        <f t="shared" si="5"/>
        <v>67</v>
      </c>
      <c r="AH30" s="1028">
        <f t="shared" si="5"/>
        <v>45</v>
      </c>
      <c r="AI30" s="1027"/>
    </row>
    <row r="31" spans="2:35">
      <c r="B31" s="1026" t="s">
        <v>86</v>
      </c>
      <c r="C31" s="1027"/>
      <c r="D31" s="1027">
        <f>D30/SUM(D29:D30)%</f>
        <v>52.941176470588239</v>
      </c>
      <c r="E31" s="1027">
        <f t="shared" ref="E31:AH31" si="6">E30/SUM(E29:E30)%</f>
        <v>62.10526315789474</v>
      </c>
      <c r="F31" s="1027">
        <f t="shared" si="6"/>
        <v>39.83050847457627</v>
      </c>
      <c r="G31" s="1027">
        <f t="shared" si="6"/>
        <v>58.46153846153846</v>
      </c>
      <c r="H31" s="1027">
        <f t="shared" si="6"/>
        <v>55.752212389380539</v>
      </c>
      <c r="I31" s="1027">
        <f t="shared" si="6"/>
        <v>51.006711409395976</v>
      </c>
      <c r="J31" s="1027">
        <f t="shared" si="6"/>
        <v>41.228070175438603</v>
      </c>
      <c r="K31" s="1027">
        <f t="shared" si="6"/>
        <v>64.21052631578948</v>
      </c>
      <c r="L31" s="1027">
        <f t="shared" si="6"/>
        <v>57.894736842105267</v>
      </c>
      <c r="M31" s="1027">
        <f t="shared" si="6"/>
        <v>41.584158415841586</v>
      </c>
      <c r="N31" s="1027">
        <f t="shared" si="6"/>
        <v>49.450549450549445</v>
      </c>
      <c r="O31" s="1027">
        <f t="shared" si="6"/>
        <v>70.247933884297524</v>
      </c>
      <c r="P31" s="1027">
        <f t="shared" si="6"/>
        <v>63.636363636363633</v>
      </c>
      <c r="Q31" s="1027">
        <f t="shared" si="6"/>
        <v>46.875</v>
      </c>
      <c r="R31" s="1027">
        <f t="shared" si="6"/>
        <v>36.893203883495147</v>
      </c>
      <c r="S31" s="1027">
        <f t="shared" si="6"/>
        <v>56.410256410256409</v>
      </c>
      <c r="T31" s="1027">
        <f t="shared" si="6"/>
        <v>37.391304347826093</v>
      </c>
      <c r="U31" s="1027">
        <f t="shared" si="6"/>
        <v>51.304347826086961</v>
      </c>
      <c r="V31" s="1027">
        <f t="shared" si="6"/>
        <v>53.125</v>
      </c>
      <c r="W31" s="1027">
        <f t="shared" si="6"/>
        <v>61.502347417840376</v>
      </c>
      <c r="X31" s="1027">
        <f t="shared" si="6"/>
        <v>55.696202531645568</v>
      </c>
      <c r="Y31" s="1027">
        <f t="shared" si="6"/>
        <v>55.38461538461538</v>
      </c>
      <c r="Z31" s="1027">
        <f t="shared" si="6"/>
        <v>57</v>
      </c>
      <c r="AA31" s="1027">
        <f t="shared" si="6"/>
        <v>42.96875</v>
      </c>
      <c r="AB31" s="1027">
        <f t="shared" si="6"/>
        <v>51.048951048951054</v>
      </c>
      <c r="AC31" s="1027">
        <f t="shared" si="6"/>
        <v>56.353591160220994</v>
      </c>
      <c r="AD31" s="1027">
        <f t="shared" si="6"/>
        <v>61.170212765957451</v>
      </c>
      <c r="AE31" s="1027">
        <f t="shared" si="6"/>
        <v>53.598014888337467</v>
      </c>
      <c r="AF31" s="1027">
        <f t="shared" si="6"/>
        <v>55.339805825242721</v>
      </c>
      <c r="AG31" s="1027">
        <f t="shared" si="6"/>
        <v>63.80952380952381</v>
      </c>
      <c r="AH31" s="1027">
        <f t="shared" si="6"/>
        <v>45.454545454545453</v>
      </c>
      <c r="AI31" s="1027"/>
    </row>
  </sheetData>
  <mergeCells count="4">
    <mergeCell ref="B9:B11"/>
    <mergeCell ref="B13:B15"/>
    <mergeCell ref="B17:B19"/>
    <mergeCell ref="B21:B23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BA90"/>
  <sheetViews>
    <sheetView topLeftCell="A4" zoomScale="70" zoomScaleNormal="70" workbookViewId="0">
      <pane ySplit="1" topLeftCell="A11" activePane="bottomLeft" state="frozen"/>
      <selection activeCell="A4" sqref="A4"/>
      <selection pane="bottomLeft" activeCell="C5" sqref="C5:C31"/>
    </sheetView>
  </sheetViews>
  <sheetFormatPr defaultRowHeight="15.75"/>
  <cols>
    <col min="1" max="5" width="8.88671875" style="1037"/>
    <col min="6" max="6" width="8.109375" bestFit="1" customWidth="1"/>
    <col min="7" max="7" width="6.44140625" customWidth="1"/>
    <col min="8" max="8" width="7.5546875" bestFit="1" customWidth="1"/>
    <col min="9" max="9" width="7.77734375" bestFit="1" customWidth="1"/>
    <col min="10" max="10" width="8.109375" bestFit="1" customWidth="1"/>
    <col min="11" max="11" width="8.21875" bestFit="1" customWidth="1"/>
    <col min="12" max="13" width="7.109375" customWidth="1"/>
    <col min="14" max="32" width="7.33203125" style="1037" customWidth="1"/>
    <col min="33" max="51" width="7" style="1037" customWidth="1"/>
    <col min="52" max="16384" width="8.88671875" style="1037"/>
  </cols>
  <sheetData>
    <row r="1" spans="1:53" ht="16.5" thickBot="1">
      <c r="F1" s="1037"/>
      <c r="G1" s="1037"/>
      <c r="H1" s="1037"/>
      <c r="I1" s="1037"/>
      <c r="J1" s="1037"/>
      <c r="K1" s="1037"/>
      <c r="L1" s="1037"/>
      <c r="M1" s="1037"/>
    </row>
    <row r="2" spans="1:53">
      <c r="F2" s="1525" t="s">
        <v>345</v>
      </c>
      <c r="G2" s="1519"/>
      <c r="H2" s="1519"/>
      <c r="I2" s="1519"/>
      <c r="J2" s="1519"/>
      <c r="K2" s="1519"/>
      <c r="L2" s="1519"/>
      <c r="M2" s="1520"/>
      <c r="N2" s="1524" t="s">
        <v>87</v>
      </c>
      <c r="O2" s="1524"/>
      <c r="P2" s="1524"/>
      <c r="Q2" s="1524"/>
      <c r="R2" s="1524"/>
      <c r="S2" s="1524"/>
      <c r="T2" s="1524"/>
      <c r="U2" s="1524"/>
      <c r="V2" s="1524"/>
      <c r="W2" s="1524"/>
      <c r="X2" s="1524"/>
      <c r="Y2" s="1524"/>
      <c r="Z2" s="1524"/>
      <c r="AA2" s="1524"/>
      <c r="AB2" s="1524"/>
      <c r="AC2" s="1524"/>
      <c r="AD2" s="1524"/>
      <c r="AE2" s="1524"/>
      <c r="AF2" s="1524"/>
      <c r="AG2" s="1524"/>
      <c r="AH2" s="1524"/>
      <c r="AI2" s="1524"/>
      <c r="AJ2" s="1524"/>
      <c r="AK2" s="1524"/>
      <c r="AL2" s="1524"/>
      <c r="AM2" s="1524"/>
      <c r="AN2" s="1523"/>
      <c r="AO2" s="1523"/>
      <c r="AP2" s="1523"/>
      <c r="AQ2" s="1523"/>
      <c r="AR2" s="1523"/>
      <c r="AS2" s="1523"/>
      <c r="AT2" s="1523"/>
      <c r="AU2" s="1116"/>
      <c r="AV2" s="1522" t="s">
        <v>88</v>
      </c>
      <c r="AW2" s="1522"/>
      <c r="AX2" s="1522"/>
      <c r="AY2" s="1522"/>
    </row>
    <row r="3" spans="1:53">
      <c r="F3" s="1286"/>
      <c r="G3" s="438"/>
      <c r="H3" s="438"/>
      <c r="I3" s="438"/>
      <c r="J3" s="438"/>
      <c r="K3" s="438"/>
      <c r="L3" s="438"/>
      <c r="M3" s="1287"/>
      <c r="N3" s="1285"/>
      <c r="O3" s="1285"/>
      <c r="P3" s="1285"/>
      <c r="Q3" s="1285"/>
      <c r="R3" s="1285"/>
      <c r="S3" s="1285"/>
      <c r="T3" s="1285"/>
      <c r="U3" s="1285"/>
      <c r="V3" s="1285"/>
      <c r="W3" s="1285"/>
      <c r="X3" s="1285"/>
      <c r="Y3" s="1285"/>
      <c r="Z3" s="1285"/>
      <c r="AA3" s="1288"/>
      <c r="AB3" s="1288"/>
      <c r="AC3" s="1288"/>
      <c r="AD3" s="1288"/>
      <c r="AE3" s="1288"/>
      <c r="AF3" s="1288"/>
      <c r="AG3" s="1288"/>
      <c r="AH3" s="1288"/>
      <c r="AI3" s="1288"/>
      <c r="AJ3" s="1288"/>
      <c r="AK3" s="1288"/>
      <c r="AL3" s="1288"/>
      <c r="AM3" s="1285"/>
      <c r="AN3" s="1526" t="s">
        <v>139</v>
      </c>
      <c r="AO3" s="1526"/>
      <c r="AP3" s="1526"/>
      <c r="AQ3" s="1526"/>
      <c r="AR3" s="1526"/>
      <c r="AS3" s="1526"/>
      <c r="AT3" s="1526"/>
      <c r="AU3" s="1527" t="s">
        <v>317</v>
      </c>
      <c r="AV3" s="1527"/>
      <c r="AW3" s="1527"/>
      <c r="AX3" s="1527"/>
      <c r="AY3" s="1527"/>
    </row>
    <row r="4" spans="1:53" ht="34.5" customHeight="1">
      <c r="A4" s="1038"/>
      <c r="B4" s="1378" t="s">
        <v>341</v>
      </c>
      <c r="C4" s="1378" t="s">
        <v>342</v>
      </c>
      <c r="D4" s="1378" t="s">
        <v>344</v>
      </c>
      <c r="E4" s="1378" t="s">
        <v>343</v>
      </c>
      <c r="F4" s="1289" t="s">
        <v>318</v>
      </c>
      <c r="G4" s="1290" t="s">
        <v>319</v>
      </c>
      <c r="H4" s="1290" t="s">
        <v>320</v>
      </c>
      <c r="I4" s="1290" t="s">
        <v>321</v>
      </c>
      <c r="J4" s="1290" t="s">
        <v>316</v>
      </c>
      <c r="K4" s="1290" t="s">
        <v>52</v>
      </c>
      <c r="L4" s="1291" t="s">
        <v>61</v>
      </c>
      <c r="M4" s="1291" t="s">
        <v>54</v>
      </c>
      <c r="N4" s="1038" t="s">
        <v>89</v>
      </c>
      <c r="O4" s="1038" t="s">
        <v>90</v>
      </c>
      <c r="P4" s="1038" t="s">
        <v>105</v>
      </c>
      <c r="Q4" s="1038" t="s">
        <v>322</v>
      </c>
      <c r="R4" s="1038" t="s">
        <v>323</v>
      </c>
      <c r="S4" s="1038" t="s">
        <v>324</v>
      </c>
      <c r="T4" s="1038" t="s">
        <v>325</v>
      </c>
      <c r="U4" s="1038" t="s">
        <v>91</v>
      </c>
      <c r="V4" s="1038" t="s">
        <v>326</v>
      </c>
      <c r="W4" s="1038" t="s">
        <v>327</v>
      </c>
      <c r="X4" s="1038" t="s">
        <v>312</v>
      </c>
      <c r="Y4" s="1038" t="s">
        <v>76</v>
      </c>
      <c r="Z4" s="1038" t="s">
        <v>328</v>
      </c>
      <c r="AA4" s="1039" t="s">
        <v>329</v>
      </c>
      <c r="AB4" s="1039" t="s">
        <v>101</v>
      </c>
      <c r="AC4" s="1039" t="s">
        <v>95</v>
      </c>
      <c r="AD4" s="1039" t="s">
        <v>96</v>
      </c>
      <c r="AE4" s="433" t="s">
        <v>330</v>
      </c>
      <c r="AF4" s="434" t="s">
        <v>98</v>
      </c>
      <c r="AG4" s="434" t="s">
        <v>98</v>
      </c>
      <c r="AH4" s="434" t="s">
        <v>99</v>
      </c>
      <c r="AI4" s="434" t="s">
        <v>311</v>
      </c>
      <c r="AJ4" s="434" t="s">
        <v>101</v>
      </c>
      <c r="AK4" s="434" t="s">
        <v>102</v>
      </c>
      <c r="AL4" s="434" t="s">
        <v>103</v>
      </c>
      <c r="AM4" s="1038" t="s">
        <v>200</v>
      </c>
      <c r="AN4" s="1038" t="s">
        <v>331</v>
      </c>
      <c r="AO4" s="1038" t="s">
        <v>104</v>
      </c>
      <c r="AP4" s="1038" t="s">
        <v>105</v>
      </c>
      <c r="AQ4" s="1038" t="s">
        <v>106</v>
      </c>
      <c r="AR4" s="1038" t="s">
        <v>107</v>
      </c>
      <c r="AS4" s="1038" t="s">
        <v>108</v>
      </c>
      <c r="AT4" s="1038" t="s">
        <v>332</v>
      </c>
      <c r="AU4" s="1038" t="s">
        <v>104</v>
      </c>
      <c r="AV4" s="1038" t="s">
        <v>40</v>
      </c>
      <c r="AW4" s="1038" t="s">
        <v>41</v>
      </c>
      <c r="AX4" s="1038" t="s">
        <v>309</v>
      </c>
      <c r="AY4" s="1038" t="s">
        <v>109</v>
      </c>
    </row>
    <row r="5" spans="1:53">
      <c r="A5" s="1040">
        <v>43983</v>
      </c>
      <c r="B5" s="261">
        <f>'1'!G7</f>
        <v>16562</v>
      </c>
      <c r="C5" s="261">
        <f>'1'!G8</f>
        <v>16655</v>
      </c>
      <c r="D5" s="261">
        <f>'1'!G15</f>
        <v>267</v>
      </c>
      <c r="E5" s="261">
        <f>'1'!G20</f>
        <v>80</v>
      </c>
      <c r="F5" s="261">
        <f>SUM('1'!G35,'1'!G49)</f>
        <v>2344</v>
      </c>
      <c r="G5" s="261">
        <f>SUM('1'!H37,'1'!H51)</f>
        <v>1278</v>
      </c>
      <c r="H5" s="261">
        <f>SUM('1'!G38,'1'!G52)</f>
        <v>1170</v>
      </c>
      <c r="I5" s="261">
        <f>SUM('1'!G39,'1'!G53)</f>
        <v>2546</v>
      </c>
      <c r="J5" s="261">
        <f>SUM('1'!G41,'1'!G42,'1'!G55,'1'!G56)</f>
        <v>5306.5100000000093</v>
      </c>
      <c r="K5" s="261">
        <f>SUM('1'!G43,'1'!G57)</f>
        <v>2272</v>
      </c>
      <c r="L5" s="1041">
        <f>'1'!G50</f>
        <v>814</v>
      </c>
      <c r="M5" s="1041">
        <f>'1'!G36</f>
        <v>446</v>
      </c>
      <c r="N5" s="1041">
        <f>'1'!G72</f>
        <v>14</v>
      </c>
      <c r="O5" s="1041">
        <f>'1'!$G$73</f>
        <v>1</v>
      </c>
      <c r="P5" s="1041">
        <f>'1'!$G$74</f>
        <v>7</v>
      </c>
      <c r="Q5" s="1041">
        <f>'1'!$G$75</f>
        <v>54</v>
      </c>
      <c r="R5" s="1041">
        <f>'1'!$G$76</f>
        <v>57</v>
      </c>
      <c r="S5" s="1041">
        <f>'1'!$G$77</f>
        <v>49</v>
      </c>
      <c r="T5" s="1041">
        <f>'1'!$G$78</f>
        <v>55</v>
      </c>
      <c r="U5" s="1041">
        <f>'1'!$G$79</f>
        <v>155</v>
      </c>
      <c r="V5" s="1041">
        <f>'1'!$G$80</f>
        <v>370</v>
      </c>
      <c r="W5" s="1041">
        <f>'1'!$G$81</f>
        <v>94</v>
      </c>
      <c r="X5" s="1041">
        <f>'1'!$G$82</f>
        <v>11</v>
      </c>
      <c r="Y5" s="1041">
        <f>'1'!$G$58</f>
        <v>0</v>
      </c>
      <c r="Z5" s="1041">
        <f>'1'!$G$83</f>
        <v>152</v>
      </c>
      <c r="AA5" s="1041">
        <f>'1'!G86</f>
        <v>34</v>
      </c>
      <c r="AB5" s="1041">
        <f>'1'!G87</f>
        <v>21</v>
      </c>
      <c r="AC5" s="1041">
        <f>'1'!G88</f>
        <v>27</v>
      </c>
      <c r="AD5" s="1041">
        <f>'1'!G89+'1'!G90</f>
        <v>10.500000000001364</v>
      </c>
      <c r="AE5" s="1041">
        <f>'1'!$G$62</f>
        <v>0</v>
      </c>
      <c r="AF5" s="1041">
        <f>'1'!$G$63</f>
        <v>0</v>
      </c>
      <c r="AG5" s="1041">
        <f>'1'!$G$64</f>
        <v>196</v>
      </c>
      <c r="AH5" s="1041">
        <f>'1'!$G$65</f>
        <v>239</v>
      </c>
      <c r="AI5" s="1041">
        <f>'1'!$G$66</f>
        <v>216</v>
      </c>
      <c r="AJ5" s="1041">
        <f>'1'!$G$67</f>
        <v>310</v>
      </c>
      <c r="AK5" s="1041">
        <f>'1'!$G$68</f>
        <v>0</v>
      </c>
      <c r="AL5" s="1041">
        <f>'1'!$G$69</f>
        <v>104</v>
      </c>
      <c r="AM5" s="1041">
        <f>'1'!$G$84</f>
        <v>827</v>
      </c>
      <c r="AN5" s="1041">
        <f>'1'!$G$15</f>
        <v>267</v>
      </c>
      <c r="AO5" s="1041">
        <f>'1'!$G$124</f>
        <v>175</v>
      </c>
      <c r="AP5" s="1041">
        <f>'1'!$G$125</f>
        <v>0</v>
      </c>
      <c r="AQ5" s="1041">
        <f>'1'!$G$126</f>
        <v>52</v>
      </c>
      <c r="AR5" s="1041">
        <f>'1'!$G$127</f>
        <v>0</v>
      </c>
      <c r="AS5" s="1041">
        <f>'1'!$G$128</f>
        <v>0</v>
      </c>
      <c r="AT5" s="1041">
        <f>AN5-SUM(AO5:AS5)</f>
        <v>40</v>
      </c>
      <c r="AU5" s="1041">
        <f>SUM('1'!G140:G141)</f>
        <v>6.8199999999999363</v>
      </c>
      <c r="AV5" s="1041">
        <f>'1'!$G$137</f>
        <v>0</v>
      </c>
      <c r="AW5" s="1041">
        <f>'1'!$G$138</f>
        <v>0</v>
      </c>
      <c r="AX5" s="1041">
        <f>'1'!$G$139</f>
        <v>0</v>
      </c>
      <c r="AY5" s="1038">
        <f>SUM(AV5:AX5)</f>
        <v>0</v>
      </c>
      <c r="AZ5" s="1037">
        <f>AO5/AU5</f>
        <v>25.659824046921059</v>
      </c>
    </row>
    <row r="6" spans="1:53">
      <c r="A6" s="1040">
        <v>43984</v>
      </c>
      <c r="B6" s="261">
        <f>'2'!G7</f>
        <v>16547.630000000005</v>
      </c>
      <c r="C6" s="261">
        <f>'2'!G8</f>
        <v>16620.270000000019</v>
      </c>
      <c r="D6" s="261">
        <f>'2'!G15</f>
        <v>436.69999999995343</v>
      </c>
      <c r="E6" s="261">
        <f>'2'!G20</f>
        <v>112</v>
      </c>
      <c r="F6" s="261">
        <f>SUM('2'!G35,'2'!G49)</f>
        <v>2408.1199999999953</v>
      </c>
      <c r="G6" s="261">
        <f>SUM('2'!G37,'2'!G51)</f>
        <v>1249.570000000007</v>
      </c>
      <c r="H6" s="261">
        <f>SUM('2'!G38,'2'!G52)</f>
        <v>1246.6900000000023</v>
      </c>
      <c r="I6" s="261">
        <f>SUM('2'!G39,'2'!G53)</f>
        <v>2516.5599999999977</v>
      </c>
      <c r="J6" s="261">
        <f>SUM('2'!G41,'2'!G42,'2'!G55,'2'!G56)</f>
        <v>4924.3699999999371</v>
      </c>
      <c r="K6" s="261">
        <f>SUM('2'!G43,'2'!G57)</f>
        <v>2270.4000000000233</v>
      </c>
      <c r="L6" s="1041">
        <f>'2'!G50</f>
        <v>854.71000000002095</v>
      </c>
      <c r="M6" s="1041">
        <f>'2'!G36</f>
        <v>488.12300000000005</v>
      </c>
      <c r="N6" s="1041">
        <f>'2'!G72</f>
        <v>13</v>
      </c>
      <c r="O6" s="1041">
        <f>'2'!$G$73</f>
        <v>1</v>
      </c>
      <c r="P6" s="1041">
        <f>'2'!$G$74</f>
        <v>6.9600000000000364</v>
      </c>
      <c r="Q6" s="1041">
        <f>'2'!$G$75</f>
        <v>60.059999999999491</v>
      </c>
      <c r="R6" s="1041">
        <f>'2'!$G$76</f>
        <v>55.430000000000291</v>
      </c>
      <c r="S6" s="1041">
        <f>'2'!$G$77</f>
        <v>48</v>
      </c>
      <c r="T6" s="1041">
        <f>'2'!$G$78</f>
        <v>53</v>
      </c>
      <c r="U6" s="1041">
        <f>'2'!$G$79</f>
        <v>166</v>
      </c>
      <c r="V6" s="1041">
        <f>'2'!$G$80</f>
        <v>368.23999999999069</v>
      </c>
      <c r="W6" s="1032">
        <f>'2'!$G$81</f>
        <v>90.040000000037253</v>
      </c>
      <c r="X6" s="1032">
        <f>'2'!$G$82</f>
        <v>23.729999999995925</v>
      </c>
      <c r="Y6" s="1032">
        <f>'2'!$G$58</f>
        <v>104</v>
      </c>
      <c r="Z6" s="1032">
        <f>'2'!$G$83</f>
        <v>147</v>
      </c>
      <c r="AA6" s="1032">
        <f>'2'!G86</f>
        <v>32.799999999988358</v>
      </c>
      <c r="AB6" s="1041">
        <f>'2'!G87</f>
        <v>19.80000000000291</v>
      </c>
      <c r="AC6" s="1041">
        <f>'2'!G88</f>
        <v>23.829999999987194</v>
      </c>
      <c r="AD6" s="1041">
        <f>'2'!G89+'2'!G90</f>
        <v>11.5</v>
      </c>
      <c r="AE6" s="1041">
        <f>'2'!$G$62</f>
        <v>0</v>
      </c>
      <c r="AF6" s="1041">
        <f>'2'!$G$63</f>
        <v>0</v>
      </c>
      <c r="AG6" s="1041">
        <f>'2'!$G$64</f>
        <v>183.88000000000466</v>
      </c>
      <c r="AH6" s="1041">
        <f>'2'!$G$65</f>
        <v>219.67999999999302</v>
      </c>
      <c r="AI6" s="1041">
        <f>'2'!$G$66</f>
        <v>223.12999999999738</v>
      </c>
      <c r="AJ6" s="1041">
        <f>'2'!$G$67</f>
        <v>367.60999999998603</v>
      </c>
      <c r="AK6" s="1041">
        <f>'2'!$G$68</f>
        <v>0</v>
      </c>
      <c r="AL6" s="1041">
        <f>'2'!$G$69</f>
        <v>89.25</v>
      </c>
      <c r="AM6" s="1041">
        <f>'2'!$G$84</f>
        <v>821</v>
      </c>
      <c r="AN6" s="1041">
        <f>'2'!$G$15</f>
        <v>436.69999999995343</v>
      </c>
      <c r="AO6" s="1041">
        <f>'2'!$G$124</f>
        <v>170.84999999997672</v>
      </c>
      <c r="AP6" s="1041">
        <f>'2'!$G$125</f>
        <v>0</v>
      </c>
      <c r="AQ6" s="1041">
        <f>'2'!$G$126</f>
        <v>63.329999999987194</v>
      </c>
      <c r="AR6" s="1041">
        <f>'2'!$G$127</f>
        <v>0.2000000000007276</v>
      </c>
      <c r="AS6" s="1041">
        <f>'2'!$G$128</f>
        <v>-0.2999999999992724</v>
      </c>
      <c r="AT6" s="1041">
        <f t="shared" ref="AT6:AT34" si="0">AN6-SUM(AO6:AS6)</f>
        <v>202.61999999998807</v>
      </c>
      <c r="AU6" s="1041">
        <f>SUM('2'!G140:G141)</f>
        <v>6.5200000000004366</v>
      </c>
      <c r="AV6" s="1041">
        <f>'2'!$G$137</f>
        <v>3.9999999997235136E-2</v>
      </c>
      <c r="AW6" s="1041">
        <f>'2'!$G$138</f>
        <v>0</v>
      </c>
      <c r="AX6" s="1041">
        <f>'2'!$G$139</f>
        <v>10.149999999994179</v>
      </c>
      <c r="AY6" s="1038">
        <f t="shared" ref="AY6:AY34" si="1">SUM(AV6:AX6)</f>
        <v>10.189999999991414</v>
      </c>
      <c r="AZ6" s="1037">
        <f t="shared" ref="AZ6:AZ9" si="2">AO6/AU6</f>
        <v>26.203987730056024</v>
      </c>
    </row>
    <row r="7" spans="1:53" s="1043" customFormat="1">
      <c r="A7" s="1040">
        <v>43985</v>
      </c>
      <c r="B7" s="261">
        <f>'3'!G7</f>
        <v>16075.239999999991</v>
      </c>
      <c r="C7" s="261">
        <f>'3'!G8</f>
        <v>16135.809999999998</v>
      </c>
      <c r="D7" s="261">
        <f>'3'!G15</f>
        <v>615.80400000000373</v>
      </c>
      <c r="E7" s="261">
        <f>'3'!G20</f>
        <v>143</v>
      </c>
      <c r="F7" s="261">
        <f>SUM('3'!G35,'3'!G49)</f>
        <v>2425.1999999999534</v>
      </c>
      <c r="G7" s="261">
        <f>SUM('3'!G37,'3'!G51)</f>
        <v>1251.0499999999884</v>
      </c>
      <c r="H7" s="261">
        <f>SUM('3'!G38,'3'!G52)</f>
        <v>1277.8999999999942</v>
      </c>
      <c r="I7" s="261">
        <f>SUM('3'!G39,'3'!G53)</f>
        <v>2426.5199999999604</v>
      </c>
      <c r="J7" s="261">
        <f>SUM('3'!G41,'3'!G42,'3'!G55,'3'!G56)</f>
        <v>4328.2400000001071</v>
      </c>
      <c r="K7" s="261">
        <f>SUM('3'!G43,'3'!G57)</f>
        <v>2314.2999999999302</v>
      </c>
      <c r="L7" s="1032">
        <f>'3'!G50</f>
        <v>869.23999999999069</v>
      </c>
      <c r="M7" s="1032">
        <f>'3'!G36</f>
        <v>475.35699999999997</v>
      </c>
      <c r="N7" s="1032">
        <f>'3'!G72</f>
        <v>14</v>
      </c>
      <c r="O7" s="1032">
        <f>'3'!$G$73</f>
        <v>2</v>
      </c>
      <c r="P7" s="1032">
        <f>'3'!$G$74</f>
        <v>0</v>
      </c>
      <c r="Q7" s="1032">
        <f>'3'!$G$75</f>
        <v>49.940000000000509</v>
      </c>
      <c r="R7" s="1032">
        <f>'3'!$G$76</f>
        <v>57.199999999999818</v>
      </c>
      <c r="S7" s="1032">
        <f>'3'!$G$77</f>
        <v>46</v>
      </c>
      <c r="T7" s="1032">
        <f>'3'!$G$78</f>
        <v>47</v>
      </c>
      <c r="U7" s="1032">
        <f>'3'!$G$79</f>
        <v>153</v>
      </c>
      <c r="V7" s="1032">
        <f>'3'!$G$80</f>
        <v>401.40000000002328</v>
      </c>
      <c r="W7" s="1032">
        <f>'3'!$G$81</f>
        <v>93.199999999953434</v>
      </c>
      <c r="X7" s="1032">
        <f>'3'!$G$82</f>
        <v>11.120000000009895</v>
      </c>
      <c r="Y7" s="1032">
        <f>'3'!$G$58</f>
        <v>232.05999999999767</v>
      </c>
      <c r="Z7" s="1032">
        <f>'3'!$G$83</f>
        <v>218</v>
      </c>
      <c r="AA7" s="1041">
        <f>'3'!G86</f>
        <v>33.919999999983702</v>
      </c>
      <c r="AB7" s="1041">
        <f>'1'!G87</f>
        <v>21</v>
      </c>
      <c r="AC7" s="1041">
        <f>'3'!G88</f>
        <v>24.660000000003492</v>
      </c>
      <c r="AD7" s="1041">
        <f>'3'!G89+'3'!G90</f>
        <v>11.400000000001455</v>
      </c>
      <c r="AE7" s="1032">
        <f>'3'!$G$62</f>
        <v>0</v>
      </c>
      <c r="AF7" s="1032">
        <f>'3'!$G$63</f>
        <v>0</v>
      </c>
      <c r="AG7" s="1032">
        <f>'3'!$G$64</f>
        <v>181.19000000000233</v>
      </c>
      <c r="AH7" s="1032">
        <f>'3'!$G$65</f>
        <v>177.63000000000466</v>
      </c>
      <c r="AI7" s="1032">
        <f>'3'!$G$66</f>
        <v>246.58000000000175</v>
      </c>
      <c r="AJ7" s="782">
        <f>'3'!$G$67</f>
        <v>308.92000000001281</v>
      </c>
      <c r="AK7" s="782">
        <f>'3'!$G$68</f>
        <v>0</v>
      </c>
      <c r="AL7" s="1032">
        <f>'3'!$G$69</f>
        <v>87.179999999993015</v>
      </c>
      <c r="AM7" s="1032">
        <f>'3'!$G$84</f>
        <v>756</v>
      </c>
      <c r="AN7" s="1032">
        <f>'3'!$G$15</f>
        <v>615.80400000000373</v>
      </c>
      <c r="AO7" s="1032">
        <f>'3'!$G$124</f>
        <v>178.45000000006985</v>
      </c>
      <c r="AP7" s="1032">
        <f>'3'!$G$125</f>
        <v>0</v>
      </c>
      <c r="AQ7" s="1032">
        <f>'3'!$G$126</f>
        <v>62.690000000002328</v>
      </c>
      <c r="AR7" s="1032">
        <f>'3'!$G$127</f>
        <v>0</v>
      </c>
      <c r="AS7" s="1032">
        <f>'3'!$G$128</f>
        <v>0</v>
      </c>
      <c r="AT7" s="1032">
        <f t="shared" si="0"/>
        <v>374.66399999993155</v>
      </c>
      <c r="AU7" s="1041">
        <f>SUM('3'!G140:G141)</f>
        <v>6.8099999999997181</v>
      </c>
      <c r="AV7" s="1032">
        <f>'3'!$G$137</f>
        <v>7</v>
      </c>
      <c r="AW7" s="1032">
        <f>'3'!$G$138</f>
        <v>-0.2999999999992724</v>
      </c>
      <c r="AX7" s="1032">
        <f>'3'!$G$139</f>
        <v>2.3500000000058208</v>
      </c>
      <c r="AY7" s="1042">
        <f t="shared" si="1"/>
        <v>9.0500000000065484</v>
      </c>
      <c r="AZ7" s="1037">
        <f t="shared" si="2"/>
        <v>26.204111600598715</v>
      </c>
    </row>
    <row r="8" spans="1:53">
      <c r="A8" s="1040">
        <v>43986</v>
      </c>
      <c r="B8" s="261">
        <f>'4'!G7</f>
        <v>16418.200000000012</v>
      </c>
      <c r="C8" s="261">
        <f>'4'!G8</f>
        <v>16478.789999999979</v>
      </c>
      <c r="D8" s="261">
        <f>'4'!G15</f>
        <v>302.90400000009686</v>
      </c>
      <c r="E8" s="261">
        <f>'4'!G20</f>
        <v>101</v>
      </c>
      <c r="F8" s="261">
        <f>SUM('4'!G35,'4'!G49)</f>
        <v>2421.5200000000186</v>
      </c>
      <c r="G8" s="261">
        <f>SUM('4'!G37,'4'!G51)</f>
        <v>1305.7000000000116</v>
      </c>
      <c r="H8" s="261">
        <f>SUM('4'!G38,'4'!G52)</f>
        <v>1089.3699999999953</v>
      </c>
      <c r="I8" s="261">
        <f>SUM('4'!G39,'4'!G53)</f>
        <v>2762.9400000000023</v>
      </c>
      <c r="J8" s="261">
        <f>SUM('4'!G41,'4'!G42,'4'!G55,'4'!G56)</f>
        <v>4466.5599999999395</v>
      </c>
      <c r="K8" s="261">
        <f>SUM('4'!G43,'4'!G57)</f>
        <v>2358.8000000000466</v>
      </c>
      <c r="L8" s="1041">
        <f>'4'!G50</f>
        <v>1026.2000000000116</v>
      </c>
      <c r="M8" s="1041">
        <f>'4'!G36</f>
        <v>520.79</v>
      </c>
      <c r="N8" s="1041">
        <f>'4'!G72</f>
        <v>12</v>
      </c>
      <c r="O8" s="1041">
        <f>'4'!$G$73</f>
        <v>0</v>
      </c>
      <c r="P8" s="1041">
        <f>'4'!$G$74</f>
        <v>0</v>
      </c>
      <c r="Q8" s="1041">
        <f>'4'!$G$74</f>
        <v>0</v>
      </c>
      <c r="R8" s="1041">
        <f>'4'!$G$76</f>
        <v>62.019999999999527</v>
      </c>
      <c r="S8" s="1041">
        <f>'4'!$G$77</f>
        <v>49</v>
      </c>
      <c r="T8" s="1041">
        <f>'4'!$G$78</f>
        <v>93</v>
      </c>
      <c r="U8" s="1041">
        <f>'4'!$G$79</f>
        <v>151</v>
      </c>
      <c r="V8" s="1032">
        <f>'4'!$G$80</f>
        <v>343.6600000000326</v>
      </c>
      <c r="W8" s="1032">
        <f>'4'!$G$81</f>
        <v>86.599999999976717</v>
      </c>
      <c r="X8" s="1041">
        <f>'4'!$G$82</f>
        <v>10.059999999997672</v>
      </c>
      <c r="Y8" s="1041">
        <f>'4'!$G$58</f>
        <v>3</v>
      </c>
      <c r="Z8" s="1041">
        <f>'4'!$G$83</f>
        <v>163</v>
      </c>
      <c r="AA8" s="1041">
        <f>'4'!G86</f>
        <v>28.540000000037253</v>
      </c>
      <c r="AB8" s="1041">
        <f>'4'!G87</f>
        <v>17.80000000000291</v>
      </c>
      <c r="AC8" s="1041">
        <f>'4'!G88</f>
        <v>74.770000000018626</v>
      </c>
      <c r="AD8" s="1041">
        <f>'4'!G89+'4'!G90</f>
        <v>10.100000000000364</v>
      </c>
      <c r="AE8" s="1041">
        <f>'4'!$G$62</f>
        <v>0</v>
      </c>
      <c r="AF8" s="1041">
        <f>'4'!$G$63</f>
        <v>0</v>
      </c>
      <c r="AG8" s="1041">
        <f>'4'!$G$64</f>
        <v>197.36999999999534</v>
      </c>
      <c r="AH8" s="1041">
        <f>'4'!$G$65</f>
        <v>184.45999999999185</v>
      </c>
      <c r="AI8" s="1041">
        <f>'4'!$G$66</f>
        <v>319.11000000000058</v>
      </c>
      <c r="AJ8" s="1041">
        <f>'4'!$G$67</f>
        <v>438.05999999999767</v>
      </c>
      <c r="AK8" s="1041">
        <f>'4'!$G$68</f>
        <v>0</v>
      </c>
      <c r="AL8" s="1041">
        <f>'4'!$G$69</f>
        <v>92.5</v>
      </c>
      <c r="AM8" s="1041">
        <f>'4'!$G$84</f>
        <v>790</v>
      </c>
      <c r="AN8" s="1041">
        <f>'4'!$G$15</f>
        <v>302.90400000009686</v>
      </c>
      <c r="AO8" s="1041">
        <f>'4'!$G$124</f>
        <v>179.52999999991152</v>
      </c>
      <c r="AP8" s="1041">
        <f>'4'!$G$125</f>
        <v>-0.39999999999417923</v>
      </c>
      <c r="AQ8" s="1041">
        <f>'4'!$G$126</f>
        <v>68.400000000023283</v>
      </c>
      <c r="AR8" s="1041">
        <f>'4'!$G$127</f>
        <v>0</v>
      </c>
      <c r="AS8" s="1041">
        <f>'4'!$G$128</f>
        <v>0</v>
      </c>
      <c r="AT8" s="1041">
        <f t="shared" si="0"/>
        <v>55.374000000156229</v>
      </c>
      <c r="AU8" s="1041">
        <f>SUM('4'!G140:G141)</f>
        <v>7.0399999999999636</v>
      </c>
      <c r="AV8" s="1041">
        <f>'4'!$G$137</f>
        <v>-7.9999999998108251E-2</v>
      </c>
      <c r="AW8" s="1041">
        <f>'4'!$G$138</f>
        <v>0.2999999999992724</v>
      </c>
      <c r="AX8" s="1041">
        <f>'4'!$G$139</f>
        <v>0</v>
      </c>
      <c r="AY8" s="1038">
        <f t="shared" si="1"/>
        <v>0.22000000000116415</v>
      </c>
      <c r="AZ8" s="1037">
        <f t="shared" si="2"/>
        <v>25.501420454533019</v>
      </c>
    </row>
    <row r="9" spans="1:53">
      <c r="A9" s="1040">
        <v>43987</v>
      </c>
      <c r="B9" s="261">
        <f>'5'!G7</f>
        <v>20003.640000000014</v>
      </c>
      <c r="C9" s="261">
        <f>'5'!G8</f>
        <v>20105.280000000028</v>
      </c>
      <c r="D9" s="261">
        <f>'5'!G15</f>
        <v>453.90200000000186</v>
      </c>
      <c r="E9" s="261">
        <f>'5'!G20</f>
        <v>102</v>
      </c>
      <c r="F9" s="261">
        <f>SUM('5'!G35,'5'!G49)</f>
        <v>2427.4400000000605</v>
      </c>
      <c r="G9" s="261">
        <f>SUM('5'!G37,'5'!G51)</f>
        <v>1382.5499999999884</v>
      </c>
      <c r="H9" s="261">
        <f>SUM('5'!G38,'5'!G52)</f>
        <v>1403.7799999999697</v>
      </c>
      <c r="I9" s="261">
        <f>SUM('5'!G39,'5'!G53)</f>
        <v>3287.4400000000023</v>
      </c>
      <c r="J9" s="261">
        <f>SUM('5'!G41,'5'!G42,'5'!G55,'5'!G56)</f>
        <v>5836.539999999979</v>
      </c>
      <c r="K9" s="261">
        <f>SUM('5'!G43,'5'!G57)</f>
        <v>2676.1999999999534</v>
      </c>
      <c r="L9" s="1041">
        <f>'5'!G50</f>
        <v>1410.5199999999604</v>
      </c>
      <c r="M9" s="1041">
        <f>'5'!G36</f>
        <v>927.5</v>
      </c>
      <c r="N9" s="1041">
        <f>'5'!G72</f>
        <v>13</v>
      </c>
      <c r="O9" s="1041">
        <f>'5'!$G$73</f>
        <v>2</v>
      </c>
      <c r="P9" s="1041">
        <f>'5'!$G$74</f>
        <v>0</v>
      </c>
      <c r="Q9" s="1052">
        <f>'5'!$G$75</f>
        <v>70.729999999999563</v>
      </c>
      <c r="R9" s="1041">
        <f>'5'!$G$76</f>
        <v>66.070000000000618</v>
      </c>
      <c r="S9" s="1032">
        <f>'5'!$G$77</f>
        <v>51</v>
      </c>
      <c r="T9" s="1051">
        <f>'5'!$G$78</f>
        <v>131</v>
      </c>
      <c r="U9" s="1051">
        <f>'5'!$G$79</f>
        <v>145</v>
      </c>
      <c r="V9" s="1044">
        <f>'5'!$G$80</f>
        <v>448.26000000000931</v>
      </c>
      <c r="W9" s="1051">
        <f>'5'!$G$81</f>
        <v>90.400000000023283</v>
      </c>
      <c r="X9" s="1041">
        <f>'5'!$G$82</f>
        <v>27.129999999990105</v>
      </c>
      <c r="Y9" s="1041">
        <f>'5'!$G$58</f>
        <v>107.81000000000495</v>
      </c>
      <c r="Z9" s="1041">
        <f>'5'!$G$83</f>
        <v>270</v>
      </c>
      <c r="AA9" s="1051">
        <f>'5'!G86</f>
        <v>31.459999999962747</v>
      </c>
      <c r="AB9" s="1041">
        <f>'5'!G87</f>
        <v>15</v>
      </c>
      <c r="AC9" s="1041">
        <f>'5'!G88</f>
        <v>27.269999999989523</v>
      </c>
      <c r="AD9" s="1041">
        <f>'5'!G89+'5'!G90</f>
        <v>18</v>
      </c>
      <c r="AE9" s="1041">
        <f>'5'!$G$62</f>
        <v>0</v>
      </c>
      <c r="AF9" s="1041">
        <f>'5'!$G$63</f>
        <v>0</v>
      </c>
      <c r="AG9" s="1041">
        <f>'5'!$G$64</f>
        <v>255.30999999999767</v>
      </c>
      <c r="AH9" s="1041">
        <f>'5'!$G$65</f>
        <v>343.46000000002095</v>
      </c>
      <c r="AI9" s="1041">
        <f>'5'!$G$66</f>
        <v>397.37000000000262</v>
      </c>
      <c r="AJ9" s="1041">
        <f>'5'!$G$67</f>
        <v>487.05999999999767</v>
      </c>
      <c r="AK9" s="1041">
        <f>'5'!$G$68</f>
        <v>0</v>
      </c>
      <c r="AL9" s="1041">
        <f>'5'!$G$69</f>
        <v>128.05000000000291</v>
      </c>
      <c r="AM9" s="1041">
        <f>'5'!$G$84</f>
        <v>877</v>
      </c>
      <c r="AN9" s="1051">
        <f>'5'!$G$15</f>
        <v>453.90200000000186</v>
      </c>
      <c r="AO9" s="1041">
        <f>'5'!$G$124</f>
        <v>181.65000000002328</v>
      </c>
      <c r="AP9" s="1041">
        <f>'5'!$G$125</f>
        <v>0</v>
      </c>
      <c r="AQ9" s="1041">
        <f>'5'!$G$126</f>
        <v>61.129999999975553</v>
      </c>
      <c r="AR9" s="1041">
        <f>'5'!$G$127</f>
        <v>2.8999999999978172</v>
      </c>
      <c r="AS9" s="1041">
        <f>'5'!$G$128</f>
        <v>0.19999999999890861</v>
      </c>
      <c r="AT9" s="1041">
        <f t="shared" si="0"/>
        <v>208.0220000000063</v>
      </c>
      <c r="AU9" s="1041">
        <f>SUM('5'!G140:G141)</f>
        <v>7.0999999999999091</v>
      </c>
      <c r="AV9" s="1041">
        <f>'5'!$G$137</f>
        <v>7.9999999998108251E-2</v>
      </c>
      <c r="AW9" s="1041">
        <f>'5'!$G$138</f>
        <v>0</v>
      </c>
      <c r="AX9" s="1041">
        <f>'5'!$G$139</f>
        <v>11.229999999995925</v>
      </c>
      <c r="AY9" s="1038">
        <f t="shared" si="1"/>
        <v>11.309999999994034</v>
      </c>
      <c r="AZ9" s="1037">
        <f t="shared" si="2"/>
        <v>25.58450704225713</v>
      </c>
    </row>
    <row r="10" spans="1:53">
      <c r="A10" s="1040">
        <v>43988</v>
      </c>
      <c r="B10" s="261">
        <f>'6'!G7</f>
        <v>18334.27999999997</v>
      </c>
      <c r="C10" s="261">
        <f>'6'!G8</f>
        <v>18422.639999999956</v>
      </c>
      <c r="D10" s="261">
        <f>'6'!G15</f>
        <v>556.86999999987893</v>
      </c>
      <c r="E10" s="261">
        <f>'6'!G20</f>
        <v>175</v>
      </c>
      <c r="F10" s="261">
        <f>SUM('6'!G35,'6'!G49)</f>
        <v>2676.4000000000233</v>
      </c>
      <c r="G10" s="261">
        <f>SUM('6'!G37,'6'!G51)</f>
        <v>1373</v>
      </c>
      <c r="H10" s="261">
        <f>SUM('6'!G38,'6'!G52)</f>
        <v>1420.2099999999919</v>
      </c>
      <c r="I10" s="261">
        <f>SUM('6'!G39,'6'!G53)</f>
        <v>3169.640000000014</v>
      </c>
      <c r="J10" s="261">
        <f>SUM('6'!G41,'6'!G42,'6'!G55,'6'!G56)</f>
        <v>5049.8000000000466</v>
      </c>
      <c r="K10" s="261">
        <f>SUM('6'!G43,'6'!G57)</f>
        <v>2410.1000000000931</v>
      </c>
      <c r="L10" s="1041">
        <f>'6'!G50</f>
        <v>1017.0400000000373</v>
      </c>
      <c r="M10" s="1041">
        <f>'6'!G36</f>
        <v>502.36000000000013</v>
      </c>
      <c r="N10" s="1041">
        <f>'6'!G72</f>
        <v>13</v>
      </c>
      <c r="O10" s="1041">
        <f>'6'!$G$73</f>
        <v>1</v>
      </c>
      <c r="P10" s="1041">
        <f>'6'!$G$74</f>
        <v>0</v>
      </c>
      <c r="Q10" s="1041">
        <f>'6'!$G$75</f>
        <v>81.81000000000131</v>
      </c>
      <c r="R10" s="1041">
        <f>'6'!$G$76</f>
        <v>59.739999999999782</v>
      </c>
      <c r="S10" s="1041">
        <f>'6'!$G$77</f>
        <v>54</v>
      </c>
      <c r="T10" s="1032">
        <f>'6'!$G$78</f>
        <v>135</v>
      </c>
      <c r="U10" s="1032">
        <f>'6'!$G$79</f>
        <v>166</v>
      </c>
      <c r="V10" s="1032">
        <f>'6'!$G$80</f>
        <v>421.47999999998137</v>
      </c>
      <c r="W10" s="1032">
        <f>'6'!$G$81</f>
        <v>91.07999999995809</v>
      </c>
      <c r="X10" s="1032">
        <f>'6'!$G$82</f>
        <v>11.840000000011059</v>
      </c>
      <c r="Y10" s="1032">
        <f>'6'!$G$58</f>
        <v>161.5199999999968</v>
      </c>
      <c r="Z10" s="1032">
        <f>'6'!$G$83</f>
        <v>300</v>
      </c>
      <c r="AA10" s="1032">
        <f>'6'!G86</f>
        <v>30.92000000004191</v>
      </c>
      <c r="AB10" s="1032">
        <f>'6'!G87</f>
        <v>11</v>
      </c>
      <c r="AC10" s="1032">
        <f>'6'!G88</f>
        <v>115.45999999999185</v>
      </c>
      <c r="AD10" s="1032">
        <f>'6'!G89+'6'!G90</f>
        <v>16.900000000001455</v>
      </c>
      <c r="AE10" s="1041">
        <f>'6'!$G$62</f>
        <v>0</v>
      </c>
      <c r="AF10" s="1041">
        <f>'6'!$G$63</f>
        <v>0</v>
      </c>
      <c r="AG10" s="1041">
        <f>'6'!$G$64</f>
        <v>290.86999999999534</v>
      </c>
      <c r="AH10" s="1041">
        <f>'6'!$G$65</f>
        <v>292.22999999998137</v>
      </c>
      <c r="AI10" s="1041">
        <f>'6'!$G$66</f>
        <v>388.47000000000116</v>
      </c>
      <c r="AJ10" s="1041">
        <f>'6'!$G$67</f>
        <v>457.67999999999302</v>
      </c>
      <c r="AK10" s="1041">
        <f>'6'!$G$68</f>
        <v>0</v>
      </c>
      <c r="AL10" s="1041">
        <f>'6'!$G$69</f>
        <v>155.15000000000873</v>
      </c>
      <c r="AM10" s="1041">
        <f>'6'!$G$84</f>
        <v>918</v>
      </c>
      <c r="AN10" s="1041">
        <f>'6'!$G$15</f>
        <v>556.86999999987893</v>
      </c>
      <c r="AO10" s="1079">
        <f>'6'!$G$124</f>
        <v>189.30000000004657</v>
      </c>
      <c r="AP10" s="1041">
        <f>'6'!$G$125</f>
        <v>0.39999999999417923</v>
      </c>
      <c r="AQ10" s="1041">
        <f>'6'!$G$126</f>
        <v>71.570000000006985</v>
      </c>
      <c r="AR10" s="1041">
        <f>'6'!$G$127</f>
        <v>0</v>
      </c>
      <c r="AS10" s="1041">
        <f>'6'!$G$128</f>
        <v>0</v>
      </c>
      <c r="AT10" s="1041">
        <f t="shared" si="0"/>
        <v>295.5999999998312</v>
      </c>
      <c r="AU10" s="1041">
        <f>SUM('6'!G140:G141)</f>
        <v>7.3900000000001</v>
      </c>
      <c r="AV10" s="1041">
        <f>'6'!$G$137</f>
        <v>4.9799999999995634</v>
      </c>
      <c r="AW10" s="1041">
        <f>'6'!$G$138</f>
        <v>0</v>
      </c>
      <c r="AX10" s="1041">
        <f>'6'!$G$139</f>
        <v>0</v>
      </c>
      <c r="AY10" s="1038">
        <f t="shared" si="1"/>
        <v>4.9799999999995634</v>
      </c>
    </row>
    <row r="11" spans="1:53">
      <c r="A11" s="1040">
        <v>43989</v>
      </c>
      <c r="B11" s="261">
        <f>'7'!G7</f>
        <v>17237.040000000037</v>
      </c>
      <c r="C11" s="261">
        <f>'7'!G8</f>
        <v>17315.960000000021</v>
      </c>
      <c r="D11" s="261">
        <f>'7'!G15</f>
        <v>563.6500000001397</v>
      </c>
      <c r="E11" s="261">
        <f>'7'!G20</f>
        <v>122</v>
      </c>
      <c r="F11" s="261">
        <f>SUM('7'!G35,'7'!G49)</f>
        <v>2464.9599999999627</v>
      </c>
      <c r="G11" s="261">
        <f>SUM('7'!G37,'7'!G51)</f>
        <v>1289.6199999999953</v>
      </c>
      <c r="H11" s="261">
        <f>SUM('7'!G38,'7'!G52)</f>
        <v>1221.3999999999942</v>
      </c>
      <c r="I11" s="261">
        <f>SUM('7'!G39,'7'!G53)</f>
        <v>2961.6600000000326</v>
      </c>
      <c r="J11" s="261">
        <f>SUM('7'!G41,'7'!G42,'7'!G55,'7'!G56)</f>
        <v>4822.7399999999616</v>
      </c>
      <c r="K11" s="261">
        <f>SUM('7'!G43,'7'!G57)</f>
        <v>2436.8999999999069</v>
      </c>
      <c r="L11" s="1041">
        <f>'7'!G50</f>
        <v>844.47999999998137</v>
      </c>
      <c r="M11" s="1041">
        <f>'7'!G36</f>
        <v>523.92999999999984</v>
      </c>
      <c r="N11" s="1041">
        <f>'7'!G72</f>
        <v>17</v>
      </c>
      <c r="O11" s="1041">
        <f>'7'!$G$73</f>
        <v>1</v>
      </c>
      <c r="P11" s="1041">
        <f>'7'!$G$74</f>
        <v>0</v>
      </c>
      <c r="Q11" s="1041">
        <f>'7'!$G$75</f>
        <v>77.979999999999563</v>
      </c>
      <c r="R11" s="1041">
        <f>'7'!$G$76</f>
        <v>60.539999999999964</v>
      </c>
      <c r="S11" s="1041">
        <f>'7'!$G$77</f>
        <v>46</v>
      </c>
      <c r="T11" s="1032">
        <f>'7'!$G$78</f>
        <v>99</v>
      </c>
      <c r="U11" s="1032">
        <f>'7'!$G$79</f>
        <v>140</v>
      </c>
      <c r="V11" s="1032">
        <f>'7'!$G$80</f>
        <v>333.95999999996275</v>
      </c>
      <c r="W11" s="1032">
        <f>'7'!$G$81</f>
        <v>90.680000000051223</v>
      </c>
      <c r="X11" s="1032">
        <f>'7'!$G$82</f>
        <v>11.119999999995343</v>
      </c>
      <c r="Y11" s="1032">
        <f>'7'!$G$58</f>
        <v>246.15000000000146</v>
      </c>
      <c r="Z11" s="1044">
        <f>'7'!$G$83</f>
        <v>182</v>
      </c>
      <c r="AA11" s="1067">
        <f>'7'!G86</f>
        <v>27.35999999998603</v>
      </c>
      <c r="AB11" s="1032">
        <f>'7'!G87</f>
        <v>22.5</v>
      </c>
      <c r="AC11" s="1032">
        <f>'7'!G88</f>
        <v>23.010000000009313</v>
      </c>
      <c r="AD11" s="1032">
        <f>'7'!G89+'7'!G90</f>
        <v>35.399999999995543</v>
      </c>
      <c r="AE11" s="1041">
        <f>'7'!$G$62</f>
        <v>0</v>
      </c>
      <c r="AF11" s="1041">
        <f>'7'!$G$63</f>
        <v>0</v>
      </c>
      <c r="AG11" s="1041">
        <f>'7'!$G$64</f>
        <v>363.02000000001863</v>
      </c>
      <c r="AH11" s="1041">
        <f>'7'!$G$65</f>
        <v>212.49000000001979</v>
      </c>
      <c r="AI11" s="1041">
        <f>'7'!$G$66</f>
        <v>386.30999999999767</v>
      </c>
      <c r="AJ11" s="1041">
        <f>'7'!$G$67</f>
        <v>374.34000000002561</v>
      </c>
      <c r="AK11" s="1044">
        <f>'7'!$G$68</f>
        <v>0</v>
      </c>
      <c r="AL11" s="1041">
        <f>'7'!$G$69</f>
        <v>122.19999999999709</v>
      </c>
      <c r="AM11" s="1041">
        <f>'7'!$G$84</f>
        <v>763</v>
      </c>
      <c r="AN11" s="1041">
        <f>'7'!$G$15</f>
        <v>563.6500000001397</v>
      </c>
      <c r="AO11" s="1079">
        <f>'7'!$G$124</f>
        <v>182.21999999997206</v>
      </c>
      <c r="AP11" s="1041">
        <f>'7'!$G$125</f>
        <v>-0.39999999999417923</v>
      </c>
      <c r="AQ11" s="1041">
        <f>'7'!$G$126</f>
        <v>49.880000000004657</v>
      </c>
      <c r="AR11" s="1041">
        <f>'7'!$G$127</f>
        <v>-9.9999999998544808E-2</v>
      </c>
      <c r="AS11" s="1041">
        <f>'7'!$G$128</f>
        <v>0</v>
      </c>
      <c r="AT11" s="1041">
        <f t="shared" si="0"/>
        <v>332.05000000015571</v>
      </c>
      <c r="AU11" s="1041">
        <f>SUM('7'!G140:G141)</f>
        <v>6.5899999999999181</v>
      </c>
      <c r="AV11" s="1041">
        <f>'7'!$G$137</f>
        <v>6.4500000000007276</v>
      </c>
      <c r="AW11" s="1041">
        <f>'7'!$G$138</f>
        <v>0</v>
      </c>
      <c r="AX11" s="1041">
        <f>'7'!$G$139</f>
        <v>1.7099999999918509</v>
      </c>
      <c r="AY11" s="1038">
        <f t="shared" si="1"/>
        <v>8.1599999999925785</v>
      </c>
    </row>
    <row r="12" spans="1:53">
      <c r="A12" s="1040">
        <v>43990</v>
      </c>
      <c r="B12" s="261">
        <f>'8'!G7</f>
        <v>17225.719999999972</v>
      </c>
      <c r="C12" s="261">
        <f>'8'!G8</f>
        <v>17288.559999999998</v>
      </c>
      <c r="D12" s="261">
        <f>'8'!G15</f>
        <v>406.11999999987893</v>
      </c>
      <c r="E12" s="261">
        <f>'8'!G20</f>
        <v>159</v>
      </c>
      <c r="F12" s="261">
        <f>SUM('8'!G35,'8'!G49)</f>
        <v>2459.6799999999348</v>
      </c>
      <c r="G12" s="261">
        <f>SUM('8'!G37,'8'!G51)</f>
        <v>1347.640000000014</v>
      </c>
      <c r="H12" s="261">
        <f>SUM('8'!G38,'8'!G52)</f>
        <v>1148.8699999999953</v>
      </c>
      <c r="I12" s="261">
        <f>SUM('8'!G39,'8'!G53)</f>
        <v>2920.1999999999534</v>
      </c>
      <c r="J12" s="261">
        <f>SUM('8'!G41,'8'!G42,'8'!G55,'8'!G56)</f>
        <v>5104.1400000000431</v>
      </c>
      <c r="K12" s="261">
        <f>SUM('8'!G43,'8'!G57)</f>
        <v>2446.8000000000466</v>
      </c>
      <c r="L12" s="1041">
        <f>'8'!G50</f>
        <v>832.40000000002328</v>
      </c>
      <c r="M12" s="1041">
        <f>'8'!G36</f>
        <v>596.12000000000035</v>
      </c>
      <c r="N12" s="1041">
        <f>'8'!G72</f>
        <v>11</v>
      </c>
      <c r="O12" s="1041">
        <f>'8'!$G$73</f>
        <v>1</v>
      </c>
      <c r="P12" s="1041">
        <f>'8'!$G$74</f>
        <v>0</v>
      </c>
      <c r="Q12" s="1041">
        <f>'8'!$G$75</f>
        <v>59.690000000000509</v>
      </c>
      <c r="R12" s="1041">
        <f>'8'!$G$76</f>
        <v>54.649999999999636</v>
      </c>
      <c r="S12" s="1041">
        <f>'8'!$G$77</f>
        <v>51</v>
      </c>
      <c r="T12" s="1032">
        <f>'8'!$G$78</f>
        <v>57</v>
      </c>
      <c r="U12" s="1032">
        <f>'8'!$G$79</f>
        <v>136</v>
      </c>
      <c r="V12" s="1032">
        <f>'8'!$G$80</f>
        <v>332</v>
      </c>
      <c r="W12" s="1032">
        <f>'8'!$G$81</f>
        <v>188</v>
      </c>
      <c r="X12" s="1032">
        <f>'8'!$G$82</f>
        <v>25.600000000005821</v>
      </c>
      <c r="Y12" s="1032">
        <f>'8'!$G$58</f>
        <v>81.25</v>
      </c>
      <c r="Z12" s="1032">
        <f>'8'!$G$83</f>
        <v>165</v>
      </c>
      <c r="AA12" s="1032">
        <f>'8'!G86</f>
        <v>33</v>
      </c>
      <c r="AB12" s="1032">
        <f>'8'!G87</f>
        <v>35</v>
      </c>
      <c r="AC12" s="1032">
        <f>'8'!G88</f>
        <v>26</v>
      </c>
      <c r="AD12" s="1032">
        <f>'8'!G89+'8'!G90</f>
        <v>20.700000000003001</v>
      </c>
      <c r="AE12" s="1041">
        <f>'8'!$G$62</f>
        <v>0</v>
      </c>
      <c r="AF12" s="1041">
        <f>'8'!$G$63</f>
        <v>0</v>
      </c>
      <c r="AG12" s="1041">
        <f>'8'!$G$64</f>
        <v>338.02999999999884</v>
      </c>
      <c r="AH12" s="1041">
        <f>'8'!$G$65</f>
        <v>197.34999999997672</v>
      </c>
      <c r="AI12" s="1041">
        <f>'8'!$G$66</f>
        <v>407.66999999999825</v>
      </c>
      <c r="AJ12" s="1041">
        <f>'8'!$G$67</f>
        <v>365.69999999998254</v>
      </c>
      <c r="AK12" s="1041">
        <f>'8'!$G$68</f>
        <v>0</v>
      </c>
      <c r="AL12" s="1041">
        <f>'8'!$G$69</f>
        <v>102.47000000000116</v>
      </c>
      <c r="AM12" s="1041">
        <f>'8'!$G$84</f>
        <v>696</v>
      </c>
      <c r="AN12" s="1041">
        <f>'8'!$G$15</f>
        <v>406.11999999987893</v>
      </c>
      <c r="AO12" s="1041">
        <f>'8'!$G$124</f>
        <v>178.89000000001397</v>
      </c>
      <c r="AP12" s="1041">
        <f>'8'!$G$125</f>
        <v>0.39999999999417923</v>
      </c>
      <c r="AQ12" s="1041">
        <f>'8'!$G$126</f>
        <v>58</v>
      </c>
      <c r="AR12" s="1041">
        <f>'8'!$G$127</f>
        <v>0</v>
      </c>
      <c r="AS12" s="1041">
        <f>'8'!$G$128</f>
        <v>0.1000000000003638</v>
      </c>
      <c r="AT12" s="1041">
        <f t="shared" si="0"/>
        <v>168.72999999987042</v>
      </c>
      <c r="AU12" s="1041">
        <f>SUM('8'!G140:G141)</f>
        <v>7.3400000000001455</v>
      </c>
      <c r="AV12" s="1041">
        <f>'8'!$G$137</f>
        <v>0</v>
      </c>
      <c r="AW12" s="1041">
        <f>'8'!$G$138</f>
        <v>0</v>
      </c>
      <c r="AX12" s="1041">
        <f>'8'!$G$139</f>
        <v>9.2300000000104774</v>
      </c>
      <c r="AY12" s="1038">
        <f t="shared" si="1"/>
        <v>9.2300000000104774</v>
      </c>
    </row>
    <row r="13" spans="1:53">
      <c r="A13" s="1040">
        <v>43991</v>
      </c>
      <c r="B13" s="261">
        <f>'9'!G7</f>
        <v>16842.25</v>
      </c>
      <c r="C13" s="261">
        <f>'9'!G8</f>
        <v>16891.690000000002</v>
      </c>
      <c r="D13" s="261">
        <f>'9'!G15</f>
        <v>345.05000000004657</v>
      </c>
      <c r="E13" s="261">
        <f>'9'!G20</f>
        <v>78</v>
      </c>
      <c r="F13" s="261">
        <f>SUM('9'!G35,'9'!G49)</f>
        <v>2245.8100000000559</v>
      </c>
      <c r="G13" s="261">
        <f>SUM('9'!G37,'9'!G51)</f>
        <v>1379.7399999999907</v>
      </c>
      <c r="H13" s="261">
        <f>SUM('9'!G38,'9'!G52)</f>
        <v>1004.8500000000058</v>
      </c>
      <c r="I13" s="261">
        <f>SUM('9'!G39,'9'!G53)</f>
        <v>3069.710000000021</v>
      </c>
      <c r="J13" s="261">
        <f>SUM('9'!G41,'9'!G42,'9'!G55,'9'!G56)</f>
        <v>4917.2599999999802</v>
      </c>
      <c r="K13" s="261">
        <f>SUM('9'!G43,'9'!G57)</f>
        <v>2440.5</v>
      </c>
      <c r="L13" s="1041">
        <f>'9'!G50</f>
        <v>877.40999999997439</v>
      </c>
      <c r="M13" s="1041">
        <f>'9'!G36</f>
        <v>614.81999999999971</v>
      </c>
      <c r="N13" s="1041">
        <f>'9'!G72</f>
        <v>12</v>
      </c>
      <c r="O13" s="1041">
        <f>'9'!$G$73</f>
        <v>1</v>
      </c>
      <c r="P13" s="1041">
        <f>'9'!$G$74</f>
        <v>0</v>
      </c>
      <c r="Q13" s="1041">
        <f>'9'!$G$75</f>
        <v>59.6299999999992</v>
      </c>
      <c r="R13" s="1041">
        <f>'9'!$G$76</f>
        <v>59.350000000000364</v>
      </c>
      <c r="S13" s="1041">
        <f>'9'!$G$77</f>
        <v>50</v>
      </c>
      <c r="T13" s="1032">
        <f>'9'!$G$78</f>
        <v>53</v>
      </c>
      <c r="U13" s="1032">
        <f>'9'!$G$79</f>
        <v>147</v>
      </c>
      <c r="V13" s="1032">
        <f>'9'!$G$80</f>
        <v>322</v>
      </c>
      <c r="W13" s="1032">
        <f>'9'!$G$81</f>
        <v>176</v>
      </c>
      <c r="X13" s="1032">
        <f>'9'!$G$82</f>
        <v>10.399999999994179</v>
      </c>
      <c r="Y13" s="1032">
        <f>'9'!$G$58</f>
        <v>0</v>
      </c>
      <c r="Z13" s="1032">
        <f>'9'!$G$83</f>
        <v>175</v>
      </c>
      <c r="AA13" s="1032">
        <f>'9'!G86</f>
        <v>32</v>
      </c>
      <c r="AB13" s="1032">
        <f>'9'!G87</f>
        <v>17.19999999999709</v>
      </c>
      <c r="AC13" s="1032">
        <f>'9'!G88</f>
        <v>33</v>
      </c>
      <c r="AD13" s="1032">
        <f>'9'!G89+'9'!H90</f>
        <v>22.199999999998454</v>
      </c>
      <c r="AE13" s="1041">
        <f>'9'!$G$62</f>
        <v>0</v>
      </c>
      <c r="AF13" s="1041">
        <f>'9'!$G$63</f>
        <v>0</v>
      </c>
      <c r="AG13" s="1041">
        <f>'9'!$G$64</f>
        <v>357.32999999998719</v>
      </c>
      <c r="AH13" s="1051">
        <f>'9'!$G$65</f>
        <v>234.70000000001164</v>
      </c>
      <c r="AI13" s="1051">
        <f>'9'!$G$66</f>
        <v>419.36000000000058</v>
      </c>
      <c r="AJ13" s="1041">
        <f>'9'!$G$67</f>
        <v>394.63000000000466</v>
      </c>
      <c r="AK13" s="1041">
        <f>'9'!$G$68</f>
        <v>0</v>
      </c>
      <c r="AL13" s="1041">
        <f>'9'!$G$69</f>
        <v>125.19999999999709</v>
      </c>
      <c r="AM13" s="1041">
        <f>'9'!$G$84</f>
        <v>558</v>
      </c>
      <c r="AN13" s="1041">
        <f>'9'!$G$15</f>
        <v>345.05000000004657</v>
      </c>
      <c r="AO13" s="1041">
        <f>'9'!$G$124</f>
        <v>206.10999999998603</v>
      </c>
      <c r="AP13" s="1041">
        <f>'9'!$G$125</f>
        <v>0</v>
      </c>
      <c r="AQ13" s="1041">
        <f>'9'!$G$126</f>
        <v>75</v>
      </c>
      <c r="AR13" s="1041">
        <f>'9'!$G$127</f>
        <v>0</v>
      </c>
      <c r="AS13" s="1041">
        <f>'9'!$G$128</f>
        <v>0</v>
      </c>
      <c r="AT13" s="1041">
        <f t="shared" si="0"/>
        <v>63.940000000060536</v>
      </c>
      <c r="AU13" s="1041">
        <f>SUM('9'!G140:G141)</f>
        <v>7.7599999999999909</v>
      </c>
      <c r="AV13" s="1041">
        <f>'9'!$G$137</f>
        <v>0</v>
      </c>
      <c r="AW13" s="1041">
        <f>'9'!$G$138</f>
        <v>0</v>
      </c>
      <c r="AX13" s="1041">
        <f>'9'!$G$139</f>
        <v>2</v>
      </c>
      <c r="AY13" s="1038">
        <f t="shared" si="1"/>
        <v>2</v>
      </c>
    </row>
    <row r="14" spans="1:53">
      <c r="A14" s="1040">
        <v>43992</v>
      </c>
      <c r="B14" s="261">
        <f>'10'!G7</f>
        <v>17057</v>
      </c>
      <c r="C14" s="261">
        <f>'10'!G8</f>
        <v>17110</v>
      </c>
      <c r="D14" s="261">
        <f>'10'!G15</f>
        <v>665</v>
      </c>
      <c r="E14" s="261">
        <f>'10'!G20</f>
        <v>86</v>
      </c>
      <c r="F14" s="261">
        <f>SUM('10'!G35,'10'!G49)</f>
        <v>2172</v>
      </c>
      <c r="G14" s="261">
        <f>SUM('10'!G37,'10'!G51)</f>
        <v>1349</v>
      </c>
      <c r="H14" s="261">
        <f>SUM('10'!G38,'10'!G52)</f>
        <v>1210</v>
      </c>
      <c r="I14" s="261">
        <f>SUM('10'!G39,'10'!G53)</f>
        <v>3175.3300000000163</v>
      </c>
      <c r="J14" s="261">
        <f>SUM('10'!G41,'10'!G42,'10'!G55,'10'!G56)</f>
        <v>4704.3899999999994</v>
      </c>
      <c r="K14" s="261">
        <f>SUM('10'!G43,'10'!G57)</f>
        <v>2439</v>
      </c>
      <c r="L14" s="1041">
        <f>'10'!G50</f>
        <v>890</v>
      </c>
      <c r="M14" s="1041">
        <f>'10'!G36</f>
        <v>564</v>
      </c>
      <c r="N14" s="1041">
        <f>'10'!G72</f>
        <v>13</v>
      </c>
      <c r="O14" s="1041">
        <f>'10'!$G$73</f>
        <v>1</v>
      </c>
      <c r="P14" s="1041">
        <f>'10'!$G$74</f>
        <v>0</v>
      </c>
      <c r="Q14" s="1041">
        <f>'10'!$G$75</f>
        <v>57</v>
      </c>
      <c r="R14" s="1041">
        <f>'10'!$G$76</f>
        <v>55</v>
      </c>
      <c r="S14" s="1041">
        <f>'10'!$G$77</f>
        <v>51</v>
      </c>
      <c r="T14" s="1032">
        <f>'10'!$G$78</f>
        <v>52</v>
      </c>
      <c r="U14" s="1032">
        <f>'10'!$G$79</f>
        <v>132</v>
      </c>
      <c r="V14" s="1045">
        <f>'10'!$G$80</f>
        <v>371</v>
      </c>
      <c r="W14" s="1045">
        <f>'10'!$G$81</f>
        <v>102</v>
      </c>
      <c r="X14" s="1032">
        <f>'10'!$G$82</f>
        <v>11</v>
      </c>
      <c r="Y14" s="1032">
        <f>'10'!$G$58</f>
        <v>239.20999999999913</v>
      </c>
      <c r="Z14" s="1032">
        <f>'10'!$G$83</f>
        <v>232</v>
      </c>
      <c r="AA14" s="1032">
        <f>'10'!G86</f>
        <v>30</v>
      </c>
      <c r="AB14" s="1032">
        <f>'10'!G87</f>
        <v>26</v>
      </c>
      <c r="AC14" s="1032">
        <f>'10'!G88</f>
        <v>29</v>
      </c>
      <c r="AD14" s="1032">
        <f>'10'!G87+'10'!H90</f>
        <v>34.599999999999909</v>
      </c>
      <c r="AE14" s="1041">
        <f>'10'!$G$62</f>
        <v>0</v>
      </c>
      <c r="AF14" s="1041">
        <f>'10'!$G$63</f>
        <v>0</v>
      </c>
      <c r="AG14" s="1041">
        <f>'10'!$G$64</f>
        <v>352</v>
      </c>
      <c r="AH14" s="1041">
        <f>'10'!$G$65</f>
        <v>266</v>
      </c>
      <c r="AI14" s="1041">
        <f>'10'!$G$66</f>
        <v>415</v>
      </c>
      <c r="AJ14" s="1041">
        <f>'10'!$G$67</f>
        <v>377</v>
      </c>
      <c r="AK14" s="1041">
        <f>'10'!$G$68</f>
        <v>0</v>
      </c>
      <c r="AL14" s="1041">
        <f>'10'!$G$69</f>
        <v>170</v>
      </c>
      <c r="AM14" s="1041">
        <f>'10'!$G$84</f>
        <v>592</v>
      </c>
      <c r="AN14" s="1041">
        <f>'10'!$G$15</f>
        <v>665</v>
      </c>
      <c r="AO14" s="1041">
        <f>'10'!$G$124</f>
        <v>211</v>
      </c>
      <c r="AP14" s="1041">
        <f>'10'!$G$125</f>
        <v>0</v>
      </c>
      <c r="AQ14" s="1041">
        <f>'10'!$G$126</f>
        <v>66</v>
      </c>
      <c r="AR14" s="1041">
        <f>'10'!$G$127</f>
        <v>0</v>
      </c>
      <c r="AS14" s="1041">
        <f>'10'!$G$128</f>
        <v>0</v>
      </c>
      <c r="AT14" s="1041">
        <f t="shared" si="0"/>
        <v>388</v>
      </c>
      <c r="AU14" s="1041">
        <f>SUM('10'!G140:G141)</f>
        <v>7.9000000000000909</v>
      </c>
      <c r="AV14" s="1041">
        <f>'10'!$G$137</f>
        <v>7.7999999999992724</v>
      </c>
      <c r="AW14" s="1041">
        <f>'10'!$G$138</f>
        <v>0</v>
      </c>
      <c r="AX14" s="1041">
        <f>'10'!$G$139</f>
        <v>0</v>
      </c>
      <c r="AY14" s="1038">
        <f t="shared" si="1"/>
        <v>7.7999999999992724</v>
      </c>
    </row>
    <row r="15" spans="1:53">
      <c r="A15" s="1040">
        <v>43993</v>
      </c>
      <c r="B15" s="261">
        <f>'11'!G7</f>
        <v>17131</v>
      </c>
      <c r="C15" s="261">
        <f>'11'!G8</f>
        <v>17188</v>
      </c>
      <c r="D15" s="261">
        <f>'11'!G15</f>
        <v>498</v>
      </c>
      <c r="E15" s="261">
        <f>'11'!G20</f>
        <v>103</v>
      </c>
      <c r="F15" s="261">
        <f>SUM('11'!G35,'11'!G49)</f>
        <v>2190</v>
      </c>
      <c r="G15" s="261">
        <f>SUM('11'!G37,'11'!G51)</f>
        <v>1386</v>
      </c>
      <c r="H15" s="261">
        <f>SUM('11'!G38,'11'!G52)</f>
        <v>1184</v>
      </c>
      <c r="I15" s="261">
        <f>SUM('11'!G39,'11'!G53)</f>
        <v>3233</v>
      </c>
      <c r="J15" s="261">
        <f>SUM('11'!G41,'11'!G42,'11'!G55,'11'!G56)</f>
        <v>4819</v>
      </c>
      <c r="K15" s="261">
        <f>SUM('11'!G43,'11'!G57)</f>
        <v>2435</v>
      </c>
      <c r="L15" s="1041">
        <f>'11'!G50</f>
        <v>897</v>
      </c>
      <c r="M15" s="1041">
        <f>'11'!G36</f>
        <v>578</v>
      </c>
      <c r="N15" s="1041">
        <f>'11'!G72</f>
        <v>14</v>
      </c>
      <c r="O15" s="1041">
        <f>'11'!$G$73</f>
        <v>1</v>
      </c>
      <c r="P15" s="1041">
        <f>'11'!$G$74</f>
        <v>0</v>
      </c>
      <c r="Q15" s="1041">
        <f>'11'!$G$75</f>
        <v>76</v>
      </c>
      <c r="R15" s="1041">
        <f>'11'!$G$76</f>
        <v>59</v>
      </c>
      <c r="S15" s="1041">
        <f>'11'!$G$77</f>
        <v>51</v>
      </c>
      <c r="T15" s="1032">
        <f>'11'!$G$78</f>
        <v>47</v>
      </c>
      <c r="U15" s="1032">
        <f>'11'!$G$79</f>
        <v>138</v>
      </c>
      <c r="V15" s="1032">
        <f>'11'!$G$80</f>
        <v>324</v>
      </c>
      <c r="W15" s="1032">
        <f>'11'!$G$81</f>
        <v>108</v>
      </c>
      <c r="X15" s="1032">
        <f>'11'!$G$82</f>
        <v>25</v>
      </c>
      <c r="Y15" s="1032">
        <f>'11'!$G$58</f>
        <v>97</v>
      </c>
      <c r="Z15" s="1032">
        <f>'11'!$G$83</f>
        <v>176</v>
      </c>
      <c r="AA15" s="1032">
        <f>'11'!G86</f>
        <v>28</v>
      </c>
      <c r="AB15" s="1032">
        <f>'11'!G87</f>
        <v>19.600000000005821</v>
      </c>
      <c r="AC15" s="1032">
        <f>'11'!G88</f>
        <v>24</v>
      </c>
      <c r="AD15" s="1032">
        <f>'11'!G87+'11'!H90</f>
        <v>22.600000000005821</v>
      </c>
      <c r="AE15" s="1041">
        <f>'11'!$G$62</f>
        <v>0</v>
      </c>
      <c r="AF15" s="1041">
        <f>'11'!$G$63</f>
        <v>0</v>
      </c>
      <c r="AG15" s="1041">
        <f>'11'!$G$64</f>
        <v>353</v>
      </c>
      <c r="AH15" s="1041">
        <f>'11'!$G$65</f>
        <v>270</v>
      </c>
      <c r="AI15" s="1041">
        <f>'11'!$G$66</f>
        <v>420</v>
      </c>
      <c r="AJ15" s="1041">
        <f>'11'!$G$67</f>
        <v>426</v>
      </c>
      <c r="AK15" s="1041">
        <f>'11'!$G$68</f>
        <v>0</v>
      </c>
      <c r="AL15" s="1041">
        <f>'11'!$G$69</f>
        <v>152</v>
      </c>
      <c r="AM15" s="1041">
        <f>'11'!$G$84</f>
        <v>564</v>
      </c>
      <c r="AN15" s="1041">
        <f>'11'!$G$15</f>
        <v>498</v>
      </c>
      <c r="AO15" s="1041">
        <f>'11'!$G$124</f>
        <v>230</v>
      </c>
      <c r="AP15" s="1041">
        <f>'11'!$G$125</f>
        <v>0</v>
      </c>
      <c r="AQ15" s="1041">
        <f>'11'!$G$126</f>
        <v>66</v>
      </c>
      <c r="AR15" s="1041">
        <f>'11'!$G$127</f>
        <v>0</v>
      </c>
      <c r="AS15" s="1041">
        <f>'11'!$G$128</f>
        <v>0</v>
      </c>
      <c r="AT15" s="1041">
        <f t="shared" si="0"/>
        <v>202</v>
      </c>
      <c r="AU15" s="1041">
        <f>SUM('11'!G140:G141)</f>
        <v>8.5999999999999091</v>
      </c>
      <c r="AV15" s="1041">
        <f>'11'!$G$137</f>
        <v>0</v>
      </c>
      <c r="AW15" s="1041">
        <f>'11'!$G$138</f>
        <v>0</v>
      </c>
      <c r="AX15" s="1041">
        <f>'11'!$G$139</f>
        <v>7.5899999999965075</v>
      </c>
      <c r="AY15" s="1038">
        <f t="shared" si="1"/>
        <v>7.5899999999965075</v>
      </c>
    </row>
    <row r="16" spans="1:53">
      <c r="A16" s="1040">
        <v>43994</v>
      </c>
      <c r="B16" s="261">
        <f>'12'!G7</f>
        <v>18761</v>
      </c>
      <c r="C16" s="261">
        <f>'12'!G8</f>
        <v>18830</v>
      </c>
      <c r="D16" s="261">
        <f>'12'!G15</f>
        <v>460</v>
      </c>
      <c r="E16" s="261">
        <f>'12'!G20</f>
        <v>125</v>
      </c>
      <c r="F16" s="261">
        <f>SUM('12'!G35,'12'!G49)</f>
        <v>2554</v>
      </c>
      <c r="G16" s="261">
        <f>SUM('12'!G37,'12'!G51)</f>
        <v>1461</v>
      </c>
      <c r="H16" s="261">
        <f>SUM('12'!G38,'12'!G52)</f>
        <v>1383</v>
      </c>
      <c r="I16" s="261">
        <f>SUM('12'!G39,'12'!G53)</f>
        <v>3517</v>
      </c>
      <c r="J16" s="261">
        <f>SUM('12'!G41,'12'!G42,'12'!G55,'12'!G56)</f>
        <v>5598</v>
      </c>
      <c r="K16" s="261">
        <f>SUM('12'!G43,'12'!G57)</f>
        <v>2382</v>
      </c>
      <c r="L16" s="1041">
        <f>'12'!G50</f>
        <v>939</v>
      </c>
      <c r="M16" s="1041">
        <f>'12'!G36</f>
        <v>544</v>
      </c>
      <c r="N16" s="1041">
        <f>'12'!G72</f>
        <v>12</v>
      </c>
      <c r="O16" s="1041">
        <f>'12'!$G$73</f>
        <v>2</v>
      </c>
      <c r="P16" s="1041">
        <f>'12'!$G$74</f>
        <v>0</v>
      </c>
      <c r="Q16" s="1041">
        <f>'12'!$G$75</f>
        <v>143</v>
      </c>
      <c r="R16" s="1041">
        <f>'12'!$G$76</f>
        <v>54</v>
      </c>
      <c r="S16" s="1041">
        <f>'12'!$G$77</f>
        <v>47</v>
      </c>
      <c r="T16" s="1032">
        <f>'12'!$G$78</f>
        <v>41</v>
      </c>
      <c r="U16" s="1032">
        <f>'12'!$G$79</f>
        <v>140</v>
      </c>
      <c r="V16" s="1032">
        <f>'12'!$G$80</f>
        <v>376</v>
      </c>
      <c r="W16" s="1032">
        <f>'12'!$G$81</f>
        <v>111</v>
      </c>
      <c r="X16" s="1032">
        <f>'12'!$G$82</f>
        <v>12</v>
      </c>
      <c r="Y16" s="1032">
        <f>'12'!$G$58</f>
        <v>37</v>
      </c>
      <c r="Z16" s="1032">
        <f>'12'!$G$83</f>
        <v>198</v>
      </c>
      <c r="AA16" s="1032">
        <f>'12'!G86</f>
        <v>30</v>
      </c>
      <c r="AB16" s="1032">
        <f>'12'!G87</f>
        <v>12.399999999994179</v>
      </c>
      <c r="AC16" s="1032">
        <f>'12'!G88</f>
        <v>24</v>
      </c>
      <c r="AD16" s="1032">
        <f>'12'!G87+'12'!H90</f>
        <v>13.399999999994179</v>
      </c>
      <c r="AE16" s="1041">
        <f>'12'!$G$62</f>
        <v>0</v>
      </c>
      <c r="AF16" s="1041">
        <f>'12'!$G$63</f>
        <v>0</v>
      </c>
      <c r="AG16" s="1041">
        <f>'12'!$G$64</f>
        <v>334</v>
      </c>
      <c r="AH16" s="1041">
        <f>'12'!$G$65</f>
        <v>366</v>
      </c>
      <c r="AI16" s="1041">
        <f>'12'!$G$66</f>
        <v>427</v>
      </c>
      <c r="AJ16" s="1041">
        <f>'12'!$G$67</f>
        <v>459</v>
      </c>
      <c r="AK16" s="1041">
        <f>'12'!$G$68</f>
        <v>0</v>
      </c>
      <c r="AL16" s="1041">
        <f>'12'!$G$69</f>
        <v>227</v>
      </c>
      <c r="AM16" s="1041">
        <f>'12'!$G$84</f>
        <v>596</v>
      </c>
      <c r="AN16" s="1041">
        <f>'12'!$G$15</f>
        <v>460</v>
      </c>
      <c r="AO16" s="1079">
        <f>'12'!$G$124</f>
        <v>238</v>
      </c>
      <c r="AP16" s="1041">
        <f>'12'!$G$125</f>
        <v>-0.39999999999417923</v>
      </c>
      <c r="AQ16" s="1068">
        <f>'12'!$G$126</f>
        <v>62</v>
      </c>
      <c r="AR16" s="1041">
        <f>'12'!$G$127</f>
        <v>0</v>
      </c>
      <c r="AS16" s="1041">
        <f>'12'!$G$128</f>
        <v>0</v>
      </c>
      <c r="AT16" s="1041">
        <f t="shared" si="0"/>
        <v>160.39999999999418</v>
      </c>
      <c r="AU16" s="1041">
        <f>SUM('12'!G140:G141)</f>
        <v>9.0900000000001455</v>
      </c>
      <c r="AV16" s="1041">
        <f>'12'!$G$137</f>
        <v>0</v>
      </c>
      <c r="AW16" s="1041">
        <f>'12'!$G$138</f>
        <v>0</v>
      </c>
      <c r="AX16" s="1041">
        <f>'12'!$G$139</f>
        <v>4.6499999999941792</v>
      </c>
      <c r="AY16" s="1038">
        <f t="shared" si="1"/>
        <v>4.6499999999941792</v>
      </c>
      <c r="BA16" s="1046">
        <f>AO16-AQ16</f>
        <v>176</v>
      </c>
    </row>
    <row r="17" spans="1:53">
      <c r="A17" s="1040">
        <v>43995</v>
      </c>
      <c r="B17" s="261">
        <f>'13'!G7</f>
        <v>20334</v>
      </c>
      <c r="C17" s="261">
        <f>'13'!G8</f>
        <v>20443</v>
      </c>
      <c r="D17" s="261">
        <f>'13'!G15</f>
        <v>737</v>
      </c>
      <c r="E17" s="261">
        <f>'13'!G20</f>
        <v>194</v>
      </c>
      <c r="F17" s="261">
        <f>SUM('13'!G35,'13'!G49)</f>
        <v>2615</v>
      </c>
      <c r="G17" s="261">
        <f>SUM('13'!G37,'13'!G51)</f>
        <v>1413</v>
      </c>
      <c r="H17" s="261">
        <f>SUM('13'!G38,'13'!G52)</f>
        <v>1494</v>
      </c>
      <c r="I17" s="261">
        <f>SUM('13'!G39,'13'!G53)</f>
        <v>3369</v>
      </c>
      <c r="J17" s="261">
        <f>SUM('13'!G41,'13'!G42,'13'!G55,'13'!G56)</f>
        <v>6701.4799999999959</v>
      </c>
      <c r="K17" s="261">
        <f>SUM('13'!G43,'13'!G57)</f>
        <v>2647.33</v>
      </c>
      <c r="L17" s="1041">
        <f>'13'!G50</f>
        <v>1050</v>
      </c>
      <c r="M17" s="1041">
        <f>'13'!G36</f>
        <v>557</v>
      </c>
      <c r="N17" s="1041">
        <f>'13'!G72</f>
        <v>13</v>
      </c>
      <c r="O17" s="1041">
        <f>'13'!$G$73</f>
        <v>1</v>
      </c>
      <c r="P17" s="1041">
        <f>'13'!$G$74</f>
        <v>0</v>
      </c>
      <c r="Q17" s="1041">
        <f>'13'!$G$75</f>
        <v>129</v>
      </c>
      <c r="R17" s="1041">
        <f>'13'!$G$76</f>
        <v>55</v>
      </c>
      <c r="S17" s="1041">
        <f>'13'!$G$77</f>
        <v>56</v>
      </c>
      <c r="T17" s="1032">
        <f>'13'!$G$78</f>
        <v>30</v>
      </c>
      <c r="U17" s="1032">
        <f>'13'!$G$79</f>
        <v>136</v>
      </c>
      <c r="V17" s="1032">
        <f>'13'!$G$80</f>
        <v>380.52000000001863</v>
      </c>
      <c r="W17" s="1032">
        <f>'13'!$G$81</f>
        <v>124.80000000004657</v>
      </c>
      <c r="X17" s="1032">
        <f>'13'!$G$82</f>
        <v>11</v>
      </c>
      <c r="Y17" s="1032">
        <f>'13'!$G$58</f>
        <v>238</v>
      </c>
      <c r="Z17" s="1032">
        <f>'13'!$G$83</f>
        <v>236</v>
      </c>
      <c r="AA17" s="1032">
        <f>'13'!G86</f>
        <v>29.440000000002328</v>
      </c>
      <c r="AB17" s="1032">
        <f>'13'!G87</f>
        <v>11</v>
      </c>
      <c r="AC17" s="1032">
        <f>'13'!G88</f>
        <v>22.730000000010477</v>
      </c>
      <c r="AD17" s="1032">
        <f>'13'!G87+'13'!H90</f>
        <v>12.900000000000091</v>
      </c>
      <c r="AE17" s="1041">
        <f>'13'!$G$62</f>
        <v>0</v>
      </c>
      <c r="AF17" s="1041">
        <f>'13'!$G$63</f>
        <v>0</v>
      </c>
      <c r="AG17" s="1041">
        <f>'13'!$G$64</f>
        <v>352</v>
      </c>
      <c r="AH17" s="1041">
        <f>'13'!$G$65</f>
        <v>411</v>
      </c>
      <c r="AI17" s="1041">
        <f>'13'!$G$66</f>
        <v>376</v>
      </c>
      <c r="AJ17" s="1041">
        <f>'13'!$G$67</f>
        <v>429</v>
      </c>
      <c r="AK17" s="1041">
        <f>'13'!$G$68</f>
        <v>0</v>
      </c>
      <c r="AL17" s="1041">
        <f>'13'!$G$69</f>
        <v>217</v>
      </c>
      <c r="AM17" s="1041">
        <f>'13'!$G$84</f>
        <v>687</v>
      </c>
      <c r="AN17" s="1041">
        <f>'13'!$G$15</f>
        <v>737</v>
      </c>
      <c r="AO17" s="1079">
        <f>'13'!$G$124</f>
        <v>245</v>
      </c>
      <c r="AP17" s="1041">
        <f>'13'!$G$125</f>
        <v>0</v>
      </c>
      <c r="AQ17" s="1041">
        <f>'13'!$G$126</f>
        <v>60</v>
      </c>
      <c r="AR17" s="1041">
        <f>'13'!$G$127</f>
        <v>68</v>
      </c>
      <c r="AS17" s="1041">
        <f>'13'!$G$128</f>
        <v>2</v>
      </c>
      <c r="AT17" s="1041">
        <f t="shared" si="0"/>
        <v>362</v>
      </c>
      <c r="AU17" s="1041">
        <f>SUM('13'!G140:G141)</f>
        <v>9.2199999999997999</v>
      </c>
      <c r="AV17" s="1041">
        <f>'13'!$G$137</f>
        <v>8</v>
      </c>
      <c r="AW17" s="1041">
        <f>'13'!$G$138</f>
        <v>0</v>
      </c>
      <c r="AX17" s="1041">
        <f>'13'!$G$139</f>
        <v>0</v>
      </c>
      <c r="AY17" s="1038">
        <f t="shared" si="1"/>
        <v>8</v>
      </c>
      <c r="BA17" s="1046">
        <f t="shared" ref="BA17:BA34" si="3">AO17-AT17</f>
        <v>-117</v>
      </c>
    </row>
    <row r="18" spans="1:53">
      <c r="A18" s="1040">
        <v>43996</v>
      </c>
      <c r="B18" s="261">
        <f>'14'!G7</f>
        <v>19865</v>
      </c>
      <c r="C18" s="261">
        <f>'14'!G8</f>
        <v>19974</v>
      </c>
      <c r="D18" s="261">
        <f>'14'!G15</f>
        <v>822</v>
      </c>
      <c r="E18" s="261">
        <f>'14'!G20</f>
        <v>183</v>
      </c>
      <c r="F18" s="261">
        <f>SUM('14'!G35,'14'!G49)</f>
        <v>2581.8699999999953</v>
      </c>
      <c r="G18" s="261">
        <f>SUM('14'!G37,'14'!G51)</f>
        <v>1388</v>
      </c>
      <c r="H18" s="261">
        <f>SUM('14'!G38,'14'!G52)</f>
        <v>1470</v>
      </c>
      <c r="I18" s="261">
        <f>SUM('14'!G39,'14'!G53)</f>
        <v>3252</v>
      </c>
      <c r="J18" s="261">
        <f>SUM('14'!G41,'14'!G42,'14'!G55,'14'!G56)</f>
        <v>6350</v>
      </c>
      <c r="K18" s="261">
        <f>SUM('14'!G43,'14'!G57)</f>
        <v>2656</v>
      </c>
      <c r="L18" s="1041">
        <f>'14'!G50</f>
        <v>947</v>
      </c>
      <c r="M18" s="1041">
        <f>'14'!G36</f>
        <v>648</v>
      </c>
      <c r="N18" s="1041">
        <f>'14'!G72</f>
        <v>13</v>
      </c>
      <c r="O18" s="1041">
        <f>'14'!$G$73</f>
        <v>1</v>
      </c>
      <c r="P18" s="1041">
        <f>'14'!$G$74</f>
        <v>0</v>
      </c>
      <c r="Q18" s="1041">
        <f>'14'!$G$75</f>
        <v>129</v>
      </c>
      <c r="R18" s="1041">
        <f>'14'!$G$76</f>
        <v>61</v>
      </c>
      <c r="S18" s="1041">
        <f>'14'!$G$77</f>
        <v>50</v>
      </c>
      <c r="T18" s="1032">
        <f>'14'!$G$78</f>
        <v>46</v>
      </c>
      <c r="U18" s="1032">
        <f>'14'!$G$79</f>
        <v>152</v>
      </c>
      <c r="V18" s="1032">
        <f>'14'!$G$80</f>
        <v>354.47999999998137</v>
      </c>
      <c r="W18" s="1032">
        <f>'14'!$G$81</f>
        <v>154.19999999995343</v>
      </c>
      <c r="X18" s="1032">
        <f>'14'!$G$82</f>
        <v>22</v>
      </c>
      <c r="Y18" s="1032">
        <f>'14'!$G$58</f>
        <v>224</v>
      </c>
      <c r="Z18" s="1032">
        <f>'14'!$G$83</f>
        <v>262</v>
      </c>
      <c r="AA18" s="1032">
        <f>'14'!G86</f>
        <v>28.559999999997672</v>
      </c>
      <c r="AB18" s="1032">
        <f>'14'!G87</f>
        <v>28</v>
      </c>
      <c r="AC18" s="1032">
        <f>'14'!G88</f>
        <v>151.26999999998952</v>
      </c>
      <c r="AD18" s="1032">
        <f>'14'!G87+'14'!H90</f>
        <v>31.099999999999909</v>
      </c>
      <c r="AE18" s="1041">
        <f>'14'!$G$62</f>
        <v>0</v>
      </c>
      <c r="AF18" s="1041">
        <f>'14'!$G$63</f>
        <v>0</v>
      </c>
      <c r="AG18" s="1041">
        <f>'14'!$G$64</f>
        <v>380</v>
      </c>
      <c r="AH18" s="1041">
        <f>'14'!$G$65</f>
        <v>326</v>
      </c>
      <c r="AI18" s="1041">
        <f>'14'!$G$66</f>
        <v>309</v>
      </c>
      <c r="AJ18" s="1041">
        <f>'14'!$G$67</f>
        <v>449</v>
      </c>
      <c r="AK18" s="1041">
        <f>'14'!$G$68</f>
        <v>0</v>
      </c>
      <c r="AL18" s="1041">
        <f>'14'!$G$69</f>
        <v>209</v>
      </c>
      <c r="AM18" s="1041">
        <f>'14'!$G$84</f>
        <v>754</v>
      </c>
      <c r="AN18" s="1041">
        <f>'14'!$G$15</f>
        <v>822</v>
      </c>
      <c r="AO18" s="1041">
        <f>'14'!$G$124</f>
        <v>259</v>
      </c>
      <c r="AP18" s="1041">
        <f>'14'!$G$125</f>
        <v>0</v>
      </c>
      <c r="AQ18" s="1041">
        <f>'14'!$G$126</f>
        <v>72</v>
      </c>
      <c r="AR18" s="1041">
        <f>'14'!$G$127</f>
        <v>26</v>
      </c>
      <c r="AS18" s="1041">
        <f>'14'!$G$128</f>
        <v>1</v>
      </c>
      <c r="AT18" s="1041">
        <f t="shared" si="0"/>
        <v>464</v>
      </c>
      <c r="AU18" s="1041">
        <f>SUM('14'!G140:G141)</f>
        <v>9.7100000000000364</v>
      </c>
      <c r="AV18" s="1041">
        <f>'14'!$G$137</f>
        <v>8.9800000000032014</v>
      </c>
      <c r="AW18" s="1041">
        <f>'14'!$G$138</f>
        <v>0</v>
      </c>
      <c r="AX18" s="1041">
        <f>'14'!$G$139</f>
        <v>0</v>
      </c>
      <c r="AY18" s="1038">
        <f t="shared" si="1"/>
        <v>8.9800000000032014</v>
      </c>
      <c r="BA18" s="1046">
        <f>AO18-AT18</f>
        <v>-205</v>
      </c>
    </row>
    <row r="19" spans="1:53">
      <c r="A19" s="1040">
        <v>43997</v>
      </c>
      <c r="B19" s="261">
        <f>'15'!G7</f>
        <v>17768</v>
      </c>
      <c r="C19" s="261">
        <f>'15'!G8</f>
        <v>17859</v>
      </c>
      <c r="D19" s="1455">
        <f>'15'!G15</f>
        <v>553</v>
      </c>
      <c r="E19" s="261">
        <f>'15'!G20</f>
        <v>142</v>
      </c>
      <c r="F19" s="1455">
        <f>SUM('15'!G35,'15'!G49)</f>
        <v>2472</v>
      </c>
      <c r="G19" s="1455">
        <f>SUM('15'!G37,'15'!G51)</f>
        <v>1405</v>
      </c>
      <c r="H19" s="1455">
        <f>SUM('15'!G38,'15'!G52)</f>
        <v>1253.9300000000512</v>
      </c>
      <c r="I19" s="1455">
        <f>SUM('15'!G39,'15'!G53)</f>
        <v>2893</v>
      </c>
      <c r="J19" s="1455">
        <f>SUM('15'!G41,'15'!G42,'15'!G55,'15'!G56)</f>
        <v>5200</v>
      </c>
      <c r="K19" s="261">
        <f>SUM('15'!G43,'15'!G57)</f>
        <v>2467</v>
      </c>
      <c r="L19" s="1456">
        <f>'15'!G50</f>
        <v>1012</v>
      </c>
      <c r="M19" s="1041">
        <f>'15'!G36</f>
        <v>664</v>
      </c>
      <c r="N19" s="1041">
        <f>'15'!G72</f>
        <v>13</v>
      </c>
      <c r="O19" s="1041">
        <f>'15'!$G$73</f>
        <v>2</v>
      </c>
      <c r="P19" s="1041">
        <f>'15'!$G$74</f>
        <v>1</v>
      </c>
      <c r="Q19" s="1041">
        <f>'15'!$G$75</f>
        <v>127</v>
      </c>
      <c r="R19" s="1041">
        <f>'15'!$G$76</f>
        <v>58</v>
      </c>
      <c r="S19" s="1041">
        <f>'15'!$G$77</f>
        <v>46</v>
      </c>
      <c r="T19" s="1032">
        <f>'15'!$G$78</f>
        <v>49</v>
      </c>
      <c r="U19" s="1032">
        <f>'15'!$G$79</f>
        <v>139</v>
      </c>
      <c r="V19" s="1032">
        <f>'15'!$G$80</f>
        <v>335</v>
      </c>
      <c r="W19" s="1032">
        <f>'15'!$G$81</f>
        <v>138</v>
      </c>
      <c r="X19" s="1032">
        <f>'15'!$G$82</f>
        <v>27</v>
      </c>
      <c r="Y19" s="1032">
        <f>'15'!$G$58</f>
        <v>104</v>
      </c>
      <c r="Z19" s="1032">
        <f>'15'!$G$83</f>
        <v>143</v>
      </c>
      <c r="AA19" s="1032">
        <f>'15'!G86</f>
        <v>30</v>
      </c>
      <c r="AB19" s="1032">
        <f>'15'!G87</f>
        <v>25</v>
      </c>
      <c r="AC19" s="1032">
        <f>'15'!G88</f>
        <v>237</v>
      </c>
      <c r="AD19" s="1032">
        <f>'15'!G87+'15'!H90</f>
        <v>28</v>
      </c>
      <c r="AE19" s="1041">
        <f>'15'!$G$62</f>
        <v>0.18000000000029104</v>
      </c>
      <c r="AF19" s="1041">
        <f>'15'!$G$63</f>
        <v>0</v>
      </c>
      <c r="AG19" s="1041">
        <f>'15'!$G$64</f>
        <v>376</v>
      </c>
      <c r="AH19" s="1041">
        <f>'15'!$G$65</f>
        <v>150</v>
      </c>
      <c r="AI19" s="1041">
        <f>'15'!$G$66</f>
        <v>268</v>
      </c>
      <c r="AJ19" s="1041">
        <f>'15'!$G$67</f>
        <v>406</v>
      </c>
      <c r="AK19" s="1041">
        <f>'15'!$G$68</f>
        <v>0</v>
      </c>
      <c r="AL19" s="1041">
        <f>'15'!$G$69</f>
        <v>202</v>
      </c>
      <c r="AM19" s="1041">
        <f>'15'!$G$84</f>
        <v>683</v>
      </c>
      <c r="AN19" s="1041">
        <f>'15'!$G$15</f>
        <v>553</v>
      </c>
      <c r="AO19" s="1041">
        <f>'15'!$G$124</f>
        <v>259</v>
      </c>
      <c r="AP19" s="1041">
        <f>'15'!$G$125</f>
        <v>0.39999999999417923</v>
      </c>
      <c r="AQ19" s="1041">
        <f>'15'!$G$126</f>
        <v>64</v>
      </c>
      <c r="AR19" s="1041">
        <f>'15'!$G$127</f>
        <v>23</v>
      </c>
      <c r="AS19" s="1041">
        <f>'15'!$G$128</f>
        <v>1</v>
      </c>
      <c r="AT19" s="1041">
        <f t="shared" si="0"/>
        <v>205.60000000000582</v>
      </c>
      <c r="AU19" s="1041">
        <f>SUM('15'!G140:G141)</f>
        <v>10.410000000000082</v>
      </c>
      <c r="AV19" s="1041">
        <f>'15'!$G$137</f>
        <v>-0.49000000000160071</v>
      </c>
      <c r="AW19" s="1041">
        <f>'15'!$G$138</f>
        <v>0</v>
      </c>
      <c r="AX19" s="1041">
        <f>'15'!$G$139</f>
        <v>9.9800000000104774</v>
      </c>
      <c r="AY19" s="1038">
        <f t="shared" si="1"/>
        <v>9.4900000000088767</v>
      </c>
      <c r="BA19" s="1046">
        <f t="shared" si="3"/>
        <v>53.399999999994179</v>
      </c>
    </row>
    <row r="20" spans="1:53">
      <c r="A20" s="1040">
        <v>43998</v>
      </c>
      <c r="B20" s="261">
        <f>'16'!G7</f>
        <v>18406.310000000056</v>
      </c>
      <c r="C20" s="261">
        <f>'16'!G8</f>
        <v>18477.189999999944</v>
      </c>
      <c r="D20" s="261">
        <f>'16'!G15</f>
        <v>477.06499999994412</v>
      </c>
      <c r="E20" s="261">
        <f>'16'!G20</f>
        <v>92</v>
      </c>
      <c r="F20" s="261">
        <f>SUM('16'!G35,'16'!G49)</f>
        <v>2502.9200000000419</v>
      </c>
      <c r="G20" s="261">
        <f>SUM('16'!G37,'16'!G51)</f>
        <v>1424.929999999993</v>
      </c>
      <c r="H20" s="261">
        <f>SUM('16'!G38,'16'!G52)</f>
        <v>1231.3799999999464</v>
      </c>
      <c r="I20" s="261">
        <f>SUM('16'!G39,'16'!G53)</f>
        <v>3172.4900000000489</v>
      </c>
      <c r="J20" s="261">
        <f>SUM('16'!G41,'16'!G42,'16'!G55,'16'!G56)</f>
        <v>5374.2500000000291</v>
      </c>
      <c r="K20" s="261">
        <f>SUM('16'!G43,'16'!G57)</f>
        <v>2435</v>
      </c>
      <c r="L20" s="1041">
        <f>'16'!G50</f>
        <v>1103.8699999999953</v>
      </c>
      <c r="M20" s="1041">
        <f>'16'!G36</f>
        <v>813.1200000000008</v>
      </c>
      <c r="N20" s="1041">
        <f>'16'!G72</f>
        <v>13</v>
      </c>
      <c r="O20" s="1041">
        <f>'16'!$G$73</f>
        <v>1</v>
      </c>
      <c r="P20" s="1041">
        <f>'16'!$G$74</f>
        <v>1.8000000000029104</v>
      </c>
      <c r="Q20" s="1041">
        <f>'16'!$G$75</f>
        <v>133.48999999999978</v>
      </c>
      <c r="R20" s="1041">
        <f>'16'!$G$76</f>
        <v>56.719999999999345</v>
      </c>
      <c r="S20" s="1041">
        <f>'16'!$G$77</f>
        <v>58</v>
      </c>
      <c r="T20" s="1032">
        <f>'16'!$G$78</f>
        <v>68</v>
      </c>
      <c r="U20" s="1032">
        <f>'16'!$G$79</f>
        <v>154</v>
      </c>
      <c r="V20" s="1032">
        <f>'16'!$G$80</f>
        <v>396</v>
      </c>
      <c r="W20" s="1032">
        <f>'16'!$G$81</f>
        <v>114.28000000002794</v>
      </c>
      <c r="X20" s="1032">
        <f>'16'!$G$82</f>
        <v>13.660000000003492</v>
      </c>
      <c r="Y20" s="1032">
        <f>'16'!$G$58</f>
        <v>17.110000000000582</v>
      </c>
      <c r="Z20" s="1032">
        <f>'16'!$G$83</f>
        <v>217</v>
      </c>
      <c r="AA20" s="1032">
        <f>'16'!G86</f>
        <v>36.440000000002328</v>
      </c>
      <c r="AB20" s="1032">
        <f>'16'!G87</f>
        <v>31.19999999999709</v>
      </c>
      <c r="AC20" s="1032">
        <f>'16'!G88</f>
        <v>78.910000000003492</v>
      </c>
      <c r="AD20" s="1032">
        <f>'16'!G87+'16'!H90</f>
        <v>35.499999999997272</v>
      </c>
      <c r="AE20" s="1041">
        <f>'16'!$G$62</f>
        <v>0</v>
      </c>
      <c r="AF20" s="1041">
        <f>'16'!$G$63</f>
        <v>0</v>
      </c>
      <c r="AG20" s="1041">
        <f>'16'!$G$64</f>
        <v>415.35000000000582</v>
      </c>
      <c r="AH20" s="1041">
        <f>'16'!$G$65</f>
        <v>265.25</v>
      </c>
      <c r="AI20" s="1041">
        <f>'16'!$G$66</f>
        <v>300.2300000000032</v>
      </c>
      <c r="AJ20" s="1041">
        <f>'16'!$G$67</f>
        <v>392.39000000001397</v>
      </c>
      <c r="AK20" s="1041">
        <f>'16'!$G$68</f>
        <v>0</v>
      </c>
      <c r="AL20" s="1041">
        <f>'16'!$G$69</f>
        <v>228.27000000000407</v>
      </c>
      <c r="AM20" s="1041">
        <f>'16'!$G$84</f>
        <v>735</v>
      </c>
      <c r="AN20" s="1041">
        <f>'16'!$G$15</f>
        <v>477.06499999994412</v>
      </c>
      <c r="AO20" s="1079">
        <f>'16'!$G$124</f>
        <v>262.6600000000326</v>
      </c>
      <c r="AP20" s="1041">
        <f>'16'!$G$125</f>
        <v>0</v>
      </c>
      <c r="AQ20" s="1041">
        <f>'16'!$G$126</f>
        <v>63.380000000004657</v>
      </c>
      <c r="AR20" s="1041">
        <f>'16'!$G$127</f>
        <v>35.200000000000728</v>
      </c>
      <c r="AS20" s="1041">
        <f>'16'!$G$128</f>
        <v>0.2999999999992724</v>
      </c>
      <c r="AT20" s="1041">
        <f t="shared" si="0"/>
        <v>115.52499999990687</v>
      </c>
      <c r="AU20" s="1041">
        <f>SUM('16'!G140:G141)</f>
        <v>9.3999999999998636</v>
      </c>
      <c r="AV20" s="1041">
        <f>'16'!$G$137</f>
        <v>0.49000000000160071</v>
      </c>
      <c r="AW20" s="1041">
        <f>'16'!$G$138</f>
        <v>0</v>
      </c>
      <c r="AX20" s="1041">
        <f>'16'!$G$139</f>
        <v>0</v>
      </c>
      <c r="AY20" s="1038">
        <f t="shared" si="1"/>
        <v>0.49000000000160071</v>
      </c>
      <c r="BA20" s="1046">
        <f t="shared" si="3"/>
        <v>147.13500000012573</v>
      </c>
    </row>
    <row r="21" spans="1:53">
      <c r="A21" s="1040">
        <v>43999</v>
      </c>
      <c r="B21" s="261">
        <f>'17'!G7</f>
        <v>19129.879999999888</v>
      </c>
      <c r="C21" s="261">
        <f>'17'!G8</f>
        <v>19209.440000000061</v>
      </c>
      <c r="D21" s="261">
        <f>'17'!G15</f>
        <v>833.77800000016578</v>
      </c>
      <c r="E21" s="261">
        <f>'17'!G20</f>
        <v>122</v>
      </c>
      <c r="F21" s="261">
        <f>SUM('17'!G35,'17'!G49)</f>
        <v>2468.5599999999395</v>
      </c>
      <c r="G21" s="261">
        <f>SUM('17'!G37,'17'!G51)</f>
        <v>1431.4800000000105</v>
      </c>
      <c r="H21" s="261">
        <f>SUM('17'!G38,'17'!G52)</f>
        <v>1378.820000000007</v>
      </c>
      <c r="I21" s="261">
        <f>SUM('17'!G39,'17'!G53)</f>
        <v>3280.1699999999255</v>
      </c>
      <c r="J21" s="261">
        <f>SUM('17'!G41,'17'!G42,'17'!G55,'17'!G56)</f>
        <v>5676.4399999999587</v>
      </c>
      <c r="K21" s="261">
        <f>SUM('17'!G43,'17'!G57)</f>
        <v>2523.5</v>
      </c>
      <c r="L21" s="1041">
        <f>'17'!G50</f>
        <v>940.28000000002794</v>
      </c>
      <c r="M21" s="1041">
        <f>'17'!G36</f>
        <v>775.75</v>
      </c>
      <c r="N21" s="1041">
        <f>'18'!G72</f>
        <v>12</v>
      </c>
      <c r="O21" s="1041">
        <f>'17'!$G$73</f>
        <v>2</v>
      </c>
      <c r="P21" s="1041">
        <f>'17'!$G$74</f>
        <v>0.89999999999417923</v>
      </c>
      <c r="Q21" s="1041">
        <f>'17'!$G$75</f>
        <v>130.07999999999993</v>
      </c>
      <c r="R21" s="1041">
        <f>'17'!$G$76</f>
        <v>58.079999999999927</v>
      </c>
      <c r="S21" s="1041">
        <f>'17'!$G$77</f>
        <v>48</v>
      </c>
      <c r="T21" s="1032">
        <f>'17'!$G$78</f>
        <v>103</v>
      </c>
      <c r="U21" s="1032">
        <f>'17'!$G$79</f>
        <v>133</v>
      </c>
      <c r="V21" s="1032">
        <f>'17'!$G$80</f>
        <v>334.52000000001863</v>
      </c>
      <c r="W21" s="1032">
        <f>'17'!$G$81</f>
        <v>143.28000000002794</v>
      </c>
      <c r="X21" s="1032">
        <f>'17'!$G$82</f>
        <v>13.679999999993015</v>
      </c>
      <c r="Y21" s="1032">
        <f>'17'!$G$58</f>
        <v>246.62999999999738</v>
      </c>
      <c r="Z21" s="1032">
        <f>'17'!$G$83</f>
        <v>164</v>
      </c>
      <c r="AA21" s="1032">
        <f>'17'!G86</f>
        <v>26.840000000025611</v>
      </c>
      <c r="AB21" s="1032">
        <f>'17'!G87</f>
        <v>18.600000000005821</v>
      </c>
      <c r="AC21" s="1032">
        <f>'17'!G88</f>
        <v>71.75</v>
      </c>
      <c r="AD21" s="1032">
        <f>'17'!G87+'17'!H90</f>
        <v>20.20000000000573</v>
      </c>
      <c r="AE21" s="1041">
        <f>'17'!$G$62</f>
        <v>-0.18000000000029104</v>
      </c>
      <c r="AF21" s="1041">
        <f>'17'!$G$63</f>
        <v>0</v>
      </c>
      <c r="AG21" s="1041">
        <f>'17'!$G$64</f>
        <v>344.57999999998719</v>
      </c>
      <c r="AH21" s="1041">
        <f>'17'!$G$65</f>
        <v>342.29999999998836</v>
      </c>
      <c r="AI21" s="1041">
        <f>'17'!$G$66</f>
        <v>331.43999999999505</v>
      </c>
      <c r="AJ21" s="1041">
        <f>'17'!$G$67</f>
        <v>426.03999999997905</v>
      </c>
      <c r="AK21" s="1041">
        <f>'17'!$G$68</f>
        <v>0</v>
      </c>
      <c r="AL21" s="1041">
        <f>'17'!$G$69</f>
        <v>174.15999999998894</v>
      </c>
      <c r="AM21" s="1041">
        <f>'17'!$G$84</f>
        <v>706</v>
      </c>
      <c r="AN21" s="1041">
        <f>'17'!$G$15</f>
        <v>833.77800000016578</v>
      </c>
      <c r="AO21" s="1041">
        <f>'17'!$G$124</f>
        <v>303.17999999993481</v>
      </c>
      <c r="AP21" s="1041">
        <f>'17'!$G$125</f>
        <v>0</v>
      </c>
      <c r="AQ21" s="1041">
        <f>'17'!$G$126</f>
        <v>69.5</v>
      </c>
      <c r="AR21" s="1041">
        <f>'17'!$G$127</f>
        <v>30</v>
      </c>
      <c r="AS21" s="1041">
        <f>'17'!$G$128</f>
        <v>0.1000000000003638</v>
      </c>
      <c r="AT21" s="1041">
        <f t="shared" si="0"/>
        <v>430.9980000002306</v>
      </c>
      <c r="AU21" s="1041">
        <f>SUM('17'!G140:G141)</f>
        <v>11.300000000000182</v>
      </c>
      <c r="AV21" s="1041">
        <f>'17'!$G$137</f>
        <v>8.6099999999969441</v>
      </c>
      <c r="AW21" s="1041">
        <f>'17'!$G$138</f>
        <v>0</v>
      </c>
      <c r="AX21" s="1041">
        <f>'17'!$G$139</f>
        <v>0</v>
      </c>
      <c r="AY21" s="1038">
        <f t="shared" si="1"/>
        <v>8.6099999999969441</v>
      </c>
      <c r="BA21" s="1046">
        <f t="shared" si="3"/>
        <v>-127.8180000002958</v>
      </c>
    </row>
    <row r="22" spans="1:53">
      <c r="A22" s="1040">
        <v>44000</v>
      </c>
      <c r="B22" s="261">
        <f>'18'!G7</f>
        <v>20005.520000000019</v>
      </c>
      <c r="C22" s="261">
        <f>'18'!G8</f>
        <v>20104.479999999981</v>
      </c>
      <c r="D22" s="261">
        <f>'18'!G15</f>
        <v>638.77700000000186</v>
      </c>
      <c r="E22" s="261">
        <f>'18'!G20</f>
        <v>145</v>
      </c>
      <c r="F22" s="261">
        <f>SUM('18'!G35,'18'!G49)</f>
        <v>2647.5200000000186</v>
      </c>
      <c r="G22" s="261">
        <f>SUM('18'!G37,'18'!G51)</f>
        <v>1451.5899999999965</v>
      </c>
      <c r="H22" s="261">
        <f>SUM('18'!G38,'18'!G52)</f>
        <v>1375.1300000000338</v>
      </c>
      <c r="I22" s="261">
        <f>SUM('18'!G39,'18'!G53)</f>
        <v>3490.4000000000233</v>
      </c>
      <c r="J22" s="261">
        <f>SUM('18'!G41,'18'!G42,'18'!G55,'18'!G56)</f>
        <v>6328.7099999999336</v>
      </c>
      <c r="K22" s="261">
        <f>SUM('18'!G43,'18'!G57)</f>
        <v>2756.8999999999069</v>
      </c>
      <c r="L22" s="1041">
        <f>'18'!G50</f>
        <v>968.8399999999674</v>
      </c>
      <c r="M22" s="1041">
        <f>'18'!G36</f>
        <v>615.31999999999971</v>
      </c>
      <c r="N22" s="1041">
        <f>'18'!G72</f>
        <v>12</v>
      </c>
      <c r="O22" s="1041">
        <f>'18'!$G$73</f>
        <v>0</v>
      </c>
      <c r="P22" s="1041">
        <f>'18'!$G$74</f>
        <v>0.60000000000582077</v>
      </c>
      <c r="Q22" s="1041">
        <f>'18'!$G$75</f>
        <v>142.85000000000036</v>
      </c>
      <c r="R22" s="1041">
        <f>'18'!$G$76</f>
        <v>58.680000000000291</v>
      </c>
      <c r="S22" s="1041">
        <f>'18'!$G$77</f>
        <v>54</v>
      </c>
      <c r="T22" s="1032">
        <f>'18'!$G$78</f>
        <v>120</v>
      </c>
      <c r="U22" s="1032">
        <f>'18'!$G$79</f>
        <v>143</v>
      </c>
      <c r="V22" s="1044">
        <f>'18'!$G$80</f>
        <v>390.31999999994878</v>
      </c>
      <c r="W22" s="1044">
        <f>'18'!$G$81</f>
        <v>141.7599999998929</v>
      </c>
      <c r="X22" s="1044">
        <f>'18'!$G$82</f>
        <v>25.270000000004075</v>
      </c>
      <c r="Y22" s="1044">
        <f>'18'!$G$58</f>
        <v>154.40000000000146</v>
      </c>
      <c r="Z22" s="1044">
        <f>'18'!$G$83</f>
        <v>200</v>
      </c>
      <c r="AA22" s="1044">
        <f>'18'!G86</f>
        <v>21.919999999983702</v>
      </c>
      <c r="AB22" s="1032">
        <f>'18'!G87</f>
        <v>28.899999999994179</v>
      </c>
      <c r="AC22" s="1032">
        <f>'18'!G88</f>
        <v>94.850000000005821</v>
      </c>
      <c r="AD22" s="1032">
        <f>'18'!G87+'18'!H90</f>
        <v>32.399999999994179</v>
      </c>
      <c r="AE22" s="1041">
        <f>'18'!$G$62</f>
        <v>0.18000000000029104</v>
      </c>
      <c r="AF22" s="1041">
        <f>'18'!$G$63</f>
        <v>0</v>
      </c>
      <c r="AG22" s="1041">
        <f>'18'!$G$64</f>
        <v>345.02000000001863</v>
      </c>
      <c r="AH22" s="1041">
        <f>'18'!$G$65</f>
        <v>371.55999999999767</v>
      </c>
      <c r="AI22" s="1041">
        <f>'18'!$G$66</f>
        <v>352.84000000000378</v>
      </c>
      <c r="AJ22" s="1041">
        <f>'18'!$G$67</f>
        <v>476.02000000001863</v>
      </c>
      <c r="AK22" s="1041">
        <f>'18'!$G$68</f>
        <v>0</v>
      </c>
      <c r="AL22" s="1041">
        <f>'18'!$G$69</f>
        <v>244.95000000001164</v>
      </c>
      <c r="AM22" s="1041">
        <f>'18'!$G$84</f>
        <v>747</v>
      </c>
      <c r="AN22" s="1041">
        <f>'18'!$G$15</f>
        <v>638.77700000000186</v>
      </c>
      <c r="AO22" s="1041">
        <f>'18'!$G$124</f>
        <v>272.86999999999534</v>
      </c>
      <c r="AP22" s="1041">
        <f>'18'!$G$125</f>
        <v>0</v>
      </c>
      <c r="AQ22" s="1041">
        <f>'18'!$G$126</f>
        <v>67.799999999988358</v>
      </c>
      <c r="AR22" s="1041">
        <f>'18'!$G$127</f>
        <v>33.899999999997817</v>
      </c>
      <c r="AS22" s="1041">
        <f>'18'!$G$128</f>
        <v>2.3000000000010914</v>
      </c>
      <c r="AT22" s="1041">
        <f t="shared" si="0"/>
        <v>261.90700000001925</v>
      </c>
      <c r="AU22" s="1041">
        <f>SUM('18'!G140:G141)</f>
        <v>10.289999999999964</v>
      </c>
      <c r="AV22" s="1041">
        <f>'18'!$G$137</f>
        <v>0</v>
      </c>
      <c r="AW22" s="1041">
        <f>'18'!$G$138</f>
        <v>4.9999999999272404E-2</v>
      </c>
      <c r="AX22" s="1041">
        <f>'18'!$G$139</f>
        <v>12.779999999998836</v>
      </c>
      <c r="AY22" s="1038">
        <f t="shared" si="1"/>
        <v>12.829999999998108</v>
      </c>
      <c r="BA22" s="1046">
        <f t="shared" si="3"/>
        <v>10.962999999976091</v>
      </c>
    </row>
    <row r="23" spans="1:53" s="1043" customFormat="1">
      <c r="A23" s="1040">
        <v>44001</v>
      </c>
      <c r="B23" s="261">
        <f>'19'!G7</f>
        <v>23122.440000000061</v>
      </c>
      <c r="C23" s="261">
        <f>'19'!G8</f>
        <v>23254.719999999972</v>
      </c>
      <c r="D23" s="261">
        <f>'19'!G15</f>
        <v>1049.74599999981</v>
      </c>
      <c r="E23" s="261">
        <f>'19'!G20</f>
        <v>193</v>
      </c>
      <c r="F23" s="261">
        <f>SUM('19'!G35,'19'!G49)</f>
        <v>2958.1600000000326</v>
      </c>
      <c r="G23" s="261">
        <f>SUM('19'!G37,'19'!G51)</f>
        <v>1546.2600000000093</v>
      </c>
      <c r="H23" s="261">
        <f>SUM('19'!G38,'19'!G52)</f>
        <v>1613.0699999999488</v>
      </c>
      <c r="I23" s="261">
        <f>SUM('19'!G39,'19'!G53)</f>
        <v>3744.2800000000279</v>
      </c>
      <c r="J23" s="261">
        <f>SUM('19'!G41,'19'!G42,'19'!G55,'19'!G56)</f>
        <v>7021.7100000000355</v>
      </c>
      <c r="K23" s="261">
        <f>SUM('19'!G43,'19'!G57)</f>
        <v>2927.67</v>
      </c>
      <c r="L23" s="1032">
        <f>'19'!G50</f>
        <v>1573.2399999999907</v>
      </c>
      <c r="M23" s="1032">
        <f>'19'!G36</f>
        <v>1030.2799999999988</v>
      </c>
      <c r="N23" s="1032">
        <f>'19'!G72</f>
        <v>13</v>
      </c>
      <c r="O23" s="1032">
        <f>'19'!$G$73</f>
        <v>1</v>
      </c>
      <c r="P23" s="1032">
        <f>'19'!$G$74</f>
        <v>1.0999999999912689</v>
      </c>
      <c r="Q23" s="1032">
        <f>'19'!$G$75</f>
        <v>174.47999999999956</v>
      </c>
      <c r="R23" s="1041">
        <f>'19'!G76</f>
        <v>66.550000000001091</v>
      </c>
      <c r="S23" s="1032">
        <f>'19'!$G$77</f>
        <v>43</v>
      </c>
      <c r="T23" s="1032">
        <f>'19'!$G$78</f>
        <v>121</v>
      </c>
      <c r="U23" s="1032">
        <f>'19'!$G$79</f>
        <v>147</v>
      </c>
      <c r="V23" s="1032">
        <f>'19'!$G$80</f>
        <v>404.32000000006519</v>
      </c>
      <c r="W23" s="1032">
        <f>'19'!$G$81</f>
        <v>184.64000000001397</v>
      </c>
      <c r="X23" s="1032">
        <f>'19'!$G$82</f>
        <v>18.910000000003492</v>
      </c>
      <c r="Y23" s="1032">
        <f>'19'!$G$58</f>
        <v>314.12999999999738</v>
      </c>
      <c r="Z23" s="1032">
        <f>'19'!$G$83</f>
        <v>307</v>
      </c>
      <c r="AA23" s="1032">
        <f>'19'!G86</f>
        <v>16.039999999979045</v>
      </c>
      <c r="AB23" s="1032">
        <f>'19'!G87</f>
        <v>19.100000000005821</v>
      </c>
      <c r="AC23" s="1032">
        <f>'19'!G88</f>
        <v>55.319999999977881</v>
      </c>
      <c r="AD23" s="1032">
        <f>'19'!G87+'19'!H90</f>
        <v>20.400000000005548</v>
      </c>
      <c r="AE23" s="1032">
        <f>'19'!$G$62</f>
        <v>2.0000000000436557E-2</v>
      </c>
      <c r="AF23" s="1032">
        <f>'19'!$G$63</f>
        <v>0</v>
      </c>
      <c r="AG23" s="1032">
        <f>'19'!$G$64</f>
        <v>343.6699999999837</v>
      </c>
      <c r="AH23" s="1032">
        <f>'19'!$G$65</f>
        <v>422.76000000000931</v>
      </c>
      <c r="AI23" s="1032">
        <f>'19'!$G$66</f>
        <v>421.45999999999913</v>
      </c>
      <c r="AJ23" s="1032">
        <f>'19'!$G$67</f>
        <v>490.75999999998021</v>
      </c>
      <c r="AK23" s="1032">
        <f>'19'!$G$68</f>
        <v>0</v>
      </c>
      <c r="AL23" s="1032">
        <f>'19'!$G$69</f>
        <v>279.52999999999884</v>
      </c>
      <c r="AM23" s="1032">
        <f>'19'!$G$84</f>
        <v>791</v>
      </c>
      <c r="AN23" s="1032">
        <f>'19'!$G$15</f>
        <v>1049.74599999981</v>
      </c>
      <c r="AO23" s="1032">
        <f>'19'!$G$124</f>
        <v>287.67000000004191</v>
      </c>
      <c r="AP23" s="1032">
        <f>'19'!$G$125</f>
        <v>0</v>
      </c>
      <c r="AQ23" s="1032">
        <f>'19'!$G$126</f>
        <v>91.779999999998836</v>
      </c>
      <c r="AR23" s="1032">
        <f>'19'!$G$127</f>
        <v>40.600000000002183</v>
      </c>
      <c r="AS23" s="1032">
        <f>'19'!$G$128</f>
        <v>2.1999999999989086</v>
      </c>
      <c r="AT23" s="1032">
        <f t="shared" si="0"/>
        <v>627.49599999976817</v>
      </c>
      <c r="AU23" s="1032">
        <f>SUM('19'!G140:G141)</f>
        <v>10.629999999999882</v>
      </c>
      <c r="AV23" s="1032">
        <f>'19'!$G$137</f>
        <v>0</v>
      </c>
      <c r="AW23" s="1032">
        <f>'19'!$G$138</f>
        <v>12</v>
      </c>
      <c r="AX23" s="1032">
        <f>'19'!$G$139</f>
        <v>0</v>
      </c>
      <c r="AY23" s="1042">
        <f t="shared" si="1"/>
        <v>12</v>
      </c>
      <c r="BA23" s="1047">
        <f t="shared" si="3"/>
        <v>-339.82599999972626</v>
      </c>
    </row>
    <row r="24" spans="1:53">
      <c r="A24" s="1040">
        <v>44002</v>
      </c>
      <c r="B24" s="261">
        <f>'20'!G7</f>
        <v>23247.679999999935</v>
      </c>
      <c r="C24" s="261">
        <f>'20'!G8</f>
        <v>23350.090000000084</v>
      </c>
      <c r="D24" s="261">
        <f>'20'!G15</f>
        <v>938.63400000007823</v>
      </c>
      <c r="E24" s="261">
        <f>'20'!G20</f>
        <v>261</v>
      </c>
      <c r="F24" s="261">
        <f>SUM('20'!G35,'20'!G49)</f>
        <v>2905.5699999999488</v>
      </c>
      <c r="G24" s="261">
        <f>SUM('20'!G37,'20'!G51)</f>
        <v>1538.789999999979</v>
      </c>
      <c r="H24" s="261">
        <f>SUM('20'!G38,'20'!G52)</f>
        <v>1728.1000000000058</v>
      </c>
      <c r="I24" s="261">
        <f>SUM('20'!G39,'20'!G53)</f>
        <v>3610.7199999999721</v>
      </c>
      <c r="J24" s="261">
        <f>SUM('20'!G41,'20'!G42,'20'!G55,'20'!G56)</f>
        <v>7097.9600000000355</v>
      </c>
      <c r="K24" s="261">
        <f>SUM('20'!G43,'20'!G57)</f>
        <v>2928.3000000000466</v>
      </c>
      <c r="L24" s="1041">
        <f>'20'!G50</f>
        <v>1836.4000000000233</v>
      </c>
      <c r="M24" s="1041">
        <f>'20'!G36</f>
        <v>1025.4000000000015</v>
      </c>
      <c r="N24" s="1041">
        <f>'20'!G72</f>
        <v>13</v>
      </c>
      <c r="O24" s="1041">
        <f>'20'!$G$73</f>
        <v>1</v>
      </c>
      <c r="P24" s="1041">
        <f>'20'!$G$74</f>
        <v>1.6000000000058208</v>
      </c>
      <c r="Q24" s="1041">
        <f>'20'!$G$75</f>
        <v>144.35000000000036</v>
      </c>
      <c r="R24" s="1041">
        <f>'20'!$G$76</f>
        <v>63.799999999999272</v>
      </c>
      <c r="S24" s="1041">
        <f>'20'!$G$77</f>
        <v>53</v>
      </c>
      <c r="T24" s="1032">
        <f>'20'!$G$78</f>
        <v>120</v>
      </c>
      <c r="U24" s="1032">
        <f>'20'!$G$79</f>
        <v>149</v>
      </c>
      <c r="V24" s="1032">
        <f>'20'!$G$80</f>
        <v>441.8399999999674</v>
      </c>
      <c r="W24" s="1032">
        <f>'20'!$G$81</f>
        <v>202.04000000003725</v>
      </c>
      <c r="X24" s="1032">
        <f>'20'!$G$82</f>
        <v>24.830000000001746</v>
      </c>
      <c r="Y24" s="1032">
        <f>'20'!$G$58</f>
        <v>194.25</v>
      </c>
      <c r="Z24" s="1032">
        <f>'20'!$G$83</f>
        <v>259</v>
      </c>
      <c r="AA24" s="1032">
        <f>'20'!G86</f>
        <v>15.760000000009313</v>
      </c>
      <c r="AB24" s="1032">
        <f>'20'!G87</f>
        <v>10.899999999994179</v>
      </c>
      <c r="AC24" s="1032">
        <f>'20'!G88</f>
        <v>32.170000000012806</v>
      </c>
      <c r="AD24" s="1032">
        <f>'20'!G87+'20'!H90</f>
        <v>13.29999999999427</v>
      </c>
      <c r="AE24" s="1041">
        <f>'20'!$G$62</f>
        <v>0</v>
      </c>
      <c r="AF24" s="1041">
        <f>'20'!$G$63</f>
        <v>0</v>
      </c>
      <c r="AG24" s="1041">
        <f>'20'!$G$64</f>
        <v>346.64999999999418</v>
      </c>
      <c r="AH24" s="1041">
        <f>'20'!$G$65</f>
        <v>377.97000000000116</v>
      </c>
      <c r="AI24" s="1041">
        <f>'20'!$G$66</f>
        <v>394.52999999999884</v>
      </c>
      <c r="AJ24" s="1041">
        <f>'20'!$G$67</f>
        <v>459.70000000001164</v>
      </c>
      <c r="AK24" s="1041">
        <f>'20'!$G$68</f>
        <v>0</v>
      </c>
      <c r="AL24" s="1041">
        <f>'20'!$G$69</f>
        <v>257.59999999999127</v>
      </c>
      <c r="AM24" s="1041">
        <f>'20'!$G$84</f>
        <v>866</v>
      </c>
      <c r="AN24" s="1041">
        <f>'20'!$G$15</f>
        <v>938.63400000007823</v>
      </c>
      <c r="AO24" s="1041">
        <f>'20'!$G$124</f>
        <v>312.82999999995809</v>
      </c>
      <c r="AP24" s="1041">
        <f>'20'!$G$125</f>
        <v>0</v>
      </c>
      <c r="AQ24" s="1041">
        <f>'20'!$G$126</f>
        <v>80.39000000001397</v>
      </c>
      <c r="AR24" s="1041">
        <f>'20'!$G$127</f>
        <v>52.700000000000728</v>
      </c>
      <c r="AS24" s="1041">
        <f>'20'!$G$128</f>
        <v>1.6000000000003638</v>
      </c>
      <c r="AT24" s="1041">
        <f t="shared" si="0"/>
        <v>491.11400000010508</v>
      </c>
      <c r="AU24" s="1041">
        <f>SUM('20'!G140:G141)</f>
        <v>11.680000000000064</v>
      </c>
      <c r="AV24" s="1041">
        <f>'20'!$G$137</f>
        <v>0</v>
      </c>
      <c r="AW24" s="1041">
        <f>'20'!$G$138</f>
        <v>7.2800000000024738</v>
      </c>
      <c r="AX24" s="1041">
        <f>'20'!$G$139</f>
        <v>3.6699999999982538</v>
      </c>
      <c r="AY24" s="1038">
        <f t="shared" si="1"/>
        <v>10.950000000000728</v>
      </c>
      <c r="BA24" s="1046">
        <f t="shared" si="3"/>
        <v>-178.28400000014699</v>
      </c>
    </row>
    <row r="25" spans="1:53">
      <c r="A25" s="1040">
        <v>44003</v>
      </c>
      <c r="B25" s="261">
        <f>'21'!G7</f>
        <v>21854.320000000065</v>
      </c>
      <c r="C25" s="261">
        <f>'21'!G8</f>
        <v>21955.149999999907</v>
      </c>
      <c r="D25" s="261">
        <f>'21'!G15</f>
        <v>955.88999999989755</v>
      </c>
      <c r="E25" s="261">
        <f>'21'!G20</f>
        <v>201</v>
      </c>
      <c r="F25" s="261">
        <f>SUM('21'!G35,'21'!G49)</f>
        <v>2750.5</v>
      </c>
      <c r="G25" s="261">
        <f>SUM('21'!G37,'21'!G51)</f>
        <v>1488.1700000000128</v>
      </c>
      <c r="H25" s="261">
        <f>SUM('21'!G38,'21'!G52)</f>
        <v>1628.320000000007</v>
      </c>
      <c r="I25" s="261">
        <f>SUM('21'!G39,'21'!G53)</f>
        <v>3562.5200000000186</v>
      </c>
      <c r="J25" s="261">
        <f>SUM('21'!G41,'21'!G42,'21'!G55,'21'!G56)</f>
        <v>6708.1100000000006</v>
      </c>
      <c r="K25" s="261">
        <f>SUM('21'!G43,'21'!G57)</f>
        <v>2871.6999999999534</v>
      </c>
      <c r="L25" s="1041">
        <f>'21'!G50</f>
        <v>1491.1999999999534</v>
      </c>
      <c r="M25" s="1041">
        <f>'21'!G36</f>
        <v>741.27999999999884</v>
      </c>
      <c r="N25" s="1041">
        <f>'21'!G72</f>
        <v>13</v>
      </c>
      <c r="O25" s="1041">
        <f>'21'!$G$73</f>
        <v>1</v>
      </c>
      <c r="P25" s="1041">
        <f>'21'!$G$74</f>
        <v>1</v>
      </c>
      <c r="Q25" s="1041">
        <f>'21'!$G$75</f>
        <v>138.1299999999992</v>
      </c>
      <c r="R25" s="1041">
        <f>'21'!$G$76</f>
        <v>67.700000000000728</v>
      </c>
      <c r="S25" s="1041">
        <f>'21'!$G$77</f>
        <v>50</v>
      </c>
      <c r="T25" s="1032">
        <f>'21'!$G$78</f>
        <v>70</v>
      </c>
      <c r="U25" s="1032">
        <f>'21'!$G$79</f>
        <v>144</v>
      </c>
      <c r="V25" s="1032">
        <f>'21'!$G$80</f>
        <v>370</v>
      </c>
      <c r="W25" s="1032">
        <f>'21'!$G$81</f>
        <v>184</v>
      </c>
      <c r="X25" s="1032">
        <f>'21'!$G$82</f>
        <v>12.649999999994179</v>
      </c>
      <c r="Y25" s="1032">
        <f>'21'!$G$58</f>
        <v>242.69000000000233</v>
      </c>
      <c r="Z25" s="1032">
        <f>'21'!$G$83</f>
        <v>368</v>
      </c>
      <c r="AA25" s="1032">
        <f>'21'!G86</f>
        <v>16</v>
      </c>
      <c r="AB25" s="1032">
        <f>'21'!G87</f>
        <v>30.80000000000291</v>
      </c>
      <c r="AC25" s="1032">
        <f>'21'!G88</f>
        <v>84</v>
      </c>
      <c r="AD25" s="1032">
        <f>'21'!G87+'21'!H90</f>
        <v>38.200000000003001</v>
      </c>
      <c r="AE25" s="1041">
        <f>'21'!$G$62</f>
        <v>0</v>
      </c>
      <c r="AF25" s="1041">
        <f>'21'!$G$63</f>
        <v>0</v>
      </c>
      <c r="AG25" s="1041">
        <f>'21'!$G$64</f>
        <v>390.48000000001048</v>
      </c>
      <c r="AH25" s="1041">
        <f>'21'!$G$65</f>
        <v>312.89999999999418</v>
      </c>
      <c r="AI25" s="1041">
        <f>'21'!$G$66</f>
        <v>401.65000000000146</v>
      </c>
      <c r="AJ25" s="1041">
        <f>'21'!$G$67</f>
        <v>471.08999999999651</v>
      </c>
      <c r="AK25" s="1041">
        <f>'21'!$G$68</f>
        <v>0</v>
      </c>
      <c r="AL25" s="1041">
        <f>'21'!$G$69</f>
        <v>235.32000000000698</v>
      </c>
      <c r="AM25" s="1041">
        <f>'21'!$G$84</f>
        <v>777</v>
      </c>
      <c r="AN25" s="1041">
        <f>'21'!$G$15</f>
        <v>955.88999999989755</v>
      </c>
      <c r="AO25" s="1041">
        <f>'21'!$G$124</f>
        <v>270.79000000003725</v>
      </c>
      <c r="AP25" s="1041">
        <f>'21'!$G$125</f>
        <v>0</v>
      </c>
      <c r="AQ25" s="1041">
        <f>'21'!$G$126</f>
        <v>71.100000000005821</v>
      </c>
      <c r="AR25" s="1041">
        <f>'21'!$G$127</f>
        <v>38.599999999998545</v>
      </c>
      <c r="AS25" s="1041">
        <f>'21'!$G$128</f>
        <v>0.6000000000003638</v>
      </c>
      <c r="AT25" s="1041">
        <f t="shared" si="0"/>
        <v>574.79999999985557</v>
      </c>
      <c r="AU25" s="1041">
        <f>SUM('21'!G140:G141)</f>
        <v>10.160000000000082</v>
      </c>
      <c r="AV25" s="1041">
        <f>'21'!$G$137</f>
        <v>0</v>
      </c>
      <c r="AW25" s="1041">
        <f>'21'!$G$138</f>
        <v>10.739999999997963</v>
      </c>
      <c r="AX25" s="1041">
        <f>'21'!$G$139</f>
        <v>0</v>
      </c>
      <c r="AY25" s="1038">
        <f t="shared" si="1"/>
        <v>10.739999999997963</v>
      </c>
      <c r="BA25" s="1046">
        <f t="shared" si="3"/>
        <v>-304.00999999981832</v>
      </c>
    </row>
    <row r="26" spans="1:53">
      <c r="A26" s="1040">
        <v>44004</v>
      </c>
      <c r="B26" s="261">
        <f>'22'!G7</f>
        <v>20593.679999999935</v>
      </c>
      <c r="C26" s="261">
        <f>'22'!G8</f>
        <v>20706.20000000007</v>
      </c>
      <c r="D26" s="261">
        <f>'22'!G15</f>
        <v>588.08000000007451</v>
      </c>
      <c r="E26" s="261">
        <f>'22'!G20</f>
        <v>152</v>
      </c>
      <c r="F26" s="261">
        <f>SUM('22'!G35,'22'!G49)</f>
        <v>2900.9000000000233</v>
      </c>
      <c r="G26" s="261">
        <f>SUM('22'!G37,'22'!G51)</f>
        <v>1479.0299999999988</v>
      </c>
      <c r="H26" s="261">
        <f>SUM('22'!G38,'22'!G52)</f>
        <v>1578</v>
      </c>
      <c r="I26" s="261">
        <f>SUM('22'!G39,'22'!G53)</f>
        <v>3410</v>
      </c>
      <c r="J26" s="261">
        <f>SUM('22'!G41,'22'!G42,'22'!G55,'22'!G56)</f>
        <v>6088.5700000000506</v>
      </c>
      <c r="K26" s="261">
        <f>SUM('22'!G43,'22'!G57)</f>
        <v>2901.7000000001863</v>
      </c>
      <c r="L26" s="1041">
        <f>'22'!G50</f>
        <v>1064.1600000000326</v>
      </c>
      <c r="M26" s="1041">
        <f>'22'!G36</f>
        <v>741.52000000000044</v>
      </c>
      <c r="N26" s="1041">
        <f>'22'!G72</f>
        <v>13</v>
      </c>
      <c r="O26" s="1041">
        <f>'22'!$G$73</f>
        <v>1</v>
      </c>
      <c r="P26" s="1041">
        <f>'22'!$G$74</f>
        <v>1</v>
      </c>
      <c r="Q26" s="1041">
        <f>'22'!$G$75</f>
        <v>133.92000000000007</v>
      </c>
      <c r="R26" s="1041">
        <f>'22'!$G$76</f>
        <v>71.059999999999491</v>
      </c>
      <c r="S26" s="1041">
        <f>'22'!$G$77</f>
        <v>48</v>
      </c>
      <c r="T26" s="1032">
        <f>'22'!$G$78</f>
        <v>50</v>
      </c>
      <c r="U26" s="1032">
        <f>'22'!$G$79</f>
        <v>149</v>
      </c>
      <c r="V26" s="1032">
        <f>'22'!$G$80</f>
        <v>341</v>
      </c>
      <c r="W26" s="1032">
        <f>'22'!$G$81</f>
        <v>204</v>
      </c>
      <c r="X26" s="1032">
        <f>'22'!$G$82</f>
        <v>24</v>
      </c>
      <c r="Y26" s="1032">
        <f>'22'!$G$58</f>
        <v>92.169999999998254</v>
      </c>
      <c r="Z26" s="1032">
        <f>'22'!$G$83</f>
        <v>335</v>
      </c>
      <c r="AA26" s="1032">
        <f>'22'!G86</f>
        <v>17.159999999974389</v>
      </c>
      <c r="AB26" s="1032">
        <f>'22'!G87</f>
        <v>31.600000000005821</v>
      </c>
      <c r="AC26" s="1032">
        <f>'22'!G88</f>
        <v>120</v>
      </c>
      <c r="AD26" s="1032">
        <f>'22'!G87+'22'!H90</f>
        <v>43.900000000005548</v>
      </c>
      <c r="AE26" s="1041">
        <f>'22'!$G$62</f>
        <v>0</v>
      </c>
      <c r="AF26" s="1041">
        <f>'22'!$G$63</f>
        <v>0</v>
      </c>
      <c r="AG26" s="1041">
        <f>'22'!$G$64</f>
        <v>384.51000000000931</v>
      </c>
      <c r="AH26" s="1041">
        <f>'22'!$G$65</f>
        <v>261.02999999999884</v>
      </c>
      <c r="AI26" s="1041">
        <f>'22'!$G$66</f>
        <v>392.37999999999738</v>
      </c>
      <c r="AJ26" s="1041">
        <f>'22'!$G$67</f>
        <v>434</v>
      </c>
      <c r="AK26" s="1041">
        <f>'22'!$G$68</f>
        <v>0</v>
      </c>
      <c r="AL26" s="1041">
        <f>'22'!$G$69</f>
        <v>251.11999999999534</v>
      </c>
      <c r="AM26" s="1041">
        <f>'22'!$G$84</f>
        <v>819</v>
      </c>
      <c r="AN26" s="1041">
        <f>'22'!$G$15</f>
        <v>588.08000000007451</v>
      </c>
      <c r="AO26" s="1079">
        <f>'22'!$G$124</f>
        <v>264.77000000001863</v>
      </c>
      <c r="AP26" s="1041">
        <f>'22'!$G$125</f>
        <v>0</v>
      </c>
      <c r="AQ26" s="1041">
        <f>'22'!$G$126</f>
        <v>76.85999999998603</v>
      </c>
      <c r="AR26" s="1041">
        <f>'22'!$G$127</f>
        <v>34.700000000000728</v>
      </c>
      <c r="AS26" s="1041">
        <f>'22'!$G$128</f>
        <v>1.5</v>
      </c>
      <c r="AT26" s="1041">
        <f t="shared" si="0"/>
        <v>210.25000000006912</v>
      </c>
      <c r="AU26" s="1041">
        <f>SUM('22'!G140:G141)</f>
        <v>9.9199999999998454</v>
      </c>
      <c r="AV26" s="1041">
        <f>'22'!$G$137</f>
        <v>0</v>
      </c>
      <c r="AW26" s="1041">
        <f>'22'!$G$138</f>
        <v>0</v>
      </c>
      <c r="AX26" s="1041">
        <f>'22'!$G$139</f>
        <v>9.6499999999941792</v>
      </c>
      <c r="AY26" s="1038">
        <f t="shared" si="1"/>
        <v>9.6499999999941792</v>
      </c>
      <c r="BA26" s="1046">
        <f t="shared" si="3"/>
        <v>54.519999999949505</v>
      </c>
    </row>
    <row r="27" spans="1:53">
      <c r="A27" s="1040">
        <v>44005</v>
      </c>
      <c r="B27" s="261">
        <f>'23'!G7</f>
        <v>19503.840000000084</v>
      </c>
      <c r="C27" s="261">
        <f>'23'!G8</f>
        <v>19591.599999999977</v>
      </c>
      <c r="D27" s="261">
        <f>'23'!G15</f>
        <v>584.38000000012107</v>
      </c>
      <c r="E27" s="261">
        <f>'23'!G20</f>
        <v>101</v>
      </c>
      <c r="F27" s="261">
        <f>SUM('23'!G35,'23'!G49)</f>
        <v>2677.4899999999907</v>
      </c>
      <c r="G27" s="261">
        <f>SUM('23'!G37,'23'!G51)</f>
        <v>1414.3399999999965</v>
      </c>
      <c r="H27" s="261">
        <f>SUM('23'!G38,'23'!G52)</f>
        <v>1354.2200000000012</v>
      </c>
      <c r="I27" s="261">
        <f>SUM('23'!G39,'23'!G53)</f>
        <v>3432.960000000021</v>
      </c>
      <c r="J27" s="261">
        <f>SUM('23'!G41,'23'!G42,'23'!G55,'23'!G56)</f>
        <v>5831.9499999999389</v>
      </c>
      <c r="K27" s="261">
        <f>SUM('23'!G43,'23'!G57)</f>
        <v>2742.5999999998603</v>
      </c>
      <c r="L27" s="1041">
        <f>'23'!G50</f>
        <v>989.40000000002328</v>
      </c>
      <c r="M27" s="1041">
        <f>'23'!G36</f>
        <v>662.30999999999949</v>
      </c>
      <c r="N27" s="1041">
        <f>'23'!G72</f>
        <v>13</v>
      </c>
      <c r="O27" s="1041">
        <f>'23'!G73</f>
        <v>2</v>
      </c>
      <c r="P27" s="1041">
        <f>'23'!$G$74</f>
        <v>1</v>
      </c>
      <c r="Q27" s="1041">
        <f>'23'!$G$75</f>
        <v>155</v>
      </c>
      <c r="R27" s="1041">
        <f>'23'!$G$76</f>
        <v>68.200000000000728</v>
      </c>
      <c r="S27" s="1041">
        <f>'23'!$G$77</f>
        <v>51</v>
      </c>
      <c r="T27" s="1032">
        <f>'23'!$G$78</f>
        <v>66</v>
      </c>
      <c r="U27" s="1032">
        <f>'23'!$G$79</f>
        <v>151</v>
      </c>
      <c r="V27" s="1032">
        <f>'23'!$G$80</f>
        <v>391.31999999994878</v>
      </c>
      <c r="W27" s="1032">
        <f>'23'!$G$81</f>
        <v>175.64000000001397</v>
      </c>
      <c r="X27" s="1032">
        <f>'23'!$G$82</f>
        <v>12.720000000001164</v>
      </c>
      <c r="Y27" s="1032">
        <f>'23'!$G$58</f>
        <v>82.040000000000873</v>
      </c>
      <c r="Z27" s="1077">
        <f>'23'!$G$83</f>
        <v>138</v>
      </c>
      <c r="AA27" s="1032">
        <f>'23'!$G$86</f>
        <v>25.480000000039581</v>
      </c>
      <c r="AB27" s="1032">
        <f>'23'!G87</f>
        <v>32.899999999994179</v>
      </c>
      <c r="AC27" s="1032">
        <f>'23'!G88</f>
        <v>81</v>
      </c>
      <c r="AD27" s="1032">
        <f>'23'!G87+'23'!H90</f>
        <v>49.199999999993906</v>
      </c>
      <c r="AE27" s="1041">
        <f>'23'!$G$62</f>
        <v>-0.2000000000007276</v>
      </c>
      <c r="AF27" s="1041">
        <f>'23'!$G$63</f>
        <v>0</v>
      </c>
      <c r="AG27" s="1041">
        <f>'23'!$G$64</f>
        <v>382.32999999998719</v>
      </c>
      <c r="AH27" s="1041">
        <f>'23'!$G$65</f>
        <v>289.42000000001281</v>
      </c>
      <c r="AI27" s="1041">
        <f>'23'!$G$66</f>
        <v>388.12000000000262</v>
      </c>
      <c r="AJ27" s="1041">
        <f>'23'!$G$67</f>
        <v>421.67000000001281</v>
      </c>
      <c r="AK27" s="1041">
        <f>'23'!$G$68</f>
        <v>0</v>
      </c>
      <c r="AL27" s="1041">
        <f>'23'!$G$69</f>
        <v>260.80000000000291</v>
      </c>
      <c r="AM27" s="1041">
        <f>'23'!$G$84</f>
        <v>782</v>
      </c>
      <c r="AN27" s="1041">
        <f>'23'!$G$15</f>
        <v>584.38000000012107</v>
      </c>
      <c r="AO27" s="1041">
        <f>'23'!$G$124</f>
        <v>283.38000000000466</v>
      </c>
      <c r="AP27" s="1041">
        <f>'23'!$G$125</f>
        <v>0</v>
      </c>
      <c r="AQ27" s="1041">
        <f>'23'!$G$126</f>
        <v>88.610000000015134</v>
      </c>
      <c r="AR27" s="1041">
        <f>'23'!$G$127</f>
        <v>36.5</v>
      </c>
      <c r="AS27" s="1041">
        <f>'23'!$G$128</f>
        <v>2.5</v>
      </c>
      <c r="AT27" s="1041">
        <f t="shared" si="0"/>
        <v>173.39000000010128</v>
      </c>
      <c r="AU27" s="1041">
        <f>SUM('23'!G140:G141)</f>
        <v>10.820000000000164</v>
      </c>
      <c r="AV27" s="1041">
        <f>'23'!$G$137</f>
        <v>1.9400000000023283</v>
      </c>
      <c r="AW27" s="1041">
        <f>'23'!$G$138</f>
        <v>0</v>
      </c>
      <c r="AX27" s="1041">
        <f>'23'!$G$139</f>
        <v>0</v>
      </c>
      <c r="AY27" s="1038">
        <f t="shared" si="1"/>
        <v>1.9400000000023283</v>
      </c>
      <c r="BA27" s="1046">
        <f t="shared" si="3"/>
        <v>109.98999999990338</v>
      </c>
    </row>
    <row r="28" spans="1:53" s="1080" customFormat="1">
      <c r="A28" s="1040">
        <v>44006</v>
      </c>
      <c r="B28" s="261">
        <f>'24'!G7</f>
        <v>22111.329999999958</v>
      </c>
      <c r="C28" s="261">
        <f>'24'!G8</f>
        <v>22197.130000000005</v>
      </c>
      <c r="D28" s="261">
        <f>'24'!G15</f>
        <v>944.64999999990687</v>
      </c>
      <c r="E28" s="261">
        <f>'24'!G20</f>
        <v>164</v>
      </c>
      <c r="F28" s="261">
        <f>SUM('24'!G35,'24'!G49)</f>
        <v>2800.5</v>
      </c>
      <c r="G28" s="261">
        <f>SUM('24'!G37,'24'!G51)</f>
        <v>1486.5400000000081</v>
      </c>
      <c r="H28" s="261">
        <f>SUM('24'!G38,'24'!G52)</f>
        <v>1527.9600000000501</v>
      </c>
      <c r="I28" s="261">
        <f>SUM('24'!G39,'24'!G53)</f>
        <v>3514.4599999999627</v>
      </c>
      <c r="J28" s="261">
        <f>SUM('24'!G41,'24'!G42,'24'!G55,'24'!G56)</f>
        <v>6559.3000000000175</v>
      </c>
      <c r="K28" s="261">
        <f>SUM('24'!G43,'24'!G57)</f>
        <v>2919.3000000000466</v>
      </c>
      <c r="L28" s="1041">
        <f>'24'!G50</f>
        <v>1520.609999999986</v>
      </c>
      <c r="M28" s="1032">
        <f>'24'!G36</f>
        <v>1173.0200000000004</v>
      </c>
      <c r="N28" s="1032">
        <f>'24'!G72</f>
        <v>14</v>
      </c>
      <c r="O28" s="1032">
        <f>'24'!G73</f>
        <v>1</v>
      </c>
      <c r="P28" s="1032">
        <f>'24'!$G$74</f>
        <v>0</v>
      </c>
      <c r="Q28" s="1032">
        <f>'24'!$G$75</f>
        <v>157.70000000000073</v>
      </c>
      <c r="R28" s="1032">
        <f>'24'!$G$76</f>
        <v>69.209999999999127</v>
      </c>
      <c r="S28" s="1032">
        <f>'24'!$G$77</f>
        <v>45</v>
      </c>
      <c r="T28" s="1032">
        <f>'24'!$G$78</f>
        <v>76</v>
      </c>
      <c r="U28" s="1032">
        <f>'24'!$G$79</f>
        <v>168</v>
      </c>
      <c r="V28" s="1032">
        <f>'24'!$G$80</f>
        <v>399.68000000005122</v>
      </c>
      <c r="W28" s="1032">
        <f>'24'!$G$81</f>
        <v>185.35999999998603</v>
      </c>
      <c r="X28" s="1032">
        <f>'24'!$G$82</f>
        <v>14.279999999998836</v>
      </c>
      <c r="Y28" s="1032">
        <f>'24'!$G$58</f>
        <v>220.58000000000175</v>
      </c>
      <c r="Z28" s="1032">
        <f>'24'!$G$83</f>
        <v>259</v>
      </c>
      <c r="AA28" s="1032">
        <f>'24'!G86</f>
        <v>39.35999999998603</v>
      </c>
      <c r="AB28" s="1032">
        <f>'24'!G87</f>
        <v>31</v>
      </c>
      <c r="AC28" s="1032">
        <f>'24'!G88</f>
        <v>147</v>
      </c>
      <c r="AD28" s="1032">
        <f>'24'!G87+'24'!H90</f>
        <v>35.300000000000182</v>
      </c>
      <c r="AE28" s="1032">
        <f>'24'!$G$62</f>
        <v>0</v>
      </c>
      <c r="AF28" s="1032">
        <f>'24'!$G$63</f>
        <v>0</v>
      </c>
      <c r="AG28" s="1032">
        <f>'24'!$G$64</f>
        <v>404.41000000000349</v>
      </c>
      <c r="AH28" s="1032">
        <f>'24'!$G$65</f>
        <v>316.80999999999767</v>
      </c>
      <c r="AI28" s="1032">
        <f>'24'!$G$66</f>
        <v>407.34999999999854</v>
      </c>
      <c r="AJ28" s="1032">
        <f>'24'!$G$67</f>
        <v>432.32999999998719</v>
      </c>
      <c r="AK28" s="1032">
        <f>'24'!$G$68</f>
        <v>0</v>
      </c>
      <c r="AL28" s="1032">
        <f>'24'!$G$69</f>
        <v>237.25</v>
      </c>
      <c r="AM28" s="1032">
        <f>'24'!$G$84</f>
        <v>750</v>
      </c>
      <c r="AN28" s="1032">
        <f>'24'!$G$15</f>
        <v>944.64999999990687</v>
      </c>
      <c r="AO28" s="1079">
        <f>'24'!$G$124</f>
        <v>288.84999999997672</v>
      </c>
      <c r="AP28" s="1079">
        <f>'24'!$G$125</f>
        <v>-0.39999999999417923</v>
      </c>
      <c r="AQ28" s="1079">
        <f>'24'!$G$126</f>
        <v>73.579999999987194</v>
      </c>
      <c r="AR28" s="1032">
        <f>'24'!$G$127</f>
        <v>34.799999999999272</v>
      </c>
      <c r="AS28" s="1032">
        <f>'24'!$G$128</f>
        <v>2.8999999999996362</v>
      </c>
      <c r="AT28" s="1079">
        <f>AN28-SUM(AO28:AS28)</f>
        <v>544.91999999993823</v>
      </c>
      <c r="AU28" s="1032">
        <f>SUM('24'!G140:G141)</f>
        <v>10.7199999999998</v>
      </c>
      <c r="AV28" s="1032">
        <f>'24'!$G$137</f>
        <v>-4.0000000000873115E-2</v>
      </c>
      <c r="AW28" s="1032">
        <f>'24'!$G$138</f>
        <v>9.5</v>
      </c>
      <c r="AX28" s="1032">
        <f>'24'!$G$139</f>
        <v>1.0500000000029104</v>
      </c>
      <c r="AY28" s="1042">
        <f t="shared" si="1"/>
        <v>10.510000000002037</v>
      </c>
      <c r="BA28" s="1081">
        <f t="shared" si="3"/>
        <v>-256.06999999996151</v>
      </c>
    </row>
    <row r="29" spans="1:53">
      <c r="A29" s="1040">
        <v>44007</v>
      </c>
      <c r="B29" s="261">
        <f>'25'!G7</f>
        <v>19320</v>
      </c>
      <c r="C29" s="261">
        <f>'25'!G8</f>
        <v>19407</v>
      </c>
      <c r="D29" s="261">
        <f>'25'!G15</f>
        <v>746</v>
      </c>
      <c r="E29" s="261">
        <f>'25'!G20</f>
        <v>170</v>
      </c>
      <c r="F29" s="261">
        <f>SUM('25'!G35,'25'!G49)</f>
        <v>2719.0100000000093</v>
      </c>
      <c r="G29" s="261">
        <f>SUM('25'!G37,'25'!G51)</f>
        <v>1517.8699999999953</v>
      </c>
      <c r="H29" s="261">
        <f>SUM('25'!G38,'25'!G52)</f>
        <v>1537.0699999999488</v>
      </c>
      <c r="I29" s="261">
        <f>SUM('25'!G39,'25'!G53)</f>
        <v>3655</v>
      </c>
      <c r="J29" s="261">
        <f>SUM('25'!G41,'25'!G42,'25'!G55,'25'!G56)</f>
        <v>5087</v>
      </c>
      <c r="K29" s="261">
        <f>SUM('25'!G43,'25'!G57)</f>
        <v>2649</v>
      </c>
      <c r="L29" s="1041">
        <f>'25'!G50</f>
        <v>1032</v>
      </c>
      <c r="M29" s="1041">
        <f>'25'!G36</f>
        <v>642</v>
      </c>
      <c r="N29" s="1041">
        <f>'25'!G72</f>
        <v>12</v>
      </c>
      <c r="O29" s="1041">
        <f>'25'!$G$73</f>
        <v>1</v>
      </c>
      <c r="P29" s="1041">
        <f>'25'!$G$74</f>
        <v>0</v>
      </c>
      <c r="Q29" s="1041">
        <f>'25'!$G$75</f>
        <v>149</v>
      </c>
      <c r="R29" s="1041">
        <f>'25'!$G$76</f>
        <v>74</v>
      </c>
      <c r="S29" s="1041">
        <f>'25'!$G$77</f>
        <v>54</v>
      </c>
      <c r="T29" s="1032">
        <f>'25'!$G$78</f>
        <v>84</v>
      </c>
      <c r="U29" s="1032">
        <f>'25'!$G$79</f>
        <v>140</v>
      </c>
      <c r="V29" s="1032">
        <f>'25'!$G$80</f>
        <v>406</v>
      </c>
      <c r="W29" s="1032">
        <f>'25'!$G$81</f>
        <v>118</v>
      </c>
      <c r="X29" s="1032">
        <f>'25'!$G$82</f>
        <v>26</v>
      </c>
      <c r="Y29" s="1032">
        <f>'25'!$G$58</f>
        <v>133</v>
      </c>
      <c r="Z29" s="1032">
        <f>'25'!$G$83</f>
        <v>171</v>
      </c>
      <c r="AA29" s="1032">
        <f>'25'!G86</f>
        <v>29</v>
      </c>
      <c r="AB29" s="1032">
        <f>'25'!G87</f>
        <v>36</v>
      </c>
      <c r="AC29" s="1032">
        <f>'25'!G88</f>
        <v>131</v>
      </c>
      <c r="AD29" s="1032">
        <f>'25'!G87+'25'!H90</f>
        <v>40</v>
      </c>
      <c r="AE29" s="1041">
        <f>'25'!$G$62</f>
        <v>0</v>
      </c>
      <c r="AF29" s="1041">
        <f>'25'!$G$63</f>
        <v>0</v>
      </c>
      <c r="AG29" s="1041">
        <f>'25'!$G$64</f>
        <v>412</v>
      </c>
      <c r="AH29" s="1041">
        <f>'25'!$G$65</f>
        <v>399</v>
      </c>
      <c r="AI29" s="1041">
        <f>'25'!$G$66</f>
        <v>418</v>
      </c>
      <c r="AJ29" s="1041">
        <f>'25'!$G$67</f>
        <v>458</v>
      </c>
      <c r="AK29" s="1041">
        <f>'25'!$G$68</f>
        <v>0</v>
      </c>
      <c r="AL29" s="1041">
        <f>'25'!$G$69</f>
        <v>191</v>
      </c>
      <c r="AM29" s="1041">
        <f>'25'!$G$84</f>
        <v>732</v>
      </c>
      <c r="AN29" s="1041">
        <f>'25'!$G$15</f>
        <v>746</v>
      </c>
      <c r="AO29" s="1041">
        <f>'25'!$G$124</f>
        <v>265</v>
      </c>
      <c r="AP29" s="1041">
        <f>'25'!$G$125</f>
        <v>0</v>
      </c>
      <c r="AQ29" s="1041">
        <f>'25'!$G$126</f>
        <v>70</v>
      </c>
      <c r="AR29" s="1041">
        <f>'25'!$G$127</f>
        <v>39</v>
      </c>
      <c r="AS29" s="1041">
        <f>'25'!$G$128</f>
        <v>0</v>
      </c>
      <c r="AT29" s="1041">
        <f t="shared" si="0"/>
        <v>372</v>
      </c>
      <c r="AU29" s="1041">
        <f>SUM('25'!G140:G141)</f>
        <v>9.3600000000001273</v>
      </c>
      <c r="AV29" s="1041">
        <f>'25'!$G$137</f>
        <v>4.5400000000008731</v>
      </c>
      <c r="AW29" s="1041">
        <f>'25'!$G$138</f>
        <v>-0.38999999999941792</v>
      </c>
      <c r="AX29" s="1041">
        <f>'25'!$G$139</f>
        <v>6.1399999999994179</v>
      </c>
      <c r="AY29" s="1038">
        <f t="shared" si="1"/>
        <v>10.290000000000873</v>
      </c>
      <c r="BA29" s="1046">
        <f t="shared" si="3"/>
        <v>-107</v>
      </c>
    </row>
    <row r="30" spans="1:53">
      <c r="A30" s="1040">
        <v>44008</v>
      </c>
      <c r="B30" s="261">
        <f>'26'!G7</f>
        <v>22643</v>
      </c>
      <c r="C30" s="261">
        <f>'26'!G8</f>
        <v>22760</v>
      </c>
      <c r="D30" s="261">
        <f>'26'!G15</f>
        <v>925</v>
      </c>
      <c r="E30" s="261">
        <f>'26'!G20</f>
        <v>215</v>
      </c>
      <c r="F30" s="261">
        <f>SUM('26'!G35,'26'!G49)</f>
        <v>3029.8699999999953</v>
      </c>
      <c r="G30" s="261">
        <f>SUM('26'!G37,'26'!G51)</f>
        <v>1521</v>
      </c>
      <c r="H30" s="261">
        <f>SUM('26'!G38,'26'!G52)</f>
        <v>1787</v>
      </c>
      <c r="I30" s="261">
        <f>SUM('26'!G39,'26'!G53)</f>
        <v>3678</v>
      </c>
      <c r="J30" s="261">
        <f>SUM('26'!G41,'26'!G42,'26'!G55,'26'!G56)</f>
        <v>6949</v>
      </c>
      <c r="K30" s="261">
        <f>SUM('26'!G43,'26'!G57)</f>
        <v>2958</v>
      </c>
      <c r="L30" s="1041">
        <f>'26'!G50</f>
        <v>1133</v>
      </c>
      <c r="M30" s="1041">
        <f>'26'!G36</f>
        <v>959</v>
      </c>
      <c r="N30" s="1041">
        <f>'26'!G72</f>
        <v>11</v>
      </c>
      <c r="O30" s="1041">
        <f>'26'!$G$73</f>
        <v>1</v>
      </c>
      <c r="P30" s="1041">
        <f>'26'!$G$74</f>
        <v>0</v>
      </c>
      <c r="Q30" s="1041">
        <f>'26'!$G$75</f>
        <v>185</v>
      </c>
      <c r="R30" s="1041">
        <f>'26'!$G$76</f>
        <v>81</v>
      </c>
      <c r="S30" s="1041">
        <f>'26'!$G$77</f>
        <v>60</v>
      </c>
      <c r="T30" s="1032">
        <f>'26'!$G$78</f>
        <v>117</v>
      </c>
      <c r="U30" s="1032">
        <f>'26'!$G$79</f>
        <v>150</v>
      </c>
      <c r="V30" s="1032">
        <f>'26'!$G$80</f>
        <v>428</v>
      </c>
      <c r="W30" s="1032">
        <f>'26'!$G$81</f>
        <v>157</v>
      </c>
      <c r="X30" s="1032">
        <f>'26'!$G$82</f>
        <v>14</v>
      </c>
      <c r="Y30" s="1032">
        <f>'26'!$G$58</f>
        <v>252</v>
      </c>
      <c r="Z30" s="1032">
        <f>'26'!$G$83</f>
        <v>372</v>
      </c>
      <c r="AA30" s="1032">
        <f>'26'!G86</f>
        <v>27</v>
      </c>
      <c r="AB30" s="1032">
        <f>'26'!G87</f>
        <v>17</v>
      </c>
      <c r="AC30" s="1032">
        <f>'26'!G88</f>
        <v>126</v>
      </c>
      <c r="AD30" s="1032">
        <f>'26'!G87+'26'!H90</f>
        <v>18</v>
      </c>
      <c r="AE30" s="1041">
        <f>'26'!$G$62</f>
        <v>0</v>
      </c>
      <c r="AF30" s="1041">
        <f>'26'!$G$63</f>
        <v>0</v>
      </c>
      <c r="AG30" s="1041">
        <f>'26'!$G$64</f>
        <v>321</v>
      </c>
      <c r="AH30" s="1041">
        <f>'26'!$G$65</f>
        <v>438</v>
      </c>
      <c r="AI30" s="1041">
        <f>'26'!$G$66</f>
        <v>448</v>
      </c>
      <c r="AJ30" s="1041">
        <f>'26'!$G$67</f>
        <v>474</v>
      </c>
      <c r="AK30" s="1041">
        <f>'26'!$G$68</f>
        <v>0</v>
      </c>
      <c r="AL30" s="1041">
        <f>'26'!$G$69</f>
        <v>209</v>
      </c>
      <c r="AM30" s="1041">
        <f>'26'!$G$84</f>
        <v>872</v>
      </c>
      <c r="AN30" s="1041">
        <f>'26'!$G$15</f>
        <v>925</v>
      </c>
      <c r="AO30" s="1041">
        <f>'26'!$G$124</f>
        <v>306</v>
      </c>
      <c r="AP30" s="1041">
        <f>'26'!$G$125</f>
        <v>0.39999999999417923</v>
      </c>
      <c r="AQ30" s="1041">
        <f>'26'!$G$126</f>
        <v>103</v>
      </c>
      <c r="AR30" s="1041">
        <f>'26'!$G$127</f>
        <v>37</v>
      </c>
      <c r="AS30" s="1041">
        <f>'26'!$G$128</f>
        <v>9</v>
      </c>
      <c r="AT30" s="1041">
        <f t="shared" si="0"/>
        <v>469.60000000000582</v>
      </c>
      <c r="AU30" s="1041">
        <f>SUM('26'!G140:G141)</f>
        <v>11.5</v>
      </c>
      <c r="AV30" s="1041">
        <f>'26'!$G$137</f>
        <v>8.4500000000007276</v>
      </c>
      <c r="AW30" s="1041">
        <f>'26'!$G$138</f>
        <v>0</v>
      </c>
      <c r="AX30" s="1041">
        <f>'26'!$G$139</f>
        <v>0</v>
      </c>
      <c r="AY30" s="1038">
        <f t="shared" si="1"/>
        <v>8.4500000000007276</v>
      </c>
      <c r="BA30" s="1046">
        <f t="shared" si="3"/>
        <v>-163.60000000000582</v>
      </c>
    </row>
    <row r="31" spans="1:53">
      <c r="A31" s="1040">
        <v>44009</v>
      </c>
      <c r="B31" s="261">
        <f>'27'!G7</f>
        <v>21890</v>
      </c>
      <c r="C31" s="261">
        <f>'27'!G8</f>
        <v>22001</v>
      </c>
      <c r="D31" s="261">
        <f>'27'!G15</f>
        <v>804</v>
      </c>
      <c r="E31" s="261">
        <f>'27'!G20</f>
        <v>241</v>
      </c>
      <c r="F31" s="261">
        <f>SUM('27'!G35,'27'!G49)</f>
        <v>3062.1300000000047</v>
      </c>
      <c r="G31" s="261">
        <f>SUM('27'!G37,'27'!G51)</f>
        <v>1492.1300000000047</v>
      </c>
      <c r="H31" s="261">
        <f>SUM('27'!G38,'27'!G52)</f>
        <v>1712.9300000000512</v>
      </c>
      <c r="I31" s="261">
        <f>SUM('27'!G39,'27'!G53)</f>
        <v>3715</v>
      </c>
      <c r="J31" s="261">
        <f>SUM('27'!G41,'27'!G42,'27'!G55,'27'!G56)</f>
        <v>6445</v>
      </c>
      <c r="K31" s="261">
        <f>SUM('27'!G43,'27'!G57)</f>
        <v>3057</v>
      </c>
      <c r="L31" s="1041">
        <f>'27'!G50</f>
        <v>1299</v>
      </c>
      <c r="M31" s="1041">
        <f>'27'!G36</f>
        <v>587</v>
      </c>
      <c r="N31" s="1041">
        <f>'27'!G72</f>
        <v>11</v>
      </c>
      <c r="O31" s="1041">
        <f>'27'!$G$73</f>
        <v>1</v>
      </c>
      <c r="P31" s="1041">
        <f>'27'!$G$74</f>
        <v>0</v>
      </c>
      <c r="Q31" s="1041">
        <f>'27'!$G$75</f>
        <v>140</v>
      </c>
      <c r="R31" s="1041">
        <f>'27'!$G$76</f>
        <v>77</v>
      </c>
      <c r="S31" s="1041">
        <f>'27'!$G$77</f>
        <v>57</v>
      </c>
      <c r="T31" s="1032">
        <f>'27'!$G$78</f>
        <v>152</v>
      </c>
      <c r="U31" s="1032">
        <f>'27'!$G$79</f>
        <v>139</v>
      </c>
      <c r="V31" s="1032">
        <f>'27'!$G$80</f>
        <v>460</v>
      </c>
      <c r="W31" s="1032">
        <f>'27'!$G$81</f>
        <v>131</v>
      </c>
      <c r="X31" s="1032">
        <f>'27'!$G$82</f>
        <v>25</v>
      </c>
      <c r="Y31" s="1032">
        <f>'27'!$G$58</f>
        <v>141</v>
      </c>
      <c r="Z31" s="1032">
        <f>'27'!$G$83</f>
        <v>319</v>
      </c>
      <c r="AA31" s="1032">
        <f>'27'!G86</f>
        <v>39</v>
      </c>
      <c r="AB31" s="1032">
        <f>'27'!G87</f>
        <v>11</v>
      </c>
      <c r="AC31" s="1032">
        <f>'27'!G88</f>
        <v>34</v>
      </c>
      <c r="AD31" s="1032">
        <f>'27'!G87+'27'!H90</f>
        <v>12</v>
      </c>
      <c r="AE31" s="1041">
        <f>'27'!$G$62</f>
        <v>0</v>
      </c>
      <c r="AF31" s="1041">
        <f>'27'!$G$63</f>
        <v>0</v>
      </c>
      <c r="AG31" s="1041">
        <f>'27'!$G$64</f>
        <v>385</v>
      </c>
      <c r="AH31" s="1041">
        <f>'27'!$G$65</f>
        <v>358</v>
      </c>
      <c r="AI31" s="1041">
        <f>'27'!$G$66</f>
        <v>374</v>
      </c>
      <c r="AJ31" s="1041">
        <f>'27'!$G$67</f>
        <v>470</v>
      </c>
      <c r="AK31" s="1041">
        <f>'27'!$G$68</f>
        <v>0</v>
      </c>
      <c r="AL31" s="1041">
        <f>'27'!$G$69</f>
        <v>323</v>
      </c>
      <c r="AM31" s="1041">
        <f>'27'!$G$84</f>
        <v>884</v>
      </c>
      <c r="AN31" s="1041">
        <f>'27'!$G$15</f>
        <v>804</v>
      </c>
      <c r="AO31" s="1041">
        <f>'27'!$G$124</f>
        <v>294</v>
      </c>
      <c r="AP31" s="1041">
        <f>'27'!$G$125</f>
        <v>0</v>
      </c>
      <c r="AQ31" s="1041">
        <f>'27'!$G$126</f>
        <v>92</v>
      </c>
      <c r="AR31" s="1041">
        <f>'27'!$G$127</f>
        <v>42</v>
      </c>
      <c r="AS31" s="1041">
        <f>'27'!$G$128</f>
        <v>7</v>
      </c>
      <c r="AT31" s="1041">
        <f t="shared" si="0"/>
        <v>369</v>
      </c>
      <c r="AU31" s="1041">
        <f>SUM('27'!G140:G141)</f>
        <v>10.5</v>
      </c>
      <c r="AV31" s="1041">
        <f>'27'!$G$137</f>
        <v>4.4799999999995634</v>
      </c>
      <c r="AW31" s="1041">
        <f>'27'!$G$138</f>
        <v>0.38999999999941792</v>
      </c>
      <c r="AX31" s="1041">
        <f>'27'!$G$139</f>
        <v>5.0800000000017462</v>
      </c>
      <c r="AY31" s="1038">
        <f t="shared" si="1"/>
        <v>9.9500000000007276</v>
      </c>
      <c r="BA31" s="1046">
        <f t="shared" si="3"/>
        <v>-75</v>
      </c>
    </row>
    <row r="32" spans="1:53">
      <c r="A32" s="1040">
        <v>44010</v>
      </c>
      <c r="B32" s="261">
        <f>'28'!G7</f>
        <v>17000</v>
      </c>
      <c r="C32" s="261">
        <f>'28'!G8</f>
        <v>17150</v>
      </c>
      <c r="D32" s="261">
        <f>'28'!G15</f>
        <v>550</v>
      </c>
      <c r="E32" s="261">
        <f>'28'!G20</f>
        <v>-1828</v>
      </c>
      <c r="F32" s="261">
        <f>SUM('28'!G35,'28'!G49)</f>
        <v>-77011</v>
      </c>
      <c r="G32" s="261">
        <f>SUM('28'!G37,'28'!G51)</f>
        <v>-41967</v>
      </c>
      <c r="H32" s="261">
        <f>SUM('28'!G38,'28'!G52)</f>
        <v>-41227.930000000051</v>
      </c>
      <c r="I32" s="261">
        <f>SUM('28'!G39,'28'!G53)</f>
        <v>-95922</v>
      </c>
      <c r="J32" s="261">
        <f>SUM('28'!G41,'28'!G42,'28'!G55,'28'!G56)</f>
        <v>-169304</v>
      </c>
      <c r="K32" s="261">
        <f>SUM('28'!G43,'28'!G57)</f>
        <v>-77232.67</v>
      </c>
      <c r="L32" s="1041">
        <f>'28'!G50</f>
        <v>-31909</v>
      </c>
      <c r="M32" s="1041">
        <f>'28'!G36</f>
        <v>328476</v>
      </c>
      <c r="N32" s="1041">
        <f>'28'!G72</f>
        <v>-385</v>
      </c>
      <c r="O32" s="1041">
        <f>'28'!$G$73</f>
        <v>-34</v>
      </c>
      <c r="P32" s="1041">
        <f>'28'!$G$74</f>
        <v>-86123</v>
      </c>
      <c r="Q32" s="1041">
        <f>'28'!$G$75</f>
        <v>-3172</v>
      </c>
      <c r="R32" s="1041">
        <f>'28'!$G$76</f>
        <v>-1855</v>
      </c>
      <c r="S32" s="1041">
        <f>'28'!$G$77</f>
        <v>-1493</v>
      </c>
      <c r="T32" s="1032">
        <f>'28'!$G$78</f>
        <v>-2602</v>
      </c>
      <c r="U32" s="1032">
        <f>'28'!$G$79</f>
        <v>-4420</v>
      </c>
      <c r="V32" s="1032">
        <f>'28'!$G$80</f>
        <v>-11377</v>
      </c>
      <c r="W32" s="1032">
        <f>'28'!$G$81</f>
        <v>-3952</v>
      </c>
      <c r="X32" s="1032">
        <f>'28'!$G$82</f>
        <v>-521</v>
      </c>
      <c r="Y32" s="1032">
        <f>'28'!$G$58</f>
        <v>-4326</v>
      </c>
      <c r="Z32" s="1032">
        <f>'28'!$G$83</f>
        <v>-6714</v>
      </c>
      <c r="AA32" s="1032">
        <f>'28'!G86</f>
        <v>-869</v>
      </c>
      <c r="AB32" s="1032">
        <f>'28'!G87</f>
        <v>-653</v>
      </c>
      <c r="AC32" s="1032">
        <f>'28'!G88</f>
        <v>-2060</v>
      </c>
      <c r="AD32" s="1032">
        <f>'28'!G87+'28'!H90</f>
        <v>-713</v>
      </c>
      <c r="AE32" s="1041">
        <f>'28'!$G$62</f>
        <v>0</v>
      </c>
      <c r="AF32" s="1041">
        <f>'28'!$G$63</f>
        <v>2464</v>
      </c>
      <c r="AG32" s="1041">
        <f>'28'!$G$64</f>
        <v>-9557</v>
      </c>
      <c r="AH32" s="1041">
        <f>'28'!$G$65</f>
        <v>-8695</v>
      </c>
      <c r="AI32" s="1041">
        <f>'28'!$G$66</f>
        <v>-10714</v>
      </c>
      <c r="AJ32" s="1041">
        <f>'28'!$G$67</f>
        <v>-12943</v>
      </c>
      <c r="AK32" s="1041">
        <f>'28'!$G$68</f>
        <v>0</v>
      </c>
      <c r="AL32" s="1041">
        <f>'28'!$G$69</f>
        <v>-5406</v>
      </c>
      <c r="AM32" s="1041">
        <f>'28'!$G$84</f>
        <v>-22822</v>
      </c>
      <c r="AN32" s="1041">
        <f>'28'!$G$15</f>
        <v>550</v>
      </c>
      <c r="AO32" s="1041">
        <f>'28'!$G$124</f>
        <v>-7087</v>
      </c>
      <c r="AP32" s="1041">
        <f>'28'!$G$125</f>
        <v>0</v>
      </c>
      <c r="AQ32" s="1041">
        <f>'28'!$G$126</f>
        <v>-2089</v>
      </c>
      <c r="AR32" s="1041">
        <f>'28'!$G$127</f>
        <v>-577</v>
      </c>
      <c r="AS32" s="1041">
        <f>'28'!$G$128</f>
        <v>-35</v>
      </c>
      <c r="AT32" s="1041">
        <f t="shared" si="0"/>
        <v>10338</v>
      </c>
      <c r="AU32" s="1041">
        <f>SUM('28'!G140:G141)</f>
        <v>-267</v>
      </c>
      <c r="AV32" s="1041">
        <f>'28'!$G$137</f>
        <v>-79.470000000001164</v>
      </c>
      <c r="AW32" s="1041">
        <f>'28'!$G$138</f>
        <v>-39.569999999999709</v>
      </c>
      <c r="AX32" s="1041">
        <f>'28'!$G$139</f>
        <v>-107</v>
      </c>
      <c r="AY32" s="1038">
        <f t="shared" si="1"/>
        <v>-226.04000000000087</v>
      </c>
      <c r="BA32" s="1046">
        <f t="shared" si="3"/>
        <v>-17425</v>
      </c>
    </row>
    <row r="33" spans="1:53">
      <c r="A33" s="1040">
        <v>44011</v>
      </c>
      <c r="B33" s="261">
        <f>'29'!G7</f>
        <v>17000</v>
      </c>
      <c r="C33" s="261">
        <f>'29'!G8</f>
        <v>17150</v>
      </c>
      <c r="D33" s="261">
        <f>'29'!G15</f>
        <v>550</v>
      </c>
      <c r="E33" s="261">
        <f>'29'!G20</f>
        <v>117</v>
      </c>
      <c r="F33" s="261">
        <f>SUM('29'!G35,'29'!G49)</f>
        <v>2408</v>
      </c>
      <c r="G33" s="261">
        <f>SUM('29'!G37,'29'!G51)</f>
        <v>1353.8699999999953</v>
      </c>
      <c r="H33" s="261">
        <f>SUM('29'!G38,'29'!G52)</f>
        <v>1218</v>
      </c>
      <c r="I33" s="261">
        <f>SUM('29'!G39,'29'!G53)</f>
        <v>2918</v>
      </c>
      <c r="J33" s="261">
        <f>SUM('29'!G41,'29'!G42,'29'!G55,'29'!G56)</f>
        <v>4832</v>
      </c>
      <c r="K33" s="261">
        <f>SUM('29'!G43,'29'!G57)</f>
        <v>2325.67</v>
      </c>
      <c r="L33" s="1041">
        <f>'29'!G50</f>
        <v>866</v>
      </c>
      <c r="M33" s="1041">
        <f>'29'!G36</f>
        <v>0</v>
      </c>
      <c r="N33" s="1041">
        <f>'29'!G72</f>
        <v>11</v>
      </c>
      <c r="O33" s="1041">
        <f>'29'!$G$73</f>
        <v>1</v>
      </c>
      <c r="P33" s="1041">
        <f>'29'!$G$74</f>
        <v>7</v>
      </c>
      <c r="Q33" s="1041">
        <f>'29'!$G$75</f>
        <v>56</v>
      </c>
      <c r="R33" s="1041">
        <f>'29'!$G$76</f>
        <v>58</v>
      </c>
      <c r="S33" s="1041">
        <f>'29'!$G$77</f>
        <v>38</v>
      </c>
      <c r="T33" s="1041">
        <f>'29'!$G$78</f>
        <v>195</v>
      </c>
      <c r="U33" s="1041">
        <f>'29'!$G$79</f>
        <v>138</v>
      </c>
      <c r="V33" s="1041">
        <f>'29'!$G$80</f>
        <v>392</v>
      </c>
      <c r="W33" s="1041">
        <f>'29'!$G$81</f>
        <v>86</v>
      </c>
      <c r="X33" s="1041">
        <f>'29'!$G$82</f>
        <v>11</v>
      </c>
      <c r="Y33" s="1041">
        <f>'29'!$G$58</f>
        <v>0</v>
      </c>
      <c r="Z33" s="1041">
        <f>'29'!$G$83</f>
        <v>169</v>
      </c>
      <c r="AA33" s="1041">
        <f>'29'!G86</f>
        <v>35</v>
      </c>
      <c r="AB33" s="1041">
        <f>'29'!G87</f>
        <v>15</v>
      </c>
      <c r="AC33" s="1041">
        <f>'29'!G88</f>
        <v>23</v>
      </c>
      <c r="AD33" s="1041">
        <f>'29'!G87+'29'!H90</f>
        <v>15</v>
      </c>
      <c r="AE33" s="1041">
        <f>'29'!$G$62</f>
        <v>0</v>
      </c>
      <c r="AF33" s="1041">
        <f>'29'!$G$63</f>
        <v>4</v>
      </c>
      <c r="AG33" s="1041">
        <f>'29'!$G$64</f>
        <v>193</v>
      </c>
      <c r="AH33" s="1041">
        <f>'29'!$G$65</f>
        <v>213</v>
      </c>
      <c r="AI33" s="1041">
        <f>'29'!$G$66</f>
        <v>281</v>
      </c>
      <c r="AJ33" s="1041">
        <f>'29'!$G$67</f>
        <v>539</v>
      </c>
      <c r="AK33" s="1041">
        <f>'29'!$G$68</f>
        <v>0</v>
      </c>
      <c r="AL33" s="1041">
        <f>'29'!$G$69</f>
        <v>89</v>
      </c>
      <c r="AM33" s="1041">
        <f>'29'!$G$84</f>
        <v>872</v>
      </c>
      <c r="AN33" s="1041">
        <f>'29'!$G$15</f>
        <v>550</v>
      </c>
      <c r="AO33" s="1041">
        <f>'29'!$G$124</f>
        <v>197</v>
      </c>
      <c r="AP33" s="1041">
        <f>'29'!$G$125</f>
        <v>-0.39999999999417923</v>
      </c>
      <c r="AQ33" s="1041">
        <f>'29'!$G$126</f>
        <v>66</v>
      </c>
      <c r="AR33" s="1041">
        <f>'29'!$G$127</f>
        <v>0</v>
      </c>
      <c r="AS33" s="1041">
        <f>'29'!$G$128</f>
        <v>0</v>
      </c>
      <c r="AT33" s="1041">
        <f t="shared" si="0"/>
        <v>287.39999999999418</v>
      </c>
      <c r="AU33" s="1041">
        <f>SUM('29'!G140:G141)</f>
        <v>7.5599999999999454</v>
      </c>
      <c r="AV33" s="1041">
        <f>'29'!$G$137</f>
        <v>0</v>
      </c>
      <c r="AW33" s="1041">
        <f>'29'!$G$138</f>
        <v>0.18000000000029104</v>
      </c>
      <c r="AX33" s="1041">
        <f>'29'!$G$139</f>
        <v>0</v>
      </c>
      <c r="AY33" s="1038">
        <f t="shared" si="1"/>
        <v>0.18000000000029104</v>
      </c>
      <c r="BA33" s="1046">
        <f t="shared" si="3"/>
        <v>-90.399999999994179</v>
      </c>
    </row>
    <row r="34" spans="1:53" s="1043" customFormat="1">
      <c r="A34" s="1040">
        <v>44012</v>
      </c>
      <c r="B34" s="261">
        <f>'30'!G7</f>
        <v>17000</v>
      </c>
      <c r="C34" s="261">
        <f>'30'!G8</f>
        <v>17150</v>
      </c>
      <c r="D34" s="261">
        <f>'30'!G15</f>
        <v>550</v>
      </c>
      <c r="E34" s="261">
        <f>'30'!G20</f>
        <v>138</v>
      </c>
      <c r="F34" s="1463">
        <f>SUM('30'!G35,'30'!G49)</f>
        <v>2377</v>
      </c>
      <c r="G34" s="1463">
        <f>SUM('30'!G37,'30'!G51)</f>
        <v>1302.1300000000047</v>
      </c>
      <c r="H34" s="1463">
        <f>SUM('30'!G38,'30'!G52)</f>
        <v>1330.9300000000512</v>
      </c>
      <c r="I34" s="261">
        <f>SUM('30'!G39,'30'!G53)</f>
        <v>2954</v>
      </c>
      <c r="J34" s="1463">
        <f>SUM('30'!G41,'30'!G42,'30'!G55,'30'!G56)</f>
        <v>5573</v>
      </c>
      <c r="K34" s="1463">
        <f>SUM('30'!G43,'30'!G57)</f>
        <v>2307</v>
      </c>
      <c r="L34" s="782">
        <f>'30'!G50</f>
        <v>926</v>
      </c>
      <c r="M34" s="782">
        <f>'30'!G36</f>
        <v>0</v>
      </c>
      <c r="N34" s="1032">
        <f>'30'!G72</f>
        <v>14</v>
      </c>
      <c r="O34" s="1032">
        <f>'30'!$G$73</f>
        <v>1</v>
      </c>
      <c r="P34" s="1032">
        <f>'30'!$G$74</f>
        <v>6</v>
      </c>
      <c r="Q34" s="1032">
        <f>'30'!$G$75</f>
        <v>54</v>
      </c>
      <c r="R34" s="1032">
        <f>'30'!$G$76</f>
        <v>55</v>
      </c>
      <c r="S34" s="1032">
        <f>'30'!$G$77</f>
        <v>41</v>
      </c>
      <c r="T34" s="1032">
        <f>'30'!$G$78</f>
        <v>194</v>
      </c>
      <c r="U34" s="1032">
        <f>'30'!$G$79</f>
        <v>161</v>
      </c>
      <c r="V34" s="1032">
        <f>'30'!$G$80</f>
        <v>381</v>
      </c>
      <c r="W34" s="1032">
        <f>'30'!$G$81</f>
        <v>98</v>
      </c>
      <c r="X34" s="1032">
        <f>'30'!$G$82</f>
        <v>23</v>
      </c>
      <c r="Y34" s="1032">
        <f>'30'!$G$58</f>
        <v>91</v>
      </c>
      <c r="Z34" s="1032">
        <f>'30'!$G$83</f>
        <v>224</v>
      </c>
      <c r="AA34" s="1032">
        <f>'30'!G86</f>
        <v>36</v>
      </c>
      <c r="AB34" s="1032">
        <f>'30'!G87</f>
        <v>12</v>
      </c>
      <c r="AC34" s="1032">
        <f>'30'!G88</f>
        <v>24</v>
      </c>
      <c r="AD34" s="1032">
        <f>'30'!G87+'30'!H90</f>
        <v>12</v>
      </c>
      <c r="AE34" s="1032">
        <f>'30'!$G$62</f>
        <v>0</v>
      </c>
      <c r="AF34" s="1032">
        <f>'30'!$G$63</f>
        <v>4</v>
      </c>
      <c r="AG34" s="1032">
        <f>'30'!$G$64</f>
        <v>192</v>
      </c>
      <c r="AH34" s="1032">
        <f>'30'!$G$65</f>
        <v>216</v>
      </c>
      <c r="AI34" s="1032">
        <f>'30'!$G$66</f>
        <v>301</v>
      </c>
      <c r="AJ34" s="1032">
        <f>'30'!$G$67</f>
        <v>526</v>
      </c>
      <c r="AK34" s="1032">
        <f>'30'!$G$68</f>
        <v>0</v>
      </c>
      <c r="AL34" s="1032">
        <f>'30'!$G$69</f>
        <v>138</v>
      </c>
      <c r="AM34" s="1032">
        <f>'30'!$G$84</f>
        <v>802</v>
      </c>
      <c r="AN34" s="1032">
        <f>'30'!$G$15</f>
        <v>550</v>
      </c>
      <c r="AO34" s="1032">
        <f>'30'!$G$124</f>
        <v>217</v>
      </c>
      <c r="AP34" s="1032">
        <f>'30'!$G$125</f>
        <v>0.39999999999417923</v>
      </c>
      <c r="AQ34" s="1032">
        <f>'30'!$G$126</f>
        <v>65</v>
      </c>
      <c r="AR34" s="1032">
        <f>'30'!$G$127</f>
        <v>0</v>
      </c>
      <c r="AS34" s="1032">
        <f>'30'!$G$128</f>
        <v>0</v>
      </c>
      <c r="AT34" s="1032">
        <f t="shared" si="0"/>
        <v>267.60000000000582</v>
      </c>
      <c r="AU34" s="1032">
        <f>SUM('30'!G140:G141)</f>
        <v>8.0899999999999181</v>
      </c>
      <c r="AV34" s="1032">
        <f>'30'!$G$137</f>
        <v>0</v>
      </c>
      <c r="AW34" s="1032">
        <f>'30'!$G$138</f>
        <v>-0.18000000000029104</v>
      </c>
      <c r="AX34" s="1032">
        <f>'30'!$G$139</f>
        <v>9.7400000000052387</v>
      </c>
      <c r="AY34" s="1042">
        <f t="shared" si="1"/>
        <v>9.5600000000049477</v>
      </c>
      <c r="BA34" s="1047">
        <f t="shared" si="3"/>
        <v>-50.600000000005821</v>
      </c>
    </row>
    <row r="35" spans="1:53">
      <c r="A35" s="1040">
        <v>44013</v>
      </c>
      <c r="B35" s="261">
        <f>'31'!G7</f>
        <v>17000</v>
      </c>
      <c r="C35" s="261">
        <f>'31'!G8</f>
        <v>17150</v>
      </c>
      <c r="D35" s="261">
        <f>'31'!G116</f>
        <v>6</v>
      </c>
      <c r="E35" s="261">
        <f>'31'!G20</f>
        <v>121</v>
      </c>
      <c r="F35" s="1463">
        <f>SUM('31'!G35,'31'!G49)</f>
        <v>2344.8699999999953</v>
      </c>
      <c r="G35" s="1463">
        <f>SUM('31'!G37,'31'!G51)</f>
        <v>1260</v>
      </c>
      <c r="H35" s="1463">
        <f>SUM('31'!G38,'31'!G52)</f>
        <v>1249</v>
      </c>
      <c r="I35" s="261">
        <f>SUM('31'!G39,'31'!G53)</f>
        <v>2684</v>
      </c>
      <c r="J35" s="1463">
        <f>SUM('31'!G41,'31'!G42,'31'!G55,'31'!G56)</f>
        <v>5603</v>
      </c>
      <c r="K35" s="1463">
        <f>SUM('31'!G43,'31'!G57)</f>
        <v>2277</v>
      </c>
      <c r="L35" s="782">
        <f>'31'!G50</f>
        <v>884</v>
      </c>
      <c r="M35" s="782">
        <f>'31'!G36</f>
        <v>173</v>
      </c>
      <c r="N35" s="1032">
        <f>'31'!G72</f>
        <v>12</v>
      </c>
      <c r="O35" s="1032">
        <f>'31'!$G$73</f>
        <v>1</v>
      </c>
      <c r="P35" s="1032">
        <f>'31'!$G$74</f>
        <v>7</v>
      </c>
      <c r="Q35" s="1032">
        <f>'31'!$G$75</f>
        <v>54</v>
      </c>
      <c r="R35" s="1032">
        <f>'31'!$G$76</f>
        <v>56</v>
      </c>
      <c r="S35" s="1032">
        <f>'31'!$G$77</f>
        <v>48</v>
      </c>
      <c r="T35" s="1032">
        <f>'31'!$G$78</f>
        <v>78</v>
      </c>
      <c r="U35" s="1032">
        <f>'31'!$G$79</f>
        <v>158</v>
      </c>
      <c r="V35" s="1032">
        <f>'31'!$G$80</f>
        <v>359</v>
      </c>
      <c r="W35" s="1032">
        <f>'31'!$G$81</f>
        <v>89</v>
      </c>
      <c r="X35" s="1032">
        <f>'31'!$G$82</f>
        <v>12</v>
      </c>
      <c r="Y35" s="1032">
        <f>'31'!$G$58</f>
        <v>270</v>
      </c>
      <c r="Z35" s="1032">
        <f>'31'!$G$83</f>
        <v>193</v>
      </c>
      <c r="AA35" s="1032">
        <f>'31'!G87</f>
        <v>23</v>
      </c>
      <c r="AB35" s="1032">
        <f>'31'!G88</f>
        <v>94</v>
      </c>
      <c r="AC35" s="1032">
        <f>'31'!G89</f>
        <v>10.599999999998545</v>
      </c>
      <c r="AD35" s="1032">
        <f>'31'!G88+'31'!H92</f>
        <v>94</v>
      </c>
      <c r="AE35" s="1032">
        <f>'31'!$G$62</f>
        <v>0</v>
      </c>
      <c r="AF35" s="1032">
        <f>'31'!$G$63</f>
        <v>0</v>
      </c>
      <c r="AG35" s="1032">
        <f>'31'!$G$64</f>
        <v>187</v>
      </c>
      <c r="AH35" s="1032">
        <f>'31'!$G$65</f>
        <v>221</v>
      </c>
      <c r="AI35" s="1032">
        <f>'31'!$G$66</f>
        <v>283</v>
      </c>
      <c r="AJ35" s="1032">
        <f>'31'!$G$67</f>
        <v>422</v>
      </c>
      <c r="AK35" s="1032">
        <f>'31'!$G$68</f>
        <v>0</v>
      </c>
      <c r="AL35" s="1032">
        <f>'31'!$G$69</f>
        <v>104</v>
      </c>
      <c r="AM35" s="1032">
        <f>'31'!$G$84</f>
        <v>805</v>
      </c>
      <c r="AN35" s="1032">
        <f>'31'!$G$15</f>
        <v>550</v>
      </c>
      <c r="AO35" s="1032">
        <f>'31'!$G$124</f>
        <v>177</v>
      </c>
      <c r="AP35" s="1032">
        <f>'31'!$G$125</f>
        <v>0</v>
      </c>
      <c r="AQ35" s="1032">
        <f>'31'!$G$126</f>
        <v>58</v>
      </c>
      <c r="AR35" s="1032">
        <f>'31'!$G$127</f>
        <v>2</v>
      </c>
      <c r="AS35" s="1032">
        <f>'31'!$G$128</f>
        <v>1</v>
      </c>
      <c r="AT35" s="1032">
        <f t="shared" ref="AT35" si="4">AN35-SUM(AO35:AS35)</f>
        <v>312</v>
      </c>
      <c r="AU35" s="1032">
        <f>SUM('31'!G141:G142)</f>
        <v>0</v>
      </c>
      <c r="AV35" s="1032">
        <f>'31'!$G$137</f>
        <v>8.2400000000016007</v>
      </c>
      <c r="AW35" s="1032">
        <f>'31'!$G$138</f>
        <v>0</v>
      </c>
      <c r="AX35" s="1032">
        <f>'30'!$G$139</f>
        <v>9.7400000000052387</v>
      </c>
      <c r="AY35" s="1042">
        <f t="shared" ref="AY35" si="5">SUM(AV35:AX35)</f>
        <v>17.980000000006839</v>
      </c>
      <c r="BA35" s="1046"/>
    </row>
    <row r="36" spans="1:53" s="1461" customFormat="1">
      <c r="A36" s="1460" t="s">
        <v>349</v>
      </c>
      <c r="B36" s="1462">
        <f>AVERAGE(B5:B35)</f>
        <v>18902.903225806451</v>
      </c>
      <c r="C36" s="1460">
        <f t="shared" ref="C36:AY36" si="6">AVERAGE(C5:C35)</f>
        <v>18997.806451612902</v>
      </c>
      <c r="D36" s="1460">
        <f t="shared" si="6"/>
        <v>607.25806451612902</v>
      </c>
      <c r="E36" s="1460">
        <f t="shared" si="6"/>
        <v>80.967741935483872</v>
      </c>
      <c r="F36" s="1460">
        <f t="shared" si="6"/>
        <v>0</v>
      </c>
      <c r="G36" s="1460">
        <f t="shared" si="6"/>
        <v>0</v>
      </c>
      <c r="H36" s="1460">
        <f t="shared" si="6"/>
        <v>0</v>
      </c>
      <c r="I36" s="1460">
        <f t="shared" si="6"/>
        <v>0</v>
      </c>
      <c r="J36" s="1460">
        <f t="shared" si="6"/>
        <v>3.322580645157535E-2</v>
      </c>
      <c r="K36" s="1460">
        <f t="shared" si="6"/>
        <v>5.8677077533737304E-14</v>
      </c>
      <c r="L36" s="1460">
        <f t="shared" si="6"/>
        <v>0</v>
      </c>
      <c r="M36" s="1460">
        <f t="shared" si="6"/>
        <v>11195.645161290322</v>
      </c>
      <c r="N36" s="1460">
        <f t="shared" si="6"/>
        <v>-3.2258064516129031E-2</v>
      </c>
      <c r="O36" s="1460">
        <f t="shared" si="6"/>
        <v>0</v>
      </c>
      <c r="P36" s="1460">
        <f t="shared" si="6"/>
        <v>-2776.7432258064514</v>
      </c>
      <c r="Q36" s="1460">
        <f t="shared" si="6"/>
        <v>-1.5858064516128985</v>
      </c>
      <c r="R36" s="1460">
        <f t="shared" si="6"/>
        <v>0</v>
      </c>
      <c r="S36" s="1460">
        <f t="shared" si="6"/>
        <v>0</v>
      </c>
      <c r="T36" s="1460">
        <f t="shared" si="6"/>
        <v>0</v>
      </c>
      <c r="U36" s="1460">
        <f t="shared" si="6"/>
        <v>0</v>
      </c>
      <c r="V36" s="1460">
        <f t="shared" si="6"/>
        <v>0</v>
      </c>
      <c r="W36" s="1460">
        <f t="shared" si="6"/>
        <v>0</v>
      </c>
      <c r="X36" s="1460">
        <f t="shared" si="6"/>
        <v>0</v>
      </c>
      <c r="Y36" s="1460">
        <f t="shared" si="6"/>
        <v>0</v>
      </c>
      <c r="Z36" s="1460">
        <f t="shared" si="6"/>
        <v>0</v>
      </c>
      <c r="AA36" s="1460">
        <f t="shared" si="6"/>
        <v>-0.16129032258064516</v>
      </c>
      <c r="AB36" s="1460">
        <f t="shared" si="6"/>
        <v>2.235483870967836</v>
      </c>
      <c r="AC36" s="1460">
        <f t="shared" si="6"/>
        <v>-2.690322580645208</v>
      </c>
      <c r="AD36" s="1460">
        <f t="shared" si="6"/>
        <v>2.1193548387097154</v>
      </c>
      <c r="AE36" s="1460">
        <f t="shared" si="6"/>
        <v>0</v>
      </c>
      <c r="AF36" s="1460">
        <f t="shared" si="6"/>
        <v>79.741935483870961</v>
      </c>
      <c r="AG36" s="1460">
        <f t="shared" si="6"/>
        <v>0</v>
      </c>
      <c r="AH36" s="1460">
        <f t="shared" si="6"/>
        <v>0</v>
      </c>
      <c r="AI36" s="1460">
        <f t="shared" si="6"/>
        <v>0</v>
      </c>
      <c r="AJ36" s="1460">
        <f t="shared" si="6"/>
        <v>0</v>
      </c>
      <c r="AK36" s="1460">
        <f t="shared" si="6"/>
        <v>0</v>
      </c>
      <c r="AL36" s="1460">
        <f t="shared" si="6"/>
        <v>0</v>
      </c>
      <c r="AM36" s="1460">
        <f t="shared" si="6"/>
        <v>0</v>
      </c>
      <c r="AN36" s="1460">
        <f t="shared" si="6"/>
        <v>624.80645161290317</v>
      </c>
      <c r="AO36" s="1460">
        <f t="shared" si="6"/>
        <v>0</v>
      </c>
      <c r="AP36" s="1460">
        <f t="shared" si="6"/>
        <v>0</v>
      </c>
      <c r="AQ36" s="1460">
        <f t="shared" si="6"/>
        <v>0</v>
      </c>
      <c r="AR36" s="1460">
        <f t="shared" si="6"/>
        <v>0</v>
      </c>
      <c r="AS36" s="1460">
        <f t="shared" si="6"/>
        <v>0</v>
      </c>
      <c r="AT36" s="1460">
        <f t="shared" si="6"/>
        <v>624.80645161290317</v>
      </c>
      <c r="AU36" s="1460">
        <f t="shared" si="6"/>
        <v>-0.21838709677419296</v>
      </c>
      <c r="AV36" s="1460">
        <f t="shared" si="6"/>
        <v>0</v>
      </c>
      <c r="AW36" s="1460">
        <f t="shared" si="6"/>
        <v>0</v>
      </c>
      <c r="AX36" s="1460">
        <f t="shared" si="6"/>
        <v>0.31419354838726576</v>
      </c>
      <c r="AY36" s="1460">
        <f t="shared" si="6"/>
        <v>0.31419354838726576</v>
      </c>
    </row>
    <row r="37" spans="1:53">
      <c r="A37" s="1082"/>
      <c r="B37" s="1082"/>
      <c r="C37" s="1082"/>
      <c r="D37" s="1082"/>
      <c r="E37" s="1082"/>
      <c r="F37" s="35">
        <f t="shared" ref="F37:K37" si="7">F19-F18</f>
        <v>-109.86999999999534</v>
      </c>
      <c r="G37" s="35">
        <f t="shared" si="7"/>
        <v>17</v>
      </c>
      <c r="H37" s="35">
        <f t="shared" si="7"/>
        <v>-216.06999999994878</v>
      </c>
      <c r="I37" s="35">
        <f t="shared" si="7"/>
        <v>-359</v>
      </c>
      <c r="J37" s="35">
        <f t="shared" si="7"/>
        <v>-1150</v>
      </c>
      <c r="K37" s="35">
        <f t="shared" si="7"/>
        <v>-189</v>
      </c>
      <c r="L37" s="35"/>
      <c r="M37" s="35"/>
      <c r="AO37" s="1084" t="s">
        <v>110</v>
      </c>
      <c r="AP37" s="1085">
        <v>191</v>
      </c>
      <c r="AQ37" s="1085"/>
      <c r="AR37" s="1085"/>
    </row>
    <row r="38" spans="1:53">
      <c r="A38" s="1082"/>
      <c r="B38" s="1082"/>
      <c r="C38" s="1082"/>
      <c r="D38" s="1082"/>
      <c r="E38" s="1082"/>
      <c r="AO38" s="1085"/>
      <c r="AP38" s="1085">
        <v>88</v>
      </c>
      <c r="AQ38" s="1085"/>
      <c r="AR38" s="1085"/>
    </row>
    <row r="39" spans="1:53">
      <c r="A39" s="1082"/>
      <c r="B39" s="1082"/>
      <c r="C39" s="1082"/>
      <c r="D39" s="1082"/>
      <c r="E39" s="1082"/>
      <c r="AO39" s="1085"/>
      <c r="AP39" s="1086">
        <f>SUM(AP37:AP38)</f>
        <v>279</v>
      </c>
      <c r="AQ39" s="1087" t="s">
        <v>111</v>
      </c>
      <c r="AR39" s="1087">
        <v>335</v>
      </c>
    </row>
    <row r="40" spans="1:53">
      <c r="A40" s="1082"/>
      <c r="B40" s="1082"/>
      <c r="C40" s="1082"/>
      <c r="D40" s="1082"/>
      <c r="E40" s="1082"/>
      <c r="AO40" s="1085"/>
      <c r="AP40" s="1085"/>
      <c r="AQ40" s="1085"/>
      <c r="AR40" s="1085"/>
    </row>
    <row r="41" spans="1:53">
      <c r="A41" s="1082"/>
      <c r="B41" s="1082"/>
      <c r="C41" s="1082"/>
      <c r="D41" s="1082"/>
      <c r="E41" s="1082"/>
      <c r="N41" s="1046"/>
      <c r="O41" s="1046"/>
      <c r="P41" s="1046"/>
      <c r="Q41" s="1046"/>
      <c r="R41" s="1046"/>
      <c r="S41" s="1046"/>
      <c r="T41" s="1046"/>
      <c r="U41" s="1046"/>
      <c r="V41" s="1046"/>
      <c r="W41" s="1046"/>
      <c r="X41" s="1046"/>
      <c r="Y41" s="1046"/>
      <c r="Z41" s="1046"/>
      <c r="AA41" s="1046"/>
      <c r="AB41" s="1046"/>
      <c r="AC41" s="1046"/>
      <c r="AD41" s="1046"/>
      <c r="AE41" s="1046"/>
      <c r="AF41" s="1046"/>
      <c r="AG41" s="1046"/>
      <c r="AH41" s="1046"/>
      <c r="AI41" s="1046"/>
      <c r="AJ41" s="1046"/>
      <c r="AK41" s="1046"/>
      <c r="AL41" s="1046"/>
      <c r="AN41" s="1046"/>
      <c r="AO41" s="1084" t="s">
        <v>112</v>
      </c>
      <c r="AP41" s="1086">
        <v>168</v>
      </c>
      <c r="AQ41" s="1085"/>
      <c r="AR41" s="1085"/>
    </row>
    <row r="42" spans="1:53">
      <c r="A42" s="1082"/>
      <c r="B42" s="1082"/>
      <c r="C42" s="1082"/>
      <c r="D42" s="1082"/>
      <c r="E42" s="1082"/>
      <c r="AO42" s="1085"/>
      <c r="AP42" s="1085"/>
      <c r="AQ42" s="1087" t="s">
        <v>113</v>
      </c>
      <c r="AR42" s="1085"/>
    </row>
    <row r="43" spans="1:53">
      <c r="A43" s="1082"/>
      <c r="B43" s="1082"/>
      <c r="C43" s="1082"/>
      <c r="D43" s="1082"/>
      <c r="E43" s="1082"/>
      <c r="AO43" s="1085" t="s">
        <v>114</v>
      </c>
      <c r="AP43" s="1085">
        <f>20*38.68</f>
        <v>773.6</v>
      </c>
      <c r="AQ43" s="1085" t="s">
        <v>115</v>
      </c>
      <c r="AR43" s="1085"/>
    </row>
    <row r="44" spans="1:53">
      <c r="A44" s="1082"/>
      <c r="B44" s="1082"/>
      <c r="C44" s="1082"/>
      <c r="D44" s="1082"/>
      <c r="E44" s="1082"/>
    </row>
    <row r="45" spans="1:53">
      <c r="A45" s="1082"/>
      <c r="B45" s="1082"/>
      <c r="C45" s="1082"/>
      <c r="D45" s="1082"/>
      <c r="E45" s="1082"/>
    </row>
    <row r="46" spans="1:53">
      <c r="A46" s="1082"/>
      <c r="B46" s="1082"/>
      <c r="C46" s="1082"/>
      <c r="D46" s="1082"/>
      <c r="E46" s="1082"/>
    </row>
    <row r="47" spans="1:53">
      <c r="A47" s="1082"/>
      <c r="B47" s="1082"/>
      <c r="C47" s="1082"/>
      <c r="D47" s="1082"/>
      <c r="E47" s="1082"/>
    </row>
    <row r="48" spans="1:53">
      <c r="A48" s="1082"/>
      <c r="B48" s="1082"/>
      <c r="C48" s="1082"/>
      <c r="D48" s="1082"/>
      <c r="E48" s="1082"/>
    </row>
    <row r="49" spans="1:5">
      <c r="A49" s="1082"/>
      <c r="B49" s="1082"/>
      <c r="C49" s="1082"/>
      <c r="D49" s="1082"/>
      <c r="E49" s="1082"/>
    </row>
    <row r="50" spans="1:5">
      <c r="A50" s="1082"/>
      <c r="B50" s="1082"/>
      <c r="C50" s="1082"/>
      <c r="D50" s="1082"/>
      <c r="E50" s="1082"/>
    </row>
    <row r="51" spans="1:5">
      <c r="A51" s="1082"/>
      <c r="B51" s="1082"/>
      <c r="C51" s="1082"/>
      <c r="D51" s="1082"/>
      <c r="E51" s="1082"/>
    </row>
    <row r="52" spans="1:5">
      <c r="A52" s="1082"/>
      <c r="B52" s="1082"/>
      <c r="C52" s="1082"/>
      <c r="D52" s="1082"/>
      <c r="E52" s="1082"/>
    </row>
    <row r="53" spans="1:5">
      <c r="A53" s="1082"/>
      <c r="B53" s="1082"/>
      <c r="C53" s="1082"/>
      <c r="D53" s="1082"/>
      <c r="E53" s="1082"/>
    </row>
    <row r="54" spans="1:5">
      <c r="A54" s="1082"/>
      <c r="B54" s="1082"/>
      <c r="C54" s="1082"/>
      <c r="D54" s="1082"/>
      <c r="E54" s="1082"/>
    </row>
    <row r="55" spans="1:5">
      <c r="A55" s="1082"/>
      <c r="B55" s="1082"/>
      <c r="C55" s="1082"/>
      <c r="D55" s="1082"/>
      <c r="E55" s="1082"/>
    </row>
    <row r="56" spans="1:5">
      <c r="A56" s="1082"/>
      <c r="B56" s="1082"/>
      <c r="C56" s="1082"/>
      <c r="D56" s="1082"/>
      <c r="E56" s="1082"/>
    </row>
    <row r="57" spans="1:5">
      <c r="A57" s="1082"/>
      <c r="B57" s="1082"/>
      <c r="C57" s="1082"/>
      <c r="D57" s="1082"/>
      <c r="E57" s="1082"/>
    </row>
    <row r="58" spans="1:5">
      <c r="A58" s="1082"/>
      <c r="B58" s="1082"/>
      <c r="C58" s="1082"/>
      <c r="D58" s="1082"/>
      <c r="E58" s="1082"/>
    </row>
    <row r="59" spans="1:5">
      <c r="A59" s="1082"/>
      <c r="B59" s="1082"/>
      <c r="C59" s="1082"/>
      <c r="D59" s="1082"/>
      <c r="E59" s="1082"/>
    </row>
    <row r="60" spans="1:5">
      <c r="A60" s="1082"/>
      <c r="B60" s="1082"/>
      <c r="C60" s="1082"/>
      <c r="D60" s="1082"/>
      <c r="E60" s="1082"/>
    </row>
    <row r="61" spans="1:5">
      <c r="A61" s="1082"/>
      <c r="B61" s="1082"/>
      <c r="C61" s="1082"/>
      <c r="D61" s="1082"/>
      <c r="E61" s="1082"/>
    </row>
    <row r="62" spans="1:5">
      <c r="A62" s="1082"/>
      <c r="B62" s="1082"/>
      <c r="C62" s="1082"/>
      <c r="D62" s="1082"/>
      <c r="E62" s="1082"/>
    </row>
    <row r="63" spans="1:5">
      <c r="A63" s="1082"/>
      <c r="B63" s="1082"/>
      <c r="C63" s="1082"/>
      <c r="D63" s="1082"/>
      <c r="E63" s="1082"/>
    </row>
    <row r="64" spans="1:5">
      <c r="A64" s="1082"/>
      <c r="B64" s="1082"/>
      <c r="C64" s="1082"/>
      <c r="D64" s="1082"/>
      <c r="E64" s="1082"/>
    </row>
    <row r="65" spans="1:5">
      <c r="A65" s="1082"/>
      <c r="B65" s="1082"/>
      <c r="C65" s="1082"/>
      <c r="D65" s="1082"/>
      <c r="E65" s="1082"/>
    </row>
    <row r="66" spans="1:5">
      <c r="A66" s="1082"/>
      <c r="B66" s="1082"/>
      <c r="C66" s="1082"/>
      <c r="D66" s="1082"/>
      <c r="E66" s="1082"/>
    </row>
    <row r="67" spans="1:5">
      <c r="A67" s="1082"/>
      <c r="B67" s="1082"/>
      <c r="C67" s="1082"/>
      <c r="D67" s="1082"/>
      <c r="E67" s="1082"/>
    </row>
    <row r="68" spans="1:5">
      <c r="A68" s="1082"/>
      <c r="B68" s="1082"/>
      <c r="C68" s="1082"/>
      <c r="D68" s="1082"/>
      <c r="E68" s="1082"/>
    </row>
    <row r="69" spans="1:5">
      <c r="A69" s="1082"/>
      <c r="B69" s="1082"/>
      <c r="C69" s="1082"/>
      <c r="D69" s="1082"/>
      <c r="E69" s="1082"/>
    </row>
    <row r="70" spans="1:5">
      <c r="A70" s="1082"/>
      <c r="B70" s="1082"/>
      <c r="C70" s="1082"/>
      <c r="D70" s="1082"/>
      <c r="E70" s="1082"/>
    </row>
    <row r="71" spans="1:5">
      <c r="A71" s="1082"/>
      <c r="B71" s="1082"/>
      <c r="C71" s="1082"/>
      <c r="D71" s="1082"/>
      <c r="E71" s="1082"/>
    </row>
    <row r="72" spans="1:5">
      <c r="A72" s="1082"/>
      <c r="B72" s="1082"/>
      <c r="C72" s="1082"/>
      <c r="D72" s="1082"/>
      <c r="E72" s="1082"/>
    </row>
    <row r="73" spans="1:5">
      <c r="A73" s="1082"/>
      <c r="B73" s="1082"/>
      <c r="C73" s="1082"/>
      <c r="D73" s="1082"/>
      <c r="E73" s="1082"/>
    </row>
    <row r="74" spans="1:5">
      <c r="A74" s="1082"/>
      <c r="B74" s="1082"/>
      <c r="C74" s="1082"/>
      <c r="D74" s="1082"/>
      <c r="E74" s="1082"/>
    </row>
    <row r="75" spans="1:5">
      <c r="A75" s="1082"/>
      <c r="B75" s="1082"/>
      <c r="C75" s="1082"/>
      <c r="D75" s="1082"/>
      <c r="E75" s="1082"/>
    </row>
    <row r="76" spans="1:5">
      <c r="A76" s="1082"/>
      <c r="B76" s="1082"/>
      <c r="C76" s="1082"/>
      <c r="D76" s="1082"/>
      <c r="E76" s="1082"/>
    </row>
    <row r="77" spans="1:5">
      <c r="A77" s="1082"/>
      <c r="B77" s="1082"/>
      <c r="C77" s="1082"/>
      <c r="D77" s="1082"/>
      <c r="E77" s="1082"/>
    </row>
    <row r="78" spans="1:5">
      <c r="A78" s="1082"/>
      <c r="B78" s="1082"/>
      <c r="C78" s="1082"/>
      <c r="D78" s="1082"/>
      <c r="E78" s="1082"/>
    </row>
    <row r="79" spans="1:5">
      <c r="A79" s="1082"/>
      <c r="B79" s="1082"/>
      <c r="C79" s="1082"/>
      <c r="D79" s="1082"/>
      <c r="E79" s="1082"/>
    </row>
    <row r="80" spans="1:5">
      <c r="A80" s="1082"/>
      <c r="B80" s="1082"/>
      <c r="C80" s="1082"/>
      <c r="D80" s="1082"/>
      <c r="E80" s="1082"/>
    </row>
    <row r="81" spans="1:5">
      <c r="A81" s="1082"/>
      <c r="B81" s="1082"/>
      <c r="C81" s="1082"/>
      <c r="D81" s="1082"/>
      <c r="E81" s="1082"/>
    </row>
    <row r="82" spans="1:5">
      <c r="A82" s="1082"/>
      <c r="B82" s="1082"/>
      <c r="C82" s="1082"/>
      <c r="D82" s="1082"/>
      <c r="E82" s="1082"/>
    </row>
    <row r="83" spans="1:5">
      <c r="A83" s="1082"/>
      <c r="B83" s="1082"/>
      <c r="C83" s="1082"/>
      <c r="D83" s="1082"/>
      <c r="E83" s="1082"/>
    </row>
    <row r="84" spans="1:5">
      <c r="A84" s="1082"/>
      <c r="B84" s="1082"/>
      <c r="C84" s="1082"/>
      <c r="D84" s="1082"/>
      <c r="E84" s="1082"/>
    </row>
    <row r="85" spans="1:5">
      <c r="A85" s="1082"/>
      <c r="B85" s="1082"/>
      <c r="C85" s="1082"/>
      <c r="D85" s="1082"/>
      <c r="E85" s="1082"/>
    </row>
    <row r="86" spans="1:5">
      <c r="A86" s="1082"/>
      <c r="B86" s="1082"/>
      <c r="C86" s="1082"/>
      <c r="D86" s="1082"/>
      <c r="E86" s="1082"/>
    </row>
    <row r="87" spans="1:5">
      <c r="A87" s="1083"/>
      <c r="B87" s="1083"/>
      <c r="C87" s="1083"/>
      <c r="D87" s="1083"/>
      <c r="E87" s="1083"/>
    </row>
    <row r="88" spans="1:5">
      <c r="A88" s="1083"/>
      <c r="B88" s="1083"/>
      <c r="C88" s="1083"/>
      <c r="D88" s="1083"/>
      <c r="E88" s="1083"/>
    </row>
    <row r="89" spans="1:5">
      <c r="A89" s="1083"/>
      <c r="B89" s="1083"/>
      <c r="C89" s="1083"/>
      <c r="D89" s="1083"/>
      <c r="E89" s="1083"/>
    </row>
    <row r="90" spans="1:5">
      <c r="A90" s="1083"/>
      <c r="B90" s="1083"/>
      <c r="C90" s="1083"/>
      <c r="D90" s="1083"/>
      <c r="E90" s="1083"/>
    </row>
  </sheetData>
  <mergeCells count="6">
    <mergeCell ref="AV2:AY2"/>
    <mergeCell ref="AN2:AT2"/>
    <mergeCell ref="N2:AM2"/>
    <mergeCell ref="F2:M2"/>
    <mergeCell ref="AN3:AT3"/>
    <mergeCell ref="AU3:AY3"/>
  </mergeCells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73"/>
  <sheetViews>
    <sheetView view="pageBreakPreview" topLeftCell="A76" zoomScale="55" zoomScaleNormal="61" zoomScaleSheetLayoutView="55" zoomScalePageLayoutView="70" workbookViewId="0">
      <selection activeCell="G161" sqref="G161:G165"/>
    </sheetView>
  </sheetViews>
  <sheetFormatPr defaultColWidth="22.33203125" defaultRowHeight="29.25"/>
  <cols>
    <col min="1" max="1" width="48.44140625" style="454" customWidth="1"/>
    <col min="2" max="2" width="30.77734375" style="457" customWidth="1"/>
    <col min="3" max="3" width="15.88671875" style="457" customWidth="1"/>
    <col min="4" max="4" width="13.6640625" style="537" customWidth="1"/>
    <col min="5" max="5" width="30" style="756" customWidth="1"/>
    <col min="6" max="6" width="30" style="537" customWidth="1"/>
    <col min="7" max="7" width="28.88671875" style="537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3" width="0" style="376" hidden="1" customWidth="1"/>
    <col min="14" max="14" width="25.109375" style="376" customWidth="1"/>
    <col min="15" max="16384" width="22.33203125" style="376"/>
  </cols>
  <sheetData>
    <row r="1" spans="1:15" ht="33.75">
      <c r="A1" s="1549" t="s">
        <v>214</v>
      </c>
      <c r="B1" s="1550"/>
      <c r="C1" s="1550"/>
      <c r="D1" s="1550"/>
      <c r="E1" s="1550"/>
      <c r="F1" s="1550"/>
      <c r="G1" s="1550"/>
      <c r="H1" s="1550"/>
      <c r="I1" s="1550"/>
      <c r="J1" s="1551"/>
    </row>
    <row r="2" spans="1:15" s="281" customFormat="1" ht="27">
      <c r="A2" s="575" t="s">
        <v>351</v>
      </c>
      <c r="B2" s="1033">
        <v>44348</v>
      </c>
      <c r="C2" s="1307" t="s">
        <v>68</v>
      </c>
      <c r="D2" s="611">
        <v>0.73</v>
      </c>
      <c r="E2" s="737"/>
      <c r="F2" s="461"/>
      <c r="G2" s="461" t="s">
        <v>117</v>
      </c>
      <c r="H2" s="461" t="s">
        <v>6</v>
      </c>
      <c r="I2" s="461" t="s">
        <v>8</v>
      </c>
      <c r="J2" s="613" t="s">
        <v>118</v>
      </c>
    </row>
    <row r="3" spans="1:15" s="281" customFormat="1" ht="27">
      <c r="A3" s="570"/>
      <c r="B3" s="614"/>
      <c r="C3" s="1307" t="s">
        <v>119</v>
      </c>
      <c r="D3" s="612">
        <v>30</v>
      </c>
      <c r="E3" s="1558" t="s">
        <v>120</v>
      </c>
      <c r="F3" s="1559"/>
      <c r="G3" s="462"/>
      <c r="H3" s="463"/>
      <c r="I3" s="463"/>
      <c r="J3" s="615"/>
      <c r="K3" s="371"/>
      <c r="L3" s="292"/>
    </row>
    <row r="4" spans="1:15" s="281" customFormat="1" ht="27">
      <c r="A4" s="576"/>
      <c r="B4" s="616"/>
      <c r="C4" s="1307" t="s">
        <v>121</v>
      </c>
      <c r="D4" s="611">
        <v>0.8</v>
      </c>
      <c r="E4" s="463"/>
      <c r="F4" s="464"/>
      <c r="G4" s="464"/>
      <c r="H4" s="464"/>
      <c r="I4" s="465"/>
      <c r="J4" s="615"/>
      <c r="K4" s="372"/>
      <c r="L4" s="292"/>
    </row>
    <row r="5" spans="1:15">
      <c r="A5" s="577" t="s">
        <v>122</v>
      </c>
      <c r="B5" s="459"/>
      <c r="C5" s="459"/>
      <c r="D5" s="511" t="s">
        <v>123</v>
      </c>
      <c r="E5" s="514" t="s">
        <v>124</v>
      </c>
      <c r="F5" s="467" t="s">
        <v>111</v>
      </c>
      <c r="G5" s="468" t="s">
        <v>125</v>
      </c>
      <c r="H5" s="469" t="s">
        <v>126</v>
      </c>
      <c r="I5" s="470" t="s">
        <v>127</v>
      </c>
      <c r="J5" s="550" t="s">
        <v>128</v>
      </c>
      <c r="K5" s="426"/>
      <c r="L5" s="377"/>
    </row>
    <row r="6" spans="1:15">
      <c r="A6" s="1552" t="s">
        <v>129</v>
      </c>
      <c r="B6" s="1553"/>
      <c r="C6" s="1554"/>
      <c r="D6" s="471"/>
      <c r="E6" s="495"/>
      <c r="F6" s="471"/>
      <c r="G6" s="471"/>
      <c r="H6" s="472"/>
      <c r="I6" s="472"/>
      <c r="J6" s="551"/>
      <c r="K6" s="427"/>
      <c r="L6" s="377"/>
    </row>
    <row r="7" spans="1:15" ht="30" thickBot="1">
      <c r="A7" s="578" t="s">
        <v>130</v>
      </c>
      <c r="B7" s="579"/>
      <c r="C7" s="579"/>
      <c r="D7" s="523" t="s">
        <v>131</v>
      </c>
      <c r="E7" s="455">
        <v>344412</v>
      </c>
      <c r="F7" s="455">
        <v>360974</v>
      </c>
      <c r="G7" s="473">
        <f>F7-E7</f>
        <v>16562</v>
      </c>
      <c r="H7" s="460">
        <f>G7</f>
        <v>16562</v>
      </c>
      <c r="I7" s="474">
        <v>12000</v>
      </c>
      <c r="J7" s="552">
        <f>H7/DAY(B2)</f>
        <v>16562</v>
      </c>
      <c r="K7" s="549"/>
      <c r="L7" s="377"/>
      <c r="N7" s="382"/>
      <c r="O7" s="382"/>
    </row>
    <row r="8" spans="1:15" ht="27.75" thickBot="1">
      <c r="A8" s="580" t="s">
        <v>132</v>
      </c>
      <c r="B8" s="581"/>
      <c r="C8" s="582"/>
      <c r="D8" s="617" t="s">
        <v>25</v>
      </c>
      <c r="E8" s="455">
        <v>346510</v>
      </c>
      <c r="F8" s="475">
        <v>363165</v>
      </c>
      <c r="G8" s="476">
        <f>F8-E8</f>
        <v>16655</v>
      </c>
      <c r="H8" s="460">
        <f>G8</f>
        <v>16655</v>
      </c>
      <c r="I8" s="477">
        <v>12000</v>
      </c>
      <c r="J8" s="552">
        <f>H8/DAY(B2)</f>
        <v>16655</v>
      </c>
      <c r="K8" s="549"/>
      <c r="L8" s="425"/>
      <c r="M8" s="440"/>
      <c r="N8" s="382"/>
      <c r="O8" s="382"/>
    </row>
    <row r="9" spans="1:15">
      <c r="A9" s="583" t="s">
        <v>133</v>
      </c>
      <c r="B9" s="584"/>
      <c r="C9" s="584"/>
      <c r="D9" s="523" t="s">
        <v>131</v>
      </c>
      <c r="E9" s="478">
        <v>1473690</v>
      </c>
      <c r="F9" s="478">
        <v>1489833</v>
      </c>
      <c r="G9" s="473">
        <f>F9-E9</f>
        <v>16143</v>
      </c>
      <c r="H9" s="460">
        <f t="shared" ref="H9:H13" si="0">G9</f>
        <v>16143</v>
      </c>
      <c r="I9" s="479">
        <f>I8-J8</f>
        <v>-4655</v>
      </c>
      <c r="J9" s="552">
        <f>H9/DAY(B2)</f>
        <v>16143</v>
      </c>
      <c r="K9" s="428"/>
      <c r="L9" s="377"/>
      <c r="N9" s="382"/>
      <c r="O9" s="382"/>
    </row>
    <row r="10" spans="1:15">
      <c r="A10" s="578" t="s">
        <v>134</v>
      </c>
      <c r="B10" s="579"/>
      <c r="C10" s="579"/>
      <c r="D10" s="523" t="s">
        <v>131</v>
      </c>
      <c r="E10" s="478">
        <v>2322.58</v>
      </c>
      <c r="F10" s="478">
        <v>2323</v>
      </c>
      <c r="G10" s="473">
        <f t="shared" ref="G10:G11" si="1">F10-E10</f>
        <v>0.42000000000007276</v>
      </c>
      <c r="H10" s="460">
        <f t="shared" si="0"/>
        <v>0.42000000000007276</v>
      </c>
      <c r="I10" s="480"/>
      <c r="J10" s="552">
        <f>H10/DAY(B2)</f>
        <v>0.42000000000007276</v>
      </c>
      <c r="K10" s="428"/>
      <c r="L10" s="377"/>
      <c r="N10" s="382"/>
      <c r="O10" s="382"/>
    </row>
    <row r="11" spans="1:15">
      <c r="A11" s="578" t="s">
        <v>135</v>
      </c>
      <c r="B11" s="579"/>
      <c r="C11" s="579"/>
      <c r="D11" s="523" t="s">
        <v>131</v>
      </c>
      <c r="E11" s="455">
        <v>37000</v>
      </c>
      <c r="F11" s="455">
        <v>37000</v>
      </c>
      <c r="G11" s="473">
        <f t="shared" si="1"/>
        <v>0</v>
      </c>
      <c r="H11" s="460">
        <f t="shared" si="0"/>
        <v>0</v>
      </c>
      <c r="I11" s="480"/>
      <c r="J11" s="552">
        <f>H11/DAY(B2)</f>
        <v>0</v>
      </c>
      <c r="K11" s="428"/>
      <c r="L11" s="377"/>
      <c r="N11" s="382"/>
      <c r="O11" s="382"/>
    </row>
    <row r="12" spans="1:15">
      <c r="A12" s="578" t="s">
        <v>136</v>
      </c>
      <c r="B12" s="579"/>
      <c r="C12" s="579"/>
      <c r="D12" s="523" t="s">
        <v>131</v>
      </c>
      <c r="E12" s="478">
        <v>40010</v>
      </c>
      <c r="F12" s="478">
        <v>40010</v>
      </c>
      <c r="G12" s="473">
        <f>F12-E12</f>
        <v>0</v>
      </c>
      <c r="H12" s="460">
        <f t="shared" si="0"/>
        <v>0</v>
      </c>
      <c r="I12" s="480"/>
      <c r="J12" s="552">
        <f>H12/DAY(B2)</f>
        <v>0</v>
      </c>
      <c r="K12" s="428"/>
      <c r="L12" s="377"/>
      <c r="N12" s="382"/>
      <c r="O12" s="382"/>
    </row>
    <row r="13" spans="1:15">
      <c r="A13" s="585" t="s">
        <v>137</v>
      </c>
      <c r="B13" s="586"/>
      <c r="C13" s="586"/>
      <c r="D13" s="523"/>
      <c r="E13" s="455"/>
      <c r="F13" s="455"/>
      <c r="G13" s="481">
        <f>G9+G10+G11+G12</f>
        <v>16143.42</v>
      </c>
      <c r="H13" s="460">
        <f t="shared" si="0"/>
        <v>16143.42</v>
      </c>
      <c r="I13" s="482">
        <f>G7-G13</f>
        <v>418.57999999999993</v>
      </c>
      <c r="J13" s="552">
        <f>H13/DAY(B2)</f>
        <v>16143.42</v>
      </c>
      <c r="K13" s="428"/>
      <c r="L13" s="377"/>
      <c r="N13" s="382"/>
      <c r="O13" s="382"/>
    </row>
    <row r="14" spans="1:15">
      <c r="A14" s="1555" t="s">
        <v>138</v>
      </c>
      <c r="B14" s="1556"/>
      <c r="C14" s="1557"/>
      <c r="D14" s="472"/>
      <c r="E14" s="472"/>
      <c r="F14" s="472"/>
      <c r="G14" s="483"/>
      <c r="H14" s="472"/>
      <c r="I14" s="472"/>
      <c r="J14" s="551"/>
      <c r="K14" s="429"/>
      <c r="L14" s="377"/>
      <c r="N14" s="382"/>
      <c r="O14" s="382"/>
    </row>
    <row r="15" spans="1:15">
      <c r="A15" s="1305" t="s">
        <v>139</v>
      </c>
      <c r="B15" s="589"/>
      <c r="C15" s="589"/>
      <c r="D15" s="523" t="s">
        <v>140</v>
      </c>
      <c r="E15" s="484">
        <v>1684524</v>
      </c>
      <c r="F15" s="484">
        <v>1684791</v>
      </c>
      <c r="G15" s="780">
        <f>(F15-E15)</f>
        <v>267</v>
      </c>
      <c r="H15" s="460">
        <f>G15</f>
        <v>267</v>
      </c>
      <c r="I15" s="474">
        <v>800</v>
      </c>
      <c r="J15" s="552">
        <f>H15/DAY(B2)</f>
        <v>267</v>
      </c>
      <c r="K15" s="428"/>
      <c r="L15" s="377"/>
      <c r="N15" s="382"/>
      <c r="O15" s="722"/>
    </row>
    <row r="16" spans="1:15">
      <c r="A16" s="587"/>
      <c r="B16" s="588"/>
      <c r="C16" s="588"/>
      <c r="D16" s="524"/>
      <c r="E16" s="485"/>
      <c r="F16" s="485"/>
      <c r="G16" s="473"/>
      <c r="H16" s="486"/>
      <c r="I16" s="487">
        <f>I15-J15</f>
        <v>533</v>
      </c>
      <c r="J16" s="553"/>
      <c r="K16" s="428"/>
      <c r="L16" s="377"/>
      <c r="N16" s="382"/>
      <c r="O16" s="382"/>
    </row>
    <row r="17" spans="1:15">
      <c r="A17" s="1555" t="s">
        <v>141</v>
      </c>
      <c r="B17" s="1556"/>
      <c r="C17" s="1557"/>
      <c r="D17" s="472"/>
      <c r="E17" s="472"/>
      <c r="F17" s="472"/>
      <c r="G17" s="488"/>
      <c r="H17" s="472"/>
      <c r="I17" s="472"/>
      <c r="J17" s="551"/>
      <c r="K17" s="428"/>
      <c r="L17" s="377"/>
      <c r="N17" s="382"/>
      <c r="O17" s="382"/>
    </row>
    <row r="18" spans="1:15" ht="27.75">
      <c r="A18" s="1537" t="s">
        <v>142</v>
      </c>
      <c r="B18" s="1538"/>
      <c r="C18" s="1539"/>
      <c r="D18" s="523" t="s">
        <v>143</v>
      </c>
      <c r="E18" s="484">
        <v>6</v>
      </c>
      <c r="F18" s="484">
        <v>2</v>
      </c>
      <c r="G18" s="481">
        <f>F18*10</f>
        <v>20</v>
      </c>
      <c r="H18" s="460">
        <f>G18</f>
        <v>20</v>
      </c>
      <c r="I18" s="474">
        <v>65</v>
      </c>
      <c r="J18" s="552">
        <f>H18/DAY(B2)</f>
        <v>20</v>
      </c>
      <c r="K18" s="428"/>
      <c r="L18" s="377"/>
      <c r="N18" s="382"/>
      <c r="O18" s="382"/>
    </row>
    <row r="19" spans="1:15" ht="27.75">
      <c r="A19" s="1537" t="s">
        <v>70</v>
      </c>
      <c r="B19" s="1538"/>
      <c r="C19" s="1539"/>
      <c r="D19" s="523" t="s">
        <v>143</v>
      </c>
      <c r="E19" s="484">
        <v>139612</v>
      </c>
      <c r="F19" s="484">
        <v>139672</v>
      </c>
      <c r="G19" s="473">
        <f t="shared" ref="G19" si="2">F19-E19</f>
        <v>60</v>
      </c>
      <c r="H19" s="460">
        <f t="shared" ref="H19" si="3">G19</f>
        <v>60</v>
      </c>
      <c r="I19" s="489"/>
      <c r="J19" s="552">
        <f>H19/DAY(B2)</f>
        <v>60</v>
      </c>
      <c r="K19" s="428"/>
      <c r="L19" s="377"/>
      <c r="N19" s="382"/>
      <c r="O19" s="382"/>
    </row>
    <row r="20" spans="1:15">
      <c r="A20" s="585" t="s">
        <v>144</v>
      </c>
      <c r="B20" s="586"/>
      <c r="C20" s="586"/>
      <c r="D20" s="490"/>
      <c r="E20" s="490"/>
      <c r="F20" s="490"/>
      <c r="G20" s="491">
        <f>G18+G19</f>
        <v>80</v>
      </c>
      <c r="H20" s="460">
        <f>G20</f>
        <v>80</v>
      </c>
      <c r="I20" s="492">
        <f>I18-J20</f>
        <v>-15</v>
      </c>
      <c r="J20" s="552">
        <f>H20/DAY(B2)</f>
        <v>80</v>
      </c>
      <c r="K20" s="428"/>
      <c r="L20" s="377"/>
      <c r="N20" s="382"/>
      <c r="O20" s="382"/>
    </row>
    <row r="21" spans="1:15">
      <c r="A21" s="1555" t="s">
        <v>145</v>
      </c>
      <c r="B21" s="1556"/>
      <c r="C21" s="1557"/>
      <c r="D21" s="472"/>
      <c r="E21" s="472"/>
      <c r="F21" s="472"/>
      <c r="G21" s="483"/>
      <c r="H21" s="472"/>
      <c r="I21" s="472"/>
      <c r="J21" s="551"/>
      <c r="K21" s="428"/>
      <c r="L21" s="377"/>
      <c r="N21" s="382"/>
      <c r="O21" s="382"/>
    </row>
    <row r="22" spans="1:15">
      <c r="A22" s="1305" t="s">
        <v>146</v>
      </c>
      <c r="B22" s="589"/>
      <c r="C22" s="589"/>
      <c r="D22" s="523" t="s">
        <v>147</v>
      </c>
      <c r="E22" s="484">
        <v>2970</v>
      </c>
      <c r="F22" s="484">
        <v>2970</v>
      </c>
      <c r="G22" s="481">
        <f>(F22-E22)</f>
        <v>0</v>
      </c>
      <c r="H22" s="460">
        <f>G22</f>
        <v>0</v>
      </c>
      <c r="I22" s="480"/>
      <c r="J22" s="552">
        <f>H22/DAY(B2)</f>
        <v>0</v>
      </c>
      <c r="K22" s="428"/>
      <c r="L22" s="377"/>
      <c r="N22" s="382"/>
      <c r="O22" s="382"/>
    </row>
    <row r="23" spans="1:15">
      <c r="A23" s="1305" t="s">
        <v>148</v>
      </c>
      <c r="B23" s="589"/>
      <c r="C23" s="589"/>
      <c r="D23" s="523" t="s">
        <v>147</v>
      </c>
      <c r="E23" s="484">
        <v>2000</v>
      </c>
      <c r="F23" s="484">
        <v>1880</v>
      </c>
      <c r="G23" s="481">
        <v>120</v>
      </c>
      <c r="H23" s="460">
        <f t="shared" ref="H23:H24" si="4">G23</f>
        <v>120</v>
      </c>
      <c r="I23" s="480"/>
      <c r="J23" s="552">
        <f>H23/DAY(B2)</f>
        <v>120</v>
      </c>
      <c r="K23" s="428"/>
      <c r="L23" s="377"/>
      <c r="N23" s="382"/>
      <c r="O23" s="382"/>
    </row>
    <row r="24" spans="1:15">
      <c r="A24" s="590" t="s">
        <v>149</v>
      </c>
      <c r="B24" s="591"/>
      <c r="C24" s="591"/>
      <c r="D24" s="511" t="s">
        <v>147</v>
      </c>
      <c r="E24" s="493">
        <v>4970</v>
      </c>
      <c r="F24" s="493">
        <v>4850</v>
      </c>
      <c r="G24" s="481">
        <f>SUM(G22:G23)</f>
        <v>120</v>
      </c>
      <c r="H24" s="460">
        <f t="shared" si="4"/>
        <v>120</v>
      </c>
      <c r="I24" s="480"/>
      <c r="J24" s="552">
        <f>H24/DAY(B2)</f>
        <v>120</v>
      </c>
      <c r="K24" s="428"/>
      <c r="L24" s="377"/>
      <c r="N24" s="382"/>
      <c r="O24" s="382"/>
    </row>
    <row r="25" spans="1:15" s="442" customFormat="1" ht="27">
      <c r="A25" s="1560" t="s">
        <v>150</v>
      </c>
      <c r="B25" s="1561"/>
      <c r="C25" s="1562"/>
      <c r="D25" s="471"/>
      <c r="E25" s="471"/>
      <c r="F25" s="471"/>
      <c r="G25" s="494"/>
      <c r="H25" s="495"/>
      <c r="I25" s="496"/>
      <c r="J25" s="554"/>
      <c r="K25" s="373"/>
      <c r="L25" s="443"/>
      <c r="N25" s="444"/>
      <c r="O25" s="382"/>
    </row>
    <row r="26" spans="1:15" s="442" customFormat="1" ht="27.75">
      <c r="A26" s="592" t="s">
        <v>151</v>
      </c>
      <c r="B26" s="593"/>
      <c r="C26" s="594"/>
      <c r="D26" s="618" t="s">
        <v>152</v>
      </c>
      <c r="E26" s="497"/>
      <c r="F26" s="497"/>
      <c r="G26" s="498"/>
      <c r="H26" s="460"/>
      <c r="I26" s="499"/>
      <c r="J26" s="552"/>
      <c r="K26" s="374"/>
      <c r="L26" s="443"/>
      <c r="N26" s="444"/>
      <c r="O26" s="382"/>
    </row>
    <row r="27" spans="1:15" s="442" customFormat="1" ht="27.75">
      <c r="A27" s="592" t="s">
        <v>6</v>
      </c>
      <c r="B27" s="593"/>
      <c r="C27" s="594"/>
      <c r="D27" s="619" t="s">
        <v>25</v>
      </c>
      <c r="E27" s="501">
        <v>16562</v>
      </c>
      <c r="F27" s="501">
        <v>9</v>
      </c>
      <c r="G27" s="502">
        <f>E27*F27</f>
        <v>149058</v>
      </c>
      <c r="H27" s="460">
        <f>G27</f>
        <v>149058</v>
      </c>
      <c r="I27" s="503"/>
      <c r="J27" s="552">
        <f>H27/DAY(B2)</f>
        <v>149058</v>
      </c>
      <c r="K27" s="373"/>
      <c r="L27" s="443"/>
      <c r="N27" s="444"/>
      <c r="O27" s="382"/>
    </row>
    <row r="28" spans="1:15" s="442" customFormat="1" ht="27.75">
      <c r="A28" s="592" t="s">
        <v>153</v>
      </c>
      <c r="B28" s="593"/>
      <c r="C28" s="594"/>
      <c r="D28" s="619" t="s">
        <v>154</v>
      </c>
      <c r="E28" s="501">
        <v>267</v>
      </c>
      <c r="F28" s="501">
        <v>52</v>
      </c>
      <c r="G28" s="502">
        <f>E28*F28</f>
        <v>13884</v>
      </c>
      <c r="H28" s="460">
        <f>G28</f>
        <v>13884</v>
      </c>
      <c r="I28" s="505"/>
      <c r="J28" s="552">
        <f>H28/DAY(B2)</f>
        <v>13884</v>
      </c>
      <c r="K28" s="373"/>
      <c r="L28" s="443"/>
      <c r="N28" s="444"/>
      <c r="O28" s="382"/>
    </row>
    <row r="29" spans="1:15" s="442" customFormat="1" ht="27.75">
      <c r="A29" s="592" t="s">
        <v>155</v>
      </c>
      <c r="B29" s="593"/>
      <c r="C29" s="594"/>
      <c r="D29" s="619" t="s">
        <v>156</v>
      </c>
      <c r="E29" s="501">
        <v>120</v>
      </c>
      <c r="F29" s="501">
        <v>69</v>
      </c>
      <c r="G29" s="502">
        <f>E29*F29</f>
        <v>8280</v>
      </c>
      <c r="H29" s="460">
        <f>G29</f>
        <v>8280</v>
      </c>
      <c r="I29" s="505"/>
      <c r="J29" s="552">
        <f>H29/DAY(B2)</f>
        <v>8280</v>
      </c>
      <c r="K29" s="373"/>
      <c r="L29" s="443"/>
      <c r="N29" s="444"/>
      <c r="O29" s="382"/>
    </row>
    <row r="30" spans="1:15" s="442" customFormat="1" ht="27.75">
      <c r="A30" s="592" t="s">
        <v>157</v>
      </c>
      <c r="B30" s="593"/>
      <c r="C30" s="594"/>
      <c r="D30" s="619" t="s">
        <v>158</v>
      </c>
      <c r="E30" s="501">
        <v>60</v>
      </c>
      <c r="F30" s="501">
        <v>146</v>
      </c>
      <c r="G30" s="502">
        <f>E30*F30</f>
        <v>8760</v>
      </c>
      <c r="H30" s="460">
        <f>G30</f>
        <v>8760</v>
      </c>
      <c r="I30" s="505"/>
      <c r="J30" s="552">
        <f>H30/DAY(B2)</f>
        <v>8760</v>
      </c>
      <c r="K30" s="373"/>
      <c r="L30" s="443"/>
      <c r="N30" s="444"/>
      <c r="O30" s="382"/>
    </row>
    <row r="31" spans="1:15" s="442" customFormat="1" ht="27.75">
      <c r="A31" s="592" t="s">
        <v>159</v>
      </c>
      <c r="B31" s="593"/>
      <c r="C31" s="594"/>
      <c r="D31" s="619" t="s">
        <v>143</v>
      </c>
      <c r="E31" s="501">
        <v>20</v>
      </c>
      <c r="F31" s="501">
        <v>80</v>
      </c>
      <c r="G31" s="502">
        <f>E31*F31</f>
        <v>1600</v>
      </c>
      <c r="H31" s="460">
        <f>G31</f>
        <v>1600</v>
      </c>
      <c r="I31" s="505"/>
      <c r="J31" s="552">
        <f>H31/DAY(B2)</f>
        <v>1600</v>
      </c>
      <c r="K31" s="373"/>
      <c r="L31" s="443"/>
      <c r="N31" s="444"/>
      <c r="O31" s="382"/>
    </row>
    <row r="32" spans="1:15" s="442" customFormat="1" ht="27.75">
      <c r="A32" s="595" t="s">
        <v>160</v>
      </c>
      <c r="B32" s="596"/>
      <c r="C32" s="597"/>
      <c r="D32" s="507"/>
      <c r="E32" s="507"/>
      <c r="F32" s="507"/>
      <c r="G32" s="508">
        <f>G27+G28+G29+G30+G31</f>
        <v>181582</v>
      </c>
      <c r="H32" s="460">
        <f t="shared" ref="H32" si="5">G32</f>
        <v>181582</v>
      </c>
      <c r="I32" s="509"/>
      <c r="J32" s="552">
        <f>H32/DAY(B2)</f>
        <v>181582</v>
      </c>
      <c r="K32" s="373"/>
      <c r="L32" s="443"/>
      <c r="N32" s="444"/>
      <c r="O32" s="382"/>
    </row>
    <row r="33" spans="1:15" ht="25.5">
      <c r="A33" s="1563" t="s">
        <v>161</v>
      </c>
      <c r="B33" s="1564"/>
      <c r="C33" s="1564"/>
      <c r="D33" s="1564"/>
      <c r="E33" s="1564"/>
      <c r="F33" s="1564"/>
      <c r="G33" s="1564"/>
      <c r="H33" s="1564"/>
      <c r="I33" s="1564"/>
      <c r="J33" s="1565"/>
      <c r="K33" s="428"/>
      <c r="L33" s="377"/>
      <c r="N33" s="382"/>
      <c r="O33" s="382"/>
    </row>
    <row r="34" spans="1:15">
      <c r="A34" s="598" t="s">
        <v>162</v>
      </c>
      <c r="B34" s="1310"/>
      <c r="C34" s="1310"/>
      <c r="D34" s="472"/>
      <c r="E34" s="495"/>
      <c r="F34" s="471"/>
      <c r="G34" s="472"/>
      <c r="H34" s="472"/>
      <c r="I34" s="472"/>
      <c r="J34" s="551"/>
      <c r="K34" s="428"/>
      <c r="L34" s="377"/>
      <c r="N34" s="382"/>
      <c r="O34" s="382"/>
    </row>
    <row r="35" spans="1:15">
      <c r="A35" s="578" t="s">
        <v>163</v>
      </c>
      <c r="B35" s="579"/>
      <c r="C35" s="579"/>
      <c r="D35" s="523" t="s">
        <v>131</v>
      </c>
      <c r="E35" s="510">
        <v>950488</v>
      </c>
      <c r="F35" s="510">
        <v>952832</v>
      </c>
      <c r="G35" s="473">
        <f>F35-E35</f>
        <v>2344</v>
      </c>
      <c r="H35" s="460">
        <f>G35</f>
        <v>2344</v>
      </c>
      <c r="I35" s="455"/>
      <c r="J35" s="552">
        <f>H35/DAY(B2)</f>
        <v>2344</v>
      </c>
      <c r="K35" s="428"/>
      <c r="L35" s="377"/>
      <c r="N35" s="382"/>
      <c r="O35" s="628"/>
    </row>
    <row r="36" spans="1:15">
      <c r="A36" s="578" t="s">
        <v>164</v>
      </c>
      <c r="B36" s="579"/>
      <c r="C36" s="579"/>
      <c r="D36" s="523" t="s">
        <v>131</v>
      </c>
      <c r="E36" s="510">
        <v>173</v>
      </c>
      <c r="F36" s="510">
        <v>619</v>
      </c>
      <c r="G36" s="473">
        <f t="shared" ref="G36:G46" si="6">F36-E36</f>
        <v>446</v>
      </c>
      <c r="H36" s="460">
        <f t="shared" ref="H36:H47" si="7">G36</f>
        <v>446</v>
      </c>
      <c r="I36" s="455"/>
      <c r="J36" s="552">
        <f>H36/DAY(B2)</f>
        <v>446</v>
      </c>
      <c r="K36" s="428"/>
      <c r="L36" s="377"/>
      <c r="N36" s="382"/>
      <c r="O36" s="628"/>
    </row>
    <row r="37" spans="1:15">
      <c r="A37" s="578" t="s">
        <v>165</v>
      </c>
      <c r="B37" s="579"/>
      <c r="C37" s="579"/>
      <c r="D37" s="523" t="s">
        <v>131</v>
      </c>
      <c r="E37" s="510">
        <v>134236</v>
      </c>
      <c r="F37" s="510">
        <v>135514</v>
      </c>
      <c r="G37" s="473">
        <f t="shared" si="6"/>
        <v>1278</v>
      </c>
      <c r="H37" s="460">
        <f t="shared" si="7"/>
        <v>1278</v>
      </c>
      <c r="I37" s="455"/>
      <c r="J37" s="552">
        <f>H37/DAY(B2)</f>
        <v>1278</v>
      </c>
      <c r="K37" s="428"/>
      <c r="L37" s="377"/>
      <c r="N37" s="382"/>
      <c r="O37" s="382"/>
    </row>
    <row r="38" spans="1:15">
      <c r="A38" s="578" t="s">
        <v>166</v>
      </c>
      <c r="B38" s="579"/>
      <c r="C38" s="579"/>
      <c r="D38" s="523" t="s">
        <v>131</v>
      </c>
      <c r="E38" s="469">
        <v>156405</v>
      </c>
      <c r="F38" s="469">
        <v>157575</v>
      </c>
      <c r="G38" s="473">
        <f t="shared" si="6"/>
        <v>1170</v>
      </c>
      <c r="H38" s="460">
        <f t="shared" si="7"/>
        <v>1170</v>
      </c>
      <c r="I38" s="455"/>
      <c r="J38" s="552">
        <f>H38/DAY(B2)</f>
        <v>1170</v>
      </c>
      <c r="K38" s="428"/>
      <c r="L38" s="377"/>
      <c r="N38" s="382"/>
      <c r="O38" s="382"/>
    </row>
    <row r="39" spans="1:15">
      <c r="A39" s="578" t="s">
        <v>167</v>
      </c>
      <c r="B39" s="579"/>
      <c r="C39" s="579"/>
      <c r="D39" s="523" t="s">
        <v>131</v>
      </c>
      <c r="E39" s="510">
        <v>308173</v>
      </c>
      <c r="F39" s="510">
        <v>310175</v>
      </c>
      <c r="G39" s="473">
        <f t="shared" si="6"/>
        <v>2002</v>
      </c>
      <c r="H39" s="460">
        <f t="shared" si="7"/>
        <v>2002</v>
      </c>
      <c r="I39" s="455"/>
      <c r="J39" s="552">
        <f>H39/DAY(B2)</f>
        <v>2002</v>
      </c>
      <c r="K39" s="428"/>
      <c r="L39" s="377"/>
      <c r="N39" s="382"/>
      <c r="O39" s="382"/>
    </row>
    <row r="40" spans="1:15">
      <c r="A40" s="599" t="s">
        <v>168</v>
      </c>
      <c r="B40" s="600"/>
      <c r="C40" s="600"/>
      <c r="D40" s="523" t="s">
        <v>131</v>
      </c>
      <c r="E40" s="510">
        <v>889</v>
      </c>
      <c r="F40" s="510">
        <v>889</v>
      </c>
      <c r="G40" s="473">
        <f t="shared" si="6"/>
        <v>0</v>
      </c>
      <c r="H40" s="460">
        <f t="shared" si="7"/>
        <v>0</v>
      </c>
      <c r="I40" s="455"/>
      <c r="J40" s="552">
        <f>H40/DAY(B2)</f>
        <v>0</v>
      </c>
      <c r="K40" s="429"/>
      <c r="L40" s="377"/>
      <c r="N40" s="382"/>
      <c r="O40" s="382"/>
    </row>
    <row r="41" spans="1:15">
      <c r="A41" s="578" t="s">
        <v>169</v>
      </c>
      <c r="B41" s="579"/>
      <c r="C41" s="579"/>
      <c r="D41" s="523" t="s">
        <v>131</v>
      </c>
      <c r="E41" s="510">
        <v>240478</v>
      </c>
      <c r="F41" s="510">
        <v>240478</v>
      </c>
      <c r="G41" s="473">
        <f t="shared" si="6"/>
        <v>0</v>
      </c>
      <c r="H41" s="460">
        <f t="shared" si="7"/>
        <v>0</v>
      </c>
      <c r="I41" s="455"/>
      <c r="J41" s="552">
        <f>H41/DAY(B2)</f>
        <v>0</v>
      </c>
      <c r="K41" s="428"/>
      <c r="L41" s="377"/>
      <c r="N41" s="382"/>
      <c r="O41" s="722"/>
    </row>
    <row r="42" spans="1:15">
      <c r="A42" s="578" t="s">
        <v>170</v>
      </c>
      <c r="B42" s="579"/>
      <c r="C42" s="579"/>
      <c r="D42" s="523" t="s">
        <v>131</v>
      </c>
      <c r="E42" s="510">
        <v>59200</v>
      </c>
      <c r="F42" s="510">
        <v>59200</v>
      </c>
      <c r="G42" s="473">
        <f t="shared" si="6"/>
        <v>0</v>
      </c>
      <c r="H42" s="460">
        <f t="shared" si="7"/>
        <v>0</v>
      </c>
      <c r="I42" s="455"/>
      <c r="J42" s="552">
        <f>H42/DAY(B2)</f>
        <v>0</v>
      </c>
      <c r="K42" s="428"/>
      <c r="L42" s="377"/>
      <c r="N42" s="382"/>
      <c r="O42" s="382"/>
    </row>
    <row r="43" spans="1:15">
      <c r="A43" s="578" t="s">
        <v>171</v>
      </c>
      <c r="B43" s="579"/>
      <c r="C43" s="579"/>
      <c r="D43" s="523" t="s">
        <v>131</v>
      </c>
      <c r="E43" s="510">
        <v>1042244</v>
      </c>
      <c r="F43" s="510">
        <v>1044516</v>
      </c>
      <c r="G43" s="473">
        <f t="shared" si="6"/>
        <v>2272</v>
      </c>
      <c r="H43" s="460">
        <f t="shared" si="7"/>
        <v>2272</v>
      </c>
      <c r="I43" s="455"/>
      <c r="J43" s="552">
        <f>H43/DAY(B2)</f>
        <v>2272</v>
      </c>
      <c r="K43" s="428"/>
      <c r="L43" s="377"/>
      <c r="N43" s="382"/>
      <c r="O43" s="382"/>
    </row>
    <row r="44" spans="1:15">
      <c r="A44" s="578" t="s">
        <v>172</v>
      </c>
      <c r="B44" s="579"/>
      <c r="C44" s="579"/>
      <c r="D44" s="523" t="s">
        <v>131</v>
      </c>
      <c r="E44" s="510">
        <v>0</v>
      </c>
      <c r="F44" s="510">
        <v>0</v>
      </c>
      <c r="G44" s="473">
        <f t="shared" si="6"/>
        <v>0</v>
      </c>
      <c r="H44" s="460">
        <f t="shared" si="7"/>
        <v>0</v>
      </c>
      <c r="I44" s="455"/>
      <c r="J44" s="552">
        <f>H44/DAY(B2)</f>
        <v>0</v>
      </c>
      <c r="K44" s="428"/>
      <c r="L44" s="377"/>
      <c r="N44" s="382"/>
      <c r="O44" s="382"/>
    </row>
    <row r="45" spans="1:15">
      <c r="A45" s="578" t="s">
        <v>173</v>
      </c>
      <c r="B45" s="579"/>
      <c r="C45" s="579"/>
      <c r="D45" s="523" t="s">
        <v>131</v>
      </c>
      <c r="E45" s="510">
        <v>614</v>
      </c>
      <c r="F45" s="510">
        <v>614</v>
      </c>
      <c r="G45" s="473">
        <f t="shared" si="6"/>
        <v>0</v>
      </c>
      <c r="H45" s="460">
        <f t="shared" si="7"/>
        <v>0</v>
      </c>
      <c r="I45" s="455"/>
      <c r="J45" s="552">
        <f>H45/DAY(B2)</f>
        <v>0</v>
      </c>
      <c r="K45" s="428"/>
      <c r="L45" s="377"/>
      <c r="N45" s="382"/>
      <c r="O45" s="382"/>
    </row>
    <row r="46" spans="1:15">
      <c r="A46" s="578" t="s">
        <v>174</v>
      </c>
      <c r="B46" s="579"/>
      <c r="C46" s="579"/>
      <c r="D46" s="523" t="s">
        <v>131</v>
      </c>
      <c r="E46" s="510">
        <v>187</v>
      </c>
      <c r="F46" s="510">
        <v>187</v>
      </c>
      <c r="G46" s="473">
        <f t="shared" si="6"/>
        <v>0</v>
      </c>
      <c r="H46" s="460">
        <f t="shared" si="7"/>
        <v>0</v>
      </c>
      <c r="I46" s="455"/>
      <c r="J46" s="552">
        <f>H46/DAY(B2)</f>
        <v>0</v>
      </c>
      <c r="K46" s="428"/>
      <c r="L46" s="377"/>
      <c r="N46" s="382"/>
      <c r="O46" s="382"/>
    </row>
    <row r="47" spans="1:15">
      <c r="A47" s="585" t="s">
        <v>175</v>
      </c>
      <c r="B47" s="586"/>
      <c r="C47" s="586"/>
      <c r="D47" s="470"/>
      <c r="E47" s="511"/>
      <c r="F47" s="511"/>
      <c r="G47" s="481">
        <f>G35+G36+G37+G38+G39+G40+G41+G42+G43+G44+G45+G46</f>
        <v>9512</v>
      </c>
      <c r="H47" s="460">
        <f t="shared" si="7"/>
        <v>9512</v>
      </c>
      <c r="I47" s="455"/>
      <c r="J47" s="552">
        <f>H47/DAY(B2)</f>
        <v>9512</v>
      </c>
      <c r="K47" s="428"/>
      <c r="L47" s="377"/>
      <c r="N47" s="382"/>
      <c r="O47" s="382"/>
    </row>
    <row r="48" spans="1:15">
      <c r="A48" s="598" t="s">
        <v>176</v>
      </c>
      <c r="B48" s="1310"/>
      <c r="C48" s="1310"/>
      <c r="D48" s="472"/>
      <c r="E48" s="471"/>
      <c r="F48" s="471"/>
      <c r="G48" s="472"/>
      <c r="H48" s="472"/>
      <c r="I48" s="472"/>
      <c r="J48" s="551"/>
      <c r="K48" s="428"/>
      <c r="L48" s="377"/>
      <c r="N48" s="382"/>
      <c r="O48" s="382"/>
    </row>
    <row r="49" spans="1:15">
      <c r="A49" s="578" t="s">
        <v>163</v>
      </c>
      <c r="B49" s="601"/>
      <c r="C49" s="601"/>
      <c r="D49" s="523" t="s">
        <v>131</v>
      </c>
      <c r="E49" s="510">
        <v>260732</v>
      </c>
      <c r="F49" s="510">
        <v>260732</v>
      </c>
      <c r="G49" s="473">
        <f t="shared" ref="G49:G58" si="8">F49-E49</f>
        <v>0</v>
      </c>
      <c r="H49" s="460">
        <f>G49</f>
        <v>0</v>
      </c>
      <c r="I49" s="455"/>
      <c r="J49" s="552">
        <f>H49/DAY(B2)</f>
        <v>0</v>
      </c>
      <c r="K49" s="428"/>
      <c r="L49" s="377"/>
      <c r="N49" s="382"/>
      <c r="O49" s="382"/>
    </row>
    <row r="50" spans="1:15">
      <c r="A50" s="578" t="s">
        <v>177</v>
      </c>
      <c r="B50" s="601"/>
      <c r="C50" s="601"/>
      <c r="D50" s="523" t="s">
        <v>131</v>
      </c>
      <c r="E50" s="510">
        <v>502536</v>
      </c>
      <c r="F50" s="510">
        <v>503350</v>
      </c>
      <c r="G50" s="473">
        <f t="shared" si="8"/>
        <v>814</v>
      </c>
      <c r="H50" s="460">
        <f t="shared" ref="H50:H60" si="9">G50</f>
        <v>814</v>
      </c>
      <c r="I50" s="455"/>
      <c r="J50" s="552">
        <f>H50/DAY(B2)</f>
        <v>814</v>
      </c>
      <c r="K50" s="428"/>
      <c r="L50" s="377"/>
      <c r="N50" s="382"/>
      <c r="O50" s="382"/>
    </row>
    <row r="51" spans="1:15">
      <c r="A51" s="578" t="s">
        <v>165</v>
      </c>
      <c r="B51" s="601"/>
      <c r="C51" s="601"/>
      <c r="D51" s="523" t="s">
        <v>131</v>
      </c>
      <c r="E51" s="510">
        <v>144640</v>
      </c>
      <c r="F51" s="510">
        <v>144640</v>
      </c>
      <c r="G51" s="473">
        <f t="shared" si="8"/>
        <v>0</v>
      </c>
      <c r="H51" s="460">
        <f t="shared" si="9"/>
        <v>0</v>
      </c>
      <c r="I51" s="455"/>
      <c r="J51" s="552">
        <f>H51/DAY(B2)</f>
        <v>0</v>
      </c>
      <c r="K51" s="428"/>
      <c r="L51" s="377"/>
      <c r="N51" s="382"/>
      <c r="O51" s="382"/>
    </row>
    <row r="52" spans="1:15">
      <c r="A52" s="578" t="s">
        <v>178</v>
      </c>
      <c r="B52" s="601"/>
      <c r="C52" s="601"/>
      <c r="D52" s="523" t="s">
        <v>131</v>
      </c>
      <c r="E52" s="510">
        <v>539606</v>
      </c>
      <c r="F52" s="510">
        <v>539606</v>
      </c>
      <c r="G52" s="473">
        <f t="shared" si="8"/>
        <v>0</v>
      </c>
      <c r="H52" s="460">
        <f t="shared" si="9"/>
        <v>0</v>
      </c>
      <c r="I52" s="455"/>
      <c r="J52" s="552">
        <f>H52/DAY(B2)</f>
        <v>0</v>
      </c>
      <c r="K52" s="428"/>
      <c r="L52" s="377"/>
      <c r="N52" s="382"/>
      <c r="O52" s="722"/>
    </row>
    <row r="53" spans="1:15">
      <c r="A53" s="578" t="s">
        <v>167</v>
      </c>
      <c r="B53" s="601"/>
      <c r="C53" s="601"/>
      <c r="D53" s="523" t="s">
        <v>131</v>
      </c>
      <c r="E53" s="510">
        <v>432568</v>
      </c>
      <c r="F53" s="510">
        <v>433112</v>
      </c>
      <c r="G53" s="473">
        <f t="shared" si="8"/>
        <v>544</v>
      </c>
      <c r="H53" s="460">
        <f t="shared" si="9"/>
        <v>544</v>
      </c>
      <c r="I53" s="455"/>
      <c r="J53" s="552">
        <f>H53/DAY(B2)</f>
        <v>544</v>
      </c>
      <c r="K53" s="428"/>
      <c r="L53" s="377"/>
      <c r="N53" s="382"/>
      <c r="O53" s="382"/>
    </row>
    <row r="54" spans="1:15">
      <c r="A54" s="578" t="s">
        <v>179</v>
      </c>
      <c r="B54" s="601"/>
      <c r="C54" s="601"/>
      <c r="D54" s="523" t="s">
        <v>131</v>
      </c>
      <c r="E54" s="510">
        <v>13750</v>
      </c>
      <c r="F54" s="510">
        <v>13840</v>
      </c>
      <c r="G54" s="473">
        <f t="shared" si="8"/>
        <v>90</v>
      </c>
      <c r="H54" s="460">
        <f t="shared" si="9"/>
        <v>90</v>
      </c>
      <c r="I54" s="455"/>
      <c r="J54" s="552">
        <f>H54/DAY(B2)</f>
        <v>90</v>
      </c>
      <c r="K54" s="428"/>
      <c r="L54" s="377"/>
      <c r="N54" s="382"/>
      <c r="O54" s="382"/>
    </row>
    <row r="55" spans="1:15">
      <c r="A55" s="578" t="s">
        <v>180</v>
      </c>
      <c r="B55" s="601"/>
      <c r="C55" s="601"/>
      <c r="D55" s="523" t="s">
        <v>131</v>
      </c>
      <c r="E55" s="510">
        <v>68111</v>
      </c>
      <c r="F55" s="510">
        <v>68111</v>
      </c>
      <c r="G55" s="473">
        <f t="shared" si="8"/>
        <v>0</v>
      </c>
      <c r="H55" s="460">
        <f t="shared" si="9"/>
        <v>0</v>
      </c>
      <c r="I55" s="455"/>
      <c r="J55" s="552">
        <f>H55/DAY(B2)</f>
        <v>0</v>
      </c>
      <c r="K55" s="428"/>
      <c r="L55" s="377"/>
      <c r="N55" s="382"/>
      <c r="O55" s="382"/>
    </row>
    <row r="56" spans="1:15">
      <c r="A56" s="578" t="s">
        <v>181</v>
      </c>
      <c r="B56" s="601"/>
      <c r="C56" s="601"/>
      <c r="D56" s="523" t="s">
        <v>182</v>
      </c>
      <c r="E56" s="510">
        <v>617198</v>
      </c>
      <c r="F56" s="510">
        <v>622504.51</v>
      </c>
      <c r="G56" s="473">
        <f t="shared" si="8"/>
        <v>5306.5100000000093</v>
      </c>
      <c r="H56" s="460">
        <f t="shared" si="9"/>
        <v>5306.5100000000093</v>
      </c>
      <c r="I56" s="455"/>
      <c r="J56" s="552">
        <f>H56/DAY(B2)</f>
        <v>5306.5100000000093</v>
      </c>
      <c r="K56" s="427"/>
      <c r="L56" s="377"/>
      <c r="N56" s="382"/>
      <c r="O56" s="382"/>
    </row>
    <row r="57" spans="1:15">
      <c r="A57" s="578" t="s">
        <v>171</v>
      </c>
      <c r="B57" s="601"/>
      <c r="C57" s="601"/>
      <c r="D57" s="523" t="s">
        <v>131</v>
      </c>
      <c r="E57" s="510">
        <v>7711</v>
      </c>
      <c r="F57" s="510">
        <v>7711</v>
      </c>
      <c r="G57" s="473">
        <f t="shared" si="8"/>
        <v>0</v>
      </c>
      <c r="H57" s="460">
        <f t="shared" si="9"/>
        <v>0</v>
      </c>
      <c r="I57" s="455"/>
      <c r="J57" s="552">
        <f>H57/DAY(B2)</f>
        <v>0</v>
      </c>
      <c r="K57" s="428"/>
      <c r="L57" s="377"/>
      <c r="N57" s="382"/>
      <c r="O57" s="382"/>
    </row>
    <row r="58" spans="1:15">
      <c r="A58" s="578" t="s">
        <v>183</v>
      </c>
      <c r="B58" s="601"/>
      <c r="C58" s="601"/>
      <c r="D58" s="523" t="s">
        <v>131</v>
      </c>
      <c r="E58" s="510">
        <v>49625</v>
      </c>
      <c r="F58" s="510">
        <v>49625</v>
      </c>
      <c r="G58" s="473">
        <f t="shared" si="8"/>
        <v>0</v>
      </c>
      <c r="H58" s="460">
        <f t="shared" si="9"/>
        <v>0</v>
      </c>
      <c r="I58" s="455"/>
      <c r="J58" s="552">
        <f>H58/DAY(B2)</f>
        <v>0</v>
      </c>
      <c r="K58" s="428"/>
      <c r="L58" s="377"/>
      <c r="N58" s="382"/>
      <c r="O58" s="382"/>
    </row>
    <row r="59" spans="1:15">
      <c r="A59" s="585" t="s">
        <v>175</v>
      </c>
      <c r="B59" s="586"/>
      <c r="C59" s="586"/>
      <c r="D59" s="511"/>
      <c r="E59" s="511"/>
      <c r="F59" s="511"/>
      <c r="G59" s="481">
        <f>G49+G50+G51+G52+G53+G54+G55+G56+G57+G58</f>
        <v>6754.5100000000093</v>
      </c>
      <c r="H59" s="460">
        <f t="shared" si="9"/>
        <v>6754.5100000000093</v>
      </c>
      <c r="I59" s="455">
        <f>G7-G60</f>
        <v>295.48999999999069</v>
      </c>
      <c r="J59" s="552">
        <f>H59/DAY(B2)</f>
        <v>6754.5100000000093</v>
      </c>
      <c r="K59" s="428"/>
      <c r="L59" s="377"/>
      <c r="N59" s="382"/>
      <c r="O59" s="382"/>
    </row>
    <row r="60" spans="1:15">
      <c r="A60" s="578"/>
      <c r="B60" s="579"/>
      <c r="C60" s="579"/>
      <c r="D60" s="511" t="s">
        <v>184</v>
      </c>
      <c r="E60" s="511"/>
      <c r="F60" s="511"/>
      <c r="G60" s="481">
        <f>G47+G59</f>
        <v>16266.510000000009</v>
      </c>
      <c r="H60" s="460">
        <f t="shared" si="9"/>
        <v>16266.510000000009</v>
      </c>
      <c r="I60" s="455">
        <f>G13-G60</f>
        <v>-123.09000000000924</v>
      </c>
      <c r="J60" s="552">
        <f>H60/DAY(B2)</f>
        <v>16266.510000000009</v>
      </c>
      <c r="K60" s="428"/>
      <c r="L60" s="377"/>
      <c r="N60" s="382"/>
      <c r="O60" s="382"/>
    </row>
    <row r="61" spans="1:15">
      <c r="A61" s="602" t="s">
        <v>185</v>
      </c>
      <c r="B61" s="453"/>
      <c r="C61" s="453"/>
      <c r="D61" s="513"/>
      <c r="E61" s="512"/>
      <c r="F61" s="512"/>
      <c r="G61" s="513"/>
      <c r="H61" s="513"/>
      <c r="I61" s="513"/>
      <c r="J61" s="555"/>
      <c r="K61" s="428"/>
      <c r="L61" s="377"/>
      <c r="N61" s="382"/>
      <c r="O61" s="382"/>
    </row>
    <row r="62" spans="1:15">
      <c r="A62" s="603" t="s">
        <v>97</v>
      </c>
      <c r="B62" s="604"/>
      <c r="C62" s="604"/>
      <c r="D62" s="511" t="s">
        <v>186</v>
      </c>
      <c r="E62" s="514">
        <v>20419</v>
      </c>
      <c r="F62" s="514">
        <v>20419</v>
      </c>
      <c r="G62" s="473">
        <f t="shared" ref="G62:G69" si="10">F62-E62</f>
        <v>0</v>
      </c>
      <c r="H62" s="460">
        <f>G62</f>
        <v>0</v>
      </c>
      <c r="I62" s="515"/>
      <c r="J62" s="552">
        <f>H62/DAY(B2)</f>
        <v>0</v>
      </c>
      <c r="K62" s="428"/>
      <c r="L62" s="377"/>
      <c r="N62" s="382"/>
      <c r="O62" s="382"/>
    </row>
    <row r="63" spans="1:15">
      <c r="A63" s="603" t="s">
        <v>187</v>
      </c>
      <c r="B63" s="604"/>
      <c r="C63" s="604"/>
      <c r="D63" s="511" t="s">
        <v>186</v>
      </c>
      <c r="E63" s="514">
        <v>0</v>
      </c>
      <c r="F63" s="514">
        <v>0</v>
      </c>
      <c r="G63" s="473">
        <f t="shared" si="10"/>
        <v>0</v>
      </c>
      <c r="H63" s="460">
        <f t="shared" ref="H63:H70" si="11">G63</f>
        <v>0</v>
      </c>
      <c r="I63" s="515"/>
      <c r="J63" s="552">
        <f>H63/DAY(B2)</f>
        <v>0</v>
      </c>
      <c r="K63" s="428"/>
      <c r="L63" s="377"/>
      <c r="N63" s="382"/>
      <c r="O63" s="382"/>
    </row>
    <row r="64" spans="1:15" ht="27.75">
      <c r="A64" s="1534" t="s">
        <v>98</v>
      </c>
      <c r="B64" s="1535"/>
      <c r="C64" s="1536"/>
      <c r="D64" s="523" t="s">
        <v>186</v>
      </c>
      <c r="E64" s="484">
        <v>159932</v>
      </c>
      <c r="F64" s="484">
        <v>160128</v>
      </c>
      <c r="G64" s="473">
        <f t="shared" si="10"/>
        <v>196</v>
      </c>
      <c r="H64" s="460">
        <f t="shared" si="11"/>
        <v>196</v>
      </c>
      <c r="I64" s="480"/>
      <c r="J64" s="552">
        <f>H64/DAY(B2)</f>
        <v>196</v>
      </c>
      <c r="K64" s="428"/>
      <c r="L64" s="377"/>
      <c r="N64" s="382"/>
      <c r="O64" s="382"/>
    </row>
    <row r="65" spans="1:15" ht="27.75">
      <c r="A65" s="1534" t="s">
        <v>99</v>
      </c>
      <c r="B65" s="1535"/>
      <c r="C65" s="1536"/>
      <c r="D65" s="523" t="s">
        <v>186</v>
      </c>
      <c r="E65" s="484">
        <v>160998</v>
      </c>
      <c r="F65" s="484">
        <v>161237</v>
      </c>
      <c r="G65" s="473">
        <f t="shared" si="10"/>
        <v>239</v>
      </c>
      <c r="H65" s="460">
        <f t="shared" si="11"/>
        <v>239</v>
      </c>
      <c r="I65" s="489"/>
      <c r="J65" s="552">
        <f>H65/DAY(B2)</f>
        <v>239</v>
      </c>
      <c r="K65" s="428"/>
      <c r="L65" s="377"/>
      <c r="N65" s="382"/>
      <c r="O65" s="382"/>
    </row>
    <row r="66" spans="1:15" ht="27.75">
      <c r="A66" s="1534" t="s">
        <v>100</v>
      </c>
      <c r="B66" s="1535"/>
      <c r="C66" s="1536"/>
      <c r="D66" s="523" t="s">
        <v>186</v>
      </c>
      <c r="E66" s="484">
        <v>56805</v>
      </c>
      <c r="F66" s="484">
        <v>57021</v>
      </c>
      <c r="G66" s="473">
        <f t="shared" si="10"/>
        <v>216</v>
      </c>
      <c r="H66" s="460">
        <f t="shared" si="11"/>
        <v>216</v>
      </c>
      <c r="I66" s="480"/>
      <c r="J66" s="552">
        <f>H66/DAY(B2)</f>
        <v>216</v>
      </c>
      <c r="K66" s="428"/>
      <c r="L66" s="377"/>
      <c r="N66" s="382"/>
      <c r="O66" s="382"/>
    </row>
    <row r="67" spans="1:15" ht="27.75">
      <c r="A67" s="1534" t="s">
        <v>101</v>
      </c>
      <c r="B67" s="1535"/>
      <c r="C67" s="1536"/>
      <c r="D67" s="523" t="s">
        <v>186</v>
      </c>
      <c r="E67" s="484">
        <v>252192</v>
      </c>
      <c r="F67" s="484">
        <v>252502</v>
      </c>
      <c r="G67" s="473">
        <f t="shared" si="10"/>
        <v>310</v>
      </c>
      <c r="H67" s="460">
        <f t="shared" si="11"/>
        <v>310</v>
      </c>
      <c r="I67" s="489"/>
      <c r="J67" s="552">
        <f>H67/DAY(B2)</f>
        <v>310</v>
      </c>
      <c r="K67" s="429"/>
      <c r="L67" s="377"/>
      <c r="N67" s="382"/>
      <c r="O67" s="382"/>
    </row>
    <row r="68" spans="1:15" ht="27.75">
      <c r="A68" s="1534" t="s">
        <v>102</v>
      </c>
      <c r="B68" s="1535"/>
      <c r="C68" s="1536"/>
      <c r="D68" s="523" t="s">
        <v>186</v>
      </c>
      <c r="E68" s="484">
        <v>85321</v>
      </c>
      <c r="F68" s="484">
        <v>85321</v>
      </c>
      <c r="G68" s="473">
        <f t="shared" si="10"/>
        <v>0</v>
      </c>
      <c r="H68" s="460">
        <f t="shared" si="11"/>
        <v>0</v>
      </c>
      <c r="I68" s="516"/>
      <c r="J68" s="552">
        <f>H68/DAY(B2)</f>
        <v>0</v>
      </c>
      <c r="K68" s="430"/>
      <c r="L68" s="377"/>
      <c r="N68" s="382"/>
      <c r="O68" s="382"/>
    </row>
    <row r="69" spans="1:15" ht="27.75">
      <c r="A69" s="1534" t="s">
        <v>103</v>
      </c>
      <c r="B69" s="1535"/>
      <c r="C69" s="1536"/>
      <c r="D69" s="523" t="s">
        <v>186</v>
      </c>
      <c r="E69" s="484">
        <v>81749</v>
      </c>
      <c r="F69" s="484">
        <v>81853</v>
      </c>
      <c r="G69" s="473">
        <f t="shared" si="10"/>
        <v>104</v>
      </c>
      <c r="H69" s="460">
        <f t="shared" si="11"/>
        <v>104</v>
      </c>
      <c r="I69" s="516"/>
      <c r="J69" s="552">
        <f>H69/DAY(B2)</f>
        <v>104</v>
      </c>
      <c r="K69" s="431"/>
      <c r="L69" s="377"/>
      <c r="N69" s="382"/>
      <c r="O69" s="382"/>
    </row>
    <row r="70" spans="1:15" ht="27.75">
      <c r="A70" s="1566" t="s">
        <v>188</v>
      </c>
      <c r="B70" s="1567"/>
      <c r="C70" s="1568"/>
      <c r="D70" s="523" t="s">
        <v>186</v>
      </c>
      <c r="E70" s="518"/>
      <c r="F70" s="518"/>
      <c r="G70" s="518"/>
      <c r="H70" s="460">
        <f t="shared" si="11"/>
        <v>0</v>
      </c>
      <c r="I70" s="518"/>
      <c r="J70" s="556">
        <f>H70/DAY(B2)</f>
        <v>0</v>
      </c>
      <c r="K70" s="431"/>
      <c r="L70" s="377"/>
      <c r="N70" s="382"/>
      <c r="O70" s="382"/>
    </row>
    <row r="71" spans="1:15" ht="31.5">
      <c r="A71" s="1580" t="s">
        <v>189</v>
      </c>
      <c r="B71" s="1581"/>
      <c r="C71" s="1581"/>
      <c r="D71" s="1581"/>
      <c r="E71" s="1581"/>
      <c r="F71" s="1581"/>
      <c r="G71" s="1581"/>
      <c r="H71" s="1581"/>
      <c r="I71" s="1581"/>
      <c r="J71" s="1582"/>
      <c r="K71" s="430"/>
      <c r="L71" s="377"/>
      <c r="N71" s="382"/>
      <c r="O71" s="382"/>
    </row>
    <row r="72" spans="1:15" ht="27.75">
      <c r="A72" s="1534" t="s">
        <v>190</v>
      </c>
      <c r="B72" s="1535"/>
      <c r="C72" s="1536"/>
      <c r="D72" s="523" t="s">
        <v>186</v>
      </c>
      <c r="E72" s="519">
        <v>855843</v>
      </c>
      <c r="F72" s="519">
        <v>855857</v>
      </c>
      <c r="G72" s="473">
        <f t="shared" ref="G72:G84" si="12">F72-E72</f>
        <v>14</v>
      </c>
      <c r="H72" s="460">
        <f>G72</f>
        <v>14</v>
      </c>
      <c r="I72" s="480"/>
      <c r="J72" s="552">
        <f>H72/DAY(B2)</f>
        <v>14</v>
      </c>
      <c r="K72" s="431"/>
      <c r="L72" s="377"/>
      <c r="N72" s="382"/>
      <c r="O72" s="382"/>
    </row>
    <row r="73" spans="1:15" ht="27.75">
      <c r="A73" s="1534" t="s">
        <v>191</v>
      </c>
      <c r="B73" s="1535"/>
      <c r="C73" s="1536"/>
      <c r="D73" s="523" t="s">
        <v>186</v>
      </c>
      <c r="E73" s="520">
        <v>885937</v>
      </c>
      <c r="F73" s="520">
        <v>885938</v>
      </c>
      <c r="G73" s="473">
        <f t="shared" si="12"/>
        <v>1</v>
      </c>
      <c r="H73" s="460">
        <f t="shared" ref="H73:H88" si="13">G73</f>
        <v>1</v>
      </c>
      <c r="I73" s="480"/>
      <c r="J73" s="552">
        <f>H73/DAY(B2)</f>
        <v>1</v>
      </c>
      <c r="K73" s="430"/>
      <c r="L73" s="377"/>
      <c r="N73" s="382"/>
      <c r="O73" s="382"/>
    </row>
    <row r="74" spans="1:15" ht="27.75">
      <c r="A74" s="1566" t="s">
        <v>192</v>
      </c>
      <c r="B74" s="1567"/>
      <c r="C74" s="1568"/>
      <c r="D74" s="523" t="s">
        <v>186</v>
      </c>
      <c r="E74" s="521">
        <v>2586</v>
      </c>
      <c r="F74" s="521">
        <v>2593</v>
      </c>
      <c r="G74" s="473">
        <f t="shared" si="12"/>
        <v>7</v>
      </c>
      <c r="H74" s="460">
        <f t="shared" si="13"/>
        <v>7</v>
      </c>
      <c r="I74" s="480"/>
      <c r="J74" s="552">
        <f>H74/DAY(B2)</f>
        <v>7</v>
      </c>
      <c r="K74" s="431"/>
      <c r="L74" s="377"/>
      <c r="N74" s="382"/>
      <c r="O74" s="382"/>
    </row>
    <row r="75" spans="1:15" ht="27.75">
      <c r="A75" s="1583" t="s">
        <v>193</v>
      </c>
      <c r="B75" s="1584"/>
      <c r="C75" s="1585"/>
      <c r="D75" s="523" t="s">
        <v>186</v>
      </c>
      <c r="E75" s="521">
        <v>12669</v>
      </c>
      <c r="F75" s="521">
        <v>12723</v>
      </c>
      <c r="G75" s="473">
        <f t="shared" si="12"/>
        <v>54</v>
      </c>
      <c r="H75" s="460">
        <f t="shared" si="13"/>
        <v>54</v>
      </c>
      <c r="I75" s="480"/>
      <c r="J75" s="552">
        <f>H75/DAY(B2)</f>
        <v>54</v>
      </c>
      <c r="K75" s="430"/>
      <c r="L75" s="377"/>
      <c r="N75" s="382"/>
      <c r="O75" s="382"/>
    </row>
    <row r="76" spans="1:15" ht="27.75">
      <c r="A76" s="1583" t="s">
        <v>194</v>
      </c>
      <c r="B76" s="1584"/>
      <c r="C76" s="1585"/>
      <c r="D76" s="523" t="s">
        <v>186</v>
      </c>
      <c r="E76" s="520">
        <v>7419</v>
      </c>
      <c r="F76" s="520">
        <v>7476</v>
      </c>
      <c r="G76" s="473">
        <f t="shared" si="12"/>
        <v>57</v>
      </c>
      <c r="H76" s="460">
        <f t="shared" si="13"/>
        <v>57</v>
      </c>
      <c r="I76" s="505"/>
      <c r="J76" s="552">
        <f>H76/DAY(B2)</f>
        <v>57</v>
      </c>
      <c r="K76" s="430"/>
      <c r="L76" s="377"/>
      <c r="N76" s="382"/>
      <c r="O76" s="382"/>
    </row>
    <row r="77" spans="1:15" ht="27.75">
      <c r="A77" s="1534" t="s">
        <v>195</v>
      </c>
      <c r="B77" s="1535"/>
      <c r="C77" s="1536"/>
      <c r="D77" s="523" t="s">
        <v>186</v>
      </c>
      <c r="E77" s="521">
        <v>702839</v>
      </c>
      <c r="F77" s="521">
        <v>702888</v>
      </c>
      <c r="G77" s="473">
        <f t="shared" si="12"/>
        <v>49</v>
      </c>
      <c r="H77" s="460">
        <f t="shared" si="13"/>
        <v>49</v>
      </c>
      <c r="I77" s="505"/>
      <c r="J77" s="552">
        <f>H77/DAY(B2)</f>
        <v>49</v>
      </c>
      <c r="K77" s="430"/>
      <c r="L77" s="377"/>
      <c r="N77" s="382"/>
      <c r="O77" s="382"/>
    </row>
    <row r="78" spans="1:15" ht="27.75">
      <c r="A78" s="1308" t="s">
        <v>196</v>
      </c>
      <c r="B78" s="1301"/>
      <c r="C78" s="1301"/>
      <c r="D78" s="523" t="s">
        <v>186</v>
      </c>
      <c r="E78" s="521">
        <v>673032</v>
      </c>
      <c r="F78" s="521">
        <v>673087</v>
      </c>
      <c r="G78" s="473">
        <f t="shared" si="12"/>
        <v>55</v>
      </c>
      <c r="H78" s="460">
        <f t="shared" si="13"/>
        <v>55</v>
      </c>
      <c r="I78" s="505"/>
      <c r="J78" s="552">
        <f>H78/DAY(B2)</f>
        <v>55</v>
      </c>
      <c r="K78" s="430"/>
      <c r="L78" s="377"/>
      <c r="N78" s="382"/>
      <c r="O78" s="382"/>
    </row>
    <row r="79" spans="1:15" ht="27.75">
      <c r="A79" s="1583" t="s">
        <v>91</v>
      </c>
      <c r="B79" s="1584"/>
      <c r="C79" s="1585"/>
      <c r="D79" s="524" t="s">
        <v>186</v>
      </c>
      <c r="E79" s="521">
        <v>831010</v>
      </c>
      <c r="F79" s="783">
        <v>831165</v>
      </c>
      <c r="G79" s="473">
        <f t="shared" si="12"/>
        <v>155</v>
      </c>
      <c r="H79" s="460">
        <f t="shared" si="13"/>
        <v>155</v>
      </c>
      <c r="I79" s="505"/>
      <c r="J79" s="552">
        <f>H79/DAY(B2)</f>
        <v>155</v>
      </c>
      <c r="K79" s="430"/>
      <c r="L79" s="377"/>
      <c r="N79" s="382"/>
      <c r="O79" s="382"/>
    </row>
    <row r="80" spans="1:15" ht="27.75">
      <c r="A80" s="1583" t="s">
        <v>197</v>
      </c>
      <c r="B80" s="1584"/>
      <c r="C80" s="1585"/>
      <c r="D80" s="524" t="s">
        <v>186</v>
      </c>
      <c r="E80" s="520">
        <v>527658</v>
      </c>
      <c r="F80" s="520">
        <v>528028</v>
      </c>
      <c r="G80" s="473">
        <f t="shared" si="12"/>
        <v>370</v>
      </c>
      <c r="H80" s="460">
        <f t="shared" si="13"/>
        <v>370</v>
      </c>
      <c r="I80" s="505"/>
      <c r="J80" s="552">
        <f>H80/DAY(B2)</f>
        <v>370</v>
      </c>
      <c r="K80" s="430"/>
      <c r="L80" s="377"/>
      <c r="N80" s="382"/>
      <c r="O80" s="382"/>
    </row>
    <row r="81" spans="1:15" ht="27.75">
      <c r="A81" s="1583" t="s">
        <v>198</v>
      </c>
      <c r="B81" s="1584"/>
      <c r="C81" s="1585"/>
      <c r="D81" s="524" t="s">
        <v>186</v>
      </c>
      <c r="E81" s="520">
        <v>638898</v>
      </c>
      <c r="F81" s="520">
        <v>638992</v>
      </c>
      <c r="G81" s="473">
        <f t="shared" si="12"/>
        <v>94</v>
      </c>
      <c r="H81" s="460">
        <f t="shared" si="13"/>
        <v>94</v>
      </c>
      <c r="I81" s="505"/>
      <c r="J81" s="552">
        <f>H81/DAY(B2)</f>
        <v>94</v>
      </c>
      <c r="K81" s="430"/>
      <c r="L81" s="377"/>
      <c r="N81" s="382"/>
      <c r="O81" s="382"/>
    </row>
    <row r="82" spans="1:15" ht="27.75">
      <c r="A82" s="1583" t="s">
        <v>92</v>
      </c>
      <c r="B82" s="1584"/>
      <c r="C82" s="1585"/>
      <c r="D82" s="485" t="s">
        <v>131</v>
      </c>
      <c r="E82" s="522">
        <v>108158</v>
      </c>
      <c r="F82" s="522">
        <v>108169</v>
      </c>
      <c r="G82" s="473">
        <f t="shared" si="12"/>
        <v>11</v>
      </c>
      <c r="H82" s="460">
        <f t="shared" si="13"/>
        <v>11</v>
      </c>
      <c r="I82" s="486"/>
      <c r="J82" s="552">
        <f>H82/DAY(B2)</f>
        <v>11</v>
      </c>
      <c r="K82" s="430"/>
      <c r="L82" s="377"/>
      <c r="N82" s="382"/>
      <c r="O82" s="382"/>
    </row>
    <row r="83" spans="1:15" ht="27.75">
      <c r="A83" s="1583" t="s">
        <v>199</v>
      </c>
      <c r="B83" s="1584"/>
      <c r="C83" s="1585"/>
      <c r="D83" s="620" t="s">
        <v>131</v>
      </c>
      <c r="E83" s="511">
        <v>20506</v>
      </c>
      <c r="F83" s="1313">
        <v>20658</v>
      </c>
      <c r="G83" s="473">
        <f t="shared" si="12"/>
        <v>152</v>
      </c>
      <c r="H83" s="460">
        <f t="shared" si="13"/>
        <v>152</v>
      </c>
      <c r="I83" s="481"/>
      <c r="J83" s="552">
        <f>H83/DAY(B2)</f>
        <v>152</v>
      </c>
      <c r="K83" s="429"/>
      <c r="L83" s="377"/>
      <c r="N83" s="382"/>
      <c r="O83" s="722"/>
    </row>
    <row r="84" spans="1:15">
      <c r="A84" s="1309" t="s">
        <v>200</v>
      </c>
      <c r="B84" s="571"/>
      <c r="C84" s="571"/>
      <c r="D84" s="478" t="s">
        <v>131</v>
      </c>
      <c r="E84" s="627">
        <v>500294</v>
      </c>
      <c r="F84" s="627">
        <v>501121</v>
      </c>
      <c r="G84" s="473">
        <f t="shared" si="12"/>
        <v>827</v>
      </c>
      <c r="H84" s="460">
        <f t="shared" si="13"/>
        <v>827</v>
      </c>
      <c r="I84" s="481"/>
      <c r="J84" s="552">
        <f>H84/DAY(B2)</f>
        <v>827</v>
      </c>
      <c r="K84" s="380"/>
      <c r="L84" s="377"/>
      <c r="N84" s="382"/>
      <c r="O84" s="382"/>
    </row>
    <row r="85" spans="1:15" s="379" customFormat="1">
      <c r="A85" s="605" t="s">
        <v>201</v>
      </c>
      <c r="B85" s="572"/>
      <c r="C85" s="572"/>
      <c r="D85" s="489"/>
      <c r="E85" s="523"/>
      <c r="F85" s="523"/>
      <c r="G85" s="460">
        <f xml:space="preserve"> SUM(G71:G84)</f>
        <v>1846</v>
      </c>
      <c r="H85" s="460">
        <f t="shared" si="13"/>
        <v>1846</v>
      </c>
      <c r="I85" s="481"/>
      <c r="J85" s="552">
        <f>H85/DAY(B2)</f>
        <v>1846</v>
      </c>
      <c r="K85" s="380"/>
      <c r="L85" s="378"/>
      <c r="N85" s="777"/>
      <c r="O85" s="722"/>
    </row>
    <row r="86" spans="1:15" s="736" customFormat="1">
      <c r="A86" s="731" t="s">
        <v>93</v>
      </c>
      <c r="B86" s="732"/>
      <c r="C86" s="732"/>
      <c r="D86" s="733" t="s">
        <v>182</v>
      </c>
      <c r="E86" s="648">
        <v>460935</v>
      </c>
      <c r="F86" s="648">
        <v>460969</v>
      </c>
      <c r="G86" s="706">
        <f t="shared" ref="G86:G91" si="14">F86-E86</f>
        <v>34</v>
      </c>
      <c r="H86" s="706">
        <f t="shared" si="13"/>
        <v>34</v>
      </c>
      <c r="I86" s="653"/>
      <c r="J86" s="708">
        <f>H86/DAY(B2)</f>
        <v>34</v>
      </c>
      <c r="K86" s="734"/>
      <c r="L86" s="735"/>
      <c r="N86" s="778"/>
      <c r="O86" s="382"/>
    </row>
    <row r="87" spans="1:15" s="736" customFormat="1">
      <c r="A87" s="731" t="s">
        <v>94</v>
      </c>
      <c r="B87" s="732"/>
      <c r="C87" s="732"/>
      <c r="D87" s="733" t="s">
        <v>182</v>
      </c>
      <c r="E87" s="648">
        <v>81375</v>
      </c>
      <c r="F87" s="648">
        <v>81396</v>
      </c>
      <c r="G87" s="706">
        <f t="shared" si="14"/>
        <v>21</v>
      </c>
      <c r="H87" s="706">
        <f t="shared" si="13"/>
        <v>21</v>
      </c>
      <c r="I87" s="653"/>
      <c r="J87" s="708">
        <f>H87/DAY(B2)</f>
        <v>21</v>
      </c>
      <c r="K87" s="734"/>
      <c r="L87" s="735"/>
      <c r="N87" s="778"/>
      <c r="O87" s="382"/>
    </row>
    <row r="88" spans="1:15" s="736" customFormat="1">
      <c r="A88" s="731" t="s">
        <v>95</v>
      </c>
      <c r="B88" s="732"/>
      <c r="C88" s="732"/>
      <c r="D88" s="733" t="s">
        <v>182</v>
      </c>
      <c r="E88" s="648">
        <v>153064</v>
      </c>
      <c r="F88" s="648">
        <v>153091</v>
      </c>
      <c r="G88" s="706">
        <f t="shared" si="14"/>
        <v>27</v>
      </c>
      <c r="H88" s="706">
        <f t="shared" si="13"/>
        <v>27</v>
      </c>
      <c r="I88" s="653"/>
      <c r="J88" s="708">
        <f>H88/DAY(B2)</f>
        <v>27</v>
      </c>
      <c r="K88" s="734"/>
      <c r="L88" s="735"/>
      <c r="N88" s="778"/>
      <c r="O88" s="382"/>
    </row>
    <row r="89" spans="1:15" s="736" customFormat="1">
      <c r="A89" s="731" t="s">
        <v>202</v>
      </c>
      <c r="B89" s="732"/>
      <c r="C89" s="732"/>
      <c r="D89" s="733" t="s">
        <v>182</v>
      </c>
      <c r="E89" s="648">
        <v>65174.6</v>
      </c>
      <c r="F89" s="648">
        <v>65185</v>
      </c>
      <c r="G89" s="706">
        <f t="shared" si="14"/>
        <v>10.400000000001455</v>
      </c>
      <c r="H89" s="706">
        <f>G89</f>
        <v>10.400000000001455</v>
      </c>
      <c r="I89" s="653"/>
      <c r="J89" s="708">
        <f>H89/DAY(B2)</f>
        <v>10.400000000001455</v>
      </c>
      <c r="K89" s="734"/>
      <c r="L89" s="735"/>
      <c r="N89" s="778"/>
      <c r="O89" s="382"/>
    </row>
    <row r="90" spans="1:15" s="736" customFormat="1">
      <c r="A90" s="731" t="s">
        <v>203</v>
      </c>
      <c r="B90" s="732"/>
      <c r="C90" s="732"/>
      <c r="D90" s="733" t="s">
        <v>182</v>
      </c>
      <c r="E90" s="648">
        <v>3273.6</v>
      </c>
      <c r="F90" s="648">
        <v>3273.7</v>
      </c>
      <c r="G90" s="706">
        <f t="shared" si="14"/>
        <v>9.9999999999909051E-2</v>
      </c>
      <c r="H90" s="706">
        <f>G90</f>
        <v>9.9999999999909051E-2</v>
      </c>
      <c r="I90" s="653"/>
      <c r="J90" s="708">
        <f>H90/DAY(B2)</f>
        <v>9.9999999999909051E-2</v>
      </c>
      <c r="K90" s="734"/>
      <c r="L90" s="735"/>
      <c r="N90" s="778"/>
      <c r="O90" s="382"/>
    </row>
    <row r="91" spans="1:15" s="736" customFormat="1">
      <c r="A91" s="731" t="s">
        <v>350</v>
      </c>
      <c r="B91" s="732"/>
      <c r="C91" s="732"/>
      <c r="D91" s="733"/>
      <c r="E91" s="648">
        <v>28022</v>
      </c>
      <c r="F91" s="648">
        <v>28026</v>
      </c>
      <c r="G91" s="706">
        <f t="shared" si="14"/>
        <v>4</v>
      </c>
      <c r="H91" s="706">
        <f>G91</f>
        <v>4</v>
      </c>
      <c r="I91" s="653"/>
      <c r="J91" s="708"/>
      <c r="K91" s="734"/>
      <c r="L91" s="735"/>
      <c r="N91" s="778"/>
      <c r="O91" s="382"/>
    </row>
    <row r="92" spans="1:15" s="379" customFormat="1">
      <c r="A92" s="606" t="s">
        <v>204</v>
      </c>
      <c r="B92" s="1311"/>
      <c r="C92" s="1311"/>
      <c r="D92" s="472"/>
      <c r="E92" s="472"/>
      <c r="F92" s="472"/>
      <c r="G92" s="488"/>
      <c r="H92" s="472"/>
      <c r="I92" s="472"/>
      <c r="J92" s="551"/>
      <c r="K92" s="380"/>
      <c r="L92" s="378"/>
      <c r="N92" s="777"/>
      <c r="O92" s="382"/>
    </row>
    <row r="93" spans="1:15" ht="27.75">
      <c r="A93" s="1537" t="s">
        <v>205</v>
      </c>
      <c r="B93" s="1538"/>
      <c r="C93" s="1539"/>
      <c r="D93" s="523" t="s">
        <v>143</v>
      </c>
      <c r="E93" s="484">
        <v>245488</v>
      </c>
      <c r="F93" s="484">
        <v>245506</v>
      </c>
      <c r="G93" s="473">
        <f t="shared" ref="G93:G94" si="15">F93-E93</f>
        <v>18</v>
      </c>
      <c r="H93" s="460">
        <f t="shared" ref="H93" si="16">G93</f>
        <v>18</v>
      </c>
      <c r="I93" s="480"/>
      <c r="J93" s="552">
        <f>H93/DAY(B2)</f>
        <v>18</v>
      </c>
      <c r="K93" s="429"/>
      <c r="L93" s="377"/>
      <c r="N93" s="382"/>
      <c r="O93" s="382"/>
    </row>
    <row r="94" spans="1:15" ht="27.75">
      <c r="A94" s="1537" t="s">
        <v>206</v>
      </c>
      <c r="B94" s="1538"/>
      <c r="C94" s="1539"/>
      <c r="D94" s="523" t="s">
        <v>143</v>
      </c>
      <c r="E94" s="484">
        <v>186121</v>
      </c>
      <c r="F94" s="702">
        <v>186179</v>
      </c>
      <c r="G94" s="473">
        <f t="shared" si="15"/>
        <v>58</v>
      </c>
      <c r="H94" s="460">
        <f>G94</f>
        <v>58</v>
      </c>
      <c r="I94" s="480"/>
      <c r="J94" s="552">
        <f>H94/DAY(B2)</f>
        <v>58</v>
      </c>
      <c r="K94" s="380"/>
      <c r="L94" s="377"/>
      <c r="N94" s="382"/>
      <c r="O94" s="382"/>
    </row>
    <row r="95" spans="1:15">
      <c r="A95" s="1531" t="s">
        <v>207</v>
      </c>
      <c r="B95" s="1532"/>
      <c r="C95" s="1533"/>
      <c r="D95" s="523"/>
      <c r="E95" s="484"/>
      <c r="F95" s="484"/>
      <c r="G95" s="473">
        <f>G93+G94</f>
        <v>76</v>
      </c>
      <c r="H95" s="460"/>
      <c r="I95" s="480"/>
      <c r="J95" s="552"/>
      <c r="K95" s="380"/>
      <c r="L95" s="377"/>
      <c r="N95" s="382"/>
      <c r="O95" s="382"/>
    </row>
    <row r="96" spans="1:15" ht="27.75">
      <c r="A96" s="1537" t="s">
        <v>208</v>
      </c>
      <c r="B96" s="1538"/>
      <c r="C96" s="1539"/>
      <c r="D96" s="523" t="s">
        <v>143</v>
      </c>
      <c r="E96" s="484">
        <v>414283</v>
      </c>
      <c r="F96" s="484">
        <v>414323</v>
      </c>
      <c r="G96" s="473">
        <f t="shared" ref="G96:G101" si="17">F96-E96</f>
        <v>40</v>
      </c>
      <c r="H96" s="460">
        <f t="shared" ref="H96:H102" si="18">G96</f>
        <v>40</v>
      </c>
      <c r="I96" s="480"/>
      <c r="J96" s="552">
        <f>H96/DAY(B2)</f>
        <v>40</v>
      </c>
      <c r="K96" s="380"/>
      <c r="L96" s="377"/>
      <c r="N96" s="382"/>
      <c r="O96" s="382"/>
    </row>
    <row r="97" spans="1:15" ht="27.75">
      <c r="A97" s="1305" t="s">
        <v>209</v>
      </c>
      <c r="B97" s="1306"/>
      <c r="C97" s="1306"/>
      <c r="D97" s="523" t="s">
        <v>143</v>
      </c>
      <c r="E97" s="484">
        <v>102648</v>
      </c>
      <c r="F97" s="484">
        <v>102661</v>
      </c>
      <c r="G97" s="473">
        <f t="shared" si="17"/>
        <v>13</v>
      </c>
      <c r="H97" s="460">
        <f t="shared" si="18"/>
        <v>13</v>
      </c>
      <c r="I97" s="480"/>
      <c r="J97" s="552">
        <f>H97/DAY(B2)</f>
        <v>13</v>
      </c>
      <c r="K97" s="427"/>
      <c r="L97" s="377"/>
      <c r="N97" s="382"/>
      <c r="O97" s="382"/>
    </row>
    <row r="98" spans="1:15" ht="27.75">
      <c r="A98" s="1305" t="s">
        <v>210</v>
      </c>
      <c r="B98" s="1306"/>
      <c r="C98" s="1306"/>
      <c r="D98" s="523" t="s">
        <v>143</v>
      </c>
      <c r="E98" s="484">
        <v>97950</v>
      </c>
      <c r="F98" s="484">
        <v>97965</v>
      </c>
      <c r="G98" s="473">
        <f t="shared" si="17"/>
        <v>15</v>
      </c>
      <c r="H98" s="460">
        <f t="shared" si="18"/>
        <v>15</v>
      </c>
      <c r="I98" s="480"/>
      <c r="J98" s="552">
        <f>H98/DAY(B2)</f>
        <v>15</v>
      </c>
      <c r="K98" s="432"/>
      <c r="L98" s="377"/>
      <c r="N98" s="382"/>
      <c r="O98" s="382"/>
    </row>
    <row r="99" spans="1:15" ht="27.75">
      <c r="A99" s="1305" t="s">
        <v>211</v>
      </c>
      <c r="B99" s="1306"/>
      <c r="C99" s="1306"/>
      <c r="D99" s="523" t="s">
        <v>143</v>
      </c>
      <c r="E99" s="484">
        <v>149852</v>
      </c>
      <c r="F99" s="484">
        <v>149859</v>
      </c>
      <c r="G99" s="473">
        <f t="shared" si="17"/>
        <v>7</v>
      </c>
      <c r="H99" s="460">
        <f t="shared" si="18"/>
        <v>7</v>
      </c>
      <c r="I99" s="480"/>
      <c r="J99" s="552">
        <f>H99/DAY(B2)</f>
        <v>7</v>
      </c>
      <c r="K99" s="380"/>
      <c r="L99" s="377"/>
      <c r="N99" s="382"/>
      <c r="O99" s="382"/>
    </row>
    <row r="100" spans="1:15" ht="27.75">
      <c r="A100" s="1305" t="s">
        <v>212</v>
      </c>
      <c r="B100" s="1306"/>
      <c r="C100" s="1306"/>
      <c r="D100" s="523" t="s">
        <v>143</v>
      </c>
      <c r="E100" s="484">
        <v>7369</v>
      </c>
      <c r="F100" s="484">
        <v>7378</v>
      </c>
      <c r="G100" s="473">
        <f t="shared" si="17"/>
        <v>9</v>
      </c>
      <c r="H100" s="460">
        <f t="shared" si="18"/>
        <v>9</v>
      </c>
      <c r="I100" s="480"/>
      <c r="J100" s="552">
        <f>H100/DAY(B2)</f>
        <v>9</v>
      </c>
      <c r="K100" s="380"/>
      <c r="L100" s="377"/>
      <c r="N100" s="382"/>
      <c r="O100" s="382"/>
    </row>
    <row r="101" spans="1:15" ht="27.75">
      <c r="A101" s="1305" t="s">
        <v>213</v>
      </c>
      <c r="B101" s="1306"/>
      <c r="C101" s="1306"/>
      <c r="D101" s="523" t="s">
        <v>143</v>
      </c>
      <c r="E101" s="484">
        <v>5391</v>
      </c>
      <c r="F101" s="484">
        <v>5395</v>
      </c>
      <c r="G101" s="473">
        <f t="shared" si="17"/>
        <v>4</v>
      </c>
      <c r="H101" s="460">
        <f t="shared" si="18"/>
        <v>4</v>
      </c>
      <c r="I101" s="480" t="s">
        <v>214</v>
      </c>
      <c r="J101" s="552">
        <f>H101/DAY(B2)</f>
        <v>4</v>
      </c>
      <c r="K101" s="380"/>
      <c r="L101" s="377"/>
      <c r="N101" s="382"/>
      <c r="O101" s="382"/>
    </row>
    <row r="102" spans="1:15">
      <c r="A102" s="1531" t="s">
        <v>215</v>
      </c>
      <c r="B102" s="1532"/>
      <c r="C102" s="1533"/>
      <c r="D102" s="524"/>
      <c r="E102" s="524"/>
      <c r="F102" s="524"/>
      <c r="G102" s="525">
        <f>SUM(G96:G101)</f>
        <v>88</v>
      </c>
      <c r="H102" s="460">
        <f t="shared" si="18"/>
        <v>88</v>
      </c>
      <c r="I102" s="526"/>
      <c r="J102" s="552">
        <f>H102/DAY(B2)</f>
        <v>88</v>
      </c>
      <c r="K102" s="380"/>
      <c r="L102" s="377"/>
      <c r="N102" s="382"/>
      <c r="O102" s="382"/>
    </row>
    <row r="103" spans="1:15" s="442" customFormat="1" ht="27">
      <c r="A103" s="607" t="s">
        <v>216</v>
      </c>
      <c r="B103" s="608"/>
      <c r="C103" s="608"/>
      <c r="D103" s="621"/>
      <c r="E103" s="528"/>
      <c r="F103" s="528"/>
      <c r="G103" s="529"/>
      <c r="H103" s="530"/>
      <c r="I103" s="531"/>
      <c r="J103" s="557"/>
      <c r="N103" s="444"/>
      <c r="O103" s="382"/>
    </row>
    <row r="104" spans="1:15" s="442" customFormat="1" ht="27.75">
      <c r="A104" s="1540" t="s">
        <v>217</v>
      </c>
      <c r="B104" s="1541"/>
      <c r="C104" s="573"/>
      <c r="D104" s="622"/>
      <c r="E104" s="532"/>
      <c r="F104" s="532"/>
      <c r="G104" s="532"/>
      <c r="H104" s="533"/>
      <c r="I104" s="532"/>
      <c r="J104" s="558"/>
      <c r="N104" s="444"/>
      <c r="O104" s="382"/>
    </row>
    <row r="105" spans="1:15" s="442" customFormat="1" ht="27.75">
      <c r="A105" s="1542" t="s">
        <v>218</v>
      </c>
      <c r="B105" s="1543"/>
      <c r="C105" s="1303"/>
      <c r="D105" s="622" t="s">
        <v>143</v>
      </c>
      <c r="E105" s="532">
        <v>7484</v>
      </c>
      <c r="F105" s="532">
        <v>7484</v>
      </c>
      <c r="G105" s="532">
        <f>F105-E105</f>
        <v>0</v>
      </c>
      <c r="H105" s="533">
        <f>G105</f>
        <v>0</v>
      </c>
      <c r="I105" s="532"/>
      <c r="J105" s="558">
        <f>H105/DAY(B2)</f>
        <v>0</v>
      </c>
      <c r="N105" s="444"/>
      <c r="O105" s="382"/>
    </row>
    <row r="106" spans="1:15" s="442" customFormat="1" ht="27.75">
      <c r="A106" s="1542" t="s">
        <v>76</v>
      </c>
      <c r="B106" s="1543"/>
      <c r="C106" s="1303"/>
      <c r="D106" s="622" t="s">
        <v>143</v>
      </c>
      <c r="E106" s="534">
        <v>35953</v>
      </c>
      <c r="F106" s="1464">
        <v>35953</v>
      </c>
      <c r="G106" s="532">
        <f t="shared" ref="G106:G107" si="19">F106-E106</f>
        <v>0</v>
      </c>
      <c r="H106" s="533">
        <f t="shared" ref="H106:H121" si="20">G106</f>
        <v>0</v>
      </c>
      <c r="I106" s="532"/>
      <c r="J106" s="558">
        <f>H106/DAY(B2)</f>
        <v>0</v>
      </c>
      <c r="N106" s="444"/>
      <c r="O106" s="382"/>
    </row>
    <row r="107" spans="1:15" s="442" customFormat="1" ht="27.75">
      <c r="A107" s="1542" t="s">
        <v>77</v>
      </c>
      <c r="B107" s="1544"/>
      <c r="C107" s="1543"/>
      <c r="D107" s="622" t="s">
        <v>143</v>
      </c>
      <c r="E107" s="532">
        <v>19708</v>
      </c>
      <c r="F107" s="532">
        <v>19708</v>
      </c>
      <c r="G107" s="532">
        <f t="shared" si="19"/>
        <v>0</v>
      </c>
      <c r="H107" s="533">
        <f t="shared" si="20"/>
        <v>0</v>
      </c>
      <c r="I107" s="532"/>
      <c r="J107" s="558">
        <f>G110/DAY(B2)</f>
        <v>63</v>
      </c>
      <c r="N107" s="444"/>
      <c r="O107" s="382"/>
    </row>
    <row r="108" spans="1:15" s="442" customFormat="1" ht="27.75">
      <c r="A108" s="1545" t="s">
        <v>201</v>
      </c>
      <c r="B108" s="1546"/>
      <c r="C108" s="1303"/>
      <c r="D108" s="622"/>
      <c r="E108" s="532"/>
      <c r="F108" s="532"/>
      <c r="G108" s="532">
        <f>SUM(G105:G107)</f>
        <v>0</v>
      </c>
      <c r="H108" s="533">
        <f t="shared" si="20"/>
        <v>0</v>
      </c>
      <c r="I108" s="532"/>
      <c r="J108" s="558">
        <f>H108/DAY(B2)</f>
        <v>0</v>
      </c>
      <c r="N108" s="444"/>
      <c r="O108" s="382"/>
    </row>
    <row r="109" spans="1:15" s="442" customFormat="1" ht="27.75">
      <c r="A109" s="1547" t="s">
        <v>78</v>
      </c>
      <c r="B109" s="1548"/>
      <c r="C109" s="1303"/>
      <c r="D109" s="622" t="s">
        <v>143</v>
      </c>
      <c r="E109" s="532"/>
      <c r="F109" s="532"/>
      <c r="G109" s="532"/>
      <c r="H109" s="533">
        <f t="shared" si="20"/>
        <v>0</v>
      </c>
      <c r="I109" s="532"/>
      <c r="J109" s="558"/>
      <c r="N109" s="444"/>
      <c r="O109" s="382"/>
    </row>
    <row r="110" spans="1:15" s="442" customFormat="1" ht="27.75">
      <c r="A110" s="1542" t="s">
        <v>219</v>
      </c>
      <c r="B110" s="1543"/>
      <c r="C110" s="1303"/>
      <c r="D110" s="622" t="s">
        <v>143</v>
      </c>
      <c r="E110" s="532">
        <v>62834</v>
      </c>
      <c r="F110" s="532">
        <v>62897</v>
      </c>
      <c r="G110" s="532">
        <f>F110-E110</f>
        <v>63</v>
      </c>
      <c r="H110" s="533">
        <f t="shared" si="20"/>
        <v>63</v>
      </c>
      <c r="I110" s="532"/>
      <c r="J110" s="558">
        <f>H110/DAY(B2)</f>
        <v>63</v>
      </c>
      <c r="N110" s="444"/>
      <c r="O110" s="382"/>
    </row>
    <row r="111" spans="1:15" s="442" customFormat="1" ht="27.75">
      <c r="A111" s="1542" t="s">
        <v>220</v>
      </c>
      <c r="B111" s="1543"/>
      <c r="C111" s="1303"/>
      <c r="D111" s="622" t="s">
        <v>143</v>
      </c>
      <c r="E111" s="532">
        <v>32578</v>
      </c>
      <c r="F111" s="1464">
        <v>32578</v>
      </c>
      <c r="G111" s="532">
        <f>F111-E111</f>
        <v>0</v>
      </c>
      <c r="H111" s="533">
        <f t="shared" si="20"/>
        <v>0</v>
      </c>
      <c r="I111" s="532"/>
      <c r="J111" s="558">
        <f>H111/DAY(B2)</f>
        <v>0</v>
      </c>
      <c r="N111" s="444"/>
      <c r="O111" s="382"/>
    </row>
    <row r="112" spans="1:15" s="442" customFormat="1" ht="27.75">
      <c r="A112" s="1542" t="s">
        <v>221</v>
      </c>
      <c r="B112" s="1543"/>
      <c r="C112" s="1303"/>
      <c r="D112" s="622" t="s">
        <v>143</v>
      </c>
      <c r="E112" s="532">
        <v>4576</v>
      </c>
      <c r="F112" s="1464">
        <v>4592</v>
      </c>
      <c r="G112" s="532">
        <f>F112-E112</f>
        <v>16</v>
      </c>
      <c r="H112" s="533">
        <f t="shared" si="20"/>
        <v>16</v>
      </c>
      <c r="I112" s="532"/>
      <c r="J112" s="558">
        <f>H112/DAY(B2)</f>
        <v>16</v>
      </c>
      <c r="N112" s="444"/>
      <c r="O112" s="382"/>
    </row>
    <row r="113" spans="1:15" s="442" customFormat="1" ht="27.75">
      <c r="A113" s="1574" t="s">
        <v>109</v>
      </c>
      <c r="B113" s="1575"/>
      <c r="C113" s="1303"/>
      <c r="D113" s="622"/>
      <c r="E113" s="532"/>
      <c r="F113" s="532"/>
      <c r="G113" s="532">
        <f>SUM(G110:G112)</f>
        <v>79</v>
      </c>
      <c r="H113" s="533">
        <f t="shared" si="20"/>
        <v>79</v>
      </c>
      <c r="I113" s="532"/>
      <c r="J113" s="558">
        <f>H113/DAY(B2)</f>
        <v>79</v>
      </c>
      <c r="N113" s="444"/>
      <c r="O113" s="382"/>
    </row>
    <row r="114" spans="1:15" s="442" customFormat="1" ht="27.75">
      <c r="A114" s="1547" t="s">
        <v>222</v>
      </c>
      <c r="B114" s="1548"/>
      <c r="C114" s="1303"/>
      <c r="D114" s="622"/>
      <c r="E114" s="532"/>
      <c r="F114" s="532"/>
      <c r="G114" s="532"/>
      <c r="H114" s="533">
        <f t="shared" si="20"/>
        <v>0</v>
      </c>
      <c r="I114" s="532"/>
      <c r="J114" s="558">
        <f>H114/DAY(B2)</f>
        <v>0</v>
      </c>
      <c r="N114" s="444"/>
      <c r="O114" s="382"/>
    </row>
    <row r="115" spans="1:15" s="442" customFormat="1" ht="27.75">
      <c r="A115" s="1542" t="s">
        <v>223</v>
      </c>
      <c r="B115" s="1543"/>
      <c r="C115" s="574"/>
      <c r="D115" s="622" t="s">
        <v>143</v>
      </c>
      <c r="E115" s="534">
        <v>11497</v>
      </c>
      <c r="F115" s="534">
        <v>11509</v>
      </c>
      <c r="G115" s="534">
        <f>F115-E115</f>
        <v>12</v>
      </c>
      <c r="H115" s="533">
        <f t="shared" si="20"/>
        <v>12</v>
      </c>
      <c r="I115" s="532"/>
      <c r="J115" s="558">
        <f>H115/DAY(B2)</f>
        <v>12</v>
      </c>
      <c r="N115" s="444"/>
      <c r="O115" s="382"/>
    </row>
    <row r="116" spans="1:15" s="442" customFormat="1" ht="27.75">
      <c r="A116" s="1542" t="s">
        <v>224</v>
      </c>
      <c r="B116" s="1543"/>
      <c r="C116" s="574"/>
      <c r="D116" s="622" t="s">
        <v>143</v>
      </c>
      <c r="E116" s="534">
        <v>8312</v>
      </c>
      <c r="F116" s="534">
        <v>8317</v>
      </c>
      <c r="G116" s="534">
        <f t="shared" ref="G116:G117" si="21">F116-E116</f>
        <v>5</v>
      </c>
      <c r="H116" s="533">
        <f t="shared" si="20"/>
        <v>5</v>
      </c>
      <c r="I116" s="532"/>
      <c r="J116" s="558">
        <f>H116/DAY(B2)</f>
        <v>5</v>
      </c>
      <c r="N116" s="444"/>
      <c r="O116" s="382"/>
    </row>
    <row r="117" spans="1:15" s="442" customFormat="1" ht="27.75">
      <c r="A117" s="1542" t="s">
        <v>225</v>
      </c>
      <c r="B117" s="1543"/>
      <c r="C117" s="574"/>
      <c r="D117" s="622" t="s">
        <v>143</v>
      </c>
      <c r="E117" s="534"/>
      <c r="F117" s="534"/>
      <c r="G117" s="534">
        <f t="shared" si="21"/>
        <v>0</v>
      </c>
      <c r="H117" s="533">
        <f t="shared" si="20"/>
        <v>0</v>
      </c>
      <c r="I117" s="532"/>
      <c r="J117" s="558">
        <f>H117/DAY(B2)</f>
        <v>0</v>
      </c>
      <c r="N117" s="444"/>
      <c r="O117" s="382"/>
    </row>
    <row r="118" spans="1:15" s="445" customFormat="1" ht="27.75">
      <c r="A118" s="1545" t="s">
        <v>201</v>
      </c>
      <c r="B118" s="1546"/>
      <c r="C118" s="574"/>
      <c r="D118" s="623"/>
      <c r="E118" s="534"/>
      <c r="F118" s="534"/>
      <c r="G118" s="534">
        <f>SUM(G115:G117)</f>
        <v>17</v>
      </c>
      <c r="H118" s="533">
        <f t="shared" si="20"/>
        <v>17</v>
      </c>
      <c r="I118" s="534"/>
      <c r="J118" s="558">
        <f>H118/DAY(B2)</f>
        <v>17</v>
      </c>
      <c r="N118" s="447"/>
      <c r="O118" s="382"/>
    </row>
    <row r="119" spans="1:15" s="446" customFormat="1" ht="27.75">
      <c r="A119" s="1576" t="s">
        <v>226</v>
      </c>
      <c r="B119" s="1577"/>
      <c r="C119" s="1302"/>
      <c r="D119" s="624" t="s">
        <v>143</v>
      </c>
      <c r="E119" s="536"/>
      <c r="F119" s="536">
        <f>SUM(G19+G93)</f>
        <v>78</v>
      </c>
      <c r="G119" s="536">
        <f>SUM(G19+G93)</f>
        <v>78</v>
      </c>
      <c r="H119" s="533">
        <f t="shared" si="20"/>
        <v>78</v>
      </c>
      <c r="I119" s="535"/>
      <c r="J119" s="559">
        <f>H119/DAY(B2)</f>
        <v>78</v>
      </c>
      <c r="N119" s="779"/>
      <c r="O119" s="382"/>
    </row>
    <row r="120" spans="1:15" s="446" customFormat="1" ht="27.75">
      <c r="A120" s="1576" t="s">
        <v>227</v>
      </c>
      <c r="B120" s="1577"/>
      <c r="C120" s="1302"/>
      <c r="D120" s="624" t="s">
        <v>143</v>
      </c>
      <c r="E120" s="536"/>
      <c r="F120" s="536">
        <f>SUM(G96,G97,G98,G100,G101)</f>
        <v>81</v>
      </c>
      <c r="G120" s="536">
        <f>SUM(G96,G97,G98,G100,G101)</f>
        <v>81</v>
      </c>
      <c r="H120" s="533">
        <f t="shared" si="20"/>
        <v>81</v>
      </c>
      <c r="I120" s="535"/>
      <c r="J120" s="559">
        <f>H120/DAY(B2)</f>
        <v>81</v>
      </c>
      <c r="N120" s="779"/>
      <c r="O120" s="382"/>
    </row>
    <row r="121" spans="1:15" s="446" customFormat="1" ht="27.75">
      <c r="A121" s="1576" t="s">
        <v>228</v>
      </c>
      <c r="B121" s="1577"/>
      <c r="C121" s="1302"/>
      <c r="D121" s="624" t="s">
        <v>143</v>
      </c>
      <c r="E121" s="534"/>
      <c r="F121" s="534">
        <f>SUM(G113)</f>
        <v>79</v>
      </c>
      <c r="G121" s="534">
        <f>SUM(G113)</f>
        <v>79</v>
      </c>
      <c r="H121" s="533">
        <f t="shared" si="20"/>
        <v>79</v>
      </c>
      <c r="I121" s="535"/>
      <c r="J121" s="559">
        <f>H121/DAY(B2)</f>
        <v>79</v>
      </c>
      <c r="N121" s="779"/>
      <c r="O121" s="382"/>
    </row>
    <row r="122" spans="1:15" s="442" customFormat="1" ht="27.75">
      <c r="A122" s="1578"/>
      <c r="B122" s="1579"/>
      <c r="C122" s="1303"/>
      <c r="D122" s="560"/>
      <c r="E122" s="560" t="s">
        <v>214</v>
      </c>
      <c r="F122" s="560" t="s">
        <v>214</v>
      </c>
      <c r="G122" s="560"/>
      <c r="H122" s="561"/>
      <c r="I122" s="560"/>
      <c r="J122" s="562"/>
      <c r="N122" s="444"/>
      <c r="O122" s="382"/>
    </row>
    <row r="123" spans="1:15">
      <c r="A123" s="1528" t="s">
        <v>229</v>
      </c>
      <c r="B123" s="1529"/>
      <c r="C123" s="1530"/>
      <c r="D123" s="472"/>
      <c r="E123" s="472"/>
      <c r="F123" s="472"/>
      <c r="G123" s="483"/>
      <c r="H123" s="483"/>
      <c r="I123" s="483"/>
      <c r="J123" s="563"/>
      <c r="K123" s="380"/>
      <c r="L123" s="377"/>
      <c r="N123" s="382"/>
      <c r="O123" s="382"/>
    </row>
    <row r="124" spans="1:15" ht="27.75">
      <c r="A124" s="1305" t="s">
        <v>230</v>
      </c>
      <c r="B124" s="1306"/>
      <c r="C124" s="1306"/>
      <c r="D124" s="523" t="s">
        <v>140</v>
      </c>
      <c r="E124" s="478">
        <v>832366</v>
      </c>
      <c r="F124" s="478">
        <v>832541</v>
      </c>
      <c r="G124" s="473">
        <f>F124-E124</f>
        <v>175</v>
      </c>
      <c r="H124" s="460">
        <f>G124</f>
        <v>175</v>
      </c>
      <c r="I124" s="526"/>
      <c r="J124" s="552">
        <f>H124/DAY(B2)</f>
        <v>175</v>
      </c>
      <c r="K124" s="380"/>
      <c r="L124" s="377"/>
      <c r="N124" s="382"/>
      <c r="O124" s="382"/>
    </row>
    <row r="125" spans="1:15" ht="27.75">
      <c r="A125" s="1305" t="s">
        <v>231</v>
      </c>
      <c r="B125" s="1306"/>
      <c r="C125" s="1306"/>
      <c r="D125" s="523" t="s">
        <v>140</v>
      </c>
      <c r="E125" s="626">
        <v>73583.399999999994</v>
      </c>
      <c r="F125" s="626">
        <v>73583.399999999994</v>
      </c>
      <c r="G125" s="473">
        <f t="shared" ref="G125:G128" si="22">F125-E125</f>
        <v>0</v>
      </c>
      <c r="H125" s="460">
        <f t="shared" ref="H125:H129" si="23">G125</f>
        <v>0</v>
      </c>
      <c r="I125" s="526"/>
      <c r="J125" s="552">
        <f>H125/DAY(B2)</f>
        <v>0</v>
      </c>
      <c r="K125" s="380"/>
      <c r="L125" s="377"/>
      <c r="N125" s="382"/>
      <c r="O125" s="382"/>
    </row>
    <row r="126" spans="1:15" ht="27.75">
      <c r="A126" s="1534" t="s">
        <v>232</v>
      </c>
      <c r="B126" s="1535"/>
      <c r="C126" s="1536"/>
      <c r="D126" s="523" t="s">
        <v>140</v>
      </c>
      <c r="E126" s="478">
        <v>146491</v>
      </c>
      <c r="F126" s="626">
        <v>146543</v>
      </c>
      <c r="G126" s="473">
        <f t="shared" si="22"/>
        <v>52</v>
      </c>
      <c r="H126" s="460">
        <f t="shared" si="23"/>
        <v>52</v>
      </c>
      <c r="I126" s="526"/>
      <c r="J126" s="552">
        <f>H126/DAY(B2)</f>
        <v>52</v>
      </c>
      <c r="K126" s="380"/>
      <c r="L126" s="377"/>
      <c r="N126" s="382"/>
      <c r="O126" s="382"/>
    </row>
    <row r="127" spans="1:15" ht="27.75">
      <c r="A127" s="609" t="s">
        <v>233</v>
      </c>
      <c r="B127" s="1306"/>
      <c r="C127" s="1306"/>
      <c r="D127" s="523" t="s">
        <v>140</v>
      </c>
      <c r="E127" s="626">
        <v>31406</v>
      </c>
      <c r="F127" s="626">
        <v>31406</v>
      </c>
      <c r="G127" s="473">
        <f t="shared" si="22"/>
        <v>0</v>
      </c>
      <c r="H127" s="460">
        <f t="shared" si="23"/>
        <v>0</v>
      </c>
      <c r="I127" s="526"/>
      <c r="J127" s="552">
        <f>H127/DAY(B2)</f>
        <v>0</v>
      </c>
      <c r="K127" s="380"/>
      <c r="L127" s="377"/>
      <c r="N127" s="382"/>
      <c r="O127" s="382"/>
    </row>
    <row r="128" spans="1:15" ht="27.75">
      <c r="A128" s="609" t="s">
        <v>234</v>
      </c>
      <c r="B128" s="1306"/>
      <c r="C128" s="1306"/>
      <c r="D128" s="523" t="s">
        <v>140</v>
      </c>
      <c r="E128" s="626">
        <v>8972</v>
      </c>
      <c r="F128" s="626">
        <v>8972</v>
      </c>
      <c r="G128" s="473">
        <f t="shared" si="22"/>
        <v>0</v>
      </c>
      <c r="H128" s="460">
        <f t="shared" si="23"/>
        <v>0</v>
      </c>
      <c r="I128" s="480"/>
      <c r="J128" s="552">
        <f>H128/DAY(B2)</f>
        <v>0</v>
      </c>
      <c r="K128" s="380"/>
      <c r="L128" s="377"/>
      <c r="N128" s="382"/>
      <c r="O128" s="382"/>
    </row>
    <row r="129" spans="1:15" s="281" customFormat="1" ht="27.75">
      <c r="A129" s="609" t="s">
        <v>235</v>
      </c>
      <c r="B129" s="1306"/>
      <c r="C129" s="1306"/>
      <c r="D129" s="523"/>
      <c r="E129" s="478"/>
      <c r="F129" s="478"/>
      <c r="G129" s="473">
        <f>G15-SUM(G124:G128)</f>
        <v>40</v>
      </c>
      <c r="H129" s="460">
        <f t="shared" si="23"/>
        <v>40</v>
      </c>
      <c r="I129" s="480"/>
      <c r="J129" s="552">
        <f>H129/DAY(B2)</f>
        <v>40</v>
      </c>
      <c r="K129" s="364"/>
      <c r="L129" s="292"/>
      <c r="N129" s="365"/>
      <c r="O129" s="382"/>
    </row>
    <row r="130" spans="1:15">
      <c r="A130" s="610" t="s">
        <v>236</v>
      </c>
      <c r="B130" s="458"/>
      <c r="C130" s="458"/>
      <c r="D130" s="471"/>
      <c r="E130" s="471"/>
      <c r="F130" s="471"/>
      <c r="G130" s="540"/>
      <c r="H130" s="540"/>
      <c r="I130" s="540"/>
      <c r="J130" s="564"/>
      <c r="N130" s="382"/>
      <c r="O130" s="382"/>
    </row>
    <row r="131" spans="1:15" ht="27.75">
      <c r="A131" s="1305" t="s">
        <v>237</v>
      </c>
      <c r="B131" s="1306"/>
      <c r="C131" s="1306"/>
      <c r="D131" s="523" t="s">
        <v>238</v>
      </c>
      <c r="E131" s="478">
        <v>0</v>
      </c>
      <c r="F131" s="484">
        <v>0</v>
      </c>
      <c r="G131" s="473">
        <f t="shared" ref="G131:G141" si="24">F131-E131</f>
        <v>0</v>
      </c>
      <c r="H131" s="460">
        <f>G131</f>
        <v>0</v>
      </c>
      <c r="I131" s="480"/>
      <c r="J131" s="552">
        <f>H131/DAY(B2)</f>
        <v>0</v>
      </c>
      <c r="N131" s="382"/>
      <c r="O131" s="382"/>
    </row>
    <row r="132" spans="1:15" ht="27.75">
      <c r="A132" s="1305" t="s">
        <v>239</v>
      </c>
      <c r="B132" s="1306"/>
      <c r="C132" s="1306"/>
      <c r="D132" s="523" t="s">
        <v>238</v>
      </c>
      <c r="E132" s="626">
        <v>0</v>
      </c>
      <c r="F132" s="484">
        <v>0</v>
      </c>
      <c r="G132" s="473">
        <f t="shared" si="24"/>
        <v>0</v>
      </c>
      <c r="H132" s="460">
        <f t="shared" ref="H132:H141" si="25">G132</f>
        <v>0</v>
      </c>
      <c r="I132" s="480"/>
      <c r="J132" s="552">
        <f>H132/DAY(B2)</f>
        <v>0</v>
      </c>
      <c r="N132" s="382"/>
      <c r="O132" s="382"/>
    </row>
    <row r="133" spans="1:15" ht="27.75">
      <c r="A133" s="1305" t="s">
        <v>240</v>
      </c>
      <c r="B133" s="1306"/>
      <c r="C133" s="1306"/>
      <c r="D133" s="523" t="s">
        <v>238</v>
      </c>
      <c r="E133" s="478">
        <v>40059</v>
      </c>
      <c r="F133" s="541">
        <v>40059</v>
      </c>
      <c r="G133" s="473">
        <f t="shared" si="24"/>
        <v>0</v>
      </c>
      <c r="H133" s="460">
        <f t="shared" si="25"/>
        <v>0</v>
      </c>
      <c r="I133" s="480"/>
      <c r="J133" s="552">
        <f>H133/DAY(B2)</f>
        <v>0</v>
      </c>
      <c r="N133" s="382"/>
      <c r="O133" s="382"/>
    </row>
    <row r="134" spans="1:15" s="776" customFormat="1" ht="27.75">
      <c r="A134" s="793" t="s">
        <v>241</v>
      </c>
      <c r="B134" s="1237"/>
      <c r="C134" s="1237"/>
      <c r="D134" s="524" t="s">
        <v>238</v>
      </c>
      <c r="E134" s="626">
        <v>300</v>
      </c>
      <c r="F134" s="522">
        <v>300</v>
      </c>
      <c r="G134" s="473">
        <f t="shared" si="24"/>
        <v>0</v>
      </c>
      <c r="H134" s="486">
        <f t="shared" si="25"/>
        <v>0</v>
      </c>
      <c r="I134" s="1238"/>
      <c r="J134" s="553">
        <f>H134/DAY(B2)</f>
        <v>0</v>
      </c>
      <c r="N134" s="722"/>
      <c r="O134" s="382"/>
    </row>
    <row r="135" spans="1:15" ht="27.75">
      <c r="A135" s="1305" t="s">
        <v>242</v>
      </c>
      <c r="B135" s="1306"/>
      <c r="C135" s="1306"/>
      <c r="D135" s="523" t="s">
        <v>238</v>
      </c>
      <c r="E135" s="626">
        <v>41730</v>
      </c>
      <c r="F135" s="541">
        <v>41730</v>
      </c>
      <c r="G135" s="473">
        <f t="shared" si="24"/>
        <v>0</v>
      </c>
      <c r="H135" s="460">
        <f t="shared" si="25"/>
        <v>0</v>
      </c>
      <c r="I135" s="480"/>
      <c r="J135" s="552">
        <f>H135/DAY(B2)</f>
        <v>0</v>
      </c>
      <c r="N135" s="382"/>
      <c r="O135" s="382"/>
    </row>
    <row r="136" spans="1:15" ht="27.75">
      <c r="A136" s="1305" t="s">
        <v>243</v>
      </c>
      <c r="B136" s="1306"/>
      <c r="C136" s="1306"/>
      <c r="D136" s="523" t="s">
        <v>238</v>
      </c>
      <c r="E136" s="541">
        <v>32715</v>
      </c>
      <c r="F136" s="541">
        <v>32739</v>
      </c>
      <c r="G136" s="473">
        <f t="shared" si="24"/>
        <v>24</v>
      </c>
      <c r="H136" s="460">
        <f t="shared" si="25"/>
        <v>24</v>
      </c>
      <c r="I136" s="480">
        <f>G133+G134+G135+G136</f>
        <v>24</v>
      </c>
      <c r="J136" s="552">
        <f>H136/DAY(B2)</f>
        <v>24</v>
      </c>
      <c r="N136" s="382"/>
      <c r="O136" s="382"/>
    </row>
    <row r="137" spans="1:15" ht="27.75">
      <c r="A137" s="1305" t="s">
        <v>244</v>
      </c>
      <c r="B137" s="1306"/>
      <c r="C137" s="1306"/>
      <c r="D137" s="523" t="s">
        <v>238</v>
      </c>
      <c r="E137" s="541">
        <v>22807.24</v>
      </c>
      <c r="F137" s="541">
        <v>22807.24</v>
      </c>
      <c r="G137" s="473">
        <f t="shared" si="24"/>
        <v>0</v>
      </c>
      <c r="H137" s="460">
        <f t="shared" si="25"/>
        <v>0</v>
      </c>
      <c r="I137" s="480"/>
      <c r="J137" s="552">
        <f>H137/DAY(B2)</f>
        <v>0</v>
      </c>
      <c r="N137" s="382"/>
      <c r="O137" s="382"/>
    </row>
    <row r="138" spans="1:15" ht="27.75">
      <c r="A138" s="1305" t="s">
        <v>245</v>
      </c>
      <c r="B138" s="1306"/>
      <c r="C138" s="1306"/>
      <c r="D138" s="523" t="s">
        <v>238</v>
      </c>
      <c r="E138" s="541">
        <v>25051.82</v>
      </c>
      <c r="F138" s="541">
        <v>25051.82</v>
      </c>
      <c r="G138" s="473">
        <f t="shared" si="24"/>
        <v>0</v>
      </c>
      <c r="H138" s="460">
        <f t="shared" si="25"/>
        <v>0</v>
      </c>
      <c r="I138" s="480"/>
      <c r="J138" s="552">
        <f>H138/DAY(B2)</f>
        <v>0</v>
      </c>
      <c r="N138" s="382"/>
      <c r="O138" s="382"/>
    </row>
    <row r="139" spans="1:15" ht="27.75">
      <c r="A139" s="1305" t="s">
        <v>246</v>
      </c>
      <c r="B139" s="1306"/>
      <c r="C139" s="1306"/>
      <c r="D139" s="523" t="s">
        <v>238</v>
      </c>
      <c r="E139" s="541">
        <v>70411.740000000005</v>
      </c>
      <c r="F139" s="541">
        <v>70411.740000000005</v>
      </c>
      <c r="G139" s="473">
        <f t="shared" si="24"/>
        <v>0</v>
      </c>
      <c r="H139" s="460">
        <f t="shared" si="25"/>
        <v>0</v>
      </c>
      <c r="I139" s="480">
        <f>G137+G138+G139</f>
        <v>0</v>
      </c>
      <c r="J139" s="552">
        <f>H139/DAY(B2)</f>
        <v>0</v>
      </c>
      <c r="N139" s="382"/>
      <c r="O139" s="382"/>
    </row>
    <row r="140" spans="1:15" ht="27.75">
      <c r="A140" s="1305" t="s">
        <v>247</v>
      </c>
      <c r="B140" s="1306"/>
      <c r="C140" s="1306"/>
      <c r="D140" s="523" t="s">
        <v>238</v>
      </c>
      <c r="E140" s="484">
        <v>1854.3</v>
      </c>
      <c r="F140" s="484">
        <v>1861.12</v>
      </c>
      <c r="G140" s="473">
        <f t="shared" si="24"/>
        <v>6.8199999999999363</v>
      </c>
      <c r="H140" s="460">
        <f t="shared" si="25"/>
        <v>6.8199999999999363</v>
      </c>
      <c r="I140" s="542"/>
      <c r="J140" s="552">
        <f>H140/DAY(B2)</f>
        <v>6.8199999999999363</v>
      </c>
      <c r="N140" s="382"/>
      <c r="O140" s="382"/>
    </row>
    <row r="141" spans="1:15" ht="27.75">
      <c r="A141" s="1305" t="s">
        <v>248</v>
      </c>
      <c r="B141" s="1306"/>
      <c r="C141" s="1306"/>
      <c r="D141" s="523" t="s">
        <v>238</v>
      </c>
      <c r="E141" s="484">
        <v>4637</v>
      </c>
      <c r="F141" s="484">
        <v>4637</v>
      </c>
      <c r="G141" s="473">
        <f t="shared" si="24"/>
        <v>0</v>
      </c>
      <c r="H141" s="460">
        <f t="shared" si="25"/>
        <v>0</v>
      </c>
      <c r="I141" s="542">
        <f>G140+G141</f>
        <v>6.8199999999999363</v>
      </c>
      <c r="J141" s="552">
        <f>H141/DAY(B2)</f>
        <v>0</v>
      </c>
      <c r="N141" s="382"/>
      <c r="O141" s="382"/>
    </row>
    <row r="142" spans="1:15">
      <c r="A142" s="1572" t="s">
        <v>249</v>
      </c>
      <c r="B142" s="1573"/>
      <c r="C142" s="1311"/>
      <c r="D142" s="472"/>
      <c r="E142" s="472"/>
      <c r="F142" s="472"/>
      <c r="G142" s="483"/>
      <c r="H142" s="483"/>
      <c r="I142" s="483"/>
      <c r="J142" s="563"/>
      <c r="K142" s="380"/>
      <c r="L142" s="377"/>
      <c r="N142" s="382"/>
      <c r="O142" s="382"/>
    </row>
    <row r="143" spans="1:15" ht="27.75">
      <c r="A143" s="1537" t="s">
        <v>250</v>
      </c>
      <c r="B143" s="1538"/>
      <c r="C143" s="1539"/>
      <c r="D143" s="523" t="s">
        <v>131</v>
      </c>
      <c r="E143" s="523"/>
      <c r="F143" s="523"/>
      <c r="G143" s="460">
        <f>G35+G43+G49+G57</f>
        <v>4616</v>
      </c>
      <c r="H143" s="460">
        <f>G143</f>
        <v>4616</v>
      </c>
      <c r="I143" s="480"/>
      <c r="J143" s="552">
        <f>H143/DAY(B2)</f>
        <v>4616</v>
      </c>
      <c r="K143" s="380"/>
      <c r="L143" s="377"/>
      <c r="N143" s="382"/>
      <c r="O143" s="382"/>
    </row>
    <row r="144" spans="1:15" ht="27.75">
      <c r="A144" s="1537" t="s">
        <v>251</v>
      </c>
      <c r="B144" s="1538"/>
      <c r="C144" s="1539"/>
      <c r="D144" s="523" t="s">
        <v>24</v>
      </c>
      <c r="E144" s="511"/>
      <c r="F144" s="511"/>
      <c r="G144" s="543">
        <f>G143/G7</f>
        <v>0.27871030068832264</v>
      </c>
      <c r="H144" s="460">
        <f t="shared" ref="H144:H154" si="26">G144</f>
        <v>0.27871030068832264</v>
      </c>
      <c r="I144" s="544"/>
      <c r="J144" s="552">
        <f>H144/DAY(B2)</f>
        <v>0.27871030068832264</v>
      </c>
      <c r="K144" s="380"/>
      <c r="L144" s="377"/>
      <c r="N144" s="382"/>
      <c r="O144" s="382"/>
    </row>
    <row r="145" spans="1:15" ht="27.75">
      <c r="A145" s="1537" t="s">
        <v>252</v>
      </c>
      <c r="B145" s="1538"/>
      <c r="C145" s="1539"/>
      <c r="D145" s="523" t="s">
        <v>131</v>
      </c>
      <c r="E145" s="455"/>
      <c r="F145" s="455"/>
      <c r="G145" s="460">
        <f>G41+G42+G55+G56</f>
        <v>5306.5100000000093</v>
      </c>
      <c r="H145" s="460">
        <f t="shared" si="26"/>
        <v>5306.5100000000093</v>
      </c>
      <c r="I145" s="480"/>
      <c r="J145" s="552">
        <f>H145/DAY(B2)</f>
        <v>5306.5100000000093</v>
      </c>
      <c r="K145" s="380"/>
      <c r="L145" s="377"/>
      <c r="N145" s="382"/>
      <c r="O145" s="382"/>
    </row>
    <row r="146" spans="1:15" ht="27.75">
      <c r="A146" s="1537" t="s">
        <v>253</v>
      </c>
      <c r="B146" s="1538"/>
      <c r="C146" s="1539"/>
      <c r="D146" s="523" t="s">
        <v>24</v>
      </c>
      <c r="E146" s="455"/>
      <c r="F146" s="455"/>
      <c r="G146" s="543">
        <f>G145/G7</f>
        <v>0.32040272913899343</v>
      </c>
      <c r="H146" s="460">
        <f t="shared" si="26"/>
        <v>0.32040272913899343</v>
      </c>
      <c r="I146" s="544"/>
      <c r="J146" s="552">
        <f>H146/DAY(B2)</f>
        <v>0.32040272913899343</v>
      </c>
      <c r="K146" s="380"/>
      <c r="L146" s="377"/>
      <c r="N146" s="382"/>
      <c r="O146" s="382"/>
    </row>
    <row r="147" spans="1:15" ht="27.75">
      <c r="A147" s="1537" t="s">
        <v>254</v>
      </c>
      <c r="B147" s="1538"/>
      <c r="C147" s="1539"/>
      <c r="D147" s="523" t="s">
        <v>131</v>
      </c>
      <c r="E147" s="455"/>
      <c r="F147" s="455"/>
      <c r="G147" s="460">
        <f>G39+G53</f>
        <v>2546</v>
      </c>
      <c r="H147" s="460">
        <f t="shared" si="26"/>
        <v>2546</v>
      </c>
      <c r="I147" s="545"/>
      <c r="J147" s="552">
        <f>H147/DAY(B2)</f>
        <v>2546</v>
      </c>
      <c r="K147" s="380"/>
      <c r="L147" s="377"/>
      <c r="N147" s="382"/>
      <c r="O147" s="382"/>
    </row>
    <row r="148" spans="1:15" ht="27.75">
      <c r="A148" s="1537" t="s">
        <v>255</v>
      </c>
      <c r="B148" s="1538"/>
      <c r="C148" s="1539"/>
      <c r="D148" s="523" t="s">
        <v>24</v>
      </c>
      <c r="E148" s="455"/>
      <c r="F148" s="455"/>
      <c r="G148" s="543">
        <f>G147/G7</f>
        <v>0.15372539548363723</v>
      </c>
      <c r="H148" s="460">
        <f t="shared" si="26"/>
        <v>0.15372539548363723</v>
      </c>
      <c r="I148" s="545"/>
      <c r="J148" s="552">
        <f>H148/DAY(B2)</f>
        <v>0.15372539548363723</v>
      </c>
      <c r="N148" s="382"/>
      <c r="O148" s="382"/>
    </row>
    <row r="149" spans="1:15" ht="27.75">
      <c r="A149" s="1537" t="s">
        <v>256</v>
      </c>
      <c r="B149" s="1538"/>
      <c r="C149" s="1539"/>
      <c r="D149" s="523" t="s">
        <v>182</v>
      </c>
      <c r="E149" s="455"/>
      <c r="F149" s="455"/>
      <c r="G149" s="460">
        <f>G38+G52</f>
        <v>1170</v>
      </c>
      <c r="H149" s="460">
        <f t="shared" si="26"/>
        <v>1170</v>
      </c>
      <c r="I149" s="480"/>
      <c r="J149" s="552">
        <f>H149/DAY(B2)</f>
        <v>1170</v>
      </c>
      <c r="K149" s="381"/>
      <c r="N149" s="382"/>
      <c r="O149" s="382"/>
    </row>
    <row r="150" spans="1:15" ht="27.75">
      <c r="A150" s="1537" t="s">
        <v>257</v>
      </c>
      <c r="B150" s="1538"/>
      <c r="C150" s="1539"/>
      <c r="D150" s="523" t="s">
        <v>24</v>
      </c>
      <c r="E150" s="455"/>
      <c r="F150" s="455"/>
      <c r="G150" s="543">
        <f>G149/G7</f>
        <v>7.0643642072213506E-2</v>
      </c>
      <c r="H150" s="460">
        <f t="shared" si="26"/>
        <v>7.0643642072213506E-2</v>
      </c>
      <c r="I150" s="545"/>
      <c r="J150" s="552">
        <f>H150/DAY(B2)</f>
        <v>7.0643642072213506E-2</v>
      </c>
      <c r="N150" s="382"/>
      <c r="O150" s="382"/>
    </row>
    <row r="151" spans="1:15" ht="27.75">
      <c r="A151" s="1537" t="s">
        <v>258</v>
      </c>
      <c r="B151" s="1538"/>
      <c r="C151" s="1539"/>
      <c r="D151" s="523" t="s">
        <v>182</v>
      </c>
      <c r="E151" s="455"/>
      <c r="F151" s="455"/>
      <c r="G151" s="460">
        <f>G36+G50</f>
        <v>1260</v>
      </c>
      <c r="H151" s="460">
        <f t="shared" si="26"/>
        <v>1260</v>
      </c>
      <c r="I151" s="545"/>
      <c r="J151" s="552">
        <f>H151/DAY(B2)</f>
        <v>1260</v>
      </c>
      <c r="N151" s="382"/>
      <c r="O151" s="382"/>
    </row>
    <row r="152" spans="1:15" ht="27.75">
      <c r="A152" s="1537" t="s">
        <v>259</v>
      </c>
      <c r="B152" s="1538"/>
      <c r="C152" s="1539"/>
      <c r="D152" s="523" t="s">
        <v>24</v>
      </c>
      <c r="E152" s="455"/>
      <c r="F152" s="455"/>
      <c r="G152" s="543">
        <f>G151/G7</f>
        <v>7.6077768385460695E-2</v>
      </c>
      <c r="H152" s="460">
        <f t="shared" si="26"/>
        <v>7.6077768385460695E-2</v>
      </c>
      <c r="I152" s="480"/>
      <c r="J152" s="552">
        <f>H152/DAY(B2)</f>
        <v>7.6077768385460695E-2</v>
      </c>
      <c r="N152" s="382"/>
      <c r="O152" s="382"/>
    </row>
    <row r="153" spans="1:15" ht="27.75">
      <c r="A153" s="1537" t="s">
        <v>260</v>
      </c>
      <c r="B153" s="1538"/>
      <c r="C153" s="1539"/>
      <c r="D153" s="523" t="s">
        <v>182</v>
      </c>
      <c r="E153" s="455"/>
      <c r="F153" s="455"/>
      <c r="G153" s="460">
        <f>G37+G51</f>
        <v>1278</v>
      </c>
      <c r="H153" s="460">
        <f t="shared" si="26"/>
        <v>1278</v>
      </c>
      <c r="I153" s="480"/>
      <c r="J153" s="552">
        <f>H153/DAY(B2)</f>
        <v>1278</v>
      </c>
      <c r="N153" s="382"/>
      <c r="O153" s="382"/>
    </row>
    <row r="154" spans="1:15" ht="28.5" thickBot="1">
      <c r="A154" s="1569" t="s">
        <v>261</v>
      </c>
      <c r="B154" s="1570"/>
      <c r="C154" s="1571"/>
      <c r="D154" s="625" t="s">
        <v>24</v>
      </c>
      <c r="E154" s="565"/>
      <c r="F154" s="565"/>
      <c r="G154" s="566">
        <f>G153/G7</f>
        <v>7.7164593648110139E-2</v>
      </c>
      <c r="H154" s="460">
        <f t="shared" si="26"/>
        <v>7.7164593648110139E-2</v>
      </c>
      <c r="I154" s="568"/>
      <c r="J154" s="569">
        <f>H154/DAY(B2)</f>
        <v>7.7164593648110139E-2</v>
      </c>
      <c r="N154" s="382"/>
      <c r="O154" s="382"/>
    </row>
    <row r="155" spans="1:15">
      <c r="A155" s="466"/>
      <c r="B155" s="456"/>
      <c r="C155" s="456"/>
      <c r="D155" s="546"/>
      <c r="E155" s="546"/>
      <c r="F155" s="546"/>
      <c r="G155" s="546"/>
      <c r="H155" s="547"/>
      <c r="I155" s="546"/>
      <c r="J155" s="548"/>
      <c r="O155" s="382"/>
    </row>
    <row r="156" spans="1:15">
      <c r="E156" s="537"/>
    </row>
    <row r="157" spans="1:15">
      <c r="E157" s="537"/>
    </row>
    <row r="158" spans="1:15">
      <c r="E158" s="537"/>
    </row>
    <row r="159" spans="1:15">
      <c r="E159" s="537"/>
    </row>
    <row r="160" spans="1:15">
      <c r="E160" s="537"/>
    </row>
    <row r="161" spans="1:7">
      <c r="A161" s="785" t="s">
        <v>262</v>
      </c>
      <c r="B161" s="786"/>
      <c r="C161" s="786"/>
      <c r="D161" s="511" t="s">
        <v>186</v>
      </c>
      <c r="E161" s="659">
        <v>38434</v>
      </c>
      <c r="F161" s="659">
        <v>38514</v>
      </c>
      <c r="G161" s="473">
        <f t="shared" ref="G161:G172" si="27">F161-E161</f>
        <v>80</v>
      </c>
    </row>
    <row r="162" spans="1:7">
      <c r="A162" s="785" t="s">
        <v>263</v>
      </c>
      <c r="B162" s="786"/>
      <c r="C162" s="786"/>
      <c r="D162" s="511" t="s">
        <v>186</v>
      </c>
      <c r="E162" s="659">
        <v>94790</v>
      </c>
      <c r="F162" s="659">
        <v>95181</v>
      </c>
      <c r="G162" s="473">
        <f t="shared" si="27"/>
        <v>391</v>
      </c>
    </row>
    <row r="163" spans="1:7">
      <c r="A163" s="785" t="s">
        <v>264</v>
      </c>
      <c r="B163" s="786"/>
      <c r="C163" s="786"/>
      <c r="D163" s="511" t="s">
        <v>186</v>
      </c>
      <c r="E163" s="659">
        <v>44933</v>
      </c>
      <c r="F163" s="659">
        <v>45344</v>
      </c>
      <c r="G163" s="473">
        <f>F163-E163</f>
        <v>411</v>
      </c>
    </row>
    <row r="164" spans="1:7">
      <c r="A164" s="785" t="s">
        <v>265</v>
      </c>
      <c r="B164" s="786"/>
      <c r="C164" s="786"/>
      <c r="D164" s="511" t="s">
        <v>186</v>
      </c>
      <c r="E164" s="659">
        <v>6560</v>
      </c>
      <c r="F164" s="659">
        <v>6566</v>
      </c>
      <c r="G164" s="473">
        <f t="shared" si="27"/>
        <v>6</v>
      </c>
    </row>
    <row r="165" spans="1:7">
      <c r="A165" s="787" t="s">
        <v>97</v>
      </c>
      <c r="B165" s="604"/>
      <c r="C165" s="604"/>
      <c r="D165" s="511" t="s">
        <v>186</v>
      </c>
      <c r="E165" s="514">
        <f>E62</f>
        <v>20419</v>
      </c>
      <c r="F165" s="514">
        <v>20419</v>
      </c>
      <c r="G165" s="473">
        <f>F165-E165</f>
        <v>0</v>
      </c>
    </row>
    <row r="166" spans="1:7">
      <c r="A166" s="787" t="s">
        <v>187</v>
      </c>
      <c r="B166" s="604"/>
      <c r="C166" s="604"/>
      <c r="D166" s="511" t="s">
        <v>186</v>
      </c>
      <c r="E166" s="514">
        <v>2472</v>
      </c>
      <c r="F166" s="514">
        <v>2472</v>
      </c>
      <c r="G166" s="473">
        <f t="shared" si="27"/>
        <v>0</v>
      </c>
    </row>
    <row r="167" spans="1:7" ht="27.75">
      <c r="A167" s="1586" t="s">
        <v>98</v>
      </c>
      <c r="B167" s="1586"/>
      <c r="C167" s="1586"/>
      <c r="D167" s="523" t="s">
        <v>186</v>
      </c>
      <c r="E167" s="514">
        <f t="shared" ref="E167:E172" si="28">E64</f>
        <v>159932</v>
      </c>
      <c r="F167" s="514">
        <f t="shared" ref="F167:F172" si="29">F64</f>
        <v>160128</v>
      </c>
      <c r="G167" s="473">
        <f t="shared" si="27"/>
        <v>196</v>
      </c>
    </row>
    <row r="168" spans="1:7" ht="27.75">
      <c r="A168" s="1586" t="s">
        <v>99</v>
      </c>
      <c r="B168" s="1586"/>
      <c r="C168" s="1586"/>
      <c r="D168" s="523" t="s">
        <v>186</v>
      </c>
      <c r="E168" s="514">
        <f t="shared" si="28"/>
        <v>160998</v>
      </c>
      <c r="F168" s="514">
        <f t="shared" si="29"/>
        <v>161237</v>
      </c>
      <c r="G168" s="473">
        <f t="shared" si="27"/>
        <v>239</v>
      </c>
    </row>
    <row r="169" spans="1:7" ht="27.75">
      <c r="A169" s="1586" t="s">
        <v>100</v>
      </c>
      <c r="B169" s="1586"/>
      <c r="C169" s="1586"/>
      <c r="D169" s="523" t="s">
        <v>186</v>
      </c>
      <c r="E169" s="514">
        <f t="shared" si="28"/>
        <v>56805</v>
      </c>
      <c r="F169" s="514">
        <f t="shared" si="29"/>
        <v>57021</v>
      </c>
      <c r="G169" s="473">
        <f t="shared" si="27"/>
        <v>216</v>
      </c>
    </row>
    <row r="170" spans="1:7" ht="27.75">
      <c r="A170" s="1586" t="s">
        <v>101</v>
      </c>
      <c r="B170" s="1586"/>
      <c r="C170" s="1586"/>
      <c r="D170" s="523" t="s">
        <v>186</v>
      </c>
      <c r="E170" s="514">
        <f t="shared" si="28"/>
        <v>252192</v>
      </c>
      <c r="F170" s="514">
        <f t="shared" si="29"/>
        <v>252502</v>
      </c>
      <c r="G170" s="473">
        <f t="shared" si="27"/>
        <v>310</v>
      </c>
    </row>
    <row r="171" spans="1:7" ht="27.75">
      <c r="A171" s="1586" t="s">
        <v>102</v>
      </c>
      <c r="B171" s="1586"/>
      <c r="C171" s="1586"/>
      <c r="D171" s="523" t="s">
        <v>186</v>
      </c>
      <c r="E171" s="514">
        <f t="shared" si="28"/>
        <v>85321</v>
      </c>
      <c r="F171" s="514">
        <f t="shared" si="29"/>
        <v>85321</v>
      </c>
      <c r="G171" s="473">
        <f t="shared" si="27"/>
        <v>0</v>
      </c>
    </row>
    <row r="172" spans="1:7" ht="27.75">
      <c r="A172" s="1586" t="s">
        <v>103</v>
      </c>
      <c r="B172" s="1586"/>
      <c r="C172" s="1586"/>
      <c r="D172" s="523" t="s">
        <v>186</v>
      </c>
      <c r="E172" s="514">
        <f t="shared" si="28"/>
        <v>81749</v>
      </c>
      <c r="F172" s="514">
        <f t="shared" si="29"/>
        <v>81853</v>
      </c>
      <c r="G172" s="473">
        <f t="shared" si="27"/>
        <v>104</v>
      </c>
    </row>
    <row r="173" spans="1:7">
      <c r="G173" s="539">
        <f>SUM(G161:G172)</f>
        <v>1953</v>
      </c>
    </row>
  </sheetData>
  <mergeCells count="74">
    <mergeCell ref="A172:C172"/>
    <mergeCell ref="A167:C167"/>
    <mergeCell ref="A168:C168"/>
    <mergeCell ref="A169:C169"/>
    <mergeCell ref="A170:C170"/>
    <mergeCell ref="A171:C171"/>
    <mergeCell ref="A82:C82"/>
    <mergeCell ref="A83:C83"/>
    <mergeCell ref="A76:C76"/>
    <mergeCell ref="A77:C77"/>
    <mergeCell ref="A79:C79"/>
    <mergeCell ref="A80:C80"/>
    <mergeCell ref="A81:C81"/>
    <mergeCell ref="A71:J71"/>
    <mergeCell ref="A72:C72"/>
    <mergeCell ref="A73:C73"/>
    <mergeCell ref="A74:C74"/>
    <mergeCell ref="A75:C75"/>
    <mergeCell ref="A121:B121"/>
    <mergeCell ref="A122:B122"/>
    <mergeCell ref="A115:B115"/>
    <mergeCell ref="A116:B116"/>
    <mergeCell ref="A117:B117"/>
    <mergeCell ref="A118:B118"/>
    <mergeCell ref="A119:B119"/>
    <mergeCell ref="A111:B111"/>
    <mergeCell ref="A112:B112"/>
    <mergeCell ref="A113:B113"/>
    <mergeCell ref="A114:B114"/>
    <mergeCell ref="A120:B120"/>
    <mergeCell ref="A126:C126"/>
    <mergeCell ref="A93:C93"/>
    <mergeCell ref="A70:C70"/>
    <mergeCell ref="A153:C153"/>
    <mergeCell ref="A154:C154"/>
    <mergeCell ref="A147:C147"/>
    <mergeCell ref="A148:C148"/>
    <mergeCell ref="A149:C149"/>
    <mergeCell ref="A150:C150"/>
    <mergeCell ref="A151:C151"/>
    <mergeCell ref="A152:C152"/>
    <mergeCell ref="A142:B142"/>
    <mergeCell ref="A145:C145"/>
    <mergeCell ref="A146:C146"/>
    <mergeCell ref="A144:C144"/>
    <mergeCell ref="A143:C143"/>
    <mergeCell ref="A1:J1"/>
    <mergeCell ref="A6:C6"/>
    <mergeCell ref="A14:C14"/>
    <mergeCell ref="A64:C64"/>
    <mergeCell ref="A65:C65"/>
    <mergeCell ref="A17:C17"/>
    <mergeCell ref="A18:C18"/>
    <mergeCell ref="A19:C19"/>
    <mergeCell ref="E3:F3"/>
    <mergeCell ref="A21:C21"/>
    <mergeCell ref="A25:C25"/>
    <mergeCell ref="A33:J33"/>
    <mergeCell ref="A123:C123"/>
    <mergeCell ref="A95:C95"/>
    <mergeCell ref="A66:C66"/>
    <mergeCell ref="A67:C67"/>
    <mergeCell ref="A96:C96"/>
    <mergeCell ref="A94:C94"/>
    <mergeCell ref="A68:C68"/>
    <mergeCell ref="A69:C69"/>
    <mergeCell ref="A102:C102"/>
    <mergeCell ref="A104:B104"/>
    <mergeCell ref="A105:B105"/>
    <mergeCell ref="A106:B106"/>
    <mergeCell ref="A107:C107"/>
    <mergeCell ref="A108:B108"/>
    <mergeCell ref="A109:B109"/>
    <mergeCell ref="A110:B110"/>
  </mergeCells>
  <pageMargins left="0.22" right="0.17" top="0.14000000000000001" bottom="0.2" header="0.2" footer="0.2"/>
  <pageSetup paperSize="5" scale="20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77"/>
  <sheetViews>
    <sheetView view="pageBreakPreview" topLeftCell="A73" zoomScale="55" zoomScaleSheetLayoutView="55" workbookViewId="0">
      <selection activeCell="A33" sqref="A33:J33"/>
    </sheetView>
  </sheetViews>
  <sheetFormatPr defaultColWidth="22.33203125" defaultRowHeight="29.25"/>
  <cols>
    <col min="1" max="1" width="41.88671875" style="454" customWidth="1"/>
    <col min="2" max="2" width="28.6640625" style="457" customWidth="1"/>
    <col min="3" max="3" width="15.88671875" style="457" customWidth="1"/>
    <col min="4" max="4" width="13.6640625" style="537" customWidth="1"/>
    <col min="5" max="5" width="30" style="537" customWidth="1"/>
    <col min="6" max="6" width="30" style="664" customWidth="1"/>
    <col min="7" max="7" width="28.88671875" style="537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3" width="0" style="376" hidden="1" customWidth="1"/>
    <col min="14" max="14" width="25.109375" style="376" customWidth="1"/>
    <col min="15" max="15" width="3.88671875" style="376" customWidth="1"/>
    <col min="16" max="16384" width="22.33203125" style="376"/>
  </cols>
  <sheetData>
    <row r="1" spans="1:15" ht="33.75">
      <c r="A1" s="1549" t="s">
        <v>116</v>
      </c>
      <c r="B1" s="1550"/>
      <c r="C1" s="1550"/>
      <c r="D1" s="1550"/>
      <c r="E1" s="1550"/>
      <c r="F1" s="1550"/>
      <c r="G1" s="1550"/>
      <c r="H1" s="1550"/>
      <c r="I1" s="1550"/>
      <c r="J1" s="1551"/>
    </row>
    <row r="2" spans="1:15" s="281" customFormat="1" ht="27">
      <c r="A2" s="575" t="s">
        <v>274</v>
      </c>
      <c r="B2" s="1033">
        <v>44349</v>
      </c>
      <c r="C2" s="1307" t="s">
        <v>68</v>
      </c>
      <c r="D2" s="611">
        <v>0.6</v>
      </c>
      <c r="E2" s="461"/>
      <c r="F2" s="461"/>
      <c r="G2" s="461" t="s">
        <v>117</v>
      </c>
      <c r="H2" s="461" t="s">
        <v>6</v>
      </c>
      <c r="I2" s="461" t="s">
        <v>8</v>
      </c>
      <c r="J2" s="613" t="s">
        <v>118</v>
      </c>
    </row>
    <row r="3" spans="1:15" s="281" customFormat="1" ht="27">
      <c r="A3" s="570"/>
      <c r="B3" s="614"/>
      <c r="C3" s="1307" t="s">
        <v>119</v>
      </c>
      <c r="D3" s="612">
        <v>30</v>
      </c>
      <c r="E3" s="1558" t="s">
        <v>120</v>
      </c>
      <c r="F3" s="1559"/>
      <c r="G3" s="462"/>
      <c r="H3" s="463"/>
      <c r="I3" s="463"/>
      <c r="J3" s="615"/>
      <c r="K3" s="371"/>
      <c r="L3" s="292"/>
    </row>
    <row r="4" spans="1:15" s="281" customFormat="1" ht="27">
      <c r="A4" s="576"/>
      <c r="B4" s="616"/>
      <c r="C4" s="1307" t="s">
        <v>121</v>
      </c>
      <c r="D4" s="611">
        <v>0.8</v>
      </c>
      <c r="E4" s="464"/>
      <c r="F4" s="464"/>
      <c r="G4" s="464"/>
      <c r="H4" s="464"/>
      <c r="I4" s="465"/>
      <c r="J4" s="615"/>
      <c r="K4" s="372"/>
      <c r="L4" s="292"/>
    </row>
    <row r="5" spans="1:15">
      <c r="A5" s="577" t="s">
        <v>122</v>
      </c>
      <c r="B5" s="459"/>
      <c r="C5" s="459"/>
      <c r="D5" s="511" t="s">
        <v>123</v>
      </c>
      <c r="E5" s="467" t="s">
        <v>124</v>
      </c>
      <c r="F5" s="467" t="s">
        <v>111</v>
      </c>
      <c r="G5" s="468" t="s">
        <v>125</v>
      </c>
      <c r="H5" s="469" t="s">
        <v>126</v>
      </c>
      <c r="I5" s="470" t="s">
        <v>127</v>
      </c>
      <c r="J5" s="550" t="s">
        <v>128</v>
      </c>
      <c r="K5" s="426"/>
      <c r="L5" s="377"/>
    </row>
    <row r="6" spans="1:15">
      <c r="A6" s="1552" t="s">
        <v>129</v>
      </c>
      <c r="B6" s="1553"/>
      <c r="C6" s="1554"/>
      <c r="D6" s="471"/>
      <c r="E6" s="471"/>
      <c r="F6" s="471"/>
      <c r="G6" s="471"/>
      <c r="H6" s="472"/>
      <c r="I6" s="472"/>
      <c r="J6" s="551"/>
      <c r="K6" s="427"/>
      <c r="L6" s="377"/>
    </row>
    <row r="7" spans="1:15" ht="30" thickBot="1">
      <c r="A7" s="578" t="s">
        <v>130</v>
      </c>
      <c r="B7" s="579"/>
      <c r="C7" s="579"/>
      <c r="D7" s="523" t="s">
        <v>131</v>
      </c>
      <c r="E7" s="455">
        <f>'1'!F7</f>
        <v>360974</v>
      </c>
      <c r="F7" s="455">
        <v>377521.63</v>
      </c>
      <c r="G7" s="473">
        <f>F7-E7</f>
        <v>16547.630000000005</v>
      </c>
      <c r="H7" s="460">
        <f>G7+'1'!H7</f>
        <v>33109.630000000005</v>
      </c>
      <c r="I7" s="474">
        <f>'[2]1'!I7</f>
        <v>12000</v>
      </c>
      <c r="J7" s="552">
        <f>H7/DAY(B2)</f>
        <v>16554.815000000002</v>
      </c>
      <c r="K7" s="549"/>
      <c r="L7" s="377"/>
      <c r="O7" s="382"/>
    </row>
    <row r="8" spans="1:15" ht="27.75" thickBot="1">
      <c r="A8" s="580" t="s">
        <v>132</v>
      </c>
      <c r="B8" s="581"/>
      <c r="C8" s="582"/>
      <c r="D8" s="617" t="s">
        <v>25</v>
      </c>
      <c r="E8" s="455">
        <f>'1'!F8</f>
        <v>363165</v>
      </c>
      <c r="F8" s="475">
        <v>379785.27</v>
      </c>
      <c r="G8" s="476">
        <f>F8-E8</f>
        <v>16620.270000000019</v>
      </c>
      <c r="H8" s="460">
        <f>G8+'1'!H8</f>
        <v>33275.270000000019</v>
      </c>
      <c r="I8" s="477">
        <v>12000</v>
      </c>
      <c r="J8" s="552">
        <f>H8/DAY(B2)</f>
        <v>16637.635000000009</v>
      </c>
      <c r="K8" s="549"/>
      <c r="L8" s="425"/>
      <c r="M8" s="440"/>
      <c r="O8" s="382"/>
    </row>
    <row r="9" spans="1:15">
      <c r="A9" s="583" t="s">
        <v>133</v>
      </c>
      <c r="B9" s="584"/>
      <c r="C9" s="584"/>
      <c r="D9" s="523" t="s">
        <v>131</v>
      </c>
      <c r="E9" s="455">
        <f>'1'!F9</f>
        <v>1489833</v>
      </c>
      <c r="F9" s="478">
        <v>1505845.9</v>
      </c>
      <c r="G9" s="473">
        <f t="shared" ref="G9:G11" si="0">F9-E9</f>
        <v>16012.899999999907</v>
      </c>
      <c r="H9" s="460">
        <f>G9+'1'!H9</f>
        <v>32155.899999999907</v>
      </c>
      <c r="I9" s="479">
        <f>I8-J8</f>
        <v>-4637.6350000000093</v>
      </c>
      <c r="J9" s="552">
        <f>H9/DAY(B2)</f>
        <v>16077.949999999953</v>
      </c>
      <c r="K9" s="428"/>
      <c r="L9" s="377"/>
      <c r="O9" s="382"/>
    </row>
    <row r="10" spans="1:15">
      <c r="A10" s="578" t="s">
        <v>134</v>
      </c>
      <c r="B10" s="579"/>
      <c r="C10" s="579"/>
      <c r="D10" s="523" t="s">
        <v>131</v>
      </c>
      <c r="E10" s="455">
        <f>'1'!F10</f>
        <v>2323</v>
      </c>
      <c r="F10" s="478">
        <v>2323</v>
      </c>
      <c r="G10" s="473">
        <f t="shared" si="0"/>
        <v>0</v>
      </c>
      <c r="H10" s="460">
        <f>G10+'1'!H10</f>
        <v>0.42000000000007276</v>
      </c>
      <c r="I10" s="480"/>
      <c r="J10" s="552">
        <f>H10/DAY(B2)</f>
        <v>0.21000000000003638</v>
      </c>
      <c r="K10" s="428"/>
      <c r="L10" s="377"/>
      <c r="O10" s="382"/>
    </row>
    <row r="11" spans="1:15">
      <c r="A11" s="578" t="s">
        <v>135</v>
      </c>
      <c r="B11" s="579"/>
      <c r="C11" s="579"/>
      <c r="D11" s="523" t="s">
        <v>131</v>
      </c>
      <c r="E11" s="455">
        <f>'1'!F11</f>
        <v>37000</v>
      </c>
      <c r="F11" s="455">
        <v>37000</v>
      </c>
      <c r="G11" s="473">
        <f t="shared" si="0"/>
        <v>0</v>
      </c>
      <c r="H11" s="460">
        <f>G11+'[2]1'!H11</f>
        <v>0</v>
      </c>
      <c r="I11" s="480"/>
      <c r="J11" s="552">
        <f>H11/DAY(B2)</f>
        <v>0</v>
      </c>
      <c r="K11" s="428"/>
      <c r="L11" s="377"/>
      <c r="O11" s="382"/>
    </row>
    <row r="12" spans="1:15">
      <c r="A12" s="578" t="s">
        <v>136</v>
      </c>
      <c r="B12" s="579"/>
      <c r="C12" s="579"/>
      <c r="D12" s="523" t="s">
        <v>131</v>
      </c>
      <c r="E12" s="455">
        <f>'1'!F11</f>
        <v>37000</v>
      </c>
      <c r="F12" s="478">
        <v>40010</v>
      </c>
      <c r="G12" s="473">
        <v>0</v>
      </c>
      <c r="H12" s="460">
        <f>G12+'[2]1'!H12</f>
        <v>0</v>
      </c>
      <c r="I12" s="480"/>
      <c r="J12" s="552">
        <f>H12/DAY(B2)</f>
        <v>0</v>
      </c>
      <c r="K12" s="428"/>
      <c r="L12" s="377"/>
      <c r="O12" s="382"/>
    </row>
    <row r="13" spans="1:15">
      <c r="A13" s="585" t="s">
        <v>137</v>
      </c>
      <c r="B13" s="586"/>
      <c r="C13" s="586"/>
      <c r="D13" s="523"/>
      <c r="E13" s="455"/>
      <c r="F13" s="455"/>
      <c r="G13" s="481">
        <f>G9+G10+G11+G12</f>
        <v>16012.899999999907</v>
      </c>
      <c r="H13" s="460">
        <f>G13+'1'!H13</f>
        <v>32156.319999999905</v>
      </c>
      <c r="I13" s="482">
        <f>G7-G13</f>
        <v>534.73000000009779</v>
      </c>
      <c r="J13" s="552">
        <f>H13/DAY(B2)</f>
        <v>16078.159999999953</v>
      </c>
      <c r="K13" s="428"/>
      <c r="L13" s="377"/>
      <c r="O13" s="382"/>
    </row>
    <row r="14" spans="1:15">
      <c r="A14" s="1555" t="s">
        <v>138</v>
      </c>
      <c r="B14" s="1556"/>
      <c r="C14" s="1557"/>
      <c r="D14" s="472"/>
      <c r="E14" s="472"/>
      <c r="F14" s="472"/>
      <c r="G14" s="483"/>
      <c r="H14" s="472"/>
      <c r="I14" s="472"/>
      <c r="J14" s="551"/>
      <c r="K14" s="429"/>
      <c r="L14" s="377"/>
      <c r="O14" s="382"/>
    </row>
    <row r="15" spans="1:15">
      <c r="A15" s="1305" t="s">
        <v>139</v>
      </c>
      <c r="B15" s="589"/>
      <c r="C15" s="589"/>
      <c r="D15" s="523" t="s">
        <v>140</v>
      </c>
      <c r="E15" s="455">
        <f>'1'!F15</f>
        <v>1684791</v>
      </c>
      <c r="F15" s="652">
        <v>1685227.7</v>
      </c>
      <c r="G15" s="780">
        <f>(F15-E15)</f>
        <v>436.69999999995343</v>
      </c>
      <c r="H15" s="460">
        <f>G15+'1'!H15</f>
        <v>703.69999999995343</v>
      </c>
      <c r="I15" s="474">
        <v>800</v>
      </c>
      <c r="J15" s="552">
        <f>H15/DAY(B2)</f>
        <v>351.84999999997672</v>
      </c>
      <c r="K15" s="428"/>
      <c r="L15" s="377"/>
      <c r="O15" s="382"/>
    </row>
    <row r="16" spans="1:15">
      <c r="A16" s="587"/>
      <c r="B16" s="588"/>
      <c r="C16" s="588"/>
      <c r="D16" s="524"/>
      <c r="E16" s="485"/>
      <c r="F16" s="485"/>
      <c r="G16" s="473"/>
      <c r="H16" s="486"/>
      <c r="I16" s="487">
        <f>I15-J15</f>
        <v>448.15000000002328</v>
      </c>
      <c r="J16" s="553"/>
      <c r="K16" s="428"/>
      <c r="L16" s="377"/>
      <c r="O16" s="382">
        <f>G15-150</f>
        <v>286.69999999995343</v>
      </c>
    </row>
    <row r="17" spans="1:15">
      <c r="A17" s="1555" t="s">
        <v>141</v>
      </c>
      <c r="B17" s="1556"/>
      <c r="C17" s="1557"/>
      <c r="D17" s="472"/>
      <c r="E17" s="472"/>
      <c r="F17" s="472"/>
      <c r="G17" s="488"/>
      <c r="H17" s="472"/>
      <c r="I17" s="472"/>
      <c r="J17" s="551"/>
      <c r="K17" s="428"/>
      <c r="L17" s="377"/>
      <c r="O17" s="382"/>
    </row>
    <row r="18" spans="1:15" ht="27.75">
      <c r="A18" s="1537" t="s">
        <v>142</v>
      </c>
      <c r="B18" s="1538"/>
      <c r="C18" s="1539"/>
      <c r="D18" s="523" t="s">
        <v>143</v>
      </c>
      <c r="E18" s="484">
        <v>8</v>
      </c>
      <c r="F18" s="478">
        <v>6</v>
      </c>
      <c r="G18" s="481">
        <f>F18*10</f>
        <v>60</v>
      </c>
      <c r="H18" s="460">
        <f>G18+'1'!H18</f>
        <v>80</v>
      </c>
      <c r="I18" s="474">
        <f>'[2]1'!I18</f>
        <v>65</v>
      </c>
      <c r="J18" s="552">
        <f>H18/DAY(B2)</f>
        <v>40</v>
      </c>
      <c r="K18" s="428"/>
      <c r="L18" s="377"/>
      <c r="O18" s="382"/>
    </row>
    <row r="19" spans="1:15" ht="27.75">
      <c r="A19" s="1537" t="s">
        <v>70</v>
      </c>
      <c r="B19" s="1538"/>
      <c r="C19" s="1539"/>
      <c r="D19" s="523" t="s">
        <v>143</v>
      </c>
      <c r="E19" s="455">
        <f>'1'!F19</f>
        <v>139672</v>
      </c>
      <c r="F19" s="478">
        <v>139724</v>
      </c>
      <c r="G19" s="473">
        <f>F19-E19</f>
        <v>52</v>
      </c>
      <c r="H19" s="460">
        <f>G19+'1'!H19</f>
        <v>112</v>
      </c>
      <c r="I19" s="489"/>
      <c r="J19" s="552">
        <f>H19/DAY(B2)</f>
        <v>56</v>
      </c>
      <c r="K19" s="428"/>
      <c r="L19" s="377"/>
      <c r="O19" s="382"/>
    </row>
    <row r="20" spans="1:15">
      <c r="A20" s="585" t="s">
        <v>144</v>
      </c>
      <c r="B20" s="586"/>
      <c r="C20" s="586"/>
      <c r="D20" s="490"/>
      <c r="E20" s="490"/>
      <c r="F20" s="523"/>
      <c r="G20" s="1035">
        <f>G18+G19</f>
        <v>112</v>
      </c>
      <c r="H20" s="460">
        <f>G20+'1'!H20</f>
        <v>192</v>
      </c>
      <c r="I20" s="492">
        <f>I18-J20</f>
        <v>-31</v>
      </c>
      <c r="J20" s="552">
        <f>H20/DAY(B2)</f>
        <v>96</v>
      </c>
      <c r="K20" s="428"/>
      <c r="L20" s="377"/>
      <c r="O20" s="382"/>
    </row>
    <row r="21" spans="1:15">
      <c r="A21" s="1555" t="s">
        <v>145</v>
      </c>
      <c r="B21" s="1556"/>
      <c r="C21" s="1557"/>
      <c r="D21" s="472"/>
      <c r="E21" s="472"/>
      <c r="F21" s="472"/>
      <c r="G21" s="483"/>
      <c r="H21" s="472"/>
      <c r="I21" s="472"/>
      <c r="J21" s="551"/>
      <c r="K21" s="428"/>
      <c r="L21" s="377"/>
      <c r="O21" s="382"/>
    </row>
    <row r="22" spans="1:15">
      <c r="A22" s="1305" t="s">
        <v>146</v>
      </c>
      <c r="B22" s="589"/>
      <c r="C22" s="589"/>
      <c r="D22" s="523" t="s">
        <v>147</v>
      </c>
      <c r="E22" s="484">
        <f>'1'!F22</f>
        <v>2970</v>
      </c>
      <c r="F22" s="478">
        <v>2970</v>
      </c>
      <c r="G22" s="481">
        <f t="shared" ref="G22" si="1">(F22-E22)</f>
        <v>0</v>
      </c>
      <c r="H22" s="460">
        <f>G22+'1'!H22</f>
        <v>0</v>
      </c>
      <c r="I22" s="480"/>
      <c r="J22" s="552">
        <f>H22/DAY(B2)</f>
        <v>0</v>
      </c>
      <c r="K22" s="428"/>
      <c r="L22" s="377"/>
      <c r="O22" s="382"/>
    </row>
    <row r="23" spans="1:15">
      <c r="A23" s="1305" t="s">
        <v>148</v>
      </c>
      <c r="B23" s="589"/>
      <c r="C23" s="589"/>
      <c r="D23" s="523" t="s">
        <v>147</v>
      </c>
      <c r="E23" s="484">
        <f>'1'!F23</f>
        <v>1880</v>
      </c>
      <c r="F23" s="478">
        <v>1880</v>
      </c>
      <c r="G23" s="481">
        <v>0</v>
      </c>
      <c r="H23" s="460">
        <f>G23+'1'!H23</f>
        <v>120</v>
      </c>
      <c r="I23" s="480"/>
      <c r="J23" s="552">
        <f>H23/DAY(B2)</f>
        <v>60</v>
      </c>
      <c r="K23" s="428"/>
      <c r="L23" s="377"/>
      <c r="O23" s="382"/>
    </row>
    <row r="24" spans="1:15">
      <c r="A24" s="590" t="s">
        <v>149</v>
      </c>
      <c r="B24" s="591"/>
      <c r="C24" s="591"/>
      <c r="D24" s="511" t="s">
        <v>147</v>
      </c>
      <c r="E24" s="484">
        <v>4850</v>
      </c>
      <c r="F24" s="485">
        <v>4850</v>
      </c>
      <c r="G24" s="481">
        <v>0</v>
      </c>
      <c r="H24" s="460">
        <f>G24+'1'!H24</f>
        <v>120</v>
      </c>
      <c r="I24" s="480"/>
      <c r="J24" s="552">
        <f>H24/DAY(B2)</f>
        <v>60</v>
      </c>
      <c r="K24" s="428"/>
      <c r="L24" s="377"/>
      <c r="O24" s="382"/>
    </row>
    <row r="25" spans="1:15" s="442" customFormat="1" ht="27">
      <c r="A25" s="1560" t="s">
        <v>150</v>
      </c>
      <c r="B25" s="1561"/>
      <c r="C25" s="1562"/>
      <c r="D25" s="471"/>
      <c r="E25" s="471"/>
      <c r="F25" s="471"/>
      <c r="G25" s="494"/>
      <c r="H25" s="495"/>
      <c r="I25" s="496"/>
      <c r="J25" s="554"/>
      <c r="K25" s="373"/>
      <c r="L25" s="443"/>
      <c r="O25" s="382"/>
    </row>
    <row r="26" spans="1:15" s="442" customFormat="1" ht="27.75">
      <c r="A26" s="592" t="s">
        <v>151</v>
      </c>
      <c r="B26" s="593"/>
      <c r="C26" s="594"/>
      <c r="D26" s="618" t="s">
        <v>152</v>
      </c>
      <c r="E26" s="497"/>
      <c r="F26" s="455"/>
      <c r="G26" s="498"/>
      <c r="H26" s="460"/>
      <c r="I26" s="499"/>
      <c r="J26" s="552"/>
      <c r="K26" s="374"/>
      <c r="L26" s="443"/>
      <c r="O26" s="382"/>
    </row>
    <row r="27" spans="1:15" s="442" customFormat="1" ht="27.75">
      <c r="A27" s="592" t="s">
        <v>6</v>
      </c>
      <c r="B27" s="593"/>
      <c r="C27" s="594"/>
      <c r="D27" s="619" t="s">
        <v>25</v>
      </c>
      <c r="E27" s="501">
        <f>G8</f>
        <v>16620.270000000019</v>
      </c>
      <c r="F27" s="501">
        <v>9</v>
      </c>
      <c r="G27" s="502">
        <f>E27*F27</f>
        <v>149582.43000000017</v>
      </c>
      <c r="H27" s="460">
        <f>G27+'1'!H27</f>
        <v>298640.43000000017</v>
      </c>
      <c r="I27" s="503"/>
      <c r="J27" s="552">
        <f>H27/DAY(B2)</f>
        <v>149320.21500000008</v>
      </c>
      <c r="K27" s="373"/>
      <c r="L27" s="443"/>
      <c r="O27" s="382"/>
    </row>
    <row r="28" spans="1:15" s="442" customFormat="1" ht="27.75">
      <c r="A28" s="592" t="s">
        <v>153</v>
      </c>
      <c r="B28" s="593"/>
      <c r="C28" s="594"/>
      <c r="D28" s="619" t="s">
        <v>154</v>
      </c>
      <c r="E28" s="501">
        <f>G15</f>
        <v>436.69999999995343</v>
      </c>
      <c r="F28" s="501">
        <v>52</v>
      </c>
      <c r="G28" s="502">
        <f>E28*F28</f>
        <v>22708.399999997579</v>
      </c>
      <c r="H28" s="460">
        <f>G28+'1'!H28</f>
        <v>36592.399999997579</v>
      </c>
      <c r="I28" s="505"/>
      <c r="J28" s="552">
        <f>H28/DAY(B2)</f>
        <v>18296.199999998789</v>
      </c>
      <c r="K28" s="373"/>
      <c r="L28" s="443"/>
      <c r="O28" s="382"/>
    </row>
    <row r="29" spans="1:15" s="442" customFormat="1" ht="27.75">
      <c r="A29" s="592" t="s">
        <v>155</v>
      </c>
      <c r="B29" s="593"/>
      <c r="C29" s="594"/>
      <c r="D29" s="619" t="s">
        <v>156</v>
      </c>
      <c r="E29" s="501">
        <f>G24</f>
        <v>0</v>
      </c>
      <c r="F29" s="501">
        <v>69</v>
      </c>
      <c r="G29" s="502">
        <f>E29*F29</f>
        <v>0</v>
      </c>
      <c r="H29" s="460">
        <f>G29+'1'!H29</f>
        <v>8280</v>
      </c>
      <c r="I29" s="505"/>
      <c r="J29" s="552">
        <f>H29/DAY(B2)</f>
        <v>4140</v>
      </c>
      <c r="K29" s="373"/>
      <c r="L29" s="443"/>
      <c r="O29" s="382"/>
    </row>
    <row r="30" spans="1:15" s="442" customFormat="1" ht="27.75">
      <c r="A30" s="592" t="s">
        <v>157</v>
      </c>
      <c r="B30" s="593"/>
      <c r="C30" s="594"/>
      <c r="D30" s="619" t="s">
        <v>158</v>
      </c>
      <c r="E30" s="501">
        <f>G19</f>
        <v>52</v>
      </c>
      <c r="F30" s="501">
        <v>146</v>
      </c>
      <c r="G30" s="502">
        <f>E30*F30</f>
        <v>7592</v>
      </c>
      <c r="H30" s="460">
        <f>G30+'1'!H30</f>
        <v>16352</v>
      </c>
      <c r="I30" s="505"/>
      <c r="J30" s="552">
        <f>H30/DAY(B2)</f>
        <v>8176</v>
      </c>
      <c r="K30" s="373"/>
      <c r="L30" s="443"/>
      <c r="O30" s="382"/>
    </row>
    <row r="31" spans="1:15" s="442" customFormat="1" ht="27.75">
      <c r="A31" s="592" t="s">
        <v>159</v>
      </c>
      <c r="B31" s="593"/>
      <c r="C31" s="594"/>
      <c r="D31" s="619" t="s">
        <v>143</v>
      </c>
      <c r="E31" s="501">
        <f>G18</f>
        <v>60</v>
      </c>
      <c r="F31" s="501">
        <v>80</v>
      </c>
      <c r="G31" s="502">
        <f>E31*F31</f>
        <v>4800</v>
      </c>
      <c r="H31" s="460">
        <f>G31+'1'!H31</f>
        <v>6400</v>
      </c>
      <c r="I31" s="505"/>
      <c r="J31" s="552">
        <f>H31/DAY(B2)</f>
        <v>3200</v>
      </c>
      <c r="K31" s="373"/>
      <c r="L31" s="443"/>
      <c r="O31" s="382"/>
    </row>
    <row r="32" spans="1:15" s="442" customFormat="1" ht="27.75">
      <c r="A32" s="595" t="s">
        <v>160</v>
      </c>
      <c r="B32" s="596"/>
      <c r="C32" s="597"/>
      <c r="D32" s="507"/>
      <c r="E32" s="507"/>
      <c r="F32" s="524"/>
      <c r="G32" s="508">
        <f>G27+G28+G29+G30+G31</f>
        <v>184682.82999999775</v>
      </c>
      <c r="H32" s="460">
        <f>G32+'1'!H32</f>
        <v>366264.82999999775</v>
      </c>
      <c r="I32" s="509"/>
      <c r="J32" s="552">
        <f>H32/DAY(B2)</f>
        <v>183132.41499999887</v>
      </c>
      <c r="K32" s="373"/>
      <c r="L32" s="443"/>
      <c r="O32" s="382"/>
    </row>
    <row r="33" spans="1:15" ht="25.5">
      <c r="A33" s="1563" t="s">
        <v>161</v>
      </c>
      <c r="B33" s="1564"/>
      <c r="C33" s="1564"/>
      <c r="D33" s="1564"/>
      <c r="E33" s="1564"/>
      <c r="F33" s="1564"/>
      <c r="G33" s="1564"/>
      <c r="H33" s="1564"/>
      <c r="I33" s="1564"/>
      <c r="J33" s="1565"/>
      <c r="K33" s="428"/>
      <c r="L33" s="377"/>
      <c r="O33" s="382"/>
    </row>
    <row r="34" spans="1:15">
      <c r="A34" s="598" t="s">
        <v>162</v>
      </c>
      <c r="B34" s="1310"/>
      <c r="C34" s="1310"/>
      <c r="D34" s="472"/>
      <c r="E34" s="471"/>
      <c r="F34" s="471"/>
      <c r="G34" s="472"/>
      <c r="H34" s="472"/>
      <c r="I34" s="472"/>
      <c r="J34" s="551"/>
      <c r="K34" s="428"/>
      <c r="L34" s="377"/>
      <c r="O34" s="382"/>
    </row>
    <row r="35" spans="1:15">
      <c r="A35" s="578" t="s">
        <v>163</v>
      </c>
      <c r="B35" s="579"/>
      <c r="C35" s="579"/>
      <c r="D35" s="523" t="s">
        <v>131</v>
      </c>
      <c r="E35" s="455">
        <f>'1'!F35</f>
        <v>952832</v>
      </c>
      <c r="F35" s="510">
        <v>955239.99</v>
      </c>
      <c r="G35" s="473">
        <f t="shared" ref="G35:G46" si="2">F35-E35</f>
        <v>2407.9899999999907</v>
      </c>
      <c r="H35" s="460">
        <f>G35+'1'!H35</f>
        <v>4751.9899999999907</v>
      </c>
      <c r="I35" s="455"/>
      <c r="J35" s="552">
        <f>H35/DAY(B2)</f>
        <v>2375.9949999999953</v>
      </c>
      <c r="K35" s="428"/>
      <c r="L35" s="377"/>
      <c r="O35" s="382"/>
    </row>
    <row r="36" spans="1:15">
      <c r="A36" s="578" t="s">
        <v>164</v>
      </c>
      <c r="B36" s="579"/>
      <c r="C36" s="579"/>
      <c r="D36" s="523" t="s">
        <v>131</v>
      </c>
      <c r="E36" s="455">
        <f>'1'!F36</f>
        <v>619</v>
      </c>
      <c r="F36" s="510">
        <v>1107.123</v>
      </c>
      <c r="G36" s="473">
        <f t="shared" si="2"/>
        <v>488.12300000000005</v>
      </c>
      <c r="H36" s="460">
        <f>G36+'1'!H36</f>
        <v>934.12300000000005</v>
      </c>
      <c r="I36" s="455"/>
      <c r="J36" s="552">
        <f>H36/DAY(B2)</f>
        <v>467.06150000000002</v>
      </c>
      <c r="K36" s="428"/>
      <c r="L36" s="377"/>
      <c r="O36" s="628"/>
    </row>
    <row r="37" spans="1:15">
      <c r="A37" s="578" t="s">
        <v>165</v>
      </c>
      <c r="B37" s="579"/>
      <c r="C37" s="579"/>
      <c r="D37" s="523" t="s">
        <v>131</v>
      </c>
      <c r="E37" s="455">
        <f>'1'!F37</f>
        <v>135514</v>
      </c>
      <c r="F37" s="510">
        <v>136763.70000000001</v>
      </c>
      <c r="G37" s="473">
        <f t="shared" si="2"/>
        <v>1249.7000000000116</v>
      </c>
      <c r="H37" s="460">
        <f>G37+'1'!H37</f>
        <v>2527.7000000000116</v>
      </c>
      <c r="I37" s="455"/>
      <c r="J37" s="552">
        <f>H37/DAY(B2)</f>
        <v>1263.8500000000058</v>
      </c>
      <c r="K37" s="428"/>
      <c r="L37" s="377"/>
      <c r="O37" s="629"/>
    </row>
    <row r="38" spans="1:15">
      <c r="A38" s="578" t="s">
        <v>166</v>
      </c>
      <c r="B38" s="579"/>
      <c r="C38" s="579"/>
      <c r="D38" s="523" t="s">
        <v>131</v>
      </c>
      <c r="E38" s="455">
        <f>'1'!F38</f>
        <v>157575</v>
      </c>
      <c r="F38" s="469">
        <v>158821.69</v>
      </c>
      <c r="G38" s="473">
        <f t="shared" si="2"/>
        <v>1246.6900000000023</v>
      </c>
      <c r="H38" s="460">
        <f>G38+'1'!H38</f>
        <v>2416.6900000000023</v>
      </c>
      <c r="I38" s="455"/>
      <c r="J38" s="552">
        <f>H38/DAY(B2)</f>
        <v>1208.3450000000012</v>
      </c>
      <c r="K38" s="428"/>
      <c r="L38" s="377"/>
      <c r="O38" s="382"/>
    </row>
    <row r="39" spans="1:15">
      <c r="A39" s="578" t="s">
        <v>167</v>
      </c>
      <c r="B39" s="579"/>
      <c r="C39" s="579"/>
      <c r="D39" s="523" t="s">
        <v>131</v>
      </c>
      <c r="E39" s="455">
        <f>'1'!F39</f>
        <v>310175</v>
      </c>
      <c r="F39" s="510">
        <v>312177.25</v>
      </c>
      <c r="G39" s="473">
        <f t="shared" si="2"/>
        <v>2002.25</v>
      </c>
      <c r="H39" s="460">
        <f>G39+'1'!H39</f>
        <v>4004.25</v>
      </c>
      <c r="I39" s="455"/>
      <c r="J39" s="552">
        <f>H39/DAY(B2)</f>
        <v>2002.125</v>
      </c>
      <c r="K39" s="428"/>
      <c r="L39" s="377"/>
      <c r="O39" s="382"/>
    </row>
    <row r="40" spans="1:15">
      <c r="A40" s="599" t="s">
        <v>168</v>
      </c>
      <c r="B40" s="600"/>
      <c r="C40" s="600"/>
      <c r="D40" s="523" t="s">
        <v>131</v>
      </c>
      <c r="E40" s="455">
        <f>'1'!F40</f>
        <v>889</v>
      </c>
      <c r="F40" s="510">
        <v>888.99</v>
      </c>
      <c r="G40" s="473">
        <f t="shared" si="2"/>
        <v>-9.9999999999909051E-3</v>
      </c>
      <c r="H40" s="460">
        <f>G40+'1'!H40</f>
        <v>-9.9999999999909051E-3</v>
      </c>
      <c r="I40" s="455"/>
      <c r="J40" s="552">
        <f>H40/DAY(B2)</f>
        <v>-4.9999999999954525E-3</v>
      </c>
      <c r="K40" s="429"/>
      <c r="L40" s="377"/>
      <c r="O40" s="382"/>
    </row>
    <row r="41" spans="1:15">
      <c r="A41" s="578" t="s">
        <v>169</v>
      </c>
      <c r="B41" s="579"/>
      <c r="C41" s="579"/>
      <c r="D41" s="523" t="s">
        <v>131</v>
      </c>
      <c r="E41" s="455">
        <f>'1'!F41</f>
        <v>240478</v>
      </c>
      <c r="F41" s="510">
        <v>240478.13</v>
      </c>
      <c r="G41" s="473">
        <f t="shared" si="2"/>
        <v>0.13000000000465661</v>
      </c>
      <c r="H41" s="460">
        <f>G41+'1'!H41</f>
        <v>0.13000000000465661</v>
      </c>
      <c r="I41" s="455"/>
      <c r="J41" s="552">
        <f>H41/DAY(B2)</f>
        <v>6.5000000002328306E-2</v>
      </c>
      <c r="K41" s="428"/>
      <c r="L41" s="377"/>
      <c r="O41" s="382"/>
    </row>
    <row r="42" spans="1:15">
      <c r="A42" s="578" t="s">
        <v>170</v>
      </c>
      <c r="B42" s="579"/>
      <c r="C42" s="579"/>
      <c r="D42" s="523" t="s">
        <v>131</v>
      </c>
      <c r="E42" s="455">
        <v>59198.97</v>
      </c>
      <c r="F42" s="510">
        <v>59198.97</v>
      </c>
      <c r="G42" s="473">
        <f t="shared" si="2"/>
        <v>0</v>
      </c>
      <c r="H42" s="460">
        <f>G42+'1'!H42</f>
        <v>0</v>
      </c>
      <c r="I42" s="455"/>
      <c r="J42" s="552">
        <f>H42/DAY(B2)</f>
        <v>0</v>
      </c>
      <c r="K42" s="428"/>
      <c r="L42" s="377"/>
      <c r="O42" s="382"/>
    </row>
    <row r="43" spans="1:15">
      <c r="A43" s="578" t="s">
        <v>171</v>
      </c>
      <c r="B43" s="579"/>
      <c r="C43" s="579"/>
      <c r="D43" s="523" t="s">
        <v>131</v>
      </c>
      <c r="E43" s="455">
        <f>'1'!F43</f>
        <v>1044516</v>
      </c>
      <c r="F43" s="510">
        <v>1046786.4</v>
      </c>
      <c r="G43" s="473">
        <f t="shared" si="2"/>
        <v>2270.4000000000233</v>
      </c>
      <c r="H43" s="460">
        <f>G43+'1'!H43</f>
        <v>4542.4000000000233</v>
      </c>
      <c r="I43" s="455"/>
      <c r="J43" s="552">
        <f>H43/DAY(B2)</f>
        <v>2271.2000000000116</v>
      </c>
      <c r="K43" s="428"/>
      <c r="L43" s="377"/>
      <c r="O43" s="382"/>
    </row>
    <row r="44" spans="1:15">
      <c r="A44" s="578" t="s">
        <v>172</v>
      </c>
      <c r="B44" s="579"/>
      <c r="C44" s="579"/>
      <c r="D44" s="523" t="s">
        <v>131</v>
      </c>
      <c r="E44" s="455">
        <f>'1'!F44</f>
        <v>0</v>
      </c>
      <c r="F44" s="510">
        <v>0</v>
      </c>
      <c r="G44" s="473">
        <f t="shared" si="2"/>
        <v>0</v>
      </c>
      <c r="H44" s="460">
        <f>G44+'1'!H44</f>
        <v>0</v>
      </c>
      <c r="I44" s="455"/>
      <c r="J44" s="552">
        <f>H44/DAY(B2)</f>
        <v>0</v>
      </c>
      <c r="K44" s="428"/>
      <c r="L44" s="377"/>
      <c r="O44" s="382"/>
    </row>
    <row r="45" spans="1:15">
      <c r="A45" s="578" t="s">
        <v>173</v>
      </c>
      <c r="B45" s="579"/>
      <c r="C45" s="579"/>
      <c r="D45" s="523" t="s">
        <v>131</v>
      </c>
      <c r="E45" s="455">
        <f>'1'!F45</f>
        <v>614</v>
      </c>
      <c r="F45" s="510">
        <v>614</v>
      </c>
      <c r="G45" s="473">
        <f t="shared" si="2"/>
        <v>0</v>
      </c>
      <c r="H45" s="460">
        <f>G45+'1'!H45</f>
        <v>0</v>
      </c>
      <c r="I45" s="455"/>
      <c r="J45" s="552">
        <f>H45/DAY(B2)</f>
        <v>0</v>
      </c>
      <c r="K45" s="428"/>
      <c r="L45" s="377"/>
      <c r="O45" s="382"/>
    </row>
    <row r="46" spans="1:15">
      <c r="A46" s="578" t="s">
        <v>174</v>
      </c>
      <c r="B46" s="579"/>
      <c r="C46" s="579"/>
      <c r="D46" s="523" t="s">
        <v>131</v>
      </c>
      <c r="E46" s="455">
        <f>'1'!F46</f>
        <v>187</v>
      </c>
      <c r="F46" s="510">
        <v>187</v>
      </c>
      <c r="G46" s="473">
        <f t="shared" si="2"/>
        <v>0</v>
      </c>
      <c r="H46" s="460">
        <f>G46+'1'!H46</f>
        <v>0</v>
      </c>
      <c r="I46" s="455"/>
      <c r="J46" s="552">
        <f>H46/DAY(B2)</f>
        <v>0</v>
      </c>
      <c r="K46" s="428"/>
      <c r="L46" s="377"/>
      <c r="O46" s="382"/>
    </row>
    <row r="47" spans="1:15">
      <c r="A47" s="585" t="s">
        <v>175</v>
      </c>
      <c r="B47" s="586"/>
      <c r="C47" s="586"/>
      <c r="D47" s="470"/>
      <c r="E47" s="511"/>
      <c r="F47" s="511"/>
      <c r="G47" s="481">
        <f>G35+G36+G37+G38+G39+G40+G41+G42+G43+G44+G45+G46</f>
        <v>9665.273000000032</v>
      </c>
      <c r="H47" s="460">
        <f>G47+'1'!H47</f>
        <v>19177.27300000003</v>
      </c>
      <c r="I47" s="455"/>
      <c r="J47" s="552">
        <f>H47/DAY(B2)</f>
        <v>9588.6365000000151</v>
      </c>
      <c r="K47" s="428"/>
      <c r="L47" s="377"/>
      <c r="N47" s="382"/>
      <c r="O47" s="382"/>
    </row>
    <row r="48" spans="1:15">
      <c r="A48" s="598" t="s">
        <v>176</v>
      </c>
      <c r="B48" s="1310"/>
      <c r="C48" s="1310"/>
      <c r="D48" s="472"/>
      <c r="E48" s="471"/>
      <c r="F48" s="471"/>
      <c r="G48" s="472"/>
      <c r="H48" s="472"/>
      <c r="I48" s="472"/>
      <c r="J48" s="551"/>
      <c r="K48" s="428"/>
      <c r="L48" s="377"/>
      <c r="O48" s="382"/>
    </row>
    <row r="49" spans="1:15">
      <c r="A49" s="578" t="s">
        <v>163</v>
      </c>
      <c r="B49" s="601"/>
      <c r="C49" s="601"/>
      <c r="D49" s="523" t="s">
        <v>131</v>
      </c>
      <c r="E49" s="455">
        <f>'1'!F49</f>
        <v>260732</v>
      </c>
      <c r="F49" s="510">
        <v>260732.13</v>
      </c>
      <c r="G49" s="473">
        <f t="shared" ref="G49:G58" si="3">F49-E49</f>
        <v>0.13000000000465661</v>
      </c>
      <c r="H49" s="460">
        <f>G49+'1'!H49</f>
        <v>0.13000000000465661</v>
      </c>
      <c r="I49" s="455"/>
      <c r="J49" s="552">
        <f>H49/DAY(B2)</f>
        <v>6.5000000002328306E-2</v>
      </c>
      <c r="K49" s="428"/>
      <c r="L49" s="377"/>
      <c r="O49" s="382"/>
    </row>
    <row r="50" spans="1:15">
      <c r="A50" s="578" t="s">
        <v>177</v>
      </c>
      <c r="B50" s="601"/>
      <c r="C50" s="601"/>
      <c r="D50" s="523" t="s">
        <v>131</v>
      </c>
      <c r="E50" s="455">
        <f>'1'!F50</f>
        <v>503350</v>
      </c>
      <c r="F50" s="510">
        <v>504204.71</v>
      </c>
      <c r="G50" s="473">
        <f t="shared" si="3"/>
        <v>854.71000000002095</v>
      </c>
      <c r="H50" s="460">
        <f>G50+'1'!H50</f>
        <v>1668.710000000021</v>
      </c>
      <c r="I50" s="455"/>
      <c r="J50" s="552">
        <f>H50/DAY(B2)</f>
        <v>834.35500000001048</v>
      </c>
      <c r="K50" s="428"/>
      <c r="L50" s="377"/>
      <c r="O50" s="382"/>
    </row>
    <row r="51" spans="1:15">
      <c r="A51" s="578" t="s">
        <v>165</v>
      </c>
      <c r="B51" s="601"/>
      <c r="C51" s="601"/>
      <c r="D51" s="523" t="s">
        <v>131</v>
      </c>
      <c r="E51" s="455">
        <f>'1'!F51</f>
        <v>144640</v>
      </c>
      <c r="F51" s="510">
        <v>144639.87</v>
      </c>
      <c r="G51" s="473">
        <f t="shared" si="3"/>
        <v>-0.13000000000465661</v>
      </c>
      <c r="H51" s="460">
        <f>G51+'1'!H51</f>
        <v>-0.13000000000465661</v>
      </c>
      <c r="I51" s="455"/>
      <c r="J51" s="552">
        <f>H51/DAY(B2)</f>
        <v>-6.5000000002328306E-2</v>
      </c>
      <c r="K51" s="428"/>
      <c r="L51" s="377"/>
      <c r="O51" s="382"/>
    </row>
    <row r="52" spans="1:15">
      <c r="A52" s="578" t="s">
        <v>178</v>
      </c>
      <c r="B52" s="601"/>
      <c r="C52" s="601"/>
      <c r="D52" s="523" t="s">
        <v>131</v>
      </c>
      <c r="E52" s="455">
        <f>'1'!F52</f>
        <v>539606</v>
      </c>
      <c r="F52" s="510">
        <v>539606</v>
      </c>
      <c r="G52" s="473">
        <f t="shared" si="3"/>
        <v>0</v>
      </c>
      <c r="H52" s="460">
        <f>G52+'1'!H52</f>
        <v>0</v>
      </c>
      <c r="I52" s="455"/>
      <c r="J52" s="552">
        <f>H52/DAY(B2)</f>
        <v>0</v>
      </c>
      <c r="K52" s="428"/>
      <c r="L52" s="377"/>
      <c r="O52" s="382"/>
    </row>
    <row r="53" spans="1:15">
      <c r="A53" s="578" t="s">
        <v>167</v>
      </c>
      <c r="B53" s="601"/>
      <c r="C53" s="601"/>
      <c r="D53" s="523" t="s">
        <v>131</v>
      </c>
      <c r="E53" s="455">
        <f>'1'!F53</f>
        <v>433112</v>
      </c>
      <c r="F53" s="510">
        <v>433626.31</v>
      </c>
      <c r="G53" s="473">
        <f t="shared" si="3"/>
        <v>514.30999999999767</v>
      </c>
      <c r="H53" s="460">
        <f>G53+'1'!H53</f>
        <v>1058.3099999999977</v>
      </c>
      <c r="I53" s="455"/>
      <c r="J53" s="552">
        <f>H53/DAY(B2)</f>
        <v>529.15499999999884</v>
      </c>
      <c r="K53" s="428"/>
      <c r="L53" s="377"/>
      <c r="O53" s="382"/>
    </row>
    <row r="54" spans="1:15">
      <c r="A54" s="578" t="s">
        <v>179</v>
      </c>
      <c r="B54" s="601"/>
      <c r="C54" s="601"/>
      <c r="D54" s="523" t="s">
        <v>131</v>
      </c>
      <c r="E54" s="455">
        <f>'1'!F54</f>
        <v>13840</v>
      </c>
      <c r="F54" s="510">
        <v>13923.83</v>
      </c>
      <c r="G54" s="473">
        <f t="shared" si="3"/>
        <v>83.829999999999927</v>
      </c>
      <c r="H54" s="460">
        <f>G54+'1'!H54</f>
        <v>173.82999999999993</v>
      </c>
      <c r="I54" s="455"/>
      <c r="J54" s="552">
        <f>H54/DAY(B2)</f>
        <v>86.914999999999964</v>
      </c>
      <c r="K54" s="428"/>
      <c r="L54" s="377"/>
      <c r="O54" s="382"/>
    </row>
    <row r="55" spans="1:15">
      <c r="A55" s="578" t="s">
        <v>180</v>
      </c>
      <c r="B55" s="601"/>
      <c r="C55" s="601"/>
      <c r="D55" s="523" t="s">
        <v>131</v>
      </c>
      <c r="E55" s="455">
        <f>'1'!F55</f>
        <v>68111</v>
      </c>
      <c r="F55" s="1034">
        <v>68110.679999999993</v>
      </c>
      <c r="G55" s="473">
        <f t="shared" si="3"/>
        <v>-0.32000000000698492</v>
      </c>
      <c r="H55" s="460">
        <f>G55+'1'!H55</f>
        <v>-0.32000000000698492</v>
      </c>
      <c r="I55" s="455"/>
      <c r="J55" s="552">
        <f>H55/DAY(B2)</f>
        <v>-0.16000000000349246</v>
      </c>
      <c r="K55" s="428"/>
      <c r="L55" s="377"/>
      <c r="O55" s="382"/>
    </row>
    <row r="56" spans="1:15">
      <c r="A56" s="578" t="s">
        <v>181</v>
      </c>
      <c r="B56" s="601"/>
      <c r="C56" s="601"/>
      <c r="D56" s="523" t="s">
        <v>182</v>
      </c>
      <c r="E56" s="455">
        <f>'1'!F56</f>
        <v>622504.51</v>
      </c>
      <c r="F56" s="1034">
        <v>627429.06999999995</v>
      </c>
      <c r="G56" s="473">
        <f t="shared" si="3"/>
        <v>4924.5599999999395</v>
      </c>
      <c r="H56" s="460">
        <f>G56+'1'!H56</f>
        <v>10231.069999999949</v>
      </c>
      <c r="I56" s="455"/>
      <c r="J56" s="552">
        <f>H56/DAY(B2)</f>
        <v>5115.5349999999744</v>
      </c>
      <c r="K56" s="427"/>
      <c r="L56" s="377"/>
      <c r="O56" s="382"/>
    </row>
    <row r="57" spans="1:15">
      <c r="A57" s="578" t="s">
        <v>171</v>
      </c>
      <c r="B57" s="601"/>
      <c r="C57" s="601"/>
      <c r="D57" s="523" t="s">
        <v>131</v>
      </c>
      <c r="E57" s="455">
        <f>'1'!F57</f>
        <v>7711</v>
      </c>
      <c r="F57" s="510">
        <v>7711</v>
      </c>
      <c r="G57" s="473">
        <f t="shared" si="3"/>
        <v>0</v>
      </c>
      <c r="H57" s="460">
        <f>G57+'1'!H57</f>
        <v>0</v>
      </c>
      <c r="I57" s="455"/>
      <c r="J57" s="552">
        <f>H57/DAY(B2)</f>
        <v>0</v>
      </c>
      <c r="K57" s="428"/>
      <c r="L57" s="377"/>
      <c r="O57" s="382"/>
    </row>
    <row r="58" spans="1:15">
      <c r="A58" s="578" t="s">
        <v>183</v>
      </c>
      <c r="B58" s="601"/>
      <c r="C58" s="601"/>
      <c r="D58" s="523" t="s">
        <v>131</v>
      </c>
      <c r="E58" s="455">
        <f>'1'!F58</f>
        <v>49625</v>
      </c>
      <c r="F58" s="654">
        <v>49729</v>
      </c>
      <c r="G58" s="473">
        <f t="shared" si="3"/>
        <v>104</v>
      </c>
      <c r="H58" s="460">
        <f>G58+'1'!H58</f>
        <v>104</v>
      </c>
      <c r="I58" s="455"/>
      <c r="J58" s="552">
        <f>H58/DAY(B2)</f>
        <v>52</v>
      </c>
      <c r="K58" s="428"/>
      <c r="L58" s="377"/>
      <c r="O58" s="382"/>
    </row>
    <row r="59" spans="1:15">
      <c r="A59" s="585" t="s">
        <v>175</v>
      </c>
      <c r="B59" s="586"/>
      <c r="C59" s="586"/>
      <c r="D59" s="511"/>
      <c r="E59" s="511"/>
      <c r="F59" s="511"/>
      <c r="G59" s="481">
        <f>G49+G50+G51+G52+G53+G54+G55+G56+G57+G58</f>
        <v>6481.089999999951</v>
      </c>
      <c r="H59" s="460">
        <f>G59+'1'!H59</f>
        <v>13235.59999999996</v>
      </c>
      <c r="I59" s="455">
        <f>G7-G60</f>
        <v>401.26700000002165</v>
      </c>
      <c r="J59" s="552">
        <f>H59/DAY(B2)</f>
        <v>6617.7999999999802</v>
      </c>
      <c r="K59" s="428"/>
      <c r="L59" s="377"/>
      <c r="O59" s="382"/>
    </row>
    <row r="60" spans="1:15">
      <c r="A60" s="578"/>
      <c r="B60" s="579"/>
      <c r="C60" s="579"/>
      <c r="D60" s="511" t="s">
        <v>184</v>
      </c>
      <c r="E60" s="511"/>
      <c r="F60" s="511"/>
      <c r="G60" s="481">
        <f>G47+G59</f>
        <v>16146.362999999983</v>
      </c>
      <c r="H60" s="460">
        <f>G60+'1'!H60</f>
        <v>32412.872999999992</v>
      </c>
      <c r="I60" s="455">
        <f>G13-G60</f>
        <v>-133.46300000007614</v>
      </c>
      <c r="J60" s="552">
        <f>H60/DAY(B2)</f>
        <v>16206.436499999996</v>
      </c>
      <c r="K60" s="428"/>
      <c r="L60" s="377"/>
      <c r="O60" s="382"/>
    </row>
    <row r="61" spans="1:15">
      <c r="A61" s="602" t="s">
        <v>185</v>
      </c>
      <c r="B61" s="453"/>
      <c r="C61" s="453"/>
      <c r="D61" s="513"/>
      <c r="E61" s="512"/>
      <c r="F61" s="512"/>
      <c r="G61" s="513"/>
      <c r="H61" s="513"/>
      <c r="I61" s="513"/>
      <c r="J61" s="555"/>
      <c r="K61" s="428"/>
      <c r="L61" s="377"/>
      <c r="O61" s="382"/>
    </row>
    <row r="62" spans="1:15">
      <c r="A62" s="603" t="s">
        <v>97</v>
      </c>
      <c r="B62" s="604"/>
      <c r="C62" s="604"/>
      <c r="D62" s="511" t="s">
        <v>186</v>
      </c>
      <c r="E62" s="455">
        <f>'1'!F62</f>
        <v>20419</v>
      </c>
      <c r="F62" s="514">
        <v>20419</v>
      </c>
      <c r="G62" s="473">
        <f t="shared" ref="G62:G69" si="4">F62-E62</f>
        <v>0</v>
      </c>
      <c r="H62" s="460">
        <f>G62+'1'!H62</f>
        <v>0</v>
      </c>
      <c r="I62" s="515"/>
      <c r="J62" s="552">
        <f>H62/DAY(B2)</f>
        <v>0</v>
      </c>
      <c r="K62" s="428"/>
      <c r="L62" s="377"/>
      <c r="O62" s="382"/>
    </row>
    <row r="63" spans="1:15">
      <c r="A63" s="603" t="s">
        <v>187</v>
      </c>
      <c r="B63" s="604"/>
      <c r="C63" s="604"/>
      <c r="D63" s="511" t="s">
        <v>186</v>
      </c>
      <c r="E63" s="455">
        <f>'1'!F63</f>
        <v>0</v>
      </c>
      <c r="F63" s="514">
        <v>0</v>
      </c>
      <c r="G63" s="473">
        <f t="shared" si="4"/>
        <v>0</v>
      </c>
      <c r="H63" s="460">
        <f>G63+'1'!H63</f>
        <v>0</v>
      </c>
      <c r="I63" s="515"/>
      <c r="J63" s="552">
        <f>H63/DAY(B2)</f>
        <v>0</v>
      </c>
      <c r="K63" s="428"/>
      <c r="L63" s="377"/>
      <c r="O63" s="382"/>
    </row>
    <row r="64" spans="1:15" ht="27.75">
      <c r="A64" s="1534" t="s">
        <v>98</v>
      </c>
      <c r="B64" s="1535"/>
      <c r="C64" s="1536"/>
      <c r="D64" s="523" t="s">
        <v>186</v>
      </c>
      <c r="E64" s="455">
        <f>'1'!F64</f>
        <v>160128</v>
      </c>
      <c r="F64" s="478">
        <v>160311.88</v>
      </c>
      <c r="G64" s="473">
        <f t="shared" si="4"/>
        <v>183.88000000000466</v>
      </c>
      <c r="H64" s="460">
        <f>G64+'1'!H64</f>
        <v>379.88000000000466</v>
      </c>
      <c r="I64" s="480"/>
      <c r="J64" s="552">
        <f>H64/DAY(B2)</f>
        <v>189.94000000000233</v>
      </c>
      <c r="K64" s="428"/>
      <c r="L64" s="377"/>
      <c r="O64" s="382"/>
    </row>
    <row r="65" spans="1:15" ht="27.75">
      <c r="A65" s="1534" t="s">
        <v>99</v>
      </c>
      <c r="B65" s="1535"/>
      <c r="C65" s="1536"/>
      <c r="D65" s="523" t="s">
        <v>186</v>
      </c>
      <c r="E65" s="455">
        <f>'1'!F65</f>
        <v>161237</v>
      </c>
      <c r="F65" s="652">
        <v>161456.68</v>
      </c>
      <c r="G65" s="473">
        <f t="shared" si="4"/>
        <v>219.67999999999302</v>
      </c>
      <c r="H65" s="460">
        <f>G65+'1'!H65</f>
        <v>458.67999999999302</v>
      </c>
      <c r="I65" s="489"/>
      <c r="J65" s="552">
        <f>H65/DAY(B2)</f>
        <v>229.33999999999651</v>
      </c>
      <c r="K65" s="428"/>
      <c r="L65" s="377"/>
      <c r="O65" s="382"/>
    </row>
    <row r="66" spans="1:15" ht="27.75">
      <c r="A66" s="1534" t="s">
        <v>100</v>
      </c>
      <c r="B66" s="1535"/>
      <c r="C66" s="1536"/>
      <c r="D66" s="523" t="s">
        <v>186</v>
      </c>
      <c r="E66" s="455">
        <f>'1'!F66</f>
        <v>57021</v>
      </c>
      <c r="F66" s="478">
        <v>57244.13</v>
      </c>
      <c r="G66" s="473">
        <f t="shared" si="4"/>
        <v>223.12999999999738</v>
      </c>
      <c r="H66" s="460">
        <f>G66+'1'!H66</f>
        <v>439.12999999999738</v>
      </c>
      <c r="I66" s="480"/>
      <c r="J66" s="552">
        <f>H66/DAY(B2)</f>
        <v>219.56499999999869</v>
      </c>
      <c r="K66" s="428"/>
      <c r="L66" s="377"/>
      <c r="O66" s="382"/>
    </row>
    <row r="67" spans="1:15" ht="27.75">
      <c r="A67" s="1534" t="s">
        <v>101</v>
      </c>
      <c r="B67" s="1535"/>
      <c r="C67" s="1536"/>
      <c r="D67" s="523" t="s">
        <v>186</v>
      </c>
      <c r="E67" s="455">
        <f>'1'!F67</f>
        <v>252502</v>
      </c>
      <c r="F67" s="478">
        <v>252869.61</v>
      </c>
      <c r="G67" s="473">
        <f t="shared" si="4"/>
        <v>367.60999999998603</v>
      </c>
      <c r="H67" s="460">
        <f>G67+'1'!H67</f>
        <v>677.60999999998603</v>
      </c>
      <c r="I67" s="489"/>
      <c r="J67" s="552">
        <f>H67/DAY(B2)</f>
        <v>338.80499999999302</v>
      </c>
      <c r="K67" s="429"/>
      <c r="L67" s="377"/>
      <c r="O67" s="382"/>
    </row>
    <row r="68" spans="1:15" ht="27.75">
      <c r="A68" s="1534" t="s">
        <v>102</v>
      </c>
      <c r="B68" s="1535"/>
      <c r="C68" s="1536"/>
      <c r="D68" s="523" t="s">
        <v>186</v>
      </c>
      <c r="E68" s="455">
        <f>'1'!F68</f>
        <v>85321</v>
      </c>
      <c r="F68" s="478">
        <v>85321</v>
      </c>
      <c r="G68" s="473">
        <f t="shared" si="4"/>
        <v>0</v>
      </c>
      <c r="H68" s="460">
        <f>G68+'1'!H68</f>
        <v>0</v>
      </c>
      <c r="I68" s="516"/>
      <c r="J68" s="552">
        <f>H68/DAY(B2)</f>
        <v>0</v>
      </c>
      <c r="K68" s="430"/>
      <c r="L68" s="377"/>
      <c r="O68" s="382"/>
    </row>
    <row r="69" spans="1:15" ht="27.75">
      <c r="A69" s="1534" t="s">
        <v>103</v>
      </c>
      <c r="B69" s="1535"/>
      <c r="C69" s="1536"/>
      <c r="D69" s="523" t="s">
        <v>186</v>
      </c>
      <c r="E69" s="455">
        <f>'1'!F69</f>
        <v>81853</v>
      </c>
      <c r="F69" s="478">
        <v>81942.25</v>
      </c>
      <c r="G69" s="473">
        <f t="shared" si="4"/>
        <v>89.25</v>
      </c>
      <c r="H69" s="460">
        <f>G69+'1'!H69</f>
        <v>193.25</v>
      </c>
      <c r="I69" s="516"/>
      <c r="J69" s="552">
        <f>H69/DAY(B2)</f>
        <v>96.625</v>
      </c>
      <c r="K69" s="431"/>
      <c r="L69" s="377"/>
      <c r="O69" s="382"/>
    </row>
    <row r="70" spans="1:15" ht="27.75">
      <c r="A70" s="1566" t="s">
        <v>188</v>
      </c>
      <c r="B70" s="1567"/>
      <c r="C70" s="1568"/>
      <c r="D70" s="523" t="s">
        <v>186</v>
      </c>
      <c r="E70" s="518"/>
      <c r="F70" s="518"/>
      <c r="G70" s="518"/>
      <c r="H70" s="460"/>
      <c r="I70" s="518"/>
      <c r="J70" s="556"/>
      <c r="K70" s="431"/>
      <c r="L70" s="377"/>
      <c r="O70" s="382"/>
    </row>
    <row r="71" spans="1:15" ht="31.5">
      <c r="A71" s="1580" t="s">
        <v>189</v>
      </c>
      <c r="B71" s="1581"/>
      <c r="C71" s="1581"/>
      <c r="D71" s="1581"/>
      <c r="E71" s="1581"/>
      <c r="F71" s="1581"/>
      <c r="G71" s="1581"/>
      <c r="H71" s="1581"/>
      <c r="I71" s="1581"/>
      <c r="J71" s="1582"/>
      <c r="K71" s="430"/>
      <c r="L71" s="377"/>
      <c r="O71" s="382"/>
    </row>
    <row r="72" spans="1:15" ht="27.75">
      <c r="A72" s="1534" t="s">
        <v>190</v>
      </c>
      <c r="B72" s="1535"/>
      <c r="C72" s="1536"/>
      <c r="D72" s="523" t="s">
        <v>186</v>
      </c>
      <c r="E72" s="455">
        <f>'1'!F72</f>
        <v>855857</v>
      </c>
      <c r="F72" s="655">
        <v>855870</v>
      </c>
      <c r="G72" s="473">
        <f t="shared" ref="G72:G84" si="5">F72-E72</f>
        <v>13</v>
      </c>
      <c r="H72" s="460">
        <f>G72+'1'!H72</f>
        <v>27</v>
      </c>
      <c r="I72" s="480"/>
      <c r="J72" s="552">
        <f>H72/DAY(B2)</f>
        <v>13.5</v>
      </c>
      <c r="K72" s="431"/>
      <c r="L72" s="377"/>
      <c r="O72" s="382"/>
    </row>
    <row r="73" spans="1:15" ht="27.75">
      <c r="A73" s="1534" t="s">
        <v>191</v>
      </c>
      <c r="B73" s="1535"/>
      <c r="C73" s="1536"/>
      <c r="D73" s="523" t="s">
        <v>186</v>
      </c>
      <c r="E73" s="455">
        <f>'1'!F73</f>
        <v>885938</v>
      </c>
      <c r="F73" s="656">
        <v>885939</v>
      </c>
      <c r="G73" s="653">
        <f t="shared" si="5"/>
        <v>1</v>
      </c>
      <c r="H73" s="460">
        <f>G73+'1'!H73</f>
        <v>2</v>
      </c>
      <c r="I73" s="480"/>
      <c r="J73" s="552">
        <f>H73/DAY(B2)</f>
        <v>1</v>
      </c>
      <c r="K73" s="430"/>
      <c r="L73" s="377"/>
      <c r="O73" s="382"/>
    </row>
    <row r="74" spans="1:15" ht="27.75">
      <c r="A74" s="1534" t="s">
        <v>192</v>
      </c>
      <c r="B74" s="1535"/>
      <c r="C74" s="1536"/>
      <c r="D74" s="523" t="s">
        <v>186</v>
      </c>
      <c r="E74" s="455">
        <f>'1'!F74</f>
        <v>2593</v>
      </c>
      <c r="F74" s="655">
        <v>2599.96</v>
      </c>
      <c r="G74" s="473">
        <f t="shared" si="5"/>
        <v>6.9600000000000364</v>
      </c>
      <c r="H74" s="460">
        <f>G74+'1'!H74</f>
        <v>13.960000000000036</v>
      </c>
      <c r="I74" s="480"/>
      <c r="J74" s="552">
        <f>H74/DAY(B2)</f>
        <v>6.9800000000000182</v>
      </c>
      <c r="K74" s="431"/>
      <c r="L74" s="377"/>
      <c r="O74" s="382"/>
    </row>
    <row r="75" spans="1:15" ht="27.75">
      <c r="A75" s="1583" t="s">
        <v>193</v>
      </c>
      <c r="B75" s="1584"/>
      <c r="C75" s="1585"/>
      <c r="D75" s="523" t="s">
        <v>186</v>
      </c>
      <c r="E75" s="455">
        <f>'1'!F75</f>
        <v>12723</v>
      </c>
      <c r="F75" s="657">
        <v>12783.06</v>
      </c>
      <c r="G75" s="473">
        <f t="shared" si="5"/>
        <v>60.059999999999491</v>
      </c>
      <c r="H75" s="460">
        <f>G75+'1'!H75</f>
        <v>114.05999999999949</v>
      </c>
      <c r="I75" s="480"/>
      <c r="J75" s="552">
        <f>H75/DAY(B2)</f>
        <v>57.029999999999745</v>
      </c>
      <c r="K75" s="430"/>
      <c r="L75" s="377"/>
      <c r="O75" s="382"/>
    </row>
    <row r="76" spans="1:15" ht="27.75">
      <c r="A76" s="1583" t="s">
        <v>194</v>
      </c>
      <c r="B76" s="1584"/>
      <c r="C76" s="1585"/>
      <c r="D76" s="523" t="s">
        <v>186</v>
      </c>
      <c r="E76" s="455">
        <f>'1'!F76</f>
        <v>7476</v>
      </c>
      <c r="F76" s="656">
        <v>7531.43</v>
      </c>
      <c r="G76" s="473">
        <f t="shared" si="5"/>
        <v>55.430000000000291</v>
      </c>
      <c r="H76" s="460">
        <f>G76+'1'!H76</f>
        <v>112.43000000000029</v>
      </c>
      <c r="I76" s="505"/>
      <c r="J76" s="552">
        <f>H76/DAY(B2)</f>
        <v>56.215000000000146</v>
      </c>
      <c r="K76" s="430"/>
      <c r="L76" s="377"/>
      <c r="O76" s="382"/>
    </row>
    <row r="77" spans="1:15" ht="27.75">
      <c r="A77" s="1534" t="s">
        <v>195</v>
      </c>
      <c r="B77" s="1535"/>
      <c r="C77" s="1536"/>
      <c r="D77" s="523" t="s">
        <v>186</v>
      </c>
      <c r="E77" s="455">
        <f>'1'!F77</f>
        <v>702888</v>
      </c>
      <c r="F77" s="656">
        <v>702936</v>
      </c>
      <c r="G77" s="653">
        <f t="shared" si="5"/>
        <v>48</v>
      </c>
      <c r="H77" s="460">
        <f>G77+'1'!H77</f>
        <v>97</v>
      </c>
      <c r="I77" s="505"/>
      <c r="J77" s="552">
        <f>H77/DAY(B2)</f>
        <v>48.5</v>
      </c>
      <c r="K77" s="430"/>
      <c r="L77" s="377"/>
      <c r="O77" s="382"/>
    </row>
    <row r="78" spans="1:15" ht="27.75">
      <c r="A78" s="1308" t="s">
        <v>196</v>
      </c>
      <c r="B78" s="1301"/>
      <c r="C78" s="1301"/>
      <c r="D78" s="523" t="s">
        <v>186</v>
      </c>
      <c r="E78" s="455">
        <f>'1'!F78</f>
        <v>673087</v>
      </c>
      <c r="F78" s="657">
        <v>673140</v>
      </c>
      <c r="G78" s="473">
        <f t="shared" si="5"/>
        <v>53</v>
      </c>
      <c r="H78" s="460">
        <f>G78+'1'!H78</f>
        <v>108</v>
      </c>
      <c r="I78" s="505"/>
      <c r="J78" s="552">
        <f>H78/DAY(B2)</f>
        <v>54</v>
      </c>
      <c r="K78" s="430"/>
      <c r="L78" s="377"/>
      <c r="O78" s="382"/>
    </row>
    <row r="79" spans="1:15" ht="27.75">
      <c r="A79" s="1583" t="s">
        <v>91</v>
      </c>
      <c r="B79" s="1584"/>
      <c r="C79" s="1585"/>
      <c r="D79" s="524" t="s">
        <v>186</v>
      </c>
      <c r="E79" s="455">
        <f>'1'!F79</f>
        <v>831165</v>
      </c>
      <c r="F79" s="657">
        <v>831331</v>
      </c>
      <c r="G79" s="473">
        <f t="shared" si="5"/>
        <v>166</v>
      </c>
      <c r="H79" s="460">
        <f>G79+'1'!H79</f>
        <v>321</v>
      </c>
      <c r="I79" s="505"/>
      <c r="J79" s="552">
        <f>H79/DAY(B2)</f>
        <v>160.5</v>
      </c>
      <c r="K79" s="430"/>
      <c r="L79" s="377"/>
      <c r="O79" s="382"/>
    </row>
    <row r="80" spans="1:15" ht="27.75">
      <c r="A80" s="1583" t="s">
        <v>197</v>
      </c>
      <c r="B80" s="1584"/>
      <c r="C80" s="1585"/>
      <c r="D80" s="524" t="s">
        <v>186</v>
      </c>
      <c r="E80" s="455">
        <f>'1'!F80</f>
        <v>528028</v>
      </c>
      <c r="F80" s="656">
        <v>528396.24</v>
      </c>
      <c r="G80" s="473">
        <f t="shared" si="5"/>
        <v>368.23999999999069</v>
      </c>
      <c r="H80" s="460">
        <f>G80+'1'!H80</f>
        <v>738.23999999999069</v>
      </c>
      <c r="I80" s="505"/>
      <c r="J80" s="552">
        <f>H80/DAY(B2)</f>
        <v>369.11999999999534</v>
      </c>
      <c r="K80" s="430"/>
      <c r="L80" s="377"/>
      <c r="O80" s="382"/>
    </row>
    <row r="81" spans="1:15" ht="27.75">
      <c r="A81" s="1583" t="s">
        <v>198</v>
      </c>
      <c r="B81" s="1584"/>
      <c r="C81" s="1585"/>
      <c r="D81" s="524" t="s">
        <v>186</v>
      </c>
      <c r="E81" s="455">
        <f>'1'!F81</f>
        <v>638992</v>
      </c>
      <c r="F81" s="656">
        <v>639082.04</v>
      </c>
      <c r="G81" s="473">
        <f t="shared" si="5"/>
        <v>90.040000000037253</v>
      </c>
      <c r="H81" s="460">
        <f>G81+'1'!H81</f>
        <v>184.04000000003725</v>
      </c>
      <c r="I81" s="505"/>
      <c r="J81" s="552">
        <f>H81/DAY(B2)</f>
        <v>92.020000000018626</v>
      </c>
      <c r="K81" s="430"/>
      <c r="L81" s="377"/>
      <c r="O81" s="382"/>
    </row>
    <row r="82" spans="1:15" ht="27.75">
      <c r="A82" s="1583" t="s">
        <v>92</v>
      </c>
      <c r="B82" s="1584"/>
      <c r="C82" s="1585"/>
      <c r="D82" s="485" t="s">
        <v>131</v>
      </c>
      <c r="E82" s="455">
        <f>'1'!F82</f>
        <v>108169</v>
      </c>
      <c r="F82" s="652">
        <v>108192.73</v>
      </c>
      <c r="G82" s="473">
        <f t="shared" si="5"/>
        <v>23.729999999995925</v>
      </c>
      <c r="H82" s="460">
        <f>G82+'1'!H82</f>
        <v>34.729999999995925</v>
      </c>
      <c r="I82" s="486"/>
      <c r="J82" s="552">
        <f>H82/DAY(B2)</f>
        <v>17.364999999997963</v>
      </c>
      <c r="K82" s="430"/>
      <c r="L82" s="377"/>
      <c r="O82" s="382"/>
    </row>
    <row r="83" spans="1:15" ht="27.75">
      <c r="A83" s="1583" t="s">
        <v>199</v>
      </c>
      <c r="B83" s="1584"/>
      <c r="C83" s="1585"/>
      <c r="D83" s="620" t="s">
        <v>131</v>
      </c>
      <c r="E83" s="455">
        <f>'1'!F83</f>
        <v>20658</v>
      </c>
      <c r="F83" s="511">
        <v>20805</v>
      </c>
      <c r="G83" s="473">
        <f t="shared" si="5"/>
        <v>147</v>
      </c>
      <c r="H83" s="460">
        <f>G83+'1'!H83</f>
        <v>299</v>
      </c>
      <c r="I83" s="481"/>
      <c r="J83" s="552">
        <f>H83/DAY(B2)</f>
        <v>149.5</v>
      </c>
      <c r="K83" s="429"/>
      <c r="L83" s="377"/>
      <c r="O83" s="382"/>
    </row>
    <row r="84" spans="1:15">
      <c r="A84" s="1309" t="s">
        <v>200</v>
      </c>
      <c r="B84" s="571"/>
      <c r="C84" s="571"/>
      <c r="D84" s="478" t="s">
        <v>131</v>
      </c>
      <c r="E84" s="455">
        <f>'1'!F84</f>
        <v>501121</v>
      </c>
      <c r="F84" s="627">
        <v>501942</v>
      </c>
      <c r="G84" s="473">
        <f t="shared" si="5"/>
        <v>821</v>
      </c>
      <c r="H84" s="460">
        <f>G84+'1'!H84</f>
        <v>1648</v>
      </c>
      <c r="I84" s="481"/>
      <c r="J84" s="552">
        <f>H84/DAY(B2)</f>
        <v>824</v>
      </c>
      <c r="K84" s="380"/>
      <c r="L84" s="377"/>
      <c r="O84" s="382"/>
    </row>
    <row r="85" spans="1:15" s="379" customFormat="1">
      <c r="A85" s="605" t="s">
        <v>201</v>
      </c>
      <c r="B85" s="572"/>
      <c r="C85" s="572"/>
      <c r="D85" s="489"/>
      <c r="E85" s="455">
        <f>'1'!F85</f>
        <v>0</v>
      </c>
      <c r="F85" s="523"/>
      <c r="G85" s="460">
        <f xml:space="preserve"> SUM(G71:G84)</f>
        <v>1853.4600000000237</v>
      </c>
      <c r="H85" s="460">
        <f>G85+'1'!H85</f>
        <v>3699.4600000000237</v>
      </c>
      <c r="I85" s="481"/>
      <c r="J85" s="552">
        <f>H85/DAY(B2)</f>
        <v>1849.7300000000118</v>
      </c>
      <c r="K85" s="380"/>
      <c r="L85" s="378"/>
      <c r="O85" s="382"/>
    </row>
    <row r="86" spans="1:15" s="736" customFormat="1">
      <c r="A86" s="731" t="s">
        <v>93</v>
      </c>
      <c r="B86" s="732"/>
      <c r="C86" s="732"/>
      <c r="D86" s="733" t="s">
        <v>182</v>
      </c>
      <c r="E86" s="455">
        <f>'1'!F86</f>
        <v>460969</v>
      </c>
      <c r="F86" s="648">
        <v>461001.8</v>
      </c>
      <c r="G86" s="706">
        <f t="shared" ref="G86:G91" si="6">F86-E86</f>
        <v>32.799999999988358</v>
      </c>
      <c r="H86" s="460">
        <f>G86+'1'!H86</f>
        <v>66.799999999988358</v>
      </c>
      <c r="I86" s="653"/>
      <c r="J86" s="708">
        <f>H86/DAY(B2)</f>
        <v>33.399999999994179</v>
      </c>
      <c r="K86" s="734"/>
      <c r="L86" s="735"/>
      <c r="O86" s="714"/>
    </row>
    <row r="87" spans="1:15" s="736" customFormat="1">
      <c r="A87" s="731" t="s">
        <v>94</v>
      </c>
      <c r="B87" s="732"/>
      <c r="C87" s="732"/>
      <c r="D87" s="733" t="s">
        <v>182</v>
      </c>
      <c r="E87" s="455">
        <f>'1'!F87</f>
        <v>81396</v>
      </c>
      <c r="F87" s="648">
        <v>81415.8</v>
      </c>
      <c r="G87" s="706">
        <f t="shared" si="6"/>
        <v>19.80000000000291</v>
      </c>
      <c r="H87" s="460">
        <f>G87+'1'!H87</f>
        <v>40.80000000000291</v>
      </c>
      <c r="I87" s="653"/>
      <c r="J87" s="708">
        <f>H87/DAY(B2)</f>
        <v>20.400000000001455</v>
      </c>
      <c r="K87" s="734"/>
      <c r="L87" s="735"/>
      <c r="O87" s="714"/>
    </row>
    <row r="88" spans="1:15" s="736" customFormat="1">
      <c r="A88" s="731" t="s">
        <v>95</v>
      </c>
      <c r="B88" s="732"/>
      <c r="C88" s="732"/>
      <c r="D88" s="733" t="s">
        <v>182</v>
      </c>
      <c r="E88" s="455">
        <f>'1'!F88</f>
        <v>153091</v>
      </c>
      <c r="F88" s="648">
        <v>153114.82999999999</v>
      </c>
      <c r="G88" s="706">
        <f t="shared" si="6"/>
        <v>23.829999999987194</v>
      </c>
      <c r="H88" s="460">
        <f>G88+'1'!H88</f>
        <v>50.829999999987194</v>
      </c>
      <c r="I88" s="653"/>
      <c r="J88" s="708">
        <f>H88/DAY(B2)</f>
        <v>25.414999999993597</v>
      </c>
      <c r="K88" s="734"/>
      <c r="L88" s="735"/>
      <c r="O88" s="714"/>
    </row>
    <row r="89" spans="1:15" s="736" customFormat="1">
      <c r="A89" s="731" t="s">
        <v>203</v>
      </c>
      <c r="B89" s="732"/>
      <c r="C89" s="732"/>
      <c r="D89" s="733" t="s">
        <v>182</v>
      </c>
      <c r="E89" s="455">
        <f>'1'!F89</f>
        <v>65185</v>
      </c>
      <c r="F89" s="648">
        <v>65196.5</v>
      </c>
      <c r="G89" s="706">
        <f t="shared" si="6"/>
        <v>11.5</v>
      </c>
      <c r="H89" s="460">
        <f>G89+'1'!H89</f>
        <v>21.900000000001455</v>
      </c>
      <c r="I89" s="653"/>
      <c r="J89" s="708">
        <f>H89/DAY(B2)</f>
        <v>10.950000000000728</v>
      </c>
      <c r="K89" s="734"/>
      <c r="L89" s="735"/>
      <c r="N89" s="778"/>
      <c r="O89" s="382"/>
    </row>
    <row r="90" spans="1:15" s="736" customFormat="1">
      <c r="A90" s="731" t="s">
        <v>203</v>
      </c>
      <c r="B90" s="732"/>
      <c r="C90" s="732"/>
      <c r="D90" s="733" t="s">
        <v>182</v>
      </c>
      <c r="E90" s="455">
        <f>'1'!F90</f>
        <v>3273.7</v>
      </c>
      <c r="F90" s="648">
        <v>3273.7</v>
      </c>
      <c r="G90" s="706">
        <f t="shared" si="6"/>
        <v>0</v>
      </c>
      <c r="H90" s="460">
        <f>G90+'1'!H90</f>
        <v>9.9999999999909051E-2</v>
      </c>
      <c r="I90" s="653"/>
      <c r="J90" s="708">
        <f>H90/DAY(B2)</f>
        <v>4.9999999999954525E-2</v>
      </c>
      <c r="K90" s="734"/>
      <c r="L90" s="735"/>
      <c r="N90" s="778"/>
      <c r="O90" s="382"/>
    </row>
    <row r="91" spans="1:15" s="736" customFormat="1">
      <c r="A91" s="731" t="s">
        <v>350</v>
      </c>
      <c r="B91" s="732"/>
      <c r="C91" s="732"/>
      <c r="D91" s="733"/>
      <c r="E91" s="455">
        <f>'1'!F91</f>
        <v>28026</v>
      </c>
      <c r="F91" s="648">
        <v>28038.6</v>
      </c>
      <c r="G91" s="706">
        <f t="shared" si="6"/>
        <v>12.599999999998545</v>
      </c>
      <c r="H91" s="706"/>
      <c r="I91" s="653"/>
      <c r="J91" s="708"/>
      <c r="K91" s="734"/>
      <c r="L91" s="735"/>
      <c r="N91" s="778"/>
      <c r="O91" s="382"/>
    </row>
    <row r="92" spans="1:15" s="379" customFormat="1">
      <c r="A92" s="606" t="s">
        <v>204</v>
      </c>
      <c r="B92" s="1311"/>
      <c r="C92" s="1311"/>
      <c r="D92" s="472"/>
      <c r="E92" s="472"/>
      <c r="F92" s="472"/>
      <c r="G92" s="488"/>
      <c r="H92" s="472"/>
      <c r="I92" s="472"/>
      <c r="J92" s="551"/>
      <c r="K92" s="380"/>
      <c r="L92" s="378"/>
      <c r="O92" s="382"/>
    </row>
    <row r="93" spans="1:15" ht="27.75">
      <c r="A93" s="1537" t="s">
        <v>205</v>
      </c>
      <c r="B93" s="1538"/>
      <c r="C93" s="1539"/>
      <c r="D93" s="523" t="s">
        <v>143</v>
      </c>
      <c r="E93" s="455">
        <f>'1'!F93</f>
        <v>245506</v>
      </c>
      <c r="F93" s="478">
        <v>245548</v>
      </c>
      <c r="G93" s="473">
        <f t="shared" ref="G93:G94" si="7">F93-E93</f>
        <v>42</v>
      </c>
      <c r="H93" s="460">
        <f>G93+'1'!H93</f>
        <v>60</v>
      </c>
      <c r="I93" s="480"/>
      <c r="J93" s="552">
        <f>H93/DAY(B2)</f>
        <v>30</v>
      </c>
      <c r="K93" s="429"/>
      <c r="L93" s="377"/>
      <c r="O93" s="382"/>
    </row>
    <row r="94" spans="1:15" ht="27.75">
      <c r="A94" s="1537" t="s">
        <v>206</v>
      </c>
      <c r="B94" s="1538"/>
      <c r="C94" s="1539"/>
      <c r="D94" s="523" t="s">
        <v>143</v>
      </c>
      <c r="E94" s="455">
        <f>'1'!F94</f>
        <v>186179</v>
      </c>
      <c r="F94" s="478">
        <v>186240</v>
      </c>
      <c r="G94" s="473">
        <f t="shared" si="7"/>
        <v>61</v>
      </c>
      <c r="H94" s="460">
        <f>G94+'1'!H94</f>
        <v>119</v>
      </c>
      <c r="I94" s="480"/>
      <c r="J94" s="552">
        <f>H94/DAY(B2)</f>
        <v>59.5</v>
      </c>
      <c r="K94" s="380"/>
      <c r="L94" s="377"/>
      <c r="O94" s="382"/>
    </row>
    <row r="95" spans="1:15">
      <c r="A95" s="1531" t="s">
        <v>207</v>
      </c>
      <c r="B95" s="1532"/>
      <c r="C95" s="1533"/>
      <c r="D95" s="523"/>
      <c r="E95" s="455">
        <f>'1'!F95</f>
        <v>0</v>
      </c>
      <c r="F95" s="478"/>
      <c r="G95" s="473">
        <f>G93+G94</f>
        <v>103</v>
      </c>
      <c r="H95" s="460">
        <f>G95+'1'!H95</f>
        <v>103</v>
      </c>
      <c r="I95" s="480"/>
      <c r="J95" s="552">
        <f>H95/DAY(B2)</f>
        <v>51.5</v>
      </c>
      <c r="K95" s="380"/>
      <c r="L95" s="377"/>
      <c r="O95" s="382"/>
    </row>
    <row r="96" spans="1:15" ht="27.75">
      <c r="A96" s="1537" t="s">
        <v>208</v>
      </c>
      <c r="B96" s="1538"/>
      <c r="C96" s="1539"/>
      <c r="D96" s="523" t="s">
        <v>143</v>
      </c>
      <c r="E96" s="455">
        <f>'1'!F96</f>
        <v>414323</v>
      </c>
      <c r="F96" s="478">
        <v>414359</v>
      </c>
      <c r="G96" s="473">
        <f t="shared" ref="G96:G101" si="8">F96-E96</f>
        <v>36</v>
      </c>
      <c r="H96" s="460">
        <f>G96+'1'!H96</f>
        <v>76</v>
      </c>
      <c r="I96" s="480"/>
      <c r="J96" s="552">
        <f>H96/DAY(B2)</f>
        <v>38</v>
      </c>
      <c r="K96" s="380"/>
      <c r="L96" s="377"/>
      <c r="O96" s="382"/>
    </row>
    <row r="97" spans="1:15" ht="27.75">
      <c r="A97" s="1305" t="s">
        <v>209</v>
      </c>
      <c r="B97" s="1306"/>
      <c r="C97" s="1306"/>
      <c r="D97" s="523" t="s">
        <v>143</v>
      </c>
      <c r="E97" s="455">
        <f>'1'!F97</f>
        <v>102661</v>
      </c>
      <c r="F97" s="478">
        <v>102670</v>
      </c>
      <c r="G97" s="473">
        <f t="shared" si="8"/>
        <v>9</v>
      </c>
      <c r="H97" s="460">
        <f>G97+'1'!H97</f>
        <v>22</v>
      </c>
      <c r="I97" s="480"/>
      <c r="J97" s="552">
        <f>H97/DAY(B2)</f>
        <v>11</v>
      </c>
      <c r="K97" s="427"/>
      <c r="L97" s="377"/>
      <c r="O97" s="382"/>
    </row>
    <row r="98" spans="1:15" ht="27.75">
      <c r="A98" s="1305" t="s">
        <v>210</v>
      </c>
      <c r="B98" s="1306"/>
      <c r="C98" s="1306"/>
      <c r="D98" s="523" t="s">
        <v>143</v>
      </c>
      <c r="E98" s="455">
        <f>'1'!F98</f>
        <v>97965</v>
      </c>
      <c r="F98" s="478">
        <v>97975</v>
      </c>
      <c r="G98" s="473">
        <f t="shared" si="8"/>
        <v>10</v>
      </c>
      <c r="H98" s="460">
        <f>G98+'1'!H98</f>
        <v>25</v>
      </c>
      <c r="I98" s="480"/>
      <c r="J98" s="552">
        <f>H98/DAY(B2)</f>
        <v>12.5</v>
      </c>
      <c r="K98" s="432"/>
      <c r="L98" s="377"/>
      <c r="O98" s="382"/>
    </row>
    <row r="99" spans="1:15" ht="27.75">
      <c r="A99" s="1305" t="s">
        <v>211</v>
      </c>
      <c r="B99" s="1306"/>
      <c r="C99" s="1306"/>
      <c r="D99" s="523" t="s">
        <v>143</v>
      </c>
      <c r="E99" s="455">
        <f>'1'!F99</f>
        <v>149859</v>
      </c>
      <c r="F99" s="478">
        <v>149863</v>
      </c>
      <c r="G99" s="473">
        <f t="shared" si="8"/>
        <v>4</v>
      </c>
      <c r="H99" s="460">
        <f>G99+'1'!H99</f>
        <v>11</v>
      </c>
      <c r="I99" s="480"/>
      <c r="J99" s="552">
        <f>H99/DAY(B2)</f>
        <v>5.5</v>
      </c>
      <c r="K99" s="380"/>
      <c r="L99" s="377"/>
      <c r="O99" s="382"/>
    </row>
    <row r="100" spans="1:15" ht="27.75">
      <c r="A100" s="1305" t="s">
        <v>212</v>
      </c>
      <c r="B100" s="1306"/>
      <c r="C100" s="1306"/>
      <c r="D100" s="523" t="s">
        <v>143</v>
      </c>
      <c r="E100" s="455">
        <f>'1'!F100</f>
        <v>7378</v>
      </c>
      <c r="F100" s="478">
        <v>7410</v>
      </c>
      <c r="G100" s="473">
        <f t="shared" si="8"/>
        <v>32</v>
      </c>
      <c r="H100" s="460">
        <f>G100+'1'!H100</f>
        <v>41</v>
      </c>
      <c r="I100" s="480"/>
      <c r="J100" s="552">
        <f>H100/DAY(B2)</f>
        <v>20.5</v>
      </c>
      <c r="K100" s="380"/>
      <c r="L100" s="377"/>
      <c r="O100" s="382"/>
    </row>
    <row r="101" spans="1:15" ht="27.75">
      <c r="A101" s="1305" t="s">
        <v>213</v>
      </c>
      <c r="B101" s="1306"/>
      <c r="C101" s="1306"/>
      <c r="D101" s="523" t="s">
        <v>143</v>
      </c>
      <c r="E101" s="455">
        <f>'1'!F101</f>
        <v>5395</v>
      </c>
      <c r="F101" s="478">
        <v>5399</v>
      </c>
      <c r="G101" s="473">
        <f t="shared" si="8"/>
        <v>4</v>
      </c>
      <c r="H101" s="460">
        <f>G101+'1'!H101</f>
        <v>8</v>
      </c>
      <c r="I101" s="480"/>
      <c r="J101" s="552">
        <f>H101/DAY(B2)</f>
        <v>4</v>
      </c>
      <c r="K101" s="380"/>
      <c r="L101" s="377"/>
      <c r="O101" s="382"/>
    </row>
    <row r="102" spans="1:15">
      <c r="A102" s="1531" t="s">
        <v>215</v>
      </c>
      <c r="B102" s="1532"/>
      <c r="C102" s="1533"/>
      <c r="D102" s="524"/>
      <c r="E102" s="524"/>
      <c r="F102" s="524"/>
      <c r="G102" s="525">
        <f>SUM(G96:G101)</f>
        <v>95</v>
      </c>
      <c r="H102" s="460">
        <f>G102+'1'!H102</f>
        <v>183</v>
      </c>
      <c r="I102" s="526"/>
      <c r="J102" s="552">
        <f>H102/DAY(B2)</f>
        <v>91.5</v>
      </c>
      <c r="K102" s="380"/>
      <c r="L102" s="377"/>
      <c r="O102" s="382"/>
    </row>
    <row r="103" spans="1:15" s="442" customFormat="1" ht="27">
      <c r="A103" s="607" t="s">
        <v>216</v>
      </c>
      <c r="B103" s="608"/>
      <c r="C103" s="608"/>
      <c r="D103" s="621"/>
      <c r="E103" s="528"/>
      <c r="F103" s="658"/>
      <c r="G103" s="529"/>
      <c r="H103" s="530"/>
      <c r="I103" s="531"/>
      <c r="J103" s="557"/>
      <c r="O103" s="382"/>
    </row>
    <row r="104" spans="1:15" s="442" customFormat="1" ht="27.75">
      <c r="A104" s="1540" t="s">
        <v>217</v>
      </c>
      <c r="B104" s="1541"/>
      <c r="C104" s="573"/>
      <c r="D104" s="622"/>
      <c r="E104" s="532"/>
      <c r="F104" s="659"/>
      <c r="G104" s="532"/>
      <c r="H104" s="533"/>
      <c r="I104" s="532"/>
      <c r="J104" s="558"/>
      <c r="O104" s="382"/>
    </row>
    <row r="105" spans="1:15" s="442" customFormat="1" ht="27.75">
      <c r="A105" s="1542" t="s">
        <v>218</v>
      </c>
      <c r="B105" s="1543"/>
      <c r="C105" s="1303"/>
      <c r="D105" s="622" t="s">
        <v>143</v>
      </c>
      <c r="E105" s="455">
        <f>'1'!F105</f>
        <v>7484</v>
      </c>
      <c r="F105" s="659">
        <v>7484</v>
      </c>
      <c r="G105" s="532">
        <f>F105-E105</f>
        <v>0</v>
      </c>
      <c r="H105" s="460">
        <f>G105+'1'!H105</f>
        <v>0</v>
      </c>
      <c r="I105" s="532"/>
      <c r="J105" s="558">
        <f>H105/DAY(B2)</f>
        <v>0</v>
      </c>
      <c r="O105" s="382"/>
    </row>
    <row r="106" spans="1:15" s="442" customFormat="1" ht="27.75">
      <c r="A106" s="1542" t="s">
        <v>76</v>
      </c>
      <c r="B106" s="1543"/>
      <c r="C106" s="1303"/>
      <c r="D106" s="622" t="s">
        <v>143</v>
      </c>
      <c r="E106" s="455">
        <f>'1'!F106</f>
        <v>35953</v>
      </c>
      <c r="F106" s="660">
        <v>35953</v>
      </c>
      <c r="G106" s="532">
        <f t="shared" ref="G106:G107" si="9">F106-E106</f>
        <v>0</v>
      </c>
      <c r="H106" s="460">
        <f>G106+'1'!H106</f>
        <v>0</v>
      </c>
      <c r="I106" s="532"/>
      <c r="J106" s="558">
        <f>H106/DAY(B2)</f>
        <v>0</v>
      </c>
      <c r="O106" s="382"/>
    </row>
    <row r="107" spans="1:15" s="442" customFormat="1" ht="27.75">
      <c r="A107" s="1542" t="s">
        <v>77</v>
      </c>
      <c r="B107" s="1544"/>
      <c r="C107" s="1543"/>
      <c r="D107" s="622" t="s">
        <v>143</v>
      </c>
      <c r="E107" s="455">
        <f>'1'!F107</f>
        <v>19708</v>
      </c>
      <c r="F107" s="659">
        <v>19711</v>
      </c>
      <c r="G107" s="532">
        <f t="shared" si="9"/>
        <v>3</v>
      </c>
      <c r="H107" s="460">
        <f>G107+'1'!H107</f>
        <v>3</v>
      </c>
      <c r="I107" s="532"/>
      <c r="J107" s="558">
        <f>H107/DAY(B2)</f>
        <v>1.5</v>
      </c>
      <c r="O107" s="382"/>
    </row>
    <row r="108" spans="1:15" s="442" customFormat="1" ht="27.75">
      <c r="A108" s="1545" t="s">
        <v>201</v>
      </c>
      <c r="B108" s="1546"/>
      <c r="C108" s="1303"/>
      <c r="D108" s="622"/>
      <c r="E108" s="532"/>
      <c r="F108" s="659"/>
      <c r="G108" s="532">
        <f>SUM(G105:G107)</f>
        <v>3</v>
      </c>
      <c r="H108" s="460">
        <f>G108+'1'!H108</f>
        <v>3</v>
      </c>
      <c r="I108" s="532"/>
      <c r="J108" s="558">
        <f>H108/DAY(B2)</f>
        <v>1.5</v>
      </c>
      <c r="O108" s="382"/>
    </row>
    <row r="109" spans="1:15" s="442" customFormat="1" ht="27.75">
      <c r="A109" s="1547" t="s">
        <v>78</v>
      </c>
      <c r="B109" s="1548"/>
      <c r="C109" s="1303"/>
      <c r="D109" s="622" t="s">
        <v>143</v>
      </c>
      <c r="E109" s="532"/>
      <c r="F109" s="659"/>
      <c r="G109" s="532"/>
      <c r="H109" s="460">
        <f>G109+'1'!H109</f>
        <v>0</v>
      </c>
      <c r="I109" s="532"/>
      <c r="J109" s="558"/>
      <c r="O109" s="382"/>
    </row>
    <row r="110" spans="1:15" s="442" customFormat="1" ht="27.75">
      <c r="A110" s="1542" t="s">
        <v>219</v>
      </c>
      <c r="B110" s="1543"/>
      <c r="C110" s="1303"/>
      <c r="D110" s="622" t="s">
        <v>143</v>
      </c>
      <c r="E110" s="455">
        <f>'1'!F110</f>
        <v>62897</v>
      </c>
      <c r="F110" s="659">
        <v>62939</v>
      </c>
      <c r="G110" s="532">
        <f>F110-E110</f>
        <v>42</v>
      </c>
      <c r="H110" s="460">
        <f>G110+'1'!H110</f>
        <v>105</v>
      </c>
      <c r="I110" s="532"/>
      <c r="J110" s="558">
        <f>H110/DAY(B2)</f>
        <v>52.5</v>
      </c>
      <c r="O110" s="382"/>
    </row>
    <row r="111" spans="1:15" s="442" customFormat="1" ht="27.75">
      <c r="A111" s="1542" t="s">
        <v>220</v>
      </c>
      <c r="B111" s="1543"/>
      <c r="C111" s="1303"/>
      <c r="D111" s="622" t="s">
        <v>143</v>
      </c>
      <c r="E111" s="455">
        <f>'1'!F111</f>
        <v>32578</v>
      </c>
      <c r="F111" s="659">
        <v>32578</v>
      </c>
      <c r="G111" s="532">
        <f t="shared" ref="G111:G112" si="10">F111-E111</f>
        <v>0</v>
      </c>
      <c r="H111" s="460">
        <f>G111+'1'!H111</f>
        <v>0</v>
      </c>
      <c r="I111" s="532"/>
      <c r="J111" s="558">
        <f>H111/DAY(B2)</f>
        <v>0</v>
      </c>
      <c r="O111" s="382"/>
    </row>
    <row r="112" spans="1:15" s="442" customFormat="1" ht="27.75">
      <c r="A112" s="1542" t="s">
        <v>221</v>
      </c>
      <c r="B112" s="1543"/>
      <c r="C112" s="1303"/>
      <c r="D112" s="622" t="s">
        <v>143</v>
      </c>
      <c r="E112" s="455">
        <f>'1'!F112</f>
        <v>4592</v>
      </c>
      <c r="F112" s="659">
        <v>4592</v>
      </c>
      <c r="G112" s="532">
        <f t="shared" si="10"/>
        <v>0</v>
      </c>
      <c r="H112" s="460">
        <f>G112+'1'!H112</f>
        <v>16</v>
      </c>
      <c r="I112" s="532"/>
      <c r="J112" s="558">
        <f>H112/DAY(B2)</f>
        <v>8</v>
      </c>
      <c r="O112" s="382"/>
    </row>
    <row r="113" spans="1:15" s="442" customFormat="1" ht="27.75">
      <c r="A113" s="1574" t="s">
        <v>109</v>
      </c>
      <c r="B113" s="1575"/>
      <c r="C113" s="1303"/>
      <c r="D113" s="622"/>
      <c r="E113" s="532"/>
      <c r="F113" s="659"/>
      <c r="G113" s="532">
        <f>SUM(G110:G112)</f>
        <v>42</v>
      </c>
      <c r="H113" s="460">
        <f>G113+'1'!H113</f>
        <v>121</v>
      </c>
      <c r="I113" s="532"/>
      <c r="J113" s="558">
        <f>H113/DAY(B2)</f>
        <v>60.5</v>
      </c>
      <c r="O113" s="382"/>
    </row>
    <row r="114" spans="1:15" s="442" customFormat="1" ht="27.75">
      <c r="A114" s="1547" t="s">
        <v>222</v>
      </c>
      <c r="B114" s="1548"/>
      <c r="C114" s="1303"/>
      <c r="D114" s="622"/>
      <c r="E114" s="532"/>
      <c r="F114" s="659"/>
      <c r="G114" s="532"/>
      <c r="H114" s="460">
        <f>G114+'1'!H114</f>
        <v>0</v>
      </c>
      <c r="I114" s="532"/>
      <c r="J114" s="558">
        <f>H114/DAY(B2)</f>
        <v>0</v>
      </c>
      <c r="O114" s="382"/>
    </row>
    <row r="115" spans="1:15" s="442" customFormat="1" ht="27.75">
      <c r="A115" s="1542" t="s">
        <v>223</v>
      </c>
      <c r="B115" s="1543"/>
      <c r="C115" s="574"/>
      <c r="D115" s="622" t="s">
        <v>143</v>
      </c>
      <c r="E115" s="455">
        <f>'1'!F115</f>
        <v>11509</v>
      </c>
      <c r="F115" s="660">
        <v>11546</v>
      </c>
      <c r="G115" s="534">
        <f>F115-E115</f>
        <v>37</v>
      </c>
      <c r="H115" s="460">
        <f>G115+'1'!H115</f>
        <v>49</v>
      </c>
      <c r="I115" s="532"/>
      <c r="J115" s="558">
        <f>H115/DAY(B2)</f>
        <v>24.5</v>
      </c>
      <c r="O115" s="382"/>
    </row>
    <row r="116" spans="1:15" s="442" customFormat="1" ht="27.75">
      <c r="A116" s="1542" t="s">
        <v>224</v>
      </c>
      <c r="B116" s="1543"/>
      <c r="C116" s="574"/>
      <c r="D116" s="622" t="s">
        <v>143</v>
      </c>
      <c r="E116" s="455">
        <f>'1'!F116</f>
        <v>8317</v>
      </c>
      <c r="F116" s="660">
        <v>8320</v>
      </c>
      <c r="G116" s="534">
        <f t="shared" ref="G116:G117" si="11">F116-E116</f>
        <v>3</v>
      </c>
      <c r="H116" s="460">
        <f>G116+'1'!H116</f>
        <v>8</v>
      </c>
      <c r="I116" s="532"/>
      <c r="J116" s="558">
        <f>H116/DAY(B2)</f>
        <v>4</v>
      </c>
      <c r="O116" s="382"/>
    </row>
    <row r="117" spans="1:15" s="442" customFormat="1" ht="27.75">
      <c r="A117" s="1542" t="s">
        <v>225</v>
      </c>
      <c r="B117" s="1543"/>
      <c r="C117" s="574"/>
      <c r="D117" s="622" t="s">
        <v>143</v>
      </c>
      <c r="E117" s="534"/>
      <c r="F117" s="660"/>
      <c r="G117" s="534">
        <f t="shared" si="11"/>
        <v>0</v>
      </c>
      <c r="H117" s="460">
        <f>G117+'1'!H117</f>
        <v>0</v>
      </c>
      <c r="I117" s="532"/>
      <c r="J117" s="558">
        <f>H117/DAY(B2)</f>
        <v>0</v>
      </c>
      <c r="O117" s="382"/>
    </row>
    <row r="118" spans="1:15" s="445" customFormat="1" ht="27.75">
      <c r="A118" s="1545" t="s">
        <v>201</v>
      </c>
      <c r="B118" s="1546"/>
      <c r="C118" s="574"/>
      <c r="D118" s="623"/>
      <c r="E118" s="534"/>
      <c r="F118" s="660"/>
      <c r="G118" s="534">
        <f>SUM(G115:G117)</f>
        <v>40</v>
      </c>
      <c r="H118" s="460">
        <f>G118+'1'!H118</f>
        <v>57</v>
      </c>
      <c r="I118" s="534"/>
      <c r="J118" s="558">
        <f>H118/DAY(B2)</f>
        <v>28.5</v>
      </c>
      <c r="O118" s="382"/>
    </row>
    <row r="119" spans="1:15" s="446" customFormat="1" ht="27.75">
      <c r="A119" s="1576" t="s">
        <v>226</v>
      </c>
      <c r="B119" s="1577"/>
      <c r="C119" s="1302"/>
      <c r="D119" s="624" t="s">
        <v>143</v>
      </c>
      <c r="E119" s="536"/>
      <c r="F119" s="661">
        <f>SUM(G19+G93)</f>
        <v>94</v>
      </c>
      <c r="G119" s="536">
        <f>SUM(G19+G93)</f>
        <v>94</v>
      </c>
      <c r="H119" s="460">
        <f>G119+'1'!H119</f>
        <v>172</v>
      </c>
      <c r="I119" s="535"/>
      <c r="J119" s="559">
        <f>H119/DAY(B2)</f>
        <v>86</v>
      </c>
      <c r="O119" s="382"/>
    </row>
    <row r="120" spans="1:15" s="446" customFormat="1" ht="27.75">
      <c r="A120" s="1576" t="s">
        <v>227</v>
      </c>
      <c r="B120" s="1577"/>
      <c r="C120" s="1302"/>
      <c r="D120" s="624" t="s">
        <v>143</v>
      </c>
      <c r="E120" s="536"/>
      <c r="F120" s="661">
        <f>SUM(G96,G97,G98,G100,G101)</f>
        <v>91</v>
      </c>
      <c r="G120" s="536">
        <f>SUM(G96,G97,G98,G100,G101)</f>
        <v>91</v>
      </c>
      <c r="H120" s="460">
        <f>G120+'1'!H120</f>
        <v>172</v>
      </c>
      <c r="I120" s="535"/>
      <c r="J120" s="559">
        <f>H120/DAY(B2)</f>
        <v>86</v>
      </c>
      <c r="O120" s="382"/>
    </row>
    <row r="121" spans="1:15" s="446" customFormat="1" ht="27.75">
      <c r="A121" s="1576" t="s">
        <v>228</v>
      </c>
      <c r="B121" s="1577"/>
      <c r="C121" s="1302"/>
      <c r="D121" s="624" t="s">
        <v>143</v>
      </c>
      <c r="E121" s="534"/>
      <c r="F121" s="660">
        <f>SUM(G113)</f>
        <v>42</v>
      </c>
      <c r="G121" s="534">
        <f>SUM(G113)</f>
        <v>42</v>
      </c>
      <c r="H121" s="460">
        <f>G121+'1'!H121</f>
        <v>121</v>
      </c>
      <c r="I121" s="535"/>
      <c r="J121" s="559">
        <f>H121/DAY(B2)</f>
        <v>60.5</v>
      </c>
      <c r="O121" s="382"/>
    </row>
    <row r="122" spans="1:15" s="442" customFormat="1" ht="27.75">
      <c r="A122" s="1578"/>
      <c r="B122" s="1579"/>
      <c r="C122" s="1303"/>
      <c r="D122" s="560"/>
      <c r="E122" s="560"/>
      <c r="F122" s="662" t="s">
        <v>214</v>
      </c>
      <c r="G122" s="560"/>
      <c r="H122" s="561"/>
      <c r="I122" s="560"/>
      <c r="J122" s="562"/>
      <c r="O122" s="382"/>
    </row>
    <row r="123" spans="1:15">
      <c r="A123" s="1528" t="s">
        <v>229</v>
      </c>
      <c r="B123" s="1529"/>
      <c r="C123" s="1530"/>
      <c r="D123" s="472"/>
      <c r="E123" s="472"/>
      <c r="F123" s="472"/>
      <c r="G123" s="483"/>
      <c r="H123" s="483"/>
      <c r="I123" s="483"/>
      <c r="J123" s="563"/>
      <c r="K123" s="380"/>
      <c r="L123" s="377"/>
      <c r="O123" s="382"/>
    </row>
    <row r="124" spans="1:15" ht="27.75">
      <c r="A124" s="1305" t="s">
        <v>230</v>
      </c>
      <c r="B124" s="1306"/>
      <c r="C124" s="1306"/>
      <c r="D124" s="523" t="s">
        <v>140</v>
      </c>
      <c r="E124" s="455">
        <f>'1'!F124</f>
        <v>832541</v>
      </c>
      <c r="F124" s="478">
        <v>832711.85</v>
      </c>
      <c r="G124" s="473">
        <f t="shared" ref="G124:G128" si="12">F124-E124</f>
        <v>170.84999999997672</v>
      </c>
      <c r="H124" s="460">
        <f>G124+'1'!H124</f>
        <v>345.84999999997672</v>
      </c>
      <c r="I124" s="526"/>
      <c r="J124" s="552">
        <f>H124/DAY(B2)</f>
        <v>172.92499999998836</v>
      </c>
      <c r="K124" s="380"/>
      <c r="L124" s="377"/>
      <c r="O124" s="382"/>
    </row>
    <row r="125" spans="1:15" ht="27.75">
      <c r="A125" s="1305" t="s">
        <v>231</v>
      </c>
      <c r="B125" s="1306"/>
      <c r="C125" s="1306"/>
      <c r="D125" s="523" t="s">
        <v>140</v>
      </c>
      <c r="E125" s="455">
        <f>'1'!F125</f>
        <v>73583.399999999994</v>
      </c>
      <c r="F125" s="626">
        <v>73583.399999999994</v>
      </c>
      <c r="G125" s="473">
        <f t="shared" si="12"/>
        <v>0</v>
      </c>
      <c r="H125" s="460">
        <f>G125+'1'!H125</f>
        <v>0</v>
      </c>
      <c r="I125" s="526"/>
      <c r="J125" s="552">
        <f>H125/DAY(B2)</f>
        <v>0</v>
      </c>
      <c r="K125" s="380"/>
      <c r="L125" s="377"/>
      <c r="O125" s="382"/>
    </row>
    <row r="126" spans="1:15" ht="27.75">
      <c r="A126" s="1534" t="s">
        <v>232</v>
      </c>
      <c r="B126" s="1535"/>
      <c r="C126" s="1536"/>
      <c r="D126" s="523" t="s">
        <v>140</v>
      </c>
      <c r="E126" s="455">
        <f>'1'!F126</f>
        <v>146543</v>
      </c>
      <c r="F126" s="478">
        <v>146606.32999999999</v>
      </c>
      <c r="G126" s="473">
        <f t="shared" si="12"/>
        <v>63.329999999987194</v>
      </c>
      <c r="H126" s="460">
        <f>G126+'1'!H126</f>
        <v>115.32999999998719</v>
      </c>
      <c r="I126" s="526"/>
      <c r="J126" s="552">
        <f>H126/DAY(B2)</f>
        <v>57.664999999993597</v>
      </c>
      <c r="K126" s="380"/>
      <c r="L126" s="377"/>
      <c r="O126" s="382"/>
    </row>
    <row r="127" spans="1:15" ht="27.75">
      <c r="A127" s="609" t="s">
        <v>233</v>
      </c>
      <c r="B127" s="1306"/>
      <c r="C127" s="1306"/>
      <c r="D127" s="523" t="s">
        <v>140</v>
      </c>
      <c r="E127" s="455">
        <f>'1'!F127</f>
        <v>31406</v>
      </c>
      <c r="F127" s="626">
        <v>31406.2</v>
      </c>
      <c r="G127" s="473">
        <f t="shared" si="12"/>
        <v>0.2000000000007276</v>
      </c>
      <c r="H127" s="460">
        <f>G127+'1'!H127</f>
        <v>0.2000000000007276</v>
      </c>
      <c r="I127" s="526"/>
      <c r="J127" s="552">
        <f>H127/DAY(B2)</f>
        <v>0.1000000000003638</v>
      </c>
      <c r="K127" s="380"/>
      <c r="L127" s="377"/>
      <c r="O127" s="382"/>
    </row>
    <row r="128" spans="1:15" ht="27.75">
      <c r="A128" s="609" t="s">
        <v>234</v>
      </c>
      <c r="B128" s="1306"/>
      <c r="C128" s="1306"/>
      <c r="D128" s="523" t="s">
        <v>140</v>
      </c>
      <c r="E128" s="455">
        <f>'1'!F128</f>
        <v>8972</v>
      </c>
      <c r="F128" s="626">
        <v>8971.7000000000007</v>
      </c>
      <c r="G128" s="473">
        <f t="shared" si="12"/>
        <v>-0.2999999999992724</v>
      </c>
      <c r="H128" s="460">
        <f>G128+'1'!H128</f>
        <v>-0.2999999999992724</v>
      </c>
      <c r="I128" s="480"/>
      <c r="J128" s="552">
        <f>H128/DAY(B2)</f>
        <v>-0.1499999999996362</v>
      </c>
      <c r="K128" s="380"/>
      <c r="L128" s="377"/>
      <c r="O128" s="382"/>
    </row>
    <row r="129" spans="1:15" s="281" customFormat="1" ht="27.75">
      <c r="A129" s="609" t="s">
        <v>235</v>
      </c>
      <c r="B129" s="1306"/>
      <c r="C129" s="1306"/>
      <c r="D129" s="523"/>
      <c r="E129" s="478"/>
      <c r="F129" s="478"/>
      <c r="G129" s="473">
        <f>G15-SUM(G124:G128)</f>
        <v>202.61999999998807</v>
      </c>
      <c r="H129" s="460">
        <f>G129+'1'!H129</f>
        <v>242.61999999998807</v>
      </c>
      <c r="I129" s="480"/>
      <c r="J129" s="552">
        <f>H129/DAY(B2)</f>
        <v>121.30999999999403</v>
      </c>
      <c r="K129" s="364"/>
      <c r="L129" s="292"/>
      <c r="O129" s="382"/>
    </row>
    <row r="130" spans="1:15">
      <c r="A130" s="610" t="s">
        <v>236</v>
      </c>
      <c r="B130" s="458"/>
      <c r="C130" s="458"/>
      <c r="D130" s="471"/>
      <c r="E130" s="471"/>
      <c r="F130" s="471"/>
      <c r="G130" s="540"/>
      <c r="H130" s="540"/>
      <c r="I130" s="540"/>
      <c r="J130" s="564"/>
      <c r="O130" s="382"/>
    </row>
    <row r="131" spans="1:15" ht="27.75">
      <c r="A131" s="1305" t="s">
        <v>237</v>
      </c>
      <c r="B131" s="1306"/>
      <c r="C131" s="1306"/>
      <c r="D131" s="523" t="s">
        <v>238</v>
      </c>
      <c r="E131" s="455">
        <f>'1'!F131</f>
        <v>0</v>
      </c>
      <c r="F131" s="478">
        <v>0</v>
      </c>
      <c r="G131" s="473">
        <f t="shared" ref="G131:G141" si="13">F131-E131</f>
        <v>0</v>
      </c>
      <c r="H131" s="460">
        <f>G131+'1'!H131</f>
        <v>0</v>
      </c>
      <c r="I131" s="480"/>
      <c r="J131" s="552">
        <f>H131/DAY(B2)</f>
        <v>0</v>
      </c>
      <c r="O131" s="382"/>
    </row>
    <row r="132" spans="1:15" ht="27.75">
      <c r="A132" s="1305" t="s">
        <v>239</v>
      </c>
      <c r="B132" s="1306"/>
      <c r="C132" s="1306"/>
      <c r="D132" s="523" t="s">
        <v>238</v>
      </c>
      <c r="E132" s="455">
        <f>'1'!F132</f>
        <v>0</v>
      </c>
      <c r="F132" s="478">
        <v>0</v>
      </c>
      <c r="G132" s="473">
        <f t="shared" si="13"/>
        <v>0</v>
      </c>
      <c r="H132" s="460">
        <f>G132+'1'!H132</f>
        <v>0</v>
      </c>
      <c r="I132" s="480"/>
      <c r="J132" s="552">
        <f>H132/DAY(B2)</f>
        <v>0</v>
      </c>
      <c r="O132" s="382"/>
    </row>
    <row r="133" spans="1:15" ht="27.75">
      <c r="A133" s="1305" t="s">
        <v>240</v>
      </c>
      <c r="B133" s="1306"/>
      <c r="C133" s="1306"/>
      <c r="D133" s="523" t="s">
        <v>238</v>
      </c>
      <c r="E133" s="455">
        <f>'1'!F133</f>
        <v>40059</v>
      </c>
      <c r="F133" s="652">
        <v>40059</v>
      </c>
      <c r="G133" s="473">
        <f t="shared" si="13"/>
        <v>0</v>
      </c>
      <c r="H133" s="460">
        <f>G133+'1'!H133</f>
        <v>0</v>
      </c>
      <c r="I133" s="480"/>
      <c r="J133" s="552">
        <f>H133/DAY(B2)</f>
        <v>0</v>
      </c>
      <c r="O133" s="382"/>
    </row>
    <row r="134" spans="1:15" ht="27.75">
      <c r="A134" s="1305" t="s">
        <v>241</v>
      </c>
      <c r="B134" s="1306"/>
      <c r="C134" s="1306"/>
      <c r="D134" s="523" t="s">
        <v>238</v>
      </c>
      <c r="E134" s="455">
        <f>'1'!F134</f>
        <v>300</v>
      </c>
      <c r="F134" s="652">
        <v>300</v>
      </c>
      <c r="G134" s="473">
        <f t="shared" si="13"/>
        <v>0</v>
      </c>
      <c r="H134" s="460">
        <f>G134+'1'!H134</f>
        <v>0</v>
      </c>
      <c r="I134" s="480">
        <f>G133+G134+G135+G136</f>
        <v>24</v>
      </c>
      <c r="J134" s="552">
        <f>H134/DAY(B2)</f>
        <v>0</v>
      </c>
      <c r="O134" s="382"/>
    </row>
    <row r="135" spans="1:15" ht="27.75">
      <c r="A135" s="1305" t="s">
        <v>242</v>
      </c>
      <c r="B135" s="1306"/>
      <c r="C135" s="1306"/>
      <c r="D135" s="523" t="s">
        <v>238</v>
      </c>
      <c r="E135" s="455">
        <f>'1'!F135</f>
        <v>41730</v>
      </c>
      <c r="F135" s="652">
        <v>41730</v>
      </c>
      <c r="G135" s="473">
        <f t="shared" si="13"/>
        <v>0</v>
      </c>
      <c r="H135" s="460">
        <f>G135+'1'!H135</f>
        <v>0</v>
      </c>
      <c r="I135" s="480"/>
      <c r="J135" s="552">
        <f>H135/DAY(B2)</f>
        <v>0</v>
      </c>
      <c r="O135" s="382"/>
    </row>
    <row r="136" spans="1:15" ht="27.75">
      <c r="A136" s="1305" t="s">
        <v>243</v>
      </c>
      <c r="B136" s="1306"/>
      <c r="C136" s="1306"/>
      <c r="D136" s="523" t="s">
        <v>238</v>
      </c>
      <c r="E136" s="455">
        <f>'1'!F136</f>
        <v>32739</v>
      </c>
      <c r="F136" s="652">
        <v>32763</v>
      </c>
      <c r="G136" s="473">
        <f t="shared" si="13"/>
        <v>24</v>
      </c>
      <c r="H136" s="460">
        <f>G136+'1'!H136</f>
        <v>48</v>
      </c>
      <c r="I136" s="480"/>
      <c r="J136" s="552">
        <f>H136/DAY(B2)</f>
        <v>24</v>
      </c>
      <c r="O136" s="382"/>
    </row>
    <row r="137" spans="1:15" ht="27.75">
      <c r="A137" s="1305" t="s">
        <v>244</v>
      </c>
      <c r="B137" s="1306"/>
      <c r="C137" s="1306"/>
      <c r="D137" s="523" t="s">
        <v>238</v>
      </c>
      <c r="E137" s="455">
        <f>'1'!F137</f>
        <v>22807.24</v>
      </c>
      <c r="F137" s="652">
        <v>22807.279999999999</v>
      </c>
      <c r="G137" s="473">
        <f t="shared" si="13"/>
        <v>3.9999999997235136E-2</v>
      </c>
      <c r="H137" s="460">
        <f>G137+'1'!H137</f>
        <v>3.9999999997235136E-2</v>
      </c>
      <c r="I137" s="480"/>
      <c r="J137" s="552">
        <f>H137/DAY(B2)</f>
        <v>1.9999999998617568E-2</v>
      </c>
      <c r="O137" s="382"/>
    </row>
    <row r="138" spans="1:15" ht="27.75">
      <c r="A138" s="1305" t="s">
        <v>245</v>
      </c>
      <c r="B138" s="1306"/>
      <c r="C138" s="1306"/>
      <c r="D138" s="523" t="s">
        <v>238</v>
      </c>
      <c r="E138" s="455">
        <f>'1'!F138</f>
        <v>25051.82</v>
      </c>
      <c r="F138" s="652">
        <v>25051.82</v>
      </c>
      <c r="G138" s="473">
        <f t="shared" si="13"/>
        <v>0</v>
      </c>
      <c r="H138" s="460">
        <f>G138+'1'!H138</f>
        <v>0</v>
      </c>
      <c r="I138" s="480"/>
      <c r="J138" s="552">
        <f>H138/DAY(B2)</f>
        <v>0</v>
      </c>
      <c r="O138" s="382"/>
    </row>
    <row r="139" spans="1:15" ht="27.75">
      <c r="A139" s="1305" t="s">
        <v>246</v>
      </c>
      <c r="B139" s="1306"/>
      <c r="C139" s="1306"/>
      <c r="D139" s="523" t="s">
        <v>238</v>
      </c>
      <c r="E139" s="455">
        <f>'1'!F139</f>
        <v>70411.740000000005</v>
      </c>
      <c r="F139" s="652">
        <v>70421.89</v>
      </c>
      <c r="G139" s="473">
        <f t="shared" si="13"/>
        <v>10.149999999994179</v>
      </c>
      <c r="H139" s="460">
        <f>G139+'1'!H139</f>
        <v>10.149999999994179</v>
      </c>
      <c r="I139" s="480">
        <f>G137+G138+G139</f>
        <v>10.189999999991414</v>
      </c>
      <c r="J139" s="552">
        <f>H139/DAY(B2)</f>
        <v>5.0749999999970896</v>
      </c>
      <c r="O139" s="382"/>
    </row>
    <row r="140" spans="1:15" ht="27.75">
      <c r="A140" s="1305" t="s">
        <v>247</v>
      </c>
      <c r="B140" s="1306"/>
      <c r="C140" s="1306"/>
      <c r="D140" s="523" t="s">
        <v>238</v>
      </c>
      <c r="E140" s="455">
        <f>'1'!F140</f>
        <v>1861.12</v>
      </c>
      <c r="F140" s="478">
        <v>1867.67</v>
      </c>
      <c r="G140" s="473">
        <f t="shared" si="13"/>
        <v>6.5500000000001819</v>
      </c>
      <c r="H140" s="460">
        <f>G140+'1'!H140</f>
        <v>13.370000000000118</v>
      </c>
      <c r="I140" s="542"/>
      <c r="J140" s="552">
        <f>H140/DAY(B2)</f>
        <v>6.6850000000000591</v>
      </c>
      <c r="O140" s="382"/>
    </row>
    <row r="141" spans="1:15" ht="27.75">
      <c r="A141" s="1305" t="s">
        <v>248</v>
      </c>
      <c r="B141" s="1306"/>
      <c r="C141" s="1306"/>
      <c r="D141" s="523" t="s">
        <v>238</v>
      </c>
      <c r="E141" s="455">
        <f>'1'!F141</f>
        <v>4637</v>
      </c>
      <c r="F141" s="478">
        <v>4636.97</v>
      </c>
      <c r="G141" s="473">
        <f t="shared" si="13"/>
        <v>-2.9999999999745341E-2</v>
      </c>
      <c r="H141" s="460">
        <f>G141+'1'!H141</f>
        <v>-2.9999999999745341E-2</v>
      </c>
      <c r="I141" s="542">
        <f>G140+G141</f>
        <v>6.5200000000004366</v>
      </c>
      <c r="J141" s="552">
        <f>H141/DAY(B2)</f>
        <v>-1.4999999999872671E-2</v>
      </c>
      <c r="O141" s="382"/>
    </row>
    <row r="142" spans="1:15">
      <c r="A142" s="1572" t="s">
        <v>249</v>
      </c>
      <c r="B142" s="1573"/>
      <c r="C142" s="1311"/>
      <c r="D142" s="472"/>
      <c r="E142" s="472"/>
      <c r="F142" s="472"/>
      <c r="G142" s="483"/>
      <c r="H142" s="483"/>
      <c r="I142" s="483"/>
      <c r="J142" s="563"/>
      <c r="K142" s="380"/>
      <c r="L142" s="377"/>
      <c r="O142" s="382"/>
    </row>
    <row r="143" spans="1:15" ht="27.75">
      <c r="A143" s="1537" t="s">
        <v>250</v>
      </c>
      <c r="B143" s="1538"/>
      <c r="C143" s="1539"/>
      <c r="D143" s="523" t="s">
        <v>131</v>
      </c>
      <c r="E143" s="523"/>
      <c r="F143" s="523"/>
      <c r="G143" s="460">
        <f>G35+G43+G49+G57</f>
        <v>4678.5200000000186</v>
      </c>
      <c r="H143" s="460">
        <f>G143+'1'!H143</f>
        <v>9294.5200000000186</v>
      </c>
      <c r="I143" s="480"/>
      <c r="J143" s="552">
        <f>H143/DAY(B2)</f>
        <v>4647.2600000000093</v>
      </c>
      <c r="K143" s="380"/>
      <c r="L143" s="377"/>
      <c r="O143" s="382"/>
    </row>
    <row r="144" spans="1:15" ht="27.75">
      <c r="A144" s="1537" t="s">
        <v>251</v>
      </c>
      <c r="B144" s="1538"/>
      <c r="C144" s="1539"/>
      <c r="D144" s="523" t="s">
        <v>24</v>
      </c>
      <c r="E144" s="511"/>
      <c r="F144" s="511"/>
      <c r="G144" s="543">
        <f>G143/G7</f>
        <v>0.28273051790498199</v>
      </c>
      <c r="H144" s="460">
        <f>G144+'1'!H144</f>
        <v>0.56144081859330464</v>
      </c>
      <c r="I144" s="544"/>
      <c r="J144" s="552">
        <f>H144/DAY(B2)</f>
        <v>0.28072040929665232</v>
      </c>
      <c r="K144" s="380"/>
      <c r="L144" s="377"/>
      <c r="O144" s="382"/>
    </row>
    <row r="145" spans="1:15" ht="27.75">
      <c r="A145" s="1537" t="s">
        <v>252</v>
      </c>
      <c r="B145" s="1538"/>
      <c r="C145" s="1539"/>
      <c r="D145" s="523" t="s">
        <v>131</v>
      </c>
      <c r="E145" s="455"/>
      <c r="F145" s="455"/>
      <c r="G145" s="460">
        <f>G41+G42+G55+G56</f>
        <v>4924.3699999999371</v>
      </c>
      <c r="H145" s="460">
        <f>G145+'1'!H145</f>
        <v>10230.879999999946</v>
      </c>
      <c r="I145" s="480"/>
      <c r="J145" s="552">
        <f>H145/DAY(B2)</f>
        <v>5115.4399999999732</v>
      </c>
      <c r="K145" s="380"/>
      <c r="L145" s="377"/>
      <c r="O145" s="382"/>
    </row>
    <row r="146" spans="1:15" ht="27.75">
      <c r="A146" s="1537" t="s">
        <v>253</v>
      </c>
      <c r="B146" s="1538"/>
      <c r="C146" s="1539"/>
      <c r="D146" s="523" t="s">
        <v>24</v>
      </c>
      <c r="E146" s="455"/>
      <c r="F146" s="455"/>
      <c r="G146" s="543">
        <f>G145/G7</f>
        <v>0.29758763037365082</v>
      </c>
      <c r="H146" s="460">
        <f>G146+'1'!H146</f>
        <v>0.61799035951264425</v>
      </c>
      <c r="I146" s="544"/>
      <c r="J146" s="552">
        <f>H146/DAY(B2)</f>
        <v>0.30899517975632212</v>
      </c>
      <c r="K146" s="380"/>
      <c r="L146" s="377"/>
      <c r="O146" s="382"/>
    </row>
    <row r="147" spans="1:15" ht="27.75">
      <c r="A147" s="1537" t="s">
        <v>254</v>
      </c>
      <c r="B147" s="1538"/>
      <c r="C147" s="1539"/>
      <c r="D147" s="523" t="s">
        <v>131</v>
      </c>
      <c r="E147" s="455"/>
      <c r="F147" s="455"/>
      <c r="G147" s="460">
        <f>G39+G53</f>
        <v>2516.5599999999977</v>
      </c>
      <c r="H147" s="460">
        <f>G147+'1'!H147</f>
        <v>5062.5599999999977</v>
      </c>
      <c r="I147" s="545"/>
      <c r="J147" s="552">
        <f>H147/DAY(B2)</f>
        <v>2531.2799999999988</v>
      </c>
      <c r="K147" s="380"/>
      <c r="L147" s="377"/>
      <c r="O147" s="382"/>
    </row>
    <row r="148" spans="1:15" ht="27.75">
      <c r="A148" s="1537" t="s">
        <v>255</v>
      </c>
      <c r="B148" s="1538"/>
      <c r="C148" s="1539"/>
      <c r="D148" s="523" t="s">
        <v>24</v>
      </c>
      <c r="E148" s="455"/>
      <c r="F148" s="455"/>
      <c r="G148" s="543">
        <f>G147/G7</f>
        <v>0.15207978423496277</v>
      </c>
      <c r="H148" s="460">
        <f>G148+'1'!H148</f>
        <v>0.3058051797186</v>
      </c>
      <c r="I148" s="545"/>
      <c r="J148" s="552">
        <f>H148/DAY(B2)</f>
        <v>0.1529025898593</v>
      </c>
      <c r="O148" s="382"/>
    </row>
    <row r="149" spans="1:15" ht="27.75">
      <c r="A149" s="1537" t="s">
        <v>256</v>
      </c>
      <c r="B149" s="1538"/>
      <c r="C149" s="1539"/>
      <c r="D149" s="523" t="s">
        <v>182</v>
      </c>
      <c r="E149" s="455"/>
      <c r="F149" s="455"/>
      <c r="G149" s="460">
        <f>G38+G52</f>
        <v>1246.6900000000023</v>
      </c>
      <c r="H149" s="460">
        <f>G149+'1'!H149</f>
        <v>2416.6900000000023</v>
      </c>
      <c r="I149" s="480"/>
      <c r="J149" s="552">
        <f>H149/DAY(B2)</f>
        <v>1208.3450000000012</v>
      </c>
      <c r="K149" s="381"/>
      <c r="O149" s="382"/>
    </row>
    <row r="150" spans="1:15" ht="27.75">
      <c r="A150" s="1537" t="s">
        <v>257</v>
      </c>
      <c r="B150" s="1538"/>
      <c r="C150" s="1539"/>
      <c r="D150" s="523" t="s">
        <v>24</v>
      </c>
      <c r="E150" s="455"/>
      <c r="F150" s="455"/>
      <c r="G150" s="543">
        <f>G149/G7</f>
        <v>7.533948970335945E-2</v>
      </c>
      <c r="H150" s="460">
        <f>G150+'1'!H150</f>
        <v>0.14598313177557296</v>
      </c>
      <c r="I150" s="545"/>
      <c r="J150" s="552">
        <f>H150/DAY(B2)</f>
        <v>7.2991565887786478E-2</v>
      </c>
      <c r="O150" s="382"/>
    </row>
    <row r="151" spans="1:15" ht="27.75">
      <c r="A151" s="1537" t="s">
        <v>258</v>
      </c>
      <c r="B151" s="1538"/>
      <c r="C151" s="1539"/>
      <c r="D151" s="523" t="s">
        <v>182</v>
      </c>
      <c r="E151" s="455"/>
      <c r="F151" s="455"/>
      <c r="G151" s="460">
        <f>G36+G50</f>
        <v>1342.833000000021</v>
      </c>
      <c r="H151" s="460">
        <f>G151+'1'!H151</f>
        <v>2602.833000000021</v>
      </c>
      <c r="I151" s="545"/>
      <c r="J151" s="552">
        <f>H151/DAY(B2)</f>
        <v>1301.4165000000105</v>
      </c>
      <c r="O151" s="382"/>
    </row>
    <row r="152" spans="1:15" ht="27.75">
      <c r="A152" s="1537" t="s">
        <v>259</v>
      </c>
      <c r="B152" s="1538"/>
      <c r="C152" s="1539"/>
      <c r="D152" s="523" t="s">
        <v>24</v>
      </c>
      <c r="E152" s="455"/>
      <c r="F152" s="455"/>
      <c r="G152" s="543">
        <f>G151/G7</f>
        <v>8.114956643338174E-2</v>
      </c>
      <c r="H152" s="460">
        <f>G152+'1'!H152</f>
        <v>0.15722733481884243</v>
      </c>
      <c r="I152" s="480"/>
      <c r="J152" s="552">
        <f>H152/DAY(B2)</f>
        <v>7.8613667409421217E-2</v>
      </c>
      <c r="O152" s="382"/>
    </row>
    <row r="153" spans="1:15" ht="27.75">
      <c r="A153" s="1537" t="s">
        <v>260</v>
      </c>
      <c r="B153" s="1538"/>
      <c r="C153" s="1539"/>
      <c r="D153" s="523" t="s">
        <v>182</v>
      </c>
      <c r="E153" s="455"/>
      <c r="F153" s="455"/>
      <c r="G153" s="460">
        <f>G37+G51</f>
        <v>1249.570000000007</v>
      </c>
      <c r="H153" s="460">
        <f>G153+'1'!H153</f>
        <v>2527.570000000007</v>
      </c>
      <c r="I153" s="480"/>
      <c r="J153" s="552">
        <f>H153/DAY(B2)</f>
        <v>1263.7850000000035</v>
      </c>
      <c r="O153" s="382"/>
    </row>
    <row r="154" spans="1:15" ht="28.5" thickBot="1">
      <c r="A154" s="1569" t="s">
        <v>261</v>
      </c>
      <c r="B154" s="1570"/>
      <c r="C154" s="1571"/>
      <c r="D154" s="625" t="s">
        <v>24</v>
      </c>
      <c r="E154" s="565"/>
      <c r="F154" s="565"/>
      <c r="G154" s="566">
        <f>G153/G7</f>
        <v>7.55135327536334E-2</v>
      </c>
      <c r="H154" s="460">
        <f>G154+'1'!H154</f>
        <v>0.15267812640174355</v>
      </c>
      <c r="I154" s="568"/>
      <c r="J154" s="569">
        <f>H154/DAY(B2)</f>
        <v>7.6339063200871776E-2</v>
      </c>
      <c r="O154" s="382"/>
    </row>
    <row r="155" spans="1:15">
      <c r="A155" s="466"/>
      <c r="B155" s="456"/>
      <c r="C155" s="456"/>
      <c r="D155" s="546"/>
      <c r="E155" s="546"/>
      <c r="F155" s="663"/>
      <c r="G155" s="546"/>
      <c r="H155" s="547"/>
      <c r="I155" s="546"/>
      <c r="J155" s="548"/>
      <c r="O155" s="382"/>
    </row>
    <row r="158" spans="1:15" ht="29.25" customHeight="1">
      <c r="A158" s="1587" t="s">
        <v>266</v>
      </c>
      <c r="B158" s="1588"/>
      <c r="C158" s="1588"/>
      <c r="D158" s="1588"/>
      <c r="E158" s="1588"/>
      <c r="F158" s="1588"/>
      <c r="G158" s="1589"/>
    </row>
    <row r="159" spans="1:15">
      <c r="A159" s="785"/>
      <c r="B159" s="786"/>
      <c r="C159" s="786"/>
      <c r="D159" s="511"/>
      <c r="E159" s="455"/>
      <c r="F159" s="659"/>
      <c r="G159" s="473"/>
    </row>
    <row r="160" spans="1:15">
      <c r="A160" s="785"/>
      <c r="B160" s="786"/>
      <c r="C160" s="786"/>
      <c r="D160" s="511"/>
      <c r="E160" s="455"/>
      <c r="F160" s="659"/>
      <c r="G160" s="473"/>
    </row>
    <row r="161" spans="1:7">
      <c r="A161" s="785" t="s">
        <v>262</v>
      </c>
      <c r="B161" s="786"/>
      <c r="C161" s="786"/>
      <c r="D161" s="511" t="s">
        <v>186</v>
      </c>
      <c r="E161" s="455">
        <f>'1'!F161</f>
        <v>38514</v>
      </c>
      <c r="F161" s="659">
        <v>38595.54</v>
      </c>
      <c r="G161" s="473">
        <f t="shared" ref="G161:G172" si="14">F161-E161</f>
        <v>81.540000000000873</v>
      </c>
    </row>
    <row r="162" spans="1:7">
      <c r="A162" s="785" t="s">
        <v>263</v>
      </c>
      <c r="B162" s="786"/>
      <c r="C162" s="786"/>
      <c r="D162" s="511" t="s">
        <v>186</v>
      </c>
      <c r="E162" s="455">
        <f>'1'!F162</f>
        <v>95181</v>
      </c>
      <c r="F162" s="659">
        <v>95576.09</v>
      </c>
      <c r="G162" s="473">
        <f t="shared" si="14"/>
        <v>395.08999999999651</v>
      </c>
    </row>
    <row r="163" spans="1:7">
      <c r="A163" s="785" t="s">
        <v>264</v>
      </c>
      <c r="B163" s="786"/>
      <c r="C163" s="786"/>
      <c r="D163" s="511" t="s">
        <v>186</v>
      </c>
      <c r="E163" s="455">
        <f>'1'!F163</f>
        <v>45344</v>
      </c>
      <c r="F163" s="659">
        <v>45353.65</v>
      </c>
      <c r="G163" s="473">
        <f t="shared" si="14"/>
        <v>9.6500000000014552</v>
      </c>
    </row>
    <row r="164" spans="1:7">
      <c r="A164" s="785" t="s">
        <v>265</v>
      </c>
      <c r="B164" s="786"/>
      <c r="C164" s="786"/>
      <c r="D164" s="511" t="s">
        <v>186</v>
      </c>
      <c r="E164" s="455">
        <f>'1'!F164</f>
        <v>6566</v>
      </c>
      <c r="F164" s="659">
        <v>6574.4</v>
      </c>
      <c r="G164" s="473">
        <f t="shared" si="14"/>
        <v>8.3999999999996362</v>
      </c>
    </row>
    <row r="165" spans="1:7">
      <c r="A165" s="787" t="s">
        <v>97</v>
      </c>
      <c r="B165" s="604"/>
      <c r="C165" s="604"/>
      <c r="D165" s="511" t="s">
        <v>186</v>
      </c>
      <c r="E165" s="455">
        <f>'1'!F165</f>
        <v>20419</v>
      </c>
      <c r="F165" s="514">
        <f>F62</f>
        <v>20419</v>
      </c>
      <c r="G165" s="473">
        <f t="shared" si="14"/>
        <v>0</v>
      </c>
    </row>
    <row r="166" spans="1:7">
      <c r="A166" s="787" t="s">
        <v>187</v>
      </c>
      <c r="B166" s="604"/>
      <c r="C166" s="604"/>
      <c r="D166" s="511" t="s">
        <v>186</v>
      </c>
      <c r="E166" s="455">
        <v>0</v>
      </c>
      <c r="F166" s="514">
        <f t="shared" ref="F166:F172" si="15">F63</f>
        <v>0</v>
      </c>
      <c r="G166" s="473">
        <f t="shared" si="14"/>
        <v>0</v>
      </c>
    </row>
    <row r="167" spans="1:7" ht="27.75">
      <c r="A167" s="1586" t="s">
        <v>98</v>
      </c>
      <c r="B167" s="1586"/>
      <c r="C167" s="1586"/>
      <c r="D167" s="523" t="s">
        <v>186</v>
      </c>
      <c r="E167" s="455">
        <f>'1'!F167</f>
        <v>160128</v>
      </c>
      <c r="F167" s="514">
        <f t="shared" si="15"/>
        <v>160311.88</v>
      </c>
      <c r="G167" s="473">
        <f t="shared" si="14"/>
        <v>183.88000000000466</v>
      </c>
    </row>
    <row r="168" spans="1:7" ht="27.75">
      <c r="A168" s="1586" t="s">
        <v>99</v>
      </c>
      <c r="B168" s="1586"/>
      <c r="C168" s="1586"/>
      <c r="D168" s="523" t="s">
        <v>186</v>
      </c>
      <c r="E168" s="455">
        <f>'1'!F168</f>
        <v>161237</v>
      </c>
      <c r="F168" s="514">
        <f t="shared" si="15"/>
        <v>161456.68</v>
      </c>
      <c r="G168" s="473">
        <f t="shared" si="14"/>
        <v>219.67999999999302</v>
      </c>
    </row>
    <row r="169" spans="1:7" ht="27.75">
      <c r="A169" s="1586" t="s">
        <v>100</v>
      </c>
      <c r="B169" s="1586"/>
      <c r="C169" s="1586"/>
      <c r="D169" s="523" t="s">
        <v>186</v>
      </c>
      <c r="E169" s="455">
        <f>'1'!F169</f>
        <v>57021</v>
      </c>
      <c r="F169" s="514">
        <f t="shared" si="15"/>
        <v>57244.13</v>
      </c>
      <c r="G169" s="473">
        <f t="shared" si="14"/>
        <v>223.12999999999738</v>
      </c>
    </row>
    <row r="170" spans="1:7" ht="27.75">
      <c r="A170" s="1586" t="s">
        <v>101</v>
      </c>
      <c r="B170" s="1586"/>
      <c r="C170" s="1586"/>
      <c r="D170" s="523" t="s">
        <v>186</v>
      </c>
      <c r="E170" s="455">
        <f>'1'!F170</f>
        <v>252502</v>
      </c>
      <c r="F170" s="514">
        <f t="shared" si="15"/>
        <v>252869.61</v>
      </c>
      <c r="G170" s="473">
        <f t="shared" si="14"/>
        <v>367.60999999998603</v>
      </c>
    </row>
    <row r="171" spans="1:7" ht="27.75">
      <c r="A171" s="1586" t="s">
        <v>102</v>
      </c>
      <c r="B171" s="1586"/>
      <c r="C171" s="1586"/>
      <c r="D171" s="523" t="s">
        <v>186</v>
      </c>
      <c r="E171" s="455">
        <f>'1'!F171</f>
        <v>85321</v>
      </c>
      <c r="F171" s="514">
        <f t="shared" si="15"/>
        <v>85321</v>
      </c>
      <c r="G171" s="473">
        <f t="shared" si="14"/>
        <v>0</v>
      </c>
    </row>
    <row r="172" spans="1:7" ht="27.75">
      <c r="A172" s="1586" t="s">
        <v>103</v>
      </c>
      <c r="B172" s="1586"/>
      <c r="C172" s="1586"/>
      <c r="D172" s="523" t="s">
        <v>186</v>
      </c>
      <c r="E172" s="455">
        <f>'1'!F172</f>
        <v>81853</v>
      </c>
      <c r="F172" s="514">
        <f t="shared" si="15"/>
        <v>81942.25</v>
      </c>
      <c r="G172" s="473">
        <f t="shared" si="14"/>
        <v>89.25</v>
      </c>
    </row>
    <row r="173" spans="1:7" ht="18.75" customHeight="1"/>
    <row r="174" spans="1:7" ht="18.75" customHeight="1"/>
    <row r="175" spans="1:7" ht="18.75" customHeight="1"/>
    <row r="176" spans="1:7" ht="18.75" customHeight="1"/>
    <row r="177" ht="18.75" customHeight="1"/>
  </sheetData>
  <mergeCells count="75">
    <mergeCell ref="A158:G158"/>
    <mergeCell ref="A149:C149"/>
    <mergeCell ref="A153:C153"/>
    <mergeCell ref="A154:C154"/>
    <mergeCell ref="A150:C150"/>
    <mergeCell ref="A151:C151"/>
    <mergeCell ref="A152:C152"/>
    <mergeCell ref="A113:B113"/>
    <mergeCell ref="A145:C145"/>
    <mergeCell ref="A146:C146"/>
    <mergeCell ref="A147:C147"/>
    <mergeCell ref="A148:C148"/>
    <mergeCell ref="A119:B119"/>
    <mergeCell ref="A120:B120"/>
    <mergeCell ref="A121:B121"/>
    <mergeCell ref="A122:B122"/>
    <mergeCell ref="A114:B114"/>
    <mergeCell ref="A115:B115"/>
    <mergeCell ref="A116:B116"/>
    <mergeCell ref="A117:B117"/>
    <mergeCell ref="A118:B118"/>
    <mergeCell ref="A81:C81"/>
    <mergeCell ref="A143:C143"/>
    <mergeCell ref="A144:C144"/>
    <mergeCell ref="A102:C102"/>
    <mergeCell ref="A123:C123"/>
    <mergeCell ref="A126:C126"/>
    <mergeCell ref="A142:B142"/>
    <mergeCell ref="A105:B105"/>
    <mergeCell ref="A106:B106"/>
    <mergeCell ref="A107:C107"/>
    <mergeCell ref="A108:B108"/>
    <mergeCell ref="A104:B104"/>
    <mergeCell ref="A109:B109"/>
    <mergeCell ref="A110:B110"/>
    <mergeCell ref="A111:B111"/>
    <mergeCell ref="A112:B112"/>
    <mergeCell ref="A68:C68"/>
    <mergeCell ref="A95:C95"/>
    <mergeCell ref="A96:C96"/>
    <mergeCell ref="A93:C93"/>
    <mergeCell ref="A94:C94"/>
    <mergeCell ref="A69:C69"/>
    <mergeCell ref="A70:C70"/>
    <mergeCell ref="A71:J71"/>
    <mergeCell ref="A72:C72"/>
    <mergeCell ref="A73:C73"/>
    <mergeCell ref="A74:C74"/>
    <mergeCell ref="A75:C75"/>
    <mergeCell ref="A76:C76"/>
    <mergeCell ref="A77:C77"/>
    <mergeCell ref="A79:C79"/>
    <mergeCell ref="A80:C80"/>
    <mergeCell ref="A82:C82"/>
    <mergeCell ref="A83:C83"/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  <mergeCell ref="A169:C169"/>
    <mergeCell ref="A170:C170"/>
    <mergeCell ref="A171:C171"/>
    <mergeCell ref="A172:C172"/>
    <mergeCell ref="A167:C167"/>
    <mergeCell ref="A168:C168"/>
  </mergeCells>
  <pageMargins left="0.22" right="0.17" top="0.14000000000000001" bottom="0.2" header="0.2" footer="0.2"/>
  <pageSetup paperSize="5" scale="21" orientation="portrait" r:id="rId1"/>
  <colBreaks count="1" manualBreakCount="1">
    <brk id="10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91"/>
  <sheetViews>
    <sheetView view="pageBreakPreview" topLeftCell="A166" zoomScale="55" zoomScaleSheetLayoutView="55" workbookViewId="0">
      <selection activeCell="A33" sqref="A33:J33"/>
    </sheetView>
  </sheetViews>
  <sheetFormatPr defaultColWidth="22.33203125" defaultRowHeight="29.25"/>
  <cols>
    <col min="1" max="1" width="40.109375" style="454" customWidth="1"/>
    <col min="2" max="2" width="29.77734375" style="457" customWidth="1"/>
    <col min="3" max="3" width="15.88671875" style="457" customWidth="1"/>
    <col min="4" max="4" width="13.6640625" style="537" customWidth="1"/>
    <col min="5" max="5" width="30" style="537" customWidth="1"/>
    <col min="6" max="6" width="30" style="664" customWidth="1"/>
    <col min="7" max="7" width="28.88671875" style="537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3" width="0" style="376" hidden="1" customWidth="1"/>
    <col min="14" max="14" width="25.109375" style="376" customWidth="1"/>
    <col min="15" max="16384" width="22.33203125" style="376"/>
  </cols>
  <sheetData>
    <row r="1" spans="1:15" ht="33.75">
      <c r="A1" s="1549" t="s">
        <v>116</v>
      </c>
      <c r="B1" s="1550"/>
      <c r="C1" s="1550"/>
      <c r="D1" s="1550"/>
      <c r="E1" s="1550"/>
      <c r="F1" s="1550"/>
      <c r="G1" s="1550"/>
      <c r="H1" s="1550"/>
      <c r="I1" s="1550"/>
      <c r="J1" s="1551"/>
    </row>
    <row r="2" spans="1:15" s="281" customFormat="1" ht="27">
      <c r="A2" s="575" t="s">
        <v>339</v>
      </c>
      <c r="B2" s="1033">
        <v>44350</v>
      </c>
      <c r="C2" s="1307" t="s">
        <v>68</v>
      </c>
      <c r="D2" s="611">
        <v>0.56999999999999995</v>
      </c>
      <c r="E2" s="461"/>
      <c r="F2" s="461"/>
      <c r="G2" s="461" t="s">
        <v>117</v>
      </c>
      <c r="H2" s="461" t="s">
        <v>6</v>
      </c>
      <c r="I2" s="461" t="s">
        <v>8</v>
      </c>
      <c r="J2" s="613" t="s">
        <v>118</v>
      </c>
    </row>
    <row r="3" spans="1:15" s="281" customFormat="1" ht="27">
      <c r="A3" s="570"/>
      <c r="B3" s="614"/>
      <c r="C3" s="1307" t="s">
        <v>119</v>
      </c>
      <c r="D3" s="612">
        <v>29</v>
      </c>
      <c r="E3" s="1558" t="s">
        <v>120</v>
      </c>
      <c r="F3" s="1559"/>
      <c r="G3" s="462"/>
      <c r="H3" s="463"/>
      <c r="I3" s="463"/>
      <c r="J3" s="615"/>
      <c r="K3" s="371"/>
      <c r="L3" s="292"/>
    </row>
    <row r="4" spans="1:15" s="281" customFormat="1" ht="27">
      <c r="A4" s="576"/>
      <c r="B4" s="616"/>
      <c r="C4" s="1307" t="s">
        <v>121</v>
      </c>
      <c r="D4" s="611">
        <v>0.78</v>
      </c>
      <c r="E4" s="464"/>
      <c r="F4" s="464"/>
      <c r="G4" s="464"/>
      <c r="H4" s="464"/>
      <c r="I4" s="465"/>
      <c r="J4" s="615"/>
      <c r="K4" s="372"/>
      <c r="L4" s="292"/>
    </row>
    <row r="5" spans="1:15">
      <c r="A5" s="577" t="s">
        <v>122</v>
      </c>
      <c r="B5" s="459"/>
      <c r="C5" s="459"/>
      <c r="D5" s="511" t="s">
        <v>123</v>
      </c>
      <c r="E5" s="467" t="s">
        <v>124</v>
      </c>
      <c r="F5" s="467" t="s">
        <v>111</v>
      </c>
      <c r="G5" s="468" t="s">
        <v>125</v>
      </c>
      <c r="H5" s="469" t="s">
        <v>126</v>
      </c>
      <c r="I5" s="470" t="s">
        <v>127</v>
      </c>
      <c r="J5" s="550" t="s">
        <v>128</v>
      </c>
      <c r="K5" s="426"/>
      <c r="L5" s="377"/>
    </row>
    <row r="6" spans="1:15">
      <c r="A6" s="1552" t="s">
        <v>129</v>
      </c>
      <c r="B6" s="1553"/>
      <c r="C6" s="1554"/>
      <c r="D6" s="471"/>
      <c r="E6" s="471"/>
      <c r="F6" s="471"/>
      <c r="G6" s="471"/>
      <c r="H6" s="472"/>
      <c r="I6" s="472"/>
      <c r="J6" s="551"/>
      <c r="K6" s="427"/>
      <c r="L6" s="377"/>
    </row>
    <row r="7" spans="1:15" ht="30" thickBot="1">
      <c r="A7" s="677" t="s">
        <v>130</v>
      </c>
      <c r="B7" s="678"/>
      <c r="C7" s="678"/>
      <c r="D7" s="638" t="s">
        <v>131</v>
      </c>
      <c r="E7" s="455">
        <f>'2'!F7</f>
        <v>377521.63</v>
      </c>
      <c r="F7" s="455">
        <v>393596.87</v>
      </c>
      <c r="G7" s="690">
        <f>F7-E7</f>
        <v>16075.239999999991</v>
      </c>
      <c r="H7" s="680">
        <f>G7+'2'!H7</f>
        <v>49184.869999999995</v>
      </c>
      <c r="I7" s="681">
        <f>'[2]1'!I7</f>
        <v>12000</v>
      </c>
      <c r="J7" s="682">
        <f>H7/DAY(B2)</f>
        <v>16394.956666666665</v>
      </c>
      <c r="K7" s="549"/>
      <c r="L7" s="377"/>
      <c r="O7" s="382"/>
    </row>
    <row r="8" spans="1:15" ht="27.75" thickBot="1">
      <c r="A8" s="683" t="s">
        <v>132</v>
      </c>
      <c r="B8" s="684"/>
      <c r="C8" s="685"/>
      <c r="D8" s="686" t="s">
        <v>25</v>
      </c>
      <c r="E8" s="455">
        <f>'2'!F8</f>
        <v>379785.27</v>
      </c>
      <c r="F8" s="475">
        <v>395921.08</v>
      </c>
      <c r="G8" s="690">
        <f>F8-E8</f>
        <v>16135.809999999998</v>
      </c>
      <c r="H8" s="680">
        <f>G8+'2'!H8</f>
        <v>49411.080000000016</v>
      </c>
      <c r="I8" s="687">
        <v>12000</v>
      </c>
      <c r="J8" s="682">
        <f>H8/DAY(B2)</f>
        <v>16470.360000000004</v>
      </c>
      <c r="K8" s="549"/>
      <c r="L8" s="425"/>
      <c r="M8" s="440"/>
      <c r="O8" s="382"/>
    </row>
    <row r="9" spans="1:15">
      <c r="A9" s="688" t="s">
        <v>133</v>
      </c>
      <c r="B9" s="689"/>
      <c r="C9" s="689"/>
      <c r="D9" s="638" t="s">
        <v>131</v>
      </c>
      <c r="E9" s="455">
        <f>'2'!F9</f>
        <v>1505845.9</v>
      </c>
      <c r="F9" s="478">
        <v>1521396.2</v>
      </c>
      <c r="G9" s="703">
        <f t="shared" ref="G9:G12" si="0">F9-E9</f>
        <v>15550.300000000047</v>
      </c>
      <c r="H9" s="680">
        <f>G9+'2'!H9</f>
        <v>47706.199999999953</v>
      </c>
      <c r="I9" s="691">
        <f>I8-J8</f>
        <v>-4470.3600000000042</v>
      </c>
      <c r="J9" s="682">
        <f>H9/DAY(B2)</f>
        <v>15902.066666666651</v>
      </c>
      <c r="K9" s="428"/>
      <c r="L9" s="377"/>
      <c r="O9" s="382"/>
    </row>
    <row r="10" spans="1:15">
      <c r="A10" s="677" t="s">
        <v>134</v>
      </c>
      <c r="B10" s="678"/>
      <c r="C10" s="678"/>
      <c r="D10" s="638" t="s">
        <v>131</v>
      </c>
      <c r="E10" s="455">
        <f>'2'!F10</f>
        <v>2323</v>
      </c>
      <c r="F10" s="478">
        <v>2323</v>
      </c>
      <c r="G10" s="690">
        <f t="shared" si="0"/>
        <v>0</v>
      </c>
      <c r="H10" s="680">
        <f>G10+'2'!H10</f>
        <v>0.42000000000007276</v>
      </c>
      <c r="I10" s="692"/>
      <c r="J10" s="682">
        <f>H10/DAY(B2)</f>
        <v>0.14000000000002424</v>
      </c>
      <c r="K10" s="428"/>
      <c r="L10" s="377"/>
      <c r="N10" s="382">
        <f>G7-G13</f>
        <v>524.93999999994412</v>
      </c>
      <c r="O10" s="382"/>
    </row>
    <row r="11" spans="1:15">
      <c r="A11" s="677" t="s">
        <v>135</v>
      </c>
      <c r="B11" s="678"/>
      <c r="C11" s="678"/>
      <c r="D11" s="638" t="s">
        <v>131</v>
      </c>
      <c r="E11" s="455">
        <f>'2'!F11</f>
        <v>37000</v>
      </c>
      <c r="F11" s="455">
        <v>37000</v>
      </c>
      <c r="G11" s="690">
        <f t="shared" si="0"/>
        <v>0</v>
      </c>
      <c r="H11" s="680">
        <f>G11+'2'!H11</f>
        <v>0</v>
      </c>
      <c r="I11" s="692"/>
      <c r="J11" s="682">
        <f>H11/DAY(B2)</f>
        <v>0</v>
      </c>
      <c r="K11" s="428"/>
      <c r="L11" s="377"/>
      <c r="O11" s="382"/>
    </row>
    <row r="12" spans="1:15">
      <c r="A12" s="677" t="s">
        <v>136</v>
      </c>
      <c r="B12" s="678"/>
      <c r="C12" s="678"/>
      <c r="D12" s="638" t="s">
        <v>131</v>
      </c>
      <c r="E12" s="455">
        <f>'2'!F12</f>
        <v>40010</v>
      </c>
      <c r="F12" s="478">
        <v>40010</v>
      </c>
      <c r="G12" s="690">
        <f t="shared" si="0"/>
        <v>0</v>
      </c>
      <c r="H12" s="680">
        <f>G12+'2'!H12</f>
        <v>0</v>
      </c>
      <c r="I12" s="692"/>
      <c r="J12" s="682">
        <f>H12/DAY(B2)</f>
        <v>0</v>
      </c>
      <c r="K12" s="428"/>
      <c r="L12" s="377"/>
      <c r="O12" s="382"/>
    </row>
    <row r="13" spans="1:15">
      <c r="A13" s="693" t="s">
        <v>137</v>
      </c>
      <c r="B13" s="694"/>
      <c r="C13" s="694"/>
      <c r="D13" s="638"/>
      <c r="E13" s="633"/>
      <c r="F13" s="455"/>
      <c r="G13" s="695">
        <f>G9+G10+G11+G12</f>
        <v>15550.300000000047</v>
      </c>
      <c r="H13" s="680">
        <f>G13+'2'!H13</f>
        <v>47706.619999999952</v>
      </c>
      <c r="I13" s="696">
        <f>G7-G13</f>
        <v>524.93999999994412</v>
      </c>
      <c r="J13" s="682">
        <f>H13/DAY(B2)</f>
        <v>15902.206666666651</v>
      </c>
      <c r="K13" s="428"/>
      <c r="L13" s="377"/>
      <c r="O13" s="382"/>
    </row>
    <row r="14" spans="1:15">
      <c r="A14" s="1555" t="s">
        <v>138</v>
      </c>
      <c r="B14" s="1556"/>
      <c r="C14" s="1557"/>
      <c r="D14" s="472"/>
      <c r="E14" s="472"/>
      <c r="F14" s="472"/>
      <c r="G14" s="483"/>
      <c r="H14" s="472"/>
      <c r="I14" s="472"/>
      <c r="J14" s="551"/>
      <c r="K14" s="429"/>
      <c r="L14" s="377"/>
      <c r="O14" s="382"/>
    </row>
    <row r="15" spans="1:15">
      <c r="A15" s="793" t="s">
        <v>139</v>
      </c>
      <c r="B15" s="788"/>
      <c r="C15" s="788"/>
      <c r="D15" s="524" t="s">
        <v>140</v>
      </c>
      <c r="E15" s="455">
        <f>'2'!F15</f>
        <v>1685227.7</v>
      </c>
      <c r="F15" s="485">
        <v>1685843.504</v>
      </c>
      <c r="G15" s="780">
        <f>F15-E15</f>
        <v>615.80400000000373</v>
      </c>
      <c r="H15" s="680">
        <f>G15+'2'!H15</f>
        <v>1319.5039999999572</v>
      </c>
      <c r="I15" s="474">
        <v>800</v>
      </c>
      <c r="J15" s="553">
        <f>H15/DAY(B2)</f>
        <v>439.83466666665237</v>
      </c>
      <c r="K15" s="428"/>
      <c r="L15" s="377"/>
      <c r="O15" s="382"/>
    </row>
    <row r="16" spans="1:15">
      <c r="A16" s="791"/>
      <c r="B16" s="792"/>
      <c r="C16" s="792"/>
      <c r="D16" s="789"/>
      <c r="E16" s="790"/>
      <c r="F16" s="485"/>
      <c r="G16" s="1036"/>
      <c r="H16" s="486"/>
      <c r="I16" s="487">
        <f>I15-J15</f>
        <v>360.16533333334763</v>
      </c>
      <c r="J16" s="553"/>
      <c r="K16" s="428"/>
      <c r="L16" s="377"/>
      <c r="O16" s="382"/>
    </row>
    <row r="17" spans="1:15">
      <c r="A17" s="1555" t="s">
        <v>141</v>
      </c>
      <c r="B17" s="1556"/>
      <c r="C17" s="1557"/>
      <c r="D17" s="472"/>
      <c r="E17" s="472"/>
      <c r="F17" s="472"/>
      <c r="G17" s="488"/>
      <c r="H17" s="472"/>
      <c r="I17" s="472"/>
      <c r="J17" s="551"/>
      <c r="K17" s="428"/>
      <c r="L17" s="377"/>
      <c r="O17" s="382"/>
    </row>
    <row r="18" spans="1:15" ht="27.75">
      <c r="A18" s="1590" t="s">
        <v>142</v>
      </c>
      <c r="B18" s="1591"/>
      <c r="C18" s="1592"/>
      <c r="D18" s="638" t="s">
        <v>143</v>
      </c>
      <c r="E18" s="478">
        <v>6</v>
      </c>
      <c r="F18" s="478">
        <v>8</v>
      </c>
      <c r="G18" s="695">
        <f>F18*10</f>
        <v>80</v>
      </c>
      <c r="H18" s="680">
        <f>G18+'2'!H18</f>
        <v>160</v>
      </c>
      <c r="I18" s="681">
        <f>'[2]1'!I18</f>
        <v>65</v>
      </c>
      <c r="J18" s="682">
        <f>H18/DAY(B2)</f>
        <v>53.333333333333336</v>
      </c>
      <c r="K18" s="428"/>
      <c r="L18" s="377"/>
      <c r="O18" s="382"/>
    </row>
    <row r="19" spans="1:15" ht="27.75">
      <c r="A19" s="1590" t="s">
        <v>70</v>
      </c>
      <c r="B19" s="1591"/>
      <c r="C19" s="1592"/>
      <c r="D19" s="638" t="s">
        <v>143</v>
      </c>
      <c r="E19" s="455">
        <f>'2'!F19</f>
        <v>139724</v>
      </c>
      <c r="F19" s="478">
        <v>139787</v>
      </c>
      <c r="G19" s="690">
        <f t="shared" ref="G19" si="1">F19-E19</f>
        <v>63</v>
      </c>
      <c r="H19" s="680">
        <f>G19+'2'!H19</f>
        <v>175</v>
      </c>
      <c r="I19" s="697"/>
      <c r="J19" s="682">
        <f>H19/DAY(B2)</f>
        <v>58.333333333333336</v>
      </c>
      <c r="K19" s="428"/>
      <c r="L19" s="377"/>
      <c r="O19" s="382"/>
    </row>
    <row r="20" spans="1:15">
      <c r="A20" s="693" t="s">
        <v>144</v>
      </c>
      <c r="B20" s="694"/>
      <c r="C20" s="694"/>
      <c r="D20" s="638"/>
      <c r="E20" s="638"/>
      <c r="F20" s="523"/>
      <c r="G20" s="1035">
        <f>G18+G19</f>
        <v>143</v>
      </c>
      <c r="H20" s="680">
        <f>G20+'2'!H20</f>
        <v>335</v>
      </c>
      <c r="I20" s="699">
        <f>I18-J20</f>
        <v>-46.666666666666671</v>
      </c>
      <c r="J20" s="682">
        <f>H20/DAY(B2)</f>
        <v>111.66666666666667</v>
      </c>
      <c r="K20" s="428"/>
      <c r="L20" s="377"/>
      <c r="O20" s="382"/>
    </row>
    <row r="21" spans="1:15">
      <c r="A21" s="1555" t="s">
        <v>145</v>
      </c>
      <c r="B21" s="1556"/>
      <c r="C21" s="1557"/>
      <c r="D21" s="472"/>
      <c r="E21" s="472"/>
      <c r="F21" s="472"/>
      <c r="G21" s="483"/>
      <c r="H21" s="472"/>
      <c r="I21" s="472"/>
      <c r="J21" s="551"/>
      <c r="K21" s="428"/>
      <c r="L21" s="377"/>
      <c r="O21" s="382"/>
    </row>
    <row r="22" spans="1:15">
      <c r="A22" s="1305" t="s">
        <v>146</v>
      </c>
      <c r="B22" s="589"/>
      <c r="C22" s="589"/>
      <c r="D22" s="523" t="s">
        <v>147</v>
      </c>
      <c r="E22" s="484">
        <f>'1'!F22</f>
        <v>2970</v>
      </c>
      <c r="F22" s="478">
        <v>2970</v>
      </c>
      <c r="G22" s="481">
        <f t="shared" ref="G22" si="2">(F22-E22)</f>
        <v>0</v>
      </c>
      <c r="H22" s="680">
        <f>G22+'2'!H22</f>
        <v>0</v>
      </c>
      <c r="I22" s="480"/>
      <c r="J22" s="552">
        <f>H22/DAY(B2)</f>
        <v>0</v>
      </c>
      <c r="K22" s="428"/>
      <c r="L22" s="377"/>
      <c r="O22" s="382"/>
    </row>
    <row r="23" spans="1:15">
      <c r="A23" s="1305" t="s">
        <v>148</v>
      </c>
      <c r="B23" s="589"/>
      <c r="C23" s="589"/>
      <c r="D23" s="523" t="s">
        <v>147</v>
      </c>
      <c r="E23" s="484">
        <f>'1'!F23</f>
        <v>1880</v>
      </c>
      <c r="F23" s="478">
        <v>1880</v>
      </c>
      <c r="G23" s="481">
        <v>0</v>
      </c>
      <c r="H23" s="680">
        <f>G23+'2'!H23</f>
        <v>120</v>
      </c>
      <c r="I23" s="480"/>
      <c r="J23" s="552">
        <f>H23/DAY(B2)</f>
        <v>40</v>
      </c>
      <c r="K23" s="428"/>
      <c r="L23" s="377"/>
      <c r="O23" s="382"/>
    </row>
    <row r="24" spans="1:15">
      <c r="A24" s="590" t="s">
        <v>149</v>
      </c>
      <c r="B24" s="591"/>
      <c r="C24" s="591"/>
      <c r="D24" s="511" t="s">
        <v>147</v>
      </c>
      <c r="E24" s="484">
        <v>4850</v>
      </c>
      <c r="F24" s="485">
        <v>4850</v>
      </c>
      <c r="G24" s="481">
        <v>0</v>
      </c>
      <c r="H24" s="680">
        <f>G24+'2'!H24</f>
        <v>120</v>
      </c>
      <c r="I24" s="480"/>
      <c r="J24" s="552">
        <f>H24/DAY(B2)</f>
        <v>40</v>
      </c>
      <c r="K24" s="428"/>
      <c r="L24" s="377"/>
      <c r="O24" s="382"/>
    </row>
    <row r="25" spans="1:15" s="442" customFormat="1" ht="27">
      <c r="A25" s="1560" t="s">
        <v>150</v>
      </c>
      <c r="B25" s="1561"/>
      <c r="C25" s="1562"/>
      <c r="D25" s="471"/>
      <c r="E25" s="471"/>
      <c r="F25" s="471"/>
      <c r="G25" s="494"/>
      <c r="H25" s="495"/>
      <c r="I25" s="496"/>
      <c r="J25" s="554"/>
      <c r="K25" s="373"/>
      <c r="L25" s="443"/>
      <c r="O25" s="382"/>
    </row>
    <row r="26" spans="1:15" s="442" customFormat="1" ht="27.75">
      <c r="A26" s="592" t="s">
        <v>151</v>
      </c>
      <c r="B26" s="593"/>
      <c r="C26" s="594"/>
      <c r="D26" s="618" t="s">
        <v>152</v>
      </c>
      <c r="E26" s="497"/>
      <c r="F26" s="455"/>
      <c r="G26" s="498"/>
      <c r="H26" s="460"/>
      <c r="I26" s="499"/>
      <c r="J26" s="552"/>
      <c r="K26" s="374"/>
      <c r="L26" s="443"/>
      <c r="O26" s="382"/>
    </row>
    <row r="27" spans="1:15" s="442" customFormat="1" ht="27.75">
      <c r="A27" s="592" t="s">
        <v>6</v>
      </c>
      <c r="B27" s="593"/>
      <c r="C27" s="594"/>
      <c r="D27" s="619" t="s">
        <v>25</v>
      </c>
      <c r="E27" s="700">
        <f>G8</f>
        <v>16135.809999999998</v>
      </c>
      <c r="F27" s="501">
        <v>9</v>
      </c>
      <c r="G27" s="502">
        <f>E27*F27</f>
        <v>145222.28999999998</v>
      </c>
      <c r="H27" s="680">
        <f>G27+'2'!H27</f>
        <v>443862.72000000015</v>
      </c>
      <c r="I27" s="503"/>
      <c r="J27" s="552">
        <f>H27/DAY(B2)</f>
        <v>147954.24000000005</v>
      </c>
      <c r="K27" s="373"/>
      <c r="L27" s="443"/>
      <c r="O27" s="382"/>
    </row>
    <row r="28" spans="1:15" s="442" customFormat="1" ht="27.75">
      <c r="A28" s="592" t="s">
        <v>153</v>
      </c>
      <c r="B28" s="593"/>
      <c r="C28" s="594"/>
      <c r="D28" s="619" t="s">
        <v>154</v>
      </c>
      <c r="E28" s="700">
        <f>G15</f>
        <v>615.80400000000373</v>
      </c>
      <c r="F28" s="501">
        <v>52</v>
      </c>
      <c r="G28" s="502">
        <f>E28*F28</f>
        <v>32021.808000000194</v>
      </c>
      <c r="H28" s="680">
        <f>G28+'2'!H28</f>
        <v>68614.207999997772</v>
      </c>
      <c r="I28" s="505"/>
      <c r="J28" s="552">
        <f>H28/DAY(B2)</f>
        <v>22871.402666665923</v>
      </c>
      <c r="K28" s="373"/>
      <c r="L28" s="443"/>
      <c r="O28" s="382"/>
    </row>
    <row r="29" spans="1:15" s="442" customFormat="1" ht="27.75">
      <c r="A29" s="592" t="s">
        <v>155</v>
      </c>
      <c r="B29" s="593"/>
      <c r="C29" s="594"/>
      <c r="D29" s="619" t="s">
        <v>156</v>
      </c>
      <c r="E29" s="700">
        <f>G24</f>
        <v>0</v>
      </c>
      <c r="F29" s="501">
        <v>69</v>
      </c>
      <c r="G29" s="502">
        <f>E29*F29</f>
        <v>0</v>
      </c>
      <c r="H29" s="680">
        <f>G29+'2'!H29</f>
        <v>8280</v>
      </c>
      <c r="I29" s="505"/>
      <c r="J29" s="552">
        <f>H29/DAY(B2)</f>
        <v>2760</v>
      </c>
      <c r="K29" s="373"/>
      <c r="L29" s="443"/>
      <c r="O29" s="382"/>
    </row>
    <row r="30" spans="1:15" s="442" customFormat="1" ht="27.75">
      <c r="A30" s="592" t="s">
        <v>157</v>
      </c>
      <c r="B30" s="593"/>
      <c r="C30" s="594"/>
      <c r="D30" s="619" t="s">
        <v>158</v>
      </c>
      <c r="E30" s="700">
        <f>G19</f>
        <v>63</v>
      </c>
      <c r="F30" s="501">
        <v>146</v>
      </c>
      <c r="G30" s="502">
        <f>E30*F30</f>
        <v>9198</v>
      </c>
      <c r="H30" s="680">
        <f>G30+'2'!H30</f>
        <v>25550</v>
      </c>
      <c r="I30" s="505"/>
      <c r="J30" s="552">
        <f>H30/DAY(B2)</f>
        <v>8516.6666666666661</v>
      </c>
      <c r="K30" s="373"/>
      <c r="L30" s="443"/>
      <c r="O30" s="382"/>
    </row>
    <row r="31" spans="1:15" s="442" customFormat="1" ht="27.75">
      <c r="A31" s="592" t="s">
        <v>159</v>
      </c>
      <c r="B31" s="593"/>
      <c r="C31" s="594"/>
      <c r="D31" s="619" t="s">
        <v>143</v>
      </c>
      <c r="E31" s="700">
        <f>G18</f>
        <v>80</v>
      </c>
      <c r="F31" s="501">
        <v>80</v>
      </c>
      <c r="G31" s="502">
        <f>E31*F31</f>
        <v>6400</v>
      </c>
      <c r="H31" s="680">
        <f>G31+'2'!H31</f>
        <v>12800</v>
      </c>
      <c r="I31" s="505"/>
      <c r="J31" s="552">
        <f>H31/DAY(B2)</f>
        <v>4266.666666666667</v>
      </c>
      <c r="K31" s="373"/>
      <c r="L31" s="443"/>
      <c r="O31" s="382"/>
    </row>
    <row r="32" spans="1:15" s="442" customFormat="1" ht="27.75">
      <c r="A32" s="595" t="s">
        <v>160</v>
      </c>
      <c r="B32" s="596"/>
      <c r="C32" s="597"/>
      <c r="D32" s="507"/>
      <c r="E32" s="507"/>
      <c r="F32" s="524"/>
      <c r="G32" s="508">
        <f>G27+G28+G29+G30+G31</f>
        <v>192842.09800000017</v>
      </c>
      <c r="H32" s="680">
        <f>G32+'2'!H32</f>
        <v>559106.92799999798</v>
      </c>
      <c r="I32" s="509"/>
      <c r="J32" s="552">
        <f>H32/DAY(B2)</f>
        <v>186368.97599999933</v>
      </c>
      <c r="K32" s="373"/>
      <c r="L32" s="443"/>
      <c r="O32" s="382"/>
    </row>
    <row r="33" spans="1:15" ht="25.5">
      <c r="A33" s="1563" t="s">
        <v>161</v>
      </c>
      <c r="B33" s="1564"/>
      <c r="C33" s="1564"/>
      <c r="D33" s="1564"/>
      <c r="E33" s="1564"/>
      <c r="F33" s="1564"/>
      <c r="G33" s="1564"/>
      <c r="H33" s="1564"/>
      <c r="I33" s="1564"/>
      <c r="J33" s="1565"/>
      <c r="K33" s="428"/>
      <c r="L33" s="377"/>
      <c r="O33" s="382"/>
    </row>
    <row r="34" spans="1:15">
      <c r="A34" s="598" t="s">
        <v>162</v>
      </c>
      <c r="B34" s="1310"/>
      <c r="C34" s="1310"/>
      <c r="D34" s="472"/>
      <c r="E34" s="471"/>
      <c r="F34" s="471"/>
      <c r="G34" s="472"/>
      <c r="H34" s="472"/>
      <c r="I34" s="472"/>
      <c r="J34" s="551"/>
      <c r="K34" s="428"/>
      <c r="L34" s="377"/>
      <c r="O34" s="382"/>
    </row>
    <row r="35" spans="1:15">
      <c r="A35" s="578" t="s">
        <v>163</v>
      </c>
      <c r="B35" s="579"/>
      <c r="C35" s="579"/>
      <c r="D35" s="523" t="s">
        <v>131</v>
      </c>
      <c r="E35" s="455">
        <f>'2'!F35</f>
        <v>955239.99</v>
      </c>
      <c r="F35" s="510">
        <v>957665.19</v>
      </c>
      <c r="G35" s="473">
        <f t="shared" ref="G35:G46" si="3">F35-E35</f>
        <v>2425.1999999999534</v>
      </c>
      <c r="H35" s="680">
        <f>G35+'2'!H35</f>
        <v>7177.1899999999441</v>
      </c>
      <c r="I35" s="455"/>
      <c r="J35" s="552">
        <f>H35/DAY(B2)</f>
        <v>2392.3966666666479</v>
      </c>
      <c r="K35" s="428"/>
      <c r="L35" s="377"/>
      <c r="O35" s="382"/>
    </row>
    <row r="36" spans="1:15">
      <c r="A36" s="578" t="s">
        <v>164</v>
      </c>
      <c r="B36" s="579"/>
      <c r="C36" s="579"/>
      <c r="D36" s="523" t="s">
        <v>131</v>
      </c>
      <c r="E36" s="455">
        <f>'2'!F36</f>
        <v>1107.123</v>
      </c>
      <c r="F36" s="510">
        <v>1582.48</v>
      </c>
      <c r="G36" s="473">
        <f t="shared" si="3"/>
        <v>475.35699999999997</v>
      </c>
      <c r="H36" s="680">
        <f>G36+'2'!H36</f>
        <v>1409.48</v>
      </c>
      <c r="I36" s="455"/>
      <c r="J36" s="552">
        <f>H36/DAY(B2)</f>
        <v>469.82666666666665</v>
      </c>
      <c r="K36" s="428"/>
      <c r="L36" s="377"/>
      <c r="O36" s="628"/>
    </row>
    <row r="37" spans="1:15">
      <c r="A37" s="578" t="s">
        <v>165</v>
      </c>
      <c r="B37" s="579"/>
      <c r="C37" s="579"/>
      <c r="D37" s="523" t="s">
        <v>131</v>
      </c>
      <c r="E37" s="455">
        <f>'2'!F37</f>
        <v>136763.70000000001</v>
      </c>
      <c r="F37" s="510">
        <v>138014.75</v>
      </c>
      <c r="G37" s="473">
        <f t="shared" si="3"/>
        <v>1251.0499999999884</v>
      </c>
      <c r="H37" s="680">
        <f>G37+'2'!H37</f>
        <v>3778.75</v>
      </c>
      <c r="I37" s="455"/>
      <c r="J37" s="552">
        <f>H37/DAY(B2)</f>
        <v>1259.5833333333333</v>
      </c>
      <c r="K37" s="428"/>
      <c r="L37" s="377"/>
      <c r="O37" s="629"/>
    </row>
    <row r="38" spans="1:15">
      <c r="A38" s="578" t="s">
        <v>166</v>
      </c>
      <c r="B38" s="579"/>
      <c r="C38" s="579"/>
      <c r="D38" s="523" t="s">
        <v>131</v>
      </c>
      <c r="E38" s="455">
        <f>'2'!F38</f>
        <v>158821.69</v>
      </c>
      <c r="F38" s="469">
        <v>160099.59</v>
      </c>
      <c r="G38" s="473">
        <f t="shared" si="3"/>
        <v>1277.8999999999942</v>
      </c>
      <c r="H38" s="680">
        <f>G38+'2'!H38</f>
        <v>3694.5899999999965</v>
      </c>
      <c r="I38" s="455"/>
      <c r="J38" s="552">
        <f>H38/DAY(B2)</f>
        <v>1231.5299999999988</v>
      </c>
      <c r="K38" s="428"/>
      <c r="L38" s="377"/>
      <c r="O38" s="382"/>
    </row>
    <row r="39" spans="1:15">
      <c r="A39" s="578" t="s">
        <v>167</v>
      </c>
      <c r="B39" s="579"/>
      <c r="C39" s="579"/>
      <c r="D39" s="523" t="s">
        <v>131</v>
      </c>
      <c r="E39" s="455">
        <f>'2'!F39</f>
        <v>312177.25</v>
      </c>
      <c r="F39" s="510">
        <v>314081.17</v>
      </c>
      <c r="G39" s="473">
        <f t="shared" si="3"/>
        <v>1903.9199999999837</v>
      </c>
      <c r="H39" s="680">
        <f>G39+'2'!H39</f>
        <v>5908.1699999999837</v>
      </c>
      <c r="I39" s="455"/>
      <c r="J39" s="552">
        <f>H39/DAY(B2)</f>
        <v>1969.3899999999946</v>
      </c>
      <c r="K39" s="428"/>
      <c r="L39" s="377"/>
      <c r="O39" s="382"/>
    </row>
    <row r="40" spans="1:15">
      <c r="A40" s="599" t="s">
        <v>168</v>
      </c>
      <c r="B40" s="600"/>
      <c r="C40" s="600"/>
      <c r="D40" s="523" t="s">
        <v>131</v>
      </c>
      <c r="E40" s="455">
        <f>'2'!F40</f>
        <v>888.99</v>
      </c>
      <c r="F40" s="510">
        <v>888.99</v>
      </c>
      <c r="G40" s="473">
        <f t="shared" si="3"/>
        <v>0</v>
      </c>
      <c r="H40" s="680">
        <f>G40+'2'!H40</f>
        <v>-9.9999999999909051E-3</v>
      </c>
      <c r="I40" s="455"/>
      <c r="J40" s="552">
        <f>H40/DAY(B2)</f>
        <v>-3.3333333333303017E-3</v>
      </c>
      <c r="K40" s="429"/>
      <c r="L40" s="377"/>
      <c r="O40" s="382"/>
    </row>
    <row r="41" spans="1:15">
      <c r="A41" s="578" t="s">
        <v>169</v>
      </c>
      <c r="B41" s="579"/>
      <c r="C41" s="579"/>
      <c r="D41" s="523" t="s">
        <v>131</v>
      </c>
      <c r="E41" s="455">
        <f>'2'!F41</f>
        <v>240478.13</v>
      </c>
      <c r="F41" s="510">
        <v>240478.13</v>
      </c>
      <c r="G41" s="473">
        <f t="shared" si="3"/>
        <v>0</v>
      </c>
      <c r="H41" s="680">
        <f>G41+'2'!H41</f>
        <v>0.13000000000465661</v>
      </c>
      <c r="I41" s="455"/>
      <c r="J41" s="552">
        <f>H41/DAY(B2)</f>
        <v>4.3333333334885538E-2</v>
      </c>
      <c r="K41" s="428"/>
      <c r="L41" s="377"/>
      <c r="O41" s="382"/>
    </row>
    <row r="42" spans="1:15">
      <c r="A42" s="578" t="s">
        <v>170</v>
      </c>
      <c r="B42" s="579"/>
      <c r="C42" s="579"/>
      <c r="D42" s="523" t="s">
        <v>131</v>
      </c>
      <c r="E42" s="455">
        <f>'2'!F42</f>
        <v>59198.97</v>
      </c>
      <c r="F42" s="510">
        <v>59198.97</v>
      </c>
      <c r="G42" s="473">
        <f>F42-E42</f>
        <v>0</v>
      </c>
      <c r="H42" s="680">
        <f>G42+'2'!H42</f>
        <v>0</v>
      </c>
      <c r="I42" s="455"/>
      <c r="J42" s="552">
        <f>H42/DAY(B2)</f>
        <v>0</v>
      </c>
      <c r="K42" s="428"/>
      <c r="L42" s="377"/>
      <c r="O42" s="382"/>
    </row>
    <row r="43" spans="1:15">
      <c r="A43" s="578" t="s">
        <v>171</v>
      </c>
      <c r="B43" s="579"/>
      <c r="C43" s="579"/>
      <c r="D43" s="523" t="s">
        <v>131</v>
      </c>
      <c r="E43" s="455">
        <f>'2'!F43</f>
        <v>1046786.4</v>
      </c>
      <c r="F43" s="510">
        <v>1049100.7</v>
      </c>
      <c r="G43" s="473">
        <f t="shared" si="3"/>
        <v>2314.2999999999302</v>
      </c>
      <c r="H43" s="680">
        <f>G43+'2'!H43</f>
        <v>6856.6999999999534</v>
      </c>
      <c r="I43" s="455"/>
      <c r="J43" s="552">
        <f>H43/DAY(B2)</f>
        <v>2285.5666666666511</v>
      </c>
      <c r="K43" s="428"/>
      <c r="L43" s="377"/>
      <c r="O43" s="382"/>
    </row>
    <row r="44" spans="1:15">
      <c r="A44" s="578" t="s">
        <v>172</v>
      </c>
      <c r="B44" s="579"/>
      <c r="C44" s="579"/>
      <c r="D44" s="523" t="s">
        <v>131</v>
      </c>
      <c r="E44" s="455">
        <f>'2'!F44</f>
        <v>0</v>
      </c>
      <c r="F44" s="510">
        <v>0</v>
      </c>
      <c r="G44" s="473">
        <f t="shared" si="3"/>
        <v>0</v>
      </c>
      <c r="H44" s="680">
        <f>G44+'2'!H44</f>
        <v>0</v>
      </c>
      <c r="I44" s="455"/>
      <c r="J44" s="552">
        <f>H44/DAY(B2)</f>
        <v>0</v>
      </c>
      <c r="K44" s="428"/>
      <c r="L44" s="377"/>
      <c r="O44" s="382"/>
    </row>
    <row r="45" spans="1:15">
      <c r="A45" s="578" t="s">
        <v>173</v>
      </c>
      <c r="B45" s="579"/>
      <c r="C45" s="579"/>
      <c r="D45" s="523" t="s">
        <v>131</v>
      </c>
      <c r="E45" s="455">
        <f>'2'!F45</f>
        <v>614</v>
      </c>
      <c r="F45" s="510">
        <v>614</v>
      </c>
      <c r="G45" s="473">
        <f t="shared" si="3"/>
        <v>0</v>
      </c>
      <c r="H45" s="680">
        <f>G45+'2'!H45</f>
        <v>0</v>
      </c>
      <c r="I45" s="455"/>
      <c r="J45" s="552">
        <f>H45/DAY(B2)</f>
        <v>0</v>
      </c>
      <c r="K45" s="428"/>
      <c r="L45" s="377"/>
      <c r="O45" s="382"/>
    </row>
    <row r="46" spans="1:15">
      <c r="A46" s="578" t="s">
        <v>174</v>
      </c>
      <c r="B46" s="579"/>
      <c r="C46" s="579"/>
      <c r="D46" s="523" t="s">
        <v>131</v>
      </c>
      <c r="E46" s="455">
        <f>'2'!F46</f>
        <v>187</v>
      </c>
      <c r="F46" s="510">
        <v>187</v>
      </c>
      <c r="G46" s="473">
        <f t="shared" si="3"/>
        <v>0</v>
      </c>
      <c r="H46" s="680">
        <f>G46+'2'!H46</f>
        <v>0</v>
      </c>
      <c r="I46" s="455"/>
      <c r="J46" s="552">
        <f>H46/DAY(B2)</f>
        <v>0</v>
      </c>
      <c r="K46" s="428"/>
      <c r="L46" s="377"/>
      <c r="O46" s="382"/>
    </row>
    <row r="47" spans="1:15">
      <c r="A47" s="585" t="s">
        <v>175</v>
      </c>
      <c r="B47" s="586"/>
      <c r="C47" s="586"/>
      <c r="D47" s="470"/>
      <c r="E47" s="511"/>
      <c r="F47" s="511"/>
      <c r="G47" s="481">
        <f>G35+G36+G37+G38+G39+G40+G41+G42+G43+G44+G45+G46</f>
        <v>9647.7269999998498</v>
      </c>
      <c r="H47" s="680">
        <f>G47+'2'!H47</f>
        <v>28824.99999999988</v>
      </c>
      <c r="I47" s="455"/>
      <c r="J47" s="552">
        <f>H47/DAY(B2)</f>
        <v>9608.3333333332939</v>
      </c>
      <c r="K47" s="428"/>
      <c r="L47" s="377"/>
      <c r="N47" s="382"/>
      <c r="O47" s="382"/>
    </row>
    <row r="48" spans="1:15">
      <c r="A48" s="598" t="s">
        <v>176</v>
      </c>
      <c r="B48" s="1310"/>
      <c r="C48" s="1310"/>
      <c r="D48" s="472"/>
      <c r="E48" s="471"/>
      <c r="F48" s="471"/>
      <c r="G48" s="472"/>
      <c r="H48" s="472"/>
      <c r="I48" s="472"/>
      <c r="J48" s="551"/>
      <c r="K48" s="428"/>
      <c r="L48" s="377"/>
      <c r="O48" s="382"/>
    </row>
    <row r="49" spans="1:15">
      <c r="A49" s="578" t="s">
        <v>163</v>
      </c>
      <c r="B49" s="601"/>
      <c r="C49" s="601"/>
      <c r="D49" s="523" t="s">
        <v>131</v>
      </c>
      <c r="E49" s="455">
        <f>'2'!F49</f>
        <v>260732.13</v>
      </c>
      <c r="F49" s="510">
        <v>260732.13</v>
      </c>
      <c r="G49" s="473">
        <f t="shared" ref="G49:G58" si="4">F49-E49</f>
        <v>0</v>
      </c>
      <c r="H49" s="680">
        <f>G49+'2'!H49</f>
        <v>0.13000000000465661</v>
      </c>
      <c r="I49" s="455"/>
      <c r="J49" s="552">
        <f>H49/DAY(B2)</f>
        <v>4.3333333334885538E-2</v>
      </c>
      <c r="K49" s="428"/>
      <c r="L49" s="377"/>
      <c r="O49" s="382"/>
    </row>
    <row r="50" spans="1:15">
      <c r="A50" s="578" t="s">
        <v>177</v>
      </c>
      <c r="B50" s="601"/>
      <c r="C50" s="601"/>
      <c r="D50" s="523" t="s">
        <v>131</v>
      </c>
      <c r="E50" s="455">
        <f>'2'!F50</f>
        <v>504204.71</v>
      </c>
      <c r="F50" s="510">
        <v>505073.95</v>
      </c>
      <c r="G50" s="473">
        <f t="shared" si="4"/>
        <v>869.23999999999069</v>
      </c>
      <c r="H50" s="680">
        <f>G50+'2'!H50</f>
        <v>2537.9500000000116</v>
      </c>
      <c r="I50" s="455"/>
      <c r="J50" s="552">
        <f>H50/DAY(B2)</f>
        <v>845.98333333333721</v>
      </c>
      <c r="K50" s="428"/>
      <c r="L50" s="377"/>
      <c r="O50" s="382"/>
    </row>
    <row r="51" spans="1:15">
      <c r="A51" s="578" t="s">
        <v>165</v>
      </c>
      <c r="B51" s="601"/>
      <c r="C51" s="601"/>
      <c r="D51" s="523" t="s">
        <v>131</v>
      </c>
      <c r="E51" s="455">
        <f>'2'!F51</f>
        <v>144639.87</v>
      </c>
      <c r="F51" s="510">
        <v>144639.87</v>
      </c>
      <c r="G51" s="473">
        <f t="shared" si="4"/>
        <v>0</v>
      </c>
      <c r="H51" s="680">
        <f>G51+'2'!H51</f>
        <v>-0.13000000000465661</v>
      </c>
      <c r="I51" s="455"/>
      <c r="J51" s="552">
        <f>H51/DAY(B2)</f>
        <v>-4.3333333334885538E-2</v>
      </c>
      <c r="K51" s="428"/>
      <c r="L51" s="377"/>
      <c r="O51" s="382"/>
    </row>
    <row r="52" spans="1:15">
      <c r="A52" s="578" t="s">
        <v>178</v>
      </c>
      <c r="B52" s="601"/>
      <c r="C52" s="601"/>
      <c r="D52" s="523" t="s">
        <v>131</v>
      </c>
      <c r="E52" s="455">
        <f>'2'!F52</f>
        <v>539606</v>
      </c>
      <c r="F52" s="510">
        <v>539606</v>
      </c>
      <c r="G52" s="473">
        <f>F52-E52</f>
        <v>0</v>
      </c>
      <c r="H52" s="680">
        <f>G52+'2'!H52</f>
        <v>0</v>
      </c>
      <c r="I52" s="455"/>
      <c r="J52" s="552">
        <f>H52/DAY(B2)</f>
        <v>0</v>
      </c>
      <c r="K52" s="428"/>
      <c r="L52" s="377"/>
      <c r="O52" s="382"/>
    </row>
    <row r="53" spans="1:15">
      <c r="A53" s="578" t="s">
        <v>167</v>
      </c>
      <c r="B53" s="601"/>
      <c r="C53" s="601"/>
      <c r="D53" s="523" t="s">
        <v>131</v>
      </c>
      <c r="E53" s="455">
        <f>'2'!F53</f>
        <v>433626.31</v>
      </c>
      <c r="F53" s="510">
        <v>434148.91</v>
      </c>
      <c r="G53" s="473">
        <f t="shared" si="4"/>
        <v>522.59999999997672</v>
      </c>
      <c r="H53" s="680">
        <f>G53+'2'!H53</f>
        <v>1580.9099999999744</v>
      </c>
      <c r="I53" s="455"/>
      <c r="J53" s="552">
        <f>H53/DAY(B2)</f>
        <v>526.9699999999915</v>
      </c>
      <c r="K53" s="428"/>
      <c r="L53" s="377"/>
      <c r="O53" s="382"/>
    </row>
    <row r="54" spans="1:15">
      <c r="A54" s="578" t="s">
        <v>179</v>
      </c>
      <c r="B54" s="601"/>
      <c r="C54" s="601"/>
      <c r="D54" s="523" t="s">
        <v>131</v>
      </c>
      <c r="E54" s="455">
        <f>'2'!F54</f>
        <v>13923.83</v>
      </c>
      <c r="F54" s="654">
        <v>14003.02</v>
      </c>
      <c r="G54" s="473">
        <f t="shared" si="4"/>
        <v>79.190000000000509</v>
      </c>
      <c r="H54" s="680">
        <f>G54+'2'!H54</f>
        <v>253.02000000000044</v>
      </c>
      <c r="I54" s="455"/>
      <c r="J54" s="552">
        <f>H54/DAY(B2)</f>
        <v>84.340000000000146</v>
      </c>
      <c r="K54" s="428"/>
      <c r="L54" s="377"/>
      <c r="O54" s="382"/>
    </row>
    <row r="55" spans="1:15">
      <c r="A55" s="578" t="s">
        <v>180</v>
      </c>
      <c r="B55" s="601"/>
      <c r="C55" s="601"/>
      <c r="D55" s="523" t="s">
        <v>131</v>
      </c>
      <c r="E55" s="455">
        <f>'2'!F55</f>
        <v>68110.679999999993</v>
      </c>
      <c r="F55" s="654">
        <v>68110.679999999993</v>
      </c>
      <c r="G55" s="473">
        <f t="shared" si="4"/>
        <v>0</v>
      </c>
      <c r="H55" s="680">
        <f>G55+'2'!H55</f>
        <v>-0.32000000000698492</v>
      </c>
      <c r="I55" s="455"/>
      <c r="J55" s="552">
        <f>H55/DAY(B2)</f>
        <v>-0.10666666666899498</v>
      </c>
      <c r="K55" s="428"/>
      <c r="L55" s="377"/>
      <c r="O55" s="382"/>
    </row>
    <row r="56" spans="1:15">
      <c r="A56" s="578" t="s">
        <v>181</v>
      </c>
      <c r="B56" s="601"/>
      <c r="C56" s="601"/>
      <c r="D56" s="523" t="s">
        <v>182</v>
      </c>
      <c r="E56" s="455">
        <f>'2'!F56</f>
        <v>627429.06999999995</v>
      </c>
      <c r="F56" s="654">
        <v>631757.31000000006</v>
      </c>
      <c r="G56" s="473">
        <f t="shared" si="4"/>
        <v>4328.2400000001071</v>
      </c>
      <c r="H56" s="680">
        <f>G56+'2'!H56</f>
        <v>14559.310000000056</v>
      </c>
      <c r="I56" s="455"/>
      <c r="J56" s="552">
        <f>H56/DAY(B2)</f>
        <v>4853.1033333333517</v>
      </c>
      <c r="K56" s="427"/>
      <c r="L56" s="377"/>
      <c r="O56" s="382"/>
    </row>
    <row r="57" spans="1:15">
      <c r="A57" s="578" t="s">
        <v>171</v>
      </c>
      <c r="B57" s="601"/>
      <c r="C57" s="601"/>
      <c r="D57" s="523" t="s">
        <v>131</v>
      </c>
      <c r="E57" s="455">
        <f>'2'!F57</f>
        <v>7711</v>
      </c>
      <c r="F57" s="654">
        <v>7711</v>
      </c>
      <c r="G57" s="473">
        <f t="shared" si="4"/>
        <v>0</v>
      </c>
      <c r="H57" s="680">
        <f>G57+'2'!H57</f>
        <v>0</v>
      </c>
      <c r="I57" s="455"/>
      <c r="J57" s="552">
        <f>H57/DAY(B2)</f>
        <v>0</v>
      </c>
      <c r="K57" s="428"/>
      <c r="L57" s="377"/>
      <c r="O57" s="382"/>
    </row>
    <row r="58" spans="1:15">
      <c r="A58" s="578" t="s">
        <v>183</v>
      </c>
      <c r="B58" s="601"/>
      <c r="C58" s="601"/>
      <c r="D58" s="523" t="s">
        <v>131</v>
      </c>
      <c r="E58" s="455">
        <f>'2'!F58</f>
        <v>49729</v>
      </c>
      <c r="F58" s="654">
        <v>49961.06</v>
      </c>
      <c r="G58" s="473">
        <f t="shared" si="4"/>
        <v>232.05999999999767</v>
      </c>
      <c r="H58" s="680">
        <f>G58+'2'!H58</f>
        <v>336.05999999999767</v>
      </c>
      <c r="I58" s="455"/>
      <c r="J58" s="552">
        <f>H58/DAY(B2)</f>
        <v>112.01999999999923</v>
      </c>
      <c r="K58" s="428"/>
      <c r="L58" s="377"/>
      <c r="O58" s="382"/>
    </row>
    <row r="59" spans="1:15">
      <c r="A59" s="585" t="s">
        <v>175</v>
      </c>
      <c r="B59" s="586"/>
      <c r="C59" s="586"/>
      <c r="D59" s="511"/>
      <c r="E59" s="511"/>
      <c r="F59" s="511"/>
      <c r="G59" s="481">
        <f>G49+G50+G51+G52+G53+G54+G55+G56+G57+G58</f>
        <v>6031.3300000000727</v>
      </c>
      <c r="H59" s="680">
        <f>G59+'2'!H59</f>
        <v>19266.930000000033</v>
      </c>
      <c r="I59" s="455">
        <f>G7-G60</f>
        <v>396.1830000000682</v>
      </c>
      <c r="J59" s="552">
        <f>H59/DAY(B2)</f>
        <v>6422.3100000000113</v>
      </c>
      <c r="K59" s="428"/>
      <c r="L59" s="377"/>
      <c r="O59" s="382"/>
    </row>
    <row r="60" spans="1:15">
      <c r="A60" s="578"/>
      <c r="B60" s="579"/>
      <c r="C60" s="579"/>
      <c r="D60" s="511" t="s">
        <v>184</v>
      </c>
      <c r="E60" s="511"/>
      <c r="F60" s="511"/>
      <c r="G60" s="481">
        <f>G47+G59</f>
        <v>15679.056999999922</v>
      </c>
      <c r="H60" s="680">
        <f>G60+'2'!H60</f>
        <v>48091.929999999913</v>
      </c>
      <c r="I60" s="455">
        <f>G13-G60</f>
        <v>-128.75699999987592</v>
      </c>
      <c r="J60" s="552">
        <f>H60/DAY(B2)</f>
        <v>16030.643333333304</v>
      </c>
      <c r="K60" s="428"/>
      <c r="L60" s="377"/>
      <c r="O60" s="382"/>
    </row>
    <row r="61" spans="1:15">
      <c r="A61" s="602" t="s">
        <v>185</v>
      </c>
      <c r="B61" s="453"/>
      <c r="C61" s="453"/>
      <c r="D61" s="513"/>
      <c r="E61" s="512"/>
      <c r="F61" s="512"/>
      <c r="G61" s="513"/>
      <c r="H61" s="513"/>
      <c r="I61" s="513"/>
      <c r="J61" s="555"/>
      <c r="K61" s="428"/>
      <c r="L61" s="377"/>
      <c r="O61" s="382"/>
    </row>
    <row r="62" spans="1:15">
      <c r="A62" s="603" t="s">
        <v>97</v>
      </c>
      <c r="B62" s="604"/>
      <c r="C62" s="604"/>
      <c r="D62" s="511" t="s">
        <v>186</v>
      </c>
      <c r="E62" s="514">
        <v>20419</v>
      </c>
      <c r="F62" s="514">
        <v>20419</v>
      </c>
      <c r="G62" s="473">
        <f t="shared" ref="G62:G69" si="5">F62-E62</f>
        <v>0</v>
      </c>
      <c r="H62" s="680">
        <f>G62+'2'!H62</f>
        <v>0</v>
      </c>
      <c r="I62" s="515"/>
      <c r="J62" s="552">
        <f>H62/DAY(B2)</f>
        <v>0</v>
      </c>
      <c r="K62" s="428"/>
      <c r="L62" s="377"/>
      <c r="O62" s="382"/>
    </row>
    <row r="63" spans="1:15">
      <c r="A63" s="603" t="s">
        <v>187</v>
      </c>
      <c r="B63" s="604"/>
      <c r="C63" s="604"/>
      <c r="D63" s="511" t="s">
        <v>186</v>
      </c>
      <c r="E63" s="455">
        <f>'2'!F63</f>
        <v>0</v>
      </c>
      <c r="F63" s="514">
        <v>0</v>
      </c>
      <c r="G63" s="473">
        <f t="shared" si="5"/>
        <v>0</v>
      </c>
      <c r="H63" s="680">
        <f>G63+'2'!H63</f>
        <v>0</v>
      </c>
      <c r="I63" s="515"/>
      <c r="J63" s="552">
        <f>H63/DAY(B2)</f>
        <v>0</v>
      </c>
      <c r="K63" s="428"/>
      <c r="L63" s="377"/>
      <c r="O63" s="382"/>
    </row>
    <row r="64" spans="1:15" ht="27.75">
      <c r="A64" s="1534" t="s">
        <v>98</v>
      </c>
      <c r="B64" s="1535"/>
      <c r="C64" s="1536"/>
      <c r="D64" s="523" t="s">
        <v>186</v>
      </c>
      <c r="E64" s="455">
        <f>'2'!F64</f>
        <v>160311.88</v>
      </c>
      <c r="F64" s="478">
        <v>160493.07</v>
      </c>
      <c r="G64" s="473">
        <f t="shared" si="5"/>
        <v>181.19000000000233</v>
      </c>
      <c r="H64" s="680">
        <f>G64+'2'!H64</f>
        <v>561.07000000000698</v>
      </c>
      <c r="I64" s="480"/>
      <c r="J64" s="552">
        <f>H64/DAY(B2)</f>
        <v>187.02333333333567</v>
      </c>
      <c r="K64" s="428"/>
      <c r="L64" s="377"/>
      <c r="O64" s="382"/>
    </row>
    <row r="65" spans="1:15" ht="27.75">
      <c r="A65" s="1534" t="s">
        <v>99</v>
      </c>
      <c r="B65" s="1535"/>
      <c r="C65" s="1536"/>
      <c r="D65" s="523" t="s">
        <v>186</v>
      </c>
      <c r="E65" s="455">
        <f>'2'!F65</f>
        <v>161456.68</v>
      </c>
      <c r="F65" s="652">
        <v>161634.31</v>
      </c>
      <c r="G65" s="473">
        <f t="shared" si="5"/>
        <v>177.63000000000466</v>
      </c>
      <c r="H65" s="680">
        <f>G65+'2'!H65</f>
        <v>636.30999999999767</v>
      </c>
      <c r="I65" s="489"/>
      <c r="J65" s="552">
        <f>H65/DAY(B2)</f>
        <v>212.10333333333256</v>
      </c>
      <c r="K65" s="428"/>
      <c r="L65" s="377"/>
      <c r="O65" s="382"/>
    </row>
    <row r="66" spans="1:15" ht="27.75">
      <c r="A66" s="1534" t="s">
        <v>100</v>
      </c>
      <c r="B66" s="1535"/>
      <c r="C66" s="1536"/>
      <c r="D66" s="523" t="s">
        <v>186</v>
      </c>
      <c r="E66" s="455">
        <f>'2'!F66</f>
        <v>57244.13</v>
      </c>
      <c r="F66" s="478">
        <v>57490.71</v>
      </c>
      <c r="G66" s="473">
        <f t="shared" si="5"/>
        <v>246.58000000000175</v>
      </c>
      <c r="H66" s="680">
        <f>G66+'2'!H66</f>
        <v>685.70999999999913</v>
      </c>
      <c r="I66" s="480"/>
      <c r="J66" s="552">
        <f>H66/DAY(B2)</f>
        <v>228.56999999999971</v>
      </c>
      <c r="K66" s="428"/>
      <c r="L66" s="377"/>
      <c r="O66" s="382"/>
    </row>
    <row r="67" spans="1:15" ht="27.75">
      <c r="A67" s="1534" t="s">
        <v>101</v>
      </c>
      <c r="B67" s="1535"/>
      <c r="C67" s="1536"/>
      <c r="D67" s="523" t="s">
        <v>186</v>
      </c>
      <c r="E67" s="455">
        <f>'2'!F67</f>
        <v>252869.61</v>
      </c>
      <c r="F67" s="478">
        <v>253178.53</v>
      </c>
      <c r="G67" s="473">
        <f t="shared" si="5"/>
        <v>308.92000000001281</v>
      </c>
      <c r="H67" s="680">
        <f>G67+'2'!H67</f>
        <v>986.52999999999884</v>
      </c>
      <c r="I67" s="489"/>
      <c r="J67" s="552">
        <f>H67/DAY(B2)</f>
        <v>328.84333333333296</v>
      </c>
      <c r="K67" s="429"/>
      <c r="L67" s="377"/>
      <c r="O67" s="382"/>
    </row>
    <row r="68" spans="1:15" ht="27.75">
      <c r="A68" s="1534" t="s">
        <v>102</v>
      </c>
      <c r="B68" s="1535"/>
      <c r="C68" s="1536"/>
      <c r="D68" s="523" t="s">
        <v>186</v>
      </c>
      <c r="E68" s="455">
        <f>'2'!F68</f>
        <v>85321</v>
      </c>
      <c r="F68" s="478">
        <v>85321</v>
      </c>
      <c r="G68" s="473">
        <f t="shared" si="5"/>
        <v>0</v>
      </c>
      <c r="H68" s="680">
        <f>G68+'2'!H68</f>
        <v>0</v>
      </c>
      <c r="I68" s="516"/>
      <c r="J68" s="552">
        <f>H68/DAY(B2)</f>
        <v>0</v>
      </c>
      <c r="K68" s="430"/>
      <c r="L68" s="377"/>
      <c r="O68" s="382"/>
    </row>
    <row r="69" spans="1:15" ht="27.75">
      <c r="A69" s="1534" t="s">
        <v>103</v>
      </c>
      <c r="B69" s="1535"/>
      <c r="C69" s="1536"/>
      <c r="D69" s="523" t="s">
        <v>186</v>
      </c>
      <c r="E69" s="455">
        <f>'2'!F69</f>
        <v>81942.25</v>
      </c>
      <c r="F69" s="478">
        <v>82029.429999999993</v>
      </c>
      <c r="G69" s="473">
        <f t="shared" si="5"/>
        <v>87.179999999993015</v>
      </c>
      <c r="H69" s="680">
        <f>G69+'2'!H69</f>
        <v>280.42999999999302</v>
      </c>
      <c r="I69" s="516"/>
      <c r="J69" s="552">
        <f>H69/DAY(B2)</f>
        <v>93.476666666664343</v>
      </c>
      <c r="K69" s="431"/>
      <c r="L69" s="377"/>
      <c r="O69" s="382"/>
    </row>
    <row r="70" spans="1:15" ht="27.75">
      <c r="A70" s="1566" t="s">
        <v>188</v>
      </c>
      <c r="B70" s="1567"/>
      <c r="C70" s="1568"/>
      <c r="D70" s="523" t="s">
        <v>186</v>
      </c>
      <c r="E70" s="518"/>
      <c r="F70" s="518"/>
      <c r="G70" s="518"/>
      <c r="H70" s="460"/>
      <c r="I70" s="518"/>
      <c r="J70" s="556"/>
      <c r="K70" s="431"/>
      <c r="L70" s="377"/>
      <c r="O70" s="382"/>
    </row>
    <row r="71" spans="1:15" ht="31.5">
      <c r="A71" s="1580" t="s">
        <v>189</v>
      </c>
      <c r="B71" s="1581"/>
      <c r="C71" s="1581"/>
      <c r="D71" s="1581"/>
      <c r="E71" s="1581"/>
      <c r="F71" s="1581"/>
      <c r="G71" s="1581"/>
      <c r="H71" s="1581"/>
      <c r="I71" s="1581"/>
      <c r="J71" s="1582"/>
      <c r="K71" s="430"/>
      <c r="L71" s="377"/>
      <c r="O71" s="382"/>
    </row>
    <row r="72" spans="1:15" ht="27.75">
      <c r="A72" s="1534" t="s">
        <v>190</v>
      </c>
      <c r="B72" s="1535"/>
      <c r="C72" s="1536"/>
      <c r="D72" s="523" t="s">
        <v>186</v>
      </c>
      <c r="E72" s="455">
        <f>'2'!F72</f>
        <v>855870</v>
      </c>
      <c r="F72" s="655">
        <v>855884</v>
      </c>
      <c r="G72" s="473">
        <f t="shared" ref="G72:G84" si="6">F72-E72</f>
        <v>14</v>
      </c>
      <c r="H72" s="680">
        <f>G72+'2'!H72</f>
        <v>41</v>
      </c>
      <c r="I72" s="480"/>
      <c r="J72" s="552">
        <f>H72/DAY(B2)</f>
        <v>13.666666666666666</v>
      </c>
      <c r="K72" s="431"/>
      <c r="L72" s="377"/>
      <c r="O72" s="382"/>
    </row>
    <row r="73" spans="1:15" ht="27.75">
      <c r="A73" s="1534" t="s">
        <v>191</v>
      </c>
      <c r="B73" s="1535"/>
      <c r="C73" s="1536"/>
      <c r="D73" s="523" t="s">
        <v>186</v>
      </c>
      <c r="E73" s="455">
        <f>'2'!F73</f>
        <v>885939</v>
      </c>
      <c r="F73" s="656">
        <v>885941</v>
      </c>
      <c r="G73" s="653">
        <f t="shared" si="6"/>
        <v>2</v>
      </c>
      <c r="H73" s="680">
        <f>G73+'2'!H73</f>
        <v>4</v>
      </c>
      <c r="I73" s="480"/>
      <c r="J73" s="552">
        <f>H73/DAY(B2)</f>
        <v>1.3333333333333333</v>
      </c>
      <c r="K73" s="430"/>
      <c r="L73" s="377"/>
      <c r="O73" s="382"/>
    </row>
    <row r="74" spans="1:15" ht="27.75">
      <c r="A74" s="1534" t="s">
        <v>192</v>
      </c>
      <c r="B74" s="1535"/>
      <c r="C74" s="1536"/>
      <c r="D74" s="523" t="s">
        <v>186</v>
      </c>
      <c r="E74" s="455">
        <f>'2'!F74</f>
        <v>2599.96</v>
      </c>
      <c r="F74" s="657">
        <v>2599.96</v>
      </c>
      <c r="G74" s="473">
        <f t="shared" si="6"/>
        <v>0</v>
      </c>
      <c r="H74" s="680">
        <f>G74+'2'!H74</f>
        <v>13.960000000000036</v>
      </c>
      <c r="I74" s="480"/>
      <c r="J74" s="552">
        <f>H74/DAY(B2)</f>
        <v>4.6533333333333458</v>
      </c>
      <c r="K74" s="431"/>
      <c r="L74" s="377"/>
      <c r="O74" s="382"/>
    </row>
    <row r="75" spans="1:15" ht="27.75">
      <c r="A75" s="1583" t="s">
        <v>193</v>
      </c>
      <c r="B75" s="1584"/>
      <c r="C75" s="1585"/>
      <c r="D75" s="523" t="s">
        <v>186</v>
      </c>
      <c r="E75" s="455">
        <f>'2'!F75</f>
        <v>12783.06</v>
      </c>
      <c r="F75" s="657">
        <v>12833</v>
      </c>
      <c r="G75" s="473">
        <f t="shared" si="6"/>
        <v>49.940000000000509</v>
      </c>
      <c r="H75" s="680">
        <f>G75+'2'!H75</f>
        <v>164</v>
      </c>
      <c r="I75" s="480"/>
      <c r="J75" s="552">
        <f>H75/DAY(B2)</f>
        <v>54.666666666666664</v>
      </c>
      <c r="K75" s="430"/>
      <c r="L75" s="377"/>
      <c r="O75" s="382"/>
    </row>
    <row r="76" spans="1:15" ht="27.75">
      <c r="A76" s="1583" t="s">
        <v>194</v>
      </c>
      <c r="B76" s="1584"/>
      <c r="C76" s="1585"/>
      <c r="D76" s="523" t="s">
        <v>186</v>
      </c>
      <c r="E76" s="455">
        <f>'2'!F76</f>
        <v>7531.43</v>
      </c>
      <c r="F76" s="656">
        <v>7588.63</v>
      </c>
      <c r="G76" s="473">
        <f t="shared" si="6"/>
        <v>57.199999999999818</v>
      </c>
      <c r="H76" s="680">
        <f>G76+'2'!H76</f>
        <v>169.63000000000011</v>
      </c>
      <c r="I76" s="505"/>
      <c r="J76" s="552">
        <f>H76/DAY(B2)</f>
        <v>56.543333333333372</v>
      </c>
      <c r="K76" s="430"/>
      <c r="L76" s="377"/>
      <c r="O76" s="382"/>
    </row>
    <row r="77" spans="1:15" ht="27.75">
      <c r="A77" s="1534" t="s">
        <v>195</v>
      </c>
      <c r="B77" s="1535"/>
      <c r="C77" s="1536"/>
      <c r="D77" s="523" t="s">
        <v>186</v>
      </c>
      <c r="E77" s="455">
        <f>'2'!F77</f>
        <v>702936</v>
      </c>
      <c r="F77" s="656">
        <v>702982</v>
      </c>
      <c r="G77" s="653">
        <f t="shared" si="6"/>
        <v>46</v>
      </c>
      <c r="H77" s="680">
        <f>G77+'2'!H77</f>
        <v>143</v>
      </c>
      <c r="I77" s="505"/>
      <c r="J77" s="552">
        <f>H77/DAY(B2)</f>
        <v>47.666666666666664</v>
      </c>
      <c r="K77" s="430"/>
      <c r="L77" s="377"/>
      <c r="O77" s="382"/>
    </row>
    <row r="78" spans="1:15" ht="27.75">
      <c r="A78" s="1308" t="s">
        <v>196</v>
      </c>
      <c r="B78" s="1301"/>
      <c r="C78" s="1301"/>
      <c r="D78" s="523" t="s">
        <v>186</v>
      </c>
      <c r="E78" s="455">
        <f>'2'!F78</f>
        <v>673140</v>
      </c>
      <c r="F78" s="657">
        <v>673187</v>
      </c>
      <c r="G78" s="473">
        <f t="shared" si="6"/>
        <v>47</v>
      </c>
      <c r="H78" s="680">
        <f>G78+'2'!H78</f>
        <v>155</v>
      </c>
      <c r="I78" s="505"/>
      <c r="J78" s="552">
        <f>H78/DAY(B2)</f>
        <v>51.666666666666664</v>
      </c>
      <c r="K78" s="430"/>
      <c r="L78" s="377"/>
      <c r="O78" s="382"/>
    </row>
    <row r="79" spans="1:15" ht="27.75">
      <c r="A79" s="1583" t="s">
        <v>91</v>
      </c>
      <c r="B79" s="1584"/>
      <c r="C79" s="1585"/>
      <c r="D79" s="524" t="s">
        <v>186</v>
      </c>
      <c r="E79" s="455">
        <f>'2'!F79</f>
        <v>831331</v>
      </c>
      <c r="F79" s="657">
        <v>831484</v>
      </c>
      <c r="G79" s="473">
        <f t="shared" si="6"/>
        <v>153</v>
      </c>
      <c r="H79" s="680">
        <f>G79+'2'!H79</f>
        <v>474</v>
      </c>
      <c r="I79" s="505"/>
      <c r="J79" s="552">
        <f>H79/DAY(B2)</f>
        <v>158</v>
      </c>
      <c r="K79" s="430"/>
      <c r="L79" s="377"/>
      <c r="O79" s="382"/>
    </row>
    <row r="80" spans="1:15" ht="27.75">
      <c r="A80" s="1583" t="s">
        <v>197</v>
      </c>
      <c r="B80" s="1584"/>
      <c r="C80" s="1585"/>
      <c r="D80" s="524" t="s">
        <v>186</v>
      </c>
      <c r="E80" s="455">
        <f>'2'!F80</f>
        <v>528396.24</v>
      </c>
      <c r="F80" s="656">
        <v>528797.64</v>
      </c>
      <c r="G80" s="473">
        <f t="shared" si="6"/>
        <v>401.40000000002328</v>
      </c>
      <c r="H80" s="680">
        <f>G80+'2'!H80</f>
        <v>1139.640000000014</v>
      </c>
      <c r="I80" s="505"/>
      <c r="J80" s="552">
        <f>H80/DAY(B2)</f>
        <v>379.88000000000466</v>
      </c>
      <c r="K80" s="430"/>
      <c r="L80" s="377"/>
      <c r="O80" s="382"/>
    </row>
    <row r="81" spans="1:15" ht="27.75">
      <c r="A81" s="1583" t="s">
        <v>198</v>
      </c>
      <c r="B81" s="1584"/>
      <c r="C81" s="1585"/>
      <c r="D81" s="524" t="s">
        <v>186</v>
      </c>
      <c r="E81" s="455">
        <f>'2'!F81</f>
        <v>639082.04</v>
      </c>
      <c r="F81" s="656">
        <v>639175.24</v>
      </c>
      <c r="G81" s="473">
        <f t="shared" si="6"/>
        <v>93.199999999953434</v>
      </c>
      <c r="H81" s="680">
        <f>G81+'2'!H81</f>
        <v>277.23999999999069</v>
      </c>
      <c r="I81" s="505"/>
      <c r="J81" s="552">
        <f>H81/DAY(B2)</f>
        <v>92.413333333330229</v>
      </c>
      <c r="K81" s="430"/>
      <c r="L81" s="377"/>
      <c r="O81" s="382"/>
    </row>
    <row r="82" spans="1:15" ht="27.75">
      <c r="A82" s="1583" t="s">
        <v>92</v>
      </c>
      <c r="B82" s="1584"/>
      <c r="C82" s="1585"/>
      <c r="D82" s="485" t="s">
        <v>131</v>
      </c>
      <c r="E82" s="455">
        <f>'2'!F82</f>
        <v>108192.73</v>
      </c>
      <c r="F82" s="652">
        <v>108203.85</v>
      </c>
      <c r="G82" s="473">
        <f t="shared" si="6"/>
        <v>11.120000000009895</v>
      </c>
      <c r="H82" s="680">
        <f>G82+'2'!H82</f>
        <v>45.850000000005821</v>
      </c>
      <c r="I82" s="486"/>
      <c r="J82" s="552">
        <f>H82/DAY(B2)</f>
        <v>15.283333333335273</v>
      </c>
      <c r="K82" s="430"/>
      <c r="L82" s="377"/>
      <c r="O82" s="382"/>
    </row>
    <row r="83" spans="1:15" ht="27.75">
      <c r="A83" s="1583" t="s">
        <v>199</v>
      </c>
      <c r="B83" s="1584"/>
      <c r="C83" s="1585"/>
      <c r="D83" s="620" t="s">
        <v>131</v>
      </c>
      <c r="E83" s="455">
        <f>'2'!F83</f>
        <v>20805</v>
      </c>
      <c r="F83" s="511">
        <v>21023</v>
      </c>
      <c r="G83" s="473">
        <f t="shared" si="6"/>
        <v>218</v>
      </c>
      <c r="H83" s="680">
        <f>G83+'2'!H83</f>
        <v>517</v>
      </c>
      <c r="I83" s="481"/>
      <c r="J83" s="552">
        <f>H83/DAY(B2)</f>
        <v>172.33333333333334</v>
      </c>
      <c r="K83" s="429"/>
      <c r="L83" s="377"/>
      <c r="O83" s="382"/>
    </row>
    <row r="84" spans="1:15">
      <c r="A84" s="1309" t="s">
        <v>200</v>
      </c>
      <c r="B84" s="571"/>
      <c r="C84" s="571"/>
      <c r="D84" s="478" t="s">
        <v>131</v>
      </c>
      <c r="E84" s="455">
        <f>'2'!F84</f>
        <v>501942</v>
      </c>
      <c r="F84" s="627">
        <v>502698</v>
      </c>
      <c r="G84" s="473">
        <f t="shared" si="6"/>
        <v>756</v>
      </c>
      <c r="H84" s="680">
        <f>G84+'2'!H84</f>
        <v>2404</v>
      </c>
      <c r="I84" s="481"/>
      <c r="J84" s="552">
        <f>H84/DAY(B2)</f>
        <v>801.33333333333337</v>
      </c>
      <c r="K84" s="380"/>
      <c r="L84" s="377"/>
      <c r="O84" s="382"/>
    </row>
    <row r="85" spans="1:15" s="379" customFormat="1">
      <c r="A85" s="605" t="s">
        <v>201</v>
      </c>
      <c r="B85" s="572"/>
      <c r="C85" s="572"/>
      <c r="D85" s="489"/>
      <c r="E85" s="455">
        <f>'2'!F85</f>
        <v>0</v>
      </c>
      <c r="F85" s="523"/>
      <c r="G85" s="460">
        <f xml:space="preserve"> SUM(G71:G84)</f>
        <v>1848.8599999999869</v>
      </c>
      <c r="H85" s="680">
        <f>G85+'2'!H85</f>
        <v>5548.3200000000106</v>
      </c>
      <c r="I85" s="481"/>
      <c r="J85" s="552">
        <f>H85/DAY(B2)</f>
        <v>1849.4400000000035</v>
      </c>
      <c r="K85" s="380"/>
      <c r="L85" s="378"/>
      <c r="O85" s="382"/>
    </row>
    <row r="86" spans="1:15" s="736" customFormat="1">
      <c r="A86" s="731" t="s">
        <v>93</v>
      </c>
      <c r="B86" s="732"/>
      <c r="C86" s="732"/>
      <c r="D86" s="733" t="s">
        <v>182</v>
      </c>
      <c r="E86" s="455">
        <f>'2'!F86</f>
        <v>461001.8</v>
      </c>
      <c r="F86" s="648">
        <v>461035.72</v>
      </c>
      <c r="G86" s="706">
        <f t="shared" ref="G86:G91" si="7">F86-E86</f>
        <v>33.919999999983702</v>
      </c>
      <c r="H86" s="680">
        <f>G86+'2'!H86</f>
        <v>100.71999999997206</v>
      </c>
      <c r="I86" s="653"/>
      <c r="J86" s="708">
        <f>H86/DAY(B2)</f>
        <v>33.573333333324022</v>
      </c>
      <c r="K86" s="734"/>
      <c r="L86" s="735"/>
      <c r="O86" s="714"/>
    </row>
    <row r="87" spans="1:15" s="736" customFormat="1">
      <c r="A87" s="731" t="s">
        <v>94</v>
      </c>
      <c r="B87" s="732"/>
      <c r="C87" s="732"/>
      <c r="D87" s="733" t="s">
        <v>182</v>
      </c>
      <c r="E87" s="455">
        <f>'2'!F87</f>
        <v>81415.8</v>
      </c>
      <c r="F87" s="648">
        <v>81438.5</v>
      </c>
      <c r="G87" s="706">
        <f t="shared" si="7"/>
        <v>22.69999999999709</v>
      </c>
      <c r="H87" s="680">
        <f>G87+'2'!H87</f>
        <v>63.5</v>
      </c>
      <c r="I87" s="653"/>
      <c r="J87" s="708">
        <f>H87/DAY(B2)</f>
        <v>21.166666666666668</v>
      </c>
      <c r="K87" s="734"/>
      <c r="L87" s="735"/>
      <c r="O87" s="714"/>
    </row>
    <row r="88" spans="1:15" s="736" customFormat="1">
      <c r="A88" s="731" t="s">
        <v>95</v>
      </c>
      <c r="B88" s="732"/>
      <c r="C88" s="732"/>
      <c r="D88" s="733" t="s">
        <v>182</v>
      </c>
      <c r="E88" s="455">
        <f>'2'!F88</f>
        <v>153114.82999999999</v>
      </c>
      <c r="F88" s="648">
        <v>153139.49</v>
      </c>
      <c r="G88" s="706">
        <f t="shared" si="7"/>
        <v>24.660000000003492</v>
      </c>
      <c r="H88" s="680">
        <f>G88+'2'!H88</f>
        <v>75.489999999990687</v>
      </c>
      <c r="I88" s="653"/>
      <c r="J88" s="708">
        <f>H88/DAY(B2)</f>
        <v>25.163333333330229</v>
      </c>
      <c r="K88" s="734"/>
      <c r="L88" s="735"/>
      <c r="O88" s="714"/>
    </row>
    <row r="89" spans="1:15" s="736" customFormat="1">
      <c r="A89" s="731" t="s">
        <v>203</v>
      </c>
      <c r="B89" s="732"/>
      <c r="C89" s="732"/>
      <c r="D89" s="733" t="s">
        <v>182</v>
      </c>
      <c r="E89" s="455">
        <f>'2'!F89</f>
        <v>65196.5</v>
      </c>
      <c r="F89" s="648">
        <v>65207.9</v>
      </c>
      <c r="G89" s="706">
        <f t="shared" si="7"/>
        <v>11.400000000001455</v>
      </c>
      <c r="H89" s="680">
        <f>G89+'2'!H89</f>
        <v>33.30000000000291</v>
      </c>
      <c r="I89" s="653"/>
      <c r="J89" s="708">
        <f>H89/DAY(B2)</f>
        <v>11.10000000000097</v>
      </c>
      <c r="K89" s="734" t="e">
        <f t="shared" ref="K89:K90" si="8">I89/DAY(C3)</f>
        <v>#VALUE!</v>
      </c>
      <c r="L89" s="735"/>
      <c r="N89" s="778"/>
      <c r="O89" s="382"/>
    </row>
    <row r="90" spans="1:15" s="736" customFormat="1">
      <c r="A90" s="731" t="s">
        <v>203</v>
      </c>
      <c r="B90" s="732"/>
      <c r="C90" s="732"/>
      <c r="D90" s="733" t="s">
        <v>182</v>
      </c>
      <c r="E90" s="455">
        <f>'2'!F90</f>
        <v>3273.7</v>
      </c>
      <c r="F90" s="648">
        <v>3273.7</v>
      </c>
      <c r="G90" s="706">
        <f t="shared" si="7"/>
        <v>0</v>
      </c>
      <c r="H90" s="680">
        <f>G90+'2'!H90</f>
        <v>9.9999999999909051E-2</v>
      </c>
      <c r="I90" s="653"/>
      <c r="J90" s="708">
        <f>H90/DAY(B2)</f>
        <v>3.3333333333303017E-2</v>
      </c>
      <c r="K90" s="734" t="e">
        <f t="shared" si="8"/>
        <v>#VALUE!</v>
      </c>
      <c r="L90" s="735"/>
      <c r="N90" s="778"/>
      <c r="O90" s="382"/>
    </row>
    <row r="91" spans="1:15" s="736" customFormat="1">
      <c r="A91" s="731" t="s">
        <v>350</v>
      </c>
      <c r="B91" s="732"/>
      <c r="C91" s="732"/>
      <c r="D91" s="733"/>
      <c r="E91" s="455">
        <f>'2'!F91</f>
        <v>28038.6</v>
      </c>
      <c r="F91" s="648">
        <v>28044</v>
      </c>
      <c r="G91" s="706">
        <f t="shared" si="7"/>
        <v>5.4000000000014552</v>
      </c>
      <c r="H91" s="706"/>
      <c r="I91" s="653"/>
      <c r="J91" s="708"/>
      <c r="K91" s="734"/>
      <c r="L91" s="735"/>
      <c r="N91" s="778"/>
      <c r="O91" s="382"/>
    </row>
    <row r="92" spans="1:15" s="379" customFormat="1">
      <c r="A92" s="606" t="s">
        <v>204</v>
      </c>
      <c r="B92" s="1311"/>
      <c r="C92" s="1311"/>
      <c r="D92" s="472"/>
      <c r="E92" s="472"/>
      <c r="F92" s="472"/>
      <c r="G92" s="488"/>
      <c r="H92" s="472"/>
      <c r="I92" s="472"/>
      <c r="J92" s="551"/>
      <c r="K92" s="380"/>
      <c r="L92" s="378"/>
      <c r="O92" s="382"/>
    </row>
    <row r="93" spans="1:15" ht="27.75">
      <c r="A93" s="1537" t="s">
        <v>205</v>
      </c>
      <c r="B93" s="1538"/>
      <c r="C93" s="1539"/>
      <c r="D93" s="523" t="s">
        <v>143</v>
      </c>
      <c r="E93" s="455">
        <f>'2'!F93</f>
        <v>245548</v>
      </c>
      <c r="F93" s="478">
        <v>245604</v>
      </c>
      <c r="G93" s="473">
        <f t="shared" ref="G93:G94" si="9">F93-E93</f>
        <v>56</v>
      </c>
      <c r="H93" s="680">
        <f>G93+'2'!H93</f>
        <v>116</v>
      </c>
      <c r="I93" s="480"/>
      <c r="J93" s="552">
        <f>H93/DAY(B2)</f>
        <v>38.666666666666664</v>
      </c>
      <c r="K93" s="429"/>
      <c r="L93" s="377"/>
      <c r="O93" s="382"/>
    </row>
    <row r="94" spans="1:15" ht="27.75">
      <c r="A94" s="1537" t="s">
        <v>206</v>
      </c>
      <c r="B94" s="1538"/>
      <c r="C94" s="1539"/>
      <c r="D94" s="523" t="s">
        <v>143</v>
      </c>
      <c r="E94" s="455">
        <f>'2'!F94</f>
        <v>186240</v>
      </c>
      <c r="F94" s="478">
        <v>186339</v>
      </c>
      <c r="G94" s="473">
        <f t="shared" si="9"/>
        <v>99</v>
      </c>
      <c r="H94" s="680">
        <f>G94+'2'!H94</f>
        <v>218</v>
      </c>
      <c r="I94" s="480"/>
      <c r="J94" s="552">
        <f>H94/DAY(B2)</f>
        <v>72.666666666666671</v>
      </c>
      <c r="K94" s="380"/>
      <c r="L94" s="377"/>
      <c r="O94" s="382"/>
    </row>
    <row r="95" spans="1:15">
      <c r="A95" s="1531" t="s">
        <v>207</v>
      </c>
      <c r="B95" s="1532"/>
      <c r="C95" s="1533"/>
      <c r="D95" s="523"/>
      <c r="E95" s="455">
        <f>'2'!F95</f>
        <v>0</v>
      </c>
      <c r="F95" s="478"/>
      <c r="G95" s="473">
        <f>G93+G94</f>
        <v>155</v>
      </c>
      <c r="H95" s="680">
        <f>G95+'2'!H95</f>
        <v>258</v>
      </c>
      <c r="I95" s="480"/>
      <c r="J95" s="552">
        <f>H95/DAY(B2)</f>
        <v>86</v>
      </c>
      <c r="K95" s="380"/>
      <c r="L95" s="377"/>
      <c r="O95" s="382"/>
    </row>
    <row r="96" spans="1:15" ht="27.75">
      <c r="A96" s="1537" t="s">
        <v>208</v>
      </c>
      <c r="B96" s="1538"/>
      <c r="C96" s="1539"/>
      <c r="D96" s="523" t="s">
        <v>143</v>
      </c>
      <c r="E96" s="455">
        <f>'2'!F96</f>
        <v>414359</v>
      </c>
      <c r="F96" s="478">
        <v>414430</v>
      </c>
      <c r="G96" s="473">
        <f t="shared" ref="G96:G101" si="10">F96-E96</f>
        <v>71</v>
      </c>
      <c r="H96" s="680">
        <f>G96+'2'!H96</f>
        <v>147</v>
      </c>
      <c r="I96" s="480"/>
      <c r="J96" s="552">
        <f>H96/DAY(B2)</f>
        <v>49</v>
      </c>
      <c r="K96" s="380"/>
      <c r="L96" s="377"/>
      <c r="O96" s="382"/>
    </row>
    <row r="97" spans="1:15" ht="27.75">
      <c r="A97" s="1305" t="s">
        <v>209</v>
      </c>
      <c r="B97" s="1306"/>
      <c r="C97" s="1306"/>
      <c r="D97" s="523" t="s">
        <v>143</v>
      </c>
      <c r="E97" s="455">
        <f>'2'!F97</f>
        <v>102670</v>
      </c>
      <c r="F97" s="478">
        <v>102680</v>
      </c>
      <c r="G97" s="473">
        <f t="shared" si="10"/>
        <v>10</v>
      </c>
      <c r="H97" s="680">
        <f>G97+'2'!H97</f>
        <v>32</v>
      </c>
      <c r="I97" s="480"/>
      <c r="J97" s="552">
        <f>H97/DAY(B2)</f>
        <v>10.666666666666666</v>
      </c>
      <c r="K97" s="427"/>
      <c r="L97" s="377"/>
      <c r="O97" s="382"/>
    </row>
    <row r="98" spans="1:15" ht="27.75">
      <c r="A98" s="1305" t="s">
        <v>210</v>
      </c>
      <c r="B98" s="1306"/>
      <c r="C98" s="1306"/>
      <c r="D98" s="523" t="s">
        <v>143</v>
      </c>
      <c r="E98" s="455">
        <f>'2'!F98</f>
        <v>97975</v>
      </c>
      <c r="F98" s="478">
        <v>97986</v>
      </c>
      <c r="G98" s="473">
        <f t="shared" si="10"/>
        <v>11</v>
      </c>
      <c r="H98" s="680">
        <f>G98+'2'!H98</f>
        <v>36</v>
      </c>
      <c r="I98" s="480"/>
      <c r="J98" s="552">
        <f>H98/DAY(B2)</f>
        <v>12</v>
      </c>
      <c r="K98" s="432"/>
      <c r="L98" s="377"/>
      <c r="O98" s="382"/>
    </row>
    <row r="99" spans="1:15" ht="27.75">
      <c r="A99" s="1305" t="s">
        <v>211</v>
      </c>
      <c r="B99" s="1306"/>
      <c r="C99" s="1306"/>
      <c r="D99" s="523" t="s">
        <v>143</v>
      </c>
      <c r="E99" s="455">
        <f>'2'!F99</f>
        <v>149863</v>
      </c>
      <c r="F99" s="478">
        <v>149870</v>
      </c>
      <c r="G99" s="473">
        <f t="shared" si="10"/>
        <v>7</v>
      </c>
      <c r="H99" s="680">
        <f>G99+'2'!H99</f>
        <v>18</v>
      </c>
      <c r="I99" s="480"/>
      <c r="J99" s="552">
        <f>H99/DAY(B2)</f>
        <v>6</v>
      </c>
      <c r="K99" s="380"/>
      <c r="L99" s="377"/>
      <c r="O99" s="382"/>
    </row>
    <row r="100" spans="1:15" ht="27.75">
      <c r="A100" s="1305" t="s">
        <v>212</v>
      </c>
      <c r="B100" s="1306"/>
      <c r="C100" s="1306"/>
      <c r="D100" s="523" t="s">
        <v>143</v>
      </c>
      <c r="E100" s="455">
        <f>'2'!F100</f>
        <v>7410</v>
      </c>
      <c r="F100" s="478">
        <v>7429</v>
      </c>
      <c r="G100" s="473">
        <f t="shared" si="10"/>
        <v>19</v>
      </c>
      <c r="H100" s="680">
        <f>G100+'2'!H100</f>
        <v>60</v>
      </c>
      <c r="I100" s="480"/>
      <c r="J100" s="552">
        <f>H100/DAY(B2)</f>
        <v>20</v>
      </c>
      <c r="K100" s="380"/>
      <c r="L100" s="377"/>
      <c r="O100" s="382"/>
    </row>
    <row r="101" spans="1:15" ht="27.75">
      <c r="A101" s="1305" t="s">
        <v>213</v>
      </c>
      <c r="B101" s="1306"/>
      <c r="C101" s="1306"/>
      <c r="D101" s="523" t="s">
        <v>143</v>
      </c>
      <c r="E101" s="455">
        <f>'2'!F101</f>
        <v>5399</v>
      </c>
      <c r="F101" s="478">
        <v>5404</v>
      </c>
      <c r="G101" s="473">
        <f t="shared" si="10"/>
        <v>5</v>
      </c>
      <c r="H101" s="680">
        <f>G101+'2'!H101</f>
        <v>13</v>
      </c>
      <c r="I101" s="480"/>
      <c r="J101" s="552">
        <f>H101/DAY(B2)</f>
        <v>4.333333333333333</v>
      </c>
      <c r="K101" s="380"/>
      <c r="L101" s="377"/>
      <c r="O101" s="382"/>
    </row>
    <row r="102" spans="1:15">
      <c r="A102" s="1531" t="s">
        <v>215</v>
      </c>
      <c r="B102" s="1532"/>
      <c r="C102" s="1533"/>
      <c r="D102" s="524"/>
      <c r="E102" s="524"/>
      <c r="F102" s="524"/>
      <c r="G102" s="525">
        <f>SUM(G96:G101)</f>
        <v>123</v>
      </c>
      <c r="H102" s="680">
        <f>G102+'2'!H102</f>
        <v>306</v>
      </c>
      <c r="I102" s="526"/>
      <c r="J102" s="552">
        <f>H102/DAY(B2)</f>
        <v>102</v>
      </c>
      <c r="K102" s="380"/>
      <c r="L102" s="377"/>
      <c r="O102" s="382"/>
    </row>
    <row r="103" spans="1:15" s="442" customFormat="1" ht="27">
      <c r="A103" s="607" t="s">
        <v>216</v>
      </c>
      <c r="B103" s="608"/>
      <c r="C103" s="608"/>
      <c r="D103" s="621"/>
      <c r="E103" s="528"/>
      <c r="F103" s="658"/>
      <c r="G103" s="529"/>
      <c r="H103" s="530"/>
      <c r="I103" s="531"/>
      <c r="J103" s="557"/>
      <c r="O103" s="382"/>
    </row>
    <row r="104" spans="1:15" s="442" customFormat="1" ht="27.75">
      <c r="A104" s="1540" t="s">
        <v>217</v>
      </c>
      <c r="B104" s="1541"/>
      <c r="C104" s="573"/>
      <c r="D104" s="622"/>
      <c r="E104" s="455"/>
      <c r="F104" s="659"/>
      <c r="G104" s="532"/>
      <c r="H104" s="533"/>
      <c r="I104" s="532"/>
      <c r="J104" s="558"/>
      <c r="O104" s="382"/>
    </row>
    <row r="105" spans="1:15" s="442" customFormat="1" ht="27.75">
      <c r="A105" s="1578" t="s">
        <v>218</v>
      </c>
      <c r="B105" s="1579"/>
      <c r="C105" s="1303"/>
      <c r="D105" s="622" t="s">
        <v>143</v>
      </c>
      <c r="E105" s="455">
        <f>'2'!F105</f>
        <v>7484</v>
      </c>
      <c r="F105" s="659">
        <v>7484</v>
      </c>
      <c r="G105" s="532">
        <f>F105-E105</f>
        <v>0</v>
      </c>
      <c r="H105" s="680">
        <f>G105+'2'!H105</f>
        <v>0</v>
      </c>
      <c r="I105" s="532"/>
      <c r="J105" s="558">
        <f>H109/DAY(B2)</f>
        <v>0</v>
      </c>
      <c r="O105" s="382"/>
    </row>
    <row r="106" spans="1:15" s="442" customFormat="1" ht="27.75">
      <c r="A106" s="1578" t="s">
        <v>76</v>
      </c>
      <c r="B106" s="1579"/>
      <c r="C106" s="1303"/>
      <c r="D106" s="622" t="s">
        <v>143</v>
      </c>
      <c r="E106" s="455">
        <f>'2'!F106</f>
        <v>35953</v>
      </c>
      <c r="F106" s="660">
        <v>35966</v>
      </c>
      <c r="G106" s="532">
        <f t="shared" ref="G106:G107" si="11">F106-E106</f>
        <v>13</v>
      </c>
      <c r="H106" s="680">
        <f>G106+'2'!H106</f>
        <v>13</v>
      </c>
      <c r="I106" s="532"/>
      <c r="J106" s="558">
        <f>H106/DAY(B2)</f>
        <v>4.333333333333333</v>
      </c>
      <c r="O106" s="382"/>
    </row>
    <row r="107" spans="1:15" s="442" customFormat="1" ht="27.75">
      <c r="A107" s="1578" t="s">
        <v>77</v>
      </c>
      <c r="B107" s="1595"/>
      <c r="C107" s="1579"/>
      <c r="D107" s="622" t="s">
        <v>143</v>
      </c>
      <c r="E107" s="455">
        <f>'2'!F107</f>
        <v>19711</v>
      </c>
      <c r="F107" s="659">
        <v>19711</v>
      </c>
      <c r="G107" s="532">
        <f t="shared" si="11"/>
        <v>0</v>
      </c>
      <c r="H107" s="680">
        <f>G107+'2'!H107</f>
        <v>3</v>
      </c>
      <c r="I107" s="532"/>
      <c r="J107" s="558">
        <f>H107/DAY(B2)</f>
        <v>1</v>
      </c>
      <c r="O107" s="382"/>
    </row>
    <row r="108" spans="1:15" s="442" customFormat="1" ht="27.75">
      <c r="A108" s="1574" t="s">
        <v>201</v>
      </c>
      <c r="B108" s="1575"/>
      <c r="C108" s="1303"/>
      <c r="D108" s="622"/>
      <c r="E108" s="455"/>
      <c r="F108" s="659" t="s">
        <v>267</v>
      </c>
      <c r="G108" s="532">
        <f>SUM(G105:G107)</f>
        <v>13</v>
      </c>
      <c r="H108" s="680">
        <f>G108+'2'!H108</f>
        <v>16</v>
      </c>
      <c r="I108" s="532"/>
      <c r="J108" s="558">
        <f>H108/DAY(B2)</f>
        <v>5.333333333333333</v>
      </c>
      <c r="O108" s="382"/>
    </row>
    <row r="109" spans="1:15" s="442" customFormat="1" ht="27.75">
      <c r="A109" s="1593" t="s">
        <v>78</v>
      </c>
      <c r="B109" s="1594"/>
      <c r="C109" s="1303"/>
      <c r="D109" s="622" t="s">
        <v>143</v>
      </c>
      <c r="E109" s="455"/>
      <c r="F109" s="659"/>
      <c r="G109" s="532"/>
      <c r="H109" s="680">
        <f>G109+'2'!H109</f>
        <v>0</v>
      </c>
      <c r="I109" s="532"/>
      <c r="J109" s="558"/>
      <c r="O109" s="382"/>
    </row>
    <row r="110" spans="1:15" s="442" customFormat="1" ht="27.75">
      <c r="A110" s="1578" t="s">
        <v>219</v>
      </c>
      <c r="B110" s="1579"/>
      <c r="C110" s="1303"/>
      <c r="D110" s="622" t="s">
        <v>143</v>
      </c>
      <c r="E110" s="455">
        <f>'2'!F110</f>
        <v>62939</v>
      </c>
      <c r="F110" s="784">
        <v>63026</v>
      </c>
      <c r="G110" s="532">
        <f>F110-E110</f>
        <v>87</v>
      </c>
      <c r="H110" s="680">
        <f>G110+'2'!H110</f>
        <v>192</v>
      </c>
      <c r="I110" s="532"/>
      <c r="J110" s="558">
        <f>H110/DAY(B2)</f>
        <v>64</v>
      </c>
      <c r="O110" s="382"/>
    </row>
    <row r="111" spans="1:15" s="442" customFormat="1" ht="27.75">
      <c r="A111" s="1578" t="s">
        <v>220</v>
      </c>
      <c r="B111" s="1579"/>
      <c r="C111" s="1303"/>
      <c r="D111" s="622" t="s">
        <v>143</v>
      </c>
      <c r="E111" s="455">
        <f>'2'!F111</f>
        <v>32578</v>
      </c>
      <c r="F111" s="659">
        <v>32578</v>
      </c>
      <c r="G111" s="532">
        <f t="shared" ref="G111:G112" si="12">F111-E111</f>
        <v>0</v>
      </c>
      <c r="H111" s="680">
        <f>G111+'2'!H111</f>
        <v>0</v>
      </c>
      <c r="I111" s="532"/>
      <c r="J111" s="558">
        <f>H111/DAY(B2)</f>
        <v>0</v>
      </c>
      <c r="O111" s="382"/>
    </row>
    <row r="112" spans="1:15" s="442" customFormat="1" ht="27.75">
      <c r="A112" s="1578" t="s">
        <v>221</v>
      </c>
      <c r="B112" s="1579"/>
      <c r="C112" s="1303"/>
      <c r="D112" s="622" t="s">
        <v>143</v>
      </c>
      <c r="E112" s="455">
        <f>'2'!F112</f>
        <v>4592</v>
      </c>
      <c r="F112" s="659">
        <v>4606</v>
      </c>
      <c r="G112" s="532">
        <f t="shared" si="12"/>
        <v>14</v>
      </c>
      <c r="H112" s="680">
        <f>G112+'2'!H112</f>
        <v>30</v>
      </c>
      <c r="I112" s="532"/>
      <c r="J112" s="558">
        <f>H112/DAY(B2)</f>
        <v>10</v>
      </c>
      <c r="O112" s="382"/>
    </row>
    <row r="113" spans="1:15" s="442" customFormat="1" ht="27.75">
      <c r="A113" s="1574" t="s">
        <v>109</v>
      </c>
      <c r="B113" s="1575"/>
      <c r="C113" s="1303"/>
      <c r="D113" s="622"/>
      <c r="E113" s="455"/>
      <c r="F113" s="659"/>
      <c r="G113" s="532">
        <f>SUM(G110:G112)</f>
        <v>101</v>
      </c>
      <c r="H113" s="680">
        <f>G113+'2'!H113</f>
        <v>222</v>
      </c>
      <c r="I113" s="532"/>
      <c r="J113" s="558">
        <f>H113/DAY(B2)</f>
        <v>74</v>
      </c>
      <c r="O113" s="382"/>
    </row>
    <row r="114" spans="1:15" s="442" customFormat="1" ht="27.75">
      <c r="A114" s="1593" t="s">
        <v>222</v>
      </c>
      <c r="B114" s="1594"/>
      <c r="C114" s="1303"/>
      <c r="D114" s="622"/>
      <c r="E114" s="455"/>
      <c r="F114" s="659"/>
      <c r="G114" s="532"/>
      <c r="H114" s="680">
        <f>G114+'2'!H114</f>
        <v>0</v>
      </c>
      <c r="I114" s="532"/>
      <c r="J114" s="558">
        <f>H114/DAY(B2)</f>
        <v>0</v>
      </c>
      <c r="O114" s="382"/>
    </row>
    <row r="115" spans="1:15" s="442" customFormat="1" ht="27.75">
      <c r="A115" s="1578" t="s">
        <v>223</v>
      </c>
      <c r="B115" s="1579"/>
      <c r="C115" s="1302"/>
      <c r="D115" s="622" t="s">
        <v>143</v>
      </c>
      <c r="E115" s="455">
        <f>'2'!F115</f>
        <v>11546</v>
      </c>
      <c r="F115" s="660">
        <v>11569</v>
      </c>
      <c r="G115" s="534">
        <f>F115-E115</f>
        <v>23</v>
      </c>
      <c r="H115" s="680">
        <f>G115+'2'!H115</f>
        <v>72</v>
      </c>
      <c r="I115" s="532"/>
      <c r="J115" s="558">
        <f>H115/DAY(B2)</f>
        <v>24</v>
      </c>
      <c r="O115" s="382"/>
    </row>
    <row r="116" spans="1:15" s="442" customFormat="1" ht="27.75">
      <c r="A116" s="1578" t="s">
        <v>224</v>
      </c>
      <c r="B116" s="1579"/>
      <c r="C116" s="1302"/>
      <c r="D116" s="622" t="s">
        <v>143</v>
      </c>
      <c r="E116" s="455">
        <f>'2'!F116</f>
        <v>8320</v>
      </c>
      <c r="F116" s="660">
        <v>8323</v>
      </c>
      <c r="G116" s="534">
        <f t="shared" ref="G116:G117" si="13">F116-E116</f>
        <v>3</v>
      </c>
      <c r="H116" s="680">
        <f>G116+'2'!H116</f>
        <v>11</v>
      </c>
      <c r="I116" s="532"/>
      <c r="J116" s="558">
        <f>H116/DAY(B2)</f>
        <v>3.6666666666666665</v>
      </c>
      <c r="O116" s="382"/>
    </row>
    <row r="117" spans="1:15" s="442" customFormat="1" ht="27.75">
      <c r="A117" s="1578" t="s">
        <v>225</v>
      </c>
      <c r="B117" s="1579"/>
      <c r="C117" s="1302"/>
      <c r="D117" s="622" t="s">
        <v>143</v>
      </c>
      <c r="E117" s="455"/>
      <c r="F117" s="660"/>
      <c r="G117" s="534">
        <f t="shared" si="13"/>
        <v>0</v>
      </c>
      <c r="H117" s="680">
        <f>G117+'2'!H117</f>
        <v>0</v>
      </c>
      <c r="I117" s="532"/>
      <c r="J117" s="558">
        <f>H117/DAY(B2)</f>
        <v>0</v>
      </c>
      <c r="O117" s="382"/>
    </row>
    <row r="118" spans="1:15" s="445" customFormat="1" ht="27.75">
      <c r="A118" s="1574" t="s">
        <v>201</v>
      </c>
      <c r="B118" s="1575"/>
      <c r="C118" s="1302"/>
      <c r="D118" s="781"/>
      <c r="E118" s="455"/>
      <c r="F118" s="660"/>
      <c r="G118" s="534">
        <f>SUM(G115:G117)</f>
        <v>26</v>
      </c>
      <c r="H118" s="680">
        <f>G118+'2'!H118</f>
        <v>83</v>
      </c>
      <c r="I118" s="534"/>
      <c r="J118" s="558">
        <f>H118/DAY(B2)</f>
        <v>27.666666666666668</v>
      </c>
      <c r="O118" s="382"/>
    </row>
    <row r="119" spans="1:15" s="445" customFormat="1" ht="27.75">
      <c r="A119" s="1576" t="s">
        <v>226</v>
      </c>
      <c r="B119" s="1577"/>
      <c r="C119" s="1302"/>
      <c r="D119" s="624" t="s">
        <v>143</v>
      </c>
      <c r="E119" s="455"/>
      <c r="F119" s="661">
        <f>SUM(G19+G93)</f>
        <v>119</v>
      </c>
      <c r="G119" s="536">
        <f>SUM(G19+G93)</f>
        <v>119</v>
      </c>
      <c r="H119" s="680">
        <f>G119+'2'!H119</f>
        <v>291</v>
      </c>
      <c r="I119" s="535"/>
      <c r="J119" s="559">
        <f>H119/DAY(B2)</f>
        <v>97</v>
      </c>
      <c r="O119" s="382"/>
    </row>
    <row r="120" spans="1:15" s="445" customFormat="1" ht="27.75">
      <c r="A120" s="1576" t="s">
        <v>227</v>
      </c>
      <c r="B120" s="1577"/>
      <c r="C120" s="1302"/>
      <c r="D120" s="624" t="s">
        <v>143</v>
      </c>
      <c r="E120" s="536"/>
      <c r="F120" s="661">
        <f>SUM(G96,G97,G98,G100,G101)</f>
        <v>116</v>
      </c>
      <c r="G120" s="536">
        <f>SUM(G96,G97,G98,G100,G101)</f>
        <v>116</v>
      </c>
      <c r="H120" s="680">
        <f>G120+'2'!H120</f>
        <v>288</v>
      </c>
      <c r="I120" s="535"/>
      <c r="J120" s="559">
        <f>H120/DAY(B2)</f>
        <v>96</v>
      </c>
      <c r="O120" s="382"/>
    </row>
    <row r="121" spans="1:15" s="445" customFormat="1" ht="27.75">
      <c r="A121" s="1576" t="s">
        <v>228</v>
      </c>
      <c r="B121" s="1577"/>
      <c r="C121" s="1302"/>
      <c r="D121" s="624" t="s">
        <v>143</v>
      </c>
      <c r="E121" s="534"/>
      <c r="F121" s="660">
        <f>SUM(G113)</f>
        <v>101</v>
      </c>
      <c r="G121" s="534">
        <f>SUM(G113)</f>
        <v>101</v>
      </c>
      <c r="H121" s="680">
        <f>G121+'2'!H121</f>
        <v>222</v>
      </c>
      <c r="I121" s="535"/>
      <c r="J121" s="559">
        <f>H121/DAY(B2)</f>
        <v>74</v>
      </c>
      <c r="O121" s="382"/>
    </row>
    <row r="122" spans="1:15" s="442" customFormat="1" ht="27.75">
      <c r="A122" s="1578"/>
      <c r="B122" s="1579"/>
      <c r="C122" s="1303"/>
      <c r="D122" s="560"/>
      <c r="E122" s="560"/>
      <c r="F122" s="662" t="s">
        <v>214</v>
      </c>
      <c r="G122" s="560"/>
      <c r="H122" s="561"/>
      <c r="I122" s="560"/>
      <c r="J122" s="562"/>
      <c r="O122" s="382"/>
    </row>
    <row r="123" spans="1:15">
      <c r="A123" s="1528" t="s">
        <v>229</v>
      </c>
      <c r="B123" s="1529"/>
      <c r="C123" s="1530"/>
      <c r="D123" s="472"/>
      <c r="E123" s="472"/>
      <c r="F123" s="472"/>
      <c r="G123" s="483"/>
      <c r="H123" s="483"/>
      <c r="I123" s="483"/>
      <c r="J123" s="563"/>
      <c r="K123" s="380"/>
      <c r="L123" s="377"/>
      <c r="O123" s="382"/>
    </row>
    <row r="124" spans="1:15" ht="27.75">
      <c r="A124" s="1305" t="s">
        <v>230</v>
      </c>
      <c r="B124" s="1306"/>
      <c r="C124" s="1306"/>
      <c r="D124" s="523" t="s">
        <v>140</v>
      </c>
      <c r="E124" s="455">
        <f>'2'!F124</f>
        <v>832711.85</v>
      </c>
      <c r="F124" s="478">
        <v>832890.3</v>
      </c>
      <c r="G124" s="473">
        <f t="shared" ref="G124:G128" si="14">F124-E124</f>
        <v>178.45000000006985</v>
      </c>
      <c r="H124" s="680">
        <f>G124+'2'!H124</f>
        <v>524.30000000004657</v>
      </c>
      <c r="I124" s="526"/>
      <c r="J124" s="552">
        <f>H124/DAY(B2)</f>
        <v>174.7666666666822</v>
      </c>
      <c r="K124" s="380"/>
      <c r="L124" s="377"/>
      <c r="O124" s="382"/>
    </row>
    <row r="125" spans="1:15" ht="27.75">
      <c r="A125" s="1305" t="s">
        <v>231</v>
      </c>
      <c r="B125" s="1306"/>
      <c r="C125" s="1306"/>
      <c r="D125" s="523" t="s">
        <v>140</v>
      </c>
      <c r="E125" s="455">
        <f>'2'!F125</f>
        <v>73583.399999999994</v>
      </c>
      <c r="F125" s="626">
        <v>73583.399999999994</v>
      </c>
      <c r="G125" s="473">
        <f t="shared" si="14"/>
        <v>0</v>
      </c>
      <c r="H125" s="680">
        <f>G125+'2'!H125</f>
        <v>0</v>
      </c>
      <c r="I125" s="526"/>
      <c r="J125" s="552">
        <f>H125/DAY(B2)</f>
        <v>0</v>
      </c>
      <c r="K125" s="380"/>
      <c r="L125" s="377"/>
      <c r="O125" s="382"/>
    </row>
    <row r="126" spans="1:15" ht="27.75">
      <c r="A126" s="1534" t="s">
        <v>232</v>
      </c>
      <c r="B126" s="1535"/>
      <c r="C126" s="1536"/>
      <c r="D126" s="523" t="s">
        <v>140</v>
      </c>
      <c r="E126" s="455">
        <f>'2'!F126</f>
        <v>146606.32999999999</v>
      </c>
      <c r="F126" s="478">
        <v>146669.01999999999</v>
      </c>
      <c r="G126" s="473">
        <f t="shared" si="14"/>
        <v>62.690000000002328</v>
      </c>
      <c r="H126" s="680">
        <f>G126+'2'!H126</f>
        <v>178.01999999998952</v>
      </c>
      <c r="I126" s="526"/>
      <c r="J126" s="552">
        <f>H126/DAY(B2)</f>
        <v>59.339999999996508</v>
      </c>
      <c r="K126" s="380"/>
      <c r="L126" s="377"/>
      <c r="O126" s="382"/>
    </row>
    <row r="127" spans="1:15" ht="27.75">
      <c r="A127" s="609" t="s">
        <v>233</v>
      </c>
      <c r="B127" s="1306"/>
      <c r="C127" s="1306"/>
      <c r="D127" s="523" t="s">
        <v>140</v>
      </c>
      <c r="E127" s="455">
        <f>'2'!F127</f>
        <v>31406.2</v>
      </c>
      <c r="F127" s="1377">
        <v>31406.2</v>
      </c>
      <c r="G127" s="473">
        <f t="shared" si="14"/>
        <v>0</v>
      </c>
      <c r="H127" s="680">
        <f>G127+'2'!H127</f>
        <v>0.2000000000007276</v>
      </c>
      <c r="I127" s="526"/>
      <c r="J127" s="552">
        <f>H127/DAY(B2)</f>
        <v>6.6666666666909194E-2</v>
      </c>
      <c r="K127" s="380"/>
      <c r="L127" s="377"/>
      <c r="O127" s="382"/>
    </row>
    <row r="128" spans="1:15" ht="27.75">
      <c r="A128" s="609" t="s">
        <v>234</v>
      </c>
      <c r="B128" s="1306"/>
      <c r="C128" s="1306"/>
      <c r="D128" s="523" t="s">
        <v>140</v>
      </c>
      <c r="E128" s="455">
        <f>'2'!F128</f>
        <v>8971.7000000000007</v>
      </c>
      <c r="F128" s="626">
        <v>8971.7000000000007</v>
      </c>
      <c r="G128" s="473">
        <f t="shared" si="14"/>
        <v>0</v>
      </c>
      <c r="H128" s="680">
        <f>G128+'2'!H128</f>
        <v>-0.2999999999992724</v>
      </c>
      <c r="I128" s="480"/>
      <c r="J128" s="552">
        <f>H128/DAY(B2)</f>
        <v>-9.9999999999757463E-2</v>
      </c>
      <c r="K128" s="380"/>
      <c r="L128" s="377"/>
      <c r="O128" s="382"/>
    </row>
    <row r="129" spans="1:15" s="281" customFormat="1" ht="27.75">
      <c r="A129" s="609" t="s">
        <v>235</v>
      </c>
      <c r="B129" s="1306"/>
      <c r="C129" s="1306"/>
      <c r="D129" s="523"/>
      <c r="E129" s="455">
        <f>'2'!F129</f>
        <v>0</v>
      </c>
      <c r="F129" s="478"/>
      <c r="G129" s="473">
        <f>G15-SUM(G124:G128)</f>
        <v>374.66399999993155</v>
      </c>
      <c r="H129" s="680">
        <f>G129+'2'!H129</f>
        <v>617.28399999991962</v>
      </c>
      <c r="I129" s="480"/>
      <c r="J129" s="552">
        <f>H129/DAY(B2)</f>
        <v>205.76133333330654</v>
      </c>
      <c r="K129" s="364"/>
      <c r="L129" s="292"/>
      <c r="O129" s="382"/>
    </row>
    <row r="130" spans="1:15">
      <c r="A130" s="610" t="s">
        <v>236</v>
      </c>
      <c r="B130" s="458"/>
      <c r="C130" s="458"/>
      <c r="D130" s="471"/>
      <c r="E130" s="471"/>
      <c r="F130" s="471"/>
      <c r="G130" s="540"/>
      <c r="H130" s="540"/>
      <c r="I130" s="540"/>
      <c r="J130" s="564"/>
      <c r="O130" s="382"/>
    </row>
    <row r="131" spans="1:15" ht="27.75">
      <c r="A131" s="1305" t="s">
        <v>237</v>
      </c>
      <c r="B131" s="1306"/>
      <c r="C131" s="1306"/>
      <c r="D131" s="523" t="s">
        <v>238</v>
      </c>
      <c r="E131" s="455">
        <f>'2'!F131</f>
        <v>0</v>
      </c>
      <c r="F131" s="478">
        <v>0</v>
      </c>
      <c r="G131" s="473">
        <f t="shared" ref="G131:G141" si="15">F131-E131</f>
        <v>0</v>
      </c>
      <c r="H131" s="680">
        <f>G131+'2'!H131</f>
        <v>0</v>
      </c>
      <c r="I131" s="480"/>
      <c r="J131" s="552">
        <f>H131/DAY(B2)</f>
        <v>0</v>
      </c>
      <c r="O131" s="382"/>
    </row>
    <row r="132" spans="1:15" ht="27.75">
      <c r="A132" s="1305" t="s">
        <v>239</v>
      </c>
      <c r="B132" s="1306"/>
      <c r="C132" s="1306"/>
      <c r="D132" s="523" t="s">
        <v>238</v>
      </c>
      <c r="E132" s="455">
        <f>'2'!F132</f>
        <v>0</v>
      </c>
      <c r="F132" s="478">
        <v>0</v>
      </c>
      <c r="G132" s="473">
        <f t="shared" si="15"/>
        <v>0</v>
      </c>
      <c r="H132" s="680">
        <f>G132+'2'!H132</f>
        <v>0</v>
      </c>
      <c r="I132" s="480"/>
      <c r="J132" s="552">
        <f>H132/DAY(B2)</f>
        <v>0</v>
      </c>
      <c r="O132" s="382"/>
    </row>
    <row r="133" spans="1:15" ht="27.75">
      <c r="A133" s="1305" t="s">
        <v>240</v>
      </c>
      <c r="B133" s="1306"/>
      <c r="C133" s="1306"/>
      <c r="D133" s="523" t="s">
        <v>238</v>
      </c>
      <c r="E133" s="455">
        <f>'2'!F133</f>
        <v>40059</v>
      </c>
      <c r="F133" s="652">
        <v>40059</v>
      </c>
      <c r="G133" s="473">
        <f t="shared" si="15"/>
        <v>0</v>
      </c>
      <c r="H133" s="680">
        <f>G133+'2'!H133</f>
        <v>0</v>
      </c>
      <c r="I133" s="480"/>
      <c r="J133" s="552">
        <f>H133/DAY(B2)</f>
        <v>0</v>
      </c>
      <c r="O133" s="382"/>
    </row>
    <row r="134" spans="1:15" ht="27.75">
      <c r="A134" s="1305" t="s">
        <v>241</v>
      </c>
      <c r="B134" s="1306"/>
      <c r="C134" s="1306"/>
      <c r="D134" s="523" t="s">
        <v>238</v>
      </c>
      <c r="E134" s="455">
        <f>'2'!F134</f>
        <v>300</v>
      </c>
      <c r="F134" s="626">
        <v>300</v>
      </c>
      <c r="G134" s="473">
        <f t="shared" si="15"/>
        <v>0</v>
      </c>
      <c r="H134" s="680">
        <f>G134+'2'!H134</f>
        <v>0</v>
      </c>
      <c r="I134" s="480"/>
      <c r="J134" s="552">
        <f>H134/DAY(B2)</f>
        <v>0</v>
      </c>
      <c r="O134" s="382"/>
    </row>
    <row r="135" spans="1:15" ht="27.75">
      <c r="A135" s="1305" t="s">
        <v>242</v>
      </c>
      <c r="B135" s="1306"/>
      <c r="C135" s="1306"/>
      <c r="D135" s="523" t="s">
        <v>238</v>
      </c>
      <c r="E135" s="455">
        <f>'2'!F135</f>
        <v>41730</v>
      </c>
      <c r="F135" s="626">
        <v>41730</v>
      </c>
      <c r="G135" s="473">
        <f t="shared" si="15"/>
        <v>0</v>
      </c>
      <c r="H135" s="680">
        <f>G135+'2'!H135</f>
        <v>0</v>
      </c>
      <c r="I135" s="480"/>
      <c r="J135" s="552">
        <f>H135/DAY(B2)</f>
        <v>0</v>
      </c>
      <c r="O135" s="382"/>
    </row>
    <row r="136" spans="1:15" ht="27.75">
      <c r="A136" s="1305" t="s">
        <v>243</v>
      </c>
      <c r="B136" s="1306"/>
      <c r="C136" s="1306"/>
      <c r="D136" s="523" t="s">
        <v>238</v>
      </c>
      <c r="E136" s="455">
        <f>'2'!F136</f>
        <v>32763</v>
      </c>
      <c r="F136" s="626">
        <v>32787</v>
      </c>
      <c r="G136" s="473">
        <f t="shared" si="15"/>
        <v>24</v>
      </c>
      <c r="H136" s="680">
        <f>G136+'2'!H136</f>
        <v>72</v>
      </c>
      <c r="I136" s="480">
        <f t="shared" ref="I136" si="16">G133+G134+G135+G136</f>
        <v>24</v>
      </c>
      <c r="J136" s="552">
        <f>H136/DAY(B2)</f>
        <v>24</v>
      </c>
      <c r="O136" s="382"/>
    </row>
    <row r="137" spans="1:15" ht="27.75">
      <c r="A137" s="1305" t="s">
        <v>244</v>
      </c>
      <c r="B137" s="1306"/>
      <c r="C137" s="1306"/>
      <c r="D137" s="523" t="s">
        <v>238</v>
      </c>
      <c r="E137" s="455">
        <f>'2'!F137</f>
        <v>22807.279999999999</v>
      </c>
      <c r="F137" s="652">
        <v>22814.28</v>
      </c>
      <c r="G137" s="473">
        <f t="shared" si="15"/>
        <v>7</v>
      </c>
      <c r="H137" s="680">
        <f>G137+'2'!H137</f>
        <v>7.0399999999972351</v>
      </c>
      <c r="I137" s="480"/>
      <c r="J137" s="552">
        <f>H137/DAY(B2)</f>
        <v>2.3466666666657452</v>
      </c>
      <c r="O137" s="382"/>
    </row>
    <row r="138" spans="1:15" ht="27.75">
      <c r="A138" s="1305" t="s">
        <v>245</v>
      </c>
      <c r="B138" s="1306"/>
      <c r="C138" s="1306"/>
      <c r="D138" s="523" t="s">
        <v>238</v>
      </c>
      <c r="E138" s="455">
        <f>'2'!F138</f>
        <v>25051.82</v>
      </c>
      <c r="F138" s="652">
        <v>25051.52</v>
      </c>
      <c r="G138" s="473">
        <f t="shared" si="15"/>
        <v>-0.2999999999992724</v>
      </c>
      <c r="H138" s="680">
        <f>G138+'2'!H138</f>
        <v>-0.2999999999992724</v>
      </c>
      <c r="I138" s="480"/>
      <c r="J138" s="552">
        <f>H138/DAY(B2)</f>
        <v>-9.9999999999757463E-2</v>
      </c>
      <c r="O138" s="382"/>
    </row>
    <row r="139" spans="1:15" ht="27.75">
      <c r="A139" s="1305" t="s">
        <v>246</v>
      </c>
      <c r="B139" s="1306"/>
      <c r="C139" s="1306"/>
      <c r="D139" s="523" t="s">
        <v>238</v>
      </c>
      <c r="E139" s="455">
        <f>'2'!F139</f>
        <v>70421.89</v>
      </c>
      <c r="F139" s="652">
        <v>70424.240000000005</v>
      </c>
      <c r="G139" s="473">
        <f t="shared" si="15"/>
        <v>2.3500000000058208</v>
      </c>
      <c r="H139" s="680">
        <f>G139+'2'!H139</f>
        <v>12.5</v>
      </c>
      <c r="I139" s="480">
        <f>G137+G138+G139</f>
        <v>9.0500000000065484</v>
      </c>
      <c r="J139" s="552">
        <f>H139/DAY(B2)</f>
        <v>4.166666666666667</v>
      </c>
      <c r="O139" s="382"/>
    </row>
    <row r="140" spans="1:15" ht="27.75">
      <c r="A140" s="1305" t="s">
        <v>247</v>
      </c>
      <c r="B140" s="1306"/>
      <c r="C140" s="1306"/>
      <c r="D140" s="523" t="s">
        <v>238</v>
      </c>
      <c r="E140" s="455">
        <f>'2'!F140</f>
        <v>1867.67</v>
      </c>
      <c r="F140" s="626">
        <v>1874.45</v>
      </c>
      <c r="G140" s="473">
        <f t="shared" si="15"/>
        <v>6.7799999999999727</v>
      </c>
      <c r="H140" s="680">
        <f>G140+'2'!H140</f>
        <v>20.150000000000091</v>
      </c>
      <c r="I140" s="542"/>
      <c r="J140" s="552">
        <f>H140/DAY(B2)</f>
        <v>6.716666666666697</v>
      </c>
      <c r="O140" s="382"/>
    </row>
    <row r="141" spans="1:15" ht="27.75">
      <c r="A141" s="1305" t="s">
        <v>248</v>
      </c>
      <c r="B141" s="1306"/>
      <c r="C141" s="1306"/>
      <c r="D141" s="523" t="s">
        <v>238</v>
      </c>
      <c r="E141" s="455">
        <f>'2'!F141</f>
        <v>4636.97</v>
      </c>
      <c r="F141" s="478">
        <v>4637</v>
      </c>
      <c r="G141" s="473">
        <f t="shared" si="15"/>
        <v>2.9999999999745341E-2</v>
      </c>
      <c r="H141" s="680">
        <f>G141+'2'!H141</f>
        <v>0</v>
      </c>
      <c r="I141" s="542">
        <f>G141+G178</f>
        <v>2.9999999999745341E-2</v>
      </c>
      <c r="J141" s="552">
        <f>H141/DAY(B2)</f>
        <v>0</v>
      </c>
      <c r="O141" s="382"/>
    </row>
    <row r="142" spans="1:15">
      <c r="A142" s="1572" t="s">
        <v>249</v>
      </c>
      <c r="B142" s="1573"/>
      <c r="C142" s="1311"/>
      <c r="D142" s="472"/>
      <c r="E142" s="472"/>
      <c r="F142" s="472"/>
      <c r="G142" s="483"/>
      <c r="H142" s="483"/>
      <c r="I142" s="483"/>
      <c r="J142" s="563"/>
      <c r="K142" s="380"/>
      <c r="L142" s="377"/>
      <c r="O142" s="382"/>
    </row>
    <row r="143" spans="1:15" ht="27.75">
      <c r="A143" s="1537" t="s">
        <v>250</v>
      </c>
      <c r="B143" s="1538"/>
      <c r="C143" s="1539"/>
      <c r="D143" s="523" t="s">
        <v>131</v>
      </c>
      <c r="E143" s="523"/>
      <c r="F143" s="523"/>
      <c r="G143" s="460">
        <f>G35+G43+G49+G57</f>
        <v>4739.4999999998836</v>
      </c>
      <c r="H143" s="680">
        <f>G143+'2'!H143</f>
        <v>14034.019999999902</v>
      </c>
      <c r="I143" s="480"/>
      <c r="J143" s="552">
        <f>H143/DAY(B2)</f>
        <v>4678.0066666666344</v>
      </c>
      <c r="K143" s="380"/>
      <c r="L143" s="377"/>
      <c r="O143" s="382"/>
    </row>
    <row r="144" spans="1:15" ht="27.75">
      <c r="A144" s="1537" t="s">
        <v>251</v>
      </c>
      <c r="B144" s="1538"/>
      <c r="C144" s="1539"/>
      <c r="D144" s="523" t="s">
        <v>24</v>
      </c>
      <c r="E144" s="511"/>
      <c r="F144" s="511"/>
      <c r="G144" s="543">
        <f>G143/G7</f>
        <v>0.29483230110405112</v>
      </c>
      <c r="H144" s="680">
        <f>G144+'2'!H144</f>
        <v>0.85627311969735576</v>
      </c>
      <c r="I144" s="544"/>
      <c r="J144" s="552">
        <f>H144/DAY(B2)</f>
        <v>0.2854243732324519</v>
      </c>
      <c r="K144" s="380"/>
      <c r="L144" s="377"/>
      <c r="O144" s="382"/>
    </row>
    <row r="145" spans="1:15" ht="27.75">
      <c r="A145" s="1537" t="s">
        <v>252</v>
      </c>
      <c r="B145" s="1538"/>
      <c r="C145" s="1539"/>
      <c r="D145" s="523" t="s">
        <v>131</v>
      </c>
      <c r="E145" s="455"/>
      <c r="F145" s="455"/>
      <c r="G145" s="460">
        <f>G41+G42+G55+G56</f>
        <v>4328.2400000001071</v>
      </c>
      <c r="H145" s="680">
        <f>G145+'2'!H145</f>
        <v>14559.120000000054</v>
      </c>
      <c r="I145" s="480"/>
      <c r="J145" s="552">
        <f>H145/DAY(B2)</f>
        <v>4853.0400000000182</v>
      </c>
      <c r="K145" s="380"/>
      <c r="L145" s="377"/>
      <c r="O145" s="382"/>
    </row>
    <row r="146" spans="1:15" ht="27.75">
      <c r="A146" s="1537" t="s">
        <v>253</v>
      </c>
      <c r="B146" s="1538"/>
      <c r="C146" s="1539"/>
      <c r="D146" s="523" t="s">
        <v>24</v>
      </c>
      <c r="E146" s="455"/>
      <c r="F146" s="455"/>
      <c r="G146" s="543">
        <f>G145/G7</f>
        <v>0.26924885724879438</v>
      </c>
      <c r="H146" s="680">
        <f>G146+'2'!H146</f>
        <v>0.88723921676143869</v>
      </c>
      <c r="I146" s="544"/>
      <c r="J146" s="552">
        <f>H146/DAY(B2)</f>
        <v>0.29574640558714621</v>
      </c>
      <c r="K146" s="380"/>
      <c r="L146" s="377"/>
      <c r="O146" s="382"/>
    </row>
    <row r="147" spans="1:15" ht="27.75">
      <c r="A147" s="1537" t="s">
        <v>254</v>
      </c>
      <c r="B147" s="1538"/>
      <c r="C147" s="1539"/>
      <c r="D147" s="523" t="s">
        <v>131</v>
      </c>
      <c r="E147" s="455"/>
      <c r="F147" s="455"/>
      <c r="G147" s="460">
        <f>G39+G53</f>
        <v>2426.5199999999604</v>
      </c>
      <c r="H147" s="680">
        <f>G147+'2'!H147</f>
        <v>7489.0799999999581</v>
      </c>
      <c r="I147" s="545"/>
      <c r="J147" s="552">
        <f>H147/DAY(B2)</f>
        <v>2496.359999999986</v>
      </c>
      <c r="K147" s="380"/>
      <c r="L147" s="377"/>
      <c r="O147" s="382"/>
    </row>
    <row r="148" spans="1:15" ht="27.75">
      <c r="A148" s="1537" t="s">
        <v>255</v>
      </c>
      <c r="B148" s="1538"/>
      <c r="C148" s="1539"/>
      <c r="D148" s="523" t="s">
        <v>24</v>
      </c>
      <c r="E148" s="455"/>
      <c r="F148" s="455"/>
      <c r="G148" s="543">
        <f>G147/G7</f>
        <v>0.15094766858846037</v>
      </c>
      <c r="H148" s="680">
        <f>G148+'2'!H148</f>
        <v>0.45675284830706037</v>
      </c>
      <c r="I148" s="545"/>
      <c r="J148" s="552">
        <f>H148/DAY(B2)</f>
        <v>0.15225094943568679</v>
      </c>
      <c r="O148" s="382"/>
    </row>
    <row r="149" spans="1:15" ht="27.75">
      <c r="A149" s="1537" t="s">
        <v>256</v>
      </c>
      <c r="B149" s="1538"/>
      <c r="C149" s="1539"/>
      <c r="D149" s="523" t="s">
        <v>182</v>
      </c>
      <c r="E149" s="455"/>
      <c r="F149" s="455"/>
      <c r="G149" s="460">
        <f>G38+G52</f>
        <v>1277.8999999999942</v>
      </c>
      <c r="H149" s="680">
        <f>G149+'2'!H149</f>
        <v>3694.5899999999965</v>
      </c>
      <c r="I149" s="480"/>
      <c r="J149" s="552">
        <f>H149/DAY(B2)</f>
        <v>1231.5299999999988</v>
      </c>
      <c r="K149" s="381"/>
      <c r="O149" s="382"/>
    </row>
    <row r="150" spans="1:15" ht="27.75">
      <c r="A150" s="1537" t="s">
        <v>257</v>
      </c>
      <c r="B150" s="1538"/>
      <c r="C150" s="1539"/>
      <c r="D150" s="523" t="s">
        <v>24</v>
      </c>
      <c r="E150" s="455"/>
      <c r="F150" s="455"/>
      <c r="G150" s="543">
        <f>G149/G7</f>
        <v>7.9494925114648049E-2</v>
      </c>
      <c r="H150" s="680">
        <f>G150+'2'!H150</f>
        <v>0.22547805689022099</v>
      </c>
      <c r="I150" s="545"/>
      <c r="J150" s="552">
        <f>H150/DAY(B2)</f>
        <v>7.5159352296740325E-2</v>
      </c>
      <c r="O150" s="382"/>
    </row>
    <row r="151" spans="1:15" ht="27.75">
      <c r="A151" s="1537" t="s">
        <v>258</v>
      </c>
      <c r="B151" s="1538"/>
      <c r="C151" s="1539"/>
      <c r="D151" s="523" t="s">
        <v>182</v>
      </c>
      <c r="E151" s="455"/>
      <c r="F151" s="455"/>
      <c r="G151" s="460">
        <f>G36+G50</f>
        <v>1344.5969999999907</v>
      </c>
      <c r="H151" s="680">
        <f>G151+'2'!H151</f>
        <v>3947.4300000000117</v>
      </c>
      <c r="I151" s="545"/>
      <c r="J151" s="552">
        <f>H151/DAY(B2)</f>
        <v>1315.8100000000038</v>
      </c>
      <c r="O151" s="382"/>
    </row>
    <row r="152" spans="1:15" ht="27.75">
      <c r="A152" s="1537" t="s">
        <v>259</v>
      </c>
      <c r="B152" s="1538"/>
      <c r="C152" s="1539"/>
      <c r="D152" s="523" t="s">
        <v>24</v>
      </c>
      <c r="E152" s="455"/>
      <c r="F152" s="455"/>
      <c r="G152" s="543">
        <f>G151/G7</f>
        <v>8.3643976699569744E-2</v>
      </c>
      <c r="H152" s="680">
        <f>G152+'2'!H152</f>
        <v>0.24087131151841218</v>
      </c>
      <c r="I152" s="480"/>
      <c r="J152" s="552">
        <f>H152/DAY(B2)</f>
        <v>8.0290437172804055E-2</v>
      </c>
      <c r="O152" s="382"/>
    </row>
    <row r="153" spans="1:15" ht="27.75">
      <c r="A153" s="1537" t="s">
        <v>260</v>
      </c>
      <c r="B153" s="1538"/>
      <c r="C153" s="1539"/>
      <c r="D153" s="523" t="s">
        <v>182</v>
      </c>
      <c r="E153" s="455"/>
      <c r="F153" s="455"/>
      <c r="G153" s="460">
        <f>G37+G51</f>
        <v>1251.0499999999884</v>
      </c>
      <c r="H153" s="680">
        <f>G153+'2'!H153</f>
        <v>3778.6199999999953</v>
      </c>
      <c r="I153" s="480"/>
      <c r="J153" s="552">
        <f>H153/DAY(B2)</f>
        <v>1259.5399999999984</v>
      </c>
      <c r="O153" s="382"/>
    </row>
    <row r="154" spans="1:15" ht="28.5" thickBot="1">
      <c r="A154" s="1569" t="s">
        <v>261</v>
      </c>
      <c r="B154" s="1570"/>
      <c r="C154" s="1571"/>
      <c r="D154" s="625" t="s">
        <v>24</v>
      </c>
      <c r="E154" s="565"/>
      <c r="F154" s="565"/>
      <c r="G154" s="566">
        <f>G153/G7</f>
        <v>7.7824654561921877E-2</v>
      </c>
      <c r="H154" s="680">
        <f>G154+'2'!H154</f>
        <v>0.23050278096366544</v>
      </c>
      <c r="I154" s="568"/>
      <c r="J154" s="569">
        <f>H154/DAY(B2)</f>
        <v>7.6834260321221814E-2</v>
      </c>
      <c r="O154" s="382"/>
    </row>
    <row r="155" spans="1:15">
      <c r="O155" s="382"/>
    </row>
    <row r="158" spans="1:15" ht="27.75">
      <c r="A158" s="1587" t="s">
        <v>266</v>
      </c>
      <c r="B158" s="1588"/>
      <c r="C158" s="1588"/>
      <c r="D158" s="1588"/>
      <c r="E158" s="1588"/>
      <c r="F158" s="1588"/>
      <c r="G158" s="1589"/>
    </row>
    <row r="159" spans="1:15">
      <c r="A159" s="785"/>
      <c r="B159" s="786"/>
      <c r="C159" s="786"/>
      <c r="D159" s="511"/>
      <c r="E159" s="455"/>
      <c r="F159" s="659"/>
      <c r="G159" s="473"/>
    </row>
    <row r="160" spans="1:15">
      <c r="A160" s="785"/>
      <c r="B160" s="786"/>
      <c r="C160" s="786"/>
      <c r="D160" s="511"/>
      <c r="E160" s="455"/>
      <c r="F160" s="659"/>
      <c r="G160" s="473"/>
    </row>
    <row r="161" spans="1:7">
      <c r="A161" s="785" t="s">
        <v>262</v>
      </c>
      <c r="B161" s="786"/>
      <c r="C161" s="786"/>
      <c r="D161" s="511" t="s">
        <v>186</v>
      </c>
      <c r="E161" s="455">
        <f>'2'!F161</f>
        <v>38595.54</v>
      </c>
      <c r="F161" s="659">
        <v>38676.51</v>
      </c>
      <c r="G161" s="473">
        <f t="shared" ref="G161:G172" si="17">F161-E161</f>
        <v>80.970000000001164</v>
      </c>
    </row>
    <row r="162" spans="1:7">
      <c r="A162" s="785" t="s">
        <v>263</v>
      </c>
      <c r="B162" s="786"/>
      <c r="C162" s="786"/>
      <c r="D162" s="511" t="s">
        <v>186</v>
      </c>
      <c r="E162" s="455">
        <f>'2'!F162</f>
        <v>95576.09</v>
      </c>
      <c r="F162" s="659">
        <v>95991.27</v>
      </c>
      <c r="G162" s="473">
        <f t="shared" si="17"/>
        <v>415.18000000000757</v>
      </c>
    </row>
    <row r="163" spans="1:7">
      <c r="A163" s="785" t="s">
        <v>264</v>
      </c>
      <c r="B163" s="786"/>
      <c r="C163" s="786"/>
      <c r="D163" s="511" t="s">
        <v>186</v>
      </c>
      <c r="E163" s="455">
        <f>'2'!F163</f>
        <v>45353.65</v>
      </c>
      <c r="F163" s="659">
        <v>45561.39</v>
      </c>
      <c r="G163" s="473">
        <f t="shared" si="17"/>
        <v>207.73999999999796</v>
      </c>
    </row>
    <row r="164" spans="1:7">
      <c r="A164" s="785" t="s">
        <v>265</v>
      </c>
      <c r="B164" s="786"/>
      <c r="C164" s="786"/>
      <c r="D164" s="511" t="s">
        <v>186</v>
      </c>
      <c r="E164" s="455">
        <f>'2'!F164</f>
        <v>6574.4</v>
      </c>
      <c r="F164" s="659">
        <v>6582.43</v>
      </c>
      <c r="G164" s="473">
        <f t="shared" si="17"/>
        <v>8.0300000000006548</v>
      </c>
    </row>
    <row r="165" spans="1:7">
      <c r="A165" s="787" t="s">
        <v>97</v>
      </c>
      <c r="B165" s="604"/>
      <c r="C165" s="604"/>
      <c r="D165" s="511" t="s">
        <v>186</v>
      </c>
      <c r="E165" s="455">
        <f>'2'!F165</f>
        <v>20419</v>
      </c>
      <c r="F165" s="514">
        <f>F62</f>
        <v>20419</v>
      </c>
      <c r="G165" s="473">
        <f t="shared" si="17"/>
        <v>0</v>
      </c>
    </row>
    <row r="166" spans="1:7">
      <c r="A166" s="787" t="s">
        <v>187</v>
      </c>
      <c r="B166" s="604"/>
      <c r="C166" s="604"/>
      <c r="D166" s="511" t="s">
        <v>186</v>
      </c>
      <c r="E166" s="455">
        <f>'2'!F166</f>
        <v>0</v>
      </c>
      <c r="F166" s="514">
        <v>2370</v>
      </c>
      <c r="G166" s="473">
        <f t="shared" si="17"/>
        <v>2370</v>
      </c>
    </row>
    <row r="167" spans="1:7" ht="21.75" customHeight="1">
      <c r="A167" s="1586" t="s">
        <v>98</v>
      </c>
      <c r="B167" s="1586"/>
      <c r="C167" s="1586"/>
      <c r="D167" s="523" t="s">
        <v>186</v>
      </c>
      <c r="E167" s="455">
        <f>'2'!F167</f>
        <v>160311.88</v>
      </c>
      <c r="F167" s="514">
        <f t="shared" ref="F167:F172" si="18">F64</f>
        <v>160493.07</v>
      </c>
      <c r="G167" s="473">
        <f t="shared" si="17"/>
        <v>181.19000000000233</v>
      </c>
    </row>
    <row r="168" spans="1:7" ht="21.75" customHeight="1">
      <c r="A168" s="1586" t="s">
        <v>99</v>
      </c>
      <c r="B168" s="1586"/>
      <c r="C168" s="1586"/>
      <c r="D168" s="523" t="s">
        <v>186</v>
      </c>
      <c r="E168" s="455">
        <f>'2'!F168</f>
        <v>161456.68</v>
      </c>
      <c r="F168" s="514">
        <v>0</v>
      </c>
      <c r="G168" s="473">
        <f t="shared" si="17"/>
        <v>-161456.68</v>
      </c>
    </row>
    <row r="169" spans="1:7" ht="21.75" customHeight="1">
      <c r="A169" s="1586" t="s">
        <v>100</v>
      </c>
      <c r="B169" s="1586"/>
      <c r="C169" s="1586"/>
      <c r="D169" s="523" t="s">
        <v>186</v>
      </c>
      <c r="E169" s="455">
        <f>'2'!F169</f>
        <v>57244.13</v>
      </c>
      <c r="F169" s="514">
        <f t="shared" si="18"/>
        <v>57490.71</v>
      </c>
      <c r="G169" s="473">
        <f t="shared" si="17"/>
        <v>246.58000000000175</v>
      </c>
    </row>
    <row r="170" spans="1:7" ht="27.75" customHeight="1">
      <c r="A170" s="1586" t="s">
        <v>101</v>
      </c>
      <c r="B170" s="1586"/>
      <c r="C170" s="1586"/>
      <c r="D170" s="523" t="s">
        <v>186</v>
      </c>
      <c r="E170" s="455">
        <f>'2'!F170</f>
        <v>252869.61</v>
      </c>
      <c r="F170" s="514">
        <f t="shared" si="18"/>
        <v>253178.53</v>
      </c>
      <c r="G170" s="473">
        <f t="shared" si="17"/>
        <v>308.92000000001281</v>
      </c>
    </row>
    <row r="171" spans="1:7" ht="24" customHeight="1">
      <c r="A171" s="1586" t="s">
        <v>102</v>
      </c>
      <c r="B171" s="1586"/>
      <c r="C171" s="1586"/>
      <c r="D171" s="523" t="s">
        <v>186</v>
      </c>
      <c r="E171" s="455">
        <f>'2'!F171</f>
        <v>85321</v>
      </c>
      <c r="F171" s="514">
        <f t="shared" si="18"/>
        <v>85321</v>
      </c>
      <c r="G171" s="473">
        <f t="shared" si="17"/>
        <v>0</v>
      </c>
    </row>
    <row r="172" spans="1:7" ht="22.5" customHeight="1">
      <c r="A172" s="1586" t="s">
        <v>103</v>
      </c>
      <c r="B172" s="1586"/>
      <c r="C172" s="1586"/>
      <c r="D172" s="523" t="s">
        <v>186</v>
      </c>
      <c r="E172" s="455">
        <f>'2'!F172</f>
        <v>81942.25</v>
      </c>
      <c r="F172" s="514">
        <f t="shared" si="18"/>
        <v>82029.429999999993</v>
      </c>
      <c r="G172" s="473">
        <f t="shared" si="17"/>
        <v>87.179999999993015</v>
      </c>
    </row>
    <row r="177" ht="18.75" customHeight="1"/>
    <row r="185" ht="29.25" customHeight="1"/>
    <row r="186" ht="29.25" customHeight="1"/>
    <row r="187" ht="29.25" customHeight="1"/>
    <row r="188" ht="29.25" customHeight="1"/>
    <row r="189" ht="29.25" customHeight="1"/>
    <row r="190" ht="29.25" customHeight="1"/>
    <row r="191" ht="29.25" customHeight="1"/>
  </sheetData>
  <mergeCells count="75">
    <mergeCell ref="A171:C171"/>
    <mergeCell ref="A172:C172"/>
    <mergeCell ref="A158:G158"/>
    <mergeCell ref="A167:C167"/>
    <mergeCell ref="A168:C168"/>
    <mergeCell ref="A169:C169"/>
    <mergeCell ref="A170:C170"/>
    <mergeCell ref="A82:C82"/>
    <mergeCell ref="A83:C83"/>
    <mergeCell ref="A119:B119"/>
    <mergeCell ref="A120:B120"/>
    <mergeCell ref="A121:B121"/>
    <mergeCell ref="A109:B109"/>
    <mergeCell ref="A110:B110"/>
    <mergeCell ref="A111:B111"/>
    <mergeCell ref="A112:B112"/>
    <mergeCell ref="A113:B113"/>
    <mergeCell ref="A104:B104"/>
    <mergeCell ref="A105:B105"/>
    <mergeCell ref="A106:B106"/>
    <mergeCell ref="A107:C107"/>
    <mergeCell ref="A108:B108"/>
    <mergeCell ref="A102:C102"/>
    <mergeCell ref="A122:B122"/>
    <mergeCell ref="A114:B114"/>
    <mergeCell ref="A115:B115"/>
    <mergeCell ref="A116:B116"/>
    <mergeCell ref="A117:B117"/>
    <mergeCell ref="A118:B118"/>
    <mergeCell ref="A154:C154"/>
    <mergeCell ref="A123:C123"/>
    <mergeCell ref="A126:C126"/>
    <mergeCell ref="A142:B142"/>
    <mergeCell ref="A153:C153"/>
    <mergeCell ref="A152:C152"/>
    <mergeCell ref="A144:C144"/>
    <mergeCell ref="A145:C145"/>
    <mergeCell ref="A146:C146"/>
    <mergeCell ref="A147:C147"/>
    <mergeCell ref="A148:C148"/>
    <mergeCell ref="A143:C143"/>
    <mergeCell ref="A149:C149"/>
    <mergeCell ref="A150:C150"/>
    <mergeCell ref="A151:C151"/>
    <mergeCell ref="A95:C95"/>
    <mergeCell ref="A96:C96"/>
    <mergeCell ref="A93:C93"/>
    <mergeCell ref="A94:C94"/>
    <mergeCell ref="A69:C69"/>
    <mergeCell ref="A70:C70"/>
    <mergeCell ref="A71:J71"/>
    <mergeCell ref="A72:C72"/>
    <mergeCell ref="A73:C73"/>
    <mergeCell ref="A74:C74"/>
    <mergeCell ref="A75:C75"/>
    <mergeCell ref="A76:C76"/>
    <mergeCell ref="A77:C77"/>
    <mergeCell ref="A79:C79"/>
    <mergeCell ref="A80:C80"/>
    <mergeCell ref="A81:C81"/>
    <mergeCell ref="A64:C64"/>
    <mergeCell ref="A65:C65"/>
    <mergeCell ref="A66:C66"/>
    <mergeCell ref="A67:C67"/>
    <mergeCell ref="A68:C68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</mergeCells>
  <pageMargins left="0.22" right="0.17" top="0.14000000000000001" bottom="0.2" header="0.2" footer="0.2"/>
  <pageSetup paperSize="5" scale="21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91"/>
  <sheetViews>
    <sheetView view="pageBreakPreview" topLeftCell="A169" zoomScale="55" zoomScaleNormal="48" zoomScaleSheetLayoutView="55" workbookViewId="0">
      <selection activeCell="A33" sqref="A33:J33"/>
    </sheetView>
  </sheetViews>
  <sheetFormatPr defaultColWidth="22.33203125" defaultRowHeight="29.25"/>
  <cols>
    <col min="1" max="1" width="42.109375" style="454" customWidth="1"/>
    <col min="2" max="2" width="28.109375" style="457" customWidth="1"/>
    <col min="3" max="3" width="15.88671875" style="457" customWidth="1"/>
    <col min="4" max="4" width="13.6640625" style="537" customWidth="1"/>
    <col min="5" max="6" width="30" style="537" customWidth="1"/>
    <col min="7" max="7" width="28.88671875" style="537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3" width="0" style="376" hidden="1" customWidth="1"/>
    <col min="14" max="14" width="25.5546875" style="376" customWidth="1"/>
    <col min="15" max="16384" width="22.33203125" style="376"/>
  </cols>
  <sheetData>
    <row r="1" spans="1:14" ht="33.75">
      <c r="A1" s="1549" t="s">
        <v>116</v>
      </c>
      <c r="B1" s="1550"/>
      <c r="C1" s="1550"/>
      <c r="D1" s="1550"/>
      <c r="E1" s="1550"/>
      <c r="F1" s="1550"/>
      <c r="G1" s="1550"/>
      <c r="H1" s="1550"/>
      <c r="I1" s="1550"/>
      <c r="J1" s="1551"/>
    </row>
    <row r="2" spans="1:14" s="281" customFormat="1" ht="27">
      <c r="A2" s="575" t="s">
        <v>340</v>
      </c>
      <c r="B2" s="1033">
        <v>44320</v>
      </c>
      <c r="C2" s="1307" t="s">
        <v>68</v>
      </c>
      <c r="D2" s="611">
        <v>0.1</v>
      </c>
      <c r="E2" s="461"/>
      <c r="F2" s="630"/>
      <c r="G2" s="461" t="s">
        <v>117</v>
      </c>
      <c r="H2" s="461" t="s">
        <v>6</v>
      </c>
      <c r="I2" s="461" t="s">
        <v>8</v>
      </c>
      <c r="J2" s="613" t="s">
        <v>118</v>
      </c>
    </row>
    <row r="3" spans="1:14" s="281" customFormat="1" ht="27">
      <c r="A3" s="570"/>
      <c r="B3" s="614"/>
      <c r="C3" s="1307" t="s">
        <v>119</v>
      </c>
      <c r="D3" s="612">
        <v>34</v>
      </c>
      <c r="E3" s="1558" t="s">
        <v>120</v>
      </c>
      <c r="F3" s="1559"/>
      <c r="G3" s="462"/>
      <c r="H3" s="463"/>
      <c r="I3" s="463"/>
      <c r="J3" s="615"/>
      <c r="K3" s="371"/>
      <c r="L3" s="292"/>
    </row>
    <row r="4" spans="1:14" s="281" customFormat="1" ht="27">
      <c r="A4" s="576"/>
      <c r="B4" s="616"/>
      <c r="C4" s="1307" t="s">
        <v>121</v>
      </c>
      <c r="D4" s="611">
        <v>0.84</v>
      </c>
      <c r="E4" s="464"/>
      <c r="F4" s="631"/>
      <c r="G4" s="464"/>
      <c r="H4" s="464"/>
      <c r="I4" s="465"/>
      <c r="J4" s="615"/>
      <c r="K4" s="372"/>
      <c r="L4" s="292"/>
    </row>
    <row r="5" spans="1:14">
      <c r="A5" s="577" t="s">
        <v>122</v>
      </c>
      <c r="B5" s="459"/>
      <c r="C5" s="459"/>
      <c r="D5" s="511" t="s">
        <v>123</v>
      </c>
      <c r="E5" s="467" t="s">
        <v>124</v>
      </c>
      <c r="F5" s="632" t="s">
        <v>111</v>
      </c>
      <c r="G5" s="468" t="s">
        <v>125</v>
      </c>
      <c r="H5" s="469" t="s">
        <v>126</v>
      </c>
      <c r="I5" s="470" t="s">
        <v>127</v>
      </c>
      <c r="J5" s="550" t="s">
        <v>128</v>
      </c>
      <c r="K5" s="426"/>
      <c r="L5" s="377"/>
    </row>
    <row r="6" spans="1:14">
      <c r="A6" s="1552" t="s">
        <v>129</v>
      </c>
      <c r="B6" s="1553"/>
      <c r="C6" s="1554"/>
      <c r="D6" s="471"/>
      <c r="E6" s="471"/>
      <c r="F6" s="494"/>
      <c r="G6" s="471"/>
      <c r="H6" s="472"/>
      <c r="I6" s="472"/>
      <c r="J6" s="551"/>
      <c r="K6" s="427"/>
      <c r="L6" s="377"/>
    </row>
    <row r="7" spans="1:14" ht="30" thickBot="1">
      <c r="A7" s="677" t="s">
        <v>130</v>
      </c>
      <c r="B7" s="678"/>
      <c r="C7" s="678"/>
      <c r="D7" s="638" t="s">
        <v>131</v>
      </c>
      <c r="E7" s="633">
        <f>'3'!F7</f>
        <v>393596.87</v>
      </c>
      <c r="F7" s="633">
        <v>410015.07</v>
      </c>
      <c r="G7" s="690">
        <f>F7-E7</f>
        <v>16418.200000000012</v>
      </c>
      <c r="H7" s="680">
        <f>G7+'3'!H7</f>
        <v>65603.070000000007</v>
      </c>
      <c r="I7" s="681">
        <f>'[2]1'!I7</f>
        <v>12000</v>
      </c>
      <c r="J7" s="682">
        <f>H7/DAY(B2)</f>
        <v>16400.767500000002</v>
      </c>
      <c r="K7" s="549"/>
      <c r="L7" s="377"/>
      <c r="N7" s="382"/>
    </row>
    <row r="8" spans="1:14" ht="27.75" thickBot="1">
      <c r="A8" s="683" t="s">
        <v>132</v>
      </c>
      <c r="B8" s="684"/>
      <c r="C8" s="685"/>
      <c r="D8" s="686" t="s">
        <v>25</v>
      </c>
      <c r="E8" s="633">
        <f>'3'!F8</f>
        <v>395921.08</v>
      </c>
      <c r="F8" s="634">
        <v>412399.87</v>
      </c>
      <c r="G8" s="1050">
        <f>F8-E8</f>
        <v>16478.789999999979</v>
      </c>
      <c r="H8" s="680">
        <f>G8+'3'!H8</f>
        <v>65889.87</v>
      </c>
      <c r="I8" s="687">
        <v>12000</v>
      </c>
      <c r="J8" s="682">
        <f>H8/DAY(B2)</f>
        <v>16472.467499999999</v>
      </c>
      <c r="K8" s="549"/>
      <c r="L8" s="425"/>
      <c r="M8" s="440"/>
      <c r="N8" s="704">
        <f>G7/G8</f>
        <v>0.99632315236737845</v>
      </c>
    </row>
    <row r="9" spans="1:14">
      <c r="A9" s="688" t="s">
        <v>133</v>
      </c>
      <c r="B9" s="689"/>
      <c r="C9" s="689"/>
      <c r="D9" s="638" t="s">
        <v>131</v>
      </c>
      <c r="E9" s="633">
        <f>'3'!F9</f>
        <v>1521396.2</v>
      </c>
      <c r="F9" s="635">
        <f>E9+16950</f>
        <v>1538346.2</v>
      </c>
      <c r="G9" s="703">
        <f t="shared" ref="G9:G12" si="0">F9-E9</f>
        <v>16950</v>
      </c>
      <c r="H9" s="680">
        <f>G9+'3'!H9</f>
        <v>64656.199999999953</v>
      </c>
      <c r="I9" s="691">
        <f>I8-J8</f>
        <v>-4472.4674999999988</v>
      </c>
      <c r="J9" s="682">
        <f>H9/DAY(B2)</f>
        <v>16164.049999999988</v>
      </c>
      <c r="K9" s="428"/>
      <c r="L9" s="377"/>
      <c r="N9" s="382"/>
    </row>
    <row r="10" spans="1:14">
      <c r="A10" s="677" t="s">
        <v>134</v>
      </c>
      <c r="B10" s="678"/>
      <c r="C10" s="678"/>
      <c r="D10" s="638" t="s">
        <v>131</v>
      </c>
      <c r="E10" s="633">
        <v>2606.5500000000002</v>
      </c>
      <c r="F10" s="635">
        <v>2606.5500000000002</v>
      </c>
      <c r="G10" s="690">
        <f t="shared" si="0"/>
        <v>0</v>
      </c>
      <c r="H10" s="680">
        <f>G10+'3'!H10</f>
        <v>0.42000000000007276</v>
      </c>
      <c r="I10" s="692"/>
      <c r="J10" s="682">
        <f>H10/DAY(B2)</f>
        <v>0.10500000000001819</v>
      </c>
      <c r="K10" s="428"/>
      <c r="L10" s="377"/>
      <c r="N10" s="382"/>
    </row>
    <row r="11" spans="1:14">
      <c r="A11" s="677" t="s">
        <v>135</v>
      </c>
      <c r="B11" s="678"/>
      <c r="C11" s="678"/>
      <c r="D11" s="638" t="s">
        <v>131</v>
      </c>
      <c r="E11" s="633">
        <f>'3'!F11</f>
        <v>37000</v>
      </c>
      <c r="F11" s="633">
        <v>37000</v>
      </c>
      <c r="G11" s="690">
        <f t="shared" si="0"/>
        <v>0</v>
      </c>
      <c r="H11" s="680">
        <f>G11+'[2]3'!H11</f>
        <v>0</v>
      </c>
      <c r="I11" s="692"/>
      <c r="J11" s="682">
        <f>H11/DAY(B2)</f>
        <v>0</v>
      </c>
      <c r="K11" s="428"/>
      <c r="L11" s="377"/>
      <c r="N11" s="382"/>
    </row>
    <row r="12" spans="1:14">
      <c r="A12" s="677" t="s">
        <v>136</v>
      </c>
      <c r="B12" s="678"/>
      <c r="C12" s="678"/>
      <c r="D12" s="638" t="s">
        <v>131</v>
      </c>
      <c r="E12" s="633">
        <f>'3'!F12</f>
        <v>40010</v>
      </c>
      <c r="F12" s="635">
        <v>40010</v>
      </c>
      <c r="G12" s="690">
        <f t="shared" si="0"/>
        <v>0</v>
      </c>
      <c r="H12" s="680">
        <f>G12+'[2]3'!H12</f>
        <v>0</v>
      </c>
      <c r="I12" s="692"/>
      <c r="J12" s="682">
        <f>H12/DAY(B2)</f>
        <v>0</v>
      </c>
      <c r="K12" s="428"/>
      <c r="L12" s="377"/>
      <c r="N12" s="382"/>
    </row>
    <row r="13" spans="1:14">
      <c r="A13" s="693" t="s">
        <v>137</v>
      </c>
      <c r="B13" s="694"/>
      <c r="C13" s="694"/>
      <c r="D13" s="638"/>
      <c r="E13" s="633"/>
      <c r="F13" s="633"/>
      <c r="G13" s="695">
        <f>G9+G10+G11+G12</f>
        <v>16950</v>
      </c>
      <c r="H13" s="680">
        <f>G13+'3'!H13</f>
        <v>64656.619999999952</v>
      </c>
      <c r="I13" s="696">
        <f>G7-G13</f>
        <v>-531.79999999998836</v>
      </c>
      <c r="J13" s="682">
        <f>H13/DAY(B2)</f>
        <v>16164.154999999988</v>
      </c>
      <c r="K13" s="428"/>
      <c r="L13" s="377"/>
      <c r="N13" s="382"/>
    </row>
    <row r="14" spans="1:14">
      <c r="A14" s="1555" t="s">
        <v>138</v>
      </c>
      <c r="B14" s="1556"/>
      <c r="C14" s="1557"/>
      <c r="D14" s="472"/>
      <c r="E14" s="472"/>
      <c r="F14" s="483"/>
      <c r="G14" s="483"/>
      <c r="H14" s="472"/>
      <c r="I14" s="472"/>
      <c r="J14" s="551"/>
      <c r="K14" s="429"/>
      <c r="L14" s="377"/>
      <c r="N14" s="382"/>
    </row>
    <row r="15" spans="1:14">
      <c r="A15" s="793" t="s">
        <v>139</v>
      </c>
      <c r="B15" s="788"/>
      <c r="C15" s="788"/>
      <c r="D15" s="524" t="s">
        <v>140</v>
      </c>
      <c r="E15" s="485">
        <f>'3'!F15</f>
        <v>1685843.504</v>
      </c>
      <c r="F15" s="626">
        <v>1686146.4080000001</v>
      </c>
      <c r="G15" s="774">
        <f>(F15-E15)</f>
        <v>302.90400000009686</v>
      </c>
      <c r="H15" s="680">
        <f>G15+'3'!H15</f>
        <v>1622.408000000054</v>
      </c>
      <c r="I15" s="474">
        <v>800</v>
      </c>
      <c r="J15" s="553">
        <f>H15/DAY(B2)</f>
        <v>405.6020000000135</v>
      </c>
      <c r="K15" s="428"/>
      <c r="L15" s="377"/>
      <c r="N15" s="382"/>
    </row>
    <row r="16" spans="1:14">
      <c r="A16" s="791"/>
      <c r="B16" s="792"/>
      <c r="C16" s="792"/>
      <c r="D16" s="524"/>
      <c r="E16" s="485"/>
      <c r="F16" s="485"/>
      <c r="G16" s="473"/>
      <c r="H16" s="486"/>
      <c r="I16" s="487">
        <f>I15-J15</f>
        <v>394.3979999999865</v>
      </c>
      <c r="J16" s="553"/>
      <c r="K16" s="428"/>
      <c r="L16" s="377"/>
      <c r="N16" s="382"/>
    </row>
    <row r="17" spans="1:14">
      <c r="A17" s="1555" t="s">
        <v>141</v>
      </c>
      <c r="B17" s="1556"/>
      <c r="C17" s="1557"/>
      <c r="D17" s="472"/>
      <c r="E17" s="472"/>
      <c r="F17" s="483"/>
      <c r="G17" s="488" t="s">
        <v>214</v>
      </c>
      <c r="H17" s="472"/>
      <c r="I17" s="472"/>
      <c r="J17" s="551"/>
      <c r="K17" s="428"/>
      <c r="L17" s="377"/>
      <c r="N17" s="382"/>
    </row>
    <row r="18" spans="1:14" ht="27.75">
      <c r="A18" s="1590" t="s">
        <v>142</v>
      </c>
      <c r="B18" s="1591"/>
      <c r="C18" s="1592"/>
      <c r="D18" s="638" t="s">
        <v>143</v>
      </c>
      <c r="E18" s="635">
        <f>'3'!F18</f>
        <v>8</v>
      </c>
      <c r="F18" s="635">
        <v>4</v>
      </c>
      <c r="G18" s="695">
        <f>F18*10</f>
        <v>40</v>
      </c>
      <c r="H18" s="680">
        <f>G18+'3'!H18</f>
        <v>200</v>
      </c>
      <c r="I18" s="681">
        <f>'[2]1'!I18</f>
        <v>65</v>
      </c>
      <c r="J18" s="682">
        <f>H18/DAY(B2)</f>
        <v>50</v>
      </c>
      <c r="K18" s="428"/>
      <c r="L18" s="377"/>
      <c r="N18" s="382"/>
    </row>
    <row r="19" spans="1:14" ht="27.75">
      <c r="A19" s="1590" t="s">
        <v>70</v>
      </c>
      <c r="B19" s="1591"/>
      <c r="C19" s="1592"/>
      <c r="D19" s="638" t="s">
        <v>143</v>
      </c>
      <c r="E19" s="635">
        <f>'3'!F19</f>
        <v>139787</v>
      </c>
      <c r="F19" s="635">
        <v>139848</v>
      </c>
      <c r="G19" s="690">
        <f t="shared" ref="G19" si="1">F19-E19</f>
        <v>61</v>
      </c>
      <c r="H19" s="680">
        <f>G19+'3'!H19</f>
        <v>236</v>
      </c>
      <c r="I19" s="697"/>
      <c r="J19" s="682">
        <f>H19/DAY(B2)</f>
        <v>59</v>
      </c>
      <c r="K19" s="428"/>
      <c r="L19" s="377"/>
      <c r="N19" s="382"/>
    </row>
    <row r="20" spans="1:14">
      <c r="A20" s="693" t="s">
        <v>144</v>
      </c>
      <c r="B20" s="694"/>
      <c r="C20" s="694"/>
      <c r="D20" s="638"/>
      <c r="E20" s="635">
        <f>'3'!F20</f>
        <v>0</v>
      </c>
      <c r="F20" s="638"/>
      <c r="G20" s="1049">
        <f>G18+G19</f>
        <v>101</v>
      </c>
      <c r="H20" s="680">
        <f>G20+'3'!H20</f>
        <v>436</v>
      </c>
      <c r="I20" s="699">
        <f>I18-J20</f>
        <v>-44</v>
      </c>
      <c r="J20" s="682">
        <f>H20/DAY(B2)</f>
        <v>109</v>
      </c>
      <c r="K20" s="428"/>
      <c r="L20" s="377"/>
      <c r="N20" s="382"/>
    </row>
    <row r="21" spans="1:14">
      <c r="A21" s="1555" t="s">
        <v>145</v>
      </c>
      <c r="B21" s="1556"/>
      <c r="C21" s="1557"/>
      <c r="D21" s="472"/>
      <c r="E21" s="472"/>
      <c r="F21" s="483"/>
      <c r="G21" s="483"/>
      <c r="H21" s="472"/>
      <c r="I21" s="472"/>
      <c r="J21" s="551"/>
      <c r="K21" s="428"/>
      <c r="L21" s="377"/>
      <c r="N21" s="382"/>
    </row>
    <row r="22" spans="1:14">
      <c r="A22" s="1305" t="s">
        <v>146</v>
      </c>
      <c r="B22" s="589"/>
      <c r="C22" s="589"/>
      <c r="D22" s="523" t="s">
        <v>147</v>
      </c>
      <c r="E22" s="478">
        <v>2970</v>
      </c>
      <c r="F22" s="635">
        <v>2970</v>
      </c>
      <c r="G22" s="690">
        <f t="shared" ref="G22" si="2">F22-E22</f>
        <v>0</v>
      </c>
      <c r="H22" s="680">
        <f>G22+'3'!H22</f>
        <v>0</v>
      </c>
      <c r="I22" s="480"/>
      <c r="J22" s="552">
        <f>H22/DAY(B2)</f>
        <v>0</v>
      </c>
      <c r="K22" s="428"/>
      <c r="L22" s="377"/>
      <c r="M22" s="376" t="s">
        <v>268</v>
      </c>
      <c r="N22" s="382"/>
    </row>
    <row r="23" spans="1:14">
      <c r="A23" s="1305" t="s">
        <v>148</v>
      </c>
      <c r="B23" s="589"/>
      <c r="C23" s="589"/>
      <c r="D23" s="523" t="s">
        <v>147</v>
      </c>
      <c r="E23" s="478">
        <v>2000</v>
      </c>
      <c r="F23" s="635">
        <v>2000</v>
      </c>
      <c r="G23" s="690">
        <v>0</v>
      </c>
      <c r="H23" s="680">
        <f>G23+'3'!H23</f>
        <v>120</v>
      </c>
      <c r="I23" s="480"/>
      <c r="J23" s="552">
        <f>H23/DAY(B2)</f>
        <v>30</v>
      </c>
      <c r="K23" s="428"/>
      <c r="L23" s="377"/>
      <c r="N23" s="382"/>
    </row>
    <row r="24" spans="1:14">
      <c r="A24" s="590" t="s">
        <v>149</v>
      </c>
      <c r="B24" s="591"/>
      <c r="C24" s="591"/>
      <c r="D24" s="511" t="s">
        <v>147</v>
      </c>
      <c r="E24" s="485">
        <v>4970</v>
      </c>
      <c r="F24" s="637">
        <v>4970</v>
      </c>
      <c r="G24" s="690">
        <v>0</v>
      </c>
      <c r="H24" s="680">
        <f>G24+'3'!H24</f>
        <v>120</v>
      </c>
      <c r="I24" s="480"/>
      <c r="J24" s="552">
        <f>H24/DAY(B2)</f>
        <v>30</v>
      </c>
      <c r="K24" s="428"/>
      <c r="L24" s="377"/>
      <c r="N24" s="382"/>
    </row>
    <row r="25" spans="1:14" s="442" customFormat="1" ht="27">
      <c r="A25" s="1560" t="s">
        <v>150</v>
      </c>
      <c r="B25" s="1561"/>
      <c r="C25" s="1562"/>
      <c r="D25" s="471"/>
      <c r="E25" s="471"/>
      <c r="F25" s="494"/>
      <c r="G25" s="494"/>
      <c r="H25" s="495"/>
      <c r="I25" s="496"/>
      <c r="J25" s="554"/>
      <c r="K25" s="373"/>
      <c r="L25" s="443"/>
      <c r="N25" s="382"/>
    </row>
    <row r="26" spans="1:14" s="442" customFormat="1" ht="27.75">
      <c r="A26" s="592" t="s">
        <v>151</v>
      </c>
      <c r="B26" s="593"/>
      <c r="C26" s="594"/>
      <c r="D26" s="618" t="s">
        <v>152</v>
      </c>
      <c r="E26" s="497"/>
      <c r="F26" s="633"/>
      <c r="G26" s="498"/>
      <c r="H26" s="460"/>
      <c r="I26" s="499"/>
      <c r="J26" s="552"/>
      <c r="K26" s="374"/>
      <c r="L26" s="443"/>
      <c r="N26" s="382"/>
    </row>
    <row r="27" spans="1:14" s="442" customFormat="1" ht="27.75">
      <c r="A27" s="592" t="s">
        <v>6</v>
      </c>
      <c r="B27" s="593"/>
      <c r="C27" s="594"/>
      <c r="D27" s="619" t="s">
        <v>25</v>
      </c>
      <c r="E27" s="700">
        <f>G8</f>
        <v>16478.789999999979</v>
      </c>
      <c r="F27" s="501">
        <v>9</v>
      </c>
      <c r="G27" s="502">
        <f>E27*F27</f>
        <v>148309.10999999981</v>
      </c>
      <c r="H27" s="680">
        <f>G27+'3'!H27</f>
        <v>592171.82999999996</v>
      </c>
      <c r="I27" s="503"/>
      <c r="J27" s="552">
        <f>H27/DAY(B2)</f>
        <v>148042.95749999999</v>
      </c>
      <c r="K27" s="373"/>
      <c r="L27" s="443"/>
      <c r="N27" s="382"/>
    </row>
    <row r="28" spans="1:14" s="442" customFormat="1" ht="27.75">
      <c r="A28" s="592" t="s">
        <v>153</v>
      </c>
      <c r="B28" s="593"/>
      <c r="C28" s="594"/>
      <c r="D28" s="619" t="s">
        <v>154</v>
      </c>
      <c r="E28" s="700">
        <f>G15</f>
        <v>302.90400000009686</v>
      </c>
      <c r="F28" s="501">
        <v>52</v>
      </c>
      <c r="G28" s="502">
        <f>E28*F28</f>
        <v>15751.008000005037</v>
      </c>
      <c r="H28" s="680">
        <f>G28+'3'!H28</f>
        <v>84365.216000002809</v>
      </c>
      <c r="I28" s="505"/>
      <c r="J28" s="552">
        <f>H28/DAY(B2)</f>
        <v>21091.304000000702</v>
      </c>
      <c r="K28" s="373"/>
      <c r="L28" s="443"/>
      <c r="N28" s="382"/>
    </row>
    <row r="29" spans="1:14" s="442" customFormat="1" ht="27.75">
      <c r="A29" s="592" t="s">
        <v>155</v>
      </c>
      <c r="B29" s="593"/>
      <c r="C29" s="594"/>
      <c r="D29" s="619" t="s">
        <v>156</v>
      </c>
      <c r="E29" s="700">
        <f>G24</f>
        <v>0</v>
      </c>
      <c r="F29" s="501">
        <v>69</v>
      </c>
      <c r="G29" s="502">
        <f>E29*F29</f>
        <v>0</v>
      </c>
      <c r="H29" s="680">
        <f>G29+'3'!H29</f>
        <v>8280</v>
      </c>
      <c r="I29" s="505"/>
      <c r="J29" s="552">
        <f>H29/DAY(B2)</f>
        <v>2070</v>
      </c>
      <c r="K29" s="373"/>
      <c r="L29" s="443"/>
      <c r="N29" s="382"/>
    </row>
    <row r="30" spans="1:14" s="442" customFormat="1" ht="27.75">
      <c r="A30" s="592" t="s">
        <v>157</v>
      </c>
      <c r="B30" s="593"/>
      <c r="C30" s="594"/>
      <c r="D30" s="619" t="s">
        <v>158</v>
      </c>
      <c r="E30" s="700">
        <f>G19</f>
        <v>61</v>
      </c>
      <c r="F30" s="501">
        <v>146</v>
      </c>
      <c r="G30" s="502">
        <f>E30*F30</f>
        <v>8906</v>
      </c>
      <c r="H30" s="680">
        <f>G30+'3'!H30</f>
        <v>34456</v>
      </c>
      <c r="I30" s="505"/>
      <c r="J30" s="552">
        <f>H30/DAY(B2)</f>
        <v>8614</v>
      </c>
      <c r="K30" s="373"/>
      <c r="L30" s="443"/>
      <c r="N30" s="382"/>
    </row>
    <row r="31" spans="1:14" s="442" customFormat="1" ht="27.75">
      <c r="A31" s="592" t="s">
        <v>159</v>
      </c>
      <c r="B31" s="593"/>
      <c r="C31" s="594"/>
      <c r="D31" s="619" t="s">
        <v>143</v>
      </c>
      <c r="E31" s="700">
        <f>G18</f>
        <v>40</v>
      </c>
      <c r="F31" s="501">
        <v>80</v>
      </c>
      <c r="G31" s="502">
        <f>E31*F31</f>
        <v>3200</v>
      </c>
      <c r="H31" s="680">
        <f>G31+'3'!H31</f>
        <v>16000</v>
      </c>
      <c r="I31" s="505"/>
      <c r="J31" s="552">
        <f>H31/DAY(B2)</f>
        <v>4000</v>
      </c>
      <c r="K31" s="373"/>
      <c r="L31" s="443"/>
      <c r="N31" s="382"/>
    </row>
    <row r="32" spans="1:14" s="442" customFormat="1" ht="27.75">
      <c r="A32" s="595" t="s">
        <v>160</v>
      </c>
      <c r="B32" s="596"/>
      <c r="C32" s="597"/>
      <c r="D32" s="507"/>
      <c r="E32" s="507"/>
      <c r="F32" s="639"/>
      <c r="G32" s="508">
        <f>G27+G28+G29+G30+G31</f>
        <v>176166.11800000485</v>
      </c>
      <c r="H32" s="680">
        <f>G32+'3'!H32</f>
        <v>735273.04600000288</v>
      </c>
      <c r="I32" s="509"/>
      <c r="J32" s="552">
        <f>H32/DAY(B2)</f>
        <v>183818.26150000072</v>
      </c>
      <c r="K32" s="373"/>
      <c r="L32" s="443"/>
      <c r="N32" s="382"/>
    </row>
    <row r="33" spans="1:14" ht="25.5" customHeight="1">
      <c r="A33" s="1563" t="s">
        <v>161</v>
      </c>
      <c r="B33" s="1564"/>
      <c r="C33" s="1564"/>
      <c r="D33" s="1564"/>
      <c r="E33" s="1564"/>
      <c r="F33" s="1564"/>
      <c r="G33" s="1564"/>
      <c r="H33" s="1564"/>
      <c r="I33" s="1564"/>
      <c r="J33" s="1565"/>
      <c r="K33" s="428"/>
      <c r="L33" s="377"/>
      <c r="N33" s="382"/>
    </row>
    <row r="34" spans="1:14">
      <c r="A34" s="598" t="s">
        <v>162</v>
      </c>
      <c r="B34" s="1310"/>
      <c r="C34" s="1310"/>
      <c r="D34" s="472"/>
      <c r="E34" s="471"/>
      <c r="F34" s="494"/>
      <c r="G34" s="472"/>
      <c r="H34" s="472"/>
      <c r="I34" s="472"/>
      <c r="J34" s="551"/>
      <c r="K34" s="428"/>
      <c r="L34" s="377"/>
      <c r="N34" s="382"/>
    </row>
    <row r="35" spans="1:14">
      <c r="A35" s="578" t="s">
        <v>163</v>
      </c>
      <c r="B35" s="579"/>
      <c r="C35" s="579"/>
      <c r="D35" s="523" t="s">
        <v>131</v>
      </c>
      <c r="E35" s="510">
        <f>'3'!F35</f>
        <v>957665.19</v>
      </c>
      <c r="F35" s="640">
        <v>960086.71</v>
      </c>
      <c r="G35" s="473">
        <f t="shared" ref="G35:G46" si="3">F35-E35</f>
        <v>2421.5200000000186</v>
      </c>
      <c r="H35" s="680">
        <f>G35+'3'!H35</f>
        <v>9598.7099999999627</v>
      </c>
      <c r="I35" s="455"/>
      <c r="J35" s="552">
        <f>H35/DAY(B2)</f>
        <v>2399.6774999999907</v>
      </c>
      <c r="K35" s="428"/>
      <c r="L35" s="377"/>
      <c r="N35" s="382"/>
    </row>
    <row r="36" spans="1:14">
      <c r="A36" s="578" t="s">
        <v>164</v>
      </c>
      <c r="B36" s="579"/>
      <c r="C36" s="579"/>
      <c r="D36" s="523" t="s">
        <v>131</v>
      </c>
      <c r="E36" s="510">
        <f>'3'!F36</f>
        <v>1582.48</v>
      </c>
      <c r="F36" s="640">
        <v>2103.27</v>
      </c>
      <c r="G36" s="473">
        <f t="shared" si="3"/>
        <v>520.79</v>
      </c>
      <c r="H36" s="680">
        <f>G36+'3'!H36</f>
        <v>1930.27</v>
      </c>
      <c r="I36" s="455"/>
      <c r="J36" s="552">
        <f>H36/DAY(B2)</f>
        <v>482.5675</v>
      </c>
      <c r="K36" s="428"/>
      <c r="L36" s="377"/>
      <c r="N36" s="628"/>
    </row>
    <row r="37" spans="1:14">
      <c r="A37" s="578" t="s">
        <v>165</v>
      </c>
      <c r="B37" s="579"/>
      <c r="C37" s="579"/>
      <c r="D37" s="523" t="s">
        <v>131</v>
      </c>
      <c r="E37" s="510">
        <f>'3'!F37</f>
        <v>138014.75</v>
      </c>
      <c r="F37" s="640">
        <v>139320.32000000001</v>
      </c>
      <c r="G37" s="473">
        <f t="shared" si="3"/>
        <v>1305.570000000007</v>
      </c>
      <c r="H37" s="680">
        <f>G37+'3'!H37</f>
        <v>5084.320000000007</v>
      </c>
      <c r="I37" s="455"/>
      <c r="J37" s="552">
        <f>H37/DAY(B2)</f>
        <v>1271.0800000000017</v>
      </c>
      <c r="K37" s="428"/>
      <c r="L37" s="377"/>
      <c r="N37" s="629"/>
    </row>
    <row r="38" spans="1:14">
      <c r="A38" s="578" t="s">
        <v>166</v>
      </c>
      <c r="B38" s="579"/>
      <c r="C38" s="579"/>
      <c r="D38" s="523" t="s">
        <v>131</v>
      </c>
      <c r="E38" s="510">
        <f>'3'!F38</f>
        <v>160099.59</v>
      </c>
      <c r="F38" s="641">
        <v>161188.96</v>
      </c>
      <c r="G38" s="473">
        <f t="shared" si="3"/>
        <v>1089.3699999999953</v>
      </c>
      <c r="H38" s="680">
        <f>G38+'3'!H38</f>
        <v>4783.9599999999919</v>
      </c>
      <c r="I38" s="455"/>
      <c r="J38" s="552">
        <f>H38/DAY(B2)</f>
        <v>1195.989999999998</v>
      </c>
      <c r="K38" s="428"/>
      <c r="L38" s="377"/>
      <c r="N38" s="382"/>
    </row>
    <row r="39" spans="1:14">
      <c r="A39" s="578" t="s">
        <v>167</v>
      </c>
      <c r="B39" s="579"/>
      <c r="C39" s="579"/>
      <c r="D39" s="523" t="s">
        <v>131</v>
      </c>
      <c r="E39" s="510">
        <f>'3'!F39</f>
        <v>314081.17</v>
      </c>
      <c r="F39" s="640">
        <v>316761.34999999998</v>
      </c>
      <c r="G39" s="473">
        <f t="shared" si="3"/>
        <v>2680.179999999993</v>
      </c>
      <c r="H39" s="680">
        <f>G39+'3'!H39</f>
        <v>8588.3499999999767</v>
      </c>
      <c r="I39" s="455"/>
      <c r="J39" s="552">
        <f>H39/DAY(B2)</f>
        <v>2147.0874999999942</v>
      </c>
      <c r="K39" s="428"/>
      <c r="L39" s="377"/>
      <c r="N39" s="382"/>
    </row>
    <row r="40" spans="1:14">
      <c r="A40" s="599" t="s">
        <v>168</v>
      </c>
      <c r="B40" s="600"/>
      <c r="C40" s="600"/>
      <c r="D40" s="523" t="s">
        <v>131</v>
      </c>
      <c r="E40" s="510">
        <f>'3'!F40</f>
        <v>888.99</v>
      </c>
      <c r="F40" s="640">
        <v>888.99</v>
      </c>
      <c r="G40" s="473">
        <f t="shared" si="3"/>
        <v>0</v>
      </c>
      <c r="H40" s="680">
        <f>G40+'3'!H40</f>
        <v>-9.9999999999909051E-3</v>
      </c>
      <c r="I40" s="455"/>
      <c r="J40" s="552">
        <f>H40/DAY(B2)</f>
        <v>-2.4999999999977263E-3</v>
      </c>
      <c r="K40" s="429"/>
      <c r="L40" s="377"/>
      <c r="N40" s="382"/>
    </row>
    <row r="41" spans="1:14">
      <c r="A41" s="578" t="s">
        <v>169</v>
      </c>
      <c r="B41" s="579"/>
      <c r="C41" s="579"/>
      <c r="D41" s="523" t="s">
        <v>131</v>
      </c>
      <c r="E41" s="510">
        <f>'3'!F41</f>
        <v>240478.13</v>
      </c>
      <c r="F41" s="640">
        <v>240478.13</v>
      </c>
      <c r="G41" s="473">
        <f t="shared" si="3"/>
        <v>0</v>
      </c>
      <c r="H41" s="680">
        <f>G41+'3'!H41</f>
        <v>0.13000000000465661</v>
      </c>
      <c r="I41" s="455"/>
      <c r="J41" s="552">
        <f>H41/DAY(B2)</f>
        <v>3.2500000001164153E-2</v>
      </c>
      <c r="K41" s="428"/>
      <c r="L41" s="377"/>
      <c r="N41" s="382"/>
    </row>
    <row r="42" spans="1:14">
      <c r="A42" s="578" t="s">
        <v>170</v>
      </c>
      <c r="B42" s="579"/>
      <c r="C42" s="579"/>
      <c r="D42" s="523" t="s">
        <v>131</v>
      </c>
      <c r="E42" s="510">
        <f>'3'!F42</f>
        <v>59198.97</v>
      </c>
      <c r="F42" s="640">
        <v>59198.97</v>
      </c>
      <c r="G42" s="473">
        <f t="shared" si="3"/>
        <v>0</v>
      </c>
      <c r="H42" s="680">
        <f>G42+'3'!H42</f>
        <v>0</v>
      </c>
      <c r="I42" s="455"/>
      <c r="J42" s="552">
        <f>H42/DAY(B2)</f>
        <v>0</v>
      </c>
      <c r="K42" s="428"/>
      <c r="L42" s="377"/>
      <c r="N42" s="382"/>
    </row>
    <row r="43" spans="1:14">
      <c r="A43" s="578" t="s">
        <v>171</v>
      </c>
      <c r="B43" s="579"/>
      <c r="C43" s="579"/>
      <c r="D43" s="523" t="s">
        <v>131</v>
      </c>
      <c r="E43" s="510">
        <f>'3'!F43</f>
        <v>1049100.7</v>
      </c>
      <c r="F43" s="640">
        <v>1051459.5</v>
      </c>
      <c r="G43" s="473">
        <f t="shared" si="3"/>
        <v>2358.8000000000466</v>
      </c>
      <c r="H43" s="680">
        <f>G43+'3'!H43</f>
        <v>9215.5</v>
      </c>
      <c r="I43" s="455"/>
      <c r="J43" s="552">
        <f>H43/DAY(B2)</f>
        <v>2303.875</v>
      </c>
      <c r="K43" s="428"/>
      <c r="L43" s="377"/>
      <c r="N43" s="382"/>
    </row>
    <row r="44" spans="1:14">
      <c r="A44" s="578" t="s">
        <v>172</v>
      </c>
      <c r="B44" s="579"/>
      <c r="C44" s="579"/>
      <c r="D44" s="523" t="s">
        <v>131</v>
      </c>
      <c r="E44" s="510">
        <f>'3'!F44</f>
        <v>0</v>
      </c>
      <c r="F44" s="640">
        <v>0</v>
      </c>
      <c r="G44" s="473">
        <f t="shared" si="3"/>
        <v>0</v>
      </c>
      <c r="H44" s="680">
        <f>G44+'3'!H44</f>
        <v>0</v>
      </c>
      <c r="I44" s="455"/>
      <c r="J44" s="552">
        <f>H44/DAY(B2)</f>
        <v>0</v>
      </c>
      <c r="K44" s="428"/>
      <c r="L44" s="377"/>
      <c r="N44" s="382"/>
    </row>
    <row r="45" spans="1:14">
      <c r="A45" s="578" t="s">
        <v>173</v>
      </c>
      <c r="B45" s="579"/>
      <c r="C45" s="579"/>
      <c r="D45" s="523" t="s">
        <v>131</v>
      </c>
      <c r="E45" s="510">
        <f>'3'!F45</f>
        <v>614</v>
      </c>
      <c r="F45" s="640">
        <v>614</v>
      </c>
      <c r="G45" s="473">
        <f t="shared" si="3"/>
        <v>0</v>
      </c>
      <c r="H45" s="680">
        <f>G45+'3'!H45</f>
        <v>0</v>
      </c>
      <c r="I45" s="455"/>
      <c r="J45" s="552">
        <f>H45/DAY(B2)</f>
        <v>0</v>
      </c>
      <c r="K45" s="428"/>
      <c r="L45" s="377"/>
      <c r="N45" s="382"/>
    </row>
    <row r="46" spans="1:14">
      <c r="A46" s="578" t="s">
        <v>174</v>
      </c>
      <c r="B46" s="579"/>
      <c r="C46" s="579"/>
      <c r="D46" s="523" t="s">
        <v>131</v>
      </c>
      <c r="E46" s="510">
        <f>'3'!F46</f>
        <v>187</v>
      </c>
      <c r="F46" s="640">
        <v>187</v>
      </c>
      <c r="G46" s="473">
        <f t="shared" si="3"/>
        <v>0</v>
      </c>
      <c r="H46" s="680">
        <f>G46+'3'!H46</f>
        <v>0</v>
      </c>
      <c r="I46" s="455"/>
      <c r="J46" s="552">
        <f>H46/DAY(B2)</f>
        <v>0</v>
      </c>
      <c r="K46" s="428"/>
      <c r="L46" s="377"/>
      <c r="N46" s="382"/>
    </row>
    <row r="47" spans="1:14">
      <c r="A47" s="585" t="s">
        <v>175</v>
      </c>
      <c r="B47" s="586"/>
      <c r="C47" s="586"/>
      <c r="D47" s="470"/>
      <c r="E47" s="511"/>
      <c r="F47" s="642"/>
      <c r="G47" s="481">
        <f>G35+G36+G37+G38+G39+G40+G41+G42+G43+G44+G45+G46</f>
        <v>10376.230000000061</v>
      </c>
      <c r="H47" s="680">
        <f>G47+'3'!H47</f>
        <v>39201.229999999938</v>
      </c>
      <c r="I47" s="455"/>
      <c r="J47" s="552">
        <f>H47/DAY(B2)</f>
        <v>9800.3074999999844</v>
      </c>
      <c r="K47" s="428"/>
      <c r="L47" s="377"/>
      <c r="N47" s="382"/>
    </row>
    <row r="48" spans="1:14">
      <c r="A48" s="598" t="s">
        <v>176</v>
      </c>
      <c r="B48" s="1310"/>
      <c r="C48" s="1310"/>
      <c r="D48" s="472"/>
      <c r="E48" s="471"/>
      <c r="F48" s="494"/>
      <c r="G48" s="472"/>
      <c r="H48" s="472"/>
      <c r="I48" s="472"/>
      <c r="J48" s="551"/>
      <c r="K48" s="428"/>
      <c r="L48" s="377"/>
      <c r="N48" s="382"/>
    </row>
    <row r="49" spans="1:14">
      <c r="A49" s="578" t="s">
        <v>163</v>
      </c>
      <c r="B49" s="601"/>
      <c r="C49" s="601"/>
      <c r="D49" s="523" t="s">
        <v>131</v>
      </c>
      <c r="E49" s="510">
        <f>'3'!F49</f>
        <v>260732.13</v>
      </c>
      <c r="F49" s="640">
        <v>260732.13</v>
      </c>
      <c r="G49" s="473">
        <f t="shared" ref="G49:G58" si="4">F49-E49</f>
        <v>0</v>
      </c>
      <c r="H49" s="680">
        <f>G49+'3'!H49</f>
        <v>0.13000000000465661</v>
      </c>
      <c r="I49" s="455"/>
      <c r="J49" s="552">
        <f>H49/DAY(B2)</f>
        <v>3.2500000001164153E-2</v>
      </c>
      <c r="K49" s="428"/>
      <c r="L49" s="377"/>
      <c r="N49" s="382"/>
    </row>
    <row r="50" spans="1:14">
      <c r="A50" s="578" t="s">
        <v>177</v>
      </c>
      <c r="B50" s="601"/>
      <c r="C50" s="601"/>
      <c r="D50" s="523" t="s">
        <v>131</v>
      </c>
      <c r="E50" s="510">
        <f>'3'!F50</f>
        <v>505073.95</v>
      </c>
      <c r="F50" s="640">
        <v>506100.15</v>
      </c>
      <c r="G50" s="473">
        <f t="shared" si="4"/>
        <v>1026.2000000000116</v>
      </c>
      <c r="H50" s="680">
        <f>G50+'3'!H50</f>
        <v>3564.1500000000233</v>
      </c>
      <c r="I50" s="455"/>
      <c r="J50" s="552">
        <f>H50/DAY(B2)</f>
        <v>891.03750000000582</v>
      </c>
      <c r="K50" s="428"/>
      <c r="L50" s="377"/>
      <c r="N50" s="382"/>
    </row>
    <row r="51" spans="1:14">
      <c r="A51" s="578" t="s">
        <v>165</v>
      </c>
      <c r="B51" s="601"/>
      <c r="C51" s="601"/>
      <c r="D51" s="523" t="s">
        <v>131</v>
      </c>
      <c r="E51" s="510">
        <f>'3'!F51</f>
        <v>144639.87</v>
      </c>
      <c r="F51" s="640">
        <v>144640</v>
      </c>
      <c r="G51" s="473">
        <f t="shared" si="4"/>
        <v>0.13000000000465661</v>
      </c>
      <c r="H51" s="680">
        <f>G51+'3'!H51</f>
        <v>0</v>
      </c>
      <c r="I51" s="455"/>
      <c r="J51" s="552">
        <f>H51/DAY(B2)</f>
        <v>0</v>
      </c>
      <c r="K51" s="428"/>
      <c r="L51" s="377"/>
      <c r="N51" s="382"/>
    </row>
    <row r="52" spans="1:14">
      <c r="A52" s="578" t="s">
        <v>178</v>
      </c>
      <c r="B52" s="601"/>
      <c r="C52" s="601"/>
      <c r="D52" s="523" t="s">
        <v>131</v>
      </c>
      <c r="E52" s="510">
        <f>'3'!F52</f>
        <v>539606</v>
      </c>
      <c r="F52" s="640">
        <v>539606</v>
      </c>
      <c r="G52" s="473">
        <f t="shared" si="4"/>
        <v>0</v>
      </c>
      <c r="H52" s="680">
        <f>G52+'3'!H52</f>
        <v>0</v>
      </c>
      <c r="I52" s="455"/>
      <c r="J52" s="552">
        <f>H52/DAY(B2)</f>
        <v>0</v>
      </c>
      <c r="K52" s="428"/>
      <c r="L52" s="377"/>
      <c r="N52" s="382"/>
    </row>
    <row r="53" spans="1:14">
      <c r="A53" s="578" t="s">
        <v>167</v>
      </c>
      <c r="B53" s="601"/>
      <c r="C53" s="601"/>
      <c r="D53" s="523" t="s">
        <v>131</v>
      </c>
      <c r="E53" s="510">
        <f>'3'!F53</f>
        <v>434148.91</v>
      </c>
      <c r="F53" s="640">
        <v>434231.67</v>
      </c>
      <c r="G53" s="473">
        <f t="shared" si="4"/>
        <v>82.760000000009313</v>
      </c>
      <c r="H53" s="680">
        <f>G53+'3'!H53</f>
        <v>1663.6699999999837</v>
      </c>
      <c r="I53" s="455"/>
      <c r="J53" s="552">
        <f>H53/DAY(B2)</f>
        <v>415.91749999999593</v>
      </c>
      <c r="K53" s="428"/>
      <c r="L53" s="377"/>
      <c r="N53" s="382"/>
    </row>
    <row r="54" spans="1:14">
      <c r="A54" s="578" t="s">
        <v>179</v>
      </c>
      <c r="B54" s="601"/>
      <c r="C54" s="601"/>
      <c r="D54" s="523" t="s">
        <v>131</v>
      </c>
      <c r="E54" s="510">
        <f>'3'!F54</f>
        <v>14003.02</v>
      </c>
      <c r="F54" s="640">
        <v>14087.84</v>
      </c>
      <c r="G54" s="473">
        <f t="shared" si="4"/>
        <v>84.819999999999709</v>
      </c>
      <c r="H54" s="680">
        <f>G54+'3'!H54</f>
        <v>337.84000000000015</v>
      </c>
      <c r="I54" s="455"/>
      <c r="J54" s="552">
        <f>H54/DAY(B2)</f>
        <v>84.460000000000036</v>
      </c>
      <c r="K54" s="428"/>
      <c r="L54" s="377"/>
      <c r="N54" s="382"/>
    </row>
    <row r="55" spans="1:14">
      <c r="A55" s="578" t="s">
        <v>180</v>
      </c>
      <c r="B55" s="601"/>
      <c r="C55" s="601"/>
      <c r="D55" s="523" t="s">
        <v>131</v>
      </c>
      <c r="E55" s="510">
        <f>'3'!F55</f>
        <v>68110.679999999993</v>
      </c>
      <c r="F55" s="643">
        <v>68110.679999999993</v>
      </c>
      <c r="G55" s="473">
        <f t="shared" si="4"/>
        <v>0</v>
      </c>
      <c r="H55" s="680">
        <f>G55+'3'!H55</f>
        <v>-0.32000000000698492</v>
      </c>
      <c r="I55" s="455"/>
      <c r="J55" s="552">
        <f>H55/DAY(B2)</f>
        <v>-8.000000000174623E-2</v>
      </c>
      <c r="K55" s="428"/>
      <c r="L55" s="377"/>
      <c r="N55" s="382"/>
    </row>
    <row r="56" spans="1:14">
      <c r="A56" s="578" t="s">
        <v>181</v>
      </c>
      <c r="B56" s="601"/>
      <c r="C56" s="601"/>
      <c r="D56" s="523" t="s">
        <v>182</v>
      </c>
      <c r="E56" s="510">
        <f>'3'!F56</f>
        <v>631757.31000000006</v>
      </c>
      <c r="F56" s="643">
        <v>636223.87</v>
      </c>
      <c r="G56" s="473">
        <f t="shared" si="4"/>
        <v>4466.5599999999395</v>
      </c>
      <c r="H56" s="680">
        <f>G56+'3'!H56</f>
        <v>19025.869999999995</v>
      </c>
      <c r="I56" s="455"/>
      <c r="J56" s="552">
        <f>H56/DAY(B2)</f>
        <v>4756.4674999999988</v>
      </c>
      <c r="K56" s="427"/>
      <c r="L56" s="377"/>
      <c r="N56" s="382"/>
    </row>
    <row r="57" spans="1:14">
      <c r="A57" s="578" t="s">
        <v>171</v>
      </c>
      <c r="B57" s="601"/>
      <c r="C57" s="601"/>
      <c r="D57" s="523" t="s">
        <v>131</v>
      </c>
      <c r="E57" s="510">
        <f>'3'!F57</f>
        <v>7711</v>
      </c>
      <c r="F57" s="643">
        <v>7711</v>
      </c>
      <c r="G57" s="473">
        <f t="shared" si="4"/>
        <v>0</v>
      </c>
      <c r="H57" s="680">
        <f>G57+'3'!H57</f>
        <v>0</v>
      </c>
      <c r="I57" s="455"/>
      <c r="J57" s="552">
        <f>H57/DAY(B2)</f>
        <v>0</v>
      </c>
      <c r="K57" s="428"/>
      <c r="L57" s="377"/>
      <c r="N57" s="382"/>
    </row>
    <row r="58" spans="1:14">
      <c r="A58" s="578" t="s">
        <v>183</v>
      </c>
      <c r="B58" s="601"/>
      <c r="C58" s="601"/>
      <c r="D58" s="523" t="s">
        <v>131</v>
      </c>
      <c r="E58" s="510">
        <f>'3'!F58</f>
        <v>49961.06</v>
      </c>
      <c r="F58" s="643">
        <v>49964.06</v>
      </c>
      <c r="G58" s="473">
        <f t="shared" si="4"/>
        <v>3</v>
      </c>
      <c r="H58" s="680">
        <f>G58+'3'!H58</f>
        <v>339.05999999999767</v>
      </c>
      <c r="I58" s="455"/>
      <c r="J58" s="552">
        <f>H58/DAY(B2)</f>
        <v>84.764999999999418</v>
      </c>
      <c r="K58" s="428"/>
      <c r="L58" s="377"/>
      <c r="N58" s="382"/>
    </row>
    <row r="59" spans="1:14">
      <c r="A59" s="585" t="s">
        <v>175</v>
      </c>
      <c r="B59" s="586"/>
      <c r="C59" s="586"/>
      <c r="D59" s="511"/>
      <c r="E59" s="511"/>
      <c r="F59" s="642"/>
      <c r="G59" s="481">
        <f>G49+G50+G51+G52+G53+G54+G55+G56+G57+G58</f>
        <v>5663.4699999999648</v>
      </c>
      <c r="H59" s="680">
        <f>G59+'3'!H59</f>
        <v>24930.399999999998</v>
      </c>
      <c r="I59" s="455">
        <f>G7-G60</f>
        <v>378.49999999998545</v>
      </c>
      <c r="J59" s="552">
        <f>H59/DAY(B2)</f>
        <v>6232.5999999999995</v>
      </c>
      <c r="K59" s="428"/>
      <c r="L59" s="377"/>
      <c r="N59" s="382"/>
    </row>
    <row r="60" spans="1:14">
      <c r="A60" s="578"/>
      <c r="B60" s="579"/>
      <c r="C60" s="579"/>
      <c r="D60" s="511" t="s">
        <v>184</v>
      </c>
      <c r="E60" s="511"/>
      <c r="F60" s="642"/>
      <c r="G60" s="481">
        <f>G47+G59</f>
        <v>16039.700000000026</v>
      </c>
      <c r="H60" s="680">
        <f>G60+'3'!H60</f>
        <v>64131.629999999939</v>
      </c>
      <c r="I60" s="455">
        <f>G13-G60</f>
        <v>910.29999999997381</v>
      </c>
      <c r="J60" s="552">
        <f>H60/DAY(B2)</f>
        <v>16032.907499999985</v>
      </c>
      <c r="K60" s="428"/>
      <c r="L60" s="377"/>
      <c r="N60" s="382"/>
    </row>
    <row r="61" spans="1:14">
      <c r="A61" s="602" t="s">
        <v>185</v>
      </c>
      <c r="B61" s="453"/>
      <c r="C61" s="453"/>
      <c r="D61" s="513"/>
      <c r="E61" s="512"/>
      <c r="F61" s="644"/>
      <c r="G61" s="513"/>
      <c r="H61" s="513"/>
      <c r="I61" s="513"/>
      <c r="J61" s="555"/>
      <c r="K61" s="428"/>
      <c r="L61" s="377"/>
      <c r="N61" s="382"/>
    </row>
    <row r="62" spans="1:14">
      <c r="A62" s="603" t="s">
        <v>97</v>
      </c>
      <c r="B62" s="604"/>
      <c r="C62" s="604"/>
      <c r="D62" s="511" t="s">
        <v>186</v>
      </c>
      <c r="E62" s="514">
        <v>0</v>
      </c>
      <c r="F62" s="645">
        <v>0</v>
      </c>
      <c r="G62" s="473">
        <f t="shared" ref="G62:G69" si="5">F62-E62</f>
        <v>0</v>
      </c>
      <c r="H62" s="460">
        <f>G62+'[2]3'!H62</f>
        <v>1.9999999967694748E-3</v>
      </c>
      <c r="I62" s="515"/>
      <c r="J62" s="552">
        <f>H62/DAY(B2)</f>
        <v>4.999999991923687E-4</v>
      </c>
      <c r="K62" s="428"/>
      <c r="L62" s="377"/>
      <c r="N62" s="382"/>
    </row>
    <row r="63" spans="1:14">
      <c r="A63" s="603" t="s">
        <v>187</v>
      </c>
      <c r="B63" s="604"/>
      <c r="C63" s="604"/>
      <c r="D63" s="511" t="s">
        <v>186</v>
      </c>
      <c r="E63" s="514">
        <f>'3'!F63</f>
        <v>0</v>
      </c>
      <c r="F63" s="645">
        <v>0</v>
      </c>
      <c r="G63" s="473">
        <f t="shared" si="5"/>
        <v>0</v>
      </c>
      <c r="H63" s="680">
        <f>G63+'3'!H63</f>
        <v>0</v>
      </c>
      <c r="I63" s="515"/>
      <c r="J63" s="552">
        <f>H63/DAY(B2)</f>
        <v>0</v>
      </c>
      <c r="K63" s="428"/>
      <c r="L63" s="377"/>
      <c r="N63" s="382"/>
    </row>
    <row r="64" spans="1:14" ht="27.75">
      <c r="A64" s="1534" t="s">
        <v>98</v>
      </c>
      <c r="B64" s="1535"/>
      <c r="C64" s="1536"/>
      <c r="D64" s="523" t="s">
        <v>186</v>
      </c>
      <c r="E64" s="514">
        <f>'3'!F64</f>
        <v>160493.07</v>
      </c>
      <c r="F64" s="635">
        <v>160690.44</v>
      </c>
      <c r="G64" s="473">
        <f t="shared" si="5"/>
        <v>197.36999999999534</v>
      </c>
      <c r="H64" s="680">
        <f>G64+'3'!H64</f>
        <v>758.44000000000233</v>
      </c>
      <c r="I64" s="480"/>
      <c r="J64" s="552">
        <f>H64/DAY(B2)</f>
        <v>189.61000000000058</v>
      </c>
      <c r="K64" s="428"/>
      <c r="L64" s="377"/>
      <c r="N64" s="382"/>
    </row>
    <row r="65" spans="1:14" ht="27.75">
      <c r="A65" s="1534" t="s">
        <v>99</v>
      </c>
      <c r="B65" s="1535"/>
      <c r="C65" s="1536"/>
      <c r="D65" s="523" t="s">
        <v>186</v>
      </c>
      <c r="E65" s="514">
        <f>'3'!F65</f>
        <v>161634.31</v>
      </c>
      <c r="F65" s="636">
        <v>161818.76999999999</v>
      </c>
      <c r="G65" s="473">
        <f t="shared" si="5"/>
        <v>184.45999999999185</v>
      </c>
      <c r="H65" s="680">
        <f>G65+'3'!H65</f>
        <v>820.76999999998952</v>
      </c>
      <c r="I65" s="489"/>
      <c r="J65" s="552">
        <f>H65/DAY(B2)</f>
        <v>205.19249999999738</v>
      </c>
      <c r="K65" s="428"/>
      <c r="L65" s="377"/>
      <c r="N65" s="382"/>
    </row>
    <row r="66" spans="1:14" ht="27.75">
      <c r="A66" s="1534" t="s">
        <v>100</v>
      </c>
      <c r="B66" s="1535"/>
      <c r="C66" s="1536"/>
      <c r="D66" s="523" t="s">
        <v>186</v>
      </c>
      <c r="E66" s="514">
        <f>'3'!F66</f>
        <v>57490.71</v>
      </c>
      <c r="F66" s="635">
        <v>57809.82</v>
      </c>
      <c r="G66" s="473">
        <f t="shared" si="5"/>
        <v>319.11000000000058</v>
      </c>
      <c r="H66" s="680">
        <f>G66+'3'!H66</f>
        <v>1004.8199999999997</v>
      </c>
      <c r="I66" s="480"/>
      <c r="J66" s="552">
        <f>H66/DAY(B2)</f>
        <v>251.20499999999993</v>
      </c>
      <c r="K66" s="428"/>
      <c r="L66" s="377"/>
      <c r="N66" s="382"/>
    </row>
    <row r="67" spans="1:14" ht="27.75">
      <c r="A67" s="1534" t="s">
        <v>101</v>
      </c>
      <c r="B67" s="1535"/>
      <c r="C67" s="1536"/>
      <c r="D67" s="523" t="s">
        <v>186</v>
      </c>
      <c r="E67" s="514">
        <f>'3'!F67</f>
        <v>253178.53</v>
      </c>
      <c r="F67" s="635">
        <v>253616.59</v>
      </c>
      <c r="G67" s="473">
        <f t="shared" si="5"/>
        <v>438.05999999999767</v>
      </c>
      <c r="H67" s="680">
        <f>G67+'3'!H67</f>
        <v>1424.5899999999965</v>
      </c>
      <c r="I67" s="489"/>
      <c r="J67" s="552">
        <f>H67/DAY(B2)</f>
        <v>356.14749999999913</v>
      </c>
      <c r="K67" s="429"/>
      <c r="L67" s="377"/>
      <c r="N67" s="382"/>
    </row>
    <row r="68" spans="1:14" ht="27.75">
      <c r="A68" s="1534" t="s">
        <v>102</v>
      </c>
      <c r="B68" s="1535"/>
      <c r="C68" s="1536"/>
      <c r="D68" s="523" t="s">
        <v>186</v>
      </c>
      <c r="E68" s="514">
        <f>'3'!F68</f>
        <v>85321</v>
      </c>
      <c r="F68" s="635">
        <v>85321</v>
      </c>
      <c r="G68" s="473">
        <f t="shared" si="5"/>
        <v>0</v>
      </c>
      <c r="H68" s="680">
        <f>G68+'3'!H68</f>
        <v>0</v>
      </c>
      <c r="I68" s="516"/>
      <c r="J68" s="552">
        <f>H68/DAY(B2)</f>
        <v>0</v>
      </c>
      <c r="K68" s="430"/>
      <c r="L68" s="377"/>
      <c r="N68" s="382"/>
    </row>
    <row r="69" spans="1:14" ht="27.75">
      <c r="A69" s="1534" t="s">
        <v>103</v>
      </c>
      <c r="B69" s="1535"/>
      <c r="C69" s="1536"/>
      <c r="D69" s="523" t="s">
        <v>186</v>
      </c>
      <c r="E69" s="514">
        <f>'3'!F69</f>
        <v>82029.429999999993</v>
      </c>
      <c r="F69" s="635">
        <v>82121.929999999993</v>
      </c>
      <c r="G69" s="473">
        <f t="shared" si="5"/>
        <v>92.5</v>
      </c>
      <c r="H69" s="680">
        <f>G69+'3'!H69</f>
        <v>372.92999999999302</v>
      </c>
      <c r="I69" s="516"/>
      <c r="J69" s="552">
        <f>H69/DAY(B2)</f>
        <v>93.232499999998254</v>
      </c>
      <c r="K69" s="431"/>
      <c r="L69" s="377"/>
      <c r="N69" s="382"/>
    </row>
    <row r="70" spans="1:14" ht="27.75">
      <c r="A70" s="1566" t="s">
        <v>188</v>
      </c>
      <c r="B70" s="1567"/>
      <c r="C70" s="1568"/>
      <c r="D70" s="523" t="s">
        <v>186</v>
      </c>
      <c r="E70" s="518"/>
      <c r="F70" s="646"/>
      <c r="G70" s="518"/>
      <c r="H70" s="460">
        <f>G70+'[2]3'!H70</f>
        <v>0</v>
      </c>
      <c r="I70" s="518"/>
      <c r="J70" s="556">
        <f>H70/DAY(B2)</f>
        <v>0</v>
      </c>
      <c r="K70" s="431"/>
      <c r="L70" s="377"/>
      <c r="N70" s="382"/>
    </row>
    <row r="71" spans="1:14" ht="31.5">
      <c r="A71" s="1580"/>
      <c r="B71" s="1581"/>
      <c r="C71" s="1581"/>
      <c r="D71" s="1581"/>
      <c r="E71" s="1581"/>
      <c r="F71" s="1581"/>
      <c r="G71" s="1581"/>
      <c r="H71" s="1581"/>
      <c r="I71" s="1581"/>
      <c r="J71" s="1582"/>
      <c r="K71" s="430"/>
      <c r="L71" s="377"/>
      <c r="N71" s="382"/>
    </row>
    <row r="72" spans="1:14" ht="27.75">
      <c r="A72" s="1534" t="s">
        <v>190</v>
      </c>
      <c r="B72" s="1535"/>
      <c r="C72" s="1536"/>
      <c r="D72" s="523" t="s">
        <v>186</v>
      </c>
      <c r="E72" s="655">
        <f>'3'!F72</f>
        <v>855884</v>
      </c>
      <c r="F72" s="647">
        <v>855896</v>
      </c>
      <c r="G72" s="473">
        <f t="shared" ref="G72:G84" si="6">F72-E72</f>
        <v>12</v>
      </c>
      <c r="H72" s="680">
        <f>G72+'3'!H72</f>
        <v>53</v>
      </c>
      <c r="I72" s="480"/>
      <c r="J72" s="552">
        <f>H72/DAY(B2)</f>
        <v>13.25</v>
      </c>
      <c r="K72" s="431"/>
      <c r="L72" s="377"/>
      <c r="N72" s="382"/>
    </row>
    <row r="73" spans="1:14" ht="27.75">
      <c r="A73" s="1534" t="s">
        <v>191</v>
      </c>
      <c r="B73" s="1535"/>
      <c r="C73" s="1536"/>
      <c r="D73" s="523" t="s">
        <v>186</v>
      </c>
      <c r="E73" s="655">
        <f>'3'!F73</f>
        <v>885941</v>
      </c>
      <c r="F73" s="647">
        <v>885941</v>
      </c>
      <c r="G73" s="653">
        <f t="shared" si="6"/>
        <v>0</v>
      </c>
      <c r="H73" s="680">
        <f>G73+'3'!H73</f>
        <v>4</v>
      </c>
      <c r="I73" s="480"/>
      <c r="J73" s="552">
        <f>H73/DAY(B2)</f>
        <v>1</v>
      </c>
      <c r="K73" s="430"/>
      <c r="L73" s="377"/>
      <c r="N73" s="382"/>
    </row>
    <row r="74" spans="1:14" ht="27.75">
      <c r="A74" s="1534" t="s">
        <v>192</v>
      </c>
      <c r="B74" s="1535"/>
      <c r="C74" s="1536"/>
      <c r="D74" s="523" t="s">
        <v>186</v>
      </c>
      <c r="E74" s="655">
        <f>'3'!F74</f>
        <v>2599.96</v>
      </c>
      <c r="F74" s="647">
        <v>2599.96</v>
      </c>
      <c r="G74" s="473">
        <f>F74-E74</f>
        <v>0</v>
      </c>
      <c r="H74" s="680">
        <f>G74+'3'!H74</f>
        <v>13.960000000000036</v>
      </c>
      <c r="I74" s="480"/>
      <c r="J74" s="552">
        <f>H74/DAY(B2)</f>
        <v>3.4900000000000091</v>
      </c>
      <c r="K74" s="431"/>
      <c r="L74" s="377"/>
      <c r="N74" s="382"/>
    </row>
    <row r="75" spans="1:14" ht="27.75">
      <c r="A75" s="1583" t="s">
        <v>193</v>
      </c>
      <c r="B75" s="1584"/>
      <c r="C75" s="1585"/>
      <c r="D75" s="523" t="s">
        <v>186</v>
      </c>
      <c r="E75" s="655">
        <f>'3'!F75</f>
        <v>12833</v>
      </c>
      <c r="F75" s="647">
        <v>12882.16</v>
      </c>
      <c r="G75" s="473">
        <f t="shared" si="6"/>
        <v>49.159999999999854</v>
      </c>
      <c r="H75" s="680">
        <f>G75+'3'!H75</f>
        <v>213.15999999999985</v>
      </c>
      <c r="I75" s="480"/>
      <c r="J75" s="552">
        <f>H75/DAY(B2)</f>
        <v>53.289999999999964</v>
      </c>
      <c r="K75" s="430"/>
      <c r="L75" s="377"/>
      <c r="N75" s="382"/>
    </row>
    <row r="76" spans="1:14" ht="27.75">
      <c r="A76" s="1583" t="s">
        <v>194</v>
      </c>
      <c r="B76" s="1584"/>
      <c r="C76" s="1585"/>
      <c r="D76" s="523" t="s">
        <v>186</v>
      </c>
      <c r="E76" s="655">
        <f>'3'!F76</f>
        <v>7588.63</v>
      </c>
      <c r="F76" s="647">
        <v>7650.65</v>
      </c>
      <c r="G76" s="473">
        <f t="shared" si="6"/>
        <v>62.019999999999527</v>
      </c>
      <c r="H76" s="680">
        <f>G76+'3'!H76</f>
        <v>231.64999999999964</v>
      </c>
      <c r="I76" s="505"/>
      <c r="J76" s="552">
        <f>H76/DAY(B2)</f>
        <v>57.912499999999909</v>
      </c>
      <c r="K76" s="430"/>
      <c r="L76" s="377"/>
      <c r="N76" s="382"/>
    </row>
    <row r="77" spans="1:14" ht="27.75">
      <c r="A77" s="1534" t="s">
        <v>195</v>
      </c>
      <c r="B77" s="1535"/>
      <c r="C77" s="1536"/>
      <c r="D77" s="523" t="s">
        <v>186</v>
      </c>
      <c r="E77" s="655">
        <f>'3'!F77</f>
        <v>702982</v>
      </c>
      <c r="F77" s="647">
        <v>703031</v>
      </c>
      <c r="G77" s="653">
        <f t="shared" si="6"/>
        <v>49</v>
      </c>
      <c r="H77" s="680">
        <f>G77+'3'!H77</f>
        <v>192</v>
      </c>
      <c r="I77" s="505"/>
      <c r="J77" s="552">
        <f>H77/DAY(B2)</f>
        <v>48</v>
      </c>
      <c r="K77" s="430"/>
      <c r="L77" s="377"/>
      <c r="N77" s="382"/>
    </row>
    <row r="78" spans="1:14" ht="27.75">
      <c r="A78" s="1308" t="s">
        <v>196</v>
      </c>
      <c r="B78" s="1301"/>
      <c r="C78" s="1301"/>
      <c r="D78" s="523" t="s">
        <v>186</v>
      </c>
      <c r="E78" s="655">
        <f>'3'!F78</f>
        <v>673187</v>
      </c>
      <c r="F78" s="647">
        <v>673280</v>
      </c>
      <c r="G78" s="473">
        <f t="shared" si="6"/>
        <v>93</v>
      </c>
      <c r="H78" s="680">
        <f>G78+'3'!H78</f>
        <v>248</v>
      </c>
      <c r="I78" s="505"/>
      <c r="J78" s="552">
        <f>H78/DAY(B2)</f>
        <v>62</v>
      </c>
      <c r="K78" s="430"/>
      <c r="L78" s="377"/>
      <c r="N78" s="382"/>
    </row>
    <row r="79" spans="1:14" ht="27.75">
      <c r="A79" s="1583" t="s">
        <v>91</v>
      </c>
      <c r="B79" s="1584"/>
      <c r="C79" s="1585"/>
      <c r="D79" s="524" t="s">
        <v>186</v>
      </c>
      <c r="E79" s="655">
        <f>'3'!F79</f>
        <v>831484</v>
      </c>
      <c r="F79" s="647">
        <v>831635</v>
      </c>
      <c r="G79" s="473">
        <f t="shared" si="6"/>
        <v>151</v>
      </c>
      <c r="H79" s="680">
        <f>G79+'3'!H79</f>
        <v>625</v>
      </c>
      <c r="I79" s="505"/>
      <c r="J79" s="552">
        <f>H79/DAY(B2)</f>
        <v>156.25</v>
      </c>
      <c r="K79" s="430"/>
      <c r="L79" s="377"/>
      <c r="N79" s="382"/>
    </row>
    <row r="80" spans="1:14" ht="27.75">
      <c r="A80" s="1583" t="s">
        <v>197</v>
      </c>
      <c r="B80" s="1584"/>
      <c r="C80" s="1585"/>
      <c r="D80" s="524" t="s">
        <v>186</v>
      </c>
      <c r="E80" s="655">
        <f>'3'!F80</f>
        <v>528797.64</v>
      </c>
      <c r="F80" s="647">
        <v>529141.30000000005</v>
      </c>
      <c r="G80" s="473">
        <f t="shared" si="6"/>
        <v>343.6600000000326</v>
      </c>
      <c r="H80" s="680">
        <f>G80+'3'!H80</f>
        <v>1483.3000000000466</v>
      </c>
      <c r="I80" s="505"/>
      <c r="J80" s="552">
        <f>H80/DAY(B2)</f>
        <v>370.82500000001164</v>
      </c>
      <c r="K80" s="430"/>
      <c r="L80" s="377"/>
      <c r="N80" s="382"/>
    </row>
    <row r="81" spans="1:15" ht="27.75">
      <c r="A81" s="1583" t="s">
        <v>198</v>
      </c>
      <c r="B81" s="1584"/>
      <c r="C81" s="1585"/>
      <c r="D81" s="524" t="s">
        <v>186</v>
      </c>
      <c r="E81" s="655">
        <f>'3'!F81</f>
        <v>639175.24</v>
      </c>
      <c r="F81" s="647">
        <v>639261.84</v>
      </c>
      <c r="G81" s="473">
        <f t="shared" si="6"/>
        <v>86.599999999976717</v>
      </c>
      <c r="H81" s="680">
        <f>G81+'3'!H81</f>
        <v>363.8399999999674</v>
      </c>
      <c r="I81" s="505"/>
      <c r="J81" s="552">
        <f>H81/DAY(B2)</f>
        <v>90.959999999991851</v>
      </c>
      <c r="K81" s="430"/>
      <c r="L81" s="377"/>
      <c r="N81" s="382"/>
    </row>
    <row r="82" spans="1:15" ht="27.75">
      <c r="A82" s="1583" t="s">
        <v>92</v>
      </c>
      <c r="B82" s="1584"/>
      <c r="C82" s="1585"/>
      <c r="D82" s="485" t="s">
        <v>131</v>
      </c>
      <c r="E82" s="655">
        <f>'3'!F82</f>
        <v>108203.85</v>
      </c>
      <c r="F82" s="636">
        <v>108213.91</v>
      </c>
      <c r="G82" s="473">
        <f t="shared" si="6"/>
        <v>10.059999999997672</v>
      </c>
      <c r="H82" s="680">
        <f>G82+'3'!H82</f>
        <v>55.910000000003492</v>
      </c>
      <c r="I82" s="486"/>
      <c r="J82" s="552">
        <f>H82/DAY(B2)</f>
        <v>13.977500000000873</v>
      </c>
      <c r="K82" s="430"/>
      <c r="L82" s="377"/>
      <c r="N82" s="382"/>
    </row>
    <row r="83" spans="1:15" ht="27.75">
      <c r="A83" s="1583" t="s">
        <v>199</v>
      </c>
      <c r="B83" s="1584"/>
      <c r="C83" s="1585"/>
      <c r="D83" s="620" t="s">
        <v>131</v>
      </c>
      <c r="E83" s="655">
        <f>'3'!F83</f>
        <v>21023</v>
      </c>
      <c r="F83" s="1407">
        <v>21186</v>
      </c>
      <c r="G83" s="473">
        <f t="shared" si="6"/>
        <v>163</v>
      </c>
      <c r="H83" s="680">
        <f>G83+'3'!H83</f>
        <v>680</v>
      </c>
      <c r="I83" s="481"/>
      <c r="J83" s="552">
        <f>H83/DAY(B2)</f>
        <v>170</v>
      </c>
      <c r="K83" s="429"/>
      <c r="L83" s="377"/>
      <c r="N83" s="382"/>
    </row>
    <row r="84" spans="1:15">
      <c r="A84" s="1309" t="s">
        <v>200</v>
      </c>
      <c r="B84" s="571"/>
      <c r="C84" s="571"/>
      <c r="D84" s="478" t="s">
        <v>131</v>
      </c>
      <c r="E84" s="655">
        <f>'3'!F84</f>
        <v>502698</v>
      </c>
      <c r="F84" s="648">
        <v>503488</v>
      </c>
      <c r="G84" s="473">
        <f t="shared" si="6"/>
        <v>790</v>
      </c>
      <c r="H84" s="680">
        <f>G84+'3'!H84</f>
        <v>3194</v>
      </c>
      <c r="I84" s="481"/>
      <c r="J84" s="552">
        <f>H84/DAY(B2)</f>
        <v>798.5</v>
      </c>
      <c r="K84" s="380"/>
      <c r="L84" s="377"/>
      <c r="N84" s="382"/>
    </row>
    <row r="85" spans="1:15" s="379" customFormat="1">
      <c r="A85" s="605" t="s">
        <v>201</v>
      </c>
      <c r="B85" s="572"/>
      <c r="C85" s="572"/>
      <c r="D85" s="489"/>
      <c r="E85" s="523"/>
      <c r="F85" s="638"/>
      <c r="G85" s="460">
        <f xml:space="preserve"> SUM(G71:G84)</f>
        <v>1809.5000000000064</v>
      </c>
      <c r="H85" s="680">
        <f>G85+'3'!H85</f>
        <v>7357.820000000017</v>
      </c>
      <c r="I85" s="481"/>
      <c r="J85" s="552">
        <f>H85/DAY(B2)</f>
        <v>1839.4550000000042</v>
      </c>
      <c r="K85" s="380"/>
      <c r="L85" s="378"/>
      <c r="N85" s="382"/>
    </row>
    <row r="86" spans="1:15" s="736" customFormat="1">
      <c r="A86" s="731" t="s">
        <v>93</v>
      </c>
      <c r="B86" s="732"/>
      <c r="C86" s="732"/>
      <c r="D86" s="733" t="s">
        <v>182</v>
      </c>
      <c r="E86" s="627">
        <f>'3'!F86</f>
        <v>461035.72</v>
      </c>
      <c r="F86" s="648">
        <v>461064.26</v>
      </c>
      <c r="G86" s="706">
        <f t="shared" ref="G86:G87" si="7">F86-E86</f>
        <v>28.540000000037253</v>
      </c>
      <c r="H86" s="680">
        <f>G86+'3'!H86</f>
        <v>129.26000000000931</v>
      </c>
      <c r="I86" s="653"/>
      <c r="J86" s="708">
        <f>H86/DAY(B2)</f>
        <v>32.315000000002328</v>
      </c>
      <c r="K86" s="734"/>
      <c r="L86" s="735"/>
      <c r="O86" s="714"/>
    </row>
    <row r="87" spans="1:15" s="736" customFormat="1">
      <c r="A87" s="731" t="s">
        <v>94</v>
      </c>
      <c r="B87" s="732"/>
      <c r="C87" s="732"/>
      <c r="D87" s="733" t="s">
        <v>182</v>
      </c>
      <c r="E87" s="627">
        <f>'3'!F87</f>
        <v>81438.5</v>
      </c>
      <c r="F87" s="648">
        <v>81456.3</v>
      </c>
      <c r="G87" s="706">
        <f t="shared" si="7"/>
        <v>17.80000000000291</v>
      </c>
      <c r="H87" s="680">
        <f>G87+'3'!H87</f>
        <v>81.30000000000291</v>
      </c>
      <c r="I87" s="653"/>
      <c r="J87" s="708">
        <f>H87/DAY(B2)</f>
        <v>20.325000000000728</v>
      </c>
      <c r="K87" s="734"/>
      <c r="L87" s="735"/>
      <c r="O87" s="714"/>
    </row>
    <row r="88" spans="1:15" s="736" customFormat="1">
      <c r="A88" s="731" t="s">
        <v>95</v>
      </c>
      <c r="B88" s="732"/>
      <c r="C88" s="732"/>
      <c r="D88" s="733" t="s">
        <v>182</v>
      </c>
      <c r="E88" s="627">
        <f>'3'!F88</f>
        <v>153139.49</v>
      </c>
      <c r="F88" s="648">
        <v>153214.26</v>
      </c>
      <c r="G88" s="706">
        <f>F88-E88</f>
        <v>74.770000000018626</v>
      </c>
      <c r="H88" s="680">
        <f>G88+'3'!H88</f>
        <v>150.26000000000931</v>
      </c>
      <c r="I88" s="653"/>
      <c r="J88" s="708">
        <f>H88/DAY(B2)</f>
        <v>37.565000000002328</v>
      </c>
      <c r="K88" s="734"/>
      <c r="L88" s="735"/>
      <c r="O88" s="714"/>
    </row>
    <row r="89" spans="1:15" s="736" customFormat="1">
      <c r="A89" s="731" t="s">
        <v>203</v>
      </c>
      <c r="B89" s="732"/>
      <c r="C89" s="732"/>
      <c r="D89" s="733" t="s">
        <v>182</v>
      </c>
      <c r="E89" s="627">
        <f>'3'!F89</f>
        <v>65207.9</v>
      </c>
      <c r="F89" s="648">
        <v>65217.9</v>
      </c>
      <c r="G89" s="706">
        <f>F89-E89</f>
        <v>10</v>
      </c>
      <c r="H89" s="680">
        <f>G89+'3'!H89</f>
        <v>43.30000000000291</v>
      </c>
      <c r="I89" s="653"/>
      <c r="J89" s="708">
        <f>H89/DAY(B2)</f>
        <v>10.825000000000728</v>
      </c>
      <c r="K89" s="734"/>
      <c r="L89" s="735"/>
      <c r="N89" s="778"/>
      <c r="O89" s="382"/>
    </row>
    <row r="90" spans="1:15" s="736" customFormat="1">
      <c r="A90" s="731" t="s">
        <v>203</v>
      </c>
      <c r="B90" s="732"/>
      <c r="C90" s="732"/>
      <c r="D90" s="733" t="s">
        <v>182</v>
      </c>
      <c r="E90" s="627">
        <f>'3'!F90</f>
        <v>3273.7</v>
      </c>
      <c r="F90" s="648">
        <v>3273.8</v>
      </c>
      <c r="G90" s="706">
        <f t="shared" ref="G90:G91" si="8">F90-E90</f>
        <v>0.1000000000003638</v>
      </c>
      <c r="H90" s="680">
        <f>G90+'3'!H90</f>
        <v>0.20000000000027285</v>
      </c>
      <c r="I90" s="653"/>
      <c r="J90" s="708">
        <f>H90/DAY(B2)</f>
        <v>5.0000000000068212E-2</v>
      </c>
      <c r="K90" s="734"/>
      <c r="L90" s="735"/>
      <c r="N90" s="778"/>
      <c r="O90" s="382"/>
    </row>
    <row r="91" spans="1:15" s="736" customFormat="1">
      <c r="A91" s="731" t="s">
        <v>350</v>
      </c>
      <c r="B91" s="732"/>
      <c r="C91" s="732"/>
      <c r="D91" s="733"/>
      <c r="E91" s="627">
        <f>'3'!F91</f>
        <v>28044</v>
      </c>
      <c r="F91" s="648">
        <v>28055.254400000002</v>
      </c>
      <c r="G91" s="706">
        <f t="shared" si="8"/>
        <v>11.254400000001624</v>
      </c>
      <c r="H91" s="680">
        <f>G91+'3'!H91</f>
        <v>11.254400000001624</v>
      </c>
      <c r="I91" s="653"/>
      <c r="J91" s="708">
        <f>H91/DAY(B2)</f>
        <v>2.813600000000406</v>
      </c>
      <c r="K91" s="734"/>
      <c r="L91" s="735"/>
      <c r="N91" s="778"/>
      <c r="O91" s="382"/>
    </row>
    <row r="92" spans="1:15" s="379" customFormat="1">
      <c r="A92" s="606" t="s">
        <v>204</v>
      </c>
      <c r="B92" s="1311"/>
      <c r="C92" s="1311"/>
      <c r="D92" s="472"/>
      <c r="E92" s="472"/>
      <c r="F92" s="483"/>
      <c r="G92" s="488"/>
      <c r="H92" s="472"/>
      <c r="I92" s="472"/>
      <c r="J92" s="551"/>
      <c r="K92" s="380"/>
      <c r="L92" s="378"/>
      <c r="N92" s="382"/>
    </row>
    <row r="93" spans="1:15" ht="27.75">
      <c r="A93" s="1537" t="s">
        <v>205</v>
      </c>
      <c r="B93" s="1538"/>
      <c r="C93" s="1539"/>
      <c r="D93" s="523" t="s">
        <v>143</v>
      </c>
      <c r="E93" s="484">
        <f>'3'!F93</f>
        <v>245604</v>
      </c>
      <c r="F93" s="635">
        <v>245609</v>
      </c>
      <c r="G93" s="473">
        <f t="shared" ref="G93:G94" si="9">F93-E93</f>
        <v>5</v>
      </c>
      <c r="H93" s="680">
        <f>G93+'3'!H93</f>
        <v>121</v>
      </c>
      <c r="I93" s="480"/>
      <c r="J93" s="552">
        <f>H93/DAY(B2)</f>
        <v>30.25</v>
      </c>
      <c r="K93" s="429"/>
      <c r="L93" s="377"/>
      <c r="N93" s="382"/>
    </row>
    <row r="94" spans="1:15" ht="27.75">
      <c r="A94" s="1537" t="s">
        <v>206</v>
      </c>
      <c r="B94" s="1538"/>
      <c r="C94" s="1539"/>
      <c r="D94" s="523" t="s">
        <v>143</v>
      </c>
      <c r="E94" s="484">
        <f>'3'!F94</f>
        <v>186339</v>
      </c>
      <c r="F94" s="635">
        <v>186420</v>
      </c>
      <c r="G94" s="473">
        <f t="shared" si="9"/>
        <v>81</v>
      </c>
      <c r="H94" s="680">
        <f>G94+'3'!H94</f>
        <v>299</v>
      </c>
      <c r="I94" s="480"/>
      <c r="J94" s="552">
        <f>H94/DAY(B2)</f>
        <v>74.75</v>
      </c>
      <c r="K94" s="380"/>
      <c r="L94" s="377"/>
      <c r="N94" s="382"/>
    </row>
    <row r="95" spans="1:15">
      <c r="A95" s="1531" t="s">
        <v>207</v>
      </c>
      <c r="B95" s="1532"/>
      <c r="C95" s="1533"/>
      <c r="D95" s="523"/>
      <c r="E95" s="484"/>
      <c r="F95" s="635"/>
      <c r="G95" s="473">
        <f>G93+G94</f>
        <v>86</v>
      </c>
      <c r="H95" s="680">
        <f>G95+'3'!H95</f>
        <v>344</v>
      </c>
      <c r="I95" s="480"/>
      <c r="J95" s="552">
        <f>H95/DAY(B2)</f>
        <v>86</v>
      </c>
      <c r="K95" s="380"/>
      <c r="L95" s="377"/>
      <c r="N95" s="382"/>
    </row>
    <row r="96" spans="1:15" ht="27.75">
      <c r="A96" s="1537" t="s">
        <v>208</v>
      </c>
      <c r="B96" s="1538"/>
      <c r="C96" s="1539"/>
      <c r="D96" s="523" t="s">
        <v>143</v>
      </c>
      <c r="E96" s="484">
        <f>'3'!F96</f>
        <v>414430</v>
      </c>
      <c r="F96" s="635">
        <v>414457</v>
      </c>
      <c r="G96" s="473">
        <f t="shared" ref="G96:G101" si="10">F96-E96</f>
        <v>27</v>
      </c>
      <c r="H96" s="680">
        <f>G96+'3'!H96</f>
        <v>174</v>
      </c>
      <c r="I96" s="480"/>
      <c r="J96" s="552">
        <f>H96/DAY(B2)</f>
        <v>43.5</v>
      </c>
      <c r="K96" s="380"/>
      <c r="L96" s="377"/>
      <c r="N96" s="382"/>
    </row>
    <row r="97" spans="1:14" ht="27.75">
      <c r="A97" s="1305" t="s">
        <v>209</v>
      </c>
      <c r="B97" s="1306"/>
      <c r="C97" s="1306"/>
      <c r="D97" s="523" t="s">
        <v>143</v>
      </c>
      <c r="E97" s="484">
        <f>'3'!F97</f>
        <v>102680</v>
      </c>
      <c r="F97" s="635">
        <v>102689</v>
      </c>
      <c r="G97" s="473">
        <f t="shared" si="10"/>
        <v>9</v>
      </c>
      <c r="H97" s="680">
        <f>G97+'3'!H97</f>
        <v>41</v>
      </c>
      <c r="I97" s="480"/>
      <c r="J97" s="552">
        <f>H97/DAY(B2)</f>
        <v>10.25</v>
      </c>
      <c r="K97" s="427"/>
      <c r="L97" s="377"/>
      <c r="N97" s="382"/>
    </row>
    <row r="98" spans="1:14" ht="27.75">
      <c r="A98" s="1305" t="s">
        <v>210</v>
      </c>
      <c r="B98" s="1306"/>
      <c r="C98" s="1306"/>
      <c r="D98" s="523" t="s">
        <v>143</v>
      </c>
      <c r="E98" s="484">
        <f>'3'!F98</f>
        <v>97986</v>
      </c>
      <c r="F98" s="635">
        <v>98001</v>
      </c>
      <c r="G98" s="473">
        <f t="shared" si="10"/>
        <v>15</v>
      </c>
      <c r="H98" s="680">
        <f>G98+'3'!H98</f>
        <v>51</v>
      </c>
      <c r="I98" s="480"/>
      <c r="J98" s="552">
        <f>H98/DAY(B2)</f>
        <v>12.75</v>
      </c>
      <c r="K98" s="432"/>
      <c r="L98" s="377"/>
      <c r="N98" s="382"/>
    </row>
    <row r="99" spans="1:14" ht="27.75">
      <c r="A99" s="1305" t="s">
        <v>211</v>
      </c>
      <c r="B99" s="1306"/>
      <c r="C99" s="1306"/>
      <c r="D99" s="523" t="s">
        <v>143</v>
      </c>
      <c r="E99" s="484">
        <f>'3'!F99</f>
        <v>149870</v>
      </c>
      <c r="F99" s="635">
        <v>149880</v>
      </c>
      <c r="G99" s="473">
        <f t="shared" si="10"/>
        <v>10</v>
      </c>
      <c r="H99" s="680">
        <f>G99+'3'!H99</f>
        <v>28</v>
      </c>
      <c r="I99" s="480"/>
      <c r="J99" s="552">
        <f>H99/DAY(B2)</f>
        <v>7</v>
      </c>
      <c r="K99" s="380"/>
      <c r="L99" s="377"/>
      <c r="N99" s="382"/>
    </row>
    <row r="100" spans="1:14" ht="27.75">
      <c r="A100" s="1305" t="s">
        <v>212</v>
      </c>
      <c r="B100" s="1306"/>
      <c r="C100" s="1306"/>
      <c r="D100" s="523" t="s">
        <v>143</v>
      </c>
      <c r="E100" s="484">
        <f>'3'!F100</f>
        <v>7429</v>
      </c>
      <c r="F100" s="635">
        <v>7436</v>
      </c>
      <c r="G100" s="473">
        <f t="shared" si="10"/>
        <v>7</v>
      </c>
      <c r="H100" s="680">
        <f>G100+'3'!H100</f>
        <v>67</v>
      </c>
      <c r="I100" s="480"/>
      <c r="J100" s="552">
        <f>H100/DAY(B2)</f>
        <v>16.75</v>
      </c>
      <c r="K100" s="380"/>
      <c r="L100" s="377"/>
      <c r="N100" s="382"/>
    </row>
    <row r="101" spans="1:14" ht="27.75">
      <c r="A101" s="1305" t="s">
        <v>213</v>
      </c>
      <c r="B101" s="1306"/>
      <c r="C101" s="1306"/>
      <c r="D101" s="523" t="s">
        <v>143</v>
      </c>
      <c r="E101" s="484">
        <f>'3'!F101</f>
        <v>5404</v>
      </c>
      <c r="F101" s="635">
        <v>5411</v>
      </c>
      <c r="G101" s="473">
        <f t="shared" si="10"/>
        <v>7</v>
      </c>
      <c r="H101" s="680">
        <f>G101+'3'!H101</f>
        <v>20</v>
      </c>
      <c r="I101" s="480"/>
      <c r="J101" s="552">
        <f>H101/DAY(B2)</f>
        <v>5</v>
      </c>
      <c r="K101" s="380"/>
      <c r="L101" s="377"/>
      <c r="N101" s="382"/>
    </row>
    <row r="102" spans="1:14">
      <c r="A102" s="1531" t="s">
        <v>215</v>
      </c>
      <c r="B102" s="1532"/>
      <c r="C102" s="1533"/>
      <c r="D102" s="524"/>
      <c r="E102" s="524"/>
      <c r="F102" s="639"/>
      <c r="G102" s="525">
        <f>SUM(G96:G101)</f>
        <v>75</v>
      </c>
      <c r="H102" s="680">
        <f>G102+'3'!H102</f>
        <v>381</v>
      </c>
      <c r="I102" s="526"/>
      <c r="J102" s="552">
        <f>H102/DAY(B2)</f>
        <v>95.25</v>
      </c>
      <c r="K102" s="380"/>
      <c r="L102" s="377"/>
      <c r="N102" s="382"/>
    </row>
    <row r="103" spans="1:14" s="442" customFormat="1" ht="27">
      <c r="A103" s="607" t="s">
        <v>216</v>
      </c>
      <c r="B103" s="608"/>
      <c r="C103" s="608"/>
      <c r="D103" s="621"/>
      <c r="E103" s="528"/>
      <c r="F103" s="649"/>
      <c r="G103" s="529"/>
      <c r="H103" s="530"/>
      <c r="I103" s="531"/>
      <c r="J103" s="557"/>
      <c r="N103" s="382"/>
    </row>
    <row r="104" spans="1:14" s="442" customFormat="1" ht="27.75">
      <c r="A104" s="1540" t="s">
        <v>217</v>
      </c>
      <c r="B104" s="1541"/>
      <c r="C104" s="573"/>
      <c r="D104" s="622"/>
      <c r="E104" s="532"/>
      <c r="F104" s="532"/>
      <c r="G104" s="532"/>
      <c r="H104" s="533"/>
      <c r="I104" s="532"/>
      <c r="J104" s="558"/>
      <c r="N104" s="382"/>
    </row>
    <row r="105" spans="1:14" s="442" customFormat="1" ht="27.75">
      <c r="A105" s="1542" t="s">
        <v>218</v>
      </c>
      <c r="B105" s="1543"/>
      <c r="C105" s="1304"/>
      <c r="D105" s="622" t="s">
        <v>143</v>
      </c>
      <c r="E105" s="532">
        <f>'3'!F105</f>
        <v>7484</v>
      </c>
      <c r="F105" s="532">
        <v>7484</v>
      </c>
      <c r="G105" s="532">
        <f>F105-E105</f>
        <v>0</v>
      </c>
      <c r="H105" s="680">
        <f>G105+'3'!H105</f>
        <v>0</v>
      </c>
      <c r="I105" s="532"/>
      <c r="J105" s="558">
        <f>H105/DAY(B2)</f>
        <v>0</v>
      </c>
      <c r="N105" s="382"/>
    </row>
    <row r="106" spans="1:14" s="442" customFormat="1" ht="27.75">
      <c r="A106" s="1542" t="s">
        <v>76</v>
      </c>
      <c r="B106" s="1543"/>
      <c r="C106" s="1304"/>
      <c r="D106" s="622" t="s">
        <v>143</v>
      </c>
      <c r="E106" s="532">
        <f>'3'!F106</f>
        <v>35966</v>
      </c>
      <c r="F106" s="534">
        <v>35966</v>
      </c>
      <c r="G106" s="532">
        <f t="shared" ref="G106:G107" si="11">F106-E106</f>
        <v>0</v>
      </c>
      <c r="H106" s="680">
        <f>G106+'3'!H106</f>
        <v>13</v>
      </c>
      <c r="I106" s="532"/>
      <c r="J106" s="558">
        <f>H106/DAY(B2)</f>
        <v>3.25</v>
      </c>
      <c r="N106" s="382"/>
    </row>
    <row r="107" spans="1:14" s="442" customFormat="1" ht="27.75">
      <c r="A107" s="1542" t="s">
        <v>77</v>
      </c>
      <c r="B107" s="1544"/>
      <c r="C107" s="1543"/>
      <c r="D107" s="622" t="s">
        <v>143</v>
      </c>
      <c r="E107" s="532">
        <f>'3'!F107</f>
        <v>19711</v>
      </c>
      <c r="F107" s="1048">
        <v>19717</v>
      </c>
      <c r="G107" s="532">
        <f t="shared" si="11"/>
        <v>6</v>
      </c>
      <c r="H107" s="680">
        <f>G107+'3'!H107</f>
        <v>9</v>
      </c>
      <c r="I107" s="532"/>
      <c r="J107" s="558">
        <f>H107/DAY(B2)</f>
        <v>2.25</v>
      </c>
      <c r="N107" s="382"/>
    </row>
    <row r="108" spans="1:14" s="442" customFormat="1" ht="27.75">
      <c r="A108" s="1545" t="s">
        <v>201</v>
      </c>
      <c r="B108" s="1546"/>
      <c r="C108" s="1304"/>
      <c r="D108" s="622"/>
      <c r="E108" s="532" t="str">
        <f>'3'!F108</f>
        <v>.</v>
      </c>
      <c r="F108" s="532"/>
      <c r="G108" s="532">
        <f>SUM(G105:G107)</f>
        <v>6</v>
      </c>
      <c r="H108" s="680">
        <f>G108+'3'!H108</f>
        <v>22</v>
      </c>
      <c r="I108" s="532"/>
      <c r="J108" s="558">
        <f>H108/DAY(B2)</f>
        <v>5.5</v>
      </c>
      <c r="N108" s="382"/>
    </row>
    <row r="109" spans="1:14" s="442" customFormat="1" ht="27.75">
      <c r="A109" s="1547" t="s">
        <v>78</v>
      </c>
      <c r="B109" s="1548"/>
      <c r="C109" s="1304"/>
      <c r="D109" s="622" t="s">
        <v>143</v>
      </c>
      <c r="E109" s="532">
        <f>'3'!F109</f>
        <v>0</v>
      </c>
      <c r="F109" s="532"/>
      <c r="G109" s="532"/>
      <c r="H109" s="680">
        <f>G109+'3'!H109</f>
        <v>0</v>
      </c>
      <c r="I109" s="532"/>
      <c r="J109" s="558"/>
      <c r="N109" s="382"/>
    </row>
    <row r="110" spans="1:14" s="442" customFormat="1" ht="27.75">
      <c r="A110" s="1542" t="s">
        <v>219</v>
      </c>
      <c r="B110" s="1543"/>
      <c r="C110" s="1304"/>
      <c r="D110" s="622" t="s">
        <v>143</v>
      </c>
      <c r="E110" s="532">
        <f>'3'!F110</f>
        <v>63026</v>
      </c>
      <c r="F110" s="532">
        <v>63091</v>
      </c>
      <c r="G110" s="532">
        <f>F110-E110</f>
        <v>65</v>
      </c>
      <c r="H110" s="680">
        <f>G110+'3'!H110</f>
        <v>257</v>
      </c>
      <c r="I110" s="532"/>
      <c r="J110" s="558">
        <f>H110/DAY(B2)</f>
        <v>64.25</v>
      </c>
      <c r="N110" s="382"/>
    </row>
    <row r="111" spans="1:14" s="442" customFormat="1" ht="27.75">
      <c r="A111" s="1542" t="s">
        <v>220</v>
      </c>
      <c r="B111" s="1543"/>
      <c r="C111" s="1304"/>
      <c r="D111" s="622" t="s">
        <v>143</v>
      </c>
      <c r="E111" s="532">
        <f>'3'!F111</f>
        <v>32578</v>
      </c>
      <c r="F111" s="532">
        <v>32588</v>
      </c>
      <c r="G111" s="532">
        <f t="shared" ref="G111:G112" si="12">F111-E111</f>
        <v>10</v>
      </c>
      <c r="H111" s="680">
        <f>G111+'3'!H111</f>
        <v>10</v>
      </c>
      <c r="I111" s="532"/>
      <c r="J111" s="558">
        <f>H111/DAY(B2)</f>
        <v>2.5</v>
      </c>
      <c r="N111" s="382"/>
    </row>
    <row r="112" spans="1:14" s="442" customFormat="1" ht="27.75">
      <c r="A112" s="1542" t="s">
        <v>221</v>
      </c>
      <c r="B112" s="1543"/>
      <c r="C112" s="1304"/>
      <c r="D112" s="622" t="s">
        <v>143</v>
      </c>
      <c r="E112" s="532">
        <f>'3'!F112</f>
        <v>4606</v>
      </c>
      <c r="F112" s="532">
        <v>4606</v>
      </c>
      <c r="G112" s="532">
        <f t="shared" si="12"/>
        <v>0</v>
      </c>
      <c r="H112" s="680">
        <f>G112+'3'!H112</f>
        <v>30</v>
      </c>
      <c r="I112" s="532"/>
      <c r="J112" s="558">
        <f>H112/DAY(B2)</f>
        <v>7.5</v>
      </c>
      <c r="N112" s="382"/>
    </row>
    <row r="113" spans="1:14" s="442" customFormat="1" ht="27.75">
      <c r="A113" s="1545" t="s">
        <v>109</v>
      </c>
      <c r="B113" s="1546"/>
      <c r="C113" s="1304"/>
      <c r="D113" s="622"/>
      <c r="E113" s="532">
        <f>'3'!F113</f>
        <v>0</v>
      </c>
      <c r="F113" s="532"/>
      <c r="G113" s="532">
        <f>SUM(G110:G112)</f>
        <v>75</v>
      </c>
      <c r="H113" s="680">
        <f>G113+'3'!H113</f>
        <v>297</v>
      </c>
      <c r="I113" s="532"/>
      <c r="J113" s="558">
        <f>H113/DAY(B2)</f>
        <v>74.25</v>
      </c>
      <c r="N113" s="382"/>
    </row>
    <row r="114" spans="1:14" s="442" customFormat="1" ht="27.75">
      <c r="A114" s="1547" t="s">
        <v>222</v>
      </c>
      <c r="B114" s="1548"/>
      <c r="C114" s="1304"/>
      <c r="D114" s="622"/>
      <c r="E114" s="532">
        <f>'3'!F114</f>
        <v>0</v>
      </c>
      <c r="F114" s="532"/>
      <c r="G114" s="532"/>
      <c r="H114" s="680">
        <f>G114+'3'!H114</f>
        <v>0</v>
      </c>
      <c r="I114" s="532"/>
      <c r="J114" s="558">
        <f>H114/DAY(B2)</f>
        <v>0</v>
      </c>
      <c r="N114" s="382"/>
    </row>
    <row r="115" spans="1:14" s="442" customFormat="1" ht="27.75">
      <c r="A115" s="1542" t="s">
        <v>223</v>
      </c>
      <c r="B115" s="1543"/>
      <c r="C115" s="574"/>
      <c r="D115" s="622" t="s">
        <v>143</v>
      </c>
      <c r="E115" s="532">
        <f>'3'!F115</f>
        <v>11569</v>
      </c>
      <c r="F115" s="534">
        <v>11578</v>
      </c>
      <c r="G115" s="534">
        <f>F115-E115</f>
        <v>9</v>
      </c>
      <c r="H115" s="680">
        <f>G115+'3'!H115</f>
        <v>81</v>
      </c>
      <c r="I115" s="532"/>
      <c r="J115" s="558">
        <f>H115/DAY(B2)</f>
        <v>20.25</v>
      </c>
      <c r="N115" s="382"/>
    </row>
    <row r="116" spans="1:14" s="442" customFormat="1" ht="27.75">
      <c r="A116" s="1542" t="s">
        <v>224</v>
      </c>
      <c r="B116" s="1543"/>
      <c r="C116" s="574"/>
      <c r="D116" s="622" t="s">
        <v>143</v>
      </c>
      <c r="E116" s="532">
        <f>'3'!F116</f>
        <v>8323</v>
      </c>
      <c r="F116" s="534">
        <v>8328</v>
      </c>
      <c r="G116" s="534">
        <f t="shared" ref="G116:G117" si="13">F116-E116</f>
        <v>5</v>
      </c>
      <c r="H116" s="680">
        <f>G116+'3'!H116</f>
        <v>16</v>
      </c>
      <c r="I116" s="532"/>
      <c r="J116" s="558">
        <f>H116/DAY(B2)</f>
        <v>4</v>
      </c>
      <c r="N116" s="382"/>
    </row>
    <row r="117" spans="1:14" s="442" customFormat="1" ht="27.75">
      <c r="A117" s="1542" t="s">
        <v>225</v>
      </c>
      <c r="B117" s="1543"/>
      <c r="C117" s="574"/>
      <c r="D117" s="622" t="s">
        <v>143</v>
      </c>
      <c r="E117" s="534"/>
      <c r="F117" s="534"/>
      <c r="G117" s="534">
        <f t="shared" si="13"/>
        <v>0</v>
      </c>
      <c r="H117" s="680">
        <f>G117+'3'!H117</f>
        <v>0</v>
      </c>
      <c r="I117" s="532"/>
      <c r="J117" s="558">
        <f>H117/DAY(B2)</f>
        <v>0</v>
      </c>
      <c r="N117" s="382"/>
    </row>
    <row r="118" spans="1:14" s="445" customFormat="1" ht="27.75">
      <c r="A118" s="1545" t="s">
        <v>201</v>
      </c>
      <c r="B118" s="1546"/>
      <c r="C118" s="574"/>
      <c r="D118" s="623"/>
      <c r="E118" s="534"/>
      <c r="F118" s="534"/>
      <c r="G118" s="534">
        <f>SUM(G115:G117)</f>
        <v>14</v>
      </c>
      <c r="H118" s="680">
        <f>G118+'3'!H118</f>
        <v>97</v>
      </c>
      <c r="I118" s="534"/>
      <c r="J118" s="558">
        <f>H118/DAY(B2)</f>
        <v>24.25</v>
      </c>
      <c r="N118" s="382"/>
    </row>
    <row r="119" spans="1:14" s="446" customFormat="1" ht="27.75">
      <c r="A119" s="1576" t="s">
        <v>226</v>
      </c>
      <c r="B119" s="1577"/>
      <c r="C119" s="1302"/>
      <c r="D119" s="624" t="s">
        <v>143</v>
      </c>
      <c r="E119" s="536"/>
      <c r="F119" s="536">
        <f>SUM(G19+G93)</f>
        <v>66</v>
      </c>
      <c r="G119" s="536">
        <f>SUM(G19+G93)</f>
        <v>66</v>
      </c>
      <c r="H119" s="680">
        <f>G119+'3'!H119</f>
        <v>357</v>
      </c>
      <c r="I119" s="535"/>
      <c r="J119" s="559">
        <f>H119/DAY(B2)</f>
        <v>89.25</v>
      </c>
      <c r="N119" s="382"/>
    </row>
    <row r="120" spans="1:14" s="446" customFormat="1" ht="27.75">
      <c r="A120" s="1576" t="s">
        <v>227</v>
      </c>
      <c r="B120" s="1577"/>
      <c r="C120" s="1302"/>
      <c r="D120" s="624" t="s">
        <v>143</v>
      </c>
      <c r="E120" s="536"/>
      <c r="F120" s="536">
        <f>SUM(G96,G97,G98,G100,G101)</f>
        <v>65</v>
      </c>
      <c r="G120" s="536">
        <f>SUM(G96,G97,G98,G100,G101)</f>
        <v>65</v>
      </c>
      <c r="H120" s="680">
        <f>G120+'3'!H120</f>
        <v>353</v>
      </c>
      <c r="I120" s="535"/>
      <c r="J120" s="559">
        <f>H120/DAY(B2)</f>
        <v>88.25</v>
      </c>
      <c r="N120" s="382"/>
    </row>
    <row r="121" spans="1:14" s="446" customFormat="1" ht="27.75">
      <c r="A121" s="1576" t="s">
        <v>228</v>
      </c>
      <c r="B121" s="1577"/>
      <c r="C121" s="1302"/>
      <c r="D121" s="624" t="s">
        <v>143</v>
      </c>
      <c r="E121" s="534"/>
      <c r="F121" s="534">
        <f>SUM(G113)</f>
        <v>75</v>
      </c>
      <c r="G121" s="534">
        <f>SUM(G113)</f>
        <v>75</v>
      </c>
      <c r="H121" s="680">
        <f>G121+'3'!H121</f>
        <v>297</v>
      </c>
      <c r="I121" s="535"/>
      <c r="J121" s="559">
        <f>H121/DAY(B2)</f>
        <v>74.25</v>
      </c>
      <c r="N121" s="382"/>
    </row>
    <row r="122" spans="1:14" s="442" customFormat="1" ht="27.75">
      <c r="A122" s="1578"/>
      <c r="B122" s="1579"/>
      <c r="C122" s="1303"/>
      <c r="D122" s="560"/>
      <c r="E122" s="560"/>
      <c r="F122" s="560" t="s">
        <v>214</v>
      </c>
      <c r="G122" s="560"/>
      <c r="H122" s="561"/>
      <c r="I122" s="560"/>
      <c r="J122" s="562"/>
      <c r="N122" s="382"/>
    </row>
    <row r="123" spans="1:14">
      <c r="A123" s="1528" t="s">
        <v>229</v>
      </c>
      <c r="B123" s="1529"/>
      <c r="C123" s="1530"/>
      <c r="D123" s="472"/>
      <c r="E123" s="472"/>
      <c r="F123" s="483"/>
      <c r="G123" s="483"/>
      <c r="H123" s="483"/>
      <c r="I123" s="483"/>
      <c r="J123" s="563"/>
      <c r="K123" s="380"/>
      <c r="L123" s="377"/>
      <c r="N123" s="382"/>
    </row>
    <row r="124" spans="1:14" ht="27.75">
      <c r="A124" s="1305" t="s">
        <v>230</v>
      </c>
      <c r="B124" s="1306"/>
      <c r="C124" s="1306"/>
      <c r="D124" s="523" t="s">
        <v>140</v>
      </c>
      <c r="E124" s="478">
        <f>'3'!F124</f>
        <v>832890.3</v>
      </c>
      <c r="F124" s="635">
        <v>833069.83</v>
      </c>
      <c r="G124" s="473">
        <f t="shared" ref="G124:G128" si="14">F124-E124</f>
        <v>179.52999999991152</v>
      </c>
      <c r="H124" s="680">
        <f>G124+'3'!H124</f>
        <v>703.82999999995809</v>
      </c>
      <c r="I124" s="526"/>
      <c r="J124" s="552">
        <f>H124/DAY(B2)</f>
        <v>175.95749999998952</v>
      </c>
      <c r="K124" s="380"/>
      <c r="L124" s="377"/>
      <c r="N124" s="382"/>
    </row>
    <row r="125" spans="1:14" ht="27.75">
      <c r="A125" s="1305" t="s">
        <v>231</v>
      </c>
      <c r="B125" s="1306"/>
      <c r="C125" s="1306"/>
      <c r="D125" s="523" t="s">
        <v>140</v>
      </c>
      <c r="E125" s="478">
        <f>'3'!F125</f>
        <v>73583.399999999994</v>
      </c>
      <c r="F125" s="650">
        <v>73583</v>
      </c>
      <c r="G125" s="473">
        <f t="shared" si="14"/>
        <v>-0.39999999999417923</v>
      </c>
      <c r="H125" s="680">
        <f>G125+'3'!H125</f>
        <v>-0.39999999999417923</v>
      </c>
      <c r="I125" s="526"/>
      <c r="J125" s="552">
        <f>H125/DAY(B2)</f>
        <v>-9.9999999998544808E-2</v>
      </c>
      <c r="K125" s="380"/>
      <c r="L125" s="377"/>
      <c r="N125" s="382"/>
    </row>
    <row r="126" spans="1:14" ht="27.75">
      <c r="A126" s="1534" t="s">
        <v>232</v>
      </c>
      <c r="B126" s="1535"/>
      <c r="C126" s="1536"/>
      <c r="D126" s="523" t="s">
        <v>140</v>
      </c>
      <c r="E126" s="478">
        <f>'3'!F126</f>
        <v>146669.01999999999</v>
      </c>
      <c r="F126" s="635">
        <v>146737.42000000001</v>
      </c>
      <c r="G126" s="473">
        <f t="shared" si="14"/>
        <v>68.400000000023283</v>
      </c>
      <c r="H126" s="680">
        <f>G126+'3'!H126</f>
        <v>246.42000000001281</v>
      </c>
      <c r="I126" s="526"/>
      <c r="J126" s="552">
        <f>H126/DAY(B2)</f>
        <v>61.605000000003201</v>
      </c>
      <c r="K126" s="380"/>
      <c r="L126" s="377"/>
      <c r="N126" s="382"/>
    </row>
    <row r="127" spans="1:14" ht="27.75">
      <c r="A127" s="609" t="s">
        <v>233</v>
      </c>
      <c r="B127" s="1306"/>
      <c r="C127" s="1306"/>
      <c r="D127" s="523" t="s">
        <v>140</v>
      </c>
      <c r="E127" s="478">
        <f>'3'!F127</f>
        <v>31406.2</v>
      </c>
      <c r="F127" s="650">
        <v>31406.2</v>
      </c>
      <c r="G127" s="473">
        <f t="shared" si="14"/>
        <v>0</v>
      </c>
      <c r="H127" s="680">
        <f>G127+'3'!H127</f>
        <v>0.2000000000007276</v>
      </c>
      <c r="I127" s="526"/>
      <c r="J127" s="552">
        <f>H127/DAY(B2)</f>
        <v>5.0000000000181899E-2</v>
      </c>
      <c r="K127" s="380"/>
      <c r="L127" s="377"/>
      <c r="N127" s="382"/>
    </row>
    <row r="128" spans="1:14" ht="27.75">
      <c r="A128" s="609" t="s">
        <v>234</v>
      </c>
      <c r="B128" s="1306"/>
      <c r="C128" s="1306"/>
      <c r="D128" s="523" t="s">
        <v>140</v>
      </c>
      <c r="E128" s="478">
        <f>'3'!F128</f>
        <v>8971.7000000000007</v>
      </c>
      <c r="F128" s="650">
        <v>8971.7000000000007</v>
      </c>
      <c r="G128" s="473">
        <f t="shared" si="14"/>
        <v>0</v>
      </c>
      <c r="H128" s="680">
        <f>G128+'3'!H128</f>
        <v>-0.2999999999992724</v>
      </c>
      <c r="I128" s="480"/>
      <c r="J128" s="552">
        <f>H128/DAY(B2)</f>
        <v>-7.4999999999818101E-2</v>
      </c>
      <c r="K128" s="380"/>
      <c r="L128" s="377"/>
      <c r="N128" s="382"/>
    </row>
    <row r="129" spans="1:14" s="281" customFormat="1" ht="27.75">
      <c r="A129" s="609" t="s">
        <v>235</v>
      </c>
      <c r="B129" s="1306"/>
      <c r="C129" s="1306"/>
      <c r="D129" s="523"/>
      <c r="E129" s="478"/>
      <c r="F129" s="635"/>
      <c r="G129" s="473">
        <f>G15-SUM(G124:G128)</f>
        <v>55.374000000156229</v>
      </c>
      <c r="H129" s="680">
        <f>G129+'3'!H129</f>
        <v>672.65800000007584</v>
      </c>
      <c r="I129" s="480"/>
      <c r="J129" s="552">
        <f>H129/DAY(B2)</f>
        <v>168.16450000001896</v>
      </c>
      <c r="K129" s="364"/>
      <c r="L129" s="292"/>
      <c r="N129" s="382"/>
    </row>
    <row r="130" spans="1:14">
      <c r="A130" s="610" t="s">
        <v>236</v>
      </c>
      <c r="B130" s="458"/>
      <c r="C130" s="458"/>
      <c r="D130" s="471"/>
      <c r="E130" s="471"/>
      <c r="F130" s="494"/>
      <c r="G130" s="540"/>
      <c r="H130" s="540"/>
      <c r="I130" s="540"/>
      <c r="J130" s="564"/>
      <c r="N130" s="382"/>
    </row>
    <row r="131" spans="1:14" ht="27.75">
      <c r="A131" s="1305" t="s">
        <v>237</v>
      </c>
      <c r="B131" s="1306"/>
      <c r="C131" s="1306"/>
      <c r="D131" s="523" t="s">
        <v>238</v>
      </c>
      <c r="E131" s="484">
        <f>'3'!F131</f>
        <v>0</v>
      </c>
      <c r="F131" s="635">
        <v>0</v>
      </c>
      <c r="G131" s="473">
        <f t="shared" ref="G131:G141" si="15">F131-E131</f>
        <v>0</v>
      </c>
      <c r="H131" s="680">
        <f>G131+'3'!H131</f>
        <v>0</v>
      </c>
      <c r="I131" s="480"/>
      <c r="J131" s="552">
        <f>H131/DAY(B2)</f>
        <v>0</v>
      </c>
      <c r="N131" s="382"/>
    </row>
    <row r="132" spans="1:14" ht="27.75">
      <c r="A132" s="1305" t="s">
        <v>239</v>
      </c>
      <c r="B132" s="1306"/>
      <c r="C132" s="1306"/>
      <c r="D132" s="523" t="s">
        <v>238</v>
      </c>
      <c r="E132" s="484">
        <f>'3'!F132</f>
        <v>0</v>
      </c>
      <c r="F132" s="635">
        <v>0</v>
      </c>
      <c r="G132" s="473">
        <f t="shared" si="15"/>
        <v>0</v>
      </c>
      <c r="H132" s="680">
        <f>G132+'3'!H132</f>
        <v>0</v>
      </c>
      <c r="I132" s="480"/>
      <c r="J132" s="552">
        <f>H132/DAY(B2)</f>
        <v>0</v>
      </c>
      <c r="N132" s="382"/>
    </row>
    <row r="133" spans="1:14" ht="27.75">
      <c r="A133" s="1305" t="s">
        <v>240</v>
      </c>
      <c r="B133" s="1306"/>
      <c r="C133" s="1306"/>
      <c r="D133" s="523" t="s">
        <v>238</v>
      </c>
      <c r="E133" s="484">
        <f>'3'!F133</f>
        <v>40059</v>
      </c>
      <c r="F133" s="636">
        <v>40059</v>
      </c>
      <c r="G133" s="473">
        <f t="shared" si="15"/>
        <v>0</v>
      </c>
      <c r="H133" s="680">
        <f>G133+'3'!H133</f>
        <v>0</v>
      </c>
      <c r="I133" s="480"/>
      <c r="J133" s="552">
        <f>H133/DAY(B2)</f>
        <v>0</v>
      </c>
      <c r="N133" s="382"/>
    </row>
    <row r="134" spans="1:14" ht="27.75">
      <c r="A134" s="1305" t="s">
        <v>241</v>
      </c>
      <c r="B134" s="1306"/>
      <c r="C134" s="1306"/>
      <c r="D134" s="523" t="s">
        <v>238</v>
      </c>
      <c r="E134" s="484">
        <f>'3'!F134</f>
        <v>300</v>
      </c>
      <c r="F134" s="650">
        <v>300</v>
      </c>
      <c r="G134" s="473">
        <f t="shared" si="15"/>
        <v>0</v>
      </c>
      <c r="H134" s="680">
        <f>G134+'3'!H134</f>
        <v>0</v>
      </c>
      <c r="I134" s="480">
        <f>G133+G134+G135+G136</f>
        <v>24</v>
      </c>
      <c r="J134" s="552">
        <f>H134/DAY(B2)</f>
        <v>0</v>
      </c>
      <c r="N134" s="382"/>
    </row>
    <row r="135" spans="1:14" ht="27.75">
      <c r="A135" s="1305" t="s">
        <v>242</v>
      </c>
      <c r="B135" s="1306"/>
      <c r="C135" s="1306"/>
      <c r="D135" s="523" t="s">
        <v>238</v>
      </c>
      <c r="E135" s="484">
        <f>'3'!F135</f>
        <v>41730</v>
      </c>
      <c r="F135" s="650">
        <v>41730</v>
      </c>
      <c r="G135" s="473">
        <f t="shared" si="15"/>
        <v>0</v>
      </c>
      <c r="H135" s="680">
        <f>G135+'3'!H135</f>
        <v>0</v>
      </c>
      <c r="I135" s="480"/>
      <c r="J135" s="552">
        <f>H135/DAY(B2)</f>
        <v>0</v>
      </c>
      <c r="N135" s="382"/>
    </row>
    <row r="136" spans="1:14" ht="27.75">
      <c r="A136" s="1305" t="s">
        <v>243</v>
      </c>
      <c r="B136" s="1306"/>
      <c r="C136" s="1306"/>
      <c r="D136" s="523" t="s">
        <v>238</v>
      </c>
      <c r="E136" s="484">
        <f>'3'!F136</f>
        <v>32787</v>
      </c>
      <c r="F136" s="650">
        <v>32811</v>
      </c>
      <c r="G136" s="473">
        <f t="shared" si="15"/>
        <v>24</v>
      </c>
      <c r="H136" s="680">
        <f>G136+'3'!H136</f>
        <v>96</v>
      </c>
      <c r="I136" s="480"/>
      <c r="J136" s="552">
        <f>H136/DAY(B2)</f>
        <v>24</v>
      </c>
      <c r="N136" s="382"/>
    </row>
    <row r="137" spans="1:14" ht="27.75">
      <c r="A137" s="1305" t="s">
        <v>244</v>
      </c>
      <c r="B137" s="1306"/>
      <c r="C137" s="1306"/>
      <c r="D137" s="523" t="s">
        <v>238</v>
      </c>
      <c r="E137" s="484">
        <f>'3'!F137</f>
        <v>22814.28</v>
      </c>
      <c r="F137" s="636">
        <v>22814.2</v>
      </c>
      <c r="G137" s="473">
        <f t="shared" si="15"/>
        <v>-7.9999999998108251E-2</v>
      </c>
      <c r="H137" s="680">
        <f>G137+'3'!H137</f>
        <v>6.9599999999991269</v>
      </c>
      <c r="I137" s="480">
        <f>G137+G138+G139</f>
        <v>0.22000000000116415</v>
      </c>
      <c r="J137" s="552">
        <f>H137/DAY(B2)</f>
        <v>1.7399999999997817</v>
      </c>
      <c r="N137" s="382"/>
    </row>
    <row r="138" spans="1:14" ht="27.75">
      <c r="A138" s="1305" t="s">
        <v>245</v>
      </c>
      <c r="B138" s="1306"/>
      <c r="C138" s="1306"/>
      <c r="D138" s="523" t="s">
        <v>238</v>
      </c>
      <c r="E138" s="484">
        <f>'3'!F138</f>
        <v>25051.52</v>
      </c>
      <c r="F138" s="636">
        <v>25051.82</v>
      </c>
      <c r="G138" s="473">
        <f t="shared" si="15"/>
        <v>0.2999999999992724</v>
      </c>
      <c r="H138" s="680">
        <f>G138+'3'!H138</f>
        <v>0</v>
      </c>
      <c r="I138" s="480"/>
      <c r="J138" s="552">
        <f>H138/DAY(B2)</f>
        <v>0</v>
      </c>
      <c r="N138" s="382"/>
    </row>
    <row r="139" spans="1:14" ht="27.75">
      <c r="A139" s="1305" t="s">
        <v>246</v>
      </c>
      <c r="B139" s="1306"/>
      <c r="C139" s="1306"/>
      <c r="D139" s="523" t="s">
        <v>238</v>
      </c>
      <c r="E139" s="484">
        <f>'3'!F139</f>
        <v>70424.240000000005</v>
      </c>
      <c r="F139" s="636">
        <v>70424.240000000005</v>
      </c>
      <c r="G139" s="473">
        <f t="shared" si="15"/>
        <v>0</v>
      </c>
      <c r="H139" s="680">
        <f>G139+'3'!H139</f>
        <v>12.5</v>
      </c>
      <c r="I139" s="480"/>
      <c r="J139" s="552">
        <f>H139/DAY(B2)</f>
        <v>3.125</v>
      </c>
      <c r="N139" s="382"/>
    </row>
    <row r="140" spans="1:14" ht="27.75">
      <c r="A140" s="1305" t="s">
        <v>247</v>
      </c>
      <c r="B140" s="1306"/>
      <c r="C140" s="1306"/>
      <c r="D140" s="523" t="s">
        <v>238</v>
      </c>
      <c r="E140" s="484">
        <f>'3'!F140</f>
        <v>1874.45</v>
      </c>
      <c r="F140" s="650">
        <v>1881.49</v>
      </c>
      <c r="G140" s="473">
        <f t="shared" si="15"/>
        <v>7.0399999999999636</v>
      </c>
      <c r="H140" s="680">
        <f>G140+'3'!H140</f>
        <v>27.190000000000055</v>
      </c>
      <c r="I140" s="542">
        <f>G140+G141</f>
        <v>7.0399999999999636</v>
      </c>
      <c r="J140" s="552">
        <f>H140/DAY(B2)</f>
        <v>6.7975000000000136</v>
      </c>
      <c r="N140" s="382"/>
    </row>
    <row r="141" spans="1:14" ht="27.75">
      <c r="A141" s="1305" t="s">
        <v>248</v>
      </c>
      <c r="B141" s="1306"/>
      <c r="C141" s="1306"/>
      <c r="D141" s="523" t="s">
        <v>238</v>
      </c>
      <c r="E141" s="484">
        <f>'3'!F141</f>
        <v>4637</v>
      </c>
      <c r="F141" s="635">
        <v>4637</v>
      </c>
      <c r="G141" s="473">
        <f t="shared" si="15"/>
        <v>0</v>
      </c>
      <c r="H141" s="680">
        <f>G141+'3'!H141</f>
        <v>0</v>
      </c>
      <c r="I141" s="542"/>
      <c r="J141" s="552">
        <f>H141/DAY(B2)</f>
        <v>0</v>
      </c>
      <c r="N141" s="382"/>
    </row>
    <row r="142" spans="1:14">
      <c r="A142" s="1572" t="s">
        <v>249</v>
      </c>
      <c r="B142" s="1573"/>
      <c r="C142" s="1311"/>
      <c r="D142" s="472"/>
      <c r="E142" s="472"/>
      <c r="F142" s="483"/>
      <c r="G142" s="483"/>
      <c r="H142" s="483"/>
      <c r="I142" s="483"/>
      <c r="J142" s="563"/>
      <c r="K142" s="380"/>
      <c r="L142" s="377"/>
      <c r="N142" s="382"/>
    </row>
    <row r="143" spans="1:14" ht="27.75">
      <c r="A143" s="1537" t="s">
        <v>250</v>
      </c>
      <c r="B143" s="1538"/>
      <c r="C143" s="1539"/>
      <c r="D143" s="523" t="s">
        <v>131</v>
      </c>
      <c r="E143" s="523"/>
      <c r="F143" s="638"/>
      <c r="G143" s="460">
        <f>G35+G43+G49+G57</f>
        <v>4780.3200000000652</v>
      </c>
      <c r="H143" s="680">
        <f>G143+'3'!H143</f>
        <v>18814.339999999967</v>
      </c>
      <c r="I143" s="480"/>
      <c r="J143" s="552">
        <f>H143/DAY(B2)</f>
        <v>4703.5849999999919</v>
      </c>
      <c r="K143" s="380"/>
      <c r="L143" s="377"/>
      <c r="N143" s="382"/>
    </row>
    <row r="144" spans="1:14" ht="27.75">
      <c r="A144" s="1537" t="s">
        <v>251</v>
      </c>
      <c r="B144" s="1538"/>
      <c r="C144" s="1539"/>
      <c r="D144" s="523" t="s">
        <v>24</v>
      </c>
      <c r="E144" s="511"/>
      <c r="F144" s="642"/>
      <c r="G144" s="543">
        <f>G143/G7</f>
        <v>0.29115981045425576</v>
      </c>
      <c r="H144" s="680">
        <f>G144+'3'!H144</f>
        <v>1.1474329301516115</v>
      </c>
      <c r="I144" s="544"/>
      <c r="J144" s="552">
        <f>H144/DAY(B2)</f>
        <v>0.28685823253790288</v>
      </c>
      <c r="K144" s="380"/>
      <c r="L144" s="377"/>
      <c r="N144" s="382"/>
    </row>
    <row r="145" spans="1:14" ht="27.75">
      <c r="A145" s="1537" t="s">
        <v>252</v>
      </c>
      <c r="B145" s="1538"/>
      <c r="C145" s="1539"/>
      <c r="D145" s="523" t="s">
        <v>131</v>
      </c>
      <c r="E145" s="455"/>
      <c r="F145" s="633"/>
      <c r="G145" s="460">
        <f>G41+G42+G55+G56</f>
        <v>4466.5599999999395</v>
      </c>
      <c r="H145" s="680">
        <f>G145+'3'!H145</f>
        <v>19025.679999999993</v>
      </c>
      <c r="I145" s="480"/>
      <c r="J145" s="552">
        <f>H145/DAY(B2)</f>
        <v>4756.4199999999983</v>
      </c>
      <c r="K145" s="380"/>
      <c r="L145" s="377"/>
      <c r="N145" s="382"/>
    </row>
    <row r="146" spans="1:14" ht="27.75">
      <c r="A146" s="1537" t="s">
        <v>253</v>
      </c>
      <c r="B146" s="1538"/>
      <c r="C146" s="1539"/>
      <c r="D146" s="523" t="s">
        <v>24</v>
      </c>
      <c r="E146" s="455"/>
      <c r="F146" s="633"/>
      <c r="G146" s="543">
        <f>G145/G7</f>
        <v>0.2720493111303271</v>
      </c>
      <c r="H146" s="680">
        <f>G146+'3'!H146</f>
        <v>1.1592885278917657</v>
      </c>
      <c r="I146" s="544"/>
      <c r="J146" s="552">
        <f>H146/DAY(B2)</f>
        <v>0.28982213197294143</v>
      </c>
      <c r="K146" s="380"/>
      <c r="L146" s="377"/>
      <c r="N146" s="382"/>
    </row>
    <row r="147" spans="1:14" ht="27.75">
      <c r="A147" s="1537" t="s">
        <v>254</v>
      </c>
      <c r="B147" s="1538"/>
      <c r="C147" s="1539"/>
      <c r="D147" s="523" t="s">
        <v>131</v>
      </c>
      <c r="E147" s="455"/>
      <c r="F147" s="633"/>
      <c r="G147" s="460">
        <f>G39+G53</f>
        <v>2762.9400000000023</v>
      </c>
      <c r="H147" s="680">
        <f>G147+'3'!H147</f>
        <v>10252.01999999996</v>
      </c>
      <c r="I147" s="545"/>
      <c r="J147" s="552">
        <f>H147/DAY(B2)</f>
        <v>2563.0049999999901</v>
      </c>
      <c r="K147" s="380"/>
      <c r="L147" s="377"/>
      <c r="N147" s="382"/>
    </row>
    <row r="148" spans="1:14" ht="27.75">
      <c r="A148" s="1537" t="s">
        <v>255</v>
      </c>
      <c r="B148" s="1538"/>
      <c r="C148" s="1539"/>
      <c r="D148" s="523" t="s">
        <v>24</v>
      </c>
      <c r="E148" s="455"/>
      <c r="F148" s="633"/>
      <c r="G148" s="543">
        <f>G147/G7</f>
        <v>0.16828519569745773</v>
      </c>
      <c r="H148" s="680">
        <f>G148+'3'!H148</f>
        <v>0.62503804400451812</v>
      </c>
      <c r="I148" s="545"/>
      <c r="J148" s="552">
        <f>H148/DAY(B2)</f>
        <v>0.15625951100112953</v>
      </c>
      <c r="N148" s="382"/>
    </row>
    <row r="149" spans="1:14" ht="27.75">
      <c r="A149" s="1537" t="s">
        <v>256</v>
      </c>
      <c r="B149" s="1538"/>
      <c r="C149" s="1539"/>
      <c r="D149" s="523" t="s">
        <v>182</v>
      </c>
      <c r="E149" s="455"/>
      <c r="F149" s="633"/>
      <c r="G149" s="460">
        <f>G38+G52</f>
        <v>1089.3699999999953</v>
      </c>
      <c r="H149" s="680">
        <f>G149+'3'!H149</f>
        <v>4783.9599999999919</v>
      </c>
      <c r="I149" s="480"/>
      <c r="J149" s="552">
        <f>H149/DAY(B2)</f>
        <v>1195.989999999998</v>
      </c>
      <c r="K149" s="381"/>
      <c r="N149" s="382"/>
    </row>
    <row r="150" spans="1:14" ht="27.75">
      <c r="A150" s="1537" t="s">
        <v>257</v>
      </c>
      <c r="B150" s="1538"/>
      <c r="C150" s="1539"/>
      <c r="D150" s="523" t="s">
        <v>24</v>
      </c>
      <c r="E150" s="455"/>
      <c r="F150" s="633"/>
      <c r="G150" s="543">
        <f>G149/G7</f>
        <v>6.6351366166814543E-2</v>
      </c>
      <c r="H150" s="680">
        <f>G150+'3'!H150</f>
        <v>0.29182942305703552</v>
      </c>
      <c r="I150" s="545"/>
      <c r="J150" s="552">
        <f>H150/DAY(B2)</f>
        <v>7.295735576425888E-2</v>
      </c>
      <c r="N150" s="382"/>
    </row>
    <row r="151" spans="1:14" ht="27.75">
      <c r="A151" s="1537" t="s">
        <v>258</v>
      </c>
      <c r="B151" s="1538"/>
      <c r="C151" s="1539"/>
      <c r="D151" s="523" t="s">
        <v>182</v>
      </c>
      <c r="E151" s="455"/>
      <c r="F151" s="633"/>
      <c r="G151" s="460">
        <f>G36+G50</f>
        <v>1546.9900000000116</v>
      </c>
      <c r="H151" s="680">
        <f>G151+'3'!H151</f>
        <v>5494.4200000000237</v>
      </c>
      <c r="I151" s="545"/>
      <c r="J151" s="552">
        <f>H151/DAY(B2)</f>
        <v>1373.6050000000059</v>
      </c>
      <c r="N151" s="382"/>
    </row>
    <row r="152" spans="1:14" ht="27.75">
      <c r="A152" s="1537" t="s">
        <v>259</v>
      </c>
      <c r="B152" s="1538"/>
      <c r="C152" s="1539"/>
      <c r="D152" s="523" t="s">
        <v>24</v>
      </c>
      <c r="E152" s="455"/>
      <c r="F152" s="633"/>
      <c r="G152" s="543">
        <f>G151/G7</f>
        <v>9.4224092775091695E-2</v>
      </c>
      <c r="H152" s="680">
        <f>G152+'3'!H152</f>
        <v>0.33509540429350387</v>
      </c>
      <c r="I152" s="480"/>
      <c r="J152" s="552">
        <f>H152/DAY(B2)</f>
        <v>8.3773851073375968E-2</v>
      </c>
      <c r="N152" s="382"/>
    </row>
    <row r="153" spans="1:14" ht="27.75">
      <c r="A153" s="1537" t="s">
        <v>260</v>
      </c>
      <c r="B153" s="1538"/>
      <c r="C153" s="1539"/>
      <c r="D153" s="523" t="s">
        <v>182</v>
      </c>
      <c r="E153" s="455"/>
      <c r="F153" s="633"/>
      <c r="G153" s="460">
        <f>G37+G51</f>
        <v>1305.7000000000116</v>
      </c>
      <c r="H153" s="680">
        <f>G153+'3'!H153</f>
        <v>5084.320000000007</v>
      </c>
      <c r="I153" s="480"/>
      <c r="J153" s="552">
        <f>H153/DAY(B2)</f>
        <v>1271.0800000000017</v>
      </c>
      <c r="N153" s="382"/>
    </row>
    <row r="154" spans="1:14" ht="28.5" thickBot="1">
      <c r="A154" s="1569" t="s">
        <v>261</v>
      </c>
      <c r="B154" s="1570"/>
      <c r="C154" s="1571"/>
      <c r="D154" s="625" t="s">
        <v>24</v>
      </c>
      <c r="E154" s="565"/>
      <c r="F154" s="651"/>
      <c r="G154" s="566">
        <f>G153/G7</f>
        <v>7.9527597422373392E-2</v>
      </c>
      <c r="H154" s="680">
        <f>G154+'3'!H154</f>
        <v>0.31003037838603886</v>
      </c>
      <c r="I154" s="568"/>
      <c r="J154" s="569">
        <f>H154/DAY(B2)</f>
        <v>7.7507594596509716E-2</v>
      </c>
      <c r="N154" s="382"/>
    </row>
    <row r="155" spans="1:14">
      <c r="A155" s="466"/>
      <c r="B155" s="456"/>
      <c r="C155" s="456"/>
      <c r="D155" s="546"/>
      <c r="E155" s="546"/>
      <c r="F155" s="546"/>
      <c r="G155" s="546"/>
      <c r="H155" s="547"/>
      <c r="I155" s="546"/>
      <c r="J155" s="548"/>
      <c r="N155" s="382"/>
    </row>
    <row r="158" spans="1:14" ht="27.75">
      <c r="A158" s="1587" t="s">
        <v>266</v>
      </c>
      <c r="B158" s="1588"/>
      <c r="C158" s="1588"/>
      <c r="D158" s="1588"/>
      <c r="E158" s="1588"/>
      <c r="F158" s="1588"/>
      <c r="G158" s="1589"/>
    </row>
    <row r="159" spans="1:14">
      <c r="A159" s="785"/>
      <c r="B159" s="786"/>
      <c r="C159" s="786"/>
      <c r="D159" s="511"/>
      <c r="E159" s="455"/>
      <c r="F159" s="659"/>
      <c r="G159" s="473"/>
    </row>
    <row r="160" spans="1:14">
      <c r="A160" s="785"/>
      <c r="B160" s="786"/>
      <c r="C160" s="786"/>
      <c r="D160" s="511"/>
      <c r="E160" s="455"/>
      <c r="F160" s="659"/>
      <c r="G160" s="473"/>
    </row>
    <row r="161" spans="1:7">
      <c r="A161" s="785" t="s">
        <v>262</v>
      </c>
      <c r="B161" s="786"/>
      <c r="C161" s="786"/>
      <c r="D161" s="511" t="s">
        <v>186</v>
      </c>
      <c r="E161" s="659">
        <f>'3'!F161</f>
        <v>38676.51</v>
      </c>
      <c r="F161" s="659">
        <v>38758.07</v>
      </c>
      <c r="G161" s="473">
        <f t="shared" ref="G161:G172" si="16">F161-E161</f>
        <v>81.559999999997672</v>
      </c>
    </row>
    <row r="162" spans="1:7">
      <c r="A162" s="785" t="s">
        <v>263</v>
      </c>
      <c r="B162" s="786"/>
      <c r="C162" s="786"/>
      <c r="D162" s="511" t="s">
        <v>186</v>
      </c>
      <c r="E162" s="659">
        <f>'3'!F162</f>
        <v>95991.27</v>
      </c>
      <c r="F162" s="659">
        <v>96413.95</v>
      </c>
      <c r="G162" s="473">
        <f t="shared" si="16"/>
        <v>422.67999999999302</v>
      </c>
    </row>
    <row r="163" spans="1:7">
      <c r="A163" s="785" t="s">
        <v>264</v>
      </c>
      <c r="B163" s="786"/>
      <c r="C163" s="786"/>
      <c r="D163" s="511" t="s">
        <v>186</v>
      </c>
      <c r="E163" s="659">
        <f>'3'!F163</f>
        <v>45561.39</v>
      </c>
      <c r="F163" s="659">
        <v>45775.49</v>
      </c>
      <c r="G163" s="473">
        <f t="shared" si="16"/>
        <v>214.09999999999854</v>
      </c>
    </row>
    <row r="164" spans="1:7">
      <c r="A164" s="785" t="s">
        <v>265</v>
      </c>
      <c r="B164" s="786"/>
      <c r="C164" s="786"/>
      <c r="D164" s="511" t="s">
        <v>186</v>
      </c>
      <c r="E164" s="659">
        <f>'3'!F164</f>
        <v>6582.43</v>
      </c>
      <c r="F164" s="659">
        <v>6591.02</v>
      </c>
      <c r="G164" s="473">
        <f t="shared" si="16"/>
        <v>8.5900000000001455</v>
      </c>
    </row>
    <row r="165" spans="1:7">
      <c r="A165" s="787" t="s">
        <v>97</v>
      </c>
      <c r="B165" s="604"/>
      <c r="C165" s="604"/>
      <c r="D165" s="511" t="s">
        <v>186</v>
      </c>
      <c r="E165" s="659">
        <v>0</v>
      </c>
      <c r="F165" s="514">
        <f>F62</f>
        <v>0</v>
      </c>
      <c r="G165" s="473">
        <f t="shared" si="16"/>
        <v>0</v>
      </c>
    </row>
    <row r="166" spans="1:7">
      <c r="A166" s="787" t="s">
        <v>187</v>
      </c>
      <c r="B166" s="604"/>
      <c r="C166" s="604"/>
      <c r="D166" s="511" t="s">
        <v>186</v>
      </c>
      <c r="E166" s="752">
        <f>'3'!F63</f>
        <v>0</v>
      </c>
      <c r="F166" s="514">
        <f>F63</f>
        <v>0</v>
      </c>
      <c r="G166" s="473">
        <f t="shared" si="16"/>
        <v>0</v>
      </c>
    </row>
    <row r="167" spans="1:7" ht="25.5" customHeight="1">
      <c r="A167" s="1586" t="s">
        <v>98</v>
      </c>
      <c r="B167" s="1586"/>
      <c r="C167" s="1586"/>
      <c r="D167" s="523" t="s">
        <v>186</v>
      </c>
      <c r="E167" s="752">
        <f>'3'!F64</f>
        <v>160493.07</v>
      </c>
      <c r="F167" s="514">
        <f t="shared" ref="F167:F172" si="17">F64</f>
        <v>160690.44</v>
      </c>
      <c r="G167" s="473">
        <f>F167-E167</f>
        <v>197.36999999999534</v>
      </c>
    </row>
    <row r="168" spans="1:7" ht="24.75" customHeight="1">
      <c r="A168" s="1586" t="s">
        <v>99</v>
      </c>
      <c r="B168" s="1586"/>
      <c r="C168" s="1586"/>
      <c r="D168" s="523" t="s">
        <v>186</v>
      </c>
      <c r="E168" s="752">
        <f>'3'!F65</f>
        <v>161634.31</v>
      </c>
      <c r="F168" s="514">
        <f t="shared" si="17"/>
        <v>161818.76999999999</v>
      </c>
      <c r="G168" s="473">
        <f t="shared" si="16"/>
        <v>184.45999999999185</v>
      </c>
    </row>
    <row r="169" spans="1:7" ht="28.5" customHeight="1">
      <c r="A169" s="1586" t="s">
        <v>100</v>
      </c>
      <c r="B169" s="1586"/>
      <c r="C169" s="1586"/>
      <c r="D169" s="523" t="s">
        <v>186</v>
      </c>
      <c r="E169" s="752">
        <f>'3'!F66</f>
        <v>57490.71</v>
      </c>
      <c r="F169" s="514">
        <f t="shared" si="17"/>
        <v>57809.82</v>
      </c>
      <c r="G169" s="473">
        <f t="shared" si="16"/>
        <v>319.11000000000058</v>
      </c>
    </row>
    <row r="170" spans="1:7" ht="24.75" customHeight="1">
      <c r="A170" s="1586" t="s">
        <v>101</v>
      </c>
      <c r="B170" s="1586"/>
      <c r="C170" s="1586"/>
      <c r="D170" s="523" t="s">
        <v>186</v>
      </c>
      <c r="E170" s="752">
        <f>'3'!F67</f>
        <v>253178.53</v>
      </c>
      <c r="F170" s="514">
        <f t="shared" si="17"/>
        <v>253616.59</v>
      </c>
      <c r="G170" s="473">
        <f t="shared" si="16"/>
        <v>438.05999999999767</v>
      </c>
    </row>
    <row r="171" spans="1:7" ht="24" customHeight="1">
      <c r="A171" s="1586" t="s">
        <v>102</v>
      </c>
      <c r="B171" s="1586"/>
      <c r="C171" s="1586"/>
      <c r="D171" s="523" t="s">
        <v>186</v>
      </c>
      <c r="E171" s="752">
        <f>'3'!F68</f>
        <v>85321</v>
      </c>
      <c r="F171" s="514">
        <f t="shared" si="17"/>
        <v>85321</v>
      </c>
      <c r="G171" s="473">
        <f t="shared" si="16"/>
        <v>0</v>
      </c>
    </row>
    <row r="172" spans="1:7" ht="27.75">
      <c r="A172" s="1586" t="s">
        <v>103</v>
      </c>
      <c r="B172" s="1586"/>
      <c r="C172" s="1586"/>
      <c r="D172" s="523" t="s">
        <v>186</v>
      </c>
      <c r="E172" s="752">
        <f>'3'!F69</f>
        <v>82029.429999999993</v>
      </c>
      <c r="F172" s="514">
        <f t="shared" si="17"/>
        <v>82121.929999999993</v>
      </c>
      <c r="G172" s="473">
        <f t="shared" si="16"/>
        <v>92.5</v>
      </c>
    </row>
    <row r="173" spans="1:7">
      <c r="A173" s="1596" t="s">
        <v>357</v>
      </c>
      <c r="B173" s="1579"/>
      <c r="C173" s="786"/>
      <c r="D173" s="542"/>
      <c r="E173" s="542"/>
      <c r="F173" s="542"/>
      <c r="G173" s="542"/>
    </row>
    <row r="177" ht="18.75" customHeight="1"/>
    <row r="185" ht="18.75" customHeight="1"/>
    <row r="186" ht="18.75" customHeight="1"/>
    <row r="187" ht="18.75" customHeight="1"/>
    <row r="188" ht="18.75" customHeight="1"/>
    <row r="189" ht="18.75" customHeight="1"/>
    <row r="190" ht="18.75" customHeight="1"/>
    <row r="191" ht="18.75" customHeight="1"/>
  </sheetData>
  <mergeCells count="76">
    <mergeCell ref="A173:B173"/>
    <mergeCell ref="A95:C95"/>
    <mergeCell ref="A96:C96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12:B112"/>
    <mergeCell ref="A113:B113"/>
    <mergeCell ref="A122:B122"/>
    <mergeCell ref="A114:B114"/>
    <mergeCell ref="A115:B115"/>
    <mergeCell ref="A116:B116"/>
    <mergeCell ref="A117:B117"/>
    <mergeCell ref="A118:B118"/>
    <mergeCell ref="A119:B119"/>
    <mergeCell ref="A120:B120"/>
    <mergeCell ref="A121:B121"/>
    <mergeCell ref="A154:C154"/>
    <mergeCell ref="A102:C102"/>
    <mergeCell ref="A123:C123"/>
    <mergeCell ref="A126:C126"/>
    <mergeCell ref="A142:B142"/>
    <mergeCell ref="A153:C153"/>
    <mergeCell ref="A150:C150"/>
    <mergeCell ref="A151:C151"/>
    <mergeCell ref="A152:C152"/>
    <mergeCell ref="A145:C145"/>
    <mergeCell ref="A146:C146"/>
    <mergeCell ref="A147:C147"/>
    <mergeCell ref="A148:C148"/>
    <mergeCell ref="A149:C149"/>
    <mergeCell ref="A143:C143"/>
    <mergeCell ref="A144:C144"/>
    <mergeCell ref="A93:C93"/>
    <mergeCell ref="A94:C94"/>
    <mergeCell ref="A69:C69"/>
    <mergeCell ref="A70:C70"/>
    <mergeCell ref="A71:J71"/>
    <mergeCell ref="A72:C72"/>
    <mergeCell ref="A73:C73"/>
    <mergeCell ref="A74:C74"/>
    <mergeCell ref="A75:C75"/>
    <mergeCell ref="A76:C76"/>
    <mergeCell ref="A77:C77"/>
    <mergeCell ref="A79:C79"/>
    <mergeCell ref="A80:C80"/>
    <mergeCell ref="A81:C81"/>
    <mergeCell ref="A82:C82"/>
    <mergeCell ref="A83:C83"/>
    <mergeCell ref="A64:C64"/>
    <mergeCell ref="A65:C65"/>
    <mergeCell ref="A66:C66"/>
    <mergeCell ref="A67:C67"/>
    <mergeCell ref="A68:C68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  <mergeCell ref="A171:C171"/>
    <mergeCell ref="A172:C172"/>
    <mergeCell ref="A158:G158"/>
    <mergeCell ref="A167:C167"/>
    <mergeCell ref="A168:C168"/>
    <mergeCell ref="A169:C169"/>
    <mergeCell ref="A170:C170"/>
  </mergeCells>
  <pageMargins left="0.22" right="0.17" top="0.14000000000000001" bottom="0.2" header="0.2" footer="0.2"/>
  <pageSetup paperSize="5" scale="21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76"/>
  <sheetViews>
    <sheetView view="pageBreakPreview" topLeftCell="A163" zoomScale="55" zoomScaleNormal="48" zoomScaleSheetLayoutView="55" workbookViewId="0">
      <selection activeCell="A33" sqref="A33:J33"/>
    </sheetView>
  </sheetViews>
  <sheetFormatPr defaultColWidth="22.33203125" defaultRowHeight="29.25"/>
  <cols>
    <col min="1" max="1" width="41.33203125" style="454" customWidth="1"/>
    <col min="2" max="2" width="27.109375" style="457" customWidth="1"/>
    <col min="3" max="3" width="15.88671875" style="457" customWidth="1"/>
    <col min="4" max="4" width="13.6640625" style="537" customWidth="1"/>
    <col min="5" max="6" width="30" style="537" customWidth="1"/>
    <col min="7" max="7" width="28.88671875" style="537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3" width="0" style="376" hidden="1" customWidth="1"/>
    <col min="14" max="14" width="25.5546875" style="376" customWidth="1"/>
    <col min="15" max="16384" width="22.33203125" style="376"/>
  </cols>
  <sheetData>
    <row r="1" spans="1:15" ht="33.75">
      <c r="A1" s="1549" t="s">
        <v>116</v>
      </c>
      <c r="B1" s="1550"/>
      <c r="C1" s="1550"/>
      <c r="D1" s="1550"/>
      <c r="E1" s="1550"/>
      <c r="F1" s="1550"/>
      <c r="G1" s="1550"/>
      <c r="H1" s="1550"/>
      <c r="I1" s="1550"/>
      <c r="J1" s="1551"/>
    </row>
    <row r="2" spans="1:15" s="281" customFormat="1" ht="27">
      <c r="A2" s="575" t="s">
        <v>359</v>
      </c>
      <c r="B2" s="1033">
        <v>44352</v>
      </c>
      <c r="C2" s="1143" t="s">
        <v>68</v>
      </c>
      <c r="D2" s="611">
        <v>0.98</v>
      </c>
      <c r="E2" s="461"/>
      <c r="F2" s="630"/>
      <c r="G2" s="461" t="s">
        <v>117</v>
      </c>
      <c r="H2" s="461" t="s">
        <v>6</v>
      </c>
      <c r="I2" s="461" t="s">
        <v>8</v>
      </c>
      <c r="J2" s="613" t="s">
        <v>118</v>
      </c>
    </row>
    <row r="3" spans="1:15" s="281" customFormat="1" ht="27">
      <c r="A3" s="570"/>
      <c r="B3" s="614"/>
      <c r="C3" s="1143" t="s">
        <v>119</v>
      </c>
      <c r="D3" s="612">
        <v>34</v>
      </c>
      <c r="E3" s="1558" t="s">
        <v>120</v>
      </c>
      <c r="F3" s="1559"/>
      <c r="G3" s="462"/>
      <c r="H3" s="463"/>
      <c r="I3" s="463"/>
      <c r="J3" s="615"/>
      <c r="K3" s="371"/>
      <c r="L3" s="292"/>
    </row>
    <row r="4" spans="1:15" s="281" customFormat="1" ht="27">
      <c r="A4" s="576"/>
      <c r="B4" s="616"/>
      <c r="C4" s="1143" t="s">
        <v>121</v>
      </c>
      <c r="D4" s="611">
        <v>0.84</v>
      </c>
      <c r="E4" s="464"/>
      <c r="F4" s="631"/>
      <c r="G4" s="464"/>
      <c r="H4" s="464"/>
      <c r="I4" s="465"/>
      <c r="J4" s="615"/>
      <c r="K4" s="372"/>
      <c r="L4" s="292"/>
    </row>
    <row r="5" spans="1:15">
      <c r="A5" s="577" t="s">
        <v>122</v>
      </c>
      <c r="B5" s="459"/>
      <c r="C5" s="459"/>
      <c r="D5" s="511" t="s">
        <v>123</v>
      </c>
      <c r="E5" s="467" t="s">
        <v>124</v>
      </c>
      <c r="F5" s="632" t="s">
        <v>111</v>
      </c>
      <c r="G5" s="468" t="s">
        <v>125</v>
      </c>
      <c r="H5" s="469" t="s">
        <v>126</v>
      </c>
      <c r="I5" s="470" t="s">
        <v>127</v>
      </c>
      <c r="J5" s="550" t="s">
        <v>128</v>
      </c>
      <c r="K5" s="426"/>
      <c r="L5" s="377"/>
    </row>
    <row r="6" spans="1:15">
      <c r="A6" s="1552" t="s">
        <v>129</v>
      </c>
      <c r="B6" s="1553"/>
      <c r="C6" s="1554"/>
      <c r="D6" s="471"/>
      <c r="E6" s="471"/>
      <c r="F6" s="494"/>
      <c r="G6" s="471"/>
      <c r="H6" s="472"/>
      <c r="I6" s="472"/>
      <c r="J6" s="551"/>
      <c r="K6" s="427"/>
      <c r="L6" s="377"/>
    </row>
    <row r="7" spans="1:15" ht="30" thickBot="1">
      <c r="A7" s="677" t="s">
        <v>130</v>
      </c>
      <c r="B7" s="678"/>
      <c r="C7" s="678"/>
      <c r="D7" s="638" t="s">
        <v>333</v>
      </c>
      <c r="E7" s="633">
        <f>'4'!F7</f>
        <v>410015.07</v>
      </c>
      <c r="F7" s="1249">
        <v>430018.71</v>
      </c>
      <c r="G7" s="1254">
        <f>F7-E7</f>
        <v>20003.640000000014</v>
      </c>
      <c r="H7" s="680">
        <f>G7+'4'!H7</f>
        <v>85606.710000000021</v>
      </c>
      <c r="I7" s="681">
        <f>'1'!I7</f>
        <v>12000</v>
      </c>
      <c r="J7" s="682">
        <f>H7/DAY(B2)</f>
        <v>17121.342000000004</v>
      </c>
      <c r="K7" s="549"/>
      <c r="L7" s="377"/>
      <c r="N7" s="382"/>
      <c r="O7" s="382"/>
    </row>
    <row r="8" spans="1:15" ht="27.75" thickBot="1">
      <c r="A8" s="683" t="s">
        <v>132</v>
      </c>
      <c r="B8" s="684"/>
      <c r="C8" s="685"/>
      <c r="D8" s="686" t="s">
        <v>25</v>
      </c>
      <c r="E8" s="633">
        <f>'4'!F8</f>
        <v>412399.87</v>
      </c>
      <c r="F8" s="1250">
        <v>432505.15</v>
      </c>
      <c r="G8" s="1254">
        <f t="shared" ref="G8:G9" si="0">F8-E8</f>
        <v>20105.280000000028</v>
      </c>
      <c r="H8" s="680">
        <f>G8+'4'!H8</f>
        <v>85995.150000000023</v>
      </c>
      <c r="I8" s="687">
        <v>12000</v>
      </c>
      <c r="J8" s="682">
        <f>H8/DAY(B2)</f>
        <v>17199.030000000006</v>
      </c>
      <c r="K8" s="549"/>
      <c r="L8" s="425"/>
      <c r="M8" s="440"/>
      <c r="N8" s="704"/>
      <c r="O8" s="382"/>
    </row>
    <row r="9" spans="1:15">
      <c r="A9" s="688" t="s">
        <v>133</v>
      </c>
      <c r="B9" s="689"/>
      <c r="C9" s="689"/>
      <c r="D9" s="638" t="s">
        <v>131</v>
      </c>
      <c r="E9" s="635">
        <f>'4'!F9</f>
        <v>1538346.2</v>
      </c>
      <c r="F9" s="1246">
        <v>1556655.6</v>
      </c>
      <c r="G9" s="1254">
        <f t="shared" si="0"/>
        <v>18309.40000000014</v>
      </c>
      <c r="H9" s="680">
        <f>G9+'4'!H9</f>
        <v>82965.600000000093</v>
      </c>
      <c r="I9" s="691">
        <f>I8-J8</f>
        <v>-5199.0300000000061</v>
      </c>
      <c r="J9" s="682">
        <f>H9/DAY(B2)</f>
        <v>16593.120000000017</v>
      </c>
      <c r="K9" s="428"/>
      <c r="L9" s="377"/>
      <c r="N9" s="382"/>
      <c r="O9" s="382"/>
    </row>
    <row r="10" spans="1:15">
      <c r="A10" s="677" t="s">
        <v>134</v>
      </c>
      <c r="B10" s="678"/>
      <c r="C10" s="678"/>
      <c r="D10" s="638" t="s">
        <v>131</v>
      </c>
      <c r="E10" s="635">
        <f>'4'!F10</f>
        <v>2606.5500000000002</v>
      </c>
      <c r="F10" s="1246">
        <v>2606.5500000000002</v>
      </c>
      <c r="G10" s="1254">
        <f>F10-E10</f>
        <v>0</v>
      </c>
      <c r="H10" s="680">
        <f>G10+'4'!H10</f>
        <v>0.42000000000007276</v>
      </c>
      <c r="I10" s="692"/>
      <c r="J10" s="682">
        <f>H10/DAY(B2)</f>
        <v>8.4000000000014549E-2</v>
      </c>
      <c r="K10" s="428"/>
      <c r="L10" s="377"/>
      <c r="N10" s="382">
        <v>108</v>
      </c>
      <c r="O10" s="382"/>
    </row>
    <row r="11" spans="1:15">
      <c r="A11" s="677" t="s">
        <v>135</v>
      </c>
      <c r="B11" s="678"/>
      <c r="C11" s="678"/>
      <c r="D11" s="638" t="s">
        <v>131</v>
      </c>
      <c r="E11" s="633">
        <f>'4'!F11</f>
        <v>37000</v>
      </c>
      <c r="F11" s="1249">
        <v>37000</v>
      </c>
      <c r="G11" s="1254">
        <f>F11-E11</f>
        <v>0</v>
      </c>
      <c r="H11" s="680">
        <f>G11+'4'!H11</f>
        <v>0</v>
      </c>
      <c r="I11" s="692"/>
      <c r="J11" s="682">
        <f>H11/DAY(B2)</f>
        <v>0</v>
      </c>
      <c r="K11" s="428"/>
      <c r="L11" s="377"/>
      <c r="N11" s="382">
        <v>28</v>
      </c>
      <c r="O11" s="382"/>
    </row>
    <row r="12" spans="1:15">
      <c r="A12" s="677" t="s">
        <v>136</v>
      </c>
      <c r="B12" s="678"/>
      <c r="C12" s="678"/>
      <c r="D12" s="638" t="s">
        <v>131</v>
      </c>
      <c r="E12" s="635">
        <f>'4'!F12</f>
        <v>40010</v>
      </c>
      <c r="F12" s="1246">
        <v>40010</v>
      </c>
      <c r="G12" s="1254">
        <f t="shared" ref="G12" si="1">F12-E12</f>
        <v>0</v>
      </c>
      <c r="H12" s="680">
        <f>G12+'4'!H12</f>
        <v>0</v>
      </c>
      <c r="I12" s="692"/>
      <c r="J12" s="682">
        <f>H12/DAY(B2)</f>
        <v>0</v>
      </c>
      <c r="K12" s="428"/>
      <c r="L12" s="377"/>
      <c r="N12" s="382">
        <v>342</v>
      </c>
      <c r="O12" s="382"/>
    </row>
    <row r="13" spans="1:15">
      <c r="A13" s="693" t="s">
        <v>137</v>
      </c>
      <c r="B13" s="694"/>
      <c r="C13" s="694"/>
      <c r="D13" s="638"/>
      <c r="E13" s="633"/>
      <c r="F13" s="1249"/>
      <c r="G13" s="1254">
        <f>G9+G10+G11+G12</f>
        <v>18309.40000000014</v>
      </c>
      <c r="H13" s="680">
        <f>G13+'4'!H13</f>
        <v>82966.020000000091</v>
      </c>
      <c r="I13" s="696">
        <f>G7-G13</f>
        <v>1694.2399999998743</v>
      </c>
      <c r="J13" s="682">
        <f>H13/DAY(B2)</f>
        <v>16593.20400000002</v>
      </c>
      <c r="K13" s="428"/>
      <c r="L13" s="377"/>
      <c r="N13" s="382">
        <v>349</v>
      </c>
      <c r="O13" s="382"/>
    </row>
    <row r="14" spans="1:15">
      <c r="A14" s="1555" t="s">
        <v>138</v>
      </c>
      <c r="B14" s="1556"/>
      <c r="C14" s="1557"/>
      <c r="D14" s="472"/>
      <c r="E14" s="472"/>
      <c r="F14" s="1095"/>
      <c r="G14" s="1257"/>
      <c r="H14" s="472"/>
      <c r="I14" s="472"/>
      <c r="J14" s="551"/>
      <c r="K14" s="429"/>
      <c r="L14" s="377"/>
      <c r="N14" s="382">
        <v>432</v>
      </c>
      <c r="O14" s="382"/>
    </row>
    <row r="15" spans="1:15">
      <c r="A15" s="1252" t="s">
        <v>139</v>
      </c>
      <c r="B15" s="788"/>
      <c r="C15" s="788"/>
      <c r="D15" s="789" t="s">
        <v>140</v>
      </c>
      <c r="E15" s="1253">
        <f>'4'!F15</f>
        <v>1686146.4080000001</v>
      </c>
      <c r="F15" s="1253">
        <v>1686600.31</v>
      </c>
      <c r="G15" s="1254">
        <f t="shared" ref="G15" si="2">F15-E15</f>
        <v>453.90200000000186</v>
      </c>
      <c r="H15" s="1255">
        <f>G15+'4'!H15</f>
        <v>2076.3100000000559</v>
      </c>
      <c r="I15" s="1097">
        <v>800</v>
      </c>
      <c r="J15" s="1256">
        <f>H15/DAY(B2)</f>
        <v>415.2620000000112</v>
      </c>
      <c r="K15" s="428"/>
      <c r="L15" s="377"/>
      <c r="N15" s="382"/>
      <c r="O15" s="382"/>
    </row>
    <row r="16" spans="1:15">
      <c r="A16" s="791"/>
      <c r="B16" s="792"/>
      <c r="C16" s="792"/>
      <c r="D16" s="789"/>
      <c r="E16" s="1253"/>
      <c r="F16" s="1253"/>
      <c r="G16" s="1254"/>
      <c r="H16" s="1255"/>
      <c r="I16" s="1093">
        <f>I15-J15</f>
        <v>384.7379999999888</v>
      </c>
      <c r="J16" s="1256"/>
      <c r="K16" s="428"/>
      <c r="L16" s="377"/>
      <c r="N16" s="382"/>
      <c r="O16" s="382"/>
    </row>
    <row r="17" spans="1:15">
      <c r="A17" s="1555" t="s">
        <v>141</v>
      </c>
      <c r="B17" s="1556"/>
      <c r="C17" s="1557"/>
      <c r="D17" s="472"/>
      <c r="E17" s="472"/>
      <c r="F17" s="1095"/>
      <c r="G17" s="1255"/>
      <c r="H17" s="472"/>
      <c r="I17" s="472"/>
      <c r="J17" s="551"/>
      <c r="K17" s="428"/>
      <c r="L17" s="377"/>
      <c r="N17" s="382"/>
      <c r="O17" s="382"/>
    </row>
    <row r="18" spans="1:15" ht="27.75">
      <c r="A18" s="1590" t="s">
        <v>142</v>
      </c>
      <c r="B18" s="1591"/>
      <c r="C18" s="1592"/>
      <c r="D18" s="638" t="s">
        <v>143</v>
      </c>
      <c r="E18" s="1253">
        <f>'4'!F18</f>
        <v>4</v>
      </c>
      <c r="F18" s="1246">
        <v>4</v>
      </c>
      <c r="G18" s="1254">
        <f>F18*10</f>
        <v>40</v>
      </c>
      <c r="H18" s="680">
        <f>G18+'4'!H18</f>
        <v>240</v>
      </c>
      <c r="I18" s="681">
        <f>'1'!I18</f>
        <v>65</v>
      </c>
      <c r="J18" s="682">
        <f>H18/DAY(B2)</f>
        <v>48</v>
      </c>
      <c r="K18" s="428"/>
      <c r="L18" s="377"/>
      <c r="N18" s="382"/>
      <c r="O18" s="382"/>
    </row>
    <row r="19" spans="1:15" ht="27.75">
      <c r="A19" s="1590" t="s">
        <v>70</v>
      </c>
      <c r="B19" s="1591"/>
      <c r="C19" s="1592"/>
      <c r="D19" s="638" t="s">
        <v>143</v>
      </c>
      <c r="E19" s="635">
        <f>'4'!F19</f>
        <v>139848</v>
      </c>
      <c r="F19" s="1246">
        <v>139910</v>
      </c>
      <c r="G19" s="1254">
        <f t="shared" ref="G19" si="3">F19-E19</f>
        <v>62</v>
      </c>
      <c r="H19" s="680">
        <f>G19+'4'!H19</f>
        <v>298</v>
      </c>
      <c r="I19" s="697"/>
      <c r="J19" s="682">
        <f>H19/DAY(B2)</f>
        <v>59.6</v>
      </c>
      <c r="K19" s="428"/>
      <c r="L19" s="377"/>
      <c r="N19" s="382"/>
      <c r="O19" s="382"/>
    </row>
    <row r="20" spans="1:15">
      <c r="A20" s="693" t="s">
        <v>144</v>
      </c>
      <c r="B20" s="694"/>
      <c r="C20" s="694"/>
      <c r="D20" s="638"/>
      <c r="E20" s="638"/>
      <c r="F20" s="638"/>
      <c r="G20" s="1258">
        <f>G18+G19</f>
        <v>102</v>
      </c>
      <c r="H20" s="680">
        <f>G20+'4'!H20</f>
        <v>538</v>
      </c>
      <c r="I20" s="699">
        <f>I18-J20</f>
        <v>-42.599999999999994</v>
      </c>
      <c r="J20" s="682">
        <f>H20/DAY(B2)</f>
        <v>107.6</v>
      </c>
      <c r="K20" s="428"/>
      <c r="L20" s="377"/>
      <c r="N20" s="382"/>
      <c r="O20" s="382"/>
    </row>
    <row r="21" spans="1:15">
      <c r="A21" s="1555" t="s">
        <v>145</v>
      </c>
      <c r="B21" s="1556"/>
      <c r="C21" s="1557"/>
      <c r="D21" s="472"/>
      <c r="E21" s="472"/>
      <c r="F21" s="483"/>
      <c r="G21" s="483"/>
      <c r="H21" s="472"/>
      <c r="I21" s="472"/>
      <c r="J21" s="551"/>
      <c r="K21" s="428"/>
      <c r="L21" s="377"/>
      <c r="N21" s="382"/>
      <c r="O21" s="382"/>
    </row>
    <row r="22" spans="1:15">
      <c r="A22" s="1141" t="s">
        <v>146</v>
      </c>
      <c r="B22" s="589"/>
      <c r="C22" s="589"/>
      <c r="D22" s="523" t="s">
        <v>147</v>
      </c>
      <c r="E22" s="635">
        <f>'4'!F22</f>
        <v>2970</v>
      </c>
      <c r="F22" s="635">
        <v>2970</v>
      </c>
      <c r="G22" s="481">
        <f t="shared" ref="G22" si="4">(F22-E22)</f>
        <v>0</v>
      </c>
      <c r="H22" s="460">
        <f>G22+'4'!H22</f>
        <v>0</v>
      </c>
      <c r="I22" s="480"/>
      <c r="J22" s="552">
        <f>H22/DAY(B2)</f>
        <v>0</v>
      </c>
      <c r="K22" s="428"/>
      <c r="L22" s="377"/>
      <c r="N22" s="382"/>
      <c r="O22" s="382"/>
    </row>
    <row r="23" spans="1:15">
      <c r="A23" s="1141" t="s">
        <v>148</v>
      </c>
      <c r="B23" s="589"/>
      <c r="C23" s="589"/>
      <c r="D23" s="523" t="s">
        <v>147</v>
      </c>
      <c r="E23" s="635">
        <f>'4'!F23</f>
        <v>2000</v>
      </c>
      <c r="F23" s="635">
        <v>2000</v>
      </c>
      <c r="G23" s="481">
        <v>0</v>
      </c>
      <c r="H23" s="460">
        <f>G23+'4'!H23</f>
        <v>120</v>
      </c>
      <c r="I23" s="480"/>
      <c r="J23" s="552">
        <f>H23/DAY(B2)</f>
        <v>24</v>
      </c>
      <c r="K23" s="428"/>
      <c r="L23" s="377"/>
      <c r="N23" s="382"/>
      <c r="O23" s="382"/>
    </row>
    <row r="24" spans="1:15">
      <c r="A24" s="590" t="s">
        <v>149</v>
      </c>
      <c r="B24" s="591"/>
      <c r="C24" s="591"/>
      <c r="D24" s="511" t="s">
        <v>147</v>
      </c>
      <c r="E24" s="635">
        <f>'4'!F24</f>
        <v>4970</v>
      </c>
      <c r="F24" s="637">
        <v>4970</v>
      </c>
      <c r="G24" s="481">
        <v>0</v>
      </c>
      <c r="H24" s="460">
        <f>G24+'4'!H24</f>
        <v>120</v>
      </c>
      <c r="I24" s="480"/>
      <c r="J24" s="552">
        <f>H24/DAY(B2)</f>
        <v>24</v>
      </c>
      <c r="K24" s="428"/>
      <c r="L24" s="377"/>
      <c r="N24" s="382"/>
      <c r="O24" s="382"/>
    </row>
    <row r="25" spans="1:15" s="442" customFormat="1" ht="27">
      <c r="A25" s="1560" t="s">
        <v>150</v>
      </c>
      <c r="B25" s="1561"/>
      <c r="C25" s="1562"/>
      <c r="D25" s="471"/>
      <c r="E25" s="471"/>
      <c r="F25" s="494"/>
      <c r="G25" s="494"/>
      <c r="H25" s="495"/>
      <c r="I25" s="496"/>
      <c r="J25" s="554"/>
      <c r="K25" s="373"/>
      <c r="L25" s="443"/>
      <c r="N25" s="382"/>
      <c r="O25" s="382"/>
    </row>
    <row r="26" spans="1:15" s="442" customFormat="1" ht="27.75">
      <c r="A26" s="592" t="s">
        <v>151</v>
      </c>
      <c r="B26" s="593"/>
      <c r="C26" s="594"/>
      <c r="D26" s="618" t="s">
        <v>152</v>
      </c>
      <c r="E26" s="497"/>
      <c r="F26" s="633"/>
      <c r="G26" s="498"/>
      <c r="H26" s="460"/>
      <c r="I26" s="499"/>
      <c r="J26" s="552"/>
      <c r="K26" s="374"/>
      <c r="L26" s="443"/>
      <c r="N26" s="382"/>
      <c r="O26" s="382"/>
    </row>
    <row r="27" spans="1:15" s="442" customFormat="1" ht="27.75">
      <c r="A27" s="592" t="s">
        <v>6</v>
      </c>
      <c r="B27" s="593"/>
      <c r="C27" s="594"/>
      <c r="D27" s="619" t="s">
        <v>25</v>
      </c>
      <c r="E27" s="700">
        <f>G8</f>
        <v>20105.280000000028</v>
      </c>
      <c r="F27" s="501">
        <v>9</v>
      </c>
      <c r="G27" s="502">
        <f>E27*F27</f>
        <v>180947.52000000025</v>
      </c>
      <c r="H27" s="460">
        <f>G27+'4'!H27</f>
        <v>773119.35000000021</v>
      </c>
      <c r="I27" s="503"/>
      <c r="J27" s="552">
        <f>H27/DAY(B2)</f>
        <v>154623.87000000005</v>
      </c>
      <c r="K27" s="373"/>
      <c r="L27" s="443"/>
      <c r="N27" s="382"/>
      <c r="O27" s="382"/>
    </row>
    <row r="28" spans="1:15" s="442" customFormat="1" ht="27.75">
      <c r="A28" s="592" t="s">
        <v>153</v>
      </c>
      <c r="B28" s="593"/>
      <c r="C28" s="594"/>
      <c r="D28" s="619" t="s">
        <v>154</v>
      </c>
      <c r="E28" s="700">
        <f>G15</f>
        <v>453.90200000000186</v>
      </c>
      <c r="F28" s="501">
        <v>52</v>
      </c>
      <c r="G28" s="502">
        <f>E28*F28</f>
        <v>23602.904000000097</v>
      </c>
      <c r="H28" s="460">
        <f>G28+'4'!H28</f>
        <v>107968.12000000291</v>
      </c>
      <c r="I28" s="505"/>
      <c r="J28" s="552">
        <f>H28/DAY(B2)</f>
        <v>21593.624000000582</v>
      </c>
      <c r="K28" s="373"/>
      <c r="L28" s="443"/>
      <c r="N28" s="382"/>
      <c r="O28" s="382"/>
    </row>
    <row r="29" spans="1:15" s="442" customFormat="1" ht="27.75">
      <c r="A29" s="592" t="s">
        <v>155</v>
      </c>
      <c r="B29" s="593"/>
      <c r="C29" s="594"/>
      <c r="D29" s="619" t="s">
        <v>156</v>
      </c>
      <c r="E29" s="700">
        <f>G24</f>
        <v>0</v>
      </c>
      <c r="F29" s="501">
        <v>69</v>
      </c>
      <c r="G29" s="502">
        <f>E29*F29</f>
        <v>0</v>
      </c>
      <c r="H29" s="460">
        <f>G29+'4'!H29</f>
        <v>8280</v>
      </c>
      <c r="I29" s="505"/>
      <c r="J29" s="552">
        <f>H29/DAY(B2)</f>
        <v>1656</v>
      </c>
      <c r="K29" s="373"/>
      <c r="L29" s="443"/>
      <c r="N29" s="382"/>
      <c r="O29" s="382"/>
    </row>
    <row r="30" spans="1:15" s="442" customFormat="1" ht="27.75">
      <c r="A30" s="592" t="s">
        <v>157</v>
      </c>
      <c r="B30" s="593"/>
      <c r="C30" s="594"/>
      <c r="D30" s="619" t="s">
        <v>158</v>
      </c>
      <c r="E30" s="700">
        <f>G19</f>
        <v>62</v>
      </c>
      <c r="F30" s="501">
        <v>146</v>
      </c>
      <c r="G30" s="502">
        <f>E30*F30</f>
        <v>9052</v>
      </c>
      <c r="H30" s="460">
        <f>G30+'4'!H30</f>
        <v>43508</v>
      </c>
      <c r="I30" s="505"/>
      <c r="J30" s="552">
        <f>H30/DAY(B2)</f>
        <v>8701.6</v>
      </c>
      <c r="K30" s="373"/>
      <c r="L30" s="443"/>
      <c r="N30" s="382"/>
      <c r="O30" s="382"/>
    </row>
    <row r="31" spans="1:15" s="442" customFormat="1" ht="27.75">
      <c r="A31" s="592" t="s">
        <v>159</v>
      </c>
      <c r="B31" s="593"/>
      <c r="C31" s="594"/>
      <c r="D31" s="619" t="s">
        <v>143</v>
      </c>
      <c r="E31" s="700">
        <f>G18</f>
        <v>40</v>
      </c>
      <c r="F31" s="501">
        <v>80</v>
      </c>
      <c r="G31" s="502">
        <f>E31*F31</f>
        <v>3200</v>
      </c>
      <c r="H31" s="460">
        <f>G31+'4'!H31</f>
        <v>19200</v>
      </c>
      <c r="I31" s="505"/>
      <c r="J31" s="552">
        <f>H31/DAY(B2)</f>
        <v>3840</v>
      </c>
      <c r="K31" s="373"/>
      <c r="L31" s="443"/>
      <c r="N31" s="382"/>
      <c r="O31" s="382"/>
    </row>
    <row r="32" spans="1:15" s="442" customFormat="1" ht="27.75">
      <c r="A32" s="595" t="s">
        <v>160</v>
      </c>
      <c r="B32" s="596"/>
      <c r="C32" s="597"/>
      <c r="D32" s="507"/>
      <c r="E32" s="507"/>
      <c r="F32" s="639"/>
      <c r="G32" s="508">
        <f>G27+G28+G29+G30+G31</f>
        <v>216802.42400000035</v>
      </c>
      <c r="H32" s="460">
        <f>G32+'4'!H32</f>
        <v>952075.47000000323</v>
      </c>
      <c r="I32" s="509"/>
      <c r="J32" s="552">
        <f>H32/DAY(B2)</f>
        <v>190415.09400000065</v>
      </c>
      <c r="K32" s="373"/>
      <c r="L32" s="443"/>
      <c r="N32" s="382"/>
      <c r="O32" s="382"/>
    </row>
    <row r="33" spans="1:15" ht="25.5">
      <c r="A33" s="1563" t="s">
        <v>161</v>
      </c>
      <c r="B33" s="1564"/>
      <c r="C33" s="1564"/>
      <c r="D33" s="1564"/>
      <c r="E33" s="1564"/>
      <c r="F33" s="1564"/>
      <c r="G33" s="1564"/>
      <c r="H33" s="1564"/>
      <c r="I33" s="1564"/>
      <c r="J33" s="1565"/>
      <c r="K33" s="428"/>
      <c r="L33" s="377"/>
      <c r="N33" s="382"/>
      <c r="O33" s="382"/>
    </row>
    <row r="34" spans="1:15">
      <c r="A34" s="598" t="s">
        <v>162</v>
      </c>
      <c r="B34" s="1146"/>
      <c r="C34" s="1146"/>
      <c r="D34" s="472"/>
      <c r="E34" s="471"/>
      <c r="F34" s="494"/>
      <c r="G34" s="472"/>
      <c r="H34" s="472"/>
      <c r="I34" s="472"/>
      <c r="J34" s="551"/>
      <c r="K34" s="428"/>
      <c r="L34" s="377"/>
      <c r="N34" s="382"/>
      <c r="O34" s="382"/>
    </row>
    <row r="35" spans="1:15">
      <c r="A35" s="578" t="s">
        <v>163</v>
      </c>
      <c r="B35" s="579"/>
      <c r="C35" s="579"/>
      <c r="D35" s="523" t="s">
        <v>131</v>
      </c>
      <c r="E35" s="510">
        <f>'4'!F35</f>
        <v>960086.71</v>
      </c>
      <c r="F35" s="1239">
        <v>962514.15</v>
      </c>
      <c r="G35" s="473">
        <f t="shared" ref="G35:G46" si="5">F35-E35</f>
        <v>2427.4400000000605</v>
      </c>
      <c r="H35" s="460">
        <f>G35+'4'!H35</f>
        <v>12026.150000000023</v>
      </c>
      <c r="I35" s="455"/>
      <c r="J35" s="552">
        <f>H35/DAY(B2)</f>
        <v>2405.2300000000046</v>
      </c>
      <c r="K35" s="428"/>
      <c r="L35" s="377"/>
      <c r="N35" s="382"/>
      <c r="O35" s="382"/>
    </row>
    <row r="36" spans="1:15">
      <c r="A36" s="578" t="s">
        <v>164</v>
      </c>
      <c r="B36" s="579"/>
      <c r="C36" s="579"/>
      <c r="D36" s="523" t="s">
        <v>131</v>
      </c>
      <c r="E36" s="510">
        <f>'4'!F36</f>
        <v>2103.27</v>
      </c>
      <c r="F36" s="1239">
        <v>3030.77</v>
      </c>
      <c r="G36" s="473">
        <f t="shared" si="5"/>
        <v>927.5</v>
      </c>
      <c r="H36" s="460">
        <f>G36+'4'!H36</f>
        <v>2857.77</v>
      </c>
      <c r="I36" s="455"/>
      <c r="J36" s="552">
        <f>H36/DAY(B2)</f>
        <v>571.55399999999997</v>
      </c>
      <c r="K36" s="428"/>
      <c r="L36" s="377"/>
      <c r="N36" s="628"/>
      <c r="O36" s="382"/>
    </row>
    <row r="37" spans="1:15">
      <c r="A37" s="578" t="s">
        <v>165</v>
      </c>
      <c r="B37" s="579"/>
      <c r="C37" s="579"/>
      <c r="D37" s="523" t="s">
        <v>131</v>
      </c>
      <c r="E37" s="510">
        <f>'4'!F37</f>
        <v>139320.32000000001</v>
      </c>
      <c r="F37" s="1239">
        <v>140703</v>
      </c>
      <c r="G37" s="473">
        <f t="shared" si="5"/>
        <v>1382.679999999993</v>
      </c>
      <c r="H37" s="460">
        <f>G37+'4'!H37</f>
        <v>6467</v>
      </c>
      <c r="I37" s="455"/>
      <c r="J37" s="552">
        <f>H37/DAY(B2)</f>
        <v>1293.4000000000001</v>
      </c>
      <c r="K37" s="428"/>
      <c r="L37" s="377"/>
      <c r="N37" s="629"/>
      <c r="O37" s="382"/>
    </row>
    <row r="38" spans="1:15">
      <c r="A38" s="578" t="s">
        <v>166</v>
      </c>
      <c r="B38" s="579"/>
      <c r="C38" s="579"/>
      <c r="D38" s="523" t="s">
        <v>131</v>
      </c>
      <c r="E38" s="510">
        <f>'4'!F38</f>
        <v>161188.96</v>
      </c>
      <c r="F38" s="1240">
        <v>162592.67000000001</v>
      </c>
      <c r="G38" s="473">
        <f t="shared" si="5"/>
        <v>1403.710000000021</v>
      </c>
      <c r="H38" s="460">
        <f>G38+'4'!H38</f>
        <v>6187.6700000000128</v>
      </c>
      <c r="I38" s="455"/>
      <c r="J38" s="552">
        <f>H38/DAY(B2)</f>
        <v>1237.5340000000026</v>
      </c>
      <c r="K38" s="428"/>
      <c r="L38" s="377"/>
      <c r="N38" s="382"/>
      <c r="O38" s="382"/>
    </row>
    <row r="39" spans="1:15">
      <c r="A39" s="578" t="s">
        <v>167</v>
      </c>
      <c r="B39" s="579"/>
      <c r="C39" s="579"/>
      <c r="D39" s="523" t="s">
        <v>131</v>
      </c>
      <c r="E39" s="510">
        <f>'4'!F39</f>
        <v>316761.34999999998</v>
      </c>
      <c r="F39" s="1239">
        <v>320048.78999999998</v>
      </c>
      <c r="G39" s="473">
        <f t="shared" si="5"/>
        <v>3287.4400000000023</v>
      </c>
      <c r="H39" s="460">
        <f>G39+'4'!H39</f>
        <v>11875.789999999979</v>
      </c>
      <c r="I39" s="455"/>
      <c r="J39" s="552">
        <f>H39/DAY(B2)</f>
        <v>2375.1579999999958</v>
      </c>
      <c r="K39" s="428"/>
      <c r="L39" s="377"/>
      <c r="N39" s="382"/>
      <c r="O39" s="382"/>
    </row>
    <row r="40" spans="1:15">
      <c r="A40" s="599" t="s">
        <v>168</v>
      </c>
      <c r="B40" s="600"/>
      <c r="C40" s="600"/>
      <c r="D40" s="523" t="s">
        <v>131</v>
      </c>
      <c r="E40" s="510">
        <f>'4'!F40</f>
        <v>888.99</v>
      </c>
      <c r="F40" s="1239">
        <v>1057.0899999999999</v>
      </c>
      <c r="G40" s="473">
        <f t="shared" si="5"/>
        <v>168.09999999999991</v>
      </c>
      <c r="H40" s="460">
        <f>G40+'4'!H40</f>
        <v>168.08999999999992</v>
      </c>
      <c r="I40" s="455"/>
      <c r="J40" s="552">
        <f>H40/DAY(B2)</f>
        <v>33.617999999999981</v>
      </c>
      <c r="K40" s="429"/>
      <c r="L40" s="377"/>
      <c r="N40" s="382"/>
      <c r="O40" s="382"/>
    </row>
    <row r="41" spans="1:15">
      <c r="A41" s="578" t="s">
        <v>169</v>
      </c>
      <c r="B41" s="579"/>
      <c r="C41" s="579"/>
      <c r="D41" s="523" t="s">
        <v>131</v>
      </c>
      <c r="E41" s="510">
        <f>'4'!F41</f>
        <v>240478.13</v>
      </c>
      <c r="F41" s="1239">
        <v>241404.07</v>
      </c>
      <c r="G41" s="473">
        <f t="shared" si="5"/>
        <v>925.94000000000233</v>
      </c>
      <c r="H41" s="460">
        <f>G41+'4'!H41</f>
        <v>926.07000000000698</v>
      </c>
      <c r="I41" s="455"/>
      <c r="J41" s="552">
        <f>H41/DAY(B2)</f>
        <v>185.21400000000139</v>
      </c>
      <c r="K41" s="428"/>
      <c r="L41" s="377"/>
      <c r="N41" s="382"/>
      <c r="O41" s="382"/>
    </row>
    <row r="42" spans="1:15">
      <c r="A42" s="578" t="s">
        <v>170</v>
      </c>
      <c r="B42" s="579"/>
      <c r="C42" s="579"/>
      <c r="D42" s="523" t="s">
        <v>131</v>
      </c>
      <c r="E42" s="510">
        <f>'4'!F42</f>
        <v>59198.97</v>
      </c>
      <c r="F42" s="1239">
        <v>59198.97</v>
      </c>
      <c r="G42" s="473">
        <f t="shared" si="5"/>
        <v>0</v>
      </c>
      <c r="H42" s="460">
        <f>G42+'4'!H42</f>
        <v>0</v>
      </c>
      <c r="I42" s="455"/>
      <c r="J42" s="552">
        <f>H42/DAY(B2)</f>
        <v>0</v>
      </c>
      <c r="K42" s="428"/>
      <c r="L42" s="377"/>
      <c r="N42" s="382"/>
      <c r="O42" s="382"/>
    </row>
    <row r="43" spans="1:15">
      <c r="A43" s="578" t="s">
        <v>171</v>
      </c>
      <c r="B43" s="579"/>
      <c r="C43" s="579"/>
      <c r="D43" s="523" t="s">
        <v>131</v>
      </c>
      <c r="E43" s="510">
        <f>'4'!F43</f>
        <v>1051459.5</v>
      </c>
      <c r="F43" s="1239">
        <v>1054135.7</v>
      </c>
      <c r="G43" s="473">
        <f t="shared" si="5"/>
        <v>2676.1999999999534</v>
      </c>
      <c r="H43" s="460">
        <f>G43+'4'!H43</f>
        <v>11891.699999999953</v>
      </c>
      <c r="I43" s="455"/>
      <c r="J43" s="552">
        <f>H43/DAY(B2)</f>
        <v>2378.3399999999906</v>
      </c>
      <c r="K43" s="428"/>
      <c r="L43" s="377"/>
      <c r="N43" s="382"/>
      <c r="O43" s="382"/>
    </row>
    <row r="44" spans="1:15">
      <c r="A44" s="578" t="s">
        <v>172</v>
      </c>
      <c r="B44" s="579"/>
      <c r="C44" s="579"/>
      <c r="D44" s="523" t="s">
        <v>131</v>
      </c>
      <c r="E44" s="510">
        <f>'4'!F44</f>
        <v>0</v>
      </c>
      <c r="F44" s="1239">
        <v>0</v>
      </c>
      <c r="G44" s="473">
        <f t="shared" si="5"/>
        <v>0</v>
      </c>
      <c r="H44" s="460">
        <f>G44+'4'!H44</f>
        <v>0</v>
      </c>
      <c r="I44" s="455"/>
      <c r="J44" s="552">
        <f>H44/DAY(B2)</f>
        <v>0</v>
      </c>
      <c r="K44" s="428"/>
      <c r="L44" s="377"/>
      <c r="N44" s="382"/>
      <c r="O44" s="382"/>
    </row>
    <row r="45" spans="1:15">
      <c r="A45" s="578" t="s">
        <v>173</v>
      </c>
      <c r="B45" s="579"/>
      <c r="C45" s="579"/>
      <c r="D45" s="523" t="s">
        <v>131</v>
      </c>
      <c r="E45" s="510">
        <f>'4'!F45</f>
        <v>614</v>
      </c>
      <c r="F45" s="1239">
        <v>614</v>
      </c>
      <c r="G45" s="473">
        <f t="shared" si="5"/>
        <v>0</v>
      </c>
      <c r="H45" s="460">
        <f>G45+'4'!H45</f>
        <v>0</v>
      </c>
      <c r="I45" s="455"/>
      <c r="J45" s="552">
        <f>H45/DAY(B2)</f>
        <v>0</v>
      </c>
      <c r="K45" s="428"/>
      <c r="L45" s="377"/>
      <c r="N45" s="382"/>
      <c r="O45" s="382"/>
    </row>
    <row r="46" spans="1:15">
      <c r="A46" s="578" t="s">
        <v>174</v>
      </c>
      <c r="B46" s="579"/>
      <c r="C46" s="579"/>
      <c r="D46" s="523" t="s">
        <v>131</v>
      </c>
      <c r="E46" s="510">
        <f>'4'!F46</f>
        <v>187</v>
      </c>
      <c r="F46" s="1239">
        <v>187</v>
      </c>
      <c r="G46" s="473">
        <f t="shared" si="5"/>
        <v>0</v>
      </c>
      <c r="H46" s="460">
        <f>G46+'4'!H46</f>
        <v>0</v>
      </c>
      <c r="I46" s="455"/>
      <c r="J46" s="552">
        <f>H46/DAY(B2)</f>
        <v>0</v>
      </c>
      <c r="K46" s="428"/>
      <c r="L46" s="377"/>
      <c r="N46" s="382"/>
      <c r="O46" s="382"/>
    </row>
    <row r="47" spans="1:15">
      <c r="A47" s="585" t="s">
        <v>175</v>
      </c>
      <c r="B47" s="586"/>
      <c r="C47" s="586"/>
      <c r="D47" s="470"/>
      <c r="E47" s="511"/>
      <c r="F47" s="1241"/>
      <c r="G47" s="481">
        <f>G35+G36+G37+G38+G39+G40+G41+G42+G43+G44+G45+G46</f>
        <v>13199.010000000033</v>
      </c>
      <c r="H47" s="460">
        <f>G47+'4'!H47</f>
        <v>52400.239999999969</v>
      </c>
      <c r="I47" s="455"/>
      <c r="J47" s="552">
        <f>H47/DAY(B2)</f>
        <v>10480.047999999993</v>
      </c>
      <c r="K47" s="428"/>
      <c r="L47" s="377"/>
      <c r="N47" s="382"/>
      <c r="O47" s="382"/>
    </row>
    <row r="48" spans="1:15">
      <c r="A48" s="598" t="s">
        <v>176</v>
      </c>
      <c r="B48" s="1146"/>
      <c r="C48" s="1146"/>
      <c r="D48" s="472"/>
      <c r="E48" s="471"/>
      <c r="F48" s="1242"/>
      <c r="G48" s="472"/>
      <c r="H48" s="472"/>
      <c r="I48" s="472"/>
      <c r="J48" s="551"/>
      <c r="K48" s="428"/>
      <c r="L48" s="377"/>
      <c r="N48" s="382"/>
      <c r="O48" s="382"/>
    </row>
    <row r="49" spans="1:15">
      <c r="A49" s="578" t="s">
        <v>163</v>
      </c>
      <c r="B49" s="601"/>
      <c r="C49" s="601"/>
      <c r="D49" s="523" t="s">
        <v>131</v>
      </c>
      <c r="E49" s="510">
        <f>'4'!F49</f>
        <v>260732.13</v>
      </c>
      <c r="F49" s="1239">
        <v>260732.13</v>
      </c>
      <c r="G49" s="473">
        <f t="shared" ref="G49:G58" si="6">F49-E49</f>
        <v>0</v>
      </c>
      <c r="H49" s="460">
        <f>G49+'4'!H49</f>
        <v>0.13000000000465661</v>
      </c>
      <c r="I49" s="455"/>
      <c r="J49" s="552">
        <f>H49/DAY(B2)</f>
        <v>2.6000000000931323E-2</v>
      </c>
      <c r="K49" s="428"/>
      <c r="L49" s="377"/>
      <c r="N49" s="382"/>
      <c r="O49" s="382"/>
    </row>
    <row r="50" spans="1:15">
      <c r="A50" s="578" t="s">
        <v>177</v>
      </c>
      <c r="B50" s="601"/>
      <c r="C50" s="601"/>
      <c r="D50" s="523" t="s">
        <v>131</v>
      </c>
      <c r="E50" s="510">
        <f>'4'!F50</f>
        <v>506100.15</v>
      </c>
      <c r="F50" s="1239">
        <v>507510.67</v>
      </c>
      <c r="G50" s="473">
        <f t="shared" si="6"/>
        <v>1410.5199999999604</v>
      </c>
      <c r="H50" s="460">
        <f>G50+'4'!H50</f>
        <v>4974.6699999999837</v>
      </c>
      <c r="I50" s="455"/>
      <c r="J50" s="552">
        <f>H50/DAY(B2)</f>
        <v>994.93399999999679</v>
      </c>
      <c r="K50" s="428"/>
      <c r="L50" s="377"/>
      <c r="N50" s="382"/>
      <c r="O50" s="382"/>
    </row>
    <row r="51" spans="1:15">
      <c r="A51" s="578" t="s">
        <v>165</v>
      </c>
      <c r="B51" s="601"/>
      <c r="C51" s="601"/>
      <c r="D51" s="523" t="s">
        <v>131</v>
      </c>
      <c r="E51" s="510">
        <f>'4'!F51</f>
        <v>144640</v>
      </c>
      <c r="F51" s="1239">
        <v>144639.87</v>
      </c>
      <c r="G51" s="473">
        <f t="shared" si="6"/>
        <v>-0.13000000000465661</v>
      </c>
      <c r="H51" s="460">
        <f>G51+'4'!H51</f>
        <v>-0.13000000000465661</v>
      </c>
      <c r="I51" s="455"/>
      <c r="J51" s="552">
        <f>H51/DAY(B2)</f>
        <v>-2.6000000000931323E-2</v>
      </c>
      <c r="K51" s="428"/>
      <c r="L51" s="377"/>
      <c r="N51" s="382"/>
      <c r="O51" s="382"/>
    </row>
    <row r="52" spans="1:15">
      <c r="A52" s="578" t="s">
        <v>178</v>
      </c>
      <c r="B52" s="601"/>
      <c r="C52" s="601"/>
      <c r="D52" s="523" t="s">
        <v>131</v>
      </c>
      <c r="E52" s="510">
        <f>'4'!F52</f>
        <v>539606</v>
      </c>
      <c r="F52" s="1239">
        <v>539606.06999999995</v>
      </c>
      <c r="G52" s="473">
        <f t="shared" si="6"/>
        <v>6.9999999948777258E-2</v>
      </c>
      <c r="H52" s="460">
        <f>G52+'4'!H52</f>
        <v>6.9999999948777258E-2</v>
      </c>
      <c r="I52" s="455"/>
      <c r="J52" s="552">
        <f>H52/DAY(B2)</f>
        <v>1.3999999989755452E-2</v>
      </c>
      <c r="K52" s="428"/>
      <c r="L52" s="377"/>
      <c r="N52" s="382"/>
      <c r="O52" s="382"/>
    </row>
    <row r="53" spans="1:15">
      <c r="A53" s="578" t="s">
        <v>167</v>
      </c>
      <c r="B53" s="601"/>
      <c r="C53" s="601"/>
      <c r="D53" s="523" t="s">
        <v>131</v>
      </c>
      <c r="E53" s="510">
        <f>'4'!F53</f>
        <v>434231.67</v>
      </c>
      <c r="F53" s="1239">
        <v>434231.67</v>
      </c>
      <c r="G53" s="473">
        <f t="shared" si="6"/>
        <v>0</v>
      </c>
      <c r="H53" s="460">
        <f>G53+'4'!H53</f>
        <v>1663.6699999999837</v>
      </c>
      <c r="I53" s="455"/>
      <c r="J53" s="552">
        <f>H53/DAY(B2)</f>
        <v>332.73399999999674</v>
      </c>
      <c r="K53" s="428"/>
      <c r="L53" s="377"/>
      <c r="N53" s="382"/>
      <c r="O53" s="382"/>
    </row>
    <row r="54" spans="1:15">
      <c r="A54" s="578" t="s">
        <v>179</v>
      </c>
      <c r="B54" s="601"/>
      <c r="C54" s="601"/>
      <c r="D54" s="523" t="s">
        <v>131</v>
      </c>
      <c r="E54" s="510">
        <f>'4'!F54</f>
        <v>14087.84</v>
      </c>
      <c r="F54" s="1239">
        <v>14171.66</v>
      </c>
      <c r="G54" s="473">
        <f t="shared" si="6"/>
        <v>83.819999999999709</v>
      </c>
      <c r="H54" s="460">
        <f>G54+'4'!H54</f>
        <v>421.65999999999985</v>
      </c>
      <c r="I54" s="455"/>
      <c r="J54" s="552">
        <f>H54/DAY(B2)</f>
        <v>84.331999999999965</v>
      </c>
      <c r="K54" s="428"/>
      <c r="L54" s="377"/>
      <c r="N54" s="382"/>
      <c r="O54" s="382"/>
    </row>
    <row r="55" spans="1:15">
      <c r="A55" s="578" t="s">
        <v>180</v>
      </c>
      <c r="B55" s="601"/>
      <c r="C55" s="601"/>
      <c r="D55" s="523" t="s">
        <v>131</v>
      </c>
      <c r="E55" s="510">
        <f>'4'!F55</f>
        <v>68110.679999999993</v>
      </c>
      <c r="F55" s="1251">
        <v>68110.679999999993</v>
      </c>
      <c r="G55" s="473">
        <f t="shared" si="6"/>
        <v>0</v>
      </c>
      <c r="H55" s="460">
        <f>G55+'4'!H55</f>
        <v>-0.32000000000698492</v>
      </c>
      <c r="I55" s="455"/>
      <c r="J55" s="552">
        <f>H55/DAY(B2)</f>
        <v>-6.4000000001396981E-2</v>
      </c>
      <c r="K55" s="428"/>
      <c r="L55" s="377"/>
      <c r="N55" s="382"/>
      <c r="O55" s="382"/>
    </row>
    <row r="56" spans="1:15">
      <c r="A56" s="578" t="s">
        <v>181</v>
      </c>
      <c r="B56" s="601"/>
      <c r="C56" s="601"/>
      <c r="D56" s="523" t="s">
        <v>182</v>
      </c>
      <c r="E56" s="510">
        <f>'4'!F56</f>
        <v>636223.87</v>
      </c>
      <c r="F56" s="1251">
        <v>641134.47</v>
      </c>
      <c r="G56" s="473">
        <f t="shared" si="6"/>
        <v>4910.5999999999767</v>
      </c>
      <c r="H56" s="460">
        <f>G56+'4'!H56</f>
        <v>23936.469999999972</v>
      </c>
      <c r="I56" s="455"/>
      <c r="J56" s="552">
        <f>H56/DAY(B2)</f>
        <v>4787.2939999999944</v>
      </c>
      <c r="K56" s="427"/>
      <c r="L56" s="377"/>
      <c r="N56" s="382"/>
      <c r="O56" s="382"/>
    </row>
    <row r="57" spans="1:15">
      <c r="A57" s="578" t="s">
        <v>171</v>
      </c>
      <c r="B57" s="601"/>
      <c r="C57" s="601"/>
      <c r="D57" s="523" t="s">
        <v>131</v>
      </c>
      <c r="E57" s="510">
        <f>'4'!F57</f>
        <v>7711</v>
      </c>
      <c r="F57" s="1239">
        <v>7711</v>
      </c>
      <c r="G57" s="473">
        <f t="shared" si="6"/>
        <v>0</v>
      </c>
      <c r="H57" s="460">
        <f>G57+'4'!H57</f>
        <v>0</v>
      </c>
      <c r="I57" s="455"/>
      <c r="J57" s="552">
        <f>H57/DAY(B2)</f>
        <v>0</v>
      </c>
      <c r="K57" s="428"/>
      <c r="L57" s="377"/>
      <c r="N57" s="382"/>
      <c r="O57" s="382"/>
    </row>
    <row r="58" spans="1:15">
      <c r="A58" s="578" t="s">
        <v>183</v>
      </c>
      <c r="B58" s="601"/>
      <c r="C58" s="601"/>
      <c r="D58" s="523" t="s">
        <v>131</v>
      </c>
      <c r="E58" s="510">
        <f>'4'!F58</f>
        <v>49964.06</v>
      </c>
      <c r="F58" s="1243">
        <v>50071.87</v>
      </c>
      <c r="G58" s="473">
        <f t="shared" si="6"/>
        <v>107.81000000000495</v>
      </c>
      <c r="H58" s="460">
        <f>G58+'4'!H58</f>
        <v>446.87000000000262</v>
      </c>
      <c r="I58" s="455"/>
      <c r="J58" s="552">
        <f>H58/DAY(B2)</f>
        <v>89.374000000000521</v>
      </c>
      <c r="K58" s="428"/>
      <c r="L58" s="377"/>
      <c r="N58" s="382"/>
      <c r="O58" s="382"/>
    </row>
    <row r="59" spans="1:15">
      <c r="A59" s="585" t="s">
        <v>175</v>
      </c>
      <c r="B59" s="586"/>
      <c r="C59" s="586"/>
      <c r="D59" s="511"/>
      <c r="E59" s="511"/>
      <c r="F59" s="1241"/>
      <c r="G59" s="481">
        <f>G49+G50+G51+G52+G53+G54+G55+G56+G57+G58</f>
        <v>6512.6899999998859</v>
      </c>
      <c r="H59" s="460">
        <f>G59+'4'!H59</f>
        <v>31443.089999999884</v>
      </c>
      <c r="I59" s="455">
        <f>G7-G60</f>
        <v>291.94000000009692</v>
      </c>
      <c r="J59" s="552">
        <f>H59/DAY(B2)</f>
        <v>6288.6179999999767</v>
      </c>
      <c r="K59" s="428"/>
      <c r="L59" s="377"/>
      <c r="N59" s="382"/>
      <c r="O59" s="382"/>
    </row>
    <row r="60" spans="1:15">
      <c r="A60" s="578"/>
      <c r="B60" s="579"/>
      <c r="C60" s="579"/>
      <c r="D60" s="511" t="s">
        <v>184</v>
      </c>
      <c r="E60" s="511"/>
      <c r="F60" s="1241"/>
      <c r="G60" s="481">
        <f>G47+G59</f>
        <v>19711.699999999917</v>
      </c>
      <c r="H60" s="460">
        <f>G60+'4'!H60</f>
        <v>83843.329999999856</v>
      </c>
      <c r="I60" s="455">
        <f>G13-G60</f>
        <v>-1402.2999999997774</v>
      </c>
      <c r="J60" s="552">
        <f>H60/DAY(B2)</f>
        <v>16768.665999999972</v>
      </c>
      <c r="K60" s="428"/>
      <c r="L60" s="377"/>
      <c r="N60" s="382"/>
      <c r="O60" s="382"/>
    </row>
    <row r="61" spans="1:15">
      <c r="A61" s="602" t="s">
        <v>185</v>
      </c>
      <c r="B61" s="453"/>
      <c r="C61" s="453"/>
      <c r="D61" s="513"/>
      <c r="E61" s="512"/>
      <c r="F61" s="1244"/>
      <c r="G61" s="513"/>
      <c r="H61" s="513"/>
      <c r="I61" s="513"/>
      <c r="J61" s="555"/>
      <c r="K61" s="428"/>
      <c r="L61" s="377"/>
      <c r="N61" s="382"/>
      <c r="O61" s="382"/>
    </row>
    <row r="62" spans="1:15">
      <c r="A62" s="603" t="s">
        <v>97</v>
      </c>
      <c r="B62" s="604"/>
      <c r="C62" s="604"/>
      <c r="D62" s="511" t="s">
        <v>186</v>
      </c>
      <c r="E62" s="514">
        <f>'4'!F62</f>
        <v>0</v>
      </c>
      <c r="F62" s="1245">
        <v>0</v>
      </c>
      <c r="G62" s="473">
        <f t="shared" ref="G62:G69" si="7">F62-E62</f>
        <v>0</v>
      </c>
      <c r="H62" s="460">
        <f>G62+'4'!H62</f>
        <v>1.9999999967694748E-3</v>
      </c>
      <c r="I62" s="515"/>
      <c r="J62" s="552">
        <f>H62/DAY(B2)</f>
        <v>3.9999999935389494E-4</v>
      </c>
      <c r="K62" s="428"/>
      <c r="L62" s="377"/>
      <c r="N62" s="382"/>
      <c r="O62" s="382"/>
    </row>
    <row r="63" spans="1:15">
      <c r="A63" s="603" t="s">
        <v>187</v>
      </c>
      <c r="B63" s="604"/>
      <c r="C63" s="604"/>
      <c r="D63" s="511" t="s">
        <v>186</v>
      </c>
      <c r="E63" s="514">
        <f>'4'!F63</f>
        <v>0</v>
      </c>
      <c r="F63" s="1245">
        <v>0</v>
      </c>
      <c r="G63" s="473">
        <f t="shared" si="7"/>
        <v>0</v>
      </c>
      <c r="H63" s="460">
        <f>G63+'4'!H63</f>
        <v>0</v>
      </c>
      <c r="I63" s="515"/>
      <c r="J63" s="552">
        <f>H63/DAY(B2)</f>
        <v>0</v>
      </c>
      <c r="K63" s="428"/>
      <c r="L63" s="377"/>
      <c r="N63" s="382"/>
      <c r="O63" s="382"/>
    </row>
    <row r="64" spans="1:15" ht="27.75">
      <c r="A64" s="1534" t="s">
        <v>98</v>
      </c>
      <c r="B64" s="1535"/>
      <c r="C64" s="1536"/>
      <c r="D64" s="523" t="s">
        <v>186</v>
      </c>
      <c r="E64" s="484">
        <f>'4'!F64</f>
        <v>160690.44</v>
      </c>
      <c r="F64" s="1246">
        <v>160945.75</v>
      </c>
      <c r="G64" s="473">
        <f t="shared" si="7"/>
        <v>255.30999999999767</v>
      </c>
      <c r="H64" s="460">
        <f>G64+'4'!H64</f>
        <v>1013.75</v>
      </c>
      <c r="I64" s="480"/>
      <c r="J64" s="552">
        <f>H64/DAY(B2)</f>
        <v>202.75</v>
      </c>
      <c r="K64" s="428"/>
      <c r="L64" s="377"/>
      <c r="N64" s="382"/>
      <c r="O64" s="382"/>
    </row>
    <row r="65" spans="1:15" ht="27.75">
      <c r="A65" s="1534" t="s">
        <v>99</v>
      </c>
      <c r="B65" s="1535"/>
      <c r="C65" s="1536"/>
      <c r="D65" s="523" t="s">
        <v>186</v>
      </c>
      <c r="E65" s="484">
        <f>'4'!F65</f>
        <v>161818.76999999999</v>
      </c>
      <c r="F65" s="1247">
        <v>162162.23000000001</v>
      </c>
      <c r="G65" s="473">
        <f t="shared" si="7"/>
        <v>343.46000000002095</v>
      </c>
      <c r="H65" s="460">
        <f>G65+'4'!H65</f>
        <v>1164.2300000000105</v>
      </c>
      <c r="I65" s="489"/>
      <c r="J65" s="552">
        <f>H65/DAY(B2)</f>
        <v>232.84600000000211</v>
      </c>
      <c r="K65" s="428"/>
      <c r="L65" s="377"/>
      <c r="N65" s="382"/>
      <c r="O65" s="382"/>
    </row>
    <row r="66" spans="1:15" ht="27.75">
      <c r="A66" s="1534" t="s">
        <v>100</v>
      </c>
      <c r="B66" s="1535"/>
      <c r="C66" s="1536"/>
      <c r="D66" s="523" t="s">
        <v>186</v>
      </c>
      <c r="E66" s="484">
        <f>'4'!F66</f>
        <v>57809.82</v>
      </c>
      <c r="F66" s="1246">
        <v>58207.19</v>
      </c>
      <c r="G66" s="473">
        <f t="shared" si="7"/>
        <v>397.37000000000262</v>
      </c>
      <c r="H66" s="460">
        <f>G66+'4'!H66</f>
        <v>1402.1900000000023</v>
      </c>
      <c r="I66" s="480"/>
      <c r="J66" s="552">
        <f>H66/DAY(B2)</f>
        <v>280.43800000000044</v>
      </c>
      <c r="K66" s="428"/>
      <c r="L66" s="377"/>
      <c r="N66" s="382"/>
      <c r="O66" s="382"/>
    </row>
    <row r="67" spans="1:15" ht="27.75">
      <c r="A67" s="1534" t="s">
        <v>101</v>
      </c>
      <c r="B67" s="1535"/>
      <c r="C67" s="1536"/>
      <c r="D67" s="523" t="s">
        <v>186</v>
      </c>
      <c r="E67" s="484">
        <f>'4'!F67</f>
        <v>253616.59</v>
      </c>
      <c r="F67" s="1246">
        <v>254103.65</v>
      </c>
      <c r="G67" s="473">
        <f t="shared" si="7"/>
        <v>487.05999999999767</v>
      </c>
      <c r="H67" s="460">
        <f>G67+'4'!H67</f>
        <v>1911.6499999999942</v>
      </c>
      <c r="I67" s="489"/>
      <c r="J67" s="552">
        <f>H67/DAY(B2)</f>
        <v>382.32999999999885</v>
      </c>
      <c r="K67" s="429"/>
      <c r="L67" s="377"/>
      <c r="N67" s="382"/>
      <c r="O67" s="382"/>
    </row>
    <row r="68" spans="1:15" ht="27.75">
      <c r="A68" s="1534" t="s">
        <v>102</v>
      </c>
      <c r="B68" s="1535"/>
      <c r="C68" s="1536"/>
      <c r="D68" s="523" t="s">
        <v>186</v>
      </c>
      <c r="E68" s="484">
        <f>'4'!F68</f>
        <v>85321</v>
      </c>
      <c r="F68" s="1246">
        <v>85321</v>
      </c>
      <c r="G68" s="473">
        <f t="shared" si="7"/>
        <v>0</v>
      </c>
      <c r="H68" s="460">
        <f>G68+'4'!H68</f>
        <v>0</v>
      </c>
      <c r="I68" s="516"/>
      <c r="J68" s="552">
        <f>H68/DAY(B2)</f>
        <v>0</v>
      </c>
      <c r="K68" s="430"/>
      <c r="L68" s="377"/>
      <c r="N68" s="382"/>
      <c r="O68" s="382"/>
    </row>
    <row r="69" spans="1:15" ht="27.75">
      <c r="A69" s="1534" t="s">
        <v>103</v>
      </c>
      <c r="B69" s="1535"/>
      <c r="C69" s="1536"/>
      <c r="D69" s="523" t="s">
        <v>186</v>
      </c>
      <c r="E69" s="484">
        <f>'4'!F69</f>
        <v>82121.929999999993</v>
      </c>
      <c r="F69" s="1246">
        <v>82249.98</v>
      </c>
      <c r="G69" s="473">
        <f t="shared" si="7"/>
        <v>128.05000000000291</v>
      </c>
      <c r="H69" s="460">
        <f>G69+'4'!H69</f>
        <v>500.97999999999593</v>
      </c>
      <c r="I69" s="516"/>
      <c r="J69" s="552">
        <f>H69/DAY(B2)</f>
        <v>100.19599999999919</v>
      </c>
      <c r="K69" s="431"/>
      <c r="L69" s="377"/>
      <c r="N69" s="382"/>
      <c r="O69" s="382"/>
    </row>
    <row r="70" spans="1:15" ht="27.75">
      <c r="A70" s="1566" t="s">
        <v>188</v>
      </c>
      <c r="B70" s="1567"/>
      <c r="C70" s="1568"/>
      <c r="D70" s="523" t="s">
        <v>186</v>
      </c>
      <c r="E70" s="518"/>
      <c r="F70" s="1248"/>
      <c r="G70" s="518"/>
      <c r="H70" s="460"/>
      <c r="I70" s="518"/>
      <c r="J70" s="556"/>
      <c r="K70" s="431"/>
      <c r="L70" s="377"/>
      <c r="N70" s="382"/>
      <c r="O70" s="382"/>
    </row>
    <row r="71" spans="1:15" ht="31.5">
      <c r="A71" s="1580" t="s">
        <v>189</v>
      </c>
      <c r="B71" s="1581"/>
      <c r="C71" s="1581"/>
      <c r="D71" s="1581"/>
      <c r="E71" s="1581"/>
      <c r="F71" s="1581"/>
      <c r="G71" s="1581"/>
      <c r="H71" s="1581"/>
      <c r="I71" s="1581"/>
      <c r="J71" s="1582"/>
      <c r="K71" s="430"/>
      <c r="L71" s="377"/>
      <c r="N71" s="382"/>
      <c r="O71" s="382"/>
    </row>
    <row r="72" spans="1:15" ht="27.75">
      <c r="A72" s="1534" t="s">
        <v>190</v>
      </c>
      <c r="B72" s="1535"/>
      <c r="C72" s="1536"/>
      <c r="D72" s="523" t="s">
        <v>186</v>
      </c>
      <c r="E72" s="519">
        <f>'4'!F72</f>
        <v>855896</v>
      </c>
      <c r="F72" s="1259">
        <v>855909</v>
      </c>
      <c r="G72" s="473">
        <f t="shared" ref="G72:G84" si="8">F72-E72</f>
        <v>13</v>
      </c>
      <c r="H72" s="460">
        <f>G72+'4'!H72</f>
        <v>66</v>
      </c>
      <c r="I72" s="480"/>
      <c r="J72" s="552">
        <f>H72/DAY(B2)</f>
        <v>13.2</v>
      </c>
      <c r="K72" s="431"/>
      <c r="L72" s="377"/>
      <c r="N72" s="382"/>
      <c r="O72" s="382"/>
    </row>
    <row r="73" spans="1:15" ht="27.75">
      <c r="A73" s="1534" t="s">
        <v>191</v>
      </c>
      <c r="B73" s="1535"/>
      <c r="C73" s="1536"/>
      <c r="D73" s="523" t="s">
        <v>186</v>
      </c>
      <c r="E73" s="520">
        <f>'4'!F73</f>
        <v>885941</v>
      </c>
      <c r="F73" s="1260">
        <v>885943</v>
      </c>
      <c r="G73" s="653">
        <f t="shared" si="8"/>
        <v>2</v>
      </c>
      <c r="H73" s="460">
        <f>G73+'4'!H73</f>
        <v>6</v>
      </c>
      <c r="I73" s="480"/>
      <c r="J73" s="552">
        <f>H73/DAY(B2)</f>
        <v>1.2</v>
      </c>
      <c r="K73" s="430"/>
      <c r="L73" s="377"/>
      <c r="N73" s="382"/>
      <c r="O73" s="382"/>
    </row>
    <row r="74" spans="1:15" ht="27.75">
      <c r="A74" s="1534" t="s">
        <v>192</v>
      </c>
      <c r="B74" s="1535"/>
      <c r="C74" s="1536"/>
      <c r="D74" s="523" t="s">
        <v>186</v>
      </c>
      <c r="E74" s="521">
        <f>'4'!F74</f>
        <v>2599.96</v>
      </c>
      <c r="F74" s="1259">
        <v>2599.96</v>
      </c>
      <c r="G74" s="473">
        <f t="shared" si="8"/>
        <v>0</v>
      </c>
      <c r="H74" s="460">
        <f>G74+'4'!H74</f>
        <v>13.960000000000036</v>
      </c>
      <c r="I74" s="480"/>
      <c r="J74" s="552">
        <f>H74/DAY(B2)</f>
        <v>2.7920000000000074</v>
      </c>
      <c r="K74" s="431"/>
      <c r="L74" s="377"/>
      <c r="N74" s="382"/>
      <c r="O74" s="382"/>
    </row>
    <row r="75" spans="1:15" ht="27.75">
      <c r="A75" s="1583" t="s">
        <v>193</v>
      </c>
      <c r="B75" s="1584"/>
      <c r="C75" s="1585"/>
      <c r="D75" s="523" t="s">
        <v>186</v>
      </c>
      <c r="E75" s="521">
        <f>'4'!F75</f>
        <v>12882.16</v>
      </c>
      <c r="F75" s="1261">
        <v>12952.89</v>
      </c>
      <c r="G75" s="473">
        <f t="shared" si="8"/>
        <v>70.729999999999563</v>
      </c>
      <c r="H75" s="460">
        <f>G75+'4'!H75</f>
        <v>283.88999999999942</v>
      </c>
      <c r="I75" s="480"/>
      <c r="J75" s="552">
        <f>H75/DAY(B2)</f>
        <v>56.777999999999885</v>
      </c>
      <c r="K75" s="430"/>
      <c r="L75" s="377"/>
      <c r="N75" s="382"/>
      <c r="O75" s="382"/>
    </row>
    <row r="76" spans="1:15" ht="27.75">
      <c r="A76" s="1583" t="s">
        <v>194</v>
      </c>
      <c r="B76" s="1584"/>
      <c r="C76" s="1585"/>
      <c r="D76" s="523" t="s">
        <v>186</v>
      </c>
      <c r="E76" s="520">
        <f>'4'!F76</f>
        <v>7650.65</v>
      </c>
      <c r="F76" s="1260">
        <v>7716.72</v>
      </c>
      <c r="G76" s="473">
        <f t="shared" si="8"/>
        <v>66.070000000000618</v>
      </c>
      <c r="H76" s="460">
        <f>G76+'4'!H76</f>
        <v>297.72000000000025</v>
      </c>
      <c r="I76" s="505"/>
      <c r="J76" s="552">
        <f>H76/DAY(B2)</f>
        <v>59.544000000000054</v>
      </c>
      <c r="K76" s="430"/>
      <c r="L76" s="377"/>
      <c r="N76" s="382"/>
      <c r="O76" s="382"/>
    </row>
    <row r="77" spans="1:15" ht="27.75">
      <c r="A77" s="1534" t="s">
        <v>195</v>
      </c>
      <c r="B77" s="1535"/>
      <c r="C77" s="1536"/>
      <c r="D77" s="523" t="s">
        <v>186</v>
      </c>
      <c r="E77" s="520">
        <f>'4'!F77</f>
        <v>703031</v>
      </c>
      <c r="F77" s="1260">
        <v>703082</v>
      </c>
      <c r="G77" s="653">
        <f t="shared" si="8"/>
        <v>51</v>
      </c>
      <c r="H77" s="460">
        <f>G77+'4'!H77</f>
        <v>243</v>
      </c>
      <c r="I77" s="505"/>
      <c r="J77" s="552">
        <f>H77/DAY(B2)</f>
        <v>48.6</v>
      </c>
      <c r="K77" s="430"/>
      <c r="L77" s="377"/>
      <c r="N77" s="382"/>
      <c r="O77" s="382"/>
    </row>
    <row r="78" spans="1:15" ht="27.75">
      <c r="A78" s="1144" t="s">
        <v>196</v>
      </c>
      <c r="B78" s="1117"/>
      <c r="C78" s="1117"/>
      <c r="D78" s="523" t="s">
        <v>186</v>
      </c>
      <c r="E78" s="521">
        <f>'4'!F78</f>
        <v>673280</v>
      </c>
      <c r="F78" s="1261">
        <v>673411</v>
      </c>
      <c r="G78" s="473">
        <f t="shared" si="8"/>
        <v>131</v>
      </c>
      <c r="H78" s="460">
        <f>G78+'4'!H78</f>
        <v>379</v>
      </c>
      <c r="I78" s="505"/>
      <c r="J78" s="552">
        <f>H78/DAY(B2)</f>
        <v>75.8</v>
      </c>
      <c r="K78" s="430"/>
      <c r="L78" s="377"/>
      <c r="N78" s="382"/>
      <c r="O78" s="382"/>
    </row>
    <row r="79" spans="1:15" ht="27.75">
      <c r="A79" s="1583" t="s">
        <v>91</v>
      </c>
      <c r="B79" s="1584"/>
      <c r="C79" s="1585"/>
      <c r="D79" s="524" t="s">
        <v>186</v>
      </c>
      <c r="E79" s="521">
        <f>'4'!F79</f>
        <v>831635</v>
      </c>
      <c r="F79" s="1261">
        <v>831780</v>
      </c>
      <c r="G79" s="473">
        <f t="shared" si="8"/>
        <v>145</v>
      </c>
      <c r="H79" s="460">
        <f>G79+'4'!H79</f>
        <v>770</v>
      </c>
      <c r="I79" s="505"/>
      <c r="J79" s="552">
        <f>H79/DAY(B2)</f>
        <v>154</v>
      </c>
      <c r="K79" s="430"/>
      <c r="L79" s="377"/>
      <c r="N79" s="382"/>
      <c r="O79" s="382"/>
    </row>
    <row r="80" spans="1:15" ht="27.75">
      <c r="A80" s="1583" t="s">
        <v>197</v>
      </c>
      <c r="B80" s="1584"/>
      <c r="C80" s="1585"/>
      <c r="D80" s="524" t="s">
        <v>186</v>
      </c>
      <c r="E80" s="520">
        <f>'4'!F80</f>
        <v>529141.30000000005</v>
      </c>
      <c r="F80" s="1260">
        <v>529589.56000000006</v>
      </c>
      <c r="G80" s="473">
        <f t="shared" si="8"/>
        <v>448.26000000000931</v>
      </c>
      <c r="H80" s="460">
        <f>G80+'4'!H80</f>
        <v>1931.5600000000559</v>
      </c>
      <c r="I80" s="505"/>
      <c r="J80" s="552">
        <f>H80/DAY(B2)</f>
        <v>386.31200000001115</v>
      </c>
      <c r="K80" s="430"/>
      <c r="L80" s="377"/>
      <c r="N80" s="382"/>
      <c r="O80" s="382"/>
    </row>
    <row r="81" spans="1:15" ht="27.75">
      <c r="A81" s="1583" t="s">
        <v>198</v>
      </c>
      <c r="B81" s="1584"/>
      <c r="C81" s="1585"/>
      <c r="D81" s="524" t="s">
        <v>186</v>
      </c>
      <c r="E81" s="520">
        <f>'4'!F81</f>
        <v>639261.84</v>
      </c>
      <c r="F81" s="1260">
        <v>639352.24</v>
      </c>
      <c r="G81" s="473">
        <f t="shared" si="8"/>
        <v>90.400000000023283</v>
      </c>
      <c r="H81" s="460">
        <f>G81+'4'!H81</f>
        <v>454.23999999999069</v>
      </c>
      <c r="I81" s="505"/>
      <c r="J81" s="552">
        <f>H81/DAY(B2)</f>
        <v>90.847999999998137</v>
      </c>
      <c r="K81" s="430"/>
      <c r="L81" s="377"/>
      <c r="N81" s="382"/>
      <c r="O81" s="382"/>
    </row>
    <row r="82" spans="1:15" ht="27.75">
      <c r="A82" s="1583" t="s">
        <v>92</v>
      </c>
      <c r="B82" s="1584"/>
      <c r="C82" s="1585"/>
      <c r="D82" s="485" t="s">
        <v>131</v>
      </c>
      <c r="E82" s="522">
        <f>'4'!F82</f>
        <v>108213.91</v>
      </c>
      <c r="F82" s="1247">
        <v>108241.04</v>
      </c>
      <c r="G82" s="473">
        <f t="shared" si="8"/>
        <v>27.129999999990105</v>
      </c>
      <c r="H82" s="460">
        <f>G82+'4'!H82</f>
        <v>83.039999999993597</v>
      </c>
      <c r="I82" s="486"/>
      <c r="J82" s="552">
        <f>H82/DAY(B2)</f>
        <v>16.607999999998718</v>
      </c>
      <c r="K82" s="430"/>
      <c r="L82" s="377"/>
      <c r="N82" s="382"/>
      <c r="O82" s="382"/>
    </row>
    <row r="83" spans="1:15" ht="27.75">
      <c r="A83" s="1583" t="s">
        <v>199</v>
      </c>
      <c r="B83" s="1584"/>
      <c r="C83" s="1585"/>
      <c r="D83" s="620" t="s">
        <v>131</v>
      </c>
      <c r="E83" s="511">
        <f>'4'!F83</f>
        <v>21186</v>
      </c>
      <c r="F83" s="1241">
        <v>21456</v>
      </c>
      <c r="G83" s="473">
        <f t="shared" si="8"/>
        <v>270</v>
      </c>
      <c r="H83" s="460">
        <f>G83+'4'!H83</f>
        <v>950</v>
      </c>
      <c r="I83" s="481"/>
      <c r="J83" s="552">
        <f>H83/DAY(B2)</f>
        <v>190</v>
      </c>
      <c r="K83" s="429"/>
      <c r="L83" s="377"/>
      <c r="N83" s="382"/>
      <c r="O83" s="382"/>
    </row>
    <row r="84" spans="1:15">
      <c r="A84" s="1145" t="s">
        <v>200</v>
      </c>
      <c r="B84" s="571"/>
      <c r="C84" s="571"/>
      <c r="D84" s="478" t="s">
        <v>131</v>
      </c>
      <c r="E84" s="627">
        <f>'4'!F84</f>
        <v>503488</v>
      </c>
      <c r="F84" s="1262">
        <v>504365</v>
      </c>
      <c r="G84" s="473">
        <f t="shared" si="8"/>
        <v>877</v>
      </c>
      <c r="H84" s="460">
        <f>G84+'4'!H84</f>
        <v>4071</v>
      </c>
      <c r="I84" s="481"/>
      <c r="J84" s="552">
        <f>H84/DAY(B2)</f>
        <v>814.2</v>
      </c>
      <c r="K84" s="380"/>
      <c r="L84" s="377"/>
      <c r="N84" s="382"/>
      <c r="O84" s="382"/>
    </row>
    <row r="85" spans="1:15" s="379" customFormat="1">
      <c r="A85" s="605" t="s">
        <v>201</v>
      </c>
      <c r="B85" s="572"/>
      <c r="C85" s="572"/>
      <c r="D85" s="489"/>
      <c r="E85" s="627">
        <f>'4'!F85</f>
        <v>0</v>
      </c>
      <c r="F85" s="1098"/>
      <c r="G85" s="460">
        <f xml:space="preserve"> SUM(G71:G84)</f>
        <v>2191.5900000000229</v>
      </c>
      <c r="H85" s="460">
        <f>G85+'4'!H85</f>
        <v>9549.4100000000399</v>
      </c>
      <c r="I85" s="481"/>
      <c r="J85" s="552">
        <f>H85/DAY(B2)</f>
        <v>1909.882000000008</v>
      </c>
      <c r="K85" s="380"/>
      <c r="L85" s="378"/>
      <c r="N85" s="382"/>
      <c r="O85" s="382"/>
    </row>
    <row r="86" spans="1:15" s="736" customFormat="1">
      <c r="A86" s="731" t="s">
        <v>93</v>
      </c>
      <c r="B86" s="732"/>
      <c r="C86" s="732"/>
      <c r="D86" s="733" t="s">
        <v>182</v>
      </c>
      <c r="E86" s="627">
        <f>'4'!F86</f>
        <v>461064.26</v>
      </c>
      <c r="F86" s="1262">
        <v>461095.72</v>
      </c>
      <c r="G86" s="706">
        <f t="shared" ref="G86:G91" si="9">F86-E86</f>
        <v>31.459999999962747</v>
      </c>
      <c r="H86" s="460">
        <f>G86+'4'!H86</f>
        <v>160.71999999997206</v>
      </c>
      <c r="I86" s="653"/>
      <c r="J86" s="708">
        <f>H86/DAY(B2)</f>
        <v>32.143999999994413</v>
      </c>
      <c r="K86" s="734"/>
      <c r="L86" s="735"/>
      <c r="N86" s="778">
        <f>G86-173</f>
        <v>-141.54000000003725</v>
      </c>
      <c r="O86" s="382"/>
    </row>
    <row r="87" spans="1:15" s="736" customFormat="1">
      <c r="A87" s="731" t="s">
        <v>94</v>
      </c>
      <c r="B87" s="732"/>
      <c r="C87" s="732"/>
      <c r="D87" s="733" t="s">
        <v>182</v>
      </c>
      <c r="E87" s="627">
        <f>'4'!F87</f>
        <v>81456.3</v>
      </c>
      <c r="F87" s="1262">
        <v>81471.3</v>
      </c>
      <c r="G87" s="706">
        <f t="shared" si="9"/>
        <v>15</v>
      </c>
      <c r="H87" s="460">
        <f>G87+'4'!H87</f>
        <v>96.30000000000291</v>
      </c>
      <c r="I87" s="653"/>
      <c r="J87" s="708">
        <f>H87/DAY(B2)</f>
        <v>19.260000000000581</v>
      </c>
      <c r="K87" s="734"/>
      <c r="L87" s="735"/>
      <c r="N87" s="736">
        <v>108</v>
      </c>
      <c r="O87" s="382"/>
    </row>
    <row r="88" spans="1:15" s="736" customFormat="1">
      <c r="A88" s="731" t="s">
        <v>95</v>
      </c>
      <c r="B88" s="732"/>
      <c r="C88" s="732"/>
      <c r="D88" s="733" t="s">
        <v>182</v>
      </c>
      <c r="E88" s="627">
        <f>'4'!F88</f>
        <v>153214.26</v>
      </c>
      <c r="F88" s="1262">
        <v>153241.53</v>
      </c>
      <c r="G88" s="706">
        <f t="shared" si="9"/>
        <v>27.269999999989523</v>
      </c>
      <c r="H88" s="460">
        <f>G88+'4'!H88</f>
        <v>177.52999999999884</v>
      </c>
      <c r="I88" s="653"/>
      <c r="J88" s="708">
        <f>H88/DAY(B2)</f>
        <v>35.505999999999766</v>
      </c>
      <c r="K88" s="734"/>
      <c r="L88" s="735"/>
      <c r="N88" s="736">
        <v>28</v>
      </c>
      <c r="O88" s="382"/>
    </row>
    <row r="89" spans="1:15" s="736" customFormat="1">
      <c r="A89" s="731" t="s">
        <v>202</v>
      </c>
      <c r="B89" s="732"/>
      <c r="C89" s="732"/>
      <c r="D89" s="733" t="s">
        <v>182</v>
      </c>
      <c r="E89" s="627">
        <f>'4'!F89</f>
        <v>65217.9</v>
      </c>
      <c r="F89" s="1262">
        <v>65234.9</v>
      </c>
      <c r="G89" s="706">
        <f t="shared" si="9"/>
        <v>17</v>
      </c>
      <c r="H89" s="460">
        <f>G89+'4'!H89</f>
        <v>60.30000000000291</v>
      </c>
      <c r="I89" s="653"/>
      <c r="J89" s="708">
        <f>H89/DAY(B2)</f>
        <v>12.060000000000581</v>
      </c>
      <c r="K89" s="734"/>
      <c r="L89" s="735"/>
      <c r="N89" s="778">
        <v>342</v>
      </c>
      <c r="O89" s="382"/>
    </row>
    <row r="90" spans="1:15" s="736" customFormat="1">
      <c r="A90" s="731" t="s">
        <v>203</v>
      </c>
      <c r="B90" s="732"/>
      <c r="C90" s="732"/>
      <c r="D90" s="733" t="s">
        <v>182</v>
      </c>
      <c r="E90" s="627">
        <f>'4'!F90</f>
        <v>3273.8</v>
      </c>
      <c r="F90" s="1262">
        <v>3274.8</v>
      </c>
      <c r="G90" s="706">
        <f t="shared" si="9"/>
        <v>1</v>
      </c>
      <c r="H90" s="460">
        <f>G90+'4'!H90</f>
        <v>1.2000000000002728</v>
      </c>
      <c r="I90" s="653"/>
      <c r="J90" s="708">
        <f>H90/DAY(B2)</f>
        <v>0.24000000000005456</v>
      </c>
      <c r="K90" s="734"/>
      <c r="L90" s="735"/>
      <c r="N90" s="778">
        <v>349</v>
      </c>
      <c r="O90" s="382"/>
    </row>
    <row r="91" spans="1:15" s="736" customFormat="1">
      <c r="A91" s="731" t="s">
        <v>350</v>
      </c>
      <c r="B91" s="732"/>
      <c r="C91" s="732"/>
      <c r="D91" s="733"/>
      <c r="E91" s="627">
        <f>'4'!F91</f>
        <v>28055.254400000002</v>
      </c>
      <c r="F91" s="648">
        <v>28061.3056</v>
      </c>
      <c r="G91" s="706">
        <f t="shared" si="9"/>
        <v>6.0511999999980617</v>
      </c>
      <c r="H91" s="706"/>
      <c r="I91" s="653"/>
      <c r="J91" s="708"/>
      <c r="K91" s="734"/>
      <c r="L91" s="735"/>
      <c r="N91" s="778"/>
      <c r="O91" s="382"/>
    </row>
    <row r="92" spans="1:15" s="379" customFormat="1">
      <c r="A92" s="606" t="s">
        <v>204</v>
      </c>
      <c r="B92" s="1147"/>
      <c r="C92" s="1147"/>
      <c r="D92" s="472"/>
      <c r="E92" s="472"/>
      <c r="F92" s="1095"/>
      <c r="G92" s="488"/>
      <c r="H92" s="472"/>
      <c r="I92" s="472"/>
      <c r="J92" s="551"/>
      <c r="K92" s="380"/>
      <c r="L92" s="378"/>
      <c r="N92" s="382"/>
      <c r="O92" s="382"/>
    </row>
    <row r="93" spans="1:15" ht="27.75">
      <c r="A93" s="1537" t="s">
        <v>205</v>
      </c>
      <c r="B93" s="1538"/>
      <c r="C93" s="1539"/>
      <c r="D93" s="523" t="s">
        <v>143</v>
      </c>
      <c r="E93" s="484">
        <f>'4'!F93</f>
        <v>245609</v>
      </c>
      <c r="F93" s="1246">
        <v>245660</v>
      </c>
      <c r="G93" s="473">
        <f t="shared" ref="G93:G94" si="10">F93-E93</f>
        <v>51</v>
      </c>
      <c r="H93" s="460">
        <f>G93+'4'!H93</f>
        <v>172</v>
      </c>
      <c r="I93" s="480"/>
      <c r="J93" s="552">
        <f>H93/DAY(B2)</f>
        <v>34.4</v>
      </c>
      <c r="K93" s="429"/>
      <c r="L93" s="377"/>
      <c r="N93" s="382"/>
      <c r="O93" s="382"/>
    </row>
    <row r="94" spans="1:15" ht="27.75">
      <c r="A94" s="1537" t="s">
        <v>206</v>
      </c>
      <c r="B94" s="1538"/>
      <c r="C94" s="1539"/>
      <c r="D94" s="523" t="s">
        <v>143</v>
      </c>
      <c r="E94" s="484">
        <f>'4'!F94</f>
        <v>186420</v>
      </c>
      <c r="F94" s="1246">
        <v>186528</v>
      </c>
      <c r="G94" s="473">
        <f t="shared" si="10"/>
        <v>108</v>
      </c>
      <c r="H94" s="460">
        <f>G94+'4'!H94</f>
        <v>407</v>
      </c>
      <c r="I94" s="480"/>
      <c r="J94" s="552">
        <f>H94/DAY(B2)</f>
        <v>81.400000000000006</v>
      </c>
      <c r="K94" s="380"/>
      <c r="L94" s="377"/>
      <c r="N94" s="382"/>
      <c r="O94" s="382"/>
    </row>
    <row r="95" spans="1:15">
      <c r="A95" s="1531" t="s">
        <v>207</v>
      </c>
      <c r="B95" s="1532"/>
      <c r="C95" s="1533"/>
      <c r="D95" s="523"/>
      <c r="E95" s="484"/>
      <c r="F95" s="1246"/>
      <c r="G95" s="473">
        <f>G93+G94</f>
        <v>159</v>
      </c>
      <c r="H95" s="460">
        <f>G95+'4'!H95</f>
        <v>503</v>
      </c>
      <c r="I95" s="480"/>
      <c r="J95" s="552">
        <f>H95/DAY(B2)</f>
        <v>100.6</v>
      </c>
      <c r="K95" s="380"/>
      <c r="L95" s="377"/>
      <c r="N95" s="382"/>
      <c r="O95" s="382"/>
    </row>
    <row r="96" spans="1:15" ht="27.75">
      <c r="A96" s="1537" t="s">
        <v>208</v>
      </c>
      <c r="B96" s="1538"/>
      <c r="C96" s="1539"/>
      <c r="D96" s="523" t="s">
        <v>143</v>
      </c>
      <c r="E96" s="484">
        <f>'4'!F96</f>
        <v>414457</v>
      </c>
      <c r="F96" s="1246">
        <v>414507</v>
      </c>
      <c r="G96" s="473">
        <f t="shared" ref="G96:G101" si="11">F96-E96</f>
        <v>50</v>
      </c>
      <c r="H96" s="460">
        <f>G96+'4'!H96</f>
        <v>224</v>
      </c>
      <c r="I96" s="480"/>
      <c r="J96" s="552">
        <f>H96/DAY(B2)</f>
        <v>44.8</v>
      </c>
      <c r="K96" s="380"/>
      <c r="L96" s="377"/>
      <c r="N96" s="382"/>
      <c r="O96" s="382"/>
    </row>
    <row r="97" spans="1:15" ht="27.75">
      <c r="A97" s="1141" t="s">
        <v>209</v>
      </c>
      <c r="B97" s="1142"/>
      <c r="C97" s="1142"/>
      <c r="D97" s="523" t="s">
        <v>143</v>
      </c>
      <c r="E97" s="484">
        <f>'4'!F97</f>
        <v>102689</v>
      </c>
      <c r="F97" s="1246">
        <v>102703</v>
      </c>
      <c r="G97" s="473">
        <f t="shared" si="11"/>
        <v>14</v>
      </c>
      <c r="H97" s="460">
        <f>G97+'4'!H97</f>
        <v>55</v>
      </c>
      <c r="I97" s="480"/>
      <c r="J97" s="552">
        <f>H97/DAY(B2)</f>
        <v>11</v>
      </c>
      <c r="K97" s="427"/>
      <c r="L97" s="377"/>
      <c r="N97" s="382"/>
      <c r="O97" s="382"/>
    </row>
    <row r="98" spans="1:15" ht="27.75">
      <c r="A98" s="1141" t="s">
        <v>210</v>
      </c>
      <c r="B98" s="1142"/>
      <c r="C98" s="1142"/>
      <c r="D98" s="523" t="s">
        <v>143</v>
      </c>
      <c r="E98" s="484">
        <f>'4'!F98</f>
        <v>98001</v>
      </c>
      <c r="F98" s="1246">
        <v>98030</v>
      </c>
      <c r="G98" s="473">
        <f t="shared" si="11"/>
        <v>29</v>
      </c>
      <c r="H98" s="460">
        <f>G98+'4'!H98</f>
        <v>80</v>
      </c>
      <c r="I98" s="480"/>
      <c r="J98" s="552">
        <f>H98/DAY(B2)</f>
        <v>16</v>
      </c>
      <c r="K98" s="432"/>
      <c r="L98" s="377"/>
      <c r="N98" s="382"/>
      <c r="O98" s="382"/>
    </row>
    <row r="99" spans="1:15" ht="27.75">
      <c r="A99" s="1141" t="s">
        <v>211</v>
      </c>
      <c r="B99" s="1142"/>
      <c r="C99" s="1142"/>
      <c r="D99" s="523" t="s">
        <v>143</v>
      </c>
      <c r="E99" s="484">
        <f>'4'!F99</f>
        <v>149880</v>
      </c>
      <c r="F99" s="1246">
        <v>149885</v>
      </c>
      <c r="G99" s="473">
        <f t="shared" si="11"/>
        <v>5</v>
      </c>
      <c r="H99" s="460">
        <f>G99+'4'!H99</f>
        <v>33</v>
      </c>
      <c r="I99" s="480"/>
      <c r="J99" s="552">
        <f>H99/DAY(B2)</f>
        <v>6.6</v>
      </c>
      <c r="K99" s="380"/>
      <c r="L99" s="377"/>
      <c r="N99" s="705"/>
      <c r="O99" s="382"/>
    </row>
    <row r="100" spans="1:15" ht="27.75">
      <c r="A100" s="1141" t="s">
        <v>212</v>
      </c>
      <c r="B100" s="1142"/>
      <c r="C100" s="1142"/>
      <c r="D100" s="523" t="s">
        <v>143</v>
      </c>
      <c r="E100" s="484">
        <f>'4'!F100</f>
        <v>7436</v>
      </c>
      <c r="F100" s="1246">
        <v>7444</v>
      </c>
      <c r="G100" s="473">
        <f t="shared" si="11"/>
        <v>8</v>
      </c>
      <c r="H100" s="460">
        <f>G100+'4'!H100</f>
        <v>75</v>
      </c>
      <c r="I100" s="480"/>
      <c r="J100" s="552">
        <f>H100/DAY(B2)</f>
        <v>15</v>
      </c>
      <c r="K100" s="380"/>
      <c r="L100" s="377"/>
      <c r="N100" s="382"/>
      <c r="O100" s="382"/>
    </row>
    <row r="101" spans="1:15" ht="27.75">
      <c r="A101" s="1141" t="s">
        <v>213</v>
      </c>
      <c r="B101" s="1142"/>
      <c r="C101" s="1142"/>
      <c r="D101" s="523" t="s">
        <v>143</v>
      </c>
      <c r="E101" s="484">
        <f>'4'!F101</f>
        <v>5411</v>
      </c>
      <c r="F101" s="1246">
        <v>5422</v>
      </c>
      <c r="G101" s="473">
        <f t="shared" si="11"/>
        <v>11</v>
      </c>
      <c r="H101" s="460">
        <f>G101+'4'!H101</f>
        <v>31</v>
      </c>
      <c r="I101" s="480"/>
      <c r="J101" s="552">
        <f>H101/DAY(B2)</f>
        <v>6.2</v>
      </c>
      <c r="K101" s="380"/>
      <c r="L101" s="377"/>
      <c r="N101" s="382"/>
      <c r="O101" s="382"/>
    </row>
    <row r="102" spans="1:15">
      <c r="A102" s="1531" t="s">
        <v>215</v>
      </c>
      <c r="B102" s="1532"/>
      <c r="C102" s="1533"/>
      <c r="D102" s="524"/>
      <c r="E102" s="524"/>
      <c r="F102" s="1257"/>
      <c r="G102" s="525">
        <f>SUM(G96:G101)</f>
        <v>117</v>
      </c>
      <c r="H102" s="460">
        <f>G102+'4'!H102</f>
        <v>498</v>
      </c>
      <c r="I102" s="526"/>
      <c r="J102" s="552">
        <f>H102/DAY(B2)</f>
        <v>99.6</v>
      </c>
      <c r="K102" s="380"/>
      <c r="L102" s="377"/>
      <c r="N102" s="382"/>
      <c r="O102" s="382"/>
    </row>
    <row r="103" spans="1:15" s="442" customFormat="1" ht="27">
      <c r="A103" s="607" t="s">
        <v>216</v>
      </c>
      <c r="B103" s="608"/>
      <c r="C103" s="608"/>
      <c r="D103" s="621"/>
      <c r="E103" s="528"/>
      <c r="F103" s="1263"/>
      <c r="G103" s="529"/>
      <c r="H103" s="530"/>
      <c r="I103" s="531"/>
      <c r="J103" s="557"/>
      <c r="N103" s="382"/>
      <c r="O103" s="382"/>
    </row>
    <row r="104" spans="1:15" s="442" customFormat="1" ht="27.75">
      <c r="A104" s="1540" t="s">
        <v>217</v>
      </c>
      <c r="B104" s="1541"/>
      <c r="C104" s="573"/>
      <c r="D104" s="622"/>
      <c r="E104" s="532"/>
      <c r="F104" s="1264"/>
      <c r="G104" s="532"/>
      <c r="H104" s="533"/>
      <c r="I104" s="532"/>
      <c r="J104" s="558"/>
      <c r="N104" s="382"/>
      <c r="O104" s="382"/>
    </row>
    <row r="105" spans="1:15" s="442" customFormat="1" ht="27.75">
      <c r="A105" s="1542" t="s">
        <v>218</v>
      </c>
      <c r="B105" s="1543"/>
      <c r="C105" s="1140"/>
      <c r="D105" s="622" t="s">
        <v>143</v>
      </c>
      <c r="E105" s="484">
        <f>'4'!F105</f>
        <v>7484</v>
      </c>
      <c r="F105" s="1264">
        <v>7484</v>
      </c>
      <c r="G105" s="532">
        <f>F105-E105</f>
        <v>0</v>
      </c>
      <c r="H105" s="460">
        <f>G105+'4'!H105</f>
        <v>0</v>
      </c>
      <c r="I105" s="532"/>
      <c r="J105" s="558">
        <f>H105/DAY(B2)</f>
        <v>0</v>
      </c>
      <c r="N105" s="382"/>
      <c r="O105" s="382"/>
    </row>
    <row r="106" spans="1:15" s="442" customFormat="1" ht="27.75">
      <c r="A106" s="1542" t="s">
        <v>76</v>
      </c>
      <c r="B106" s="1543"/>
      <c r="C106" s="1140"/>
      <c r="D106" s="622" t="s">
        <v>143</v>
      </c>
      <c r="E106" s="484">
        <f>'4'!F106</f>
        <v>35966</v>
      </c>
      <c r="F106" s="1270">
        <v>35967</v>
      </c>
      <c r="G106" s="532">
        <f t="shared" ref="G106:G107" si="12">F106-E106</f>
        <v>1</v>
      </c>
      <c r="H106" s="460">
        <f>G106+'4'!H106</f>
        <v>14</v>
      </c>
      <c r="I106" s="532"/>
      <c r="J106" s="558">
        <f>H106/DAY(B2)</f>
        <v>2.8</v>
      </c>
      <c r="N106" s="382"/>
      <c r="O106" s="382"/>
    </row>
    <row r="107" spans="1:15" s="442" customFormat="1" ht="27.75">
      <c r="A107" s="1542" t="s">
        <v>77</v>
      </c>
      <c r="B107" s="1544"/>
      <c r="C107" s="1543"/>
      <c r="D107" s="622" t="s">
        <v>143</v>
      </c>
      <c r="E107" s="484">
        <f>'4'!F107</f>
        <v>19717</v>
      </c>
      <c r="F107" s="1264">
        <v>19720</v>
      </c>
      <c r="G107" s="532">
        <f t="shared" si="12"/>
        <v>3</v>
      </c>
      <c r="H107" s="460">
        <f>G107+'4'!H107</f>
        <v>12</v>
      </c>
      <c r="I107" s="532"/>
      <c r="J107" s="558">
        <f>H107/DAY(B2)</f>
        <v>2.4</v>
      </c>
      <c r="N107" s="382"/>
      <c r="O107" s="382"/>
    </row>
    <row r="108" spans="1:15" s="442" customFormat="1" ht="27.75">
      <c r="A108" s="1545" t="s">
        <v>201</v>
      </c>
      <c r="B108" s="1546"/>
      <c r="C108" s="1140"/>
      <c r="D108" s="622"/>
      <c r="E108" s="484"/>
      <c r="F108" s="1264"/>
      <c r="G108" s="532">
        <f>SUM(G105:G107)</f>
        <v>4</v>
      </c>
      <c r="H108" s="460">
        <f>G108+'4'!H108</f>
        <v>26</v>
      </c>
      <c r="I108" s="532"/>
      <c r="J108" s="558">
        <f>H108/DAY(B2)</f>
        <v>5.2</v>
      </c>
      <c r="N108" s="382"/>
      <c r="O108" s="382"/>
    </row>
    <row r="109" spans="1:15" s="442" customFormat="1" ht="27.75">
      <c r="A109" s="1547" t="s">
        <v>78</v>
      </c>
      <c r="B109" s="1548"/>
      <c r="C109" s="1140"/>
      <c r="D109" s="622" t="s">
        <v>143</v>
      </c>
      <c r="E109" s="484">
        <f>'4'!F109</f>
        <v>0</v>
      </c>
      <c r="F109" s="1264"/>
      <c r="G109" s="532"/>
      <c r="H109" s="460">
        <f>G109+'4'!H109</f>
        <v>0</v>
      </c>
      <c r="I109" s="532"/>
      <c r="J109" s="558"/>
      <c r="N109" s="382"/>
      <c r="O109" s="382"/>
    </row>
    <row r="110" spans="1:15" s="442" customFormat="1" ht="27.75">
      <c r="A110" s="1542" t="s">
        <v>219</v>
      </c>
      <c r="B110" s="1543"/>
      <c r="C110" s="1140"/>
      <c r="D110" s="622" t="s">
        <v>143</v>
      </c>
      <c r="E110" s="484">
        <f>'4'!F110</f>
        <v>63091</v>
      </c>
      <c r="F110" s="1264">
        <v>63179</v>
      </c>
      <c r="G110" s="532">
        <f>F110-E110</f>
        <v>88</v>
      </c>
      <c r="H110" s="460">
        <f>G110+'4'!H110</f>
        <v>345</v>
      </c>
      <c r="I110" s="532"/>
      <c r="J110" s="558">
        <f>H110/DAY(B2)</f>
        <v>69</v>
      </c>
      <c r="N110" s="382"/>
    </row>
    <row r="111" spans="1:15" s="442" customFormat="1" ht="27.75">
      <c r="A111" s="1542" t="s">
        <v>220</v>
      </c>
      <c r="B111" s="1543"/>
      <c r="C111" s="1140"/>
      <c r="D111" s="622" t="s">
        <v>143</v>
      </c>
      <c r="E111" s="484">
        <f>'4'!F111</f>
        <v>32588</v>
      </c>
      <c r="F111" s="1264">
        <v>32605</v>
      </c>
      <c r="G111" s="532">
        <f t="shared" ref="G111:G112" si="13">F111-E111</f>
        <v>17</v>
      </c>
      <c r="H111" s="460">
        <f>G111+'4'!H111</f>
        <v>27</v>
      </c>
      <c r="I111" s="532"/>
      <c r="J111" s="558">
        <f>H111/DAY(B2)</f>
        <v>5.4</v>
      </c>
      <c r="N111" s="382"/>
    </row>
    <row r="112" spans="1:15" s="442" customFormat="1" ht="27.75">
      <c r="A112" s="1542" t="s">
        <v>221</v>
      </c>
      <c r="B112" s="1543"/>
      <c r="C112" s="1140"/>
      <c r="D112" s="622" t="s">
        <v>143</v>
      </c>
      <c r="E112" s="484">
        <f>'4'!F112</f>
        <v>4606</v>
      </c>
      <c r="F112" s="1264">
        <v>4621</v>
      </c>
      <c r="G112" s="532">
        <f t="shared" si="13"/>
        <v>15</v>
      </c>
      <c r="H112" s="460">
        <f>G112+'4'!H112</f>
        <v>45</v>
      </c>
      <c r="I112" s="532"/>
      <c r="J112" s="558">
        <f>H112/DAY(B2)</f>
        <v>9</v>
      </c>
      <c r="N112" s="382"/>
    </row>
    <row r="113" spans="1:14" s="442" customFormat="1" ht="27.75">
      <c r="A113" s="1545" t="s">
        <v>109</v>
      </c>
      <c r="B113" s="1546"/>
      <c r="C113" s="1140"/>
      <c r="D113" s="622"/>
      <c r="E113" s="484"/>
      <c r="F113" s="1264"/>
      <c r="G113" s="532">
        <f>SUM(G110:G112)</f>
        <v>120</v>
      </c>
      <c r="H113" s="460">
        <f>G113+'4'!H113</f>
        <v>417</v>
      </c>
      <c r="I113" s="532"/>
      <c r="J113" s="558">
        <f>H113/DAY(B2)</f>
        <v>83.4</v>
      </c>
      <c r="N113" s="382"/>
    </row>
    <row r="114" spans="1:14" s="442" customFormat="1" ht="27.75">
      <c r="A114" s="1547" t="s">
        <v>222</v>
      </c>
      <c r="B114" s="1548"/>
      <c r="C114" s="1140"/>
      <c r="D114" s="622"/>
      <c r="E114" s="484"/>
      <c r="F114" s="1264"/>
      <c r="G114" s="532"/>
      <c r="H114" s="460">
        <f>G114+'4'!H114</f>
        <v>0</v>
      </c>
      <c r="I114" s="532"/>
      <c r="J114" s="558">
        <f>H114/DAY(B2)</f>
        <v>0</v>
      </c>
      <c r="N114" s="382"/>
    </row>
    <row r="115" spans="1:14" s="442" customFormat="1" ht="27.75">
      <c r="A115" s="1542" t="s">
        <v>223</v>
      </c>
      <c r="B115" s="1543"/>
      <c r="C115" s="574"/>
      <c r="D115" s="622" t="s">
        <v>143</v>
      </c>
      <c r="E115" s="484">
        <f>'4'!F115</f>
        <v>11578</v>
      </c>
      <c r="F115" s="1265">
        <v>11590</v>
      </c>
      <c r="G115" s="534">
        <f>F115-E115</f>
        <v>12</v>
      </c>
      <c r="H115" s="460">
        <f>G115+'4'!H115</f>
        <v>93</v>
      </c>
      <c r="I115" s="532"/>
      <c r="J115" s="558">
        <f>H115/DAY(B2)</f>
        <v>18.600000000000001</v>
      </c>
      <c r="N115" s="382"/>
    </row>
    <row r="116" spans="1:14" s="442" customFormat="1" ht="27.75">
      <c r="A116" s="1542" t="s">
        <v>224</v>
      </c>
      <c r="B116" s="1543"/>
      <c r="C116" s="574"/>
      <c r="D116" s="622" t="s">
        <v>143</v>
      </c>
      <c r="E116" s="484">
        <f>'4'!F116</f>
        <v>8328</v>
      </c>
      <c r="F116" s="1265">
        <v>8336</v>
      </c>
      <c r="G116" s="534">
        <f t="shared" ref="G116:G117" si="14">F116-E116</f>
        <v>8</v>
      </c>
      <c r="H116" s="460">
        <f>G116+'4'!H116</f>
        <v>24</v>
      </c>
      <c r="I116" s="532"/>
      <c r="J116" s="558">
        <f>H116/DAY(B2)</f>
        <v>4.8</v>
      </c>
      <c r="N116" s="382"/>
    </row>
    <row r="117" spans="1:14" s="442" customFormat="1" ht="27.75">
      <c r="A117" s="1542" t="s">
        <v>225</v>
      </c>
      <c r="B117" s="1543"/>
      <c r="C117" s="574"/>
      <c r="D117" s="622" t="s">
        <v>143</v>
      </c>
      <c r="E117" s="484">
        <f>'4'!F117</f>
        <v>0</v>
      </c>
      <c r="F117" s="1265"/>
      <c r="G117" s="534">
        <f t="shared" si="14"/>
        <v>0</v>
      </c>
      <c r="H117" s="460">
        <f>G117+'4'!H117</f>
        <v>0</v>
      </c>
      <c r="I117" s="532"/>
      <c r="J117" s="558">
        <f>H117/DAY(B2)</f>
        <v>0</v>
      </c>
      <c r="N117" s="382"/>
    </row>
    <row r="118" spans="1:14" s="445" customFormat="1" ht="27.75">
      <c r="A118" s="1545" t="s">
        <v>201</v>
      </c>
      <c r="B118" s="1546"/>
      <c r="C118" s="574"/>
      <c r="D118" s="623"/>
      <c r="E118" s="484"/>
      <c r="F118" s="1265"/>
      <c r="G118" s="534">
        <f>SUM(G115:G117)</f>
        <v>20</v>
      </c>
      <c r="H118" s="460">
        <f>G118+'4'!H118</f>
        <v>117</v>
      </c>
      <c r="I118" s="534"/>
      <c r="J118" s="558">
        <f>H118/DAY(B2)</f>
        <v>23.4</v>
      </c>
      <c r="N118" s="382"/>
    </row>
    <row r="119" spans="1:14" s="446" customFormat="1" ht="27.75">
      <c r="A119" s="1576" t="s">
        <v>226</v>
      </c>
      <c r="B119" s="1577"/>
      <c r="C119" s="1138"/>
      <c r="D119" s="624" t="s">
        <v>143</v>
      </c>
      <c r="E119" s="484">
        <f>'4'!F119</f>
        <v>66</v>
      </c>
      <c r="F119" s="1266">
        <f>SUM(G19+G93)</f>
        <v>113</v>
      </c>
      <c r="G119" s="536">
        <f>SUM(G19+G93)</f>
        <v>113</v>
      </c>
      <c r="H119" s="460">
        <f>G119+'4'!H119</f>
        <v>470</v>
      </c>
      <c r="I119" s="535"/>
      <c r="J119" s="559">
        <f>H119/DAY(B2)</f>
        <v>94</v>
      </c>
      <c r="N119" s="382"/>
    </row>
    <row r="120" spans="1:14" s="446" customFormat="1" ht="27.75">
      <c r="A120" s="1576" t="s">
        <v>227</v>
      </c>
      <c r="B120" s="1577"/>
      <c r="C120" s="1138"/>
      <c r="D120" s="624" t="s">
        <v>143</v>
      </c>
      <c r="E120" s="484">
        <f>'4'!F120</f>
        <v>65</v>
      </c>
      <c r="F120" s="1266">
        <f>SUM(G96,G97,G98,G100,G101)</f>
        <v>112</v>
      </c>
      <c r="G120" s="536">
        <f>SUM(G96,G97,G98,G100,G101)</f>
        <v>112</v>
      </c>
      <c r="H120" s="460">
        <f>G120+'4'!H120</f>
        <v>465</v>
      </c>
      <c r="I120" s="535"/>
      <c r="J120" s="559">
        <f>H120/DAY(B2)</f>
        <v>93</v>
      </c>
      <c r="N120" s="382"/>
    </row>
    <row r="121" spans="1:14" s="446" customFormat="1" ht="27.75">
      <c r="A121" s="1576" t="s">
        <v>228</v>
      </c>
      <c r="B121" s="1577"/>
      <c r="C121" s="1138"/>
      <c r="D121" s="624" t="s">
        <v>143</v>
      </c>
      <c r="E121" s="484">
        <f>'4'!F121</f>
        <v>75</v>
      </c>
      <c r="F121" s="1265">
        <f>SUM(G113)</f>
        <v>120</v>
      </c>
      <c r="G121" s="534">
        <f>SUM(G113)</f>
        <v>120</v>
      </c>
      <c r="H121" s="460">
        <f>G121+'4'!H121</f>
        <v>417</v>
      </c>
      <c r="I121" s="535"/>
      <c r="J121" s="559">
        <f>H121/DAY(B2)</f>
        <v>83.4</v>
      </c>
      <c r="N121" s="382"/>
    </row>
    <row r="122" spans="1:14" s="442" customFormat="1" ht="27.75">
      <c r="A122" s="1578"/>
      <c r="B122" s="1579"/>
      <c r="C122" s="1139"/>
      <c r="D122" s="560"/>
      <c r="E122" s="560"/>
      <c r="F122" s="1267" t="s">
        <v>214</v>
      </c>
      <c r="G122" s="560"/>
      <c r="H122" s="460">
        <f>G122+'4'!H122</f>
        <v>0</v>
      </c>
      <c r="I122" s="560"/>
      <c r="J122" s="562"/>
      <c r="N122" s="382"/>
    </row>
    <row r="123" spans="1:14">
      <c r="A123" s="1528" t="s">
        <v>229</v>
      </c>
      <c r="B123" s="1529"/>
      <c r="C123" s="1530"/>
      <c r="D123" s="472"/>
      <c r="E123" s="472"/>
      <c r="F123" s="1095"/>
      <c r="G123" s="483"/>
      <c r="H123" s="483"/>
      <c r="I123" s="483"/>
      <c r="J123" s="563"/>
      <c r="K123" s="380"/>
      <c r="L123" s="377"/>
      <c r="N123" s="382"/>
    </row>
    <row r="124" spans="1:14" ht="27.75">
      <c r="A124" s="1141" t="s">
        <v>230</v>
      </c>
      <c r="B124" s="1142"/>
      <c r="C124" s="1142"/>
      <c r="D124" s="523" t="s">
        <v>140</v>
      </c>
      <c r="E124" s="478">
        <f>'4'!F124</f>
        <v>833069.83</v>
      </c>
      <c r="F124" s="1246">
        <v>833251.48</v>
      </c>
      <c r="G124" s="473">
        <f t="shared" ref="G124:G128" si="15">F124-E124</f>
        <v>181.65000000002328</v>
      </c>
      <c r="H124" s="460">
        <f>G124+'4'!H124</f>
        <v>885.47999999998137</v>
      </c>
      <c r="I124" s="526"/>
      <c r="J124" s="552">
        <f>H124/DAY(B2)</f>
        <v>177.09599999999628</v>
      </c>
      <c r="K124" s="380"/>
      <c r="L124" s="377"/>
      <c r="N124" s="382"/>
    </row>
    <row r="125" spans="1:14" ht="27.75">
      <c r="A125" s="1141" t="s">
        <v>231</v>
      </c>
      <c r="B125" s="1142"/>
      <c r="C125" s="1142"/>
      <c r="D125" s="523" t="s">
        <v>140</v>
      </c>
      <c r="E125" s="626">
        <f>'4'!F125</f>
        <v>73583</v>
      </c>
      <c r="F125" s="1268">
        <v>73583</v>
      </c>
      <c r="G125" s="473">
        <f t="shared" si="15"/>
        <v>0</v>
      </c>
      <c r="H125" s="460">
        <f>G125+'4'!H125</f>
        <v>-0.39999999999417923</v>
      </c>
      <c r="I125" s="526"/>
      <c r="J125" s="552">
        <f>H125/DAY(B2)</f>
        <v>-7.999999999883585E-2</v>
      </c>
      <c r="K125" s="380"/>
      <c r="L125" s="377"/>
      <c r="N125" s="382"/>
    </row>
    <row r="126" spans="1:14" ht="27.75">
      <c r="A126" s="1534" t="s">
        <v>232</v>
      </c>
      <c r="B126" s="1535"/>
      <c r="C126" s="1536"/>
      <c r="D126" s="523" t="s">
        <v>140</v>
      </c>
      <c r="E126" s="478">
        <f>'4'!F126</f>
        <v>146737.42000000001</v>
      </c>
      <c r="F126" s="1246">
        <v>146798.54999999999</v>
      </c>
      <c r="G126" s="473">
        <f t="shared" si="15"/>
        <v>61.129999999975553</v>
      </c>
      <c r="H126" s="460">
        <f>G126+'4'!H126</f>
        <v>307.54999999998836</v>
      </c>
      <c r="I126" s="526"/>
      <c r="J126" s="552">
        <f>H126/DAY(B2)</f>
        <v>61.509999999997675</v>
      </c>
      <c r="K126" s="380"/>
      <c r="L126" s="377"/>
      <c r="N126" s="382"/>
    </row>
    <row r="127" spans="1:14" ht="27.75">
      <c r="A127" s="609" t="s">
        <v>233</v>
      </c>
      <c r="B127" s="1142"/>
      <c r="C127" s="1142"/>
      <c r="D127" s="523" t="s">
        <v>140</v>
      </c>
      <c r="E127" s="626">
        <f>'4'!F127</f>
        <v>31406.2</v>
      </c>
      <c r="F127" s="1268">
        <v>31409.1</v>
      </c>
      <c r="G127" s="473">
        <f t="shared" si="15"/>
        <v>2.8999999999978172</v>
      </c>
      <c r="H127" s="460">
        <f>G127+'4'!H127</f>
        <v>3.0999999999985448</v>
      </c>
      <c r="I127" s="526"/>
      <c r="J127" s="552">
        <f>H127/DAY(B2)</f>
        <v>0.61999999999970901</v>
      </c>
      <c r="K127" s="380"/>
      <c r="L127" s="377"/>
      <c r="N127" s="382"/>
    </row>
    <row r="128" spans="1:14" ht="27.75">
      <c r="A128" s="609" t="s">
        <v>234</v>
      </c>
      <c r="B128" s="1142"/>
      <c r="C128" s="1142"/>
      <c r="D128" s="523" t="s">
        <v>140</v>
      </c>
      <c r="E128" s="626">
        <f>'4'!F128</f>
        <v>8971.7000000000007</v>
      </c>
      <c r="F128" s="1268">
        <v>8971.9</v>
      </c>
      <c r="G128" s="473">
        <f t="shared" si="15"/>
        <v>0.19999999999890861</v>
      </c>
      <c r="H128" s="460">
        <f>G128+'4'!H128</f>
        <v>-0.1000000000003638</v>
      </c>
      <c r="I128" s="480"/>
      <c r="J128" s="552">
        <f>H128/DAY(B2)</f>
        <v>-2.0000000000072758E-2</v>
      </c>
      <c r="K128" s="380"/>
      <c r="L128" s="377"/>
      <c r="N128" s="382"/>
    </row>
    <row r="129" spans="1:14" s="281" customFormat="1" ht="27.75">
      <c r="A129" s="609" t="s">
        <v>235</v>
      </c>
      <c r="B129" s="1142"/>
      <c r="C129" s="1142"/>
      <c r="D129" s="523"/>
      <c r="E129" s="478"/>
      <c r="F129" s="1246"/>
      <c r="G129" s="473">
        <f>G15-SUM(G124:G128)</f>
        <v>208.0220000000063</v>
      </c>
      <c r="H129" s="460">
        <f>G129+'4'!H129</f>
        <v>880.68000000008215</v>
      </c>
      <c r="I129" s="480"/>
      <c r="J129" s="552">
        <f>H129/DAY(B2)</f>
        <v>176.13600000001642</v>
      </c>
      <c r="K129" s="364"/>
      <c r="L129" s="292"/>
      <c r="N129" s="382"/>
    </row>
    <row r="130" spans="1:14">
      <c r="A130" s="610" t="s">
        <v>236</v>
      </c>
      <c r="B130" s="458"/>
      <c r="C130" s="458"/>
      <c r="D130" s="471"/>
      <c r="E130" s="471"/>
      <c r="F130" s="1242"/>
      <c r="G130" s="540"/>
      <c r="H130" s="540"/>
      <c r="I130" s="540"/>
      <c r="J130" s="564"/>
      <c r="N130" s="382"/>
    </row>
    <row r="131" spans="1:14" ht="27.75">
      <c r="A131" s="1141" t="s">
        <v>237</v>
      </c>
      <c r="B131" s="1142"/>
      <c r="C131" s="1142"/>
      <c r="D131" s="523" t="s">
        <v>238</v>
      </c>
      <c r="E131" s="484">
        <f>'4'!F131</f>
        <v>0</v>
      </c>
      <c r="F131" s="1246">
        <v>0</v>
      </c>
      <c r="G131" s="473">
        <f t="shared" ref="G131:G141" si="16">F131-E131</f>
        <v>0</v>
      </c>
      <c r="H131" s="460">
        <f>G131+'4'!H131</f>
        <v>0</v>
      </c>
      <c r="I131" s="480"/>
      <c r="J131" s="552">
        <f>H131/DAY(B2)</f>
        <v>0</v>
      </c>
      <c r="N131" s="382"/>
    </row>
    <row r="132" spans="1:14" ht="27.75">
      <c r="A132" s="1141" t="s">
        <v>239</v>
      </c>
      <c r="B132" s="1142"/>
      <c r="C132" s="1142"/>
      <c r="D132" s="523" t="s">
        <v>238</v>
      </c>
      <c r="E132" s="484">
        <f>'4'!F132</f>
        <v>0</v>
      </c>
      <c r="F132" s="1246">
        <v>0</v>
      </c>
      <c r="G132" s="473">
        <f t="shared" si="16"/>
        <v>0</v>
      </c>
      <c r="H132" s="460">
        <f>G132+'4'!H132</f>
        <v>0</v>
      </c>
      <c r="I132" s="480"/>
      <c r="J132" s="552">
        <f>H132/DAY(B2)</f>
        <v>0</v>
      </c>
      <c r="N132" s="382"/>
    </row>
    <row r="133" spans="1:14" ht="27.75">
      <c r="A133" s="1141" t="s">
        <v>240</v>
      </c>
      <c r="B133" s="1142"/>
      <c r="C133" s="1142"/>
      <c r="D133" s="523" t="s">
        <v>238</v>
      </c>
      <c r="E133" s="541">
        <v>40035.1</v>
      </c>
      <c r="F133" s="1247">
        <v>40040.269999999997</v>
      </c>
      <c r="G133" s="473">
        <f t="shared" si="16"/>
        <v>5.1699999999982538</v>
      </c>
      <c r="H133" s="460">
        <f>G133+'4'!H133</f>
        <v>5.1699999999982538</v>
      </c>
      <c r="I133" s="480"/>
      <c r="J133" s="552">
        <f>H133/DAY(B2)</f>
        <v>1.0339999999996508</v>
      </c>
      <c r="N133" s="382"/>
    </row>
    <row r="134" spans="1:14" ht="27.75">
      <c r="A134" s="1141" t="s">
        <v>241</v>
      </c>
      <c r="B134" s="1142"/>
      <c r="C134" s="1142"/>
      <c r="D134" s="523" t="s">
        <v>238</v>
      </c>
      <c r="E134" s="702">
        <f>'4'!F134</f>
        <v>300</v>
      </c>
      <c r="F134" s="1268">
        <v>300</v>
      </c>
      <c r="G134" s="473">
        <f t="shared" si="16"/>
        <v>0</v>
      </c>
      <c r="H134" s="460">
        <f>G134+'4'!H134</f>
        <v>0</v>
      </c>
      <c r="I134" s="480">
        <f>G131+G132+G133+G134</f>
        <v>5.1699999999982538</v>
      </c>
      <c r="J134" s="552">
        <f>H134/DAY(B2)</f>
        <v>0</v>
      </c>
      <c r="N134" s="382"/>
    </row>
    <row r="135" spans="1:14" ht="27.75">
      <c r="A135" s="1141" t="s">
        <v>242</v>
      </c>
      <c r="B135" s="1142"/>
      <c r="C135" s="1142"/>
      <c r="D135" s="523" t="s">
        <v>238</v>
      </c>
      <c r="E135" s="702">
        <f>'4'!F135</f>
        <v>41730</v>
      </c>
      <c r="F135" s="1268">
        <v>41730.339999999997</v>
      </c>
      <c r="G135" s="473">
        <f t="shared" si="16"/>
        <v>0.33999999999650754</v>
      </c>
      <c r="H135" s="460">
        <f>G135+'4'!H135</f>
        <v>0.33999999999650754</v>
      </c>
      <c r="I135" s="480"/>
      <c r="J135" s="552">
        <f>H135/DAY(B2)</f>
        <v>6.7999999999301508E-2</v>
      </c>
      <c r="N135" s="382"/>
    </row>
    <row r="136" spans="1:14" ht="27.75">
      <c r="A136" s="1141" t="s">
        <v>243</v>
      </c>
      <c r="B136" s="1142"/>
      <c r="C136" s="1142"/>
      <c r="D136" s="523" t="s">
        <v>238</v>
      </c>
      <c r="E136" s="702">
        <f>'4'!F136</f>
        <v>32811</v>
      </c>
      <c r="F136" s="1268">
        <v>32835.49</v>
      </c>
      <c r="G136" s="473">
        <f t="shared" si="16"/>
        <v>24.489999999997963</v>
      </c>
      <c r="H136" s="460">
        <f>G136+'4'!H136</f>
        <v>120.48999999999796</v>
      </c>
      <c r="I136" s="480"/>
      <c r="J136" s="552">
        <f>H136/DAY(B2)</f>
        <v>24.097999999999594</v>
      </c>
      <c r="N136" s="382"/>
    </row>
    <row r="137" spans="1:14" ht="27.75">
      <c r="A137" s="1141" t="s">
        <v>244</v>
      </c>
      <c r="B137" s="1142"/>
      <c r="C137" s="1142"/>
      <c r="D137" s="523" t="s">
        <v>238</v>
      </c>
      <c r="E137" s="541">
        <f>'4'!F137</f>
        <v>22814.2</v>
      </c>
      <c r="F137" s="1247">
        <v>22814.28</v>
      </c>
      <c r="G137" s="473">
        <f t="shared" si="16"/>
        <v>7.9999999998108251E-2</v>
      </c>
      <c r="H137" s="460">
        <f>G137+'4'!H137</f>
        <v>7.0399999999972351</v>
      </c>
      <c r="I137" s="480">
        <f>G137+G138+G139</f>
        <v>11.309999999994034</v>
      </c>
      <c r="J137" s="552">
        <f>H137/DAY(B2)</f>
        <v>1.407999999999447</v>
      </c>
      <c r="N137" s="382"/>
    </row>
    <row r="138" spans="1:14" ht="27.75">
      <c r="A138" s="1141" t="s">
        <v>245</v>
      </c>
      <c r="B138" s="1142"/>
      <c r="C138" s="1142"/>
      <c r="D138" s="523" t="s">
        <v>238</v>
      </c>
      <c r="E138" s="541">
        <f>'4'!F138</f>
        <v>25051.82</v>
      </c>
      <c r="F138" s="1247">
        <v>25051.82</v>
      </c>
      <c r="G138" s="473">
        <f t="shared" si="16"/>
        <v>0</v>
      </c>
      <c r="H138" s="460">
        <f>G138+'4'!H138</f>
        <v>0</v>
      </c>
      <c r="I138" s="480"/>
      <c r="J138" s="552">
        <f>H138/DAY(B2)</f>
        <v>0</v>
      </c>
      <c r="N138" s="382"/>
    </row>
    <row r="139" spans="1:14" ht="27.75">
      <c r="A139" s="1141" t="s">
        <v>246</v>
      </c>
      <c r="B139" s="1142"/>
      <c r="C139" s="1142"/>
      <c r="D139" s="523" t="s">
        <v>238</v>
      </c>
      <c r="E139" s="541">
        <f>'4'!F139</f>
        <v>70424.240000000005</v>
      </c>
      <c r="F139" s="1247">
        <v>70435.47</v>
      </c>
      <c r="G139" s="473">
        <f t="shared" si="16"/>
        <v>11.229999999995925</v>
      </c>
      <c r="H139" s="460">
        <f>G139+'4'!H139</f>
        <v>23.729999999995925</v>
      </c>
      <c r="I139" s="480"/>
      <c r="J139" s="552">
        <f>H139/DAY(B2)</f>
        <v>4.7459999999991851</v>
      </c>
      <c r="N139" s="382"/>
    </row>
    <row r="140" spans="1:14" ht="27.75">
      <c r="A140" s="1141" t="s">
        <v>247</v>
      </c>
      <c r="B140" s="1142"/>
      <c r="C140" s="1142"/>
      <c r="D140" s="523" t="s">
        <v>238</v>
      </c>
      <c r="E140" s="702">
        <f>'4'!F140</f>
        <v>1881.49</v>
      </c>
      <c r="F140" s="1268">
        <v>1888.59</v>
      </c>
      <c r="G140" s="473">
        <f t="shared" si="16"/>
        <v>7.0999999999999091</v>
      </c>
      <c r="H140" s="460">
        <f>G140+'4'!H140</f>
        <v>34.289999999999964</v>
      </c>
      <c r="I140" s="542">
        <f>G140+G141</f>
        <v>7.0999999999999091</v>
      </c>
      <c r="J140" s="552">
        <f>H140/DAY(B2)</f>
        <v>6.8579999999999925</v>
      </c>
      <c r="N140" s="382"/>
    </row>
    <row r="141" spans="1:14" ht="27.75">
      <c r="A141" s="1141" t="s">
        <v>248</v>
      </c>
      <c r="B141" s="1142"/>
      <c r="C141" s="1142"/>
      <c r="D141" s="523" t="s">
        <v>238</v>
      </c>
      <c r="E141" s="484">
        <f>'4'!F141</f>
        <v>4637</v>
      </c>
      <c r="F141" s="1246">
        <v>4637</v>
      </c>
      <c r="G141" s="473">
        <f t="shared" si="16"/>
        <v>0</v>
      </c>
      <c r="H141" s="460">
        <f>G141+'4'!H141</f>
        <v>0</v>
      </c>
      <c r="I141" s="542"/>
      <c r="J141" s="552">
        <f>H141/DAY(B2)</f>
        <v>0</v>
      </c>
      <c r="N141" s="382"/>
    </row>
    <row r="142" spans="1:14">
      <c r="A142" s="1572" t="s">
        <v>249</v>
      </c>
      <c r="B142" s="1573"/>
      <c r="C142" s="1147"/>
      <c r="D142" s="472"/>
      <c r="E142" s="472"/>
      <c r="F142" s="1095"/>
      <c r="G142" s="483"/>
      <c r="H142" s="483"/>
      <c r="I142" s="483"/>
      <c r="J142" s="563"/>
      <c r="K142" s="380"/>
      <c r="L142" s="377"/>
      <c r="N142" s="382"/>
    </row>
    <row r="143" spans="1:14" ht="27.75">
      <c r="A143" s="1537" t="s">
        <v>250</v>
      </c>
      <c r="B143" s="1538"/>
      <c r="C143" s="1539"/>
      <c r="D143" s="523" t="s">
        <v>131</v>
      </c>
      <c r="E143" s="523"/>
      <c r="F143" s="1098"/>
      <c r="G143" s="460">
        <f>G35+G43+G49+G57</f>
        <v>5103.640000000014</v>
      </c>
      <c r="H143" s="460">
        <f>G143+'4'!H143</f>
        <v>23917.979999999981</v>
      </c>
      <c r="I143" s="480" t="s">
        <v>267</v>
      </c>
      <c r="J143" s="552">
        <f>H143/DAY(B2)</f>
        <v>4783.5959999999959</v>
      </c>
      <c r="K143" s="380"/>
      <c r="L143" s="377"/>
      <c r="N143" s="382"/>
    </row>
    <row r="144" spans="1:14" ht="27.75">
      <c r="A144" s="1537" t="s">
        <v>251</v>
      </c>
      <c r="B144" s="1538"/>
      <c r="C144" s="1539"/>
      <c r="D144" s="523" t="s">
        <v>24</v>
      </c>
      <c r="E144" s="511"/>
      <c r="F144" s="1241"/>
      <c r="G144" s="543">
        <f>G143/G7</f>
        <v>0.25513556532711101</v>
      </c>
      <c r="H144" s="460">
        <f>G144+'4'!H144</f>
        <v>1.4025684954787225</v>
      </c>
      <c r="I144" s="544"/>
      <c r="J144" s="552">
        <f>H144/DAY(B2)</f>
        <v>0.28051369909574453</v>
      </c>
      <c r="K144" s="380"/>
      <c r="L144" s="377"/>
      <c r="N144" s="382"/>
    </row>
    <row r="145" spans="1:14" ht="27.75">
      <c r="A145" s="1537" t="s">
        <v>252</v>
      </c>
      <c r="B145" s="1538"/>
      <c r="C145" s="1539"/>
      <c r="D145" s="523" t="s">
        <v>131</v>
      </c>
      <c r="E145" s="455"/>
      <c r="F145" s="1249"/>
      <c r="G145" s="460">
        <f>G41+G42+G55+G56</f>
        <v>5836.539999999979</v>
      </c>
      <c r="H145" s="460">
        <f>G145+'4'!H145</f>
        <v>24862.219999999972</v>
      </c>
      <c r="I145" s="480"/>
      <c r="J145" s="552">
        <f>H145/DAY(B2)</f>
        <v>4972.443999999994</v>
      </c>
      <c r="K145" s="380"/>
      <c r="L145" s="377"/>
      <c r="N145" s="382"/>
    </row>
    <row r="146" spans="1:14" ht="27.75">
      <c r="A146" s="1537" t="s">
        <v>253</v>
      </c>
      <c r="B146" s="1538"/>
      <c r="C146" s="1539"/>
      <c r="D146" s="523" t="s">
        <v>24</v>
      </c>
      <c r="E146" s="455"/>
      <c r="F146" s="1249"/>
      <c r="G146" s="543">
        <f>G145/G7</f>
        <v>0.29177389715071733</v>
      </c>
      <c r="H146" s="460">
        <f>G146+'4'!H146</f>
        <v>1.4510624250424831</v>
      </c>
      <c r="I146" s="544"/>
      <c r="J146" s="552">
        <f>H146/DAY(B2)</f>
        <v>0.29021248500849661</v>
      </c>
      <c r="K146" s="380"/>
      <c r="L146" s="377"/>
      <c r="N146" s="382"/>
    </row>
    <row r="147" spans="1:14" ht="27.75">
      <c r="A147" s="1537" t="s">
        <v>254</v>
      </c>
      <c r="B147" s="1538"/>
      <c r="C147" s="1539"/>
      <c r="D147" s="523" t="s">
        <v>131</v>
      </c>
      <c r="E147" s="455"/>
      <c r="F147" s="1249"/>
      <c r="G147" s="460">
        <f>G39+G53</f>
        <v>3287.4400000000023</v>
      </c>
      <c r="H147" s="460">
        <f>G147+'4'!H147</f>
        <v>13539.459999999963</v>
      </c>
      <c r="I147" s="545"/>
      <c r="J147" s="552">
        <f>H147/DAY(B2)</f>
        <v>2707.8919999999925</v>
      </c>
      <c r="K147" s="380"/>
      <c r="L147" s="377"/>
      <c r="N147" s="382"/>
    </row>
    <row r="148" spans="1:14" ht="27.75">
      <c r="A148" s="1537" t="s">
        <v>255</v>
      </c>
      <c r="B148" s="1538"/>
      <c r="C148" s="1539"/>
      <c r="D148" s="523" t="s">
        <v>24</v>
      </c>
      <c r="E148" s="455"/>
      <c r="F148" s="1249"/>
      <c r="G148" s="543">
        <f>G147/G7</f>
        <v>0.16434208973966738</v>
      </c>
      <c r="H148" s="460">
        <f>G148+'4'!H148</f>
        <v>0.78938013374418547</v>
      </c>
      <c r="I148" s="545"/>
      <c r="J148" s="552">
        <f>H148/DAY(B2)</f>
        <v>0.15787602674883711</v>
      </c>
      <c r="N148" s="382"/>
    </row>
    <row r="149" spans="1:14" ht="27.75">
      <c r="A149" s="1537" t="s">
        <v>256</v>
      </c>
      <c r="B149" s="1538"/>
      <c r="C149" s="1539"/>
      <c r="D149" s="523" t="s">
        <v>182</v>
      </c>
      <c r="E149" s="455"/>
      <c r="F149" s="1249"/>
      <c r="G149" s="460">
        <f>G38+G52</f>
        <v>1403.7799999999697</v>
      </c>
      <c r="H149" s="460">
        <f>G149+'4'!H149</f>
        <v>6187.7399999999616</v>
      </c>
      <c r="I149" s="480"/>
      <c r="J149" s="552">
        <f>H149/DAY(B2)</f>
        <v>1237.5479999999923</v>
      </c>
      <c r="K149" s="381"/>
      <c r="N149" s="382"/>
    </row>
    <row r="150" spans="1:14" ht="27.75">
      <c r="A150" s="1537" t="s">
        <v>257</v>
      </c>
      <c r="B150" s="1538"/>
      <c r="C150" s="1539"/>
      <c r="D150" s="523" t="s">
        <v>24</v>
      </c>
      <c r="E150" s="455"/>
      <c r="F150" s="1249"/>
      <c r="G150" s="543">
        <f>G149/G7</f>
        <v>7.0176227926515816E-2</v>
      </c>
      <c r="H150" s="460">
        <f>G150+'4'!H150</f>
        <v>0.36200565098355131</v>
      </c>
      <c r="I150" s="545"/>
      <c r="J150" s="552">
        <f>H150/DAY(B2)</f>
        <v>7.2401130196710267E-2</v>
      </c>
      <c r="N150" s="382"/>
    </row>
    <row r="151" spans="1:14" ht="27.75">
      <c r="A151" s="1537" t="s">
        <v>258</v>
      </c>
      <c r="B151" s="1538"/>
      <c r="C151" s="1539"/>
      <c r="D151" s="523" t="s">
        <v>182</v>
      </c>
      <c r="E151" s="455"/>
      <c r="F151" s="1249"/>
      <c r="G151" s="460">
        <f>G36+G50</f>
        <v>2338.0199999999604</v>
      </c>
      <c r="H151" s="460">
        <f>G151+'4'!H151</f>
        <v>7832.4399999999841</v>
      </c>
      <c r="I151" s="545"/>
      <c r="J151" s="552">
        <f>H151/DAY(B2)</f>
        <v>1566.4879999999969</v>
      </c>
      <c r="N151" s="382"/>
    </row>
    <row r="152" spans="1:14" ht="27.75">
      <c r="A152" s="1537" t="s">
        <v>259</v>
      </c>
      <c r="B152" s="1538"/>
      <c r="C152" s="1539"/>
      <c r="D152" s="523" t="s">
        <v>24</v>
      </c>
      <c r="E152" s="455"/>
      <c r="F152" s="1249"/>
      <c r="G152" s="543">
        <f>G151/G7</f>
        <v>0.11687972788952204</v>
      </c>
      <c r="H152" s="460">
        <f>G152+'4'!H152</f>
        <v>0.45197513218302593</v>
      </c>
      <c r="I152" s="480"/>
      <c r="J152" s="552">
        <f>H152/DAY(B2)</f>
        <v>9.0395026436605186E-2</v>
      </c>
      <c r="N152" s="382"/>
    </row>
    <row r="153" spans="1:14" ht="27.75">
      <c r="A153" s="1537" t="s">
        <v>260</v>
      </c>
      <c r="B153" s="1538"/>
      <c r="C153" s="1539"/>
      <c r="D153" s="523" t="s">
        <v>182</v>
      </c>
      <c r="E153" s="455"/>
      <c r="F153" s="1249"/>
      <c r="G153" s="460">
        <f>G37+G51</f>
        <v>1382.5499999999884</v>
      </c>
      <c r="H153" s="460">
        <f>G153+'4'!H153</f>
        <v>6466.8699999999953</v>
      </c>
      <c r="I153" s="480"/>
      <c r="J153" s="552">
        <f>H153/DAY(B2)</f>
        <v>1293.3739999999991</v>
      </c>
      <c r="N153" s="382"/>
    </row>
    <row r="154" spans="1:14" ht="28.5" thickBot="1">
      <c r="A154" s="1569" t="s">
        <v>261</v>
      </c>
      <c r="B154" s="1570"/>
      <c r="C154" s="1571"/>
      <c r="D154" s="625" t="s">
        <v>24</v>
      </c>
      <c r="E154" s="565"/>
      <c r="F154" s="1269"/>
      <c r="G154" s="566">
        <f>G153/G7</f>
        <v>6.9114921084362013E-2</v>
      </c>
      <c r="H154" s="460">
        <f>G154+'4'!H154</f>
        <v>0.37914529947040088</v>
      </c>
      <c r="I154" s="568"/>
      <c r="J154" s="569">
        <f>H154/DAY(B2)</f>
        <v>7.5829059894080175E-2</v>
      </c>
      <c r="N154" s="382"/>
    </row>
    <row r="155" spans="1:14">
      <c r="A155" s="466"/>
      <c r="B155" s="456"/>
      <c r="C155" s="456"/>
      <c r="D155" s="546"/>
      <c r="E155" s="546"/>
      <c r="F155" s="546"/>
      <c r="G155" s="546"/>
      <c r="H155" s="547"/>
      <c r="I155" s="546"/>
      <c r="J155" s="548"/>
      <c r="N155" s="382"/>
    </row>
    <row r="158" spans="1:14" ht="27.75">
      <c r="A158" s="1587" t="s">
        <v>266</v>
      </c>
      <c r="B158" s="1588"/>
      <c r="C158" s="1588"/>
      <c r="D158" s="1588"/>
      <c r="E158" s="1588"/>
      <c r="F158" s="1588"/>
      <c r="G158" s="1589"/>
    </row>
    <row r="159" spans="1:14">
      <c r="A159" s="785"/>
      <c r="B159" s="786"/>
      <c r="C159" s="786"/>
      <c r="D159" s="511"/>
      <c r="E159" s="455"/>
      <c r="F159" s="659"/>
      <c r="G159" s="473"/>
    </row>
    <row r="160" spans="1:14">
      <c r="A160" s="785"/>
      <c r="B160" s="786"/>
      <c r="C160" s="786"/>
      <c r="D160" s="511"/>
      <c r="E160" s="455"/>
      <c r="F160" s="659"/>
      <c r="G160" s="473"/>
    </row>
    <row r="161" spans="1:9">
      <c r="A161" s="785" t="s">
        <v>262</v>
      </c>
      <c r="B161" s="786"/>
      <c r="C161" s="786"/>
      <c r="D161" s="511" t="s">
        <v>186</v>
      </c>
      <c r="E161" s="484">
        <f>'4'!F161</f>
        <v>38758.07</v>
      </c>
      <c r="F161" s="659">
        <v>38839.69</v>
      </c>
      <c r="G161" s="473">
        <f t="shared" ref="G161:G172" si="17">F161-E161</f>
        <v>81.620000000002619</v>
      </c>
    </row>
    <row r="162" spans="1:9">
      <c r="A162" s="785" t="s">
        <v>263</v>
      </c>
      <c r="B162" s="786"/>
      <c r="C162" s="786"/>
      <c r="D162" s="511" t="s">
        <v>186</v>
      </c>
      <c r="E162" s="484">
        <f>'4'!F162</f>
        <v>96413.95</v>
      </c>
      <c r="F162" s="659">
        <v>96830.3</v>
      </c>
      <c r="G162" s="473">
        <f t="shared" si="17"/>
        <v>416.35000000000582</v>
      </c>
    </row>
    <row r="163" spans="1:9">
      <c r="A163" s="785" t="s">
        <v>264</v>
      </c>
      <c r="B163" s="786"/>
      <c r="C163" s="786"/>
      <c r="D163" s="511" t="s">
        <v>186</v>
      </c>
      <c r="E163" s="484">
        <f>'4'!F163</f>
        <v>45775.49</v>
      </c>
      <c r="F163" s="659">
        <v>45984.19</v>
      </c>
      <c r="G163" s="473">
        <f t="shared" si="17"/>
        <v>208.70000000000437</v>
      </c>
    </row>
    <row r="164" spans="1:9">
      <c r="A164" s="785" t="s">
        <v>265</v>
      </c>
      <c r="B164" s="786"/>
      <c r="C164" s="786"/>
      <c r="D164" s="511" t="s">
        <v>186</v>
      </c>
      <c r="E164" s="484">
        <f>'4'!F164</f>
        <v>6591.02</v>
      </c>
      <c r="F164" s="659">
        <v>6601</v>
      </c>
      <c r="G164" s="473">
        <f t="shared" si="17"/>
        <v>9.9799999999995634</v>
      </c>
    </row>
    <row r="165" spans="1:9">
      <c r="A165" s="787" t="s">
        <v>97</v>
      </c>
      <c r="B165" s="604"/>
      <c r="C165" s="604"/>
      <c r="D165" s="511" t="s">
        <v>186</v>
      </c>
      <c r="E165" s="514">
        <f>E62</f>
        <v>0</v>
      </c>
      <c r="F165" s="514">
        <f>F62</f>
        <v>0</v>
      </c>
      <c r="G165" s="473">
        <f t="shared" si="17"/>
        <v>0</v>
      </c>
    </row>
    <row r="166" spans="1:9">
      <c r="A166" s="787" t="s">
        <v>187</v>
      </c>
      <c r="B166" s="604"/>
      <c r="C166" s="604"/>
      <c r="D166" s="511" t="s">
        <v>186</v>
      </c>
      <c r="E166" s="514">
        <f t="shared" ref="E166" si="18">E63</f>
        <v>0</v>
      </c>
      <c r="F166" s="514">
        <f t="shared" ref="F166:F172" si="19">F63</f>
        <v>0</v>
      </c>
      <c r="G166" s="473">
        <f t="shared" si="17"/>
        <v>0</v>
      </c>
    </row>
    <row r="167" spans="1:9" ht="27.75">
      <c r="A167" s="1586" t="s">
        <v>98</v>
      </c>
      <c r="B167" s="1586"/>
      <c r="C167" s="1586"/>
      <c r="D167" s="523" t="s">
        <v>186</v>
      </c>
      <c r="E167" s="514">
        <f t="shared" ref="E167" si="20">E64</f>
        <v>160690.44</v>
      </c>
      <c r="F167" s="514">
        <f t="shared" si="19"/>
        <v>160945.75</v>
      </c>
      <c r="G167" s="473">
        <f t="shared" si="17"/>
        <v>255.30999999999767</v>
      </c>
    </row>
    <row r="168" spans="1:9" ht="27.75">
      <c r="A168" s="1586" t="s">
        <v>99</v>
      </c>
      <c r="B168" s="1586"/>
      <c r="C168" s="1586"/>
      <c r="D168" s="523" t="s">
        <v>186</v>
      </c>
      <c r="E168" s="514">
        <f t="shared" ref="E168" si="21">E65</f>
        <v>161818.76999999999</v>
      </c>
      <c r="F168" s="514">
        <f t="shared" si="19"/>
        <v>162162.23000000001</v>
      </c>
      <c r="G168" s="473">
        <f t="shared" si="17"/>
        <v>343.46000000002095</v>
      </c>
    </row>
    <row r="169" spans="1:9" ht="27.75">
      <c r="A169" s="1586" t="s">
        <v>100</v>
      </c>
      <c r="B169" s="1586"/>
      <c r="C169" s="1586"/>
      <c r="D169" s="523" t="s">
        <v>186</v>
      </c>
      <c r="E169" s="514">
        <f t="shared" ref="E169" si="22">E66</f>
        <v>57809.82</v>
      </c>
      <c r="F169" s="514">
        <f t="shared" si="19"/>
        <v>58207.19</v>
      </c>
      <c r="G169" s="473">
        <f t="shared" si="17"/>
        <v>397.37000000000262</v>
      </c>
    </row>
    <row r="170" spans="1:9" ht="27.75">
      <c r="A170" s="1586" t="s">
        <v>101</v>
      </c>
      <c r="B170" s="1586"/>
      <c r="C170" s="1586"/>
      <c r="D170" s="523" t="s">
        <v>186</v>
      </c>
      <c r="E170" s="514">
        <f t="shared" ref="E170" si="23">E67</f>
        <v>253616.59</v>
      </c>
      <c r="F170" s="514">
        <f t="shared" si="19"/>
        <v>254103.65</v>
      </c>
      <c r="G170" s="473">
        <f t="shared" si="17"/>
        <v>487.05999999999767</v>
      </c>
    </row>
    <row r="171" spans="1:9" ht="27.75">
      <c r="A171" s="1586" t="s">
        <v>102</v>
      </c>
      <c r="B171" s="1586"/>
      <c r="C171" s="1586"/>
      <c r="D171" s="523" t="s">
        <v>186</v>
      </c>
      <c r="E171" s="514">
        <f t="shared" ref="E171" si="24">E68</f>
        <v>85321</v>
      </c>
      <c r="F171" s="514">
        <f t="shared" si="19"/>
        <v>85321</v>
      </c>
      <c r="G171" s="473">
        <f t="shared" si="17"/>
        <v>0</v>
      </c>
    </row>
    <row r="172" spans="1:9" ht="27.75">
      <c r="A172" s="1586" t="s">
        <v>103</v>
      </c>
      <c r="B172" s="1586"/>
      <c r="C172" s="1586"/>
      <c r="D172" s="523" t="s">
        <v>186</v>
      </c>
      <c r="E172" s="514">
        <f t="shared" ref="E172" si="25">E69</f>
        <v>82121.929999999993</v>
      </c>
      <c r="F172" s="514">
        <f t="shared" si="19"/>
        <v>82249.98</v>
      </c>
      <c r="G172" s="473">
        <f t="shared" si="17"/>
        <v>128.05000000000291</v>
      </c>
    </row>
    <row r="173" spans="1:9">
      <c r="A173" s="1596" t="s">
        <v>357</v>
      </c>
      <c r="B173" s="1579"/>
      <c r="C173" s="786"/>
      <c r="D173" s="523" t="s">
        <v>186</v>
      </c>
      <c r="E173" s="542"/>
      <c r="F173" s="542"/>
      <c r="G173" s="542"/>
    </row>
    <row r="174" spans="1:9">
      <c r="A174" s="1596" t="s">
        <v>358</v>
      </c>
      <c r="B174" s="1579"/>
      <c r="C174" s="786"/>
      <c r="D174" s="523" t="s">
        <v>186</v>
      </c>
      <c r="E174" s="542"/>
      <c r="F174" s="542"/>
      <c r="G174" s="542"/>
    </row>
    <row r="176" spans="1:9">
      <c r="I176" s="537" t="s">
        <v>214</v>
      </c>
    </row>
  </sheetData>
  <mergeCells count="77">
    <mergeCell ref="A173:B173"/>
    <mergeCell ref="A174:B174"/>
    <mergeCell ref="A95:C95"/>
    <mergeCell ref="A96:C96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12:B112"/>
    <mergeCell ref="A113:B113"/>
    <mergeCell ref="A122:B122"/>
    <mergeCell ref="A114:B114"/>
    <mergeCell ref="A115:B115"/>
    <mergeCell ref="A116:B116"/>
    <mergeCell ref="A117:B117"/>
    <mergeCell ref="A118:B118"/>
    <mergeCell ref="A119:B119"/>
    <mergeCell ref="A120:B120"/>
    <mergeCell ref="A121:B121"/>
    <mergeCell ref="A154:C154"/>
    <mergeCell ref="A102:C102"/>
    <mergeCell ref="A123:C123"/>
    <mergeCell ref="A126:C126"/>
    <mergeCell ref="A142:B142"/>
    <mergeCell ref="A153:C153"/>
    <mergeCell ref="A150:C150"/>
    <mergeCell ref="A151:C151"/>
    <mergeCell ref="A152:C152"/>
    <mergeCell ref="A145:C145"/>
    <mergeCell ref="A146:C146"/>
    <mergeCell ref="A147:C147"/>
    <mergeCell ref="A148:C148"/>
    <mergeCell ref="A149:C149"/>
    <mergeCell ref="A143:C143"/>
    <mergeCell ref="A144:C144"/>
    <mergeCell ref="A93:C93"/>
    <mergeCell ref="A94:C94"/>
    <mergeCell ref="A69:C69"/>
    <mergeCell ref="A70:C70"/>
    <mergeCell ref="A71:J71"/>
    <mergeCell ref="A72:C72"/>
    <mergeCell ref="A73:C73"/>
    <mergeCell ref="A74:C74"/>
    <mergeCell ref="A75:C75"/>
    <mergeCell ref="A76:C76"/>
    <mergeCell ref="A77:C77"/>
    <mergeCell ref="A79:C79"/>
    <mergeCell ref="A80:C80"/>
    <mergeCell ref="A81:C81"/>
    <mergeCell ref="A82:C82"/>
    <mergeCell ref="A83:C83"/>
    <mergeCell ref="A64:C64"/>
    <mergeCell ref="A65:C65"/>
    <mergeCell ref="A66:C66"/>
    <mergeCell ref="A67:C67"/>
    <mergeCell ref="A68:C68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  <mergeCell ref="A171:C171"/>
    <mergeCell ref="A172:C172"/>
    <mergeCell ref="A158:G158"/>
    <mergeCell ref="A167:C167"/>
    <mergeCell ref="A168:C168"/>
    <mergeCell ref="A169:C169"/>
    <mergeCell ref="A170:C170"/>
  </mergeCells>
  <pageMargins left="0.22" right="0.17" top="0.14000000000000001" bottom="0.2" header="0.2" footer="0.2"/>
  <pageSetup paperSize="5" scale="20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Q174"/>
  <sheetViews>
    <sheetView view="pageBreakPreview" topLeftCell="A148" zoomScale="55" zoomScaleSheetLayoutView="55" workbookViewId="0">
      <selection activeCell="A33" sqref="A33:J33"/>
    </sheetView>
  </sheetViews>
  <sheetFormatPr defaultColWidth="22.33203125" defaultRowHeight="29.25"/>
  <cols>
    <col min="1" max="1" width="42.109375" style="454" customWidth="1"/>
    <col min="2" max="2" width="31" style="457" customWidth="1"/>
    <col min="3" max="3" width="15.88671875" style="457" customWidth="1"/>
    <col min="4" max="4" width="13.6640625" style="537" customWidth="1"/>
    <col min="5" max="5" width="30" style="537" customWidth="1"/>
    <col min="6" max="6" width="30" style="664" customWidth="1"/>
    <col min="7" max="7" width="28.88671875" style="537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3" width="0" style="376" hidden="1" customWidth="1"/>
    <col min="14" max="14" width="25.5546875" style="376" customWidth="1"/>
    <col min="15" max="16384" width="22.33203125" style="376"/>
  </cols>
  <sheetData>
    <row r="1" spans="1:17" ht="33.75">
      <c r="A1" s="1549" t="s">
        <v>116</v>
      </c>
      <c r="B1" s="1550"/>
      <c r="C1" s="1550"/>
      <c r="D1" s="1550"/>
      <c r="E1" s="1550"/>
      <c r="F1" s="1550"/>
      <c r="G1" s="1550"/>
      <c r="H1" s="1550"/>
      <c r="I1" s="1550"/>
      <c r="J1" s="1551"/>
    </row>
    <row r="2" spans="1:17" s="281" customFormat="1" ht="27">
      <c r="A2" s="575" t="s">
        <v>359</v>
      </c>
      <c r="B2" s="1033">
        <v>44353</v>
      </c>
      <c r="C2" s="1143" t="s">
        <v>68</v>
      </c>
      <c r="D2" s="611">
        <v>0.75</v>
      </c>
      <c r="E2" s="461"/>
      <c r="F2" s="461"/>
      <c r="G2" s="461" t="s">
        <v>117</v>
      </c>
      <c r="H2" s="461" t="s">
        <v>6</v>
      </c>
      <c r="I2" s="461" t="s">
        <v>8</v>
      </c>
      <c r="J2" s="613" t="s">
        <v>118</v>
      </c>
    </row>
    <row r="3" spans="1:17" s="281" customFormat="1" ht="27">
      <c r="A3" s="570"/>
      <c r="B3" s="614"/>
      <c r="C3" s="1143" t="s">
        <v>119</v>
      </c>
      <c r="D3" s="612">
        <v>34</v>
      </c>
      <c r="E3" s="1558" t="s">
        <v>120</v>
      </c>
      <c r="F3" s="1559"/>
      <c r="G3" s="462"/>
      <c r="H3" s="463"/>
      <c r="I3" s="463"/>
      <c r="J3" s="615"/>
      <c r="K3" s="371"/>
      <c r="L3" s="292"/>
    </row>
    <row r="4" spans="1:17" s="281" customFormat="1" ht="27">
      <c r="A4" s="576"/>
      <c r="B4" s="616"/>
      <c r="C4" s="1143" t="s">
        <v>121</v>
      </c>
      <c r="D4" s="611">
        <v>0.84</v>
      </c>
      <c r="E4" s="464"/>
      <c r="F4" s="464"/>
      <c r="G4" s="464"/>
      <c r="H4" s="464"/>
      <c r="I4" s="465"/>
      <c r="J4" s="615"/>
      <c r="K4" s="372"/>
      <c r="L4" s="292"/>
    </row>
    <row r="5" spans="1:17">
      <c r="A5" s="577" t="s">
        <v>122</v>
      </c>
      <c r="B5" s="459"/>
      <c r="C5" s="459"/>
      <c r="D5" s="511"/>
      <c r="E5" s="467" t="s">
        <v>124</v>
      </c>
      <c r="F5" s="467" t="s">
        <v>111</v>
      </c>
      <c r="G5" s="468" t="s">
        <v>125</v>
      </c>
      <c r="H5" s="469" t="s">
        <v>126</v>
      </c>
      <c r="I5" s="470" t="s">
        <v>127</v>
      </c>
      <c r="J5" s="550" t="s">
        <v>128</v>
      </c>
      <c r="K5" s="426"/>
      <c r="L5" s="377"/>
    </row>
    <row r="6" spans="1:17">
      <c r="A6" s="1552" t="s">
        <v>129</v>
      </c>
      <c r="B6" s="1553"/>
      <c r="C6" s="1554"/>
      <c r="D6" s="471"/>
      <c r="E6" s="471"/>
      <c r="F6" s="471"/>
      <c r="G6" s="471"/>
      <c r="H6" s="472"/>
      <c r="I6" s="472"/>
      <c r="J6" s="551"/>
      <c r="K6" s="427"/>
      <c r="L6" s="377"/>
    </row>
    <row r="7" spans="1:17" ht="30" thickBot="1">
      <c r="A7" s="677" t="s">
        <v>130</v>
      </c>
      <c r="B7" s="678"/>
      <c r="C7" s="678"/>
      <c r="D7" s="638" t="s">
        <v>131</v>
      </c>
      <c r="E7" s="633">
        <f>'5'!F7</f>
        <v>430018.71</v>
      </c>
      <c r="F7" s="455">
        <v>448352.99</v>
      </c>
      <c r="G7" s="690">
        <f>F7-E7</f>
        <v>18334.27999999997</v>
      </c>
      <c r="H7" s="680">
        <f>G7+'5'!H7</f>
        <v>103940.98999999999</v>
      </c>
      <c r="I7" s="681">
        <f>'1'!I7</f>
        <v>12000</v>
      </c>
      <c r="J7" s="682">
        <f>H7/DAY(B2)</f>
        <v>17323.498333333333</v>
      </c>
      <c r="K7" s="549"/>
      <c r="L7" s="377"/>
      <c r="N7" s="709"/>
    </row>
    <row r="8" spans="1:17" ht="27.75" thickBot="1">
      <c r="A8" s="683" t="s">
        <v>132</v>
      </c>
      <c r="B8" s="684"/>
      <c r="C8" s="685"/>
      <c r="D8" s="686" t="s">
        <v>25</v>
      </c>
      <c r="E8" s="633">
        <f>'5'!F8</f>
        <v>432505.15</v>
      </c>
      <c r="F8" s="475">
        <v>450927.79</v>
      </c>
      <c r="G8" s="690">
        <f t="shared" ref="G8:G12" si="0">F8-E8</f>
        <v>18422.639999999956</v>
      </c>
      <c r="H8" s="680">
        <f>G8+'5'!H8</f>
        <v>104417.78999999998</v>
      </c>
      <c r="I8" s="687">
        <v>12000</v>
      </c>
      <c r="J8" s="682">
        <f>H8/DAY(B2)</f>
        <v>17402.964999999997</v>
      </c>
      <c r="K8" s="549"/>
      <c r="L8" s="425"/>
      <c r="M8" s="440"/>
      <c r="N8" s="704"/>
      <c r="O8" s="382"/>
    </row>
    <row r="9" spans="1:17">
      <c r="A9" s="688" t="s">
        <v>133</v>
      </c>
      <c r="B9" s="689"/>
      <c r="C9" s="689"/>
      <c r="D9" s="638" t="s">
        <v>131</v>
      </c>
      <c r="E9" s="633">
        <f>'5'!F9</f>
        <v>1556655.6</v>
      </c>
      <c r="F9" s="478">
        <v>1574403.7</v>
      </c>
      <c r="G9" s="690">
        <f t="shared" si="0"/>
        <v>17748.09999999986</v>
      </c>
      <c r="H9" s="680">
        <f>G9+'5'!H9</f>
        <v>100713.69999999995</v>
      </c>
      <c r="I9" s="691">
        <f>I8-J8</f>
        <v>-5402.9649999999965</v>
      </c>
      <c r="J9" s="682">
        <f>H9/DAY(B2)</f>
        <v>16785.616666666658</v>
      </c>
      <c r="K9" s="428"/>
      <c r="L9" s="377"/>
      <c r="N9" s="382"/>
      <c r="O9" s="440"/>
    </row>
    <row r="10" spans="1:17">
      <c r="A10" s="677" t="s">
        <v>134</v>
      </c>
      <c r="B10" s="678"/>
      <c r="C10" s="678"/>
      <c r="D10" s="638" t="s">
        <v>131</v>
      </c>
      <c r="E10" s="633">
        <f>'5'!F10</f>
        <v>2606.5500000000002</v>
      </c>
      <c r="F10" s="478">
        <v>2606.5500000000002</v>
      </c>
      <c r="G10" s="690">
        <f t="shared" si="0"/>
        <v>0</v>
      </c>
      <c r="H10" s="680">
        <f>G10+'5'!H10</f>
        <v>0.42000000000007276</v>
      </c>
      <c r="I10" s="692"/>
      <c r="J10" s="682">
        <f>H10/DAY(B2)</f>
        <v>7.0000000000012122E-2</v>
      </c>
      <c r="K10" s="428"/>
      <c r="L10" s="377"/>
      <c r="N10" s="382"/>
      <c r="O10" s="440"/>
      <c r="Q10" s="440"/>
    </row>
    <row r="11" spans="1:17">
      <c r="A11" s="677" t="s">
        <v>135</v>
      </c>
      <c r="B11" s="678"/>
      <c r="C11" s="678"/>
      <c r="D11" s="638" t="s">
        <v>131</v>
      </c>
      <c r="E11" s="633">
        <f>'5'!F11</f>
        <v>37000</v>
      </c>
      <c r="F11" s="455">
        <v>37000</v>
      </c>
      <c r="G11" s="690">
        <f t="shared" si="0"/>
        <v>0</v>
      </c>
      <c r="H11" s="680">
        <f>G11+'5'!H11</f>
        <v>0</v>
      </c>
      <c r="I11" s="692"/>
      <c r="J11" s="682">
        <f>H11/DAY(B2)</f>
        <v>0</v>
      </c>
      <c r="K11" s="428"/>
      <c r="L11" s="377"/>
      <c r="N11" s="382"/>
      <c r="O11" s="440"/>
      <c r="Q11" s="440"/>
    </row>
    <row r="12" spans="1:17">
      <c r="A12" s="677" t="s">
        <v>136</v>
      </c>
      <c r="B12" s="678"/>
      <c r="C12" s="678"/>
      <c r="D12" s="638" t="s">
        <v>131</v>
      </c>
      <c r="E12" s="633">
        <f>'5'!F12</f>
        <v>40010</v>
      </c>
      <c r="F12" s="478">
        <v>40010</v>
      </c>
      <c r="G12" s="690">
        <f t="shared" si="0"/>
        <v>0</v>
      </c>
      <c r="H12" s="680">
        <f>G12+'5'!H12</f>
        <v>0</v>
      </c>
      <c r="I12" s="692"/>
      <c r="J12" s="682">
        <f>H12/DAY(B2)</f>
        <v>0</v>
      </c>
      <c r="K12" s="428"/>
      <c r="L12" s="377"/>
      <c r="N12" s="382"/>
      <c r="O12" s="440"/>
      <c r="Q12" s="440"/>
    </row>
    <row r="13" spans="1:17">
      <c r="A13" s="693" t="s">
        <v>137</v>
      </c>
      <c r="B13" s="694"/>
      <c r="C13" s="694"/>
      <c r="D13" s="638"/>
      <c r="E13" s="633"/>
      <c r="F13" s="455"/>
      <c r="G13" s="695">
        <f>G9+G10+G11+G12</f>
        <v>17748.09999999986</v>
      </c>
      <c r="H13" s="680">
        <f>G13+'5'!H13</f>
        <v>100714.11999999995</v>
      </c>
      <c r="I13" s="696">
        <f>G7-G13</f>
        <v>586.18000000010943</v>
      </c>
      <c r="J13" s="682">
        <f>H13/DAY(B2)</f>
        <v>16785.686666666657</v>
      </c>
      <c r="K13" s="428"/>
      <c r="L13" s="377"/>
      <c r="N13" s="382"/>
      <c r="O13" s="440"/>
      <c r="Q13" s="440"/>
    </row>
    <row r="14" spans="1:17">
      <c r="A14" s="1555" t="s">
        <v>138</v>
      </c>
      <c r="B14" s="1556"/>
      <c r="C14" s="1557"/>
      <c r="D14" s="472"/>
      <c r="E14" s="472"/>
      <c r="F14" s="472"/>
      <c r="G14" s="483"/>
      <c r="H14" s="472"/>
      <c r="I14" s="472"/>
      <c r="J14" s="551"/>
      <c r="K14" s="429"/>
      <c r="L14" s="377"/>
      <c r="N14" s="382"/>
    </row>
    <row r="15" spans="1:17">
      <c r="A15" s="793" t="s">
        <v>139</v>
      </c>
      <c r="B15" s="788"/>
      <c r="C15" s="788"/>
      <c r="D15" s="524" t="s">
        <v>140</v>
      </c>
      <c r="E15" s="485">
        <f>'5'!F15</f>
        <v>1686600.31</v>
      </c>
      <c r="F15" s="485">
        <v>1687157.18</v>
      </c>
      <c r="G15" s="473">
        <f>(F15-E15)</f>
        <v>556.86999999987893</v>
      </c>
      <c r="H15" s="486">
        <f>G15+'5'!H15</f>
        <v>2633.1799999999348</v>
      </c>
      <c r="I15" s="474">
        <v>800</v>
      </c>
      <c r="J15" s="553">
        <f>H15/DAY(B2)</f>
        <v>438.86333333332249</v>
      </c>
      <c r="K15" s="428"/>
      <c r="L15" s="377"/>
      <c r="N15" s="382"/>
    </row>
    <row r="16" spans="1:17">
      <c r="A16" s="791"/>
      <c r="B16" s="792"/>
      <c r="C16" s="792"/>
      <c r="D16" s="789"/>
      <c r="E16" s="790"/>
      <c r="F16" s="485"/>
      <c r="G16" s="1036"/>
      <c r="H16" s="1053"/>
      <c r="I16" s="487">
        <f>I15-J15</f>
        <v>361.13666666667751</v>
      </c>
      <c r="J16" s="1054"/>
      <c r="K16" s="428"/>
      <c r="L16" s="377"/>
      <c r="N16" s="382"/>
    </row>
    <row r="17" spans="1:14">
      <c r="A17" s="1555" t="s">
        <v>141</v>
      </c>
      <c r="B17" s="1556"/>
      <c r="C17" s="1557"/>
      <c r="D17" s="472"/>
      <c r="E17" s="472"/>
      <c r="F17" s="472"/>
      <c r="G17" s="488"/>
      <c r="H17" s="472"/>
      <c r="I17" s="472"/>
      <c r="J17" s="551"/>
      <c r="K17" s="428"/>
      <c r="L17" s="377"/>
      <c r="N17" s="382"/>
    </row>
    <row r="18" spans="1:14" ht="27.75">
      <c r="A18" s="1590" t="s">
        <v>142</v>
      </c>
      <c r="B18" s="1591"/>
      <c r="C18" s="1592"/>
      <c r="D18" s="639" t="s">
        <v>143</v>
      </c>
      <c r="E18" s="637">
        <f>'5'!F18</f>
        <v>4</v>
      </c>
      <c r="F18" s="485">
        <v>11</v>
      </c>
      <c r="G18" s="690">
        <f>F18*10</f>
        <v>110</v>
      </c>
      <c r="H18" s="680">
        <f>G18+'5'!H18</f>
        <v>350</v>
      </c>
      <c r="I18" s="681">
        <f>'1'!I18</f>
        <v>65</v>
      </c>
      <c r="J18" s="682">
        <f>H18/DAY(B2)</f>
        <v>58.333333333333336</v>
      </c>
      <c r="K18" s="428"/>
      <c r="L18" s="377"/>
      <c r="N18" s="382"/>
    </row>
    <row r="19" spans="1:14" ht="27.75">
      <c r="A19" s="1590" t="s">
        <v>70</v>
      </c>
      <c r="B19" s="1591"/>
      <c r="C19" s="1592"/>
      <c r="D19" s="638" t="s">
        <v>143</v>
      </c>
      <c r="E19" s="635">
        <f>'5'!F19</f>
        <v>139910</v>
      </c>
      <c r="F19" s="478">
        <v>139975</v>
      </c>
      <c r="G19" s="690">
        <f t="shared" ref="G19" si="1">F19-E19</f>
        <v>65</v>
      </c>
      <c r="H19" s="680">
        <f>G19+'5'!H19</f>
        <v>363</v>
      </c>
      <c r="I19" s="697"/>
      <c r="J19" s="682">
        <f>H19/DAY(B2)</f>
        <v>60.5</v>
      </c>
      <c r="K19" s="428"/>
      <c r="L19" s="377"/>
      <c r="N19" s="382"/>
    </row>
    <row r="20" spans="1:14">
      <c r="A20" s="693" t="s">
        <v>144</v>
      </c>
      <c r="B20" s="694"/>
      <c r="C20" s="694"/>
      <c r="D20" s="638"/>
      <c r="E20" s="638"/>
      <c r="F20" s="523"/>
      <c r="G20" s="698">
        <f>G18+G19</f>
        <v>175</v>
      </c>
      <c r="H20" s="680">
        <f>G20+'5'!H20</f>
        <v>713</v>
      </c>
      <c r="I20" s="699">
        <f>I18-J20</f>
        <v>-53.833333333333329</v>
      </c>
      <c r="J20" s="682">
        <f>H20/DAY(B2)</f>
        <v>118.83333333333333</v>
      </c>
      <c r="K20" s="428"/>
      <c r="L20" s="377"/>
      <c r="N20" s="382"/>
    </row>
    <row r="21" spans="1:14">
      <c r="A21" s="1555" t="s">
        <v>145</v>
      </c>
      <c r="B21" s="1556"/>
      <c r="C21" s="1557"/>
      <c r="D21" s="472"/>
      <c r="E21" s="472"/>
      <c r="F21" s="472"/>
      <c r="G21" s="483"/>
      <c r="H21" s="472"/>
      <c r="I21" s="472"/>
      <c r="J21" s="551"/>
      <c r="K21" s="428"/>
      <c r="L21" s="377"/>
      <c r="N21" s="382"/>
    </row>
    <row r="22" spans="1:14">
      <c r="A22" s="1141" t="s">
        <v>146</v>
      </c>
      <c r="B22" s="589"/>
      <c r="C22" s="589"/>
      <c r="D22" s="523" t="s">
        <v>147</v>
      </c>
      <c r="E22" s="635">
        <f>'5'!F22</f>
        <v>2970</v>
      </c>
      <c r="F22" s="478">
        <v>2970</v>
      </c>
      <c r="G22" s="481">
        <f t="shared" ref="G22" si="2">(F22-E22)</f>
        <v>0</v>
      </c>
      <c r="H22" s="460">
        <f>G22+'5'!H22</f>
        <v>0</v>
      </c>
      <c r="I22" s="480"/>
      <c r="J22" s="552">
        <f>H22/DAY(B2)</f>
        <v>0</v>
      </c>
      <c r="K22" s="428"/>
      <c r="L22" s="377"/>
      <c r="N22" s="382"/>
    </row>
    <row r="23" spans="1:14">
      <c r="A23" s="1141" t="s">
        <v>148</v>
      </c>
      <c r="B23" s="589"/>
      <c r="C23" s="589"/>
      <c r="D23" s="523" t="s">
        <v>147</v>
      </c>
      <c r="E23" s="635">
        <f>'5'!F23</f>
        <v>2000</v>
      </c>
      <c r="F23" s="478">
        <v>2000</v>
      </c>
      <c r="G23" s="481">
        <v>0</v>
      </c>
      <c r="H23" s="460">
        <f>G23+'5'!H23</f>
        <v>120</v>
      </c>
      <c r="I23" s="480"/>
      <c r="J23" s="552">
        <f>H23/DAY(B2)</f>
        <v>20</v>
      </c>
      <c r="K23" s="428"/>
      <c r="L23" s="377"/>
      <c r="N23" s="382"/>
    </row>
    <row r="24" spans="1:14">
      <c r="A24" s="590" t="s">
        <v>149</v>
      </c>
      <c r="B24" s="591"/>
      <c r="C24" s="591"/>
      <c r="D24" s="511" t="s">
        <v>147</v>
      </c>
      <c r="E24" s="635">
        <f>'5'!F24</f>
        <v>4970</v>
      </c>
      <c r="F24" s="485">
        <v>4970</v>
      </c>
      <c r="G24" s="481">
        <v>0</v>
      </c>
      <c r="H24" s="460">
        <f>G24+'5'!H24</f>
        <v>120</v>
      </c>
      <c r="I24" s="480"/>
      <c r="J24" s="552">
        <f>H24/DAY(B2)</f>
        <v>20</v>
      </c>
      <c r="K24" s="428"/>
      <c r="L24" s="377"/>
      <c r="N24" s="382"/>
    </row>
    <row r="25" spans="1:14" s="442" customFormat="1" ht="27">
      <c r="A25" s="1560" t="s">
        <v>150</v>
      </c>
      <c r="B25" s="1561"/>
      <c r="C25" s="1562"/>
      <c r="D25" s="471"/>
      <c r="E25" s="471"/>
      <c r="F25" s="471"/>
      <c r="G25" s="494"/>
      <c r="H25" s="495"/>
      <c r="I25" s="496"/>
      <c r="J25" s="554"/>
      <c r="K25" s="373"/>
      <c r="L25" s="443"/>
      <c r="N25" s="382"/>
    </row>
    <row r="26" spans="1:14" s="442" customFormat="1" ht="27.75">
      <c r="A26" s="592" t="s">
        <v>151</v>
      </c>
      <c r="B26" s="593"/>
      <c r="C26" s="594"/>
      <c r="D26" s="618" t="s">
        <v>152</v>
      </c>
      <c r="E26" s="497"/>
      <c r="F26" s="455"/>
      <c r="G26" s="498"/>
      <c r="H26" s="460"/>
      <c r="I26" s="499"/>
      <c r="J26" s="552"/>
      <c r="K26" s="374"/>
      <c r="L26" s="443"/>
      <c r="N26" s="382"/>
    </row>
    <row r="27" spans="1:14" s="442" customFormat="1" ht="27.75">
      <c r="A27" s="592" t="s">
        <v>6</v>
      </c>
      <c r="B27" s="593"/>
      <c r="C27" s="594"/>
      <c r="D27" s="619" t="s">
        <v>25</v>
      </c>
      <c r="E27" s="700">
        <f>G8</f>
        <v>18422.639999999956</v>
      </c>
      <c r="F27" s="501">
        <v>9</v>
      </c>
      <c r="G27" s="502">
        <f>E27*F27</f>
        <v>165803.7599999996</v>
      </c>
      <c r="H27" s="460">
        <f>G27+'5'!H27</f>
        <v>938923.10999999987</v>
      </c>
      <c r="I27" s="503"/>
      <c r="J27" s="552">
        <f>H27/DAY(B2)</f>
        <v>156487.18499999997</v>
      </c>
      <c r="K27" s="373"/>
      <c r="L27" s="443"/>
      <c r="N27" s="382"/>
    </row>
    <row r="28" spans="1:14" s="442" customFormat="1" ht="27.75">
      <c r="A28" s="592" t="s">
        <v>153</v>
      </c>
      <c r="B28" s="593"/>
      <c r="C28" s="594"/>
      <c r="D28" s="619" t="s">
        <v>154</v>
      </c>
      <c r="E28" s="700">
        <f>G15</f>
        <v>556.86999999987893</v>
      </c>
      <c r="F28" s="501">
        <v>52</v>
      </c>
      <c r="G28" s="502">
        <f t="shared" ref="G28:G31" si="3">E28*F28</f>
        <v>28957.239999993704</v>
      </c>
      <c r="H28" s="460">
        <f>G28+'5'!H28</f>
        <v>136925.35999999661</v>
      </c>
      <c r="I28" s="505"/>
      <c r="J28" s="552">
        <f>H28/DAY(B2)</f>
        <v>22820.89333333277</v>
      </c>
      <c r="K28" s="373"/>
      <c r="L28" s="443"/>
      <c r="N28" s="382"/>
    </row>
    <row r="29" spans="1:14" s="442" customFormat="1" ht="27.75">
      <c r="A29" s="592" t="s">
        <v>155</v>
      </c>
      <c r="B29" s="593"/>
      <c r="C29" s="594"/>
      <c r="D29" s="619" t="s">
        <v>156</v>
      </c>
      <c r="E29" s="700">
        <f>G24</f>
        <v>0</v>
      </c>
      <c r="F29" s="501">
        <v>69</v>
      </c>
      <c r="G29" s="502">
        <f t="shared" si="3"/>
        <v>0</v>
      </c>
      <c r="H29" s="460">
        <f>G29+'5'!H29</f>
        <v>8280</v>
      </c>
      <c r="I29" s="505"/>
      <c r="J29" s="552">
        <f>H29/DAY(B2)</f>
        <v>1380</v>
      </c>
      <c r="K29" s="373"/>
      <c r="L29" s="443"/>
      <c r="N29" s="382"/>
    </row>
    <row r="30" spans="1:14" s="442" customFormat="1" ht="27.75">
      <c r="A30" s="592" t="s">
        <v>157</v>
      </c>
      <c r="B30" s="593"/>
      <c r="C30" s="594"/>
      <c r="D30" s="619" t="s">
        <v>158</v>
      </c>
      <c r="E30" s="700">
        <f>G19</f>
        <v>65</v>
      </c>
      <c r="F30" s="501">
        <v>146</v>
      </c>
      <c r="G30" s="502">
        <f t="shared" si="3"/>
        <v>9490</v>
      </c>
      <c r="H30" s="460">
        <f>G30+'5'!H30</f>
        <v>52998</v>
      </c>
      <c r="I30" s="505"/>
      <c r="J30" s="552">
        <f>H30/DAY(B2)</f>
        <v>8833</v>
      </c>
      <c r="K30" s="373"/>
      <c r="L30" s="443"/>
      <c r="N30" s="382"/>
    </row>
    <row r="31" spans="1:14" s="442" customFormat="1" ht="27.75">
      <c r="A31" s="592" t="s">
        <v>159</v>
      </c>
      <c r="B31" s="593"/>
      <c r="C31" s="594"/>
      <c r="D31" s="619" t="s">
        <v>143</v>
      </c>
      <c r="E31" s="700">
        <f>G18</f>
        <v>110</v>
      </c>
      <c r="F31" s="501">
        <v>80</v>
      </c>
      <c r="G31" s="502">
        <f t="shared" si="3"/>
        <v>8800</v>
      </c>
      <c r="H31" s="460">
        <f>G31+'5'!H31</f>
        <v>28000</v>
      </c>
      <c r="I31" s="505"/>
      <c r="J31" s="552">
        <f>H31/DAY(B2)</f>
        <v>4666.666666666667</v>
      </c>
      <c r="K31" s="373"/>
      <c r="L31" s="443"/>
      <c r="N31" s="382"/>
    </row>
    <row r="32" spans="1:14" s="442" customFormat="1" ht="27.75">
      <c r="A32" s="595" t="s">
        <v>160</v>
      </c>
      <c r="B32" s="596"/>
      <c r="C32" s="597"/>
      <c r="D32" s="507"/>
      <c r="E32" s="507"/>
      <c r="F32" s="524"/>
      <c r="G32" s="508">
        <f>G27+G28+G29+G30+G31</f>
        <v>213050.99999999331</v>
      </c>
      <c r="H32" s="460">
        <f>G32+'5'!H32</f>
        <v>1165126.4699999965</v>
      </c>
      <c r="I32" s="509"/>
      <c r="J32" s="552">
        <f>H32/DAY(B2)</f>
        <v>194187.74499999941</v>
      </c>
      <c r="K32" s="373"/>
      <c r="L32" s="443"/>
      <c r="N32" s="382"/>
    </row>
    <row r="33" spans="1:15" ht="25.5">
      <c r="A33" s="1563" t="s">
        <v>161</v>
      </c>
      <c r="B33" s="1564"/>
      <c r="C33" s="1564"/>
      <c r="D33" s="1564"/>
      <c r="E33" s="1564"/>
      <c r="F33" s="1564"/>
      <c r="G33" s="1564"/>
      <c r="H33" s="1564"/>
      <c r="I33" s="1564"/>
      <c r="J33" s="1565"/>
      <c r="K33" s="428"/>
      <c r="L33" s="377"/>
      <c r="N33" s="382"/>
    </row>
    <row r="34" spans="1:15">
      <c r="A34" s="598" t="s">
        <v>162</v>
      </c>
      <c r="B34" s="1146"/>
      <c r="C34" s="1146"/>
      <c r="D34" s="472"/>
      <c r="E34" s="471"/>
      <c r="F34" s="471"/>
      <c r="G34" s="472"/>
      <c r="H34" s="472"/>
      <c r="I34" s="472"/>
      <c r="J34" s="551"/>
      <c r="K34" s="428"/>
      <c r="L34" s="377"/>
      <c r="N34" s="382"/>
    </row>
    <row r="35" spans="1:15">
      <c r="A35" s="578" t="s">
        <v>163</v>
      </c>
      <c r="B35" s="579"/>
      <c r="C35" s="579"/>
      <c r="D35" s="523" t="s">
        <v>131</v>
      </c>
      <c r="E35" s="510">
        <f>'5'!F35</f>
        <v>962514.15</v>
      </c>
      <c r="F35" s="510">
        <v>965190.55</v>
      </c>
      <c r="G35" s="473">
        <f t="shared" ref="G35:G46" si="4">F35-E35</f>
        <v>2676.4000000000233</v>
      </c>
      <c r="H35" s="460">
        <f>G35+'5'!H35</f>
        <v>14702.550000000047</v>
      </c>
      <c r="I35" s="455"/>
      <c r="J35" s="552">
        <f>H35/DAY(B2)</f>
        <v>2450.4250000000079</v>
      </c>
      <c r="K35" s="428"/>
      <c r="L35" s="377"/>
      <c r="N35" s="382"/>
    </row>
    <row r="36" spans="1:15">
      <c r="A36" s="578" t="s">
        <v>164</v>
      </c>
      <c r="B36" s="579"/>
      <c r="C36" s="579"/>
      <c r="D36" s="523" t="s">
        <v>131</v>
      </c>
      <c r="E36" s="510">
        <f>'5'!F36</f>
        <v>3030.77</v>
      </c>
      <c r="F36" s="510">
        <v>3533.13</v>
      </c>
      <c r="G36" s="473">
        <f t="shared" si="4"/>
        <v>502.36000000000013</v>
      </c>
      <c r="H36" s="460">
        <f>G36+'5'!H36</f>
        <v>3360.13</v>
      </c>
      <c r="I36" s="455"/>
      <c r="J36" s="552">
        <f>H36/DAY(B2)</f>
        <v>560.02166666666665</v>
      </c>
      <c r="K36" s="428"/>
      <c r="L36" s="377"/>
      <c r="N36" s="628"/>
      <c r="O36" s="501"/>
    </row>
    <row r="37" spans="1:15">
      <c r="A37" s="578" t="s">
        <v>165</v>
      </c>
      <c r="B37" s="579"/>
      <c r="C37" s="579"/>
      <c r="D37" s="523" t="s">
        <v>131</v>
      </c>
      <c r="E37" s="510">
        <f>'5'!F37</f>
        <v>140703</v>
      </c>
      <c r="F37" s="510">
        <v>142076</v>
      </c>
      <c r="G37" s="473">
        <f t="shared" si="4"/>
        <v>1373</v>
      </c>
      <c r="H37" s="460">
        <f>G37+'5'!H37</f>
        <v>7840</v>
      </c>
      <c r="I37" s="455"/>
      <c r="J37" s="552">
        <f>H37/DAY(B2)</f>
        <v>1306.6666666666667</v>
      </c>
      <c r="K37" s="428"/>
      <c r="L37" s="377"/>
      <c r="N37" s="629"/>
      <c r="O37" s="501"/>
    </row>
    <row r="38" spans="1:15">
      <c r="A38" s="578" t="s">
        <v>166</v>
      </c>
      <c r="B38" s="579"/>
      <c r="C38" s="579"/>
      <c r="D38" s="523" t="s">
        <v>131</v>
      </c>
      <c r="E38" s="469">
        <f>'5'!F38</f>
        <v>162592.67000000001</v>
      </c>
      <c r="F38" s="469">
        <v>164012.88</v>
      </c>
      <c r="G38" s="473">
        <f t="shared" si="4"/>
        <v>1420.2099999999919</v>
      </c>
      <c r="H38" s="460">
        <f>G38+'5'!H38</f>
        <v>7607.8800000000047</v>
      </c>
      <c r="I38" s="455"/>
      <c r="J38" s="552">
        <f>H38/DAY(B2)</f>
        <v>1267.9800000000007</v>
      </c>
      <c r="K38" s="428"/>
      <c r="L38" s="377"/>
      <c r="N38" s="382"/>
      <c r="O38" s="501"/>
    </row>
    <row r="39" spans="1:15">
      <c r="A39" s="578" t="s">
        <v>167</v>
      </c>
      <c r="B39" s="579"/>
      <c r="C39" s="579"/>
      <c r="D39" s="523" t="s">
        <v>131</v>
      </c>
      <c r="E39" s="510">
        <f>'5'!F39</f>
        <v>320048.78999999998</v>
      </c>
      <c r="F39" s="510">
        <v>323218.43</v>
      </c>
      <c r="G39" s="473">
        <f t="shared" si="4"/>
        <v>3169.640000000014</v>
      </c>
      <c r="H39" s="460">
        <f>G39+'5'!H39</f>
        <v>15045.429999999993</v>
      </c>
      <c r="I39" s="455"/>
      <c r="J39" s="552">
        <f>H39/DAY(B2)</f>
        <v>2507.5716666666654</v>
      </c>
      <c r="K39" s="428"/>
      <c r="L39" s="377"/>
      <c r="N39" s="382"/>
      <c r="O39" s="501"/>
    </row>
    <row r="40" spans="1:15">
      <c r="A40" s="599" t="s">
        <v>168</v>
      </c>
      <c r="B40" s="600"/>
      <c r="C40" s="600"/>
      <c r="D40" s="523" t="s">
        <v>131</v>
      </c>
      <c r="E40" s="510">
        <f>'5'!F40</f>
        <v>1057.0899999999999</v>
      </c>
      <c r="F40" s="510">
        <v>1057.0899999999999</v>
      </c>
      <c r="G40" s="473">
        <f t="shared" si="4"/>
        <v>0</v>
      </c>
      <c r="H40" s="460">
        <f>G40+'5'!H40</f>
        <v>168.08999999999992</v>
      </c>
      <c r="I40" s="455"/>
      <c r="J40" s="552">
        <f>H40/DAY(B2)</f>
        <v>28.014999999999986</v>
      </c>
      <c r="K40" s="429"/>
      <c r="L40" s="377"/>
      <c r="N40" s="382"/>
      <c r="O40" s="501"/>
    </row>
    <row r="41" spans="1:15">
      <c r="A41" s="578" t="s">
        <v>169</v>
      </c>
      <c r="B41" s="579"/>
      <c r="C41" s="579"/>
      <c r="D41" s="523" t="s">
        <v>131</v>
      </c>
      <c r="E41" s="510">
        <f>'5'!F41</f>
        <v>241404.07</v>
      </c>
      <c r="F41" s="510">
        <v>241404.07</v>
      </c>
      <c r="G41" s="473">
        <f>F41-E41</f>
        <v>0</v>
      </c>
      <c r="H41" s="460">
        <f>G41+'5'!H41</f>
        <v>926.07000000000698</v>
      </c>
      <c r="I41" s="455"/>
      <c r="J41" s="552">
        <f>H41/DAY(B2)</f>
        <v>154.34500000000116</v>
      </c>
      <c r="K41" s="428"/>
      <c r="L41" s="377"/>
      <c r="N41" s="382"/>
    </row>
    <row r="42" spans="1:15">
      <c r="A42" s="578" t="s">
        <v>170</v>
      </c>
      <c r="B42" s="579"/>
      <c r="C42" s="579"/>
      <c r="D42" s="523" t="s">
        <v>131</v>
      </c>
      <c r="E42" s="510">
        <f>'5'!F42</f>
        <v>59198.97</v>
      </c>
      <c r="F42" s="510">
        <v>59198.97</v>
      </c>
      <c r="G42" s="473">
        <f t="shared" si="4"/>
        <v>0</v>
      </c>
      <c r="H42" s="460">
        <f>G42+'5'!H42</f>
        <v>0</v>
      </c>
      <c r="I42" s="455"/>
      <c r="J42" s="552">
        <f>H42/DAY(B2)</f>
        <v>0</v>
      </c>
      <c r="K42" s="428"/>
      <c r="L42" s="377"/>
      <c r="N42" s="382"/>
    </row>
    <row r="43" spans="1:15">
      <c r="A43" s="578" t="s">
        <v>171</v>
      </c>
      <c r="B43" s="579"/>
      <c r="C43" s="579"/>
      <c r="D43" s="523" t="s">
        <v>131</v>
      </c>
      <c r="E43" s="510">
        <f>'5'!F43</f>
        <v>1054135.7</v>
      </c>
      <c r="F43" s="510">
        <v>1056545.8</v>
      </c>
      <c r="G43" s="473">
        <f t="shared" si="4"/>
        <v>2410.1000000000931</v>
      </c>
      <c r="H43" s="460">
        <f>G43+'5'!H43</f>
        <v>14301.800000000047</v>
      </c>
      <c r="I43" s="455"/>
      <c r="J43" s="552">
        <f>H43/DAY(B2)</f>
        <v>2383.6333333333409</v>
      </c>
      <c r="K43" s="428"/>
      <c r="L43" s="377"/>
      <c r="N43" s="382"/>
    </row>
    <row r="44" spans="1:15">
      <c r="A44" s="578" t="s">
        <v>172</v>
      </c>
      <c r="B44" s="579"/>
      <c r="C44" s="579"/>
      <c r="D44" s="523" t="s">
        <v>131</v>
      </c>
      <c r="E44" s="510">
        <f>'5'!F44</f>
        <v>0</v>
      </c>
      <c r="F44" s="510">
        <v>0</v>
      </c>
      <c r="G44" s="473">
        <f t="shared" si="4"/>
        <v>0</v>
      </c>
      <c r="H44" s="460">
        <f>G44+'5'!H44</f>
        <v>0</v>
      </c>
      <c r="I44" s="455"/>
      <c r="J44" s="552">
        <f>H44/DAY(B2)</f>
        <v>0</v>
      </c>
      <c r="K44" s="428"/>
      <c r="L44" s="377"/>
      <c r="N44" s="382"/>
    </row>
    <row r="45" spans="1:15">
      <c r="A45" s="578" t="s">
        <v>173</v>
      </c>
      <c r="B45" s="579"/>
      <c r="C45" s="579"/>
      <c r="D45" s="523" t="s">
        <v>131</v>
      </c>
      <c r="E45" s="510">
        <f>'5'!F45</f>
        <v>614</v>
      </c>
      <c r="F45" s="510">
        <v>614</v>
      </c>
      <c r="G45" s="473">
        <f t="shared" si="4"/>
        <v>0</v>
      </c>
      <c r="H45" s="460">
        <f>G45+'5'!H45</f>
        <v>0</v>
      </c>
      <c r="I45" s="455"/>
      <c r="J45" s="552">
        <f>H45/DAY(B2)</f>
        <v>0</v>
      </c>
      <c r="K45" s="428"/>
      <c r="L45" s="377"/>
      <c r="N45" s="382"/>
    </row>
    <row r="46" spans="1:15">
      <c r="A46" s="578" t="s">
        <v>174</v>
      </c>
      <c r="B46" s="579"/>
      <c r="C46" s="579"/>
      <c r="D46" s="523" t="s">
        <v>131</v>
      </c>
      <c r="E46" s="510">
        <f>'5'!F46</f>
        <v>187</v>
      </c>
      <c r="F46" s="510">
        <v>187</v>
      </c>
      <c r="G46" s="473">
        <f t="shared" si="4"/>
        <v>0</v>
      </c>
      <c r="H46" s="460">
        <f>G46+'5'!H46</f>
        <v>0</v>
      </c>
      <c r="I46" s="455"/>
      <c r="J46" s="552">
        <f>H46/DAY(B2)</f>
        <v>0</v>
      </c>
      <c r="K46" s="428"/>
      <c r="L46" s="377"/>
      <c r="N46" s="382"/>
    </row>
    <row r="47" spans="1:15">
      <c r="A47" s="585" t="s">
        <v>175</v>
      </c>
      <c r="B47" s="586"/>
      <c r="C47" s="586"/>
      <c r="D47" s="470"/>
      <c r="E47" s="511"/>
      <c r="F47" s="511"/>
      <c r="G47" s="481">
        <f>G35+G36+G37+G38+G39+G40+G41+G42+G43+G44+G45+G46</f>
        <v>11551.710000000123</v>
      </c>
      <c r="H47" s="460">
        <f>G47+'5'!H47</f>
        <v>63951.950000000092</v>
      </c>
      <c r="I47" s="455"/>
      <c r="J47" s="552">
        <f>H47/DAY(B2)</f>
        <v>10658.658333333349</v>
      </c>
      <c r="K47" s="428"/>
      <c r="L47" s="377"/>
      <c r="N47" s="382"/>
    </row>
    <row r="48" spans="1:15">
      <c r="A48" s="598" t="s">
        <v>176</v>
      </c>
      <c r="B48" s="1146"/>
      <c r="C48" s="1146"/>
      <c r="D48" s="472"/>
      <c r="E48" s="471"/>
      <c r="F48" s="471"/>
      <c r="G48" s="472"/>
      <c r="H48" s="472"/>
      <c r="I48" s="472"/>
      <c r="J48" s="551"/>
      <c r="K48" s="428"/>
      <c r="L48" s="377"/>
      <c r="N48" s="382"/>
    </row>
    <row r="49" spans="1:14">
      <c r="A49" s="578" t="s">
        <v>163</v>
      </c>
      <c r="B49" s="601"/>
      <c r="C49" s="601"/>
      <c r="D49" s="523" t="s">
        <v>131</v>
      </c>
      <c r="E49" s="510">
        <f>'5'!F49</f>
        <v>260732.13</v>
      </c>
      <c r="F49" s="1034">
        <v>260732.13</v>
      </c>
      <c r="G49" s="473">
        <f t="shared" ref="G49:G58" si="5">F49-E49</f>
        <v>0</v>
      </c>
      <c r="H49" s="460">
        <f>G49+'5'!H49</f>
        <v>0.13000000000465661</v>
      </c>
      <c r="I49" s="455"/>
      <c r="J49" s="552">
        <f>H49/DAY(B2)</f>
        <v>2.1666666667442769E-2</v>
      </c>
      <c r="K49" s="428"/>
      <c r="L49" s="377"/>
      <c r="N49" s="382"/>
    </row>
    <row r="50" spans="1:14">
      <c r="A50" s="578" t="s">
        <v>177</v>
      </c>
      <c r="B50" s="601"/>
      <c r="C50" s="601"/>
      <c r="D50" s="523" t="s">
        <v>131</v>
      </c>
      <c r="E50" s="510">
        <f>'5'!F50</f>
        <v>507510.67</v>
      </c>
      <c r="F50" s="510">
        <v>508527.71</v>
      </c>
      <c r="G50" s="473">
        <f t="shared" si="5"/>
        <v>1017.0400000000373</v>
      </c>
      <c r="H50" s="460">
        <f>G50+'5'!H50</f>
        <v>5991.710000000021</v>
      </c>
      <c r="I50" s="455"/>
      <c r="J50" s="552">
        <f>H50/DAY(B2)</f>
        <v>998.61833333333686</v>
      </c>
      <c r="K50" s="428"/>
      <c r="L50" s="377"/>
      <c r="N50" s="382"/>
    </row>
    <row r="51" spans="1:14">
      <c r="A51" s="578" t="s">
        <v>165</v>
      </c>
      <c r="B51" s="601"/>
      <c r="C51" s="601"/>
      <c r="D51" s="523" t="s">
        <v>131</v>
      </c>
      <c r="E51" s="510">
        <f>'5'!F51</f>
        <v>144639.87</v>
      </c>
      <c r="F51" s="510">
        <v>144639.87</v>
      </c>
      <c r="G51" s="473">
        <f t="shared" si="5"/>
        <v>0</v>
      </c>
      <c r="H51" s="460">
        <f>G51+'5'!H51</f>
        <v>-0.13000000000465661</v>
      </c>
      <c r="I51" s="455"/>
      <c r="J51" s="552">
        <f>H51/DAY(B2)</f>
        <v>-2.1666666667442769E-2</v>
      </c>
      <c r="K51" s="428"/>
      <c r="L51" s="377"/>
      <c r="N51" s="382"/>
    </row>
    <row r="52" spans="1:14">
      <c r="A52" s="578" t="s">
        <v>178</v>
      </c>
      <c r="B52" s="601"/>
      <c r="C52" s="601"/>
      <c r="D52" s="523" t="s">
        <v>131</v>
      </c>
      <c r="E52" s="510">
        <f>'5'!F52</f>
        <v>539606.06999999995</v>
      </c>
      <c r="F52" s="510">
        <v>539606.06999999995</v>
      </c>
      <c r="G52" s="473">
        <f t="shared" si="5"/>
        <v>0</v>
      </c>
      <c r="H52" s="460">
        <f>G52+'5'!H52</f>
        <v>6.9999999948777258E-2</v>
      </c>
      <c r="I52" s="455"/>
      <c r="J52" s="552">
        <f>H52/DAY(B2)</f>
        <v>1.1666666658129543E-2</v>
      </c>
      <c r="K52" s="428"/>
      <c r="L52" s="377"/>
      <c r="N52" s="382"/>
    </row>
    <row r="53" spans="1:14">
      <c r="A53" s="578" t="s">
        <v>167</v>
      </c>
      <c r="B53" s="601"/>
      <c r="C53" s="601"/>
      <c r="D53" s="523" t="s">
        <v>131</v>
      </c>
      <c r="E53" s="510">
        <f>'5'!F53</f>
        <v>434231.67</v>
      </c>
      <c r="F53" s="510">
        <v>434231.67</v>
      </c>
      <c r="G53" s="473">
        <f t="shared" si="5"/>
        <v>0</v>
      </c>
      <c r="H53" s="460">
        <f>G53+'5'!H53</f>
        <v>1663.6699999999837</v>
      </c>
      <c r="I53" s="455"/>
      <c r="J53" s="552">
        <f>H53/DAY(B2)</f>
        <v>277.27833333333064</v>
      </c>
      <c r="K53" s="428"/>
      <c r="L53" s="377"/>
      <c r="N53" s="382"/>
    </row>
    <row r="54" spans="1:14">
      <c r="A54" s="578" t="s">
        <v>179</v>
      </c>
      <c r="B54" s="601"/>
      <c r="C54" s="601"/>
      <c r="D54" s="523" t="s">
        <v>131</v>
      </c>
      <c r="E54" s="510">
        <f>'5'!F54</f>
        <v>14171.66</v>
      </c>
      <c r="F54" s="510">
        <v>14253.88</v>
      </c>
      <c r="G54" s="473">
        <f t="shared" si="5"/>
        <v>82.219999999999345</v>
      </c>
      <c r="H54" s="460">
        <f>G54+'5'!H54</f>
        <v>503.8799999999992</v>
      </c>
      <c r="I54" s="455"/>
      <c r="J54" s="552">
        <f>H54/DAY(B2)</f>
        <v>83.979999999999862</v>
      </c>
      <c r="K54" s="428"/>
      <c r="L54" s="377"/>
      <c r="N54" s="382"/>
    </row>
    <row r="55" spans="1:14">
      <c r="A55" s="578" t="s">
        <v>180</v>
      </c>
      <c r="B55" s="601"/>
      <c r="C55" s="601"/>
      <c r="D55" s="523" t="s">
        <v>131</v>
      </c>
      <c r="E55" s="510">
        <f>'5'!F55</f>
        <v>68110.679999999993</v>
      </c>
      <c r="F55" s="654">
        <v>68110.679999999993</v>
      </c>
      <c r="G55" s="653">
        <f t="shared" si="5"/>
        <v>0</v>
      </c>
      <c r="H55" s="706">
        <f>G55+'5'!H55</f>
        <v>-0.32000000000698492</v>
      </c>
      <c r="I55" s="707"/>
      <c r="J55" s="708">
        <f>H55/DAY(B2)</f>
        <v>-5.3333333334497489E-2</v>
      </c>
      <c r="K55" s="428"/>
      <c r="L55" s="377"/>
      <c r="N55" s="382"/>
    </row>
    <row r="56" spans="1:14">
      <c r="A56" s="578" t="s">
        <v>181</v>
      </c>
      <c r="B56" s="601"/>
      <c r="C56" s="601"/>
      <c r="D56" s="523" t="s">
        <v>182</v>
      </c>
      <c r="E56" s="510">
        <f>'5'!F56</f>
        <v>641134.47</v>
      </c>
      <c r="F56" s="1057">
        <v>646184.27</v>
      </c>
      <c r="G56" s="473">
        <f t="shared" si="5"/>
        <v>5049.8000000000466</v>
      </c>
      <c r="H56" s="460">
        <f>G56+'5'!H56</f>
        <v>28986.270000000019</v>
      </c>
      <c r="I56" s="455"/>
      <c r="J56" s="552">
        <f>H56/DAY(B2)</f>
        <v>4831.0450000000028</v>
      </c>
      <c r="K56" s="427"/>
      <c r="L56" s="377"/>
      <c r="N56" s="382"/>
    </row>
    <row r="57" spans="1:14">
      <c r="A57" s="578" t="s">
        <v>171</v>
      </c>
      <c r="B57" s="601"/>
      <c r="C57" s="601"/>
      <c r="D57" s="523" t="s">
        <v>131</v>
      </c>
      <c r="E57" s="510">
        <f>'5'!F57</f>
        <v>7711</v>
      </c>
      <c r="F57" s="1034">
        <v>7711</v>
      </c>
      <c r="G57" s="473">
        <f t="shared" si="5"/>
        <v>0</v>
      </c>
      <c r="H57" s="460">
        <f>G57+'5'!H57</f>
        <v>0</v>
      </c>
      <c r="I57" s="455"/>
      <c r="J57" s="552">
        <f>H57/DAY(B2)</f>
        <v>0</v>
      </c>
      <c r="K57" s="428"/>
      <c r="L57" s="377"/>
      <c r="N57" s="382"/>
    </row>
    <row r="58" spans="1:14">
      <c r="A58" s="578" t="s">
        <v>183</v>
      </c>
      <c r="B58" s="601"/>
      <c r="C58" s="601"/>
      <c r="D58" s="523" t="s">
        <v>131</v>
      </c>
      <c r="E58" s="510">
        <f>'5'!F58</f>
        <v>50071.87</v>
      </c>
      <c r="F58" s="654">
        <v>50233.39</v>
      </c>
      <c r="G58" s="473">
        <f t="shared" si="5"/>
        <v>161.5199999999968</v>
      </c>
      <c r="H58" s="460">
        <f>G58+'5'!H58</f>
        <v>608.38999999999942</v>
      </c>
      <c r="I58" s="455"/>
      <c r="J58" s="552">
        <f>H58/DAY(B2)</f>
        <v>101.39833333333324</v>
      </c>
      <c r="K58" s="428"/>
      <c r="L58" s="377"/>
      <c r="N58" s="382"/>
    </row>
    <row r="59" spans="1:14">
      <c r="A59" s="585" t="s">
        <v>175</v>
      </c>
      <c r="B59" s="586"/>
      <c r="C59" s="586"/>
      <c r="D59" s="511"/>
      <c r="E59" s="511"/>
      <c r="F59" s="511"/>
      <c r="G59" s="481">
        <f>G49+G50+G51+G52+G53+G54+G55+G56+G57+G58</f>
        <v>6310.58000000008</v>
      </c>
      <c r="H59" s="460">
        <f>G59+'5'!H59</f>
        <v>37753.669999999962</v>
      </c>
      <c r="I59" s="455">
        <f>G7-G60</f>
        <v>471.98999999976513</v>
      </c>
      <c r="J59" s="552">
        <f>H59/DAY(B2)</f>
        <v>6292.2783333333273</v>
      </c>
      <c r="K59" s="428"/>
      <c r="L59" s="377"/>
      <c r="N59" s="382"/>
    </row>
    <row r="60" spans="1:14">
      <c r="A60" s="578"/>
      <c r="B60" s="579"/>
      <c r="C60" s="579"/>
      <c r="D60" s="511" t="s">
        <v>184</v>
      </c>
      <c r="E60" s="511"/>
      <c r="F60" s="511"/>
      <c r="G60" s="481">
        <f>G47+G59</f>
        <v>17862.290000000205</v>
      </c>
      <c r="H60" s="460">
        <f>G60+'5'!H60</f>
        <v>101705.62000000005</v>
      </c>
      <c r="I60" s="455">
        <f>G13-G60</f>
        <v>-114.1900000003443</v>
      </c>
      <c r="J60" s="552">
        <f>H60/DAY(B2)</f>
        <v>16950.936666666676</v>
      </c>
      <c r="K60" s="428"/>
      <c r="L60" s="377"/>
      <c r="N60" s="382"/>
    </row>
    <row r="61" spans="1:14">
      <c r="A61" s="602" t="s">
        <v>185</v>
      </c>
      <c r="B61" s="453"/>
      <c r="C61" s="453"/>
      <c r="D61" s="513"/>
      <c r="E61" s="512"/>
      <c r="F61" s="512"/>
      <c r="G61" s="513"/>
      <c r="H61" s="513"/>
      <c r="I61" s="513"/>
      <c r="J61" s="555"/>
      <c r="K61" s="428"/>
      <c r="L61" s="377"/>
      <c r="N61" s="382"/>
    </row>
    <row r="62" spans="1:14">
      <c r="A62" s="603" t="s">
        <v>97</v>
      </c>
      <c r="B62" s="604"/>
      <c r="C62" s="604"/>
      <c r="D62" s="511" t="s">
        <v>186</v>
      </c>
      <c r="E62" s="514">
        <f>'5'!F62</f>
        <v>0</v>
      </c>
      <c r="F62" s="514">
        <v>0</v>
      </c>
      <c r="G62" s="473">
        <f t="shared" ref="G62:G69" si="6">F62-E62</f>
        <v>0</v>
      </c>
      <c r="H62" s="460">
        <f>G62+'5'!H62</f>
        <v>1.9999999967694748E-3</v>
      </c>
      <c r="I62" s="515"/>
      <c r="J62" s="552">
        <f>H62/DAY(B2)</f>
        <v>3.3333333279491245E-4</v>
      </c>
      <c r="K62" s="428"/>
      <c r="L62" s="377"/>
      <c r="N62" s="382"/>
    </row>
    <row r="63" spans="1:14">
      <c r="A63" s="603" t="s">
        <v>187</v>
      </c>
      <c r="B63" s="604"/>
      <c r="C63" s="604"/>
      <c r="D63" s="511" t="s">
        <v>186</v>
      </c>
      <c r="E63" s="514">
        <f>'5'!F63</f>
        <v>0</v>
      </c>
      <c r="F63" s="514">
        <v>0</v>
      </c>
      <c r="G63" s="473">
        <f t="shared" si="6"/>
        <v>0</v>
      </c>
      <c r="H63" s="460">
        <f>G63+'5'!H63</f>
        <v>0</v>
      </c>
      <c r="I63" s="515"/>
      <c r="J63" s="552">
        <f>H63/DAY(B2)</f>
        <v>0</v>
      </c>
      <c r="K63" s="428"/>
      <c r="L63" s="377"/>
      <c r="N63" s="382"/>
    </row>
    <row r="64" spans="1:14" ht="27.75">
      <c r="A64" s="1534" t="s">
        <v>98</v>
      </c>
      <c r="B64" s="1535"/>
      <c r="C64" s="1536"/>
      <c r="D64" s="523" t="s">
        <v>186</v>
      </c>
      <c r="E64" s="484">
        <f>'5'!F64</f>
        <v>160945.75</v>
      </c>
      <c r="F64" s="478">
        <v>161236.62</v>
      </c>
      <c r="G64" s="473">
        <f t="shared" si="6"/>
        <v>290.86999999999534</v>
      </c>
      <c r="H64" s="460">
        <f>G64+'5'!H64</f>
        <v>1304.6199999999953</v>
      </c>
      <c r="I64" s="480"/>
      <c r="J64" s="552">
        <f>H64/DAY(B2)</f>
        <v>217.4366666666659</v>
      </c>
      <c r="K64" s="428"/>
      <c r="L64" s="377"/>
      <c r="N64" s="382"/>
    </row>
    <row r="65" spans="1:14" ht="27.75">
      <c r="A65" s="1534" t="s">
        <v>99</v>
      </c>
      <c r="B65" s="1535"/>
      <c r="C65" s="1536"/>
      <c r="D65" s="523" t="s">
        <v>186</v>
      </c>
      <c r="E65" s="484">
        <f>'5'!F65</f>
        <v>162162.23000000001</v>
      </c>
      <c r="F65" s="652">
        <v>162454.46</v>
      </c>
      <c r="G65" s="473">
        <f t="shared" si="6"/>
        <v>292.22999999998137</v>
      </c>
      <c r="H65" s="460">
        <f>G65+'5'!H65</f>
        <v>1456.4599999999919</v>
      </c>
      <c r="I65" s="489"/>
      <c r="J65" s="552">
        <f>H65/DAY(B2)</f>
        <v>242.74333333333198</v>
      </c>
      <c r="K65" s="428"/>
      <c r="L65" s="377"/>
      <c r="N65" s="382"/>
    </row>
    <row r="66" spans="1:14" ht="27.75">
      <c r="A66" s="1534" t="s">
        <v>100</v>
      </c>
      <c r="B66" s="1535"/>
      <c r="C66" s="1536"/>
      <c r="D66" s="523" t="s">
        <v>186</v>
      </c>
      <c r="E66" s="484">
        <f>'5'!F66</f>
        <v>58207.19</v>
      </c>
      <c r="F66" s="478">
        <v>58595.66</v>
      </c>
      <c r="G66" s="473">
        <f t="shared" si="6"/>
        <v>388.47000000000116</v>
      </c>
      <c r="H66" s="460">
        <f>G66+'5'!H66</f>
        <v>1790.6600000000035</v>
      </c>
      <c r="I66" s="480"/>
      <c r="J66" s="552">
        <f>H66/DAY(B2)</f>
        <v>298.4433333333339</v>
      </c>
      <c r="K66" s="428"/>
      <c r="L66" s="377"/>
      <c r="N66" s="382"/>
    </row>
    <row r="67" spans="1:14" ht="27.75">
      <c r="A67" s="1534" t="s">
        <v>101</v>
      </c>
      <c r="B67" s="1535"/>
      <c r="C67" s="1536"/>
      <c r="D67" s="523" t="s">
        <v>186</v>
      </c>
      <c r="E67" s="484">
        <f>'5'!F67</f>
        <v>254103.65</v>
      </c>
      <c r="F67" s="478">
        <v>254561.33</v>
      </c>
      <c r="G67" s="473">
        <f t="shared" si="6"/>
        <v>457.67999999999302</v>
      </c>
      <c r="H67" s="460">
        <f>G67+'5'!H67</f>
        <v>2369.3299999999872</v>
      </c>
      <c r="I67" s="489"/>
      <c r="J67" s="552">
        <f>H67/DAY(B2)</f>
        <v>394.88833333333122</v>
      </c>
      <c r="K67" s="429"/>
      <c r="L67" s="377"/>
      <c r="N67" s="382"/>
    </row>
    <row r="68" spans="1:14" ht="27.75">
      <c r="A68" s="1534" t="s">
        <v>102</v>
      </c>
      <c r="B68" s="1535"/>
      <c r="C68" s="1536"/>
      <c r="D68" s="523" t="s">
        <v>186</v>
      </c>
      <c r="E68" s="484">
        <f>'5'!F68</f>
        <v>85321</v>
      </c>
      <c r="F68" s="478">
        <v>85321</v>
      </c>
      <c r="G68" s="473">
        <f t="shared" si="6"/>
        <v>0</v>
      </c>
      <c r="H68" s="460">
        <f>G68+'5'!H68</f>
        <v>0</v>
      </c>
      <c r="I68" s="516"/>
      <c r="J68" s="552">
        <f>H68/DAY(B2)</f>
        <v>0</v>
      </c>
      <c r="K68" s="430"/>
      <c r="L68" s="377"/>
      <c r="N68" s="382"/>
    </row>
    <row r="69" spans="1:14" ht="27.75">
      <c r="A69" s="1534" t="s">
        <v>103</v>
      </c>
      <c r="B69" s="1535"/>
      <c r="C69" s="1536"/>
      <c r="D69" s="523" t="s">
        <v>186</v>
      </c>
      <c r="E69" s="484">
        <f>'5'!F69</f>
        <v>82249.98</v>
      </c>
      <c r="F69" s="478">
        <v>82405.13</v>
      </c>
      <c r="G69" s="473">
        <f t="shared" si="6"/>
        <v>155.15000000000873</v>
      </c>
      <c r="H69" s="460">
        <f>G69+'5'!H69</f>
        <v>656.13000000000466</v>
      </c>
      <c r="I69" s="516"/>
      <c r="J69" s="552">
        <f>H69/DAY(B2)</f>
        <v>109.35500000000077</v>
      </c>
      <c r="K69" s="431"/>
      <c r="L69" s="377"/>
      <c r="N69" s="382"/>
    </row>
    <row r="70" spans="1:14" ht="27.75">
      <c r="A70" s="1566" t="s">
        <v>188</v>
      </c>
      <c r="B70" s="1567"/>
      <c r="C70" s="1568"/>
      <c r="D70" s="523" t="s">
        <v>186</v>
      </c>
      <c r="E70" s="518"/>
      <c r="F70" s="518"/>
      <c r="G70" s="518"/>
      <c r="H70" s="460"/>
      <c r="I70" s="518"/>
      <c r="J70" s="556"/>
      <c r="K70" s="431"/>
      <c r="L70" s="377"/>
      <c r="N70" s="382"/>
    </row>
    <row r="71" spans="1:14" ht="31.5">
      <c r="A71" s="1580" t="s">
        <v>189</v>
      </c>
      <c r="B71" s="1581"/>
      <c r="C71" s="1581"/>
      <c r="D71" s="1581"/>
      <c r="E71" s="1581"/>
      <c r="F71" s="1581"/>
      <c r="G71" s="1581"/>
      <c r="H71" s="1581"/>
      <c r="I71" s="1581"/>
      <c r="J71" s="1582"/>
      <c r="K71" s="430"/>
      <c r="L71" s="377"/>
      <c r="N71" s="382"/>
    </row>
    <row r="72" spans="1:14" ht="27.75">
      <c r="A72" s="1534" t="s">
        <v>190</v>
      </c>
      <c r="B72" s="1535"/>
      <c r="C72" s="1536"/>
      <c r="D72" s="523" t="s">
        <v>186</v>
      </c>
      <c r="E72" s="519">
        <f>'5'!F72</f>
        <v>855909</v>
      </c>
      <c r="F72" s="655">
        <v>855922</v>
      </c>
      <c r="G72" s="473">
        <f t="shared" ref="G72:G84" si="7">F72-E72</f>
        <v>13</v>
      </c>
      <c r="H72" s="460">
        <f>G72+'5'!H72</f>
        <v>79</v>
      </c>
      <c r="I72" s="480"/>
      <c r="J72" s="552">
        <f>H72/DAY(B2)</f>
        <v>13.166666666666666</v>
      </c>
      <c r="K72" s="431"/>
      <c r="L72" s="377"/>
      <c r="N72" s="382"/>
    </row>
    <row r="73" spans="1:14" ht="27.75">
      <c r="A73" s="1534" t="s">
        <v>191</v>
      </c>
      <c r="B73" s="1535"/>
      <c r="C73" s="1536"/>
      <c r="D73" s="523" t="s">
        <v>186</v>
      </c>
      <c r="E73" s="520">
        <f>'5'!F73</f>
        <v>885943</v>
      </c>
      <c r="F73" s="656">
        <v>885944</v>
      </c>
      <c r="G73" s="653">
        <f t="shared" si="7"/>
        <v>1</v>
      </c>
      <c r="H73" s="460">
        <f>G73+'5'!H73</f>
        <v>7</v>
      </c>
      <c r="I73" s="480"/>
      <c r="J73" s="552">
        <f>H73/DAY(B2)</f>
        <v>1.1666666666666667</v>
      </c>
      <c r="K73" s="430"/>
      <c r="L73" s="377"/>
      <c r="N73" s="382"/>
    </row>
    <row r="74" spans="1:14" ht="27.75">
      <c r="A74" s="1534" t="s">
        <v>192</v>
      </c>
      <c r="B74" s="1535"/>
      <c r="C74" s="1536"/>
      <c r="D74" s="523" t="s">
        <v>186</v>
      </c>
      <c r="E74" s="521">
        <f>'5'!F74</f>
        <v>2599.96</v>
      </c>
      <c r="F74" s="655">
        <v>2599.96</v>
      </c>
      <c r="G74" s="473">
        <f t="shared" si="7"/>
        <v>0</v>
      </c>
      <c r="H74" s="460">
        <f>G74+'5'!H74</f>
        <v>13.960000000000036</v>
      </c>
      <c r="I74" s="480"/>
      <c r="J74" s="552">
        <f>H74/DAY(B2)</f>
        <v>2.3266666666666729</v>
      </c>
      <c r="K74" s="431"/>
      <c r="L74" s="377"/>
      <c r="N74" s="382"/>
    </row>
    <row r="75" spans="1:14" ht="27.75">
      <c r="A75" s="1583" t="s">
        <v>193</v>
      </c>
      <c r="B75" s="1584"/>
      <c r="C75" s="1585"/>
      <c r="D75" s="523" t="s">
        <v>186</v>
      </c>
      <c r="E75" s="520">
        <f>'5'!F75</f>
        <v>12952.89</v>
      </c>
      <c r="F75" s="656">
        <v>13034.7</v>
      </c>
      <c r="G75" s="473">
        <f t="shared" si="7"/>
        <v>81.81000000000131</v>
      </c>
      <c r="H75" s="460">
        <f>G75+'5'!H75</f>
        <v>365.70000000000073</v>
      </c>
      <c r="I75" s="480"/>
      <c r="J75" s="552">
        <f>H75/DAY(B2)</f>
        <v>60.950000000000124</v>
      </c>
      <c r="K75" s="430"/>
      <c r="L75" s="377"/>
      <c r="N75" s="382"/>
    </row>
    <row r="76" spans="1:14" ht="27.75">
      <c r="A76" s="1583" t="s">
        <v>194</v>
      </c>
      <c r="B76" s="1584"/>
      <c r="C76" s="1585"/>
      <c r="D76" s="523" t="s">
        <v>186</v>
      </c>
      <c r="E76" s="520">
        <f>'5'!F76</f>
        <v>7716.72</v>
      </c>
      <c r="F76" s="656">
        <v>7776.46</v>
      </c>
      <c r="G76" s="473">
        <f t="shared" si="7"/>
        <v>59.739999999999782</v>
      </c>
      <c r="H76" s="460">
        <f>G76+'5'!H76</f>
        <v>357.46000000000004</v>
      </c>
      <c r="I76" s="505"/>
      <c r="J76" s="552">
        <f>H76/DAY(B2)</f>
        <v>59.576666666666675</v>
      </c>
      <c r="K76" s="430"/>
      <c r="L76" s="377"/>
      <c r="N76" s="382"/>
    </row>
    <row r="77" spans="1:14" ht="27.75">
      <c r="A77" s="1534" t="s">
        <v>195</v>
      </c>
      <c r="B77" s="1535"/>
      <c r="C77" s="1536"/>
      <c r="D77" s="523" t="s">
        <v>186</v>
      </c>
      <c r="E77" s="520">
        <f>'5'!F77</f>
        <v>703082</v>
      </c>
      <c r="F77" s="656">
        <v>703136</v>
      </c>
      <c r="G77" s="653">
        <f t="shared" si="7"/>
        <v>54</v>
      </c>
      <c r="H77" s="460">
        <f>G77+'5'!H77</f>
        <v>297</v>
      </c>
      <c r="I77" s="505"/>
      <c r="J77" s="552">
        <f>H77/DAY(B2)</f>
        <v>49.5</v>
      </c>
      <c r="K77" s="430"/>
      <c r="L77" s="377"/>
      <c r="N77" s="382"/>
    </row>
    <row r="78" spans="1:14" ht="27.75">
      <c r="A78" s="1144" t="s">
        <v>196</v>
      </c>
      <c r="B78" s="1117"/>
      <c r="C78" s="1117"/>
      <c r="D78" s="523" t="s">
        <v>186</v>
      </c>
      <c r="E78" s="521">
        <f>'5'!F78</f>
        <v>673411</v>
      </c>
      <c r="F78" s="657">
        <v>673546</v>
      </c>
      <c r="G78" s="473">
        <f t="shared" si="7"/>
        <v>135</v>
      </c>
      <c r="H78" s="460">
        <f>G78+'5'!H78</f>
        <v>514</v>
      </c>
      <c r="I78" s="505"/>
      <c r="J78" s="552">
        <f>H78/DAY(B2)</f>
        <v>85.666666666666671</v>
      </c>
      <c r="K78" s="430"/>
      <c r="L78" s="377"/>
      <c r="N78" s="382"/>
    </row>
    <row r="79" spans="1:14" ht="27.75">
      <c r="A79" s="1583" t="s">
        <v>91</v>
      </c>
      <c r="B79" s="1584"/>
      <c r="C79" s="1585"/>
      <c r="D79" s="524" t="s">
        <v>186</v>
      </c>
      <c r="E79" s="521">
        <f>'5'!F79</f>
        <v>831780</v>
      </c>
      <c r="F79" s="657">
        <v>831946</v>
      </c>
      <c r="G79" s="473">
        <f t="shared" si="7"/>
        <v>166</v>
      </c>
      <c r="H79" s="460">
        <f>G79+'5'!H79</f>
        <v>936</v>
      </c>
      <c r="I79" s="505"/>
      <c r="J79" s="552">
        <f>H79/DAY(B2)</f>
        <v>156</v>
      </c>
      <c r="K79" s="430"/>
      <c r="L79" s="377"/>
      <c r="N79" s="382"/>
    </row>
    <row r="80" spans="1:14" ht="27.75">
      <c r="A80" s="1583" t="s">
        <v>197</v>
      </c>
      <c r="B80" s="1584"/>
      <c r="C80" s="1585"/>
      <c r="D80" s="524" t="s">
        <v>186</v>
      </c>
      <c r="E80" s="520">
        <f>'5'!F80</f>
        <v>529589.56000000006</v>
      </c>
      <c r="F80" s="656">
        <v>530011.04</v>
      </c>
      <c r="G80" s="473">
        <f t="shared" si="7"/>
        <v>421.47999999998137</v>
      </c>
      <c r="H80" s="460">
        <f>G80+'5'!H80</f>
        <v>2353.0400000000373</v>
      </c>
      <c r="I80" s="505"/>
      <c r="J80" s="552">
        <f>H80/DAY(B2)</f>
        <v>392.17333333333954</v>
      </c>
      <c r="K80" s="430"/>
      <c r="L80" s="377"/>
      <c r="N80" s="382"/>
    </row>
    <row r="81" spans="1:15" ht="27.75">
      <c r="A81" s="1583" t="s">
        <v>198</v>
      </c>
      <c r="B81" s="1584"/>
      <c r="C81" s="1585"/>
      <c r="D81" s="524" t="s">
        <v>186</v>
      </c>
      <c r="E81" s="520">
        <f>'5'!F81</f>
        <v>639352.24</v>
      </c>
      <c r="F81" s="656">
        <v>639443.31999999995</v>
      </c>
      <c r="G81" s="473">
        <f t="shared" si="7"/>
        <v>91.07999999995809</v>
      </c>
      <c r="H81" s="460">
        <f>G81+'5'!H81</f>
        <v>545.31999999994878</v>
      </c>
      <c r="I81" s="505"/>
      <c r="J81" s="552">
        <f>H81/DAY(B2)</f>
        <v>90.88666666665813</v>
      </c>
      <c r="K81" s="430"/>
      <c r="L81" s="377"/>
      <c r="N81" s="382"/>
    </row>
    <row r="82" spans="1:15" ht="27.75">
      <c r="A82" s="1583" t="s">
        <v>92</v>
      </c>
      <c r="B82" s="1584"/>
      <c r="C82" s="1585"/>
      <c r="D82" s="485" t="s">
        <v>131</v>
      </c>
      <c r="E82" s="522">
        <f>'5'!F82</f>
        <v>108241.04</v>
      </c>
      <c r="F82" s="652">
        <v>108252.88</v>
      </c>
      <c r="G82" s="473">
        <f t="shared" si="7"/>
        <v>11.840000000011059</v>
      </c>
      <c r="H82" s="460">
        <f>G82+'5'!H82</f>
        <v>94.880000000004657</v>
      </c>
      <c r="I82" s="486"/>
      <c r="J82" s="552">
        <f>H82/DAY(B2)</f>
        <v>15.813333333334109</v>
      </c>
      <c r="K82" s="430"/>
      <c r="L82" s="377"/>
      <c r="N82" s="382"/>
    </row>
    <row r="83" spans="1:15" ht="27.75">
      <c r="A83" s="1583" t="s">
        <v>199</v>
      </c>
      <c r="B83" s="1584"/>
      <c r="C83" s="1585"/>
      <c r="D83" s="620" t="s">
        <v>131</v>
      </c>
      <c r="E83" s="511">
        <f>'5'!F83</f>
        <v>21456</v>
      </c>
      <c r="F83" s="511">
        <v>21756</v>
      </c>
      <c r="G83" s="473">
        <f t="shared" si="7"/>
        <v>300</v>
      </c>
      <c r="H83" s="460">
        <f>G83+'5'!H83</f>
        <v>1250</v>
      </c>
      <c r="I83" s="481"/>
      <c r="J83" s="552">
        <f>H83/DAY(B2)</f>
        <v>208.33333333333334</v>
      </c>
      <c r="K83" s="429"/>
      <c r="L83" s="377"/>
      <c r="N83" s="382"/>
    </row>
    <row r="84" spans="1:15">
      <c r="A84" s="1145" t="s">
        <v>200</v>
      </c>
      <c r="B84" s="571"/>
      <c r="C84" s="571"/>
      <c r="D84" s="478" t="s">
        <v>131</v>
      </c>
      <c r="E84" s="627">
        <f>'5'!F84</f>
        <v>504365</v>
      </c>
      <c r="F84" s="627">
        <v>505283</v>
      </c>
      <c r="G84" s="473">
        <f t="shared" si="7"/>
        <v>918</v>
      </c>
      <c r="H84" s="460">
        <f>G84+'5'!H84</f>
        <v>4989</v>
      </c>
      <c r="I84" s="481"/>
      <c r="J84" s="552">
        <f>H84/DAY(B2)</f>
        <v>831.5</v>
      </c>
      <c r="K84" s="380"/>
      <c r="L84" s="377"/>
      <c r="N84" s="382"/>
    </row>
    <row r="85" spans="1:15" s="379" customFormat="1">
      <c r="A85" s="605" t="s">
        <v>201</v>
      </c>
      <c r="B85" s="572"/>
      <c r="C85" s="572"/>
      <c r="D85" s="489"/>
      <c r="E85" s="523"/>
      <c r="F85" s="523"/>
      <c r="G85" s="460">
        <f xml:space="preserve"> SUM(G71:G84)</f>
        <v>2252.9499999999516</v>
      </c>
      <c r="H85" s="460">
        <f>G85+'5'!H85</f>
        <v>11802.359999999991</v>
      </c>
      <c r="I85" s="481"/>
      <c r="J85" s="552">
        <f>H85/DAY(B2)</f>
        <v>1967.0599999999986</v>
      </c>
      <c r="K85" s="380"/>
      <c r="L85" s="378"/>
      <c r="N85" s="382"/>
    </row>
    <row r="86" spans="1:15" s="736" customFormat="1">
      <c r="A86" s="731" t="s">
        <v>93</v>
      </c>
      <c r="B86" s="732"/>
      <c r="C86" s="732"/>
      <c r="D86" s="733" t="s">
        <v>182</v>
      </c>
      <c r="E86" s="627">
        <f>'5'!F86</f>
        <v>461095.72</v>
      </c>
      <c r="F86" s="648">
        <v>461126.64</v>
      </c>
      <c r="G86" s="706">
        <f t="shared" ref="G86:G91" si="8">F86-E86</f>
        <v>30.92000000004191</v>
      </c>
      <c r="H86" s="460">
        <f>G86+'5'!H86</f>
        <v>191.64000000001397</v>
      </c>
      <c r="I86" s="653"/>
      <c r="J86" s="708">
        <f>H86/DAY(B2)</f>
        <v>31.940000000002328</v>
      </c>
      <c r="K86" s="734"/>
      <c r="L86" s="735"/>
      <c r="O86" s="714"/>
    </row>
    <row r="87" spans="1:15" s="736" customFormat="1">
      <c r="A87" s="731" t="s">
        <v>94</v>
      </c>
      <c r="B87" s="732"/>
      <c r="C87" s="732"/>
      <c r="D87" s="733" t="s">
        <v>182</v>
      </c>
      <c r="E87" s="627">
        <f>'5'!F87</f>
        <v>81471.3</v>
      </c>
      <c r="F87" s="648">
        <v>81482.3</v>
      </c>
      <c r="G87" s="706">
        <f t="shared" si="8"/>
        <v>11</v>
      </c>
      <c r="H87" s="460">
        <f>G87+'5'!H87</f>
        <v>107.30000000000291</v>
      </c>
      <c r="I87" s="653"/>
      <c r="J87" s="708">
        <f>H87/DAY(B2)</f>
        <v>17.88333333333382</v>
      </c>
      <c r="K87" s="734"/>
      <c r="L87" s="735"/>
      <c r="O87" s="714"/>
    </row>
    <row r="88" spans="1:15" s="736" customFormat="1">
      <c r="A88" s="731" t="s">
        <v>95</v>
      </c>
      <c r="B88" s="732"/>
      <c r="C88" s="732"/>
      <c r="D88" s="733" t="s">
        <v>182</v>
      </c>
      <c r="E88" s="627">
        <f>'5'!F88</f>
        <v>153241.53</v>
      </c>
      <c r="F88" s="648">
        <v>153356.99</v>
      </c>
      <c r="G88" s="706">
        <f t="shared" si="8"/>
        <v>115.45999999999185</v>
      </c>
      <c r="H88" s="460">
        <f>G88+'5'!H88</f>
        <v>292.98999999999069</v>
      </c>
      <c r="I88" s="653"/>
      <c r="J88" s="708">
        <f>H88/DAY(B2)</f>
        <v>48.831666666665114</v>
      </c>
      <c r="K88" s="734"/>
      <c r="L88" s="735"/>
      <c r="O88" s="714"/>
    </row>
    <row r="89" spans="1:15" s="736" customFormat="1">
      <c r="A89" s="731" t="s">
        <v>203</v>
      </c>
      <c r="B89" s="732"/>
      <c r="C89" s="732"/>
      <c r="D89" s="733" t="s">
        <v>182</v>
      </c>
      <c r="E89" s="627">
        <f>'5'!F89</f>
        <v>65234.9</v>
      </c>
      <c r="F89" s="648">
        <v>65251.8</v>
      </c>
      <c r="G89" s="706">
        <f t="shared" si="8"/>
        <v>16.900000000001455</v>
      </c>
      <c r="H89" s="460">
        <f>G89+'5'!H89</f>
        <v>77.200000000004366</v>
      </c>
      <c r="I89" s="653"/>
      <c r="J89" s="708">
        <f>H89/DAY(B2)</f>
        <v>12.866666666667394</v>
      </c>
      <c r="K89" s="734"/>
      <c r="L89" s="735"/>
      <c r="N89" s="778"/>
      <c r="O89" s="382"/>
    </row>
    <row r="90" spans="1:15" s="736" customFormat="1">
      <c r="A90" s="731" t="s">
        <v>203</v>
      </c>
      <c r="B90" s="732"/>
      <c r="C90" s="732"/>
      <c r="D90" s="733" t="s">
        <v>182</v>
      </c>
      <c r="E90" s="627">
        <f>'5'!F90</f>
        <v>3274.8</v>
      </c>
      <c r="F90" s="648">
        <v>3274.8</v>
      </c>
      <c r="G90" s="706">
        <f t="shared" si="8"/>
        <v>0</v>
      </c>
      <c r="H90" s="460">
        <f>G90+'5'!H90</f>
        <v>1.2000000000002728</v>
      </c>
      <c r="I90" s="653"/>
      <c r="J90" s="708">
        <f>H90/DAY(B2)</f>
        <v>0.20000000000004547</v>
      </c>
      <c r="K90" s="734"/>
      <c r="L90" s="735"/>
      <c r="N90" s="778"/>
      <c r="O90" s="382"/>
    </row>
    <row r="91" spans="1:15" s="736" customFormat="1">
      <c r="A91" s="731" t="s">
        <v>350</v>
      </c>
      <c r="B91" s="732"/>
      <c r="C91" s="732"/>
      <c r="D91" s="733"/>
      <c r="E91" s="627">
        <f>'5'!F91</f>
        <v>28061.3056</v>
      </c>
      <c r="F91" s="648">
        <v>28070.400000000001</v>
      </c>
      <c r="G91" s="706">
        <f t="shared" si="8"/>
        <v>9.0944000000017695</v>
      </c>
      <c r="H91" s="460">
        <f>G91+'5'!H91</f>
        <v>9.0944000000017695</v>
      </c>
      <c r="I91" s="653"/>
      <c r="J91" s="708">
        <f>H91/DAY(B2)</f>
        <v>1.5157333333336283</v>
      </c>
      <c r="K91" s="734"/>
      <c r="L91" s="735"/>
      <c r="N91" s="778"/>
      <c r="O91" s="382"/>
    </row>
    <row r="92" spans="1:15" s="379" customFormat="1">
      <c r="A92" s="606" t="s">
        <v>204</v>
      </c>
      <c r="B92" s="1147"/>
      <c r="C92" s="1147"/>
      <c r="D92" s="472"/>
      <c r="E92" s="472"/>
      <c r="F92" s="472"/>
      <c r="G92" s="488"/>
      <c r="H92" s="472"/>
      <c r="I92" s="472"/>
      <c r="J92" s="551"/>
      <c r="K92" s="380"/>
      <c r="L92" s="378"/>
      <c r="N92" s="382"/>
    </row>
    <row r="93" spans="1:15" ht="27.75">
      <c r="A93" s="1537" t="s">
        <v>205</v>
      </c>
      <c r="B93" s="1538"/>
      <c r="C93" s="1539"/>
      <c r="D93" s="523" t="s">
        <v>143</v>
      </c>
      <c r="E93" s="484">
        <f>'5'!F93</f>
        <v>245660</v>
      </c>
      <c r="F93" s="478">
        <v>245745</v>
      </c>
      <c r="G93" s="473">
        <f t="shared" ref="G93:G94" si="9">F93-E93</f>
        <v>85</v>
      </c>
      <c r="H93" s="460">
        <f>G93+'5'!H93</f>
        <v>257</v>
      </c>
      <c r="I93" s="480"/>
      <c r="J93" s="552">
        <f>H93/DAY(B2)</f>
        <v>42.833333333333336</v>
      </c>
      <c r="K93" s="429"/>
      <c r="L93" s="377"/>
      <c r="N93" s="382"/>
    </row>
    <row r="94" spans="1:15" ht="27.75">
      <c r="A94" s="1537" t="s">
        <v>206</v>
      </c>
      <c r="B94" s="1538"/>
      <c r="C94" s="1539"/>
      <c r="D94" s="523" t="s">
        <v>143</v>
      </c>
      <c r="E94" s="484">
        <f>'5'!F94</f>
        <v>186528</v>
      </c>
      <c r="F94" s="478">
        <v>186652</v>
      </c>
      <c r="G94" s="473">
        <f t="shared" si="9"/>
        <v>124</v>
      </c>
      <c r="H94" s="460">
        <f>G94+'5'!H94</f>
        <v>531</v>
      </c>
      <c r="I94" s="480"/>
      <c r="J94" s="552">
        <f>H94/DAY(B2)</f>
        <v>88.5</v>
      </c>
      <c r="K94" s="380"/>
      <c r="L94" s="377"/>
      <c r="N94" s="382"/>
    </row>
    <row r="95" spans="1:15">
      <c r="A95" s="1531" t="s">
        <v>207</v>
      </c>
      <c r="B95" s="1532"/>
      <c r="C95" s="1533"/>
      <c r="D95" s="523"/>
      <c r="E95" s="484">
        <f>'5'!F95</f>
        <v>0</v>
      </c>
      <c r="F95" s="478"/>
      <c r="G95" s="473">
        <f>G93+G94</f>
        <v>209</v>
      </c>
      <c r="H95" s="460">
        <f>G95+'5'!H95</f>
        <v>712</v>
      </c>
      <c r="I95" s="480"/>
      <c r="J95" s="552">
        <f>H95/DAY(B2)</f>
        <v>118.66666666666667</v>
      </c>
      <c r="K95" s="380"/>
      <c r="L95" s="377"/>
      <c r="N95" s="382"/>
    </row>
    <row r="96" spans="1:15" ht="27.75">
      <c r="A96" s="1537" t="s">
        <v>208</v>
      </c>
      <c r="B96" s="1538"/>
      <c r="C96" s="1539"/>
      <c r="D96" s="523" t="s">
        <v>143</v>
      </c>
      <c r="E96" s="484">
        <f>'5'!F96</f>
        <v>414507</v>
      </c>
      <c r="F96" s="478">
        <v>414580</v>
      </c>
      <c r="G96" s="473">
        <f t="shared" ref="G96:G101" si="10">F96-E96</f>
        <v>73</v>
      </c>
      <c r="H96" s="460">
        <f>G96+'5'!H96</f>
        <v>297</v>
      </c>
      <c r="I96" s="480"/>
      <c r="J96" s="552">
        <f>H96/DAY(B2)</f>
        <v>49.5</v>
      </c>
      <c r="K96" s="380"/>
      <c r="L96" s="377"/>
      <c r="N96" s="382"/>
    </row>
    <row r="97" spans="1:14" ht="27.75">
      <c r="A97" s="1141" t="s">
        <v>209</v>
      </c>
      <c r="B97" s="1142"/>
      <c r="C97" s="1142"/>
      <c r="D97" s="523" t="s">
        <v>143</v>
      </c>
      <c r="E97" s="484">
        <f>'5'!F97</f>
        <v>102703</v>
      </c>
      <c r="F97" s="478">
        <v>102724</v>
      </c>
      <c r="G97" s="473">
        <f t="shared" si="10"/>
        <v>21</v>
      </c>
      <c r="H97" s="460">
        <f>G97+'5'!H97</f>
        <v>76</v>
      </c>
      <c r="I97" s="480"/>
      <c r="J97" s="552">
        <f>H97/DAY(B2)</f>
        <v>12.666666666666666</v>
      </c>
      <c r="K97" s="427"/>
      <c r="L97" s="377"/>
      <c r="N97" s="382"/>
    </row>
    <row r="98" spans="1:14" ht="27.75">
      <c r="A98" s="1141" t="s">
        <v>210</v>
      </c>
      <c r="B98" s="1142"/>
      <c r="C98" s="1142"/>
      <c r="D98" s="523" t="s">
        <v>143</v>
      </c>
      <c r="E98" s="484">
        <f>'5'!F98</f>
        <v>98030</v>
      </c>
      <c r="F98" s="478">
        <v>98060</v>
      </c>
      <c r="G98" s="473">
        <f t="shared" si="10"/>
        <v>30</v>
      </c>
      <c r="H98" s="460">
        <f>G98+'5'!H98</f>
        <v>110</v>
      </c>
      <c r="I98" s="480"/>
      <c r="J98" s="552">
        <f>H98/DAY(B2)</f>
        <v>18.333333333333332</v>
      </c>
      <c r="K98" s="432"/>
      <c r="L98" s="377"/>
      <c r="N98" s="382"/>
    </row>
    <row r="99" spans="1:14" ht="27.75">
      <c r="A99" s="1141" t="s">
        <v>211</v>
      </c>
      <c r="B99" s="1142"/>
      <c r="C99" s="1142"/>
      <c r="D99" s="523" t="s">
        <v>143</v>
      </c>
      <c r="E99" s="484">
        <f>'5'!F99</f>
        <v>149885</v>
      </c>
      <c r="F99" s="478">
        <v>149903</v>
      </c>
      <c r="G99" s="473">
        <f t="shared" si="10"/>
        <v>18</v>
      </c>
      <c r="H99" s="460">
        <f>G99+'5'!H99</f>
        <v>51</v>
      </c>
      <c r="I99" s="480"/>
      <c r="J99" s="552">
        <f>H99/DAY(B2)</f>
        <v>8.5</v>
      </c>
      <c r="K99" s="380"/>
      <c r="L99" s="377"/>
      <c r="N99" s="705"/>
    </row>
    <row r="100" spans="1:14" ht="27.75">
      <c r="A100" s="1141" t="s">
        <v>212</v>
      </c>
      <c r="B100" s="1142"/>
      <c r="C100" s="1142"/>
      <c r="D100" s="523" t="s">
        <v>143</v>
      </c>
      <c r="E100" s="484">
        <f>'5'!F100</f>
        <v>7444</v>
      </c>
      <c r="F100" s="478">
        <v>7454</v>
      </c>
      <c r="G100" s="473">
        <f t="shared" si="10"/>
        <v>10</v>
      </c>
      <c r="H100" s="460">
        <f>G100+'5'!H100</f>
        <v>85</v>
      </c>
      <c r="I100" s="480"/>
      <c r="J100" s="552">
        <f>H100/DAY(B2)</f>
        <v>14.166666666666666</v>
      </c>
      <c r="K100" s="380"/>
      <c r="L100" s="377"/>
      <c r="N100" s="382"/>
    </row>
    <row r="101" spans="1:14" ht="27.75">
      <c r="A101" s="1141" t="s">
        <v>213</v>
      </c>
      <c r="B101" s="1142"/>
      <c r="C101" s="1142"/>
      <c r="D101" s="523" t="s">
        <v>143</v>
      </c>
      <c r="E101" s="484">
        <f>'5'!F101</f>
        <v>5422</v>
      </c>
      <c r="F101" s="478">
        <v>5431</v>
      </c>
      <c r="G101" s="473">
        <f t="shared" si="10"/>
        <v>9</v>
      </c>
      <c r="H101" s="460">
        <f>G101+'5'!H101</f>
        <v>40</v>
      </c>
      <c r="I101" s="480"/>
      <c r="J101" s="552">
        <f>H101/DAY(B2)</f>
        <v>6.666666666666667</v>
      </c>
      <c r="K101" s="380"/>
      <c r="L101" s="377"/>
      <c r="N101" s="382"/>
    </row>
    <row r="102" spans="1:14">
      <c r="A102" s="1531" t="s">
        <v>215</v>
      </c>
      <c r="B102" s="1532"/>
      <c r="C102" s="1533"/>
      <c r="D102" s="524"/>
      <c r="E102" s="524"/>
      <c r="F102" s="524" t="s">
        <v>214</v>
      </c>
      <c r="G102" s="525">
        <f>SUM(G96:G101)</f>
        <v>161</v>
      </c>
      <c r="H102" s="460">
        <f>G102+'5'!H102</f>
        <v>659</v>
      </c>
      <c r="I102" s="526"/>
      <c r="J102" s="552">
        <f>H102/DAY(B2)</f>
        <v>109.83333333333333</v>
      </c>
      <c r="K102" s="380"/>
      <c r="L102" s="377"/>
      <c r="N102" s="382"/>
    </row>
    <row r="103" spans="1:14" s="442" customFormat="1" ht="27">
      <c r="A103" s="607" t="s">
        <v>216</v>
      </c>
      <c r="B103" s="608"/>
      <c r="C103" s="608"/>
      <c r="D103" s="621"/>
      <c r="E103" s="528"/>
      <c r="F103" s="658"/>
      <c r="G103" s="529"/>
      <c r="H103" s="530"/>
      <c r="I103" s="531"/>
      <c r="J103" s="557"/>
      <c r="N103" s="382"/>
    </row>
    <row r="104" spans="1:14" s="442" customFormat="1" ht="27.75">
      <c r="A104" s="1540" t="s">
        <v>217</v>
      </c>
      <c r="B104" s="1541"/>
      <c r="C104" s="573"/>
      <c r="D104" s="622"/>
      <c r="E104" s="532"/>
      <c r="F104" s="659"/>
      <c r="G104" s="532"/>
      <c r="H104" s="533"/>
      <c r="I104" s="532"/>
      <c r="J104" s="558"/>
      <c r="N104" s="382"/>
    </row>
    <row r="105" spans="1:14" s="442" customFormat="1" ht="27.75">
      <c r="A105" s="1542" t="s">
        <v>218</v>
      </c>
      <c r="B105" s="1543"/>
      <c r="C105" s="1140"/>
      <c r="D105" s="622" t="s">
        <v>143</v>
      </c>
      <c r="E105" s="532">
        <f>'5'!F105</f>
        <v>7484</v>
      </c>
      <c r="F105" s="659">
        <v>7484</v>
      </c>
      <c r="G105" s="532">
        <f>F105-E105</f>
        <v>0</v>
      </c>
      <c r="H105" s="460">
        <f>G105+'5'!H105</f>
        <v>0</v>
      </c>
      <c r="I105" s="532"/>
      <c r="J105" s="558">
        <f>H105/DAY(B2)</f>
        <v>0</v>
      </c>
      <c r="N105" s="382"/>
    </row>
    <row r="106" spans="1:14" s="442" customFormat="1" ht="27.75">
      <c r="A106" s="1542" t="s">
        <v>76</v>
      </c>
      <c r="B106" s="1543"/>
      <c r="C106" s="1140"/>
      <c r="D106" s="622" t="s">
        <v>143</v>
      </c>
      <c r="E106" s="532">
        <f>'5'!F106</f>
        <v>35967</v>
      </c>
      <c r="F106" s="660">
        <v>35977</v>
      </c>
      <c r="G106" s="532">
        <f t="shared" ref="G106" si="11">F106-E106</f>
        <v>10</v>
      </c>
      <c r="H106" s="460">
        <f>G106+'5'!H106</f>
        <v>24</v>
      </c>
      <c r="I106" s="532"/>
      <c r="J106" s="558">
        <f>H106/DAY(B2)</f>
        <v>4</v>
      </c>
      <c r="N106" s="382"/>
    </row>
    <row r="107" spans="1:14" s="442" customFormat="1" ht="27.75">
      <c r="A107" s="1542" t="s">
        <v>77</v>
      </c>
      <c r="B107" s="1544"/>
      <c r="C107" s="1543"/>
      <c r="D107" s="622" t="s">
        <v>143</v>
      </c>
      <c r="E107" s="532">
        <f>'5'!F107</f>
        <v>19720</v>
      </c>
      <c r="F107" s="659">
        <v>19725</v>
      </c>
      <c r="G107" s="532">
        <f>F107-E107</f>
        <v>5</v>
      </c>
      <c r="H107" s="460">
        <f>G107+'5'!H107</f>
        <v>17</v>
      </c>
      <c r="I107" s="532"/>
      <c r="J107" s="558">
        <f>H107/DAY(B2)</f>
        <v>2.8333333333333335</v>
      </c>
      <c r="N107" s="382"/>
    </row>
    <row r="108" spans="1:14" s="442" customFormat="1" ht="27.75">
      <c r="A108" s="1545" t="s">
        <v>201</v>
      </c>
      <c r="B108" s="1546"/>
      <c r="C108" s="1140"/>
      <c r="D108" s="622"/>
      <c r="E108" s="532"/>
      <c r="F108" s="659"/>
      <c r="G108" s="532">
        <f>SUM(G105:G107)</f>
        <v>15</v>
      </c>
      <c r="H108" s="460">
        <f>G108+'5'!H108</f>
        <v>41</v>
      </c>
      <c r="I108" s="532"/>
      <c r="J108" s="558">
        <f>H108/DAY(B2)</f>
        <v>6.833333333333333</v>
      </c>
      <c r="N108" s="382"/>
    </row>
    <row r="109" spans="1:14" s="442" customFormat="1" ht="27.75">
      <c r="A109" s="1547" t="s">
        <v>78</v>
      </c>
      <c r="B109" s="1548"/>
      <c r="C109" s="1140"/>
      <c r="D109" s="622" t="s">
        <v>143</v>
      </c>
      <c r="E109" s="532"/>
      <c r="F109" s="659"/>
      <c r="G109" s="532"/>
      <c r="H109" s="460">
        <f>G109+'5'!H109</f>
        <v>0</v>
      </c>
      <c r="I109" s="532"/>
      <c r="J109" s="558"/>
      <c r="N109" s="382"/>
    </row>
    <row r="110" spans="1:14" s="442" customFormat="1" ht="27.75">
      <c r="A110" s="1542" t="s">
        <v>219</v>
      </c>
      <c r="B110" s="1543"/>
      <c r="C110" s="1140"/>
      <c r="D110" s="622" t="s">
        <v>143</v>
      </c>
      <c r="E110" s="532">
        <f>'5'!F110</f>
        <v>63179</v>
      </c>
      <c r="F110" s="659">
        <v>63242</v>
      </c>
      <c r="G110" s="532">
        <f>F110-E110</f>
        <v>63</v>
      </c>
      <c r="H110" s="460">
        <f>G110+'5'!H110</f>
        <v>408</v>
      </c>
      <c r="I110" s="532"/>
      <c r="J110" s="558">
        <f>H110/DAY(B2)</f>
        <v>68</v>
      </c>
      <c r="N110" s="382"/>
    </row>
    <row r="111" spans="1:14" s="442" customFormat="1" ht="27.75">
      <c r="A111" s="1542" t="s">
        <v>220</v>
      </c>
      <c r="B111" s="1543"/>
      <c r="C111" s="1140"/>
      <c r="D111" s="622" t="s">
        <v>143</v>
      </c>
      <c r="E111" s="532">
        <f>'5'!F111</f>
        <v>32605</v>
      </c>
      <c r="F111" s="659">
        <v>32615</v>
      </c>
      <c r="G111" s="532">
        <f>F111-E111</f>
        <v>10</v>
      </c>
      <c r="H111" s="460">
        <f>G111+'5'!H111</f>
        <v>37</v>
      </c>
      <c r="I111" s="532"/>
      <c r="J111" s="558">
        <f>H111/DAY(B2)</f>
        <v>6.166666666666667</v>
      </c>
      <c r="N111" s="382"/>
    </row>
    <row r="112" spans="1:14" s="442" customFormat="1" ht="27.75">
      <c r="A112" s="1542" t="s">
        <v>221</v>
      </c>
      <c r="B112" s="1543"/>
      <c r="C112" s="1140"/>
      <c r="D112" s="622" t="s">
        <v>143</v>
      </c>
      <c r="E112" s="532">
        <f>'5'!F112</f>
        <v>4621</v>
      </c>
      <c r="F112" s="659">
        <v>4621</v>
      </c>
      <c r="G112" s="532">
        <f t="shared" ref="G112" si="12">F112-E112</f>
        <v>0</v>
      </c>
      <c r="H112" s="460">
        <f>G112+'5'!H112</f>
        <v>45</v>
      </c>
      <c r="I112" s="532"/>
      <c r="J112" s="558">
        <f>H112/DAY(B2)</f>
        <v>7.5</v>
      </c>
      <c r="N112" s="382"/>
    </row>
    <row r="113" spans="1:14" s="442" customFormat="1" ht="27.75">
      <c r="A113" s="1545" t="s">
        <v>109</v>
      </c>
      <c r="B113" s="1546"/>
      <c r="C113" s="1140"/>
      <c r="D113" s="622"/>
      <c r="E113" s="532"/>
      <c r="F113" s="659"/>
      <c r="G113" s="532">
        <f>SUM(G110:G112)</f>
        <v>73</v>
      </c>
      <c r="H113" s="460">
        <f>G113+'5'!H113</f>
        <v>490</v>
      </c>
      <c r="I113" s="532"/>
      <c r="J113" s="558">
        <f>H113/DAY(B2)</f>
        <v>81.666666666666671</v>
      </c>
      <c r="N113" s="382"/>
    </row>
    <row r="114" spans="1:14" s="442" customFormat="1" ht="27.75">
      <c r="A114" s="1547" t="s">
        <v>222</v>
      </c>
      <c r="B114" s="1548"/>
      <c r="C114" s="1140"/>
      <c r="D114" s="622"/>
      <c r="E114" s="532"/>
      <c r="F114" s="659"/>
      <c r="G114" s="532"/>
      <c r="H114" s="460">
        <f>G114+'5'!H114</f>
        <v>0</v>
      </c>
      <c r="I114" s="532"/>
      <c r="J114" s="558">
        <f>H114/DAY(B2)</f>
        <v>0</v>
      </c>
      <c r="N114" s="382"/>
    </row>
    <row r="115" spans="1:14" s="442" customFormat="1" ht="27.75">
      <c r="A115" s="1542" t="s">
        <v>223</v>
      </c>
      <c r="B115" s="1543"/>
      <c r="C115" s="574"/>
      <c r="D115" s="622" t="s">
        <v>143</v>
      </c>
      <c r="E115" s="532">
        <f>'5'!F115</f>
        <v>11590</v>
      </c>
      <c r="F115" s="660">
        <v>11602</v>
      </c>
      <c r="G115" s="534">
        <f>F115-E115</f>
        <v>12</v>
      </c>
      <c r="H115" s="460">
        <f>G115+'5'!H115</f>
        <v>105</v>
      </c>
      <c r="I115" s="532"/>
      <c r="J115" s="558">
        <f>H115/DAY(B2)</f>
        <v>17.5</v>
      </c>
      <c r="N115" s="382"/>
    </row>
    <row r="116" spans="1:14" s="442" customFormat="1" ht="27.75">
      <c r="A116" s="1542" t="s">
        <v>224</v>
      </c>
      <c r="B116" s="1543"/>
      <c r="C116" s="574"/>
      <c r="D116" s="622" t="s">
        <v>143</v>
      </c>
      <c r="E116" s="532">
        <f>'5'!F116</f>
        <v>8336</v>
      </c>
      <c r="F116" s="660">
        <v>8349</v>
      </c>
      <c r="G116" s="534">
        <f t="shared" ref="G116:G117" si="13">F116-E116</f>
        <v>13</v>
      </c>
      <c r="H116" s="460">
        <f>G116+'5'!H116</f>
        <v>37</v>
      </c>
      <c r="I116" s="532"/>
      <c r="J116" s="558">
        <f>H116/DAY(B2)</f>
        <v>6.166666666666667</v>
      </c>
      <c r="N116" s="382"/>
    </row>
    <row r="117" spans="1:14" s="442" customFormat="1" ht="27.75">
      <c r="A117" s="1542" t="s">
        <v>225</v>
      </c>
      <c r="B117" s="1543"/>
      <c r="C117" s="574"/>
      <c r="D117" s="622" t="s">
        <v>143</v>
      </c>
      <c r="E117" s="534"/>
      <c r="F117" s="660"/>
      <c r="G117" s="534">
        <f t="shared" si="13"/>
        <v>0</v>
      </c>
      <c r="H117" s="460">
        <f>G117+'5'!H117</f>
        <v>0</v>
      </c>
      <c r="I117" s="532"/>
      <c r="J117" s="558">
        <f>H117/DAY(B2)</f>
        <v>0</v>
      </c>
      <c r="N117" s="382"/>
    </row>
    <row r="118" spans="1:14" s="445" customFormat="1" ht="27.75">
      <c r="A118" s="1545" t="s">
        <v>201</v>
      </c>
      <c r="B118" s="1546"/>
      <c r="C118" s="574"/>
      <c r="D118" s="623"/>
      <c r="E118" s="534"/>
      <c r="F118" s="660"/>
      <c r="G118" s="534">
        <f>SUM(G115:G117)</f>
        <v>25</v>
      </c>
      <c r="H118" s="460">
        <f>G118+'5'!H118</f>
        <v>142</v>
      </c>
      <c r="I118" s="534"/>
      <c r="J118" s="558">
        <f>H118/DAY(B2)</f>
        <v>23.666666666666668</v>
      </c>
      <c r="N118" s="382"/>
    </row>
    <row r="119" spans="1:14" s="446" customFormat="1" ht="27.75">
      <c r="A119" s="1576" t="s">
        <v>226</v>
      </c>
      <c r="B119" s="1577"/>
      <c r="C119" s="1138"/>
      <c r="D119" s="624" t="s">
        <v>143</v>
      </c>
      <c r="E119" s="536"/>
      <c r="F119" s="661">
        <f>SUM(G19+G93)</f>
        <v>150</v>
      </c>
      <c r="G119" s="536">
        <f>SUM(G19+G93)</f>
        <v>150</v>
      </c>
      <c r="H119" s="460">
        <f>G119+'5'!H119</f>
        <v>620</v>
      </c>
      <c r="I119" s="535"/>
      <c r="J119" s="559">
        <f>H119/DAY(B2)</f>
        <v>103.33333333333333</v>
      </c>
      <c r="N119" s="382"/>
    </row>
    <row r="120" spans="1:14" s="446" customFormat="1" ht="27.75">
      <c r="A120" s="1576" t="s">
        <v>227</v>
      </c>
      <c r="B120" s="1577"/>
      <c r="C120" s="1138"/>
      <c r="D120" s="624" t="s">
        <v>143</v>
      </c>
      <c r="E120" s="536"/>
      <c r="F120" s="661">
        <f>SUM(G96,G97,G98,G100,G101)</f>
        <v>143</v>
      </c>
      <c r="G120" s="536">
        <f>SUM(G96,G97,G98,G100,G101)</f>
        <v>143</v>
      </c>
      <c r="H120" s="460">
        <f>G120+'5'!H120</f>
        <v>608</v>
      </c>
      <c r="I120" s="535"/>
      <c r="J120" s="559">
        <f>H120/DAY(B2)</f>
        <v>101.33333333333333</v>
      </c>
      <c r="N120" s="382"/>
    </row>
    <row r="121" spans="1:14" s="446" customFormat="1" ht="27.75">
      <c r="A121" s="1576" t="s">
        <v>228</v>
      </c>
      <c r="B121" s="1577"/>
      <c r="C121" s="1138"/>
      <c r="D121" s="624" t="s">
        <v>143</v>
      </c>
      <c r="E121" s="534"/>
      <c r="F121" s="660">
        <f>SUM(G113)</f>
        <v>73</v>
      </c>
      <c r="G121" s="534">
        <f>SUM(G113)</f>
        <v>73</v>
      </c>
      <c r="H121" s="460">
        <f>G121+'5'!H121</f>
        <v>490</v>
      </c>
      <c r="I121" s="535"/>
      <c r="J121" s="559">
        <f>H121/DAY(B2)</f>
        <v>81.666666666666671</v>
      </c>
      <c r="N121" s="382"/>
    </row>
    <row r="122" spans="1:14" s="442" customFormat="1" ht="27.75">
      <c r="A122" s="1578"/>
      <c r="B122" s="1579"/>
      <c r="C122" s="1139"/>
      <c r="D122" s="560"/>
      <c r="E122" s="560"/>
      <c r="F122" s="662" t="s">
        <v>214</v>
      </c>
      <c r="G122" s="560"/>
      <c r="H122" s="561"/>
      <c r="I122" s="560"/>
      <c r="J122" s="562"/>
      <c r="N122" s="382"/>
    </row>
    <row r="123" spans="1:14">
      <c r="A123" s="1528" t="s">
        <v>229</v>
      </c>
      <c r="B123" s="1529"/>
      <c r="C123" s="1530"/>
      <c r="D123" s="472"/>
      <c r="E123" s="472"/>
      <c r="F123" s="472"/>
      <c r="G123" s="483"/>
      <c r="H123" s="483"/>
      <c r="I123" s="483"/>
      <c r="J123" s="563"/>
      <c r="K123" s="380"/>
      <c r="L123" s="377"/>
      <c r="N123" s="382"/>
    </row>
    <row r="124" spans="1:14" ht="27.75">
      <c r="A124" s="1141" t="s">
        <v>230</v>
      </c>
      <c r="B124" s="1142"/>
      <c r="C124" s="1142"/>
      <c r="D124" s="523" t="s">
        <v>140</v>
      </c>
      <c r="E124" s="478">
        <f>'5'!F124</f>
        <v>833251.48</v>
      </c>
      <c r="F124" s="478">
        <v>833440.78</v>
      </c>
      <c r="G124" s="473">
        <f t="shared" ref="G124:G128" si="14">F124-E124</f>
        <v>189.30000000004657</v>
      </c>
      <c r="H124" s="460">
        <f>G124+'5'!H124</f>
        <v>1074.7800000000279</v>
      </c>
      <c r="I124" s="526"/>
      <c r="J124" s="552">
        <f>H124/DAY(B2)</f>
        <v>179.13000000000466</v>
      </c>
      <c r="K124" s="380"/>
      <c r="L124" s="377"/>
      <c r="N124" s="382"/>
    </row>
    <row r="125" spans="1:14" ht="27.75">
      <c r="A125" s="1141" t="s">
        <v>231</v>
      </c>
      <c r="B125" s="1142"/>
      <c r="C125" s="1142"/>
      <c r="D125" s="523" t="s">
        <v>140</v>
      </c>
      <c r="E125" s="626">
        <f>'5'!F125</f>
        <v>73583</v>
      </c>
      <c r="F125" s="626">
        <v>73583.399999999994</v>
      </c>
      <c r="G125" s="473">
        <f t="shared" si="14"/>
        <v>0.39999999999417923</v>
      </c>
      <c r="H125" s="460">
        <f>G125+'5'!H125</f>
        <v>0</v>
      </c>
      <c r="I125" s="526"/>
      <c r="J125" s="552">
        <f>H125/DAY(B2)</f>
        <v>0</v>
      </c>
      <c r="K125" s="380"/>
      <c r="L125" s="377"/>
      <c r="N125" s="382"/>
    </row>
    <row r="126" spans="1:14" ht="27.75">
      <c r="A126" s="1534" t="s">
        <v>232</v>
      </c>
      <c r="B126" s="1535"/>
      <c r="C126" s="1536"/>
      <c r="D126" s="523" t="s">
        <v>140</v>
      </c>
      <c r="E126" s="478">
        <f>'5'!F126</f>
        <v>146798.54999999999</v>
      </c>
      <c r="F126" s="478">
        <v>146870.12</v>
      </c>
      <c r="G126" s="473">
        <f t="shared" si="14"/>
        <v>71.570000000006985</v>
      </c>
      <c r="H126" s="460">
        <f>G126+'5'!H126</f>
        <v>379.11999999999534</v>
      </c>
      <c r="I126" s="526"/>
      <c r="J126" s="552">
        <f>H126/DAY(B2)</f>
        <v>63.186666666665893</v>
      </c>
      <c r="K126" s="380"/>
      <c r="L126" s="377"/>
      <c r="N126" s="382"/>
    </row>
    <row r="127" spans="1:14" ht="27.75">
      <c r="A127" s="609" t="s">
        <v>233</v>
      </c>
      <c r="B127" s="1142"/>
      <c r="C127" s="1142"/>
      <c r="D127" s="523" t="s">
        <v>140</v>
      </c>
      <c r="E127" s="626">
        <f>'5'!F127</f>
        <v>31409.1</v>
      </c>
      <c r="F127" s="626">
        <v>31409.1</v>
      </c>
      <c r="G127" s="473">
        <f t="shared" si="14"/>
        <v>0</v>
      </c>
      <c r="H127" s="460">
        <f>G127+'5'!H127</f>
        <v>3.0999999999985448</v>
      </c>
      <c r="I127" s="526"/>
      <c r="J127" s="552">
        <f>H127/DAY(B2)</f>
        <v>0.51666666666642413</v>
      </c>
      <c r="K127" s="380"/>
      <c r="L127" s="377"/>
      <c r="N127" s="382"/>
    </row>
    <row r="128" spans="1:14" ht="27.75">
      <c r="A128" s="609" t="s">
        <v>234</v>
      </c>
      <c r="B128" s="1142"/>
      <c r="C128" s="1142"/>
      <c r="D128" s="523" t="s">
        <v>140</v>
      </c>
      <c r="E128" s="626">
        <f>'5'!F128</f>
        <v>8971.9</v>
      </c>
      <c r="F128" s="626">
        <v>8971.9</v>
      </c>
      <c r="G128" s="473">
        <f t="shared" si="14"/>
        <v>0</v>
      </c>
      <c r="H128" s="460">
        <f>G128+'5'!H128</f>
        <v>-0.1000000000003638</v>
      </c>
      <c r="I128" s="480"/>
      <c r="J128" s="552">
        <f>H128/DAY(B2)</f>
        <v>-1.6666666666727298E-2</v>
      </c>
      <c r="K128" s="380"/>
      <c r="L128" s="377"/>
      <c r="N128" s="382"/>
    </row>
    <row r="129" spans="1:14" s="281" customFormat="1" ht="27.75">
      <c r="A129" s="609" t="s">
        <v>235</v>
      </c>
      <c r="B129" s="1142"/>
      <c r="C129" s="1142"/>
      <c r="D129" s="523"/>
      <c r="E129" s="478"/>
      <c r="F129" s="478"/>
      <c r="G129" s="473">
        <f>G15-SUM(G124:G128)</f>
        <v>295.5999999998312</v>
      </c>
      <c r="H129" s="460">
        <f>G129+'5'!H129</f>
        <v>1176.2799999999133</v>
      </c>
      <c r="I129" s="480"/>
      <c r="J129" s="552">
        <f>H129/DAY(B2)</f>
        <v>196.04666666665221</v>
      </c>
      <c r="K129" s="364"/>
      <c r="L129" s="292"/>
      <c r="N129" s="382"/>
    </row>
    <row r="130" spans="1:14">
      <c r="A130" s="610" t="s">
        <v>236</v>
      </c>
      <c r="B130" s="458"/>
      <c r="C130" s="458"/>
      <c r="D130" s="471"/>
      <c r="E130" s="471"/>
      <c r="F130" s="471"/>
      <c r="G130" s="540"/>
      <c r="H130" s="540"/>
      <c r="I130" s="540"/>
      <c r="J130" s="564"/>
      <c r="N130" s="382"/>
    </row>
    <row r="131" spans="1:14" ht="27.75">
      <c r="A131" s="1141" t="s">
        <v>237</v>
      </c>
      <c r="B131" s="1142"/>
      <c r="C131" s="1142"/>
      <c r="D131" s="523" t="s">
        <v>238</v>
      </c>
      <c r="E131" s="484">
        <f>'5'!F131</f>
        <v>0</v>
      </c>
      <c r="F131" s="478">
        <v>0</v>
      </c>
      <c r="G131" s="473">
        <f t="shared" ref="G131:G141" si="15">F131-E131</f>
        <v>0</v>
      </c>
      <c r="H131" s="460">
        <f>G131+'5'!H131</f>
        <v>0</v>
      </c>
      <c r="I131" s="480"/>
      <c r="J131" s="552">
        <f>H131/DAY(B2)</f>
        <v>0</v>
      </c>
      <c r="N131" s="382"/>
    </row>
    <row r="132" spans="1:14" ht="27.75">
      <c r="A132" s="1141" t="s">
        <v>239</v>
      </c>
      <c r="B132" s="1142"/>
      <c r="C132" s="1142"/>
      <c r="D132" s="523" t="s">
        <v>238</v>
      </c>
      <c r="E132" s="484">
        <f>'5'!F132</f>
        <v>0</v>
      </c>
      <c r="F132" s="478">
        <v>0</v>
      </c>
      <c r="G132" s="473">
        <f t="shared" si="15"/>
        <v>0</v>
      </c>
      <c r="H132" s="460">
        <f>G132+'5'!H132</f>
        <v>0</v>
      </c>
      <c r="I132" s="480"/>
      <c r="J132" s="552">
        <f>H132/DAY(B2)</f>
        <v>0</v>
      </c>
      <c r="N132" s="382"/>
    </row>
    <row r="133" spans="1:14" ht="27.75">
      <c r="A133" s="1141" t="s">
        <v>240</v>
      </c>
      <c r="B133" s="1142"/>
      <c r="C133" s="1142"/>
      <c r="D133" s="523" t="s">
        <v>238</v>
      </c>
      <c r="E133" s="484">
        <f>'5'!F133</f>
        <v>40040.269999999997</v>
      </c>
      <c r="F133" s="626">
        <v>40040.269999999997</v>
      </c>
      <c r="G133" s="473">
        <f t="shared" si="15"/>
        <v>0</v>
      </c>
      <c r="H133" s="460">
        <f>G133+'5'!H133</f>
        <v>5.1699999999982538</v>
      </c>
      <c r="I133" s="480"/>
      <c r="J133" s="552">
        <f>H133/DAY(B2)</f>
        <v>0.86166666666637559</v>
      </c>
      <c r="N133" s="382"/>
    </row>
    <row r="134" spans="1:14" ht="27.75">
      <c r="A134" s="1141" t="s">
        <v>241</v>
      </c>
      <c r="B134" s="1142"/>
      <c r="C134" s="1142"/>
      <c r="D134" s="523" t="s">
        <v>238</v>
      </c>
      <c r="E134" s="484">
        <f>'5'!F134</f>
        <v>300</v>
      </c>
      <c r="F134" s="626">
        <v>300</v>
      </c>
      <c r="G134" s="473">
        <f t="shared" si="15"/>
        <v>0</v>
      </c>
      <c r="H134" s="460">
        <f>G134+'5'!H134</f>
        <v>0</v>
      </c>
      <c r="I134" s="480">
        <f>G133+G134+G135+G136</f>
        <v>24.490000000005239</v>
      </c>
      <c r="J134" s="552">
        <f>H134/DAY(B2)</f>
        <v>0</v>
      </c>
      <c r="N134" s="382"/>
    </row>
    <row r="135" spans="1:14" ht="27.75">
      <c r="A135" s="1141" t="s">
        <v>242</v>
      </c>
      <c r="B135" s="1142"/>
      <c r="C135" s="1142"/>
      <c r="D135" s="523" t="s">
        <v>238</v>
      </c>
      <c r="E135" s="702">
        <f>'5'!F135</f>
        <v>41730.339999999997</v>
      </c>
      <c r="F135" s="626">
        <v>41730.339999999997</v>
      </c>
      <c r="G135" s="473">
        <f t="shared" si="15"/>
        <v>0</v>
      </c>
      <c r="H135" s="460">
        <f>G135+'5'!H135</f>
        <v>0.33999999999650754</v>
      </c>
      <c r="I135" s="480"/>
      <c r="J135" s="552">
        <f>H135/DAY(B2)</f>
        <v>5.6666666666084588E-2</v>
      </c>
      <c r="N135" s="382"/>
    </row>
    <row r="136" spans="1:14" ht="27.75">
      <c r="A136" s="1141" t="s">
        <v>243</v>
      </c>
      <c r="B136" s="1142"/>
      <c r="C136" s="1142"/>
      <c r="D136" s="523" t="s">
        <v>238</v>
      </c>
      <c r="E136" s="522">
        <f>'5'!F136</f>
        <v>32835.49</v>
      </c>
      <c r="F136" s="485">
        <v>32859.980000000003</v>
      </c>
      <c r="G136" s="473">
        <f t="shared" si="15"/>
        <v>24.490000000005239</v>
      </c>
      <c r="H136" s="460">
        <f>G136+'5'!H136</f>
        <v>144.9800000000032</v>
      </c>
      <c r="I136" s="480"/>
      <c r="J136" s="552">
        <f>H136/DAY(B2)</f>
        <v>24.163333333333867</v>
      </c>
      <c r="N136" s="382"/>
    </row>
    <row r="137" spans="1:14" ht="27.75">
      <c r="A137" s="1141" t="s">
        <v>244</v>
      </c>
      <c r="B137" s="1142"/>
      <c r="C137" s="1142"/>
      <c r="D137" s="523" t="s">
        <v>238</v>
      </c>
      <c r="E137" s="541">
        <f>'5'!F137</f>
        <v>22814.28</v>
      </c>
      <c r="F137" s="652">
        <v>22819.26</v>
      </c>
      <c r="G137" s="473">
        <f t="shared" si="15"/>
        <v>4.9799999999995634</v>
      </c>
      <c r="H137" s="460">
        <f>G137+'5'!H137</f>
        <v>12.019999999996799</v>
      </c>
      <c r="I137" s="480">
        <f>G137+G138+G139</f>
        <v>4.9799999999995634</v>
      </c>
      <c r="J137" s="552">
        <f>H137/DAY(B2)</f>
        <v>2.0033333333327996</v>
      </c>
      <c r="N137" s="382"/>
    </row>
    <row r="138" spans="1:14" ht="27.75">
      <c r="A138" s="1141" t="s">
        <v>245</v>
      </c>
      <c r="B138" s="1142"/>
      <c r="C138" s="1142"/>
      <c r="D138" s="523" t="s">
        <v>238</v>
      </c>
      <c r="E138" s="541">
        <f>'5'!F138</f>
        <v>25051.82</v>
      </c>
      <c r="F138" s="652">
        <v>25051.82</v>
      </c>
      <c r="G138" s="473">
        <f t="shared" si="15"/>
        <v>0</v>
      </c>
      <c r="H138" s="460">
        <f>G138+'5'!H138</f>
        <v>0</v>
      </c>
      <c r="I138" s="480"/>
      <c r="J138" s="552">
        <f>H138/DAY(B2)</f>
        <v>0</v>
      </c>
      <c r="N138" s="382"/>
    </row>
    <row r="139" spans="1:14" ht="27.75">
      <c r="A139" s="1141" t="s">
        <v>246</v>
      </c>
      <c r="B139" s="1142"/>
      <c r="C139" s="1142"/>
      <c r="D139" s="523" t="s">
        <v>238</v>
      </c>
      <c r="E139" s="541">
        <f>'5'!F139</f>
        <v>70435.47</v>
      </c>
      <c r="F139" s="652">
        <v>70435.47</v>
      </c>
      <c r="G139" s="473">
        <f t="shared" si="15"/>
        <v>0</v>
      </c>
      <c r="H139" s="460">
        <f>G139+'5'!H139</f>
        <v>23.729999999995925</v>
      </c>
      <c r="I139" s="480"/>
      <c r="J139" s="552">
        <f>H139/DAY(B2)</f>
        <v>3.9549999999993211</v>
      </c>
      <c r="N139" s="382"/>
    </row>
    <row r="140" spans="1:14" ht="27.75">
      <c r="A140" s="1141" t="s">
        <v>247</v>
      </c>
      <c r="B140" s="1142"/>
      <c r="C140" s="1142"/>
      <c r="D140" s="523" t="s">
        <v>238</v>
      </c>
      <c r="E140" s="702">
        <f>'5'!F140</f>
        <v>1888.59</v>
      </c>
      <c r="F140" s="626">
        <v>1895.98</v>
      </c>
      <c r="G140" s="473">
        <f t="shared" si="15"/>
        <v>7.3900000000001</v>
      </c>
      <c r="H140" s="460">
        <f>G140+'5'!H140</f>
        <v>41.680000000000064</v>
      </c>
      <c r="I140" s="542">
        <f>G141+G1278</f>
        <v>0</v>
      </c>
      <c r="J140" s="552">
        <f>H140/DAY(B2)</f>
        <v>6.946666666666677</v>
      </c>
      <c r="N140" s="382"/>
    </row>
    <row r="141" spans="1:14" ht="27.75">
      <c r="A141" s="1141" t="s">
        <v>248</v>
      </c>
      <c r="B141" s="1142"/>
      <c r="C141" s="1142"/>
      <c r="D141" s="523" t="s">
        <v>238</v>
      </c>
      <c r="E141" s="484">
        <f>'5'!F141</f>
        <v>4637</v>
      </c>
      <c r="F141" s="478">
        <v>4637</v>
      </c>
      <c r="G141" s="473">
        <f t="shared" si="15"/>
        <v>0</v>
      </c>
      <c r="H141" s="460">
        <f>G141+'5'!H141</f>
        <v>0</v>
      </c>
      <c r="I141" s="542"/>
      <c r="J141" s="552">
        <f>H141/DAY(B2)</f>
        <v>0</v>
      </c>
      <c r="N141" s="382"/>
    </row>
    <row r="142" spans="1:14">
      <c r="A142" s="1572" t="s">
        <v>249</v>
      </c>
      <c r="B142" s="1573"/>
      <c r="C142" s="1147"/>
      <c r="D142" s="472"/>
      <c r="E142" s="472"/>
      <c r="F142" s="472"/>
      <c r="G142" s="483"/>
      <c r="H142" s="483"/>
      <c r="I142" s="483"/>
      <c r="J142" s="563"/>
      <c r="K142" s="380"/>
      <c r="L142" s="377"/>
      <c r="N142" s="382"/>
    </row>
    <row r="143" spans="1:14" ht="27.75">
      <c r="A143" s="1537" t="s">
        <v>250</v>
      </c>
      <c r="B143" s="1538"/>
      <c r="C143" s="1539"/>
      <c r="D143" s="523" t="s">
        <v>131</v>
      </c>
      <c r="E143" s="523"/>
      <c r="F143" s="523"/>
      <c r="G143" s="460">
        <f>G35+G43+G49+G57</f>
        <v>5086.5000000001164</v>
      </c>
      <c r="H143" s="460">
        <f>G143+'5'!H143</f>
        <v>29004.480000000098</v>
      </c>
      <c r="I143" s="480"/>
      <c r="J143" s="552">
        <f>H143/DAY(B2)</f>
        <v>4834.0800000000163</v>
      </c>
      <c r="K143" s="380"/>
      <c r="L143" s="377"/>
      <c r="N143" s="382"/>
    </row>
    <row r="144" spans="1:14" ht="27.75">
      <c r="A144" s="1537" t="s">
        <v>251</v>
      </c>
      <c r="B144" s="1538"/>
      <c r="C144" s="1539"/>
      <c r="D144" s="523" t="s">
        <v>24</v>
      </c>
      <c r="E144" s="511"/>
      <c r="F144" s="511"/>
      <c r="G144" s="543">
        <f>G143/G7</f>
        <v>0.27743112901079969</v>
      </c>
      <c r="H144" s="460">
        <f>G144+'5'!H144</f>
        <v>1.6799996244895223</v>
      </c>
      <c r="I144" s="544"/>
      <c r="J144" s="552">
        <f>H144/DAY(B2)</f>
        <v>0.27999993741492041</v>
      </c>
      <c r="K144" s="380"/>
      <c r="L144" s="377"/>
      <c r="N144" s="382"/>
    </row>
    <row r="145" spans="1:14" ht="27.75">
      <c r="A145" s="1537" t="s">
        <v>252</v>
      </c>
      <c r="B145" s="1538"/>
      <c r="C145" s="1539"/>
      <c r="D145" s="523" t="s">
        <v>131</v>
      </c>
      <c r="E145" s="455"/>
      <c r="F145" s="455"/>
      <c r="G145" s="460">
        <f>G41+G42+G55+G56</f>
        <v>5049.8000000000466</v>
      </c>
      <c r="H145" s="460">
        <f>G145+'5'!H145</f>
        <v>29912.020000000019</v>
      </c>
      <c r="I145" s="480"/>
      <c r="J145" s="552">
        <f>H145/DAY(B2)</f>
        <v>4985.3366666666698</v>
      </c>
      <c r="K145" s="380"/>
      <c r="L145" s="377"/>
      <c r="N145" s="382"/>
    </row>
    <row r="146" spans="1:14" ht="27.75">
      <c r="A146" s="1537" t="s">
        <v>253</v>
      </c>
      <c r="B146" s="1538"/>
      <c r="C146" s="1539"/>
      <c r="D146" s="523" t="s">
        <v>24</v>
      </c>
      <c r="E146" s="455"/>
      <c r="F146" s="455"/>
      <c r="G146" s="543">
        <f>G145/G7</f>
        <v>0.27542941419025208</v>
      </c>
      <c r="H146" s="460">
        <f>G146+'5'!H146</f>
        <v>1.7264918392327351</v>
      </c>
      <c r="I146" s="544"/>
      <c r="J146" s="552">
        <f>H146/DAY(B2)</f>
        <v>0.28774863987212251</v>
      </c>
      <c r="K146" s="380"/>
      <c r="L146" s="377"/>
      <c r="N146" s="382"/>
    </row>
    <row r="147" spans="1:14" ht="27.75">
      <c r="A147" s="1537" t="s">
        <v>254</v>
      </c>
      <c r="B147" s="1538"/>
      <c r="C147" s="1539"/>
      <c r="D147" s="523" t="s">
        <v>131</v>
      </c>
      <c r="E147" s="455"/>
      <c r="F147" s="455"/>
      <c r="G147" s="460">
        <f>G39+G53</f>
        <v>3169.640000000014</v>
      </c>
      <c r="H147" s="460">
        <f>G147+'5'!H147</f>
        <v>16709.099999999977</v>
      </c>
      <c r="I147" s="545"/>
      <c r="J147" s="552">
        <f>H147/DAY(B2)</f>
        <v>2784.8499999999963</v>
      </c>
      <c r="K147" s="380"/>
      <c r="L147" s="377"/>
      <c r="N147" s="382"/>
    </row>
    <row r="148" spans="1:14" ht="27.75">
      <c r="A148" s="1537" t="s">
        <v>255</v>
      </c>
      <c r="B148" s="1538"/>
      <c r="C148" s="1539"/>
      <c r="D148" s="523" t="s">
        <v>24</v>
      </c>
      <c r="E148" s="455"/>
      <c r="F148" s="455"/>
      <c r="G148" s="543">
        <f>G147/G7</f>
        <v>0.17288052762366557</v>
      </c>
      <c r="H148" s="460">
        <f>G148+'5'!H148</f>
        <v>0.96226066136785104</v>
      </c>
      <c r="I148" s="545"/>
      <c r="J148" s="552">
        <f>H148/DAY(B2)</f>
        <v>0.16037677689464183</v>
      </c>
      <c r="N148" s="382"/>
    </row>
    <row r="149" spans="1:14" ht="27.75">
      <c r="A149" s="1537" t="s">
        <v>256</v>
      </c>
      <c r="B149" s="1538"/>
      <c r="C149" s="1539"/>
      <c r="D149" s="523" t="s">
        <v>182</v>
      </c>
      <c r="E149" s="455"/>
      <c r="F149" s="455"/>
      <c r="G149" s="460">
        <f>G38+G52</f>
        <v>1420.2099999999919</v>
      </c>
      <c r="H149" s="460">
        <f>G149+'5'!H149</f>
        <v>7607.9499999999534</v>
      </c>
      <c r="I149" s="480"/>
      <c r="J149" s="552">
        <f>H149/DAY(B2)</f>
        <v>1267.9916666666588</v>
      </c>
      <c r="K149" s="381"/>
      <c r="N149" s="382"/>
    </row>
    <row r="150" spans="1:14" ht="27.75">
      <c r="A150" s="1537" t="s">
        <v>257</v>
      </c>
      <c r="B150" s="1538"/>
      <c r="C150" s="1539"/>
      <c r="D150" s="523" t="s">
        <v>24</v>
      </c>
      <c r="E150" s="455"/>
      <c r="F150" s="455"/>
      <c r="G150" s="543">
        <f>G149/G7</f>
        <v>7.7462000143992252E-2</v>
      </c>
      <c r="H150" s="460">
        <f>G150+'5'!H150</f>
        <v>0.43946765112754355</v>
      </c>
      <c r="I150" s="545"/>
      <c r="J150" s="552">
        <f>H150/DAY(B2)</f>
        <v>7.3244608521257262E-2</v>
      </c>
      <c r="N150" s="382"/>
    </row>
    <row r="151" spans="1:14" ht="27.75">
      <c r="A151" s="1537" t="s">
        <v>258</v>
      </c>
      <c r="B151" s="1538"/>
      <c r="C151" s="1539"/>
      <c r="D151" s="523" t="s">
        <v>182</v>
      </c>
      <c r="E151" s="455"/>
      <c r="F151" s="455"/>
      <c r="G151" s="460">
        <f>G36+G50</f>
        <v>1519.4000000000374</v>
      </c>
      <c r="H151" s="460">
        <f>G151+'5'!H151</f>
        <v>9351.840000000022</v>
      </c>
      <c r="I151" s="545"/>
      <c r="J151" s="552">
        <f>H151/DAY(B2)</f>
        <v>1558.6400000000037</v>
      </c>
      <c r="N151" s="382"/>
    </row>
    <row r="152" spans="1:14" ht="27.75">
      <c r="A152" s="1537" t="s">
        <v>259</v>
      </c>
      <c r="B152" s="1538"/>
      <c r="C152" s="1539"/>
      <c r="D152" s="523" t="s">
        <v>24</v>
      </c>
      <c r="E152" s="455"/>
      <c r="F152" s="455"/>
      <c r="G152" s="543">
        <f>G151/G7</f>
        <v>8.287208442327923E-2</v>
      </c>
      <c r="H152" s="460">
        <f>G152+'5'!H152</f>
        <v>0.53484721660630519</v>
      </c>
      <c r="I152" s="480"/>
      <c r="J152" s="552">
        <f>H152/DAY(B2)</f>
        <v>8.9141202767717531E-2</v>
      </c>
      <c r="N152" s="382"/>
    </row>
    <row r="153" spans="1:14" ht="27.75">
      <c r="A153" s="1537" t="s">
        <v>260</v>
      </c>
      <c r="B153" s="1538"/>
      <c r="C153" s="1539"/>
      <c r="D153" s="523" t="s">
        <v>182</v>
      </c>
      <c r="E153" s="455"/>
      <c r="F153" s="455"/>
      <c r="G153" s="460">
        <f>G37+G51</f>
        <v>1373</v>
      </c>
      <c r="H153" s="460">
        <f>G153+'5'!H153</f>
        <v>7839.8699999999953</v>
      </c>
      <c r="I153" s="480"/>
      <c r="J153" s="552">
        <f>H153/DAY(B2)</f>
        <v>1306.6449999999993</v>
      </c>
      <c r="N153" s="382"/>
    </row>
    <row r="154" spans="1:14" ht="28.5" thickBot="1">
      <c r="A154" s="1569" t="s">
        <v>261</v>
      </c>
      <c r="B154" s="1570"/>
      <c r="C154" s="1571"/>
      <c r="D154" s="625" t="s">
        <v>24</v>
      </c>
      <c r="E154" s="565"/>
      <c r="F154" s="565"/>
      <c r="G154" s="566">
        <f>G153/G7</f>
        <v>7.4887042196366715E-2</v>
      </c>
      <c r="H154" s="460">
        <f>G154+'5'!H154</f>
        <v>0.45403234166676759</v>
      </c>
      <c r="I154" s="568"/>
      <c r="J154" s="569">
        <f>H154/DAY(B2)</f>
        <v>7.5672056944461261E-2</v>
      </c>
      <c r="N154" s="382"/>
    </row>
    <row r="155" spans="1:14">
      <c r="A155" s="466"/>
      <c r="B155" s="456"/>
      <c r="C155" s="456"/>
      <c r="D155" s="546"/>
      <c r="E155" s="546"/>
      <c r="F155" s="663"/>
      <c r="G155" s="546"/>
      <c r="H155" s="547"/>
      <c r="I155" s="546"/>
      <c r="J155" s="548"/>
      <c r="N155" s="382"/>
    </row>
    <row r="158" spans="1:14" ht="27.75">
      <c r="A158" s="1587" t="s">
        <v>266</v>
      </c>
      <c r="B158" s="1588"/>
      <c r="C158" s="1588"/>
      <c r="D158" s="1588"/>
      <c r="E158" s="1588"/>
      <c r="F158" s="1588"/>
      <c r="G158" s="1589"/>
    </row>
    <row r="159" spans="1:14">
      <c r="A159" s="785"/>
      <c r="B159" s="786"/>
      <c r="C159" s="786"/>
      <c r="D159" s="511"/>
      <c r="E159" s="455"/>
      <c r="F159" s="659"/>
      <c r="G159" s="473"/>
    </row>
    <row r="160" spans="1:14">
      <c r="A160" s="785"/>
      <c r="B160" s="786"/>
      <c r="C160" s="786"/>
      <c r="D160" s="511"/>
      <c r="E160" s="455"/>
      <c r="F160" s="659"/>
      <c r="G160" s="473"/>
    </row>
    <row r="161" spans="1:7">
      <c r="A161" s="785" t="s">
        <v>262</v>
      </c>
      <c r="B161" s="786"/>
      <c r="C161" s="786"/>
      <c r="D161" s="511" t="s">
        <v>186</v>
      </c>
      <c r="E161" s="484">
        <f>'5'!F161</f>
        <v>38839.69</v>
      </c>
      <c r="F161" s="659">
        <v>38920.050000000003</v>
      </c>
      <c r="G161" s="473">
        <f t="shared" ref="G161:G172" si="16">F161-E161</f>
        <v>80.360000000000582</v>
      </c>
    </row>
    <row r="162" spans="1:7">
      <c r="A162" s="785" t="s">
        <v>263</v>
      </c>
      <c r="B162" s="786"/>
      <c r="C162" s="786"/>
      <c r="D162" s="511" t="s">
        <v>186</v>
      </c>
      <c r="E162" s="484">
        <f>'5'!F162</f>
        <v>96830.3</v>
      </c>
      <c r="F162" s="659">
        <v>97241.93</v>
      </c>
      <c r="G162" s="473">
        <f t="shared" si="16"/>
        <v>411.6299999999901</v>
      </c>
    </row>
    <row r="163" spans="1:7">
      <c r="A163" s="785" t="s">
        <v>264</v>
      </c>
      <c r="B163" s="786"/>
      <c r="C163" s="786"/>
      <c r="D163" s="511" t="s">
        <v>186</v>
      </c>
      <c r="E163" s="484">
        <f>'5'!F163</f>
        <v>45984.19</v>
      </c>
      <c r="F163" s="659">
        <v>46185.54</v>
      </c>
      <c r="G163" s="473">
        <f t="shared" si="16"/>
        <v>201.34999999999854</v>
      </c>
    </row>
    <row r="164" spans="1:7">
      <c r="A164" s="785" t="s">
        <v>265</v>
      </c>
      <c r="B164" s="786"/>
      <c r="C164" s="786"/>
      <c r="D164" s="511" t="s">
        <v>186</v>
      </c>
      <c r="E164" s="484">
        <f>'5'!F164</f>
        <v>6601</v>
      </c>
      <c r="F164" s="659">
        <v>6609.4</v>
      </c>
      <c r="G164" s="473">
        <f t="shared" si="16"/>
        <v>8.3999999999996362</v>
      </c>
    </row>
    <row r="165" spans="1:7">
      <c r="A165" s="787" t="s">
        <v>97</v>
      </c>
      <c r="B165" s="604"/>
      <c r="C165" s="604"/>
      <c r="D165" s="511" t="s">
        <v>186</v>
      </c>
      <c r="E165" s="514">
        <f>E62</f>
        <v>0</v>
      </c>
      <c r="F165" s="514">
        <v>0</v>
      </c>
      <c r="G165" s="473">
        <f t="shared" si="16"/>
        <v>0</v>
      </c>
    </row>
    <row r="166" spans="1:7">
      <c r="A166" s="787" t="s">
        <v>187</v>
      </c>
      <c r="B166" s="604"/>
      <c r="C166" s="604"/>
      <c r="D166" s="511" t="s">
        <v>186</v>
      </c>
      <c r="E166" s="514">
        <f t="shared" ref="E166:E172" si="17">E63</f>
        <v>0</v>
      </c>
      <c r="F166" s="514">
        <f t="shared" ref="F166:F172" si="18">F63</f>
        <v>0</v>
      </c>
      <c r="G166" s="473">
        <f t="shared" si="16"/>
        <v>0</v>
      </c>
    </row>
    <row r="167" spans="1:7" ht="27.75">
      <c r="A167" s="1586" t="s">
        <v>98</v>
      </c>
      <c r="B167" s="1586"/>
      <c r="C167" s="1586"/>
      <c r="D167" s="523" t="s">
        <v>186</v>
      </c>
      <c r="E167" s="514">
        <f t="shared" si="17"/>
        <v>160945.75</v>
      </c>
      <c r="F167" s="514">
        <f t="shared" si="18"/>
        <v>161236.62</v>
      </c>
      <c r="G167" s="473">
        <f t="shared" si="16"/>
        <v>290.86999999999534</v>
      </c>
    </row>
    <row r="168" spans="1:7" ht="27.75">
      <c r="A168" s="1586" t="s">
        <v>99</v>
      </c>
      <c r="B168" s="1586"/>
      <c r="C168" s="1586"/>
      <c r="D168" s="523" t="s">
        <v>186</v>
      </c>
      <c r="E168" s="514">
        <f t="shared" si="17"/>
        <v>162162.23000000001</v>
      </c>
      <c r="F168" s="514">
        <f t="shared" si="18"/>
        <v>162454.46</v>
      </c>
      <c r="G168" s="473">
        <f t="shared" si="16"/>
        <v>292.22999999998137</v>
      </c>
    </row>
    <row r="169" spans="1:7" ht="27.75">
      <c r="A169" s="1586" t="s">
        <v>100</v>
      </c>
      <c r="B169" s="1586"/>
      <c r="C169" s="1586"/>
      <c r="D169" s="523" t="s">
        <v>186</v>
      </c>
      <c r="E169" s="514">
        <f t="shared" si="17"/>
        <v>58207.19</v>
      </c>
      <c r="F169" s="514">
        <f t="shared" si="18"/>
        <v>58595.66</v>
      </c>
      <c r="G169" s="473">
        <f t="shared" si="16"/>
        <v>388.47000000000116</v>
      </c>
    </row>
    <row r="170" spans="1:7" ht="27.75">
      <c r="A170" s="1586" t="s">
        <v>101</v>
      </c>
      <c r="B170" s="1586"/>
      <c r="C170" s="1586"/>
      <c r="D170" s="523" t="s">
        <v>186</v>
      </c>
      <c r="E170" s="514">
        <f t="shared" si="17"/>
        <v>254103.65</v>
      </c>
      <c r="F170" s="514">
        <f t="shared" si="18"/>
        <v>254561.33</v>
      </c>
      <c r="G170" s="473">
        <f t="shared" si="16"/>
        <v>457.67999999999302</v>
      </c>
    </row>
    <row r="171" spans="1:7" ht="27.75">
      <c r="A171" s="1586" t="s">
        <v>102</v>
      </c>
      <c r="B171" s="1586"/>
      <c r="C171" s="1586"/>
      <c r="D171" s="523" t="s">
        <v>186</v>
      </c>
      <c r="E171" s="514">
        <f t="shared" si="17"/>
        <v>85321</v>
      </c>
      <c r="F171" s="514">
        <f t="shared" si="18"/>
        <v>85321</v>
      </c>
      <c r="G171" s="473">
        <f t="shared" si="16"/>
        <v>0</v>
      </c>
    </row>
    <row r="172" spans="1:7" ht="27.75">
      <c r="A172" s="1586" t="s">
        <v>103</v>
      </c>
      <c r="B172" s="1586"/>
      <c r="C172" s="1586"/>
      <c r="D172" s="523" t="s">
        <v>186</v>
      </c>
      <c r="E172" s="514">
        <f t="shared" si="17"/>
        <v>82249.98</v>
      </c>
      <c r="F172" s="514">
        <f t="shared" si="18"/>
        <v>82405.13</v>
      </c>
      <c r="G172" s="473">
        <f t="shared" si="16"/>
        <v>155.15000000000873</v>
      </c>
    </row>
    <row r="173" spans="1:7">
      <c r="A173" s="1596" t="s">
        <v>357</v>
      </c>
      <c r="B173" s="1579"/>
      <c r="C173" s="786"/>
      <c r="D173" s="523" t="s">
        <v>186</v>
      </c>
      <c r="E173" s="542"/>
      <c r="F173" s="542"/>
      <c r="G173" s="542"/>
    </row>
    <row r="174" spans="1:7">
      <c r="A174" s="1596" t="s">
        <v>358</v>
      </c>
      <c r="B174" s="1579"/>
      <c r="C174" s="786"/>
      <c r="D174" s="523" t="s">
        <v>186</v>
      </c>
      <c r="E174" s="542"/>
      <c r="F174" s="542"/>
      <c r="G174" s="542"/>
    </row>
  </sheetData>
  <mergeCells count="77">
    <mergeCell ref="A173:B173"/>
    <mergeCell ref="A174:B174"/>
    <mergeCell ref="A82:C82"/>
    <mergeCell ref="A83:C83"/>
    <mergeCell ref="A76:C76"/>
    <mergeCell ref="A77:C77"/>
    <mergeCell ref="A79:C79"/>
    <mergeCell ref="A80:C80"/>
    <mergeCell ref="A81:C81"/>
    <mergeCell ref="A119:B119"/>
    <mergeCell ref="A120:B120"/>
    <mergeCell ref="A121:B121"/>
    <mergeCell ref="A122:B122"/>
    <mergeCell ref="A114:B114"/>
    <mergeCell ref="A115:B115"/>
    <mergeCell ref="A116:B116"/>
    <mergeCell ref="A153:C153"/>
    <mergeCell ref="A154:C154"/>
    <mergeCell ref="A93:C93"/>
    <mergeCell ref="A94:C94"/>
    <mergeCell ref="A95:C95"/>
    <mergeCell ref="A96:C96"/>
    <mergeCell ref="A150:C150"/>
    <mergeCell ref="A151:C151"/>
    <mergeCell ref="A152:C152"/>
    <mergeCell ref="A145:C145"/>
    <mergeCell ref="A146:C146"/>
    <mergeCell ref="A147:C147"/>
    <mergeCell ref="A148:C148"/>
    <mergeCell ref="A149:C149"/>
    <mergeCell ref="A143:C143"/>
    <mergeCell ref="A144:C144"/>
    <mergeCell ref="A126:C126"/>
    <mergeCell ref="A102:C102"/>
    <mergeCell ref="A123:C123"/>
    <mergeCell ref="A142:B142"/>
    <mergeCell ref="A107:C107"/>
    <mergeCell ref="A108:B108"/>
    <mergeCell ref="A109:B109"/>
    <mergeCell ref="A110:B110"/>
    <mergeCell ref="A111:B111"/>
    <mergeCell ref="A112:B112"/>
    <mergeCell ref="A113:B113"/>
    <mergeCell ref="A117:B117"/>
    <mergeCell ref="A118:B118"/>
    <mergeCell ref="A69:C69"/>
    <mergeCell ref="A70:C70"/>
    <mergeCell ref="A104:B104"/>
    <mergeCell ref="A105:B105"/>
    <mergeCell ref="A106:B106"/>
    <mergeCell ref="A71:J71"/>
    <mergeCell ref="A72:C72"/>
    <mergeCell ref="A73:C73"/>
    <mergeCell ref="A74:C74"/>
    <mergeCell ref="A75:C75"/>
    <mergeCell ref="A64:C64"/>
    <mergeCell ref="A65:C65"/>
    <mergeCell ref="A66:C66"/>
    <mergeCell ref="A67:C67"/>
    <mergeCell ref="A68:C68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  <mergeCell ref="A171:C171"/>
    <mergeCell ref="A172:C172"/>
    <mergeCell ref="A158:G158"/>
    <mergeCell ref="A167:C167"/>
    <mergeCell ref="A168:C168"/>
    <mergeCell ref="A169:C169"/>
    <mergeCell ref="A170:C170"/>
  </mergeCells>
  <pageMargins left="0.22" right="0.17" top="0.14000000000000001" bottom="0.2" header="0.2" footer="0.2"/>
  <pageSetup paperSize="5" scale="20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rgb="FF000000"/>
  </sheetPr>
  <dimension ref="A1:P174"/>
  <sheetViews>
    <sheetView view="pageBreakPreview" topLeftCell="A43" zoomScale="55" zoomScaleNormal="77" zoomScaleSheetLayoutView="55" workbookViewId="0">
      <selection activeCell="A33" sqref="A33:J33"/>
    </sheetView>
  </sheetViews>
  <sheetFormatPr defaultColWidth="22.33203125" defaultRowHeight="29.25"/>
  <cols>
    <col min="1" max="1" width="42.33203125" style="454" customWidth="1"/>
    <col min="2" max="2" width="31.77734375" style="457" customWidth="1"/>
    <col min="3" max="3" width="15.88671875" style="457" customWidth="1"/>
    <col min="4" max="4" width="13.6640625" style="537" customWidth="1"/>
    <col min="5" max="5" width="30" style="537" customWidth="1"/>
    <col min="6" max="6" width="30" style="664" customWidth="1"/>
    <col min="7" max="7" width="28.88671875" style="537" customWidth="1"/>
    <col min="8" max="8" width="25.33203125" style="538" customWidth="1"/>
    <col min="9" max="9" width="20.5546875" style="537" customWidth="1"/>
    <col min="10" max="10" width="24" style="539" customWidth="1"/>
    <col min="11" max="11" width="43.21875" style="376" hidden="1" customWidth="1"/>
    <col min="12" max="13" width="0" style="376" hidden="1" customWidth="1"/>
    <col min="14" max="14" width="25.5546875" style="376" customWidth="1"/>
    <col min="15" max="16384" width="22.33203125" style="376"/>
  </cols>
  <sheetData>
    <row r="1" spans="1:16" ht="33.75">
      <c r="A1" s="1549" t="s">
        <v>116</v>
      </c>
      <c r="B1" s="1550"/>
      <c r="C1" s="1550"/>
      <c r="D1" s="1550"/>
      <c r="E1" s="1550"/>
      <c r="F1" s="1550"/>
      <c r="G1" s="1550"/>
      <c r="H1" s="1550"/>
      <c r="I1" s="1550"/>
      <c r="J1" s="1551"/>
    </row>
    <row r="2" spans="1:16" s="281" customFormat="1" ht="27">
      <c r="A2" s="575" t="s">
        <v>360</v>
      </c>
      <c r="B2" s="1033">
        <v>44354</v>
      </c>
      <c r="C2" s="1143" t="s">
        <v>68</v>
      </c>
      <c r="D2" s="611">
        <v>0.76</v>
      </c>
      <c r="E2" s="461"/>
      <c r="F2" s="461"/>
      <c r="G2" s="461" t="s">
        <v>117</v>
      </c>
      <c r="H2" s="461" t="s">
        <v>6</v>
      </c>
      <c r="I2" s="461" t="s">
        <v>8</v>
      </c>
      <c r="J2" s="613" t="s">
        <v>118</v>
      </c>
    </row>
    <row r="3" spans="1:16" s="281" customFormat="1" ht="27">
      <c r="A3" s="570"/>
      <c r="B3" s="614"/>
      <c r="C3" s="1143" t="s">
        <v>119</v>
      </c>
      <c r="D3" s="612">
        <v>33</v>
      </c>
      <c r="E3" s="1558" t="s">
        <v>120</v>
      </c>
      <c r="F3" s="1559"/>
      <c r="G3" s="462"/>
      <c r="H3" s="463"/>
      <c r="I3" s="463"/>
      <c r="J3" s="615"/>
      <c r="K3" s="371"/>
      <c r="L3" s="292"/>
    </row>
    <row r="4" spans="1:16" s="281" customFormat="1" ht="27">
      <c r="A4" s="576"/>
      <c r="B4" s="616"/>
      <c r="C4" s="1143" t="s">
        <v>121</v>
      </c>
      <c r="D4" s="611">
        <v>0.8</v>
      </c>
      <c r="E4" s="464"/>
      <c r="F4" s="464"/>
      <c r="G4" s="464"/>
      <c r="H4" s="464"/>
      <c r="I4" s="465"/>
      <c r="J4" s="615"/>
      <c r="K4" s="372"/>
      <c r="L4" s="292"/>
    </row>
    <row r="5" spans="1:16">
      <c r="A5" s="577" t="s">
        <v>122</v>
      </c>
      <c r="B5" s="459"/>
      <c r="C5" s="459"/>
      <c r="D5" s="511" t="s">
        <v>214</v>
      </c>
      <c r="E5" s="467" t="s">
        <v>124</v>
      </c>
      <c r="F5" s="467" t="s">
        <v>111</v>
      </c>
      <c r="G5" s="468" t="s">
        <v>125</v>
      </c>
      <c r="H5" s="469" t="s">
        <v>126</v>
      </c>
      <c r="I5" s="470" t="s">
        <v>127</v>
      </c>
      <c r="J5" s="550" t="s">
        <v>128</v>
      </c>
      <c r="K5" s="426"/>
      <c r="L5" s="377"/>
    </row>
    <row r="6" spans="1:16">
      <c r="A6" s="1552" t="s">
        <v>129</v>
      </c>
      <c r="B6" s="1553"/>
      <c r="C6" s="1554"/>
      <c r="D6" s="471"/>
      <c r="E6" s="471"/>
      <c r="F6" s="471"/>
      <c r="G6" s="471"/>
      <c r="H6" s="472"/>
      <c r="I6" s="472"/>
      <c r="J6" s="551"/>
      <c r="K6" s="427"/>
      <c r="L6" s="377"/>
    </row>
    <row r="7" spans="1:16" ht="30" thickBot="1">
      <c r="A7" s="677" t="s">
        <v>130</v>
      </c>
      <c r="B7" s="678"/>
      <c r="C7" s="678"/>
      <c r="D7" s="638" t="s">
        <v>131</v>
      </c>
      <c r="E7" s="633">
        <f>'6'!F7</f>
        <v>448352.99</v>
      </c>
      <c r="F7" s="455">
        <v>465590.03</v>
      </c>
      <c r="G7" s="690">
        <f t="shared" ref="G7:G12" si="0">F7-E7</f>
        <v>17237.040000000037</v>
      </c>
      <c r="H7" s="680">
        <f>G7+'6'!H7</f>
        <v>121178.03000000003</v>
      </c>
      <c r="I7" s="681">
        <f>'1'!I7</f>
        <v>12000</v>
      </c>
      <c r="J7" s="682">
        <f>H7/DAY(B2)</f>
        <v>17311.147142857146</v>
      </c>
      <c r="K7" s="549"/>
      <c r="L7" s="377"/>
      <c r="N7" s="709"/>
      <c r="P7" s="376" t="s">
        <v>214</v>
      </c>
    </row>
    <row r="8" spans="1:16" ht="27.75" thickBot="1">
      <c r="A8" s="683" t="s">
        <v>132</v>
      </c>
      <c r="B8" s="684"/>
      <c r="C8" s="685"/>
      <c r="D8" s="686" t="s">
        <v>25</v>
      </c>
      <c r="E8" s="633">
        <f>'6'!F8</f>
        <v>450927.79</v>
      </c>
      <c r="F8" s="475">
        <v>468243.75</v>
      </c>
      <c r="G8" s="690">
        <f t="shared" si="0"/>
        <v>17315.960000000021</v>
      </c>
      <c r="H8" s="680">
        <f>G8+'6'!H8</f>
        <v>121733.75</v>
      </c>
      <c r="I8" s="687">
        <v>12000</v>
      </c>
      <c r="J8" s="682">
        <f>H8/DAY(B2)</f>
        <v>17390.535714285714</v>
      </c>
      <c r="K8" s="549"/>
      <c r="L8" s="425"/>
      <c r="M8" s="440"/>
      <c r="N8" s="704"/>
    </row>
    <row r="9" spans="1:16">
      <c r="A9" s="688" t="s">
        <v>133</v>
      </c>
      <c r="B9" s="689"/>
      <c r="C9" s="689"/>
      <c r="D9" s="638" t="s">
        <v>131</v>
      </c>
      <c r="E9" s="633">
        <f>'6'!F9</f>
        <v>1574403.7</v>
      </c>
      <c r="F9" s="478">
        <f>E9+16950</f>
        <v>1591353.7</v>
      </c>
      <c r="G9" s="690">
        <f t="shared" si="0"/>
        <v>16950</v>
      </c>
      <c r="H9" s="680">
        <f>G9+'6'!H9</f>
        <v>117663.69999999995</v>
      </c>
      <c r="I9" s="691">
        <f>I8-J8</f>
        <v>-5390.5357142857138</v>
      </c>
      <c r="J9" s="682">
        <f>H9/DAY(B2)</f>
        <v>16809.099999999995</v>
      </c>
      <c r="K9" s="428"/>
      <c r="L9" s="377"/>
      <c r="N9" s="382"/>
    </row>
    <row r="10" spans="1:16">
      <c r="A10" s="677" t="s">
        <v>134</v>
      </c>
      <c r="B10" s="678"/>
      <c r="C10" s="678"/>
      <c r="D10" s="638" t="s">
        <v>131</v>
      </c>
      <c r="E10" s="633">
        <f>'6'!F10</f>
        <v>2606.5500000000002</v>
      </c>
      <c r="F10" s="478">
        <v>2606.5500000000002</v>
      </c>
      <c r="G10" s="690">
        <f t="shared" si="0"/>
        <v>0</v>
      </c>
      <c r="H10" s="680">
        <f>G10+'6'!H10</f>
        <v>0.42000000000007276</v>
      </c>
      <c r="I10" s="692"/>
      <c r="J10" s="682">
        <f>H10/DAY(B2)</f>
        <v>6.0000000000010392E-2</v>
      </c>
      <c r="K10" s="428"/>
      <c r="L10" s="377"/>
      <c r="N10" s="382"/>
    </row>
    <row r="11" spans="1:16">
      <c r="A11" s="677" t="s">
        <v>135</v>
      </c>
      <c r="B11" s="678"/>
      <c r="C11" s="678"/>
      <c r="D11" s="638" t="s">
        <v>131</v>
      </c>
      <c r="E11" s="633">
        <f>'6'!F11</f>
        <v>37000</v>
      </c>
      <c r="F11" s="455">
        <v>37000</v>
      </c>
      <c r="G11" s="690">
        <f t="shared" si="0"/>
        <v>0</v>
      </c>
      <c r="H11" s="680">
        <f>G11+'6'!H11</f>
        <v>0</v>
      </c>
      <c r="I11" s="692"/>
      <c r="J11" s="682">
        <f>H11/DAY(B2)</f>
        <v>0</v>
      </c>
      <c r="K11" s="428"/>
      <c r="L11" s="377"/>
      <c r="N11" s="382"/>
    </row>
    <row r="12" spans="1:16">
      <c r="A12" s="677" t="s">
        <v>136</v>
      </c>
      <c r="B12" s="678"/>
      <c r="C12" s="678"/>
      <c r="D12" s="638" t="s">
        <v>131</v>
      </c>
      <c r="E12" s="633">
        <f>'6'!F12</f>
        <v>40010</v>
      </c>
      <c r="F12" s="478">
        <v>40010</v>
      </c>
      <c r="G12" s="690">
        <f t="shared" si="0"/>
        <v>0</v>
      </c>
      <c r="H12" s="680">
        <f>G12+'6'!H12</f>
        <v>0</v>
      </c>
      <c r="I12" s="692"/>
      <c r="J12" s="682">
        <f>H12/DAY(B2)</f>
        <v>0</v>
      </c>
      <c r="K12" s="428"/>
      <c r="L12" s="377"/>
      <c r="N12" s="382"/>
    </row>
    <row r="13" spans="1:16">
      <c r="A13" s="693" t="s">
        <v>137</v>
      </c>
      <c r="B13" s="694"/>
      <c r="C13" s="694"/>
      <c r="D13" s="638"/>
      <c r="E13" s="633"/>
      <c r="F13" s="455"/>
      <c r="G13" s="695">
        <f>G9+G10+G11+G12</f>
        <v>16950</v>
      </c>
      <c r="H13" s="680">
        <f>G13+'6'!H13</f>
        <v>117664.11999999995</v>
      </c>
      <c r="I13" s="696">
        <f>G7-G13</f>
        <v>287.04000000003725</v>
      </c>
      <c r="J13" s="682">
        <f>H13/DAY(B2)</f>
        <v>16809.159999999993</v>
      </c>
      <c r="K13" s="428"/>
      <c r="L13" s="377"/>
      <c r="N13" s="382"/>
    </row>
    <row r="14" spans="1:16">
      <c r="A14" s="1555" t="s">
        <v>138</v>
      </c>
      <c r="B14" s="1556"/>
      <c r="C14" s="1557"/>
      <c r="D14" s="472"/>
      <c r="E14" s="472"/>
      <c r="F14" s="472"/>
      <c r="G14" s="483"/>
      <c r="H14" s="472"/>
      <c r="I14" s="472"/>
      <c r="J14" s="551"/>
      <c r="K14" s="429"/>
      <c r="L14" s="377"/>
      <c r="N14" s="382"/>
    </row>
    <row r="15" spans="1:16">
      <c r="A15" s="793" t="s">
        <v>139</v>
      </c>
      <c r="B15" s="794"/>
      <c r="C15" s="794"/>
      <c r="D15" s="524" t="s">
        <v>140</v>
      </c>
      <c r="E15" s="485">
        <f>'6'!F15</f>
        <v>1687157.18</v>
      </c>
      <c r="F15" s="485">
        <v>1687720.83</v>
      </c>
      <c r="G15" s="665">
        <f>(F15-E15)</f>
        <v>563.6500000001397</v>
      </c>
      <c r="H15" s="486">
        <f>G15+'6'!H15</f>
        <v>3196.8300000000745</v>
      </c>
      <c r="I15" s="1066">
        <v>800</v>
      </c>
      <c r="J15" s="553">
        <f>H15/DAY(B2)</f>
        <v>456.69000000001063</v>
      </c>
      <c r="K15" s="428"/>
      <c r="L15" s="377"/>
      <c r="N15" s="382"/>
    </row>
    <row r="16" spans="1:16">
      <c r="A16" s="587"/>
      <c r="B16" s="588"/>
      <c r="C16" s="588"/>
      <c r="D16" s="524"/>
      <c r="E16" s="485"/>
      <c r="F16" s="485"/>
      <c r="G16" s="473"/>
      <c r="H16" s="486"/>
      <c r="I16" s="482">
        <f>I15-J15</f>
        <v>343.30999999998937</v>
      </c>
      <c r="J16" s="553"/>
      <c r="K16" s="428"/>
      <c r="L16" s="377"/>
      <c r="N16" s="382"/>
    </row>
    <row r="17" spans="1:14">
      <c r="A17" s="1555" t="s">
        <v>141</v>
      </c>
      <c r="B17" s="1556"/>
      <c r="C17" s="1557"/>
      <c r="D17" s="472"/>
      <c r="E17" s="472"/>
      <c r="F17" s="472"/>
      <c r="G17" s="488"/>
      <c r="H17" s="472"/>
      <c r="I17" s="472"/>
      <c r="J17" s="551"/>
      <c r="K17" s="428"/>
      <c r="L17" s="377"/>
      <c r="N17" s="382"/>
    </row>
    <row r="18" spans="1:14" ht="27.75">
      <c r="A18" s="1590" t="s">
        <v>142</v>
      </c>
      <c r="B18" s="1591"/>
      <c r="C18" s="1592"/>
      <c r="D18" s="638" t="s">
        <v>143</v>
      </c>
      <c r="E18" s="635">
        <f>'6'!F18</f>
        <v>11</v>
      </c>
      <c r="F18" s="478">
        <v>6</v>
      </c>
      <c r="G18" s="695">
        <f>F18*10</f>
        <v>60</v>
      </c>
      <c r="H18" s="680">
        <f>G18+'6'!H18</f>
        <v>410</v>
      </c>
      <c r="I18" s="681">
        <f>'1'!I18</f>
        <v>65</v>
      </c>
      <c r="J18" s="682">
        <f>H18/DAY(B2)</f>
        <v>58.571428571428569</v>
      </c>
      <c r="K18" s="428"/>
      <c r="L18" s="377"/>
      <c r="N18" s="382"/>
    </row>
    <row r="19" spans="1:14" ht="27.75">
      <c r="A19" s="1590" t="s">
        <v>70</v>
      </c>
      <c r="B19" s="1591"/>
      <c r="C19" s="1592"/>
      <c r="D19" s="638" t="s">
        <v>143</v>
      </c>
      <c r="E19" s="635">
        <f>'6'!F19</f>
        <v>139975</v>
      </c>
      <c r="F19" s="478">
        <v>140037</v>
      </c>
      <c r="G19" s="690">
        <f t="shared" ref="G19" si="1">F19-E19</f>
        <v>62</v>
      </c>
      <c r="H19" s="680">
        <f>G19+'6'!H19</f>
        <v>425</v>
      </c>
      <c r="I19" s="697"/>
      <c r="J19" s="682">
        <f>H19/DAY(B2)</f>
        <v>60.714285714285715</v>
      </c>
      <c r="K19" s="428"/>
      <c r="L19" s="377"/>
      <c r="N19" s="382"/>
    </row>
    <row r="20" spans="1:14">
      <c r="A20" s="693" t="s">
        <v>144</v>
      </c>
      <c r="B20" s="694"/>
      <c r="C20" s="694"/>
      <c r="D20" s="638"/>
      <c r="E20" s="638"/>
      <c r="F20" s="523"/>
      <c r="G20" s="698">
        <f>G18+G19</f>
        <v>122</v>
      </c>
      <c r="H20" s="680">
        <f>G20+'6'!H20</f>
        <v>835</v>
      </c>
      <c r="I20" s="699">
        <f>I18-J20</f>
        <v>-54.285714285714292</v>
      </c>
      <c r="J20" s="682">
        <f>H20/DAY(B2)</f>
        <v>119.28571428571429</v>
      </c>
      <c r="K20" s="428"/>
      <c r="L20" s="377"/>
      <c r="N20" s="382"/>
    </row>
    <row r="21" spans="1:14">
      <c r="A21" s="1555" t="s">
        <v>145</v>
      </c>
      <c r="B21" s="1556"/>
      <c r="C21" s="1557"/>
      <c r="D21" s="472"/>
      <c r="E21" s="472"/>
      <c r="F21" s="472"/>
      <c r="G21" s="483"/>
      <c r="H21" s="472"/>
      <c r="I21" s="472"/>
      <c r="J21" s="551"/>
      <c r="K21" s="428"/>
      <c r="L21" s="377"/>
      <c r="N21" s="382"/>
    </row>
    <row r="22" spans="1:14">
      <c r="A22" s="1141" t="s">
        <v>146</v>
      </c>
      <c r="B22" s="589"/>
      <c r="C22" s="589"/>
      <c r="D22" s="523" t="s">
        <v>147</v>
      </c>
      <c r="E22" s="635">
        <f>'6'!F22</f>
        <v>2970</v>
      </c>
      <c r="F22" s="478">
        <v>2970</v>
      </c>
      <c r="G22" s="481">
        <f t="shared" ref="G22" si="2">(F22-E22)</f>
        <v>0</v>
      </c>
      <c r="H22" s="460">
        <f>G22+'6'!H22</f>
        <v>0</v>
      </c>
      <c r="I22" s="480"/>
      <c r="J22" s="552">
        <f>H22/DAY(B2)</f>
        <v>0</v>
      </c>
      <c r="K22" s="428"/>
      <c r="L22" s="377"/>
      <c r="N22" s="382"/>
    </row>
    <row r="23" spans="1:14">
      <c r="A23" s="1141" t="s">
        <v>148</v>
      </c>
      <c r="B23" s="589"/>
      <c r="C23" s="589"/>
      <c r="D23" s="523" t="s">
        <v>147</v>
      </c>
      <c r="E23" s="635">
        <f>'6'!F23</f>
        <v>2000</v>
      </c>
      <c r="F23" s="478">
        <v>2000</v>
      </c>
      <c r="G23" s="481">
        <v>0</v>
      </c>
      <c r="H23" s="460">
        <f>G23+'6'!H23</f>
        <v>120</v>
      </c>
      <c r="I23" s="480"/>
      <c r="J23" s="552">
        <f>H23/DAY(B2)</f>
        <v>17.142857142857142</v>
      </c>
      <c r="K23" s="428"/>
      <c r="L23" s="377"/>
      <c r="N23" s="382"/>
    </row>
    <row r="24" spans="1:14">
      <c r="A24" s="590" t="s">
        <v>149</v>
      </c>
      <c r="B24" s="591"/>
      <c r="C24" s="591"/>
      <c r="D24" s="511" t="s">
        <v>147</v>
      </c>
      <c r="E24" s="635">
        <f>'6'!F24</f>
        <v>4970</v>
      </c>
      <c r="F24" s="485">
        <v>4970</v>
      </c>
      <c r="G24" s="481">
        <v>0</v>
      </c>
      <c r="H24" s="460">
        <f>G24+'6'!H24</f>
        <v>120</v>
      </c>
      <c r="I24" s="480"/>
      <c r="J24" s="552">
        <f>H24/DAY(B2)</f>
        <v>17.142857142857142</v>
      </c>
      <c r="K24" s="428"/>
      <c r="L24" s="377"/>
      <c r="N24" s="382"/>
    </row>
    <row r="25" spans="1:14" s="442" customFormat="1" ht="27">
      <c r="A25" s="1560" t="s">
        <v>150</v>
      </c>
      <c r="B25" s="1561"/>
      <c r="C25" s="1562"/>
      <c r="D25" s="471"/>
      <c r="E25" s="471"/>
      <c r="F25" s="471"/>
      <c r="G25" s="494"/>
      <c r="H25" s="495"/>
      <c r="I25" s="496"/>
      <c r="J25" s="554"/>
      <c r="K25" s="373"/>
      <c r="L25" s="443"/>
      <c r="N25" s="382"/>
    </row>
    <row r="26" spans="1:14" s="442" customFormat="1" ht="27.75">
      <c r="A26" s="592" t="s">
        <v>151</v>
      </c>
      <c r="B26" s="593"/>
      <c r="C26" s="594"/>
      <c r="D26" s="618" t="s">
        <v>152</v>
      </c>
      <c r="E26" s="497"/>
      <c r="F26" s="455"/>
      <c r="G26" s="498"/>
      <c r="H26" s="460"/>
      <c r="I26" s="499"/>
      <c r="J26" s="552"/>
      <c r="K26" s="374"/>
      <c r="L26" s="443"/>
      <c r="N26" s="382"/>
    </row>
    <row r="27" spans="1:14" s="442" customFormat="1" ht="27.75">
      <c r="A27" s="592" t="s">
        <v>6</v>
      </c>
      <c r="B27" s="593"/>
      <c r="C27" s="594"/>
      <c r="D27" s="619" t="s">
        <v>25</v>
      </c>
      <c r="E27" s="700">
        <f>G8</f>
        <v>17315.960000000021</v>
      </c>
      <c r="F27" s="501">
        <v>9</v>
      </c>
      <c r="G27" s="502">
        <f>E27*F27</f>
        <v>155843.64000000019</v>
      </c>
      <c r="H27" s="460">
        <f>G27+'6'!H27</f>
        <v>1094766.75</v>
      </c>
      <c r="I27" s="503"/>
      <c r="J27" s="552">
        <f>H27/DAY(B2)</f>
        <v>156395.25</v>
      </c>
      <c r="K27" s="373"/>
      <c r="L27" s="443"/>
      <c r="N27" s="382"/>
    </row>
    <row r="28" spans="1:14" s="442" customFormat="1" ht="27.75">
      <c r="A28" s="592" t="s">
        <v>153</v>
      </c>
      <c r="B28" s="593"/>
      <c r="C28" s="594"/>
      <c r="D28" s="619" t="s">
        <v>154</v>
      </c>
      <c r="E28" s="700">
        <f>G15</f>
        <v>563.6500000001397</v>
      </c>
      <c r="F28" s="501">
        <v>52</v>
      </c>
      <c r="G28" s="502">
        <f>E28*F28</f>
        <v>29309.800000007264</v>
      </c>
      <c r="H28" s="460">
        <f>G28+'6'!H28</f>
        <v>166235.16000000387</v>
      </c>
      <c r="I28" s="505"/>
      <c r="J28" s="552">
        <f>H28/DAY(B2)</f>
        <v>23747.880000000554</v>
      </c>
      <c r="K28" s="373"/>
      <c r="L28" s="443"/>
      <c r="N28" s="382"/>
    </row>
    <row r="29" spans="1:14" s="442" customFormat="1" ht="27.75">
      <c r="A29" s="592" t="s">
        <v>155</v>
      </c>
      <c r="B29" s="593"/>
      <c r="C29" s="594"/>
      <c r="D29" s="619" t="s">
        <v>156</v>
      </c>
      <c r="E29" s="700">
        <f>G24</f>
        <v>0</v>
      </c>
      <c r="F29" s="501">
        <v>69</v>
      </c>
      <c r="G29" s="502">
        <f>E29*F29</f>
        <v>0</v>
      </c>
      <c r="H29" s="460">
        <f>G29+'6'!H29</f>
        <v>8280</v>
      </c>
      <c r="I29" s="505"/>
      <c r="J29" s="552">
        <f>H29/DAY(B2)</f>
        <v>1182.8571428571429</v>
      </c>
      <c r="K29" s="373"/>
      <c r="L29" s="443"/>
      <c r="N29" s="382"/>
    </row>
    <row r="30" spans="1:14" s="442" customFormat="1" ht="27.75">
      <c r="A30" s="592" t="s">
        <v>157</v>
      </c>
      <c r="B30" s="593"/>
      <c r="C30" s="594"/>
      <c r="D30" s="619" t="s">
        <v>158</v>
      </c>
      <c r="E30" s="700">
        <f>G19</f>
        <v>62</v>
      </c>
      <c r="F30" s="501">
        <v>146</v>
      </c>
      <c r="G30" s="502">
        <f>E30*F30</f>
        <v>9052</v>
      </c>
      <c r="H30" s="460">
        <f>G30+'6'!H30</f>
        <v>62050</v>
      </c>
      <c r="I30" s="505"/>
      <c r="J30" s="552">
        <f>H30/DAY(B2)</f>
        <v>8864.2857142857138</v>
      </c>
      <c r="K30" s="373"/>
      <c r="L30" s="443"/>
      <c r="N30" s="382"/>
    </row>
    <row r="31" spans="1:14" s="442" customFormat="1" ht="27.75">
      <c r="A31" s="592" t="s">
        <v>159</v>
      </c>
      <c r="B31" s="593"/>
      <c r="C31" s="594"/>
      <c r="D31" s="619" t="s">
        <v>143</v>
      </c>
      <c r="E31" s="700">
        <f>G18</f>
        <v>60</v>
      </c>
      <c r="F31" s="501">
        <v>80</v>
      </c>
      <c r="G31" s="502">
        <f>E31*F31</f>
        <v>4800</v>
      </c>
      <c r="H31" s="460">
        <f>G31+'6'!H31</f>
        <v>32800</v>
      </c>
      <c r="I31" s="505"/>
      <c r="J31" s="552">
        <f>H31/DAY(B2)</f>
        <v>4685.7142857142853</v>
      </c>
      <c r="K31" s="373"/>
      <c r="L31" s="443"/>
      <c r="N31" s="382"/>
    </row>
    <row r="32" spans="1:14" s="442" customFormat="1" ht="27.75">
      <c r="A32" s="595" t="s">
        <v>160</v>
      </c>
      <c r="B32" s="596"/>
      <c r="C32" s="597"/>
      <c r="D32" s="507"/>
      <c r="E32" s="507"/>
      <c r="F32" s="524"/>
      <c r="G32" s="1055">
        <f>G27+G28+G29+G30+G31</f>
        <v>199005.44000000745</v>
      </c>
      <c r="H32" s="460">
        <f>G32+'6'!H32</f>
        <v>1364131.9100000039</v>
      </c>
      <c r="I32" s="509"/>
      <c r="J32" s="552">
        <f>H32/DAY(B2)</f>
        <v>194875.98714285769</v>
      </c>
      <c r="K32" s="373"/>
      <c r="L32" s="443"/>
      <c r="N32" s="382"/>
    </row>
    <row r="33" spans="1:14" ht="25.5">
      <c r="A33" s="1563" t="s">
        <v>161</v>
      </c>
      <c r="B33" s="1564"/>
      <c r="C33" s="1564"/>
      <c r="D33" s="1564"/>
      <c r="E33" s="1564"/>
      <c r="F33" s="1564"/>
      <c r="G33" s="1564"/>
      <c r="H33" s="1564"/>
      <c r="I33" s="1564"/>
      <c r="J33" s="1565"/>
      <c r="K33" s="428"/>
      <c r="L33" s="377"/>
      <c r="N33" s="382"/>
    </row>
    <row r="34" spans="1:14">
      <c r="A34" s="598" t="s">
        <v>162</v>
      </c>
      <c r="B34" s="1146"/>
      <c r="C34" s="1146"/>
      <c r="D34" s="472"/>
      <c r="E34" s="471"/>
      <c r="F34" s="471"/>
      <c r="G34" s="472"/>
      <c r="H34" s="472"/>
      <c r="I34" s="472"/>
      <c r="J34" s="551"/>
      <c r="K34" s="428"/>
      <c r="L34" s="377"/>
      <c r="N34" s="382"/>
    </row>
    <row r="35" spans="1:14">
      <c r="A35" s="578" t="s">
        <v>163</v>
      </c>
      <c r="B35" s="579"/>
      <c r="C35" s="579"/>
      <c r="D35" s="523" t="s">
        <v>131</v>
      </c>
      <c r="E35" s="510">
        <f>'6'!F35</f>
        <v>965190.55</v>
      </c>
      <c r="F35" s="510">
        <v>967655.51</v>
      </c>
      <c r="G35" s="473">
        <f t="shared" ref="G35:G46" si="3">F35-E35</f>
        <v>2464.9599999999627</v>
      </c>
      <c r="H35" s="460">
        <f>G35+'6'!H35</f>
        <v>17167.510000000009</v>
      </c>
      <c r="I35" s="455"/>
      <c r="J35" s="552">
        <f>H35/DAY(B2)</f>
        <v>2452.5014285714301</v>
      </c>
      <c r="K35" s="428"/>
      <c r="L35" s="377"/>
      <c r="N35" s="382"/>
    </row>
    <row r="36" spans="1:14">
      <c r="A36" s="578" t="s">
        <v>164</v>
      </c>
      <c r="B36" s="579"/>
      <c r="C36" s="579"/>
      <c r="D36" s="523" t="s">
        <v>131</v>
      </c>
      <c r="E36" s="510">
        <f>'6'!F36</f>
        <v>3533.13</v>
      </c>
      <c r="F36" s="510">
        <v>4057.06</v>
      </c>
      <c r="G36" s="473">
        <f t="shared" si="3"/>
        <v>523.92999999999984</v>
      </c>
      <c r="H36" s="460">
        <f>G36+'6'!H36</f>
        <v>3884.06</v>
      </c>
      <c r="I36" s="455"/>
      <c r="J36" s="552">
        <f>H36/DAY(B2)</f>
        <v>554.86571428571426</v>
      </c>
      <c r="K36" s="428"/>
      <c r="L36" s="377"/>
      <c r="N36" s="628"/>
    </row>
    <row r="37" spans="1:14">
      <c r="A37" s="578" t="s">
        <v>165</v>
      </c>
      <c r="B37" s="579"/>
      <c r="C37" s="579"/>
      <c r="D37" s="523" t="s">
        <v>131</v>
      </c>
      <c r="E37" s="510">
        <f>'6'!F37</f>
        <v>142076</v>
      </c>
      <c r="F37" s="510">
        <v>143365.62</v>
      </c>
      <c r="G37" s="473">
        <f t="shared" si="3"/>
        <v>1289.6199999999953</v>
      </c>
      <c r="H37" s="460">
        <f>G37+'6'!H37</f>
        <v>9129.6199999999953</v>
      </c>
      <c r="I37" s="455"/>
      <c r="J37" s="552">
        <f>H37/DAY(B2)</f>
        <v>1304.2314285714278</v>
      </c>
      <c r="K37" s="428"/>
      <c r="L37" s="377"/>
      <c r="N37" s="629"/>
    </row>
    <row r="38" spans="1:14">
      <c r="A38" s="578" t="s">
        <v>166</v>
      </c>
      <c r="B38" s="579"/>
      <c r="C38" s="579"/>
      <c r="D38" s="523" t="s">
        <v>131</v>
      </c>
      <c r="E38" s="510">
        <f>'6'!F38</f>
        <v>164012.88</v>
      </c>
      <c r="F38" s="469">
        <v>165234.28</v>
      </c>
      <c r="G38" s="473">
        <f t="shared" si="3"/>
        <v>1221.3999999999942</v>
      </c>
      <c r="H38" s="460">
        <f>G38+'6'!H38</f>
        <v>8829.2799999999988</v>
      </c>
      <c r="I38" s="455"/>
      <c r="J38" s="552">
        <f>H38/DAY(B2)</f>
        <v>1261.3257142857142</v>
      </c>
      <c r="K38" s="428"/>
      <c r="L38" s="377"/>
      <c r="N38" s="382"/>
    </row>
    <row r="39" spans="1:14">
      <c r="A39" s="578" t="s">
        <v>167</v>
      </c>
      <c r="B39" s="579"/>
      <c r="C39" s="579"/>
      <c r="D39" s="523" t="s">
        <v>131</v>
      </c>
      <c r="E39" s="510">
        <f>'6'!F39</f>
        <v>323218.43</v>
      </c>
      <c r="F39" s="510">
        <v>326180.09000000003</v>
      </c>
      <c r="G39" s="473">
        <f t="shared" si="3"/>
        <v>2961.6600000000326</v>
      </c>
      <c r="H39" s="460">
        <f>G39+'6'!H39</f>
        <v>18007.090000000026</v>
      </c>
      <c r="I39" s="455"/>
      <c r="J39" s="552">
        <f>H39/DAY(B2)</f>
        <v>2572.4414285714324</v>
      </c>
      <c r="K39" s="428"/>
      <c r="L39" s="377"/>
      <c r="N39" s="382"/>
    </row>
    <row r="40" spans="1:14">
      <c r="A40" s="599" t="s">
        <v>168</v>
      </c>
      <c r="B40" s="600"/>
      <c r="C40" s="600"/>
      <c r="D40" s="523" t="s">
        <v>131</v>
      </c>
      <c r="E40" s="510">
        <f>'6'!F40</f>
        <v>1057.0899999999999</v>
      </c>
      <c r="F40" s="510">
        <v>1057.0899999999999</v>
      </c>
      <c r="G40" s="473">
        <f t="shared" si="3"/>
        <v>0</v>
      </c>
      <c r="H40" s="460">
        <f>G40+'6'!H40</f>
        <v>168.08999999999992</v>
      </c>
      <c r="I40" s="455"/>
      <c r="J40" s="552">
        <f>H40/DAY(B2)</f>
        <v>24.012857142857133</v>
      </c>
      <c r="K40" s="429"/>
      <c r="L40" s="377"/>
      <c r="N40" s="382"/>
    </row>
    <row r="41" spans="1:14">
      <c r="A41" s="578" t="s">
        <v>169</v>
      </c>
      <c r="B41" s="579"/>
      <c r="C41" s="579"/>
      <c r="D41" s="523" t="s">
        <v>131</v>
      </c>
      <c r="E41" s="510">
        <f>'6'!F41</f>
        <v>241404.07</v>
      </c>
      <c r="F41" s="510">
        <v>243578.49</v>
      </c>
      <c r="G41" s="473">
        <f t="shared" si="3"/>
        <v>2174.4199999999837</v>
      </c>
      <c r="H41" s="460">
        <f>G41+'6'!H41</f>
        <v>3100.4899999999907</v>
      </c>
      <c r="I41" s="455"/>
      <c r="J41" s="552">
        <f>H41/DAY(B2)</f>
        <v>442.92714285714152</v>
      </c>
      <c r="K41" s="428"/>
      <c r="L41" s="377"/>
      <c r="N41" s="382"/>
    </row>
    <row r="42" spans="1:14">
      <c r="A42" s="587" t="s">
        <v>170</v>
      </c>
      <c r="B42" s="588"/>
      <c r="C42" s="588"/>
      <c r="D42" s="524" t="s">
        <v>131</v>
      </c>
      <c r="E42" s="510">
        <f>'6'!F42</f>
        <v>59198.97</v>
      </c>
      <c r="F42" s="1034">
        <v>59210.61</v>
      </c>
      <c r="G42" s="774">
        <f t="shared" si="3"/>
        <v>11.639999999999418</v>
      </c>
      <c r="H42" s="460">
        <f>G42+'6'!H42</f>
        <v>11.639999999999418</v>
      </c>
      <c r="I42" s="455"/>
      <c r="J42" s="552">
        <f>H42/DAY(B2)</f>
        <v>1.6628571428570598</v>
      </c>
      <c r="K42" s="428"/>
      <c r="L42" s="377"/>
      <c r="N42" s="382"/>
    </row>
    <row r="43" spans="1:14">
      <c r="A43" s="578" t="s">
        <v>171</v>
      </c>
      <c r="B43" s="579"/>
      <c r="C43" s="579"/>
      <c r="D43" s="523" t="s">
        <v>131</v>
      </c>
      <c r="E43" s="510">
        <f>'6'!F43</f>
        <v>1056545.8</v>
      </c>
      <c r="F43" s="510">
        <v>1058982.7</v>
      </c>
      <c r="G43" s="473">
        <f t="shared" si="3"/>
        <v>2436.8999999999069</v>
      </c>
      <c r="H43" s="460">
        <f>G43+'6'!H43</f>
        <v>16738.699999999953</v>
      </c>
      <c r="I43" s="455"/>
      <c r="J43" s="552">
        <f>H43/DAY(B2)</f>
        <v>2391.2428571428504</v>
      </c>
      <c r="K43" s="428"/>
      <c r="L43" s="377"/>
      <c r="N43" s="382"/>
    </row>
    <row r="44" spans="1:14">
      <c r="A44" s="578" t="s">
        <v>172</v>
      </c>
      <c r="B44" s="579"/>
      <c r="C44" s="579"/>
      <c r="D44" s="523" t="s">
        <v>131</v>
      </c>
      <c r="E44" s="510">
        <f>'6'!F44</f>
        <v>0</v>
      </c>
      <c r="F44" s="510">
        <v>0</v>
      </c>
      <c r="G44" s="473">
        <f t="shared" si="3"/>
        <v>0</v>
      </c>
      <c r="H44" s="460">
        <f>G44+'6'!H44</f>
        <v>0</v>
      </c>
      <c r="I44" s="455"/>
      <c r="J44" s="552">
        <f>H44/DAY(B2)</f>
        <v>0</v>
      </c>
      <c r="K44" s="428"/>
      <c r="L44" s="377"/>
      <c r="N44" s="382"/>
    </row>
    <row r="45" spans="1:14">
      <c r="A45" s="578" t="s">
        <v>173</v>
      </c>
      <c r="B45" s="579"/>
      <c r="C45" s="579"/>
      <c r="D45" s="523" t="s">
        <v>131</v>
      </c>
      <c r="E45" s="510">
        <f>'6'!F45</f>
        <v>614</v>
      </c>
      <c r="F45" s="510">
        <v>614</v>
      </c>
      <c r="G45" s="473">
        <f t="shared" si="3"/>
        <v>0</v>
      </c>
      <c r="H45" s="460">
        <f>G45+'6'!H45</f>
        <v>0</v>
      </c>
      <c r="I45" s="455"/>
      <c r="J45" s="552">
        <f>H45/DAY(B2)</f>
        <v>0</v>
      </c>
      <c r="K45" s="428"/>
      <c r="L45" s="377"/>
      <c r="N45" s="382"/>
    </row>
    <row r="46" spans="1:14">
      <c r="A46" s="578" t="s">
        <v>174</v>
      </c>
      <c r="B46" s="579"/>
      <c r="C46" s="579"/>
      <c r="D46" s="523" t="s">
        <v>131</v>
      </c>
      <c r="E46" s="510">
        <f>'6'!F46</f>
        <v>187</v>
      </c>
      <c r="F46" s="510">
        <v>187</v>
      </c>
      <c r="G46" s="473">
        <f t="shared" si="3"/>
        <v>0</v>
      </c>
      <c r="H46" s="460">
        <f>G46+'6'!H46</f>
        <v>0</v>
      </c>
      <c r="I46" s="455"/>
      <c r="J46" s="552">
        <f>H46/DAY(B2)</f>
        <v>0</v>
      </c>
      <c r="K46" s="428"/>
      <c r="L46" s="377"/>
      <c r="N46" s="382"/>
    </row>
    <row r="47" spans="1:14">
      <c r="A47" s="585" t="s">
        <v>175</v>
      </c>
      <c r="B47" s="586"/>
      <c r="C47" s="586"/>
      <c r="D47" s="470"/>
      <c r="E47" s="511"/>
      <c r="F47" s="511"/>
      <c r="G47" s="481">
        <f>G35+G36+G37+G38+G39+G40+G41+G42+G43+G44+G45+G46</f>
        <v>13084.529999999875</v>
      </c>
      <c r="H47" s="460">
        <f>G47+'6'!H47</f>
        <v>77036.479999999967</v>
      </c>
      <c r="I47" s="455"/>
      <c r="J47" s="552">
        <f>H47/DAY(B2)</f>
        <v>11005.211428571423</v>
      </c>
      <c r="K47" s="428"/>
      <c r="L47" s="377"/>
      <c r="N47" s="382"/>
    </row>
    <row r="48" spans="1:14">
      <c r="A48" s="598" t="s">
        <v>176</v>
      </c>
      <c r="B48" s="1146"/>
      <c r="C48" s="1146"/>
      <c r="D48" s="472"/>
      <c r="E48" s="471"/>
      <c r="F48" s="471"/>
      <c r="G48" s="472"/>
      <c r="H48" s="472"/>
      <c r="I48" s="472"/>
      <c r="J48" s="551"/>
      <c r="K48" s="428"/>
      <c r="L48" s="377"/>
      <c r="N48" s="382"/>
    </row>
    <row r="49" spans="1:14">
      <c r="A49" s="578" t="s">
        <v>163</v>
      </c>
      <c r="B49" s="601"/>
      <c r="C49" s="601"/>
      <c r="D49" s="523" t="s">
        <v>131</v>
      </c>
      <c r="E49" s="510">
        <f>'6'!F49</f>
        <v>260732.13</v>
      </c>
      <c r="F49" s="510">
        <v>260732.13</v>
      </c>
      <c r="G49" s="473">
        <f t="shared" ref="G49:G58" si="4">F49-E49</f>
        <v>0</v>
      </c>
      <c r="H49" s="460">
        <f>G49+'6'!H49</f>
        <v>0.13000000000465661</v>
      </c>
      <c r="I49" s="455"/>
      <c r="J49" s="552">
        <f>H49/DAY(B2)</f>
        <v>1.85714285720938E-2</v>
      </c>
      <c r="K49" s="428"/>
      <c r="L49" s="377"/>
      <c r="N49" s="382"/>
    </row>
    <row r="50" spans="1:14">
      <c r="A50" s="578" t="s">
        <v>177</v>
      </c>
      <c r="B50" s="601"/>
      <c r="C50" s="601"/>
      <c r="D50" s="523" t="s">
        <v>131</v>
      </c>
      <c r="E50" s="510">
        <f>'6'!F50</f>
        <v>508527.71</v>
      </c>
      <c r="F50" s="510">
        <v>509372.19</v>
      </c>
      <c r="G50" s="473">
        <f t="shared" si="4"/>
        <v>844.47999999998137</v>
      </c>
      <c r="H50" s="460">
        <f>G50+'6'!H50</f>
        <v>6836.1900000000023</v>
      </c>
      <c r="I50" s="455"/>
      <c r="J50" s="552">
        <f>H50/DAY(B2)</f>
        <v>976.59857142857174</v>
      </c>
      <c r="K50" s="428"/>
      <c r="L50" s="377"/>
      <c r="N50" s="382"/>
    </row>
    <row r="51" spans="1:14">
      <c r="A51" s="578" t="s">
        <v>165</v>
      </c>
      <c r="B51" s="601"/>
      <c r="C51" s="601"/>
      <c r="D51" s="523" t="s">
        <v>131</v>
      </c>
      <c r="E51" s="510">
        <f>'6'!F51</f>
        <v>144639.87</v>
      </c>
      <c r="F51" s="510">
        <v>144639.87</v>
      </c>
      <c r="G51" s="473">
        <f t="shared" si="4"/>
        <v>0</v>
      </c>
      <c r="H51" s="460">
        <f>G51+'6'!H51</f>
        <v>-0.13000000000465661</v>
      </c>
      <c r="I51" s="455"/>
      <c r="J51" s="552">
        <f>H51/DAY(B2)</f>
        <v>-1.85714285720938E-2</v>
      </c>
      <c r="K51" s="428"/>
      <c r="L51" s="377"/>
      <c r="N51" s="382"/>
    </row>
    <row r="52" spans="1:14">
      <c r="A52" s="578" t="s">
        <v>178</v>
      </c>
      <c r="B52" s="601"/>
      <c r="C52" s="601"/>
      <c r="D52" s="523" t="s">
        <v>131</v>
      </c>
      <c r="E52" s="510">
        <f>'6'!F52</f>
        <v>539606.06999999995</v>
      </c>
      <c r="F52" s="510">
        <v>539606.06999999995</v>
      </c>
      <c r="G52" s="473">
        <f t="shared" si="4"/>
        <v>0</v>
      </c>
      <c r="H52" s="460">
        <f>G52+'6'!H52</f>
        <v>6.9999999948777258E-2</v>
      </c>
      <c r="I52" s="455"/>
      <c r="J52" s="552">
        <f>H52/DAY(B2)</f>
        <v>9.9999999926824647E-3</v>
      </c>
      <c r="K52" s="428"/>
      <c r="L52" s="377"/>
      <c r="N52" s="382"/>
    </row>
    <row r="53" spans="1:14">
      <c r="A53" s="578" t="s">
        <v>167</v>
      </c>
      <c r="B53" s="601"/>
      <c r="C53" s="601"/>
      <c r="D53" s="523" t="s">
        <v>131</v>
      </c>
      <c r="E53" s="510">
        <f>'6'!F53</f>
        <v>434231.67</v>
      </c>
      <c r="F53" s="510">
        <v>434231.67</v>
      </c>
      <c r="G53" s="473">
        <f t="shared" si="4"/>
        <v>0</v>
      </c>
      <c r="H53" s="460">
        <f>G53+'6'!H53</f>
        <v>1663.6699999999837</v>
      </c>
      <c r="I53" s="455"/>
      <c r="J53" s="552">
        <f>H53/DAY(B2)</f>
        <v>237.66714285714053</v>
      </c>
      <c r="K53" s="428"/>
      <c r="L53" s="377"/>
      <c r="N53" s="382"/>
    </row>
    <row r="54" spans="1:14">
      <c r="A54" s="578" t="s">
        <v>179</v>
      </c>
      <c r="B54" s="601"/>
      <c r="C54" s="601"/>
      <c r="D54" s="523" t="s">
        <v>131</v>
      </c>
      <c r="E54" s="510">
        <f>'6'!F54</f>
        <v>14253.88</v>
      </c>
      <c r="F54" s="510">
        <v>14337.14</v>
      </c>
      <c r="G54" s="473">
        <f t="shared" si="4"/>
        <v>83.260000000000218</v>
      </c>
      <c r="H54" s="460">
        <f>G54+'6'!H54</f>
        <v>587.13999999999942</v>
      </c>
      <c r="I54" s="455"/>
      <c r="J54" s="552">
        <f>H54/DAY(B2)</f>
        <v>83.877142857142772</v>
      </c>
      <c r="K54" s="428"/>
      <c r="L54" s="377"/>
      <c r="N54" s="382"/>
    </row>
    <row r="55" spans="1:14">
      <c r="A55" s="578" t="s">
        <v>180</v>
      </c>
      <c r="B55" s="601"/>
      <c r="C55" s="601"/>
      <c r="D55" s="523" t="s">
        <v>131</v>
      </c>
      <c r="E55" s="510">
        <f>'6'!F55</f>
        <v>68110.679999999993</v>
      </c>
      <c r="F55" s="654">
        <v>68136.52</v>
      </c>
      <c r="G55" s="653">
        <f t="shared" si="4"/>
        <v>25.840000000011059</v>
      </c>
      <c r="H55" s="706">
        <f>G55+'6'!H55</f>
        <v>25.520000000004075</v>
      </c>
      <c r="I55" s="707"/>
      <c r="J55" s="708">
        <f>H55/DAY(B2)</f>
        <v>3.6457142857148677</v>
      </c>
      <c r="K55" s="428"/>
      <c r="L55" s="377"/>
      <c r="N55" s="382"/>
    </row>
    <row r="56" spans="1:14">
      <c r="A56" s="587" t="s">
        <v>181</v>
      </c>
      <c r="B56" s="1065"/>
      <c r="C56" s="1065"/>
      <c r="D56" s="524" t="s">
        <v>182</v>
      </c>
      <c r="E56" s="510">
        <f>'6'!F56</f>
        <v>646184.27</v>
      </c>
      <c r="F56" s="1034">
        <v>648795.11</v>
      </c>
      <c r="G56" s="774">
        <f t="shared" si="4"/>
        <v>2610.8399999999674</v>
      </c>
      <c r="H56" s="460">
        <f>G56+'6'!H56</f>
        <v>31597.109999999986</v>
      </c>
      <c r="I56" s="455"/>
      <c r="J56" s="552">
        <f>H56/DAY(B2)</f>
        <v>4513.8728571428555</v>
      </c>
      <c r="K56" s="427"/>
      <c r="L56" s="377"/>
      <c r="N56" s="382"/>
    </row>
    <row r="57" spans="1:14">
      <c r="A57" s="578" t="s">
        <v>171</v>
      </c>
      <c r="B57" s="601"/>
      <c r="C57" s="601"/>
      <c r="D57" s="523" t="s">
        <v>131</v>
      </c>
      <c r="E57" s="510">
        <f>'6'!F57</f>
        <v>7711</v>
      </c>
      <c r="F57" s="510">
        <v>7711</v>
      </c>
      <c r="G57" s="473">
        <f t="shared" si="4"/>
        <v>0</v>
      </c>
      <c r="H57" s="460">
        <f>G57+'6'!H57</f>
        <v>0</v>
      </c>
      <c r="I57" s="455"/>
      <c r="J57" s="552">
        <f>H57/DAY(B2)</f>
        <v>0</v>
      </c>
      <c r="K57" s="428"/>
      <c r="L57" s="377"/>
      <c r="N57" s="382"/>
    </row>
    <row r="58" spans="1:14">
      <c r="A58" s="578" t="s">
        <v>183</v>
      </c>
      <c r="B58" s="601"/>
      <c r="C58" s="601"/>
      <c r="D58" s="523" t="s">
        <v>131</v>
      </c>
      <c r="E58" s="510">
        <f>'6'!F58</f>
        <v>50233.39</v>
      </c>
      <c r="F58" s="654">
        <v>50479.54</v>
      </c>
      <c r="G58" s="473">
        <f t="shared" si="4"/>
        <v>246.15000000000146</v>
      </c>
      <c r="H58" s="460">
        <f>G58+'6'!H58</f>
        <v>854.54000000000087</v>
      </c>
      <c r="I58" s="455"/>
      <c r="J58" s="552">
        <f>H58/DAY(B2)</f>
        <v>122.07714285714299</v>
      </c>
      <c r="K58" s="428"/>
      <c r="L58" s="377"/>
      <c r="N58" s="382"/>
    </row>
    <row r="59" spans="1:14">
      <c r="A59" s="585" t="s">
        <v>175</v>
      </c>
      <c r="B59" s="586"/>
      <c r="C59" s="586"/>
      <c r="D59" s="511"/>
      <c r="E59" s="511"/>
      <c r="F59" s="511"/>
      <c r="G59" s="481">
        <f>G49+G50+G51+G52+G53+G54+G55+G56+G57+G58</f>
        <v>3810.5699999999615</v>
      </c>
      <c r="H59" s="460">
        <f>G59+'6'!H59</f>
        <v>41564.239999999925</v>
      </c>
      <c r="I59" s="455">
        <f>G7-G60</f>
        <v>341.94000000019878</v>
      </c>
      <c r="J59" s="552">
        <f>H59/DAY(B2)</f>
        <v>5937.7485714285604</v>
      </c>
      <c r="K59" s="428"/>
      <c r="L59" s="377"/>
      <c r="N59" s="382"/>
    </row>
    <row r="60" spans="1:14">
      <c r="A60" s="578"/>
      <c r="B60" s="579"/>
      <c r="C60" s="579"/>
      <c r="D60" s="511" t="s">
        <v>184</v>
      </c>
      <c r="E60" s="511"/>
      <c r="F60" s="511"/>
      <c r="G60" s="481">
        <f>G47+G59</f>
        <v>16895.099999999838</v>
      </c>
      <c r="H60" s="460">
        <f>G60+'6'!H60</f>
        <v>118600.71999999988</v>
      </c>
      <c r="I60" s="455">
        <f>G13-G60</f>
        <v>54.900000000161526</v>
      </c>
      <c r="J60" s="552">
        <f>H60/DAY(B2)</f>
        <v>16942.959999999985</v>
      </c>
      <c r="K60" s="428"/>
      <c r="L60" s="377"/>
      <c r="N60" s="382"/>
    </row>
    <row r="61" spans="1:14">
      <c r="A61" s="602" t="s">
        <v>185</v>
      </c>
      <c r="B61" s="453"/>
      <c r="C61" s="453"/>
      <c r="D61" s="513"/>
      <c r="E61" s="512"/>
      <c r="F61" s="512"/>
      <c r="G61" s="513"/>
      <c r="H61" s="513"/>
      <c r="I61" s="513"/>
      <c r="J61" s="555"/>
      <c r="K61" s="428"/>
      <c r="L61" s="377"/>
      <c r="N61" s="382"/>
    </row>
    <row r="62" spans="1:14">
      <c r="A62" s="603" t="s">
        <v>97</v>
      </c>
      <c r="B62" s="604"/>
      <c r="C62" s="604"/>
      <c r="D62" s="511" t="s">
        <v>186</v>
      </c>
      <c r="E62" s="514">
        <f>'6'!F62</f>
        <v>0</v>
      </c>
      <c r="F62" s="514">
        <v>0</v>
      </c>
      <c r="G62" s="473">
        <f t="shared" ref="G62:G69" si="5">F62-E62</f>
        <v>0</v>
      </c>
      <c r="H62" s="460">
        <f>G62+'6'!H62</f>
        <v>1.9999999967694748E-3</v>
      </c>
      <c r="I62" s="515"/>
      <c r="J62" s="552">
        <f>H62/DAY(B2)</f>
        <v>2.8571428525278212E-4</v>
      </c>
      <c r="K62" s="428"/>
      <c r="L62" s="377"/>
      <c r="N62" s="382"/>
    </row>
    <row r="63" spans="1:14">
      <c r="A63" s="603" t="s">
        <v>187</v>
      </c>
      <c r="B63" s="604"/>
      <c r="C63" s="604"/>
      <c r="D63" s="511" t="s">
        <v>186</v>
      </c>
      <c r="E63" s="514">
        <f>'6'!F63</f>
        <v>0</v>
      </c>
      <c r="F63" s="514">
        <v>0</v>
      </c>
      <c r="G63" s="473">
        <f t="shared" si="5"/>
        <v>0</v>
      </c>
      <c r="H63" s="460">
        <f>G63+'6'!H63</f>
        <v>0</v>
      </c>
      <c r="I63" s="515"/>
      <c r="J63" s="552">
        <f>H63/DAY(B2)</f>
        <v>0</v>
      </c>
      <c r="K63" s="428"/>
      <c r="L63" s="377"/>
      <c r="N63" s="382"/>
    </row>
    <row r="64" spans="1:14" ht="27.75">
      <c r="A64" s="1534" t="s">
        <v>98</v>
      </c>
      <c r="B64" s="1535"/>
      <c r="C64" s="1536"/>
      <c r="D64" s="523" t="s">
        <v>186</v>
      </c>
      <c r="E64" s="484">
        <f>'6'!F64</f>
        <v>161236.62</v>
      </c>
      <c r="F64" s="478">
        <v>161599.64000000001</v>
      </c>
      <c r="G64" s="473">
        <f t="shared" si="5"/>
        <v>363.02000000001863</v>
      </c>
      <c r="H64" s="460">
        <f>G64+'6'!H64</f>
        <v>1667.640000000014</v>
      </c>
      <c r="I64" s="480"/>
      <c r="J64" s="552">
        <f>H64/DAY(B2)</f>
        <v>238.23428571428772</v>
      </c>
      <c r="K64" s="428"/>
      <c r="L64" s="377"/>
      <c r="N64" s="382"/>
    </row>
    <row r="65" spans="1:14" ht="27.75">
      <c r="A65" s="1534" t="s">
        <v>99</v>
      </c>
      <c r="B65" s="1535"/>
      <c r="C65" s="1536"/>
      <c r="D65" s="523" t="s">
        <v>186</v>
      </c>
      <c r="E65" s="484">
        <f>'6'!F65</f>
        <v>162454.46</v>
      </c>
      <c r="F65" s="652">
        <v>162666.95000000001</v>
      </c>
      <c r="G65" s="473">
        <f t="shared" si="5"/>
        <v>212.49000000001979</v>
      </c>
      <c r="H65" s="460">
        <f>G65+'6'!H65</f>
        <v>1668.9500000000116</v>
      </c>
      <c r="I65" s="489"/>
      <c r="J65" s="552">
        <f>H65/DAY(B2)</f>
        <v>238.42142857143023</v>
      </c>
      <c r="K65" s="428"/>
      <c r="L65" s="377"/>
      <c r="N65" s="382"/>
    </row>
    <row r="66" spans="1:14" ht="27.75">
      <c r="A66" s="1534" t="s">
        <v>100</v>
      </c>
      <c r="B66" s="1535"/>
      <c r="C66" s="1536"/>
      <c r="D66" s="523" t="s">
        <v>186</v>
      </c>
      <c r="E66" s="484">
        <f>'6'!F66</f>
        <v>58595.66</v>
      </c>
      <c r="F66" s="478">
        <v>58981.97</v>
      </c>
      <c r="G66" s="473">
        <f t="shared" si="5"/>
        <v>386.30999999999767</v>
      </c>
      <c r="H66" s="460">
        <f>G66+'6'!H66</f>
        <v>2176.9700000000012</v>
      </c>
      <c r="I66" s="480"/>
      <c r="J66" s="552">
        <f>H66/DAY(B2)</f>
        <v>310.99571428571443</v>
      </c>
      <c r="K66" s="428"/>
      <c r="L66" s="377"/>
      <c r="N66" s="382"/>
    </row>
    <row r="67" spans="1:14" ht="27.75">
      <c r="A67" s="1534" t="s">
        <v>101</v>
      </c>
      <c r="B67" s="1535"/>
      <c r="C67" s="1536"/>
      <c r="D67" s="523" t="s">
        <v>186</v>
      </c>
      <c r="E67" s="484">
        <f>'6'!F67</f>
        <v>254561.33</v>
      </c>
      <c r="F67" s="478">
        <v>254935.67</v>
      </c>
      <c r="G67" s="473">
        <f t="shared" si="5"/>
        <v>374.34000000002561</v>
      </c>
      <c r="H67" s="460">
        <f>G67+'6'!H67</f>
        <v>2743.6700000000128</v>
      </c>
      <c r="I67" s="489"/>
      <c r="J67" s="552">
        <f>H67/DAY(B2)</f>
        <v>391.95285714285899</v>
      </c>
      <c r="K67" s="429"/>
      <c r="L67" s="377"/>
      <c r="N67" s="382"/>
    </row>
    <row r="68" spans="1:14" ht="27.75">
      <c r="A68" s="1534" t="s">
        <v>102</v>
      </c>
      <c r="B68" s="1535"/>
      <c r="C68" s="1536"/>
      <c r="D68" s="523" t="s">
        <v>186</v>
      </c>
      <c r="E68" s="484">
        <f>'6'!F68</f>
        <v>85321</v>
      </c>
      <c r="F68" s="478">
        <v>85321</v>
      </c>
      <c r="G68" s="473">
        <f t="shared" si="5"/>
        <v>0</v>
      </c>
      <c r="H68" s="460">
        <f>G68+'6'!H68</f>
        <v>0</v>
      </c>
      <c r="I68" s="516"/>
      <c r="J68" s="552">
        <f>H68/DAY(B2)</f>
        <v>0</v>
      </c>
      <c r="K68" s="430"/>
      <c r="L68" s="377"/>
      <c r="N68" s="382"/>
    </row>
    <row r="69" spans="1:14" ht="27.75">
      <c r="A69" s="1534" t="s">
        <v>103</v>
      </c>
      <c r="B69" s="1535"/>
      <c r="C69" s="1536"/>
      <c r="D69" s="523" t="s">
        <v>186</v>
      </c>
      <c r="E69" s="484">
        <f>'6'!F69</f>
        <v>82405.13</v>
      </c>
      <c r="F69" s="478">
        <v>82527.33</v>
      </c>
      <c r="G69" s="473">
        <f t="shared" si="5"/>
        <v>122.19999999999709</v>
      </c>
      <c r="H69" s="460">
        <f>G69+'6'!H69</f>
        <v>778.33000000000175</v>
      </c>
      <c r="I69" s="516"/>
      <c r="J69" s="552">
        <f>H69/DAY(B2)</f>
        <v>111.19000000000025</v>
      </c>
      <c r="K69" s="431"/>
      <c r="L69" s="377"/>
      <c r="N69" s="382"/>
    </row>
    <row r="70" spans="1:14" ht="27.75">
      <c r="A70" s="1566" t="s">
        <v>188</v>
      </c>
      <c r="B70" s="1567"/>
      <c r="C70" s="1568"/>
      <c r="D70" s="523" t="s">
        <v>186</v>
      </c>
      <c r="E70" s="518"/>
      <c r="F70" s="518"/>
      <c r="G70" s="518"/>
      <c r="H70" s="460"/>
      <c r="I70" s="518"/>
      <c r="J70" s="556"/>
      <c r="K70" s="431"/>
      <c r="L70" s="377"/>
      <c r="N70" s="382"/>
    </row>
    <row r="71" spans="1:14" ht="31.5">
      <c r="A71" s="1580" t="s">
        <v>189</v>
      </c>
      <c r="B71" s="1581"/>
      <c r="C71" s="1581"/>
      <c r="D71" s="1581"/>
      <c r="E71" s="1581"/>
      <c r="F71" s="1581"/>
      <c r="G71" s="1581"/>
      <c r="H71" s="1581"/>
      <c r="I71" s="1581"/>
      <c r="J71" s="1582"/>
      <c r="K71" s="430"/>
      <c r="L71" s="377"/>
      <c r="N71" s="382"/>
    </row>
    <row r="72" spans="1:14" ht="27.75">
      <c r="A72" s="1534" t="s">
        <v>190</v>
      </c>
      <c r="B72" s="1535"/>
      <c r="C72" s="1536"/>
      <c r="D72" s="523" t="s">
        <v>186</v>
      </c>
      <c r="E72" s="519">
        <f>'6'!F72</f>
        <v>855922</v>
      </c>
      <c r="F72" s="655">
        <v>855939</v>
      </c>
      <c r="G72" s="473">
        <f t="shared" ref="G72:G84" si="6">F72-E72</f>
        <v>17</v>
      </c>
      <c r="H72" s="460">
        <f>G72+'6'!H72</f>
        <v>96</v>
      </c>
      <c r="I72" s="480"/>
      <c r="J72" s="552">
        <f>H72/DAY(B2)</f>
        <v>13.714285714285714</v>
      </c>
      <c r="K72" s="431"/>
      <c r="L72" s="377"/>
      <c r="N72" s="382"/>
    </row>
    <row r="73" spans="1:14" ht="27.75">
      <c r="A73" s="1534" t="s">
        <v>191</v>
      </c>
      <c r="B73" s="1535"/>
      <c r="C73" s="1536"/>
      <c r="D73" s="523" t="s">
        <v>186</v>
      </c>
      <c r="E73" s="519">
        <f>'6'!F73</f>
        <v>885944</v>
      </c>
      <c r="F73" s="656">
        <v>885945</v>
      </c>
      <c r="G73" s="653">
        <f t="shared" si="6"/>
        <v>1</v>
      </c>
      <c r="H73" s="460">
        <f>G73+'6'!H73</f>
        <v>8</v>
      </c>
      <c r="I73" s="480"/>
      <c r="J73" s="552">
        <f>H73/DAY(B2)</f>
        <v>1.1428571428571428</v>
      </c>
      <c r="K73" s="430"/>
      <c r="L73" s="377"/>
      <c r="N73" s="382"/>
    </row>
    <row r="74" spans="1:14" ht="27.75">
      <c r="A74" s="1534" t="s">
        <v>192</v>
      </c>
      <c r="B74" s="1535"/>
      <c r="C74" s="1536"/>
      <c r="D74" s="523" t="s">
        <v>186</v>
      </c>
      <c r="E74" s="519">
        <f>'6'!F74</f>
        <v>2599.96</v>
      </c>
      <c r="F74" s="655">
        <v>2599.96</v>
      </c>
      <c r="G74" s="473">
        <f t="shared" si="6"/>
        <v>0</v>
      </c>
      <c r="H74" s="460">
        <f>G74+'6'!H74</f>
        <v>13.960000000000036</v>
      </c>
      <c r="I74" s="480"/>
      <c r="J74" s="552">
        <f>H74/DAY(B2)</f>
        <v>1.9942857142857195</v>
      </c>
      <c r="K74" s="431"/>
      <c r="L74" s="377"/>
      <c r="N74" s="382"/>
    </row>
    <row r="75" spans="1:14" ht="27.75">
      <c r="A75" s="1583" t="s">
        <v>193</v>
      </c>
      <c r="B75" s="1584"/>
      <c r="C75" s="1585"/>
      <c r="D75" s="523" t="s">
        <v>186</v>
      </c>
      <c r="E75" s="519">
        <f>'6'!F75</f>
        <v>13034.7</v>
      </c>
      <c r="F75" s="656">
        <v>13112.68</v>
      </c>
      <c r="G75" s="473">
        <f t="shared" si="6"/>
        <v>77.979999999999563</v>
      </c>
      <c r="H75" s="460">
        <f>G75+'6'!H75</f>
        <v>443.68000000000029</v>
      </c>
      <c r="I75" s="480"/>
      <c r="J75" s="552">
        <f>H75/DAY(B2)</f>
        <v>63.382857142857183</v>
      </c>
      <c r="K75" s="430"/>
      <c r="L75" s="377"/>
      <c r="N75" s="382"/>
    </row>
    <row r="76" spans="1:14" ht="27.75">
      <c r="A76" s="1583" t="s">
        <v>194</v>
      </c>
      <c r="B76" s="1584"/>
      <c r="C76" s="1585"/>
      <c r="D76" s="523" t="s">
        <v>186</v>
      </c>
      <c r="E76" s="519">
        <f>'6'!F76</f>
        <v>7776.46</v>
      </c>
      <c r="F76" s="656">
        <v>7837</v>
      </c>
      <c r="G76" s="473">
        <f t="shared" si="6"/>
        <v>60.539999999999964</v>
      </c>
      <c r="H76" s="460">
        <f>G76+'6'!H76</f>
        <v>418</v>
      </c>
      <c r="I76" s="505"/>
      <c r="J76" s="552">
        <f>H76/DAY(B2)</f>
        <v>59.714285714285715</v>
      </c>
      <c r="K76" s="430"/>
      <c r="L76" s="377"/>
      <c r="N76" s="382"/>
    </row>
    <row r="77" spans="1:14" ht="27.75">
      <c r="A77" s="1534" t="s">
        <v>195</v>
      </c>
      <c r="B77" s="1535"/>
      <c r="C77" s="1536"/>
      <c r="D77" s="523" t="s">
        <v>186</v>
      </c>
      <c r="E77" s="519">
        <f>'6'!F77</f>
        <v>703136</v>
      </c>
      <c r="F77" s="656">
        <v>703182</v>
      </c>
      <c r="G77" s="653">
        <f t="shared" si="6"/>
        <v>46</v>
      </c>
      <c r="H77" s="460">
        <f>G77+'6'!H77</f>
        <v>343</v>
      </c>
      <c r="I77" s="505"/>
      <c r="J77" s="552">
        <f>H77/DAY(B2)</f>
        <v>49</v>
      </c>
      <c r="K77" s="430"/>
      <c r="L77" s="377"/>
      <c r="N77" s="382"/>
    </row>
    <row r="78" spans="1:14" ht="27.75">
      <c r="A78" s="1144" t="s">
        <v>196</v>
      </c>
      <c r="B78" s="1117"/>
      <c r="C78" s="1117"/>
      <c r="D78" s="523" t="s">
        <v>186</v>
      </c>
      <c r="E78" s="519">
        <f>'6'!F78</f>
        <v>673546</v>
      </c>
      <c r="F78" s="657">
        <v>673645</v>
      </c>
      <c r="G78" s="473">
        <f t="shared" si="6"/>
        <v>99</v>
      </c>
      <c r="H78" s="460">
        <f>G78+'6'!H78</f>
        <v>613</v>
      </c>
      <c r="I78" s="505"/>
      <c r="J78" s="552">
        <f>H78/DAY(B2)</f>
        <v>87.571428571428569</v>
      </c>
      <c r="K78" s="430"/>
      <c r="L78" s="377"/>
      <c r="N78" s="382"/>
    </row>
    <row r="79" spans="1:14" ht="27.75">
      <c r="A79" s="1583" t="s">
        <v>91</v>
      </c>
      <c r="B79" s="1584"/>
      <c r="C79" s="1585"/>
      <c r="D79" s="524" t="s">
        <v>186</v>
      </c>
      <c r="E79" s="519">
        <f>'6'!F79</f>
        <v>831946</v>
      </c>
      <c r="F79" s="655">
        <v>832086</v>
      </c>
      <c r="G79" s="473">
        <f t="shared" si="6"/>
        <v>140</v>
      </c>
      <c r="H79" s="460">
        <f>G79+'6'!H79</f>
        <v>1076</v>
      </c>
      <c r="I79" s="505"/>
      <c r="J79" s="552">
        <f>H79/DAY(B2)</f>
        <v>153.71428571428572</v>
      </c>
      <c r="K79" s="430"/>
      <c r="L79" s="377"/>
      <c r="N79" s="382"/>
    </row>
    <row r="80" spans="1:14" ht="27.75">
      <c r="A80" s="1583" t="s">
        <v>197</v>
      </c>
      <c r="B80" s="1584"/>
      <c r="C80" s="1585"/>
      <c r="D80" s="524" t="s">
        <v>186</v>
      </c>
      <c r="E80" s="519">
        <f>'6'!F80</f>
        <v>530011.04</v>
      </c>
      <c r="F80" s="656">
        <v>530345</v>
      </c>
      <c r="G80" s="473">
        <f t="shared" si="6"/>
        <v>333.95999999996275</v>
      </c>
      <c r="H80" s="460">
        <f>G80+'6'!H80</f>
        <v>2687</v>
      </c>
      <c r="I80" s="505"/>
      <c r="J80" s="552">
        <f>H80/DAY(B2)</f>
        <v>383.85714285714283</v>
      </c>
      <c r="K80" s="430"/>
      <c r="L80" s="377"/>
      <c r="N80" s="382"/>
    </row>
    <row r="81" spans="1:15" ht="27.75">
      <c r="A81" s="1583" t="s">
        <v>198</v>
      </c>
      <c r="B81" s="1584"/>
      <c r="C81" s="1585"/>
      <c r="D81" s="524" t="s">
        <v>186</v>
      </c>
      <c r="E81" s="519">
        <f>'6'!F81</f>
        <v>639443.31999999995</v>
      </c>
      <c r="F81" s="656">
        <v>639534</v>
      </c>
      <c r="G81" s="473">
        <f t="shared" si="6"/>
        <v>90.680000000051223</v>
      </c>
      <c r="H81" s="460">
        <f>G81+'6'!H81</f>
        <v>636</v>
      </c>
      <c r="I81" s="505"/>
      <c r="J81" s="552">
        <f>H81/DAY(B2)</f>
        <v>90.857142857142861</v>
      </c>
      <c r="K81" s="430"/>
      <c r="L81" s="377"/>
      <c r="N81" s="382"/>
    </row>
    <row r="82" spans="1:15" ht="27.75">
      <c r="A82" s="1583" t="s">
        <v>92</v>
      </c>
      <c r="B82" s="1584"/>
      <c r="C82" s="1585"/>
      <c r="D82" s="485" t="s">
        <v>131</v>
      </c>
      <c r="E82" s="519">
        <f>'6'!F82</f>
        <v>108252.88</v>
      </c>
      <c r="F82" s="652">
        <v>108264</v>
      </c>
      <c r="G82" s="473">
        <f t="shared" si="6"/>
        <v>11.119999999995343</v>
      </c>
      <c r="H82" s="460">
        <f>G82+'6'!H82</f>
        <v>106</v>
      </c>
      <c r="I82" s="486"/>
      <c r="J82" s="552">
        <f>H82/DAY(B2)</f>
        <v>15.142857142857142</v>
      </c>
      <c r="K82" s="430"/>
      <c r="L82" s="377"/>
      <c r="N82" s="382"/>
    </row>
    <row r="83" spans="1:15" ht="27.75">
      <c r="A83" s="1583" t="s">
        <v>199</v>
      </c>
      <c r="B83" s="1584"/>
      <c r="C83" s="1585"/>
      <c r="D83" s="620" t="s">
        <v>131</v>
      </c>
      <c r="E83" s="519">
        <f>'6'!F83</f>
        <v>21756</v>
      </c>
      <c r="F83" s="620">
        <v>21938</v>
      </c>
      <c r="G83" s="473">
        <f t="shared" si="6"/>
        <v>182</v>
      </c>
      <c r="H83" s="460">
        <f>G83+'6'!H83</f>
        <v>1432</v>
      </c>
      <c r="I83" s="481"/>
      <c r="J83" s="552">
        <f>H83/DAY(B2)</f>
        <v>204.57142857142858</v>
      </c>
      <c r="K83" s="429"/>
      <c r="L83" s="377"/>
      <c r="N83" s="382"/>
    </row>
    <row r="84" spans="1:15">
      <c r="A84" s="1145" t="s">
        <v>200</v>
      </c>
      <c r="B84" s="571"/>
      <c r="C84" s="571"/>
      <c r="D84" s="478" t="s">
        <v>131</v>
      </c>
      <c r="E84" s="519">
        <f>'6'!F84</f>
        <v>505283</v>
      </c>
      <c r="F84" s="627">
        <v>506046</v>
      </c>
      <c r="G84" s="473">
        <f t="shared" si="6"/>
        <v>763</v>
      </c>
      <c r="H84" s="460">
        <f>G84+'6'!H84</f>
        <v>5752</v>
      </c>
      <c r="I84" s="481"/>
      <c r="J84" s="552">
        <f>H84/DAY(B2)</f>
        <v>821.71428571428567</v>
      </c>
      <c r="K84" s="380"/>
      <c r="L84" s="377"/>
      <c r="N84" s="382"/>
    </row>
    <row r="85" spans="1:15" s="379" customFormat="1">
      <c r="A85" s="605" t="s">
        <v>201</v>
      </c>
      <c r="B85" s="572"/>
      <c r="C85" s="572"/>
      <c r="D85" s="489"/>
      <c r="E85" s="523"/>
      <c r="F85" s="523"/>
      <c r="G85" s="460">
        <f xml:space="preserve"> SUM(G71:G84)</f>
        <v>1822.2800000000088</v>
      </c>
      <c r="H85" s="460">
        <f>G85+'6'!H85</f>
        <v>13624.64</v>
      </c>
      <c r="I85" s="481"/>
      <c r="J85" s="552">
        <f>H85/DAY(B2)</f>
        <v>1946.3771428571429</v>
      </c>
      <c r="K85" s="380"/>
      <c r="L85" s="378"/>
      <c r="N85" s="382"/>
    </row>
    <row r="86" spans="1:15" s="736" customFormat="1">
      <c r="A86" s="731" t="s">
        <v>93</v>
      </c>
      <c r="B86" s="732"/>
      <c r="C86" s="732"/>
      <c r="D86" s="652" t="s">
        <v>182</v>
      </c>
      <c r="E86" s="627">
        <f>'6'!F86</f>
        <v>461126.64</v>
      </c>
      <c r="F86" s="648">
        <v>461154</v>
      </c>
      <c r="G86" s="706">
        <f t="shared" ref="G86:G91" si="7">F86-E86</f>
        <v>27.35999999998603</v>
      </c>
      <c r="H86" s="460">
        <f>G86+'6'!H86</f>
        <v>219</v>
      </c>
      <c r="I86" s="653"/>
      <c r="J86" s="708">
        <f>H86/DAY(B2)</f>
        <v>31.285714285714285</v>
      </c>
      <c r="K86" s="734"/>
      <c r="L86" s="735"/>
      <c r="O86" s="714"/>
    </row>
    <row r="87" spans="1:15" s="736" customFormat="1">
      <c r="A87" s="731" t="s">
        <v>94</v>
      </c>
      <c r="B87" s="732"/>
      <c r="C87" s="732"/>
      <c r="D87" s="652" t="s">
        <v>182</v>
      </c>
      <c r="E87" s="627">
        <f>'6'!F87</f>
        <v>81482.3</v>
      </c>
      <c r="F87" s="648">
        <v>81504.800000000003</v>
      </c>
      <c r="G87" s="706">
        <f t="shared" si="7"/>
        <v>22.5</v>
      </c>
      <c r="H87" s="460">
        <f>G87+'6'!H87</f>
        <v>129.80000000000291</v>
      </c>
      <c r="I87" s="653"/>
      <c r="J87" s="708">
        <f>H87/DAY(B2)</f>
        <v>18.54285714285756</v>
      </c>
      <c r="K87" s="734"/>
      <c r="L87" s="735"/>
      <c r="O87" s="714"/>
    </row>
    <row r="88" spans="1:15" s="736" customFormat="1">
      <c r="A88" s="731" t="s">
        <v>95</v>
      </c>
      <c r="B88" s="732"/>
      <c r="C88" s="732"/>
      <c r="D88" s="652" t="s">
        <v>182</v>
      </c>
      <c r="E88" s="627">
        <f>'6'!F88</f>
        <v>153356.99</v>
      </c>
      <c r="F88" s="648">
        <v>153380</v>
      </c>
      <c r="G88" s="706">
        <f t="shared" si="7"/>
        <v>23.010000000009313</v>
      </c>
      <c r="H88" s="460">
        <f>G88+'6'!H88</f>
        <v>316</v>
      </c>
      <c r="I88" s="653"/>
      <c r="J88" s="708">
        <f>H88/DAY(B2)</f>
        <v>45.142857142857146</v>
      </c>
      <c r="K88" s="734"/>
      <c r="L88" s="735"/>
      <c r="O88" s="714"/>
    </row>
    <row r="89" spans="1:15" s="736" customFormat="1">
      <c r="A89" s="731" t="s">
        <v>203</v>
      </c>
      <c r="B89" s="732"/>
      <c r="C89" s="732"/>
      <c r="D89" s="652" t="s">
        <v>182</v>
      </c>
      <c r="E89" s="627">
        <f>'6'!F89</f>
        <v>65251.8</v>
      </c>
      <c r="F89" s="648">
        <v>65284.6</v>
      </c>
      <c r="G89" s="706">
        <f t="shared" si="7"/>
        <v>32.799999999995634</v>
      </c>
      <c r="H89" s="460">
        <f>G89+'6'!H89</f>
        <v>110</v>
      </c>
      <c r="I89" s="653"/>
      <c r="J89" s="708">
        <f>H89/DAY(B2)</f>
        <v>15.714285714285714</v>
      </c>
      <c r="K89" s="734"/>
      <c r="L89" s="735"/>
      <c r="N89" s="778"/>
      <c r="O89" s="382"/>
    </row>
    <row r="90" spans="1:15" s="736" customFormat="1">
      <c r="A90" s="731" t="s">
        <v>203</v>
      </c>
      <c r="B90" s="732"/>
      <c r="C90" s="732"/>
      <c r="D90" s="652" t="s">
        <v>182</v>
      </c>
      <c r="E90" s="627">
        <f>'6'!F90</f>
        <v>3274.8</v>
      </c>
      <c r="F90" s="648">
        <v>3277.4</v>
      </c>
      <c r="G90" s="706">
        <f t="shared" si="7"/>
        <v>2.5999999999999091</v>
      </c>
      <c r="H90" s="460">
        <f>G90+'6'!H90</f>
        <v>3.8000000000001819</v>
      </c>
      <c r="I90" s="653"/>
      <c r="J90" s="708">
        <f>H90/DAY(B2)</f>
        <v>0.5428571428571688</v>
      </c>
      <c r="K90" s="734"/>
      <c r="L90" s="735"/>
      <c r="N90" s="778"/>
      <c r="O90" s="382"/>
    </row>
    <row r="91" spans="1:15" s="736" customFormat="1">
      <c r="A91" s="731" t="s">
        <v>350</v>
      </c>
      <c r="B91" s="732"/>
      <c r="C91" s="732"/>
      <c r="D91" s="733"/>
      <c r="E91" s="627">
        <f>'6'!F91</f>
        <v>28070.400000000001</v>
      </c>
      <c r="F91" s="648">
        <v>28076</v>
      </c>
      <c r="G91" s="706">
        <f t="shared" si="7"/>
        <v>5.5999999999985448</v>
      </c>
      <c r="H91" s="460">
        <f>G91+'6'!H91</f>
        <v>14.694400000000314</v>
      </c>
      <c r="I91" s="653"/>
      <c r="J91" s="708">
        <f>H91/DAY(B2)</f>
        <v>2.099200000000045</v>
      </c>
      <c r="K91" s="734"/>
      <c r="L91" s="735"/>
      <c r="N91" s="778"/>
      <c r="O91" s="382"/>
    </row>
    <row r="92" spans="1:15" s="379" customFormat="1">
      <c r="A92" s="606" t="s">
        <v>204</v>
      </c>
      <c r="B92" s="1147"/>
      <c r="C92" s="1147"/>
      <c r="D92" s="472"/>
      <c r="E92" s="472"/>
      <c r="F92" s="472"/>
      <c r="G92" s="488"/>
      <c r="H92" s="472"/>
      <c r="I92" s="472"/>
      <c r="J92" s="551"/>
      <c r="K92" s="380"/>
      <c r="L92" s="378"/>
      <c r="N92" s="382"/>
    </row>
    <row r="93" spans="1:15" ht="27.75">
      <c r="A93" s="1537" t="s">
        <v>205</v>
      </c>
      <c r="B93" s="1538"/>
      <c r="C93" s="1539"/>
      <c r="D93" s="523" t="s">
        <v>143</v>
      </c>
      <c r="E93" s="484">
        <f>'6'!F93</f>
        <v>245745</v>
      </c>
      <c r="F93" s="485">
        <v>245802</v>
      </c>
      <c r="G93" s="473">
        <f t="shared" ref="G93:G94" si="8">F93-E93</f>
        <v>57</v>
      </c>
      <c r="H93" s="460">
        <f>G93+'6'!H93</f>
        <v>314</v>
      </c>
      <c r="I93" s="480"/>
      <c r="J93" s="552">
        <f>H93/DAY(B2)</f>
        <v>44.857142857142854</v>
      </c>
      <c r="K93" s="429"/>
      <c r="L93" s="377"/>
      <c r="N93" s="382"/>
    </row>
    <row r="94" spans="1:15" ht="27.75">
      <c r="A94" s="1537" t="s">
        <v>206</v>
      </c>
      <c r="B94" s="1538"/>
      <c r="C94" s="1539"/>
      <c r="D94" s="523" t="s">
        <v>143</v>
      </c>
      <c r="E94" s="484">
        <f>'6'!F94</f>
        <v>186652</v>
      </c>
      <c r="F94" s="485">
        <v>186732</v>
      </c>
      <c r="G94" s="473">
        <f t="shared" si="8"/>
        <v>80</v>
      </c>
      <c r="H94" s="460">
        <f>G94+'6'!H94</f>
        <v>611</v>
      </c>
      <c r="I94" s="480"/>
      <c r="J94" s="552">
        <f>H94/DAY(B2)</f>
        <v>87.285714285714292</v>
      </c>
      <c r="K94" s="380"/>
      <c r="L94" s="377"/>
      <c r="N94" s="382"/>
    </row>
    <row r="95" spans="1:15">
      <c r="A95" s="1531" t="s">
        <v>207</v>
      </c>
      <c r="B95" s="1532"/>
      <c r="C95" s="1533"/>
      <c r="D95" s="523"/>
      <c r="E95" s="484">
        <f>'6'!F95</f>
        <v>0</v>
      </c>
      <c r="F95" s="478"/>
      <c r="G95" s="473">
        <f>G93+G94</f>
        <v>137</v>
      </c>
      <c r="H95" s="460">
        <f>G95+'6'!H95</f>
        <v>849</v>
      </c>
      <c r="I95" s="480"/>
      <c r="J95" s="552">
        <f>H95/DAY(B2)</f>
        <v>121.28571428571429</v>
      </c>
      <c r="K95" s="380"/>
      <c r="L95" s="377"/>
      <c r="N95" s="382"/>
    </row>
    <row r="96" spans="1:15" ht="27.75">
      <c r="A96" s="1537" t="s">
        <v>208</v>
      </c>
      <c r="B96" s="1538"/>
      <c r="C96" s="1539"/>
      <c r="D96" s="523" t="s">
        <v>143</v>
      </c>
      <c r="E96" s="484">
        <f>'6'!F96</f>
        <v>414580</v>
      </c>
      <c r="F96" s="478">
        <v>414647</v>
      </c>
      <c r="G96" s="473">
        <f t="shared" ref="G96:G101" si="9">F96-E96</f>
        <v>67</v>
      </c>
      <c r="H96" s="460">
        <f>G96+'6'!H96</f>
        <v>364</v>
      </c>
      <c r="I96" s="480"/>
      <c r="J96" s="552">
        <f>H96/DAY(B2)</f>
        <v>52</v>
      </c>
      <c r="K96" s="380"/>
      <c r="L96" s="377"/>
      <c r="N96" s="382"/>
    </row>
    <row r="97" spans="1:14" ht="27.75">
      <c r="A97" s="1141" t="s">
        <v>209</v>
      </c>
      <c r="B97" s="1142"/>
      <c r="C97" s="1142"/>
      <c r="D97" s="523" t="s">
        <v>143</v>
      </c>
      <c r="E97" s="484">
        <f>'6'!F97</f>
        <v>102724</v>
      </c>
      <c r="F97" s="478">
        <v>102731</v>
      </c>
      <c r="G97" s="473">
        <f t="shared" si="9"/>
        <v>7</v>
      </c>
      <c r="H97" s="460">
        <f>G97+'6'!H97</f>
        <v>83</v>
      </c>
      <c r="I97" s="480"/>
      <c r="J97" s="552">
        <f>H97/DAY(B2)</f>
        <v>11.857142857142858</v>
      </c>
      <c r="K97" s="427"/>
      <c r="L97" s="377"/>
      <c r="N97" s="382"/>
    </row>
    <row r="98" spans="1:14" ht="27.75">
      <c r="A98" s="1141" t="s">
        <v>210</v>
      </c>
      <c r="B98" s="1142"/>
      <c r="C98" s="1142"/>
      <c r="D98" s="523" t="s">
        <v>143</v>
      </c>
      <c r="E98" s="484">
        <f>'6'!F98</f>
        <v>98060</v>
      </c>
      <c r="F98" s="478">
        <v>98079</v>
      </c>
      <c r="G98" s="473">
        <f t="shared" si="9"/>
        <v>19</v>
      </c>
      <c r="H98" s="460">
        <f>G98+'6'!H98</f>
        <v>129</v>
      </c>
      <c r="I98" s="480"/>
      <c r="J98" s="552">
        <f>H98/DAY(B2)</f>
        <v>18.428571428571427</v>
      </c>
      <c r="K98" s="432"/>
      <c r="L98" s="377"/>
      <c r="N98" s="382"/>
    </row>
    <row r="99" spans="1:14" ht="27.75">
      <c r="A99" s="1141" t="s">
        <v>211</v>
      </c>
      <c r="B99" s="1142"/>
      <c r="C99" s="1142"/>
      <c r="D99" s="523" t="s">
        <v>143</v>
      </c>
      <c r="E99" s="484">
        <f>'6'!F99</f>
        <v>149903</v>
      </c>
      <c r="F99" s="478">
        <v>149905</v>
      </c>
      <c r="G99" s="473">
        <f t="shared" si="9"/>
        <v>2</v>
      </c>
      <c r="H99" s="460">
        <f>G99+'6'!H99</f>
        <v>53</v>
      </c>
      <c r="I99" s="480"/>
      <c r="J99" s="552">
        <f>H99/DAY(B2)</f>
        <v>7.5714285714285712</v>
      </c>
      <c r="K99" s="380"/>
      <c r="L99" s="377"/>
      <c r="N99" s="705"/>
    </row>
    <row r="100" spans="1:14" ht="27.75">
      <c r="A100" s="1141" t="s">
        <v>212</v>
      </c>
      <c r="B100" s="1142"/>
      <c r="C100" s="1142"/>
      <c r="D100" s="523" t="s">
        <v>143</v>
      </c>
      <c r="E100" s="484">
        <f>'6'!F100</f>
        <v>7454</v>
      </c>
      <c r="F100" s="478">
        <v>7465</v>
      </c>
      <c r="G100" s="473">
        <f t="shared" si="9"/>
        <v>11</v>
      </c>
      <c r="H100" s="460">
        <f>G100+'6'!H100</f>
        <v>96</v>
      </c>
      <c r="I100" s="480"/>
      <c r="J100" s="552">
        <f>H100/DAY(B2)</f>
        <v>13.714285714285714</v>
      </c>
      <c r="K100" s="380"/>
      <c r="L100" s="377"/>
      <c r="N100" s="382"/>
    </row>
    <row r="101" spans="1:14" ht="27.75">
      <c r="A101" s="1141" t="s">
        <v>213</v>
      </c>
      <c r="B101" s="1142"/>
      <c r="C101" s="1142"/>
      <c r="D101" s="523" t="s">
        <v>143</v>
      </c>
      <c r="E101" s="484">
        <f>'6'!F101</f>
        <v>5431</v>
      </c>
      <c r="F101" s="478">
        <v>5436</v>
      </c>
      <c r="G101" s="473">
        <f t="shared" si="9"/>
        <v>5</v>
      </c>
      <c r="H101" s="460">
        <f>G101+'6'!H101</f>
        <v>45</v>
      </c>
      <c r="I101" s="480"/>
      <c r="J101" s="552">
        <f>H101/DAY(B2)</f>
        <v>6.4285714285714288</v>
      </c>
      <c r="K101" s="380"/>
      <c r="L101" s="377"/>
      <c r="N101" s="382"/>
    </row>
    <row r="102" spans="1:14">
      <c r="A102" s="1531" t="s">
        <v>215</v>
      </c>
      <c r="B102" s="1532"/>
      <c r="C102" s="1533"/>
      <c r="D102" s="524"/>
      <c r="E102" s="524"/>
      <c r="F102" s="524"/>
      <c r="G102" s="525">
        <f>SUM(G96:G101)</f>
        <v>111</v>
      </c>
      <c r="H102" s="460">
        <f>G102+'6'!H102</f>
        <v>770</v>
      </c>
      <c r="I102" s="526"/>
      <c r="J102" s="552">
        <f>H102/DAY(B2)</f>
        <v>110</v>
      </c>
      <c r="K102" s="380"/>
      <c r="L102" s="377"/>
      <c r="N102" s="382"/>
    </row>
    <row r="103" spans="1:14" s="442" customFormat="1" ht="27">
      <c r="A103" s="607" t="s">
        <v>216</v>
      </c>
      <c r="B103" s="608"/>
      <c r="C103" s="608"/>
      <c r="D103" s="621"/>
      <c r="E103" s="528"/>
      <c r="F103" s="658"/>
      <c r="G103" s="529"/>
      <c r="H103" s="530"/>
      <c r="I103" s="531"/>
      <c r="J103" s="557"/>
      <c r="N103" s="382"/>
    </row>
    <row r="104" spans="1:14" s="442" customFormat="1" ht="27.75">
      <c r="A104" s="1540" t="s">
        <v>217</v>
      </c>
      <c r="B104" s="1541"/>
      <c r="C104" s="573"/>
      <c r="D104" s="622"/>
      <c r="E104" s="532"/>
      <c r="F104" s="659"/>
      <c r="G104" s="532"/>
      <c r="H104" s="533"/>
      <c r="I104" s="532"/>
      <c r="J104" s="558"/>
      <c r="N104" s="382"/>
    </row>
    <row r="105" spans="1:14" s="442" customFormat="1" ht="27.75">
      <c r="A105" s="1542" t="s">
        <v>218</v>
      </c>
      <c r="B105" s="1543"/>
      <c r="C105" s="1140"/>
      <c r="D105" s="622" t="s">
        <v>143</v>
      </c>
      <c r="E105" s="484">
        <f>'6'!F105</f>
        <v>7484</v>
      </c>
      <c r="F105" s="659">
        <v>7484</v>
      </c>
      <c r="G105" s="532">
        <f>F105-E105</f>
        <v>0</v>
      </c>
      <c r="H105" s="460">
        <f>G105+'6'!H105</f>
        <v>0</v>
      </c>
      <c r="I105" s="532"/>
      <c r="J105" s="558">
        <f>H105/DAY(B2)</f>
        <v>0</v>
      </c>
      <c r="N105" s="382"/>
    </row>
    <row r="106" spans="1:14" s="442" customFormat="1" ht="27.75">
      <c r="A106" s="1542" t="s">
        <v>76</v>
      </c>
      <c r="B106" s="1543"/>
      <c r="C106" s="1140"/>
      <c r="D106" s="622" t="s">
        <v>143</v>
      </c>
      <c r="E106" s="484">
        <f>'6'!F106</f>
        <v>35977</v>
      </c>
      <c r="F106" s="660">
        <v>35989</v>
      </c>
      <c r="G106" s="532">
        <f t="shared" ref="G106:G107" si="10">F106-E106</f>
        <v>12</v>
      </c>
      <c r="H106" s="460">
        <f>G106+'6'!H106</f>
        <v>36</v>
      </c>
      <c r="I106" s="532"/>
      <c r="J106" s="558">
        <f>H106/DAY(B2)</f>
        <v>5.1428571428571432</v>
      </c>
      <c r="N106" s="382"/>
    </row>
    <row r="107" spans="1:14" s="442" customFormat="1" ht="27.75">
      <c r="A107" s="1542" t="s">
        <v>77</v>
      </c>
      <c r="B107" s="1544"/>
      <c r="C107" s="1543"/>
      <c r="D107" s="622" t="s">
        <v>143</v>
      </c>
      <c r="E107" s="484">
        <f>'6'!F107</f>
        <v>19725</v>
      </c>
      <c r="F107" s="660">
        <v>19729</v>
      </c>
      <c r="G107" s="532">
        <f t="shared" si="10"/>
        <v>4</v>
      </c>
      <c r="H107" s="460">
        <f>G107+'6'!H107</f>
        <v>21</v>
      </c>
      <c r="I107" s="532"/>
      <c r="J107" s="558">
        <f>H107/DAY(B2)</f>
        <v>3</v>
      </c>
      <c r="N107" s="382"/>
    </row>
    <row r="108" spans="1:14" s="442" customFormat="1" ht="27.75">
      <c r="A108" s="1545" t="s">
        <v>201</v>
      </c>
      <c r="B108" s="1546"/>
      <c r="C108" s="1140"/>
      <c r="D108" s="622"/>
      <c r="E108" s="532"/>
      <c r="F108" s="660"/>
      <c r="G108" s="532">
        <f>SUM(G105:G107)</f>
        <v>16</v>
      </c>
      <c r="H108" s="460">
        <f>G108+'6'!H108</f>
        <v>57</v>
      </c>
      <c r="I108" s="532"/>
      <c r="J108" s="558">
        <f>H108/DAY(B2)</f>
        <v>8.1428571428571423</v>
      </c>
      <c r="N108" s="382"/>
    </row>
    <row r="109" spans="1:14" s="442" customFormat="1" ht="27.75">
      <c r="A109" s="1547" t="s">
        <v>78</v>
      </c>
      <c r="B109" s="1548"/>
      <c r="C109" s="1140"/>
      <c r="D109" s="622" t="s">
        <v>143</v>
      </c>
      <c r="E109" s="532"/>
      <c r="F109" s="660"/>
      <c r="G109" s="532"/>
      <c r="H109" s="460">
        <f>G109+'6'!H109</f>
        <v>0</v>
      </c>
      <c r="I109" s="532"/>
      <c r="J109" s="558"/>
      <c r="N109" s="382"/>
    </row>
    <row r="110" spans="1:14" s="442" customFormat="1" ht="27.75">
      <c r="A110" s="1542" t="s">
        <v>219</v>
      </c>
      <c r="B110" s="1543"/>
      <c r="C110" s="1140"/>
      <c r="D110" s="622" t="s">
        <v>143</v>
      </c>
      <c r="E110" s="532">
        <f>'6'!F110</f>
        <v>63242</v>
      </c>
      <c r="F110" s="660">
        <v>63305</v>
      </c>
      <c r="G110" s="532">
        <f>F110-E110</f>
        <v>63</v>
      </c>
      <c r="H110" s="460">
        <f>G110+'6'!H110</f>
        <v>471</v>
      </c>
      <c r="I110" s="532"/>
      <c r="J110" s="558">
        <f>H110/DAY(B2)</f>
        <v>67.285714285714292</v>
      </c>
      <c r="N110" s="382"/>
    </row>
    <row r="111" spans="1:14" s="442" customFormat="1" ht="27.75">
      <c r="A111" s="1542" t="s">
        <v>220</v>
      </c>
      <c r="B111" s="1543"/>
      <c r="C111" s="1140"/>
      <c r="D111" s="622" t="s">
        <v>143</v>
      </c>
      <c r="E111" s="532">
        <f>'6'!F111</f>
        <v>32615</v>
      </c>
      <c r="F111" s="660">
        <v>32615</v>
      </c>
      <c r="G111" s="532">
        <f t="shared" ref="G111:G112" si="11">F111-E111</f>
        <v>0</v>
      </c>
      <c r="H111" s="460">
        <f>G111+'6'!H111</f>
        <v>37</v>
      </c>
      <c r="I111" s="532"/>
      <c r="J111" s="558">
        <f>H111/DAY(B2)</f>
        <v>5.2857142857142856</v>
      </c>
      <c r="N111" s="382"/>
    </row>
    <row r="112" spans="1:14" s="442" customFormat="1" ht="27.75">
      <c r="A112" s="1542" t="s">
        <v>221</v>
      </c>
      <c r="B112" s="1543"/>
      <c r="C112" s="1140"/>
      <c r="D112" s="622" t="s">
        <v>143</v>
      </c>
      <c r="E112" s="532">
        <f>'6'!F112</f>
        <v>4621</v>
      </c>
      <c r="F112" s="660">
        <v>4621</v>
      </c>
      <c r="G112" s="532">
        <f t="shared" si="11"/>
        <v>0</v>
      </c>
      <c r="H112" s="460">
        <f>G112+'6'!H112</f>
        <v>45</v>
      </c>
      <c r="I112" s="532"/>
      <c r="J112" s="558">
        <f>H112/DAY(B2)</f>
        <v>6.4285714285714288</v>
      </c>
      <c r="N112" s="382"/>
    </row>
    <row r="113" spans="1:14" s="442" customFormat="1" ht="27.75">
      <c r="A113" s="1545" t="s">
        <v>109</v>
      </c>
      <c r="B113" s="1546"/>
      <c r="C113" s="1140"/>
      <c r="D113" s="622"/>
      <c r="E113" s="532"/>
      <c r="F113" s="660"/>
      <c r="G113" s="532">
        <f>SUM(G110:G112)</f>
        <v>63</v>
      </c>
      <c r="H113" s="460">
        <f>G113+'6'!H113</f>
        <v>553</v>
      </c>
      <c r="I113" s="532"/>
      <c r="J113" s="558">
        <f>H113/DAY(B2)</f>
        <v>79</v>
      </c>
      <c r="N113" s="382"/>
    </row>
    <row r="114" spans="1:14" s="442" customFormat="1" ht="27.75">
      <c r="A114" s="1547" t="s">
        <v>222</v>
      </c>
      <c r="B114" s="1548"/>
      <c r="C114" s="1140"/>
      <c r="D114" s="622"/>
      <c r="E114" s="532"/>
      <c r="F114" s="660"/>
      <c r="G114" s="532"/>
      <c r="H114" s="460">
        <f>G114+'6'!H114</f>
        <v>0</v>
      </c>
      <c r="I114" s="532"/>
      <c r="J114" s="558">
        <f>H114/DAY(B2)</f>
        <v>0</v>
      </c>
      <c r="N114" s="382"/>
    </row>
    <row r="115" spans="1:14" s="442" customFormat="1" ht="27.75">
      <c r="A115" s="1542" t="s">
        <v>223</v>
      </c>
      <c r="B115" s="1543"/>
      <c r="C115" s="574"/>
      <c r="D115" s="622" t="s">
        <v>143</v>
      </c>
      <c r="E115" s="532">
        <f>'6'!F115</f>
        <v>11602</v>
      </c>
      <c r="F115" s="660">
        <v>11616</v>
      </c>
      <c r="G115" s="534">
        <f>F115-E115</f>
        <v>14</v>
      </c>
      <c r="H115" s="460">
        <f>G115+'6'!H115</f>
        <v>119</v>
      </c>
      <c r="I115" s="532"/>
      <c r="J115" s="558">
        <f>H115/DAY(B2)</f>
        <v>17</v>
      </c>
      <c r="N115" s="382"/>
    </row>
    <row r="116" spans="1:14" s="442" customFormat="1" ht="27.75">
      <c r="A116" s="1542" t="s">
        <v>224</v>
      </c>
      <c r="B116" s="1543"/>
      <c r="C116" s="574"/>
      <c r="D116" s="622" t="s">
        <v>143</v>
      </c>
      <c r="E116" s="532">
        <f>'6'!F116</f>
        <v>8349</v>
      </c>
      <c r="F116" s="660">
        <v>8356</v>
      </c>
      <c r="G116" s="534">
        <f t="shared" ref="G116:G117" si="12">F116-E116</f>
        <v>7</v>
      </c>
      <c r="H116" s="460">
        <f>G116+'6'!H116</f>
        <v>44</v>
      </c>
      <c r="I116" s="532"/>
      <c r="J116" s="558">
        <f>H116/DAY(B2)</f>
        <v>6.2857142857142856</v>
      </c>
      <c r="N116" s="382"/>
    </row>
    <row r="117" spans="1:14" s="442" customFormat="1" ht="27.75">
      <c r="A117" s="1542" t="s">
        <v>225</v>
      </c>
      <c r="B117" s="1543"/>
      <c r="C117" s="574"/>
      <c r="D117" s="622" t="s">
        <v>143</v>
      </c>
      <c r="E117" s="534"/>
      <c r="F117" s="660"/>
      <c r="G117" s="534">
        <f t="shared" si="12"/>
        <v>0</v>
      </c>
      <c r="H117" s="460">
        <f>G117+'6'!H117</f>
        <v>0</v>
      </c>
      <c r="I117" s="532"/>
      <c r="J117" s="558">
        <f>H117/DAY(B2)</f>
        <v>0</v>
      </c>
      <c r="N117" s="382"/>
    </row>
    <row r="118" spans="1:14" s="445" customFormat="1" ht="27.75">
      <c r="A118" s="1545" t="s">
        <v>201</v>
      </c>
      <c r="B118" s="1546"/>
      <c r="C118" s="574"/>
      <c r="D118" s="623"/>
      <c r="E118" s="534"/>
      <c r="F118" s="660"/>
      <c r="G118" s="534">
        <f>SUM(G115:G117)</f>
        <v>21</v>
      </c>
      <c r="H118" s="460">
        <f>G118+'6'!H118</f>
        <v>163</v>
      </c>
      <c r="I118" s="534"/>
      <c r="J118" s="558">
        <f>H118/DAY(B2)</f>
        <v>23.285714285714285</v>
      </c>
      <c r="N118" s="382"/>
    </row>
    <row r="119" spans="1:14" s="446" customFormat="1" ht="27.75">
      <c r="A119" s="1576" t="s">
        <v>226</v>
      </c>
      <c r="B119" s="1577"/>
      <c r="C119" s="1138"/>
      <c r="D119" s="624" t="s">
        <v>143</v>
      </c>
      <c r="E119" s="536"/>
      <c r="F119" s="661">
        <f>SUM(G19+G93)</f>
        <v>119</v>
      </c>
      <c r="G119" s="536">
        <f>SUM(G19+G93)</f>
        <v>119</v>
      </c>
      <c r="H119" s="460">
        <f>G119+'6'!H119</f>
        <v>739</v>
      </c>
      <c r="I119" s="535"/>
      <c r="J119" s="559">
        <f>H119/DAY(B2)</f>
        <v>105.57142857142857</v>
      </c>
      <c r="N119" s="382"/>
    </row>
    <row r="120" spans="1:14" s="446" customFormat="1" ht="27.75">
      <c r="A120" s="1576" t="s">
        <v>227</v>
      </c>
      <c r="B120" s="1577"/>
      <c r="C120" s="1138"/>
      <c r="D120" s="624" t="s">
        <v>143</v>
      </c>
      <c r="E120" s="536"/>
      <c r="F120" s="661">
        <f>SUM(G96,G97,G98,G100,G101)</f>
        <v>109</v>
      </c>
      <c r="G120" s="536">
        <f>SUM(G96,G97,G98,G100,G101)</f>
        <v>109</v>
      </c>
      <c r="H120" s="460">
        <f>G120+'6'!H120</f>
        <v>717</v>
      </c>
      <c r="I120" s="535"/>
      <c r="J120" s="559">
        <f>H120/DAY(B2)</f>
        <v>102.42857142857143</v>
      </c>
      <c r="N120" s="382"/>
    </row>
    <row r="121" spans="1:14" s="446" customFormat="1" ht="27.75">
      <c r="A121" s="1576" t="s">
        <v>228</v>
      </c>
      <c r="B121" s="1577"/>
      <c r="C121" s="1138"/>
      <c r="D121" s="624" t="s">
        <v>143</v>
      </c>
      <c r="E121" s="534"/>
      <c r="F121" s="660">
        <f>SUM(G113)</f>
        <v>63</v>
      </c>
      <c r="G121" s="534">
        <f>SUM(G113)</f>
        <v>63</v>
      </c>
      <c r="H121" s="460">
        <f>G121+'6'!H121</f>
        <v>553</v>
      </c>
      <c r="I121" s="535"/>
      <c r="J121" s="559">
        <f>H121/DAY(B2)</f>
        <v>79</v>
      </c>
      <c r="N121" s="382"/>
    </row>
    <row r="122" spans="1:14" s="442" customFormat="1" ht="27.75">
      <c r="A122" s="1578"/>
      <c r="B122" s="1579"/>
      <c r="C122" s="1139"/>
      <c r="D122" s="560"/>
      <c r="E122" s="560"/>
      <c r="F122" s="662" t="s">
        <v>214</v>
      </c>
      <c r="G122" s="560"/>
      <c r="H122" s="561"/>
      <c r="I122" s="560"/>
      <c r="J122" s="562"/>
      <c r="N122" s="382"/>
    </row>
    <row r="123" spans="1:14">
      <c r="A123" s="1528" t="s">
        <v>229</v>
      </c>
      <c r="B123" s="1529"/>
      <c r="C123" s="1530"/>
      <c r="D123" s="472"/>
      <c r="E123" s="472"/>
      <c r="F123" s="472"/>
      <c r="G123" s="483"/>
      <c r="H123" s="483"/>
      <c r="I123" s="483"/>
      <c r="J123" s="563"/>
      <c r="K123" s="380"/>
      <c r="L123" s="377"/>
      <c r="N123" s="382"/>
    </row>
    <row r="124" spans="1:14" ht="27.75">
      <c r="A124" s="1141" t="s">
        <v>230</v>
      </c>
      <c r="B124" s="1142"/>
      <c r="C124" s="1142"/>
      <c r="D124" s="523" t="s">
        <v>140</v>
      </c>
      <c r="E124" s="1058">
        <f>'6'!F124</f>
        <v>833440.78</v>
      </c>
      <c r="F124" s="1058">
        <v>833623</v>
      </c>
      <c r="G124" s="1059">
        <f t="shared" ref="G124:G128" si="13">F124-E124</f>
        <v>182.21999999997206</v>
      </c>
      <c r="H124" s="460">
        <f>G124+'6'!H124</f>
        <v>1257</v>
      </c>
      <c r="I124" s="526"/>
      <c r="J124" s="552">
        <f>H124/DAY(B2)</f>
        <v>179.57142857142858</v>
      </c>
      <c r="K124" s="380"/>
      <c r="L124" s="377"/>
      <c r="N124" s="382"/>
    </row>
    <row r="125" spans="1:14" ht="27.75">
      <c r="A125" s="1141" t="s">
        <v>231</v>
      </c>
      <c r="B125" s="1142"/>
      <c r="C125" s="1142"/>
      <c r="D125" s="523" t="s">
        <v>140</v>
      </c>
      <c r="E125" s="1058">
        <f>'6'!F125</f>
        <v>73583.399999999994</v>
      </c>
      <c r="F125" s="485">
        <v>73583</v>
      </c>
      <c r="G125" s="473">
        <f t="shared" si="13"/>
        <v>-0.39999999999417923</v>
      </c>
      <c r="H125" s="460">
        <f>G125+'6'!H125</f>
        <v>-0.39999999999417923</v>
      </c>
      <c r="I125" s="526"/>
      <c r="J125" s="552">
        <f>H125/DAY(B2)</f>
        <v>-5.7142857142025605E-2</v>
      </c>
      <c r="K125" s="380"/>
      <c r="L125" s="377"/>
      <c r="N125" s="382"/>
    </row>
    <row r="126" spans="1:14" ht="27.75">
      <c r="A126" s="1534" t="s">
        <v>232</v>
      </c>
      <c r="B126" s="1535"/>
      <c r="C126" s="1536"/>
      <c r="D126" s="523" t="s">
        <v>140</v>
      </c>
      <c r="E126" s="1058">
        <f>'6'!F126</f>
        <v>146870.12</v>
      </c>
      <c r="F126" s="1064">
        <v>146920</v>
      </c>
      <c r="G126" s="1060">
        <f t="shared" si="13"/>
        <v>49.880000000004657</v>
      </c>
      <c r="H126" s="460">
        <f>G126+'6'!H126</f>
        <v>429</v>
      </c>
      <c r="I126" s="526"/>
      <c r="J126" s="552">
        <f>H126/DAY(B2)</f>
        <v>61.285714285714285</v>
      </c>
      <c r="K126" s="380"/>
      <c r="L126" s="377"/>
      <c r="N126" s="382"/>
    </row>
    <row r="127" spans="1:14" ht="27.75">
      <c r="A127" s="609" t="s">
        <v>233</v>
      </c>
      <c r="B127" s="1142"/>
      <c r="C127" s="1142"/>
      <c r="D127" s="523" t="s">
        <v>140</v>
      </c>
      <c r="E127" s="1058">
        <f>'6'!F127</f>
        <v>31409.1</v>
      </c>
      <c r="F127" s="485">
        <v>31409</v>
      </c>
      <c r="G127" s="473">
        <f t="shared" si="13"/>
        <v>-9.9999999998544808E-2</v>
      </c>
      <c r="H127" s="460">
        <f>G127+'6'!H127</f>
        <v>3</v>
      </c>
      <c r="I127" s="526"/>
      <c r="J127" s="552">
        <f>H127/DAY(B2)</f>
        <v>0.42857142857142855</v>
      </c>
      <c r="K127" s="380"/>
      <c r="L127" s="377"/>
      <c r="N127" s="382"/>
    </row>
    <row r="128" spans="1:14" ht="27.75">
      <c r="A128" s="609" t="s">
        <v>234</v>
      </c>
      <c r="B128" s="1142"/>
      <c r="C128" s="1142"/>
      <c r="D128" s="523" t="s">
        <v>140</v>
      </c>
      <c r="E128" s="1058">
        <f>'6'!F128</f>
        <v>8971.9</v>
      </c>
      <c r="F128" s="485">
        <v>8971.9</v>
      </c>
      <c r="G128" s="473">
        <f t="shared" si="13"/>
        <v>0</v>
      </c>
      <c r="H128" s="460">
        <f>G128+'6'!H128</f>
        <v>-0.1000000000003638</v>
      </c>
      <c r="I128" s="480"/>
      <c r="J128" s="552">
        <f>H128/DAY(B2)</f>
        <v>-1.4285714285766258E-2</v>
      </c>
      <c r="K128" s="380"/>
      <c r="L128" s="377"/>
      <c r="N128" s="382"/>
    </row>
    <row r="129" spans="1:14" s="281" customFormat="1" ht="27.75">
      <c r="A129" s="609" t="s">
        <v>235</v>
      </c>
      <c r="B129" s="1142"/>
      <c r="C129" s="1142"/>
      <c r="D129" s="523"/>
      <c r="E129" s="478"/>
      <c r="F129" s="478"/>
      <c r="G129" s="1056">
        <f>G15-SUM(G124:G128)</f>
        <v>332.05000000015571</v>
      </c>
      <c r="H129" s="460">
        <f>G129+'6'!H129</f>
        <v>1508.330000000069</v>
      </c>
      <c r="I129" s="480"/>
      <c r="J129" s="552">
        <f>H129/DAY(B2)</f>
        <v>215.47571428572414</v>
      </c>
      <c r="K129" s="364"/>
      <c r="L129" s="292"/>
      <c r="N129" s="382"/>
    </row>
    <row r="130" spans="1:14">
      <c r="A130" s="610" t="s">
        <v>236</v>
      </c>
      <c r="B130" s="458"/>
      <c r="C130" s="458"/>
      <c r="D130" s="471"/>
      <c r="E130" s="471"/>
      <c r="F130" s="471"/>
      <c r="G130" s="540"/>
      <c r="H130" s="540"/>
      <c r="I130" s="540"/>
      <c r="J130" s="564"/>
      <c r="N130" s="382"/>
    </row>
    <row r="131" spans="1:14" ht="27.75">
      <c r="A131" s="1141" t="s">
        <v>237</v>
      </c>
      <c r="B131" s="1142"/>
      <c r="C131" s="1142"/>
      <c r="D131" s="523" t="s">
        <v>238</v>
      </c>
      <c r="E131" s="484">
        <f>'6'!F131</f>
        <v>0</v>
      </c>
      <c r="F131" s="478">
        <v>0</v>
      </c>
      <c r="G131" s="473">
        <f t="shared" ref="G131:G141" si="14">F131-E131</f>
        <v>0</v>
      </c>
      <c r="H131" s="460">
        <f>G131+'6'!H131</f>
        <v>0</v>
      </c>
      <c r="I131" s="480"/>
      <c r="J131" s="552">
        <f>H131/DAY(B2)</f>
        <v>0</v>
      </c>
      <c r="N131" s="382"/>
    </row>
    <row r="132" spans="1:14" ht="27.75">
      <c r="A132" s="1141" t="s">
        <v>239</v>
      </c>
      <c r="B132" s="1142"/>
      <c r="C132" s="1142"/>
      <c r="D132" s="523" t="s">
        <v>238</v>
      </c>
      <c r="E132" s="484">
        <f>'6'!F132</f>
        <v>0</v>
      </c>
      <c r="F132" s="478">
        <v>0</v>
      </c>
      <c r="G132" s="473">
        <f t="shared" si="14"/>
        <v>0</v>
      </c>
      <c r="H132" s="460">
        <f>G132+'6'!H132</f>
        <v>0</v>
      </c>
      <c r="I132" s="480"/>
      <c r="J132" s="552">
        <f>H132/DAY(B2)</f>
        <v>0</v>
      </c>
      <c r="N132" s="382"/>
    </row>
    <row r="133" spans="1:14" ht="27.75">
      <c r="A133" s="1141" t="s">
        <v>240</v>
      </c>
      <c r="B133" s="1142"/>
      <c r="C133" s="1142"/>
      <c r="D133" s="523" t="s">
        <v>238</v>
      </c>
      <c r="E133" s="522">
        <f>'6'!F133</f>
        <v>40040.269999999997</v>
      </c>
      <c r="F133" s="485">
        <v>40050.589999999997</v>
      </c>
      <c r="G133" s="473">
        <f t="shared" si="14"/>
        <v>10.319999999999709</v>
      </c>
      <c r="H133" s="460">
        <f>G133+'6'!H133</f>
        <v>15.489999999997963</v>
      </c>
      <c r="I133" s="480"/>
      <c r="J133" s="552">
        <f>H133/DAY(B2)</f>
        <v>2.2128571428568518</v>
      </c>
      <c r="N133" s="382"/>
    </row>
    <row r="134" spans="1:14" ht="27.75">
      <c r="A134" s="1141" t="s">
        <v>241</v>
      </c>
      <c r="B134" s="1142"/>
      <c r="C134" s="1142"/>
      <c r="D134" s="523" t="s">
        <v>238</v>
      </c>
      <c r="E134" s="702">
        <f>'6'!F134</f>
        <v>300</v>
      </c>
      <c r="F134" s="626">
        <v>300.19</v>
      </c>
      <c r="G134" s="774">
        <f t="shared" si="14"/>
        <v>0.18999999999999773</v>
      </c>
      <c r="H134" s="460">
        <f>G134+'6'!H134</f>
        <v>0.18999999999999773</v>
      </c>
      <c r="I134" s="480">
        <f>G133+G134+G135+G136</f>
        <v>24.689999999999998</v>
      </c>
      <c r="J134" s="552">
        <f>H134/DAY(B2)</f>
        <v>2.714285714285682E-2</v>
      </c>
      <c r="N134" s="382"/>
    </row>
    <row r="135" spans="1:14" ht="27.75">
      <c r="A135" s="1141" t="s">
        <v>242</v>
      </c>
      <c r="B135" s="1142"/>
      <c r="C135" s="1142"/>
      <c r="D135" s="523" t="s">
        <v>238</v>
      </c>
      <c r="E135" s="522">
        <f>'6'!F135</f>
        <v>41730.339999999997</v>
      </c>
      <c r="F135" s="485">
        <v>41730.449999999997</v>
      </c>
      <c r="G135" s="473">
        <f t="shared" si="14"/>
        <v>0.11000000000058208</v>
      </c>
      <c r="H135" s="460">
        <f>G135+'6'!H135</f>
        <v>0.44999999999708962</v>
      </c>
      <c r="I135" s="480"/>
      <c r="J135" s="552">
        <f>H135/DAY(B2)</f>
        <v>6.4285714285298515E-2</v>
      </c>
      <c r="N135" s="382"/>
    </row>
    <row r="136" spans="1:14" ht="27.75">
      <c r="A136" s="1141" t="s">
        <v>243</v>
      </c>
      <c r="B136" s="1142"/>
      <c r="C136" s="1142"/>
      <c r="D136" s="523" t="s">
        <v>238</v>
      </c>
      <c r="E136" s="702">
        <f>'6'!F136</f>
        <v>32859.980000000003</v>
      </c>
      <c r="F136" s="626">
        <v>32874.050000000003</v>
      </c>
      <c r="G136" s="774">
        <f t="shared" si="14"/>
        <v>14.069999999999709</v>
      </c>
      <c r="H136" s="460">
        <f>G136+'6'!H136</f>
        <v>159.05000000000291</v>
      </c>
      <c r="I136" s="480"/>
      <c r="J136" s="552">
        <f>H136/DAY(B2)</f>
        <v>22.721428571428987</v>
      </c>
      <c r="N136" s="382"/>
    </row>
    <row r="137" spans="1:14" ht="27.75">
      <c r="A137" s="1141" t="s">
        <v>244</v>
      </c>
      <c r="B137" s="1142"/>
      <c r="C137" s="1142"/>
      <c r="D137" s="523" t="s">
        <v>238</v>
      </c>
      <c r="E137" s="541">
        <f>'6'!F137</f>
        <v>22819.26</v>
      </c>
      <c r="F137" s="652">
        <v>22825.71</v>
      </c>
      <c r="G137" s="473">
        <f t="shared" si="14"/>
        <v>6.4500000000007276</v>
      </c>
      <c r="H137" s="460">
        <f>G137+'6'!H137</f>
        <v>18.469999999997526</v>
      </c>
      <c r="I137" s="480">
        <f>G137+G138+G139</f>
        <v>8.1599999999925785</v>
      </c>
      <c r="J137" s="552">
        <f>H137/DAY(B2)</f>
        <v>2.6385714285710753</v>
      </c>
      <c r="N137" s="382"/>
    </row>
    <row r="138" spans="1:14" ht="27.75">
      <c r="A138" s="1141" t="s">
        <v>245</v>
      </c>
      <c r="B138" s="1142"/>
      <c r="C138" s="1142"/>
      <c r="D138" s="523" t="s">
        <v>238</v>
      </c>
      <c r="E138" s="541">
        <f>'6'!F138</f>
        <v>25051.82</v>
      </c>
      <c r="F138" s="652">
        <v>25051.82</v>
      </c>
      <c r="G138" s="473">
        <f t="shared" si="14"/>
        <v>0</v>
      </c>
      <c r="H138" s="460">
        <f>G138+'6'!H138</f>
        <v>0</v>
      </c>
      <c r="I138" s="480"/>
      <c r="J138" s="552">
        <f>H138/DAY(B2)</f>
        <v>0</v>
      </c>
      <c r="N138" s="382"/>
    </row>
    <row r="139" spans="1:14" ht="27.75">
      <c r="A139" s="1141" t="s">
        <v>246</v>
      </c>
      <c r="B139" s="1142"/>
      <c r="C139" s="1142"/>
      <c r="D139" s="523" t="s">
        <v>238</v>
      </c>
      <c r="E139" s="1062">
        <f>'6'!F139</f>
        <v>70435.47</v>
      </c>
      <c r="F139" s="1063">
        <v>70437.179999999993</v>
      </c>
      <c r="G139" s="1056">
        <f t="shared" si="14"/>
        <v>1.7099999999918509</v>
      </c>
      <c r="H139" s="460">
        <f>G139+'6'!H139</f>
        <v>25.439999999987776</v>
      </c>
      <c r="I139" s="480"/>
      <c r="J139" s="552">
        <f>H139/DAY(B2)</f>
        <v>3.6342857142839682</v>
      </c>
      <c r="N139" s="382"/>
    </row>
    <row r="140" spans="1:14" ht="27.75">
      <c r="A140" s="1141" t="s">
        <v>247</v>
      </c>
      <c r="B140" s="1142"/>
      <c r="C140" s="1142"/>
      <c r="D140" s="523" t="s">
        <v>238</v>
      </c>
      <c r="E140" s="522">
        <f>'6'!F140</f>
        <v>1895.98</v>
      </c>
      <c r="F140" s="485">
        <v>1902.57</v>
      </c>
      <c r="G140" s="473">
        <f t="shared" si="14"/>
        <v>6.5899999999999181</v>
      </c>
      <c r="H140" s="460">
        <f>G140+'6'!H140</f>
        <v>48.269999999999982</v>
      </c>
      <c r="I140" s="542">
        <f>G140+G141</f>
        <v>6.5899999999999181</v>
      </c>
      <c r="J140" s="552">
        <f>H140/DAY(B2)</f>
        <v>6.8957142857142832</v>
      </c>
      <c r="N140" s="382"/>
    </row>
    <row r="141" spans="1:14" ht="27.75">
      <c r="A141" s="1141" t="s">
        <v>248</v>
      </c>
      <c r="B141" s="1142"/>
      <c r="C141" s="1142"/>
      <c r="D141" s="523" t="s">
        <v>238</v>
      </c>
      <c r="E141" s="1061">
        <f>'6'!F141</f>
        <v>4637</v>
      </c>
      <c r="F141" s="1058">
        <v>4637</v>
      </c>
      <c r="G141" s="1059">
        <f t="shared" si="14"/>
        <v>0</v>
      </c>
      <c r="H141" s="460">
        <f>G141+'6'!H141</f>
        <v>0</v>
      </c>
      <c r="I141" s="542"/>
      <c r="J141" s="552">
        <f>H141/DAY(B2)</f>
        <v>0</v>
      </c>
      <c r="N141" s="382"/>
    </row>
    <row r="142" spans="1:14">
      <c r="A142" s="1572" t="s">
        <v>249</v>
      </c>
      <c r="B142" s="1573"/>
      <c r="C142" s="1147"/>
      <c r="D142" s="472"/>
      <c r="E142" s="472"/>
      <c r="F142" s="472"/>
      <c r="G142" s="483"/>
      <c r="H142" s="483"/>
      <c r="I142" s="483"/>
      <c r="J142" s="563"/>
      <c r="K142" s="380"/>
      <c r="L142" s="377"/>
      <c r="N142" s="382"/>
    </row>
    <row r="143" spans="1:14" ht="27.75">
      <c r="A143" s="1537" t="s">
        <v>250</v>
      </c>
      <c r="B143" s="1538"/>
      <c r="C143" s="1539"/>
      <c r="D143" s="523" t="s">
        <v>131</v>
      </c>
      <c r="E143" s="523"/>
      <c r="F143" s="523"/>
      <c r="G143" s="460">
        <f>G35+G43+G49+G57</f>
        <v>4901.8599999998696</v>
      </c>
      <c r="H143" s="460">
        <f>G143+'6'!H143</f>
        <v>33906.339999999967</v>
      </c>
      <c r="I143" s="480"/>
      <c r="J143" s="552">
        <f>H143/DAY(B2)</f>
        <v>4843.7628571428522</v>
      </c>
      <c r="K143" s="380"/>
      <c r="L143" s="377"/>
      <c r="N143" s="382"/>
    </row>
    <row r="144" spans="1:14" ht="27.75">
      <c r="A144" s="1537" t="s">
        <v>251</v>
      </c>
      <c r="B144" s="1538"/>
      <c r="C144" s="1539"/>
      <c r="D144" s="523" t="s">
        <v>24</v>
      </c>
      <c r="E144" s="511"/>
      <c r="F144" s="511"/>
      <c r="G144" s="543">
        <f>G143/G7</f>
        <v>0.28437945262062736</v>
      </c>
      <c r="H144" s="460">
        <f>G144+'6'!H144</f>
        <v>1.9643790771101497</v>
      </c>
      <c r="I144" s="544"/>
      <c r="J144" s="552">
        <f>H144/DAY(B2)</f>
        <v>0.28062558244430708</v>
      </c>
      <c r="K144" s="380"/>
      <c r="L144" s="377"/>
      <c r="N144" s="382"/>
    </row>
    <row r="145" spans="1:14" ht="27.75">
      <c r="A145" s="1537" t="s">
        <v>252</v>
      </c>
      <c r="B145" s="1538"/>
      <c r="C145" s="1539"/>
      <c r="D145" s="523" t="s">
        <v>131</v>
      </c>
      <c r="E145" s="455"/>
      <c r="F145" s="455"/>
      <c r="G145" s="460">
        <f>G41+G42+G55+G56</f>
        <v>4822.7399999999616</v>
      </c>
      <c r="H145" s="460">
        <f>G145+'6'!H145</f>
        <v>34734.75999999998</v>
      </c>
      <c r="I145" s="480"/>
      <c r="J145" s="552">
        <f>H145/DAY(B2)</f>
        <v>4962.1085714285682</v>
      </c>
      <c r="K145" s="380"/>
      <c r="L145" s="377"/>
      <c r="N145" s="382"/>
    </row>
    <row r="146" spans="1:14" ht="27.75">
      <c r="A146" s="1537" t="s">
        <v>253</v>
      </c>
      <c r="B146" s="1538"/>
      <c r="C146" s="1539"/>
      <c r="D146" s="523" t="s">
        <v>24</v>
      </c>
      <c r="E146" s="455"/>
      <c r="F146" s="455"/>
      <c r="G146" s="543">
        <f>G145/G7</f>
        <v>0.27978933738042905</v>
      </c>
      <c r="H146" s="460">
        <f>G146+'6'!H146</f>
        <v>2.0062811766131641</v>
      </c>
      <c r="I146" s="544"/>
      <c r="J146" s="552">
        <f>H146/DAY(B2)</f>
        <v>0.28661159665902342</v>
      </c>
      <c r="K146" s="380"/>
      <c r="L146" s="377"/>
      <c r="N146" s="382"/>
    </row>
    <row r="147" spans="1:14" ht="27.75">
      <c r="A147" s="1537" t="s">
        <v>254</v>
      </c>
      <c r="B147" s="1538"/>
      <c r="C147" s="1539"/>
      <c r="D147" s="523" t="s">
        <v>131</v>
      </c>
      <c r="E147" s="455"/>
      <c r="F147" s="455"/>
      <c r="G147" s="460">
        <f>G39+G53</f>
        <v>2961.6600000000326</v>
      </c>
      <c r="H147" s="460">
        <f>G147+'6'!H147</f>
        <v>19670.760000000009</v>
      </c>
      <c r="I147" s="545"/>
      <c r="J147" s="552">
        <f>H147/DAY(B2)</f>
        <v>2810.1085714285728</v>
      </c>
      <c r="K147" s="380"/>
      <c r="L147" s="377"/>
      <c r="N147" s="382"/>
    </row>
    <row r="148" spans="1:14" ht="27.75">
      <c r="A148" s="1537" t="s">
        <v>255</v>
      </c>
      <c r="B148" s="1538"/>
      <c r="C148" s="1539"/>
      <c r="D148" s="523" t="s">
        <v>24</v>
      </c>
      <c r="E148" s="455"/>
      <c r="F148" s="455"/>
      <c r="G148" s="543">
        <f>G147/G7</f>
        <v>0.17181952353768548</v>
      </c>
      <c r="H148" s="460">
        <f>G148+'6'!H148</f>
        <v>1.1340801849055366</v>
      </c>
      <c r="I148" s="545"/>
      <c r="J148" s="552">
        <f>H148/DAY(B2)</f>
        <v>0.16201145498650524</v>
      </c>
      <c r="N148" s="382"/>
    </row>
    <row r="149" spans="1:14" ht="27.75">
      <c r="A149" s="1537" t="s">
        <v>256</v>
      </c>
      <c r="B149" s="1538"/>
      <c r="C149" s="1539"/>
      <c r="D149" s="523" t="s">
        <v>182</v>
      </c>
      <c r="E149" s="455"/>
      <c r="F149" s="455"/>
      <c r="G149" s="460">
        <f>G38+G52</f>
        <v>1221.3999999999942</v>
      </c>
      <c r="H149" s="460">
        <f>G149+'6'!H149</f>
        <v>8829.3499999999476</v>
      </c>
      <c r="I149" s="480"/>
      <c r="J149" s="552">
        <f>H149/DAY(B2)</f>
        <v>1261.3357142857069</v>
      </c>
      <c r="K149" s="381"/>
      <c r="N149" s="382"/>
    </row>
    <row r="150" spans="1:14" ht="27.75">
      <c r="A150" s="1537" t="s">
        <v>257</v>
      </c>
      <c r="B150" s="1538"/>
      <c r="C150" s="1539"/>
      <c r="D150" s="523" t="s">
        <v>24</v>
      </c>
      <c r="E150" s="455"/>
      <c r="F150" s="455"/>
      <c r="G150" s="543">
        <f>G149/G7</f>
        <v>7.0859033801626697E-2</v>
      </c>
      <c r="H150" s="460">
        <f>G150+'6'!H150</f>
        <v>0.51032668492917022</v>
      </c>
      <c r="I150" s="545"/>
      <c r="J150" s="552">
        <f>H150/DAY(B2)</f>
        <v>7.2903812132738596E-2</v>
      </c>
      <c r="N150" s="382"/>
    </row>
    <row r="151" spans="1:14" ht="27.75">
      <c r="A151" s="1537" t="s">
        <v>258</v>
      </c>
      <c r="B151" s="1538"/>
      <c r="C151" s="1539"/>
      <c r="D151" s="523" t="s">
        <v>182</v>
      </c>
      <c r="E151" s="455"/>
      <c r="F151" s="455"/>
      <c r="G151" s="460">
        <f>G36+G50</f>
        <v>1368.4099999999812</v>
      </c>
      <c r="H151" s="460">
        <f>G151+'6'!H151</f>
        <v>10720.250000000004</v>
      </c>
      <c r="I151" s="545"/>
      <c r="J151" s="552">
        <f>H151/DAY(B2)</f>
        <v>1531.4642857142862</v>
      </c>
      <c r="N151" s="382"/>
    </row>
    <row r="152" spans="1:14" ht="27.75">
      <c r="A152" s="1537" t="s">
        <v>259</v>
      </c>
      <c r="B152" s="1538"/>
      <c r="C152" s="1539"/>
      <c r="D152" s="523" t="s">
        <v>24</v>
      </c>
      <c r="E152" s="455"/>
      <c r="F152" s="455"/>
      <c r="G152" s="543">
        <f>G151/G7</f>
        <v>7.9387760311513941E-2</v>
      </c>
      <c r="H152" s="460">
        <f>G152+'6'!H152</f>
        <v>0.61423497691781914</v>
      </c>
      <c r="I152" s="480"/>
      <c r="J152" s="552">
        <f>H152/DAY(B2)</f>
        <v>8.7747853845402735E-2</v>
      </c>
      <c r="N152" s="382"/>
    </row>
    <row r="153" spans="1:14" ht="27.75">
      <c r="A153" s="1537" t="s">
        <v>260</v>
      </c>
      <c r="B153" s="1538"/>
      <c r="C153" s="1539"/>
      <c r="D153" s="523" t="s">
        <v>182</v>
      </c>
      <c r="E153" s="455"/>
      <c r="F153" s="455"/>
      <c r="G153" s="460">
        <f>G37+G51</f>
        <v>1289.6199999999953</v>
      </c>
      <c r="H153" s="460">
        <f>G153+'6'!H153</f>
        <v>9129.4899999999907</v>
      </c>
      <c r="I153" s="480"/>
      <c r="J153" s="552">
        <f>H153/DAY(B2)</f>
        <v>1304.2128571428559</v>
      </c>
      <c r="N153" s="382"/>
    </row>
    <row r="154" spans="1:14" ht="28.5" thickBot="1">
      <c r="A154" s="1569" t="s">
        <v>261</v>
      </c>
      <c r="B154" s="1570"/>
      <c r="C154" s="1571"/>
      <c r="D154" s="625" t="s">
        <v>24</v>
      </c>
      <c r="E154" s="565"/>
      <c r="F154" s="565"/>
      <c r="G154" s="566">
        <f>G153/G7</f>
        <v>7.4816789889679006E-2</v>
      </c>
      <c r="H154" s="460">
        <f>G154+'6'!H154</f>
        <v>0.52884913155644664</v>
      </c>
      <c r="I154" s="568"/>
      <c r="J154" s="569">
        <f>H154/DAY(B2)</f>
        <v>7.554987593663523E-2</v>
      </c>
      <c r="N154" s="382"/>
    </row>
    <row r="155" spans="1:14">
      <c r="A155" s="466"/>
      <c r="B155" s="456"/>
      <c r="C155" s="456"/>
      <c r="D155" s="546"/>
      <c r="E155" s="546"/>
      <c r="F155" s="663"/>
      <c r="G155" s="546"/>
      <c r="H155" s="547"/>
      <c r="I155" s="546"/>
      <c r="J155" s="548"/>
      <c r="N155" s="382"/>
    </row>
    <row r="156" spans="1:14" ht="24.75" customHeight="1"/>
    <row r="157" spans="1:14" hidden="1"/>
    <row r="158" spans="1:14" ht="27.75">
      <c r="A158" s="1587" t="s">
        <v>266</v>
      </c>
      <c r="B158" s="1588"/>
      <c r="C158" s="1588"/>
      <c r="D158" s="1588"/>
      <c r="E158" s="1588"/>
      <c r="F158" s="1588"/>
      <c r="G158" s="1589"/>
    </row>
    <row r="159" spans="1:14">
      <c r="A159" s="785"/>
      <c r="B159" s="786"/>
      <c r="C159" s="786"/>
      <c r="D159" s="511"/>
      <c r="E159" s="455"/>
      <c r="F159" s="659"/>
      <c r="G159" s="473"/>
    </row>
    <row r="160" spans="1:14">
      <c r="A160" s="785"/>
      <c r="B160" s="786"/>
      <c r="C160" s="786"/>
      <c r="D160" s="511"/>
      <c r="E160" s="455"/>
      <c r="F160" s="659"/>
      <c r="G160" s="473"/>
    </row>
    <row r="161" spans="1:7">
      <c r="A161" s="785" t="s">
        <v>262</v>
      </c>
      <c r="B161" s="786"/>
      <c r="C161" s="786"/>
      <c r="D161" s="511" t="s">
        <v>186</v>
      </c>
      <c r="E161" s="1061">
        <f>'6'!F161</f>
        <v>38920.050000000003</v>
      </c>
      <c r="F161" s="659">
        <v>39001.629999999997</v>
      </c>
      <c r="G161" s="473">
        <f t="shared" ref="G161:G174" si="15">F161-E161</f>
        <v>81.57999999999447</v>
      </c>
    </row>
    <row r="162" spans="1:7">
      <c r="A162" s="785" t="s">
        <v>263</v>
      </c>
      <c r="B162" s="786"/>
      <c r="C162" s="786"/>
      <c r="D162" s="511" t="s">
        <v>186</v>
      </c>
      <c r="E162" s="1061">
        <f>'6'!F162</f>
        <v>97241.93</v>
      </c>
      <c r="F162" s="659">
        <v>97653</v>
      </c>
      <c r="G162" s="473">
        <f t="shared" si="15"/>
        <v>411.07000000000698</v>
      </c>
    </row>
    <row r="163" spans="1:7">
      <c r="A163" s="785" t="s">
        <v>264</v>
      </c>
      <c r="B163" s="786"/>
      <c r="C163" s="786"/>
      <c r="D163" s="511" t="s">
        <v>186</v>
      </c>
      <c r="E163" s="1061">
        <f>'6'!F163</f>
        <v>46185.54</v>
      </c>
      <c r="F163" s="659">
        <v>46396.91</v>
      </c>
      <c r="G163" s="473">
        <f t="shared" si="15"/>
        <v>211.37000000000262</v>
      </c>
    </row>
    <row r="164" spans="1:7">
      <c r="A164" s="785" t="s">
        <v>265</v>
      </c>
      <c r="B164" s="786"/>
      <c r="C164" s="786"/>
      <c r="D164" s="511" t="s">
        <v>186</v>
      </c>
      <c r="E164" s="1061">
        <f>'6'!F164</f>
        <v>6609.4</v>
      </c>
      <c r="F164" s="659">
        <v>6622.3</v>
      </c>
      <c r="G164" s="473">
        <f t="shared" si="15"/>
        <v>12.900000000000546</v>
      </c>
    </row>
    <row r="165" spans="1:7">
      <c r="A165" s="787" t="s">
        <v>97</v>
      </c>
      <c r="B165" s="604"/>
      <c r="C165" s="604"/>
      <c r="D165" s="511" t="s">
        <v>186</v>
      </c>
      <c r="E165" s="514">
        <v>0</v>
      </c>
      <c r="F165" s="514">
        <f>F62</f>
        <v>0</v>
      </c>
      <c r="G165" s="473">
        <f t="shared" si="15"/>
        <v>0</v>
      </c>
    </row>
    <row r="166" spans="1:7">
      <c r="A166" s="787" t="s">
        <v>187</v>
      </c>
      <c r="B166" s="604"/>
      <c r="C166" s="604"/>
      <c r="D166" s="511" t="s">
        <v>186</v>
      </c>
      <c r="E166" s="1061">
        <f>'6'!F166</f>
        <v>0</v>
      </c>
      <c r="F166" s="514">
        <f t="shared" ref="F166:F172" si="16">F63</f>
        <v>0</v>
      </c>
      <c r="G166" s="473">
        <f t="shared" si="15"/>
        <v>0</v>
      </c>
    </row>
    <row r="167" spans="1:7" ht="27.75">
      <c r="A167" s="1586" t="s">
        <v>98</v>
      </c>
      <c r="B167" s="1586"/>
      <c r="C167" s="1586"/>
      <c r="D167" s="523" t="s">
        <v>186</v>
      </c>
      <c r="E167" s="1061">
        <f>'6'!F167</f>
        <v>161236.62</v>
      </c>
      <c r="F167" s="514">
        <f t="shared" si="16"/>
        <v>161599.64000000001</v>
      </c>
      <c r="G167" s="473">
        <f t="shared" si="15"/>
        <v>363.02000000001863</v>
      </c>
    </row>
    <row r="168" spans="1:7" ht="27.75">
      <c r="A168" s="1586" t="s">
        <v>99</v>
      </c>
      <c r="B168" s="1586"/>
      <c r="C168" s="1586"/>
      <c r="D168" s="523" t="s">
        <v>186</v>
      </c>
      <c r="E168" s="1061">
        <f>'6'!F168</f>
        <v>162454.46</v>
      </c>
      <c r="F168" s="514">
        <f t="shared" si="16"/>
        <v>162666.95000000001</v>
      </c>
      <c r="G168" s="473">
        <f t="shared" si="15"/>
        <v>212.49000000001979</v>
      </c>
    </row>
    <row r="169" spans="1:7" ht="27.75">
      <c r="A169" s="1586" t="s">
        <v>100</v>
      </c>
      <c r="B169" s="1586"/>
      <c r="C169" s="1586"/>
      <c r="D169" s="523" t="s">
        <v>186</v>
      </c>
      <c r="E169" s="1061">
        <f>'6'!F169</f>
        <v>58595.66</v>
      </c>
      <c r="F169" s="514">
        <f t="shared" si="16"/>
        <v>58981.97</v>
      </c>
      <c r="G169" s="473">
        <f t="shared" si="15"/>
        <v>386.30999999999767</v>
      </c>
    </row>
    <row r="170" spans="1:7" ht="27.75">
      <c r="A170" s="1586" t="s">
        <v>101</v>
      </c>
      <c r="B170" s="1586"/>
      <c r="C170" s="1586"/>
      <c r="D170" s="523" t="s">
        <v>186</v>
      </c>
      <c r="E170" s="1061">
        <f>'6'!F170</f>
        <v>254561.33</v>
      </c>
      <c r="F170" s="514">
        <f t="shared" si="16"/>
        <v>254935.67</v>
      </c>
      <c r="G170" s="473">
        <f t="shared" si="15"/>
        <v>374.34000000002561</v>
      </c>
    </row>
    <row r="171" spans="1:7" ht="27.75">
      <c r="A171" s="1586" t="s">
        <v>102</v>
      </c>
      <c r="B171" s="1586"/>
      <c r="C171" s="1586"/>
      <c r="D171" s="523" t="s">
        <v>186</v>
      </c>
      <c r="E171" s="1061">
        <f>'6'!F171</f>
        <v>85321</v>
      </c>
      <c r="F171" s="514">
        <f t="shared" si="16"/>
        <v>85321</v>
      </c>
      <c r="G171" s="473">
        <f t="shared" si="15"/>
        <v>0</v>
      </c>
    </row>
    <row r="172" spans="1:7" ht="27.75">
      <c r="A172" s="1586" t="s">
        <v>103</v>
      </c>
      <c r="B172" s="1586"/>
      <c r="C172" s="1586"/>
      <c r="D172" s="523" t="s">
        <v>186</v>
      </c>
      <c r="E172" s="1061">
        <f>'6'!F172</f>
        <v>82405.13</v>
      </c>
      <c r="F172" s="514">
        <f t="shared" si="16"/>
        <v>82527.33</v>
      </c>
      <c r="G172" s="473">
        <f t="shared" si="15"/>
        <v>122.19999999999709</v>
      </c>
    </row>
    <row r="173" spans="1:7">
      <c r="A173" s="1596" t="s">
        <v>357</v>
      </c>
      <c r="B173" s="1579"/>
      <c r="C173" s="786"/>
      <c r="D173" s="523" t="s">
        <v>186</v>
      </c>
      <c r="E173" s="532">
        <v>18924.900000000001</v>
      </c>
      <c r="F173" s="532">
        <v>18928.5</v>
      </c>
      <c r="G173" s="473">
        <f t="shared" si="15"/>
        <v>3.5999999999985448</v>
      </c>
    </row>
    <row r="174" spans="1:7">
      <c r="A174" s="1596" t="s">
        <v>358</v>
      </c>
      <c r="B174" s="1579"/>
      <c r="C174" s="786"/>
      <c r="D174" s="523" t="s">
        <v>186</v>
      </c>
      <c r="E174" s="532">
        <v>37397.08</v>
      </c>
      <c r="F174" s="532">
        <v>37487.300000000003</v>
      </c>
      <c r="G174" s="473">
        <f t="shared" si="15"/>
        <v>90.220000000001164</v>
      </c>
    </row>
  </sheetData>
  <mergeCells count="77">
    <mergeCell ref="A173:B173"/>
    <mergeCell ref="A174:B174"/>
    <mergeCell ref="A82:C82"/>
    <mergeCell ref="A83:C83"/>
    <mergeCell ref="A119:B119"/>
    <mergeCell ref="A120:B120"/>
    <mergeCell ref="A121:B121"/>
    <mergeCell ref="A109:B109"/>
    <mergeCell ref="A110:B110"/>
    <mergeCell ref="A111:B111"/>
    <mergeCell ref="A112:B112"/>
    <mergeCell ref="A113:B113"/>
    <mergeCell ref="A104:B104"/>
    <mergeCell ref="A105:B105"/>
    <mergeCell ref="A106:B106"/>
    <mergeCell ref="A107:C107"/>
    <mergeCell ref="A108:B108"/>
    <mergeCell ref="A102:C102"/>
    <mergeCell ref="A122:B122"/>
    <mergeCell ref="A114:B114"/>
    <mergeCell ref="A115:B115"/>
    <mergeCell ref="A116:B116"/>
    <mergeCell ref="A117:B117"/>
    <mergeCell ref="A118:B118"/>
    <mergeCell ref="A123:C123"/>
    <mergeCell ref="A142:B142"/>
    <mergeCell ref="A153:C153"/>
    <mergeCell ref="A154:C154"/>
    <mergeCell ref="A126:C126"/>
    <mergeCell ref="A150:C150"/>
    <mergeCell ref="A151:C151"/>
    <mergeCell ref="A143:C143"/>
    <mergeCell ref="A144:C144"/>
    <mergeCell ref="A152:C152"/>
    <mergeCell ref="A145:C145"/>
    <mergeCell ref="A146:C146"/>
    <mergeCell ref="A147:C147"/>
    <mergeCell ref="A148:C148"/>
    <mergeCell ref="A149:C149"/>
    <mergeCell ref="A95:C95"/>
    <mergeCell ref="A96:C96"/>
    <mergeCell ref="A93:C93"/>
    <mergeCell ref="A94:C94"/>
    <mergeCell ref="A69:C69"/>
    <mergeCell ref="A70:C70"/>
    <mergeCell ref="A71:J71"/>
    <mergeCell ref="A72:C72"/>
    <mergeCell ref="A73:C73"/>
    <mergeCell ref="A74:C74"/>
    <mergeCell ref="A75:C75"/>
    <mergeCell ref="A76:C76"/>
    <mergeCell ref="A77:C77"/>
    <mergeCell ref="A79:C79"/>
    <mergeCell ref="A80:C80"/>
    <mergeCell ref="A81:C81"/>
    <mergeCell ref="A64:C64"/>
    <mergeCell ref="A65:C65"/>
    <mergeCell ref="A66:C66"/>
    <mergeCell ref="A67:C67"/>
    <mergeCell ref="A68:C68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  <mergeCell ref="A171:C171"/>
    <mergeCell ref="A172:C172"/>
    <mergeCell ref="A158:G158"/>
    <mergeCell ref="A167:C167"/>
    <mergeCell ref="A168:C168"/>
    <mergeCell ref="A169:C169"/>
    <mergeCell ref="A170:C170"/>
  </mergeCells>
  <pageMargins left="0.23622047244094491" right="0.15748031496062992" top="0.15748031496062992" bottom="0.19685039370078741" header="0.19685039370078741" footer="0.19685039370078741"/>
  <pageSetup paperSize="5" scale="20" fitToHeight="3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86"/>
  <sheetViews>
    <sheetView view="pageBreakPreview" topLeftCell="A166" zoomScale="55" zoomScaleSheetLayoutView="55" workbookViewId="0">
      <selection activeCell="G174" sqref="G174"/>
    </sheetView>
  </sheetViews>
  <sheetFormatPr defaultColWidth="22.33203125" defaultRowHeight="29.25"/>
  <cols>
    <col min="1" max="1" width="42.33203125" style="454" customWidth="1"/>
    <col min="2" max="2" width="31.109375" style="457" customWidth="1"/>
    <col min="3" max="3" width="15.88671875" style="457" customWidth="1"/>
    <col min="4" max="4" width="13.6640625" style="537" customWidth="1"/>
    <col min="5" max="5" width="30" style="537" customWidth="1"/>
    <col min="6" max="6" width="30" style="664" customWidth="1"/>
    <col min="7" max="7" width="28.88671875" style="537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3" width="0" style="376" hidden="1" customWidth="1"/>
    <col min="14" max="14" width="25.5546875" style="376" customWidth="1"/>
    <col min="15" max="16384" width="22.33203125" style="376"/>
  </cols>
  <sheetData>
    <row r="1" spans="1:15" ht="33.75">
      <c r="A1" s="1549" t="s">
        <v>116</v>
      </c>
      <c r="B1" s="1550"/>
      <c r="C1" s="1550"/>
      <c r="D1" s="1550"/>
      <c r="E1" s="1550"/>
      <c r="F1" s="1550"/>
      <c r="G1" s="1550"/>
      <c r="H1" s="1550"/>
      <c r="I1" s="1550"/>
      <c r="J1" s="1551"/>
    </row>
    <row r="2" spans="1:15" s="281" customFormat="1" ht="27">
      <c r="A2" s="575" t="s">
        <v>361</v>
      </c>
      <c r="B2" s="1033">
        <v>44355</v>
      </c>
      <c r="C2" s="1143" t="s">
        <v>68</v>
      </c>
      <c r="D2" s="611">
        <v>0.24</v>
      </c>
      <c r="E2" s="461"/>
      <c r="F2" s="461"/>
      <c r="G2" s="461" t="s">
        <v>117</v>
      </c>
      <c r="H2" s="461" t="s">
        <v>6</v>
      </c>
      <c r="I2" s="461" t="s">
        <v>8</v>
      </c>
      <c r="J2" s="613" t="s">
        <v>118</v>
      </c>
    </row>
    <row r="3" spans="1:15" s="281" customFormat="1" ht="27">
      <c r="A3" s="570"/>
      <c r="B3" s="614"/>
      <c r="C3" s="1143" t="s">
        <v>119</v>
      </c>
      <c r="D3" s="612">
        <v>27</v>
      </c>
      <c r="E3" s="1558" t="s">
        <v>120</v>
      </c>
      <c r="F3" s="1559"/>
      <c r="G3" s="462"/>
      <c r="H3" s="463"/>
      <c r="I3" s="463"/>
      <c r="J3" s="615"/>
      <c r="K3" s="371"/>
      <c r="L3" s="292"/>
    </row>
    <row r="4" spans="1:15" s="281" customFormat="1" ht="27">
      <c r="A4" s="576"/>
      <c r="B4" s="616"/>
      <c r="C4" s="1143" t="s">
        <v>121</v>
      </c>
      <c r="D4" s="611">
        <v>0.78</v>
      </c>
      <c r="E4" s="464"/>
      <c r="F4" s="464"/>
      <c r="G4" s="464"/>
      <c r="H4" s="464"/>
      <c r="I4" s="465"/>
      <c r="J4" s="615"/>
      <c r="K4" s="372"/>
      <c r="L4" s="292"/>
    </row>
    <row r="5" spans="1:15">
      <c r="A5" s="577" t="s">
        <v>122</v>
      </c>
      <c r="B5" s="459"/>
      <c r="C5" s="459"/>
      <c r="D5" s="511"/>
      <c r="E5" s="467" t="s">
        <v>124</v>
      </c>
      <c r="F5" s="467" t="s">
        <v>111</v>
      </c>
      <c r="G5" s="468" t="s">
        <v>125</v>
      </c>
      <c r="H5" s="469" t="s">
        <v>126</v>
      </c>
      <c r="I5" s="470" t="s">
        <v>127</v>
      </c>
      <c r="J5" s="550" t="s">
        <v>128</v>
      </c>
      <c r="K5" s="426"/>
      <c r="L5" s="377"/>
    </row>
    <row r="6" spans="1:15">
      <c r="A6" s="1552" t="s">
        <v>129</v>
      </c>
      <c r="B6" s="1553"/>
      <c r="C6" s="1554"/>
      <c r="D6" s="471"/>
      <c r="E6" s="471"/>
      <c r="F6" s="471"/>
      <c r="G6" s="471"/>
      <c r="H6" s="472"/>
      <c r="I6" s="472"/>
      <c r="J6" s="551"/>
      <c r="K6" s="427"/>
      <c r="L6" s="377"/>
    </row>
    <row r="7" spans="1:15" ht="30" thickBot="1">
      <c r="A7" s="677" t="s">
        <v>130</v>
      </c>
      <c r="B7" s="678"/>
      <c r="C7" s="678"/>
      <c r="D7" s="638" t="s">
        <v>131</v>
      </c>
      <c r="E7" s="633">
        <f>'7'!F7</f>
        <v>465590.03</v>
      </c>
      <c r="F7" s="455">
        <v>482815.75</v>
      </c>
      <c r="G7" s="679">
        <f>F7-E7</f>
        <v>17225.719999999972</v>
      </c>
      <c r="H7" s="680">
        <f>G7+'7'!H7</f>
        <v>138403.75</v>
      </c>
      <c r="I7" s="681">
        <f>'1'!I7</f>
        <v>12000</v>
      </c>
      <c r="J7" s="682">
        <f>H7/DAY(B2)</f>
        <v>17300.46875</v>
      </c>
      <c r="K7" s="549"/>
      <c r="L7" s="377"/>
      <c r="N7" s="709">
        <v>11335</v>
      </c>
      <c r="O7" s="382">
        <f>G7-N7</f>
        <v>5890.7199999999721</v>
      </c>
    </row>
    <row r="8" spans="1:15" ht="27.75" thickBot="1">
      <c r="A8" s="683" t="s">
        <v>132</v>
      </c>
      <c r="B8" s="684"/>
      <c r="C8" s="685"/>
      <c r="D8" s="686" t="s">
        <v>25</v>
      </c>
      <c r="E8" s="633">
        <f>'7'!F8</f>
        <v>468243.75</v>
      </c>
      <c r="F8" s="475">
        <v>485532.31</v>
      </c>
      <c r="G8" s="690">
        <f>F8-E8</f>
        <v>17288.559999999998</v>
      </c>
      <c r="H8" s="680">
        <f>G8+'7'!H8</f>
        <v>139022.31</v>
      </c>
      <c r="I8" s="687">
        <v>12000</v>
      </c>
      <c r="J8" s="682">
        <f>H8/DAY(B2)</f>
        <v>17377.78875</v>
      </c>
      <c r="K8" s="549"/>
      <c r="L8" s="425"/>
      <c r="M8" s="440"/>
      <c r="N8" s="704"/>
    </row>
    <row r="9" spans="1:15">
      <c r="A9" s="688" t="s">
        <v>133</v>
      </c>
      <c r="B9" s="689"/>
      <c r="C9" s="689"/>
      <c r="D9" s="638" t="s">
        <v>131</v>
      </c>
      <c r="E9" s="633">
        <f>'7'!F9</f>
        <v>1591353.7</v>
      </c>
      <c r="F9" s="478">
        <v>1607751.6</v>
      </c>
      <c r="G9" s="703">
        <f t="shared" ref="G9:G12" si="0">F9-E9</f>
        <v>16397.90000000014</v>
      </c>
      <c r="H9" s="680">
        <f>G9+'7'!H9</f>
        <v>134061.60000000009</v>
      </c>
      <c r="I9" s="691">
        <f>I7-J7</f>
        <v>-5300.46875</v>
      </c>
      <c r="J9" s="682">
        <f>H9/DAY(B2)</f>
        <v>16757.700000000012</v>
      </c>
      <c r="K9" s="428"/>
      <c r="L9" s="377"/>
      <c r="N9" s="382"/>
    </row>
    <row r="10" spans="1:15">
      <c r="A10" s="677" t="s">
        <v>134</v>
      </c>
      <c r="B10" s="678"/>
      <c r="C10" s="678"/>
      <c r="D10" s="638" t="s">
        <v>131</v>
      </c>
      <c r="E10" s="633">
        <f>'7'!F10</f>
        <v>2606.5500000000002</v>
      </c>
      <c r="F10" s="478">
        <v>2606.5500000000002</v>
      </c>
      <c r="G10" s="690">
        <f t="shared" si="0"/>
        <v>0</v>
      </c>
      <c r="H10" s="680">
        <f>G10+'7'!H10</f>
        <v>0.42000000000007276</v>
      </c>
      <c r="I10" s="692"/>
      <c r="J10" s="682">
        <f>H10/DAY(B2)</f>
        <v>5.2500000000009095E-2</v>
      </c>
      <c r="K10" s="428"/>
      <c r="L10" s="377"/>
      <c r="N10" s="382"/>
    </row>
    <row r="11" spans="1:15">
      <c r="A11" s="677" t="s">
        <v>135</v>
      </c>
      <c r="B11" s="678"/>
      <c r="C11" s="678"/>
      <c r="D11" s="638" t="s">
        <v>131</v>
      </c>
      <c r="E11" s="633">
        <f>'7'!F11</f>
        <v>37000</v>
      </c>
      <c r="F11" s="455">
        <v>37000</v>
      </c>
      <c r="G11" s="690">
        <f t="shared" si="0"/>
        <v>0</v>
      </c>
      <c r="H11" s="680">
        <f>G11+'7'!H11</f>
        <v>0</v>
      </c>
      <c r="I11" s="692"/>
      <c r="J11" s="682">
        <f>H11/DAY(B2)</f>
        <v>0</v>
      </c>
      <c r="K11" s="428"/>
      <c r="L11" s="377"/>
      <c r="N11" s="382"/>
    </row>
    <row r="12" spans="1:15">
      <c r="A12" s="677" t="s">
        <v>136</v>
      </c>
      <c r="B12" s="678"/>
      <c r="C12" s="678"/>
      <c r="D12" s="638" t="s">
        <v>131</v>
      </c>
      <c r="E12" s="633">
        <f>'7'!F12</f>
        <v>40010</v>
      </c>
      <c r="F12" s="478">
        <v>40010</v>
      </c>
      <c r="G12" s="690">
        <f t="shared" si="0"/>
        <v>0</v>
      </c>
      <c r="H12" s="680">
        <f>G12+'7'!H12</f>
        <v>0</v>
      </c>
      <c r="I12" s="692"/>
      <c r="J12" s="682">
        <f>H12/DAY(B2)</f>
        <v>0</v>
      </c>
      <c r="K12" s="428"/>
      <c r="L12" s="377"/>
      <c r="N12" s="382"/>
    </row>
    <row r="13" spans="1:15">
      <c r="A13" s="693" t="s">
        <v>137</v>
      </c>
      <c r="B13" s="694"/>
      <c r="C13" s="694"/>
      <c r="D13" s="638"/>
      <c r="E13" s="633"/>
      <c r="F13" s="455">
        <v>0</v>
      </c>
      <c r="G13" s="695">
        <f>G9+G10+G11+G12</f>
        <v>16397.90000000014</v>
      </c>
      <c r="H13" s="680">
        <f>G13+'7'!H13</f>
        <v>134062.02000000008</v>
      </c>
      <c r="I13" s="696">
        <f>G7-G13</f>
        <v>827.81999999983236</v>
      </c>
      <c r="J13" s="682">
        <f>H13/DAY(B2)</f>
        <v>16757.75250000001</v>
      </c>
      <c r="K13" s="428"/>
      <c r="L13" s="377"/>
      <c r="N13" s="382"/>
    </row>
    <row r="14" spans="1:15">
      <c r="A14" s="1555" t="s">
        <v>138</v>
      </c>
      <c r="B14" s="1556"/>
      <c r="C14" s="1557"/>
      <c r="D14" s="472"/>
      <c r="E14" s="472"/>
      <c r="F14" s="472"/>
      <c r="G14" s="483"/>
      <c r="H14" s="472"/>
      <c r="I14" s="472"/>
      <c r="J14" s="551"/>
      <c r="K14" s="429"/>
      <c r="L14" s="377"/>
      <c r="N14" s="382"/>
      <c r="O14" s="376" t="s">
        <v>214</v>
      </c>
    </row>
    <row r="15" spans="1:15">
      <c r="A15" s="666" t="s">
        <v>139</v>
      </c>
      <c r="B15" s="667"/>
      <c r="C15" s="667"/>
      <c r="D15" s="668" t="s">
        <v>140</v>
      </c>
      <c r="E15" s="669">
        <f>'7'!F15</f>
        <v>1687720.83</v>
      </c>
      <c r="F15" s="485">
        <v>1688126.95</v>
      </c>
      <c r="G15" s="665">
        <f>(F15-E15)</f>
        <v>406.11999999987893</v>
      </c>
      <c r="H15" s="1465">
        <f>G15+'7'!H15</f>
        <v>3602.9499999999534</v>
      </c>
      <c r="I15" s="1466">
        <v>800</v>
      </c>
      <c r="J15" s="1467">
        <f>H15/DAY(B2)</f>
        <v>450.36874999999418</v>
      </c>
      <c r="K15" s="428"/>
      <c r="L15" s="377"/>
      <c r="N15" s="382"/>
    </row>
    <row r="16" spans="1:15">
      <c r="A16" s="674"/>
      <c r="B16" s="675"/>
      <c r="C16" s="675"/>
      <c r="D16" s="668"/>
      <c r="E16" s="669"/>
      <c r="F16" s="701"/>
      <c r="G16" s="670"/>
      <c r="H16" s="671"/>
      <c r="I16" s="676">
        <f>I15-J15</f>
        <v>349.63125000000582</v>
      </c>
      <c r="J16" s="673"/>
      <c r="K16" s="428"/>
      <c r="L16" s="377"/>
      <c r="N16" s="382"/>
    </row>
    <row r="17" spans="1:14">
      <c r="A17" s="1555" t="s">
        <v>141</v>
      </c>
      <c r="B17" s="1556"/>
      <c r="C17" s="1557"/>
      <c r="D17" s="472"/>
      <c r="E17" s="472"/>
      <c r="F17" s="472"/>
      <c r="G17" s="488"/>
      <c r="H17" s="472"/>
      <c r="I17" s="472"/>
      <c r="J17" s="551"/>
      <c r="K17" s="428"/>
      <c r="L17" s="377"/>
      <c r="N17" s="382"/>
    </row>
    <row r="18" spans="1:14" ht="27.75">
      <c r="A18" s="1590" t="s">
        <v>142</v>
      </c>
      <c r="B18" s="1591"/>
      <c r="C18" s="1592"/>
      <c r="D18" s="638" t="s">
        <v>143</v>
      </c>
      <c r="E18" s="635">
        <f>'7'!F18</f>
        <v>6</v>
      </c>
      <c r="F18" s="626">
        <v>10</v>
      </c>
      <c r="G18" s="695">
        <f>F18*10</f>
        <v>100</v>
      </c>
      <c r="H18" s="680">
        <f>G18+'7'!H18</f>
        <v>510</v>
      </c>
      <c r="I18" s="681">
        <f>'1'!I18</f>
        <v>65</v>
      </c>
      <c r="J18" s="682">
        <f>H18/DAY(B2)</f>
        <v>63.75</v>
      </c>
      <c r="K18" s="428"/>
      <c r="L18" s="377"/>
      <c r="N18" s="382"/>
    </row>
    <row r="19" spans="1:14" ht="27.75">
      <c r="A19" s="1590" t="s">
        <v>70</v>
      </c>
      <c r="B19" s="1591"/>
      <c r="C19" s="1592"/>
      <c r="D19" s="638" t="s">
        <v>143</v>
      </c>
      <c r="E19" s="635">
        <f>'7'!F19</f>
        <v>140037</v>
      </c>
      <c r="F19" s="478">
        <v>140096</v>
      </c>
      <c r="G19" s="690">
        <f t="shared" ref="G19" si="1">F19-E19</f>
        <v>59</v>
      </c>
      <c r="H19" s="680">
        <f>G19+'7'!H19</f>
        <v>484</v>
      </c>
      <c r="I19" s="697"/>
      <c r="J19" s="682">
        <f>H19/DAY(B2)</f>
        <v>60.5</v>
      </c>
      <c r="K19" s="428"/>
      <c r="L19" s="377"/>
      <c r="N19" s="382"/>
    </row>
    <row r="20" spans="1:14">
      <c r="A20" s="693" t="s">
        <v>144</v>
      </c>
      <c r="B20" s="694"/>
      <c r="C20" s="694"/>
      <c r="D20" s="638"/>
      <c r="E20" s="638"/>
      <c r="F20" s="523"/>
      <c r="G20" s="698">
        <f>G18+G19</f>
        <v>159</v>
      </c>
      <c r="H20" s="680">
        <f>G20+'7'!H20</f>
        <v>994</v>
      </c>
      <c r="I20" s="699">
        <f>I18-J20</f>
        <v>-59.25</v>
      </c>
      <c r="J20" s="682">
        <f>H20/DAY(B2)</f>
        <v>124.25</v>
      </c>
      <c r="K20" s="428"/>
      <c r="L20" s="377"/>
      <c r="N20" s="382"/>
    </row>
    <row r="21" spans="1:14">
      <c r="A21" s="1555" t="s">
        <v>145</v>
      </c>
      <c r="B21" s="1556"/>
      <c r="C21" s="1557"/>
      <c r="D21" s="472"/>
      <c r="E21" s="472"/>
      <c r="F21" s="472"/>
      <c r="G21" s="483"/>
      <c r="H21" s="472"/>
      <c r="I21" s="472"/>
      <c r="J21" s="551"/>
      <c r="K21" s="428"/>
      <c r="L21" s="377"/>
      <c r="N21" s="382"/>
    </row>
    <row r="22" spans="1:14">
      <c r="A22" s="1141" t="s">
        <v>146</v>
      </c>
      <c r="B22" s="589"/>
      <c r="C22" s="589"/>
      <c r="D22" s="523" t="s">
        <v>147</v>
      </c>
      <c r="E22" s="484">
        <f>'7'!F22</f>
        <v>2970</v>
      </c>
      <c r="F22" s="478">
        <v>2970</v>
      </c>
      <c r="G22" s="481">
        <f>(E22-F22)</f>
        <v>0</v>
      </c>
      <c r="H22" s="460">
        <f>G22+'7'!H22</f>
        <v>0</v>
      </c>
      <c r="I22" s="480"/>
      <c r="J22" s="552">
        <f>H22/DAY(B2)</f>
        <v>0</v>
      </c>
      <c r="K22" s="428"/>
      <c r="L22" s="377"/>
      <c r="N22" s="382"/>
    </row>
    <row r="23" spans="1:14">
      <c r="A23" s="1141" t="s">
        <v>148</v>
      </c>
      <c r="B23" s="589"/>
      <c r="C23" s="589"/>
      <c r="D23" s="523" t="s">
        <v>147</v>
      </c>
      <c r="E23" s="484">
        <f>'7'!F23</f>
        <v>2000</v>
      </c>
      <c r="F23" s="478">
        <v>2000</v>
      </c>
      <c r="G23" s="481">
        <f>(E23-F23)</f>
        <v>0</v>
      </c>
      <c r="H23" s="460">
        <f>G23+'7'!H23</f>
        <v>120</v>
      </c>
      <c r="I23" s="480"/>
      <c r="J23" s="552">
        <f>H23/DAY(B2)</f>
        <v>15</v>
      </c>
      <c r="K23" s="428"/>
      <c r="L23" s="377"/>
      <c r="N23" s="382"/>
    </row>
    <row r="24" spans="1:14">
      <c r="A24" s="590" t="s">
        <v>149</v>
      </c>
      <c r="B24" s="591"/>
      <c r="C24" s="591"/>
      <c r="D24" s="511" t="s">
        <v>147</v>
      </c>
      <c r="E24" s="493">
        <f>'7'!F24</f>
        <v>4970</v>
      </c>
      <c r="F24" s="493">
        <v>4970</v>
      </c>
      <c r="G24" s="760">
        <f>(G22+G23)</f>
        <v>0</v>
      </c>
      <c r="H24" s="460">
        <f>G24+'7'!H24</f>
        <v>120</v>
      </c>
      <c r="I24" s="480"/>
      <c r="J24" s="552">
        <f>H24/DAY(B2)</f>
        <v>15</v>
      </c>
      <c r="K24" s="428"/>
      <c r="L24" s="377"/>
      <c r="N24" s="382"/>
    </row>
    <row r="25" spans="1:14" s="442" customFormat="1" ht="27">
      <c r="A25" s="1560" t="s">
        <v>150</v>
      </c>
      <c r="B25" s="1561"/>
      <c r="C25" s="1562"/>
      <c r="D25" s="471"/>
      <c r="E25" s="471"/>
      <c r="F25" s="471"/>
      <c r="G25" s="494"/>
      <c r="H25" s="495"/>
      <c r="I25" s="496"/>
      <c r="J25" s="554"/>
      <c r="K25" s="373"/>
      <c r="L25" s="443"/>
      <c r="N25" s="382"/>
    </row>
    <row r="26" spans="1:14" s="442" customFormat="1" ht="27.75">
      <c r="A26" s="592" t="s">
        <v>151</v>
      </c>
      <c r="B26" s="593"/>
      <c r="C26" s="594"/>
      <c r="D26" s="618" t="s">
        <v>152</v>
      </c>
      <c r="E26" s="497"/>
      <c r="F26" s="455"/>
      <c r="G26" s="498"/>
      <c r="H26" s="460"/>
      <c r="I26" s="499"/>
      <c r="J26" s="552"/>
      <c r="K26" s="374"/>
      <c r="L26" s="443"/>
      <c r="N26" s="382"/>
    </row>
    <row r="27" spans="1:14" s="442" customFormat="1" ht="27.75">
      <c r="A27" s="592" t="s">
        <v>6</v>
      </c>
      <c r="B27" s="593"/>
      <c r="C27" s="594"/>
      <c r="D27" s="619" t="s">
        <v>25</v>
      </c>
      <c r="E27" s="700">
        <f>G8</f>
        <v>17288.559999999998</v>
      </c>
      <c r="F27" s="501">
        <v>9</v>
      </c>
      <c r="G27" s="502">
        <f>E27*F27</f>
        <v>155597.03999999998</v>
      </c>
      <c r="H27" s="460">
        <f>G27+'7'!H27</f>
        <v>1250363.79</v>
      </c>
      <c r="I27" s="503"/>
      <c r="J27" s="552">
        <f>H27/DAY(B2)</f>
        <v>156295.47375</v>
      </c>
      <c r="K27" s="373"/>
      <c r="L27" s="443"/>
      <c r="N27" s="382"/>
    </row>
    <row r="28" spans="1:14" s="442" customFormat="1" ht="27.75">
      <c r="A28" s="592" t="s">
        <v>153</v>
      </c>
      <c r="B28" s="593"/>
      <c r="C28" s="594"/>
      <c r="D28" s="619" t="s">
        <v>154</v>
      </c>
      <c r="E28" s="700">
        <f>G15</f>
        <v>406.11999999987893</v>
      </c>
      <c r="F28" s="501">
        <v>52</v>
      </c>
      <c r="G28" s="502">
        <f t="shared" ref="G28:G31" si="2">E28*F28</f>
        <v>21118.239999993704</v>
      </c>
      <c r="H28" s="460">
        <f>G28+'7'!H28</f>
        <v>187353.39999999758</v>
      </c>
      <c r="I28" s="505"/>
      <c r="J28" s="552">
        <f>H28/DAY(B2)</f>
        <v>23419.174999999697</v>
      </c>
      <c r="K28" s="373"/>
      <c r="L28" s="443"/>
      <c r="N28" s="382"/>
    </row>
    <row r="29" spans="1:14" s="442" customFormat="1" ht="27.75">
      <c r="A29" s="592" t="s">
        <v>155</v>
      </c>
      <c r="B29" s="593"/>
      <c r="C29" s="594"/>
      <c r="D29" s="619" t="s">
        <v>156</v>
      </c>
      <c r="E29" s="700">
        <f>G24</f>
        <v>0</v>
      </c>
      <c r="F29" s="501">
        <v>69</v>
      </c>
      <c r="G29" s="502">
        <f>E29*F29</f>
        <v>0</v>
      </c>
      <c r="H29" s="460">
        <f>G29+'7'!H29</f>
        <v>8280</v>
      </c>
      <c r="I29" s="505"/>
      <c r="J29" s="552">
        <f>H29/DAY(B2)</f>
        <v>1035</v>
      </c>
      <c r="K29" s="373"/>
      <c r="L29" s="443"/>
      <c r="N29" s="382"/>
    </row>
    <row r="30" spans="1:14" s="442" customFormat="1" ht="27.75">
      <c r="A30" s="592" t="s">
        <v>157</v>
      </c>
      <c r="B30" s="593"/>
      <c r="C30" s="594"/>
      <c r="D30" s="619" t="s">
        <v>158</v>
      </c>
      <c r="E30" s="700">
        <f>G19</f>
        <v>59</v>
      </c>
      <c r="F30" s="501">
        <v>146</v>
      </c>
      <c r="G30" s="502">
        <f t="shared" si="2"/>
        <v>8614</v>
      </c>
      <c r="H30" s="460">
        <f>G30+'7'!H30</f>
        <v>70664</v>
      </c>
      <c r="I30" s="505"/>
      <c r="J30" s="552">
        <f>H30/DAY(B2)</f>
        <v>8833</v>
      </c>
      <c r="K30" s="373"/>
      <c r="L30" s="443"/>
      <c r="N30" s="382"/>
    </row>
    <row r="31" spans="1:14" s="442" customFormat="1" ht="27.75">
      <c r="A31" s="592" t="s">
        <v>159</v>
      </c>
      <c r="B31" s="593"/>
      <c r="C31" s="594"/>
      <c r="D31" s="619" t="s">
        <v>143</v>
      </c>
      <c r="E31" s="700">
        <f>G18</f>
        <v>100</v>
      </c>
      <c r="F31" s="501">
        <v>80</v>
      </c>
      <c r="G31" s="502">
        <f t="shared" si="2"/>
        <v>8000</v>
      </c>
      <c r="H31" s="460">
        <f>G31+'7'!H31</f>
        <v>40800</v>
      </c>
      <c r="I31" s="505"/>
      <c r="J31" s="552">
        <f>H31/DAY(B2)</f>
        <v>5100</v>
      </c>
      <c r="K31" s="373"/>
      <c r="L31" s="443"/>
      <c r="N31" s="382"/>
    </row>
    <row r="32" spans="1:14" s="442" customFormat="1" ht="27.75">
      <c r="A32" s="595" t="s">
        <v>160</v>
      </c>
      <c r="B32" s="596"/>
      <c r="C32" s="597"/>
      <c r="D32" s="507"/>
      <c r="E32" s="507"/>
      <c r="F32" s="524"/>
      <c r="G32" s="508">
        <f>G27+G28+G29+G30+G31</f>
        <v>193329.27999999368</v>
      </c>
      <c r="H32" s="460">
        <f>G32+'7'!H32</f>
        <v>1557461.1899999976</v>
      </c>
      <c r="I32" s="509"/>
      <c r="J32" s="552">
        <f>H32/DAY(B2)</f>
        <v>194682.6487499997</v>
      </c>
      <c r="K32" s="373"/>
      <c r="L32" s="443"/>
      <c r="N32" s="382"/>
    </row>
    <row r="33" spans="1:14" ht="25.5">
      <c r="A33" s="1563" t="s">
        <v>161</v>
      </c>
      <c r="B33" s="1564"/>
      <c r="C33" s="1564"/>
      <c r="D33" s="1564"/>
      <c r="E33" s="1564"/>
      <c r="F33" s="1564"/>
      <c r="G33" s="1564"/>
      <c r="H33" s="1564"/>
      <c r="I33" s="1564"/>
      <c r="J33" s="1565"/>
      <c r="K33" s="428"/>
      <c r="L33" s="377"/>
      <c r="N33" s="382"/>
    </row>
    <row r="34" spans="1:14">
      <c r="A34" s="598" t="s">
        <v>162</v>
      </c>
      <c r="B34" s="1146"/>
      <c r="C34" s="1146"/>
      <c r="D34" s="472"/>
      <c r="E34" s="471"/>
      <c r="F34" s="471"/>
      <c r="G34" s="472"/>
      <c r="H34" s="472"/>
      <c r="I34" s="472"/>
      <c r="J34" s="551"/>
      <c r="K34" s="428"/>
      <c r="L34" s="377"/>
      <c r="N34" s="382"/>
    </row>
    <row r="35" spans="1:14">
      <c r="A35" s="578" t="s">
        <v>163</v>
      </c>
      <c r="B35" s="579"/>
      <c r="C35" s="579"/>
      <c r="D35" s="523" t="s">
        <v>131</v>
      </c>
      <c r="E35" s="510">
        <f>'7'!F35</f>
        <v>967655.51</v>
      </c>
      <c r="F35" s="510">
        <v>970115.19</v>
      </c>
      <c r="G35" s="473">
        <f t="shared" ref="G35:G46" si="3">F35-E35</f>
        <v>2459.6799999999348</v>
      </c>
      <c r="H35" s="460">
        <f>G35+'7'!H35</f>
        <v>19627.189999999944</v>
      </c>
      <c r="I35" s="455"/>
      <c r="J35" s="552">
        <f>H35/DAY(B2)</f>
        <v>2453.398749999993</v>
      </c>
      <c r="K35" s="428"/>
      <c r="L35" s="377"/>
      <c r="N35" s="382"/>
    </row>
    <row r="36" spans="1:14">
      <c r="A36" s="578" t="s">
        <v>164</v>
      </c>
      <c r="B36" s="579"/>
      <c r="C36" s="579"/>
      <c r="D36" s="523" t="s">
        <v>131</v>
      </c>
      <c r="E36" s="510">
        <f>'7'!F36</f>
        <v>4057.06</v>
      </c>
      <c r="F36" s="510">
        <v>4653.18</v>
      </c>
      <c r="G36" s="473">
        <f t="shared" si="3"/>
        <v>596.12000000000035</v>
      </c>
      <c r="H36" s="460">
        <f>G36+'7'!H36</f>
        <v>4480.18</v>
      </c>
      <c r="I36" s="455"/>
      <c r="J36" s="552">
        <f>H36/DAY(B2)</f>
        <v>560.02250000000004</v>
      </c>
      <c r="K36" s="428"/>
      <c r="L36" s="377"/>
      <c r="N36" s="628"/>
    </row>
    <row r="37" spans="1:14">
      <c r="A37" s="578" t="s">
        <v>165</v>
      </c>
      <c r="B37" s="579"/>
      <c r="C37" s="579"/>
      <c r="D37" s="523" t="s">
        <v>131</v>
      </c>
      <c r="E37" s="510">
        <f>'7'!F37</f>
        <v>143365.62</v>
      </c>
      <c r="F37" s="510">
        <v>144713.26</v>
      </c>
      <c r="G37" s="473">
        <f t="shared" si="3"/>
        <v>1347.640000000014</v>
      </c>
      <c r="H37" s="460">
        <f>G37+'7'!H37</f>
        <v>10477.260000000009</v>
      </c>
      <c r="I37" s="455"/>
      <c r="J37" s="552">
        <f>H37/DAY(B2)</f>
        <v>1309.6575000000012</v>
      </c>
      <c r="K37" s="428"/>
      <c r="L37" s="377"/>
      <c r="N37" s="629"/>
    </row>
    <row r="38" spans="1:14">
      <c r="A38" s="578" t="s">
        <v>166</v>
      </c>
      <c r="B38" s="579"/>
      <c r="C38" s="579"/>
      <c r="D38" s="523" t="s">
        <v>131</v>
      </c>
      <c r="E38" s="469">
        <f>'7'!F38</f>
        <v>165234.28</v>
      </c>
      <c r="F38" s="469">
        <v>166383.15</v>
      </c>
      <c r="G38" s="473">
        <f t="shared" si="3"/>
        <v>1148.8699999999953</v>
      </c>
      <c r="H38" s="460">
        <f>G38+'7'!H38</f>
        <v>9978.1499999999942</v>
      </c>
      <c r="I38" s="455"/>
      <c r="J38" s="552">
        <f>H38/DAY(B2)</f>
        <v>1247.2687499999993</v>
      </c>
      <c r="K38" s="428"/>
      <c r="L38" s="377"/>
      <c r="N38" s="382"/>
    </row>
    <row r="39" spans="1:14">
      <c r="A39" s="578" t="s">
        <v>167</v>
      </c>
      <c r="B39" s="579"/>
      <c r="C39" s="579"/>
      <c r="D39" s="523" t="s">
        <v>131</v>
      </c>
      <c r="E39" s="510">
        <f>'7'!F39</f>
        <v>326180.09000000003</v>
      </c>
      <c r="F39" s="510">
        <v>329100.28999999998</v>
      </c>
      <c r="G39" s="473">
        <f t="shared" si="3"/>
        <v>2920.1999999999534</v>
      </c>
      <c r="H39" s="460">
        <f>G39+'7'!H39</f>
        <v>20927.289999999979</v>
      </c>
      <c r="I39" s="455"/>
      <c r="J39" s="552">
        <f>H39/DAY(B2)</f>
        <v>2615.9112499999974</v>
      </c>
      <c r="K39" s="428"/>
      <c r="L39" s="377"/>
      <c r="N39" s="382"/>
    </row>
    <row r="40" spans="1:14">
      <c r="A40" s="599" t="s">
        <v>168</v>
      </c>
      <c r="B40" s="600"/>
      <c r="C40" s="600"/>
      <c r="D40" s="523" t="s">
        <v>131</v>
      </c>
      <c r="E40" s="510">
        <f>'7'!F40</f>
        <v>1057.0899999999999</v>
      </c>
      <c r="F40" s="510">
        <v>1057.0899999999999</v>
      </c>
      <c r="G40" s="473">
        <f t="shared" si="3"/>
        <v>0</v>
      </c>
      <c r="H40" s="460">
        <f>G40+'7'!H40</f>
        <v>168.08999999999992</v>
      </c>
      <c r="I40" s="455"/>
      <c r="J40" s="552">
        <f>H40/DAY(B2)</f>
        <v>21.01124999999999</v>
      </c>
      <c r="K40" s="429"/>
      <c r="L40" s="377"/>
      <c r="N40" s="382"/>
    </row>
    <row r="41" spans="1:14">
      <c r="A41" s="578" t="s">
        <v>169</v>
      </c>
      <c r="B41" s="579"/>
      <c r="C41" s="579"/>
      <c r="D41" s="523" t="s">
        <v>131</v>
      </c>
      <c r="E41" s="510">
        <f>'7'!F41</f>
        <v>243578.49</v>
      </c>
      <c r="F41" s="1057">
        <v>248672.59</v>
      </c>
      <c r="G41" s="473">
        <f t="shared" si="3"/>
        <v>5094.1000000000058</v>
      </c>
      <c r="H41" s="460">
        <f>G41+'7'!H41</f>
        <v>8194.5899999999965</v>
      </c>
      <c r="I41" s="455"/>
      <c r="J41" s="552">
        <f>H41/DAY(B2)</f>
        <v>1024.3237499999996</v>
      </c>
      <c r="K41" s="428"/>
      <c r="L41" s="377"/>
      <c r="N41" s="382"/>
    </row>
    <row r="42" spans="1:14">
      <c r="A42" s="578" t="s">
        <v>170</v>
      </c>
      <c r="B42" s="579"/>
      <c r="C42" s="579"/>
      <c r="D42" s="523" t="s">
        <v>131</v>
      </c>
      <c r="E42" s="510">
        <f>'7'!F42</f>
        <v>59210.61</v>
      </c>
      <c r="F42" s="510">
        <v>59210.61</v>
      </c>
      <c r="G42" s="473">
        <f t="shared" si="3"/>
        <v>0</v>
      </c>
      <c r="H42" s="460">
        <f>G42+'7'!H42</f>
        <v>11.639999999999418</v>
      </c>
      <c r="I42" s="455"/>
      <c r="J42" s="552">
        <f>H42/DAY(B2)</f>
        <v>1.4549999999999272</v>
      </c>
      <c r="K42" s="428"/>
      <c r="L42" s="377"/>
      <c r="N42" s="382"/>
    </row>
    <row r="43" spans="1:14">
      <c r="A43" s="578" t="s">
        <v>171</v>
      </c>
      <c r="B43" s="579"/>
      <c r="C43" s="579"/>
      <c r="D43" s="523" t="s">
        <v>131</v>
      </c>
      <c r="E43" s="510">
        <f>'7'!F43</f>
        <v>1058982.7</v>
      </c>
      <c r="F43" s="510">
        <v>1061429.5</v>
      </c>
      <c r="G43" s="473">
        <f t="shared" si="3"/>
        <v>2446.8000000000466</v>
      </c>
      <c r="H43" s="460">
        <f>G43+'7'!H43</f>
        <v>19185.5</v>
      </c>
      <c r="I43" s="455"/>
      <c r="J43" s="552">
        <f>H43/DAY(B2)</f>
        <v>2398.1875</v>
      </c>
      <c r="K43" s="428"/>
      <c r="L43" s="377"/>
      <c r="N43" s="382"/>
    </row>
    <row r="44" spans="1:14">
      <c r="A44" s="578" t="s">
        <v>172</v>
      </c>
      <c r="B44" s="579"/>
      <c r="C44" s="579"/>
      <c r="D44" s="523" t="s">
        <v>131</v>
      </c>
      <c r="E44" s="510">
        <f>'7'!F44</f>
        <v>0</v>
      </c>
      <c r="F44" s="510">
        <v>0</v>
      </c>
      <c r="G44" s="473">
        <f t="shared" si="3"/>
        <v>0</v>
      </c>
      <c r="H44" s="460">
        <f>G44+'7'!H44</f>
        <v>0</v>
      </c>
      <c r="I44" s="455"/>
      <c r="J44" s="552">
        <f>H44/DAY(B2)</f>
        <v>0</v>
      </c>
      <c r="K44" s="428"/>
      <c r="L44" s="377"/>
      <c r="N44" s="382"/>
    </row>
    <row r="45" spans="1:14">
      <c r="A45" s="578" t="s">
        <v>173</v>
      </c>
      <c r="B45" s="579"/>
      <c r="C45" s="579"/>
      <c r="D45" s="523" t="s">
        <v>131</v>
      </c>
      <c r="E45" s="510">
        <f>'7'!F45</f>
        <v>614</v>
      </c>
      <c r="F45" s="510">
        <v>614</v>
      </c>
      <c r="G45" s="473">
        <f t="shared" si="3"/>
        <v>0</v>
      </c>
      <c r="H45" s="460">
        <f>G45+'7'!H45</f>
        <v>0</v>
      </c>
      <c r="I45" s="455"/>
      <c r="J45" s="552">
        <f>H45/DAY(B2)</f>
        <v>0</v>
      </c>
      <c r="K45" s="428"/>
      <c r="L45" s="377"/>
      <c r="N45" s="382"/>
    </row>
    <row r="46" spans="1:14">
      <c r="A46" s="578" t="s">
        <v>174</v>
      </c>
      <c r="B46" s="579"/>
      <c r="C46" s="579"/>
      <c r="D46" s="523" t="s">
        <v>131</v>
      </c>
      <c r="E46" s="510">
        <f>'7'!F46</f>
        <v>187</v>
      </c>
      <c r="F46" s="510">
        <v>187</v>
      </c>
      <c r="G46" s="473">
        <f t="shared" si="3"/>
        <v>0</v>
      </c>
      <c r="H46" s="460">
        <f>G46+'7'!H46</f>
        <v>0</v>
      </c>
      <c r="I46" s="455"/>
      <c r="J46" s="552">
        <f>H46/DAY(B2)</f>
        <v>0</v>
      </c>
      <c r="K46" s="428"/>
      <c r="L46" s="377"/>
      <c r="N46" s="382"/>
    </row>
    <row r="47" spans="1:14">
      <c r="A47" s="585" t="s">
        <v>175</v>
      </c>
      <c r="B47" s="586"/>
      <c r="C47" s="586"/>
      <c r="D47" s="470"/>
      <c r="E47" s="511"/>
      <c r="F47" s="511"/>
      <c r="G47" s="481">
        <f>G35+G36+G37+G38+G39+G40+G41+G42+G43+G44+G45+G46</f>
        <v>16013.409999999951</v>
      </c>
      <c r="H47" s="460">
        <f>G47+'7'!H47</f>
        <v>93049.889999999912</v>
      </c>
      <c r="I47" s="455"/>
      <c r="J47" s="552">
        <f>H47/DAY(B2)</f>
        <v>11631.236249999989</v>
      </c>
      <c r="K47" s="428"/>
      <c r="L47" s="377"/>
      <c r="N47" s="382"/>
    </row>
    <row r="48" spans="1:14">
      <c r="A48" s="598" t="s">
        <v>176</v>
      </c>
      <c r="B48" s="1146"/>
      <c r="C48" s="1146"/>
      <c r="D48" s="472"/>
      <c r="E48" s="471"/>
      <c r="F48" s="471"/>
      <c r="G48" s="472"/>
      <c r="H48" s="472"/>
      <c r="I48" s="472"/>
      <c r="J48" s="551"/>
      <c r="K48" s="428"/>
      <c r="L48" s="377"/>
      <c r="N48" s="382"/>
    </row>
    <row r="49" spans="1:14">
      <c r="A49" s="578" t="s">
        <v>163</v>
      </c>
      <c r="B49" s="601"/>
      <c r="C49" s="601"/>
      <c r="D49" s="523" t="s">
        <v>131</v>
      </c>
      <c r="E49" s="510">
        <f>'7'!F49</f>
        <v>260732.13</v>
      </c>
      <c r="F49" s="1057">
        <v>260732.13</v>
      </c>
      <c r="G49" s="473">
        <f t="shared" ref="G49:G58" si="4">F49-E49</f>
        <v>0</v>
      </c>
      <c r="H49" s="460">
        <f>G49+'7'!H49</f>
        <v>0.13000000000465661</v>
      </c>
      <c r="I49" s="455"/>
      <c r="J49" s="552">
        <f>H49/DAY(B2)</f>
        <v>1.6250000000582077E-2</v>
      </c>
      <c r="K49" s="428"/>
      <c r="L49" s="377"/>
      <c r="N49" s="382"/>
    </row>
    <row r="50" spans="1:14">
      <c r="A50" s="578" t="s">
        <v>177</v>
      </c>
      <c r="B50" s="601"/>
      <c r="C50" s="601"/>
      <c r="D50" s="523" t="s">
        <v>131</v>
      </c>
      <c r="E50" s="510">
        <f>'7'!F50</f>
        <v>509372.19</v>
      </c>
      <c r="F50" s="510">
        <v>510204.59</v>
      </c>
      <c r="G50" s="473">
        <f>F50-E50</f>
        <v>832.40000000002328</v>
      </c>
      <c r="H50" s="460">
        <f>G50+'7'!H50</f>
        <v>7668.5900000000256</v>
      </c>
      <c r="I50" s="455"/>
      <c r="J50" s="552">
        <f>H50/DAY(B2)</f>
        <v>958.5737500000032</v>
      </c>
      <c r="K50" s="428"/>
      <c r="L50" s="377"/>
      <c r="N50" s="382"/>
    </row>
    <row r="51" spans="1:14">
      <c r="A51" s="578" t="s">
        <v>165</v>
      </c>
      <c r="B51" s="601"/>
      <c r="C51" s="601"/>
      <c r="D51" s="523" t="s">
        <v>131</v>
      </c>
      <c r="E51" s="510">
        <f>'7'!F51</f>
        <v>144639.87</v>
      </c>
      <c r="F51" s="1057">
        <v>144639.87</v>
      </c>
      <c r="G51" s="473">
        <f t="shared" si="4"/>
        <v>0</v>
      </c>
      <c r="H51" s="460">
        <f>G51+'7'!H51</f>
        <v>-0.13000000000465661</v>
      </c>
      <c r="I51" s="455"/>
      <c r="J51" s="552">
        <f>H51/DAY(B2)</f>
        <v>-1.6250000000582077E-2</v>
      </c>
      <c r="K51" s="428"/>
      <c r="L51" s="377"/>
      <c r="N51" s="382"/>
    </row>
    <row r="52" spans="1:14">
      <c r="A52" s="578" t="s">
        <v>178</v>
      </c>
      <c r="B52" s="601"/>
      <c r="C52" s="601"/>
      <c r="D52" s="523" t="s">
        <v>131</v>
      </c>
      <c r="E52" s="510">
        <f>'7'!F52</f>
        <v>539606.06999999995</v>
      </c>
      <c r="F52" s="1057">
        <v>539606.06999999995</v>
      </c>
      <c r="G52" s="473">
        <f t="shared" si="4"/>
        <v>0</v>
      </c>
      <c r="H52" s="460">
        <f>G52+'7'!H52</f>
        <v>6.9999999948777258E-2</v>
      </c>
      <c r="I52" s="455"/>
      <c r="J52" s="552">
        <f>H52/DAY(B2)</f>
        <v>8.7499999935971573E-3</v>
      </c>
      <c r="K52" s="428"/>
      <c r="L52" s="377"/>
      <c r="N52" s="382"/>
    </row>
    <row r="53" spans="1:14">
      <c r="A53" s="578" t="s">
        <v>167</v>
      </c>
      <c r="B53" s="601"/>
      <c r="C53" s="601"/>
      <c r="D53" s="523" t="s">
        <v>131</v>
      </c>
      <c r="E53" s="510">
        <f>'7'!F53</f>
        <v>434231.67</v>
      </c>
      <c r="F53" s="1057">
        <v>434231.67</v>
      </c>
      <c r="G53" s="473">
        <f t="shared" si="4"/>
        <v>0</v>
      </c>
      <c r="H53" s="460">
        <f>G53+'7'!H53</f>
        <v>1663.6699999999837</v>
      </c>
      <c r="I53" s="455"/>
      <c r="J53" s="552">
        <f>H53/DAY(B2)</f>
        <v>207.95874999999796</v>
      </c>
      <c r="K53" s="428"/>
      <c r="L53" s="377"/>
      <c r="N53" s="382"/>
    </row>
    <row r="54" spans="1:14">
      <c r="A54" s="578" t="s">
        <v>179</v>
      </c>
      <c r="B54" s="601"/>
      <c r="C54" s="601"/>
      <c r="D54" s="523" t="s">
        <v>131</v>
      </c>
      <c r="E54" s="510">
        <f>'7'!F54</f>
        <v>14337.14</v>
      </c>
      <c r="F54" s="510">
        <v>14419.35</v>
      </c>
      <c r="G54" s="473">
        <f t="shared" si="4"/>
        <v>82.210000000000946</v>
      </c>
      <c r="H54" s="460">
        <f>G54+'7'!H54</f>
        <v>669.35000000000036</v>
      </c>
      <c r="I54" s="455"/>
      <c r="J54" s="552">
        <f>H54/DAY(B2)</f>
        <v>83.668750000000045</v>
      </c>
      <c r="K54" s="428"/>
      <c r="L54" s="377"/>
      <c r="N54" s="382"/>
    </row>
    <row r="55" spans="1:14">
      <c r="A55" s="578" t="s">
        <v>180</v>
      </c>
      <c r="B55" s="601"/>
      <c r="C55" s="601"/>
      <c r="D55" s="523" t="s">
        <v>131</v>
      </c>
      <c r="E55" s="510">
        <f>'7'!F55</f>
        <v>68136.52</v>
      </c>
      <c r="F55" s="654">
        <v>68136.52</v>
      </c>
      <c r="G55" s="653">
        <f t="shared" si="4"/>
        <v>0</v>
      </c>
      <c r="H55" s="706">
        <f>G55+'7'!H55</f>
        <v>25.520000000004075</v>
      </c>
      <c r="I55" s="707"/>
      <c r="J55" s="708">
        <f>H55/DAY(B2)</f>
        <v>3.1900000000005093</v>
      </c>
      <c r="K55" s="428"/>
      <c r="L55" s="377"/>
      <c r="N55" s="382"/>
    </row>
    <row r="56" spans="1:14">
      <c r="A56" s="578" t="s">
        <v>181</v>
      </c>
      <c r="B56" s="601"/>
      <c r="C56" s="601"/>
      <c r="D56" s="523" t="s">
        <v>182</v>
      </c>
      <c r="E56" s="510">
        <f>'7'!F56</f>
        <v>648795.11</v>
      </c>
      <c r="F56" s="654">
        <v>648805.15</v>
      </c>
      <c r="G56" s="473">
        <f t="shared" si="4"/>
        <v>10.040000000037253</v>
      </c>
      <c r="H56" s="460">
        <f>G56+'7'!H56</f>
        <v>31607.150000000023</v>
      </c>
      <c r="I56" s="455"/>
      <c r="J56" s="552">
        <f>H56/DAY(B2)</f>
        <v>3950.8937500000029</v>
      </c>
      <c r="K56" s="427"/>
      <c r="L56" s="377"/>
      <c r="N56" s="382"/>
    </row>
    <row r="57" spans="1:14">
      <c r="A57" s="578" t="s">
        <v>171</v>
      </c>
      <c r="B57" s="601"/>
      <c r="C57" s="601"/>
      <c r="D57" s="523" t="s">
        <v>131</v>
      </c>
      <c r="E57" s="510">
        <f>'7'!F57</f>
        <v>7711</v>
      </c>
      <c r="F57" s="1057">
        <v>7711</v>
      </c>
      <c r="G57" s="473">
        <f t="shared" si="4"/>
        <v>0</v>
      </c>
      <c r="H57" s="460">
        <f>G57+'7'!H57</f>
        <v>0</v>
      </c>
      <c r="I57" s="455"/>
      <c r="J57" s="552">
        <f>H57/DAY(B2)</f>
        <v>0</v>
      </c>
      <c r="K57" s="428"/>
      <c r="L57" s="377"/>
      <c r="N57" s="382"/>
    </row>
    <row r="58" spans="1:14">
      <c r="A58" s="578" t="s">
        <v>183</v>
      </c>
      <c r="B58" s="601"/>
      <c r="C58" s="601"/>
      <c r="D58" s="523" t="s">
        <v>131</v>
      </c>
      <c r="E58" s="510">
        <f>'7'!F58</f>
        <v>50479.54</v>
      </c>
      <c r="F58" s="654">
        <v>50560.79</v>
      </c>
      <c r="G58" s="473">
        <f t="shared" si="4"/>
        <v>81.25</v>
      </c>
      <c r="H58" s="460">
        <f>G58+'7'!H58</f>
        <v>935.79000000000087</v>
      </c>
      <c r="I58" s="455"/>
      <c r="J58" s="552">
        <f>H58/DAY(B2)</f>
        <v>116.97375000000011</v>
      </c>
      <c r="K58" s="428"/>
      <c r="L58" s="377"/>
      <c r="N58" s="382"/>
    </row>
    <row r="59" spans="1:14">
      <c r="A59" s="585" t="s">
        <v>175</v>
      </c>
      <c r="B59" s="586"/>
      <c r="C59" s="586"/>
      <c r="D59" s="511"/>
      <c r="E59" s="511"/>
      <c r="F59" s="511"/>
      <c r="G59" s="481">
        <f>G49+G50+G51+G52+G53+G54+G55+G56+G57+G58</f>
        <v>1005.9000000000615</v>
      </c>
      <c r="H59" s="460">
        <f>G59+'7'!H59</f>
        <v>42570.139999999985</v>
      </c>
      <c r="I59" s="455">
        <f>G7-G60</f>
        <v>206.40999999995984</v>
      </c>
      <c r="J59" s="552">
        <f>H59/DAY(B2)</f>
        <v>5321.2674999999981</v>
      </c>
      <c r="K59" s="428"/>
      <c r="L59" s="377"/>
      <c r="N59" s="382"/>
    </row>
    <row r="60" spans="1:14">
      <c r="A60" s="578"/>
      <c r="B60" s="579"/>
      <c r="C60" s="579"/>
      <c r="D60" s="511" t="s">
        <v>184</v>
      </c>
      <c r="E60" s="511"/>
      <c r="F60" s="511"/>
      <c r="G60" s="481">
        <f>G47+G59</f>
        <v>17019.310000000012</v>
      </c>
      <c r="H60" s="460">
        <f>G60+'7'!H60</f>
        <v>135620.02999999991</v>
      </c>
      <c r="I60" s="455">
        <f>G13-G60</f>
        <v>-621.40999999987253</v>
      </c>
      <c r="J60" s="552">
        <f>H60/DAY(B2)</f>
        <v>16952.503749999989</v>
      </c>
      <c r="K60" s="428"/>
      <c r="L60" s="377"/>
      <c r="N60" s="382"/>
    </row>
    <row r="61" spans="1:14">
      <c r="A61" s="602" t="s">
        <v>185</v>
      </c>
      <c r="B61" s="453"/>
      <c r="C61" s="453"/>
      <c r="D61" s="513"/>
      <c r="E61" s="512"/>
      <c r="F61" s="512"/>
      <c r="G61" s="513"/>
      <c r="H61" s="513"/>
      <c r="I61" s="513"/>
      <c r="J61" s="555"/>
      <c r="K61" s="428"/>
      <c r="L61" s="377"/>
      <c r="N61" s="382"/>
    </row>
    <row r="62" spans="1:14">
      <c r="A62" s="603" t="s">
        <v>97</v>
      </c>
      <c r="B62" s="604"/>
      <c r="C62" s="604"/>
      <c r="D62" s="511" t="s">
        <v>186</v>
      </c>
      <c r="E62" s="510">
        <f>'7'!F62</f>
        <v>0</v>
      </c>
      <c r="F62" s="514">
        <v>0</v>
      </c>
      <c r="G62" s="473">
        <f t="shared" ref="G62:G69" si="5">F62-E62</f>
        <v>0</v>
      </c>
      <c r="H62" s="460">
        <f>G62+'7'!H62</f>
        <v>1.9999999967694748E-3</v>
      </c>
      <c r="I62" s="515"/>
      <c r="J62" s="552">
        <f>H62/DAY(B2)</f>
        <v>2.4999999959618435E-4</v>
      </c>
      <c r="K62" s="428"/>
      <c r="L62" s="377"/>
      <c r="N62" s="382"/>
    </row>
    <row r="63" spans="1:14">
      <c r="A63" s="603" t="s">
        <v>187</v>
      </c>
      <c r="B63" s="604"/>
      <c r="C63" s="604"/>
      <c r="D63" s="511" t="s">
        <v>186</v>
      </c>
      <c r="E63" s="514">
        <f>'7'!F63</f>
        <v>0</v>
      </c>
      <c r="F63" s="514">
        <v>0</v>
      </c>
      <c r="G63" s="473">
        <f t="shared" si="5"/>
        <v>0</v>
      </c>
      <c r="H63" s="460">
        <f>G63+'7'!H63</f>
        <v>0</v>
      </c>
      <c r="I63" s="515"/>
      <c r="J63" s="552">
        <f>H63/DAY(B2)</f>
        <v>0</v>
      </c>
      <c r="K63" s="428"/>
      <c r="L63" s="377"/>
      <c r="N63" s="382"/>
    </row>
    <row r="64" spans="1:14" ht="27.75">
      <c r="A64" s="1534" t="s">
        <v>98</v>
      </c>
      <c r="B64" s="1535"/>
      <c r="C64" s="1536"/>
      <c r="D64" s="523" t="s">
        <v>186</v>
      </c>
      <c r="E64" s="514">
        <f>'7'!F64</f>
        <v>161599.64000000001</v>
      </c>
      <c r="F64" s="478">
        <v>161937.67000000001</v>
      </c>
      <c r="G64" s="473">
        <f t="shared" si="5"/>
        <v>338.02999999999884</v>
      </c>
      <c r="H64" s="460">
        <f>G64+'7'!H64</f>
        <v>2005.6700000000128</v>
      </c>
      <c r="I64" s="480"/>
      <c r="J64" s="552">
        <f>H64/DAY(B2)</f>
        <v>250.7087500000016</v>
      </c>
      <c r="K64" s="428"/>
      <c r="L64" s="377"/>
      <c r="N64" s="382"/>
    </row>
    <row r="65" spans="1:14" ht="27.75">
      <c r="A65" s="1534" t="s">
        <v>99</v>
      </c>
      <c r="B65" s="1535"/>
      <c r="C65" s="1536"/>
      <c r="D65" s="523" t="s">
        <v>186</v>
      </c>
      <c r="E65" s="514">
        <f>'7'!F65</f>
        <v>162666.95000000001</v>
      </c>
      <c r="F65" s="652">
        <v>162864.29999999999</v>
      </c>
      <c r="G65" s="473">
        <f t="shared" si="5"/>
        <v>197.34999999997672</v>
      </c>
      <c r="H65" s="460">
        <f>G65+'7'!H65</f>
        <v>1866.2999999999884</v>
      </c>
      <c r="I65" s="489"/>
      <c r="J65" s="552">
        <f>H65/DAY(B2)</f>
        <v>233.28749999999854</v>
      </c>
      <c r="K65" s="428"/>
      <c r="L65" s="377"/>
      <c r="N65" s="382"/>
    </row>
    <row r="66" spans="1:14" ht="27.75">
      <c r="A66" s="1534" t="s">
        <v>100</v>
      </c>
      <c r="B66" s="1535"/>
      <c r="C66" s="1536"/>
      <c r="D66" s="523" t="s">
        <v>186</v>
      </c>
      <c r="E66" s="514">
        <f>'7'!F66</f>
        <v>58981.97</v>
      </c>
      <c r="F66" s="478">
        <v>59389.64</v>
      </c>
      <c r="G66" s="473">
        <f t="shared" si="5"/>
        <v>407.66999999999825</v>
      </c>
      <c r="H66" s="460">
        <f>G66+'7'!H66</f>
        <v>2584.6399999999994</v>
      </c>
      <c r="I66" s="480"/>
      <c r="J66" s="552">
        <f>H66/DAY(B2)</f>
        <v>323.07999999999993</v>
      </c>
      <c r="K66" s="428"/>
      <c r="L66" s="377"/>
      <c r="N66" s="382"/>
    </row>
    <row r="67" spans="1:14" ht="27.75">
      <c r="A67" s="1534" t="s">
        <v>101</v>
      </c>
      <c r="B67" s="1535"/>
      <c r="C67" s="1536"/>
      <c r="D67" s="523" t="s">
        <v>186</v>
      </c>
      <c r="E67" s="514">
        <f>'7'!F67</f>
        <v>254935.67</v>
      </c>
      <c r="F67" s="478">
        <v>255301.37</v>
      </c>
      <c r="G67" s="473">
        <f t="shared" si="5"/>
        <v>365.69999999998254</v>
      </c>
      <c r="H67" s="460">
        <f>G67+'7'!H67</f>
        <v>3109.3699999999953</v>
      </c>
      <c r="I67" s="489"/>
      <c r="J67" s="552">
        <f>H67/DAY(B2)</f>
        <v>388.67124999999942</v>
      </c>
      <c r="K67" s="429"/>
      <c r="L67" s="377"/>
      <c r="N67" s="382"/>
    </row>
    <row r="68" spans="1:14" ht="27.75">
      <c r="A68" s="1534" t="s">
        <v>102</v>
      </c>
      <c r="B68" s="1535"/>
      <c r="C68" s="1536"/>
      <c r="D68" s="523" t="s">
        <v>186</v>
      </c>
      <c r="E68" s="514">
        <f>'7'!F68</f>
        <v>85321</v>
      </c>
      <c r="F68" s="478">
        <v>85321</v>
      </c>
      <c r="G68" s="473">
        <f t="shared" si="5"/>
        <v>0</v>
      </c>
      <c r="H68" s="460">
        <f>G68+'7'!H68</f>
        <v>0</v>
      </c>
      <c r="I68" s="516"/>
      <c r="J68" s="552">
        <f>H68/DAY(B2)</f>
        <v>0</v>
      </c>
      <c r="K68" s="430"/>
      <c r="L68" s="377"/>
      <c r="N68" s="382"/>
    </row>
    <row r="69" spans="1:14" ht="27.75">
      <c r="A69" s="1534" t="s">
        <v>103</v>
      </c>
      <c r="B69" s="1535"/>
      <c r="C69" s="1536"/>
      <c r="D69" s="523" t="s">
        <v>186</v>
      </c>
      <c r="E69" s="514">
        <f>'7'!F69</f>
        <v>82527.33</v>
      </c>
      <c r="F69" s="478">
        <v>82629.8</v>
      </c>
      <c r="G69" s="473">
        <f t="shared" si="5"/>
        <v>102.47000000000116</v>
      </c>
      <c r="H69" s="460">
        <f>G69+'7'!H69</f>
        <v>880.80000000000291</v>
      </c>
      <c r="I69" s="516"/>
      <c r="J69" s="552">
        <f>H69/DAY(B2)</f>
        <v>110.10000000000036</v>
      </c>
      <c r="K69" s="431"/>
      <c r="L69" s="377"/>
      <c r="N69" s="382"/>
    </row>
    <row r="70" spans="1:14" ht="27.75">
      <c r="A70" s="1566" t="s">
        <v>188</v>
      </c>
      <c r="B70" s="1567"/>
      <c r="C70" s="1568"/>
      <c r="D70" s="523" t="s">
        <v>186</v>
      </c>
      <c r="E70" s="518"/>
      <c r="F70" s="518" t="s">
        <v>267</v>
      </c>
      <c r="G70" s="518"/>
      <c r="H70" s="460"/>
      <c r="I70" s="518"/>
      <c r="J70" s="556"/>
      <c r="K70" s="431"/>
      <c r="L70" s="377"/>
      <c r="N70" s="382"/>
    </row>
    <row r="71" spans="1:14" ht="31.5">
      <c r="A71" s="1580" t="s">
        <v>189</v>
      </c>
      <c r="B71" s="1581"/>
      <c r="C71" s="1581"/>
      <c r="D71" s="1581"/>
      <c r="E71" s="1581"/>
      <c r="F71" s="1581"/>
      <c r="G71" s="1581"/>
      <c r="H71" s="1581"/>
      <c r="I71" s="1581"/>
      <c r="J71" s="1582"/>
      <c r="K71" s="430"/>
      <c r="L71" s="377"/>
      <c r="N71" s="382"/>
    </row>
    <row r="72" spans="1:14" ht="27.75">
      <c r="A72" s="1534" t="s">
        <v>190</v>
      </c>
      <c r="B72" s="1535"/>
      <c r="C72" s="1536"/>
      <c r="D72" s="523" t="s">
        <v>186</v>
      </c>
      <c r="E72" s="519">
        <f>'7'!F72</f>
        <v>855939</v>
      </c>
      <c r="F72" s="655">
        <v>855950</v>
      </c>
      <c r="G72" s="473">
        <f t="shared" ref="G72:G84" si="6">F72-E72</f>
        <v>11</v>
      </c>
      <c r="H72" s="460">
        <f>G72+'7'!H72</f>
        <v>107</v>
      </c>
      <c r="I72" s="480"/>
      <c r="J72" s="552">
        <f>H72/DAY(B2)</f>
        <v>13.375</v>
      </c>
      <c r="K72" s="431"/>
      <c r="L72" s="377"/>
      <c r="N72" s="382"/>
    </row>
    <row r="73" spans="1:14" ht="27.75">
      <c r="A73" s="1534" t="s">
        <v>191</v>
      </c>
      <c r="B73" s="1535"/>
      <c r="C73" s="1536"/>
      <c r="D73" s="523" t="s">
        <v>186</v>
      </c>
      <c r="E73" s="519">
        <f>'7'!F73</f>
        <v>885945</v>
      </c>
      <c r="F73" s="656">
        <v>885946</v>
      </c>
      <c r="G73" s="653">
        <f t="shared" si="6"/>
        <v>1</v>
      </c>
      <c r="H73" s="460">
        <f>G73+'7'!H73</f>
        <v>9</v>
      </c>
      <c r="I73" s="480"/>
      <c r="J73" s="552">
        <f>H73/DAY(B2)</f>
        <v>1.125</v>
      </c>
      <c r="K73" s="430"/>
      <c r="L73" s="377"/>
      <c r="N73" s="382"/>
    </row>
    <row r="74" spans="1:14" ht="27.75">
      <c r="A74" s="1534" t="s">
        <v>192</v>
      </c>
      <c r="B74" s="1535"/>
      <c r="C74" s="1536"/>
      <c r="D74" s="523" t="s">
        <v>186</v>
      </c>
      <c r="E74" s="519">
        <f>'7'!F74</f>
        <v>2599.96</v>
      </c>
      <c r="F74" s="655">
        <v>2599.96</v>
      </c>
      <c r="G74" s="473">
        <f t="shared" si="6"/>
        <v>0</v>
      </c>
      <c r="H74" s="460">
        <f>G74+'7'!H74</f>
        <v>13.960000000000036</v>
      </c>
      <c r="I74" s="480"/>
      <c r="J74" s="552">
        <f>H74/DAY(B2)</f>
        <v>1.7450000000000045</v>
      </c>
      <c r="K74" s="431"/>
      <c r="L74" s="377"/>
      <c r="N74" s="382"/>
    </row>
    <row r="75" spans="1:14" ht="27.75">
      <c r="A75" s="1583" t="s">
        <v>193</v>
      </c>
      <c r="B75" s="1584"/>
      <c r="C75" s="1585"/>
      <c r="D75" s="523" t="s">
        <v>186</v>
      </c>
      <c r="E75" s="519">
        <f>'7'!F75</f>
        <v>13112.68</v>
      </c>
      <c r="F75" s="656">
        <v>13172.37</v>
      </c>
      <c r="G75" s="473">
        <f t="shared" si="6"/>
        <v>59.690000000000509</v>
      </c>
      <c r="H75" s="460">
        <f>G75+'7'!H75</f>
        <v>503.3700000000008</v>
      </c>
      <c r="I75" s="480"/>
      <c r="J75" s="552">
        <f>H75/DAY(B2)</f>
        <v>62.9212500000001</v>
      </c>
      <c r="K75" s="430"/>
      <c r="L75" s="377"/>
      <c r="N75" s="382"/>
    </row>
    <row r="76" spans="1:14" ht="27.75">
      <c r="A76" s="1583" t="s">
        <v>194</v>
      </c>
      <c r="B76" s="1584"/>
      <c r="C76" s="1585"/>
      <c r="D76" s="523" t="s">
        <v>186</v>
      </c>
      <c r="E76" s="519">
        <f>'7'!F76</f>
        <v>7837</v>
      </c>
      <c r="F76" s="656">
        <v>7891.65</v>
      </c>
      <c r="G76" s="473">
        <f t="shared" si="6"/>
        <v>54.649999999999636</v>
      </c>
      <c r="H76" s="460">
        <f>G76+'7'!H76</f>
        <v>472.64999999999964</v>
      </c>
      <c r="I76" s="505"/>
      <c r="J76" s="552">
        <f>H76/DAY(B2)</f>
        <v>59.081249999999955</v>
      </c>
      <c r="K76" s="430"/>
      <c r="L76" s="377"/>
      <c r="N76" s="382"/>
    </row>
    <row r="77" spans="1:14" ht="27.75">
      <c r="A77" s="1534" t="s">
        <v>195</v>
      </c>
      <c r="B77" s="1535"/>
      <c r="C77" s="1536"/>
      <c r="D77" s="523" t="s">
        <v>186</v>
      </c>
      <c r="E77" s="519">
        <f>'7'!F77</f>
        <v>703182</v>
      </c>
      <c r="F77" s="655">
        <v>703233</v>
      </c>
      <c r="G77" s="653">
        <f t="shared" si="6"/>
        <v>51</v>
      </c>
      <c r="H77" s="460">
        <f>G77+'7'!H77</f>
        <v>394</v>
      </c>
      <c r="I77" s="505"/>
      <c r="J77" s="552">
        <f>H77/DAY(B2)</f>
        <v>49.25</v>
      </c>
      <c r="K77" s="430"/>
      <c r="L77" s="377"/>
      <c r="N77" s="382"/>
    </row>
    <row r="78" spans="1:14" ht="27.75">
      <c r="A78" s="1144" t="s">
        <v>196</v>
      </c>
      <c r="B78" s="1117"/>
      <c r="C78" s="1117"/>
      <c r="D78" s="523" t="s">
        <v>186</v>
      </c>
      <c r="E78" s="519">
        <f>'7'!F78</f>
        <v>673645</v>
      </c>
      <c r="F78" s="657">
        <v>673702</v>
      </c>
      <c r="G78" s="473">
        <f t="shared" si="6"/>
        <v>57</v>
      </c>
      <c r="H78" s="460">
        <f>G78+'7'!H78</f>
        <v>670</v>
      </c>
      <c r="I78" s="505"/>
      <c r="J78" s="552">
        <f>H78/DAY(B2)</f>
        <v>83.75</v>
      </c>
      <c r="K78" s="430"/>
      <c r="L78" s="377"/>
      <c r="N78" s="382"/>
    </row>
    <row r="79" spans="1:14" ht="27.75">
      <c r="A79" s="1583" t="s">
        <v>91</v>
      </c>
      <c r="B79" s="1584"/>
      <c r="C79" s="1585"/>
      <c r="D79" s="524" t="s">
        <v>186</v>
      </c>
      <c r="E79" s="519">
        <f>'7'!F79</f>
        <v>832086</v>
      </c>
      <c r="F79" s="655">
        <v>832222</v>
      </c>
      <c r="G79" s="473">
        <f t="shared" si="6"/>
        <v>136</v>
      </c>
      <c r="H79" s="460">
        <f>G79+'7'!H79</f>
        <v>1212</v>
      </c>
      <c r="I79" s="505"/>
      <c r="J79" s="552">
        <f>H79/DAY(B2)</f>
        <v>151.5</v>
      </c>
      <c r="K79" s="430"/>
      <c r="L79" s="377"/>
      <c r="N79" s="382"/>
    </row>
    <row r="80" spans="1:14" ht="27.75">
      <c r="A80" s="1583" t="s">
        <v>197</v>
      </c>
      <c r="B80" s="1584"/>
      <c r="C80" s="1585"/>
      <c r="D80" s="524" t="s">
        <v>186</v>
      </c>
      <c r="E80" s="519">
        <f>'7'!F80</f>
        <v>530345</v>
      </c>
      <c r="F80" s="656">
        <v>530677</v>
      </c>
      <c r="G80" s="473">
        <f t="shared" si="6"/>
        <v>332</v>
      </c>
      <c r="H80" s="460">
        <f>G80+'7'!H80</f>
        <v>3019</v>
      </c>
      <c r="I80" s="505"/>
      <c r="J80" s="552">
        <f>H80/DAY(B2)</f>
        <v>377.375</v>
      </c>
      <c r="K80" s="430"/>
      <c r="L80" s="377"/>
      <c r="N80" s="382"/>
    </row>
    <row r="81" spans="1:15" ht="27.75">
      <c r="A81" s="1583" t="s">
        <v>198</v>
      </c>
      <c r="B81" s="1584"/>
      <c r="C81" s="1585"/>
      <c r="D81" s="524" t="s">
        <v>186</v>
      </c>
      <c r="E81" s="519">
        <f>'7'!F81</f>
        <v>639534</v>
      </c>
      <c r="F81" s="656">
        <v>639722</v>
      </c>
      <c r="G81" s="473">
        <f t="shared" si="6"/>
        <v>188</v>
      </c>
      <c r="H81" s="460">
        <f>G81+'7'!H81</f>
        <v>824</v>
      </c>
      <c r="I81" s="505"/>
      <c r="J81" s="552">
        <f>H81/DAY(B2)</f>
        <v>103</v>
      </c>
      <c r="K81" s="430"/>
      <c r="L81" s="377"/>
      <c r="N81" s="382"/>
    </row>
    <row r="82" spans="1:15" ht="27.75">
      <c r="A82" s="1583" t="s">
        <v>92</v>
      </c>
      <c r="B82" s="1584"/>
      <c r="C82" s="1585"/>
      <c r="D82" s="485" t="s">
        <v>131</v>
      </c>
      <c r="E82" s="519">
        <f>'7'!F82</f>
        <v>108264</v>
      </c>
      <c r="F82" s="652">
        <v>108289.60000000001</v>
      </c>
      <c r="G82" s="473">
        <f t="shared" si="6"/>
        <v>25.600000000005821</v>
      </c>
      <c r="H82" s="460">
        <f>G82+'7'!H82</f>
        <v>131.60000000000582</v>
      </c>
      <c r="I82" s="486"/>
      <c r="J82" s="552">
        <f>H82/DAY(B2)</f>
        <v>16.450000000000728</v>
      </c>
      <c r="K82" s="430"/>
      <c r="L82" s="377"/>
      <c r="N82" s="382"/>
    </row>
    <row r="83" spans="1:15" ht="27.75">
      <c r="A83" s="1583" t="s">
        <v>199</v>
      </c>
      <c r="B83" s="1584"/>
      <c r="C83" s="1585"/>
      <c r="D83" s="620" t="s">
        <v>131</v>
      </c>
      <c r="E83" s="519">
        <f>'7'!F83</f>
        <v>21938</v>
      </c>
      <c r="F83" s="620">
        <v>22103</v>
      </c>
      <c r="G83" s="473">
        <f t="shared" si="6"/>
        <v>165</v>
      </c>
      <c r="H83" s="460">
        <f>G83+'7'!H83</f>
        <v>1597</v>
      </c>
      <c r="I83" s="481"/>
      <c r="J83" s="552">
        <f>H83/DAY(B2)</f>
        <v>199.625</v>
      </c>
      <c r="K83" s="429"/>
      <c r="L83" s="377"/>
      <c r="N83" s="382"/>
    </row>
    <row r="84" spans="1:15">
      <c r="A84" s="1145" t="s">
        <v>200</v>
      </c>
      <c r="B84" s="571"/>
      <c r="C84" s="571"/>
      <c r="D84" s="478" t="s">
        <v>131</v>
      </c>
      <c r="E84" s="519">
        <f>'7'!F84</f>
        <v>506046</v>
      </c>
      <c r="F84" s="627">
        <v>506742</v>
      </c>
      <c r="G84" s="473">
        <f t="shared" si="6"/>
        <v>696</v>
      </c>
      <c r="H84" s="460">
        <f>G84+'7'!H84</f>
        <v>6448</v>
      </c>
      <c r="I84" s="481"/>
      <c r="J84" s="552">
        <f>H84/DAY(B2)</f>
        <v>806</v>
      </c>
      <c r="K84" s="380"/>
      <c r="L84" s="377"/>
      <c r="N84" s="382"/>
    </row>
    <row r="85" spans="1:15" s="379" customFormat="1">
      <c r="A85" s="605" t="s">
        <v>201</v>
      </c>
      <c r="B85" s="572"/>
      <c r="C85" s="572"/>
      <c r="D85" s="489"/>
      <c r="E85" s="523"/>
      <c r="F85" s="523"/>
      <c r="G85" s="460">
        <f xml:space="preserve"> SUM(G71:G84)</f>
        <v>1776.940000000006</v>
      </c>
      <c r="H85" s="460">
        <f>G85+'7'!H85</f>
        <v>15401.580000000005</v>
      </c>
      <c r="I85" s="481"/>
      <c r="J85" s="552">
        <f>H85/DAY(B2)</f>
        <v>1925.1975000000007</v>
      </c>
      <c r="K85" s="380"/>
      <c r="L85" s="378"/>
      <c r="N85" s="382"/>
    </row>
    <row r="86" spans="1:15" s="736" customFormat="1">
      <c r="A86" s="731" t="s">
        <v>93</v>
      </c>
      <c r="B86" s="732"/>
      <c r="C86" s="732"/>
      <c r="D86" s="733" t="s">
        <v>182</v>
      </c>
      <c r="E86" s="627">
        <f>'7'!F86</f>
        <v>461154</v>
      </c>
      <c r="F86" s="648">
        <v>461187</v>
      </c>
      <c r="G86" s="706">
        <f t="shared" ref="G86:G91" si="7">F86-E86</f>
        <v>33</v>
      </c>
      <c r="H86" s="706">
        <f t="shared" ref="H86:H88" si="8">G86</f>
        <v>33</v>
      </c>
      <c r="I86" s="653"/>
      <c r="J86" s="708">
        <f>H86/DAY(B2)</f>
        <v>4.125</v>
      </c>
      <c r="K86" s="734"/>
      <c r="L86" s="735"/>
      <c r="O86" s="714"/>
    </row>
    <row r="87" spans="1:15" s="736" customFormat="1">
      <c r="A87" s="731" t="s">
        <v>94</v>
      </c>
      <c r="B87" s="732"/>
      <c r="C87" s="732"/>
      <c r="D87" s="733" t="s">
        <v>182</v>
      </c>
      <c r="E87" s="627">
        <f>'7'!F87</f>
        <v>81504.800000000003</v>
      </c>
      <c r="F87" s="648">
        <v>81539.8</v>
      </c>
      <c r="G87" s="706">
        <f t="shared" si="7"/>
        <v>35</v>
      </c>
      <c r="H87" s="706">
        <f t="shared" si="8"/>
        <v>35</v>
      </c>
      <c r="I87" s="653"/>
      <c r="J87" s="708">
        <f>H87/DAY(B2)</f>
        <v>4.375</v>
      </c>
      <c r="K87" s="734"/>
      <c r="L87" s="735"/>
      <c r="O87" s="714"/>
    </row>
    <row r="88" spans="1:15" s="736" customFormat="1">
      <c r="A88" s="731" t="s">
        <v>95</v>
      </c>
      <c r="B88" s="732"/>
      <c r="C88" s="732"/>
      <c r="D88" s="733" t="s">
        <v>182</v>
      </c>
      <c r="E88" s="627">
        <f>'7'!F88</f>
        <v>153380</v>
      </c>
      <c r="F88" s="648">
        <v>153406</v>
      </c>
      <c r="G88" s="706">
        <f t="shared" si="7"/>
        <v>26</v>
      </c>
      <c r="H88" s="706">
        <f t="shared" si="8"/>
        <v>26</v>
      </c>
      <c r="I88" s="653"/>
      <c r="J88" s="708">
        <f>H88/DAY(B2)</f>
        <v>3.25</v>
      </c>
      <c r="K88" s="734"/>
      <c r="L88" s="735"/>
      <c r="O88" s="714"/>
    </row>
    <row r="89" spans="1:15" s="736" customFormat="1">
      <c r="A89" s="731" t="s">
        <v>203</v>
      </c>
      <c r="B89" s="732"/>
      <c r="C89" s="732"/>
      <c r="D89" s="733" t="s">
        <v>182</v>
      </c>
      <c r="E89" s="627">
        <f>'7'!F89</f>
        <v>65284.6</v>
      </c>
      <c r="F89" s="648">
        <v>65302.400000000001</v>
      </c>
      <c r="G89" s="706">
        <f t="shared" si="7"/>
        <v>17.80000000000291</v>
      </c>
      <c r="H89" s="706">
        <f>G89</f>
        <v>17.80000000000291</v>
      </c>
      <c r="I89" s="653"/>
      <c r="J89" s="708">
        <f>H89/DAY(B2)</f>
        <v>2.2250000000003638</v>
      </c>
      <c r="K89" s="734"/>
      <c r="L89" s="735"/>
      <c r="N89" s="778"/>
      <c r="O89" s="382"/>
    </row>
    <row r="90" spans="1:15" s="736" customFormat="1">
      <c r="A90" s="731" t="s">
        <v>203</v>
      </c>
      <c r="B90" s="732"/>
      <c r="C90" s="732"/>
      <c r="D90" s="733" t="s">
        <v>182</v>
      </c>
      <c r="E90" s="627">
        <f>'7'!F90</f>
        <v>3277.4</v>
      </c>
      <c r="F90" s="648">
        <v>3280.3</v>
      </c>
      <c r="G90" s="706">
        <f t="shared" si="7"/>
        <v>2.9000000000000909</v>
      </c>
      <c r="H90" s="706">
        <f>G90</f>
        <v>2.9000000000000909</v>
      </c>
      <c r="I90" s="653"/>
      <c r="J90" s="708">
        <f>H90/DAY(B2)</f>
        <v>0.36250000000001137</v>
      </c>
      <c r="K90" s="734"/>
      <c r="L90" s="735"/>
      <c r="N90" s="778"/>
      <c r="O90" s="382"/>
    </row>
    <row r="91" spans="1:15" s="736" customFormat="1">
      <c r="A91" s="731" t="s">
        <v>350</v>
      </c>
      <c r="B91" s="732"/>
      <c r="C91" s="732"/>
      <c r="D91" s="733"/>
      <c r="E91" s="627">
        <f>'7'!F91</f>
        <v>28076</v>
      </c>
      <c r="F91" s="648">
        <v>28085.82</v>
      </c>
      <c r="G91" s="706">
        <f t="shared" si="7"/>
        <v>9.819999999999709</v>
      </c>
      <c r="H91" s="706">
        <f>G91</f>
        <v>9.819999999999709</v>
      </c>
      <c r="I91" s="653"/>
      <c r="J91" s="708"/>
      <c r="K91" s="734"/>
      <c r="L91" s="735"/>
      <c r="N91" s="778"/>
      <c r="O91" s="382"/>
    </row>
    <row r="92" spans="1:15" s="379" customFormat="1">
      <c r="A92" s="606" t="s">
        <v>204</v>
      </c>
      <c r="B92" s="1147"/>
      <c r="C92" s="1147"/>
      <c r="D92" s="472"/>
      <c r="E92" s="472"/>
      <c r="F92" s="472"/>
      <c r="G92" s="488"/>
      <c r="H92" s="472"/>
      <c r="I92" s="472"/>
      <c r="J92" s="551"/>
      <c r="K92" s="380"/>
      <c r="L92" s="378"/>
      <c r="N92" s="382"/>
    </row>
    <row r="93" spans="1:15" ht="27.75">
      <c r="A93" s="1537" t="s">
        <v>205</v>
      </c>
      <c r="B93" s="1538"/>
      <c r="C93" s="1539"/>
      <c r="D93" s="523" t="s">
        <v>143</v>
      </c>
      <c r="E93" s="484">
        <f>'7'!F93</f>
        <v>245802</v>
      </c>
      <c r="F93" s="478">
        <v>245842</v>
      </c>
      <c r="G93" s="473">
        <f t="shared" ref="G93" si="9">F93-E93</f>
        <v>40</v>
      </c>
      <c r="H93" s="460">
        <f>G93+'7'!H93</f>
        <v>354</v>
      </c>
      <c r="I93" s="480"/>
      <c r="J93" s="552">
        <f>H93/DAY(B2)</f>
        <v>44.25</v>
      </c>
      <c r="K93" s="429"/>
      <c r="L93" s="377"/>
      <c r="N93" s="382"/>
    </row>
    <row r="94" spans="1:15" ht="27.75">
      <c r="A94" s="1537" t="s">
        <v>206</v>
      </c>
      <c r="B94" s="1538"/>
      <c r="C94" s="1539"/>
      <c r="D94" s="523" t="s">
        <v>143</v>
      </c>
      <c r="E94" s="484">
        <f>'7'!F94</f>
        <v>186732</v>
      </c>
      <c r="F94" s="485">
        <v>186820</v>
      </c>
      <c r="G94" s="473">
        <f>F94-E94</f>
        <v>88</v>
      </c>
      <c r="H94" s="460">
        <f>G94+'7'!H94</f>
        <v>699</v>
      </c>
      <c r="I94" s="480"/>
      <c r="J94" s="552">
        <f>H94/DAY(B2)</f>
        <v>87.375</v>
      </c>
      <c r="K94" s="380"/>
      <c r="L94" s="377"/>
      <c r="N94" s="382"/>
    </row>
    <row r="95" spans="1:15">
      <c r="A95" s="1531" t="s">
        <v>207</v>
      </c>
      <c r="B95" s="1532"/>
      <c r="C95" s="1533"/>
      <c r="D95" s="523"/>
      <c r="E95" s="484">
        <f>'7'!F95</f>
        <v>0</v>
      </c>
      <c r="F95" s="478"/>
      <c r="G95" s="473">
        <f>G93+G94</f>
        <v>128</v>
      </c>
      <c r="H95" s="460">
        <f>G95+'7'!H95</f>
        <v>977</v>
      </c>
      <c r="I95" s="480"/>
      <c r="J95" s="552">
        <f>H95/DAY(B2)</f>
        <v>122.125</v>
      </c>
      <c r="K95" s="380"/>
      <c r="L95" s="377"/>
      <c r="N95" s="382"/>
    </row>
    <row r="96" spans="1:15" ht="27.75">
      <c r="A96" s="1537" t="s">
        <v>208</v>
      </c>
      <c r="B96" s="1538"/>
      <c r="C96" s="1539"/>
      <c r="D96" s="523" t="s">
        <v>143</v>
      </c>
      <c r="E96" s="484">
        <f>'7'!F96</f>
        <v>414647</v>
      </c>
      <c r="F96" s="478">
        <v>414681</v>
      </c>
      <c r="G96" s="473">
        <f t="shared" ref="G96:G101" si="10">F96-E96</f>
        <v>34</v>
      </c>
      <c r="H96" s="460">
        <f>G96+'7'!H96</f>
        <v>398</v>
      </c>
      <c r="I96" s="480"/>
      <c r="J96" s="552">
        <f>H96/DAY(B2)</f>
        <v>49.75</v>
      </c>
      <c r="K96" s="380"/>
      <c r="L96" s="377"/>
      <c r="N96" s="382"/>
    </row>
    <row r="97" spans="1:14" ht="27.75">
      <c r="A97" s="1141" t="s">
        <v>209</v>
      </c>
      <c r="B97" s="1142"/>
      <c r="C97" s="1142"/>
      <c r="D97" s="523" t="s">
        <v>143</v>
      </c>
      <c r="E97" s="484">
        <f>'7'!F97</f>
        <v>102731</v>
      </c>
      <c r="F97" s="478">
        <v>102740</v>
      </c>
      <c r="G97" s="473">
        <f t="shared" si="10"/>
        <v>9</v>
      </c>
      <c r="H97" s="460">
        <f>G97+'7'!H97</f>
        <v>92</v>
      </c>
      <c r="I97" s="480"/>
      <c r="J97" s="552">
        <f>H97/DAY(B2)</f>
        <v>11.5</v>
      </c>
      <c r="K97" s="427"/>
      <c r="L97" s="377"/>
      <c r="N97" s="382"/>
    </row>
    <row r="98" spans="1:14" ht="27.75">
      <c r="A98" s="1141" t="s">
        <v>210</v>
      </c>
      <c r="B98" s="1142"/>
      <c r="C98" s="1142"/>
      <c r="D98" s="523" t="s">
        <v>143</v>
      </c>
      <c r="E98" s="484">
        <f>'7'!F98</f>
        <v>98079</v>
      </c>
      <c r="F98" s="478">
        <v>98094</v>
      </c>
      <c r="G98" s="473">
        <f t="shared" si="10"/>
        <v>15</v>
      </c>
      <c r="H98" s="460">
        <f>G98+'7'!H98</f>
        <v>144</v>
      </c>
      <c r="I98" s="480"/>
      <c r="J98" s="552">
        <f>H98/DAY(B2)</f>
        <v>18</v>
      </c>
      <c r="K98" s="432"/>
      <c r="L98" s="377"/>
      <c r="N98" s="382"/>
    </row>
    <row r="99" spans="1:14" ht="27.75">
      <c r="A99" s="1141" t="s">
        <v>211</v>
      </c>
      <c r="B99" s="1142"/>
      <c r="C99" s="1142"/>
      <c r="D99" s="523" t="s">
        <v>143</v>
      </c>
      <c r="E99" s="484">
        <f>'7'!F99</f>
        <v>149905</v>
      </c>
      <c r="F99" s="478">
        <v>149910</v>
      </c>
      <c r="G99" s="473">
        <f t="shared" si="10"/>
        <v>5</v>
      </c>
      <c r="H99" s="460">
        <f>G99+'7'!H99</f>
        <v>58</v>
      </c>
      <c r="I99" s="480"/>
      <c r="J99" s="552">
        <f>H99/DAY(B2)</f>
        <v>7.25</v>
      </c>
      <c r="K99" s="380"/>
      <c r="L99" s="377"/>
      <c r="N99" s="705"/>
    </row>
    <row r="100" spans="1:14" ht="27.75">
      <c r="A100" s="1141" t="s">
        <v>212</v>
      </c>
      <c r="B100" s="1142"/>
      <c r="C100" s="1142"/>
      <c r="D100" s="523" t="s">
        <v>143</v>
      </c>
      <c r="E100" s="484">
        <f>'7'!F100</f>
        <v>7465</v>
      </c>
      <c r="F100" s="478">
        <v>7491</v>
      </c>
      <c r="G100" s="473">
        <f t="shared" si="10"/>
        <v>26</v>
      </c>
      <c r="H100" s="460">
        <f>G100+'7'!H100</f>
        <v>122</v>
      </c>
      <c r="I100" s="480"/>
      <c r="J100" s="552">
        <f>H100/DAY(B2)</f>
        <v>15.25</v>
      </c>
      <c r="K100" s="380"/>
      <c r="L100" s="377"/>
      <c r="N100" s="382"/>
    </row>
    <row r="101" spans="1:14" ht="27.75">
      <c r="A101" s="1141" t="s">
        <v>213</v>
      </c>
      <c r="B101" s="1142"/>
      <c r="C101" s="1142"/>
      <c r="D101" s="523" t="s">
        <v>143</v>
      </c>
      <c r="E101" s="484">
        <f>'7'!F101</f>
        <v>5436</v>
      </c>
      <c r="F101" s="478">
        <v>5442</v>
      </c>
      <c r="G101" s="473">
        <f t="shared" si="10"/>
        <v>6</v>
      </c>
      <c r="H101" s="460">
        <f>G101+'7'!H101</f>
        <v>51</v>
      </c>
      <c r="I101" s="480"/>
      <c r="J101" s="552">
        <f>H101/DAY(B2)</f>
        <v>6.375</v>
      </c>
      <c r="K101" s="380"/>
      <c r="L101" s="377"/>
      <c r="N101" s="382"/>
    </row>
    <row r="102" spans="1:14">
      <c r="A102" s="1531" t="s">
        <v>215</v>
      </c>
      <c r="B102" s="1532"/>
      <c r="C102" s="1533"/>
      <c r="D102" s="524"/>
      <c r="E102" s="524"/>
      <c r="F102" s="524"/>
      <c r="G102" s="525">
        <f>SUM(G96:G101)</f>
        <v>95</v>
      </c>
      <c r="H102" s="460">
        <f>G102+'7'!H102</f>
        <v>865</v>
      </c>
      <c r="I102" s="526"/>
      <c r="J102" s="552">
        <f>H102/DAY(B2)</f>
        <v>108.125</v>
      </c>
      <c r="K102" s="380"/>
      <c r="L102" s="377"/>
      <c r="N102" s="382"/>
    </row>
    <row r="103" spans="1:14" s="442" customFormat="1" ht="27">
      <c r="A103" s="607" t="s">
        <v>216</v>
      </c>
      <c r="B103" s="608"/>
      <c r="C103" s="608"/>
      <c r="D103" s="621"/>
      <c r="E103" s="528"/>
      <c r="F103" s="658"/>
      <c r="G103" s="529"/>
      <c r="H103" s="530"/>
      <c r="I103" s="531"/>
      <c r="J103" s="557"/>
      <c r="N103" s="382"/>
    </row>
    <row r="104" spans="1:14" s="442" customFormat="1" ht="27.75">
      <c r="A104" s="1540" t="s">
        <v>217</v>
      </c>
      <c r="B104" s="1541"/>
      <c r="C104" s="573"/>
      <c r="D104" s="622"/>
      <c r="E104" s="532"/>
      <c r="F104" s="659"/>
      <c r="G104" s="532"/>
      <c r="H104" s="533"/>
      <c r="I104" s="532"/>
      <c r="J104" s="558"/>
      <c r="N104" s="382"/>
    </row>
    <row r="105" spans="1:14" s="442" customFormat="1" ht="27.75">
      <c r="A105" s="1542" t="s">
        <v>218</v>
      </c>
      <c r="B105" s="1543"/>
      <c r="C105" s="1140"/>
      <c r="D105" s="622" t="s">
        <v>143</v>
      </c>
      <c r="E105" s="532">
        <f>'7'!F105</f>
        <v>7484</v>
      </c>
      <c r="F105" s="659">
        <v>7484</v>
      </c>
      <c r="G105" s="532">
        <f>F105-E105</f>
        <v>0</v>
      </c>
      <c r="H105" s="460">
        <f>G105+'7'!H105</f>
        <v>0</v>
      </c>
      <c r="I105" s="532"/>
      <c r="J105" s="558">
        <f>H105/DAY(B2)</f>
        <v>0</v>
      </c>
      <c r="N105" s="382"/>
    </row>
    <row r="106" spans="1:14" s="442" customFormat="1" ht="27.75">
      <c r="A106" s="1542" t="s">
        <v>76</v>
      </c>
      <c r="B106" s="1543"/>
      <c r="C106" s="1140"/>
      <c r="D106" s="622" t="s">
        <v>143</v>
      </c>
      <c r="E106" s="532">
        <f>'7'!F106</f>
        <v>35989</v>
      </c>
      <c r="F106" s="804">
        <v>35989</v>
      </c>
      <c r="G106" s="532">
        <f t="shared" ref="G106:G107" si="11">F106-E106</f>
        <v>0</v>
      </c>
      <c r="H106" s="460">
        <f>G106+'7'!H106</f>
        <v>36</v>
      </c>
      <c r="I106" s="532"/>
      <c r="J106" s="558">
        <f>H106/DAY(B2)</f>
        <v>4.5</v>
      </c>
      <c r="N106" s="382"/>
    </row>
    <row r="107" spans="1:14" s="442" customFormat="1" ht="27.75">
      <c r="A107" s="1542" t="s">
        <v>77</v>
      </c>
      <c r="B107" s="1544"/>
      <c r="C107" s="1543"/>
      <c r="D107" s="622" t="s">
        <v>143</v>
      </c>
      <c r="E107" s="532">
        <f>'7'!F107</f>
        <v>19729</v>
      </c>
      <c r="F107" s="660">
        <v>19732</v>
      </c>
      <c r="G107" s="532">
        <f t="shared" si="11"/>
        <v>3</v>
      </c>
      <c r="H107" s="460">
        <f>G107+'7'!H107</f>
        <v>24</v>
      </c>
      <c r="I107" s="532"/>
      <c r="J107" s="558">
        <f>H107/DAY(B2)</f>
        <v>3</v>
      </c>
      <c r="N107" s="382"/>
    </row>
    <row r="108" spans="1:14" s="442" customFormat="1" ht="27.75">
      <c r="A108" s="1545" t="s">
        <v>201</v>
      </c>
      <c r="B108" s="1546"/>
      <c r="C108" s="1140"/>
      <c r="D108" s="622"/>
      <c r="E108" s="532"/>
      <c r="F108" s="660"/>
      <c r="G108" s="532">
        <f>SUM(G105:G107)</f>
        <v>3</v>
      </c>
      <c r="H108" s="460">
        <f>G108+'7'!H108</f>
        <v>60</v>
      </c>
      <c r="I108" s="532"/>
      <c r="J108" s="558">
        <f>H108/DAY(B2)</f>
        <v>7.5</v>
      </c>
      <c r="N108" s="382"/>
    </row>
    <row r="109" spans="1:14" s="442" customFormat="1" ht="27.75">
      <c r="A109" s="1547" t="s">
        <v>78</v>
      </c>
      <c r="B109" s="1548"/>
      <c r="C109" s="1140"/>
      <c r="D109" s="622" t="s">
        <v>143</v>
      </c>
      <c r="E109" s="532"/>
      <c r="F109" s="660"/>
      <c r="G109" s="532"/>
      <c r="H109" s="460">
        <f>G109+'7'!H109</f>
        <v>0</v>
      </c>
      <c r="I109" s="532"/>
      <c r="J109" s="558"/>
      <c r="N109" s="382"/>
    </row>
    <row r="110" spans="1:14" s="442" customFormat="1" ht="27.75">
      <c r="A110" s="1542" t="s">
        <v>219</v>
      </c>
      <c r="B110" s="1543"/>
      <c r="C110" s="1140"/>
      <c r="D110" s="622" t="s">
        <v>143</v>
      </c>
      <c r="E110" s="532">
        <f>'7'!F110</f>
        <v>63305</v>
      </c>
      <c r="F110" s="660">
        <v>63350</v>
      </c>
      <c r="G110" s="532">
        <f>F110-E110</f>
        <v>45</v>
      </c>
      <c r="H110" s="460">
        <f>G110+'7'!H110</f>
        <v>516</v>
      </c>
      <c r="I110" s="532"/>
      <c r="J110" s="558">
        <f>H110/DAY(B2)</f>
        <v>64.5</v>
      </c>
      <c r="N110" s="382"/>
    </row>
    <row r="111" spans="1:14" s="442" customFormat="1" ht="27.75">
      <c r="A111" s="1542" t="s">
        <v>220</v>
      </c>
      <c r="B111" s="1543"/>
      <c r="C111" s="1140"/>
      <c r="D111" s="622" t="s">
        <v>143</v>
      </c>
      <c r="E111" s="532">
        <f>'7'!F111</f>
        <v>32615</v>
      </c>
      <c r="F111" s="804">
        <v>32632</v>
      </c>
      <c r="G111" s="532">
        <f t="shared" ref="G111:G112" si="12">F111-E111</f>
        <v>17</v>
      </c>
      <c r="H111" s="460">
        <f>G111+'7'!H111</f>
        <v>54</v>
      </c>
      <c r="I111" s="532"/>
      <c r="J111" s="558">
        <f>H111/DAY(B2)</f>
        <v>6.75</v>
      </c>
      <c r="N111" s="382"/>
    </row>
    <row r="112" spans="1:14" s="442" customFormat="1" ht="27.75">
      <c r="A112" s="1542" t="s">
        <v>221</v>
      </c>
      <c r="B112" s="1543"/>
      <c r="C112" s="1140"/>
      <c r="D112" s="622" t="s">
        <v>143</v>
      </c>
      <c r="E112" s="532">
        <f>'7'!F112</f>
        <v>4621</v>
      </c>
      <c r="F112" s="804">
        <v>4621</v>
      </c>
      <c r="G112" s="532">
        <f t="shared" si="12"/>
        <v>0</v>
      </c>
      <c r="H112" s="460">
        <f>G112+'7'!H112</f>
        <v>45</v>
      </c>
      <c r="I112" s="532"/>
      <c r="J112" s="558">
        <f>H112/DAY(B2)</f>
        <v>5.625</v>
      </c>
      <c r="N112" s="382"/>
    </row>
    <row r="113" spans="1:14" s="442" customFormat="1" ht="27.75">
      <c r="A113" s="1545" t="s">
        <v>109</v>
      </c>
      <c r="B113" s="1546"/>
      <c r="C113" s="1140"/>
      <c r="D113" s="622"/>
      <c r="E113" s="532"/>
      <c r="F113" s="660"/>
      <c r="G113" s="532">
        <f>SUM(G110:G112)</f>
        <v>62</v>
      </c>
      <c r="H113" s="460">
        <f>G113+'7'!H113</f>
        <v>615</v>
      </c>
      <c r="I113" s="532"/>
      <c r="J113" s="558">
        <f>H113/DAY(B2)</f>
        <v>76.875</v>
      </c>
      <c r="N113" s="382"/>
    </row>
    <row r="114" spans="1:14" s="442" customFormat="1" ht="27.75">
      <c r="A114" s="1547" t="s">
        <v>222</v>
      </c>
      <c r="B114" s="1548"/>
      <c r="C114" s="1140"/>
      <c r="D114" s="622"/>
      <c r="E114" s="532"/>
      <c r="F114" s="660"/>
      <c r="G114" s="532"/>
      <c r="H114" s="460">
        <f>G114+'7'!H114</f>
        <v>0</v>
      </c>
      <c r="I114" s="532"/>
      <c r="J114" s="558">
        <f>H114/DAY(B2)</f>
        <v>0</v>
      </c>
      <c r="N114" s="382"/>
    </row>
    <row r="115" spans="1:14" s="442" customFormat="1" ht="27.75">
      <c r="A115" s="1542" t="s">
        <v>223</v>
      </c>
      <c r="B115" s="1543"/>
      <c r="C115" s="574"/>
      <c r="D115" s="622" t="s">
        <v>143</v>
      </c>
      <c r="E115" s="532">
        <f>'7'!F115</f>
        <v>11616</v>
      </c>
      <c r="F115" s="660">
        <v>11647</v>
      </c>
      <c r="G115" s="534">
        <f>F115-E115</f>
        <v>31</v>
      </c>
      <c r="H115" s="460">
        <f>G115+'7'!H115</f>
        <v>150</v>
      </c>
      <c r="I115" s="532"/>
      <c r="J115" s="558">
        <f>H115/DAY(B2)</f>
        <v>18.75</v>
      </c>
      <c r="N115" s="382"/>
    </row>
    <row r="116" spans="1:14" s="442" customFormat="1" ht="27.75">
      <c r="A116" s="1542" t="s">
        <v>224</v>
      </c>
      <c r="B116" s="1543"/>
      <c r="C116" s="574"/>
      <c r="D116" s="622" t="s">
        <v>143</v>
      </c>
      <c r="E116" s="532">
        <f>'7'!F116</f>
        <v>8356</v>
      </c>
      <c r="F116" s="660">
        <v>8362</v>
      </c>
      <c r="G116" s="534">
        <f t="shared" ref="G116:G117" si="13">F116-E116</f>
        <v>6</v>
      </c>
      <c r="H116" s="460">
        <f>G116+'7'!H116</f>
        <v>50</v>
      </c>
      <c r="I116" s="532"/>
      <c r="J116" s="558">
        <f>H116/DAY(B2)</f>
        <v>6.25</v>
      </c>
      <c r="N116" s="382"/>
    </row>
    <row r="117" spans="1:14" s="442" customFormat="1" ht="27.75">
      <c r="A117" s="1542" t="s">
        <v>225</v>
      </c>
      <c r="B117" s="1543"/>
      <c r="C117" s="574"/>
      <c r="D117" s="622" t="s">
        <v>143</v>
      </c>
      <c r="E117" s="534"/>
      <c r="F117" s="660"/>
      <c r="G117" s="534">
        <f t="shared" si="13"/>
        <v>0</v>
      </c>
      <c r="H117" s="460">
        <f>G117+'7'!H117</f>
        <v>0</v>
      </c>
      <c r="I117" s="532"/>
      <c r="J117" s="558">
        <f>H117/DAY(B2)</f>
        <v>0</v>
      </c>
      <c r="N117" s="382"/>
    </row>
    <row r="118" spans="1:14" s="445" customFormat="1" ht="27.75">
      <c r="A118" s="1545" t="s">
        <v>201</v>
      </c>
      <c r="B118" s="1546"/>
      <c r="C118" s="574"/>
      <c r="D118" s="623"/>
      <c r="E118" s="534"/>
      <c r="F118" s="660"/>
      <c r="G118" s="534">
        <f>SUM(G115:G117)</f>
        <v>37</v>
      </c>
      <c r="H118" s="460">
        <f>G118+'7'!H118</f>
        <v>200</v>
      </c>
      <c r="I118" s="534"/>
      <c r="J118" s="558">
        <f>H118/DAY(B2)</f>
        <v>25</v>
      </c>
      <c r="N118" s="382"/>
    </row>
    <row r="119" spans="1:14" s="446" customFormat="1" ht="27.75">
      <c r="A119" s="1576" t="s">
        <v>226</v>
      </c>
      <c r="B119" s="1577"/>
      <c r="C119" s="1138"/>
      <c r="D119" s="624" t="s">
        <v>143</v>
      </c>
      <c r="E119" s="536"/>
      <c r="F119" s="661">
        <f>SUM(G19+G93)</f>
        <v>99</v>
      </c>
      <c r="G119" s="536">
        <f>SUM(G19+G93)</f>
        <v>99</v>
      </c>
      <c r="H119" s="460">
        <f>G119+'7'!H119</f>
        <v>838</v>
      </c>
      <c r="I119" s="535"/>
      <c r="J119" s="559">
        <f>H119/DAY(B2)</f>
        <v>104.75</v>
      </c>
      <c r="N119" s="382"/>
    </row>
    <row r="120" spans="1:14" s="446" customFormat="1" ht="27.75">
      <c r="A120" s="1576" t="s">
        <v>227</v>
      </c>
      <c r="B120" s="1577"/>
      <c r="C120" s="1138"/>
      <c r="D120" s="624" t="s">
        <v>143</v>
      </c>
      <c r="E120" s="536"/>
      <c r="F120" s="661">
        <f>SUM(G96,G97,G98,G100,G101)</f>
        <v>90</v>
      </c>
      <c r="G120" s="536">
        <f>SUM(G96,G97,G98,G100,G101)</f>
        <v>90</v>
      </c>
      <c r="H120" s="460">
        <f>G120+'7'!H120</f>
        <v>807</v>
      </c>
      <c r="I120" s="535"/>
      <c r="J120" s="559">
        <f>H120/DAY(B2)</f>
        <v>100.875</v>
      </c>
      <c r="N120" s="382"/>
    </row>
    <row r="121" spans="1:14" s="446" customFormat="1" ht="27.75">
      <c r="A121" s="1576" t="s">
        <v>228</v>
      </c>
      <c r="B121" s="1577"/>
      <c r="C121" s="1138"/>
      <c r="D121" s="624" t="s">
        <v>143</v>
      </c>
      <c r="E121" s="534"/>
      <c r="F121" s="660">
        <f>SUM(G113)</f>
        <v>62</v>
      </c>
      <c r="G121" s="534">
        <f>SUM(G113)</f>
        <v>62</v>
      </c>
      <c r="H121" s="460">
        <f>G121+'7'!H121</f>
        <v>615</v>
      </c>
      <c r="I121" s="535"/>
      <c r="J121" s="559">
        <f>H121/DAY(B2)</f>
        <v>76.875</v>
      </c>
      <c r="N121" s="382"/>
    </row>
    <row r="122" spans="1:14" s="442" customFormat="1" ht="27.75">
      <c r="A122" s="1578"/>
      <c r="B122" s="1579"/>
      <c r="C122" s="1139"/>
      <c r="D122" s="560"/>
      <c r="E122" s="560"/>
      <c r="F122" s="662" t="s">
        <v>214</v>
      </c>
      <c r="G122" s="560"/>
      <c r="H122" s="561"/>
      <c r="I122" s="560"/>
      <c r="J122" s="562"/>
      <c r="N122" s="382"/>
    </row>
    <row r="123" spans="1:14">
      <c r="A123" s="1528" t="s">
        <v>229</v>
      </c>
      <c r="B123" s="1529"/>
      <c r="C123" s="1530"/>
      <c r="D123" s="472"/>
      <c r="E123" s="472"/>
      <c r="F123" s="472"/>
      <c r="G123" s="483"/>
      <c r="H123" s="483"/>
      <c r="I123" s="483"/>
      <c r="J123" s="563"/>
      <c r="K123" s="380"/>
      <c r="L123" s="377"/>
      <c r="N123" s="382"/>
    </row>
    <row r="124" spans="1:14" ht="27.75">
      <c r="A124" s="1141" t="s">
        <v>230</v>
      </c>
      <c r="B124" s="1142"/>
      <c r="C124" s="1142"/>
      <c r="D124" s="523" t="s">
        <v>140</v>
      </c>
      <c r="E124" s="478">
        <f>'7'!F124</f>
        <v>833623</v>
      </c>
      <c r="F124" s="478">
        <v>833801.89</v>
      </c>
      <c r="G124" s="473">
        <f t="shared" ref="G124:G128" si="14">F124-E124</f>
        <v>178.89000000001397</v>
      </c>
      <c r="H124" s="460">
        <f>G124+'7'!H124</f>
        <v>1435.890000000014</v>
      </c>
      <c r="I124" s="526"/>
      <c r="J124" s="552">
        <f>H124/DAY(B2)</f>
        <v>179.48625000000175</v>
      </c>
      <c r="K124" s="380"/>
      <c r="L124" s="377"/>
      <c r="N124" s="382"/>
    </row>
    <row r="125" spans="1:14" ht="27.75">
      <c r="A125" s="1141" t="s">
        <v>231</v>
      </c>
      <c r="B125" s="1142"/>
      <c r="C125" s="1142"/>
      <c r="D125" s="523" t="s">
        <v>140</v>
      </c>
      <c r="E125" s="626">
        <f>'7'!F125</f>
        <v>73583</v>
      </c>
      <c r="F125" s="626">
        <v>73583.399999999994</v>
      </c>
      <c r="G125" s="473">
        <f t="shared" si="14"/>
        <v>0.39999999999417923</v>
      </c>
      <c r="H125" s="460">
        <f>G125+'7'!H125</f>
        <v>0</v>
      </c>
      <c r="I125" s="526"/>
      <c r="J125" s="552">
        <f>H125/DAY(B2)</f>
        <v>0</v>
      </c>
      <c r="K125" s="380"/>
      <c r="L125" s="377"/>
      <c r="N125" s="382"/>
    </row>
    <row r="126" spans="1:14" ht="27.75">
      <c r="A126" s="1534" t="s">
        <v>232</v>
      </c>
      <c r="B126" s="1535"/>
      <c r="C126" s="1536"/>
      <c r="D126" s="523" t="s">
        <v>140</v>
      </c>
      <c r="E126" s="478">
        <f>'7'!F126</f>
        <v>146920</v>
      </c>
      <c r="F126" s="478">
        <v>146978</v>
      </c>
      <c r="G126" s="473">
        <f t="shared" si="14"/>
        <v>58</v>
      </c>
      <c r="H126" s="460">
        <f>G126+'7'!H126</f>
        <v>487</v>
      </c>
      <c r="I126" s="526"/>
      <c r="J126" s="552">
        <f>H126/DAY(B2)</f>
        <v>60.875</v>
      </c>
      <c r="K126" s="380"/>
      <c r="L126" s="377"/>
      <c r="N126" s="382"/>
    </row>
    <row r="127" spans="1:14" ht="27.75">
      <c r="A127" s="609" t="s">
        <v>233</v>
      </c>
      <c r="B127" s="1142"/>
      <c r="C127" s="1142"/>
      <c r="D127" s="523" t="s">
        <v>140</v>
      </c>
      <c r="E127" s="626">
        <f>'7'!F127</f>
        <v>31409</v>
      </c>
      <c r="F127" s="626">
        <v>31409</v>
      </c>
      <c r="G127" s="473">
        <f t="shared" si="14"/>
        <v>0</v>
      </c>
      <c r="H127" s="460">
        <f>G127+'7'!H127</f>
        <v>3</v>
      </c>
      <c r="I127" s="526"/>
      <c r="J127" s="552">
        <f>H127/DAY(B2)</f>
        <v>0.375</v>
      </c>
      <c r="K127" s="380"/>
      <c r="L127" s="377"/>
      <c r="N127" s="382"/>
    </row>
    <row r="128" spans="1:14" ht="27.75">
      <c r="A128" s="609" t="s">
        <v>234</v>
      </c>
      <c r="B128" s="1142"/>
      <c r="C128" s="1142"/>
      <c r="D128" s="523" t="s">
        <v>140</v>
      </c>
      <c r="E128" s="626">
        <f>'7'!F128</f>
        <v>8971.9</v>
      </c>
      <c r="F128" s="626">
        <v>8972</v>
      </c>
      <c r="G128" s="473">
        <f t="shared" si="14"/>
        <v>0.1000000000003638</v>
      </c>
      <c r="H128" s="460">
        <f>G128+'7'!H128</f>
        <v>0</v>
      </c>
      <c r="I128" s="480"/>
      <c r="J128" s="552">
        <f>H128/DAY(B2)</f>
        <v>0</v>
      </c>
      <c r="K128" s="380"/>
      <c r="L128" s="377"/>
      <c r="N128" s="382"/>
    </row>
    <row r="129" spans="1:14" s="281" customFormat="1" ht="27.75">
      <c r="A129" s="609" t="s">
        <v>235</v>
      </c>
      <c r="B129" s="1142"/>
      <c r="C129" s="1142"/>
      <c r="D129" s="523"/>
      <c r="E129" s="478"/>
      <c r="F129" s="478"/>
      <c r="G129" s="473">
        <f>G15-SUM(G124:G128)</f>
        <v>168.72999999987042</v>
      </c>
      <c r="H129" s="460"/>
      <c r="I129" s="480"/>
      <c r="J129" s="552"/>
      <c r="K129" s="364"/>
      <c r="L129" s="292"/>
      <c r="N129" s="382"/>
    </row>
    <row r="130" spans="1:14">
      <c r="A130" s="610" t="s">
        <v>236</v>
      </c>
      <c r="B130" s="458"/>
      <c r="C130" s="458"/>
      <c r="D130" s="471"/>
      <c r="E130" s="471"/>
      <c r="F130" s="471"/>
      <c r="G130" s="540"/>
      <c r="H130" s="540"/>
      <c r="I130" s="540"/>
      <c r="J130" s="564"/>
      <c r="N130" s="382"/>
    </row>
    <row r="131" spans="1:14" ht="27.75">
      <c r="A131" s="1141" t="s">
        <v>237</v>
      </c>
      <c r="B131" s="1142"/>
      <c r="C131" s="1142"/>
      <c r="D131" s="523" t="s">
        <v>238</v>
      </c>
      <c r="E131" s="484">
        <f>'7'!F131</f>
        <v>0</v>
      </c>
      <c r="F131" s="478">
        <v>0</v>
      </c>
      <c r="G131" s="473">
        <f t="shared" ref="G131:G141" si="15">F131-E131</f>
        <v>0</v>
      </c>
      <c r="H131" s="460">
        <f>G131+'7'!H131</f>
        <v>0</v>
      </c>
      <c r="I131" s="480"/>
      <c r="J131" s="552">
        <f>H131/DAY(B2)</f>
        <v>0</v>
      </c>
      <c r="N131" s="382"/>
    </row>
    <row r="132" spans="1:14" ht="27.75">
      <c r="A132" s="1141" t="s">
        <v>239</v>
      </c>
      <c r="B132" s="1142"/>
      <c r="C132" s="1142"/>
      <c r="D132" s="523" t="s">
        <v>238</v>
      </c>
      <c r="E132" s="484">
        <f>'7'!F132</f>
        <v>0</v>
      </c>
      <c r="F132" s="478">
        <v>0</v>
      </c>
      <c r="G132" s="473">
        <f t="shared" si="15"/>
        <v>0</v>
      </c>
      <c r="H132" s="460">
        <f>G132+'7'!H132</f>
        <v>0</v>
      </c>
      <c r="I132" s="480"/>
      <c r="J132" s="552">
        <f>H132/DAY(B2)</f>
        <v>0</v>
      </c>
      <c r="N132" s="382"/>
    </row>
    <row r="133" spans="1:14" ht="27.75">
      <c r="A133" s="1141" t="s">
        <v>240</v>
      </c>
      <c r="B133" s="1142"/>
      <c r="C133" s="1142"/>
      <c r="D133" s="523" t="s">
        <v>238</v>
      </c>
      <c r="E133" s="702">
        <f>'7'!F133</f>
        <v>40050.589999999997</v>
      </c>
      <c r="F133" s="626">
        <v>40074.58</v>
      </c>
      <c r="G133" s="473">
        <f t="shared" si="15"/>
        <v>23.990000000005239</v>
      </c>
      <c r="H133" s="460">
        <f>G133+'7'!H133</f>
        <v>39.480000000003201</v>
      </c>
      <c r="I133" s="480"/>
      <c r="J133" s="552">
        <f>H133/DAY(B2)</f>
        <v>4.9350000000004002</v>
      </c>
      <c r="N133" s="382">
        <f>F133-24</f>
        <v>40050.58</v>
      </c>
    </row>
    <row r="134" spans="1:14" ht="27.75">
      <c r="A134" s="1141" t="s">
        <v>241</v>
      </c>
      <c r="B134" s="1142"/>
      <c r="C134" s="1142"/>
      <c r="D134" s="523" t="s">
        <v>238</v>
      </c>
      <c r="E134" s="522">
        <f>'7'!F134</f>
        <v>300.19</v>
      </c>
      <c r="F134" s="485">
        <v>300</v>
      </c>
      <c r="G134" s="473">
        <f t="shared" si="15"/>
        <v>-0.18999999999999773</v>
      </c>
      <c r="H134" s="460">
        <f>G134+'7'!H134</f>
        <v>0</v>
      </c>
      <c r="I134" s="480">
        <f>G131+G132+G133+G134</f>
        <v>23.800000000005241</v>
      </c>
      <c r="J134" s="552">
        <f>H134/DAY(B2)</f>
        <v>0</v>
      </c>
      <c r="N134" s="382"/>
    </row>
    <row r="135" spans="1:14" ht="27.75">
      <c r="A135" s="1141" t="s">
        <v>242</v>
      </c>
      <c r="B135" s="1142"/>
      <c r="C135" s="1142"/>
      <c r="D135" s="523" t="s">
        <v>238</v>
      </c>
      <c r="E135" s="702">
        <f>'7'!F135</f>
        <v>41730.449999999997</v>
      </c>
      <c r="F135" s="626">
        <v>41730.449999999997</v>
      </c>
      <c r="G135" s="473">
        <f t="shared" si="15"/>
        <v>0</v>
      </c>
      <c r="H135" s="460">
        <f>G135+'7'!H135</f>
        <v>0.44999999999708962</v>
      </c>
      <c r="I135" s="480"/>
      <c r="J135" s="552">
        <f>H135/DAY(B2)</f>
        <v>5.6249999999636202E-2</v>
      </c>
      <c r="N135" s="382"/>
    </row>
    <row r="136" spans="1:14" ht="27.75">
      <c r="A136" s="1141" t="s">
        <v>243</v>
      </c>
      <c r="B136" s="1142"/>
      <c r="C136" s="1142"/>
      <c r="D136" s="523" t="s">
        <v>238</v>
      </c>
      <c r="E136" s="702">
        <f>'7'!F136</f>
        <v>32874.050000000003</v>
      </c>
      <c r="F136" s="626">
        <v>32874.050000000003</v>
      </c>
      <c r="G136" s="473">
        <f t="shared" si="15"/>
        <v>0</v>
      </c>
      <c r="H136" s="460">
        <f>G136+'7'!H136</f>
        <v>159.05000000000291</v>
      </c>
      <c r="I136" s="480"/>
      <c r="J136" s="552">
        <f>H136/DAY(B2)</f>
        <v>19.881250000000364</v>
      </c>
      <c r="N136" s="382"/>
    </row>
    <row r="137" spans="1:14" ht="27.75">
      <c r="A137" s="1141" t="s">
        <v>244</v>
      </c>
      <c r="B137" s="1142"/>
      <c r="C137" s="1142"/>
      <c r="D137" s="523" t="s">
        <v>238</v>
      </c>
      <c r="E137" s="541">
        <f>'7'!F137</f>
        <v>22825.71</v>
      </c>
      <c r="F137" s="652">
        <v>22825.71</v>
      </c>
      <c r="G137" s="473">
        <f t="shared" si="15"/>
        <v>0</v>
      </c>
      <c r="H137" s="460">
        <f>G137+'7'!H137</f>
        <v>18.469999999997526</v>
      </c>
      <c r="I137" s="480">
        <f>G135+G136+G137</f>
        <v>0</v>
      </c>
      <c r="J137" s="552">
        <f>H137/DAY(B2)</f>
        <v>2.3087499999996908</v>
      </c>
      <c r="N137" s="382"/>
    </row>
    <row r="138" spans="1:14" ht="27.75">
      <c r="A138" s="1141" t="s">
        <v>245</v>
      </c>
      <c r="B138" s="1142"/>
      <c r="C138" s="1142"/>
      <c r="D138" s="523" t="s">
        <v>238</v>
      </c>
      <c r="E138" s="541">
        <f>'7'!F138</f>
        <v>25051.82</v>
      </c>
      <c r="F138" s="652">
        <v>25051.82</v>
      </c>
      <c r="G138" s="473">
        <f t="shared" si="15"/>
        <v>0</v>
      </c>
      <c r="H138" s="460">
        <f>G138+'7'!H138</f>
        <v>0</v>
      </c>
      <c r="I138" s="480"/>
      <c r="J138" s="552">
        <f>H138/DAY(B2)</f>
        <v>0</v>
      </c>
      <c r="N138" s="382"/>
    </row>
    <row r="139" spans="1:14" ht="27.75">
      <c r="A139" s="1141" t="s">
        <v>246</v>
      </c>
      <c r="B139" s="1142"/>
      <c r="C139" s="1142"/>
      <c r="D139" s="523" t="s">
        <v>238</v>
      </c>
      <c r="E139" s="541">
        <f>'7'!F139</f>
        <v>70437.179999999993</v>
      </c>
      <c r="F139" s="652">
        <v>70446.41</v>
      </c>
      <c r="G139" s="473">
        <f t="shared" si="15"/>
        <v>9.2300000000104774</v>
      </c>
      <c r="H139" s="460">
        <f>G139+'7'!H139</f>
        <v>34.669999999998254</v>
      </c>
      <c r="I139" s="480">
        <f>G138+G139</f>
        <v>9.2300000000104774</v>
      </c>
      <c r="J139" s="552">
        <f>H139/DAY(B2)</f>
        <v>4.3337499999997817</v>
      </c>
      <c r="N139" s="382"/>
    </row>
    <row r="140" spans="1:14" ht="27.75">
      <c r="A140" s="1141" t="s">
        <v>247</v>
      </c>
      <c r="B140" s="1142"/>
      <c r="C140" s="1142"/>
      <c r="D140" s="523" t="s">
        <v>238</v>
      </c>
      <c r="E140" s="702">
        <f>'7'!F140</f>
        <v>1902.57</v>
      </c>
      <c r="F140" s="626">
        <v>1909.91</v>
      </c>
      <c r="G140" s="473">
        <f t="shared" si="15"/>
        <v>7.3400000000001455</v>
      </c>
      <c r="H140" s="460">
        <f>G140+'7'!H140</f>
        <v>55.610000000000127</v>
      </c>
      <c r="I140" s="542"/>
      <c r="J140" s="552">
        <f>H140/DAY(B2)</f>
        <v>6.9512500000000159</v>
      </c>
      <c r="N140" s="382"/>
    </row>
    <row r="141" spans="1:14" ht="27.75">
      <c r="A141" s="1141" t="s">
        <v>248</v>
      </c>
      <c r="B141" s="1142"/>
      <c r="C141" s="1142"/>
      <c r="D141" s="523" t="s">
        <v>238</v>
      </c>
      <c r="E141" s="484">
        <f>'7'!F141</f>
        <v>4637</v>
      </c>
      <c r="F141" s="478">
        <v>4637</v>
      </c>
      <c r="G141" s="473">
        <f t="shared" si="15"/>
        <v>0</v>
      </c>
      <c r="H141" s="460">
        <f>G141+'7'!H141</f>
        <v>0</v>
      </c>
      <c r="I141" s="542"/>
      <c r="J141" s="552">
        <f>H141/DAY(B2)</f>
        <v>0</v>
      </c>
      <c r="N141" s="382"/>
    </row>
    <row r="142" spans="1:14">
      <c r="A142" s="1572" t="s">
        <v>249</v>
      </c>
      <c r="B142" s="1573"/>
      <c r="C142" s="1147"/>
      <c r="D142" s="472"/>
      <c r="E142" s="472"/>
      <c r="F142" s="472"/>
      <c r="G142" s="483"/>
      <c r="H142" s="483"/>
      <c r="I142" s="483"/>
      <c r="J142" s="563"/>
      <c r="K142" s="380"/>
      <c r="L142" s="377"/>
      <c r="N142" s="382"/>
    </row>
    <row r="143" spans="1:14" ht="27.75">
      <c r="A143" s="1537" t="s">
        <v>250</v>
      </c>
      <c r="B143" s="1538"/>
      <c r="C143" s="1539"/>
      <c r="D143" s="523" t="s">
        <v>131</v>
      </c>
      <c r="E143" s="523"/>
      <c r="F143" s="523"/>
      <c r="G143" s="460">
        <f>G35+G43+G49+G57</f>
        <v>4906.4799999999814</v>
      </c>
      <c r="H143" s="460">
        <f>G143+'7'!H143</f>
        <v>38812.819999999949</v>
      </c>
      <c r="I143" s="480"/>
      <c r="J143" s="552">
        <f>H143/DAY(B2)</f>
        <v>4851.6024999999936</v>
      </c>
      <c r="K143" s="380"/>
      <c r="L143" s="377"/>
      <c r="N143" s="382"/>
    </row>
    <row r="144" spans="1:14" ht="27.75">
      <c r="A144" s="1537" t="s">
        <v>251</v>
      </c>
      <c r="B144" s="1538"/>
      <c r="C144" s="1539"/>
      <c r="D144" s="523" t="s">
        <v>24</v>
      </c>
      <c r="E144" s="511"/>
      <c r="F144" s="511"/>
      <c r="G144" s="543">
        <f>G143/G7</f>
        <v>0.28483453812090231</v>
      </c>
      <c r="H144" s="460">
        <f>G144+'7'!H144</f>
        <v>2.249213615231052</v>
      </c>
      <c r="I144" s="544"/>
      <c r="J144" s="552">
        <f>H144/DAY(B2)</f>
        <v>0.2811517019038815</v>
      </c>
      <c r="K144" s="380"/>
      <c r="L144" s="377"/>
      <c r="N144" s="382"/>
    </row>
    <row r="145" spans="1:14" ht="27.75">
      <c r="A145" s="1537" t="s">
        <v>252</v>
      </c>
      <c r="B145" s="1538"/>
      <c r="C145" s="1539"/>
      <c r="D145" s="523" t="s">
        <v>131</v>
      </c>
      <c r="E145" s="455"/>
      <c r="F145" s="455"/>
      <c r="G145" s="460">
        <f>G41+G42+G55+G56</f>
        <v>5104.1400000000431</v>
      </c>
      <c r="H145" s="460">
        <f>G145+'7'!H145</f>
        <v>39838.900000000023</v>
      </c>
      <c r="I145" s="480"/>
      <c r="J145" s="552">
        <f>H145/DAY(B2)</f>
        <v>4979.8625000000029</v>
      </c>
      <c r="K145" s="380"/>
      <c r="L145" s="377"/>
      <c r="N145" s="382"/>
    </row>
    <row r="146" spans="1:14" ht="27.75">
      <c r="A146" s="1537" t="s">
        <v>253</v>
      </c>
      <c r="B146" s="1538"/>
      <c r="C146" s="1539"/>
      <c r="D146" s="523" t="s">
        <v>24</v>
      </c>
      <c r="E146" s="455"/>
      <c r="F146" s="455"/>
      <c r="G146" s="543">
        <f>G145/G7</f>
        <v>0.29630923990405345</v>
      </c>
      <c r="H146" s="460">
        <f>G146+'7'!H146</f>
        <v>2.3025904165172175</v>
      </c>
      <c r="I146" s="544"/>
      <c r="J146" s="552">
        <f>H146/DAY(B2)</f>
        <v>0.28782380206465219</v>
      </c>
      <c r="K146" s="380"/>
      <c r="L146" s="377"/>
      <c r="N146" s="382"/>
    </row>
    <row r="147" spans="1:14" ht="27.75">
      <c r="A147" s="1537" t="s">
        <v>254</v>
      </c>
      <c r="B147" s="1538"/>
      <c r="C147" s="1539"/>
      <c r="D147" s="523" t="s">
        <v>131</v>
      </c>
      <c r="E147" s="455"/>
      <c r="F147" s="455"/>
      <c r="G147" s="460">
        <f>G39+G53</f>
        <v>2920.1999999999534</v>
      </c>
      <c r="H147" s="460">
        <f>G147+'7'!H147</f>
        <v>22590.959999999963</v>
      </c>
      <c r="I147" s="545"/>
      <c r="J147" s="552">
        <f>H147/DAY(B2)</f>
        <v>2823.8699999999953</v>
      </c>
      <c r="K147" s="380"/>
      <c r="L147" s="377"/>
      <c r="N147" s="382"/>
    </row>
    <row r="148" spans="1:14" ht="27.75">
      <c r="A148" s="1537" t="s">
        <v>255</v>
      </c>
      <c r="B148" s="1538"/>
      <c r="C148" s="1539"/>
      <c r="D148" s="523" t="s">
        <v>24</v>
      </c>
      <c r="E148" s="455"/>
      <c r="F148" s="455"/>
      <c r="G148" s="543">
        <f>G147/G7</f>
        <v>0.16952556990360682</v>
      </c>
      <c r="H148" s="460">
        <f>G148+'7'!H148</f>
        <v>1.3036057548091435</v>
      </c>
      <c r="I148" s="545"/>
      <c r="J148" s="552">
        <f>H148/DAY(B2)</f>
        <v>0.16295071935114294</v>
      </c>
      <c r="N148" s="382"/>
    </row>
    <row r="149" spans="1:14" ht="27.75">
      <c r="A149" s="1537" t="s">
        <v>256</v>
      </c>
      <c r="B149" s="1538"/>
      <c r="C149" s="1539"/>
      <c r="D149" s="523" t="s">
        <v>182</v>
      </c>
      <c r="E149" s="455"/>
      <c r="F149" s="455"/>
      <c r="G149" s="460">
        <f>G38+G52</f>
        <v>1148.8699999999953</v>
      </c>
      <c r="H149" s="460">
        <f>G149+'7'!H149</f>
        <v>9978.219999999943</v>
      </c>
      <c r="I149" s="480"/>
      <c r="J149" s="552">
        <f>H149/DAY(B2)</f>
        <v>1247.2774999999929</v>
      </c>
      <c r="K149" s="381"/>
      <c r="N149" s="382"/>
    </row>
    <row r="150" spans="1:14" ht="27.75">
      <c r="A150" s="1537" t="s">
        <v>257</v>
      </c>
      <c r="B150" s="1538"/>
      <c r="C150" s="1539"/>
      <c r="D150" s="523" t="s">
        <v>24</v>
      </c>
      <c r="E150" s="455"/>
      <c r="F150" s="455"/>
      <c r="G150" s="543">
        <f>G149/G7</f>
        <v>6.6695035098677857E-2</v>
      </c>
      <c r="H150" s="460">
        <f>G150+'7'!H150</f>
        <v>0.57702172002784802</v>
      </c>
      <c r="I150" s="545"/>
      <c r="J150" s="552">
        <f>H150/DAY(B2)</f>
        <v>7.2127715003481002E-2</v>
      </c>
      <c r="N150" s="382"/>
    </row>
    <row r="151" spans="1:14" ht="27.75">
      <c r="A151" s="1537" t="s">
        <v>258</v>
      </c>
      <c r="B151" s="1538"/>
      <c r="C151" s="1539"/>
      <c r="D151" s="523" t="s">
        <v>182</v>
      </c>
      <c r="E151" s="455"/>
      <c r="F151" s="455"/>
      <c r="G151" s="460">
        <f>G36+G50</f>
        <v>1428.5200000000236</v>
      </c>
      <c r="H151" s="460">
        <f>G151+'7'!H151</f>
        <v>12148.770000000028</v>
      </c>
      <c r="I151" s="545"/>
      <c r="J151" s="552">
        <f>H151/DAY(B2)</f>
        <v>1518.5962500000035</v>
      </c>
      <c r="N151" s="382"/>
    </row>
    <row r="152" spans="1:14" ht="27.75">
      <c r="A152" s="1537" t="s">
        <v>259</v>
      </c>
      <c r="B152" s="1538"/>
      <c r="C152" s="1539"/>
      <c r="D152" s="523" t="s">
        <v>24</v>
      </c>
      <c r="E152" s="455"/>
      <c r="F152" s="455"/>
      <c r="G152" s="543">
        <f>G151/G7</f>
        <v>8.2929479870799364E-2</v>
      </c>
      <c r="H152" s="460">
        <f>G152+'7'!H152</f>
        <v>0.69716445678861849</v>
      </c>
      <c r="I152" s="480"/>
      <c r="J152" s="552">
        <f>H152/DAY(B2)</f>
        <v>8.7145557098577311E-2</v>
      </c>
      <c r="N152" s="382"/>
    </row>
    <row r="153" spans="1:14" ht="27.75">
      <c r="A153" s="1537" t="s">
        <v>260</v>
      </c>
      <c r="B153" s="1538"/>
      <c r="C153" s="1539"/>
      <c r="D153" s="523" t="s">
        <v>182</v>
      </c>
      <c r="E153" s="455"/>
      <c r="F153" s="455"/>
      <c r="G153" s="460">
        <f>G37+G51</f>
        <v>1347.640000000014</v>
      </c>
      <c r="H153" s="460">
        <f>G153+'7'!H153</f>
        <v>10477.130000000005</v>
      </c>
      <c r="I153" s="480"/>
      <c r="J153" s="552">
        <f>H153/DAY(B2)</f>
        <v>1309.6412500000006</v>
      </c>
      <c r="N153" s="382"/>
    </row>
    <row r="154" spans="1:14" ht="28.5" thickBot="1">
      <c r="A154" s="1569" t="s">
        <v>261</v>
      </c>
      <c r="B154" s="1570"/>
      <c r="C154" s="1571"/>
      <c r="D154" s="625" t="s">
        <v>24</v>
      </c>
      <c r="E154" s="565"/>
      <c r="F154" s="565"/>
      <c r="G154" s="566">
        <f>G153/G7</f>
        <v>7.8234175407473017E-2</v>
      </c>
      <c r="H154" s="460">
        <f>G154+'7'!H154</f>
        <v>0.60708330696391966</v>
      </c>
      <c r="I154" s="568"/>
      <c r="J154" s="569">
        <f>H154/DAY(B2)</f>
        <v>7.5885413370489957E-2</v>
      </c>
      <c r="N154" s="382"/>
    </row>
    <row r="155" spans="1:14">
      <c r="A155" s="466"/>
      <c r="B155" s="456"/>
      <c r="C155" s="456"/>
      <c r="D155" s="546"/>
      <c r="E155" s="546"/>
      <c r="F155" s="663"/>
      <c r="G155" s="546"/>
      <c r="H155" s="547"/>
      <c r="I155" s="546"/>
      <c r="J155" s="548"/>
      <c r="N155" s="382"/>
    </row>
    <row r="158" spans="1:14" ht="27.75">
      <c r="A158" s="1587" t="s">
        <v>266</v>
      </c>
      <c r="B158" s="1588"/>
      <c r="C158" s="1588"/>
      <c r="D158" s="1588"/>
      <c r="E158" s="1588"/>
      <c r="F158" s="1588"/>
      <c r="G158" s="1589"/>
    </row>
    <row r="159" spans="1:14">
      <c r="A159" s="785"/>
      <c r="B159" s="786"/>
      <c r="C159" s="786"/>
      <c r="D159" s="511"/>
      <c r="E159" s="455"/>
      <c r="F159" s="659"/>
      <c r="G159" s="473"/>
    </row>
    <row r="160" spans="1:14">
      <c r="A160" s="785"/>
      <c r="B160" s="786"/>
      <c r="C160" s="786"/>
      <c r="D160" s="511"/>
      <c r="E160" s="455"/>
      <c r="F160" s="659"/>
      <c r="G160" s="473"/>
    </row>
    <row r="161" spans="1:7">
      <c r="A161" s="785" t="s">
        <v>262</v>
      </c>
      <c r="B161" s="786"/>
      <c r="C161" s="786"/>
      <c r="D161" s="511" t="s">
        <v>186</v>
      </c>
      <c r="E161" s="1061">
        <f>'7'!F161</f>
        <v>39001.629999999997</v>
      </c>
      <c r="F161" s="659">
        <v>39080.99</v>
      </c>
      <c r="G161" s="473">
        <f t="shared" ref="G161:G174" si="16">F161-E161</f>
        <v>79.360000000000582</v>
      </c>
    </row>
    <row r="162" spans="1:7">
      <c r="A162" s="785" t="s">
        <v>263</v>
      </c>
      <c r="B162" s="786"/>
      <c r="C162" s="786"/>
      <c r="D162" s="511" t="s">
        <v>186</v>
      </c>
      <c r="E162" s="1061">
        <f>'7'!F162</f>
        <v>97653</v>
      </c>
      <c r="F162" s="659">
        <v>98064.1</v>
      </c>
      <c r="G162" s="473">
        <f t="shared" si="16"/>
        <v>411.10000000000582</v>
      </c>
    </row>
    <row r="163" spans="1:7">
      <c r="A163" s="785" t="s">
        <v>264</v>
      </c>
      <c r="B163" s="786"/>
      <c r="C163" s="786"/>
      <c r="D163" s="511" t="s">
        <v>186</v>
      </c>
      <c r="E163" s="1061">
        <f>'7'!F163</f>
        <v>46396.91</v>
      </c>
      <c r="F163" s="659">
        <v>46607.05</v>
      </c>
      <c r="G163" s="473">
        <f t="shared" si="16"/>
        <v>210.13999999999942</v>
      </c>
    </row>
    <row r="164" spans="1:7">
      <c r="A164" s="785" t="s">
        <v>265</v>
      </c>
      <c r="B164" s="786"/>
      <c r="C164" s="786"/>
      <c r="D164" s="511" t="s">
        <v>186</v>
      </c>
      <c r="E164" s="1061">
        <f>'7'!F164</f>
        <v>6622.3</v>
      </c>
      <c r="F164" s="659">
        <v>6633.24</v>
      </c>
      <c r="G164" s="473">
        <f t="shared" si="16"/>
        <v>10.9399999999996</v>
      </c>
    </row>
    <row r="165" spans="1:7">
      <c r="A165" s="787" t="s">
        <v>97</v>
      </c>
      <c r="B165" s="604"/>
      <c r="C165" s="604"/>
      <c r="D165" s="511" t="s">
        <v>186</v>
      </c>
      <c r="E165" s="1061">
        <f>'7'!F165</f>
        <v>0</v>
      </c>
      <c r="F165" s="514">
        <f>F62</f>
        <v>0</v>
      </c>
      <c r="G165" s="473">
        <f t="shared" si="16"/>
        <v>0</v>
      </c>
    </row>
    <row r="166" spans="1:7">
      <c r="A166" s="787" t="s">
        <v>187</v>
      </c>
      <c r="B166" s="604"/>
      <c r="C166" s="604"/>
      <c r="D166" s="511" t="s">
        <v>186</v>
      </c>
      <c r="E166" s="1061">
        <f>'7'!F166</f>
        <v>0</v>
      </c>
      <c r="F166" s="514">
        <f t="shared" ref="F166:F172" si="17">F63</f>
        <v>0</v>
      </c>
      <c r="G166" s="473">
        <f t="shared" si="16"/>
        <v>0</v>
      </c>
    </row>
    <row r="167" spans="1:7" ht="27.75">
      <c r="A167" s="1586" t="s">
        <v>98</v>
      </c>
      <c r="B167" s="1586"/>
      <c r="C167" s="1586"/>
      <c r="D167" s="523" t="s">
        <v>186</v>
      </c>
      <c r="E167" s="1061">
        <f>'7'!F167</f>
        <v>161599.64000000001</v>
      </c>
      <c r="F167" s="514">
        <f t="shared" si="17"/>
        <v>161937.67000000001</v>
      </c>
      <c r="G167" s="473">
        <f t="shared" si="16"/>
        <v>338.02999999999884</v>
      </c>
    </row>
    <row r="168" spans="1:7" ht="27.75">
      <c r="A168" s="1586" t="s">
        <v>99</v>
      </c>
      <c r="B168" s="1586"/>
      <c r="C168" s="1586"/>
      <c r="D168" s="523" t="s">
        <v>186</v>
      </c>
      <c r="E168" s="1061">
        <f>'7'!F168</f>
        <v>162666.95000000001</v>
      </c>
      <c r="F168" s="514">
        <f t="shared" si="17"/>
        <v>162864.29999999999</v>
      </c>
      <c r="G168" s="473">
        <f t="shared" si="16"/>
        <v>197.34999999997672</v>
      </c>
    </row>
    <row r="169" spans="1:7" ht="27.75">
      <c r="A169" s="1586" t="s">
        <v>100</v>
      </c>
      <c r="B169" s="1586"/>
      <c r="C169" s="1586"/>
      <c r="D169" s="523" t="s">
        <v>186</v>
      </c>
      <c r="E169" s="1061">
        <f>'7'!F169</f>
        <v>58981.97</v>
      </c>
      <c r="F169" s="514">
        <f t="shared" si="17"/>
        <v>59389.64</v>
      </c>
      <c r="G169" s="473">
        <f t="shared" si="16"/>
        <v>407.66999999999825</v>
      </c>
    </row>
    <row r="170" spans="1:7" ht="27.75">
      <c r="A170" s="1586" t="s">
        <v>101</v>
      </c>
      <c r="B170" s="1586"/>
      <c r="C170" s="1586"/>
      <c r="D170" s="523" t="s">
        <v>186</v>
      </c>
      <c r="E170" s="1061">
        <f>'7'!F170</f>
        <v>254935.67</v>
      </c>
      <c r="F170" s="514">
        <f t="shared" si="17"/>
        <v>255301.37</v>
      </c>
      <c r="G170" s="473">
        <f t="shared" si="16"/>
        <v>365.69999999998254</v>
      </c>
    </row>
    <row r="171" spans="1:7" ht="27.75">
      <c r="A171" s="1586" t="s">
        <v>102</v>
      </c>
      <c r="B171" s="1586"/>
      <c r="C171" s="1586"/>
      <c r="D171" s="523" t="s">
        <v>186</v>
      </c>
      <c r="E171" s="1061">
        <f>'7'!F171</f>
        <v>85321</v>
      </c>
      <c r="F171" s="514">
        <f t="shared" si="17"/>
        <v>85321</v>
      </c>
      <c r="G171" s="473">
        <f t="shared" si="16"/>
        <v>0</v>
      </c>
    </row>
    <row r="172" spans="1:7" ht="27.75">
      <c r="A172" s="1586" t="s">
        <v>103</v>
      </c>
      <c r="B172" s="1586"/>
      <c r="C172" s="1586"/>
      <c r="D172" s="523" t="s">
        <v>186</v>
      </c>
      <c r="E172" s="1061">
        <f>'7'!F172</f>
        <v>82527.33</v>
      </c>
      <c r="F172" s="514">
        <f t="shared" si="17"/>
        <v>82629.8</v>
      </c>
      <c r="G172" s="473">
        <f t="shared" si="16"/>
        <v>102.47000000000116</v>
      </c>
    </row>
    <row r="173" spans="1:7">
      <c r="A173" s="1596" t="s">
        <v>357</v>
      </c>
      <c r="B173" s="1579"/>
      <c r="C173" s="786"/>
      <c r="D173" s="523" t="s">
        <v>186</v>
      </c>
      <c r="E173" s="1061">
        <f>'7'!F173</f>
        <v>18928.5</v>
      </c>
      <c r="F173" s="532">
        <v>18928.5</v>
      </c>
      <c r="G173" s="473">
        <f t="shared" si="16"/>
        <v>0</v>
      </c>
    </row>
    <row r="174" spans="1:7">
      <c r="A174" s="1596" t="s">
        <v>358</v>
      </c>
      <c r="B174" s="1579"/>
      <c r="C174" s="786"/>
      <c r="D174" s="523" t="s">
        <v>186</v>
      </c>
      <c r="E174" s="1061">
        <f>'7'!F174</f>
        <v>37487.300000000003</v>
      </c>
      <c r="F174" s="532">
        <v>37533.5</v>
      </c>
      <c r="G174" s="473">
        <f t="shared" si="16"/>
        <v>46.19999999999709</v>
      </c>
    </row>
    <row r="177" ht="18.75" customHeight="1"/>
    <row r="185" ht="20.25" customHeight="1"/>
    <row r="186" ht="20.25" customHeight="1"/>
  </sheetData>
  <mergeCells count="77">
    <mergeCell ref="A173:B173"/>
    <mergeCell ref="A174:B174"/>
    <mergeCell ref="A171:C171"/>
    <mergeCell ref="A172:C172"/>
    <mergeCell ref="A158:G158"/>
    <mergeCell ref="A167:C167"/>
    <mergeCell ref="A168:C168"/>
    <mergeCell ref="A169:C169"/>
    <mergeCell ref="A170:C170"/>
    <mergeCell ref="A120:B120"/>
    <mergeCell ref="A121:B121"/>
    <mergeCell ref="A122:B122"/>
    <mergeCell ref="A114:B114"/>
    <mergeCell ref="A115:B115"/>
    <mergeCell ref="A116:B116"/>
    <mergeCell ref="A117:B117"/>
    <mergeCell ref="A118:B118"/>
    <mergeCell ref="A154:C154"/>
    <mergeCell ref="A126:C126"/>
    <mergeCell ref="A150:C150"/>
    <mergeCell ref="A151:C151"/>
    <mergeCell ref="A152:C152"/>
    <mergeCell ref="A145:C145"/>
    <mergeCell ref="A146:C146"/>
    <mergeCell ref="A147:C147"/>
    <mergeCell ref="A148:C148"/>
    <mergeCell ref="A149:C149"/>
    <mergeCell ref="A143:C143"/>
    <mergeCell ref="A144:C144"/>
    <mergeCell ref="A81:C81"/>
    <mergeCell ref="A102:C102"/>
    <mergeCell ref="A123:C123"/>
    <mergeCell ref="A142:B142"/>
    <mergeCell ref="A153:C153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12:B112"/>
    <mergeCell ref="A113:B113"/>
    <mergeCell ref="A119:B119"/>
    <mergeCell ref="A68:C68"/>
    <mergeCell ref="A95:C95"/>
    <mergeCell ref="A96:C96"/>
    <mergeCell ref="A93:C93"/>
    <mergeCell ref="A94:C94"/>
    <mergeCell ref="A69:C69"/>
    <mergeCell ref="A70:C70"/>
    <mergeCell ref="A71:J71"/>
    <mergeCell ref="A72:C72"/>
    <mergeCell ref="A73:C73"/>
    <mergeCell ref="A74:C74"/>
    <mergeCell ref="A75:C75"/>
    <mergeCell ref="A76:C76"/>
    <mergeCell ref="A77:C77"/>
    <mergeCell ref="A79:C79"/>
    <mergeCell ref="A80:C80"/>
    <mergeCell ref="A82:C82"/>
    <mergeCell ref="A83:C83"/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</mergeCells>
  <pageMargins left="0.22" right="0.17" top="0.14000000000000001" bottom="0.2" header="0.2" footer="0.2"/>
  <pageSetup paperSize="5" scale="20" orientation="portrait"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91"/>
  <sheetViews>
    <sheetView view="pageBreakPreview" topLeftCell="A142" zoomScale="55" zoomScaleNormal="80" zoomScaleSheetLayoutView="55" workbookViewId="0">
      <selection activeCell="G174" sqref="G174"/>
    </sheetView>
  </sheetViews>
  <sheetFormatPr defaultColWidth="22.33203125" defaultRowHeight="29.25"/>
  <cols>
    <col min="1" max="1" width="59.6640625" style="454" bestFit="1" customWidth="1"/>
    <col min="2" max="2" width="31.77734375" style="457" customWidth="1"/>
    <col min="3" max="3" width="15.88671875" style="457" customWidth="1"/>
    <col min="4" max="4" width="13.6640625" style="537" customWidth="1"/>
    <col min="5" max="5" width="30" style="537" customWidth="1"/>
    <col min="6" max="6" width="30" style="664" customWidth="1"/>
    <col min="7" max="7" width="28.88671875" style="537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3" width="0" style="376" hidden="1" customWidth="1"/>
    <col min="14" max="14" width="25.5546875" style="376" customWidth="1"/>
    <col min="15" max="16384" width="22.33203125" style="376"/>
  </cols>
  <sheetData>
    <row r="1" spans="1:14" ht="33.75">
      <c r="A1" s="1549" t="s">
        <v>116</v>
      </c>
      <c r="B1" s="1550"/>
      <c r="C1" s="1550"/>
      <c r="D1" s="1550"/>
      <c r="E1" s="1550"/>
      <c r="F1" s="1550"/>
      <c r="G1" s="1550"/>
      <c r="H1" s="1550"/>
      <c r="I1" s="1550"/>
      <c r="J1" s="1551"/>
    </row>
    <row r="2" spans="1:14" s="281" customFormat="1" ht="27">
      <c r="A2" s="575" t="s">
        <v>362</v>
      </c>
      <c r="B2" s="1033">
        <v>44356</v>
      </c>
      <c r="C2" s="1143" t="s">
        <v>68</v>
      </c>
      <c r="D2" s="611">
        <v>0.16</v>
      </c>
      <c r="E2" s="461"/>
      <c r="F2" s="461"/>
      <c r="G2" s="461" t="s">
        <v>117</v>
      </c>
      <c r="H2" s="461" t="s">
        <v>6</v>
      </c>
      <c r="I2" s="461" t="s">
        <v>8</v>
      </c>
      <c r="J2" s="613" t="s">
        <v>118</v>
      </c>
      <c r="N2" s="281" t="s">
        <v>117</v>
      </c>
    </row>
    <row r="3" spans="1:14" s="281" customFormat="1" ht="27">
      <c r="A3" s="570"/>
      <c r="B3" s="614"/>
      <c r="C3" s="1143" t="s">
        <v>119</v>
      </c>
      <c r="D3" s="612">
        <v>31</v>
      </c>
      <c r="E3" s="1558" t="s">
        <v>120</v>
      </c>
      <c r="F3" s="1559"/>
      <c r="G3" s="462"/>
      <c r="H3" s="463"/>
      <c r="I3" s="463"/>
      <c r="J3" s="615"/>
      <c r="K3" s="371"/>
      <c r="L3" s="292"/>
    </row>
    <row r="4" spans="1:14" s="281" customFormat="1" ht="27">
      <c r="A4" s="576"/>
      <c r="B4" s="616"/>
      <c r="C4" s="1143" t="s">
        <v>121</v>
      </c>
      <c r="D4" s="611">
        <v>0.88</v>
      </c>
      <c r="E4" s="464"/>
      <c r="F4" s="464"/>
      <c r="G4" s="464"/>
      <c r="H4" s="464"/>
      <c r="I4" s="465"/>
      <c r="J4" s="615"/>
      <c r="K4" s="372"/>
      <c r="L4" s="292"/>
    </row>
    <row r="5" spans="1:14">
      <c r="A5" s="577" t="s">
        <v>122</v>
      </c>
      <c r="B5" s="459"/>
      <c r="C5" s="459"/>
      <c r="D5" s="511" t="s">
        <v>123</v>
      </c>
      <c r="E5" s="467" t="s">
        <v>124</v>
      </c>
      <c r="F5" s="467" t="s">
        <v>111</v>
      </c>
      <c r="G5" s="468" t="s">
        <v>125</v>
      </c>
      <c r="H5" s="469" t="s">
        <v>126</v>
      </c>
      <c r="I5" s="470" t="s">
        <v>127</v>
      </c>
      <c r="J5" s="550" t="s">
        <v>128</v>
      </c>
      <c r="K5" s="426"/>
      <c r="L5" s="377"/>
      <c r="N5" s="376" t="s">
        <v>125</v>
      </c>
    </row>
    <row r="6" spans="1:14">
      <c r="A6" s="1552" t="s">
        <v>129</v>
      </c>
      <c r="B6" s="1553"/>
      <c r="C6" s="1554"/>
      <c r="D6" s="471"/>
      <c r="E6" s="471"/>
      <c r="F6" s="471"/>
      <c r="G6" s="471"/>
      <c r="H6" s="472"/>
      <c r="I6" s="472"/>
      <c r="J6" s="551"/>
      <c r="K6" s="427"/>
      <c r="L6" s="377"/>
    </row>
    <row r="7" spans="1:14" ht="30" thickBot="1">
      <c r="A7" s="677" t="s">
        <v>130</v>
      </c>
      <c r="B7" s="678"/>
      <c r="C7" s="678"/>
      <c r="D7" s="638" t="s">
        <v>131</v>
      </c>
      <c r="E7" s="633">
        <f>'8'!F7</f>
        <v>482815.75</v>
      </c>
      <c r="F7" s="455">
        <v>499658</v>
      </c>
      <c r="G7" s="679">
        <f>F7-E7</f>
        <v>16842.25</v>
      </c>
      <c r="H7" s="680">
        <f>G7+'8'!H7</f>
        <v>155246</v>
      </c>
      <c r="I7" s="681">
        <f>'1'!I7</f>
        <v>12000</v>
      </c>
      <c r="J7" s="682">
        <f>H7/DAY(B2)</f>
        <v>17249.555555555555</v>
      </c>
      <c r="K7" s="549"/>
      <c r="L7" s="377"/>
      <c r="N7" s="382">
        <v>11359</v>
      </c>
    </row>
    <row r="8" spans="1:14" ht="27.75" thickBot="1">
      <c r="A8" s="683" t="s">
        <v>132</v>
      </c>
      <c r="B8" s="684"/>
      <c r="C8" s="685"/>
      <c r="D8" s="686" t="s">
        <v>25</v>
      </c>
      <c r="E8" s="633">
        <f>'8'!F8</f>
        <v>485532.31</v>
      </c>
      <c r="F8" s="475">
        <v>502424</v>
      </c>
      <c r="G8" s="690">
        <f>F8-E8</f>
        <v>16891.690000000002</v>
      </c>
      <c r="H8" s="680">
        <f>G8+'8'!H8</f>
        <v>155914</v>
      </c>
      <c r="I8" s="687">
        <v>12000</v>
      </c>
      <c r="J8" s="682">
        <f>H8/DAY(B2)</f>
        <v>17323.777777777777</v>
      </c>
      <c r="K8" s="549"/>
      <c r="L8" s="425"/>
      <c r="M8" s="440"/>
      <c r="N8" s="382">
        <v>11487</v>
      </c>
    </row>
    <row r="9" spans="1:14">
      <c r="A9" s="688" t="s">
        <v>133</v>
      </c>
      <c r="B9" s="689"/>
      <c r="C9" s="689"/>
      <c r="D9" s="638" t="s">
        <v>131</v>
      </c>
      <c r="E9" s="633">
        <f>'8'!F9</f>
        <v>1607751.6</v>
      </c>
      <c r="F9" s="478">
        <v>1624027</v>
      </c>
      <c r="G9" s="703">
        <f t="shared" ref="G9:G12" si="0">F9-E9</f>
        <v>16275.399999999907</v>
      </c>
      <c r="H9" s="680">
        <f>G9+'8'!H9</f>
        <v>150337</v>
      </c>
      <c r="I9" s="691">
        <f>I7-J7</f>
        <v>-5249.5555555555547</v>
      </c>
      <c r="J9" s="682">
        <f>H9/DAY(B2)</f>
        <v>16704.111111111109</v>
      </c>
      <c r="K9" s="428"/>
      <c r="L9" s="377"/>
      <c r="N9" s="382">
        <v>11077</v>
      </c>
    </row>
    <row r="10" spans="1:14">
      <c r="A10" s="677" t="s">
        <v>134</v>
      </c>
      <c r="B10" s="678"/>
      <c r="C10" s="678"/>
      <c r="D10" s="638" t="s">
        <v>131</v>
      </c>
      <c r="E10" s="633">
        <f>'8'!F10</f>
        <v>2606.5500000000002</v>
      </c>
      <c r="F10" s="478">
        <v>2606.5500000000002</v>
      </c>
      <c r="G10" s="690">
        <f t="shared" si="0"/>
        <v>0</v>
      </c>
      <c r="H10" s="680">
        <f>G10+'8'!H10</f>
        <v>0.42000000000007276</v>
      </c>
      <c r="I10" s="692"/>
      <c r="J10" s="682">
        <f>H10/DAY(B2)</f>
        <v>4.6666666666674753E-2</v>
      </c>
      <c r="K10" s="428"/>
      <c r="L10" s="377"/>
      <c r="N10" s="382">
        <v>0</v>
      </c>
    </row>
    <row r="11" spans="1:14">
      <c r="A11" s="677" t="s">
        <v>135</v>
      </c>
      <c r="B11" s="678"/>
      <c r="C11" s="678"/>
      <c r="D11" s="638" t="s">
        <v>131</v>
      </c>
      <c r="E11" s="633">
        <f>'8'!F11</f>
        <v>37000</v>
      </c>
      <c r="F11" s="455">
        <v>37000</v>
      </c>
      <c r="G11" s="690">
        <f t="shared" si="0"/>
        <v>0</v>
      </c>
      <c r="H11" s="680">
        <f>G11+'8'!H11</f>
        <v>0</v>
      </c>
      <c r="I11" s="692"/>
      <c r="J11" s="682">
        <f>H11/DAY(B2)</f>
        <v>0</v>
      </c>
      <c r="K11" s="428"/>
      <c r="L11" s="377"/>
      <c r="N11" s="382">
        <v>0</v>
      </c>
    </row>
    <row r="12" spans="1:14">
      <c r="A12" s="677" t="s">
        <v>136</v>
      </c>
      <c r="B12" s="678"/>
      <c r="C12" s="678"/>
      <c r="D12" s="638" t="s">
        <v>131</v>
      </c>
      <c r="E12" s="633">
        <f>'8'!F12</f>
        <v>40010</v>
      </c>
      <c r="F12" s="478">
        <v>40010</v>
      </c>
      <c r="G12" s="690">
        <f t="shared" si="0"/>
        <v>0</v>
      </c>
      <c r="H12" s="680">
        <f>G12+'8'!H12</f>
        <v>0</v>
      </c>
      <c r="I12" s="692"/>
      <c r="J12" s="682">
        <f>H12/DAY(B2)</f>
        <v>0</v>
      </c>
      <c r="K12" s="428"/>
      <c r="L12" s="377"/>
      <c r="N12" s="382">
        <v>0</v>
      </c>
    </row>
    <row r="13" spans="1:14">
      <c r="A13" s="693" t="s">
        <v>137</v>
      </c>
      <c r="B13" s="694"/>
      <c r="C13" s="694"/>
      <c r="D13" s="638"/>
      <c r="E13" s="633"/>
      <c r="F13" s="455"/>
      <c r="G13" s="695">
        <f>G9+G10+G11+G12</f>
        <v>16275.399999999907</v>
      </c>
      <c r="H13" s="680">
        <f>G13+'8'!H13</f>
        <v>150337.41999999998</v>
      </c>
      <c r="I13" s="696">
        <f>G7-G13</f>
        <v>566.85000000009313</v>
      </c>
      <c r="J13" s="682">
        <f>H13/DAY(B2)</f>
        <v>16704.157777777775</v>
      </c>
      <c r="K13" s="428"/>
      <c r="L13" s="377"/>
      <c r="N13" s="382">
        <v>11077</v>
      </c>
    </row>
    <row r="14" spans="1:14">
      <c r="A14" s="1555" t="s">
        <v>138</v>
      </c>
      <c r="B14" s="1556"/>
      <c r="C14" s="1557"/>
      <c r="D14" s="472"/>
      <c r="E14" s="472"/>
      <c r="F14" s="472"/>
      <c r="G14" s="483"/>
      <c r="H14" s="472"/>
      <c r="I14" s="472"/>
      <c r="J14" s="551"/>
      <c r="K14" s="429"/>
      <c r="L14" s="377"/>
      <c r="N14" s="382"/>
    </row>
    <row r="15" spans="1:14">
      <c r="A15" s="1179" t="s">
        <v>139</v>
      </c>
      <c r="B15" s="1180"/>
      <c r="C15" s="1180"/>
      <c r="D15" s="1181" t="s">
        <v>140</v>
      </c>
      <c r="E15" s="701">
        <f>'8'!F15</f>
        <v>1688126.95</v>
      </c>
      <c r="F15" s="701">
        <v>1688472</v>
      </c>
      <c r="G15" s="679">
        <f>(F15-E15)</f>
        <v>345.05000000004657</v>
      </c>
      <c r="H15" s="1174">
        <f>G15+'8'!H15</f>
        <v>3948</v>
      </c>
      <c r="I15" s="1175">
        <v>800</v>
      </c>
      <c r="J15" s="1176">
        <f>H15/DAY(B2)</f>
        <v>438.66666666666669</v>
      </c>
      <c r="K15" s="1168"/>
      <c r="L15" s="1169"/>
      <c r="M15" s="1170"/>
      <c r="N15" s="1171">
        <v>330.54600000008941</v>
      </c>
    </row>
    <row r="16" spans="1:14">
      <c r="A16" s="1172"/>
      <c r="B16" s="1173"/>
      <c r="C16" s="1173"/>
      <c r="D16" s="1166"/>
      <c r="E16" s="1167"/>
      <c r="F16" s="1167"/>
      <c r="G16" s="1177"/>
      <c r="H16" s="1174"/>
      <c r="I16" s="1178">
        <f>I15-J15</f>
        <v>361.33333333333331</v>
      </c>
      <c r="J16" s="1176"/>
      <c r="K16" s="1168"/>
      <c r="L16" s="1169"/>
      <c r="M16" s="1170"/>
      <c r="N16" s="1171"/>
    </row>
    <row r="17" spans="1:14">
      <c r="A17" s="1555" t="s">
        <v>141</v>
      </c>
      <c r="B17" s="1556"/>
      <c r="C17" s="1557"/>
      <c r="D17" s="472"/>
      <c r="E17" s="472"/>
      <c r="F17" s="472"/>
      <c r="G17" s="488"/>
      <c r="H17" s="472"/>
      <c r="I17" s="472"/>
      <c r="J17" s="551"/>
      <c r="K17" s="428"/>
      <c r="L17" s="377"/>
      <c r="N17" s="382"/>
    </row>
    <row r="18" spans="1:14" ht="27.75">
      <c r="A18" s="1590" t="s">
        <v>142</v>
      </c>
      <c r="B18" s="1591"/>
      <c r="C18" s="1592"/>
      <c r="D18" s="638" t="s">
        <v>143</v>
      </c>
      <c r="E18" s="635">
        <f>'8'!F18</f>
        <v>10</v>
      </c>
      <c r="F18" s="478">
        <v>0</v>
      </c>
      <c r="G18" s="695">
        <f>F18*10</f>
        <v>0</v>
      </c>
      <c r="H18" s="680">
        <f>G18+'8'!H18</f>
        <v>510</v>
      </c>
      <c r="I18" s="681">
        <v>65</v>
      </c>
      <c r="J18" s="682">
        <f>H18/DAY(B2)</f>
        <v>56.666666666666664</v>
      </c>
      <c r="K18" s="428"/>
      <c r="L18" s="377"/>
      <c r="N18" s="382">
        <v>0</v>
      </c>
    </row>
    <row r="19" spans="1:14" ht="27.75">
      <c r="A19" s="1590" t="s">
        <v>70</v>
      </c>
      <c r="B19" s="1591"/>
      <c r="C19" s="1592"/>
      <c r="D19" s="638" t="s">
        <v>143</v>
      </c>
      <c r="E19" s="635">
        <f>'8'!F19</f>
        <v>140096</v>
      </c>
      <c r="F19" s="478">
        <v>140174</v>
      </c>
      <c r="G19" s="690">
        <f t="shared" ref="G19" si="1">F19-E19</f>
        <v>78</v>
      </c>
      <c r="H19" s="680">
        <f>G19+'8'!H19</f>
        <v>562</v>
      </c>
      <c r="I19" s="697"/>
      <c r="J19" s="682">
        <f>H19/DAY(B2)</f>
        <v>62.444444444444443</v>
      </c>
      <c r="K19" s="428"/>
      <c r="L19" s="377"/>
      <c r="N19" s="382">
        <v>55</v>
      </c>
    </row>
    <row r="20" spans="1:14">
      <c r="A20" s="693" t="s">
        <v>144</v>
      </c>
      <c r="B20" s="694"/>
      <c r="C20" s="694"/>
      <c r="D20" s="638"/>
      <c r="E20" s="638"/>
      <c r="F20" s="524"/>
      <c r="G20" s="698">
        <f>G18+G19</f>
        <v>78</v>
      </c>
      <c r="H20" s="680">
        <f>G20+'8'!H20</f>
        <v>1072</v>
      </c>
      <c r="I20" s="699">
        <f>I18-J20</f>
        <v>-54.111111111111114</v>
      </c>
      <c r="J20" s="682">
        <f>H20/DAY(B2)</f>
        <v>119.11111111111111</v>
      </c>
      <c r="K20" s="428"/>
      <c r="L20" s="377"/>
      <c r="N20" s="382">
        <v>55</v>
      </c>
    </row>
    <row r="21" spans="1:14">
      <c r="A21" s="1555" t="s">
        <v>145</v>
      </c>
      <c r="B21" s="1556"/>
      <c r="C21" s="1557"/>
      <c r="D21" s="472"/>
      <c r="E21" s="472"/>
      <c r="F21" s="472"/>
      <c r="G21" s="483"/>
      <c r="H21" s="472"/>
      <c r="I21" s="472"/>
      <c r="J21" s="551"/>
      <c r="K21" s="428"/>
      <c r="L21" s="377"/>
      <c r="N21" s="382"/>
    </row>
    <row r="22" spans="1:14">
      <c r="A22" s="1141" t="s">
        <v>146</v>
      </c>
      <c r="B22" s="589"/>
      <c r="C22" s="589"/>
      <c r="D22" s="523" t="s">
        <v>147</v>
      </c>
      <c r="E22" s="635">
        <f>'8'!F22</f>
        <v>2970</v>
      </c>
      <c r="F22" s="478">
        <v>2970</v>
      </c>
      <c r="G22" s="481">
        <f t="shared" ref="G22" si="2">(F22-E22)</f>
        <v>0</v>
      </c>
      <c r="H22" s="460">
        <f>G22+'8'!H22</f>
        <v>0</v>
      </c>
      <c r="I22" s="480"/>
      <c r="J22" s="552">
        <f>H22/DAY(B2)</f>
        <v>0</v>
      </c>
      <c r="K22" s="428"/>
      <c r="L22" s="377"/>
      <c r="N22" s="382">
        <v>0</v>
      </c>
    </row>
    <row r="23" spans="1:14">
      <c r="A23" s="1141" t="s">
        <v>148</v>
      </c>
      <c r="B23" s="589"/>
      <c r="C23" s="589"/>
      <c r="D23" s="523" t="s">
        <v>147</v>
      </c>
      <c r="E23" s="635">
        <f>'8'!F23</f>
        <v>2000</v>
      </c>
      <c r="F23" s="478">
        <v>2000</v>
      </c>
      <c r="G23" s="481">
        <v>0</v>
      </c>
      <c r="H23" s="460">
        <f>G23+'8'!H23</f>
        <v>120</v>
      </c>
      <c r="I23" s="480"/>
      <c r="J23" s="552">
        <f>H23/DAY(B2)</f>
        <v>13.333333333333334</v>
      </c>
      <c r="K23" s="428"/>
      <c r="L23" s="377"/>
      <c r="N23" s="382">
        <v>0</v>
      </c>
    </row>
    <row r="24" spans="1:14">
      <c r="A24" s="590" t="s">
        <v>149</v>
      </c>
      <c r="B24" s="591"/>
      <c r="C24" s="591"/>
      <c r="D24" s="511" t="s">
        <v>147</v>
      </c>
      <c r="E24" s="493">
        <v>4970</v>
      </c>
      <c r="F24" s="485">
        <v>4970</v>
      </c>
      <c r="G24" s="481">
        <v>0</v>
      </c>
      <c r="H24" s="460">
        <f>G24+'8'!H24</f>
        <v>120</v>
      </c>
      <c r="I24" s="480"/>
      <c r="J24" s="552">
        <f>H24/DAY(B2)</f>
        <v>13.333333333333334</v>
      </c>
      <c r="K24" s="428"/>
      <c r="L24" s="377"/>
      <c r="N24" s="382">
        <v>0</v>
      </c>
    </row>
    <row r="25" spans="1:14" s="442" customFormat="1" ht="27">
      <c r="A25" s="1560" t="s">
        <v>150</v>
      </c>
      <c r="B25" s="1561"/>
      <c r="C25" s="1562"/>
      <c r="D25" s="471"/>
      <c r="E25" s="471"/>
      <c r="F25" s="471"/>
      <c r="G25" s="494"/>
      <c r="H25" s="495"/>
      <c r="I25" s="496"/>
      <c r="J25" s="554"/>
      <c r="K25" s="373"/>
      <c r="L25" s="443"/>
      <c r="N25" s="382"/>
    </row>
    <row r="26" spans="1:14" s="442" customFormat="1" ht="27.75">
      <c r="A26" s="592" t="s">
        <v>151</v>
      </c>
      <c r="B26" s="593"/>
      <c r="C26" s="594"/>
      <c r="D26" s="618" t="s">
        <v>152</v>
      </c>
      <c r="E26" s="497"/>
      <c r="F26" s="455"/>
      <c r="G26" s="498"/>
      <c r="H26" s="460"/>
      <c r="I26" s="499"/>
      <c r="J26" s="552"/>
      <c r="K26" s="374"/>
      <c r="L26" s="443"/>
      <c r="N26" s="382"/>
    </row>
    <row r="27" spans="1:14" s="442" customFormat="1" ht="27.75">
      <c r="A27" s="592" t="s">
        <v>6</v>
      </c>
      <c r="B27" s="593"/>
      <c r="C27" s="594"/>
      <c r="D27" s="619" t="s">
        <v>25</v>
      </c>
      <c r="E27" s="700">
        <f>G8</f>
        <v>16891.690000000002</v>
      </c>
      <c r="F27" s="501">
        <v>9</v>
      </c>
      <c r="G27" s="502">
        <f>E27*F27</f>
        <v>152025.21000000002</v>
      </c>
      <c r="H27" s="460">
        <f>G27+'8'!H27</f>
        <v>1402389</v>
      </c>
      <c r="I27" s="503"/>
      <c r="J27" s="552">
        <f>H27/DAY(B2)</f>
        <v>155821</v>
      </c>
      <c r="K27" s="373"/>
      <c r="L27" s="443"/>
      <c r="N27" s="382">
        <v>114870</v>
      </c>
    </row>
    <row r="28" spans="1:14" s="442" customFormat="1" ht="27.75">
      <c r="A28" s="592" t="s">
        <v>153</v>
      </c>
      <c r="B28" s="593"/>
      <c r="C28" s="594"/>
      <c r="D28" s="619" t="s">
        <v>154</v>
      </c>
      <c r="E28" s="700">
        <f>G15</f>
        <v>345.05000000004657</v>
      </c>
      <c r="F28" s="501">
        <v>52</v>
      </c>
      <c r="G28" s="502">
        <f>E28*F28</f>
        <v>17942.600000002421</v>
      </c>
      <c r="H28" s="460">
        <f>G28+'8'!H28</f>
        <v>205296</v>
      </c>
      <c r="I28" s="505"/>
      <c r="J28" s="552">
        <f>H28/DAY(B2)</f>
        <v>22810.666666666668</v>
      </c>
      <c r="K28" s="373"/>
      <c r="L28" s="443"/>
      <c r="N28" s="382">
        <v>11569.110000003129</v>
      </c>
    </row>
    <row r="29" spans="1:14" s="442" customFormat="1" ht="27.75">
      <c r="A29" s="592" t="s">
        <v>155</v>
      </c>
      <c r="B29" s="593"/>
      <c r="C29" s="594"/>
      <c r="D29" s="619" t="s">
        <v>156</v>
      </c>
      <c r="E29" s="700">
        <f>G24</f>
        <v>0</v>
      </c>
      <c r="F29" s="501">
        <v>69</v>
      </c>
      <c r="G29" s="502">
        <f>E29*F29</f>
        <v>0</v>
      </c>
      <c r="H29" s="460">
        <f>G29+'8'!H29</f>
        <v>8280</v>
      </c>
      <c r="I29" s="505"/>
      <c r="J29" s="552">
        <f>H29/DAY(B2)</f>
        <v>920</v>
      </c>
      <c r="K29" s="373"/>
      <c r="L29" s="443"/>
      <c r="N29" s="382">
        <v>0</v>
      </c>
    </row>
    <row r="30" spans="1:14" s="442" customFormat="1" ht="27.75">
      <c r="A30" s="592" t="s">
        <v>157</v>
      </c>
      <c r="B30" s="593"/>
      <c r="C30" s="594"/>
      <c r="D30" s="619" t="s">
        <v>158</v>
      </c>
      <c r="E30" s="700">
        <f>G19</f>
        <v>78</v>
      </c>
      <c r="F30" s="501">
        <v>146</v>
      </c>
      <c r="G30" s="502">
        <f>E30*F30</f>
        <v>11388</v>
      </c>
      <c r="H30" s="460">
        <f>G30+'8'!H30</f>
        <v>82052</v>
      </c>
      <c r="I30" s="505"/>
      <c r="J30" s="552">
        <f>H30/DAY(B2)</f>
        <v>9116.8888888888887</v>
      </c>
      <c r="K30" s="373"/>
      <c r="L30" s="443"/>
      <c r="N30" s="382">
        <v>7370</v>
      </c>
    </row>
    <row r="31" spans="1:14" s="442" customFormat="1" ht="27.75">
      <c r="A31" s="592" t="s">
        <v>159</v>
      </c>
      <c r="B31" s="593"/>
      <c r="C31" s="594"/>
      <c r="D31" s="619" t="s">
        <v>143</v>
      </c>
      <c r="E31" s="700">
        <f>G18</f>
        <v>0</v>
      </c>
      <c r="F31" s="501">
        <v>80</v>
      </c>
      <c r="G31" s="502">
        <f>E31*F31</f>
        <v>0</v>
      </c>
      <c r="H31" s="460">
        <f>G31+'8'!H31</f>
        <v>40800</v>
      </c>
      <c r="I31" s="505"/>
      <c r="J31" s="552">
        <f>H31/DAY(B2)</f>
        <v>4533.333333333333</v>
      </c>
      <c r="K31" s="373"/>
      <c r="L31" s="443"/>
      <c r="N31" s="382">
        <v>0</v>
      </c>
    </row>
    <row r="32" spans="1:14" s="442" customFormat="1" ht="27.75">
      <c r="A32" s="595" t="s">
        <v>160</v>
      </c>
      <c r="B32" s="596"/>
      <c r="C32" s="597"/>
      <c r="D32" s="507"/>
      <c r="E32" s="507"/>
      <c r="F32" s="524"/>
      <c r="G32" s="508">
        <f>G27+G28+G29+G30+G31</f>
        <v>181355.81000000244</v>
      </c>
      <c r="H32" s="460">
        <f>G32+'8'!H32</f>
        <v>1738817</v>
      </c>
      <c r="I32" s="509"/>
      <c r="J32" s="552">
        <f>H32/DAY(B2)</f>
        <v>193201.88888888888</v>
      </c>
      <c r="K32" s="373"/>
      <c r="L32" s="443"/>
      <c r="N32" s="382">
        <v>133809.11000000313</v>
      </c>
    </row>
    <row r="33" spans="1:14" ht="25.5">
      <c r="A33" s="1563" t="s">
        <v>161</v>
      </c>
      <c r="B33" s="1564"/>
      <c r="C33" s="1564"/>
      <c r="D33" s="1564"/>
      <c r="E33" s="1564"/>
      <c r="F33" s="1564"/>
      <c r="G33" s="1564"/>
      <c r="H33" s="1564"/>
      <c r="I33" s="1564"/>
      <c r="J33" s="1565"/>
      <c r="K33" s="428"/>
      <c r="L33" s="377"/>
      <c r="N33" s="382"/>
    </row>
    <row r="34" spans="1:14">
      <c r="A34" s="598" t="s">
        <v>162</v>
      </c>
      <c r="B34" s="1146"/>
      <c r="C34" s="1146"/>
      <c r="D34" s="472"/>
      <c r="E34" s="471"/>
      <c r="F34" s="471"/>
      <c r="G34" s="472"/>
      <c r="H34" s="472"/>
      <c r="I34" s="472"/>
      <c r="J34" s="551"/>
      <c r="K34" s="428"/>
      <c r="L34" s="377"/>
      <c r="N34" s="382"/>
    </row>
    <row r="35" spans="1:14">
      <c r="A35" s="578" t="s">
        <v>163</v>
      </c>
      <c r="B35" s="579"/>
      <c r="C35" s="579"/>
      <c r="D35" s="523" t="s">
        <v>131</v>
      </c>
      <c r="E35" s="510">
        <f>'8'!F35</f>
        <v>970115.19</v>
      </c>
      <c r="F35" s="510">
        <v>972361</v>
      </c>
      <c r="G35" s="473">
        <f t="shared" ref="G35:G46" si="3">F35-E35</f>
        <v>2245.8100000000559</v>
      </c>
      <c r="H35" s="460">
        <f>G35+'8'!H35</f>
        <v>21873</v>
      </c>
      <c r="I35" s="455"/>
      <c r="J35" s="552">
        <f>H35/DAY(B2)</f>
        <v>2430.3333333333335</v>
      </c>
      <c r="K35" s="428"/>
      <c r="L35" s="377"/>
      <c r="N35" s="382">
        <v>1380.8400000000256</v>
      </c>
    </row>
    <row r="36" spans="1:14">
      <c r="A36" s="578" t="s">
        <v>164</v>
      </c>
      <c r="B36" s="579"/>
      <c r="C36" s="579"/>
      <c r="D36" s="523" t="s">
        <v>131</v>
      </c>
      <c r="E36" s="510">
        <f>'8'!F36</f>
        <v>4653.18</v>
      </c>
      <c r="F36" s="510">
        <v>5268</v>
      </c>
      <c r="G36" s="473">
        <f t="shared" si="3"/>
        <v>614.81999999999971</v>
      </c>
      <c r="H36" s="460">
        <f>G36+'8'!H36</f>
        <v>5095</v>
      </c>
      <c r="I36" s="455"/>
      <c r="J36" s="552">
        <f>H36/DAY(B2)</f>
        <v>566.11111111111109</v>
      </c>
      <c r="K36" s="428"/>
      <c r="L36" s="377"/>
      <c r="N36" s="628">
        <v>514.63999999999942</v>
      </c>
    </row>
    <row r="37" spans="1:14">
      <c r="A37" s="578" t="s">
        <v>165</v>
      </c>
      <c r="B37" s="579"/>
      <c r="C37" s="579"/>
      <c r="D37" s="523" t="s">
        <v>131</v>
      </c>
      <c r="E37" s="510">
        <f>'8'!F37</f>
        <v>144713.26</v>
      </c>
      <c r="F37" s="510">
        <v>146093</v>
      </c>
      <c r="G37" s="473">
        <f t="shared" si="3"/>
        <v>1379.7399999999907</v>
      </c>
      <c r="H37" s="460">
        <f>G37+'8'!H37</f>
        <v>11857</v>
      </c>
      <c r="I37" s="455"/>
      <c r="J37" s="552">
        <f>H37/DAY(B2)</f>
        <v>1317.4444444444443</v>
      </c>
      <c r="K37" s="428"/>
      <c r="L37" s="377"/>
      <c r="N37" s="629">
        <v>1164.4599999999919</v>
      </c>
    </row>
    <row r="38" spans="1:14">
      <c r="A38" s="578" t="s">
        <v>166</v>
      </c>
      <c r="B38" s="579"/>
      <c r="C38" s="579"/>
      <c r="D38" s="523" t="s">
        <v>131</v>
      </c>
      <c r="E38" s="510">
        <f>'8'!F38</f>
        <v>166383.15</v>
      </c>
      <c r="F38" s="469">
        <v>167388</v>
      </c>
      <c r="G38" s="473">
        <f t="shared" si="3"/>
        <v>1004.8500000000058</v>
      </c>
      <c r="H38" s="460">
        <f>G38+'8'!H38</f>
        <v>10983</v>
      </c>
      <c r="I38" s="455"/>
      <c r="J38" s="552">
        <f>H38/DAY(B2)</f>
        <v>1220.3333333333333</v>
      </c>
      <c r="K38" s="428"/>
      <c r="L38" s="377"/>
      <c r="N38" s="382">
        <v>0</v>
      </c>
    </row>
    <row r="39" spans="1:14">
      <c r="A39" s="578" t="s">
        <v>167</v>
      </c>
      <c r="B39" s="579"/>
      <c r="C39" s="579"/>
      <c r="D39" s="523" t="s">
        <v>131</v>
      </c>
      <c r="E39" s="510">
        <f>'8'!F39</f>
        <v>329100.28999999998</v>
      </c>
      <c r="F39" s="510">
        <v>332170</v>
      </c>
      <c r="G39" s="473">
        <f t="shared" si="3"/>
        <v>3069.710000000021</v>
      </c>
      <c r="H39" s="460">
        <f>G39+'8'!H39</f>
        <v>23997</v>
      </c>
      <c r="I39" s="455"/>
      <c r="J39" s="552">
        <f>H39/DAY(B2)</f>
        <v>2666.3333333333335</v>
      </c>
      <c r="K39" s="428"/>
      <c r="L39" s="377"/>
      <c r="N39" s="382">
        <v>1951.1300000000047</v>
      </c>
    </row>
    <row r="40" spans="1:14">
      <c r="A40" s="599" t="s">
        <v>168</v>
      </c>
      <c r="B40" s="600"/>
      <c r="C40" s="600"/>
      <c r="D40" s="523" t="s">
        <v>131</v>
      </c>
      <c r="E40" s="510">
        <f>'8'!F40</f>
        <v>1057.0899999999999</v>
      </c>
      <c r="F40" s="510">
        <v>1057</v>
      </c>
      <c r="G40" s="473">
        <f t="shared" si="3"/>
        <v>-8.9999999999918145E-2</v>
      </c>
      <c r="H40" s="460">
        <f>G40+'8'!H40</f>
        <v>168</v>
      </c>
      <c r="I40" s="455"/>
      <c r="J40" s="552">
        <f>H40/DAY(B2)</f>
        <v>18.666666666666668</v>
      </c>
      <c r="K40" s="429"/>
      <c r="L40" s="377"/>
      <c r="N40" s="382">
        <v>0</v>
      </c>
    </row>
    <row r="41" spans="1:14">
      <c r="A41" s="578" t="s">
        <v>169</v>
      </c>
      <c r="B41" s="579"/>
      <c r="C41" s="579"/>
      <c r="D41" s="523" t="s">
        <v>131</v>
      </c>
      <c r="E41" s="510">
        <f>'8'!F41</f>
        <v>248672.59</v>
      </c>
      <c r="F41" s="510">
        <v>253580</v>
      </c>
      <c r="G41" s="473">
        <f t="shared" si="3"/>
        <v>4907.4100000000035</v>
      </c>
      <c r="H41" s="460">
        <f>G41+'8'!H41</f>
        <v>13102</v>
      </c>
      <c r="I41" s="455"/>
      <c r="J41" s="552">
        <f>H41/DAY(B2)</f>
        <v>1455.7777777777778</v>
      </c>
      <c r="K41" s="428"/>
      <c r="L41" s="377"/>
      <c r="N41" s="382">
        <v>2876.3199999999779</v>
      </c>
    </row>
    <row r="42" spans="1:14">
      <c r="A42" s="578" t="s">
        <v>170</v>
      </c>
      <c r="B42" s="579"/>
      <c r="C42" s="579"/>
      <c r="D42" s="523" t="s">
        <v>131</v>
      </c>
      <c r="E42" s="510">
        <f>'8'!F42</f>
        <v>59210.61</v>
      </c>
      <c r="F42" s="510">
        <v>59210.61</v>
      </c>
      <c r="G42" s="473">
        <f t="shared" si="3"/>
        <v>0</v>
      </c>
      <c r="H42" s="460">
        <f>G42+'8'!H42</f>
        <v>11.639999999999418</v>
      </c>
      <c r="I42" s="455"/>
      <c r="J42" s="552">
        <f>H42/DAY(B2)</f>
        <v>1.2933333333332686</v>
      </c>
      <c r="K42" s="428"/>
      <c r="L42" s="377"/>
      <c r="N42" s="382">
        <v>0</v>
      </c>
    </row>
    <row r="43" spans="1:14">
      <c r="A43" s="578" t="s">
        <v>171</v>
      </c>
      <c r="B43" s="579"/>
      <c r="C43" s="579"/>
      <c r="D43" s="523" t="s">
        <v>131</v>
      </c>
      <c r="E43" s="510">
        <f>'8'!F43</f>
        <v>1061429.5</v>
      </c>
      <c r="F43" s="510">
        <v>1063870</v>
      </c>
      <c r="G43" s="473">
        <f t="shared" si="3"/>
        <v>2440.5</v>
      </c>
      <c r="H43" s="460">
        <f>G43+'8'!H43</f>
        <v>21626</v>
      </c>
      <c r="I43" s="455"/>
      <c r="J43" s="552">
        <f>H43/DAY(B2)</f>
        <v>2402.8888888888887</v>
      </c>
      <c r="K43" s="428"/>
      <c r="L43" s="377"/>
      <c r="N43" s="382">
        <v>1531.2399999999907</v>
      </c>
    </row>
    <row r="44" spans="1:14">
      <c r="A44" s="578" t="s">
        <v>172</v>
      </c>
      <c r="B44" s="579"/>
      <c r="C44" s="579"/>
      <c r="D44" s="523" t="s">
        <v>131</v>
      </c>
      <c r="E44" s="510">
        <f>'8'!F44</f>
        <v>0</v>
      </c>
      <c r="F44" s="510">
        <v>0</v>
      </c>
      <c r="G44" s="473">
        <f t="shared" si="3"/>
        <v>0</v>
      </c>
      <c r="H44" s="460">
        <f>G44+'8'!H44</f>
        <v>0</v>
      </c>
      <c r="I44" s="455"/>
      <c r="J44" s="552">
        <f>H44/DAY(B2)</f>
        <v>0</v>
      </c>
      <c r="K44" s="428"/>
      <c r="L44" s="377"/>
      <c r="N44" s="382">
        <v>0</v>
      </c>
    </row>
    <row r="45" spans="1:14">
      <c r="A45" s="578" t="s">
        <v>173</v>
      </c>
      <c r="B45" s="579"/>
      <c r="C45" s="579"/>
      <c r="D45" s="523" t="s">
        <v>131</v>
      </c>
      <c r="E45" s="510">
        <f>'8'!F45</f>
        <v>614</v>
      </c>
      <c r="F45" s="510">
        <v>614</v>
      </c>
      <c r="G45" s="473">
        <f t="shared" si="3"/>
        <v>0</v>
      </c>
      <c r="H45" s="460">
        <f>G45+'8'!H45</f>
        <v>0</v>
      </c>
      <c r="I45" s="455"/>
      <c r="J45" s="552">
        <f>H45/DAY(B2)</f>
        <v>0</v>
      </c>
      <c r="K45" s="428"/>
      <c r="L45" s="377"/>
      <c r="N45" s="382">
        <v>0</v>
      </c>
    </row>
    <row r="46" spans="1:14">
      <c r="A46" s="578" t="s">
        <v>174</v>
      </c>
      <c r="B46" s="579"/>
      <c r="C46" s="579"/>
      <c r="D46" s="523" t="s">
        <v>131</v>
      </c>
      <c r="E46" s="510">
        <f>'8'!F46</f>
        <v>187</v>
      </c>
      <c r="F46" s="510">
        <v>187</v>
      </c>
      <c r="G46" s="473">
        <f t="shared" si="3"/>
        <v>0</v>
      </c>
      <c r="H46" s="460">
        <f>G46+'8'!H46</f>
        <v>0</v>
      </c>
      <c r="I46" s="455"/>
      <c r="J46" s="552">
        <f>H46/DAY(B2)</f>
        <v>0</v>
      </c>
      <c r="K46" s="428"/>
      <c r="L46" s="377"/>
      <c r="N46" s="382">
        <v>0</v>
      </c>
    </row>
    <row r="47" spans="1:14">
      <c r="A47" s="585" t="s">
        <v>175</v>
      </c>
      <c r="B47" s="586"/>
      <c r="C47" s="586"/>
      <c r="D47" s="470"/>
      <c r="E47" s="511"/>
      <c r="F47" s="511"/>
      <c r="G47" s="481">
        <f>G35+G36+G37+G38+G39+G40+G41+G42+G43+G44+G45+G46</f>
        <v>15662.750000000076</v>
      </c>
      <c r="H47" s="460">
        <f>G47+'8'!H47</f>
        <v>108712.63999999998</v>
      </c>
      <c r="I47" s="455"/>
      <c r="J47" s="552">
        <f>H47/DAY(B2)</f>
        <v>12079.18222222222</v>
      </c>
      <c r="K47" s="428"/>
      <c r="L47" s="377"/>
      <c r="N47" s="382">
        <v>9418.6299999999901</v>
      </c>
    </row>
    <row r="48" spans="1:14">
      <c r="A48" s="598" t="s">
        <v>176</v>
      </c>
      <c r="B48" s="1146"/>
      <c r="C48" s="1146"/>
      <c r="D48" s="472"/>
      <c r="E48" s="471"/>
      <c r="F48" s="471"/>
      <c r="G48" s="472"/>
      <c r="H48" s="472"/>
      <c r="I48" s="472"/>
      <c r="J48" s="551"/>
      <c r="K48" s="428"/>
      <c r="L48" s="377"/>
      <c r="N48" s="382"/>
    </row>
    <row r="49" spans="1:14">
      <c r="A49" s="578" t="s">
        <v>163</v>
      </c>
      <c r="B49" s="601"/>
      <c r="C49" s="601"/>
      <c r="D49" s="523" t="s">
        <v>131</v>
      </c>
      <c r="E49" s="510">
        <f>'8'!F49</f>
        <v>260732.13</v>
      </c>
      <c r="F49" s="510">
        <v>260732.13</v>
      </c>
      <c r="G49" s="473">
        <f t="shared" ref="G49:G58" si="4">F49-E49</f>
        <v>0</v>
      </c>
      <c r="H49" s="460">
        <f>G49+'8'!H49</f>
        <v>0.13000000000465661</v>
      </c>
      <c r="I49" s="455"/>
      <c r="J49" s="552">
        <f>H49/DAY(B2)</f>
        <v>1.4444444444961846E-2</v>
      </c>
      <c r="K49" s="428"/>
      <c r="L49" s="377"/>
      <c r="N49" s="382">
        <v>0</v>
      </c>
    </row>
    <row r="50" spans="1:14">
      <c r="A50" s="578" t="s">
        <v>177</v>
      </c>
      <c r="B50" s="601"/>
      <c r="C50" s="601"/>
      <c r="D50" s="523" t="s">
        <v>131</v>
      </c>
      <c r="E50" s="510">
        <f>'8'!F50</f>
        <v>510204.59</v>
      </c>
      <c r="F50" s="510">
        <v>511082</v>
      </c>
      <c r="G50" s="473">
        <f t="shared" si="4"/>
        <v>877.40999999997439</v>
      </c>
      <c r="H50" s="460">
        <f>G50+'8'!H50</f>
        <v>8546</v>
      </c>
      <c r="I50" s="455"/>
      <c r="J50" s="552">
        <f>H50/DAY(B2)</f>
        <v>949.55555555555554</v>
      </c>
      <c r="K50" s="428"/>
      <c r="L50" s="377"/>
      <c r="N50" s="382">
        <v>609.48999999999069</v>
      </c>
    </row>
    <row r="51" spans="1:14">
      <c r="A51" s="578" t="s">
        <v>165</v>
      </c>
      <c r="B51" s="601"/>
      <c r="C51" s="601"/>
      <c r="D51" s="523" t="s">
        <v>131</v>
      </c>
      <c r="E51" s="510">
        <f>'8'!F51</f>
        <v>144639.87</v>
      </c>
      <c r="F51" s="510">
        <v>144639.87</v>
      </c>
      <c r="G51" s="473">
        <f t="shared" si="4"/>
        <v>0</v>
      </c>
      <c r="H51" s="460">
        <f>G51+'8'!H51</f>
        <v>-0.13000000000465661</v>
      </c>
      <c r="I51" s="455"/>
      <c r="J51" s="552">
        <f>H51/DAY(B2)</f>
        <v>-1.4444444444961846E-2</v>
      </c>
      <c r="K51" s="428"/>
      <c r="L51" s="377"/>
      <c r="N51" s="382">
        <v>0</v>
      </c>
    </row>
    <row r="52" spans="1:14">
      <c r="A52" s="578" t="s">
        <v>178</v>
      </c>
      <c r="B52" s="601"/>
      <c r="C52" s="601"/>
      <c r="D52" s="523" t="s">
        <v>131</v>
      </c>
      <c r="E52" s="510">
        <f>'8'!F52</f>
        <v>539606.06999999995</v>
      </c>
      <c r="F52" s="510">
        <v>539606.06999999995</v>
      </c>
      <c r="G52" s="473">
        <f t="shared" si="4"/>
        <v>0</v>
      </c>
      <c r="H52" s="460">
        <f>G52+'8'!H52</f>
        <v>6.9999999948777258E-2</v>
      </c>
      <c r="I52" s="455"/>
      <c r="J52" s="552">
        <f>H52/DAY(B2)</f>
        <v>7.7777777720863623E-3</v>
      </c>
      <c r="K52" s="428"/>
      <c r="L52" s="377"/>
      <c r="N52" s="382">
        <v>1071.8899999999849</v>
      </c>
    </row>
    <row r="53" spans="1:14">
      <c r="A53" s="578" t="s">
        <v>167</v>
      </c>
      <c r="B53" s="601"/>
      <c r="C53" s="601"/>
      <c r="D53" s="523" t="s">
        <v>131</v>
      </c>
      <c r="E53" s="510">
        <f>'8'!F53</f>
        <v>434231.67</v>
      </c>
      <c r="F53" s="510">
        <v>434231.67</v>
      </c>
      <c r="G53" s="473">
        <f t="shared" si="4"/>
        <v>0</v>
      </c>
      <c r="H53" s="460">
        <f>G53+'8'!H53</f>
        <v>1663.6699999999837</v>
      </c>
      <c r="I53" s="455"/>
      <c r="J53" s="552">
        <f>H53/DAY(B2)</f>
        <v>184.85222222222041</v>
      </c>
      <c r="K53" s="428"/>
      <c r="L53" s="377"/>
      <c r="N53" s="382">
        <v>85.455900000000838</v>
      </c>
    </row>
    <row r="54" spans="1:14">
      <c r="A54" s="578" t="s">
        <v>179</v>
      </c>
      <c r="B54" s="601"/>
      <c r="C54" s="601"/>
      <c r="D54" s="523" t="s">
        <v>131</v>
      </c>
      <c r="E54" s="510">
        <f>'8'!F54</f>
        <v>14419.35</v>
      </c>
      <c r="F54" s="510">
        <v>14500</v>
      </c>
      <c r="G54" s="473">
        <f t="shared" si="4"/>
        <v>80.649999999999636</v>
      </c>
      <c r="H54" s="460">
        <f>G54+'8'!H54</f>
        <v>750</v>
      </c>
      <c r="I54" s="455"/>
      <c r="J54" s="552">
        <f>H54/DAY(B2)</f>
        <v>83.333333333333329</v>
      </c>
      <c r="K54" s="428"/>
      <c r="L54" s="377"/>
      <c r="N54" s="382">
        <v>0</v>
      </c>
    </row>
    <row r="55" spans="1:14">
      <c r="A55" s="578" t="s">
        <v>180</v>
      </c>
      <c r="B55" s="601"/>
      <c r="C55" s="601"/>
      <c r="D55" s="523" t="s">
        <v>131</v>
      </c>
      <c r="E55" s="510">
        <f>'8'!F55</f>
        <v>68136.52</v>
      </c>
      <c r="F55" s="654">
        <v>68136.52</v>
      </c>
      <c r="G55" s="653">
        <f t="shared" si="4"/>
        <v>0</v>
      </c>
      <c r="H55" s="706">
        <f>G55+'8'!H55</f>
        <v>25.520000000004075</v>
      </c>
      <c r="I55" s="707"/>
      <c r="J55" s="708">
        <f>H55/DAY(B2)</f>
        <v>2.8355555555560081</v>
      </c>
      <c r="K55" s="428"/>
      <c r="L55" s="377"/>
      <c r="N55" s="382">
        <v>0</v>
      </c>
    </row>
    <row r="56" spans="1:14">
      <c r="A56" s="578" t="s">
        <v>181</v>
      </c>
      <c r="B56" s="601"/>
      <c r="C56" s="601"/>
      <c r="D56" s="523" t="s">
        <v>182</v>
      </c>
      <c r="E56" s="510">
        <f>'8'!F56</f>
        <v>648805.15</v>
      </c>
      <c r="F56" s="654">
        <v>648815</v>
      </c>
      <c r="G56" s="473">
        <f t="shared" si="4"/>
        <v>9.8499999999767169</v>
      </c>
      <c r="H56" s="460">
        <f>G56+'8'!H56</f>
        <v>31617</v>
      </c>
      <c r="I56" s="455"/>
      <c r="J56" s="552">
        <f>H56/DAY(B2)</f>
        <v>3513</v>
      </c>
      <c r="K56" s="427"/>
      <c r="L56" s="377"/>
      <c r="N56" s="382">
        <v>0</v>
      </c>
    </row>
    <row r="57" spans="1:14">
      <c r="A57" s="578" t="s">
        <v>171</v>
      </c>
      <c r="B57" s="601"/>
      <c r="C57" s="601"/>
      <c r="D57" s="523" t="s">
        <v>131</v>
      </c>
      <c r="E57" s="510">
        <f>'8'!F57</f>
        <v>7711</v>
      </c>
      <c r="F57" s="510">
        <v>7711</v>
      </c>
      <c r="G57" s="473">
        <f t="shared" si="4"/>
        <v>0</v>
      </c>
      <c r="H57" s="460">
        <f>G57+'8'!H57</f>
        <v>0</v>
      </c>
      <c r="I57" s="455"/>
      <c r="J57" s="552">
        <f>H57/DAY(B2)</f>
        <v>0</v>
      </c>
      <c r="K57" s="428"/>
      <c r="L57" s="377"/>
      <c r="N57" s="382">
        <v>0</v>
      </c>
    </row>
    <row r="58" spans="1:14">
      <c r="A58" s="578" t="s">
        <v>183</v>
      </c>
      <c r="B58" s="601"/>
      <c r="C58" s="601"/>
      <c r="D58" s="523" t="s">
        <v>131</v>
      </c>
      <c r="E58" s="510">
        <f>'8'!F58</f>
        <v>50560.79</v>
      </c>
      <c r="F58" s="654">
        <v>50560.79</v>
      </c>
      <c r="G58" s="473">
        <f t="shared" si="4"/>
        <v>0</v>
      </c>
      <c r="H58" s="460">
        <f>G58+'8'!H58</f>
        <v>935.79000000000087</v>
      </c>
      <c r="I58" s="455"/>
      <c r="J58" s="552">
        <f>H58/DAY(B2)</f>
        <v>103.97666666666676</v>
      </c>
      <c r="K58" s="428"/>
      <c r="L58" s="377"/>
      <c r="N58" s="382">
        <v>-0.29700000000048021</v>
      </c>
    </row>
    <row r="59" spans="1:14">
      <c r="A59" s="585" t="s">
        <v>175</v>
      </c>
      <c r="B59" s="586"/>
      <c r="C59" s="586"/>
      <c r="D59" s="511"/>
      <c r="E59" s="511"/>
      <c r="F59" s="511"/>
      <c r="G59" s="481">
        <f>G49+G50+G51+G52+G53+G54+G55+G56+G57+G58</f>
        <v>967.90999999995074</v>
      </c>
      <c r="H59" s="460">
        <f>G59+'8'!H59</f>
        <v>43538.049999999937</v>
      </c>
      <c r="I59" s="455">
        <f>G7-G60</f>
        <v>211.58999999997468</v>
      </c>
      <c r="J59" s="552">
        <f>H59/DAY(B2)</f>
        <v>4837.5611111111039</v>
      </c>
      <c r="K59" s="428"/>
      <c r="L59" s="377"/>
      <c r="N59" s="382">
        <v>1766.5388999999759</v>
      </c>
    </row>
    <row r="60" spans="1:14">
      <c r="A60" s="578"/>
      <c r="B60" s="579"/>
      <c r="C60" s="579"/>
      <c r="D60" s="511" t="s">
        <v>184</v>
      </c>
      <c r="E60" s="511"/>
      <c r="F60" s="511"/>
      <c r="G60" s="481">
        <f>G47+G59</f>
        <v>16630.660000000025</v>
      </c>
      <c r="H60" s="460">
        <f>G60+'8'!H60</f>
        <v>152250.68999999994</v>
      </c>
      <c r="I60" s="455">
        <f>G13-G60</f>
        <v>-355.26000000011845</v>
      </c>
      <c r="J60" s="552">
        <f>H60/DAY(B2)</f>
        <v>16916.743333333328</v>
      </c>
      <c r="K60" s="428"/>
      <c r="L60" s="377"/>
      <c r="N60" s="382">
        <v>11185.168899999966</v>
      </c>
    </row>
    <row r="61" spans="1:14">
      <c r="A61" s="602" t="s">
        <v>185</v>
      </c>
      <c r="B61" s="453"/>
      <c r="C61" s="453"/>
      <c r="D61" s="513"/>
      <c r="E61" s="512"/>
      <c r="F61" s="512"/>
      <c r="G61" s="513"/>
      <c r="H61" s="513"/>
      <c r="I61" s="513"/>
      <c r="J61" s="555"/>
      <c r="K61" s="428"/>
      <c r="L61" s="377"/>
      <c r="N61" s="382"/>
    </row>
    <row r="62" spans="1:14">
      <c r="A62" s="603" t="s">
        <v>97</v>
      </c>
      <c r="B62" s="604"/>
      <c r="C62" s="604"/>
      <c r="D62" s="511" t="s">
        <v>186</v>
      </c>
      <c r="E62" s="514">
        <f>'8'!F62</f>
        <v>0</v>
      </c>
      <c r="F62" s="514">
        <v>0</v>
      </c>
      <c r="G62" s="473">
        <f t="shared" ref="G62:G69" si="5">F62-E62</f>
        <v>0</v>
      </c>
      <c r="H62" s="460">
        <f>G62+'8'!H62</f>
        <v>1.9999999967694748E-3</v>
      </c>
      <c r="I62" s="515"/>
      <c r="J62" s="552">
        <f>H62/DAY(B2)</f>
        <v>2.2222222186327499E-4</v>
      </c>
      <c r="K62" s="428"/>
      <c r="L62" s="377"/>
      <c r="N62" s="382">
        <v>0</v>
      </c>
    </row>
    <row r="63" spans="1:14">
      <c r="A63" s="603" t="s">
        <v>187</v>
      </c>
      <c r="B63" s="604"/>
      <c r="C63" s="604"/>
      <c r="D63" s="511" t="s">
        <v>186</v>
      </c>
      <c r="E63" s="514">
        <f>'8'!F63</f>
        <v>0</v>
      </c>
      <c r="F63" s="514">
        <v>0</v>
      </c>
      <c r="G63" s="473">
        <f t="shared" si="5"/>
        <v>0</v>
      </c>
      <c r="H63" s="460">
        <f>G63+'8'!H63</f>
        <v>0</v>
      </c>
      <c r="I63" s="515"/>
      <c r="J63" s="552">
        <f>H63/DAY(B2)</f>
        <v>0</v>
      </c>
      <c r="K63" s="428"/>
      <c r="L63" s="377"/>
      <c r="N63" s="382">
        <v>0</v>
      </c>
    </row>
    <row r="64" spans="1:14" ht="27.75">
      <c r="A64" s="1534" t="s">
        <v>98</v>
      </c>
      <c r="B64" s="1535"/>
      <c r="C64" s="1536"/>
      <c r="D64" s="523" t="s">
        <v>186</v>
      </c>
      <c r="E64" s="514">
        <f>'8'!F64</f>
        <v>161937.67000000001</v>
      </c>
      <c r="F64" s="478">
        <v>162295</v>
      </c>
      <c r="G64" s="473">
        <f t="shared" si="5"/>
        <v>357.32999999998719</v>
      </c>
      <c r="H64" s="460">
        <f>G64+'8'!H64</f>
        <v>2363</v>
      </c>
      <c r="I64" s="480"/>
      <c r="J64" s="552">
        <f>H64/DAY(B2)</f>
        <v>262.55555555555554</v>
      </c>
      <c r="K64" s="428"/>
      <c r="L64" s="377"/>
      <c r="N64" s="382">
        <v>161.90400000000227</v>
      </c>
    </row>
    <row r="65" spans="1:14" ht="27.75">
      <c r="A65" s="1534" t="s">
        <v>99</v>
      </c>
      <c r="B65" s="1535"/>
      <c r="C65" s="1536"/>
      <c r="D65" s="523" t="s">
        <v>186</v>
      </c>
      <c r="E65" s="514">
        <f>'8'!F65</f>
        <v>162864.29999999999</v>
      </c>
      <c r="F65" s="652">
        <v>163099</v>
      </c>
      <c r="G65" s="473">
        <f t="shared" si="5"/>
        <v>234.70000000001164</v>
      </c>
      <c r="H65" s="460">
        <f>G65+'8'!H65</f>
        <v>2101</v>
      </c>
      <c r="I65" s="489"/>
      <c r="J65" s="552">
        <f>H65/DAY(B2)</f>
        <v>233.44444444444446</v>
      </c>
      <c r="K65" s="428"/>
      <c r="L65" s="377"/>
      <c r="N65" s="382">
        <v>215.74700000000303</v>
      </c>
    </row>
    <row r="66" spans="1:14" ht="27.75">
      <c r="A66" s="1534" t="s">
        <v>100</v>
      </c>
      <c r="B66" s="1535"/>
      <c r="C66" s="1536"/>
      <c r="D66" s="523" t="s">
        <v>186</v>
      </c>
      <c r="E66" s="514">
        <f>'8'!F66</f>
        <v>59389.64</v>
      </c>
      <c r="F66" s="652">
        <v>59809</v>
      </c>
      <c r="G66" s="473">
        <f t="shared" si="5"/>
        <v>419.36000000000058</v>
      </c>
      <c r="H66" s="460">
        <f>G66+'8'!H66</f>
        <v>3004</v>
      </c>
      <c r="I66" s="480"/>
      <c r="J66" s="552">
        <f>H66/DAY(B2)</f>
        <v>333.77777777777777</v>
      </c>
      <c r="K66" s="428"/>
      <c r="L66" s="377"/>
      <c r="N66" s="382">
        <v>243.63500000000204</v>
      </c>
    </row>
    <row r="67" spans="1:14" ht="27.75">
      <c r="A67" s="1534" t="s">
        <v>101</v>
      </c>
      <c r="B67" s="1535"/>
      <c r="C67" s="1536"/>
      <c r="D67" s="523" t="s">
        <v>186</v>
      </c>
      <c r="E67" s="514">
        <f>'8'!F67</f>
        <v>255301.37</v>
      </c>
      <c r="F67" s="478">
        <v>255696</v>
      </c>
      <c r="G67" s="473">
        <f t="shared" si="5"/>
        <v>394.63000000000466</v>
      </c>
      <c r="H67" s="460">
        <f>G67+'8'!H67</f>
        <v>3504</v>
      </c>
      <c r="I67" s="489"/>
      <c r="J67" s="552">
        <f>H67/DAY(B2)</f>
        <v>389.33333333333331</v>
      </c>
      <c r="K67" s="429"/>
      <c r="L67" s="377"/>
      <c r="N67" s="382">
        <v>74.99199999999837</v>
      </c>
    </row>
    <row r="68" spans="1:14" ht="27.75">
      <c r="A68" s="1534" t="s">
        <v>102</v>
      </c>
      <c r="B68" s="1535"/>
      <c r="C68" s="1536"/>
      <c r="D68" s="523" t="s">
        <v>186</v>
      </c>
      <c r="E68" s="514">
        <f>'8'!F68</f>
        <v>85321</v>
      </c>
      <c r="F68" s="478">
        <v>85321</v>
      </c>
      <c r="G68" s="473">
        <f t="shared" si="5"/>
        <v>0</v>
      </c>
      <c r="H68" s="460">
        <f>G68+'8'!H68</f>
        <v>0</v>
      </c>
      <c r="I68" s="516"/>
      <c r="J68" s="552">
        <f>H68/DAY(B2)</f>
        <v>0</v>
      </c>
      <c r="K68" s="430"/>
      <c r="L68" s="377"/>
      <c r="N68" s="382">
        <v>92.599999999999909</v>
      </c>
    </row>
    <row r="69" spans="1:14" ht="27.75">
      <c r="A69" s="1534" t="s">
        <v>103</v>
      </c>
      <c r="B69" s="1535"/>
      <c r="C69" s="1536"/>
      <c r="D69" s="523" t="s">
        <v>186</v>
      </c>
      <c r="E69" s="514">
        <f>'8'!F69</f>
        <v>82629.8</v>
      </c>
      <c r="F69" s="478">
        <v>82755</v>
      </c>
      <c r="G69" s="473">
        <f t="shared" si="5"/>
        <v>125.19999999999709</v>
      </c>
      <c r="H69" s="460">
        <f>G69+'8'!H69</f>
        <v>1006</v>
      </c>
      <c r="I69" s="516"/>
      <c r="J69" s="552">
        <f>H69/DAY(B2)</f>
        <v>111.77777777777777</v>
      </c>
      <c r="K69" s="431"/>
      <c r="L69" s="377"/>
      <c r="N69" s="382">
        <v>12.727999999999156</v>
      </c>
    </row>
    <row r="70" spans="1:14" ht="27.75">
      <c r="A70" s="1566" t="s">
        <v>188</v>
      </c>
      <c r="B70" s="1567"/>
      <c r="C70" s="1568"/>
      <c r="D70" s="523" t="s">
        <v>186</v>
      </c>
      <c r="E70" s="518"/>
      <c r="F70" s="518"/>
      <c r="G70" s="518"/>
      <c r="H70" s="460"/>
      <c r="I70" s="518"/>
      <c r="J70" s="556"/>
      <c r="K70" s="431"/>
      <c r="L70" s="377"/>
      <c r="N70" s="382"/>
    </row>
    <row r="71" spans="1:14" ht="31.5">
      <c r="A71" s="1580" t="s">
        <v>189</v>
      </c>
      <c r="B71" s="1581"/>
      <c r="C71" s="1581"/>
      <c r="D71" s="1581"/>
      <c r="E71" s="1581"/>
      <c r="F71" s="1581"/>
      <c r="G71" s="1581"/>
      <c r="H71" s="1581"/>
      <c r="I71" s="1581"/>
      <c r="J71" s="1582"/>
      <c r="K71" s="430"/>
      <c r="L71" s="377"/>
      <c r="N71" s="382"/>
    </row>
    <row r="72" spans="1:14" ht="27.75">
      <c r="A72" s="1534" t="s">
        <v>190</v>
      </c>
      <c r="B72" s="1535"/>
      <c r="C72" s="1536"/>
      <c r="D72" s="523" t="s">
        <v>186</v>
      </c>
      <c r="E72" s="519">
        <f>'8'!F72</f>
        <v>855950</v>
      </c>
      <c r="F72" s="655">
        <v>855962</v>
      </c>
      <c r="G72" s="473">
        <f t="shared" ref="G72:G84" si="6">F72-E72</f>
        <v>12</v>
      </c>
      <c r="H72" s="460">
        <f>G72+'8'!H72</f>
        <v>119</v>
      </c>
      <c r="I72" s="480"/>
      <c r="J72" s="552">
        <f>H72/DAY(B2)</f>
        <v>13.222222222222221</v>
      </c>
      <c r="K72" s="431"/>
      <c r="L72" s="377"/>
      <c r="N72" s="382">
        <v>11</v>
      </c>
    </row>
    <row r="73" spans="1:14" ht="27.75">
      <c r="A73" s="1534" t="s">
        <v>191</v>
      </c>
      <c r="B73" s="1535"/>
      <c r="C73" s="1536"/>
      <c r="D73" s="523" t="s">
        <v>186</v>
      </c>
      <c r="E73" s="519">
        <f>'8'!F73</f>
        <v>885946</v>
      </c>
      <c r="F73" s="656">
        <v>885947</v>
      </c>
      <c r="G73" s="653">
        <f t="shared" si="6"/>
        <v>1</v>
      </c>
      <c r="H73" s="460">
        <f>G73+'8'!H73</f>
        <v>10</v>
      </c>
      <c r="I73" s="480"/>
      <c r="J73" s="552">
        <f>H73/DAY(B2)</f>
        <v>1.1111111111111112</v>
      </c>
      <c r="K73" s="430"/>
      <c r="L73" s="377"/>
      <c r="N73" s="382">
        <v>2</v>
      </c>
    </row>
    <row r="74" spans="1:14" ht="27.75">
      <c r="A74" s="1534" t="s">
        <v>192</v>
      </c>
      <c r="B74" s="1535"/>
      <c r="C74" s="1536"/>
      <c r="D74" s="523" t="s">
        <v>186</v>
      </c>
      <c r="E74" s="519">
        <f>'8'!F74</f>
        <v>2599.96</v>
      </c>
      <c r="F74" s="655">
        <v>2599.96</v>
      </c>
      <c r="G74" s="473">
        <f t="shared" si="6"/>
        <v>0</v>
      </c>
      <c r="H74" s="460">
        <f>G74+'8'!H74</f>
        <v>13.960000000000036</v>
      </c>
      <c r="I74" s="480"/>
      <c r="J74" s="552">
        <f>H74/DAY(B2)</f>
        <v>1.5511111111111151</v>
      </c>
      <c r="K74" s="431"/>
      <c r="L74" s="377"/>
      <c r="N74" s="382">
        <v>11</v>
      </c>
    </row>
    <row r="75" spans="1:14" ht="27.75">
      <c r="A75" s="1583" t="s">
        <v>193</v>
      </c>
      <c r="B75" s="1584"/>
      <c r="C75" s="1585"/>
      <c r="D75" s="523" t="s">
        <v>186</v>
      </c>
      <c r="E75" s="519">
        <f>'8'!F75</f>
        <v>13172.37</v>
      </c>
      <c r="F75" s="656">
        <v>13232</v>
      </c>
      <c r="G75" s="473">
        <f t="shared" si="6"/>
        <v>59.6299999999992</v>
      </c>
      <c r="H75" s="460">
        <f>G75+'8'!H75</f>
        <v>563</v>
      </c>
      <c r="I75" s="480"/>
      <c r="J75" s="552">
        <f>H75/DAY(B2)</f>
        <v>62.555555555555557</v>
      </c>
      <c r="K75" s="430"/>
      <c r="L75" s="377"/>
      <c r="N75" s="382">
        <v>62</v>
      </c>
    </row>
    <row r="76" spans="1:14" ht="27.75">
      <c r="A76" s="1583" t="s">
        <v>194</v>
      </c>
      <c r="B76" s="1584"/>
      <c r="C76" s="1585"/>
      <c r="D76" s="523" t="s">
        <v>186</v>
      </c>
      <c r="E76" s="519">
        <f>'8'!F76</f>
        <v>7891.65</v>
      </c>
      <c r="F76" s="656">
        <v>7951</v>
      </c>
      <c r="G76" s="473">
        <f t="shared" si="6"/>
        <v>59.350000000000364</v>
      </c>
      <c r="H76" s="460">
        <f>G76+'8'!H76</f>
        <v>532</v>
      </c>
      <c r="I76" s="505"/>
      <c r="J76" s="552">
        <f>H76/DAY(B2)</f>
        <v>59.111111111111114</v>
      </c>
      <c r="K76" s="430"/>
      <c r="L76" s="377"/>
      <c r="N76" s="382">
        <v>4</v>
      </c>
    </row>
    <row r="77" spans="1:14" ht="27.75">
      <c r="A77" s="1534" t="s">
        <v>195</v>
      </c>
      <c r="B77" s="1535"/>
      <c r="C77" s="1536"/>
      <c r="D77" s="523" t="s">
        <v>186</v>
      </c>
      <c r="E77" s="519">
        <f>'8'!F77</f>
        <v>703233</v>
      </c>
      <c r="F77" s="656">
        <v>703283</v>
      </c>
      <c r="G77" s="653">
        <f t="shared" si="6"/>
        <v>50</v>
      </c>
      <c r="H77" s="460">
        <f>G77+'8'!H77</f>
        <v>444</v>
      </c>
      <c r="I77" s="505"/>
      <c r="J77" s="552">
        <f>H77/DAY(B2)</f>
        <v>49.333333333333336</v>
      </c>
      <c r="K77" s="430"/>
      <c r="L77" s="377"/>
      <c r="N77" s="382">
        <v>19</v>
      </c>
    </row>
    <row r="78" spans="1:14" ht="27.75">
      <c r="A78" s="1144" t="s">
        <v>196</v>
      </c>
      <c r="B78" s="1117"/>
      <c r="C78" s="1117"/>
      <c r="D78" s="523" t="s">
        <v>186</v>
      </c>
      <c r="E78" s="519">
        <f>'8'!F78</f>
        <v>673702</v>
      </c>
      <c r="F78" s="657">
        <v>673755</v>
      </c>
      <c r="G78" s="473">
        <f t="shared" si="6"/>
        <v>53</v>
      </c>
      <c r="H78" s="460">
        <f>G78+'8'!H78</f>
        <v>723</v>
      </c>
      <c r="I78" s="505"/>
      <c r="J78" s="552">
        <f>H78/DAY(B2)</f>
        <v>80.333333333333329</v>
      </c>
      <c r="K78" s="430"/>
      <c r="L78" s="377"/>
      <c r="N78" s="382">
        <v>31</v>
      </c>
    </row>
    <row r="79" spans="1:14" ht="27.75">
      <c r="A79" s="1583" t="s">
        <v>91</v>
      </c>
      <c r="B79" s="1584"/>
      <c r="C79" s="1585"/>
      <c r="D79" s="524" t="s">
        <v>186</v>
      </c>
      <c r="E79" s="519">
        <f>'8'!F79</f>
        <v>832222</v>
      </c>
      <c r="F79" s="657">
        <v>832369</v>
      </c>
      <c r="G79" s="473">
        <f t="shared" si="6"/>
        <v>147</v>
      </c>
      <c r="H79" s="460">
        <f>G79+'8'!H79</f>
        <v>1359</v>
      </c>
      <c r="I79" s="505"/>
      <c r="J79" s="552">
        <f>H79/DAY(B2)</f>
        <v>151</v>
      </c>
      <c r="K79" s="430"/>
      <c r="L79" s="377"/>
      <c r="N79" s="382">
        <v>100</v>
      </c>
    </row>
    <row r="80" spans="1:14" ht="27.75">
      <c r="A80" s="1583" t="s">
        <v>197</v>
      </c>
      <c r="B80" s="1584"/>
      <c r="C80" s="1585"/>
      <c r="D80" s="524" t="s">
        <v>186</v>
      </c>
      <c r="E80" s="519">
        <f>'8'!F80</f>
        <v>530677</v>
      </c>
      <c r="F80" s="1312">
        <v>530999</v>
      </c>
      <c r="G80" s="473">
        <f t="shared" si="6"/>
        <v>322</v>
      </c>
      <c r="H80" s="460">
        <f>G80+'8'!H80</f>
        <v>3341</v>
      </c>
      <c r="I80" s="505"/>
      <c r="J80" s="552">
        <f>H80/DAY(B2)</f>
        <v>371.22222222222223</v>
      </c>
      <c r="K80" s="430"/>
      <c r="L80" s="377"/>
      <c r="N80" s="382">
        <v>158.95999999996275</v>
      </c>
    </row>
    <row r="81" spans="1:15" ht="27.75">
      <c r="A81" s="1583" t="s">
        <v>198</v>
      </c>
      <c r="B81" s="1584"/>
      <c r="C81" s="1585"/>
      <c r="D81" s="524" t="s">
        <v>186</v>
      </c>
      <c r="E81" s="519">
        <f>'8'!F81</f>
        <v>639722</v>
      </c>
      <c r="F81" s="656">
        <v>639898</v>
      </c>
      <c r="G81" s="473">
        <f t="shared" si="6"/>
        <v>176</v>
      </c>
      <c r="H81" s="460">
        <f>G81+'8'!H81</f>
        <v>1000</v>
      </c>
      <c r="I81" s="505"/>
      <c r="J81" s="552">
        <f>H81/DAY(B2)</f>
        <v>111.11111111111111</v>
      </c>
      <c r="K81" s="430"/>
      <c r="L81" s="377"/>
      <c r="N81" s="382">
        <v>79.199999999953434</v>
      </c>
    </row>
    <row r="82" spans="1:15" ht="27.75">
      <c r="A82" s="1583" t="s">
        <v>92</v>
      </c>
      <c r="B82" s="1584"/>
      <c r="C82" s="1585"/>
      <c r="D82" s="485" t="s">
        <v>131</v>
      </c>
      <c r="E82" s="519">
        <f>'8'!F82</f>
        <v>108289.60000000001</v>
      </c>
      <c r="F82" s="652">
        <v>108300</v>
      </c>
      <c r="G82" s="473">
        <f t="shared" si="6"/>
        <v>10.399999999994179</v>
      </c>
      <c r="H82" s="460">
        <f>G82+'8'!H82</f>
        <v>142</v>
      </c>
      <c r="I82" s="486"/>
      <c r="J82" s="552">
        <f>H82/DAY(B2)</f>
        <v>15.777777777777779</v>
      </c>
      <c r="K82" s="430"/>
      <c r="L82" s="377"/>
      <c r="N82" s="382">
        <v>30.149999999994179</v>
      </c>
    </row>
    <row r="83" spans="1:15" ht="27.75">
      <c r="A83" s="1583" t="s">
        <v>199</v>
      </c>
      <c r="B83" s="1584"/>
      <c r="C83" s="1585"/>
      <c r="D83" s="620" t="s">
        <v>131</v>
      </c>
      <c r="E83" s="519">
        <f>'8'!F83</f>
        <v>22103</v>
      </c>
      <c r="F83" s="511">
        <v>22278</v>
      </c>
      <c r="G83" s="473">
        <f t="shared" si="6"/>
        <v>175</v>
      </c>
      <c r="H83" s="460">
        <f>G83+'8'!H83</f>
        <v>1772</v>
      </c>
      <c r="I83" s="481"/>
      <c r="J83" s="552">
        <f>H83/DAY(B2)</f>
        <v>196.88888888888889</v>
      </c>
      <c r="K83" s="429"/>
      <c r="L83" s="377"/>
      <c r="N83" s="382">
        <v>316</v>
      </c>
    </row>
    <row r="84" spans="1:15">
      <c r="A84" s="1145" t="s">
        <v>200</v>
      </c>
      <c r="B84" s="571"/>
      <c r="C84" s="571"/>
      <c r="D84" s="478" t="s">
        <v>131</v>
      </c>
      <c r="E84" s="519">
        <f>'8'!F84</f>
        <v>506742</v>
      </c>
      <c r="F84" s="627">
        <v>507300</v>
      </c>
      <c r="G84" s="473">
        <f t="shared" si="6"/>
        <v>558</v>
      </c>
      <c r="H84" s="460">
        <f>G84+'8'!H84</f>
        <v>7006</v>
      </c>
      <c r="I84" s="481"/>
      <c r="J84" s="552">
        <f>H84/DAY(B2)</f>
        <v>778.44444444444446</v>
      </c>
      <c r="K84" s="380"/>
      <c r="L84" s="377"/>
      <c r="N84" s="382">
        <v>408</v>
      </c>
    </row>
    <row r="85" spans="1:15" s="379" customFormat="1">
      <c r="A85" s="605" t="s">
        <v>201</v>
      </c>
      <c r="B85" s="572"/>
      <c r="C85" s="572"/>
      <c r="D85" s="489"/>
      <c r="E85" s="523"/>
      <c r="F85" s="523"/>
      <c r="G85" s="460">
        <f xml:space="preserve"> SUM(G71:G84)</f>
        <v>1623.3799999999937</v>
      </c>
      <c r="H85" s="460">
        <f>G85+'8'!H85</f>
        <v>17024.96</v>
      </c>
      <c r="I85" s="481"/>
      <c r="J85" s="552">
        <f>H85/DAY(B2)</f>
        <v>1891.6622222222222</v>
      </c>
      <c r="K85" s="380"/>
      <c r="L85" s="378"/>
      <c r="N85" s="382">
        <v>1232.3099999999104</v>
      </c>
    </row>
    <row r="86" spans="1:15" s="736" customFormat="1">
      <c r="A86" s="731" t="s">
        <v>93</v>
      </c>
      <c r="B86" s="732"/>
      <c r="C86" s="732"/>
      <c r="D86" s="733" t="s">
        <v>182</v>
      </c>
      <c r="E86" s="627">
        <f>'8'!F86</f>
        <v>461187</v>
      </c>
      <c r="F86" s="639">
        <v>461219</v>
      </c>
      <c r="G86" s="706">
        <f t="shared" ref="G86:G91" si="7">F86-E86</f>
        <v>32</v>
      </c>
      <c r="H86" s="460">
        <f>G86+'8'!H86</f>
        <v>65</v>
      </c>
      <c r="I86" s="653"/>
      <c r="J86" s="708">
        <f>H86/DAY(B2)</f>
        <v>7.2222222222222223</v>
      </c>
      <c r="K86" s="734"/>
      <c r="L86" s="735"/>
      <c r="O86" s="714"/>
    </row>
    <row r="87" spans="1:15" s="736" customFormat="1">
      <c r="A87" s="731" t="s">
        <v>94</v>
      </c>
      <c r="B87" s="732"/>
      <c r="C87" s="732"/>
      <c r="D87" s="733" t="s">
        <v>182</v>
      </c>
      <c r="E87" s="627">
        <f>'8'!F87</f>
        <v>81539.8</v>
      </c>
      <c r="F87" s="648">
        <v>81557</v>
      </c>
      <c r="G87" s="706">
        <f t="shared" si="7"/>
        <v>17.19999999999709</v>
      </c>
      <c r="H87" s="460">
        <f>G87+'8'!H87</f>
        <v>52.19999999999709</v>
      </c>
      <c r="I87" s="653"/>
      <c r="J87" s="708">
        <f>H87/DAY(B2)</f>
        <v>5.7999999999996765</v>
      </c>
      <c r="K87" s="734"/>
      <c r="L87" s="735"/>
      <c r="O87" s="714"/>
    </row>
    <row r="88" spans="1:15" s="736" customFormat="1">
      <c r="A88" s="731" t="s">
        <v>95</v>
      </c>
      <c r="B88" s="732"/>
      <c r="C88" s="732"/>
      <c r="D88" s="733" t="s">
        <v>182</v>
      </c>
      <c r="E88" s="627">
        <f>'8'!F88</f>
        <v>153406</v>
      </c>
      <c r="F88" s="639">
        <v>153439</v>
      </c>
      <c r="G88" s="706">
        <f t="shared" si="7"/>
        <v>33</v>
      </c>
      <c r="H88" s="460">
        <f>G88+'8'!H88</f>
        <v>59</v>
      </c>
      <c r="I88" s="653"/>
      <c r="J88" s="708">
        <f>H88/DAY(B2)</f>
        <v>6.5555555555555554</v>
      </c>
      <c r="K88" s="734"/>
      <c r="L88" s="735"/>
      <c r="O88" s="714"/>
    </row>
    <row r="89" spans="1:15" s="736" customFormat="1">
      <c r="A89" s="731" t="s">
        <v>203</v>
      </c>
      <c r="B89" s="732"/>
      <c r="C89" s="732"/>
      <c r="D89" s="733" t="s">
        <v>182</v>
      </c>
      <c r="E89" s="627">
        <f>'8'!F89</f>
        <v>65302.400000000001</v>
      </c>
      <c r="F89" s="648">
        <v>65319</v>
      </c>
      <c r="G89" s="706">
        <f t="shared" si="7"/>
        <v>16.599999999998545</v>
      </c>
      <c r="H89" s="460">
        <f>G89+'8'!H89</f>
        <v>34.400000000001455</v>
      </c>
      <c r="I89" s="653"/>
      <c r="J89" s="708">
        <f>H89/DAY(B2)</f>
        <v>3.8222222222223841</v>
      </c>
      <c r="K89" s="734"/>
      <c r="L89" s="735"/>
      <c r="N89" s="778"/>
      <c r="O89" s="382"/>
    </row>
    <row r="90" spans="1:15" s="736" customFormat="1">
      <c r="A90" s="731" t="s">
        <v>203</v>
      </c>
      <c r="B90" s="732"/>
      <c r="C90" s="732"/>
      <c r="D90" s="733" t="s">
        <v>182</v>
      </c>
      <c r="E90" s="627">
        <f>'8'!F90</f>
        <v>3280.3</v>
      </c>
      <c r="F90" s="648">
        <v>3283</v>
      </c>
      <c r="G90" s="706">
        <f t="shared" si="7"/>
        <v>2.6999999999998181</v>
      </c>
      <c r="H90" s="460">
        <f>G90+'8'!H90</f>
        <v>5.5999999999999091</v>
      </c>
      <c r="I90" s="653"/>
      <c r="J90" s="708">
        <f>H90/DAY(B2)</f>
        <v>0.62222222222221213</v>
      </c>
      <c r="K90" s="734"/>
      <c r="L90" s="735"/>
      <c r="N90" s="778"/>
      <c r="O90" s="382"/>
    </row>
    <row r="91" spans="1:15" s="736" customFormat="1">
      <c r="A91" s="731" t="s">
        <v>350</v>
      </c>
      <c r="B91" s="732"/>
      <c r="C91" s="732"/>
      <c r="D91" s="733" t="s">
        <v>131</v>
      </c>
      <c r="E91" s="627">
        <f>'8'!F91</f>
        <v>28085.82</v>
      </c>
      <c r="F91" s="648">
        <v>28091</v>
      </c>
      <c r="G91" s="706">
        <f t="shared" si="7"/>
        <v>5.180000000000291</v>
      </c>
      <c r="H91" s="460">
        <f>G91+'8'!H91</f>
        <v>15</v>
      </c>
      <c r="I91" s="653"/>
      <c r="J91" s="708">
        <f>H91/DAY(B2)</f>
        <v>1.6666666666666667</v>
      </c>
      <c r="K91" s="734"/>
      <c r="L91" s="735"/>
      <c r="N91" s="778"/>
      <c r="O91" s="382"/>
    </row>
    <row r="92" spans="1:15" s="379" customFormat="1">
      <c r="A92" s="606" t="s">
        <v>204</v>
      </c>
      <c r="B92" s="1147"/>
      <c r="C92" s="1147"/>
      <c r="D92" s="472"/>
      <c r="E92" s="472"/>
      <c r="F92" s="472"/>
      <c r="G92" s="488"/>
      <c r="H92" s="472"/>
      <c r="I92" s="472"/>
      <c r="J92" s="551"/>
      <c r="K92" s="380"/>
      <c r="L92" s="378"/>
      <c r="N92" s="382"/>
    </row>
    <row r="93" spans="1:15" ht="27.75">
      <c r="A93" s="1537" t="s">
        <v>205</v>
      </c>
      <c r="B93" s="1538"/>
      <c r="C93" s="1539"/>
      <c r="D93" s="523" t="s">
        <v>143</v>
      </c>
      <c r="E93" s="484">
        <f>'8'!F93</f>
        <v>245842</v>
      </c>
      <c r="F93" s="478">
        <v>245842</v>
      </c>
      <c r="G93" s="473">
        <f t="shared" ref="G93:G94" si="8">F93-E93</f>
        <v>0</v>
      </c>
      <c r="H93" s="460">
        <f>G93+'8'!H93</f>
        <v>354</v>
      </c>
      <c r="I93" s="480"/>
      <c r="J93" s="552">
        <f>H93/DAY(B2)</f>
        <v>39.333333333333336</v>
      </c>
      <c r="K93" s="429"/>
      <c r="L93" s="377"/>
      <c r="N93" s="382">
        <v>0</v>
      </c>
    </row>
    <row r="94" spans="1:15" ht="27.75">
      <c r="A94" s="1537" t="s">
        <v>206</v>
      </c>
      <c r="B94" s="1538"/>
      <c r="C94" s="1539"/>
      <c r="D94" s="523" t="s">
        <v>143</v>
      </c>
      <c r="E94" s="484">
        <f>'8'!F94</f>
        <v>186820</v>
      </c>
      <c r="F94" s="478">
        <v>186904</v>
      </c>
      <c r="G94" s="473">
        <f t="shared" si="8"/>
        <v>84</v>
      </c>
      <c r="H94" s="460">
        <f>G94+'8'!H94</f>
        <v>783</v>
      </c>
      <c r="I94" s="480"/>
      <c r="J94" s="552">
        <f>H94/DAY(B2)</f>
        <v>87</v>
      </c>
      <c r="K94" s="380"/>
      <c r="L94" s="377"/>
      <c r="N94" s="382">
        <v>71</v>
      </c>
    </row>
    <row r="95" spans="1:15">
      <c r="A95" s="1531" t="s">
        <v>207</v>
      </c>
      <c r="B95" s="1532"/>
      <c r="C95" s="1533"/>
      <c r="D95" s="523"/>
      <c r="E95" s="484">
        <f>'8'!F95</f>
        <v>0</v>
      </c>
      <c r="F95" s="478"/>
      <c r="G95" s="473">
        <f>G93+G94</f>
        <v>84</v>
      </c>
      <c r="H95" s="460">
        <f>G95+'8'!H95</f>
        <v>1061</v>
      </c>
      <c r="I95" s="480"/>
      <c r="J95" s="552">
        <f>H95/DAY(B2)</f>
        <v>117.88888888888889</v>
      </c>
      <c r="K95" s="380"/>
      <c r="L95" s="377"/>
      <c r="N95" s="382">
        <v>71</v>
      </c>
    </row>
    <row r="96" spans="1:15" ht="27.75">
      <c r="A96" s="1537" t="s">
        <v>208</v>
      </c>
      <c r="B96" s="1538"/>
      <c r="C96" s="1539"/>
      <c r="D96" s="523" t="s">
        <v>143</v>
      </c>
      <c r="E96" s="484">
        <f>'8'!F96</f>
        <v>414681</v>
      </c>
      <c r="F96" s="478">
        <v>414705</v>
      </c>
      <c r="G96" s="473">
        <f t="shared" ref="G96:G101" si="9">F96-E96</f>
        <v>24</v>
      </c>
      <c r="H96" s="460">
        <f>G96+'8'!H96</f>
        <v>422</v>
      </c>
      <c r="I96" s="480"/>
      <c r="J96" s="552">
        <f>H96/DAY(B2)</f>
        <v>46.888888888888886</v>
      </c>
      <c r="K96" s="380"/>
      <c r="L96" s="377"/>
      <c r="N96" s="382">
        <v>26</v>
      </c>
    </row>
    <row r="97" spans="1:14" ht="27.75">
      <c r="A97" s="1141" t="s">
        <v>209</v>
      </c>
      <c r="B97" s="1142"/>
      <c r="C97" s="1142"/>
      <c r="D97" s="523" t="s">
        <v>143</v>
      </c>
      <c r="E97" s="484">
        <f>'8'!F97</f>
        <v>102740</v>
      </c>
      <c r="F97" s="478">
        <v>102750</v>
      </c>
      <c r="G97" s="473">
        <f t="shared" si="9"/>
        <v>10</v>
      </c>
      <c r="H97" s="460">
        <f>G97+'8'!H97</f>
        <v>102</v>
      </c>
      <c r="I97" s="480"/>
      <c r="J97" s="552">
        <f>H97/DAY(B2)</f>
        <v>11.333333333333334</v>
      </c>
      <c r="K97" s="427"/>
      <c r="L97" s="377"/>
      <c r="N97" s="382">
        <v>11</v>
      </c>
    </row>
    <row r="98" spans="1:14" ht="27.75">
      <c r="A98" s="1141" t="s">
        <v>210</v>
      </c>
      <c r="B98" s="1142"/>
      <c r="C98" s="1142"/>
      <c r="D98" s="523" t="s">
        <v>143</v>
      </c>
      <c r="E98" s="484">
        <f>'8'!F98</f>
        <v>98094</v>
      </c>
      <c r="F98" s="478">
        <v>98109</v>
      </c>
      <c r="G98" s="473">
        <f t="shared" si="9"/>
        <v>15</v>
      </c>
      <c r="H98" s="460">
        <f>G98+'8'!H98</f>
        <v>159</v>
      </c>
      <c r="I98" s="480"/>
      <c r="J98" s="552">
        <f>H98/DAY(B2)</f>
        <v>17.666666666666668</v>
      </c>
      <c r="K98" s="432"/>
      <c r="L98" s="377"/>
      <c r="N98" s="382">
        <v>9</v>
      </c>
    </row>
    <row r="99" spans="1:14" ht="27.75">
      <c r="A99" s="1141" t="s">
        <v>211</v>
      </c>
      <c r="B99" s="1142"/>
      <c r="C99" s="1142"/>
      <c r="D99" s="523" t="s">
        <v>143</v>
      </c>
      <c r="E99" s="484">
        <f>'8'!F99</f>
        <v>149910</v>
      </c>
      <c r="F99" s="478">
        <v>149914</v>
      </c>
      <c r="G99" s="473">
        <f t="shared" si="9"/>
        <v>4</v>
      </c>
      <c r="H99" s="460">
        <f>G99+'8'!H99</f>
        <v>62</v>
      </c>
      <c r="I99" s="480"/>
      <c r="J99" s="552">
        <f>H99/DAY(B2)</f>
        <v>6.8888888888888893</v>
      </c>
      <c r="K99" s="380"/>
      <c r="L99" s="377"/>
      <c r="N99" s="705">
        <v>24</v>
      </c>
    </row>
    <row r="100" spans="1:14" ht="27.75">
      <c r="A100" s="1141" t="s">
        <v>212</v>
      </c>
      <c r="B100" s="1142"/>
      <c r="C100" s="1142"/>
      <c r="D100" s="523" t="s">
        <v>143</v>
      </c>
      <c r="E100" s="484">
        <f>'8'!F100</f>
        <v>7491</v>
      </c>
      <c r="F100" s="478">
        <v>7494</v>
      </c>
      <c r="G100" s="473">
        <f t="shared" si="9"/>
        <v>3</v>
      </c>
      <c r="H100" s="460">
        <f>G100+'8'!H100</f>
        <v>125</v>
      </c>
      <c r="I100" s="480"/>
      <c r="J100" s="552">
        <f>H100/DAY(B2)</f>
        <v>13.888888888888889</v>
      </c>
      <c r="K100" s="380"/>
      <c r="L100" s="377"/>
      <c r="N100" s="382">
        <v>3</v>
      </c>
    </row>
    <row r="101" spans="1:14" ht="27.75">
      <c r="A101" s="1141" t="s">
        <v>213</v>
      </c>
      <c r="B101" s="1142"/>
      <c r="C101" s="1142"/>
      <c r="D101" s="523" t="s">
        <v>143</v>
      </c>
      <c r="E101" s="484">
        <f>'8'!F101</f>
        <v>5442</v>
      </c>
      <c r="F101" s="478">
        <v>5446</v>
      </c>
      <c r="G101" s="473">
        <f t="shared" si="9"/>
        <v>4</v>
      </c>
      <c r="H101" s="460">
        <f>G101+'8'!H101</f>
        <v>55</v>
      </c>
      <c r="I101" s="480"/>
      <c r="J101" s="552">
        <f>H101/DAY(B2)</f>
        <v>6.1111111111111107</v>
      </c>
      <c r="K101" s="380"/>
      <c r="L101" s="377"/>
      <c r="N101" s="382">
        <v>0</v>
      </c>
    </row>
    <row r="102" spans="1:14">
      <c r="A102" s="1531" t="s">
        <v>215</v>
      </c>
      <c r="B102" s="1532"/>
      <c r="C102" s="1533"/>
      <c r="D102" s="524"/>
      <c r="E102" s="484"/>
      <c r="F102" s="524"/>
      <c r="G102" s="525">
        <f>SUM(G96:G101)</f>
        <v>60</v>
      </c>
      <c r="H102" s="460">
        <f>G102+'8'!H102</f>
        <v>925</v>
      </c>
      <c r="I102" s="526"/>
      <c r="J102" s="552">
        <f>H102/DAY(B2)</f>
        <v>102.77777777777777</v>
      </c>
      <c r="K102" s="380"/>
      <c r="L102" s="377"/>
      <c r="N102" s="382">
        <v>73</v>
      </c>
    </row>
    <row r="103" spans="1:14" s="442" customFormat="1" ht="27">
      <c r="A103" s="607" t="s">
        <v>216</v>
      </c>
      <c r="B103" s="608"/>
      <c r="C103" s="608"/>
      <c r="D103" s="621"/>
      <c r="E103" s="484"/>
      <c r="F103" s="658"/>
      <c r="G103" s="529"/>
      <c r="H103" s="530"/>
      <c r="I103" s="531"/>
      <c r="J103" s="557"/>
      <c r="N103" s="382"/>
    </row>
    <row r="104" spans="1:14" s="442" customFormat="1" ht="27.75">
      <c r="A104" s="1540" t="s">
        <v>217</v>
      </c>
      <c r="B104" s="1541"/>
      <c r="C104" s="573"/>
      <c r="D104" s="622"/>
      <c r="E104" s="484"/>
      <c r="F104" s="659"/>
      <c r="G104" s="532"/>
      <c r="H104" s="533"/>
      <c r="I104" s="532"/>
      <c r="J104" s="558"/>
      <c r="N104" s="382"/>
    </row>
    <row r="105" spans="1:14" s="442" customFormat="1" ht="27.75">
      <c r="A105" s="1542" t="s">
        <v>218</v>
      </c>
      <c r="B105" s="1543"/>
      <c r="C105" s="1140"/>
      <c r="D105" s="622" t="s">
        <v>143</v>
      </c>
      <c r="E105" s="484">
        <f>'8'!F105</f>
        <v>7484</v>
      </c>
      <c r="F105" s="659">
        <v>7484</v>
      </c>
      <c r="G105" s="532">
        <f>F105-E105</f>
        <v>0</v>
      </c>
      <c r="H105" s="460">
        <f>G105+'8'!H105</f>
        <v>0</v>
      </c>
      <c r="I105" s="532"/>
      <c r="J105" s="558">
        <f>H105/DAY(B2)</f>
        <v>0</v>
      </c>
      <c r="N105" s="382">
        <v>0</v>
      </c>
    </row>
    <row r="106" spans="1:14" s="442" customFormat="1" ht="27.75">
      <c r="A106" s="1542" t="s">
        <v>76</v>
      </c>
      <c r="B106" s="1543"/>
      <c r="C106" s="1140"/>
      <c r="D106" s="622" t="s">
        <v>143</v>
      </c>
      <c r="E106" s="484">
        <f>'8'!F106</f>
        <v>35989</v>
      </c>
      <c r="F106" s="660">
        <v>35989</v>
      </c>
      <c r="G106" s="532">
        <f t="shared" ref="G106:G107" si="10">F106-E106</f>
        <v>0</v>
      </c>
      <c r="H106" s="460">
        <f>G106+'8'!H106</f>
        <v>36</v>
      </c>
      <c r="I106" s="532"/>
      <c r="J106" s="558">
        <f>H106/DAY(B2)</f>
        <v>4</v>
      </c>
      <c r="N106" s="382">
        <v>0</v>
      </c>
    </row>
    <row r="107" spans="1:14" s="442" customFormat="1" ht="27.75">
      <c r="A107" s="1542" t="s">
        <v>77</v>
      </c>
      <c r="B107" s="1544"/>
      <c r="C107" s="1543"/>
      <c r="D107" s="622" t="s">
        <v>143</v>
      </c>
      <c r="E107" s="484">
        <f>'8'!F107</f>
        <v>19732</v>
      </c>
      <c r="F107" s="784">
        <v>19732</v>
      </c>
      <c r="G107" s="532">
        <f t="shared" si="10"/>
        <v>0</v>
      </c>
      <c r="H107" s="460">
        <f>G107+'8'!H107</f>
        <v>24</v>
      </c>
      <c r="I107" s="532"/>
      <c r="J107" s="558">
        <f>H107/DAY(B2)</f>
        <v>2.6666666666666665</v>
      </c>
      <c r="N107" s="382">
        <v>4</v>
      </c>
    </row>
    <row r="108" spans="1:14" s="442" customFormat="1" ht="27.75">
      <c r="A108" s="1545" t="s">
        <v>201</v>
      </c>
      <c r="B108" s="1546"/>
      <c r="C108" s="1140"/>
      <c r="D108" s="622"/>
      <c r="E108" s="484"/>
      <c r="F108" s="660"/>
      <c r="G108" s="532">
        <f>SUM(G105:G107)</f>
        <v>0</v>
      </c>
      <c r="H108" s="460">
        <f>G108+'8'!H108</f>
        <v>60</v>
      </c>
      <c r="I108" s="532"/>
      <c r="J108" s="558">
        <f>H108/DAY(B2)</f>
        <v>6.666666666666667</v>
      </c>
      <c r="N108" s="382">
        <v>4</v>
      </c>
    </row>
    <row r="109" spans="1:14" s="442" customFormat="1" ht="27.75">
      <c r="A109" s="1547" t="s">
        <v>78</v>
      </c>
      <c r="B109" s="1548"/>
      <c r="C109" s="1140"/>
      <c r="D109" s="622" t="s">
        <v>143</v>
      </c>
      <c r="E109" s="484">
        <f>'8'!F109</f>
        <v>0</v>
      </c>
      <c r="F109" s="660"/>
      <c r="G109" s="532"/>
      <c r="H109" s="460">
        <f>G109+'8'!H109</f>
        <v>0</v>
      </c>
      <c r="I109" s="532"/>
      <c r="J109" s="558"/>
      <c r="N109" s="382"/>
    </row>
    <row r="110" spans="1:14" s="442" customFormat="1" ht="27.75">
      <c r="A110" s="1542" t="s">
        <v>219</v>
      </c>
      <c r="B110" s="1543"/>
      <c r="C110" s="1140"/>
      <c r="D110" s="622" t="s">
        <v>143</v>
      </c>
      <c r="E110" s="484">
        <f>'8'!F110</f>
        <v>63350</v>
      </c>
      <c r="F110" s="660">
        <v>63427</v>
      </c>
      <c r="G110" s="532">
        <f>F110-E110</f>
        <v>77</v>
      </c>
      <c r="H110" s="460">
        <f>G110+'8'!H110</f>
        <v>593</v>
      </c>
      <c r="I110" s="532"/>
      <c r="J110" s="558">
        <f>H110/DAY(B2)</f>
        <v>65.888888888888886</v>
      </c>
      <c r="N110" s="382">
        <v>40</v>
      </c>
    </row>
    <row r="111" spans="1:14" s="442" customFormat="1" ht="27.75">
      <c r="A111" s="1542" t="s">
        <v>220</v>
      </c>
      <c r="B111" s="1543"/>
      <c r="C111" s="1140"/>
      <c r="D111" s="622" t="s">
        <v>143</v>
      </c>
      <c r="E111" s="484">
        <f>'8'!F111</f>
        <v>32632</v>
      </c>
      <c r="F111" s="660">
        <v>32632</v>
      </c>
      <c r="G111" s="532">
        <f t="shared" ref="G111:G112" si="11">F111-E111</f>
        <v>0</v>
      </c>
      <c r="H111" s="460">
        <f>G111+'8'!H111</f>
        <v>54</v>
      </c>
      <c r="I111" s="532"/>
      <c r="J111" s="558">
        <f>H111/DAY(B2)</f>
        <v>6</v>
      </c>
      <c r="N111" s="382">
        <v>43</v>
      </c>
    </row>
    <row r="112" spans="1:14" s="442" customFormat="1" ht="27.75">
      <c r="A112" s="1542" t="s">
        <v>221</v>
      </c>
      <c r="B112" s="1543"/>
      <c r="C112" s="1140"/>
      <c r="D112" s="622" t="s">
        <v>143</v>
      </c>
      <c r="E112" s="484">
        <f>'8'!F112</f>
        <v>4621</v>
      </c>
      <c r="F112" s="660">
        <v>4621</v>
      </c>
      <c r="G112" s="532">
        <f t="shared" si="11"/>
        <v>0</v>
      </c>
      <c r="H112" s="460">
        <f>G112+'8'!H112</f>
        <v>45</v>
      </c>
      <c r="I112" s="532"/>
      <c r="J112" s="558">
        <f>H112/DAY(B2)</f>
        <v>5</v>
      </c>
      <c r="N112" s="382">
        <v>0</v>
      </c>
    </row>
    <row r="113" spans="1:14" s="442" customFormat="1" ht="27.75">
      <c r="A113" s="1545" t="s">
        <v>109</v>
      </c>
      <c r="B113" s="1546"/>
      <c r="C113" s="1140"/>
      <c r="D113" s="622"/>
      <c r="E113" s="484"/>
      <c r="F113" s="660"/>
      <c r="G113" s="532">
        <f>SUM(G110:G112)</f>
        <v>77</v>
      </c>
      <c r="H113" s="460">
        <f>G113+'8'!H113</f>
        <v>692</v>
      </c>
      <c r="I113" s="532"/>
      <c r="J113" s="558">
        <f>H113/DAY(B2)</f>
        <v>76.888888888888886</v>
      </c>
      <c r="N113" s="382">
        <v>83</v>
      </c>
    </row>
    <row r="114" spans="1:14" s="442" customFormat="1" ht="27.75">
      <c r="A114" s="1547" t="s">
        <v>222</v>
      </c>
      <c r="B114" s="1548"/>
      <c r="C114" s="1140"/>
      <c r="D114" s="622"/>
      <c r="E114" s="484"/>
      <c r="F114" s="660"/>
      <c r="G114" s="532"/>
      <c r="H114" s="460">
        <f>G114+'8'!H114</f>
        <v>0</v>
      </c>
      <c r="I114" s="532"/>
      <c r="J114" s="558">
        <f>H114/DAY(B2)</f>
        <v>0</v>
      </c>
      <c r="N114" s="382"/>
    </row>
    <row r="115" spans="1:14" s="442" customFormat="1" ht="27.75">
      <c r="A115" s="1542" t="s">
        <v>223</v>
      </c>
      <c r="B115" s="1543"/>
      <c r="C115" s="574"/>
      <c r="D115" s="622" t="s">
        <v>143</v>
      </c>
      <c r="E115" s="484">
        <f>'8'!F115</f>
        <v>11647</v>
      </c>
      <c r="F115" s="660">
        <v>11651</v>
      </c>
      <c r="G115" s="534">
        <f>F115-E115</f>
        <v>4</v>
      </c>
      <c r="H115" s="460">
        <f>G115+'8'!H115</f>
        <v>154</v>
      </c>
      <c r="I115" s="532"/>
      <c r="J115" s="558">
        <f>H115/DAY(B2)</f>
        <v>17.111111111111111</v>
      </c>
      <c r="N115" s="382">
        <v>5</v>
      </c>
    </row>
    <row r="116" spans="1:14" s="442" customFormat="1" ht="27.75">
      <c r="A116" s="1542" t="s">
        <v>224</v>
      </c>
      <c r="B116" s="1543"/>
      <c r="C116" s="574"/>
      <c r="D116" s="622" t="s">
        <v>143</v>
      </c>
      <c r="E116" s="484">
        <f>'8'!F116</f>
        <v>8362</v>
      </c>
      <c r="F116" s="660">
        <v>8366</v>
      </c>
      <c r="G116" s="534">
        <f t="shared" ref="G116:G117" si="12">F116-E116</f>
        <v>4</v>
      </c>
      <c r="H116" s="460">
        <f>G116+'8'!H116</f>
        <v>54</v>
      </c>
      <c r="I116" s="532"/>
      <c r="J116" s="558">
        <f>H116/DAY(B2)</f>
        <v>6</v>
      </c>
      <c r="N116" s="382">
        <v>3</v>
      </c>
    </row>
    <row r="117" spans="1:14" s="442" customFormat="1" ht="27.75">
      <c r="A117" s="1542" t="s">
        <v>225</v>
      </c>
      <c r="B117" s="1543"/>
      <c r="C117" s="574"/>
      <c r="D117" s="622" t="s">
        <v>143</v>
      </c>
      <c r="E117" s="534"/>
      <c r="F117" s="660"/>
      <c r="G117" s="534">
        <f t="shared" si="12"/>
        <v>0</v>
      </c>
      <c r="H117" s="460">
        <f>G117+'8'!H117</f>
        <v>0</v>
      </c>
      <c r="I117" s="532"/>
      <c r="J117" s="558">
        <f>H117/DAY(B2)</f>
        <v>0</v>
      </c>
      <c r="N117" s="382">
        <v>0</v>
      </c>
    </row>
    <row r="118" spans="1:14" s="445" customFormat="1" ht="27.75">
      <c r="A118" s="1545" t="s">
        <v>201</v>
      </c>
      <c r="B118" s="1546"/>
      <c r="C118" s="574"/>
      <c r="D118" s="623"/>
      <c r="E118" s="534"/>
      <c r="F118" s="660"/>
      <c r="G118" s="534">
        <f>SUM(G115:G117)</f>
        <v>8</v>
      </c>
      <c r="H118" s="460">
        <f>G118+'8'!H118</f>
        <v>208</v>
      </c>
      <c r="I118" s="534"/>
      <c r="J118" s="558">
        <f>H118/DAY(B2)</f>
        <v>23.111111111111111</v>
      </c>
      <c r="N118" s="382">
        <v>8</v>
      </c>
    </row>
    <row r="119" spans="1:14" s="446" customFormat="1" ht="27.75">
      <c r="A119" s="1576" t="s">
        <v>226</v>
      </c>
      <c r="B119" s="1577"/>
      <c r="C119" s="1138"/>
      <c r="D119" s="624" t="s">
        <v>143</v>
      </c>
      <c r="E119" s="536"/>
      <c r="F119" s="661">
        <f>SUM(G19+G93)</f>
        <v>78</v>
      </c>
      <c r="G119" s="536">
        <f>SUM(G19+G93)</f>
        <v>78</v>
      </c>
      <c r="H119" s="460">
        <f>G119+'8'!H119</f>
        <v>916</v>
      </c>
      <c r="I119" s="535"/>
      <c r="J119" s="559">
        <f>H119/DAY(B2)</f>
        <v>101.77777777777777</v>
      </c>
      <c r="N119" s="382">
        <v>55</v>
      </c>
    </row>
    <row r="120" spans="1:14" s="446" customFormat="1" ht="27.75">
      <c r="A120" s="1576" t="s">
        <v>227</v>
      </c>
      <c r="B120" s="1577"/>
      <c r="C120" s="1138"/>
      <c r="D120" s="624" t="s">
        <v>143</v>
      </c>
      <c r="E120" s="536"/>
      <c r="F120" s="661">
        <f>SUM(G96,G97,G98,G100,G101)</f>
        <v>56</v>
      </c>
      <c r="G120" s="536">
        <f>SUM(G96,G97,G98,G100,G101)</f>
        <v>56</v>
      </c>
      <c r="H120" s="460">
        <f>G120+'8'!H120</f>
        <v>863</v>
      </c>
      <c r="I120" s="535"/>
      <c r="J120" s="559">
        <f>H120/DAY(B2)</f>
        <v>95.888888888888886</v>
      </c>
      <c r="N120" s="382">
        <v>49</v>
      </c>
    </row>
    <row r="121" spans="1:14" s="446" customFormat="1" ht="27.75">
      <c r="A121" s="1576" t="s">
        <v>228</v>
      </c>
      <c r="B121" s="1577"/>
      <c r="C121" s="1138"/>
      <c r="D121" s="624" t="s">
        <v>143</v>
      </c>
      <c r="E121" s="534"/>
      <c r="F121" s="660">
        <f>SUM(G113)</f>
        <v>77</v>
      </c>
      <c r="G121" s="534">
        <f>SUM(G113)</f>
        <v>77</v>
      </c>
      <c r="H121" s="460">
        <f>G121+'8'!H121</f>
        <v>692</v>
      </c>
      <c r="I121" s="535"/>
      <c r="J121" s="559">
        <f>H121/DAY(B2)</f>
        <v>76.888888888888886</v>
      </c>
      <c r="N121" s="382">
        <v>83</v>
      </c>
    </row>
    <row r="122" spans="1:14" s="442" customFormat="1" ht="27.75">
      <c r="A122" s="1578"/>
      <c r="B122" s="1579"/>
      <c r="C122" s="1139"/>
      <c r="D122" s="560"/>
      <c r="E122" s="560"/>
      <c r="F122" s="662" t="s">
        <v>214</v>
      </c>
      <c r="G122" s="560"/>
      <c r="H122" s="561"/>
      <c r="I122" s="560"/>
      <c r="J122" s="562"/>
      <c r="N122" s="382"/>
    </row>
    <row r="123" spans="1:14">
      <c r="A123" s="1528" t="s">
        <v>229</v>
      </c>
      <c r="B123" s="1529"/>
      <c r="C123" s="1530"/>
      <c r="D123" s="472"/>
      <c r="E123" s="472"/>
      <c r="F123" s="472"/>
      <c r="G123" s="483"/>
      <c r="H123" s="483"/>
      <c r="I123" s="483"/>
      <c r="J123" s="563"/>
      <c r="K123" s="380"/>
      <c r="L123" s="377"/>
      <c r="N123" s="382"/>
    </row>
    <row r="124" spans="1:14" ht="27.75">
      <c r="A124" s="1141" t="s">
        <v>230</v>
      </c>
      <c r="B124" s="1142"/>
      <c r="C124" s="1142"/>
      <c r="D124" s="523" t="s">
        <v>140</v>
      </c>
      <c r="E124" s="478">
        <f>'8'!F124</f>
        <v>833801.89</v>
      </c>
      <c r="F124" s="478">
        <v>834008</v>
      </c>
      <c r="G124" s="473">
        <f t="shared" ref="G124:G128" si="13">F124-E124</f>
        <v>206.10999999998603</v>
      </c>
      <c r="H124" s="460">
        <f>G124+'8'!H124</f>
        <v>1642</v>
      </c>
      <c r="I124" s="526"/>
      <c r="J124" s="552">
        <f>H124/DAY(B2)</f>
        <v>182.44444444444446</v>
      </c>
      <c r="K124" s="380"/>
      <c r="L124" s="377"/>
      <c r="N124" s="382">
        <v>111.45100000000093</v>
      </c>
    </row>
    <row r="125" spans="1:14" ht="27.75">
      <c r="A125" s="1141" t="s">
        <v>231</v>
      </c>
      <c r="B125" s="1142"/>
      <c r="C125" s="1142"/>
      <c r="D125" s="523" t="s">
        <v>140</v>
      </c>
      <c r="E125" s="478">
        <f>'8'!F125</f>
        <v>73583.399999999994</v>
      </c>
      <c r="F125" s="626">
        <v>73583.399999999994</v>
      </c>
      <c r="G125" s="473">
        <f t="shared" si="13"/>
        <v>0</v>
      </c>
      <c r="H125" s="460">
        <f>G125+'8'!H125</f>
        <v>0</v>
      </c>
      <c r="I125" s="526"/>
      <c r="J125" s="552">
        <f>H125/DAY(B2)</f>
        <v>0</v>
      </c>
      <c r="K125" s="380"/>
      <c r="L125" s="377"/>
      <c r="N125" s="382">
        <v>0</v>
      </c>
    </row>
    <row r="126" spans="1:14" ht="27.75">
      <c r="A126" s="1534" t="s">
        <v>232</v>
      </c>
      <c r="B126" s="1535"/>
      <c r="C126" s="1536"/>
      <c r="D126" s="523" t="s">
        <v>140</v>
      </c>
      <c r="E126" s="478">
        <f>'8'!F126</f>
        <v>146978</v>
      </c>
      <c r="F126" s="478">
        <v>147053</v>
      </c>
      <c r="G126" s="473">
        <f t="shared" si="13"/>
        <v>75</v>
      </c>
      <c r="H126" s="460">
        <f>G126+'8'!H126</f>
        <v>562</v>
      </c>
      <c r="I126" s="526"/>
      <c r="J126" s="552">
        <f>H126/DAY(B2)</f>
        <v>62.444444444444443</v>
      </c>
      <c r="K126" s="380"/>
      <c r="L126" s="377"/>
      <c r="N126" s="382">
        <v>43.220000000001164</v>
      </c>
    </row>
    <row r="127" spans="1:14" ht="27.75">
      <c r="A127" s="609" t="s">
        <v>233</v>
      </c>
      <c r="B127" s="1142"/>
      <c r="C127" s="1142"/>
      <c r="D127" s="523" t="s">
        <v>140</v>
      </c>
      <c r="E127" s="478">
        <f>'8'!F127</f>
        <v>31409</v>
      </c>
      <c r="F127" s="626">
        <v>31409</v>
      </c>
      <c r="G127" s="473">
        <f t="shared" si="13"/>
        <v>0</v>
      </c>
      <c r="H127" s="460">
        <f>G127+'8'!H127</f>
        <v>3</v>
      </c>
      <c r="I127" s="526"/>
      <c r="J127" s="552">
        <f>H127/DAY(B2)</f>
        <v>0.33333333333333331</v>
      </c>
      <c r="K127" s="380"/>
      <c r="L127" s="377"/>
      <c r="N127" s="382">
        <v>0</v>
      </c>
    </row>
    <row r="128" spans="1:14" ht="27.75">
      <c r="A128" s="609" t="s">
        <v>234</v>
      </c>
      <c r="B128" s="1142"/>
      <c r="C128" s="1142"/>
      <c r="D128" s="523" t="s">
        <v>140</v>
      </c>
      <c r="E128" s="478">
        <f>'8'!F128</f>
        <v>8972</v>
      </c>
      <c r="F128" s="626">
        <v>8972</v>
      </c>
      <c r="G128" s="473">
        <f t="shared" si="13"/>
        <v>0</v>
      </c>
      <c r="H128" s="460">
        <f>G128+'8'!H128</f>
        <v>0</v>
      </c>
      <c r="I128" s="480"/>
      <c r="J128" s="552">
        <f>H128/DAY(B2)</f>
        <v>0</v>
      </c>
      <c r="K128" s="380"/>
      <c r="L128" s="377"/>
      <c r="N128" s="382">
        <v>0</v>
      </c>
    </row>
    <row r="129" spans="1:14" s="281" customFormat="1" ht="27.75">
      <c r="A129" s="609" t="s">
        <v>235</v>
      </c>
      <c r="B129" s="1142"/>
      <c r="C129" s="1142"/>
      <c r="D129" s="523"/>
      <c r="E129" s="478"/>
      <c r="F129" s="478"/>
      <c r="G129" s="473">
        <f>G15-SUM(G124:G128)</f>
        <v>63.940000000060536</v>
      </c>
      <c r="H129" s="460"/>
      <c r="I129" s="480"/>
      <c r="J129" s="552"/>
      <c r="K129" s="364"/>
      <c r="L129" s="292"/>
      <c r="N129" s="382">
        <v>175.87500000008731</v>
      </c>
    </row>
    <row r="130" spans="1:14">
      <c r="A130" s="610" t="s">
        <v>236</v>
      </c>
      <c r="B130" s="458"/>
      <c r="C130" s="458"/>
      <c r="D130" s="471"/>
      <c r="E130" s="471"/>
      <c r="F130" s="471"/>
      <c r="G130" s="540"/>
      <c r="H130" s="540"/>
      <c r="I130" s="540"/>
      <c r="J130" s="564"/>
      <c r="N130" s="382"/>
    </row>
    <row r="131" spans="1:14" ht="27.75">
      <c r="A131" s="1141" t="s">
        <v>237</v>
      </c>
      <c r="B131" s="1142"/>
      <c r="C131" s="1142"/>
      <c r="D131" s="523" t="s">
        <v>238</v>
      </c>
      <c r="E131" s="484">
        <f>'8'!F131</f>
        <v>0</v>
      </c>
      <c r="F131" s="478">
        <v>0</v>
      </c>
      <c r="G131" s="473">
        <f t="shared" ref="G131:G141" si="14">F131-E131</f>
        <v>0</v>
      </c>
      <c r="H131" s="460">
        <f>G131+'8'!H131</f>
        <v>0</v>
      </c>
      <c r="I131" s="480"/>
      <c r="J131" s="552">
        <f>H131/DAY(B2)</f>
        <v>0</v>
      </c>
      <c r="N131" s="382">
        <v>0</v>
      </c>
    </row>
    <row r="132" spans="1:14" ht="27.75">
      <c r="A132" s="1141" t="s">
        <v>239</v>
      </c>
      <c r="B132" s="1142"/>
      <c r="C132" s="1142"/>
      <c r="D132" s="523" t="s">
        <v>238</v>
      </c>
      <c r="E132" s="484">
        <f>'8'!F132</f>
        <v>0</v>
      </c>
      <c r="F132" s="478">
        <v>0</v>
      </c>
      <c r="G132" s="473">
        <f t="shared" si="14"/>
        <v>0</v>
      </c>
      <c r="H132" s="460">
        <f>G132+'8'!H132</f>
        <v>0</v>
      </c>
      <c r="I132" s="480"/>
      <c r="J132" s="552">
        <f>H132/DAY(B2)</f>
        <v>0</v>
      </c>
      <c r="N132" s="382">
        <v>0</v>
      </c>
    </row>
    <row r="133" spans="1:14" ht="27.75">
      <c r="A133" s="1141" t="s">
        <v>240</v>
      </c>
      <c r="B133" s="1142"/>
      <c r="C133" s="1142"/>
      <c r="D133" s="523" t="s">
        <v>238</v>
      </c>
      <c r="E133" s="484">
        <f>'8'!F133</f>
        <v>40074.58</v>
      </c>
      <c r="F133" s="626">
        <v>40099</v>
      </c>
      <c r="G133" s="473">
        <f t="shared" si="14"/>
        <v>24.419999999998254</v>
      </c>
      <c r="H133" s="460">
        <f>G133+'8'!H133</f>
        <v>63.900000000001455</v>
      </c>
      <c r="I133" s="480"/>
      <c r="J133" s="552">
        <f>H133/DAY(B2)</f>
        <v>7.1000000000001613</v>
      </c>
      <c r="N133" s="382">
        <v>22</v>
      </c>
    </row>
    <row r="134" spans="1:14" ht="27.75">
      <c r="A134" s="1141" t="s">
        <v>241</v>
      </c>
      <c r="B134" s="1142"/>
      <c r="C134" s="1142"/>
      <c r="D134" s="523" t="s">
        <v>238</v>
      </c>
      <c r="E134" s="484">
        <f>'8'!F134</f>
        <v>300</v>
      </c>
      <c r="F134" s="485">
        <v>300</v>
      </c>
      <c r="G134" s="473">
        <f t="shared" si="14"/>
        <v>0</v>
      </c>
      <c r="H134" s="460">
        <f>G134+'8'!H134</f>
        <v>0</v>
      </c>
      <c r="I134" s="480">
        <f>G131+G132+G133+G134</f>
        <v>24.419999999998254</v>
      </c>
      <c r="J134" s="552">
        <f>H134/DAY(B2)</f>
        <v>0</v>
      </c>
      <c r="N134" s="382">
        <v>0</v>
      </c>
    </row>
    <row r="135" spans="1:14" ht="27.75">
      <c r="A135" s="1141" t="s">
        <v>242</v>
      </c>
      <c r="B135" s="1142"/>
      <c r="C135" s="1142"/>
      <c r="D135" s="523" t="s">
        <v>238</v>
      </c>
      <c r="E135" s="484">
        <f>'8'!F135</f>
        <v>41730.449999999997</v>
      </c>
      <c r="F135" s="626">
        <v>41730.449999999997</v>
      </c>
      <c r="G135" s="473">
        <f t="shared" si="14"/>
        <v>0</v>
      </c>
      <c r="H135" s="460">
        <f>G135+'8'!H135</f>
        <v>0.44999999999708962</v>
      </c>
      <c r="I135" s="480"/>
      <c r="J135" s="552">
        <f>H135/DAY(B2)</f>
        <v>4.9999999999676623E-2</v>
      </c>
      <c r="N135" s="382">
        <v>0</v>
      </c>
    </row>
    <row r="136" spans="1:14" ht="27.75">
      <c r="A136" s="1141" t="s">
        <v>243</v>
      </c>
      <c r="B136" s="1142"/>
      <c r="C136" s="1142"/>
      <c r="D136" s="523" t="s">
        <v>238</v>
      </c>
      <c r="E136" s="484">
        <f>'8'!F136</f>
        <v>32874.050000000003</v>
      </c>
      <c r="F136" s="626">
        <v>32874.050000000003</v>
      </c>
      <c r="G136" s="473">
        <f t="shared" si="14"/>
        <v>0</v>
      </c>
      <c r="H136" s="460">
        <f>G136+'8'!H136</f>
        <v>159.05000000000291</v>
      </c>
      <c r="I136" s="480"/>
      <c r="J136" s="552">
        <f>H136/DAY(B2)</f>
        <v>17.672222222222544</v>
      </c>
      <c r="N136" s="382">
        <v>0</v>
      </c>
    </row>
    <row r="137" spans="1:14" ht="27.75">
      <c r="A137" s="1141" t="s">
        <v>244</v>
      </c>
      <c r="B137" s="1142"/>
      <c r="C137" s="1142"/>
      <c r="D137" s="523" t="s">
        <v>238</v>
      </c>
      <c r="E137" s="484">
        <f>'8'!F137</f>
        <v>22825.71</v>
      </c>
      <c r="F137" s="652">
        <v>22825.71</v>
      </c>
      <c r="G137" s="473">
        <f t="shared" si="14"/>
        <v>0</v>
      </c>
      <c r="H137" s="460">
        <f>G137+'8'!H137</f>
        <v>18.469999999997526</v>
      </c>
      <c r="I137" s="480">
        <f>G135+G136+G137</f>
        <v>0</v>
      </c>
      <c r="J137" s="552">
        <f>H137/DAY(B2)</f>
        <v>2.0522222222219475</v>
      </c>
      <c r="N137" s="382">
        <v>-0.2999999999992724</v>
      </c>
    </row>
    <row r="138" spans="1:14" ht="27.75">
      <c r="A138" s="1141" t="s">
        <v>245</v>
      </c>
      <c r="B138" s="1142"/>
      <c r="C138" s="1142"/>
      <c r="D138" s="523" t="s">
        <v>238</v>
      </c>
      <c r="E138" s="484">
        <f>'8'!F138</f>
        <v>25051.82</v>
      </c>
      <c r="F138" s="652">
        <v>25051.82</v>
      </c>
      <c r="G138" s="473">
        <f t="shared" si="14"/>
        <v>0</v>
      </c>
      <c r="H138" s="460">
        <f>G138+'8'!H138</f>
        <v>0</v>
      </c>
      <c r="I138" s="480"/>
      <c r="J138" s="552">
        <f>H138/DAY(B2)</f>
        <v>0</v>
      </c>
      <c r="N138" s="382">
        <v>0</v>
      </c>
    </row>
    <row r="139" spans="1:14" ht="27.75">
      <c r="A139" s="1141" t="s">
        <v>246</v>
      </c>
      <c r="B139" s="1142"/>
      <c r="C139" s="1142"/>
      <c r="D139" s="523" t="s">
        <v>238</v>
      </c>
      <c r="E139" s="484">
        <f>'8'!F139</f>
        <v>70446.41</v>
      </c>
      <c r="F139" s="652">
        <v>70448.41</v>
      </c>
      <c r="G139" s="473">
        <f t="shared" si="14"/>
        <v>2</v>
      </c>
      <c r="H139" s="460">
        <f>G139+'8'!H139</f>
        <v>36.669999999998254</v>
      </c>
      <c r="I139" s="480">
        <f>G138+G139</f>
        <v>2</v>
      </c>
      <c r="J139" s="552">
        <f>H139/DAY(B2)</f>
        <v>4.07444444444425</v>
      </c>
      <c r="N139" s="382">
        <v>9.7100000000064028</v>
      </c>
    </row>
    <row r="140" spans="1:14" ht="27.75">
      <c r="A140" s="1141" t="s">
        <v>247</v>
      </c>
      <c r="B140" s="1142"/>
      <c r="C140" s="1142"/>
      <c r="D140" s="523" t="s">
        <v>238</v>
      </c>
      <c r="E140" s="484">
        <f>'8'!F140</f>
        <v>1909.91</v>
      </c>
      <c r="F140" s="626">
        <v>1917.79</v>
      </c>
      <c r="G140" s="473">
        <f t="shared" si="14"/>
        <v>7.8799999999998818</v>
      </c>
      <c r="H140" s="460">
        <f>G140+'8'!H140</f>
        <v>63.490000000000009</v>
      </c>
      <c r="I140" s="542"/>
      <c r="J140" s="552">
        <f>H140/DAY(B2)</f>
        <v>7.0544444444444458</v>
      </c>
      <c r="N140" s="382">
        <v>0</v>
      </c>
    </row>
    <row r="141" spans="1:14" ht="27.75">
      <c r="A141" s="1141" t="s">
        <v>248</v>
      </c>
      <c r="B141" s="1142"/>
      <c r="C141" s="1142"/>
      <c r="D141" s="523" t="s">
        <v>238</v>
      </c>
      <c r="E141" s="484">
        <f>'8'!F141</f>
        <v>4637</v>
      </c>
      <c r="F141" s="478">
        <v>4636.88</v>
      </c>
      <c r="G141" s="473">
        <f t="shared" si="14"/>
        <v>-0.11999999999989086</v>
      </c>
      <c r="H141" s="460">
        <f>G141+'8'!H141</f>
        <v>-0.11999999999989086</v>
      </c>
      <c r="I141" s="542"/>
      <c r="J141" s="552">
        <f>H141/DAY(B2)</f>
        <v>-1.3333333333321207E-2</v>
      </c>
      <c r="N141" s="382">
        <v>3.6500000000000909</v>
      </c>
    </row>
    <row r="142" spans="1:14">
      <c r="A142" s="1572" t="s">
        <v>249</v>
      </c>
      <c r="B142" s="1573"/>
      <c r="C142" s="1147"/>
      <c r="D142" s="472"/>
      <c r="E142" s="472"/>
      <c r="F142" s="472"/>
      <c r="G142" s="483"/>
      <c r="H142" s="483"/>
      <c r="I142" s="483"/>
      <c r="J142" s="563"/>
      <c r="K142" s="380"/>
      <c r="L142" s="377"/>
      <c r="N142" s="382"/>
    </row>
    <row r="143" spans="1:14" ht="27.75">
      <c r="A143" s="1537" t="s">
        <v>250</v>
      </c>
      <c r="B143" s="1538"/>
      <c r="C143" s="1539"/>
      <c r="D143" s="523" t="s">
        <v>131</v>
      </c>
      <c r="E143" s="523"/>
      <c r="F143" s="523"/>
      <c r="G143" s="460">
        <f>G35+G43+G49+G57</f>
        <v>4686.3100000000559</v>
      </c>
      <c r="H143" s="460">
        <f>G143+'8'!H143</f>
        <v>43499.130000000005</v>
      </c>
      <c r="I143" s="480"/>
      <c r="J143" s="552">
        <f>H143/DAY(B2)</f>
        <v>4833.2366666666676</v>
      </c>
      <c r="K143" s="380"/>
      <c r="L143" s="377"/>
      <c r="N143" s="382">
        <v>2912.0800000000163</v>
      </c>
    </row>
    <row r="144" spans="1:14" ht="27.75">
      <c r="A144" s="1537" t="s">
        <v>251</v>
      </c>
      <c r="B144" s="1538"/>
      <c r="C144" s="1539"/>
      <c r="D144" s="523" t="s">
        <v>24</v>
      </c>
      <c r="E144" s="511"/>
      <c r="F144" s="511"/>
      <c r="G144" s="543">
        <f>G143/G7</f>
        <v>0.27824726506256919</v>
      </c>
      <c r="H144" s="460">
        <f>G144+'8'!H144</f>
        <v>2.5274608802936211</v>
      </c>
      <c r="I144" s="544"/>
      <c r="J144" s="552">
        <f>H144/DAY(B2)</f>
        <v>0.28082898669929124</v>
      </c>
      <c r="K144" s="380"/>
      <c r="L144" s="377"/>
      <c r="N144" s="382">
        <v>0.25636763799630391</v>
      </c>
    </row>
    <row r="145" spans="1:14" ht="27.75">
      <c r="A145" s="1537" t="s">
        <v>252</v>
      </c>
      <c r="B145" s="1538"/>
      <c r="C145" s="1539"/>
      <c r="D145" s="523" t="s">
        <v>131</v>
      </c>
      <c r="E145" s="455"/>
      <c r="F145" s="455"/>
      <c r="G145" s="460">
        <f>G41+G42+G55+G56</f>
        <v>4917.2599999999802</v>
      </c>
      <c r="H145" s="460">
        <f>G145+'8'!H145</f>
        <v>44756.160000000003</v>
      </c>
      <c r="I145" s="480"/>
      <c r="J145" s="552">
        <f>H145/DAY(B2)</f>
        <v>4972.9066666666668</v>
      </c>
      <c r="K145" s="380"/>
      <c r="L145" s="377"/>
      <c r="N145" s="382">
        <v>2876.3199999999779</v>
      </c>
    </row>
    <row r="146" spans="1:14" ht="27.75">
      <c r="A146" s="1537" t="s">
        <v>253</v>
      </c>
      <c r="B146" s="1538"/>
      <c r="C146" s="1539"/>
      <c r="D146" s="523" t="s">
        <v>24</v>
      </c>
      <c r="E146" s="455"/>
      <c r="F146" s="455"/>
      <c r="G146" s="543">
        <f>G145/G7</f>
        <v>0.29195980347043776</v>
      </c>
      <c r="H146" s="460">
        <f>G146+'8'!H146</f>
        <v>2.5945502199876551</v>
      </c>
      <c r="I146" s="544"/>
      <c r="J146" s="552">
        <f>H146/DAY(B2)</f>
        <v>0.28828335777640612</v>
      </c>
      <c r="K146" s="380"/>
      <c r="L146" s="377"/>
      <c r="N146" s="382">
        <v>0.25321947354520452</v>
      </c>
    </row>
    <row r="147" spans="1:14" ht="27.75">
      <c r="A147" s="1537" t="s">
        <v>254</v>
      </c>
      <c r="B147" s="1538"/>
      <c r="C147" s="1539"/>
      <c r="D147" s="523" t="s">
        <v>131</v>
      </c>
      <c r="E147" s="455"/>
      <c r="F147" s="455"/>
      <c r="G147" s="460">
        <f>G39+G53</f>
        <v>3069.710000000021</v>
      </c>
      <c r="H147" s="460">
        <f>G147+'8'!H147</f>
        <v>25660.669999999984</v>
      </c>
      <c r="I147" s="545"/>
      <c r="J147" s="552">
        <f>H147/DAY(B2)</f>
        <v>2851.1855555555539</v>
      </c>
      <c r="K147" s="380"/>
      <c r="L147" s="377"/>
      <c r="N147" s="382">
        <v>2036.5859000000055</v>
      </c>
    </row>
    <row r="148" spans="1:14" ht="27.75">
      <c r="A148" s="1537" t="s">
        <v>255</v>
      </c>
      <c r="B148" s="1538"/>
      <c r="C148" s="1539"/>
      <c r="D148" s="523" t="s">
        <v>24</v>
      </c>
      <c r="E148" s="455"/>
      <c r="F148" s="455"/>
      <c r="G148" s="543">
        <f>G147/G7</f>
        <v>0.18226246493194323</v>
      </c>
      <c r="H148" s="460">
        <f>G148+'8'!H148</f>
        <v>1.4858682197410868</v>
      </c>
      <c r="I148" s="545"/>
      <c r="J148" s="552">
        <f>H148/DAY(B2)</f>
        <v>0.16509646886012075</v>
      </c>
      <c r="N148" s="382">
        <v>0.17929271062593585</v>
      </c>
    </row>
    <row r="149" spans="1:14" ht="27.75">
      <c r="A149" s="1537" t="s">
        <v>256</v>
      </c>
      <c r="B149" s="1538"/>
      <c r="C149" s="1539"/>
      <c r="D149" s="523" t="s">
        <v>182</v>
      </c>
      <c r="E149" s="455"/>
      <c r="F149" s="455"/>
      <c r="G149" s="460">
        <f>G38+G52</f>
        <v>1004.8500000000058</v>
      </c>
      <c r="H149" s="460">
        <f>G149+'8'!H149</f>
        <v>10983.069999999949</v>
      </c>
      <c r="I149" s="480"/>
      <c r="J149" s="552">
        <f>H149/DAY(B2)</f>
        <v>1220.3411111111054</v>
      </c>
      <c r="K149" s="381"/>
      <c r="N149" s="382">
        <v>1071.8899999999849</v>
      </c>
    </row>
    <row r="150" spans="1:14" ht="27.75">
      <c r="A150" s="1537" t="s">
        <v>257</v>
      </c>
      <c r="B150" s="1538"/>
      <c r="C150" s="1539"/>
      <c r="D150" s="523" t="s">
        <v>24</v>
      </c>
      <c r="E150" s="455"/>
      <c r="F150" s="455"/>
      <c r="G150" s="543">
        <f>G149/G7</f>
        <v>5.9662456025768876E-2</v>
      </c>
      <c r="H150" s="460">
        <f>G150+'8'!H150</f>
        <v>0.63668417605361693</v>
      </c>
      <c r="I150" s="545"/>
      <c r="J150" s="552">
        <f>H150/DAY(B2)</f>
        <v>7.0742686228179655E-2</v>
      </c>
      <c r="N150" s="382">
        <v>9.4364820846904202E-2</v>
      </c>
    </row>
    <row r="151" spans="1:14" ht="27.75">
      <c r="A151" s="1537" t="s">
        <v>258</v>
      </c>
      <c r="B151" s="1538"/>
      <c r="C151" s="1539"/>
      <c r="D151" s="523" t="s">
        <v>182</v>
      </c>
      <c r="E151" s="455"/>
      <c r="F151" s="455"/>
      <c r="G151" s="460">
        <f>G36+G50</f>
        <v>1492.2299999999741</v>
      </c>
      <c r="H151" s="460">
        <f>G151+'8'!H151</f>
        <v>13641.000000000002</v>
      </c>
      <c r="I151" s="545"/>
      <c r="J151" s="552">
        <f>H151/DAY(B2)</f>
        <v>1515.666666666667</v>
      </c>
      <c r="N151" s="382">
        <v>1124.1299999999901</v>
      </c>
    </row>
    <row r="152" spans="1:14" ht="27.75">
      <c r="A152" s="1537" t="s">
        <v>259</v>
      </c>
      <c r="B152" s="1538"/>
      <c r="C152" s="1539"/>
      <c r="D152" s="523" t="s">
        <v>24</v>
      </c>
      <c r="E152" s="455"/>
      <c r="F152" s="455"/>
      <c r="G152" s="543">
        <f>G151/G7</f>
        <v>8.8600394840355298E-2</v>
      </c>
      <c r="H152" s="460">
        <f>G152+'8'!H152</f>
        <v>0.7857648516289738</v>
      </c>
      <c r="I152" s="480"/>
      <c r="J152" s="552">
        <f>H152/DAY(B2)</f>
        <v>8.7307205736552651E-2</v>
      </c>
      <c r="N152" s="382">
        <v>9.8963817237432E-2</v>
      </c>
    </row>
    <row r="153" spans="1:14" ht="27.75">
      <c r="A153" s="1537" t="s">
        <v>260</v>
      </c>
      <c r="B153" s="1538"/>
      <c r="C153" s="1539"/>
      <c r="D153" s="523" t="s">
        <v>182</v>
      </c>
      <c r="E153" s="455"/>
      <c r="F153" s="455"/>
      <c r="G153" s="460">
        <f>G37+G51</f>
        <v>1379.7399999999907</v>
      </c>
      <c r="H153" s="460">
        <f>G153+'8'!H153</f>
        <v>11856.869999999995</v>
      </c>
      <c r="I153" s="480"/>
      <c r="J153" s="552">
        <f>H153/DAY(B2)</f>
        <v>1317.4299999999994</v>
      </c>
      <c r="N153" s="382">
        <v>1164.4599999999919</v>
      </c>
    </row>
    <row r="154" spans="1:14" ht="27" customHeight="1" thickBot="1">
      <c r="A154" s="1569" t="s">
        <v>261</v>
      </c>
      <c r="B154" s="1570"/>
      <c r="C154" s="1571"/>
      <c r="D154" s="625" t="s">
        <v>24</v>
      </c>
      <c r="E154" s="565"/>
      <c r="F154" s="565"/>
      <c r="G154" s="566">
        <f>G153/G7</f>
        <v>8.1921358488324936E-2</v>
      </c>
      <c r="H154" s="460">
        <f>G154+'8'!H154</f>
        <v>0.68900466545224459</v>
      </c>
      <c r="I154" s="568"/>
      <c r="J154" s="569">
        <f>H154/DAY(B2)</f>
        <v>7.6556073939138283E-2</v>
      </c>
      <c r="N154" s="382">
        <v>0.10251430583678069</v>
      </c>
    </row>
    <row r="155" spans="1:14">
      <c r="A155" s="466"/>
      <c r="B155" s="456"/>
      <c r="C155" s="456"/>
      <c r="D155" s="546"/>
      <c r="E155" s="546"/>
      <c r="F155" s="663"/>
      <c r="G155" s="546"/>
      <c r="H155" s="547"/>
      <c r="I155" s="546"/>
      <c r="J155" s="548"/>
      <c r="N155" s="382"/>
    </row>
    <row r="158" spans="1:14" ht="27.75">
      <c r="A158" s="1587" t="s">
        <v>266</v>
      </c>
      <c r="B158" s="1588"/>
      <c r="C158" s="1588"/>
      <c r="D158" s="1588"/>
      <c r="E158" s="1588"/>
      <c r="F158" s="1588"/>
      <c r="G158" s="1589"/>
    </row>
    <row r="159" spans="1:14">
      <c r="A159" s="785"/>
      <c r="B159" s="786"/>
      <c r="C159" s="786"/>
      <c r="D159" s="511"/>
      <c r="E159" s="455"/>
      <c r="F159" s="659"/>
      <c r="G159" s="473"/>
    </row>
    <row r="160" spans="1:14">
      <c r="A160" s="785"/>
      <c r="B160" s="786"/>
      <c r="C160" s="786"/>
      <c r="D160" s="511"/>
      <c r="E160" s="455"/>
      <c r="F160" s="659"/>
      <c r="G160" s="473"/>
    </row>
    <row r="161" spans="1:7">
      <c r="A161" s="785" t="s">
        <v>262</v>
      </c>
      <c r="B161" s="786"/>
      <c r="C161" s="786"/>
      <c r="D161" s="511" t="s">
        <v>186</v>
      </c>
      <c r="E161" s="1061">
        <f>'8'!F161</f>
        <v>39080.99</v>
      </c>
      <c r="F161" s="659">
        <v>39160</v>
      </c>
      <c r="G161" s="473">
        <f t="shared" ref="G161:G174" si="15">F161-E161</f>
        <v>79.010000000002037</v>
      </c>
    </row>
    <row r="162" spans="1:7">
      <c r="A162" s="785" t="s">
        <v>263</v>
      </c>
      <c r="B162" s="786"/>
      <c r="C162" s="786"/>
      <c r="D162" s="511" t="s">
        <v>186</v>
      </c>
      <c r="E162" s="1061">
        <f>'8'!F162</f>
        <v>98064.1</v>
      </c>
      <c r="F162" s="659">
        <v>98475</v>
      </c>
      <c r="G162" s="473">
        <f t="shared" si="15"/>
        <v>410.89999999999418</v>
      </c>
    </row>
    <row r="163" spans="1:7">
      <c r="A163" s="785" t="s">
        <v>264</v>
      </c>
      <c r="B163" s="786"/>
      <c r="C163" s="786"/>
      <c r="D163" s="511" t="s">
        <v>186</v>
      </c>
      <c r="E163" s="1061">
        <f>'8'!F163</f>
        <v>46607.05</v>
      </c>
      <c r="F163" s="659">
        <v>46817</v>
      </c>
      <c r="G163" s="473">
        <f t="shared" si="15"/>
        <v>209.94999999999709</v>
      </c>
    </row>
    <row r="164" spans="1:7">
      <c r="A164" s="785" t="s">
        <v>265</v>
      </c>
      <c r="B164" s="786"/>
      <c r="C164" s="786"/>
      <c r="D164" s="511" t="s">
        <v>186</v>
      </c>
      <c r="E164" s="1061">
        <f>'8'!F164</f>
        <v>6633.24</v>
      </c>
      <c r="F164" s="659">
        <v>6640</v>
      </c>
      <c r="G164" s="473">
        <f t="shared" si="15"/>
        <v>6.7600000000002183</v>
      </c>
    </row>
    <row r="165" spans="1:7">
      <c r="A165" s="787" t="s">
        <v>97</v>
      </c>
      <c r="B165" s="604"/>
      <c r="C165" s="604"/>
      <c r="D165" s="511" t="s">
        <v>186</v>
      </c>
      <c r="E165" s="1061">
        <f>'8'!F165</f>
        <v>0</v>
      </c>
      <c r="F165" s="514">
        <f>F62</f>
        <v>0</v>
      </c>
      <c r="G165" s="473">
        <f t="shared" si="15"/>
        <v>0</v>
      </c>
    </row>
    <row r="166" spans="1:7">
      <c r="A166" s="787" t="s">
        <v>187</v>
      </c>
      <c r="B166" s="604"/>
      <c r="C166" s="604"/>
      <c r="D166" s="511" t="s">
        <v>186</v>
      </c>
      <c r="E166" s="1061">
        <f>'8'!F166</f>
        <v>0</v>
      </c>
      <c r="F166" s="514">
        <f t="shared" ref="F166:F172" si="16">F63</f>
        <v>0</v>
      </c>
      <c r="G166" s="473">
        <f t="shared" si="15"/>
        <v>0</v>
      </c>
    </row>
    <row r="167" spans="1:7" ht="27.75">
      <c r="A167" s="1586" t="s">
        <v>98</v>
      </c>
      <c r="B167" s="1586"/>
      <c r="C167" s="1586"/>
      <c r="D167" s="523" t="s">
        <v>186</v>
      </c>
      <c r="E167" s="1061">
        <f>'8'!F167</f>
        <v>161937.67000000001</v>
      </c>
      <c r="F167" s="514">
        <f t="shared" si="16"/>
        <v>162295</v>
      </c>
      <c r="G167" s="473">
        <f t="shared" si="15"/>
        <v>357.32999999998719</v>
      </c>
    </row>
    <row r="168" spans="1:7" ht="27.75">
      <c r="A168" s="1586" t="s">
        <v>99</v>
      </c>
      <c r="B168" s="1586"/>
      <c r="C168" s="1586"/>
      <c r="D168" s="523" t="s">
        <v>186</v>
      </c>
      <c r="E168" s="1061">
        <f>'8'!F168</f>
        <v>162864.29999999999</v>
      </c>
      <c r="F168" s="514">
        <f t="shared" si="16"/>
        <v>163099</v>
      </c>
      <c r="G168" s="473">
        <f t="shared" si="15"/>
        <v>234.70000000001164</v>
      </c>
    </row>
    <row r="169" spans="1:7" ht="27.75">
      <c r="A169" s="1586" t="s">
        <v>100</v>
      </c>
      <c r="B169" s="1586"/>
      <c r="C169" s="1586"/>
      <c r="D169" s="523" t="s">
        <v>186</v>
      </c>
      <c r="E169" s="1061">
        <f>'8'!F169</f>
        <v>59389.64</v>
      </c>
      <c r="F169" s="514">
        <f t="shared" si="16"/>
        <v>59809</v>
      </c>
      <c r="G169" s="473">
        <f t="shared" si="15"/>
        <v>419.36000000000058</v>
      </c>
    </row>
    <row r="170" spans="1:7" ht="27.75">
      <c r="A170" s="1586" t="s">
        <v>101</v>
      </c>
      <c r="B170" s="1586"/>
      <c r="C170" s="1586"/>
      <c r="D170" s="523" t="s">
        <v>186</v>
      </c>
      <c r="E170" s="1061">
        <f>'8'!F170</f>
        <v>255301.37</v>
      </c>
      <c r="F170" s="514">
        <f t="shared" si="16"/>
        <v>255696</v>
      </c>
      <c r="G170" s="473">
        <f t="shared" si="15"/>
        <v>394.63000000000466</v>
      </c>
    </row>
    <row r="171" spans="1:7" ht="27.75">
      <c r="A171" s="1586" t="s">
        <v>102</v>
      </c>
      <c r="B171" s="1586"/>
      <c r="C171" s="1586"/>
      <c r="D171" s="523" t="s">
        <v>186</v>
      </c>
      <c r="E171" s="1061">
        <f>'8'!F171</f>
        <v>85321</v>
      </c>
      <c r="F171" s="514">
        <f t="shared" si="16"/>
        <v>85321</v>
      </c>
      <c r="G171" s="473">
        <f t="shared" si="15"/>
        <v>0</v>
      </c>
    </row>
    <row r="172" spans="1:7" ht="31.5" customHeight="1">
      <c r="A172" s="1586" t="s">
        <v>103</v>
      </c>
      <c r="B172" s="1586"/>
      <c r="C172" s="1586"/>
      <c r="D172" s="523" t="s">
        <v>186</v>
      </c>
      <c r="E172" s="1061">
        <f>'8'!F172</f>
        <v>82629.8</v>
      </c>
      <c r="F172" s="514">
        <f t="shared" si="16"/>
        <v>82755</v>
      </c>
      <c r="G172" s="473">
        <f t="shared" si="15"/>
        <v>125.19999999999709</v>
      </c>
    </row>
    <row r="173" spans="1:7">
      <c r="A173" s="1596" t="s">
        <v>357</v>
      </c>
      <c r="B173" s="1579"/>
      <c r="C173" s="786"/>
      <c r="D173" s="523" t="s">
        <v>186</v>
      </c>
      <c r="E173" s="1500">
        <v>18928.5</v>
      </c>
      <c r="F173" s="542">
        <v>18928.5</v>
      </c>
      <c r="G173" s="473">
        <f t="shared" si="15"/>
        <v>0</v>
      </c>
    </row>
    <row r="174" spans="1:7">
      <c r="A174" s="1596" t="s">
        <v>358</v>
      </c>
      <c r="B174" s="1579"/>
      <c r="C174" s="786"/>
      <c r="D174" s="523" t="s">
        <v>186</v>
      </c>
      <c r="E174" s="1500">
        <v>27533.5</v>
      </c>
      <c r="F174" s="542">
        <v>27538</v>
      </c>
      <c r="G174" s="473">
        <f t="shared" si="15"/>
        <v>4.5</v>
      </c>
    </row>
    <row r="177" spans="6:6" ht="18.75" customHeight="1"/>
    <row r="178" spans="6:6" ht="18.75" customHeight="1">
      <c r="F178" s="664" t="s">
        <v>214</v>
      </c>
    </row>
    <row r="182" spans="6:6" ht="19.5" customHeight="1"/>
    <row r="185" spans="6:6" ht="19.5" customHeight="1"/>
    <row r="186" spans="6:6" ht="19.5" customHeight="1"/>
    <row r="187" spans="6:6" ht="19.5" customHeight="1"/>
    <row r="188" spans="6:6" ht="19.5" customHeight="1"/>
    <row r="189" spans="6:6" ht="19.5" customHeight="1"/>
    <row r="190" spans="6:6" ht="19.5" customHeight="1"/>
    <row r="191" spans="6:6" ht="19.5" customHeight="1"/>
  </sheetData>
  <mergeCells count="77">
    <mergeCell ref="A173:B173"/>
    <mergeCell ref="A174:B174"/>
    <mergeCell ref="A171:C171"/>
    <mergeCell ref="A172:C172"/>
    <mergeCell ref="A158:G158"/>
    <mergeCell ref="A167:C167"/>
    <mergeCell ref="A168:C168"/>
    <mergeCell ref="A169:C169"/>
    <mergeCell ref="A170:C170"/>
    <mergeCell ref="A120:B120"/>
    <mergeCell ref="A121:B121"/>
    <mergeCell ref="A122:B122"/>
    <mergeCell ref="A114:B114"/>
    <mergeCell ref="A115:B115"/>
    <mergeCell ref="A116:B116"/>
    <mergeCell ref="A117:B117"/>
    <mergeCell ref="A118:B118"/>
    <mergeCell ref="A154:C154"/>
    <mergeCell ref="A126:C126"/>
    <mergeCell ref="A150:C150"/>
    <mergeCell ref="A151:C151"/>
    <mergeCell ref="A152:C152"/>
    <mergeCell ref="A145:C145"/>
    <mergeCell ref="A146:C146"/>
    <mergeCell ref="A147:C147"/>
    <mergeCell ref="A148:C148"/>
    <mergeCell ref="A149:C149"/>
    <mergeCell ref="A143:C143"/>
    <mergeCell ref="A144:C144"/>
    <mergeCell ref="A81:C81"/>
    <mergeCell ref="A102:C102"/>
    <mergeCell ref="A123:C123"/>
    <mergeCell ref="A142:B142"/>
    <mergeCell ref="A153:C153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12:B112"/>
    <mergeCell ref="A113:B113"/>
    <mergeCell ref="A119:B119"/>
    <mergeCell ref="A68:C68"/>
    <mergeCell ref="A95:C95"/>
    <mergeCell ref="A96:C96"/>
    <mergeCell ref="A93:C93"/>
    <mergeCell ref="A94:C94"/>
    <mergeCell ref="A69:C69"/>
    <mergeCell ref="A70:C70"/>
    <mergeCell ref="A71:J71"/>
    <mergeCell ref="A72:C72"/>
    <mergeCell ref="A73:C73"/>
    <mergeCell ref="A74:C74"/>
    <mergeCell ref="A75:C75"/>
    <mergeCell ref="A76:C76"/>
    <mergeCell ref="A77:C77"/>
    <mergeCell ref="A79:C79"/>
    <mergeCell ref="A80:C80"/>
    <mergeCell ref="A82:C82"/>
    <mergeCell ref="A83:C83"/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</mergeCells>
  <pageMargins left="0.22" right="0.17" top="0.14000000000000001" bottom="0.2" header="0.2" footer="0.2"/>
  <pageSetup paperSize="5" scale="20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238"/>
  <sheetViews>
    <sheetView view="pageBreakPreview" topLeftCell="A166" zoomScale="60" zoomScaleNormal="55" workbookViewId="0">
      <selection activeCell="A173" sqref="A173:D174"/>
    </sheetView>
  </sheetViews>
  <sheetFormatPr defaultColWidth="22.33203125" defaultRowHeight="29.25"/>
  <cols>
    <col min="1" max="1" width="41.77734375" style="454" customWidth="1"/>
    <col min="2" max="2" width="31" style="457" customWidth="1"/>
    <col min="3" max="3" width="15.88671875" style="457" customWidth="1"/>
    <col min="4" max="4" width="13.6640625" style="537" customWidth="1"/>
    <col min="5" max="5" width="30" style="537" customWidth="1"/>
    <col min="6" max="6" width="30" style="664" customWidth="1"/>
    <col min="7" max="7" width="28.88671875" style="537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3" width="0" style="376" hidden="1" customWidth="1"/>
    <col min="14" max="14" width="25.5546875" style="441" customWidth="1"/>
    <col min="15" max="16384" width="22.33203125" style="376"/>
  </cols>
  <sheetData>
    <row r="1" spans="1:14" ht="33.75">
      <c r="A1" s="1549" t="s">
        <v>116</v>
      </c>
      <c r="B1" s="1550"/>
      <c r="C1" s="1550"/>
      <c r="D1" s="1550"/>
      <c r="E1" s="1550"/>
      <c r="F1" s="1550"/>
      <c r="G1" s="1550"/>
      <c r="H1" s="1550"/>
      <c r="I1" s="1550"/>
      <c r="J1" s="1551"/>
    </row>
    <row r="2" spans="1:14" s="281" customFormat="1" ht="27">
      <c r="A2" s="575" t="s">
        <v>352</v>
      </c>
      <c r="B2" s="1033">
        <v>44357</v>
      </c>
      <c r="C2" s="1143" t="s">
        <v>68</v>
      </c>
      <c r="D2" s="611">
        <v>0.89</v>
      </c>
      <c r="E2" s="461"/>
      <c r="F2" s="461"/>
      <c r="G2" s="461" t="s">
        <v>117</v>
      </c>
      <c r="H2" s="461" t="s">
        <v>6</v>
      </c>
      <c r="I2" s="461" t="s">
        <v>8</v>
      </c>
      <c r="J2" s="613" t="s">
        <v>118</v>
      </c>
      <c r="N2" s="711"/>
    </row>
    <row r="3" spans="1:14" s="281" customFormat="1" ht="27">
      <c r="A3" s="570"/>
      <c r="B3" s="614"/>
      <c r="C3" s="1143" t="s">
        <v>119</v>
      </c>
      <c r="D3" s="612">
        <v>29</v>
      </c>
      <c r="E3" s="1558" t="s">
        <v>120</v>
      </c>
      <c r="F3" s="1559"/>
      <c r="G3" s="462"/>
      <c r="H3" s="463"/>
      <c r="I3" s="463"/>
      <c r="J3" s="615"/>
      <c r="K3" s="371"/>
      <c r="L3" s="292"/>
      <c r="N3" s="711"/>
    </row>
    <row r="4" spans="1:14" s="281" customFormat="1" ht="27">
      <c r="A4" s="576"/>
      <c r="B4" s="616"/>
      <c r="C4" s="1143" t="s">
        <v>121</v>
      </c>
      <c r="D4" s="611">
        <v>0.78</v>
      </c>
      <c r="E4" s="464"/>
      <c r="F4" s="464"/>
      <c r="G4" s="464"/>
      <c r="H4" s="464"/>
      <c r="I4" s="465"/>
      <c r="J4" s="615"/>
      <c r="K4" s="372"/>
      <c r="L4" s="292"/>
      <c r="N4" s="711"/>
    </row>
    <row r="5" spans="1:14">
      <c r="A5" s="577" t="s">
        <v>122</v>
      </c>
      <c r="B5" s="459"/>
      <c r="C5" s="459"/>
      <c r="D5" s="511" t="s">
        <v>123</v>
      </c>
      <c r="E5" s="467" t="s">
        <v>124</v>
      </c>
      <c r="F5" s="467" t="s">
        <v>111</v>
      </c>
      <c r="G5" s="468" t="s">
        <v>125</v>
      </c>
      <c r="H5" s="469" t="s">
        <v>126</v>
      </c>
      <c r="I5" s="470" t="s">
        <v>127</v>
      </c>
      <c r="J5" s="550" t="s">
        <v>128</v>
      </c>
      <c r="K5" s="426"/>
      <c r="L5" s="377"/>
    </row>
    <row r="6" spans="1:14">
      <c r="A6" s="1552" t="s">
        <v>129</v>
      </c>
      <c r="B6" s="1553"/>
      <c r="C6" s="1554"/>
      <c r="D6" s="471"/>
      <c r="E6" s="471"/>
      <c r="F6" s="471"/>
      <c r="G6" s="471"/>
      <c r="H6" s="472"/>
      <c r="I6" s="472"/>
      <c r="J6" s="551"/>
      <c r="K6" s="427"/>
      <c r="L6" s="377"/>
    </row>
    <row r="7" spans="1:14" ht="30" thickBot="1">
      <c r="A7" s="677" t="s">
        <v>130</v>
      </c>
      <c r="B7" s="678"/>
      <c r="C7" s="678"/>
      <c r="D7" s="638" t="s">
        <v>131</v>
      </c>
      <c r="E7" s="633">
        <f>'9'!F7</f>
        <v>499658</v>
      </c>
      <c r="F7" s="455">
        <v>516715</v>
      </c>
      <c r="G7" s="679">
        <f>F7-E7</f>
        <v>17057</v>
      </c>
      <c r="H7" s="680">
        <f>G7+'9'!H7</f>
        <v>172303</v>
      </c>
      <c r="I7" s="681">
        <v>12000</v>
      </c>
      <c r="J7" s="682">
        <f>H7/DAY(B2)</f>
        <v>17230.3</v>
      </c>
      <c r="K7" s="549"/>
      <c r="L7" s="377"/>
      <c r="N7" s="712"/>
    </row>
    <row r="8" spans="1:14" ht="27.75" thickBot="1">
      <c r="A8" s="683" t="s">
        <v>132</v>
      </c>
      <c r="B8" s="684"/>
      <c r="C8" s="685"/>
      <c r="D8" s="686" t="s">
        <v>25</v>
      </c>
      <c r="E8" s="633">
        <f>'9'!F8</f>
        <v>502424</v>
      </c>
      <c r="F8" s="475">
        <v>519534</v>
      </c>
      <c r="G8" s="690">
        <f>F8-E8</f>
        <v>17110</v>
      </c>
      <c r="H8" s="680">
        <f>G8+'9'!H8</f>
        <v>173024</v>
      </c>
      <c r="I8" s="687">
        <v>12000</v>
      </c>
      <c r="J8" s="682">
        <f>H8/DAY(B2)</f>
        <v>17302.400000000001</v>
      </c>
      <c r="K8" s="549"/>
      <c r="L8" s="425"/>
      <c r="M8" s="440"/>
      <c r="N8" s="713"/>
    </row>
    <row r="9" spans="1:14">
      <c r="A9" s="688" t="s">
        <v>133</v>
      </c>
      <c r="B9" s="689"/>
      <c r="C9" s="689"/>
      <c r="D9" s="638" t="s">
        <v>131</v>
      </c>
      <c r="E9" s="633">
        <f>'9'!F9</f>
        <v>1624027</v>
      </c>
      <c r="F9" s="478">
        <v>1640552</v>
      </c>
      <c r="G9" s="703">
        <f t="shared" ref="G9:G12" si="0">F9-E9</f>
        <v>16525</v>
      </c>
      <c r="H9" s="680">
        <f>G9+'9'!H9</f>
        <v>166862</v>
      </c>
      <c r="I9" s="691">
        <f>I7-J7</f>
        <v>-5230.2999999999993</v>
      </c>
      <c r="J9" s="682">
        <f>H9/DAY(B2)</f>
        <v>16686.2</v>
      </c>
      <c r="K9" s="428"/>
      <c r="L9" s="377"/>
      <c r="N9" s="714"/>
    </row>
    <row r="10" spans="1:14">
      <c r="A10" s="677" t="s">
        <v>134</v>
      </c>
      <c r="B10" s="678"/>
      <c r="C10" s="678"/>
      <c r="D10" s="638" t="s">
        <v>131</v>
      </c>
      <c r="E10" s="633">
        <f>'9'!F10</f>
        <v>2606.5500000000002</v>
      </c>
      <c r="F10" s="478">
        <v>2606.5500000000002</v>
      </c>
      <c r="G10" s="690">
        <f t="shared" si="0"/>
        <v>0</v>
      </c>
      <c r="H10" s="680">
        <f>G10+'9'!H10</f>
        <v>0.42000000000007276</v>
      </c>
      <c r="I10" s="692"/>
      <c r="J10" s="682">
        <f>H10/DAY(B2)</f>
        <v>4.2000000000007275E-2</v>
      </c>
      <c r="K10" s="428"/>
      <c r="L10" s="377"/>
      <c r="N10" s="714"/>
    </row>
    <row r="11" spans="1:14">
      <c r="A11" s="677" t="s">
        <v>135</v>
      </c>
      <c r="B11" s="678"/>
      <c r="C11" s="678"/>
      <c r="D11" s="638" t="s">
        <v>131</v>
      </c>
      <c r="E11" s="633">
        <f>'9'!E11</f>
        <v>37000</v>
      </c>
      <c r="F11" s="455">
        <v>37000</v>
      </c>
      <c r="G11" s="690">
        <f t="shared" si="0"/>
        <v>0</v>
      </c>
      <c r="H11" s="680">
        <f>G11+'9'!H11</f>
        <v>0</v>
      </c>
      <c r="I11" s="692"/>
      <c r="J11" s="682">
        <f>H11/DAY(B2)</f>
        <v>0</v>
      </c>
      <c r="K11" s="428"/>
      <c r="L11" s="377"/>
      <c r="N11" s="714"/>
    </row>
    <row r="12" spans="1:14">
      <c r="A12" s="677" t="s">
        <v>136</v>
      </c>
      <c r="B12" s="678"/>
      <c r="C12" s="678"/>
      <c r="D12" s="638" t="s">
        <v>131</v>
      </c>
      <c r="E12" s="633">
        <f>'9'!E12</f>
        <v>40010</v>
      </c>
      <c r="F12" s="478">
        <v>40010</v>
      </c>
      <c r="G12" s="690">
        <f t="shared" si="0"/>
        <v>0</v>
      </c>
      <c r="H12" s="680">
        <f>G12+'9'!H12</f>
        <v>0</v>
      </c>
      <c r="I12" s="692"/>
      <c r="J12" s="682">
        <f>H12/DAY(B2)</f>
        <v>0</v>
      </c>
      <c r="K12" s="428"/>
      <c r="L12" s="377"/>
      <c r="N12" s="714"/>
    </row>
    <row r="13" spans="1:14">
      <c r="A13" s="693" t="s">
        <v>137</v>
      </c>
      <c r="B13" s="694"/>
      <c r="C13" s="694"/>
      <c r="D13" s="638"/>
      <c r="E13" s="633"/>
      <c r="F13" s="455"/>
      <c r="G13" s="695">
        <f>G9+G10+G11+G12</f>
        <v>16525</v>
      </c>
      <c r="H13" s="680">
        <f>G13+'9'!H13</f>
        <v>166862.41999999998</v>
      </c>
      <c r="I13" s="696">
        <f>G7-G13</f>
        <v>532</v>
      </c>
      <c r="J13" s="682">
        <f>H13/DAY(B2)</f>
        <v>16686.241999999998</v>
      </c>
      <c r="K13" s="428"/>
      <c r="L13" s="377"/>
      <c r="N13" s="714"/>
    </row>
    <row r="14" spans="1:14">
      <c r="A14" s="1555" t="s">
        <v>138</v>
      </c>
      <c r="B14" s="1556"/>
      <c r="C14" s="1557"/>
      <c r="D14" s="472"/>
      <c r="E14" s="472"/>
      <c r="F14" s="472"/>
      <c r="G14" s="483"/>
      <c r="H14" s="472"/>
      <c r="I14" s="472"/>
      <c r="J14" s="551"/>
      <c r="K14" s="429"/>
      <c r="L14" s="377"/>
      <c r="N14" s="714"/>
    </row>
    <row r="15" spans="1:14">
      <c r="A15" s="793" t="s">
        <v>139</v>
      </c>
      <c r="B15" s="788"/>
      <c r="C15" s="788"/>
      <c r="D15" s="524" t="s">
        <v>140</v>
      </c>
      <c r="E15" s="485">
        <f>'9'!F15</f>
        <v>1688472</v>
      </c>
      <c r="F15" s="485">
        <v>1689137</v>
      </c>
      <c r="G15" s="665">
        <f>(F15-E15)</f>
        <v>665</v>
      </c>
      <c r="H15" s="486">
        <f>G15+'9'!H15</f>
        <v>4613</v>
      </c>
      <c r="I15" s="474">
        <v>800</v>
      </c>
      <c r="J15" s="553">
        <f>H15/DAY(B2)</f>
        <v>461.3</v>
      </c>
      <c r="K15" s="428"/>
      <c r="L15" s="377"/>
      <c r="N15" s="714"/>
    </row>
    <row r="16" spans="1:14">
      <c r="A16" s="791"/>
      <c r="B16" s="792"/>
      <c r="C16" s="792"/>
      <c r="D16" s="789"/>
      <c r="E16" s="790"/>
      <c r="F16" s="485"/>
      <c r="G16" s="670"/>
      <c r="H16" s="486"/>
      <c r="I16" s="482">
        <f>I15-J15</f>
        <v>338.7</v>
      </c>
      <c r="J16" s="553"/>
      <c r="K16" s="428"/>
      <c r="L16" s="377"/>
      <c r="N16" s="714"/>
    </row>
    <row r="17" spans="1:14">
      <c r="A17" s="1555" t="s">
        <v>141</v>
      </c>
      <c r="B17" s="1556"/>
      <c r="C17" s="1557"/>
      <c r="D17" s="472"/>
      <c r="E17" s="472"/>
      <c r="F17" s="472"/>
      <c r="G17" s="488"/>
      <c r="H17" s="472"/>
      <c r="I17" s="472"/>
      <c r="J17" s="551"/>
      <c r="K17" s="428"/>
      <c r="L17" s="377"/>
      <c r="N17" s="714"/>
    </row>
    <row r="18" spans="1:14" ht="27.75">
      <c r="A18" s="1590" t="s">
        <v>142</v>
      </c>
      <c r="B18" s="1591"/>
      <c r="C18" s="1592"/>
      <c r="D18" s="638" t="s">
        <v>143</v>
      </c>
      <c r="E18" s="635">
        <f>'9'!F18</f>
        <v>0</v>
      </c>
      <c r="F18" s="478">
        <v>2</v>
      </c>
      <c r="G18" s="695">
        <f>F18*10</f>
        <v>20</v>
      </c>
      <c r="H18" s="680">
        <f>G18+'9'!H18</f>
        <v>530</v>
      </c>
      <c r="I18" s="681">
        <v>65</v>
      </c>
      <c r="J18" s="682">
        <f>H18/DAY(B2)</f>
        <v>53</v>
      </c>
      <c r="K18" s="428"/>
      <c r="L18" s="377"/>
      <c r="N18" s="714"/>
    </row>
    <row r="19" spans="1:14" ht="27.75">
      <c r="A19" s="1590" t="s">
        <v>70</v>
      </c>
      <c r="B19" s="1591"/>
      <c r="C19" s="1592"/>
      <c r="D19" s="638" t="s">
        <v>143</v>
      </c>
      <c r="E19" s="635">
        <f>'9'!F19</f>
        <v>140174</v>
      </c>
      <c r="F19" s="478">
        <v>140240</v>
      </c>
      <c r="G19" s="690">
        <f t="shared" ref="G19" si="1">F19-E19</f>
        <v>66</v>
      </c>
      <c r="H19" s="680">
        <f>G19+'9'!H19</f>
        <v>628</v>
      </c>
      <c r="I19" s="697"/>
      <c r="J19" s="682">
        <f>H19/DAY(B2)</f>
        <v>62.8</v>
      </c>
      <c r="K19" s="428"/>
      <c r="L19" s="377"/>
      <c r="N19" s="714"/>
    </row>
    <row r="20" spans="1:14">
      <c r="A20" s="693" t="s">
        <v>144</v>
      </c>
      <c r="B20" s="694"/>
      <c r="C20" s="694"/>
      <c r="D20" s="638"/>
      <c r="E20" s="638"/>
      <c r="F20" s="524"/>
      <c r="G20" s="698">
        <f>G18+G19</f>
        <v>86</v>
      </c>
      <c r="H20" s="680">
        <f>G20+'9'!H20</f>
        <v>1158</v>
      </c>
      <c r="I20" s="699">
        <f>I18-J20</f>
        <v>-50.8</v>
      </c>
      <c r="J20" s="682">
        <f>H20/DAY(B2)</f>
        <v>115.8</v>
      </c>
      <c r="K20" s="428"/>
      <c r="L20" s="377"/>
      <c r="N20" s="714"/>
    </row>
    <row r="21" spans="1:14">
      <c r="A21" s="1555" t="s">
        <v>145</v>
      </c>
      <c r="B21" s="1556"/>
      <c r="C21" s="1557"/>
      <c r="D21" s="472"/>
      <c r="E21" s="472"/>
      <c r="F21" s="472"/>
      <c r="G21" s="483"/>
      <c r="H21" s="472"/>
      <c r="I21" s="472"/>
      <c r="J21" s="551"/>
      <c r="K21" s="428"/>
      <c r="L21" s="377"/>
      <c r="N21" s="714"/>
    </row>
    <row r="22" spans="1:14">
      <c r="A22" s="1141" t="s">
        <v>146</v>
      </c>
      <c r="B22" s="589"/>
      <c r="C22" s="589"/>
      <c r="D22" s="523" t="s">
        <v>147</v>
      </c>
      <c r="E22" s="635">
        <f>'9'!F22</f>
        <v>2970</v>
      </c>
      <c r="F22" s="478">
        <v>2970</v>
      </c>
      <c r="G22" s="481">
        <f t="shared" ref="G22" si="2">(F22-E22)</f>
        <v>0</v>
      </c>
      <c r="H22" s="460">
        <f>G22+'9'!H22</f>
        <v>0</v>
      </c>
      <c r="I22" s="480"/>
      <c r="J22" s="552">
        <f>H22/DAY(B2)</f>
        <v>0</v>
      </c>
      <c r="K22" s="428"/>
      <c r="L22" s="377"/>
      <c r="N22" s="714"/>
    </row>
    <row r="23" spans="1:14">
      <c r="A23" s="1141" t="s">
        <v>148</v>
      </c>
      <c r="B23" s="589"/>
      <c r="C23" s="589"/>
      <c r="D23" s="523" t="s">
        <v>147</v>
      </c>
      <c r="E23" s="635">
        <f>'9'!F23</f>
        <v>2000</v>
      </c>
      <c r="F23" s="478">
        <v>2000</v>
      </c>
      <c r="G23" s="481">
        <v>0</v>
      </c>
      <c r="H23" s="460">
        <f>G23+'9'!H23</f>
        <v>120</v>
      </c>
      <c r="I23" s="480"/>
      <c r="J23" s="552">
        <f>H23/DAY(B2)</f>
        <v>12</v>
      </c>
      <c r="K23" s="428"/>
      <c r="L23" s="377"/>
      <c r="N23" s="714"/>
    </row>
    <row r="24" spans="1:14">
      <c r="A24" s="590" t="s">
        <v>149</v>
      </c>
      <c r="B24" s="591"/>
      <c r="C24" s="591"/>
      <c r="D24" s="511" t="s">
        <v>147</v>
      </c>
      <c r="E24" s="493">
        <f>'9'!F24</f>
        <v>4970</v>
      </c>
      <c r="F24" s="485">
        <v>4970</v>
      </c>
      <c r="G24" s="481">
        <v>0</v>
      </c>
      <c r="H24" s="460">
        <f>G24+'9'!H24</f>
        <v>120</v>
      </c>
      <c r="I24" s="480"/>
      <c r="J24" s="552">
        <f>H24/DAY(B2)</f>
        <v>12</v>
      </c>
      <c r="K24" s="428"/>
      <c r="L24" s="377"/>
      <c r="N24" s="714"/>
    </row>
    <row r="25" spans="1:14" s="442" customFormat="1" ht="27">
      <c r="A25" s="1560" t="s">
        <v>150</v>
      </c>
      <c r="B25" s="1561"/>
      <c r="C25" s="1562"/>
      <c r="D25" s="471"/>
      <c r="E25" s="471"/>
      <c r="F25" s="471"/>
      <c r="G25" s="494"/>
      <c r="H25" s="495"/>
      <c r="I25" s="496"/>
      <c r="J25" s="554"/>
      <c r="K25" s="373"/>
      <c r="L25" s="443"/>
      <c r="N25" s="714"/>
    </row>
    <row r="26" spans="1:14" s="442" customFormat="1" ht="27.75">
      <c r="A26" s="592" t="s">
        <v>151</v>
      </c>
      <c r="B26" s="593"/>
      <c r="C26" s="594"/>
      <c r="D26" s="618" t="s">
        <v>152</v>
      </c>
      <c r="E26" s="497"/>
      <c r="F26" s="455"/>
      <c r="G26" s="498"/>
      <c r="H26" s="460"/>
      <c r="I26" s="499"/>
      <c r="J26" s="552"/>
      <c r="K26" s="374"/>
      <c r="L26" s="443"/>
      <c r="N26" s="714"/>
    </row>
    <row r="27" spans="1:14" s="442" customFormat="1" ht="27.75">
      <c r="A27" s="592" t="s">
        <v>6</v>
      </c>
      <c r="B27" s="593"/>
      <c r="C27" s="594"/>
      <c r="D27" s="619" t="s">
        <v>25</v>
      </c>
      <c r="E27" s="700">
        <f>G8</f>
        <v>17110</v>
      </c>
      <c r="F27" s="501">
        <v>9</v>
      </c>
      <c r="G27" s="502">
        <f>E27*F27</f>
        <v>153990</v>
      </c>
      <c r="H27" s="460">
        <f>G27+'9'!H27</f>
        <v>1556379</v>
      </c>
      <c r="I27" s="503"/>
      <c r="J27" s="552">
        <f>H27/DAY(B2)</f>
        <v>155637.9</v>
      </c>
      <c r="K27" s="373"/>
      <c r="L27" s="443"/>
      <c r="N27" s="714"/>
    </row>
    <row r="28" spans="1:14" s="442" customFormat="1" ht="27.75">
      <c r="A28" s="592" t="s">
        <v>153</v>
      </c>
      <c r="B28" s="593"/>
      <c r="C28" s="594"/>
      <c r="D28" s="619" t="s">
        <v>154</v>
      </c>
      <c r="E28" s="700">
        <f>G15</f>
        <v>665</v>
      </c>
      <c r="F28" s="501">
        <v>52</v>
      </c>
      <c r="G28" s="502">
        <f>E28*F28</f>
        <v>34580</v>
      </c>
      <c r="H28" s="460">
        <f>G28+'9'!H28</f>
        <v>239876</v>
      </c>
      <c r="I28" s="505"/>
      <c r="J28" s="552">
        <f>H28/DAY(B2)</f>
        <v>23987.599999999999</v>
      </c>
      <c r="K28" s="373"/>
      <c r="L28" s="443"/>
      <c r="N28" s="714"/>
    </row>
    <row r="29" spans="1:14" s="442" customFormat="1" ht="27.75">
      <c r="A29" s="592" t="s">
        <v>155</v>
      </c>
      <c r="B29" s="593"/>
      <c r="C29" s="594"/>
      <c r="D29" s="619" t="s">
        <v>156</v>
      </c>
      <c r="E29" s="700">
        <f>G24</f>
        <v>0</v>
      </c>
      <c r="F29" s="501">
        <v>69</v>
      </c>
      <c r="G29" s="502">
        <f>E29*F29</f>
        <v>0</v>
      </c>
      <c r="H29" s="460">
        <f>G29+'9'!H29</f>
        <v>8280</v>
      </c>
      <c r="I29" s="505"/>
      <c r="J29" s="552">
        <f>H29/DAY(B2)</f>
        <v>828</v>
      </c>
      <c r="K29" s="373"/>
      <c r="L29" s="443"/>
      <c r="N29" s="714"/>
    </row>
    <row r="30" spans="1:14" s="442" customFormat="1" ht="27.75">
      <c r="A30" s="592" t="s">
        <v>157</v>
      </c>
      <c r="B30" s="593"/>
      <c r="C30" s="594"/>
      <c r="D30" s="619" t="s">
        <v>158</v>
      </c>
      <c r="E30" s="700">
        <f>G19</f>
        <v>66</v>
      </c>
      <c r="F30" s="501">
        <v>146</v>
      </c>
      <c r="G30" s="502">
        <f>E30*F30</f>
        <v>9636</v>
      </c>
      <c r="H30" s="460">
        <f>G30+'9'!H30</f>
        <v>91688</v>
      </c>
      <c r="I30" s="505"/>
      <c r="J30" s="552">
        <f>H30/DAY(B2)</f>
        <v>9168.7999999999993</v>
      </c>
      <c r="K30" s="373"/>
      <c r="L30" s="443"/>
      <c r="N30" s="714"/>
    </row>
    <row r="31" spans="1:14" s="442" customFormat="1" ht="27.75">
      <c r="A31" s="592" t="s">
        <v>159</v>
      </c>
      <c r="B31" s="593"/>
      <c r="C31" s="594"/>
      <c r="D31" s="619" t="s">
        <v>143</v>
      </c>
      <c r="E31" s="700">
        <f>G18</f>
        <v>20</v>
      </c>
      <c r="F31" s="501">
        <v>80</v>
      </c>
      <c r="G31" s="502">
        <f>E31*F31</f>
        <v>1600</v>
      </c>
      <c r="H31" s="460">
        <f>G31+'9'!H31</f>
        <v>42400</v>
      </c>
      <c r="I31" s="505"/>
      <c r="J31" s="552">
        <f>H31/DAY(B2)</f>
        <v>4240</v>
      </c>
      <c r="K31" s="373"/>
      <c r="L31" s="443"/>
      <c r="N31" s="714"/>
    </row>
    <row r="32" spans="1:14" s="442" customFormat="1" ht="27.75">
      <c r="A32" s="595" t="s">
        <v>160</v>
      </c>
      <c r="B32" s="596"/>
      <c r="C32" s="597"/>
      <c r="D32" s="507"/>
      <c r="E32" s="507"/>
      <c r="F32" s="524"/>
      <c r="G32" s="508">
        <f>G27+G28+G29+G30+G31</f>
        <v>199806</v>
      </c>
      <c r="H32" s="460">
        <f>G32+'9'!H32</f>
        <v>1938623</v>
      </c>
      <c r="I32" s="509"/>
      <c r="J32" s="552">
        <f>H32/DAY(B2)</f>
        <v>193862.3</v>
      </c>
      <c r="K32" s="373"/>
      <c r="L32" s="443"/>
      <c r="N32" s="714"/>
    </row>
    <row r="33" spans="1:14" ht="25.5">
      <c r="A33" s="1563" t="s">
        <v>161</v>
      </c>
      <c r="B33" s="1564"/>
      <c r="C33" s="1564"/>
      <c r="D33" s="1564"/>
      <c r="E33" s="1564"/>
      <c r="F33" s="1564"/>
      <c r="G33" s="1564"/>
      <c r="H33" s="1564"/>
      <c r="I33" s="1564"/>
      <c r="J33" s="1565"/>
      <c r="K33" s="428"/>
      <c r="L33" s="377"/>
      <c r="N33" s="714"/>
    </row>
    <row r="34" spans="1:14">
      <c r="A34" s="598" t="s">
        <v>162</v>
      </c>
      <c r="B34" s="1146"/>
      <c r="C34" s="1146"/>
      <c r="D34" s="472"/>
      <c r="E34" s="471"/>
      <c r="F34" s="471"/>
      <c r="G34" s="472"/>
      <c r="H34" s="472"/>
      <c r="I34" s="472"/>
      <c r="J34" s="551"/>
      <c r="K34" s="428"/>
      <c r="L34" s="377"/>
      <c r="N34" s="714"/>
    </row>
    <row r="35" spans="1:14">
      <c r="A35" s="578" t="s">
        <v>163</v>
      </c>
      <c r="B35" s="579"/>
      <c r="C35" s="579"/>
      <c r="D35" s="523" t="s">
        <v>131</v>
      </c>
      <c r="E35" s="510">
        <f>'9'!F35</f>
        <v>972361</v>
      </c>
      <c r="F35" s="1034">
        <v>974533</v>
      </c>
      <c r="G35" s="473">
        <f t="shared" ref="G35:G46" si="3">F35-E35</f>
        <v>2172</v>
      </c>
      <c r="H35" s="460">
        <f>G35+'9'!H35</f>
        <v>24045</v>
      </c>
      <c r="I35" s="455"/>
      <c r="J35" s="552">
        <f>H35/DAY(B2)</f>
        <v>2404.5</v>
      </c>
      <c r="K35" s="428"/>
      <c r="L35" s="377"/>
      <c r="N35" s="714"/>
    </row>
    <row r="36" spans="1:14">
      <c r="A36" s="578" t="s">
        <v>164</v>
      </c>
      <c r="B36" s="579"/>
      <c r="C36" s="579"/>
      <c r="D36" s="523" t="s">
        <v>131</v>
      </c>
      <c r="E36" s="510">
        <f>'9'!F36</f>
        <v>5268</v>
      </c>
      <c r="F36" s="1034">
        <v>5832</v>
      </c>
      <c r="G36" s="473">
        <f t="shared" si="3"/>
        <v>564</v>
      </c>
      <c r="H36" s="460">
        <f>G36+'9'!H36</f>
        <v>5659</v>
      </c>
      <c r="I36" s="455"/>
      <c r="J36" s="552">
        <f>H36/DAY(B2)</f>
        <v>565.9</v>
      </c>
      <c r="K36" s="428"/>
      <c r="L36" s="377"/>
      <c r="N36" s="715"/>
    </row>
    <row r="37" spans="1:14">
      <c r="A37" s="578" t="s">
        <v>165</v>
      </c>
      <c r="B37" s="579"/>
      <c r="C37" s="579"/>
      <c r="D37" s="523" t="s">
        <v>131</v>
      </c>
      <c r="E37" s="510">
        <f>'9'!F37</f>
        <v>146093</v>
      </c>
      <c r="F37" s="1034">
        <v>147442</v>
      </c>
      <c r="G37" s="473">
        <f t="shared" si="3"/>
        <v>1349</v>
      </c>
      <c r="H37" s="460">
        <f>G37+'9'!H37</f>
        <v>13206</v>
      </c>
      <c r="I37" s="455"/>
      <c r="J37" s="552">
        <f>H37/DAY(B2)</f>
        <v>1320.6</v>
      </c>
      <c r="K37" s="428"/>
      <c r="L37" s="377"/>
      <c r="N37" s="715"/>
    </row>
    <row r="38" spans="1:14">
      <c r="A38" s="578" t="s">
        <v>166</v>
      </c>
      <c r="B38" s="579"/>
      <c r="C38" s="579"/>
      <c r="D38" s="523" t="s">
        <v>131</v>
      </c>
      <c r="E38" s="510">
        <f>'9'!F38</f>
        <v>167388</v>
      </c>
      <c r="F38" s="467">
        <v>168598</v>
      </c>
      <c r="G38" s="473">
        <f t="shared" si="3"/>
        <v>1210</v>
      </c>
      <c r="H38" s="460">
        <f>G38+'9'!H38</f>
        <v>12193</v>
      </c>
      <c r="I38" s="455"/>
      <c r="J38" s="552">
        <f>H38/DAY(B2)</f>
        <v>1219.3</v>
      </c>
      <c r="K38" s="428"/>
      <c r="L38" s="377"/>
      <c r="N38" s="714"/>
    </row>
    <row r="39" spans="1:14">
      <c r="A39" s="578" t="s">
        <v>167</v>
      </c>
      <c r="B39" s="579"/>
      <c r="C39" s="579"/>
      <c r="D39" s="523" t="s">
        <v>131</v>
      </c>
      <c r="E39" s="510">
        <f>'9'!F39</f>
        <v>332170</v>
      </c>
      <c r="F39" s="1034">
        <v>335345</v>
      </c>
      <c r="G39" s="473">
        <f t="shared" si="3"/>
        <v>3175</v>
      </c>
      <c r="H39" s="460">
        <f>G39+'9'!H39</f>
        <v>27172</v>
      </c>
      <c r="I39" s="455"/>
      <c r="J39" s="552">
        <f>H39/DAY(B2)</f>
        <v>2717.2</v>
      </c>
      <c r="K39" s="428"/>
      <c r="L39" s="377"/>
      <c r="N39" s="714"/>
    </row>
    <row r="40" spans="1:14">
      <c r="A40" s="599" t="s">
        <v>168</v>
      </c>
      <c r="B40" s="600"/>
      <c r="C40" s="600"/>
      <c r="D40" s="523" t="s">
        <v>131</v>
      </c>
      <c r="E40" s="510">
        <f>'9'!F40</f>
        <v>1057</v>
      </c>
      <c r="F40" s="1034">
        <v>1057</v>
      </c>
      <c r="G40" s="473">
        <f t="shared" si="3"/>
        <v>0</v>
      </c>
      <c r="H40" s="460">
        <f>G40+'9'!H40</f>
        <v>168</v>
      </c>
      <c r="I40" s="455"/>
      <c r="J40" s="552">
        <f>H40/DAY(B2)</f>
        <v>16.8</v>
      </c>
      <c r="K40" s="429"/>
      <c r="L40" s="377"/>
      <c r="N40" s="714"/>
    </row>
    <row r="41" spans="1:14">
      <c r="A41" s="578" t="s">
        <v>169</v>
      </c>
      <c r="B41" s="579"/>
      <c r="C41" s="579"/>
      <c r="D41" s="523" t="s">
        <v>131</v>
      </c>
      <c r="E41" s="510">
        <f>'9'!F41</f>
        <v>253580</v>
      </c>
      <c r="F41" s="1034">
        <v>258284</v>
      </c>
      <c r="G41" s="473">
        <f>F41-E41</f>
        <v>4704</v>
      </c>
      <c r="H41" s="460">
        <f>G41+'9'!H41</f>
        <v>17806</v>
      </c>
      <c r="I41" s="455"/>
      <c r="J41" s="552">
        <f>H41/DAY(B2)</f>
        <v>1780.6</v>
      </c>
      <c r="K41" s="428"/>
      <c r="L41" s="377"/>
      <c r="N41" s="714"/>
    </row>
    <row r="42" spans="1:14">
      <c r="A42" s="578" t="s">
        <v>170</v>
      </c>
      <c r="B42" s="579"/>
      <c r="C42" s="579"/>
      <c r="D42" s="523" t="s">
        <v>131</v>
      </c>
      <c r="E42" s="510">
        <f>'9'!F42</f>
        <v>59210.61</v>
      </c>
      <c r="F42" s="1034">
        <v>59211</v>
      </c>
      <c r="G42" s="473">
        <f t="shared" si="3"/>
        <v>0.38999999999941792</v>
      </c>
      <c r="H42" s="460">
        <f>G42+'9'!H42</f>
        <v>12.029999999998836</v>
      </c>
      <c r="I42" s="455"/>
      <c r="J42" s="552">
        <f>H42/DAY(B2)</f>
        <v>1.2029999999998835</v>
      </c>
      <c r="K42" s="428"/>
      <c r="L42" s="377"/>
      <c r="N42" s="714"/>
    </row>
    <row r="43" spans="1:14">
      <c r="A43" s="578" t="s">
        <v>171</v>
      </c>
      <c r="B43" s="579"/>
      <c r="C43" s="579"/>
      <c r="D43" s="523" t="s">
        <v>131</v>
      </c>
      <c r="E43" s="510">
        <f>'9'!F43</f>
        <v>1063870</v>
      </c>
      <c r="F43" s="1034">
        <v>1066309</v>
      </c>
      <c r="G43" s="473">
        <f t="shared" si="3"/>
        <v>2439</v>
      </c>
      <c r="H43" s="460">
        <f>G43+'9'!H43</f>
        <v>24065</v>
      </c>
      <c r="I43" s="455"/>
      <c r="J43" s="552">
        <f>H43/DAY(B2)</f>
        <v>2406.5</v>
      </c>
      <c r="K43" s="428"/>
      <c r="L43" s="377"/>
      <c r="N43" s="714"/>
    </row>
    <row r="44" spans="1:14">
      <c r="A44" s="578" t="s">
        <v>172</v>
      </c>
      <c r="B44" s="579"/>
      <c r="C44" s="579"/>
      <c r="D44" s="523" t="s">
        <v>131</v>
      </c>
      <c r="E44" s="510">
        <f>'9'!F44</f>
        <v>0</v>
      </c>
      <c r="F44" s="510">
        <v>0</v>
      </c>
      <c r="G44" s="473">
        <f t="shared" si="3"/>
        <v>0</v>
      </c>
      <c r="H44" s="460">
        <f>G44+'9'!H44</f>
        <v>0</v>
      </c>
      <c r="I44" s="455"/>
      <c r="J44" s="552">
        <f>H44/DAY(B2)</f>
        <v>0</v>
      </c>
      <c r="K44" s="428"/>
      <c r="L44" s="377"/>
      <c r="N44" s="714"/>
    </row>
    <row r="45" spans="1:14">
      <c r="A45" s="578" t="s">
        <v>173</v>
      </c>
      <c r="B45" s="579"/>
      <c r="C45" s="579"/>
      <c r="D45" s="523" t="s">
        <v>131</v>
      </c>
      <c r="E45" s="510">
        <f>'9'!F45</f>
        <v>614</v>
      </c>
      <c r="F45" s="510">
        <v>614</v>
      </c>
      <c r="G45" s="473">
        <f t="shared" si="3"/>
        <v>0</v>
      </c>
      <c r="H45" s="460">
        <f>G45+'9'!H45</f>
        <v>0</v>
      </c>
      <c r="I45" s="455"/>
      <c r="J45" s="552">
        <f>H45/DAY(B2)</f>
        <v>0</v>
      </c>
      <c r="K45" s="428"/>
      <c r="L45" s="377"/>
      <c r="N45" s="714"/>
    </row>
    <row r="46" spans="1:14">
      <c r="A46" s="578" t="s">
        <v>174</v>
      </c>
      <c r="B46" s="579"/>
      <c r="C46" s="579"/>
      <c r="D46" s="523" t="s">
        <v>131</v>
      </c>
      <c r="E46" s="510">
        <f>'9'!F46</f>
        <v>187</v>
      </c>
      <c r="F46" s="510">
        <v>187</v>
      </c>
      <c r="G46" s="473">
        <f t="shared" si="3"/>
        <v>0</v>
      </c>
      <c r="H46" s="460">
        <f>G46+'9'!H46</f>
        <v>0</v>
      </c>
      <c r="I46" s="455"/>
      <c r="J46" s="552">
        <f>H46/DAY(B2)</f>
        <v>0</v>
      </c>
      <c r="K46" s="428"/>
      <c r="L46" s="377"/>
      <c r="N46" s="714"/>
    </row>
    <row r="47" spans="1:14">
      <c r="A47" s="585" t="s">
        <v>175</v>
      </c>
      <c r="B47" s="586"/>
      <c r="C47" s="586"/>
      <c r="D47" s="470"/>
      <c r="E47" s="511"/>
      <c r="F47" s="511"/>
      <c r="G47" s="481">
        <f>G35+G36+G37+G38+G39+G40+G41+G42+G43+G44+G45+G46</f>
        <v>15613.39</v>
      </c>
      <c r="H47" s="460">
        <f>G47+'9'!H47</f>
        <v>124326.02999999998</v>
      </c>
      <c r="I47" s="455"/>
      <c r="J47" s="552">
        <f>H47/DAY(B2)</f>
        <v>12432.602999999999</v>
      </c>
      <c r="K47" s="428"/>
      <c r="L47" s="377"/>
      <c r="N47" s="714"/>
    </row>
    <row r="48" spans="1:14">
      <c r="A48" s="598" t="s">
        <v>176</v>
      </c>
      <c r="B48" s="1146"/>
      <c r="C48" s="1146"/>
      <c r="D48" s="472"/>
      <c r="E48" s="471"/>
      <c r="F48" s="471"/>
      <c r="G48" s="472"/>
      <c r="H48" s="472"/>
      <c r="I48" s="472"/>
      <c r="J48" s="551"/>
      <c r="K48" s="428"/>
      <c r="L48" s="377"/>
      <c r="N48" s="714"/>
    </row>
    <row r="49" spans="1:14">
      <c r="A49" s="578" t="s">
        <v>163</v>
      </c>
      <c r="B49" s="601"/>
      <c r="C49" s="601"/>
      <c r="D49" s="523" t="s">
        <v>131</v>
      </c>
      <c r="E49" s="510">
        <f>'9'!F49</f>
        <v>260732.13</v>
      </c>
      <c r="F49" s="510">
        <v>260732.13</v>
      </c>
      <c r="G49" s="473">
        <f t="shared" ref="G49:G58" si="4">F49-E49</f>
        <v>0</v>
      </c>
      <c r="H49" s="460">
        <f>G49+'9'!H49</f>
        <v>0.13000000000465661</v>
      </c>
      <c r="I49" s="455"/>
      <c r="J49" s="552">
        <f>H49/DAY(B2)</f>
        <v>1.3000000000465662E-2</v>
      </c>
      <c r="K49" s="428"/>
      <c r="L49" s="377"/>
      <c r="N49" s="714"/>
    </row>
    <row r="50" spans="1:14">
      <c r="A50" s="578" t="s">
        <v>177</v>
      </c>
      <c r="B50" s="601"/>
      <c r="C50" s="601"/>
      <c r="D50" s="523" t="s">
        <v>131</v>
      </c>
      <c r="E50" s="510">
        <f>'9'!F50</f>
        <v>511082</v>
      </c>
      <c r="F50" s="1034">
        <v>511972</v>
      </c>
      <c r="G50" s="473">
        <f t="shared" si="4"/>
        <v>890</v>
      </c>
      <c r="H50" s="460">
        <f>G50+'9'!H50</f>
        <v>9436</v>
      </c>
      <c r="I50" s="455"/>
      <c r="J50" s="552">
        <f>H50/DAY(B2)</f>
        <v>943.6</v>
      </c>
      <c r="K50" s="428"/>
      <c r="L50" s="377"/>
      <c r="N50" s="714"/>
    </row>
    <row r="51" spans="1:14">
      <c r="A51" s="578" t="s">
        <v>165</v>
      </c>
      <c r="B51" s="601"/>
      <c r="C51" s="601"/>
      <c r="D51" s="523" t="s">
        <v>131</v>
      </c>
      <c r="E51" s="510">
        <f>'9'!F51</f>
        <v>144639.87</v>
      </c>
      <c r="F51" s="510">
        <v>144639.87</v>
      </c>
      <c r="G51" s="473">
        <f t="shared" si="4"/>
        <v>0</v>
      </c>
      <c r="H51" s="460">
        <f>G51+'9'!H51</f>
        <v>-0.13000000000465661</v>
      </c>
      <c r="I51" s="455"/>
      <c r="J51" s="552">
        <f>H51/DAY(B2)</f>
        <v>-1.3000000000465662E-2</v>
      </c>
      <c r="K51" s="428"/>
      <c r="L51" s="377"/>
      <c r="N51" s="714"/>
    </row>
    <row r="52" spans="1:14">
      <c r="A52" s="578" t="s">
        <v>178</v>
      </c>
      <c r="B52" s="601"/>
      <c r="C52" s="601"/>
      <c r="D52" s="523" t="s">
        <v>131</v>
      </c>
      <c r="E52" s="510">
        <f>'9'!F52</f>
        <v>539606.06999999995</v>
      </c>
      <c r="F52" s="510">
        <v>539606.06999999995</v>
      </c>
      <c r="G52" s="473">
        <f t="shared" si="4"/>
        <v>0</v>
      </c>
      <c r="H52" s="460">
        <f>G52+'9'!H52</f>
        <v>6.9999999948777258E-2</v>
      </c>
      <c r="I52" s="455"/>
      <c r="J52" s="552">
        <f>H52/DAY(B2)</f>
        <v>6.999999994877726E-3</v>
      </c>
      <c r="K52" s="428"/>
      <c r="L52" s="377"/>
      <c r="N52" s="714"/>
    </row>
    <row r="53" spans="1:14">
      <c r="A53" s="578" t="s">
        <v>167</v>
      </c>
      <c r="B53" s="601"/>
      <c r="C53" s="601"/>
      <c r="D53" s="523" t="s">
        <v>131</v>
      </c>
      <c r="E53" s="510">
        <f>'9'!F53</f>
        <v>434231.67</v>
      </c>
      <c r="F53" s="510">
        <v>434232</v>
      </c>
      <c r="G53" s="473">
        <f t="shared" si="4"/>
        <v>0.33000000001629815</v>
      </c>
      <c r="H53" s="460">
        <f>G53+'9'!H53</f>
        <v>1664</v>
      </c>
      <c r="I53" s="455"/>
      <c r="J53" s="552">
        <f>H53/DAY(B2)</f>
        <v>166.4</v>
      </c>
      <c r="K53" s="428"/>
      <c r="L53" s="377"/>
      <c r="N53" s="714"/>
    </row>
    <row r="54" spans="1:14">
      <c r="A54" s="578" t="s">
        <v>179</v>
      </c>
      <c r="B54" s="601"/>
      <c r="C54" s="601"/>
      <c r="D54" s="523" t="s">
        <v>131</v>
      </c>
      <c r="E54" s="510">
        <f>'9'!F54</f>
        <v>14500</v>
      </c>
      <c r="F54" s="510">
        <v>14579</v>
      </c>
      <c r="G54" s="473">
        <f t="shared" si="4"/>
        <v>79</v>
      </c>
      <c r="H54" s="460">
        <f>G54+'9'!H54</f>
        <v>829</v>
      </c>
      <c r="I54" s="455"/>
      <c r="J54" s="552">
        <f>H54/DAY(B2)</f>
        <v>82.9</v>
      </c>
      <c r="K54" s="428"/>
      <c r="L54" s="377"/>
      <c r="N54" s="714"/>
    </row>
    <row r="55" spans="1:14">
      <c r="A55" s="578" t="s">
        <v>180</v>
      </c>
      <c r="B55" s="601"/>
      <c r="C55" s="601"/>
      <c r="D55" s="523" t="s">
        <v>131</v>
      </c>
      <c r="E55" s="510">
        <f>'9'!F55</f>
        <v>68136.52</v>
      </c>
      <c r="F55" s="654">
        <v>68136.52</v>
      </c>
      <c r="G55" s="653">
        <f t="shared" si="4"/>
        <v>0</v>
      </c>
      <c r="H55" s="706">
        <f>G55+'9'!H55</f>
        <v>25.520000000004075</v>
      </c>
      <c r="I55" s="707"/>
      <c r="J55" s="708">
        <f>H55/DAY(B2)</f>
        <v>2.5520000000004073</v>
      </c>
      <c r="K55" s="428"/>
      <c r="L55" s="377"/>
      <c r="N55" s="714"/>
    </row>
    <row r="56" spans="1:14">
      <c r="A56" s="578" t="s">
        <v>181</v>
      </c>
      <c r="B56" s="601"/>
      <c r="C56" s="601"/>
      <c r="D56" s="523" t="s">
        <v>182</v>
      </c>
      <c r="E56" s="510">
        <f>'9'!F56</f>
        <v>648815</v>
      </c>
      <c r="F56" s="654">
        <v>648815</v>
      </c>
      <c r="G56" s="473">
        <f t="shared" si="4"/>
        <v>0</v>
      </c>
      <c r="H56" s="460">
        <f>G56+'9'!H56</f>
        <v>31617</v>
      </c>
      <c r="I56" s="455"/>
      <c r="J56" s="552">
        <f>H56/DAY(B2)</f>
        <v>3161.7</v>
      </c>
      <c r="K56" s="427"/>
      <c r="L56" s="377"/>
      <c r="N56" s="714"/>
    </row>
    <row r="57" spans="1:14">
      <c r="A57" s="578" t="s">
        <v>171</v>
      </c>
      <c r="B57" s="601"/>
      <c r="C57" s="601"/>
      <c r="D57" s="523" t="s">
        <v>131</v>
      </c>
      <c r="E57" s="510">
        <f>'9'!F57</f>
        <v>7711</v>
      </c>
      <c r="F57" s="510">
        <v>7711</v>
      </c>
      <c r="G57" s="473">
        <f t="shared" si="4"/>
        <v>0</v>
      </c>
      <c r="H57" s="460">
        <f>G57+'9'!H57</f>
        <v>0</v>
      </c>
      <c r="I57" s="455"/>
      <c r="J57" s="552">
        <f>H57/DAY(B2)</f>
        <v>0</v>
      </c>
      <c r="K57" s="428"/>
      <c r="L57" s="377"/>
      <c r="N57" s="714"/>
    </row>
    <row r="58" spans="1:14">
      <c r="A58" s="578" t="s">
        <v>183</v>
      </c>
      <c r="B58" s="601"/>
      <c r="C58" s="601"/>
      <c r="D58" s="523" t="s">
        <v>131</v>
      </c>
      <c r="E58" s="510">
        <f>'9'!F58</f>
        <v>50560.79</v>
      </c>
      <c r="F58" s="654">
        <v>50800</v>
      </c>
      <c r="G58" s="473">
        <f t="shared" si="4"/>
        <v>239.20999999999913</v>
      </c>
      <c r="H58" s="460">
        <f>G58+'9'!H58</f>
        <v>1175</v>
      </c>
      <c r="I58" s="455"/>
      <c r="J58" s="552">
        <f>H58/DAY(B2)</f>
        <v>117.5</v>
      </c>
      <c r="K58" s="428"/>
      <c r="L58" s="377"/>
      <c r="N58" s="714"/>
    </row>
    <row r="59" spans="1:14">
      <c r="A59" s="585" t="s">
        <v>175</v>
      </c>
      <c r="B59" s="586"/>
      <c r="C59" s="586"/>
      <c r="D59" s="511"/>
      <c r="E59" s="511"/>
      <c r="F59" s="511"/>
      <c r="G59" s="481">
        <f>G49+G50+G51+G52+G53+G54+G55+G56+G57+G58</f>
        <v>1208.5400000000154</v>
      </c>
      <c r="H59" s="460">
        <f>G59+'9'!H59</f>
        <v>44746.589999999953</v>
      </c>
      <c r="I59" s="455">
        <f>G7-G60</f>
        <v>235.06999999998516</v>
      </c>
      <c r="J59" s="552">
        <f>H59/DAY(B2)</f>
        <v>4474.6589999999951</v>
      </c>
      <c r="K59" s="428"/>
      <c r="L59" s="377"/>
      <c r="N59" s="714"/>
    </row>
    <row r="60" spans="1:14">
      <c r="A60" s="578"/>
      <c r="B60" s="579"/>
      <c r="C60" s="579"/>
      <c r="D60" s="511" t="s">
        <v>184</v>
      </c>
      <c r="E60" s="511"/>
      <c r="F60" s="511"/>
      <c r="G60" s="481">
        <f>G47+G59</f>
        <v>16821.930000000015</v>
      </c>
      <c r="H60" s="460">
        <f>G60+'9'!H60</f>
        <v>169072.61999999997</v>
      </c>
      <c r="I60" s="455">
        <f>G8-G60</f>
        <v>288.06999999998516</v>
      </c>
      <c r="J60" s="552">
        <f>H60/DAY(B2)</f>
        <v>16907.261999999995</v>
      </c>
      <c r="K60" s="428"/>
      <c r="L60" s="377"/>
      <c r="N60" s="714"/>
    </row>
    <row r="61" spans="1:14">
      <c r="A61" s="602" t="s">
        <v>185</v>
      </c>
      <c r="B61" s="453"/>
      <c r="C61" s="453"/>
      <c r="D61" s="513"/>
      <c r="E61" s="512"/>
      <c r="F61" s="512"/>
      <c r="G61" s="513"/>
      <c r="H61" s="513"/>
      <c r="I61" s="513"/>
      <c r="J61" s="555"/>
      <c r="K61" s="428"/>
      <c r="L61" s="377"/>
      <c r="N61" s="714"/>
    </row>
    <row r="62" spans="1:14">
      <c r="A62" s="603" t="s">
        <v>97</v>
      </c>
      <c r="B62" s="604"/>
      <c r="C62" s="604"/>
      <c r="D62" s="511" t="s">
        <v>186</v>
      </c>
      <c r="E62" s="514">
        <f>'9'!F62</f>
        <v>0</v>
      </c>
      <c r="F62" s="514">
        <v>0</v>
      </c>
      <c r="G62" s="473">
        <f t="shared" ref="G62:G69" si="5">F62-E62</f>
        <v>0</v>
      </c>
      <c r="H62" s="460">
        <f>G62+'9'!H62</f>
        <v>1.9999999967694748E-3</v>
      </c>
      <c r="I62" s="515"/>
      <c r="J62" s="552">
        <f>H62/DAY(B2)</f>
        <v>1.9999999967694747E-4</v>
      </c>
      <c r="K62" s="428"/>
      <c r="L62" s="377"/>
      <c r="N62" s="714"/>
    </row>
    <row r="63" spans="1:14">
      <c r="A63" s="603" t="s">
        <v>187</v>
      </c>
      <c r="B63" s="604"/>
      <c r="C63" s="604"/>
      <c r="D63" s="511" t="s">
        <v>186</v>
      </c>
      <c r="E63" s="514">
        <f>'9'!F63</f>
        <v>0</v>
      </c>
      <c r="F63" s="514">
        <v>0</v>
      </c>
      <c r="G63" s="473">
        <f t="shared" si="5"/>
        <v>0</v>
      </c>
      <c r="H63" s="460">
        <f>G63+'9'!H63</f>
        <v>0</v>
      </c>
      <c r="I63" s="515"/>
      <c r="J63" s="552">
        <f>H63/DAY(B2)</f>
        <v>0</v>
      </c>
      <c r="K63" s="428"/>
      <c r="L63" s="377"/>
      <c r="N63" s="714"/>
    </row>
    <row r="64" spans="1:14" ht="27.75">
      <c r="A64" s="1534" t="s">
        <v>98</v>
      </c>
      <c r="B64" s="1535"/>
      <c r="C64" s="1536"/>
      <c r="D64" s="523" t="s">
        <v>186</v>
      </c>
      <c r="E64" s="514">
        <f>'9'!F64</f>
        <v>162295</v>
      </c>
      <c r="F64" s="478">
        <v>162647</v>
      </c>
      <c r="G64" s="473">
        <f t="shared" si="5"/>
        <v>352</v>
      </c>
      <c r="H64" s="460">
        <f>G64+'9'!H64</f>
        <v>2715</v>
      </c>
      <c r="I64" s="480"/>
      <c r="J64" s="552">
        <f>H64/DAY(B2)</f>
        <v>271.5</v>
      </c>
      <c r="K64" s="428"/>
      <c r="L64" s="377"/>
      <c r="N64" s="714"/>
    </row>
    <row r="65" spans="1:14" ht="27.75">
      <c r="A65" s="1534" t="s">
        <v>99</v>
      </c>
      <c r="B65" s="1535"/>
      <c r="C65" s="1536"/>
      <c r="D65" s="523" t="s">
        <v>186</v>
      </c>
      <c r="E65" s="514">
        <f>'9'!F65</f>
        <v>163099</v>
      </c>
      <c r="F65" s="652">
        <v>163365</v>
      </c>
      <c r="G65" s="473">
        <f t="shared" si="5"/>
        <v>266</v>
      </c>
      <c r="H65" s="460">
        <f>G65+'9'!H65</f>
        <v>2367</v>
      </c>
      <c r="I65" s="489"/>
      <c r="J65" s="552">
        <f>H65/DAY(B2)</f>
        <v>236.7</v>
      </c>
      <c r="K65" s="428"/>
      <c r="L65" s="377"/>
      <c r="N65" s="714"/>
    </row>
    <row r="66" spans="1:14" ht="27.75">
      <c r="A66" s="1534" t="s">
        <v>100</v>
      </c>
      <c r="B66" s="1535"/>
      <c r="C66" s="1536"/>
      <c r="D66" s="523" t="s">
        <v>186</v>
      </c>
      <c r="E66" s="514">
        <f>'9'!F66</f>
        <v>59809</v>
      </c>
      <c r="F66" s="478">
        <v>60224</v>
      </c>
      <c r="G66" s="473">
        <f t="shared" si="5"/>
        <v>415</v>
      </c>
      <c r="H66" s="460">
        <f>G66+'9'!H66</f>
        <v>3419</v>
      </c>
      <c r="I66" s="480"/>
      <c r="J66" s="552">
        <f>H66/DAY(B2)</f>
        <v>341.9</v>
      </c>
      <c r="K66" s="428"/>
      <c r="L66" s="377"/>
      <c r="N66" s="714"/>
    </row>
    <row r="67" spans="1:14" ht="27.75">
      <c r="A67" s="1534" t="s">
        <v>101</v>
      </c>
      <c r="B67" s="1535"/>
      <c r="C67" s="1536"/>
      <c r="D67" s="523" t="s">
        <v>186</v>
      </c>
      <c r="E67" s="514">
        <f>'9'!F67</f>
        <v>255696</v>
      </c>
      <c r="F67" s="478">
        <v>256073</v>
      </c>
      <c r="G67" s="473">
        <f t="shared" si="5"/>
        <v>377</v>
      </c>
      <c r="H67" s="460">
        <f>G67+'9'!H67</f>
        <v>3881</v>
      </c>
      <c r="I67" s="489"/>
      <c r="J67" s="552">
        <f>H67/DAY(B2)</f>
        <v>388.1</v>
      </c>
      <c r="K67" s="429"/>
      <c r="L67" s="377"/>
      <c r="N67" s="714"/>
    </row>
    <row r="68" spans="1:14" ht="27.75">
      <c r="A68" s="1534" t="s">
        <v>102</v>
      </c>
      <c r="B68" s="1535"/>
      <c r="C68" s="1536"/>
      <c r="D68" s="523" t="s">
        <v>186</v>
      </c>
      <c r="E68" s="514">
        <f>'9'!F68</f>
        <v>85321</v>
      </c>
      <c r="F68" s="478">
        <v>85321</v>
      </c>
      <c r="G68" s="473">
        <f t="shared" si="5"/>
        <v>0</v>
      </c>
      <c r="H68" s="460">
        <f>G68+'9'!H68</f>
        <v>0</v>
      </c>
      <c r="I68" s="516"/>
      <c r="J68" s="552">
        <f>H68/DAY(B2)</f>
        <v>0</v>
      </c>
      <c r="K68" s="430"/>
      <c r="L68" s="377"/>
      <c r="N68" s="714"/>
    </row>
    <row r="69" spans="1:14" ht="27.75">
      <c r="A69" s="1534" t="s">
        <v>103</v>
      </c>
      <c r="B69" s="1535"/>
      <c r="C69" s="1536"/>
      <c r="D69" s="523" t="s">
        <v>186</v>
      </c>
      <c r="E69" s="514">
        <f>'9'!F69</f>
        <v>82755</v>
      </c>
      <c r="F69" s="478">
        <v>82925</v>
      </c>
      <c r="G69" s="473">
        <f t="shared" si="5"/>
        <v>170</v>
      </c>
      <c r="H69" s="460">
        <f>G69+'9'!H69</f>
        <v>1176</v>
      </c>
      <c r="I69" s="516"/>
      <c r="J69" s="552">
        <f>H69/DAY(B2)</f>
        <v>117.6</v>
      </c>
      <c r="K69" s="431"/>
      <c r="L69" s="377"/>
      <c r="N69" s="714"/>
    </row>
    <row r="70" spans="1:14" ht="27.75">
      <c r="A70" s="1566" t="s">
        <v>188</v>
      </c>
      <c r="B70" s="1567"/>
      <c r="C70" s="1568"/>
      <c r="D70" s="523" t="s">
        <v>186</v>
      </c>
      <c r="E70" s="518"/>
      <c r="F70" s="518"/>
      <c r="G70" s="518"/>
      <c r="H70" s="460"/>
      <c r="I70" s="518"/>
      <c r="J70" s="556"/>
      <c r="K70" s="431"/>
      <c r="L70" s="377"/>
      <c r="N70" s="714"/>
    </row>
    <row r="71" spans="1:14" ht="31.5">
      <c r="A71" s="1580" t="s">
        <v>189</v>
      </c>
      <c r="B71" s="1581"/>
      <c r="C71" s="1581"/>
      <c r="D71" s="1581"/>
      <c r="E71" s="1581"/>
      <c r="F71" s="1581"/>
      <c r="G71" s="1581"/>
      <c r="H71" s="1581"/>
      <c r="I71" s="1581"/>
      <c r="J71" s="1582"/>
      <c r="K71" s="430"/>
      <c r="L71" s="377"/>
      <c r="N71" s="714"/>
    </row>
    <row r="72" spans="1:14" ht="27.75">
      <c r="A72" s="1534" t="s">
        <v>190</v>
      </c>
      <c r="B72" s="1535"/>
      <c r="C72" s="1536"/>
      <c r="D72" s="523" t="s">
        <v>186</v>
      </c>
      <c r="E72" s="519">
        <f>'9'!F72</f>
        <v>855962</v>
      </c>
      <c r="F72" s="655">
        <v>855975</v>
      </c>
      <c r="G72" s="473">
        <f t="shared" ref="G72:G84" si="6">F72-E72</f>
        <v>13</v>
      </c>
      <c r="H72" s="460">
        <f>G72+'9'!H72</f>
        <v>132</v>
      </c>
      <c r="I72" s="480"/>
      <c r="J72" s="552">
        <f>H72/DAY(B2)</f>
        <v>13.2</v>
      </c>
      <c r="K72" s="431"/>
      <c r="L72" s="377"/>
      <c r="N72" s="714"/>
    </row>
    <row r="73" spans="1:14" ht="27.75">
      <c r="A73" s="1534" t="s">
        <v>191</v>
      </c>
      <c r="B73" s="1535"/>
      <c r="C73" s="1536"/>
      <c r="D73" s="523" t="s">
        <v>186</v>
      </c>
      <c r="E73" s="519">
        <f>'9'!F73</f>
        <v>885947</v>
      </c>
      <c r="F73" s="656">
        <v>885948</v>
      </c>
      <c r="G73" s="653">
        <f t="shared" si="6"/>
        <v>1</v>
      </c>
      <c r="H73" s="460">
        <f>G73+'9'!H73</f>
        <v>11</v>
      </c>
      <c r="I73" s="480"/>
      <c r="J73" s="552">
        <f>H73/DAY(B2)</f>
        <v>1.1000000000000001</v>
      </c>
      <c r="K73" s="430"/>
      <c r="L73" s="377"/>
      <c r="N73" s="714"/>
    </row>
    <row r="74" spans="1:14" ht="27.75">
      <c r="A74" s="1534" t="s">
        <v>192</v>
      </c>
      <c r="B74" s="1535"/>
      <c r="C74" s="1536"/>
      <c r="D74" s="523" t="s">
        <v>186</v>
      </c>
      <c r="E74" s="519">
        <f>'9'!F74</f>
        <v>2599.96</v>
      </c>
      <c r="F74" s="655">
        <v>2599.96</v>
      </c>
      <c r="G74" s="473">
        <f t="shared" si="6"/>
        <v>0</v>
      </c>
      <c r="H74" s="460">
        <f>G74+'9'!H74</f>
        <v>13.960000000000036</v>
      </c>
      <c r="I74" s="480"/>
      <c r="J74" s="552">
        <f>H74/DAY(B2)</f>
        <v>1.3960000000000037</v>
      </c>
      <c r="K74" s="431"/>
      <c r="L74" s="377"/>
      <c r="N74" s="714"/>
    </row>
    <row r="75" spans="1:14" ht="27.75">
      <c r="A75" s="1583" t="s">
        <v>193</v>
      </c>
      <c r="B75" s="1584"/>
      <c r="C75" s="1585"/>
      <c r="D75" s="523" t="s">
        <v>186</v>
      </c>
      <c r="E75" s="519">
        <f>'9'!F75</f>
        <v>13232</v>
      </c>
      <c r="F75" s="656">
        <v>13289</v>
      </c>
      <c r="G75" s="473">
        <f t="shared" si="6"/>
        <v>57</v>
      </c>
      <c r="H75" s="460">
        <f>G75+'9'!H75</f>
        <v>620</v>
      </c>
      <c r="I75" s="480"/>
      <c r="J75" s="552">
        <f>H75/DAY(B2)</f>
        <v>62</v>
      </c>
      <c r="K75" s="430"/>
      <c r="L75" s="377"/>
      <c r="N75" s="714"/>
    </row>
    <row r="76" spans="1:14" ht="27.75">
      <c r="A76" s="1583" t="s">
        <v>194</v>
      </c>
      <c r="B76" s="1584"/>
      <c r="C76" s="1585"/>
      <c r="D76" s="523" t="s">
        <v>186</v>
      </c>
      <c r="E76" s="519">
        <f>'9'!F76</f>
        <v>7951</v>
      </c>
      <c r="F76" s="656">
        <v>8006</v>
      </c>
      <c r="G76" s="473">
        <f t="shared" si="6"/>
        <v>55</v>
      </c>
      <c r="H76" s="460">
        <f>G76+'9'!H76</f>
        <v>587</v>
      </c>
      <c r="I76" s="505"/>
      <c r="J76" s="552">
        <f>H76/DAY(B2)</f>
        <v>58.7</v>
      </c>
      <c r="K76" s="430"/>
      <c r="L76" s="377"/>
      <c r="N76" s="714"/>
    </row>
    <row r="77" spans="1:14" ht="27.75">
      <c r="A77" s="1534" t="s">
        <v>195</v>
      </c>
      <c r="B77" s="1535"/>
      <c r="C77" s="1536"/>
      <c r="D77" s="523" t="s">
        <v>186</v>
      </c>
      <c r="E77" s="519">
        <f>'9'!F77</f>
        <v>703283</v>
      </c>
      <c r="F77" s="656">
        <v>703334</v>
      </c>
      <c r="G77" s="653">
        <f t="shared" si="6"/>
        <v>51</v>
      </c>
      <c r="H77" s="460">
        <f>G77+'9'!H77</f>
        <v>495</v>
      </c>
      <c r="I77" s="505"/>
      <c r="J77" s="552">
        <f>H77/DAY(B2)</f>
        <v>49.5</v>
      </c>
      <c r="K77" s="430"/>
      <c r="L77" s="377"/>
      <c r="N77" s="714"/>
    </row>
    <row r="78" spans="1:14" ht="27.75">
      <c r="A78" s="1144" t="s">
        <v>196</v>
      </c>
      <c r="B78" s="1117"/>
      <c r="C78" s="1117"/>
      <c r="D78" s="523" t="s">
        <v>186</v>
      </c>
      <c r="E78" s="519">
        <f>'9'!F78</f>
        <v>673755</v>
      </c>
      <c r="F78" s="657">
        <v>673807</v>
      </c>
      <c r="G78" s="473">
        <f t="shared" si="6"/>
        <v>52</v>
      </c>
      <c r="H78" s="460">
        <f>G78+'9'!H78</f>
        <v>775</v>
      </c>
      <c r="I78" s="505"/>
      <c r="J78" s="552">
        <f>H78/DAY(B2)</f>
        <v>77.5</v>
      </c>
      <c r="K78" s="430"/>
      <c r="L78" s="377"/>
      <c r="N78" s="714"/>
    </row>
    <row r="79" spans="1:14" ht="27.75">
      <c r="A79" s="1583" t="s">
        <v>91</v>
      </c>
      <c r="B79" s="1584"/>
      <c r="C79" s="1585"/>
      <c r="D79" s="524" t="s">
        <v>186</v>
      </c>
      <c r="E79" s="519">
        <f>'9'!F79</f>
        <v>832369</v>
      </c>
      <c r="F79" s="657">
        <v>832501</v>
      </c>
      <c r="G79" s="473">
        <f t="shared" si="6"/>
        <v>132</v>
      </c>
      <c r="H79" s="460">
        <f>G79+'9'!H79</f>
        <v>1491</v>
      </c>
      <c r="I79" s="505"/>
      <c r="J79" s="552">
        <f>H79/DAY(B2)</f>
        <v>149.1</v>
      </c>
      <c r="K79" s="430"/>
      <c r="L79" s="377"/>
      <c r="N79" s="714"/>
    </row>
    <row r="80" spans="1:14" ht="27.75">
      <c r="A80" s="1583" t="s">
        <v>197</v>
      </c>
      <c r="B80" s="1584"/>
      <c r="C80" s="1585"/>
      <c r="D80" s="524" t="s">
        <v>186</v>
      </c>
      <c r="E80" s="519">
        <f>'9'!F80</f>
        <v>530999</v>
      </c>
      <c r="F80" s="656">
        <v>531370</v>
      </c>
      <c r="G80" s="473">
        <f>F80-E80</f>
        <v>371</v>
      </c>
      <c r="H80" s="460">
        <f>G80+'9'!H80</f>
        <v>3712</v>
      </c>
      <c r="I80" s="505"/>
      <c r="J80" s="552">
        <f>H80/DAY(B2)</f>
        <v>371.2</v>
      </c>
      <c r="K80" s="430"/>
      <c r="L80" s="377"/>
      <c r="N80" s="714"/>
    </row>
    <row r="81" spans="1:15" ht="27.75">
      <c r="A81" s="1583" t="s">
        <v>198</v>
      </c>
      <c r="B81" s="1584"/>
      <c r="C81" s="1585"/>
      <c r="D81" s="524" t="s">
        <v>186</v>
      </c>
      <c r="E81" s="519">
        <f>'9'!F81</f>
        <v>639898</v>
      </c>
      <c r="F81" s="656">
        <v>640000</v>
      </c>
      <c r="G81" s="473">
        <f t="shared" si="6"/>
        <v>102</v>
      </c>
      <c r="H81" s="460">
        <f>G81+'9'!H81</f>
        <v>1102</v>
      </c>
      <c r="I81" s="505"/>
      <c r="J81" s="552">
        <f>H81/DAY(B2)</f>
        <v>110.2</v>
      </c>
      <c r="K81" s="430"/>
      <c r="L81" s="377"/>
      <c r="N81" s="714"/>
    </row>
    <row r="82" spans="1:15" ht="27.75">
      <c r="A82" s="1583" t="s">
        <v>92</v>
      </c>
      <c r="B82" s="1584"/>
      <c r="C82" s="1585"/>
      <c r="D82" s="485" t="s">
        <v>131</v>
      </c>
      <c r="E82" s="519">
        <f>'9'!F82</f>
        <v>108300</v>
      </c>
      <c r="F82" s="652">
        <v>108311</v>
      </c>
      <c r="G82" s="473">
        <f t="shared" si="6"/>
        <v>11</v>
      </c>
      <c r="H82" s="460">
        <f>G82+'9'!H82</f>
        <v>153</v>
      </c>
      <c r="I82" s="486"/>
      <c r="J82" s="552">
        <f>H82/DAY(B2)</f>
        <v>15.3</v>
      </c>
      <c r="K82" s="430"/>
      <c r="L82" s="377"/>
      <c r="N82" s="714"/>
    </row>
    <row r="83" spans="1:15" ht="27.75">
      <c r="A83" s="1583" t="s">
        <v>199</v>
      </c>
      <c r="B83" s="1584"/>
      <c r="C83" s="1585"/>
      <c r="D83" s="620" t="s">
        <v>131</v>
      </c>
      <c r="E83" s="519">
        <f>'9'!F83</f>
        <v>22278</v>
      </c>
      <c r="F83" s="511">
        <v>22510</v>
      </c>
      <c r="G83" s="473">
        <f t="shared" si="6"/>
        <v>232</v>
      </c>
      <c r="H83" s="460">
        <f>G83+'9'!H83</f>
        <v>2004</v>
      </c>
      <c r="I83" s="481"/>
      <c r="J83" s="552">
        <f>H83/DAY(B2)</f>
        <v>200.4</v>
      </c>
      <c r="K83" s="429"/>
      <c r="L83" s="377"/>
      <c r="N83" s="714"/>
    </row>
    <row r="84" spans="1:15">
      <c r="A84" s="1145" t="s">
        <v>200</v>
      </c>
      <c r="B84" s="571"/>
      <c r="C84" s="571"/>
      <c r="D84" s="478" t="s">
        <v>131</v>
      </c>
      <c r="E84" s="519">
        <f>'9'!F84</f>
        <v>507300</v>
      </c>
      <c r="F84" s="627">
        <v>507892</v>
      </c>
      <c r="G84" s="473">
        <f t="shared" si="6"/>
        <v>592</v>
      </c>
      <c r="H84" s="460">
        <f>G84+'9'!H84</f>
        <v>7598</v>
      </c>
      <c r="I84" s="481"/>
      <c r="J84" s="552">
        <f>H84/DAY(B2)</f>
        <v>759.8</v>
      </c>
      <c r="K84" s="380"/>
      <c r="L84" s="377"/>
      <c r="N84" s="714"/>
    </row>
    <row r="85" spans="1:15" s="379" customFormat="1">
      <c r="A85" s="605" t="s">
        <v>201</v>
      </c>
      <c r="B85" s="572"/>
      <c r="C85" s="572"/>
      <c r="D85" s="489"/>
      <c r="E85" s="523"/>
      <c r="F85" s="523"/>
      <c r="G85" s="460">
        <f xml:space="preserve"> SUM(G71:G84)</f>
        <v>1669</v>
      </c>
      <c r="H85" s="460">
        <f>G85+'9'!H85</f>
        <v>18693.96</v>
      </c>
      <c r="I85" s="481"/>
      <c r="J85" s="552">
        <f>H85/DAY(B2)</f>
        <v>1869.396</v>
      </c>
      <c r="K85" s="380"/>
      <c r="L85" s="378"/>
      <c r="N85" s="714"/>
    </row>
    <row r="86" spans="1:15" s="736" customFormat="1">
      <c r="A86" s="731" t="s">
        <v>93</v>
      </c>
      <c r="B86" s="732"/>
      <c r="C86" s="732"/>
      <c r="D86" s="733" t="s">
        <v>182</v>
      </c>
      <c r="E86" s="627">
        <f>'9'!F86</f>
        <v>461219</v>
      </c>
      <c r="F86" s="648">
        <v>461249</v>
      </c>
      <c r="G86" s="706">
        <f t="shared" ref="G86:G91" si="7">F86-E86</f>
        <v>30</v>
      </c>
      <c r="H86" s="460">
        <f>G86+'9'!H86</f>
        <v>95</v>
      </c>
      <c r="I86" s="653"/>
      <c r="J86" s="708">
        <f>H86/DAY(B2)</f>
        <v>9.5</v>
      </c>
      <c r="K86" s="734"/>
      <c r="L86" s="735"/>
      <c r="O86" s="714"/>
    </row>
    <row r="87" spans="1:15" s="736" customFormat="1">
      <c r="A87" s="731" t="s">
        <v>94</v>
      </c>
      <c r="B87" s="732"/>
      <c r="C87" s="732"/>
      <c r="D87" s="733" t="s">
        <v>182</v>
      </c>
      <c r="E87" s="627">
        <f>'9'!F87</f>
        <v>81557</v>
      </c>
      <c r="F87" s="648">
        <v>81583</v>
      </c>
      <c r="G87" s="706">
        <f t="shared" si="7"/>
        <v>26</v>
      </c>
      <c r="H87" s="460">
        <f>G87+'9'!H87</f>
        <v>78.19999999999709</v>
      </c>
      <c r="I87" s="653"/>
      <c r="J87" s="708">
        <f>H87/DAY(B2)</f>
        <v>7.819999999999709</v>
      </c>
      <c r="K87" s="734"/>
      <c r="L87" s="735"/>
      <c r="O87" s="714"/>
    </row>
    <row r="88" spans="1:15" s="736" customFormat="1">
      <c r="A88" s="731" t="s">
        <v>95</v>
      </c>
      <c r="B88" s="732"/>
      <c r="C88" s="732"/>
      <c r="D88" s="733" t="s">
        <v>182</v>
      </c>
      <c r="E88" s="627">
        <f>'9'!F88</f>
        <v>153439</v>
      </c>
      <c r="F88" s="639">
        <v>153468</v>
      </c>
      <c r="G88" s="706">
        <f t="shared" si="7"/>
        <v>29</v>
      </c>
      <c r="H88" s="460">
        <f>G88+'9'!H88</f>
        <v>88</v>
      </c>
      <c r="I88" s="653"/>
      <c r="J88" s="708">
        <f>H88/DAY(B2)</f>
        <v>8.8000000000000007</v>
      </c>
      <c r="K88" s="734"/>
      <c r="L88" s="735"/>
      <c r="O88" s="714"/>
    </row>
    <row r="89" spans="1:15" s="736" customFormat="1">
      <c r="A89" s="731" t="s">
        <v>203</v>
      </c>
      <c r="B89" s="732"/>
      <c r="C89" s="732"/>
      <c r="D89" s="733" t="s">
        <v>182</v>
      </c>
      <c r="E89" s="627">
        <f>'9'!F89</f>
        <v>65319</v>
      </c>
      <c r="F89" s="648">
        <v>65343</v>
      </c>
      <c r="G89" s="706">
        <f t="shared" si="7"/>
        <v>24</v>
      </c>
      <c r="H89" s="460">
        <f>G89+'9'!H89</f>
        <v>58.400000000001455</v>
      </c>
      <c r="I89" s="653"/>
      <c r="J89" s="708">
        <f>H89/DAY(B2)</f>
        <v>5.8400000000001455</v>
      </c>
      <c r="K89" s="734"/>
      <c r="L89" s="735"/>
      <c r="N89" s="778"/>
      <c r="O89" s="382"/>
    </row>
    <row r="90" spans="1:15" s="736" customFormat="1">
      <c r="A90" s="731" t="s">
        <v>203</v>
      </c>
      <c r="B90" s="732"/>
      <c r="C90" s="732"/>
      <c r="D90" s="733" t="s">
        <v>182</v>
      </c>
      <c r="E90" s="627">
        <f>'9'!F90</f>
        <v>3283</v>
      </c>
      <c r="F90" s="648">
        <v>3286</v>
      </c>
      <c r="G90" s="706">
        <f t="shared" si="7"/>
        <v>3</v>
      </c>
      <c r="H90" s="460">
        <f>G90+'9'!H90</f>
        <v>8.5999999999999091</v>
      </c>
      <c r="I90" s="653"/>
      <c r="J90" s="708">
        <f>H90/DAY(B2)</f>
        <v>0.85999999999999088</v>
      </c>
      <c r="K90" s="734"/>
      <c r="L90" s="735"/>
      <c r="N90" s="778"/>
      <c r="O90" s="382"/>
    </row>
    <row r="91" spans="1:15" s="736" customFormat="1">
      <c r="A91" s="731" t="s">
        <v>350</v>
      </c>
      <c r="B91" s="732"/>
      <c r="C91" s="732"/>
      <c r="D91" s="733"/>
      <c r="E91" s="627">
        <f>'9'!F91</f>
        <v>28091</v>
      </c>
      <c r="F91" s="648">
        <v>28100</v>
      </c>
      <c r="G91" s="706">
        <f t="shared" si="7"/>
        <v>9</v>
      </c>
      <c r="H91" s="706"/>
      <c r="I91" s="653"/>
      <c r="J91" s="708"/>
      <c r="K91" s="734"/>
      <c r="L91" s="735"/>
      <c r="N91" s="778"/>
      <c r="O91" s="382"/>
    </row>
    <row r="92" spans="1:15" s="379" customFormat="1">
      <c r="A92" s="606" t="s">
        <v>204</v>
      </c>
      <c r="B92" s="1147"/>
      <c r="C92" s="1147"/>
      <c r="D92" s="472"/>
      <c r="E92" s="472"/>
      <c r="F92" s="472"/>
      <c r="G92" s="488"/>
      <c r="H92" s="472"/>
      <c r="I92" s="472"/>
      <c r="J92" s="551"/>
      <c r="K92" s="380"/>
      <c r="L92" s="378"/>
      <c r="N92" s="714"/>
    </row>
    <row r="93" spans="1:15" ht="27.75">
      <c r="A93" s="1537" t="s">
        <v>205</v>
      </c>
      <c r="B93" s="1538"/>
      <c r="C93" s="1539"/>
      <c r="D93" s="523" t="s">
        <v>143</v>
      </c>
      <c r="E93" s="484">
        <f>'9'!F93</f>
        <v>245842</v>
      </c>
      <c r="F93" s="478">
        <v>245883</v>
      </c>
      <c r="G93" s="473">
        <f t="shared" ref="G93:G94" si="8">F93-E93</f>
        <v>41</v>
      </c>
      <c r="H93" s="460">
        <f>G93+'9'!H93</f>
        <v>395</v>
      </c>
      <c r="I93" s="480"/>
      <c r="J93" s="552">
        <f>H93/DAY(B2)</f>
        <v>39.5</v>
      </c>
      <c r="K93" s="429"/>
      <c r="L93" s="377"/>
      <c r="N93" s="714"/>
    </row>
    <row r="94" spans="1:15" ht="27.75">
      <c r="A94" s="1537" t="s">
        <v>206</v>
      </c>
      <c r="B94" s="1538"/>
      <c r="C94" s="1539"/>
      <c r="D94" s="523" t="s">
        <v>143</v>
      </c>
      <c r="E94" s="484">
        <f>'9'!F94</f>
        <v>186904</v>
      </c>
      <c r="F94" s="478">
        <v>187020</v>
      </c>
      <c r="G94" s="473">
        <f t="shared" si="8"/>
        <v>116</v>
      </c>
      <c r="H94" s="460">
        <f>G94+'9'!H94</f>
        <v>899</v>
      </c>
      <c r="I94" s="480"/>
      <c r="J94" s="552">
        <f>H94/DAY(B2)</f>
        <v>89.9</v>
      </c>
      <c r="K94" s="380"/>
      <c r="L94" s="377"/>
      <c r="N94" s="714"/>
    </row>
    <row r="95" spans="1:15">
      <c r="A95" s="1531" t="s">
        <v>207</v>
      </c>
      <c r="B95" s="1532"/>
      <c r="C95" s="1533"/>
      <c r="D95" s="523"/>
      <c r="E95" s="484"/>
      <c r="F95" s="478"/>
      <c r="G95" s="473">
        <f>G93+G94</f>
        <v>157</v>
      </c>
      <c r="H95" s="460">
        <f>G95+'9'!H95</f>
        <v>1218</v>
      </c>
      <c r="I95" s="480"/>
      <c r="J95" s="552">
        <f>H95/DAY(B2)</f>
        <v>121.8</v>
      </c>
      <c r="K95" s="380"/>
      <c r="L95" s="377"/>
      <c r="N95" s="714"/>
    </row>
    <row r="96" spans="1:15" ht="27.75">
      <c r="A96" s="1537" t="s">
        <v>208</v>
      </c>
      <c r="B96" s="1538"/>
      <c r="C96" s="1539"/>
      <c r="D96" s="523" t="s">
        <v>143</v>
      </c>
      <c r="E96" s="484">
        <f>'9'!F96</f>
        <v>414705</v>
      </c>
      <c r="F96" s="478">
        <v>414764</v>
      </c>
      <c r="G96" s="473">
        <f t="shared" ref="G96:G101" si="9">F96-E96</f>
        <v>59</v>
      </c>
      <c r="H96" s="460">
        <f>G96+'9'!H96</f>
        <v>481</v>
      </c>
      <c r="I96" s="480"/>
      <c r="J96" s="552">
        <f>H96/DAY(B2)</f>
        <v>48.1</v>
      </c>
      <c r="K96" s="380"/>
      <c r="L96" s="377"/>
      <c r="N96" s="714"/>
    </row>
    <row r="97" spans="1:14" ht="27.75">
      <c r="A97" s="1141" t="s">
        <v>209</v>
      </c>
      <c r="B97" s="1142"/>
      <c r="C97" s="1142"/>
      <c r="D97" s="523" t="s">
        <v>143</v>
      </c>
      <c r="E97" s="484">
        <f>'9'!F97</f>
        <v>102750</v>
      </c>
      <c r="F97" s="478">
        <v>102761</v>
      </c>
      <c r="G97" s="473">
        <f t="shared" si="9"/>
        <v>11</v>
      </c>
      <c r="H97" s="460">
        <f>G97+'9'!H97</f>
        <v>113</v>
      </c>
      <c r="I97" s="480"/>
      <c r="J97" s="552">
        <f>H97/DAY(B2)</f>
        <v>11.3</v>
      </c>
      <c r="K97" s="427"/>
      <c r="L97" s="377"/>
      <c r="N97" s="714"/>
    </row>
    <row r="98" spans="1:14" ht="27.75">
      <c r="A98" s="1141" t="s">
        <v>210</v>
      </c>
      <c r="B98" s="1142"/>
      <c r="C98" s="1142"/>
      <c r="D98" s="523" t="s">
        <v>143</v>
      </c>
      <c r="E98" s="484">
        <f>'9'!F98</f>
        <v>98109</v>
      </c>
      <c r="F98" s="478">
        <v>98125</v>
      </c>
      <c r="G98" s="473">
        <f t="shared" si="9"/>
        <v>16</v>
      </c>
      <c r="H98" s="460">
        <f>G98+'9'!H98</f>
        <v>175</v>
      </c>
      <c r="I98" s="480"/>
      <c r="J98" s="552">
        <f>H98/DAY(B2)</f>
        <v>17.5</v>
      </c>
      <c r="K98" s="432"/>
      <c r="L98" s="377"/>
      <c r="N98" s="714"/>
    </row>
    <row r="99" spans="1:14" ht="27.75">
      <c r="A99" s="1141" t="s">
        <v>211</v>
      </c>
      <c r="B99" s="1142"/>
      <c r="C99" s="1142"/>
      <c r="D99" s="523" t="s">
        <v>143</v>
      </c>
      <c r="E99" s="484">
        <f>'9'!F99</f>
        <v>149914</v>
      </c>
      <c r="F99" s="478">
        <v>149918</v>
      </c>
      <c r="G99" s="473">
        <f t="shared" si="9"/>
        <v>4</v>
      </c>
      <c r="H99" s="460">
        <f>G99+'9'!H99</f>
        <v>66</v>
      </c>
      <c r="I99" s="480"/>
      <c r="J99" s="552">
        <f>H99/DAY(B2)</f>
        <v>6.6</v>
      </c>
      <c r="K99" s="380"/>
      <c r="L99" s="377"/>
      <c r="N99" s="716"/>
    </row>
    <row r="100" spans="1:14" ht="27.75">
      <c r="A100" s="1141" t="s">
        <v>212</v>
      </c>
      <c r="B100" s="1142"/>
      <c r="C100" s="1142"/>
      <c r="D100" s="523" t="s">
        <v>143</v>
      </c>
      <c r="E100" s="484">
        <f>'9'!F100</f>
        <v>7494</v>
      </c>
      <c r="F100" s="478">
        <v>7502</v>
      </c>
      <c r="G100" s="473">
        <f t="shared" si="9"/>
        <v>8</v>
      </c>
      <c r="H100" s="460">
        <f>G100+'9'!H100</f>
        <v>133</v>
      </c>
      <c r="I100" s="480"/>
      <c r="J100" s="552">
        <f>H100/DAY(B2)</f>
        <v>13.3</v>
      </c>
      <c r="K100" s="380"/>
      <c r="L100" s="377"/>
      <c r="N100" s="714"/>
    </row>
    <row r="101" spans="1:14" ht="27.75">
      <c r="A101" s="1141" t="s">
        <v>213</v>
      </c>
      <c r="B101" s="1142"/>
      <c r="C101" s="1142"/>
      <c r="D101" s="523" t="s">
        <v>143</v>
      </c>
      <c r="E101" s="484">
        <f>'9'!F101</f>
        <v>5446</v>
      </c>
      <c r="F101" s="478">
        <v>5452</v>
      </c>
      <c r="G101" s="473">
        <f t="shared" si="9"/>
        <v>6</v>
      </c>
      <c r="H101" s="460">
        <f>G101+'9'!H101</f>
        <v>61</v>
      </c>
      <c r="I101" s="480"/>
      <c r="J101" s="552">
        <f>H101/DAY(B2)</f>
        <v>6.1</v>
      </c>
      <c r="K101" s="380"/>
      <c r="L101" s="377"/>
      <c r="N101" s="714"/>
    </row>
    <row r="102" spans="1:14">
      <c r="A102" s="1531" t="s">
        <v>215</v>
      </c>
      <c r="B102" s="1532"/>
      <c r="C102" s="1533"/>
      <c r="D102" s="524"/>
      <c r="E102" s="484"/>
      <c r="F102" s="524"/>
      <c r="G102" s="525">
        <f>SUM(G96:G101)</f>
        <v>104</v>
      </c>
      <c r="H102" s="460">
        <f>G102+'9'!H102</f>
        <v>1029</v>
      </c>
      <c r="I102" s="526"/>
      <c r="J102" s="552">
        <f>H102/DAY(B2)</f>
        <v>102.9</v>
      </c>
      <c r="K102" s="380"/>
      <c r="L102" s="377"/>
      <c r="N102" s="714"/>
    </row>
    <row r="103" spans="1:14" s="442" customFormat="1" ht="27">
      <c r="A103" s="607" t="s">
        <v>216</v>
      </c>
      <c r="B103" s="608"/>
      <c r="C103" s="608"/>
      <c r="D103" s="621"/>
      <c r="E103" s="484"/>
      <c r="F103" s="658"/>
      <c r="G103" s="529"/>
      <c r="H103" s="530"/>
      <c r="I103" s="531"/>
      <c r="J103" s="557"/>
      <c r="N103" s="714"/>
    </row>
    <row r="104" spans="1:14" s="442" customFormat="1" ht="27.75">
      <c r="A104" s="1540" t="s">
        <v>217</v>
      </c>
      <c r="B104" s="1541"/>
      <c r="C104" s="573"/>
      <c r="D104" s="622"/>
      <c r="E104" s="484"/>
      <c r="F104" s="659"/>
      <c r="G104" s="532"/>
      <c r="H104" s="533"/>
      <c r="I104" s="532"/>
      <c r="J104" s="558"/>
      <c r="N104" s="714"/>
    </row>
    <row r="105" spans="1:14" s="442" customFormat="1" ht="27.75">
      <c r="A105" s="1542" t="s">
        <v>218</v>
      </c>
      <c r="B105" s="1543"/>
      <c r="C105" s="1140"/>
      <c r="D105" s="622" t="s">
        <v>143</v>
      </c>
      <c r="E105" s="484">
        <f>'9'!F105</f>
        <v>7484</v>
      </c>
      <c r="F105" s="659">
        <v>7484</v>
      </c>
      <c r="G105" s="532">
        <v>0</v>
      </c>
      <c r="H105" s="460">
        <f>G105+'9'!H105</f>
        <v>0</v>
      </c>
      <c r="I105" s="532"/>
      <c r="J105" s="558">
        <f>H105/DAY(B2)</f>
        <v>0</v>
      </c>
      <c r="N105" s="714"/>
    </row>
    <row r="106" spans="1:14" s="442" customFormat="1" ht="27.75">
      <c r="A106" s="1542" t="s">
        <v>76</v>
      </c>
      <c r="B106" s="1543"/>
      <c r="C106" s="1140"/>
      <c r="D106" s="622" t="s">
        <v>143</v>
      </c>
      <c r="E106" s="484">
        <f>'9'!F106</f>
        <v>35989</v>
      </c>
      <c r="F106" s="660">
        <v>36006</v>
      </c>
      <c r="G106" s="532">
        <f t="shared" ref="G106:G107" si="10">F106-E106</f>
        <v>17</v>
      </c>
      <c r="H106" s="460">
        <f>G106+'9'!H106</f>
        <v>53</v>
      </c>
      <c r="I106" s="532"/>
      <c r="J106" s="558">
        <f>H106/DAY(B2)</f>
        <v>5.3</v>
      </c>
      <c r="N106" s="714"/>
    </row>
    <row r="107" spans="1:14" s="442" customFormat="1" ht="27.75">
      <c r="A107" s="1542" t="s">
        <v>77</v>
      </c>
      <c r="B107" s="1544"/>
      <c r="C107" s="1543"/>
      <c r="D107" s="622" t="s">
        <v>143</v>
      </c>
      <c r="E107" s="484">
        <f>'9'!F107</f>
        <v>19732</v>
      </c>
      <c r="F107" s="660">
        <v>19739</v>
      </c>
      <c r="G107" s="532">
        <f t="shared" si="10"/>
        <v>7</v>
      </c>
      <c r="H107" s="460">
        <f>G107+'9'!H107</f>
        <v>31</v>
      </c>
      <c r="I107" s="532"/>
      <c r="J107" s="558">
        <f>H107/DAY(B2)</f>
        <v>3.1</v>
      </c>
      <c r="N107" s="714"/>
    </row>
    <row r="108" spans="1:14" s="442" customFormat="1" ht="27.75">
      <c r="A108" s="1545" t="s">
        <v>201</v>
      </c>
      <c r="B108" s="1546"/>
      <c r="C108" s="1140"/>
      <c r="D108" s="622"/>
      <c r="E108" s="484"/>
      <c r="F108" s="660"/>
      <c r="G108" s="532">
        <f>SUM(G105:G107)</f>
        <v>24</v>
      </c>
      <c r="H108" s="460">
        <f>G108+'9'!H108</f>
        <v>84</v>
      </c>
      <c r="I108" s="532"/>
      <c r="J108" s="558">
        <f>H108/DAY(B2)</f>
        <v>8.4</v>
      </c>
      <c r="N108" s="714"/>
    </row>
    <row r="109" spans="1:14" s="442" customFormat="1" ht="27.75">
      <c r="A109" s="1547" t="s">
        <v>78</v>
      </c>
      <c r="B109" s="1548"/>
      <c r="C109" s="1140"/>
      <c r="D109" s="622" t="s">
        <v>143</v>
      </c>
      <c r="E109" s="484"/>
      <c r="F109" s="660"/>
      <c r="G109" s="532"/>
      <c r="H109" s="533"/>
      <c r="I109" s="532"/>
      <c r="J109" s="558"/>
      <c r="N109" s="714"/>
    </row>
    <row r="110" spans="1:14" s="442" customFormat="1" ht="27.75">
      <c r="A110" s="1542" t="s">
        <v>219</v>
      </c>
      <c r="B110" s="1543"/>
      <c r="C110" s="1140"/>
      <c r="D110" s="622" t="s">
        <v>143</v>
      </c>
      <c r="E110" s="484">
        <f>'9'!F110</f>
        <v>63427</v>
      </c>
      <c r="F110" s="660">
        <v>63489</v>
      </c>
      <c r="G110" s="532">
        <f>F110-E110</f>
        <v>62</v>
      </c>
      <c r="H110" s="460">
        <f>G110+'9'!H110</f>
        <v>655</v>
      </c>
      <c r="I110" s="532"/>
      <c r="J110" s="558">
        <f>H110/DAY(B2)</f>
        <v>65.5</v>
      </c>
      <c r="N110" s="714"/>
    </row>
    <row r="111" spans="1:14" s="442" customFormat="1" ht="27.75">
      <c r="A111" s="1542" t="s">
        <v>220</v>
      </c>
      <c r="B111" s="1543"/>
      <c r="C111" s="1140"/>
      <c r="D111" s="622" t="s">
        <v>143</v>
      </c>
      <c r="E111" s="484">
        <f>'9'!F111</f>
        <v>32632</v>
      </c>
      <c r="F111" s="660">
        <v>32645</v>
      </c>
      <c r="G111" s="532">
        <f t="shared" ref="G111:G112" si="11">F111-E111</f>
        <v>13</v>
      </c>
      <c r="H111" s="460">
        <f>G111+'9'!H111</f>
        <v>67</v>
      </c>
      <c r="I111" s="532"/>
      <c r="J111" s="558">
        <f>H111/DAY(B2)</f>
        <v>6.7</v>
      </c>
      <c r="N111" s="714"/>
    </row>
    <row r="112" spans="1:14" s="442" customFormat="1" ht="27.75">
      <c r="A112" s="1542" t="s">
        <v>221</v>
      </c>
      <c r="B112" s="1543"/>
      <c r="C112" s="1140"/>
      <c r="D112" s="622" t="s">
        <v>143</v>
      </c>
      <c r="E112" s="484">
        <f>'9'!F112</f>
        <v>4621</v>
      </c>
      <c r="F112" s="660">
        <v>4621</v>
      </c>
      <c r="G112" s="532">
        <f t="shared" si="11"/>
        <v>0</v>
      </c>
      <c r="H112" s="460">
        <f>G112+'9'!H112</f>
        <v>45</v>
      </c>
      <c r="I112" s="532"/>
      <c r="J112" s="558">
        <f>H112/DAY(B2)</f>
        <v>4.5</v>
      </c>
      <c r="N112" s="714"/>
    </row>
    <row r="113" spans="1:14" s="442" customFormat="1" ht="27.75">
      <c r="A113" s="1545" t="s">
        <v>109</v>
      </c>
      <c r="B113" s="1546"/>
      <c r="C113" s="1140"/>
      <c r="D113" s="622"/>
      <c r="E113" s="484"/>
      <c r="F113" s="660"/>
      <c r="G113" s="532">
        <f>SUM(G110:G112)</f>
        <v>75</v>
      </c>
      <c r="H113" s="460">
        <f>G113+'9'!H113</f>
        <v>767</v>
      </c>
      <c r="I113" s="532"/>
      <c r="J113" s="558">
        <f>H113/DAY(B2)</f>
        <v>76.7</v>
      </c>
      <c r="N113" s="714"/>
    </row>
    <row r="114" spans="1:14" s="442" customFormat="1" ht="27.75">
      <c r="A114" s="1547" t="s">
        <v>222</v>
      </c>
      <c r="B114" s="1548"/>
      <c r="C114" s="1140"/>
      <c r="D114" s="622"/>
      <c r="E114" s="484"/>
      <c r="F114" s="660"/>
      <c r="G114" s="532"/>
      <c r="H114" s="460">
        <f>G114+'9'!H114</f>
        <v>0</v>
      </c>
      <c r="I114" s="532"/>
      <c r="J114" s="558">
        <f>H114/DAY(B2)</f>
        <v>0</v>
      </c>
      <c r="N114" s="714"/>
    </row>
    <row r="115" spans="1:14" s="442" customFormat="1" ht="27.75">
      <c r="A115" s="1542" t="s">
        <v>223</v>
      </c>
      <c r="B115" s="1543"/>
      <c r="C115" s="574"/>
      <c r="D115" s="622" t="s">
        <v>143</v>
      </c>
      <c r="E115" s="484">
        <f>'9'!F115</f>
        <v>11651</v>
      </c>
      <c r="F115" s="660">
        <v>11661</v>
      </c>
      <c r="G115" s="534">
        <f>F115-E115</f>
        <v>10</v>
      </c>
      <c r="H115" s="460">
        <f>G115+'9'!H115</f>
        <v>164</v>
      </c>
      <c r="I115" s="532"/>
      <c r="J115" s="558">
        <f>H115/DAY(B2)</f>
        <v>16.399999999999999</v>
      </c>
      <c r="N115" s="714"/>
    </row>
    <row r="116" spans="1:14" s="442" customFormat="1" ht="27.75">
      <c r="A116" s="1542" t="s">
        <v>224</v>
      </c>
      <c r="B116" s="1543"/>
      <c r="C116" s="574"/>
      <c r="D116" s="622" t="s">
        <v>143</v>
      </c>
      <c r="E116" s="484">
        <f>'9'!F116</f>
        <v>8366</v>
      </c>
      <c r="F116" s="660">
        <v>8371</v>
      </c>
      <c r="G116" s="534">
        <f t="shared" ref="G116:G117" si="12">F116-E116</f>
        <v>5</v>
      </c>
      <c r="H116" s="460">
        <f>G116+'9'!H116</f>
        <v>59</v>
      </c>
      <c r="I116" s="532"/>
      <c r="J116" s="558">
        <f>H116/DAY(B2)</f>
        <v>5.9</v>
      </c>
      <c r="N116" s="714"/>
    </row>
    <row r="117" spans="1:14" s="442" customFormat="1" ht="27.75">
      <c r="A117" s="1542" t="s">
        <v>225</v>
      </c>
      <c r="B117" s="1543"/>
      <c r="C117" s="574"/>
      <c r="D117" s="622" t="s">
        <v>143</v>
      </c>
      <c r="E117" s="534"/>
      <c r="F117" s="660"/>
      <c r="G117" s="534">
        <f t="shared" si="12"/>
        <v>0</v>
      </c>
      <c r="H117" s="460">
        <f>G117+'9'!H117</f>
        <v>0</v>
      </c>
      <c r="I117" s="532"/>
      <c r="J117" s="558">
        <f>H117/DAY(B2)</f>
        <v>0</v>
      </c>
      <c r="N117" s="714"/>
    </row>
    <row r="118" spans="1:14" s="445" customFormat="1" ht="27.75">
      <c r="A118" s="1545" t="s">
        <v>201</v>
      </c>
      <c r="B118" s="1546"/>
      <c r="C118" s="574"/>
      <c r="D118" s="623"/>
      <c r="E118" s="534"/>
      <c r="F118" s="660"/>
      <c r="G118" s="534">
        <f>SUM(G115:G117)</f>
        <v>15</v>
      </c>
      <c r="H118" s="460">
        <f>G118+'9'!H118</f>
        <v>223</v>
      </c>
      <c r="I118" s="534"/>
      <c r="J118" s="558">
        <f>H118/DAY(B2)</f>
        <v>22.3</v>
      </c>
      <c r="N118" s="714"/>
    </row>
    <row r="119" spans="1:14" s="446" customFormat="1" ht="27.75">
      <c r="A119" s="1576" t="s">
        <v>226</v>
      </c>
      <c r="B119" s="1577"/>
      <c r="C119" s="1138"/>
      <c r="D119" s="624" t="s">
        <v>143</v>
      </c>
      <c r="E119" s="536"/>
      <c r="F119" s="661">
        <f>SUM(G19+G93)</f>
        <v>107</v>
      </c>
      <c r="G119" s="536">
        <f>SUM(G19+G93)</f>
        <v>107</v>
      </c>
      <c r="H119" s="460">
        <f>G119+'9'!H119</f>
        <v>1023</v>
      </c>
      <c r="I119" s="535"/>
      <c r="J119" s="559">
        <f>H119/DAY(B2)</f>
        <v>102.3</v>
      </c>
      <c r="N119" s="714"/>
    </row>
    <row r="120" spans="1:14" s="446" customFormat="1" ht="27.75">
      <c r="A120" s="1576" t="s">
        <v>227</v>
      </c>
      <c r="B120" s="1577"/>
      <c r="C120" s="1138"/>
      <c r="D120" s="624" t="s">
        <v>143</v>
      </c>
      <c r="E120" s="536"/>
      <c r="F120" s="661">
        <f>SUM(G96,G97,G98,G100,G101)</f>
        <v>100</v>
      </c>
      <c r="G120" s="536">
        <f>SUM(G96,G97,G98,G100,G101)</f>
        <v>100</v>
      </c>
      <c r="H120" s="460">
        <f>G120+'9'!H120</f>
        <v>963</v>
      </c>
      <c r="I120" s="535"/>
      <c r="J120" s="559">
        <f>H120/DAY(B2)</f>
        <v>96.3</v>
      </c>
      <c r="N120" s="714"/>
    </row>
    <row r="121" spans="1:14" s="446" customFormat="1" ht="27.75">
      <c r="A121" s="1576" t="s">
        <v>228</v>
      </c>
      <c r="B121" s="1577"/>
      <c r="C121" s="1138"/>
      <c r="D121" s="624" t="s">
        <v>143</v>
      </c>
      <c r="E121" s="534"/>
      <c r="F121" s="660">
        <f>SUM(G113)</f>
        <v>75</v>
      </c>
      <c r="G121" s="534">
        <f>SUM(G113)</f>
        <v>75</v>
      </c>
      <c r="H121" s="460">
        <f>G121+'9'!H121</f>
        <v>767</v>
      </c>
      <c r="I121" s="535"/>
      <c r="J121" s="559">
        <f>H121/DAY(B2)</f>
        <v>76.7</v>
      </c>
      <c r="N121" s="714"/>
    </row>
    <row r="122" spans="1:14" s="442" customFormat="1" ht="27.75">
      <c r="A122" s="1578"/>
      <c r="B122" s="1579"/>
      <c r="C122" s="1139"/>
      <c r="D122" s="560"/>
      <c r="E122" s="560"/>
      <c r="F122" s="662" t="s">
        <v>214</v>
      </c>
      <c r="G122" s="560"/>
      <c r="H122" s="561"/>
      <c r="I122" s="560"/>
      <c r="J122" s="562"/>
      <c r="N122" s="714"/>
    </row>
    <row r="123" spans="1:14">
      <c r="A123" s="1528" t="s">
        <v>229</v>
      </c>
      <c r="B123" s="1529"/>
      <c r="C123" s="1530"/>
      <c r="D123" s="472"/>
      <c r="E123" s="472"/>
      <c r="F123" s="472"/>
      <c r="G123" s="483"/>
      <c r="H123" s="483"/>
      <c r="I123" s="483"/>
      <c r="J123" s="563"/>
      <c r="K123" s="380"/>
      <c r="L123" s="377"/>
      <c r="N123" s="714"/>
    </row>
    <row r="124" spans="1:14" ht="27.75">
      <c r="A124" s="1141" t="s">
        <v>230</v>
      </c>
      <c r="B124" s="1142"/>
      <c r="C124" s="1142"/>
      <c r="D124" s="523" t="s">
        <v>140</v>
      </c>
      <c r="E124" s="478">
        <f>'9'!F124</f>
        <v>834008</v>
      </c>
      <c r="F124" s="478">
        <v>834219</v>
      </c>
      <c r="G124" s="473">
        <f t="shared" ref="G124:G128" si="13">F124-E124</f>
        <v>211</v>
      </c>
      <c r="H124" s="460">
        <f>G124+'9'!H124</f>
        <v>1853</v>
      </c>
      <c r="I124" s="526"/>
      <c r="J124" s="552">
        <f>H124/DAY(B2)</f>
        <v>185.3</v>
      </c>
      <c r="K124" s="380"/>
      <c r="L124" s="377"/>
      <c r="N124" s="714"/>
    </row>
    <row r="125" spans="1:14" ht="27.75">
      <c r="A125" s="1141" t="s">
        <v>231</v>
      </c>
      <c r="B125" s="1142"/>
      <c r="C125" s="1142"/>
      <c r="D125" s="523" t="s">
        <v>140</v>
      </c>
      <c r="E125" s="626">
        <f>'9'!F125</f>
        <v>73583.399999999994</v>
      </c>
      <c r="F125" s="626">
        <v>73583.399999999994</v>
      </c>
      <c r="G125" s="473">
        <f t="shared" si="13"/>
        <v>0</v>
      </c>
      <c r="H125" s="460">
        <f>G125+'9'!H125</f>
        <v>0</v>
      </c>
      <c r="I125" s="526"/>
      <c r="J125" s="552">
        <f>H125/DAY(B2)</f>
        <v>0</v>
      </c>
      <c r="K125" s="380"/>
      <c r="L125" s="377"/>
      <c r="N125" s="714"/>
    </row>
    <row r="126" spans="1:14" ht="27.75">
      <c r="A126" s="1534" t="s">
        <v>232</v>
      </c>
      <c r="B126" s="1535"/>
      <c r="C126" s="1536"/>
      <c r="D126" s="523" t="s">
        <v>140</v>
      </c>
      <c r="E126" s="478">
        <f>'9'!F126</f>
        <v>147053</v>
      </c>
      <c r="F126" s="478">
        <v>147119</v>
      </c>
      <c r="G126" s="473">
        <f t="shared" si="13"/>
        <v>66</v>
      </c>
      <c r="H126" s="460">
        <f>G126+'9'!H126</f>
        <v>628</v>
      </c>
      <c r="I126" s="526"/>
      <c r="J126" s="552">
        <f>H126/DAY(B2)</f>
        <v>62.8</v>
      </c>
      <c r="K126" s="380"/>
      <c r="L126" s="377"/>
      <c r="N126" s="714"/>
    </row>
    <row r="127" spans="1:14" ht="27.75">
      <c r="A127" s="609" t="s">
        <v>233</v>
      </c>
      <c r="B127" s="1142"/>
      <c r="C127" s="1142"/>
      <c r="D127" s="523" t="s">
        <v>140</v>
      </c>
      <c r="E127" s="626">
        <f>'9'!F127</f>
        <v>31409</v>
      </c>
      <c r="F127" s="626">
        <v>31409</v>
      </c>
      <c r="G127" s="473">
        <f t="shared" si="13"/>
        <v>0</v>
      </c>
      <c r="H127" s="460">
        <f>G127+'9'!H127</f>
        <v>3</v>
      </c>
      <c r="I127" s="526"/>
      <c r="J127" s="552">
        <f>H127/DAY(B2)</f>
        <v>0.3</v>
      </c>
      <c r="K127" s="380"/>
      <c r="L127" s="377"/>
      <c r="N127" s="714"/>
    </row>
    <row r="128" spans="1:14" ht="27.75">
      <c r="A128" s="609" t="s">
        <v>234</v>
      </c>
      <c r="B128" s="1142"/>
      <c r="C128" s="1142"/>
      <c r="D128" s="523" t="s">
        <v>140</v>
      </c>
      <c r="E128" s="626">
        <f>'9'!F128</f>
        <v>8972</v>
      </c>
      <c r="F128" s="626">
        <v>8972</v>
      </c>
      <c r="G128" s="473">
        <f t="shared" si="13"/>
        <v>0</v>
      </c>
      <c r="H128" s="460">
        <f>G128+'9'!H128</f>
        <v>0</v>
      </c>
      <c r="I128" s="480"/>
      <c r="J128" s="552">
        <f>H128/DAY(B2)</f>
        <v>0</v>
      </c>
      <c r="K128" s="380"/>
      <c r="L128" s="377"/>
      <c r="N128" s="714"/>
    </row>
    <row r="129" spans="1:14" s="281" customFormat="1" ht="27.75">
      <c r="A129" s="609" t="s">
        <v>235</v>
      </c>
      <c r="B129" s="1142"/>
      <c r="C129" s="1142"/>
      <c r="D129" s="523"/>
      <c r="E129" s="478"/>
      <c r="F129" s="478"/>
      <c r="G129" s="473">
        <f>G15-SUM(G124:G128)</f>
        <v>388</v>
      </c>
      <c r="H129" s="460"/>
      <c r="I129" s="480"/>
      <c r="J129" s="552"/>
      <c r="K129" s="364"/>
      <c r="L129" s="292"/>
      <c r="N129" s="714"/>
    </row>
    <row r="130" spans="1:14">
      <c r="A130" s="610" t="s">
        <v>236</v>
      </c>
      <c r="B130" s="458"/>
      <c r="C130" s="458"/>
      <c r="D130" s="471"/>
      <c r="E130" s="471"/>
      <c r="F130" s="471"/>
      <c r="G130" s="540"/>
      <c r="H130" s="540"/>
      <c r="I130" s="540"/>
      <c r="J130" s="564"/>
      <c r="N130" s="714"/>
    </row>
    <row r="131" spans="1:14" ht="27.75">
      <c r="A131" s="1141" t="s">
        <v>237</v>
      </c>
      <c r="B131" s="1142"/>
      <c r="C131" s="1142"/>
      <c r="D131" s="523" t="s">
        <v>238</v>
      </c>
      <c r="E131" s="484">
        <f>'9'!F131</f>
        <v>0</v>
      </c>
      <c r="F131" s="478">
        <v>0</v>
      </c>
      <c r="G131" s="473">
        <f t="shared" ref="G131:G141" si="14">F131-E131</f>
        <v>0</v>
      </c>
      <c r="H131" s="460">
        <f>G131+'9'!H131</f>
        <v>0</v>
      </c>
      <c r="I131" s="480"/>
      <c r="J131" s="552">
        <f>H131/DAY(B2)</f>
        <v>0</v>
      </c>
      <c r="N131" s="714"/>
    </row>
    <row r="132" spans="1:14" ht="27.75">
      <c r="A132" s="1141" t="s">
        <v>239</v>
      </c>
      <c r="B132" s="1142"/>
      <c r="C132" s="1142"/>
      <c r="D132" s="523" t="s">
        <v>238</v>
      </c>
      <c r="E132" s="484">
        <f>'9'!F132</f>
        <v>0</v>
      </c>
      <c r="F132" s="478">
        <v>0</v>
      </c>
      <c r="G132" s="473">
        <f t="shared" si="14"/>
        <v>0</v>
      </c>
      <c r="H132" s="460">
        <f>G132+'9'!H132</f>
        <v>0</v>
      </c>
      <c r="I132" s="480"/>
      <c r="J132" s="552">
        <f>H132/DAY(B2)</f>
        <v>0</v>
      </c>
      <c r="N132" s="714"/>
    </row>
    <row r="133" spans="1:14" ht="27.75">
      <c r="A133" s="1141" t="s">
        <v>240</v>
      </c>
      <c r="B133" s="1142"/>
      <c r="C133" s="1142"/>
      <c r="D133" s="523" t="s">
        <v>238</v>
      </c>
      <c r="E133" s="484">
        <f>'9'!F133</f>
        <v>40099</v>
      </c>
      <c r="F133" s="1379">
        <v>40122.449999999997</v>
      </c>
      <c r="G133" s="1380">
        <f t="shared" si="14"/>
        <v>23.44999999999709</v>
      </c>
      <c r="H133" s="460">
        <f>G133+'9'!H133</f>
        <v>87.349999999998545</v>
      </c>
      <c r="I133" s="480"/>
      <c r="J133" s="552">
        <f>H133/DAY(B2)</f>
        <v>8.7349999999998538</v>
      </c>
      <c r="N133" s="714"/>
    </row>
    <row r="134" spans="1:14" ht="27.75">
      <c r="A134" s="1141" t="s">
        <v>241</v>
      </c>
      <c r="B134" s="1142"/>
      <c r="C134" s="1142"/>
      <c r="D134" s="523" t="s">
        <v>238</v>
      </c>
      <c r="E134" s="484">
        <f>'9'!F134</f>
        <v>300</v>
      </c>
      <c r="F134" s="1379">
        <v>300</v>
      </c>
      <c r="G134" s="1380">
        <f t="shared" si="14"/>
        <v>0</v>
      </c>
      <c r="H134" s="460">
        <f>G134+'9'!H134</f>
        <v>0</v>
      </c>
      <c r="I134" s="480">
        <f>G131+G132+G133+G134</f>
        <v>23.44999999999709</v>
      </c>
      <c r="J134" s="552">
        <f>H134/DAY(B2)</f>
        <v>0</v>
      </c>
      <c r="N134" s="714"/>
    </row>
    <row r="135" spans="1:14" ht="27.75">
      <c r="A135" s="1141" t="s">
        <v>242</v>
      </c>
      <c r="B135" s="1142"/>
      <c r="C135" s="1142"/>
      <c r="D135" s="523" t="s">
        <v>238</v>
      </c>
      <c r="E135" s="484">
        <f>'9'!F135</f>
        <v>41730.449999999997</v>
      </c>
      <c r="F135" s="1379">
        <v>41730.449999999997</v>
      </c>
      <c r="G135" s="1380">
        <f t="shared" si="14"/>
        <v>0</v>
      </c>
      <c r="H135" s="460">
        <f>G135+'9'!H135</f>
        <v>0.44999999999708962</v>
      </c>
      <c r="I135" s="480"/>
      <c r="J135" s="552">
        <f>H135/DAY(B2)</f>
        <v>4.499999999970896E-2</v>
      </c>
      <c r="N135" s="714"/>
    </row>
    <row r="136" spans="1:14" ht="27.75">
      <c r="A136" s="1141" t="s">
        <v>243</v>
      </c>
      <c r="B136" s="1142"/>
      <c r="C136" s="1142"/>
      <c r="D136" s="523" t="s">
        <v>238</v>
      </c>
      <c r="E136" s="484">
        <f>'9'!F136</f>
        <v>32874.050000000003</v>
      </c>
      <c r="F136" s="1379">
        <v>32874.050000000003</v>
      </c>
      <c r="G136" s="1380">
        <f t="shared" si="14"/>
        <v>0</v>
      </c>
      <c r="H136" s="460">
        <f>G136+'9'!H136</f>
        <v>159.05000000000291</v>
      </c>
      <c r="I136" s="480"/>
      <c r="J136" s="552">
        <f>H136/DAY(B2)</f>
        <v>15.905000000000291</v>
      </c>
      <c r="N136" s="714"/>
    </row>
    <row r="137" spans="1:14" ht="27.75">
      <c r="A137" s="1141" t="s">
        <v>244</v>
      </c>
      <c r="B137" s="1142"/>
      <c r="C137" s="1142"/>
      <c r="D137" s="523" t="s">
        <v>238</v>
      </c>
      <c r="E137" s="484">
        <f>'9'!F137</f>
        <v>22825.71</v>
      </c>
      <c r="F137" s="1379">
        <v>22833.51</v>
      </c>
      <c r="G137" s="1380">
        <f t="shared" si="14"/>
        <v>7.7999999999992724</v>
      </c>
      <c r="H137" s="460">
        <f>G137+'9'!H137</f>
        <v>26.269999999996799</v>
      </c>
      <c r="I137" s="480">
        <f>G135+G136+G137</f>
        <v>7.7999999999992724</v>
      </c>
      <c r="J137" s="552">
        <f>H137/DAY(B2)</f>
        <v>2.62699999999968</v>
      </c>
      <c r="N137" s="714"/>
    </row>
    <row r="138" spans="1:14" ht="27.75">
      <c r="A138" s="1141" t="s">
        <v>245</v>
      </c>
      <c r="B138" s="1142"/>
      <c r="C138" s="1142"/>
      <c r="D138" s="523" t="s">
        <v>238</v>
      </c>
      <c r="E138" s="484">
        <f>'9'!F138</f>
        <v>25051.82</v>
      </c>
      <c r="F138" s="1379">
        <v>25051.82</v>
      </c>
      <c r="G138" s="1380">
        <f t="shared" si="14"/>
        <v>0</v>
      </c>
      <c r="H138" s="460">
        <f>G138+'9'!H138</f>
        <v>0</v>
      </c>
      <c r="I138" s="480"/>
      <c r="J138" s="552">
        <f>H138/DAY(B2)</f>
        <v>0</v>
      </c>
      <c r="N138" s="714"/>
    </row>
    <row r="139" spans="1:14" ht="27.75">
      <c r="A139" s="1141" t="s">
        <v>246</v>
      </c>
      <c r="B139" s="1142"/>
      <c r="C139" s="1142"/>
      <c r="D139" s="523" t="s">
        <v>238</v>
      </c>
      <c r="E139" s="484">
        <f>'9'!F139</f>
        <v>70448.41</v>
      </c>
      <c r="F139" s="1379">
        <v>70448.41</v>
      </c>
      <c r="G139" s="1380">
        <f t="shared" si="14"/>
        <v>0</v>
      </c>
      <c r="H139" s="460">
        <f>G139+'9'!H139</f>
        <v>36.669999999998254</v>
      </c>
      <c r="I139" s="480">
        <f>G138+G139</f>
        <v>0</v>
      </c>
      <c r="J139" s="552">
        <f>H139/DAY(B2)</f>
        <v>3.6669999999998253</v>
      </c>
      <c r="N139" s="714"/>
    </row>
    <row r="140" spans="1:14" ht="27.75">
      <c r="A140" s="1141" t="s">
        <v>247</v>
      </c>
      <c r="B140" s="1142"/>
      <c r="C140" s="1142"/>
      <c r="D140" s="523" t="s">
        <v>238</v>
      </c>
      <c r="E140" s="484">
        <f>'9'!F140</f>
        <v>1917.79</v>
      </c>
      <c r="F140" s="1379">
        <v>1925.69</v>
      </c>
      <c r="G140" s="1380">
        <f t="shared" si="14"/>
        <v>7.9000000000000909</v>
      </c>
      <c r="H140" s="460">
        <f>G140+'9'!H140</f>
        <v>71.3900000000001</v>
      </c>
      <c r="I140" s="542"/>
      <c r="J140" s="552">
        <f>H140/DAY(B2)</f>
        <v>7.13900000000001</v>
      </c>
      <c r="N140" s="714"/>
    </row>
    <row r="141" spans="1:14" ht="27.75">
      <c r="A141" s="1141" t="s">
        <v>248</v>
      </c>
      <c r="B141" s="1142"/>
      <c r="C141" s="1142"/>
      <c r="D141" s="523" t="s">
        <v>238</v>
      </c>
      <c r="E141" s="484">
        <f>'9'!F141</f>
        <v>4636.88</v>
      </c>
      <c r="F141" s="1379">
        <v>4636.88</v>
      </c>
      <c r="G141" s="1380">
        <f t="shared" si="14"/>
        <v>0</v>
      </c>
      <c r="H141" s="460">
        <f>G141+'9'!H141</f>
        <v>-0.11999999999989086</v>
      </c>
      <c r="I141" s="542"/>
      <c r="J141" s="552">
        <f>H141/DAY(B2)</f>
        <v>-1.1999999999989085E-2</v>
      </c>
      <c r="N141" s="714"/>
    </row>
    <row r="142" spans="1:14">
      <c r="A142" s="1572" t="s">
        <v>249</v>
      </c>
      <c r="B142" s="1573"/>
      <c r="C142" s="1147"/>
      <c r="D142" s="472"/>
      <c r="E142" s="472"/>
      <c r="F142" s="472"/>
      <c r="G142" s="483"/>
      <c r="H142" s="483"/>
      <c r="I142" s="483"/>
      <c r="J142" s="563"/>
      <c r="K142" s="380"/>
      <c r="L142" s="377"/>
      <c r="N142" s="714"/>
    </row>
    <row r="143" spans="1:14" ht="27.75">
      <c r="A143" s="1537" t="s">
        <v>250</v>
      </c>
      <c r="B143" s="1538"/>
      <c r="C143" s="1539"/>
      <c r="D143" s="523" t="s">
        <v>131</v>
      </c>
      <c r="E143" s="523"/>
      <c r="F143" s="523"/>
      <c r="G143" s="460">
        <f>G35+G43+G49+G57</f>
        <v>4611</v>
      </c>
      <c r="H143" s="460">
        <f>G143+'9'!H143</f>
        <v>48110.130000000005</v>
      </c>
      <c r="I143" s="480"/>
      <c r="J143" s="552">
        <f>H143/DAY(B2)</f>
        <v>4811.0130000000008</v>
      </c>
      <c r="K143" s="380"/>
      <c r="L143" s="377"/>
      <c r="N143" s="714"/>
    </row>
    <row r="144" spans="1:14" ht="27.75">
      <c r="A144" s="1537" t="s">
        <v>251</v>
      </c>
      <c r="B144" s="1538"/>
      <c r="C144" s="1539"/>
      <c r="D144" s="523" t="s">
        <v>24</v>
      </c>
      <c r="E144" s="511"/>
      <c r="F144" s="511"/>
      <c r="G144" s="543">
        <f>G143/G7</f>
        <v>0.27032889722694498</v>
      </c>
      <c r="H144" s="460">
        <f>G144+'9'!H144</f>
        <v>2.797789777520566</v>
      </c>
      <c r="I144" s="544"/>
      <c r="J144" s="552">
        <f>H144/DAY(B2)</f>
        <v>0.27977897775205662</v>
      </c>
      <c r="K144" s="380"/>
      <c r="L144" s="377"/>
      <c r="N144" s="714"/>
    </row>
    <row r="145" spans="1:14" ht="27.75">
      <c r="A145" s="1537" t="s">
        <v>252</v>
      </c>
      <c r="B145" s="1538"/>
      <c r="C145" s="1539"/>
      <c r="D145" s="523" t="s">
        <v>131</v>
      </c>
      <c r="E145" s="455"/>
      <c r="F145" s="455"/>
      <c r="G145" s="460">
        <f>G41+G42+G55+G56</f>
        <v>4704.3899999999994</v>
      </c>
      <c r="H145" s="460">
        <f>G145+'9'!H145</f>
        <v>49460.55</v>
      </c>
      <c r="I145" s="480"/>
      <c r="J145" s="552">
        <f>H145/DAY(B2)</f>
        <v>4946.0550000000003</v>
      </c>
      <c r="K145" s="380"/>
      <c r="L145" s="377"/>
      <c r="N145" s="714"/>
    </row>
    <row r="146" spans="1:14" ht="27.75">
      <c r="A146" s="1537" t="s">
        <v>253</v>
      </c>
      <c r="B146" s="1538"/>
      <c r="C146" s="1539"/>
      <c r="D146" s="523" t="s">
        <v>24</v>
      </c>
      <c r="E146" s="455"/>
      <c r="F146" s="455"/>
      <c r="G146" s="543">
        <f>G145/G7</f>
        <v>0.27580406871079322</v>
      </c>
      <c r="H146" s="460">
        <f>G146+'9'!H146</f>
        <v>2.8703542886984481</v>
      </c>
      <c r="I146" s="544"/>
      <c r="J146" s="552">
        <f>H146/DAY(B2)</f>
        <v>0.28703542886984479</v>
      </c>
      <c r="K146" s="380"/>
      <c r="L146" s="377"/>
      <c r="N146" s="714"/>
    </row>
    <row r="147" spans="1:14" ht="27.75">
      <c r="A147" s="1537" t="s">
        <v>254</v>
      </c>
      <c r="B147" s="1538"/>
      <c r="C147" s="1539"/>
      <c r="D147" s="523" t="s">
        <v>131</v>
      </c>
      <c r="E147" s="455"/>
      <c r="F147" s="455"/>
      <c r="G147" s="460">
        <f>G39+G53</f>
        <v>3175.3300000000163</v>
      </c>
      <c r="H147" s="460">
        <f>G147+'9'!H147</f>
        <v>28836</v>
      </c>
      <c r="I147" s="545"/>
      <c r="J147" s="552">
        <f>H147/DAY(B2)</f>
        <v>2883.6</v>
      </c>
      <c r="K147" s="380"/>
      <c r="L147" s="377"/>
      <c r="N147" s="714"/>
    </row>
    <row r="148" spans="1:14" ht="27.75">
      <c r="A148" s="1537" t="s">
        <v>255</v>
      </c>
      <c r="B148" s="1538"/>
      <c r="C148" s="1539"/>
      <c r="D148" s="523" t="s">
        <v>24</v>
      </c>
      <c r="E148" s="455"/>
      <c r="F148" s="455"/>
      <c r="G148" s="543">
        <f>G147/G7</f>
        <v>0.18615993433780947</v>
      </c>
      <c r="H148" s="460">
        <f>G148+'9'!H148</f>
        <v>1.6720281540788964</v>
      </c>
      <c r="I148" s="545"/>
      <c r="J148" s="552">
        <f>H148/DAY(B2)</f>
        <v>0.16720281540788964</v>
      </c>
      <c r="N148" s="714"/>
    </row>
    <row r="149" spans="1:14" ht="27.75">
      <c r="A149" s="1537" t="s">
        <v>256</v>
      </c>
      <c r="B149" s="1538"/>
      <c r="C149" s="1539"/>
      <c r="D149" s="523" t="s">
        <v>182</v>
      </c>
      <c r="E149" s="455"/>
      <c r="F149" s="455"/>
      <c r="G149" s="460">
        <f>G38+G52</f>
        <v>1210</v>
      </c>
      <c r="H149" s="460">
        <f>G149+'9'!H149</f>
        <v>12193.069999999949</v>
      </c>
      <c r="I149" s="480"/>
      <c r="J149" s="552">
        <f>H149/DAY(B2)</f>
        <v>1219.3069999999948</v>
      </c>
      <c r="K149" s="381"/>
      <c r="N149" s="714"/>
    </row>
    <row r="150" spans="1:14" ht="27.75">
      <c r="A150" s="1537" t="s">
        <v>257</v>
      </c>
      <c r="B150" s="1538"/>
      <c r="C150" s="1539"/>
      <c r="D150" s="523" t="s">
        <v>24</v>
      </c>
      <c r="E150" s="455"/>
      <c r="F150" s="455"/>
      <c r="G150" s="543">
        <f>G149/G7</f>
        <v>7.0938617576361607E-2</v>
      </c>
      <c r="H150" s="460">
        <f>G150+'9'!H150</f>
        <v>0.7076227936299786</v>
      </c>
      <c r="I150" s="545"/>
      <c r="J150" s="552">
        <f>H150/DAY(B2)</f>
        <v>7.0762279362997865E-2</v>
      </c>
      <c r="N150" s="714"/>
    </row>
    <row r="151" spans="1:14" ht="27.75">
      <c r="A151" s="1537" t="s">
        <v>258</v>
      </c>
      <c r="B151" s="1538"/>
      <c r="C151" s="1539"/>
      <c r="D151" s="523" t="s">
        <v>182</v>
      </c>
      <c r="E151" s="455"/>
      <c r="F151" s="455"/>
      <c r="G151" s="460">
        <f>G36+G50</f>
        <v>1454</v>
      </c>
      <c r="H151" s="460">
        <f>G151+'9'!H151</f>
        <v>15095.000000000002</v>
      </c>
      <c r="I151" s="545"/>
      <c r="J151" s="552">
        <f>H151/DAY(B2)</f>
        <v>1509.5000000000002</v>
      </c>
      <c r="N151" s="714"/>
    </row>
    <row r="152" spans="1:14" ht="27.75">
      <c r="A152" s="1537" t="s">
        <v>259</v>
      </c>
      <c r="B152" s="1538"/>
      <c r="C152" s="1539"/>
      <c r="D152" s="523" t="s">
        <v>24</v>
      </c>
      <c r="E152" s="455"/>
      <c r="F152" s="455"/>
      <c r="G152" s="543">
        <f>G151/G7</f>
        <v>8.5243595004983297E-2</v>
      </c>
      <c r="H152" s="460">
        <f>G152+'9'!H152</f>
        <v>0.87100844663395716</v>
      </c>
      <c r="I152" s="480"/>
      <c r="J152" s="552">
        <f>H152/DAY(B2)</f>
        <v>8.710084466339571E-2</v>
      </c>
      <c r="N152" s="714"/>
    </row>
    <row r="153" spans="1:14" ht="27.75">
      <c r="A153" s="1537" t="s">
        <v>260</v>
      </c>
      <c r="B153" s="1538"/>
      <c r="C153" s="1539"/>
      <c r="D153" s="523" t="s">
        <v>182</v>
      </c>
      <c r="E153" s="455"/>
      <c r="F153" s="455"/>
      <c r="G153" s="460">
        <f>G37+G51</f>
        <v>1349</v>
      </c>
      <c r="H153" s="460">
        <f>G153+'9'!H153</f>
        <v>13205.869999999995</v>
      </c>
      <c r="I153" s="480"/>
      <c r="J153" s="552">
        <f>H153/DAY(B2)</f>
        <v>1320.5869999999995</v>
      </c>
      <c r="N153" s="714"/>
    </row>
    <row r="154" spans="1:14" ht="28.5" thickBot="1">
      <c r="A154" s="1569" t="s">
        <v>261</v>
      </c>
      <c r="B154" s="1570"/>
      <c r="C154" s="1571"/>
      <c r="D154" s="625" t="s">
        <v>24</v>
      </c>
      <c r="E154" s="565"/>
      <c r="F154" s="565"/>
      <c r="G154" s="566">
        <f>G153/G7</f>
        <v>7.9087764554142001E-2</v>
      </c>
      <c r="H154" s="567">
        <f>G154+'9'!H154</f>
        <v>0.76809243000638661</v>
      </c>
      <c r="I154" s="568"/>
      <c r="J154" s="569">
        <f>H154/DAY(B2)</f>
        <v>7.6809243000638655E-2</v>
      </c>
      <c r="N154" s="714"/>
    </row>
    <row r="155" spans="1:14">
      <c r="A155" s="466"/>
      <c r="B155" s="456"/>
      <c r="C155" s="456"/>
      <c r="D155" s="546"/>
      <c r="E155" s="546"/>
      <c r="F155" s="663"/>
      <c r="G155" s="546"/>
      <c r="H155" s="547"/>
      <c r="I155" s="546"/>
      <c r="J155" s="548"/>
      <c r="N155" s="714"/>
    </row>
    <row r="158" spans="1:14" ht="27.75">
      <c r="A158" s="1587" t="s">
        <v>266</v>
      </c>
      <c r="B158" s="1588"/>
      <c r="C158" s="1588"/>
      <c r="D158" s="1588"/>
      <c r="E158" s="1588"/>
      <c r="F158" s="1588"/>
      <c r="G158" s="1589"/>
    </row>
    <row r="159" spans="1:14">
      <c r="A159" s="785"/>
      <c r="B159" s="786"/>
      <c r="C159" s="786"/>
      <c r="D159" s="511"/>
      <c r="E159" s="455"/>
      <c r="F159" s="659"/>
      <c r="G159" s="473"/>
    </row>
    <row r="160" spans="1:14">
      <c r="A160" s="785"/>
      <c r="B160" s="786"/>
      <c r="C160" s="786"/>
      <c r="D160" s="511"/>
      <c r="E160" s="455"/>
      <c r="F160" s="659"/>
      <c r="G160" s="473"/>
    </row>
    <row r="161" spans="1:8">
      <c r="A161" s="785" t="s">
        <v>262</v>
      </c>
      <c r="B161" s="786"/>
      <c r="C161" s="786"/>
      <c r="D161" s="511" t="s">
        <v>186</v>
      </c>
      <c r="E161" s="1061">
        <f>'9'!F161</f>
        <v>39160</v>
      </c>
      <c r="F161" s="659">
        <v>39239</v>
      </c>
      <c r="G161" s="473">
        <f>F161-E161</f>
        <v>79</v>
      </c>
    </row>
    <row r="162" spans="1:8">
      <c r="A162" s="785" t="s">
        <v>263</v>
      </c>
      <c r="B162" s="786"/>
      <c r="C162" s="786"/>
      <c r="D162" s="511" t="s">
        <v>186</v>
      </c>
      <c r="E162" s="1061">
        <f>'9'!F162</f>
        <v>98475</v>
      </c>
      <c r="F162" s="659">
        <v>98878</v>
      </c>
      <c r="G162" s="473">
        <f t="shared" ref="G162:G172" si="15">F162-E162</f>
        <v>403</v>
      </c>
    </row>
    <row r="163" spans="1:8">
      <c r="A163" s="785" t="s">
        <v>264</v>
      </c>
      <c r="B163" s="786"/>
      <c r="C163" s="786"/>
      <c r="D163" s="511" t="s">
        <v>186</v>
      </c>
      <c r="E163" s="1061">
        <f>'9'!F163</f>
        <v>46817</v>
      </c>
      <c r="F163" s="659">
        <v>47024</v>
      </c>
      <c r="G163" s="473">
        <f t="shared" si="15"/>
        <v>207</v>
      </c>
      <c r="H163" s="514"/>
    </row>
    <row r="164" spans="1:8">
      <c r="A164" s="785" t="s">
        <v>265</v>
      </c>
      <c r="B164" s="786"/>
      <c r="C164" s="786"/>
      <c r="D164" s="511" t="s">
        <v>186</v>
      </c>
      <c r="E164" s="1061">
        <f>'9'!F164</f>
        <v>6640</v>
      </c>
      <c r="F164" s="659">
        <v>6648</v>
      </c>
      <c r="G164" s="473">
        <f t="shared" si="15"/>
        <v>8</v>
      </c>
    </row>
    <row r="165" spans="1:8">
      <c r="A165" s="787" t="s">
        <v>97</v>
      </c>
      <c r="B165" s="604"/>
      <c r="C165" s="604"/>
      <c r="D165" s="511" t="s">
        <v>186</v>
      </c>
      <c r="E165" s="1061">
        <f>'9'!F165</f>
        <v>0</v>
      </c>
      <c r="F165" s="514">
        <f>F62</f>
        <v>0</v>
      </c>
      <c r="G165" s="473">
        <f t="shared" si="15"/>
        <v>0</v>
      </c>
    </row>
    <row r="166" spans="1:8" ht="34.5" customHeight="1">
      <c r="A166" s="787" t="s">
        <v>187</v>
      </c>
      <c r="B166" s="604"/>
      <c r="C166" s="604"/>
      <c r="D166" s="511" t="s">
        <v>186</v>
      </c>
      <c r="E166" s="1061">
        <f>'9'!F166</f>
        <v>0</v>
      </c>
      <c r="F166" s="514">
        <f t="shared" ref="F166:F172" si="16">F63</f>
        <v>0</v>
      </c>
      <c r="G166" s="473">
        <f t="shared" si="15"/>
        <v>0</v>
      </c>
    </row>
    <row r="167" spans="1:8" ht="31.5" customHeight="1">
      <c r="A167" s="1586" t="s">
        <v>98</v>
      </c>
      <c r="B167" s="1586"/>
      <c r="C167" s="1586"/>
      <c r="D167" s="523" t="s">
        <v>186</v>
      </c>
      <c r="E167" s="1061">
        <f>'9'!F167</f>
        <v>162295</v>
      </c>
      <c r="F167" s="514">
        <f t="shared" si="16"/>
        <v>162647</v>
      </c>
      <c r="G167" s="473">
        <f t="shared" si="15"/>
        <v>352</v>
      </c>
    </row>
    <row r="168" spans="1:8" ht="21.75" customHeight="1">
      <c r="A168" s="1586" t="s">
        <v>99</v>
      </c>
      <c r="B168" s="1586"/>
      <c r="C168" s="1586"/>
      <c r="D168" s="523" t="s">
        <v>186</v>
      </c>
      <c r="E168" s="1061">
        <f>'9'!F168</f>
        <v>163099</v>
      </c>
      <c r="F168" s="514">
        <f t="shared" si="16"/>
        <v>163365</v>
      </c>
      <c r="G168" s="473">
        <f t="shared" si="15"/>
        <v>266</v>
      </c>
    </row>
    <row r="169" spans="1:8" ht="27.75" customHeight="1">
      <c r="A169" s="1586" t="s">
        <v>100</v>
      </c>
      <c r="B169" s="1586"/>
      <c r="C169" s="1586"/>
      <c r="D169" s="523" t="s">
        <v>186</v>
      </c>
      <c r="E169" s="1061">
        <f>'9'!F169</f>
        <v>59809</v>
      </c>
      <c r="F169" s="514">
        <f t="shared" si="16"/>
        <v>60224</v>
      </c>
      <c r="G169" s="473">
        <f t="shared" si="15"/>
        <v>415</v>
      </c>
    </row>
    <row r="170" spans="1:8" ht="21.75" customHeight="1">
      <c r="A170" s="1586" t="s">
        <v>101</v>
      </c>
      <c r="B170" s="1586"/>
      <c r="C170" s="1586"/>
      <c r="D170" s="523" t="s">
        <v>186</v>
      </c>
      <c r="E170" s="1061">
        <f>'9'!F170</f>
        <v>255696</v>
      </c>
      <c r="F170" s="514">
        <f t="shared" si="16"/>
        <v>256073</v>
      </c>
      <c r="G170" s="473">
        <f t="shared" si="15"/>
        <v>377</v>
      </c>
    </row>
    <row r="171" spans="1:8" ht="27.75" customHeight="1">
      <c r="A171" s="1586" t="s">
        <v>102</v>
      </c>
      <c r="B171" s="1586"/>
      <c r="C171" s="1586"/>
      <c r="D171" s="523" t="s">
        <v>186</v>
      </c>
      <c r="E171" s="1061">
        <f>'9'!F171</f>
        <v>85321</v>
      </c>
      <c r="F171" s="514">
        <f t="shared" si="16"/>
        <v>85321</v>
      </c>
      <c r="G171" s="473">
        <f t="shared" si="15"/>
        <v>0</v>
      </c>
    </row>
    <row r="172" spans="1:8" ht="27.75">
      <c r="A172" s="1586" t="s">
        <v>103</v>
      </c>
      <c r="B172" s="1586"/>
      <c r="C172" s="1586"/>
      <c r="D172" s="523" t="s">
        <v>186</v>
      </c>
      <c r="E172" s="1061">
        <f>'9'!F172</f>
        <v>82755</v>
      </c>
      <c r="F172" s="514">
        <f t="shared" si="16"/>
        <v>82925</v>
      </c>
      <c r="G172" s="473">
        <f t="shared" si="15"/>
        <v>170</v>
      </c>
    </row>
    <row r="173" spans="1:8">
      <c r="A173" s="1596" t="s">
        <v>357</v>
      </c>
      <c r="B173" s="1579"/>
      <c r="C173" s="786"/>
      <c r="D173" s="523" t="s">
        <v>186</v>
      </c>
      <c r="E173" s="532">
        <v>18928.5</v>
      </c>
      <c r="F173" s="532">
        <v>18928.5</v>
      </c>
      <c r="G173" s="532">
        <v>0</v>
      </c>
    </row>
    <row r="174" spans="1:8">
      <c r="A174" s="1596" t="s">
        <v>358</v>
      </c>
      <c r="B174" s="1579"/>
      <c r="C174" s="786"/>
      <c r="D174" s="523" t="s">
        <v>186</v>
      </c>
      <c r="E174" s="532">
        <v>27538</v>
      </c>
      <c r="F174" s="532">
        <v>27542</v>
      </c>
      <c r="G174" s="532">
        <v>4</v>
      </c>
    </row>
    <row r="177" spans="1:7" ht="18.75" customHeight="1"/>
    <row r="178" spans="1:7" ht="44.25" customHeight="1">
      <c r="A178" s="454" t="s">
        <v>216</v>
      </c>
    </row>
    <row r="179" spans="1:7" ht="21.75" customHeight="1">
      <c r="A179" s="454" t="s">
        <v>217</v>
      </c>
    </row>
    <row r="180" spans="1:7" ht="21.75" customHeight="1">
      <c r="A180" s="454" t="s">
        <v>218</v>
      </c>
      <c r="D180" s="537" t="s">
        <v>143</v>
      </c>
      <c r="E180" s="537">
        <v>7010</v>
      </c>
      <c r="F180" s="664">
        <v>7010</v>
      </c>
      <c r="G180" s="537">
        <f>F180-E180</f>
        <v>0</v>
      </c>
    </row>
    <row r="181" spans="1:7" ht="21.75" customHeight="1">
      <c r="A181" s="454" t="s">
        <v>76</v>
      </c>
      <c r="D181" s="537" t="s">
        <v>143</v>
      </c>
      <c r="E181" s="537">
        <v>34070</v>
      </c>
      <c r="F181" s="664">
        <v>34070</v>
      </c>
      <c r="G181" s="537">
        <f t="shared" ref="G181:G182" si="17">F181-E181</f>
        <v>0</v>
      </c>
    </row>
    <row r="182" spans="1:7" ht="21.75" customHeight="1">
      <c r="A182" s="454" t="s">
        <v>77</v>
      </c>
      <c r="D182" s="537" t="s">
        <v>143</v>
      </c>
      <c r="E182" s="537">
        <v>18160</v>
      </c>
      <c r="F182" s="664">
        <v>18171</v>
      </c>
      <c r="G182" s="537">
        <f t="shared" si="17"/>
        <v>11</v>
      </c>
    </row>
    <row r="183" spans="1:7" ht="21.75" customHeight="1">
      <c r="A183" s="454" t="s">
        <v>201</v>
      </c>
      <c r="G183" s="537">
        <f>SUM(G180:G182)</f>
        <v>11</v>
      </c>
    </row>
    <row r="184" spans="1:7" ht="21.75" customHeight="1">
      <c r="A184" s="454" t="s">
        <v>78</v>
      </c>
      <c r="D184" s="537" t="s">
        <v>143</v>
      </c>
    </row>
    <row r="185" spans="1:7" ht="21.75" customHeight="1">
      <c r="A185" s="454" t="s">
        <v>219</v>
      </c>
      <c r="D185" s="537" t="s">
        <v>143</v>
      </c>
      <c r="E185" s="537">
        <v>42234</v>
      </c>
      <c r="F185" s="664">
        <v>42285</v>
      </c>
      <c r="G185" s="537">
        <f>F185-E185</f>
        <v>51</v>
      </c>
    </row>
    <row r="186" spans="1:7" ht="21.75" customHeight="1">
      <c r="A186" s="454" t="s">
        <v>220</v>
      </c>
      <c r="D186" s="537" t="s">
        <v>143</v>
      </c>
      <c r="E186" s="537">
        <v>20656</v>
      </c>
      <c r="F186" s="664">
        <v>20656</v>
      </c>
      <c r="G186" s="537">
        <f t="shared" ref="G186:G187" si="18">F186-E186</f>
        <v>0</v>
      </c>
    </row>
    <row r="187" spans="1:7" ht="21.75" customHeight="1">
      <c r="A187" s="454" t="s">
        <v>221</v>
      </c>
      <c r="D187" s="537" t="s">
        <v>143</v>
      </c>
      <c r="E187" s="537">
        <v>2801</v>
      </c>
      <c r="F187" s="664">
        <v>2801</v>
      </c>
      <c r="G187" s="537">
        <f t="shared" si="18"/>
        <v>0</v>
      </c>
    </row>
    <row r="188" spans="1:7" ht="21.75" customHeight="1">
      <c r="A188" s="454" t="s">
        <v>109</v>
      </c>
      <c r="G188" s="537">
        <f>SUM(G185:G187)</f>
        <v>51</v>
      </c>
    </row>
    <row r="189" spans="1:7" ht="21.75" customHeight="1">
      <c r="A189" s="454" t="s">
        <v>222</v>
      </c>
    </row>
    <row r="190" spans="1:7" ht="21.75" customHeight="1">
      <c r="A190" s="454" t="s">
        <v>223</v>
      </c>
      <c r="D190" s="537" t="s">
        <v>143</v>
      </c>
      <c r="E190" s="537">
        <v>6979</v>
      </c>
      <c r="F190" s="664">
        <v>6983</v>
      </c>
      <c r="G190" s="537">
        <f>F190-E190</f>
        <v>4</v>
      </c>
    </row>
    <row r="191" spans="1:7" ht="21.75" customHeight="1">
      <c r="A191" s="454" t="s">
        <v>224</v>
      </c>
      <c r="D191" s="537" t="s">
        <v>143</v>
      </c>
      <c r="E191" s="537">
        <v>5846</v>
      </c>
      <c r="F191" s="664">
        <v>5849</v>
      </c>
      <c r="G191" s="537">
        <f t="shared" ref="G191:G192" si="19">F191-E191</f>
        <v>3</v>
      </c>
    </row>
    <row r="192" spans="1:7" ht="21.75" customHeight="1">
      <c r="A192" s="454" t="s">
        <v>225</v>
      </c>
      <c r="D192" s="537" t="s">
        <v>143</v>
      </c>
      <c r="G192" s="537">
        <f t="shared" si="19"/>
        <v>0</v>
      </c>
    </row>
    <row r="193" spans="1:8" ht="21.75" customHeight="1"/>
    <row r="194" spans="1:8" ht="36.75" customHeight="1">
      <c r="A194" s="454" t="s">
        <v>201</v>
      </c>
      <c r="G194" s="537">
        <f>SUM(G190:G192)</f>
        <v>7</v>
      </c>
    </row>
    <row r="195" spans="1:8">
      <c r="A195" s="454" t="s">
        <v>226</v>
      </c>
      <c r="D195" s="537" t="s">
        <v>143</v>
      </c>
      <c r="F195" s="664">
        <f>SUM(G93+G19)</f>
        <v>107</v>
      </c>
      <c r="G195" s="537">
        <f>F195+'[3]9'!I145</f>
        <v>107</v>
      </c>
      <c r="H195" s="538" t="e">
        <f>G195/DAY(D148)</f>
        <v>#VALUE!</v>
      </c>
    </row>
    <row r="197" spans="1:8">
      <c r="A197" s="454" t="s">
        <v>227</v>
      </c>
      <c r="D197" s="537" t="s">
        <v>143</v>
      </c>
      <c r="F197" s="664">
        <f>SUM(G96:G98,G190:G192)</f>
        <v>93</v>
      </c>
      <c r="G197" s="537">
        <f>F197+'[3]9'!I147</f>
        <v>93</v>
      </c>
      <c r="H197" s="538" t="e">
        <f>G197/DAY(D148)</f>
        <v>#VALUE!</v>
      </c>
    </row>
    <row r="199" spans="1:8">
      <c r="A199" s="454" t="s">
        <v>228</v>
      </c>
      <c r="D199" s="537" t="s">
        <v>143</v>
      </c>
      <c r="F199" s="664">
        <f>H189+H140</f>
        <v>71.3900000000001</v>
      </c>
      <c r="G199" s="537">
        <f>SUM(G99,G185:G187)</f>
        <v>55</v>
      </c>
      <c r="H199" s="538" t="e">
        <f>G199/DAY(D148)</f>
        <v>#VALUE!</v>
      </c>
    </row>
    <row r="200" spans="1:8" ht="21.75" customHeight="1"/>
    <row r="201" spans="1:8" ht="21.75" customHeight="1"/>
    <row r="202" spans="1:8" ht="21.75" customHeight="1"/>
    <row r="203" spans="1:8" ht="21.75" customHeight="1"/>
    <row r="204" spans="1:8" ht="21.75" customHeight="1"/>
    <row r="205" spans="1:8" ht="21.75" customHeight="1"/>
    <row r="206" spans="1:8" ht="21.75" customHeight="1"/>
    <row r="207" spans="1:8" ht="21.75" customHeight="1"/>
    <row r="208" spans="1:8" ht="21.75" customHeight="1"/>
    <row r="209" ht="21.75" customHeight="1"/>
    <row r="210" ht="21.75" customHeight="1"/>
    <row r="211" ht="21.75" customHeight="1"/>
    <row r="212" ht="21.75" customHeight="1"/>
    <row r="213" ht="21.75" customHeight="1"/>
    <row r="214" ht="21.75" customHeight="1"/>
    <row r="215" ht="21.75" customHeight="1"/>
    <row r="216" ht="21.75" customHeight="1"/>
    <row r="217" ht="21.75" customHeight="1"/>
    <row r="218" ht="21.75" customHeight="1"/>
    <row r="219" ht="21.75" customHeight="1"/>
    <row r="220" ht="21.75" customHeight="1"/>
    <row r="221" ht="21.75" customHeight="1"/>
    <row r="222" ht="21.75" customHeight="1"/>
    <row r="223" ht="21.75" customHeight="1"/>
    <row r="224" ht="21.75" customHeight="1"/>
    <row r="225" ht="21.75" customHeight="1"/>
    <row r="226" ht="21.75" customHeight="1"/>
    <row r="227" ht="21.75" customHeight="1"/>
    <row r="228" ht="21.75" customHeight="1"/>
    <row r="229" ht="21.75" customHeight="1"/>
    <row r="230" ht="21.75" customHeight="1"/>
    <row r="231" ht="21.75" customHeight="1"/>
    <row r="232" ht="21.75" customHeight="1"/>
    <row r="233" ht="21.75" customHeight="1"/>
    <row r="234" ht="21.75" customHeight="1"/>
    <row r="235" ht="21.75" customHeight="1"/>
    <row r="236" ht="21.75" customHeight="1"/>
    <row r="237" ht="21.75" customHeight="1"/>
    <row r="238" ht="21.75" customHeight="1"/>
  </sheetData>
  <mergeCells count="77">
    <mergeCell ref="A173:B173"/>
    <mergeCell ref="A174:B174"/>
    <mergeCell ref="A158:G158"/>
    <mergeCell ref="A172:C172"/>
    <mergeCell ref="A167:C167"/>
    <mergeCell ref="A168:C168"/>
    <mergeCell ref="A169:C169"/>
    <mergeCell ref="A170:C170"/>
    <mergeCell ref="A171:C171"/>
    <mergeCell ref="A82:C82"/>
    <mergeCell ref="A83:C83"/>
    <mergeCell ref="A76:C76"/>
    <mergeCell ref="A77:C77"/>
    <mergeCell ref="A79:C79"/>
    <mergeCell ref="A80:C80"/>
    <mergeCell ref="A81:C81"/>
    <mergeCell ref="A71:J71"/>
    <mergeCell ref="A72:C72"/>
    <mergeCell ref="A73:C73"/>
    <mergeCell ref="A74:C74"/>
    <mergeCell ref="A75:C75"/>
    <mergeCell ref="A118:B118"/>
    <mergeCell ref="A119:B119"/>
    <mergeCell ref="A120:B120"/>
    <mergeCell ref="A153:C153"/>
    <mergeCell ref="A154:C154"/>
    <mergeCell ref="A143:C143"/>
    <mergeCell ref="A144:C144"/>
    <mergeCell ref="A150:C150"/>
    <mergeCell ref="A151:C151"/>
    <mergeCell ref="A152:C152"/>
    <mergeCell ref="A145:C145"/>
    <mergeCell ref="A146:C146"/>
    <mergeCell ref="A147:C147"/>
    <mergeCell ref="A148:C148"/>
    <mergeCell ref="A149:C149"/>
    <mergeCell ref="A142:B142"/>
    <mergeCell ref="A93:C93"/>
    <mergeCell ref="A94:C94"/>
    <mergeCell ref="A95:C95"/>
    <mergeCell ref="A96:C96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12:B112"/>
    <mergeCell ref="A113:B113"/>
    <mergeCell ref="A114:B114"/>
    <mergeCell ref="A126:C126"/>
    <mergeCell ref="A102:C102"/>
    <mergeCell ref="A123:C123"/>
    <mergeCell ref="A33:J33"/>
    <mergeCell ref="A67:C67"/>
    <mergeCell ref="A68:C68"/>
    <mergeCell ref="A69:C69"/>
    <mergeCell ref="A70:C70"/>
    <mergeCell ref="A64:C64"/>
    <mergeCell ref="A65:C65"/>
    <mergeCell ref="A66:C66"/>
    <mergeCell ref="A115:B115"/>
    <mergeCell ref="A121:B121"/>
    <mergeCell ref="A122:B122"/>
    <mergeCell ref="A116:B116"/>
    <mergeCell ref="A117:B117"/>
    <mergeCell ref="A25:C25"/>
    <mergeCell ref="A1:J1"/>
    <mergeCell ref="A6:C6"/>
    <mergeCell ref="A14:C14"/>
    <mergeCell ref="A17:C17"/>
    <mergeCell ref="E3:F3"/>
    <mergeCell ref="A18:C18"/>
    <mergeCell ref="A19:C19"/>
    <mergeCell ref="A21:C21"/>
  </mergeCells>
  <pageMargins left="0.22" right="0.17" top="0.14000000000000001" bottom="0.2" header="0.2" footer="0.2"/>
  <pageSetup paperSize="5" scale="18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238"/>
  <sheetViews>
    <sheetView topLeftCell="A169" zoomScale="55" zoomScaleNormal="55" workbookViewId="0">
      <selection activeCell="E174" sqref="E174"/>
    </sheetView>
  </sheetViews>
  <sheetFormatPr defaultColWidth="22.33203125" defaultRowHeight="29.25"/>
  <cols>
    <col min="1" max="1" width="39.77734375" style="454" customWidth="1"/>
    <col min="2" max="2" width="30.109375" style="457" customWidth="1"/>
    <col min="3" max="3" width="15.88671875" style="457" customWidth="1"/>
    <col min="4" max="4" width="13.6640625" style="537" customWidth="1"/>
    <col min="5" max="5" width="30" style="1451" customWidth="1"/>
    <col min="6" max="6" width="30" style="1452" customWidth="1"/>
    <col min="7" max="7" width="28.88671875" style="1451" customWidth="1"/>
    <col min="8" max="8" width="39.21875" style="1453" customWidth="1"/>
    <col min="9" max="9" width="16.109375" style="1451" customWidth="1"/>
    <col min="10" max="10" width="24" style="1454" customWidth="1"/>
    <col min="11" max="11" width="43.21875" style="376" hidden="1" customWidth="1"/>
    <col min="12" max="13" width="22.33203125" style="376" hidden="1" customWidth="1"/>
    <col min="14" max="14" width="25.5546875" style="717" customWidth="1"/>
    <col min="15" max="16384" width="22.33203125" style="376"/>
  </cols>
  <sheetData>
    <row r="1" spans="1:16" ht="33.75">
      <c r="A1" s="1549" t="s">
        <v>116</v>
      </c>
      <c r="B1" s="1550"/>
      <c r="C1" s="1550"/>
      <c r="D1" s="1550"/>
      <c r="E1" s="1550"/>
      <c r="F1" s="1550"/>
      <c r="G1" s="1550"/>
      <c r="H1" s="1550"/>
      <c r="I1" s="1550"/>
      <c r="J1" s="1551"/>
    </row>
    <row r="2" spans="1:16" s="281" customFormat="1" ht="27">
      <c r="A2" s="575" t="s">
        <v>353</v>
      </c>
      <c r="B2" s="1033">
        <v>44358</v>
      </c>
      <c r="C2" s="1143" t="s">
        <v>68</v>
      </c>
      <c r="D2" s="611">
        <v>0.92</v>
      </c>
      <c r="E2" s="1381"/>
      <c r="F2" s="1381"/>
      <c r="G2" s="1381" t="s">
        <v>117</v>
      </c>
      <c r="H2" s="1381" t="s">
        <v>6</v>
      </c>
      <c r="I2" s="1381" t="s">
        <v>8</v>
      </c>
      <c r="J2" s="1382" t="s">
        <v>118</v>
      </c>
      <c r="N2" s="718"/>
    </row>
    <row r="3" spans="1:16" s="281" customFormat="1" ht="27">
      <c r="A3" s="570"/>
      <c r="B3" s="614"/>
      <c r="C3" s="1143" t="s">
        <v>119</v>
      </c>
      <c r="D3" s="612">
        <v>29</v>
      </c>
      <c r="E3" s="1597" t="s">
        <v>120</v>
      </c>
      <c r="F3" s="1598"/>
      <c r="G3" s="1383"/>
      <c r="H3" s="1384"/>
      <c r="I3" s="1384"/>
      <c r="J3" s="1385"/>
      <c r="K3" s="371"/>
      <c r="L3" s="292"/>
      <c r="N3" s="718"/>
    </row>
    <row r="4" spans="1:16" s="281" customFormat="1" ht="27">
      <c r="A4" s="576"/>
      <c r="B4" s="616"/>
      <c r="C4" s="1143" t="s">
        <v>121</v>
      </c>
      <c r="D4" s="611">
        <v>0.8</v>
      </c>
      <c r="E4" s="1386"/>
      <c r="F4" s="1386"/>
      <c r="G4" s="1386"/>
      <c r="H4" s="1386"/>
      <c r="I4" s="1387"/>
      <c r="J4" s="1385"/>
      <c r="K4" s="372"/>
      <c r="L4" s="292"/>
      <c r="N4" s="718"/>
    </row>
    <row r="5" spans="1:16">
      <c r="A5" s="577" t="s">
        <v>122</v>
      </c>
      <c r="B5" s="459"/>
      <c r="C5" s="459"/>
      <c r="D5" s="511" t="s">
        <v>123</v>
      </c>
      <c r="E5" s="1388" t="s">
        <v>124</v>
      </c>
      <c r="F5" s="1388" t="s">
        <v>111</v>
      </c>
      <c r="G5" s="1389" t="s">
        <v>125</v>
      </c>
      <c r="H5" s="1388" t="s">
        <v>126</v>
      </c>
      <c r="I5" s="1109" t="s">
        <v>127</v>
      </c>
      <c r="J5" s="1390" t="s">
        <v>128</v>
      </c>
      <c r="K5" s="426"/>
      <c r="L5" s="377"/>
    </row>
    <row r="6" spans="1:16">
      <c r="A6" s="1552" t="s">
        <v>129</v>
      </c>
      <c r="B6" s="1553"/>
      <c r="C6" s="1554"/>
      <c r="D6" s="471"/>
      <c r="E6" s="1391"/>
      <c r="F6" s="1391"/>
      <c r="G6" s="1391"/>
      <c r="H6" s="627"/>
      <c r="I6" s="627"/>
      <c r="J6" s="1392"/>
      <c r="K6" s="427"/>
      <c r="L6" s="377"/>
    </row>
    <row r="7" spans="1:16" ht="30" thickBot="1">
      <c r="A7" s="677" t="s">
        <v>130</v>
      </c>
      <c r="B7" s="678"/>
      <c r="C7" s="678"/>
      <c r="D7" s="638" t="s">
        <v>131</v>
      </c>
      <c r="E7" s="1393">
        <f>'10'!F7</f>
        <v>516715</v>
      </c>
      <c r="F7" s="707">
        <v>533846</v>
      </c>
      <c r="G7" s="1394">
        <f>F7-E7</f>
        <v>17131</v>
      </c>
      <c r="H7" s="750">
        <f>G7+'10'!H7</f>
        <v>189434</v>
      </c>
      <c r="I7" s="1395">
        <v>12000</v>
      </c>
      <c r="J7" s="1396">
        <f>H7/DAY(B2)</f>
        <v>17221.272727272728</v>
      </c>
      <c r="K7" s="549"/>
      <c r="L7" s="377"/>
      <c r="N7" s="719"/>
      <c r="P7" s="722"/>
    </row>
    <row r="8" spans="1:16" ht="27.75" thickBot="1">
      <c r="A8" s="683" t="s">
        <v>132</v>
      </c>
      <c r="B8" s="684"/>
      <c r="C8" s="685"/>
      <c r="D8" s="686" t="s">
        <v>25</v>
      </c>
      <c r="E8" s="1393">
        <f>'10'!F8</f>
        <v>519534</v>
      </c>
      <c r="F8" s="1397">
        <v>536722</v>
      </c>
      <c r="G8" s="1394">
        <f t="shared" ref="G8:G12" si="0">F8-E8</f>
        <v>17188</v>
      </c>
      <c r="H8" s="750">
        <f>G8+'10'!H8</f>
        <v>190212</v>
      </c>
      <c r="I8" s="1398">
        <v>12000</v>
      </c>
      <c r="J8" s="1396">
        <f>H8/DAY(B2)</f>
        <v>17292</v>
      </c>
      <c r="K8" s="549"/>
      <c r="L8" s="425"/>
      <c r="M8" s="440"/>
      <c r="N8" s="719"/>
      <c r="P8" s="382"/>
    </row>
    <row r="9" spans="1:16">
      <c r="A9" s="688" t="s">
        <v>133</v>
      </c>
      <c r="B9" s="689"/>
      <c r="C9" s="689"/>
      <c r="D9" s="638" t="s">
        <v>131</v>
      </c>
      <c r="E9" s="1393">
        <f>'10'!F9</f>
        <v>1640552</v>
      </c>
      <c r="F9" s="652">
        <v>1657132</v>
      </c>
      <c r="G9" s="1399">
        <f t="shared" si="0"/>
        <v>16580</v>
      </c>
      <c r="H9" s="750">
        <f>G9+'10'!H9</f>
        <v>183442</v>
      </c>
      <c r="I9" s="750">
        <f>I7-J7</f>
        <v>-5221.2727272727279</v>
      </c>
      <c r="J9" s="1396">
        <f>H9/DAY(B2)</f>
        <v>16676.545454545456</v>
      </c>
      <c r="K9" s="428"/>
      <c r="L9" s="377"/>
      <c r="N9" s="719"/>
      <c r="P9" s="382"/>
    </row>
    <row r="10" spans="1:16">
      <c r="A10" s="677" t="s">
        <v>134</v>
      </c>
      <c r="B10" s="678"/>
      <c r="C10" s="678"/>
      <c r="D10" s="638" t="s">
        <v>131</v>
      </c>
      <c r="E10" s="1393">
        <f>'10'!F10</f>
        <v>2606.5500000000002</v>
      </c>
      <c r="F10" s="652">
        <v>2606.5500000000002</v>
      </c>
      <c r="G10" s="1394">
        <f t="shared" si="0"/>
        <v>0</v>
      </c>
      <c r="H10" s="750">
        <f>G10+'10'!H10</f>
        <v>0.42000000000007276</v>
      </c>
      <c r="I10" s="1400"/>
      <c r="J10" s="1396">
        <f>H10/DAY(B2)</f>
        <v>3.8181818181824798E-2</v>
      </c>
      <c r="K10" s="428"/>
      <c r="L10" s="377"/>
      <c r="N10" s="719"/>
      <c r="P10" s="382"/>
    </row>
    <row r="11" spans="1:16">
      <c r="A11" s="677" t="s">
        <v>135</v>
      </c>
      <c r="B11" s="678"/>
      <c r="C11" s="678"/>
      <c r="D11" s="638" t="s">
        <v>131</v>
      </c>
      <c r="E11" s="1393">
        <f>'10'!F11</f>
        <v>37000</v>
      </c>
      <c r="F11" s="707">
        <v>37000</v>
      </c>
      <c r="G11" s="1394">
        <f t="shared" si="0"/>
        <v>0</v>
      </c>
      <c r="H11" s="750">
        <f>G11+'10'!H11</f>
        <v>0</v>
      </c>
      <c r="I11" s="1400"/>
      <c r="J11" s="1396">
        <f>H11/DAY(B2)</f>
        <v>0</v>
      </c>
      <c r="K11" s="428"/>
      <c r="L11" s="377"/>
      <c r="N11" s="719"/>
      <c r="P11" s="382"/>
    </row>
    <row r="12" spans="1:16">
      <c r="A12" s="677" t="s">
        <v>136</v>
      </c>
      <c r="B12" s="678"/>
      <c r="C12" s="678"/>
      <c r="D12" s="638" t="s">
        <v>131</v>
      </c>
      <c r="E12" s="1393">
        <f>'10'!F12</f>
        <v>40010</v>
      </c>
      <c r="F12" s="652">
        <v>40010</v>
      </c>
      <c r="G12" s="1394">
        <f t="shared" si="0"/>
        <v>0</v>
      </c>
      <c r="H12" s="750">
        <f>G12+'10'!H12</f>
        <v>0</v>
      </c>
      <c r="I12" s="1400"/>
      <c r="J12" s="1396">
        <f>H12/DAY(B2)</f>
        <v>0</v>
      </c>
      <c r="K12" s="428"/>
      <c r="L12" s="377"/>
      <c r="N12" s="719"/>
      <c r="P12" s="382"/>
    </row>
    <row r="13" spans="1:16">
      <c r="A13" s="693" t="s">
        <v>137</v>
      </c>
      <c r="B13" s="694"/>
      <c r="C13" s="694"/>
      <c r="D13" s="638"/>
      <c r="E13" s="1393"/>
      <c r="F13" s="707"/>
      <c r="G13" s="1394">
        <f>G9+G10+G11+G12</f>
        <v>16580</v>
      </c>
      <c r="H13" s="750">
        <f>G13+'9'!H13</f>
        <v>166917.41999999998</v>
      </c>
      <c r="I13" s="1393">
        <f>G7-G13</f>
        <v>551</v>
      </c>
      <c r="J13" s="1396">
        <f>H13/DAY(B2)</f>
        <v>15174.310909090907</v>
      </c>
      <c r="K13" s="428"/>
      <c r="L13" s="377"/>
      <c r="N13" s="719"/>
      <c r="P13" s="382"/>
    </row>
    <row r="14" spans="1:16">
      <c r="A14" s="1555" t="s">
        <v>138</v>
      </c>
      <c r="B14" s="1556"/>
      <c r="C14" s="1557"/>
      <c r="D14" s="472"/>
      <c r="E14" s="627"/>
      <c r="F14" s="627"/>
      <c r="G14" s="648"/>
      <c r="H14" s="627"/>
      <c r="I14" s="627"/>
      <c r="J14" s="1392"/>
      <c r="K14" s="429"/>
      <c r="L14" s="377"/>
      <c r="N14" s="719"/>
      <c r="P14" s="382"/>
    </row>
    <row r="15" spans="1:16">
      <c r="A15" s="793" t="s">
        <v>139</v>
      </c>
      <c r="B15" s="794"/>
      <c r="C15" s="794"/>
      <c r="D15" s="524" t="s">
        <v>140</v>
      </c>
      <c r="E15" s="652">
        <f>'10'!F15</f>
        <v>1689137</v>
      </c>
      <c r="F15" s="652">
        <v>1689635</v>
      </c>
      <c r="G15" s="653">
        <f>(F15-E15)</f>
        <v>498</v>
      </c>
      <c r="H15" s="706">
        <f>G15+'10'!H15</f>
        <v>5111</v>
      </c>
      <c r="I15" s="1402">
        <v>800</v>
      </c>
      <c r="J15" s="708">
        <f>H15/DAY(B2)</f>
        <v>464.63636363636363</v>
      </c>
      <c r="K15" s="428"/>
      <c r="L15" s="377"/>
      <c r="N15" s="719"/>
      <c r="P15" s="382"/>
    </row>
    <row r="16" spans="1:16">
      <c r="A16" s="587"/>
      <c r="B16" s="588"/>
      <c r="C16" s="588"/>
      <c r="D16" s="524"/>
      <c r="E16" s="652"/>
      <c r="F16" s="652"/>
      <c r="G16" s="1401"/>
      <c r="H16" s="706"/>
      <c r="I16" s="707">
        <f>I15-J15</f>
        <v>335.36363636363637</v>
      </c>
      <c r="J16" s="708"/>
      <c r="K16" s="428"/>
      <c r="L16" s="377"/>
      <c r="N16" s="719"/>
      <c r="P16" s="382"/>
    </row>
    <row r="17" spans="1:16">
      <c r="A17" s="1555" t="s">
        <v>141</v>
      </c>
      <c r="B17" s="1556"/>
      <c r="C17" s="1557"/>
      <c r="D17" s="472"/>
      <c r="E17" s="627"/>
      <c r="F17" s="627"/>
      <c r="G17" s="750"/>
      <c r="H17" s="627"/>
      <c r="I17" s="627"/>
      <c r="J17" s="1392"/>
      <c r="K17" s="428"/>
      <c r="L17" s="377"/>
      <c r="N17" s="719"/>
      <c r="P17" s="382"/>
    </row>
    <row r="18" spans="1:16" ht="27.75">
      <c r="A18" s="1590" t="s">
        <v>142</v>
      </c>
      <c r="B18" s="1591"/>
      <c r="C18" s="1592"/>
      <c r="D18" s="638" t="s">
        <v>143</v>
      </c>
      <c r="E18" s="636">
        <f>'10'!F18</f>
        <v>2</v>
      </c>
      <c r="F18" s="652">
        <v>4</v>
      </c>
      <c r="G18" s="1394">
        <f>F18*10</f>
        <v>40</v>
      </c>
      <c r="H18" s="750">
        <f>G18+'10'!H18</f>
        <v>570</v>
      </c>
      <c r="I18" s="1395">
        <v>65</v>
      </c>
      <c r="J18" s="1396">
        <f>H18/DAY(B2)</f>
        <v>51.81818181818182</v>
      </c>
      <c r="K18" s="428"/>
      <c r="L18" s="377"/>
      <c r="N18" s="719"/>
      <c r="P18" s="382"/>
    </row>
    <row r="19" spans="1:16" ht="27.75">
      <c r="A19" s="1590" t="s">
        <v>70</v>
      </c>
      <c r="B19" s="1591"/>
      <c r="C19" s="1592"/>
      <c r="D19" s="638" t="s">
        <v>143</v>
      </c>
      <c r="E19" s="636">
        <f>'10'!F19</f>
        <v>140240</v>
      </c>
      <c r="F19" s="652">
        <v>140303</v>
      </c>
      <c r="G19" s="1394">
        <f t="shared" ref="G19" si="1">F19-E19</f>
        <v>63</v>
      </c>
      <c r="H19" s="750">
        <f>G19+'10'!H19</f>
        <v>691</v>
      </c>
      <c r="I19" s="1403"/>
      <c r="J19" s="1396">
        <f>H19/DAY(B2)</f>
        <v>62.81818181818182</v>
      </c>
      <c r="K19" s="428"/>
      <c r="L19" s="377"/>
      <c r="N19" s="719"/>
      <c r="P19" s="382"/>
    </row>
    <row r="20" spans="1:16">
      <c r="A20" s="693" t="s">
        <v>144</v>
      </c>
      <c r="B20" s="694"/>
      <c r="C20" s="694"/>
      <c r="D20" s="638"/>
      <c r="E20" s="648"/>
      <c r="F20" s="627"/>
      <c r="G20" s="1404">
        <f>G18+G19</f>
        <v>103</v>
      </c>
      <c r="H20" s="750">
        <f>G20+'10'!H20</f>
        <v>1261</v>
      </c>
      <c r="I20" s="1405">
        <f>I18-J20</f>
        <v>-49.63636363636364</v>
      </c>
      <c r="J20" s="1396">
        <f>H20/DAY(B2)</f>
        <v>114.63636363636364</v>
      </c>
      <c r="K20" s="428"/>
      <c r="L20" s="377"/>
      <c r="N20" s="719"/>
      <c r="P20" s="382"/>
    </row>
    <row r="21" spans="1:16">
      <c r="A21" s="1555" t="s">
        <v>145</v>
      </c>
      <c r="B21" s="1556"/>
      <c r="C21" s="1557"/>
      <c r="D21" s="472"/>
      <c r="E21" s="627"/>
      <c r="F21" s="627"/>
      <c r="G21" s="648"/>
      <c r="H21" s="627"/>
      <c r="I21" s="627"/>
      <c r="J21" s="1392"/>
      <c r="K21" s="428"/>
      <c r="L21" s="377"/>
      <c r="N21" s="719"/>
      <c r="P21" s="382"/>
    </row>
    <row r="22" spans="1:16">
      <c r="A22" s="1141" t="s">
        <v>146</v>
      </c>
      <c r="B22" s="589"/>
      <c r="C22" s="589"/>
      <c r="D22" s="523" t="s">
        <v>147</v>
      </c>
      <c r="E22" s="636">
        <f>'10'!F22</f>
        <v>2970</v>
      </c>
      <c r="F22" s="652">
        <v>2970</v>
      </c>
      <c r="G22" s="653">
        <f t="shared" ref="G22" si="2">(F22-E22)</f>
        <v>0</v>
      </c>
      <c r="H22" s="706">
        <f>G22+'10'!H22</f>
        <v>0</v>
      </c>
      <c r="I22" s="1073"/>
      <c r="J22" s="708">
        <f>H22/DAY(B2)</f>
        <v>0</v>
      </c>
      <c r="K22" s="428"/>
      <c r="L22" s="377"/>
      <c r="N22" s="719"/>
      <c r="P22" s="382"/>
    </row>
    <row r="23" spans="1:16">
      <c r="A23" s="1141" t="s">
        <v>148</v>
      </c>
      <c r="B23" s="589"/>
      <c r="C23" s="589"/>
      <c r="D23" s="523" t="s">
        <v>147</v>
      </c>
      <c r="E23" s="636">
        <f>'10'!F23</f>
        <v>2000</v>
      </c>
      <c r="F23" s="652">
        <v>2000</v>
      </c>
      <c r="G23" s="653">
        <v>0</v>
      </c>
      <c r="H23" s="706">
        <f>G23+'10'!H23</f>
        <v>120</v>
      </c>
      <c r="I23" s="1073"/>
      <c r="J23" s="708">
        <f>H23/DAY(B2)</f>
        <v>10.909090909090908</v>
      </c>
      <c r="K23" s="428"/>
      <c r="L23" s="377"/>
      <c r="N23" s="719"/>
      <c r="P23" s="382"/>
    </row>
    <row r="24" spans="1:16">
      <c r="A24" s="590" t="s">
        <v>149</v>
      </c>
      <c r="B24" s="591"/>
      <c r="C24" s="591"/>
      <c r="D24" s="511" t="s">
        <v>147</v>
      </c>
      <c r="E24" s="1406">
        <f>'10'!F24</f>
        <v>4970</v>
      </c>
      <c r="F24" s="652">
        <v>4970</v>
      </c>
      <c r="G24" s="653">
        <v>0</v>
      </c>
      <c r="H24" s="706">
        <f>G24+'10'!H24</f>
        <v>120</v>
      </c>
      <c r="I24" s="1073"/>
      <c r="J24" s="708">
        <f>H24/DAY(B2)</f>
        <v>10.909090909090908</v>
      </c>
      <c r="K24" s="428"/>
      <c r="L24" s="377"/>
      <c r="N24" s="719"/>
      <c r="P24" s="382"/>
    </row>
    <row r="25" spans="1:16" s="442" customFormat="1" ht="27">
      <c r="A25" s="1560" t="s">
        <v>150</v>
      </c>
      <c r="B25" s="1561"/>
      <c r="C25" s="1562"/>
      <c r="D25" s="471"/>
      <c r="E25" s="1391"/>
      <c r="F25" s="1391"/>
      <c r="G25" s="1407"/>
      <c r="H25" s="1109"/>
      <c r="I25" s="1408"/>
      <c r="J25" s="1409"/>
      <c r="K25" s="373"/>
      <c r="L25" s="443"/>
      <c r="N25" s="719"/>
      <c r="P25" s="382"/>
    </row>
    <row r="26" spans="1:16" s="442" customFormat="1" ht="27.75">
      <c r="A26" s="592" t="s">
        <v>151</v>
      </c>
      <c r="B26" s="593"/>
      <c r="C26" s="594"/>
      <c r="D26" s="618" t="s">
        <v>152</v>
      </c>
      <c r="E26" s="1410"/>
      <c r="F26" s="707"/>
      <c r="G26" s="1411"/>
      <c r="H26" s="706"/>
      <c r="I26" s="1412"/>
      <c r="J26" s="708"/>
      <c r="K26" s="374"/>
      <c r="L26" s="443"/>
      <c r="N26" s="719"/>
      <c r="P26" s="382"/>
    </row>
    <row r="27" spans="1:16" s="442" customFormat="1" ht="27.75">
      <c r="A27" s="592" t="s">
        <v>6</v>
      </c>
      <c r="B27" s="593"/>
      <c r="C27" s="594"/>
      <c r="D27" s="619" t="s">
        <v>25</v>
      </c>
      <c r="E27" s="1413">
        <f>G8</f>
        <v>17188</v>
      </c>
      <c r="F27" s="1414">
        <v>9</v>
      </c>
      <c r="G27" s="1415">
        <f>E27*F27</f>
        <v>154692</v>
      </c>
      <c r="H27" s="706">
        <f>G27+'10'!H27</f>
        <v>1711071</v>
      </c>
      <c r="I27" s="1416"/>
      <c r="J27" s="708">
        <f>H27/DAY(B2)</f>
        <v>155551.90909090909</v>
      </c>
      <c r="K27" s="373"/>
      <c r="L27" s="443"/>
      <c r="N27" s="719"/>
      <c r="P27" s="382"/>
    </row>
    <row r="28" spans="1:16" s="442" customFormat="1" ht="27.75">
      <c r="A28" s="592" t="s">
        <v>153</v>
      </c>
      <c r="B28" s="593"/>
      <c r="C28" s="594"/>
      <c r="D28" s="619" t="s">
        <v>154</v>
      </c>
      <c r="E28" s="1413">
        <f>G15</f>
        <v>498</v>
      </c>
      <c r="F28" s="501">
        <v>52</v>
      </c>
      <c r="G28" s="1415">
        <f>E28*F28</f>
        <v>25896</v>
      </c>
      <c r="H28" s="706">
        <f>G28+'10'!H28</f>
        <v>265772</v>
      </c>
      <c r="I28" s="1417"/>
      <c r="J28" s="708">
        <f>H28/DAY(B2)</f>
        <v>24161.090909090908</v>
      </c>
      <c r="K28" s="373"/>
      <c r="L28" s="443"/>
      <c r="N28" s="719"/>
      <c r="P28" s="382"/>
    </row>
    <row r="29" spans="1:16" s="442" customFormat="1" ht="27.75">
      <c r="A29" s="592" t="s">
        <v>155</v>
      </c>
      <c r="B29" s="593"/>
      <c r="C29" s="594"/>
      <c r="D29" s="619" t="s">
        <v>156</v>
      </c>
      <c r="E29" s="1413">
        <f>G24</f>
        <v>0</v>
      </c>
      <c r="F29" s="1414">
        <v>69</v>
      </c>
      <c r="G29" s="1415">
        <f>E29*F29</f>
        <v>0</v>
      </c>
      <c r="H29" s="706">
        <f>G29+'10'!H29</f>
        <v>8280</v>
      </c>
      <c r="I29" s="1417"/>
      <c r="J29" s="708">
        <f>H29/DAY(B2)</f>
        <v>752.72727272727275</v>
      </c>
      <c r="K29" s="373"/>
      <c r="L29" s="443"/>
      <c r="N29" s="719"/>
      <c r="P29" s="382"/>
    </row>
    <row r="30" spans="1:16" s="442" customFormat="1" ht="27.75">
      <c r="A30" s="592" t="s">
        <v>157</v>
      </c>
      <c r="B30" s="593"/>
      <c r="C30" s="594"/>
      <c r="D30" s="619" t="s">
        <v>158</v>
      </c>
      <c r="E30" s="1413">
        <f>G19</f>
        <v>63</v>
      </c>
      <c r="F30" s="1414">
        <v>146</v>
      </c>
      <c r="G30" s="1415">
        <f>E30*F30</f>
        <v>9198</v>
      </c>
      <c r="H30" s="706">
        <f>G30+'10'!H30</f>
        <v>100886</v>
      </c>
      <c r="I30" s="1417"/>
      <c r="J30" s="708">
        <f>H30/DAY(B2)</f>
        <v>9171.454545454546</v>
      </c>
      <c r="K30" s="373"/>
      <c r="L30" s="443"/>
      <c r="N30" s="719"/>
      <c r="P30" s="382"/>
    </row>
    <row r="31" spans="1:16" s="442" customFormat="1" ht="27.75">
      <c r="A31" s="592" t="s">
        <v>159</v>
      </c>
      <c r="B31" s="593"/>
      <c r="C31" s="594"/>
      <c r="D31" s="619" t="s">
        <v>143</v>
      </c>
      <c r="E31" s="1413">
        <f>G18</f>
        <v>40</v>
      </c>
      <c r="F31" s="1414">
        <v>80</v>
      </c>
      <c r="G31" s="1415">
        <f>E31*F31</f>
        <v>3200</v>
      </c>
      <c r="H31" s="706">
        <f>G31+'10'!H31</f>
        <v>45600</v>
      </c>
      <c r="I31" s="1417"/>
      <c r="J31" s="708">
        <f>H31/DAY(B2)</f>
        <v>4145.454545454545</v>
      </c>
      <c r="K31" s="373"/>
      <c r="L31" s="443"/>
      <c r="N31" s="719"/>
      <c r="P31" s="382"/>
    </row>
    <row r="32" spans="1:16" s="442" customFormat="1" ht="27.75">
      <c r="A32" s="595" t="s">
        <v>160</v>
      </c>
      <c r="B32" s="596"/>
      <c r="C32" s="597"/>
      <c r="D32" s="507"/>
      <c r="E32" s="1418"/>
      <c r="F32" s="627"/>
      <c r="G32" s="1419">
        <f>G27+G28+G29+G30+G31</f>
        <v>192986</v>
      </c>
      <c r="H32" s="706">
        <f>G32+'10'!H32</f>
        <v>2131609</v>
      </c>
      <c r="I32" s="1420"/>
      <c r="J32" s="708">
        <f>H32/DAY(B2)</f>
        <v>193782.63636363635</v>
      </c>
      <c r="K32" s="373"/>
      <c r="L32" s="443"/>
      <c r="N32" s="719"/>
      <c r="P32" s="382"/>
    </row>
    <row r="33" spans="1:16" ht="25.5">
      <c r="A33" s="1563" t="s">
        <v>161</v>
      </c>
      <c r="B33" s="1564"/>
      <c r="C33" s="1564"/>
      <c r="D33" s="1564"/>
      <c r="E33" s="1564"/>
      <c r="F33" s="1564"/>
      <c r="G33" s="1564"/>
      <c r="H33" s="1564"/>
      <c r="I33" s="1564"/>
      <c r="J33" s="1565"/>
      <c r="K33" s="428"/>
      <c r="L33" s="377"/>
      <c r="N33" s="719"/>
      <c r="P33" s="382"/>
    </row>
    <row r="34" spans="1:16">
      <c r="A34" s="598" t="s">
        <v>162</v>
      </c>
      <c r="B34" s="1146"/>
      <c r="C34" s="1146"/>
      <c r="D34" s="472"/>
      <c r="E34" s="1391"/>
      <c r="F34" s="1391"/>
      <c r="G34" s="627"/>
      <c r="H34" s="627"/>
      <c r="I34" s="627"/>
      <c r="J34" s="1392"/>
      <c r="K34" s="428"/>
      <c r="L34" s="377"/>
      <c r="N34" s="719"/>
      <c r="P34" s="382"/>
    </row>
    <row r="35" spans="1:16">
      <c r="A35" s="578" t="s">
        <v>163</v>
      </c>
      <c r="B35" s="579"/>
      <c r="C35" s="579"/>
      <c r="D35" s="523" t="s">
        <v>131</v>
      </c>
      <c r="E35" s="654">
        <f>'10'!F35</f>
        <v>974533</v>
      </c>
      <c r="F35" s="654">
        <v>976723</v>
      </c>
      <c r="G35" s="653">
        <f t="shared" ref="G35:G46" si="3">F35-E35</f>
        <v>2190</v>
      </c>
      <c r="H35" s="706">
        <f>G35+'10'!H35</f>
        <v>26235</v>
      </c>
      <c r="I35" s="707"/>
      <c r="J35" s="708">
        <f>H35/DAY(B2)</f>
        <v>2385</v>
      </c>
      <c r="K35" s="428"/>
      <c r="L35" s="377"/>
      <c r="N35" s="719"/>
      <c r="P35" s="382"/>
    </row>
    <row r="36" spans="1:16">
      <c r="A36" s="578" t="s">
        <v>164</v>
      </c>
      <c r="B36" s="579"/>
      <c r="C36" s="579"/>
      <c r="D36" s="523" t="s">
        <v>131</v>
      </c>
      <c r="E36" s="654">
        <f>'10'!F36</f>
        <v>5832</v>
      </c>
      <c r="F36" s="654">
        <v>6410</v>
      </c>
      <c r="G36" s="653">
        <f t="shared" si="3"/>
        <v>578</v>
      </c>
      <c r="H36" s="706">
        <f>G36+'10'!H36</f>
        <v>6237</v>
      </c>
      <c r="I36" s="707"/>
      <c r="J36" s="708">
        <f>H36/DAY(B2)</f>
        <v>567</v>
      </c>
      <c r="K36" s="428"/>
      <c r="L36" s="377"/>
      <c r="N36" s="720"/>
      <c r="P36" s="382"/>
    </row>
    <row r="37" spans="1:16">
      <c r="A37" s="578" t="s">
        <v>165</v>
      </c>
      <c r="B37" s="579"/>
      <c r="C37" s="579"/>
      <c r="D37" s="523" t="s">
        <v>131</v>
      </c>
      <c r="E37" s="654">
        <f>'10'!F37</f>
        <v>147442</v>
      </c>
      <c r="F37" s="654">
        <v>148828</v>
      </c>
      <c r="G37" s="653">
        <f t="shared" si="3"/>
        <v>1386</v>
      </c>
      <c r="H37" s="706">
        <f>G37+'10'!H37</f>
        <v>14592</v>
      </c>
      <c r="I37" s="707"/>
      <c r="J37" s="708">
        <f>H37/DAY(B2)</f>
        <v>1326.5454545454545</v>
      </c>
      <c r="K37" s="428"/>
      <c r="L37" s="377"/>
      <c r="N37" s="720"/>
      <c r="P37" s="382"/>
    </row>
    <row r="38" spans="1:16">
      <c r="A38" s="578" t="s">
        <v>166</v>
      </c>
      <c r="B38" s="579"/>
      <c r="C38" s="579"/>
      <c r="D38" s="523" t="s">
        <v>131</v>
      </c>
      <c r="E38" s="654">
        <f>'10'!F38</f>
        <v>168598</v>
      </c>
      <c r="F38" s="1388">
        <v>169782</v>
      </c>
      <c r="G38" s="653">
        <f t="shared" si="3"/>
        <v>1184</v>
      </c>
      <c r="H38" s="706">
        <f>G38+'10'!H38</f>
        <v>13377</v>
      </c>
      <c r="I38" s="707"/>
      <c r="J38" s="708">
        <f>H38/DAY(B2)</f>
        <v>1216.090909090909</v>
      </c>
      <c r="K38" s="428"/>
      <c r="L38" s="377"/>
      <c r="N38" s="719"/>
      <c r="P38" s="382"/>
    </row>
    <row r="39" spans="1:16">
      <c r="A39" s="578" t="s">
        <v>167</v>
      </c>
      <c r="B39" s="579"/>
      <c r="C39" s="579"/>
      <c r="D39" s="523" t="s">
        <v>131</v>
      </c>
      <c r="E39" s="654">
        <f>'10'!F39</f>
        <v>335345</v>
      </c>
      <c r="F39" s="654">
        <v>338578</v>
      </c>
      <c r="G39" s="653">
        <f t="shared" si="3"/>
        <v>3233</v>
      </c>
      <c r="H39" s="706">
        <f>G39+'10'!H39</f>
        <v>30405</v>
      </c>
      <c r="I39" s="707"/>
      <c r="J39" s="708">
        <f>H39/DAY(B2)</f>
        <v>2764.090909090909</v>
      </c>
      <c r="K39" s="428"/>
      <c r="L39" s="377"/>
      <c r="N39" s="719"/>
      <c r="P39" s="382"/>
    </row>
    <row r="40" spans="1:16">
      <c r="A40" s="599" t="s">
        <v>168</v>
      </c>
      <c r="B40" s="600"/>
      <c r="C40" s="600"/>
      <c r="D40" s="523" t="s">
        <v>131</v>
      </c>
      <c r="E40" s="654">
        <f>'10'!F40</f>
        <v>1057</v>
      </c>
      <c r="F40" s="654">
        <v>1057</v>
      </c>
      <c r="G40" s="653">
        <f t="shared" si="3"/>
        <v>0</v>
      </c>
      <c r="H40" s="706">
        <f>G40+'10'!H40</f>
        <v>168</v>
      </c>
      <c r="I40" s="707"/>
      <c r="J40" s="708">
        <f>H40/DAY(B2)</f>
        <v>15.272727272727273</v>
      </c>
      <c r="K40" s="429"/>
      <c r="L40" s="377"/>
      <c r="N40" s="719"/>
      <c r="P40" s="382"/>
    </row>
    <row r="41" spans="1:16">
      <c r="A41" s="578" t="s">
        <v>169</v>
      </c>
      <c r="B41" s="579"/>
      <c r="C41" s="579"/>
      <c r="D41" s="523" t="s">
        <v>131</v>
      </c>
      <c r="E41" s="654">
        <f>'10'!F41</f>
        <v>258284</v>
      </c>
      <c r="F41" s="654">
        <v>263103</v>
      </c>
      <c r="G41" s="653">
        <f t="shared" si="3"/>
        <v>4819</v>
      </c>
      <c r="H41" s="706">
        <f>G41+'10'!H41</f>
        <v>22625</v>
      </c>
      <c r="I41" s="707"/>
      <c r="J41" s="708">
        <f>H41/DAY(B2)</f>
        <v>2056.818181818182</v>
      </c>
      <c r="K41" s="428"/>
      <c r="L41" s="377"/>
      <c r="N41" s="719"/>
      <c r="P41" s="722"/>
    </row>
    <row r="42" spans="1:16">
      <c r="A42" s="578" t="s">
        <v>170</v>
      </c>
      <c r="B42" s="579"/>
      <c r="C42" s="579"/>
      <c r="D42" s="523" t="s">
        <v>131</v>
      </c>
      <c r="E42" s="654">
        <f>'10'!F42</f>
        <v>59211</v>
      </c>
      <c r="F42" s="654">
        <v>59211</v>
      </c>
      <c r="G42" s="653">
        <f t="shared" si="3"/>
        <v>0</v>
      </c>
      <c r="H42" s="706">
        <f>G42+'10'!H42</f>
        <v>12.029999999998836</v>
      </c>
      <c r="I42" s="707"/>
      <c r="J42" s="708">
        <f>H42/DAY(B2)</f>
        <v>1.0936363636362578</v>
      </c>
      <c r="K42" s="428"/>
      <c r="L42" s="377"/>
      <c r="N42" s="719"/>
      <c r="P42" s="382"/>
    </row>
    <row r="43" spans="1:16">
      <c r="A43" s="578" t="s">
        <v>171</v>
      </c>
      <c r="B43" s="579"/>
      <c r="C43" s="579"/>
      <c r="D43" s="523" t="s">
        <v>131</v>
      </c>
      <c r="E43" s="654">
        <f>'10'!F43</f>
        <v>1066309</v>
      </c>
      <c r="F43" s="654">
        <v>1068744</v>
      </c>
      <c r="G43" s="653">
        <f>F43-E43</f>
        <v>2435</v>
      </c>
      <c r="H43" s="706">
        <f>G43+'10'!H43</f>
        <v>26500</v>
      </c>
      <c r="I43" s="707"/>
      <c r="J43" s="708">
        <f>H43/DAY(B2)</f>
        <v>2409.090909090909</v>
      </c>
      <c r="K43" s="428"/>
      <c r="L43" s="377"/>
      <c r="N43" s="719"/>
      <c r="P43" s="382"/>
    </row>
    <row r="44" spans="1:16">
      <c r="A44" s="578" t="s">
        <v>172</v>
      </c>
      <c r="B44" s="579"/>
      <c r="C44" s="579"/>
      <c r="D44" s="523" t="s">
        <v>131</v>
      </c>
      <c r="E44" s="654">
        <f>'10'!F44</f>
        <v>0</v>
      </c>
      <c r="F44" s="654">
        <v>0</v>
      </c>
      <c r="G44" s="653">
        <f t="shared" si="3"/>
        <v>0</v>
      </c>
      <c r="H44" s="706">
        <f>G44+'10'!H44</f>
        <v>0</v>
      </c>
      <c r="I44" s="707"/>
      <c r="J44" s="708">
        <f>H44/DAY(B2)</f>
        <v>0</v>
      </c>
      <c r="K44" s="428"/>
      <c r="L44" s="377"/>
      <c r="N44" s="719"/>
      <c r="P44" s="382"/>
    </row>
    <row r="45" spans="1:16">
      <c r="A45" s="578" t="s">
        <v>173</v>
      </c>
      <c r="B45" s="579"/>
      <c r="C45" s="579"/>
      <c r="D45" s="523" t="s">
        <v>131</v>
      </c>
      <c r="E45" s="654">
        <f>'10'!F45</f>
        <v>614</v>
      </c>
      <c r="F45" s="654">
        <v>614</v>
      </c>
      <c r="G45" s="653">
        <f t="shared" si="3"/>
        <v>0</v>
      </c>
      <c r="H45" s="706">
        <f>G45+'10'!H45</f>
        <v>0</v>
      </c>
      <c r="I45" s="707"/>
      <c r="J45" s="708">
        <f>H45/DAY(B2)</f>
        <v>0</v>
      </c>
      <c r="K45" s="428"/>
      <c r="L45" s="377"/>
      <c r="N45" s="719"/>
      <c r="P45" s="382"/>
    </row>
    <row r="46" spans="1:16">
      <c r="A46" s="578" t="s">
        <v>174</v>
      </c>
      <c r="B46" s="579"/>
      <c r="C46" s="579"/>
      <c r="D46" s="523" t="s">
        <v>131</v>
      </c>
      <c r="E46" s="654">
        <f>'10'!F46</f>
        <v>187</v>
      </c>
      <c r="F46" s="654">
        <v>187.49</v>
      </c>
      <c r="G46" s="653">
        <f t="shared" si="3"/>
        <v>0.49000000000000909</v>
      </c>
      <c r="H46" s="706">
        <f>G46+'10'!H46</f>
        <v>0.49000000000000909</v>
      </c>
      <c r="I46" s="707"/>
      <c r="J46" s="708">
        <f>H46/DAY(B2)</f>
        <v>4.4545454545455374E-2</v>
      </c>
      <c r="K46" s="428"/>
      <c r="L46" s="377"/>
      <c r="N46" s="719"/>
      <c r="P46" s="382"/>
    </row>
    <row r="47" spans="1:16">
      <c r="A47" s="585" t="s">
        <v>175</v>
      </c>
      <c r="B47" s="586"/>
      <c r="C47" s="586"/>
      <c r="D47" s="470"/>
      <c r="E47" s="1391"/>
      <c r="F47" s="1391"/>
      <c r="G47" s="653">
        <f>G35+G36+G37+G38+G39+G40+G41+G42+G43+G44+G45+G46</f>
        <v>15825.49</v>
      </c>
      <c r="H47" s="706">
        <f>G47+'10'!H47</f>
        <v>140151.51999999999</v>
      </c>
      <c r="I47" s="707"/>
      <c r="J47" s="708">
        <f>H47/DAY(B2)</f>
        <v>12741.047272727272</v>
      </c>
      <c r="K47" s="428"/>
      <c r="L47" s="377"/>
      <c r="N47" s="719"/>
      <c r="P47" s="382"/>
    </row>
    <row r="48" spans="1:16">
      <c r="A48" s="598" t="s">
        <v>176</v>
      </c>
      <c r="B48" s="1146"/>
      <c r="C48" s="1146"/>
      <c r="D48" s="472"/>
      <c r="E48" s="1391"/>
      <c r="F48" s="1391"/>
      <c r="G48" s="627"/>
      <c r="H48" s="627"/>
      <c r="I48" s="627"/>
      <c r="J48" s="1392"/>
      <c r="K48" s="428"/>
      <c r="L48" s="377"/>
      <c r="N48" s="719"/>
      <c r="P48" s="382"/>
    </row>
    <row r="49" spans="1:16">
      <c r="A49" s="578" t="s">
        <v>163</v>
      </c>
      <c r="B49" s="601"/>
      <c r="C49" s="601"/>
      <c r="D49" s="523" t="s">
        <v>131</v>
      </c>
      <c r="E49" s="654">
        <f>'10'!F49</f>
        <v>260732.13</v>
      </c>
      <c r="F49" s="654">
        <v>260732.13</v>
      </c>
      <c r="G49" s="653">
        <f t="shared" ref="G49:G58" si="4">F49-E49</f>
        <v>0</v>
      </c>
      <c r="H49" s="706">
        <f>G49+'9'!H49</f>
        <v>0.13000000000465661</v>
      </c>
      <c r="I49" s="707"/>
      <c r="J49" s="708">
        <f>H49/DAY(B2)</f>
        <v>1.1818181818605146E-2</v>
      </c>
      <c r="K49" s="428"/>
      <c r="L49" s="377"/>
      <c r="N49" s="719"/>
      <c r="P49" s="382"/>
    </row>
    <row r="50" spans="1:16">
      <c r="A50" s="578" t="s">
        <v>177</v>
      </c>
      <c r="B50" s="601"/>
      <c r="C50" s="601"/>
      <c r="D50" s="523" t="s">
        <v>131</v>
      </c>
      <c r="E50" s="654">
        <f>'10'!F50</f>
        <v>511972</v>
      </c>
      <c r="F50" s="654">
        <v>512869</v>
      </c>
      <c r="G50" s="653">
        <f t="shared" si="4"/>
        <v>897</v>
      </c>
      <c r="H50" s="706">
        <f>G50+'9'!H50</f>
        <v>9443</v>
      </c>
      <c r="I50" s="707"/>
      <c r="J50" s="708">
        <f>H50/DAY(B2)</f>
        <v>858.4545454545455</v>
      </c>
      <c r="K50" s="428"/>
      <c r="L50" s="377"/>
      <c r="N50" s="719"/>
      <c r="P50" s="382"/>
    </row>
    <row r="51" spans="1:16">
      <c r="A51" s="578" t="s">
        <v>165</v>
      </c>
      <c r="B51" s="601"/>
      <c r="C51" s="601"/>
      <c r="D51" s="523" t="s">
        <v>131</v>
      </c>
      <c r="E51" s="654">
        <f>'10'!F51</f>
        <v>144639.87</v>
      </c>
      <c r="F51" s="654">
        <v>144639.87</v>
      </c>
      <c r="G51" s="653">
        <f t="shared" si="4"/>
        <v>0</v>
      </c>
      <c r="H51" s="706">
        <f>G51+'9'!H51</f>
        <v>-0.13000000000465661</v>
      </c>
      <c r="I51" s="707"/>
      <c r="J51" s="708">
        <f>H51/DAY(B2)</f>
        <v>-1.1818181818605146E-2</v>
      </c>
      <c r="K51" s="428"/>
      <c r="L51" s="377"/>
      <c r="N51" s="719"/>
      <c r="P51" s="382"/>
    </row>
    <row r="52" spans="1:16">
      <c r="A52" s="578" t="s">
        <v>178</v>
      </c>
      <c r="B52" s="601"/>
      <c r="C52" s="601"/>
      <c r="D52" s="523" t="s">
        <v>131</v>
      </c>
      <c r="E52" s="654">
        <f>'10'!F52</f>
        <v>539606.06999999995</v>
      </c>
      <c r="F52" s="654">
        <v>539606.06999999995</v>
      </c>
      <c r="G52" s="653">
        <f t="shared" si="4"/>
        <v>0</v>
      </c>
      <c r="H52" s="706">
        <f>G52+'9'!H52</f>
        <v>6.9999999948777258E-2</v>
      </c>
      <c r="I52" s="707"/>
      <c r="J52" s="708">
        <f>H52/DAY(B2)</f>
        <v>6.3636363589797511E-3</v>
      </c>
      <c r="K52" s="428"/>
      <c r="L52" s="377"/>
      <c r="N52" s="719"/>
      <c r="P52" s="382"/>
    </row>
    <row r="53" spans="1:16">
      <c r="A53" s="578" t="s">
        <v>167</v>
      </c>
      <c r="B53" s="601"/>
      <c r="C53" s="601"/>
      <c r="D53" s="523" t="s">
        <v>131</v>
      </c>
      <c r="E53" s="654">
        <f>'10'!F53</f>
        <v>434232</v>
      </c>
      <c r="F53" s="654">
        <v>434232</v>
      </c>
      <c r="G53" s="653">
        <f t="shared" si="4"/>
        <v>0</v>
      </c>
      <c r="H53" s="706">
        <f>G53+'9'!H53</f>
        <v>1663.6699999999837</v>
      </c>
      <c r="I53" s="707"/>
      <c r="J53" s="708">
        <f>H53/DAY(B2)</f>
        <v>151.2427272727258</v>
      </c>
      <c r="K53" s="428"/>
      <c r="L53" s="377"/>
      <c r="N53" s="719"/>
      <c r="P53" s="382"/>
    </row>
    <row r="54" spans="1:16">
      <c r="A54" s="578" t="s">
        <v>179</v>
      </c>
      <c r="B54" s="601"/>
      <c r="C54" s="601"/>
      <c r="D54" s="523" t="s">
        <v>131</v>
      </c>
      <c r="E54" s="654">
        <f>'10'!F54</f>
        <v>14579</v>
      </c>
      <c r="F54" s="654">
        <v>14661</v>
      </c>
      <c r="G54" s="653">
        <f t="shared" si="4"/>
        <v>82</v>
      </c>
      <c r="H54" s="706">
        <f>G54+'9'!H54</f>
        <v>832</v>
      </c>
      <c r="I54" s="707"/>
      <c r="J54" s="708">
        <f>H54/DAY(B2)</f>
        <v>75.63636363636364</v>
      </c>
      <c r="K54" s="428"/>
      <c r="L54" s="377"/>
      <c r="N54" s="719"/>
      <c r="P54" s="382"/>
    </row>
    <row r="55" spans="1:16">
      <c r="A55" s="578" t="s">
        <v>180</v>
      </c>
      <c r="B55" s="601"/>
      <c r="C55" s="601"/>
      <c r="D55" s="523" t="s">
        <v>131</v>
      </c>
      <c r="E55" s="654">
        <f>'10'!F55</f>
        <v>68136.52</v>
      </c>
      <c r="F55" s="654">
        <v>68136.52</v>
      </c>
      <c r="G55" s="653">
        <f t="shared" si="4"/>
        <v>0</v>
      </c>
      <c r="H55" s="706">
        <f>G55+'9'!H55</f>
        <v>25.520000000004075</v>
      </c>
      <c r="I55" s="707"/>
      <c r="J55" s="708">
        <f>H55/DAY(B2)</f>
        <v>2.3200000000003702</v>
      </c>
      <c r="K55" s="428"/>
      <c r="L55" s="377"/>
      <c r="N55" s="719"/>
      <c r="P55" s="382"/>
    </row>
    <row r="56" spans="1:16">
      <c r="A56" s="578" t="s">
        <v>181</v>
      </c>
      <c r="B56" s="601"/>
      <c r="C56" s="601"/>
      <c r="D56" s="523" t="s">
        <v>182</v>
      </c>
      <c r="E56" s="654">
        <f>'10'!F56</f>
        <v>648815</v>
      </c>
      <c r="F56" s="654">
        <v>648815</v>
      </c>
      <c r="G56" s="653">
        <f t="shared" si="4"/>
        <v>0</v>
      </c>
      <c r="H56" s="706">
        <f>G56+'9'!H56</f>
        <v>31617</v>
      </c>
      <c r="I56" s="707"/>
      <c r="J56" s="708">
        <f>H56/DAY(B2)</f>
        <v>2874.2727272727275</v>
      </c>
      <c r="K56" s="427"/>
      <c r="L56" s="377"/>
      <c r="N56" s="719"/>
      <c r="P56" s="382"/>
    </row>
    <row r="57" spans="1:16">
      <c r="A57" s="578" t="s">
        <v>171</v>
      </c>
      <c r="B57" s="601"/>
      <c r="C57" s="601"/>
      <c r="D57" s="523" t="s">
        <v>131</v>
      </c>
      <c r="E57" s="654">
        <f>'10'!F57</f>
        <v>7711</v>
      </c>
      <c r="F57" s="654">
        <v>7711</v>
      </c>
      <c r="G57" s="653">
        <f t="shared" si="4"/>
        <v>0</v>
      </c>
      <c r="H57" s="706">
        <f>G57+'9'!H57</f>
        <v>0</v>
      </c>
      <c r="I57" s="707"/>
      <c r="J57" s="708">
        <f>H57/DAY(B2)</f>
        <v>0</v>
      </c>
      <c r="K57" s="428"/>
      <c r="L57" s="377"/>
      <c r="N57" s="719"/>
      <c r="P57" s="382"/>
    </row>
    <row r="58" spans="1:16">
      <c r="A58" s="578" t="s">
        <v>183</v>
      </c>
      <c r="B58" s="601"/>
      <c r="C58" s="601"/>
      <c r="D58" s="523" t="s">
        <v>131</v>
      </c>
      <c r="E58" s="654">
        <f>'10'!F58</f>
        <v>50800</v>
      </c>
      <c r="F58" s="654">
        <v>50897</v>
      </c>
      <c r="G58" s="653">
        <f t="shared" si="4"/>
        <v>97</v>
      </c>
      <c r="H58" s="706">
        <f>G58+'9'!H58</f>
        <v>1032.7900000000009</v>
      </c>
      <c r="I58" s="707"/>
      <c r="J58" s="708">
        <f>H58/DAY(B2)</f>
        <v>93.890000000000086</v>
      </c>
      <c r="K58" s="428"/>
      <c r="L58" s="377"/>
      <c r="N58" s="719"/>
      <c r="P58" s="382"/>
    </row>
    <row r="59" spans="1:16">
      <c r="A59" s="585" t="s">
        <v>175</v>
      </c>
      <c r="B59" s="586"/>
      <c r="C59" s="586"/>
      <c r="D59" s="511"/>
      <c r="E59" s="1391"/>
      <c r="F59" s="1391"/>
      <c r="G59" s="653">
        <f>G49+G50+G51+G52+G53+G54+G55+G56+G57+G58</f>
        <v>1076</v>
      </c>
      <c r="H59" s="706">
        <f>G59+'9'!H59</f>
        <v>44614.049999999937</v>
      </c>
      <c r="I59" s="707">
        <f>G7-G60</f>
        <v>229.51000000000204</v>
      </c>
      <c r="J59" s="708">
        <f>H59/DAY(B2)</f>
        <v>4055.8227272727217</v>
      </c>
      <c r="K59" s="428"/>
      <c r="L59" s="377"/>
      <c r="N59" s="719"/>
      <c r="P59" s="382"/>
    </row>
    <row r="60" spans="1:16">
      <c r="A60" s="578"/>
      <c r="B60" s="579"/>
      <c r="C60" s="579"/>
      <c r="D60" s="511" t="s">
        <v>184</v>
      </c>
      <c r="E60" s="1391"/>
      <c r="F60" s="1391"/>
      <c r="G60" s="653">
        <f>G47+G59</f>
        <v>16901.489999999998</v>
      </c>
      <c r="H60" s="706">
        <f>G60+'10'!H60</f>
        <v>185974.10999999996</v>
      </c>
      <c r="I60" s="707">
        <f>G13-G60</f>
        <v>-321.48999999999796</v>
      </c>
      <c r="J60" s="708">
        <f>H60/DAY(B2)</f>
        <v>16906.73727272727</v>
      </c>
      <c r="K60" s="428"/>
      <c r="L60" s="377"/>
      <c r="N60" s="719"/>
      <c r="P60" s="382"/>
    </row>
    <row r="61" spans="1:16">
      <c r="A61" s="602" t="s">
        <v>185</v>
      </c>
      <c r="B61" s="453"/>
      <c r="C61" s="453"/>
      <c r="D61" s="513"/>
      <c r="E61" s="1421"/>
      <c r="F61" s="1421"/>
      <c r="G61" s="1422"/>
      <c r="H61" s="1422"/>
      <c r="I61" s="1422"/>
      <c r="J61" s="1423"/>
      <c r="K61" s="428"/>
      <c r="L61" s="377"/>
      <c r="N61" s="719"/>
      <c r="P61" s="382"/>
    </row>
    <row r="62" spans="1:16">
      <c r="A62" s="603" t="s">
        <v>97</v>
      </c>
      <c r="B62" s="604"/>
      <c r="C62" s="604"/>
      <c r="D62" s="511" t="s">
        <v>186</v>
      </c>
      <c r="E62" s="1109">
        <f>'10'!F62</f>
        <v>0</v>
      </c>
      <c r="F62" s="1109">
        <v>0</v>
      </c>
      <c r="G62" s="653">
        <f t="shared" ref="G62:G69" si="5">F62-E62</f>
        <v>0</v>
      </c>
      <c r="H62" s="706">
        <f>G62+'10'!H62</f>
        <v>1.9999999967694748E-3</v>
      </c>
      <c r="I62" s="1424"/>
      <c r="J62" s="708">
        <f>H62/DAY(B2)</f>
        <v>1.818181815244977E-4</v>
      </c>
      <c r="K62" s="428"/>
      <c r="L62" s="377"/>
      <c r="N62" s="719"/>
      <c r="P62" s="382"/>
    </row>
    <row r="63" spans="1:16">
      <c r="A63" s="603" t="s">
        <v>187</v>
      </c>
      <c r="B63" s="604"/>
      <c r="C63" s="604"/>
      <c r="D63" s="511" t="s">
        <v>186</v>
      </c>
      <c r="E63" s="1109">
        <f>'10'!F63</f>
        <v>0</v>
      </c>
      <c r="F63" s="1109">
        <v>0</v>
      </c>
      <c r="G63" s="653">
        <f t="shared" si="5"/>
        <v>0</v>
      </c>
      <c r="H63" s="706">
        <f>G63+'10'!H63</f>
        <v>0</v>
      </c>
      <c r="I63" s="1424"/>
      <c r="J63" s="708">
        <f>H63/DAY(B2)</f>
        <v>0</v>
      </c>
      <c r="K63" s="428"/>
      <c r="L63" s="377"/>
      <c r="N63" s="719"/>
      <c r="P63" s="382"/>
    </row>
    <row r="64" spans="1:16" ht="27.75">
      <c r="A64" s="1534" t="s">
        <v>98</v>
      </c>
      <c r="B64" s="1535"/>
      <c r="C64" s="1536"/>
      <c r="D64" s="523" t="s">
        <v>186</v>
      </c>
      <c r="E64" s="1109">
        <f>'10'!F64</f>
        <v>162647</v>
      </c>
      <c r="F64" s="652">
        <v>163000</v>
      </c>
      <c r="G64" s="653">
        <f t="shared" si="5"/>
        <v>353</v>
      </c>
      <c r="H64" s="706">
        <f>G64+'10'!H64</f>
        <v>3068</v>
      </c>
      <c r="I64" s="1073"/>
      <c r="J64" s="708">
        <f>H64/DAY(B2)</f>
        <v>278.90909090909093</v>
      </c>
      <c r="K64" s="428"/>
      <c r="L64" s="377"/>
      <c r="N64" s="719"/>
      <c r="P64" s="382"/>
    </row>
    <row r="65" spans="1:16" ht="27.75">
      <c r="A65" s="1534" t="s">
        <v>99</v>
      </c>
      <c r="B65" s="1535"/>
      <c r="C65" s="1536"/>
      <c r="D65" s="523" t="s">
        <v>186</v>
      </c>
      <c r="E65" s="1109">
        <f>'10'!F65</f>
        <v>163365</v>
      </c>
      <c r="F65" s="652">
        <v>163635</v>
      </c>
      <c r="G65" s="653">
        <f t="shared" si="5"/>
        <v>270</v>
      </c>
      <c r="H65" s="706">
        <f>G65+'10'!H65</f>
        <v>2637</v>
      </c>
      <c r="I65" s="733"/>
      <c r="J65" s="708">
        <f>H65/DAY(B2)</f>
        <v>239.72727272727272</v>
      </c>
      <c r="K65" s="428"/>
      <c r="L65" s="377"/>
      <c r="N65" s="719"/>
      <c r="P65" s="382"/>
    </row>
    <row r="66" spans="1:16" ht="27.75">
      <c r="A66" s="1534" t="s">
        <v>100</v>
      </c>
      <c r="B66" s="1535"/>
      <c r="C66" s="1536"/>
      <c r="D66" s="523" t="s">
        <v>186</v>
      </c>
      <c r="E66" s="1109">
        <f>'10'!F66</f>
        <v>60224</v>
      </c>
      <c r="F66" s="652">
        <v>60644</v>
      </c>
      <c r="G66" s="653">
        <f t="shared" si="5"/>
        <v>420</v>
      </c>
      <c r="H66" s="706">
        <f>G66+'10'!H66</f>
        <v>3839</v>
      </c>
      <c r="I66" s="1073"/>
      <c r="J66" s="708">
        <f>H66/DAY(B2)</f>
        <v>349</v>
      </c>
      <c r="K66" s="428"/>
      <c r="L66" s="377"/>
      <c r="N66" s="719"/>
      <c r="P66" s="382"/>
    </row>
    <row r="67" spans="1:16" ht="27.75">
      <c r="A67" s="1534" t="s">
        <v>101</v>
      </c>
      <c r="B67" s="1535"/>
      <c r="C67" s="1536"/>
      <c r="D67" s="523" t="s">
        <v>186</v>
      </c>
      <c r="E67" s="1109">
        <f>'10'!F67</f>
        <v>256073</v>
      </c>
      <c r="F67" s="652">
        <v>256499</v>
      </c>
      <c r="G67" s="653">
        <f t="shared" si="5"/>
        <v>426</v>
      </c>
      <c r="H67" s="706">
        <f>G67+'10'!H67</f>
        <v>4307</v>
      </c>
      <c r="I67" s="733"/>
      <c r="J67" s="708">
        <f>H67/DAY(B2)</f>
        <v>391.54545454545456</v>
      </c>
      <c r="K67" s="429"/>
      <c r="L67" s="377"/>
      <c r="N67" s="719"/>
      <c r="P67" s="382"/>
    </row>
    <row r="68" spans="1:16" ht="27.75">
      <c r="A68" s="1534" t="s">
        <v>102</v>
      </c>
      <c r="B68" s="1535"/>
      <c r="C68" s="1536"/>
      <c r="D68" s="523" t="s">
        <v>186</v>
      </c>
      <c r="E68" s="1109">
        <f>'10'!F68</f>
        <v>85321</v>
      </c>
      <c r="F68" s="652">
        <v>85321</v>
      </c>
      <c r="G68" s="653">
        <f t="shared" si="5"/>
        <v>0</v>
      </c>
      <c r="H68" s="706">
        <f>G68+'10'!H68</f>
        <v>0</v>
      </c>
      <c r="I68" s="1425"/>
      <c r="J68" s="708">
        <f>H68/DAY(B2)</f>
        <v>0</v>
      </c>
      <c r="K68" s="430"/>
      <c r="L68" s="377"/>
      <c r="N68" s="719"/>
      <c r="P68" s="382"/>
    </row>
    <row r="69" spans="1:16" ht="27.75">
      <c r="A69" s="1534" t="s">
        <v>103</v>
      </c>
      <c r="B69" s="1535"/>
      <c r="C69" s="1536"/>
      <c r="D69" s="523" t="s">
        <v>186</v>
      </c>
      <c r="E69" s="1109">
        <f>'10'!F69</f>
        <v>82925</v>
      </c>
      <c r="F69" s="652">
        <v>83077</v>
      </c>
      <c r="G69" s="653">
        <f t="shared" si="5"/>
        <v>152</v>
      </c>
      <c r="H69" s="706">
        <f>G69+'10'!H69</f>
        <v>1328</v>
      </c>
      <c r="I69" s="1425"/>
      <c r="J69" s="708">
        <f>H69/DAY(B2)</f>
        <v>120.72727272727273</v>
      </c>
      <c r="K69" s="431"/>
      <c r="L69" s="377"/>
      <c r="N69" s="719"/>
      <c r="P69" s="382"/>
    </row>
    <row r="70" spans="1:16" ht="27.75">
      <c r="A70" s="1566" t="s">
        <v>188</v>
      </c>
      <c r="B70" s="1567"/>
      <c r="C70" s="1568"/>
      <c r="D70" s="523" t="s">
        <v>186</v>
      </c>
      <c r="E70" s="1426"/>
      <c r="F70" s="1426"/>
      <c r="G70" s="1426"/>
      <c r="H70" s="706">
        <f>G70+'10'!H70</f>
        <v>0</v>
      </c>
      <c r="I70" s="1426"/>
      <c r="J70" s="1427">
        <f>H70/DAY(B2)</f>
        <v>0</v>
      </c>
      <c r="K70" s="431"/>
      <c r="L70" s="377"/>
      <c r="N70" s="719"/>
      <c r="P70" s="382"/>
    </row>
    <row r="71" spans="1:16" ht="31.5">
      <c r="A71" s="1580" t="s">
        <v>189</v>
      </c>
      <c r="B71" s="1581"/>
      <c r="C71" s="1581"/>
      <c r="D71" s="1581"/>
      <c r="E71" s="1581"/>
      <c r="F71" s="1581"/>
      <c r="G71" s="1581"/>
      <c r="H71" s="1581"/>
      <c r="I71" s="1581"/>
      <c r="J71" s="1582"/>
      <c r="K71" s="430"/>
      <c r="L71" s="377"/>
      <c r="N71" s="719"/>
      <c r="P71" s="382"/>
    </row>
    <row r="72" spans="1:16" ht="27.75">
      <c r="A72" s="1534" t="s">
        <v>190</v>
      </c>
      <c r="B72" s="1535"/>
      <c r="C72" s="1536"/>
      <c r="D72" s="523" t="s">
        <v>186</v>
      </c>
      <c r="E72" s="520">
        <f>'10'!F72</f>
        <v>855975</v>
      </c>
      <c r="F72" s="656">
        <v>855989</v>
      </c>
      <c r="G72" s="653">
        <f t="shared" ref="G72:G84" si="6">F72-E72</f>
        <v>14</v>
      </c>
      <c r="H72" s="706">
        <f>G72+'10'!H72</f>
        <v>146</v>
      </c>
      <c r="I72" s="1073"/>
      <c r="J72" s="708">
        <f>H72/DAY(B2)</f>
        <v>13.272727272727273</v>
      </c>
      <c r="K72" s="431"/>
      <c r="L72" s="377"/>
      <c r="N72" s="719"/>
      <c r="P72" s="382"/>
    </row>
    <row r="73" spans="1:16" ht="27.75">
      <c r="A73" s="1534" t="s">
        <v>191</v>
      </c>
      <c r="B73" s="1535"/>
      <c r="C73" s="1536"/>
      <c r="D73" s="523" t="s">
        <v>186</v>
      </c>
      <c r="E73" s="520">
        <f>'10'!F73</f>
        <v>885948</v>
      </c>
      <c r="F73" s="656">
        <v>885949</v>
      </c>
      <c r="G73" s="653">
        <f t="shared" si="6"/>
        <v>1</v>
      </c>
      <c r="H73" s="706">
        <f>G73+'10'!H73</f>
        <v>12</v>
      </c>
      <c r="I73" s="1073"/>
      <c r="J73" s="708">
        <f>H73/DAY(B2)</f>
        <v>1.0909090909090908</v>
      </c>
      <c r="K73" s="430"/>
      <c r="L73" s="377"/>
      <c r="N73" s="719"/>
      <c r="P73" s="382"/>
    </row>
    <row r="74" spans="1:16" ht="27.75">
      <c r="A74" s="1534" t="s">
        <v>192</v>
      </c>
      <c r="B74" s="1535"/>
      <c r="C74" s="1536"/>
      <c r="D74" s="523" t="s">
        <v>186</v>
      </c>
      <c r="E74" s="520">
        <f>'10'!F74</f>
        <v>2599.96</v>
      </c>
      <c r="F74" s="656">
        <v>2599.96</v>
      </c>
      <c r="G74" s="653">
        <f t="shared" si="6"/>
        <v>0</v>
      </c>
      <c r="H74" s="706">
        <f>G74+'10'!H74</f>
        <v>13.960000000000036</v>
      </c>
      <c r="I74" s="1073"/>
      <c r="J74" s="708">
        <f>H74/DAY(B2)</f>
        <v>1.2690909090909124</v>
      </c>
      <c r="K74" s="431"/>
      <c r="L74" s="377"/>
      <c r="N74" s="719"/>
      <c r="P74" s="382"/>
    </row>
    <row r="75" spans="1:16" ht="27.75">
      <c r="A75" s="1583" t="s">
        <v>193</v>
      </c>
      <c r="B75" s="1584"/>
      <c r="C75" s="1585"/>
      <c r="D75" s="523" t="s">
        <v>186</v>
      </c>
      <c r="E75" s="520">
        <f>'10'!F75</f>
        <v>13289</v>
      </c>
      <c r="F75" s="656">
        <v>13365</v>
      </c>
      <c r="G75" s="653">
        <f t="shared" si="6"/>
        <v>76</v>
      </c>
      <c r="H75" s="706">
        <f>G75+'10'!H75</f>
        <v>696</v>
      </c>
      <c r="I75" s="1073"/>
      <c r="J75" s="708">
        <f>H75/DAY(B2)</f>
        <v>63.272727272727273</v>
      </c>
      <c r="K75" s="430"/>
      <c r="L75" s="377"/>
      <c r="N75" s="719"/>
      <c r="P75" s="382"/>
    </row>
    <row r="76" spans="1:16" ht="27.75">
      <c r="A76" s="1583" t="s">
        <v>194</v>
      </c>
      <c r="B76" s="1584"/>
      <c r="C76" s="1585"/>
      <c r="D76" s="523" t="s">
        <v>186</v>
      </c>
      <c r="E76" s="520">
        <f>'10'!F76</f>
        <v>8006</v>
      </c>
      <c r="F76" s="656">
        <v>8065</v>
      </c>
      <c r="G76" s="653">
        <f t="shared" si="6"/>
        <v>59</v>
      </c>
      <c r="H76" s="706">
        <f>G76+'10'!H76</f>
        <v>646</v>
      </c>
      <c r="I76" s="1417"/>
      <c r="J76" s="708">
        <f>H76/DAY(B2)</f>
        <v>58.727272727272727</v>
      </c>
      <c r="K76" s="430"/>
      <c r="L76" s="377"/>
      <c r="N76" s="719"/>
      <c r="P76" s="382"/>
    </row>
    <row r="77" spans="1:16" ht="27.75">
      <c r="A77" s="1534" t="s">
        <v>195</v>
      </c>
      <c r="B77" s="1535"/>
      <c r="C77" s="1536"/>
      <c r="D77" s="523" t="s">
        <v>186</v>
      </c>
      <c r="E77" s="520">
        <f>'10'!F77</f>
        <v>703334</v>
      </c>
      <c r="F77" s="656">
        <v>703385</v>
      </c>
      <c r="G77" s="653">
        <f t="shared" si="6"/>
        <v>51</v>
      </c>
      <c r="H77" s="706">
        <f>G77+'10'!H77</f>
        <v>546</v>
      </c>
      <c r="I77" s="1417"/>
      <c r="J77" s="708">
        <f>H77/DAY(B2)</f>
        <v>49.636363636363633</v>
      </c>
      <c r="K77" s="430"/>
      <c r="L77" s="377"/>
      <c r="N77" s="719"/>
      <c r="P77" s="382"/>
    </row>
    <row r="78" spans="1:16" ht="27.75">
      <c r="A78" s="1144" t="s">
        <v>196</v>
      </c>
      <c r="B78" s="1117"/>
      <c r="C78" s="1117"/>
      <c r="D78" s="523" t="s">
        <v>186</v>
      </c>
      <c r="E78" s="520">
        <f>'10'!F78</f>
        <v>673807</v>
      </c>
      <c r="F78" s="656">
        <v>673854</v>
      </c>
      <c r="G78" s="653">
        <f t="shared" si="6"/>
        <v>47</v>
      </c>
      <c r="H78" s="706">
        <f>G78+'10'!H78</f>
        <v>822</v>
      </c>
      <c r="I78" s="1417"/>
      <c r="J78" s="708">
        <f>H78/DAY(B2)</f>
        <v>74.727272727272734</v>
      </c>
      <c r="K78" s="430"/>
      <c r="L78" s="377"/>
      <c r="N78" s="719"/>
      <c r="P78" s="382"/>
    </row>
    <row r="79" spans="1:16" ht="27.75">
      <c r="A79" s="1583" t="s">
        <v>91</v>
      </c>
      <c r="B79" s="1584"/>
      <c r="C79" s="1585"/>
      <c r="D79" s="524" t="s">
        <v>186</v>
      </c>
      <c r="E79" s="520">
        <f>'10'!F79</f>
        <v>832501</v>
      </c>
      <c r="F79" s="656">
        <v>832639</v>
      </c>
      <c r="G79" s="653">
        <f t="shared" si="6"/>
        <v>138</v>
      </c>
      <c r="H79" s="706">
        <f>G79+'10'!H79</f>
        <v>1629</v>
      </c>
      <c r="I79" s="1417"/>
      <c r="J79" s="708">
        <f>H79/DAY(B2)</f>
        <v>148.09090909090909</v>
      </c>
      <c r="K79" s="430"/>
      <c r="L79" s="377"/>
      <c r="N79" s="719"/>
      <c r="P79" s="382"/>
    </row>
    <row r="80" spans="1:16" ht="27.75">
      <c r="A80" s="1583" t="s">
        <v>197</v>
      </c>
      <c r="B80" s="1584"/>
      <c r="C80" s="1585"/>
      <c r="D80" s="524" t="s">
        <v>186</v>
      </c>
      <c r="E80" s="520">
        <f>'10'!F80</f>
        <v>531370</v>
      </c>
      <c r="F80" s="656">
        <v>531694</v>
      </c>
      <c r="G80" s="653">
        <f t="shared" si="6"/>
        <v>324</v>
      </c>
      <c r="H80" s="706">
        <f>G80+'10'!H80</f>
        <v>4036</v>
      </c>
      <c r="I80" s="1417"/>
      <c r="J80" s="708">
        <f>H80/DAY(B2)</f>
        <v>366.90909090909093</v>
      </c>
      <c r="K80" s="430"/>
      <c r="L80" s="377"/>
      <c r="N80" s="719"/>
      <c r="P80" s="382"/>
    </row>
    <row r="81" spans="1:16" ht="27.75">
      <c r="A81" s="1583" t="s">
        <v>198</v>
      </c>
      <c r="B81" s="1584"/>
      <c r="C81" s="1585"/>
      <c r="D81" s="524" t="s">
        <v>186</v>
      </c>
      <c r="E81" s="520">
        <f>'10'!F81</f>
        <v>640000</v>
      </c>
      <c r="F81" s="656">
        <v>640108</v>
      </c>
      <c r="G81" s="653">
        <f t="shared" si="6"/>
        <v>108</v>
      </c>
      <c r="H81" s="706">
        <f>G81+'10'!H81</f>
        <v>1210</v>
      </c>
      <c r="I81" s="1417"/>
      <c r="J81" s="708">
        <f>H81/DAY(B2)</f>
        <v>110</v>
      </c>
      <c r="K81" s="430"/>
      <c r="L81" s="377"/>
      <c r="N81" s="719"/>
      <c r="P81" s="382"/>
    </row>
    <row r="82" spans="1:16" ht="27.75">
      <c r="A82" s="1583" t="s">
        <v>92</v>
      </c>
      <c r="B82" s="1584"/>
      <c r="C82" s="1585"/>
      <c r="D82" s="485" t="s">
        <v>131</v>
      </c>
      <c r="E82" s="520">
        <f>'10'!F82</f>
        <v>108311</v>
      </c>
      <c r="F82" s="652">
        <v>108336</v>
      </c>
      <c r="G82" s="653">
        <f t="shared" si="6"/>
        <v>25</v>
      </c>
      <c r="H82" s="706">
        <f>G82+'10'!H82</f>
        <v>178</v>
      </c>
      <c r="I82" s="706"/>
      <c r="J82" s="708">
        <f>H82/DAY(B2)</f>
        <v>16.181818181818183</v>
      </c>
      <c r="K82" s="430"/>
      <c r="L82" s="377"/>
      <c r="N82" s="719"/>
      <c r="P82" s="382"/>
    </row>
    <row r="83" spans="1:16" ht="27.75">
      <c r="A83" s="1583" t="s">
        <v>199</v>
      </c>
      <c r="B83" s="1584"/>
      <c r="C83" s="1585"/>
      <c r="D83" s="620" t="s">
        <v>131</v>
      </c>
      <c r="E83" s="520">
        <f>'10'!F83</f>
        <v>22510</v>
      </c>
      <c r="F83" s="1391">
        <v>22686</v>
      </c>
      <c r="G83" s="653">
        <f t="shared" si="6"/>
        <v>176</v>
      </c>
      <c r="H83" s="706">
        <f>G83+'10'!H83</f>
        <v>2180</v>
      </c>
      <c r="I83" s="653"/>
      <c r="J83" s="708">
        <f>H83/DAY(B2)</f>
        <v>198.18181818181819</v>
      </c>
      <c r="K83" s="429"/>
      <c r="L83" s="377"/>
      <c r="N83" s="719"/>
      <c r="P83" s="382"/>
    </row>
    <row r="84" spans="1:16">
      <c r="A84" s="1145" t="s">
        <v>200</v>
      </c>
      <c r="B84" s="571"/>
      <c r="C84" s="571"/>
      <c r="D84" s="478" t="s">
        <v>131</v>
      </c>
      <c r="E84" s="520">
        <f>'10'!F84</f>
        <v>507892</v>
      </c>
      <c r="F84" s="627">
        <v>508456</v>
      </c>
      <c r="G84" s="653">
        <f t="shared" si="6"/>
        <v>564</v>
      </c>
      <c r="H84" s="706">
        <f>G84+'10'!H84</f>
        <v>8162</v>
      </c>
      <c r="I84" s="653"/>
      <c r="J84" s="708">
        <f>H84/DAY(B2)</f>
        <v>742</v>
      </c>
      <c r="K84" s="380"/>
      <c r="L84" s="377"/>
      <c r="N84" s="719"/>
      <c r="P84" s="382"/>
    </row>
    <row r="85" spans="1:16" s="379" customFormat="1">
      <c r="A85" s="605" t="s">
        <v>201</v>
      </c>
      <c r="B85" s="572"/>
      <c r="C85" s="572"/>
      <c r="D85" s="489"/>
      <c r="E85" s="627"/>
      <c r="F85" s="627"/>
      <c r="G85" s="706">
        <f xml:space="preserve"> SUM(G71:G84)</f>
        <v>1583</v>
      </c>
      <c r="H85" s="706">
        <f>G85+'10'!H85</f>
        <v>20276.96</v>
      </c>
      <c r="I85" s="653"/>
      <c r="J85" s="708">
        <f>H85/DAY(B2)</f>
        <v>1843.36</v>
      </c>
      <c r="K85" s="380"/>
      <c r="L85" s="378"/>
      <c r="N85" s="719"/>
      <c r="P85" s="382"/>
    </row>
    <row r="86" spans="1:16" s="736" customFormat="1">
      <c r="A86" s="731" t="s">
        <v>93</v>
      </c>
      <c r="B86" s="732"/>
      <c r="C86" s="732"/>
      <c r="D86" s="733" t="s">
        <v>182</v>
      </c>
      <c r="E86" s="627">
        <f>'10'!F86</f>
        <v>461249</v>
      </c>
      <c r="F86" s="648">
        <v>461277</v>
      </c>
      <c r="G86" s="706">
        <f>F86-E86</f>
        <v>28</v>
      </c>
      <c r="H86" s="706">
        <f t="shared" ref="H86:H88" si="7">G86</f>
        <v>28</v>
      </c>
      <c r="I86" s="653"/>
      <c r="J86" s="708">
        <f>H86/DAY(B2)</f>
        <v>2.5454545454545454</v>
      </c>
      <c r="K86" s="734"/>
      <c r="L86" s="735"/>
      <c r="O86" s="714"/>
    </row>
    <row r="87" spans="1:16" s="736" customFormat="1">
      <c r="A87" s="731" t="s">
        <v>94</v>
      </c>
      <c r="B87" s="732"/>
      <c r="C87" s="732"/>
      <c r="D87" s="733" t="s">
        <v>182</v>
      </c>
      <c r="E87" s="627">
        <f>'10'!F87</f>
        <v>81583</v>
      </c>
      <c r="F87" s="648">
        <v>81602.600000000006</v>
      </c>
      <c r="G87" s="706">
        <f t="shared" ref="G87:G91" si="8">F87-E87</f>
        <v>19.600000000005821</v>
      </c>
      <c r="H87" s="706">
        <f t="shared" si="7"/>
        <v>19.600000000005821</v>
      </c>
      <c r="I87" s="653"/>
      <c r="J87" s="708">
        <f>H87/DAY(B2)</f>
        <v>1.7818181818187109</v>
      </c>
      <c r="K87" s="734"/>
      <c r="L87" s="735"/>
      <c r="O87" s="714"/>
    </row>
    <row r="88" spans="1:16" s="736" customFormat="1">
      <c r="A88" s="731" t="s">
        <v>95</v>
      </c>
      <c r="B88" s="732"/>
      <c r="C88" s="732"/>
      <c r="D88" s="733" t="s">
        <v>182</v>
      </c>
      <c r="E88" s="627">
        <f>'10'!F88</f>
        <v>153468</v>
      </c>
      <c r="F88" s="648">
        <v>153492</v>
      </c>
      <c r="G88" s="706">
        <f t="shared" si="8"/>
        <v>24</v>
      </c>
      <c r="H88" s="706">
        <f t="shared" si="7"/>
        <v>24</v>
      </c>
      <c r="I88" s="653"/>
      <c r="J88" s="708">
        <f>H88/DAY(B2)</f>
        <v>2.1818181818181817</v>
      </c>
      <c r="K88" s="734"/>
      <c r="L88" s="735"/>
      <c r="O88" s="714"/>
    </row>
    <row r="89" spans="1:16" s="736" customFormat="1">
      <c r="A89" s="731" t="s">
        <v>203</v>
      </c>
      <c r="B89" s="732"/>
      <c r="C89" s="732"/>
      <c r="D89" s="733" t="s">
        <v>182</v>
      </c>
      <c r="E89" s="627">
        <f>'10'!F89</f>
        <v>65343</v>
      </c>
      <c r="F89" s="648">
        <v>65365</v>
      </c>
      <c r="G89" s="706">
        <f t="shared" si="8"/>
        <v>22</v>
      </c>
      <c r="H89" s="706">
        <f>G89</f>
        <v>22</v>
      </c>
      <c r="I89" s="653"/>
      <c r="J89" s="708">
        <f>H89/DAY(B2)</f>
        <v>2</v>
      </c>
      <c r="K89" s="734"/>
      <c r="L89" s="735"/>
      <c r="N89" s="778"/>
      <c r="O89" s="382"/>
    </row>
    <row r="90" spans="1:16" s="736" customFormat="1">
      <c r="A90" s="731" t="s">
        <v>203</v>
      </c>
      <c r="B90" s="732"/>
      <c r="C90" s="732"/>
      <c r="D90" s="733" t="s">
        <v>182</v>
      </c>
      <c r="E90" s="627">
        <f>'10'!F90</f>
        <v>3286</v>
      </c>
      <c r="F90" s="648">
        <v>3289</v>
      </c>
      <c r="G90" s="706">
        <f t="shared" si="8"/>
        <v>3</v>
      </c>
      <c r="H90" s="706">
        <f>G90</f>
        <v>3</v>
      </c>
      <c r="I90" s="653"/>
      <c r="J90" s="708">
        <f>H90/DAY(B2)</f>
        <v>0.27272727272727271</v>
      </c>
      <c r="K90" s="734"/>
      <c r="L90" s="735"/>
      <c r="N90" s="778"/>
      <c r="O90" s="382"/>
    </row>
    <row r="91" spans="1:16" s="736" customFormat="1">
      <c r="A91" s="731" t="s">
        <v>350</v>
      </c>
      <c r="B91" s="732"/>
      <c r="C91" s="732"/>
      <c r="D91" s="733"/>
      <c r="E91" s="627">
        <f>'10'!F91</f>
        <v>28100</v>
      </c>
      <c r="F91" s="648">
        <v>28109</v>
      </c>
      <c r="G91" s="706">
        <f t="shared" si="8"/>
        <v>9</v>
      </c>
      <c r="H91" s="706">
        <f>G91</f>
        <v>9</v>
      </c>
      <c r="I91" s="653"/>
      <c r="J91" s="708"/>
      <c r="K91" s="734"/>
      <c r="L91" s="735"/>
      <c r="N91" s="778"/>
      <c r="O91" s="382"/>
    </row>
    <row r="92" spans="1:16" s="379" customFormat="1">
      <c r="A92" s="606" t="s">
        <v>204</v>
      </c>
      <c r="B92" s="1147"/>
      <c r="C92" s="1147"/>
      <c r="D92" s="472"/>
      <c r="E92" s="627"/>
      <c r="F92" s="627"/>
      <c r="G92" s="750"/>
      <c r="H92" s="627"/>
      <c r="I92" s="627"/>
      <c r="J92" s="1392"/>
      <c r="K92" s="380"/>
      <c r="L92" s="378"/>
      <c r="N92" s="719"/>
      <c r="P92" s="382"/>
    </row>
    <row r="93" spans="1:16" ht="27.75">
      <c r="A93" s="1537" t="s">
        <v>205</v>
      </c>
      <c r="B93" s="1538"/>
      <c r="C93" s="1539"/>
      <c r="D93" s="523" t="s">
        <v>143</v>
      </c>
      <c r="E93" s="541">
        <f>'10'!F93</f>
        <v>245883</v>
      </c>
      <c r="F93" s="652">
        <v>245901</v>
      </c>
      <c r="G93" s="653">
        <f t="shared" ref="G93:G94" si="9">F93-E93</f>
        <v>18</v>
      </c>
      <c r="H93" s="706">
        <f>G93+'10'!H93</f>
        <v>413</v>
      </c>
      <c r="I93" s="1073"/>
      <c r="J93" s="708">
        <f>H93/DAY(B2)</f>
        <v>37.545454545454547</v>
      </c>
      <c r="K93" s="429"/>
      <c r="L93" s="377"/>
      <c r="N93" s="719"/>
      <c r="P93" s="382"/>
    </row>
    <row r="94" spans="1:16" ht="27.75">
      <c r="A94" s="1537" t="s">
        <v>206</v>
      </c>
      <c r="B94" s="1538"/>
      <c r="C94" s="1539"/>
      <c r="D94" s="523" t="s">
        <v>143</v>
      </c>
      <c r="E94" s="541">
        <f>'10'!F94</f>
        <v>187020</v>
      </c>
      <c r="F94" s="652">
        <v>187134</v>
      </c>
      <c r="G94" s="653">
        <f t="shared" si="9"/>
        <v>114</v>
      </c>
      <c r="H94" s="706">
        <f>G94+'10'!H94</f>
        <v>1013</v>
      </c>
      <c r="I94" s="1073"/>
      <c r="J94" s="708">
        <f>H94/DAY(B2)</f>
        <v>92.090909090909093</v>
      </c>
      <c r="K94" s="380"/>
      <c r="L94" s="377"/>
      <c r="N94" s="719"/>
      <c r="P94" s="382"/>
    </row>
    <row r="95" spans="1:16">
      <c r="A95" s="1531" t="s">
        <v>207</v>
      </c>
      <c r="B95" s="1532"/>
      <c r="C95" s="1533"/>
      <c r="D95" s="523"/>
      <c r="E95" s="541">
        <f>'10'!F95</f>
        <v>0</v>
      </c>
      <c r="F95" s="652"/>
      <c r="G95" s="653">
        <f>G93+G94</f>
        <v>132</v>
      </c>
      <c r="H95" s="706">
        <f>G95+'10'!H95</f>
        <v>1350</v>
      </c>
      <c r="I95" s="1073"/>
      <c r="J95" s="708">
        <f>H95/DAY(B2)</f>
        <v>122.72727272727273</v>
      </c>
      <c r="K95" s="380"/>
      <c r="L95" s="377"/>
      <c r="N95" s="719"/>
      <c r="P95" s="382"/>
    </row>
    <row r="96" spans="1:16" ht="27.75">
      <c r="A96" s="1537" t="s">
        <v>208</v>
      </c>
      <c r="B96" s="1538"/>
      <c r="C96" s="1539"/>
      <c r="D96" s="523" t="s">
        <v>143</v>
      </c>
      <c r="E96" s="541">
        <f>'10'!F96</f>
        <v>414764</v>
      </c>
      <c r="F96" s="652">
        <v>414810</v>
      </c>
      <c r="G96" s="653">
        <f t="shared" ref="G96:G101" si="10">F96-E96</f>
        <v>46</v>
      </c>
      <c r="H96" s="706">
        <f>G96+'10'!H96</f>
        <v>527</v>
      </c>
      <c r="I96" s="1073"/>
      <c r="J96" s="708">
        <f>H96/DAY(B2)</f>
        <v>47.909090909090907</v>
      </c>
      <c r="K96" s="380"/>
      <c r="L96" s="377"/>
      <c r="N96" s="719"/>
      <c r="P96" s="382"/>
    </row>
    <row r="97" spans="1:16" ht="27.75">
      <c r="A97" s="1141" t="s">
        <v>209</v>
      </c>
      <c r="B97" s="1142"/>
      <c r="C97" s="1142"/>
      <c r="D97" s="523" t="s">
        <v>143</v>
      </c>
      <c r="E97" s="541">
        <f>'10'!F97</f>
        <v>102761</v>
      </c>
      <c r="F97" s="652">
        <v>102770</v>
      </c>
      <c r="G97" s="653">
        <f t="shared" si="10"/>
        <v>9</v>
      </c>
      <c r="H97" s="706">
        <f>G97+'10'!H97</f>
        <v>122</v>
      </c>
      <c r="I97" s="1073"/>
      <c r="J97" s="708">
        <f>H97/DAY(B2)</f>
        <v>11.090909090909092</v>
      </c>
      <c r="K97" s="427"/>
      <c r="L97" s="377"/>
      <c r="N97" s="719"/>
      <c r="P97" s="382"/>
    </row>
    <row r="98" spans="1:16" ht="27.75">
      <c r="A98" s="1141" t="s">
        <v>210</v>
      </c>
      <c r="B98" s="1142"/>
      <c r="C98" s="1142"/>
      <c r="D98" s="523" t="s">
        <v>143</v>
      </c>
      <c r="E98" s="541">
        <f>'10'!F98</f>
        <v>98125</v>
      </c>
      <c r="F98" s="652">
        <v>98151</v>
      </c>
      <c r="G98" s="653">
        <f t="shared" si="10"/>
        <v>26</v>
      </c>
      <c r="H98" s="706">
        <f>G98+'10'!H98</f>
        <v>201</v>
      </c>
      <c r="I98" s="1073"/>
      <c r="J98" s="708">
        <f>H98/DAY(B2)</f>
        <v>18.272727272727273</v>
      </c>
      <c r="K98" s="432"/>
      <c r="L98" s="377"/>
      <c r="N98" s="719"/>
      <c r="P98" s="382"/>
    </row>
    <row r="99" spans="1:16" ht="27.75">
      <c r="A99" s="1141" t="s">
        <v>211</v>
      </c>
      <c r="B99" s="1142"/>
      <c r="C99" s="1142"/>
      <c r="D99" s="523" t="s">
        <v>143</v>
      </c>
      <c r="E99" s="541">
        <f>'10'!F99</f>
        <v>149918</v>
      </c>
      <c r="F99" s="652">
        <v>149937</v>
      </c>
      <c r="G99" s="653">
        <f t="shared" si="10"/>
        <v>19</v>
      </c>
      <c r="H99" s="706">
        <f>G99+'10'!H99</f>
        <v>85</v>
      </c>
      <c r="I99" s="1073"/>
      <c r="J99" s="708">
        <f>H99/DAY(B2)</f>
        <v>7.7272727272727275</v>
      </c>
      <c r="K99" s="380"/>
      <c r="L99" s="377"/>
      <c r="N99" s="721"/>
      <c r="P99" s="382"/>
    </row>
    <row r="100" spans="1:16" ht="27.75">
      <c r="A100" s="1141" t="s">
        <v>212</v>
      </c>
      <c r="B100" s="1142"/>
      <c r="C100" s="1142"/>
      <c r="D100" s="523" t="s">
        <v>143</v>
      </c>
      <c r="E100" s="541">
        <f>'10'!F100</f>
        <v>7502</v>
      </c>
      <c r="F100" s="652">
        <v>7506</v>
      </c>
      <c r="G100" s="653">
        <f t="shared" si="10"/>
        <v>4</v>
      </c>
      <c r="H100" s="706">
        <f>G100+'10'!H100</f>
        <v>137</v>
      </c>
      <c r="I100" s="1073"/>
      <c r="J100" s="708">
        <f>H100/DAY(B2)</f>
        <v>12.454545454545455</v>
      </c>
      <c r="K100" s="380"/>
      <c r="L100" s="377"/>
      <c r="N100" s="719"/>
      <c r="P100" s="382"/>
    </row>
    <row r="101" spans="1:16" ht="27.75">
      <c r="A101" s="1141" t="s">
        <v>213</v>
      </c>
      <c r="B101" s="1142"/>
      <c r="C101" s="1142"/>
      <c r="D101" s="523" t="s">
        <v>143</v>
      </c>
      <c r="E101" s="541">
        <f>'10'!F101</f>
        <v>5452</v>
      </c>
      <c r="F101" s="652">
        <v>5463</v>
      </c>
      <c r="G101" s="653">
        <f t="shared" si="10"/>
        <v>11</v>
      </c>
      <c r="H101" s="706">
        <f>G101+'10'!H101</f>
        <v>72</v>
      </c>
      <c r="I101" s="1073"/>
      <c r="J101" s="708">
        <f>H101/DAY(B2)</f>
        <v>6.5454545454545459</v>
      </c>
      <c r="K101" s="380"/>
      <c r="L101" s="377"/>
      <c r="N101" s="719"/>
      <c r="P101" s="382"/>
    </row>
    <row r="102" spans="1:16">
      <c r="A102" s="1531" t="s">
        <v>215</v>
      </c>
      <c r="B102" s="1532"/>
      <c r="C102" s="1533"/>
      <c r="D102" s="524"/>
      <c r="E102" s="541"/>
      <c r="F102" s="627"/>
      <c r="G102" s="750">
        <f>SUM(G96:G101)</f>
        <v>115</v>
      </c>
      <c r="H102" s="706">
        <f>G102+'10'!H102</f>
        <v>1144</v>
      </c>
      <c r="I102" s="1428"/>
      <c r="J102" s="708">
        <f>H102/DAY(B2)</f>
        <v>104</v>
      </c>
      <c r="K102" s="380"/>
      <c r="L102" s="377"/>
      <c r="N102" s="719"/>
      <c r="P102" s="382"/>
    </row>
    <row r="103" spans="1:16" s="442" customFormat="1" ht="27">
      <c r="A103" s="607" t="s">
        <v>216</v>
      </c>
      <c r="B103" s="608"/>
      <c r="C103" s="608"/>
      <c r="D103" s="621"/>
      <c r="E103" s="541"/>
      <c r="F103" s="1429"/>
      <c r="G103" s="1430"/>
      <c r="H103" s="1431"/>
      <c r="I103" s="1432"/>
      <c r="J103" s="1433"/>
      <c r="N103" s="719"/>
      <c r="P103" s="382"/>
    </row>
    <row r="104" spans="1:16" s="442" customFormat="1" ht="27.75">
      <c r="A104" s="1540" t="s">
        <v>217</v>
      </c>
      <c r="B104" s="1541"/>
      <c r="C104" s="573"/>
      <c r="D104" s="622"/>
      <c r="E104" s="541"/>
      <c r="F104" s="660"/>
      <c r="G104" s="534"/>
      <c r="H104" s="536"/>
      <c r="I104" s="534"/>
      <c r="J104" s="559"/>
      <c r="N104" s="719"/>
      <c r="P104" s="382"/>
    </row>
    <row r="105" spans="1:16" s="442" customFormat="1" ht="27.75">
      <c r="A105" s="1542" t="s">
        <v>218</v>
      </c>
      <c r="B105" s="1543"/>
      <c r="C105" s="1140"/>
      <c r="D105" s="622" t="s">
        <v>143</v>
      </c>
      <c r="E105" s="541">
        <v>7473</v>
      </c>
      <c r="F105" s="660">
        <v>7473</v>
      </c>
      <c r="G105" s="534">
        <f>F105-E105</f>
        <v>0</v>
      </c>
      <c r="H105" s="536">
        <f>SUM(G105+'1'!G76)</f>
        <v>57</v>
      </c>
      <c r="I105" s="534"/>
      <c r="J105" s="559">
        <f>H105/DAY(B2)</f>
        <v>5.1818181818181817</v>
      </c>
      <c r="N105" s="719"/>
      <c r="P105" s="382"/>
    </row>
    <row r="106" spans="1:16" s="442" customFormat="1" ht="27.75">
      <c r="A106" s="1542" t="s">
        <v>76</v>
      </c>
      <c r="B106" s="1543"/>
      <c r="C106" s="1140"/>
      <c r="D106" s="622" t="s">
        <v>143</v>
      </c>
      <c r="E106" s="541">
        <f>'10'!F106</f>
        <v>36006</v>
      </c>
      <c r="F106" s="660">
        <v>36006</v>
      </c>
      <c r="G106" s="534">
        <f t="shared" ref="G106:G107" si="11">F106-E106</f>
        <v>0</v>
      </c>
      <c r="H106" s="536">
        <f>SUM(G106+'1'!G77)</f>
        <v>49</v>
      </c>
      <c r="I106" s="534"/>
      <c r="J106" s="559">
        <f>H106/DAY(B2)</f>
        <v>4.4545454545454541</v>
      </c>
      <c r="N106" s="719"/>
      <c r="P106" s="382"/>
    </row>
    <row r="107" spans="1:16" s="442" customFormat="1" ht="27.75">
      <c r="A107" s="1542" t="s">
        <v>77</v>
      </c>
      <c r="B107" s="1544"/>
      <c r="C107" s="1543"/>
      <c r="D107" s="622" t="s">
        <v>143</v>
      </c>
      <c r="E107" s="541">
        <f>'10'!F107</f>
        <v>19739</v>
      </c>
      <c r="F107" s="660">
        <v>19742</v>
      </c>
      <c r="G107" s="534">
        <f t="shared" si="11"/>
        <v>3</v>
      </c>
      <c r="H107" s="536">
        <f>SUM(G107+'1'!G78)</f>
        <v>58</v>
      </c>
      <c r="I107" s="534"/>
      <c r="J107" s="559">
        <f>H107/DAY(B2)</f>
        <v>5.2727272727272725</v>
      </c>
      <c r="N107" s="719"/>
      <c r="P107" s="382"/>
    </row>
    <row r="108" spans="1:16" s="442" customFormat="1" ht="27.75">
      <c r="A108" s="1545" t="s">
        <v>201</v>
      </c>
      <c r="B108" s="1546"/>
      <c r="C108" s="1140"/>
      <c r="D108" s="622"/>
      <c r="E108" s="541"/>
      <c r="F108" s="660"/>
      <c r="G108" s="534">
        <f>SUM(G105:G107)</f>
        <v>3</v>
      </c>
      <c r="H108" s="536">
        <f>SUM(G108+'1'!G79)</f>
        <v>158</v>
      </c>
      <c r="I108" s="534"/>
      <c r="J108" s="559">
        <f>H108/DAY(B2)</f>
        <v>14.363636363636363</v>
      </c>
      <c r="N108" s="719"/>
      <c r="P108" s="382"/>
    </row>
    <row r="109" spans="1:16" s="442" customFormat="1" ht="27.75">
      <c r="A109" s="1547" t="s">
        <v>78</v>
      </c>
      <c r="B109" s="1548"/>
      <c r="C109" s="1140"/>
      <c r="D109" s="622" t="s">
        <v>143</v>
      </c>
      <c r="E109" s="541"/>
      <c r="F109" s="660"/>
      <c r="G109" s="534"/>
      <c r="H109" s="536"/>
      <c r="I109" s="534"/>
      <c r="J109" s="559"/>
      <c r="N109" s="719"/>
      <c r="P109" s="382"/>
    </row>
    <row r="110" spans="1:16" s="442" customFormat="1" ht="27.75">
      <c r="A110" s="1542" t="s">
        <v>219</v>
      </c>
      <c r="B110" s="1543"/>
      <c r="C110" s="1140"/>
      <c r="D110" s="622" t="s">
        <v>143</v>
      </c>
      <c r="E110" s="541">
        <f>'10'!F110</f>
        <v>63489</v>
      </c>
      <c r="F110" s="660">
        <v>63516</v>
      </c>
      <c r="G110" s="534">
        <f>F110-E110</f>
        <v>27</v>
      </c>
      <c r="H110" s="536">
        <f>SUM(G110+'1'!G81)</f>
        <v>121</v>
      </c>
      <c r="I110" s="534"/>
      <c r="J110" s="559">
        <f>H110/DAY(B2)</f>
        <v>11</v>
      </c>
      <c r="N110" s="719"/>
      <c r="P110" s="382"/>
    </row>
    <row r="111" spans="1:16" s="442" customFormat="1" ht="27.75">
      <c r="A111" s="1542" t="s">
        <v>220</v>
      </c>
      <c r="B111" s="1543"/>
      <c r="C111" s="1140"/>
      <c r="D111" s="622" t="s">
        <v>143</v>
      </c>
      <c r="E111" s="541">
        <f>'10'!F111</f>
        <v>32645</v>
      </c>
      <c r="F111" s="660">
        <v>32675</v>
      </c>
      <c r="G111" s="534">
        <f t="shared" ref="G111:G112" si="12">F111-E111</f>
        <v>30</v>
      </c>
      <c r="H111" s="536">
        <f>SUM(G111+'1'!G82)</f>
        <v>41</v>
      </c>
      <c r="I111" s="534"/>
      <c r="J111" s="559">
        <f>H111/DAY(B2)</f>
        <v>3.7272727272727271</v>
      </c>
      <c r="N111" s="719"/>
      <c r="P111" s="382"/>
    </row>
    <row r="112" spans="1:16" s="442" customFormat="1" ht="27.75">
      <c r="A112" s="1542" t="s">
        <v>221</v>
      </c>
      <c r="B112" s="1543"/>
      <c r="C112" s="1140"/>
      <c r="D112" s="622" t="s">
        <v>143</v>
      </c>
      <c r="E112" s="541">
        <f>'10'!F112</f>
        <v>4621</v>
      </c>
      <c r="F112" s="660">
        <v>4621</v>
      </c>
      <c r="G112" s="534">
        <f t="shared" si="12"/>
        <v>0</v>
      </c>
      <c r="H112" s="536">
        <f>SUM(G112+'1'!G83)</f>
        <v>152</v>
      </c>
      <c r="I112" s="534"/>
      <c r="J112" s="559">
        <f>H112/DAY(B2)</f>
        <v>13.818181818181818</v>
      </c>
      <c r="N112" s="719"/>
      <c r="P112" s="382"/>
    </row>
    <row r="113" spans="1:16" s="442" customFormat="1" ht="27.75">
      <c r="A113" s="1545" t="s">
        <v>109</v>
      </c>
      <c r="B113" s="1546"/>
      <c r="C113" s="1140"/>
      <c r="D113" s="622"/>
      <c r="E113" s="541"/>
      <c r="F113" s="660"/>
      <c r="G113" s="534">
        <f>SUM(G110:G112)</f>
        <v>57</v>
      </c>
      <c r="H113" s="536">
        <f>SUM(G113+'1'!G84)</f>
        <v>884</v>
      </c>
      <c r="I113" s="534"/>
      <c r="J113" s="559">
        <f>H113/DAY(B2)</f>
        <v>80.36363636363636</v>
      </c>
      <c r="N113" s="719"/>
      <c r="P113" s="382"/>
    </row>
    <row r="114" spans="1:16" s="442" customFormat="1" ht="27.75">
      <c r="A114" s="1547" t="s">
        <v>222</v>
      </c>
      <c r="B114" s="1548"/>
      <c r="C114" s="1140"/>
      <c r="D114" s="622"/>
      <c r="E114" s="541"/>
      <c r="F114" s="660"/>
      <c r="G114" s="534"/>
      <c r="H114" s="536"/>
      <c r="I114" s="534"/>
      <c r="J114" s="559">
        <f>H114/DAY(B2)</f>
        <v>0</v>
      </c>
      <c r="N114" s="719"/>
      <c r="P114" s="382"/>
    </row>
    <row r="115" spans="1:16" s="442" customFormat="1" ht="27.75">
      <c r="A115" s="1542" t="s">
        <v>223</v>
      </c>
      <c r="B115" s="1543"/>
      <c r="C115" s="574"/>
      <c r="D115" s="622" t="s">
        <v>143</v>
      </c>
      <c r="E115" s="541">
        <f>'10'!F115</f>
        <v>11661</v>
      </c>
      <c r="F115" s="660">
        <v>11666</v>
      </c>
      <c r="G115" s="534">
        <f>F115-E115</f>
        <v>5</v>
      </c>
      <c r="H115" s="536">
        <f>SUM(G115+'1'!G92)</f>
        <v>5</v>
      </c>
      <c r="I115" s="534"/>
      <c r="J115" s="559">
        <f>H115/DAY(B2)</f>
        <v>0.45454545454545453</v>
      </c>
      <c r="N115" s="719"/>
      <c r="P115" s="382"/>
    </row>
    <row r="116" spans="1:16" s="442" customFormat="1" ht="27.75">
      <c r="A116" s="1542" t="s">
        <v>224</v>
      </c>
      <c r="B116" s="1543"/>
      <c r="C116" s="574"/>
      <c r="D116" s="622" t="s">
        <v>143</v>
      </c>
      <c r="E116" s="541">
        <f>'10'!F116</f>
        <v>8371</v>
      </c>
      <c r="F116" s="660">
        <v>8376</v>
      </c>
      <c r="G116" s="534">
        <f t="shared" ref="G116:G117" si="13">F116-E116</f>
        <v>5</v>
      </c>
      <c r="H116" s="536">
        <f>SUM(G116+'1'!G93)</f>
        <v>23</v>
      </c>
      <c r="I116" s="534"/>
      <c r="J116" s="559">
        <f>H116/DAY(B2)</f>
        <v>2.0909090909090908</v>
      </c>
      <c r="N116" s="719"/>
      <c r="P116" s="382"/>
    </row>
    <row r="117" spans="1:16" s="442" customFormat="1" ht="27.75">
      <c r="A117" s="1542" t="s">
        <v>225</v>
      </c>
      <c r="B117" s="1543"/>
      <c r="C117" s="574"/>
      <c r="D117" s="622" t="s">
        <v>143</v>
      </c>
      <c r="E117" s="534"/>
      <c r="F117" s="660"/>
      <c r="G117" s="534">
        <f t="shared" si="13"/>
        <v>0</v>
      </c>
      <c r="H117" s="536">
        <f>SUM(G117+'1'!G94)</f>
        <v>58</v>
      </c>
      <c r="I117" s="534"/>
      <c r="J117" s="559">
        <f>H117/DAY(B2)</f>
        <v>5.2727272727272725</v>
      </c>
      <c r="N117" s="719"/>
      <c r="P117" s="382"/>
    </row>
    <row r="118" spans="1:16" s="445" customFormat="1" ht="27.75">
      <c r="A118" s="1545" t="s">
        <v>201</v>
      </c>
      <c r="B118" s="1546"/>
      <c r="C118" s="574"/>
      <c r="D118" s="623"/>
      <c r="E118" s="534"/>
      <c r="F118" s="660"/>
      <c r="G118" s="534">
        <f>SUM(G115:G117)</f>
        <v>10</v>
      </c>
      <c r="H118" s="536">
        <f>SUM(G118+'1'!G96)</f>
        <v>50</v>
      </c>
      <c r="I118" s="534"/>
      <c r="J118" s="559">
        <f>H118/DAY(B2)</f>
        <v>4.5454545454545459</v>
      </c>
      <c r="N118" s="719"/>
      <c r="P118" s="382"/>
    </row>
    <row r="119" spans="1:16" s="446" customFormat="1" ht="27.75">
      <c r="A119" s="1576" t="s">
        <v>226</v>
      </c>
      <c r="B119" s="1577"/>
      <c r="C119" s="1138"/>
      <c r="D119" s="624" t="s">
        <v>143</v>
      </c>
      <c r="E119" s="536"/>
      <c r="F119" s="661">
        <f>SUM(G19+G93)</f>
        <v>81</v>
      </c>
      <c r="G119" s="536">
        <f>SUM(G19+G93)</f>
        <v>81</v>
      </c>
      <c r="H119" s="536">
        <f>SUM(G119+'1'!G97)</f>
        <v>94</v>
      </c>
      <c r="I119" s="535"/>
      <c r="J119" s="559">
        <f>H119/DAY(B2)</f>
        <v>8.545454545454545</v>
      </c>
      <c r="N119" s="719"/>
      <c r="P119" s="382"/>
    </row>
    <row r="120" spans="1:16" s="446" customFormat="1" ht="27.75">
      <c r="A120" s="1576" t="s">
        <v>227</v>
      </c>
      <c r="B120" s="1577"/>
      <c r="C120" s="1138"/>
      <c r="D120" s="624" t="s">
        <v>143</v>
      </c>
      <c r="E120" s="536"/>
      <c r="F120" s="661">
        <f>SUM(G96,G97,G98,G100,G101)</f>
        <v>96</v>
      </c>
      <c r="G120" s="536">
        <f>SUM(G96,G97,G98,G100,G101)</f>
        <v>96</v>
      </c>
      <c r="H120" s="536">
        <f>SUM(G120+'1'!G99)</f>
        <v>103</v>
      </c>
      <c r="I120" s="535"/>
      <c r="J120" s="559">
        <f>H120/DAY(B2)</f>
        <v>9.3636363636363633</v>
      </c>
      <c r="N120" s="719"/>
      <c r="P120" s="382"/>
    </row>
    <row r="121" spans="1:16" s="446" customFormat="1" ht="27.75">
      <c r="A121" s="1576" t="s">
        <v>228</v>
      </c>
      <c r="B121" s="1577"/>
      <c r="C121" s="1138"/>
      <c r="D121" s="624" t="s">
        <v>143</v>
      </c>
      <c r="E121" s="534"/>
      <c r="F121" s="660">
        <f>SUM(G113)</f>
        <v>57</v>
      </c>
      <c r="G121" s="534">
        <f>SUM(G113)</f>
        <v>57</v>
      </c>
      <c r="H121" s="536">
        <f>SUM(G121+'1'!G101)</f>
        <v>61</v>
      </c>
      <c r="I121" s="535"/>
      <c r="J121" s="559">
        <f>H121/DAY(B2)</f>
        <v>5.5454545454545459</v>
      </c>
      <c r="N121" s="719"/>
      <c r="P121" s="382"/>
    </row>
    <row r="122" spans="1:16" s="442" customFormat="1" ht="27.75">
      <c r="A122" s="1578"/>
      <c r="B122" s="1579"/>
      <c r="C122" s="1139"/>
      <c r="D122" s="560"/>
      <c r="E122" s="1434"/>
      <c r="F122" s="1435" t="s">
        <v>214</v>
      </c>
      <c r="G122" s="1434"/>
      <c r="H122" s="1436"/>
      <c r="I122" s="1434"/>
      <c r="J122" s="1437"/>
      <c r="N122" s="719"/>
      <c r="P122" s="382"/>
    </row>
    <row r="123" spans="1:16">
      <c r="A123" s="1528" t="s">
        <v>229</v>
      </c>
      <c r="B123" s="1529"/>
      <c r="C123" s="1530"/>
      <c r="D123" s="472"/>
      <c r="E123" s="627"/>
      <c r="F123" s="627"/>
      <c r="G123" s="648"/>
      <c r="H123" s="648"/>
      <c r="I123" s="648"/>
      <c r="J123" s="1438"/>
      <c r="K123" s="380"/>
      <c r="L123" s="377"/>
      <c r="N123" s="719"/>
      <c r="P123" s="382"/>
    </row>
    <row r="124" spans="1:16" ht="27.75">
      <c r="A124" s="1141" t="s">
        <v>230</v>
      </c>
      <c r="B124" s="1142"/>
      <c r="C124" s="1142"/>
      <c r="D124" s="523" t="s">
        <v>140</v>
      </c>
      <c r="E124" s="652">
        <f>'10'!F124</f>
        <v>834219</v>
      </c>
      <c r="F124" s="652">
        <v>834449</v>
      </c>
      <c r="G124" s="653">
        <f t="shared" ref="G124:G128" si="14">F124-E124</f>
        <v>230</v>
      </c>
      <c r="H124" s="706">
        <f>G124+'10'!H124</f>
        <v>2083</v>
      </c>
      <c r="I124" s="1428"/>
      <c r="J124" s="708">
        <f>H124/DAY(B2)</f>
        <v>189.36363636363637</v>
      </c>
      <c r="K124" s="380"/>
      <c r="L124" s="377"/>
      <c r="N124" s="719"/>
      <c r="P124" s="382"/>
    </row>
    <row r="125" spans="1:16" ht="27.75">
      <c r="A125" s="1141" t="s">
        <v>231</v>
      </c>
      <c r="B125" s="1142"/>
      <c r="C125" s="1142"/>
      <c r="D125" s="523" t="s">
        <v>140</v>
      </c>
      <c r="E125" s="652">
        <f>'10'!F125</f>
        <v>73583.399999999994</v>
      </c>
      <c r="F125" s="652">
        <v>73583.399999999994</v>
      </c>
      <c r="G125" s="653">
        <f t="shared" si="14"/>
        <v>0</v>
      </c>
      <c r="H125" s="706">
        <f>G125+'10'!H125</f>
        <v>0</v>
      </c>
      <c r="I125" s="1428"/>
      <c r="J125" s="708">
        <f>H125/DAY(B2)</f>
        <v>0</v>
      </c>
      <c r="K125" s="380"/>
      <c r="L125" s="377"/>
      <c r="N125" s="719"/>
      <c r="P125" s="382"/>
    </row>
    <row r="126" spans="1:16" ht="27.75">
      <c r="A126" s="1534" t="s">
        <v>232</v>
      </c>
      <c r="B126" s="1535"/>
      <c r="C126" s="1536"/>
      <c r="D126" s="523" t="s">
        <v>140</v>
      </c>
      <c r="E126" s="652">
        <f>'10'!F126</f>
        <v>147119</v>
      </c>
      <c r="F126" s="652">
        <v>147185</v>
      </c>
      <c r="G126" s="653">
        <f t="shared" si="14"/>
        <v>66</v>
      </c>
      <c r="H126" s="706">
        <f>G126+'10'!H126</f>
        <v>694</v>
      </c>
      <c r="I126" s="1428"/>
      <c r="J126" s="708">
        <f>H126/DAY(B2)</f>
        <v>63.090909090909093</v>
      </c>
      <c r="K126" s="380"/>
      <c r="L126" s="377"/>
      <c r="N126" s="719"/>
      <c r="P126" s="382"/>
    </row>
    <row r="127" spans="1:16" ht="27.75">
      <c r="A127" s="609" t="s">
        <v>233</v>
      </c>
      <c r="B127" s="1142"/>
      <c r="C127" s="1142"/>
      <c r="D127" s="523" t="s">
        <v>140</v>
      </c>
      <c r="E127" s="652">
        <f>'10'!F127</f>
        <v>31409</v>
      </c>
      <c r="F127" s="652">
        <v>31409</v>
      </c>
      <c r="G127" s="653">
        <f t="shared" si="14"/>
        <v>0</v>
      </c>
      <c r="H127" s="706">
        <f>G127+'10'!H127</f>
        <v>3</v>
      </c>
      <c r="I127" s="1428"/>
      <c r="J127" s="708">
        <f>H127/DAY(B2)</f>
        <v>0.27272727272727271</v>
      </c>
      <c r="K127" s="380"/>
      <c r="L127" s="377"/>
      <c r="N127" s="719"/>
      <c r="P127" s="382"/>
    </row>
    <row r="128" spans="1:16" ht="27.75">
      <c r="A128" s="609" t="s">
        <v>234</v>
      </c>
      <c r="B128" s="1142"/>
      <c r="C128" s="1142"/>
      <c r="D128" s="523" t="s">
        <v>140</v>
      </c>
      <c r="E128" s="652">
        <f>'10'!F128</f>
        <v>8972</v>
      </c>
      <c r="F128" s="652">
        <v>8972</v>
      </c>
      <c r="G128" s="653">
        <f t="shared" si="14"/>
        <v>0</v>
      </c>
      <c r="H128" s="706">
        <f>G128+'10'!H128</f>
        <v>0</v>
      </c>
      <c r="I128" s="1073"/>
      <c r="J128" s="708">
        <f>H128/DAY(B2)</f>
        <v>0</v>
      </c>
      <c r="K128" s="380"/>
      <c r="L128" s="377"/>
      <c r="N128" s="719"/>
      <c r="P128" s="382"/>
    </row>
    <row r="129" spans="1:16" s="281" customFormat="1" ht="27.75">
      <c r="A129" s="609" t="s">
        <v>235</v>
      </c>
      <c r="B129" s="1142"/>
      <c r="C129" s="1142"/>
      <c r="D129" s="523"/>
      <c r="E129" s="652"/>
      <c r="F129" s="652"/>
      <c r="G129" s="653">
        <f>G15-SUM(G124:G128)</f>
        <v>202</v>
      </c>
      <c r="H129" s="706"/>
      <c r="I129" s="1073"/>
      <c r="J129" s="708"/>
      <c r="K129" s="364"/>
      <c r="L129" s="292"/>
      <c r="N129" s="719"/>
      <c r="P129" s="382"/>
    </row>
    <row r="130" spans="1:16">
      <c r="A130" s="610" t="s">
        <v>236</v>
      </c>
      <c r="B130" s="458"/>
      <c r="C130" s="458"/>
      <c r="D130" s="471"/>
      <c r="E130" s="1391"/>
      <c r="F130" s="1391"/>
      <c r="G130" s="1439"/>
      <c r="H130" s="1439"/>
      <c r="I130" s="1439"/>
      <c r="J130" s="1440"/>
      <c r="N130" s="719"/>
      <c r="P130" s="382"/>
    </row>
    <row r="131" spans="1:16" ht="27.75">
      <c r="A131" s="1141" t="s">
        <v>237</v>
      </c>
      <c r="B131" s="1142"/>
      <c r="C131" s="1142"/>
      <c r="D131" s="523" t="s">
        <v>238</v>
      </c>
      <c r="E131" s="541">
        <f>'10'!F131</f>
        <v>0</v>
      </c>
      <c r="F131" s="652">
        <v>0</v>
      </c>
      <c r="G131" s="653">
        <f t="shared" ref="G131:G141" si="15">F131-E131</f>
        <v>0</v>
      </c>
      <c r="H131" s="706">
        <f>G131+'10'!H131</f>
        <v>0</v>
      </c>
      <c r="I131" s="1073"/>
      <c r="J131" s="708">
        <f>H131/DAY(B2)</f>
        <v>0</v>
      </c>
      <c r="N131" s="719"/>
      <c r="P131" s="382"/>
    </row>
    <row r="132" spans="1:16" ht="27.75">
      <c r="A132" s="1141" t="s">
        <v>239</v>
      </c>
      <c r="B132" s="1142"/>
      <c r="C132" s="1142"/>
      <c r="D132" s="523" t="s">
        <v>238</v>
      </c>
      <c r="E132" s="541">
        <f>'10'!F132</f>
        <v>0</v>
      </c>
      <c r="F132" s="652">
        <v>0</v>
      </c>
      <c r="G132" s="653">
        <f t="shared" si="15"/>
        <v>0</v>
      </c>
      <c r="H132" s="706">
        <f>G132+'10'!H132</f>
        <v>0</v>
      </c>
      <c r="I132" s="1073"/>
      <c r="J132" s="708">
        <f>H132/DAY(B2)</f>
        <v>0</v>
      </c>
      <c r="N132" s="719"/>
      <c r="P132" s="382"/>
    </row>
    <row r="133" spans="1:16" ht="27.75">
      <c r="A133" s="1141" t="s">
        <v>240</v>
      </c>
      <c r="B133" s="1142"/>
      <c r="C133" s="1142"/>
      <c r="D133" s="523" t="s">
        <v>238</v>
      </c>
      <c r="E133" s="541">
        <f>'10'!F133</f>
        <v>40122.449999999997</v>
      </c>
      <c r="F133" s="652">
        <v>40146.47</v>
      </c>
      <c r="G133" s="653">
        <f t="shared" si="15"/>
        <v>24.020000000004075</v>
      </c>
      <c r="H133" s="706">
        <f>G133+'10'!H133</f>
        <v>111.37000000000262</v>
      </c>
      <c r="I133" s="1073"/>
      <c r="J133" s="708">
        <f>H133/DAY(B2)</f>
        <v>10.124545454545693</v>
      </c>
      <c r="N133" s="719"/>
      <c r="P133" s="382"/>
    </row>
    <row r="134" spans="1:16" ht="27.75">
      <c r="A134" s="1141" t="s">
        <v>241</v>
      </c>
      <c r="B134" s="1142"/>
      <c r="C134" s="1142"/>
      <c r="D134" s="523" t="s">
        <v>238</v>
      </c>
      <c r="E134" s="541">
        <f>'10'!F134</f>
        <v>300</v>
      </c>
      <c r="F134" s="652">
        <v>300</v>
      </c>
      <c r="G134" s="653">
        <f t="shared" si="15"/>
        <v>0</v>
      </c>
      <c r="H134" s="706">
        <f>G134+'10'!H134</f>
        <v>0</v>
      </c>
      <c r="I134" s="1073">
        <f>G131+G132+G133+G134</f>
        <v>24.020000000004075</v>
      </c>
      <c r="J134" s="708">
        <f>H134/DAY(B2)</f>
        <v>0</v>
      </c>
      <c r="N134" s="719"/>
      <c r="P134" s="382"/>
    </row>
    <row r="135" spans="1:16" ht="27.75">
      <c r="A135" s="1141" t="s">
        <v>242</v>
      </c>
      <c r="B135" s="1142"/>
      <c r="C135" s="1142"/>
      <c r="D135" s="523" t="s">
        <v>238</v>
      </c>
      <c r="E135" s="541">
        <f>'10'!F135</f>
        <v>41730.449999999997</v>
      </c>
      <c r="F135" s="652">
        <v>41730.449999999997</v>
      </c>
      <c r="G135" s="653">
        <f t="shared" si="15"/>
        <v>0</v>
      </c>
      <c r="H135" s="706">
        <f>G135+'10'!H135</f>
        <v>0.44999999999708962</v>
      </c>
      <c r="I135" s="1073"/>
      <c r="J135" s="708">
        <f>H135/DAY(B2)</f>
        <v>4.0909090908826329E-2</v>
      </c>
      <c r="N135" s="719"/>
      <c r="P135" s="382"/>
    </row>
    <row r="136" spans="1:16" ht="27.75">
      <c r="A136" s="1141" t="s">
        <v>243</v>
      </c>
      <c r="B136" s="1142"/>
      <c r="C136" s="1142"/>
      <c r="D136" s="523" t="s">
        <v>238</v>
      </c>
      <c r="E136" s="541">
        <f>'10'!F136</f>
        <v>32874.050000000003</v>
      </c>
      <c r="F136" s="652">
        <v>32874</v>
      </c>
      <c r="G136" s="653">
        <f t="shared" si="15"/>
        <v>-5.0000000002910383E-2</v>
      </c>
      <c r="H136" s="706">
        <f>G136+'10'!H136</f>
        <v>159</v>
      </c>
      <c r="I136" s="1073"/>
      <c r="J136" s="708">
        <f>H136/DAY(B2)</f>
        <v>14.454545454545455</v>
      </c>
      <c r="N136" s="719"/>
      <c r="P136" s="382"/>
    </row>
    <row r="137" spans="1:16" ht="27.75">
      <c r="A137" s="1141" t="s">
        <v>244</v>
      </c>
      <c r="B137" s="1142"/>
      <c r="C137" s="1142"/>
      <c r="D137" s="523" t="s">
        <v>238</v>
      </c>
      <c r="E137" s="541">
        <f>'10'!F137</f>
        <v>22833.51</v>
      </c>
      <c r="F137" s="652">
        <v>22833.51</v>
      </c>
      <c r="G137" s="653">
        <f t="shared" si="15"/>
        <v>0</v>
      </c>
      <c r="H137" s="706">
        <f>G137+'10'!H137</f>
        <v>26.269999999996799</v>
      </c>
      <c r="I137" s="1073">
        <f>G135+G136+G137</f>
        <v>-5.0000000002910383E-2</v>
      </c>
      <c r="J137" s="708">
        <f>H137/DAY(B2)</f>
        <v>2.3881818181815273</v>
      </c>
      <c r="N137" s="719"/>
      <c r="P137" s="382"/>
    </row>
    <row r="138" spans="1:16" ht="27.75">
      <c r="A138" s="1141" t="s">
        <v>245</v>
      </c>
      <c r="B138" s="1142"/>
      <c r="C138" s="1142"/>
      <c r="D138" s="523" t="s">
        <v>238</v>
      </c>
      <c r="E138" s="541">
        <f>'10'!F138</f>
        <v>25051.82</v>
      </c>
      <c r="F138" s="652">
        <v>25051.82</v>
      </c>
      <c r="G138" s="653">
        <f t="shared" si="15"/>
        <v>0</v>
      </c>
      <c r="H138" s="706">
        <f>G138+'10'!H138</f>
        <v>0</v>
      </c>
      <c r="I138" s="1073"/>
      <c r="J138" s="708">
        <f>H138/DAY(B2)</f>
        <v>0</v>
      </c>
      <c r="N138" s="719"/>
      <c r="P138" s="382"/>
    </row>
    <row r="139" spans="1:16" ht="27.75">
      <c r="A139" s="1141" t="s">
        <v>246</v>
      </c>
      <c r="B139" s="1142"/>
      <c r="C139" s="1142"/>
      <c r="D139" s="523" t="s">
        <v>238</v>
      </c>
      <c r="E139" s="541">
        <f>'10'!F139</f>
        <v>70448.41</v>
      </c>
      <c r="F139" s="652">
        <v>70456</v>
      </c>
      <c r="G139" s="653">
        <f t="shared" si="15"/>
        <v>7.5899999999965075</v>
      </c>
      <c r="H139" s="706">
        <f>G139+'10'!H139</f>
        <v>44.259999999994761</v>
      </c>
      <c r="I139" s="1073">
        <f>G138+G139</f>
        <v>7.5899999999965075</v>
      </c>
      <c r="J139" s="708">
        <f>H139/DAY(B2)</f>
        <v>4.0236363636358874</v>
      </c>
      <c r="N139" s="719"/>
      <c r="P139" s="382"/>
    </row>
    <row r="140" spans="1:16" ht="27.75">
      <c r="A140" s="1141" t="s">
        <v>247</v>
      </c>
      <c r="B140" s="1142"/>
      <c r="C140" s="1142"/>
      <c r="D140" s="523" t="s">
        <v>238</v>
      </c>
      <c r="E140" s="541">
        <f>'10'!F140</f>
        <v>1925.69</v>
      </c>
      <c r="F140" s="652">
        <v>1934.29</v>
      </c>
      <c r="G140" s="653">
        <f t="shared" si="15"/>
        <v>8.5999999999999091</v>
      </c>
      <c r="H140" s="706">
        <f>G140+'10'!H140</f>
        <v>79.990000000000009</v>
      </c>
      <c r="I140" s="535"/>
      <c r="J140" s="708">
        <f>H140/DAY(B2)</f>
        <v>7.2718181818181824</v>
      </c>
      <c r="N140" s="719"/>
      <c r="P140" s="382"/>
    </row>
    <row r="141" spans="1:16" ht="27.75">
      <c r="A141" s="1141" t="s">
        <v>248</v>
      </c>
      <c r="B141" s="1142"/>
      <c r="C141" s="1142"/>
      <c r="D141" s="523" t="s">
        <v>238</v>
      </c>
      <c r="E141" s="541">
        <f>'10'!F141</f>
        <v>4636.88</v>
      </c>
      <c r="F141" s="652">
        <v>4636.88</v>
      </c>
      <c r="G141" s="653">
        <f t="shared" si="15"/>
        <v>0</v>
      </c>
      <c r="H141" s="706">
        <f>G141+'10'!H141</f>
        <v>-0.11999999999989086</v>
      </c>
      <c r="I141" s="535"/>
      <c r="J141" s="708">
        <f>H141/DAY(B2)</f>
        <v>-1.0909090909080987E-2</v>
      </c>
      <c r="N141" s="719"/>
      <c r="P141" s="382"/>
    </row>
    <row r="142" spans="1:16">
      <c r="A142" s="1572" t="s">
        <v>249</v>
      </c>
      <c r="B142" s="1573"/>
      <c r="C142" s="1147"/>
      <c r="D142" s="472"/>
      <c r="E142" s="627"/>
      <c r="F142" s="627"/>
      <c r="G142" s="648"/>
      <c r="H142" s="648"/>
      <c r="I142" s="648"/>
      <c r="J142" s="1438"/>
      <c r="K142" s="380"/>
      <c r="L142" s="377"/>
      <c r="N142" s="719"/>
      <c r="P142" s="382"/>
    </row>
    <row r="143" spans="1:16" ht="27.75">
      <c r="A143" s="1537" t="s">
        <v>250</v>
      </c>
      <c r="B143" s="1538"/>
      <c r="C143" s="1539"/>
      <c r="D143" s="523" t="s">
        <v>131</v>
      </c>
      <c r="E143" s="627"/>
      <c r="F143" s="627"/>
      <c r="G143" s="706">
        <f>G35+G43+G49+G57</f>
        <v>4625</v>
      </c>
      <c r="H143" s="706">
        <f>G143+'10'!H143</f>
        <v>52735.130000000005</v>
      </c>
      <c r="I143" s="1073"/>
      <c r="J143" s="708">
        <f>H143/DAY(B2)</f>
        <v>4794.1027272727279</v>
      </c>
      <c r="K143" s="380"/>
      <c r="L143" s="377"/>
      <c r="N143" s="719"/>
      <c r="P143" s="382"/>
    </row>
    <row r="144" spans="1:16" ht="27.75">
      <c r="A144" s="1537" t="s">
        <v>251</v>
      </c>
      <c r="B144" s="1538"/>
      <c r="C144" s="1539"/>
      <c r="D144" s="523" t="s">
        <v>24</v>
      </c>
      <c r="E144" s="1391"/>
      <c r="F144" s="1391"/>
      <c r="G144" s="1441">
        <f>G143/G7</f>
        <v>0.26997840172786175</v>
      </c>
      <c r="H144" s="706">
        <f>G144+'10'!H144</f>
        <v>3.0677681792484277</v>
      </c>
      <c r="I144" s="544"/>
      <c r="J144" s="708">
        <f>H144/DAY(B2)</f>
        <v>0.27888801629531162</v>
      </c>
      <c r="K144" s="380"/>
      <c r="L144" s="377"/>
      <c r="N144" s="719"/>
      <c r="P144" s="382"/>
    </row>
    <row r="145" spans="1:16" ht="27.75">
      <c r="A145" s="1537" t="s">
        <v>252</v>
      </c>
      <c r="B145" s="1538"/>
      <c r="C145" s="1539"/>
      <c r="D145" s="523" t="s">
        <v>131</v>
      </c>
      <c r="E145" s="707"/>
      <c r="F145" s="707"/>
      <c r="G145" s="706">
        <f>G41+G42+G55+G56</f>
        <v>4819</v>
      </c>
      <c r="H145" s="706">
        <f>G145+'10'!H145</f>
        <v>54279.55</v>
      </c>
      <c r="I145" s="1073"/>
      <c r="J145" s="708">
        <f>H145/DAY(B2)</f>
        <v>4934.5045454545461</v>
      </c>
      <c r="K145" s="380"/>
      <c r="L145" s="377"/>
      <c r="N145" s="719"/>
      <c r="P145" s="382"/>
    </row>
    <row r="146" spans="1:16" ht="27.75">
      <c r="A146" s="1537" t="s">
        <v>253</v>
      </c>
      <c r="B146" s="1538"/>
      <c r="C146" s="1539"/>
      <c r="D146" s="523" t="s">
        <v>24</v>
      </c>
      <c r="E146" s="707"/>
      <c r="F146" s="707"/>
      <c r="G146" s="1441">
        <f>G145/G7</f>
        <v>0.28130290117331153</v>
      </c>
      <c r="H146" s="706">
        <f>G146+'10'!H146</f>
        <v>3.1516571898717598</v>
      </c>
      <c r="I146" s="544"/>
      <c r="J146" s="708">
        <f>H146/DAY(B2)</f>
        <v>0.28651428998834177</v>
      </c>
      <c r="K146" s="380"/>
      <c r="L146" s="377"/>
      <c r="N146" s="719"/>
      <c r="P146" s="382"/>
    </row>
    <row r="147" spans="1:16" ht="27.75">
      <c r="A147" s="1537" t="s">
        <v>254</v>
      </c>
      <c r="B147" s="1538"/>
      <c r="C147" s="1539"/>
      <c r="D147" s="523" t="s">
        <v>131</v>
      </c>
      <c r="E147" s="707"/>
      <c r="F147" s="707"/>
      <c r="G147" s="706">
        <f>G39+G53</f>
        <v>3233</v>
      </c>
      <c r="H147" s="706">
        <f>G147+'10'!H147</f>
        <v>32069</v>
      </c>
      <c r="I147" s="1442"/>
      <c r="J147" s="708">
        <f>H147/DAY(B2)</f>
        <v>2915.3636363636365</v>
      </c>
      <c r="K147" s="380"/>
      <c r="L147" s="377"/>
      <c r="N147" s="719"/>
      <c r="P147" s="382"/>
    </row>
    <row r="148" spans="1:16" ht="27.75">
      <c r="A148" s="1537" t="s">
        <v>255</v>
      </c>
      <c r="B148" s="1538"/>
      <c r="C148" s="1539"/>
      <c r="D148" s="523" t="s">
        <v>24</v>
      </c>
      <c r="E148" s="707"/>
      <c r="F148" s="707"/>
      <c r="G148" s="1441">
        <f>G147/G7</f>
        <v>0.18872219952133559</v>
      </c>
      <c r="H148" s="706">
        <f>G148+'10'!H148</f>
        <v>1.8607503536002319</v>
      </c>
      <c r="I148" s="1442"/>
      <c r="J148" s="708">
        <f>H148/DAY(B2)</f>
        <v>0.16915912305456654</v>
      </c>
      <c r="N148" s="719"/>
      <c r="P148" s="382"/>
    </row>
    <row r="149" spans="1:16" ht="27.75">
      <c r="A149" s="1537" t="s">
        <v>256</v>
      </c>
      <c r="B149" s="1538"/>
      <c r="C149" s="1539"/>
      <c r="D149" s="523" t="s">
        <v>182</v>
      </c>
      <c r="E149" s="707"/>
      <c r="F149" s="707"/>
      <c r="G149" s="706">
        <f>G38+G52</f>
        <v>1184</v>
      </c>
      <c r="H149" s="706">
        <f>G149+'10'!H149</f>
        <v>13377.069999999949</v>
      </c>
      <c r="I149" s="1073"/>
      <c r="J149" s="708">
        <f>H149/DAY(B2)</f>
        <v>1216.0972727272681</v>
      </c>
      <c r="K149" s="381"/>
      <c r="N149" s="719"/>
      <c r="P149" s="382"/>
    </row>
    <row r="150" spans="1:16" ht="27.75">
      <c r="A150" s="1537" t="s">
        <v>257</v>
      </c>
      <c r="B150" s="1538"/>
      <c r="C150" s="1539"/>
      <c r="D150" s="523" t="s">
        <v>24</v>
      </c>
      <c r="E150" s="707"/>
      <c r="F150" s="707" t="s">
        <v>214</v>
      </c>
      <c r="G150" s="1441">
        <f>G149/G7</f>
        <v>6.9114470842332618E-2</v>
      </c>
      <c r="H150" s="706">
        <f>G150+'10'!H150</f>
        <v>0.77673726447231117</v>
      </c>
      <c r="I150" s="1442"/>
      <c r="J150" s="708">
        <f>H150/DAY(B2)</f>
        <v>7.0612478588391925E-2</v>
      </c>
      <c r="N150" s="719"/>
      <c r="P150" s="382"/>
    </row>
    <row r="151" spans="1:16" ht="27.75">
      <c r="A151" s="1537" t="s">
        <v>258</v>
      </c>
      <c r="B151" s="1538"/>
      <c r="C151" s="1539"/>
      <c r="D151" s="523" t="s">
        <v>182</v>
      </c>
      <c r="E151" s="707"/>
      <c r="F151" s="707"/>
      <c r="G151" s="706">
        <f>G36+G50</f>
        <v>1475</v>
      </c>
      <c r="H151" s="706">
        <f>G151+'10'!H151</f>
        <v>16570</v>
      </c>
      <c r="I151" s="1442"/>
      <c r="J151" s="708">
        <f>H151/DAY(B2)</f>
        <v>1506.3636363636363</v>
      </c>
      <c r="N151" s="719"/>
      <c r="P151" s="382"/>
    </row>
    <row r="152" spans="1:16" ht="27.75">
      <c r="A152" s="1537" t="s">
        <v>259</v>
      </c>
      <c r="B152" s="1538"/>
      <c r="C152" s="1539"/>
      <c r="D152" s="523" t="s">
        <v>24</v>
      </c>
      <c r="E152" s="707"/>
      <c r="F152" s="707"/>
      <c r="G152" s="1441">
        <f>G151/G7</f>
        <v>8.6101220010507268E-2</v>
      </c>
      <c r="H152" s="706">
        <f>G152+'10'!H152</f>
        <v>0.9571096666444644</v>
      </c>
      <c r="I152" s="1073"/>
      <c r="J152" s="708">
        <f>H152/DAY(B2)</f>
        <v>8.7009969694951311E-2</v>
      </c>
      <c r="N152" s="719"/>
      <c r="P152" s="382"/>
    </row>
    <row r="153" spans="1:16" ht="27.75">
      <c r="A153" s="1537" t="s">
        <v>260</v>
      </c>
      <c r="B153" s="1538"/>
      <c r="C153" s="1539"/>
      <c r="D153" s="523" t="s">
        <v>182</v>
      </c>
      <c r="E153" s="707"/>
      <c r="F153" s="707"/>
      <c r="G153" s="706">
        <f>G37+G51</f>
        <v>1386</v>
      </c>
      <c r="H153" s="706">
        <f>G153+'10'!H153</f>
        <v>14591.869999999995</v>
      </c>
      <c r="I153" s="1073"/>
      <c r="J153" s="708"/>
      <c r="N153" s="719"/>
      <c r="P153" s="382"/>
    </row>
    <row r="154" spans="1:16" ht="28.5" thickBot="1">
      <c r="A154" s="1569" t="s">
        <v>261</v>
      </c>
      <c r="B154" s="1570"/>
      <c r="C154" s="1571"/>
      <c r="D154" s="625" t="s">
        <v>24</v>
      </c>
      <c r="E154" s="1443"/>
      <c r="F154" s="1443"/>
      <c r="G154" s="1444">
        <f>G153/G7</f>
        <v>8.0905959955635987E-2</v>
      </c>
      <c r="H154" s="706">
        <f>G154+'10'!H154</f>
        <v>0.84899838996202259</v>
      </c>
      <c r="I154" s="1445"/>
      <c r="J154" s="1446">
        <f>H154/DAY(B2)</f>
        <v>7.7181671814729333E-2</v>
      </c>
      <c r="N154" s="719"/>
      <c r="P154" s="382"/>
    </row>
    <row r="155" spans="1:16">
      <c r="A155" s="466"/>
      <c r="B155" s="456"/>
      <c r="C155" s="456"/>
      <c r="D155" s="546"/>
      <c r="E155" s="1447"/>
      <c r="F155" s="1448"/>
      <c r="G155" s="1447"/>
      <c r="H155" s="1449"/>
      <c r="I155" s="1447"/>
      <c r="J155" s="1450"/>
      <c r="N155" s="719"/>
    </row>
    <row r="156" spans="1:16">
      <c r="N156" s="719"/>
    </row>
    <row r="157" spans="1:16">
      <c r="N157" s="719"/>
    </row>
    <row r="158" spans="1:16">
      <c r="N158" s="719"/>
    </row>
    <row r="159" spans="1:16">
      <c r="N159" s="719"/>
    </row>
    <row r="160" spans="1:16">
      <c r="N160" s="719"/>
    </row>
    <row r="161" spans="1:14">
      <c r="A161" s="785" t="s">
        <v>262</v>
      </c>
      <c r="B161" s="786"/>
      <c r="C161" s="786"/>
      <c r="D161" s="511" t="s">
        <v>186</v>
      </c>
      <c r="E161" s="652">
        <f>'10'!F161</f>
        <v>39239</v>
      </c>
      <c r="F161" s="660">
        <v>39318</v>
      </c>
      <c r="G161" s="653">
        <f t="shared" ref="G161:G174" si="16">F161-E161</f>
        <v>79</v>
      </c>
      <c r="N161" s="719"/>
    </row>
    <row r="162" spans="1:14">
      <c r="A162" s="785" t="s">
        <v>263</v>
      </c>
      <c r="B162" s="786"/>
      <c r="C162" s="786"/>
      <c r="D162" s="511" t="s">
        <v>186</v>
      </c>
      <c r="E162" s="652">
        <f>'10'!F162</f>
        <v>98878</v>
      </c>
      <c r="F162" s="660">
        <v>99314</v>
      </c>
      <c r="G162" s="653">
        <f t="shared" si="16"/>
        <v>436</v>
      </c>
      <c r="N162" s="719"/>
    </row>
    <row r="163" spans="1:14">
      <c r="A163" s="785" t="s">
        <v>264</v>
      </c>
      <c r="B163" s="786"/>
      <c r="C163" s="786"/>
      <c r="D163" s="511" t="s">
        <v>186</v>
      </c>
      <c r="E163" s="652">
        <f>'10'!F163</f>
        <v>47024</v>
      </c>
      <c r="F163" s="660">
        <v>47234</v>
      </c>
      <c r="G163" s="653">
        <f t="shared" si="16"/>
        <v>210</v>
      </c>
      <c r="N163" s="719"/>
    </row>
    <row r="164" spans="1:14">
      <c r="A164" s="785" t="s">
        <v>265</v>
      </c>
      <c r="B164" s="786"/>
      <c r="C164" s="786"/>
      <c r="D164" s="511" t="s">
        <v>186</v>
      </c>
      <c r="E164" s="652">
        <f>'10'!F164</f>
        <v>6648</v>
      </c>
      <c r="F164" s="660">
        <v>6657</v>
      </c>
      <c r="G164" s="653">
        <f t="shared" si="16"/>
        <v>9</v>
      </c>
      <c r="N164" s="719"/>
    </row>
    <row r="165" spans="1:14" ht="37.5" customHeight="1">
      <c r="A165" s="787" t="s">
        <v>97</v>
      </c>
      <c r="B165" s="604"/>
      <c r="C165" s="604"/>
      <c r="D165" s="511" t="s">
        <v>186</v>
      </c>
      <c r="E165" s="652">
        <f>'10'!F165</f>
        <v>0</v>
      </c>
      <c r="F165" s="1109">
        <f>F62</f>
        <v>0</v>
      </c>
      <c r="G165" s="653">
        <f t="shared" si="16"/>
        <v>0</v>
      </c>
      <c r="N165" s="719"/>
    </row>
    <row r="166" spans="1:14">
      <c r="A166" s="787" t="s">
        <v>187</v>
      </c>
      <c r="B166" s="604"/>
      <c r="C166" s="604"/>
      <c r="D166" s="511" t="s">
        <v>186</v>
      </c>
      <c r="E166" s="652">
        <f>'10'!F166</f>
        <v>0</v>
      </c>
      <c r="F166" s="1109">
        <f>F63</f>
        <v>0</v>
      </c>
      <c r="G166" s="653">
        <f t="shared" si="16"/>
        <v>0</v>
      </c>
      <c r="H166" s="1453" t="s">
        <v>272</v>
      </c>
      <c r="N166" s="719"/>
    </row>
    <row r="167" spans="1:14" ht="35.25" customHeight="1">
      <c r="A167" s="1586" t="s">
        <v>98</v>
      </c>
      <c r="B167" s="1586"/>
      <c r="C167" s="1586"/>
      <c r="D167" s="523" t="s">
        <v>186</v>
      </c>
      <c r="E167" s="652">
        <f>'10'!F167</f>
        <v>162647</v>
      </c>
      <c r="F167" s="1109">
        <f t="shared" ref="F167:F172" si="17">F64</f>
        <v>163000</v>
      </c>
      <c r="G167" s="653">
        <f t="shared" si="16"/>
        <v>353</v>
      </c>
      <c r="N167" s="719"/>
    </row>
    <row r="168" spans="1:14" ht="33" customHeight="1">
      <c r="A168" s="1586" t="s">
        <v>99</v>
      </c>
      <c r="B168" s="1586"/>
      <c r="C168" s="1586"/>
      <c r="D168" s="523" t="s">
        <v>186</v>
      </c>
      <c r="E168" s="652">
        <f>'10'!F168</f>
        <v>163365</v>
      </c>
      <c r="F168" s="1109">
        <f t="shared" si="17"/>
        <v>163635</v>
      </c>
      <c r="G168" s="653">
        <f t="shared" si="16"/>
        <v>270</v>
      </c>
      <c r="N168" s="719"/>
    </row>
    <row r="169" spans="1:14" ht="40.5" customHeight="1">
      <c r="A169" s="1586" t="s">
        <v>100</v>
      </c>
      <c r="B169" s="1586"/>
      <c r="C169" s="1586"/>
      <c r="D169" s="523" t="s">
        <v>186</v>
      </c>
      <c r="E169" s="652">
        <f>'10'!F169</f>
        <v>60224</v>
      </c>
      <c r="F169" s="1109">
        <f t="shared" si="17"/>
        <v>60644</v>
      </c>
      <c r="G169" s="653">
        <f t="shared" si="16"/>
        <v>420</v>
      </c>
      <c r="N169" s="719"/>
    </row>
    <row r="170" spans="1:14" ht="30.75" customHeight="1">
      <c r="A170" s="1586" t="s">
        <v>101</v>
      </c>
      <c r="B170" s="1586"/>
      <c r="C170" s="1586"/>
      <c r="D170" s="523" t="s">
        <v>186</v>
      </c>
      <c r="E170" s="652">
        <f>'10'!F170</f>
        <v>256073</v>
      </c>
      <c r="F170" s="1109">
        <f t="shared" si="17"/>
        <v>256499</v>
      </c>
      <c r="G170" s="653">
        <f t="shared" si="16"/>
        <v>426</v>
      </c>
      <c r="N170" s="719"/>
    </row>
    <row r="171" spans="1:14" ht="30.75" customHeight="1">
      <c r="A171" s="1586" t="s">
        <v>102</v>
      </c>
      <c r="B171" s="1586"/>
      <c r="C171" s="1586"/>
      <c r="D171" s="523" t="s">
        <v>186</v>
      </c>
      <c r="E171" s="652">
        <f>'10'!F171</f>
        <v>85321</v>
      </c>
      <c r="F171" s="1109">
        <f t="shared" si="17"/>
        <v>85321</v>
      </c>
      <c r="G171" s="653">
        <f t="shared" si="16"/>
        <v>0</v>
      </c>
      <c r="N171" s="719"/>
    </row>
    <row r="172" spans="1:14" ht="28.5" customHeight="1">
      <c r="A172" s="1586" t="s">
        <v>103</v>
      </c>
      <c r="B172" s="1586"/>
      <c r="C172" s="1586"/>
      <c r="D172" s="523" t="s">
        <v>186</v>
      </c>
      <c r="E172" s="652">
        <f>'10'!F172</f>
        <v>82925</v>
      </c>
      <c r="F172" s="1109">
        <f t="shared" si="17"/>
        <v>83077</v>
      </c>
      <c r="G172" s="653">
        <f t="shared" si="16"/>
        <v>152</v>
      </c>
      <c r="N172" s="719"/>
    </row>
    <row r="173" spans="1:14">
      <c r="A173" s="1596" t="s">
        <v>357</v>
      </c>
      <c r="B173" s="1579"/>
      <c r="C173" s="786"/>
      <c r="D173" s="523" t="s">
        <v>186</v>
      </c>
      <c r="E173" s="652">
        <f>'10'!F173</f>
        <v>18928.5</v>
      </c>
      <c r="F173" s="532">
        <v>18928.5</v>
      </c>
      <c r="G173" s="653">
        <f t="shared" si="16"/>
        <v>0</v>
      </c>
      <c r="N173" s="719"/>
    </row>
    <row r="174" spans="1:14">
      <c r="A174" s="1596" t="s">
        <v>358</v>
      </c>
      <c r="B174" s="1579"/>
      <c r="C174" s="786"/>
      <c r="D174" s="523" t="s">
        <v>186</v>
      </c>
      <c r="E174" s="652">
        <f>'10'!F174</f>
        <v>27542</v>
      </c>
      <c r="F174" s="532">
        <v>27546</v>
      </c>
      <c r="G174" s="653">
        <f t="shared" si="16"/>
        <v>4</v>
      </c>
      <c r="N174" s="719"/>
    </row>
    <row r="175" spans="1:14">
      <c r="N175" s="719"/>
    </row>
    <row r="176" spans="1:14">
      <c r="N176" s="719"/>
    </row>
    <row r="177" spans="14:14" ht="18.75" customHeight="1">
      <c r="N177" s="719"/>
    </row>
    <row r="178" spans="14:14" ht="44.25" customHeight="1">
      <c r="N178" s="719"/>
    </row>
    <row r="179" spans="14:14" ht="21.75" customHeight="1">
      <c r="N179" s="719"/>
    </row>
    <row r="180" spans="14:14" ht="21.75" customHeight="1">
      <c r="N180" s="719"/>
    </row>
    <row r="181" spans="14:14" ht="21.75" customHeight="1">
      <c r="N181" s="719"/>
    </row>
    <row r="182" spans="14:14" ht="21.75" customHeight="1">
      <c r="N182" s="719"/>
    </row>
    <row r="183" spans="14:14" ht="21.75" customHeight="1">
      <c r="N183" s="719"/>
    </row>
    <row r="184" spans="14:14" ht="21.75" customHeight="1">
      <c r="N184" s="719"/>
    </row>
    <row r="185" spans="14:14" ht="21.75" customHeight="1">
      <c r="N185" s="719"/>
    </row>
    <row r="186" spans="14:14" ht="21.75" customHeight="1">
      <c r="N186" s="719"/>
    </row>
    <row r="187" spans="14:14" ht="21.75" customHeight="1">
      <c r="N187" s="719"/>
    </row>
    <row r="188" spans="14:14" ht="21.75" customHeight="1">
      <c r="N188" s="719"/>
    </row>
    <row r="189" spans="14:14" ht="21.75" customHeight="1">
      <c r="N189" s="719"/>
    </row>
    <row r="190" spans="14:14" ht="21.75" customHeight="1">
      <c r="N190" s="719"/>
    </row>
    <row r="191" spans="14:14" ht="21.75" customHeight="1">
      <c r="N191" s="719"/>
    </row>
    <row r="192" spans="14:14" ht="21.75" customHeight="1">
      <c r="N192" s="719"/>
    </row>
    <row r="193" spans="14:14" ht="21.75" customHeight="1">
      <c r="N193" s="719"/>
    </row>
    <row r="194" spans="14:14" ht="36.75" customHeight="1">
      <c r="N194" s="719"/>
    </row>
    <row r="195" spans="14:14">
      <c r="N195" s="719"/>
    </row>
    <row r="196" spans="14:14">
      <c r="N196" s="719"/>
    </row>
    <row r="197" spans="14:14">
      <c r="N197" s="719"/>
    </row>
    <row r="198" spans="14:14">
      <c r="N198" s="719"/>
    </row>
    <row r="200" spans="14:14" ht="21.75" customHeight="1"/>
    <row r="201" spans="14:14" ht="21.75" customHeight="1"/>
    <row r="202" spans="14:14" ht="21.75" customHeight="1"/>
    <row r="203" spans="14:14" ht="21.75" customHeight="1"/>
    <row r="204" spans="14:14" ht="21.75" customHeight="1"/>
    <row r="205" spans="14:14" ht="21.75" customHeight="1"/>
    <row r="206" spans="14:14" ht="21.75" customHeight="1"/>
    <row r="207" spans="14:14" ht="21.75" customHeight="1"/>
    <row r="208" spans="14:14" ht="21.75" customHeight="1"/>
    <row r="209" ht="21.75" customHeight="1"/>
    <row r="210" ht="21.75" customHeight="1"/>
    <row r="211" ht="21.75" customHeight="1"/>
    <row r="212" ht="21.75" customHeight="1"/>
    <row r="213" ht="21.75" customHeight="1"/>
    <row r="214" ht="21.75" customHeight="1"/>
    <row r="215" ht="21.75" customHeight="1"/>
    <row r="216" ht="21.75" customHeight="1"/>
    <row r="217" ht="21.75" customHeight="1"/>
    <row r="218" ht="21.75" customHeight="1"/>
    <row r="219" ht="21.75" customHeight="1"/>
    <row r="220" ht="21.75" customHeight="1"/>
    <row r="221" ht="21.75" customHeight="1"/>
    <row r="222" ht="21.75" customHeight="1"/>
    <row r="223" ht="21.75" customHeight="1"/>
    <row r="224" ht="21.75" customHeight="1"/>
    <row r="225" ht="21.75" customHeight="1"/>
    <row r="226" ht="21.75" customHeight="1"/>
    <row r="227" ht="21.75" customHeight="1"/>
    <row r="228" ht="21.75" customHeight="1"/>
    <row r="229" ht="21.75" customHeight="1"/>
    <row r="230" ht="21.75" customHeight="1"/>
    <row r="231" ht="21.75" customHeight="1"/>
    <row r="232" ht="21.75" customHeight="1"/>
    <row r="233" ht="21.75" customHeight="1"/>
    <row r="234" ht="21.75" customHeight="1"/>
    <row r="235" ht="21.75" customHeight="1"/>
    <row r="236" ht="21.75" customHeight="1"/>
    <row r="237" ht="21.75" customHeight="1"/>
    <row r="238" ht="21.75" customHeight="1"/>
  </sheetData>
  <mergeCells count="76">
    <mergeCell ref="A173:B173"/>
    <mergeCell ref="A174:B174"/>
    <mergeCell ref="A172:C172"/>
    <mergeCell ref="A167:C167"/>
    <mergeCell ref="A168:C168"/>
    <mergeCell ref="A169:C169"/>
    <mergeCell ref="A170:C170"/>
    <mergeCell ref="A171:C171"/>
    <mergeCell ref="A82:C82"/>
    <mergeCell ref="A83:C83"/>
    <mergeCell ref="A119:B119"/>
    <mergeCell ref="A120:B120"/>
    <mergeCell ref="A121:B121"/>
    <mergeCell ref="A109:B109"/>
    <mergeCell ref="A110:B110"/>
    <mergeCell ref="A111:B111"/>
    <mergeCell ref="A112:B112"/>
    <mergeCell ref="A113:B113"/>
    <mergeCell ref="A104:B104"/>
    <mergeCell ref="A105:B105"/>
    <mergeCell ref="A106:B106"/>
    <mergeCell ref="A107:C107"/>
    <mergeCell ref="A108:B108"/>
    <mergeCell ref="A102:C102"/>
    <mergeCell ref="A122:B122"/>
    <mergeCell ref="A114:B114"/>
    <mergeCell ref="A115:B115"/>
    <mergeCell ref="A116:B116"/>
    <mergeCell ref="A117:B117"/>
    <mergeCell ref="A118:B118"/>
    <mergeCell ref="A123:C123"/>
    <mergeCell ref="A142:B142"/>
    <mergeCell ref="A153:C153"/>
    <mergeCell ref="A154:C154"/>
    <mergeCell ref="A151:C151"/>
    <mergeCell ref="A152:C152"/>
    <mergeCell ref="A148:C148"/>
    <mergeCell ref="A149:C149"/>
    <mergeCell ref="A150:C150"/>
    <mergeCell ref="A147:C147"/>
    <mergeCell ref="A143:C143"/>
    <mergeCell ref="A144:C144"/>
    <mergeCell ref="A145:C145"/>
    <mergeCell ref="A146:C146"/>
    <mergeCell ref="A126:C126"/>
    <mergeCell ref="A95:C95"/>
    <mergeCell ref="A96:C96"/>
    <mergeCell ref="A93:C93"/>
    <mergeCell ref="A94:C94"/>
    <mergeCell ref="A69:C69"/>
    <mergeCell ref="A70:C70"/>
    <mergeCell ref="A71:J71"/>
    <mergeCell ref="A72:C72"/>
    <mergeCell ref="A73:C73"/>
    <mergeCell ref="A74:C74"/>
    <mergeCell ref="A75:C75"/>
    <mergeCell ref="A76:C76"/>
    <mergeCell ref="A77:C77"/>
    <mergeCell ref="A79:C79"/>
    <mergeCell ref="A80:C80"/>
    <mergeCell ref="A81:C81"/>
    <mergeCell ref="A64:C64"/>
    <mergeCell ref="A65:C65"/>
    <mergeCell ref="A66:C66"/>
    <mergeCell ref="A67:C67"/>
    <mergeCell ref="A68:C68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</mergeCells>
  <pageMargins left="0.22" right="0.17" top="0.14000000000000001" bottom="0.2" header="0.2" footer="0.2"/>
  <pageSetup paperSize="5" scale="2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Q238"/>
  <sheetViews>
    <sheetView view="pageBreakPreview" topLeftCell="A166" zoomScale="55" zoomScaleNormal="75" zoomScaleSheetLayoutView="55" workbookViewId="0">
      <selection activeCell="F75" sqref="F75"/>
    </sheetView>
  </sheetViews>
  <sheetFormatPr defaultColWidth="22.33203125" defaultRowHeight="29.25"/>
  <cols>
    <col min="1" max="1" width="39.6640625" style="454" customWidth="1"/>
    <col min="2" max="2" width="30.109375" style="457" customWidth="1"/>
    <col min="3" max="3" width="15.88671875" style="457" customWidth="1"/>
    <col min="4" max="4" width="13.6640625" style="537" customWidth="1"/>
    <col min="5" max="5" width="30" style="537" customWidth="1"/>
    <col min="6" max="6" width="30" style="664" customWidth="1"/>
    <col min="7" max="7" width="28.88671875" style="537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3" width="22.33203125" style="376" hidden="1" customWidth="1"/>
    <col min="14" max="14" width="25.5546875" style="717" customWidth="1"/>
    <col min="15" max="15" width="22.33203125" style="1182"/>
    <col min="16" max="17" width="22.33203125" style="441"/>
    <col min="18" max="16384" width="22.33203125" style="376"/>
  </cols>
  <sheetData>
    <row r="1" spans="1:17" ht="33.75">
      <c r="A1" s="1549" t="s">
        <v>116</v>
      </c>
      <c r="B1" s="1550"/>
      <c r="C1" s="1550"/>
      <c r="D1" s="1550"/>
      <c r="E1" s="1550"/>
      <c r="F1" s="1550"/>
      <c r="G1" s="1550"/>
      <c r="H1" s="1550"/>
      <c r="I1" s="1550"/>
      <c r="J1" s="1551"/>
    </row>
    <row r="2" spans="1:17" s="281" customFormat="1" ht="27">
      <c r="A2" s="575" t="s">
        <v>363</v>
      </c>
      <c r="B2" s="1033">
        <v>44359</v>
      </c>
      <c r="C2" s="1143" t="s">
        <v>68</v>
      </c>
      <c r="D2" s="611">
        <v>0.78</v>
      </c>
      <c r="E2" s="461"/>
      <c r="F2" s="461"/>
      <c r="G2" s="461" t="s">
        <v>117</v>
      </c>
      <c r="H2" s="461" t="s">
        <v>6</v>
      </c>
      <c r="I2" s="461" t="s">
        <v>8</v>
      </c>
      <c r="J2" s="613" t="s">
        <v>118</v>
      </c>
      <c r="N2" s="718"/>
      <c r="O2" s="1183"/>
      <c r="P2" s="711"/>
      <c r="Q2" s="711"/>
    </row>
    <row r="3" spans="1:17" s="281" customFormat="1" ht="27">
      <c r="A3" s="570"/>
      <c r="B3" s="614"/>
      <c r="C3" s="1143" t="s">
        <v>119</v>
      </c>
      <c r="D3" s="612">
        <v>28</v>
      </c>
      <c r="E3" s="1558" t="s">
        <v>120</v>
      </c>
      <c r="F3" s="1559"/>
      <c r="G3" s="462">
        <f>'1'!G3</f>
        <v>0</v>
      </c>
      <c r="H3" s="463">
        <f>'1'!H3</f>
        <v>0</v>
      </c>
      <c r="I3" s="463">
        <f>'1'!I3</f>
        <v>0</v>
      </c>
      <c r="J3" s="615">
        <f>'1'!J3</f>
        <v>0</v>
      </c>
      <c r="K3" s="371"/>
      <c r="L3" s="292"/>
      <c r="N3" s="718"/>
      <c r="O3" s="1183"/>
      <c r="P3" s="711"/>
      <c r="Q3" s="711"/>
    </row>
    <row r="4" spans="1:17" s="281" customFormat="1" ht="27">
      <c r="A4" s="576"/>
      <c r="B4" s="616"/>
      <c r="C4" s="1143" t="s">
        <v>121</v>
      </c>
      <c r="D4" s="611">
        <v>0.79</v>
      </c>
      <c r="E4" s="464"/>
      <c r="F4" s="464"/>
      <c r="G4" s="464"/>
      <c r="H4" s="464"/>
      <c r="I4" s="465"/>
      <c r="J4" s="615"/>
      <c r="K4" s="372"/>
      <c r="L4" s="292"/>
      <c r="N4" s="718"/>
      <c r="O4" s="1183"/>
      <c r="P4" s="711"/>
      <c r="Q4" s="711"/>
    </row>
    <row r="5" spans="1:17">
      <c r="A5" s="577" t="s">
        <v>122</v>
      </c>
      <c r="B5" s="459"/>
      <c r="C5" s="459"/>
      <c r="D5" s="511" t="s">
        <v>123</v>
      </c>
      <c r="E5" s="467" t="s">
        <v>124</v>
      </c>
      <c r="F5" s="467" t="s">
        <v>111</v>
      </c>
      <c r="G5" s="468" t="s">
        <v>125</v>
      </c>
      <c r="H5" s="469" t="s">
        <v>126</v>
      </c>
      <c r="I5" s="470" t="s">
        <v>127</v>
      </c>
      <c r="J5" s="550" t="s">
        <v>128</v>
      </c>
      <c r="K5" s="426"/>
      <c r="L5" s="377"/>
    </row>
    <row r="6" spans="1:17">
      <c r="A6" s="1552" t="s">
        <v>129</v>
      </c>
      <c r="B6" s="1553"/>
      <c r="C6" s="1554"/>
      <c r="D6" s="471"/>
      <c r="E6" s="471"/>
      <c r="F6" s="471"/>
      <c r="G6" s="471"/>
      <c r="H6" s="472"/>
      <c r="I6" s="472"/>
      <c r="J6" s="551"/>
      <c r="K6" s="427"/>
      <c r="L6" s="377"/>
    </row>
    <row r="7" spans="1:17" ht="30" thickBot="1">
      <c r="A7" s="677" t="s">
        <v>130</v>
      </c>
      <c r="B7" s="678"/>
      <c r="C7" s="678"/>
      <c r="D7" s="638" t="s">
        <v>131</v>
      </c>
      <c r="E7" s="633">
        <f>'11'!F7</f>
        <v>533846</v>
      </c>
      <c r="F7" s="455">
        <v>552607</v>
      </c>
      <c r="G7" s="679">
        <f>F7-E7</f>
        <v>18761</v>
      </c>
      <c r="H7" s="680">
        <f>G7+'11'!H7</f>
        <v>208195</v>
      </c>
      <c r="I7" s="681">
        <f>'1'!I7</f>
        <v>12000</v>
      </c>
      <c r="J7" s="682">
        <f>H7/DAY(B2)</f>
        <v>17349.583333333332</v>
      </c>
      <c r="K7" s="549"/>
      <c r="L7" s="377"/>
      <c r="N7" s="719"/>
      <c r="O7" s="728"/>
      <c r="P7" s="712"/>
    </row>
    <row r="8" spans="1:17" ht="27.75" thickBot="1">
      <c r="A8" s="683" t="s">
        <v>132</v>
      </c>
      <c r="B8" s="684"/>
      <c r="C8" s="685"/>
      <c r="D8" s="686" t="s">
        <v>25</v>
      </c>
      <c r="E8" s="633">
        <f>'11'!F8</f>
        <v>536722</v>
      </c>
      <c r="F8" s="475">
        <v>555552</v>
      </c>
      <c r="G8" s="690">
        <f>F8-E8</f>
        <v>18830</v>
      </c>
      <c r="H8" s="680">
        <f>G8+'11'!H8</f>
        <v>209042</v>
      </c>
      <c r="I8" s="687">
        <f>'1'!I8</f>
        <v>12000</v>
      </c>
      <c r="J8" s="682">
        <f>H8/DAY(B2)</f>
        <v>17420.166666666668</v>
      </c>
      <c r="K8" s="549"/>
      <c r="L8" s="425"/>
      <c r="M8" s="440"/>
      <c r="N8" s="719"/>
      <c r="O8" s="728"/>
      <c r="P8" s="714"/>
    </row>
    <row r="9" spans="1:17">
      <c r="A9" s="688" t="s">
        <v>133</v>
      </c>
      <c r="B9" s="689"/>
      <c r="C9" s="689"/>
      <c r="D9" s="638" t="s">
        <v>131</v>
      </c>
      <c r="E9" s="633">
        <f>'11'!F9</f>
        <v>1657132</v>
      </c>
      <c r="F9" s="478">
        <v>1675297</v>
      </c>
      <c r="G9" s="703">
        <f t="shared" ref="G9:G12" si="0">F9-E9</f>
        <v>18165</v>
      </c>
      <c r="H9" s="680">
        <f>G9+'11'!H9</f>
        <v>201607</v>
      </c>
      <c r="I9" s="691">
        <f>I7-J7</f>
        <v>-5349.5833333333321</v>
      </c>
      <c r="J9" s="682">
        <f>H9/DAY(B2)</f>
        <v>16800.583333333332</v>
      </c>
      <c r="K9" s="428"/>
      <c r="L9" s="377"/>
      <c r="N9" s="719"/>
      <c r="O9" s="728"/>
      <c r="P9" s="714"/>
    </row>
    <row r="10" spans="1:17">
      <c r="A10" s="677" t="s">
        <v>134</v>
      </c>
      <c r="B10" s="678"/>
      <c r="C10" s="678"/>
      <c r="D10" s="638" t="s">
        <v>131</v>
      </c>
      <c r="E10" s="633">
        <f>'11'!F10</f>
        <v>2606.5500000000002</v>
      </c>
      <c r="F10" s="478">
        <v>2606.5500000000002</v>
      </c>
      <c r="G10" s="690">
        <f t="shared" si="0"/>
        <v>0</v>
      </c>
      <c r="H10" s="680">
        <f>G10+'11'!H10</f>
        <v>0.42000000000007276</v>
      </c>
      <c r="I10" s="692"/>
      <c r="J10" s="682">
        <f>H10/DAY(B2)</f>
        <v>3.5000000000006061E-2</v>
      </c>
      <c r="K10" s="428"/>
      <c r="L10" s="377"/>
      <c r="N10" s="719"/>
      <c r="O10" s="728"/>
      <c r="P10" s="714"/>
    </row>
    <row r="11" spans="1:17">
      <c r="A11" s="677" t="s">
        <v>135</v>
      </c>
      <c r="B11" s="678"/>
      <c r="C11" s="678"/>
      <c r="D11" s="638" t="s">
        <v>131</v>
      </c>
      <c r="E11" s="633">
        <f>'5'!E11</f>
        <v>37000</v>
      </c>
      <c r="F11" s="455">
        <v>37000</v>
      </c>
      <c r="G11" s="690">
        <f t="shared" si="0"/>
        <v>0</v>
      </c>
      <c r="H11" s="680">
        <f>G11+'11'!H11</f>
        <v>0</v>
      </c>
      <c r="I11" s="692"/>
      <c r="J11" s="682">
        <f>H11/DAY(B2)</f>
        <v>0</v>
      </c>
      <c r="K11" s="428"/>
      <c r="L11" s="377"/>
      <c r="N11" s="719"/>
      <c r="O11" s="728"/>
      <c r="P11" s="714"/>
    </row>
    <row r="12" spans="1:17">
      <c r="A12" s="677" t="s">
        <v>136</v>
      </c>
      <c r="B12" s="678"/>
      <c r="C12" s="678"/>
      <c r="D12" s="638" t="s">
        <v>131</v>
      </c>
      <c r="E12" s="633">
        <f>'5'!E12</f>
        <v>40010</v>
      </c>
      <c r="F12" s="478">
        <v>40010</v>
      </c>
      <c r="G12" s="690">
        <f t="shared" si="0"/>
        <v>0</v>
      </c>
      <c r="H12" s="680">
        <f>G12+'11'!H12</f>
        <v>0</v>
      </c>
      <c r="I12" s="692"/>
      <c r="J12" s="682">
        <f>H12/DAY(B2)</f>
        <v>0</v>
      </c>
      <c r="K12" s="428"/>
      <c r="L12" s="377"/>
      <c r="N12" s="719"/>
      <c r="O12" s="728"/>
      <c r="P12" s="714"/>
    </row>
    <row r="13" spans="1:17">
      <c r="A13" s="693" t="s">
        <v>137</v>
      </c>
      <c r="B13" s="694"/>
      <c r="C13" s="694"/>
      <c r="D13" s="638"/>
      <c r="E13" s="633"/>
      <c r="F13" s="455"/>
      <c r="G13" s="695">
        <f>G9+G10+G11+G12</f>
        <v>18165</v>
      </c>
      <c r="H13" s="680">
        <f>G13+'11'!H13</f>
        <v>185082.41999999998</v>
      </c>
      <c r="I13" s="696">
        <f>G7-G13</f>
        <v>596</v>
      </c>
      <c r="J13" s="682">
        <f>H13/DAY(B2)</f>
        <v>15423.534999999998</v>
      </c>
      <c r="K13" s="428"/>
      <c r="L13" s="377"/>
      <c r="N13" s="719"/>
      <c r="O13" s="728"/>
      <c r="P13" s="714"/>
    </row>
    <row r="14" spans="1:17">
      <c r="A14" s="1555" t="s">
        <v>138</v>
      </c>
      <c r="B14" s="1556"/>
      <c r="C14" s="1557"/>
      <c r="D14" s="472"/>
      <c r="E14" s="472"/>
      <c r="F14" s="472"/>
      <c r="G14" s="483"/>
      <c r="H14" s="472"/>
      <c r="I14" s="472"/>
      <c r="J14" s="551"/>
      <c r="K14" s="429"/>
      <c r="L14" s="377"/>
      <c r="N14" s="719"/>
      <c r="O14" s="728"/>
      <c r="P14" s="714"/>
    </row>
    <row r="15" spans="1:17">
      <c r="A15" s="793" t="s">
        <v>139</v>
      </c>
      <c r="B15" s="794"/>
      <c r="C15" s="794"/>
      <c r="D15" s="524" t="s">
        <v>140</v>
      </c>
      <c r="E15" s="485">
        <f>'11'!F15</f>
        <v>1689635</v>
      </c>
      <c r="F15" s="485">
        <v>1690095</v>
      </c>
      <c r="G15" s="665">
        <f>(F15-E15)</f>
        <v>460</v>
      </c>
      <c r="H15" s="486">
        <f>G15+'11'!H15</f>
        <v>5571</v>
      </c>
      <c r="I15" s="474">
        <v>800</v>
      </c>
      <c r="J15" s="553">
        <f>H15/DAY(B2)</f>
        <v>464.25</v>
      </c>
      <c r="K15" s="428"/>
      <c r="L15" s="377"/>
      <c r="N15" s="719"/>
      <c r="O15" s="728"/>
      <c r="P15" s="714"/>
    </row>
    <row r="16" spans="1:17">
      <c r="A16" s="587"/>
      <c r="B16" s="588"/>
      <c r="C16" s="588"/>
      <c r="D16" s="524"/>
      <c r="E16" s="485"/>
      <c r="F16" s="485"/>
      <c r="G16" s="670"/>
      <c r="H16" s="486"/>
      <c r="I16" s="482">
        <f>I15-J15</f>
        <v>335.75</v>
      </c>
      <c r="J16" s="553"/>
      <c r="K16" s="428"/>
      <c r="L16" s="377"/>
      <c r="N16" s="719"/>
      <c r="O16" s="728"/>
      <c r="P16" s="714"/>
    </row>
    <row r="17" spans="1:17">
      <c r="A17" s="1555" t="s">
        <v>141</v>
      </c>
      <c r="B17" s="1556"/>
      <c r="C17" s="1557"/>
      <c r="D17" s="472"/>
      <c r="E17" s="472"/>
      <c r="F17" s="472"/>
      <c r="G17" s="488"/>
      <c r="H17" s="472"/>
      <c r="I17" s="472"/>
      <c r="J17" s="551"/>
      <c r="K17" s="428"/>
      <c r="L17" s="377"/>
      <c r="N17" s="719"/>
      <c r="O17" s="728"/>
      <c r="P17" s="714"/>
    </row>
    <row r="18" spans="1:17" ht="27.75">
      <c r="A18" s="1590" t="s">
        <v>142</v>
      </c>
      <c r="B18" s="1591"/>
      <c r="C18" s="1592"/>
      <c r="D18" s="638" t="s">
        <v>143</v>
      </c>
      <c r="E18" s="635">
        <f>'11'!F18</f>
        <v>4</v>
      </c>
      <c r="F18" s="478">
        <v>6</v>
      </c>
      <c r="G18" s="695">
        <f>F18*10</f>
        <v>60</v>
      </c>
      <c r="H18" s="680">
        <f>G18+'11'!H18</f>
        <v>630</v>
      </c>
      <c r="I18" s="681">
        <f>'1'!I18</f>
        <v>65</v>
      </c>
      <c r="J18" s="682">
        <f>H18/DAY(B2)</f>
        <v>52.5</v>
      </c>
      <c r="K18" s="428"/>
      <c r="L18" s="377"/>
      <c r="N18" s="719"/>
      <c r="O18" s="728"/>
      <c r="P18" s="714"/>
    </row>
    <row r="19" spans="1:17" ht="27.75">
      <c r="A19" s="1590" t="s">
        <v>70</v>
      </c>
      <c r="B19" s="1591"/>
      <c r="C19" s="1592"/>
      <c r="D19" s="638" t="s">
        <v>143</v>
      </c>
      <c r="E19" s="635">
        <f>'11'!F19</f>
        <v>140303</v>
      </c>
      <c r="F19" s="478">
        <v>140368</v>
      </c>
      <c r="G19" s="690">
        <f t="shared" ref="G19" si="1">F19-E19</f>
        <v>65</v>
      </c>
      <c r="H19" s="680">
        <f>G19+'11'!H19</f>
        <v>756</v>
      </c>
      <c r="I19" s="697"/>
      <c r="J19" s="682">
        <f>H19/DAY(B2)</f>
        <v>63</v>
      </c>
      <c r="K19" s="428"/>
      <c r="L19" s="377"/>
      <c r="N19" s="719"/>
      <c r="O19" s="728"/>
      <c r="P19" s="714"/>
    </row>
    <row r="20" spans="1:17">
      <c r="A20" s="693" t="s">
        <v>144</v>
      </c>
      <c r="B20" s="694"/>
      <c r="C20" s="694"/>
      <c r="D20" s="638"/>
      <c r="E20" s="638"/>
      <c r="F20" s="710"/>
      <c r="G20" s="698">
        <f>G18+G19</f>
        <v>125</v>
      </c>
      <c r="H20" s="680">
        <f>G20+'11'!H20</f>
        <v>1386</v>
      </c>
      <c r="I20" s="699">
        <f>I18-J20</f>
        <v>-50.5</v>
      </c>
      <c r="J20" s="682">
        <f>H20/DAY(B2)</f>
        <v>115.5</v>
      </c>
      <c r="K20" s="428"/>
      <c r="L20" s="377"/>
      <c r="N20" s="719"/>
      <c r="O20" s="728"/>
      <c r="P20" s="714"/>
    </row>
    <row r="21" spans="1:17">
      <c r="A21" s="1555" t="s">
        <v>145</v>
      </c>
      <c r="B21" s="1556"/>
      <c r="C21" s="1557"/>
      <c r="D21" s="472"/>
      <c r="E21" s="472"/>
      <c r="F21" s="472"/>
      <c r="G21" s="483"/>
      <c r="H21" s="472"/>
      <c r="I21" s="472"/>
      <c r="J21" s="551"/>
      <c r="K21" s="428"/>
      <c r="L21" s="377"/>
      <c r="N21" s="719"/>
      <c r="O21" s="728"/>
      <c r="P21" s="714"/>
    </row>
    <row r="22" spans="1:17">
      <c r="A22" s="1141" t="s">
        <v>146</v>
      </c>
      <c r="B22" s="589"/>
      <c r="C22" s="589"/>
      <c r="D22" s="523" t="s">
        <v>147</v>
      </c>
      <c r="E22" s="635">
        <f>'11'!F22</f>
        <v>2970</v>
      </c>
      <c r="F22" s="478">
        <v>2970</v>
      </c>
      <c r="G22" s="481">
        <f t="shared" ref="G22" si="2">(F22-E22)</f>
        <v>0</v>
      </c>
      <c r="H22" s="460">
        <f>G22+'11'!H22</f>
        <v>0</v>
      </c>
      <c r="I22" s="480"/>
      <c r="J22" s="552">
        <f>H22/DAY(B2)</f>
        <v>0</v>
      </c>
      <c r="K22" s="428"/>
      <c r="L22" s="377"/>
      <c r="N22" s="719"/>
      <c r="O22" s="728"/>
      <c r="P22" s="714"/>
    </row>
    <row r="23" spans="1:17">
      <c r="A23" s="1141" t="s">
        <v>148</v>
      </c>
      <c r="B23" s="589"/>
      <c r="C23" s="589"/>
      <c r="D23" s="523" t="s">
        <v>147</v>
      </c>
      <c r="E23" s="635">
        <f>'11'!F23</f>
        <v>2000</v>
      </c>
      <c r="F23" s="478">
        <v>2900</v>
      </c>
      <c r="G23" s="481">
        <v>0</v>
      </c>
      <c r="H23" s="460">
        <f>G23+'11'!H23</f>
        <v>120</v>
      </c>
      <c r="I23" s="480"/>
      <c r="J23" s="552">
        <f>H23/DAY(B2)</f>
        <v>10</v>
      </c>
      <c r="K23" s="428"/>
      <c r="L23" s="377"/>
      <c r="N23" s="719"/>
      <c r="O23" s="728"/>
      <c r="P23" s="714"/>
    </row>
    <row r="24" spans="1:17">
      <c r="A24" s="590" t="s">
        <v>149</v>
      </c>
      <c r="B24" s="591"/>
      <c r="C24" s="591"/>
      <c r="D24" s="511" t="s">
        <v>147</v>
      </c>
      <c r="E24" s="493">
        <f>'11'!F24</f>
        <v>4970</v>
      </c>
      <c r="F24" s="485">
        <v>4970</v>
      </c>
      <c r="G24" s="481">
        <v>0</v>
      </c>
      <c r="H24" s="460">
        <f>G24+'11'!H24</f>
        <v>120</v>
      </c>
      <c r="I24" s="480"/>
      <c r="J24" s="552">
        <f>H24/DAY(B2)</f>
        <v>10</v>
      </c>
      <c r="K24" s="428"/>
      <c r="L24" s="377"/>
      <c r="N24" s="719"/>
      <c r="O24" s="728"/>
      <c r="P24" s="714"/>
    </row>
    <row r="25" spans="1:17" s="442" customFormat="1" ht="27">
      <c r="A25" s="1560" t="s">
        <v>150</v>
      </c>
      <c r="B25" s="1561"/>
      <c r="C25" s="1562"/>
      <c r="D25" s="471"/>
      <c r="E25" s="471"/>
      <c r="F25" s="471"/>
      <c r="G25" s="494"/>
      <c r="H25" s="495"/>
      <c r="I25" s="496"/>
      <c r="J25" s="554"/>
      <c r="K25" s="373"/>
      <c r="L25" s="443"/>
      <c r="N25" s="719"/>
      <c r="O25" s="728"/>
      <c r="P25" s="714"/>
      <c r="Q25" s="445"/>
    </row>
    <row r="26" spans="1:17" s="442" customFormat="1" ht="27.75">
      <c r="A26" s="592" t="s">
        <v>151</v>
      </c>
      <c r="B26" s="593"/>
      <c r="C26" s="594"/>
      <c r="D26" s="618" t="s">
        <v>152</v>
      </c>
      <c r="E26" s="497"/>
      <c r="F26" s="455"/>
      <c r="G26" s="498"/>
      <c r="H26" s="460"/>
      <c r="I26" s="499"/>
      <c r="J26" s="552"/>
      <c r="K26" s="374"/>
      <c r="L26" s="443"/>
      <c r="N26" s="719"/>
      <c r="O26" s="728"/>
      <c r="P26" s="714"/>
      <c r="Q26" s="445"/>
    </row>
    <row r="27" spans="1:17" s="442" customFormat="1" ht="27.75">
      <c r="A27" s="592" t="s">
        <v>6</v>
      </c>
      <c r="B27" s="593"/>
      <c r="C27" s="594"/>
      <c r="D27" s="619" t="s">
        <v>25</v>
      </c>
      <c r="E27" s="700">
        <f>G8</f>
        <v>18830</v>
      </c>
      <c r="F27" s="501">
        <v>9</v>
      </c>
      <c r="G27" s="502">
        <f>E27*F27</f>
        <v>169470</v>
      </c>
      <c r="H27" s="460">
        <f>G27+'11'!H27</f>
        <v>1880541</v>
      </c>
      <c r="I27" s="503"/>
      <c r="J27" s="552">
        <f>H27/DAY(B2)</f>
        <v>156711.75</v>
      </c>
      <c r="K27" s="373"/>
      <c r="L27" s="443"/>
      <c r="N27" s="719"/>
      <c r="O27" s="728"/>
      <c r="P27" s="714"/>
      <c r="Q27" s="445"/>
    </row>
    <row r="28" spans="1:17" s="442" customFormat="1" ht="27.75">
      <c r="A28" s="592" t="s">
        <v>153</v>
      </c>
      <c r="B28" s="593"/>
      <c r="C28" s="594"/>
      <c r="D28" s="619" t="s">
        <v>154</v>
      </c>
      <c r="E28" s="700">
        <f>G15</f>
        <v>460</v>
      </c>
      <c r="F28" s="501">
        <v>52</v>
      </c>
      <c r="G28" s="502">
        <f>E28*F28</f>
        <v>23920</v>
      </c>
      <c r="H28" s="460">
        <f>G28+'11'!H28</f>
        <v>289692</v>
      </c>
      <c r="I28" s="505"/>
      <c r="J28" s="552">
        <f>H28/DAY(B2)</f>
        <v>24141</v>
      </c>
      <c r="K28" s="373"/>
      <c r="L28" s="443"/>
      <c r="N28" s="719"/>
      <c r="O28" s="728"/>
      <c r="P28" s="714"/>
      <c r="Q28" s="445"/>
    </row>
    <row r="29" spans="1:17" s="442" customFormat="1" ht="27.75">
      <c r="A29" s="592" t="s">
        <v>155</v>
      </c>
      <c r="B29" s="593"/>
      <c r="C29" s="594"/>
      <c r="D29" s="619" t="s">
        <v>156</v>
      </c>
      <c r="E29" s="700">
        <f>G24</f>
        <v>0</v>
      </c>
      <c r="F29" s="501">
        <v>69</v>
      </c>
      <c r="G29" s="502">
        <f>E29*F29</f>
        <v>0</v>
      </c>
      <c r="H29" s="460">
        <f>G29+'11'!H29</f>
        <v>8280</v>
      </c>
      <c r="I29" s="505"/>
      <c r="J29" s="552">
        <f>H29/DAY(B2)</f>
        <v>690</v>
      </c>
      <c r="K29" s="373"/>
      <c r="L29" s="443"/>
      <c r="N29" s="719"/>
      <c r="O29" s="728"/>
      <c r="P29" s="714"/>
      <c r="Q29" s="445"/>
    </row>
    <row r="30" spans="1:17" s="442" customFormat="1" ht="27.75">
      <c r="A30" s="592" t="s">
        <v>157</v>
      </c>
      <c r="B30" s="593"/>
      <c r="C30" s="594"/>
      <c r="D30" s="619" t="s">
        <v>158</v>
      </c>
      <c r="E30" s="700">
        <f>G19</f>
        <v>65</v>
      </c>
      <c r="F30" s="501">
        <v>146</v>
      </c>
      <c r="G30" s="502">
        <f>E30*F30</f>
        <v>9490</v>
      </c>
      <c r="H30" s="460">
        <f>G30+'11'!H30</f>
        <v>110376</v>
      </c>
      <c r="I30" s="505"/>
      <c r="J30" s="552">
        <f>H30/DAY(B2)</f>
        <v>9198</v>
      </c>
      <c r="K30" s="373"/>
      <c r="L30" s="443"/>
      <c r="N30" s="719"/>
      <c r="O30" s="728"/>
      <c r="P30" s="714"/>
      <c r="Q30" s="445"/>
    </row>
    <row r="31" spans="1:17" s="442" customFormat="1" ht="27.75">
      <c r="A31" s="592" t="s">
        <v>159</v>
      </c>
      <c r="B31" s="593"/>
      <c r="C31" s="594"/>
      <c r="D31" s="619" t="s">
        <v>143</v>
      </c>
      <c r="E31" s="700">
        <f>G18</f>
        <v>60</v>
      </c>
      <c r="F31" s="501">
        <v>80</v>
      </c>
      <c r="G31" s="502">
        <f>E31*F31</f>
        <v>4800</v>
      </c>
      <c r="H31" s="460">
        <f>G31+'11'!H31</f>
        <v>50400</v>
      </c>
      <c r="I31" s="505"/>
      <c r="J31" s="552">
        <f>H31/DAY(B2)</f>
        <v>4200</v>
      </c>
      <c r="K31" s="373"/>
      <c r="L31" s="443"/>
      <c r="N31" s="719"/>
      <c r="O31" s="728"/>
      <c r="P31" s="714"/>
      <c r="Q31" s="445"/>
    </row>
    <row r="32" spans="1:17" s="442" customFormat="1" ht="27.75">
      <c r="A32" s="595" t="s">
        <v>160</v>
      </c>
      <c r="B32" s="596"/>
      <c r="C32" s="597"/>
      <c r="D32" s="507"/>
      <c r="E32" s="507"/>
      <c r="F32" s="524"/>
      <c r="G32" s="508">
        <f>G27+G28+G29+G30+G31</f>
        <v>207680</v>
      </c>
      <c r="H32" s="460">
        <f>G32+'11'!H32</f>
        <v>2339289</v>
      </c>
      <c r="I32" s="509"/>
      <c r="J32" s="552">
        <f>H32/DAY(B2)</f>
        <v>194940.75</v>
      </c>
      <c r="K32" s="373"/>
      <c r="L32" s="443"/>
      <c r="N32" s="719"/>
      <c r="O32" s="728"/>
      <c r="P32" s="714"/>
      <c r="Q32" s="445"/>
    </row>
    <row r="33" spans="1:16" ht="25.5">
      <c r="A33" s="1563" t="s">
        <v>161</v>
      </c>
      <c r="B33" s="1564"/>
      <c r="C33" s="1564"/>
      <c r="D33" s="1564"/>
      <c r="E33" s="1564"/>
      <c r="F33" s="1564"/>
      <c r="G33" s="1564"/>
      <c r="H33" s="1564"/>
      <c r="I33" s="1564"/>
      <c r="J33" s="1565"/>
      <c r="K33" s="428"/>
      <c r="L33" s="377"/>
      <c r="N33" s="719"/>
      <c r="O33" s="728"/>
      <c r="P33" s="714"/>
    </row>
    <row r="34" spans="1:16">
      <c r="A34" s="598" t="s">
        <v>162</v>
      </c>
      <c r="B34" s="1146"/>
      <c r="C34" s="1146"/>
      <c r="D34" s="472"/>
      <c r="E34" s="471"/>
      <c r="F34" s="471"/>
      <c r="G34" s="472"/>
      <c r="H34" s="472"/>
      <c r="I34" s="472"/>
      <c r="J34" s="551"/>
      <c r="K34" s="428"/>
      <c r="L34" s="377"/>
      <c r="N34" s="719"/>
      <c r="O34" s="728"/>
      <c r="P34" s="714"/>
    </row>
    <row r="35" spans="1:16">
      <c r="A35" s="578" t="s">
        <v>163</v>
      </c>
      <c r="B35" s="579"/>
      <c r="C35" s="579"/>
      <c r="D35" s="523" t="s">
        <v>131</v>
      </c>
      <c r="E35" s="510">
        <f>'11'!F35</f>
        <v>976723</v>
      </c>
      <c r="F35" s="510">
        <v>979277</v>
      </c>
      <c r="G35" s="473">
        <f t="shared" ref="G35:G46" si="3">F35-E35</f>
        <v>2554</v>
      </c>
      <c r="H35" s="460">
        <f>G35+'11'!H35</f>
        <v>28789</v>
      </c>
      <c r="I35" s="455"/>
      <c r="J35" s="552">
        <f>H35/DAY(B2)</f>
        <v>2399.0833333333335</v>
      </c>
      <c r="K35" s="428"/>
      <c r="L35" s="377"/>
      <c r="N35" s="719"/>
      <c r="O35" s="728"/>
      <c r="P35" s="714"/>
    </row>
    <row r="36" spans="1:16">
      <c r="A36" s="578" t="s">
        <v>164</v>
      </c>
      <c r="B36" s="579"/>
      <c r="C36" s="579"/>
      <c r="D36" s="523" t="s">
        <v>131</v>
      </c>
      <c r="E36" s="510">
        <f>'11'!F36</f>
        <v>6410</v>
      </c>
      <c r="F36" s="510">
        <v>6954</v>
      </c>
      <c r="G36" s="473">
        <f t="shared" si="3"/>
        <v>544</v>
      </c>
      <c r="H36" s="460">
        <f>G36+'11'!H36</f>
        <v>6781</v>
      </c>
      <c r="I36" s="455"/>
      <c r="J36" s="552">
        <f>H36/DAY(B2)</f>
        <v>565.08333333333337</v>
      </c>
      <c r="K36" s="428"/>
      <c r="L36" s="377"/>
      <c r="N36" s="720"/>
      <c r="O36" s="728"/>
      <c r="P36" s="714"/>
    </row>
    <row r="37" spans="1:16">
      <c r="A37" s="578" t="s">
        <v>165</v>
      </c>
      <c r="B37" s="579"/>
      <c r="C37" s="579"/>
      <c r="D37" s="523" t="s">
        <v>131</v>
      </c>
      <c r="E37" s="510">
        <f>'11'!F37</f>
        <v>148828</v>
      </c>
      <c r="F37" s="510">
        <v>150289</v>
      </c>
      <c r="G37" s="473">
        <f t="shared" si="3"/>
        <v>1461</v>
      </c>
      <c r="H37" s="460">
        <f>G37+'11'!H37</f>
        <v>16053</v>
      </c>
      <c r="I37" s="455"/>
      <c r="J37" s="552">
        <f>H37/DAY(B2)</f>
        <v>1337.75</v>
      </c>
      <c r="K37" s="428"/>
      <c r="L37" s="377"/>
      <c r="N37" s="720"/>
      <c r="O37" s="728"/>
      <c r="P37" s="714"/>
    </row>
    <row r="38" spans="1:16">
      <c r="A38" s="578" t="s">
        <v>166</v>
      </c>
      <c r="B38" s="579"/>
      <c r="C38" s="579"/>
      <c r="D38" s="523" t="s">
        <v>131</v>
      </c>
      <c r="E38" s="510">
        <f>'11'!F38</f>
        <v>169782</v>
      </c>
      <c r="F38" s="469">
        <v>171165</v>
      </c>
      <c r="G38" s="473">
        <f t="shared" si="3"/>
        <v>1383</v>
      </c>
      <c r="H38" s="460">
        <f>G38+'11'!H38</f>
        <v>14760</v>
      </c>
      <c r="I38" s="455"/>
      <c r="J38" s="552">
        <f>H38/DAY(B2)</f>
        <v>1230</v>
      </c>
      <c r="K38" s="428"/>
      <c r="L38" s="377"/>
      <c r="N38" s="719"/>
      <c r="O38" s="728"/>
      <c r="P38" s="714"/>
    </row>
    <row r="39" spans="1:16">
      <c r="A39" s="578" t="s">
        <v>167</v>
      </c>
      <c r="B39" s="579"/>
      <c r="C39" s="579"/>
      <c r="D39" s="523" t="s">
        <v>131</v>
      </c>
      <c r="E39" s="510">
        <f>'11'!F39</f>
        <v>338578</v>
      </c>
      <c r="F39" s="510">
        <v>342095</v>
      </c>
      <c r="G39" s="473">
        <f t="shared" si="3"/>
        <v>3517</v>
      </c>
      <c r="H39" s="460">
        <f>G39+'11'!H39</f>
        <v>33922</v>
      </c>
      <c r="I39" s="455"/>
      <c r="J39" s="552">
        <f>H39/DAY(B2)</f>
        <v>2826.8333333333335</v>
      </c>
      <c r="K39" s="428"/>
      <c r="L39" s="377"/>
      <c r="N39" s="719"/>
      <c r="O39" s="728"/>
      <c r="P39" s="714"/>
    </row>
    <row r="40" spans="1:16">
      <c r="A40" s="599" t="s">
        <v>168</v>
      </c>
      <c r="B40" s="600"/>
      <c r="C40" s="600"/>
      <c r="D40" s="523" t="s">
        <v>131</v>
      </c>
      <c r="E40" s="510">
        <f>'11'!F40</f>
        <v>1057</v>
      </c>
      <c r="F40" s="510">
        <v>1057</v>
      </c>
      <c r="G40" s="473">
        <f t="shared" si="3"/>
        <v>0</v>
      </c>
      <c r="H40" s="460">
        <f>G40+'11'!H40</f>
        <v>168</v>
      </c>
      <c r="I40" s="455"/>
      <c r="J40" s="552">
        <f>H40/DAY(B2)</f>
        <v>14</v>
      </c>
      <c r="K40" s="429"/>
      <c r="L40" s="377"/>
      <c r="N40" s="719"/>
      <c r="O40" s="728"/>
      <c r="P40" s="714"/>
    </row>
    <row r="41" spans="1:16">
      <c r="A41" s="578" t="s">
        <v>169</v>
      </c>
      <c r="B41" s="579"/>
      <c r="C41" s="579"/>
      <c r="D41" s="523" t="s">
        <v>131</v>
      </c>
      <c r="E41" s="510">
        <f>'11'!F41</f>
        <v>263103</v>
      </c>
      <c r="F41" s="510">
        <v>268701</v>
      </c>
      <c r="G41" s="473">
        <f>F41-E41</f>
        <v>5598</v>
      </c>
      <c r="H41" s="460">
        <f>G41+'11'!H41</f>
        <v>28223</v>
      </c>
      <c r="I41" s="455"/>
      <c r="J41" s="552">
        <f>H41/DAY(B2)</f>
        <v>2351.9166666666665</v>
      </c>
      <c r="K41" s="428"/>
      <c r="L41" s="377"/>
      <c r="N41" s="719"/>
      <c r="O41" s="728"/>
      <c r="P41" s="714"/>
    </row>
    <row r="42" spans="1:16">
      <c r="A42" s="578" t="s">
        <v>170</v>
      </c>
      <c r="B42" s="579"/>
      <c r="C42" s="579"/>
      <c r="D42" s="523" t="s">
        <v>131</v>
      </c>
      <c r="E42" s="510">
        <f>'11'!F42</f>
        <v>59211</v>
      </c>
      <c r="F42" s="510">
        <v>59211</v>
      </c>
      <c r="G42" s="473">
        <f t="shared" si="3"/>
        <v>0</v>
      </c>
      <c r="H42" s="460">
        <f>G42+'11'!H42</f>
        <v>12.029999999998836</v>
      </c>
      <c r="I42" s="455"/>
      <c r="J42" s="552">
        <f>H42/DAY(B2)</f>
        <v>1.0024999999999029</v>
      </c>
      <c r="K42" s="428"/>
      <c r="L42" s="377"/>
      <c r="N42" s="719"/>
      <c r="O42" s="728"/>
      <c r="P42" s="714"/>
    </row>
    <row r="43" spans="1:16">
      <c r="A43" s="578" t="s">
        <v>171</v>
      </c>
      <c r="B43" s="579"/>
      <c r="C43" s="579"/>
      <c r="D43" s="523" t="s">
        <v>131</v>
      </c>
      <c r="E43" s="510">
        <f>'11'!F43</f>
        <v>1068744</v>
      </c>
      <c r="F43" s="510">
        <v>1071126</v>
      </c>
      <c r="G43" s="473">
        <f t="shared" si="3"/>
        <v>2382</v>
      </c>
      <c r="H43" s="460">
        <f>G43+'11'!H43</f>
        <v>28882</v>
      </c>
      <c r="I43" s="455"/>
      <c r="J43" s="552">
        <f>H43/DAY(B2)</f>
        <v>2406.8333333333335</v>
      </c>
      <c r="K43" s="428"/>
      <c r="L43" s="377"/>
      <c r="N43" s="719"/>
      <c r="O43" s="728"/>
      <c r="P43" s="714"/>
    </row>
    <row r="44" spans="1:16">
      <c r="A44" s="578" t="s">
        <v>172</v>
      </c>
      <c r="B44" s="579"/>
      <c r="C44" s="579"/>
      <c r="D44" s="523" t="s">
        <v>131</v>
      </c>
      <c r="E44" s="510">
        <f>'11'!F44</f>
        <v>0</v>
      </c>
      <c r="F44" s="510">
        <v>0</v>
      </c>
      <c r="G44" s="473">
        <f t="shared" si="3"/>
        <v>0</v>
      </c>
      <c r="H44" s="460">
        <f>G44+'11'!H44</f>
        <v>0</v>
      </c>
      <c r="I44" s="455"/>
      <c r="J44" s="552">
        <f>H44/DAY(B2)</f>
        <v>0</v>
      </c>
      <c r="K44" s="428"/>
      <c r="L44" s="377"/>
      <c r="N44" s="719"/>
      <c r="O44" s="728"/>
      <c r="P44" s="714"/>
    </row>
    <row r="45" spans="1:16">
      <c r="A45" s="578" t="s">
        <v>173</v>
      </c>
      <c r="B45" s="579"/>
      <c r="C45" s="579"/>
      <c r="D45" s="523" t="s">
        <v>131</v>
      </c>
      <c r="E45" s="510">
        <v>0</v>
      </c>
      <c r="F45" s="510">
        <v>0</v>
      </c>
      <c r="G45" s="473">
        <f t="shared" si="3"/>
        <v>0</v>
      </c>
      <c r="H45" s="460">
        <v>0</v>
      </c>
      <c r="I45" s="455"/>
      <c r="J45" s="552">
        <f>H45/DAY(B2)</f>
        <v>0</v>
      </c>
      <c r="K45" s="428"/>
      <c r="L45" s="377"/>
      <c r="N45" s="719"/>
      <c r="O45" s="728"/>
      <c r="P45" s="714"/>
    </row>
    <row r="46" spans="1:16">
      <c r="A46" s="578" t="s">
        <v>174</v>
      </c>
      <c r="B46" s="579"/>
      <c r="C46" s="579"/>
      <c r="D46" s="523" t="s">
        <v>131</v>
      </c>
      <c r="E46" s="510">
        <v>0</v>
      </c>
      <c r="F46" s="510">
        <v>0</v>
      </c>
      <c r="G46" s="473">
        <f t="shared" si="3"/>
        <v>0</v>
      </c>
      <c r="H46" s="460">
        <v>0</v>
      </c>
      <c r="I46" s="455"/>
      <c r="J46" s="552">
        <f>H46/DAY(B2)</f>
        <v>0</v>
      </c>
      <c r="K46" s="428"/>
      <c r="L46" s="377"/>
      <c r="N46" s="719"/>
      <c r="O46" s="728"/>
      <c r="P46" s="714"/>
    </row>
    <row r="47" spans="1:16">
      <c r="A47" s="585" t="s">
        <v>175</v>
      </c>
      <c r="B47" s="586"/>
      <c r="C47" s="586"/>
      <c r="D47" s="470"/>
      <c r="E47" s="511"/>
      <c r="F47" s="511"/>
      <c r="G47" s="481">
        <f>G35+G36+G37+G38+G39+G40+G41+G42+G43+G44+G45+G46</f>
        <v>17439</v>
      </c>
      <c r="H47" s="460">
        <f>G47+'11'!H47</f>
        <v>157590.51999999999</v>
      </c>
      <c r="I47" s="455"/>
      <c r="J47" s="552">
        <f>H47/DAY(B2)</f>
        <v>13132.543333333333</v>
      </c>
      <c r="K47" s="428"/>
      <c r="L47" s="377"/>
      <c r="N47" s="719"/>
      <c r="O47" s="728"/>
      <c r="P47" s="714"/>
    </row>
    <row r="48" spans="1:16">
      <c r="A48" s="598" t="s">
        <v>176</v>
      </c>
      <c r="B48" s="1146"/>
      <c r="C48" s="1146"/>
      <c r="D48" s="472"/>
      <c r="E48" s="471"/>
      <c r="F48" s="471"/>
      <c r="G48" s="472"/>
      <c r="H48" s="472"/>
      <c r="I48" s="472"/>
      <c r="J48" s="551"/>
      <c r="K48" s="428"/>
      <c r="L48" s="377"/>
      <c r="N48" s="719"/>
      <c r="O48" s="728"/>
      <c r="P48" s="714"/>
    </row>
    <row r="49" spans="1:16">
      <c r="A49" s="578" t="s">
        <v>163</v>
      </c>
      <c r="B49" s="601"/>
      <c r="C49" s="601"/>
      <c r="D49" s="523" t="s">
        <v>131</v>
      </c>
      <c r="E49" s="510">
        <f>'11'!F49</f>
        <v>260732.13</v>
      </c>
      <c r="F49" s="510">
        <v>260732.13</v>
      </c>
      <c r="G49" s="473">
        <f t="shared" ref="G49:G58" si="4">F49-E49</f>
        <v>0</v>
      </c>
      <c r="H49" s="460">
        <f>G49+'11'!H49</f>
        <v>0.13000000000465661</v>
      </c>
      <c r="I49" s="455"/>
      <c r="J49" s="552">
        <f>H49/DAY(B2)</f>
        <v>1.0833333333721384E-2</v>
      </c>
      <c r="K49" s="428"/>
      <c r="L49" s="377"/>
      <c r="N49" s="719"/>
      <c r="O49" s="728"/>
      <c r="P49" s="714"/>
    </row>
    <row r="50" spans="1:16">
      <c r="A50" s="578" t="s">
        <v>177</v>
      </c>
      <c r="B50" s="601"/>
      <c r="C50" s="601"/>
      <c r="D50" s="523" t="s">
        <v>131</v>
      </c>
      <c r="E50" s="510">
        <f>'11'!F50</f>
        <v>512869</v>
      </c>
      <c r="F50" s="510">
        <v>513808</v>
      </c>
      <c r="G50" s="473">
        <f t="shared" si="4"/>
        <v>939</v>
      </c>
      <c r="H50" s="460">
        <f>G50+'11'!H50</f>
        <v>10382</v>
      </c>
      <c r="I50" s="455"/>
      <c r="J50" s="552">
        <f>H50/DAY(B2)</f>
        <v>865.16666666666663</v>
      </c>
      <c r="K50" s="428"/>
      <c r="L50" s="377"/>
      <c r="N50" s="719"/>
      <c r="O50" s="728"/>
      <c r="P50" s="714"/>
    </row>
    <row r="51" spans="1:16">
      <c r="A51" s="578" t="s">
        <v>165</v>
      </c>
      <c r="B51" s="601"/>
      <c r="C51" s="601"/>
      <c r="D51" s="523" t="s">
        <v>131</v>
      </c>
      <c r="E51" s="510">
        <f>'11'!F51</f>
        <v>144639.87</v>
      </c>
      <c r="F51" s="510">
        <v>144639.87</v>
      </c>
      <c r="G51" s="473">
        <f t="shared" si="4"/>
        <v>0</v>
      </c>
      <c r="H51" s="460">
        <f>G51+'11'!H51</f>
        <v>-0.13000000000465661</v>
      </c>
      <c r="I51" s="455"/>
      <c r="J51" s="552">
        <f>H51/DAY(B2)</f>
        <v>-1.0833333333721384E-2</v>
      </c>
      <c r="K51" s="428"/>
      <c r="L51" s="377"/>
      <c r="N51" s="719"/>
      <c r="O51" s="728"/>
      <c r="P51" s="714"/>
    </row>
    <row r="52" spans="1:16">
      <c r="A52" s="578" t="s">
        <v>178</v>
      </c>
      <c r="B52" s="601"/>
      <c r="C52" s="601"/>
      <c r="D52" s="523" t="s">
        <v>131</v>
      </c>
      <c r="E52" s="510">
        <f>'11'!F52</f>
        <v>539606.06999999995</v>
      </c>
      <c r="F52" s="510">
        <v>539606.06999999995</v>
      </c>
      <c r="G52" s="473">
        <f t="shared" si="4"/>
        <v>0</v>
      </c>
      <c r="H52" s="460">
        <v>0</v>
      </c>
      <c r="I52" s="455"/>
      <c r="J52" s="552">
        <f>H52/DAY(B2)</f>
        <v>0</v>
      </c>
      <c r="K52" s="428"/>
      <c r="L52" s="377"/>
      <c r="N52" s="719"/>
      <c r="O52" s="728"/>
      <c r="P52" s="714"/>
    </row>
    <row r="53" spans="1:16">
      <c r="A53" s="578" t="s">
        <v>167</v>
      </c>
      <c r="B53" s="601"/>
      <c r="C53" s="601"/>
      <c r="D53" s="523" t="s">
        <v>131</v>
      </c>
      <c r="E53" s="510">
        <f>'11'!F53</f>
        <v>434232</v>
      </c>
      <c r="F53" s="510">
        <v>434232</v>
      </c>
      <c r="G53" s="473">
        <f t="shared" si="4"/>
        <v>0</v>
      </c>
      <c r="H53" s="460">
        <f>G53+'11'!H53</f>
        <v>1663.6699999999837</v>
      </c>
      <c r="I53" s="455"/>
      <c r="J53" s="552">
        <f>H53/DAY(B2)</f>
        <v>138.63916666666532</v>
      </c>
      <c r="K53" s="428"/>
      <c r="L53" s="377"/>
      <c r="N53" s="719"/>
      <c r="O53" s="728"/>
      <c r="P53" s="714"/>
    </row>
    <row r="54" spans="1:16">
      <c r="A54" s="578" t="s">
        <v>179</v>
      </c>
      <c r="B54" s="601"/>
      <c r="C54" s="601"/>
      <c r="D54" s="523" t="s">
        <v>131</v>
      </c>
      <c r="E54" s="510">
        <f>'11'!F54</f>
        <v>14661</v>
      </c>
      <c r="F54" s="510">
        <v>14744</v>
      </c>
      <c r="G54" s="473">
        <f t="shared" si="4"/>
        <v>83</v>
      </c>
      <c r="H54" s="460">
        <f>G54+'11'!H54</f>
        <v>915</v>
      </c>
      <c r="I54" s="455"/>
      <c r="J54" s="552">
        <f>H54/DAY(B2)</f>
        <v>76.25</v>
      </c>
      <c r="K54" s="428"/>
      <c r="L54" s="377"/>
      <c r="N54" s="719"/>
      <c r="O54" s="728"/>
      <c r="P54" s="714"/>
    </row>
    <row r="55" spans="1:16">
      <c r="A55" s="578" t="s">
        <v>180</v>
      </c>
      <c r="B55" s="601"/>
      <c r="C55" s="601"/>
      <c r="D55" s="523" t="s">
        <v>131</v>
      </c>
      <c r="E55" s="510">
        <f>'11'!F55</f>
        <v>68136.52</v>
      </c>
      <c r="F55" s="654">
        <v>68136.52</v>
      </c>
      <c r="G55" s="653">
        <f t="shared" si="4"/>
        <v>0</v>
      </c>
      <c r="H55" s="706">
        <f>G55+'11'!H55</f>
        <v>25.520000000004075</v>
      </c>
      <c r="I55" s="707"/>
      <c r="J55" s="708">
        <f>H55/DAY(B2)</f>
        <v>2.1266666666670062</v>
      </c>
      <c r="K55" s="428"/>
      <c r="L55" s="377"/>
      <c r="N55" s="719"/>
      <c r="O55" s="728"/>
      <c r="P55" s="714"/>
    </row>
    <row r="56" spans="1:16">
      <c r="A56" s="578" t="s">
        <v>181</v>
      </c>
      <c r="B56" s="601"/>
      <c r="C56" s="601"/>
      <c r="D56" s="523" t="s">
        <v>182</v>
      </c>
      <c r="E56" s="510">
        <f>'11'!F56</f>
        <v>648815</v>
      </c>
      <c r="F56" s="654">
        <v>648815</v>
      </c>
      <c r="G56" s="473">
        <f t="shared" si="4"/>
        <v>0</v>
      </c>
      <c r="H56" s="460">
        <f>G56+'11'!H56</f>
        <v>31617</v>
      </c>
      <c r="I56" s="455"/>
      <c r="J56" s="552">
        <f>H56/DAY(B2)</f>
        <v>2634.75</v>
      </c>
      <c r="K56" s="427"/>
      <c r="L56" s="377"/>
      <c r="N56" s="719"/>
      <c r="O56" s="728"/>
      <c r="P56" s="714"/>
    </row>
    <row r="57" spans="1:16">
      <c r="A57" s="578" t="s">
        <v>171</v>
      </c>
      <c r="B57" s="601"/>
      <c r="C57" s="601"/>
      <c r="D57" s="523" t="s">
        <v>131</v>
      </c>
      <c r="E57" s="510">
        <f>'11'!F57</f>
        <v>7711</v>
      </c>
      <c r="F57" s="510">
        <v>7711</v>
      </c>
      <c r="G57" s="473">
        <f t="shared" si="4"/>
        <v>0</v>
      </c>
      <c r="H57" s="460">
        <f>G57+'11'!H57</f>
        <v>0</v>
      </c>
      <c r="I57" s="455"/>
      <c r="J57" s="552">
        <f>H57/DAY(B2)</f>
        <v>0</v>
      </c>
      <c r="K57" s="428"/>
      <c r="L57" s="377"/>
      <c r="N57" s="719"/>
      <c r="O57" s="728"/>
      <c r="P57" s="714"/>
    </row>
    <row r="58" spans="1:16">
      <c r="A58" s="578" t="s">
        <v>183</v>
      </c>
      <c r="B58" s="601"/>
      <c r="C58" s="601"/>
      <c r="D58" s="523" t="s">
        <v>131</v>
      </c>
      <c r="E58" s="510">
        <f>'11'!F58</f>
        <v>50897</v>
      </c>
      <c r="F58" s="654">
        <v>50934</v>
      </c>
      <c r="G58" s="473">
        <f t="shared" si="4"/>
        <v>37</v>
      </c>
      <c r="H58" s="460">
        <f>G58+'11'!H58</f>
        <v>1069.7900000000009</v>
      </c>
      <c r="I58" s="455"/>
      <c r="J58" s="552">
        <f>H58/DAY(B2)</f>
        <v>89.149166666666744</v>
      </c>
      <c r="K58" s="428"/>
      <c r="L58" s="377"/>
      <c r="N58" s="719"/>
      <c r="O58" s="728"/>
      <c r="P58" s="714"/>
    </row>
    <row r="59" spans="1:16">
      <c r="A59" s="585" t="s">
        <v>175</v>
      </c>
      <c r="B59" s="586"/>
      <c r="C59" s="586"/>
      <c r="D59" s="511"/>
      <c r="E59" s="511"/>
      <c r="F59" s="511"/>
      <c r="G59" s="481">
        <f>G49+G50+G51+G52+G53+G54+G55+G56+G57+G58</f>
        <v>1059</v>
      </c>
      <c r="H59" s="460">
        <f>G59+'11'!H59</f>
        <v>45673.049999999937</v>
      </c>
      <c r="I59" s="455">
        <f>G7-G60</f>
        <v>263</v>
      </c>
      <c r="J59" s="552">
        <f>H59/DAY(B2)</f>
        <v>3806.0874999999946</v>
      </c>
      <c r="K59" s="428"/>
      <c r="L59" s="377"/>
      <c r="N59" s="719"/>
      <c r="O59" s="728"/>
      <c r="P59" s="714"/>
    </row>
    <row r="60" spans="1:16">
      <c r="A60" s="578"/>
      <c r="B60" s="579"/>
      <c r="C60" s="579"/>
      <c r="D60" s="511" t="s">
        <v>184</v>
      </c>
      <c r="E60" s="511"/>
      <c r="F60" s="511"/>
      <c r="G60" s="481">
        <f>G47+G59</f>
        <v>18498</v>
      </c>
      <c r="H60" s="460">
        <f>G60+'11'!H60</f>
        <v>204472.10999999996</v>
      </c>
      <c r="I60" s="455">
        <f>G13-G60</f>
        <v>-333</v>
      </c>
      <c r="J60" s="552">
        <f>H60/DAY(B2)</f>
        <v>17039.342499999995</v>
      </c>
      <c r="K60" s="428"/>
      <c r="L60" s="377"/>
      <c r="N60" s="719"/>
      <c r="O60" s="728"/>
      <c r="P60" s="714"/>
    </row>
    <row r="61" spans="1:16">
      <c r="A61" s="602" t="s">
        <v>185</v>
      </c>
      <c r="B61" s="453"/>
      <c r="C61" s="453"/>
      <c r="D61" s="513"/>
      <c r="E61" s="512"/>
      <c r="F61" s="512"/>
      <c r="G61" s="513"/>
      <c r="H61" s="513"/>
      <c r="I61" s="513"/>
      <c r="J61" s="555"/>
      <c r="K61" s="428"/>
      <c r="L61" s="377"/>
      <c r="N61" s="719"/>
      <c r="O61" s="728"/>
      <c r="P61" s="714"/>
    </row>
    <row r="62" spans="1:16">
      <c r="A62" s="603" t="s">
        <v>97</v>
      </c>
      <c r="B62" s="604"/>
      <c r="C62" s="604"/>
      <c r="D62" s="511" t="s">
        <v>186</v>
      </c>
      <c r="E62" s="514">
        <f>'11'!F62</f>
        <v>0</v>
      </c>
      <c r="F62" s="514">
        <v>0</v>
      </c>
      <c r="G62" s="473">
        <f t="shared" ref="G62:G69" si="5">F62-E62</f>
        <v>0</v>
      </c>
      <c r="H62" s="460">
        <f>G62+'11'!H62</f>
        <v>1.9999999967694748E-3</v>
      </c>
      <c r="I62" s="515"/>
      <c r="J62" s="552">
        <f>H62/DAY(B2)</f>
        <v>1.6666666639745623E-4</v>
      </c>
      <c r="K62" s="428"/>
      <c r="L62" s="377"/>
      <c r="N62" s="719"/>
      <c r="O62" s="728"/>
      <c r="P62" s="714"/>
    </row>
    <row r="63" spans="1:16">
      <c r="A63" s="603" t="s">
        <v>187</v>
      </c>
      <c r="B63" s="604"/>
      <c r="C63" s="604"/>
      <c r="D63" s="511" t="s">
        <v>186</v>
      </c>
      <c r="E63" s="514">
        <f>'11'!F63</f>
        <v>0</v>
      </c>
      <c r="F63" s="514">
        <v>0</v>
      </c>
      <c r="G63" s="473">
        <f t="shared" si="5"/>
        <v>0</v>
      </c>
      <c r="H63" s="460">
        <f>G63+'11'!H63</f>
        <v>0</v>
      </c>
      <c r="I63" s="515"/>
      <c r="J63" s="552">
        <f>H63/DAY(B2)</f>
        <v>0</v>
      </c>
      <c r="K63" s="428"/>
      <c r="L63" s="377"/>
      <c r="N63" s="719"/>
      <c r="O63" s="728"/>
      <c r="P63" s="714"/>
    </row>
    <row r="64" spans="1:16" ht="27.75">
      <c r="A64" s="1534" t="s">
        <v>98</v>
      </c>
      <c r="B64" s="1535"/>
      <c r="C64" s="1536"/>
      <c r="D64" s="523" t="s">
        <v>186</v>
      </c>
      <c r="E64" s="514">
        <f>'11'!F64</f>
        <v>163000</v>
      </c>
      <c r="F64" s="478">
        <v>163334</v>
      </c>
      <c r="G64" s="473">
        <f t="shared" si="5"/>
        <v>334</v>
      </c>
      <c r="H64" s="460">
        <f>G64+'11'!H64</f>
        <v>3402</v>
      </c>
      <c r="I64" s="480"/>
      <c r="J64" s="552">
        <f>H64/DAY(B2)</f>
        <v>283.5</v>
      </c>
      <c r="K64" s="428"/>
      <c r="L64" s="377"/>
      <c r="N64" s="719"/>
      <c r="O64" s="728"/>
      <c r="P64" s="714"/>
    </row>
    <row r="65" spans="1:16" ht="27.75">
      <c r="A65" s="1534" t="s">
        <v>99</v>
      </c>
      <c r="B65" s="1535"/>
      <c r="C65" s="1536"/>
      <c r="D65" s="523" t="s">
        <v>186</v>
      </c>
      <c r="E65" s="514">
        <f>'11'!F65</f>
        <v>163635</v>
      </c>
      <c r="F65" s="652">
        <v>164001</v>
      </c>
      <c r="G65" s="473">
        <f t="shared" si="5"/>
        <v>366</v>
      </c>
      <c r="H65" s="460">
        <f>G65+'11'!H65</f>
        <v>3003</v>
      </c>
      <c r="I65" s="489"/>
      <c r="J65" s="552">
        <f>H65/DAY(B2)</f>
        <v>250.25</v>
      </c>
      <c r="K65" s="428"/>
      <c r="L65" s="377"/>
      <c r="N65" s="719"/>
      <c r="O65" s="728"/>
      <c r="P65" s="714"/>
    </row>
    <row r="66" spans="1:16" ht="27.75">
      <c r="A66" s="1534" t="s">
        <v>100</v>
      </c>
      <c r="B66" s="1535"/>
      <c r="C66" s="1536"/>
      <c r="D66" s="523" t="s">
        <v>186</v>
      </c>
      <c r="E66" s="514">
        <f>'11'!F66</f>
        <v>60644</v>
      </c>
      <c r="F66" s="478">
        <v>61071</v>
      </c>
      <c r="G66" s="473">
        <f t="shared" si="5"/>
        <v>427</v>
      </c>
      <c r="H66" s="460">
        <f>G66+'11'!H66</f>
        <v>4266</v>
      </c>
      <c r="I66" s="480"/>
      <c r="J66" s="552">
        <f>H66/DAY(B2)</f>
        <v>355.5</v>
      </c>
      <c r="K66" s="428"/>
      <c r="L66" s="377"/>
      <c r="N66" s="719"/>
      <c r="O66" s="728"/>
      <c r="P66" s="714"/>
    </row>
    <row r="67" spans="1:16" ht="27.75">
      <c r="A67" s="1534" t="s">
        <v>101</v>
      </c>
      <c r="B67" s="1535"/>
      <c r="C67" s="1536"/>
      <c r="D67" s="523" t="s">
        <v>186</v>
      </c>
      <c r="E67" s="514">
        <f>'11'!F67</f>
        <v>256499</v>
      </c>
      <c r="F67" s="478">
        <v>256958</v>
      </c>
      <c r="G67" s="473">
        <f t="shared" si="5"/>
        <v>459</v>
      </c>
      <c r="H67" s="460">
        <f>G67+'11'!H67</f>
        <v>4766</v>
      </c>
      <c r="I67" s="489"/>
      <c r="J67" s="552">
        <f>H67/DAY(B2)</f>
        <v>397.16666666666669</v>
      </c>
      <c r="K67" s="429"/>
      <c r="L67" s="377"/>
      <c r="N67" s="719"/>
      <c r="O67" s="728"/>
      <c r="P67" s="714"/>
    </row>
    <row r="68" spans="1:16" ht="27.75">
      <c r="A68" s="1534" t="s">
        <v>102</v>
      </c>
      <c r="B68" s="1535"/>
      <c r="C68" s="1536"/>
      <c r="D68" s="523" t="s">
        <v>186</v>
      </c>
      <c r="E68" s="514">
        <f>'11'!F68</f>
        <v>85321</v>
      </c>
      <c r="F68" s="478">
        <v>85321</v>
      </c>
      <c r="G68" s="473">
        <f t="shared" si="5"/>
        <v>0</v>
      </c>
      <c r="H68" s="460">
        <f>G68+'11'!H68</f>
        <v>0</v>
      </c>
      <c r="I68" s="516"/>
      <c r="J68" s="552">
        <f>H68/DAY(B2)</f>
        <v>0</v>
      </c>
      <c r="K68" s="430"/>
      <c r="L68" s="377"/>
      <c r="N68" s="719"/>
      <c r="O68" s="728"/>
      <c r="P68" s="714"/>
    </row>
    <row r="69" spans="1:16" ht="27.75">
      <c r="A69" s="1534" t="s">
        <v>103</v>
      </c>
      <c r="B69" s="1535"/>
      <c r="C69" s="1536"/>
      <c r="D69" s="523" t="s">
        <v>186</v>
      </c>
      <c r="E69" s="514">
        <f>'11'!F69</f>
        <v>83077</v>
      </c>
      <c r="F69" s="478">
        <v>83304</v>
      </c>
      <c r="G69" s="473">
        <f t="shared" si="5"/>
        <v>227</v>
      </c>
      <c r="H69" s="460">
        <f>G69+'11'!H69</f>
        <v>1555</v>
      </c>
      <c r="I69" s="516"/>
      <c r="J69" s="552">
        <f>H69/DAY(B2)</f>
        <v>129.58333333333334</v>
      </c>
      <c r="K69" s="431"/>
      <c r="L69" s="377"/>
      <c r="N69" s="719"/>
      <c r="O69" s="728"/>
      <c r="P69" s="714"/>
    </row>
    <row r="70" spans="1:16" ht="27.75">
      <c r="A70" s="1566" t="s">
        <v>188</v>
      </c>
      <c r="B70" s="1567"/>
      <c r="C70" s="1568"/>
      <c r="D70" s="523" t="s">
        <v>186</v>
      </c>
      <c r="E70" s="518"/>
      <c r="F70" s="518"/>
      <c r="G70" s="518">
        <v>0</v>
      </c>
      <c r="H70" s="460">
        <f>G70+'11'!H70</f>
        <v>0</v>
      </c>
      <c r="I70" s="518"/>
      <c r="J70" s="556">
        <f>H70/DAY(B2)</f>
        <v>0</v>
      </c>
      <c r="K70" s="431"/>
      <c r="L70" s="377"/>
      <c r="N70" s="719"/>
      <c r="O70" s="728"/>
      <c r="P70" s="714"/>
    </row>
    <row r="71" spans="1:16" ht="31.5">
      <c r="A71" s="1580" t="s">
        <v>189</v>
      </c>
      <c r="B71" s="1581"/>
      <c r="C71" s="1581"/>
      <c r="D71" s="1581"/>
      <c r="E71" s="1581"/>
      <c r="F71" s="1581"/>
      <c r="G71" s="1581"/>
      <c r="H71" s="1581"/>
      <c r="I71" s="1581"/>
      <c r="J71" s="1582"/>
      <c r="K71" s="430"/>
      <c r="L71" s="377"/>
      <c r="N71" s="719"/>
      <c r="O71" s="728"/>
      <c r="P71" s="714"/>
    </row>
    <row r="72" spans="1:16" ht="27.75">
      <c r="A72" s="1534" t="s">
        <v>190</v>
      </c>
      <c r="B72" s="1535"/>
      <c r="C72" s="1536"/>
      <c r="D72" s="523" t="s">
        <v>186</v>
      </c>
      <c r="E72" s="519">
        <f>'11'!F72</f>
        <v>855989</v>
      </c>
      <c r="F72" s="655">
        <v>856001</v>
      </c>
      <c r="G72" s="473">
        <f t="shared" ref="G72:G84" si="6">F72-E72</f>
        <v>12</v>
      </c>
      <c r="H72" s="460">
        <f>G72+'11'!H72</f>
        <v>158</v>
      </c>
      <c r="I72" s="480"/>
      <c r="J72" s="552">
        <f>H72/DAY(B2)</f>
        <v>13.166666666666666</v>
      </c>
      <c r="K72" s="431"/>
      <c r="L72" s="377"/>
      <c r="N72" s="719"/>
      <c r="O72" s="728"/>
      <c r="P72" s="714"/>
    </row>
    <row r="73" spans="1:16" ht="27.75">
      <c r="A73" s="1534" t="s">
        <v>191</v>
      </c>
      <c r="B73" s="1535"/>
      <c r="C73" s="1536"/>
      <c r="D73" s="523" t="s">
        <v>186</v>
      </c>
      <c r="E73" s="519">
        <f>'11'!F73</f>
        <v>885949</v>
      </c>
      <c r="F73" s="656">
        <v>885951</v>
      </c>
      <c r="G73" s="653">
        <f t="shared" si="6"/>
        <v>2</v>
      </c>
      <c r="H73" s="460">
        <f>G73+'11'!H73</f>
        <v>14</v>
      </c>
      <c r="I73" s="480"/>
      <c r="J73" s="552">
        <f>H73/DAY(B2)</f>
        <v>1.1666666666666667</v>
      </c>
      <c r="K73" s="430"/>
      <c r="L73" s="377"/>
      <c r="N73" s="719"/>
      <c r="O73" s="728"/>
      <c r="P73" s="714"/>
    </row>
    <row r="74" spans="1:16" ht="27.75">
      <c r="A74" s="1534" t="s">
        <v>192</v>
      </c>
      <c r="B74" s="1535"/>
      <c r="C74" s="1536"/>
      <c r="D74" s="523" t="s">
        <v>186</v>
      </c>
      <c r="E74" s="519">
        <f>'11'!F74</f>
        <v>2599.96</v>
      </c>
      <c r="F74" s="656">
        <v>2599.96</v>
      </c>
      <c r="G74" s="473">
        <f t="shared" si="6"/>
        <v>0</v>
      </c>
      <c r="H74" s="460">
        <f>G74+'11'!H74</f>
        <v>13.960000000000036</v>
      </c>
      <c r="I74" s="480"/>
      <c r="J74" s="552">
        <f>H74/DAY(B2)</f>
        <v>1.1633333333333364</v>
      </c>
      <c r="K74" s="431"/>
      <c r="L74" s="377"/>
      <c r="N74" s="719"/>
      <c r="O74" s="728"/>
      <c r="P74" s="714"/>
    </row>
    <row r="75" spans="1:16" ht="27.75">
      <c r="A75" s="1583" t="s">
        <v>193</v>
      </c>
      <c r="B75" s="1584"/>
      <c r="C75" s="1585"/>
      <c r="D75" s="523" t="s">
        <v>186</v>
      </c>
      <c r="E75" s="519">
        <f>'11'!F75</f>
        <v>13365</v>
      </c>
      <c r="F75" s="656">
        <v>13508</v>
      </c>
      <c r="G75" s="473">
        <f t="shared" si="6"/>
        <v>143</v>
      </c>
      <c r="H75" s="460">
        <f>G75+'11'!H75</f>
        <v>839</v>
      </c>
      <c r="I75" s="480"/>
      <c r="J75" s="552">
        <f>H75/DAY(B2)</f>
        <v>69.916666666666671</v>
      </c>
      <c r="K75" s="430"/>
      <c r="L75" s="377"/>
      <c r="N75" s="719"/>
      <c r="O75" s="728"/>
      <c r="P75" s="714"/>
    </row>
    <row r="76" spans="1:16" ht="27.75">
      <c r="A76" s="1583" t="s">
        <v>194</v>
      </c>
      <c r="B76" s="1584"/>
      <c r="C76" s="1585"/>
      <c r="D76" s="523" t="s">
        <v>186</v>
      </c>
      <c r="E76" s="519">
        <f>'11'!F76</f>
        <v>8065</v>
      </c>
      <c r="F76" s="656">
        <v>8119</v>
      </c>
      <c r="G76" s="473">
        <f t="shared" si="6"/>
        <v>54</v>
      </c>
      <c r="H76" s="460">
        <f>G76+'11'!H76</f>
        <v>700</v>
      </c>
      <c r="I76" s="505"/>
      <c r="J76" s="552">
        <f>H76/DAY(B2)</f>
        <v>58.333333333333336</v>
      </c>
      <c r="K76" s="430"/>
      <c r="L76" s="377"/>
      <c r="N76" s="719"/>
      <c r="O76" s="728"/>
      <c r="P76" s="714"/>
    </row>
    <row r="77" spans="1:16" ht="27.75">
      <c r="A77" s="1534" t="s">
        <v>195</v>
      </c>
      <c r="B77" s="1535"/>
      <c r="C77" s="1536"/>
      <c r="D77" s="523" t="s">
        <v>186</v>
      </c>
      <c r="E77" s="519">
        <f>'11'!F77</f>
        <v>703385</v>
      </c>
      <c r="F77" s="656">
        <v>703432</v>
      </c>
      <c r="G77" s="653">
        <f t="shared" si="6"/>
        <v>47</v>
      </c>
      <c r="H77" s="460">
        <f>G77+'11'!H77</f>
        <v>593</v>
      </c>
      <c r="I77" s="505"/>
      <c r="J77" s="552">
        <f>H77/DAY(B2)</f>
        <v>49.416666666666664</v>
      </c>
      <c r="K77" s="430"/>
      <c r="L77" s="377"/>
      <c r="N77" s="719"/>
      <c r="O77" s="728"/>
      <c r="P77" s="714"/>
    </row>
    <row r="78" spans="1:16" ht="27.75">
      <c r="A78" s="1144" t="s">
        <v>196</v>
      </c>
      <c r="B78" s="1117"/>
      <c r="C78" s="1117"/>
      <c r="D78" s="523" t="s">
        <v>186</v>
      </c>
      <c r="E78" s="519">
        <f>'11'!F78</f>
        <v>673854</v>
      </c>
      <c r="F78" s="657">
        <v>673895</v>
      </c>
      <c r="G78" s="473">
        <f t="shared" si="6"/>
        <v>41</v>
      </c>
      <c r="H78" s="460">
        <f>G78+'11'!H78</f>
        <v>863</v>
      </c>
      <c r="I78" s="505"/>
      <c r="J78" s="552">
        <f>H78/DAY(B2)</f>
        <v>71.916666666666671</v>
      </c>
      <c r="K78" s="430"/>
      <c r="L78" s="377"/>
      <c r="N78" s="719"/>
      <c r="O78" s="728"/>
      <c r="P78" s="714"/>
    </row>
    <row r="79" spans="1:16" ht="27.75">
      <c r="A79" s="1583" t="s">
        <v>91</v>
      </c>
      <c r="B79" s="1584"/>
      <c r="C79" s="1585"/>
      <c r="D79" s="524" t="s">
        <v>186</v>
      </c>
      <c r="E79" s="519">
        <f>'11'!F79</f>
        <v>832639</v>
      </c>
      <c r="F79" s="657">
        <v>832779</v>
      </c>
      <c r="G79" s="473">
        <f t="shared" si="6"/>
        <v>140</v>
      </c>
      <c r="H79" s="460">
        <f>G79+'11'!H79</f>
        <v>1769</v>
      </c>
      <c r="I79" s="505"/>
      <c r="J79" s="552">
        <f>H79/DAY(B2)</f>
        <v>147.41666666666666</v>
      </c>
      <c r="K79" s="430"/>
      <c r="L79" s="377"/>
      <c r="N79" s="719"/>
      <c r="O79" s="728"/>
      <c r="P79" s="714"/>
    </row>
    <row r="80" spans="1:16" ht="27.75">
      <c r="A80" s="1583" t="s">
        <v>197</v>
      </c>
      <c r="B80" s="1584"/>
      <c r="C80" s="1585"/>
      <c r="D80" s="524" t="s">
        <v>186</v>
      </c>
      <c r="E80" s="519">
        <f>'11'!F80</f>
        <v>531694</v>
      </c>
      <c r="F80" s="656">
        <v>532070</v>
      </c>
      <c r="G80" s="473">
        <f t="shared" si="6"/>
        <v>376</v>
      </c>
      <c r="H80" s="460">
        <f>G80+'11'!H80</f>
        <v>4412</v>
      </c>
      <c r="I80" s="505"/>
      <c r="J80" s="552">
        <f>H80/DAY(B2)</f>
        <v>367.66666666666669</v>
      </c>
      <c r="K80" s="430"/>
      <c r="L80" s="377"/>
      <c r="N80" s="719"/>
      <c r="O80" s="728"/>
      <c r="P80" s="714"/>
    </row>
    <row r="81" spans="1:17" ht="27.75">
      <c r="A81" s="1583" t="s">
        <v>198</v>
      </c>
      <c r="B81" s="1584"/>
      <c r="C81" s="1585"/>
      <c r="D81" s="524" t="s">
        <v>186</v>
      </c>
      <c r="E81" s="519">
        <f>'11'!F81</f>
        <v>640108</v>
      </c>
      <c r="F81" s="656">
        <v>640219</v>
      </c>
      <c r="G81" s="473">
        <f t="shared" si="6"/>
        <v>111</v>
      </c>
      <c r="H81" s="460">
        <f>G81+'11'!H81</f>
        <v>1321</v>
      </c>
      <c r="I81" s="505"/>
      <c r="J81" s="552">
        <f>H81/DAY(B2)</f>
        <v>110.08333333333333</v>
      </c>
      <c r="K81" s="430"/>
      <c r="L81" s="377"/>
      <c r="N81" s="719"/>
      <c r="O81" s="728"/>
      <c r="P81" s="714"/>
    </row>
    <row r="82" spans="1:17" ht="27.75">
      <c r="A82" s="1583" t="s">
        <v>92</v>
      </c>
      <c r="B82" s="1584"/>
      <c r="C82" s="1585"/>
      <c r="D82" s="485" t="s">
        <v>131</v>
      </c>
      <c r="E82" s="519">
        <f>'11'!F82</f>
        <v>108336</v>
      </c>
      <c r="F82" s="652">
        <v>108348</v>
      </c>
      <c r="G82" s="473">
        <f t="shared" si="6"/>
        <v>12</v>
      </c>
      <c r="H82" s="460">
        <f>G82+'11'!H82</f>
        <v>190</v>
      </c>
      <c r="I82" s="486"/>
      <c r="J82" s="552">
        <f>H82/DAY(B2)</f>
        <v>15.833333333333334</v>
      </c>
      <c r="K82" s="430"/>
      <c r="L82" s="377"/>
      <c r="N82" s="719"/>
      <c r="O82" s="728"/>
      <c r="P82" s="714"/>
    </row>
    <row r="83" spans="1:17" ht="27.75">
      <c r="A83" s="1583" t="s">
        <v>199</v>
      </c>
      <c r="B83" s="1584"/>
      <c r="C83" s="1585"/>
      <c r="D83" s="620" t="s">
        <v>131</v>
      </c>
      <c r="E83" s="519">
        <f>'11'!F83</f>
        <v>22686</v>
      </c>
      <c r="F83" s="511">
        <v>22884</v>
      </c>
      <c r="G83" s="473">
        <f t="shared" si="6"/>
        <v>198</v>
      </c>
      <c r="H83" s="460">
        <f>G83+'11'!H83</f>
        <v>2378</v>
      </c>
      <c r="I83" s="481"/>
      <c r="J83" s="552">
        <f>H83/DAY(B2)</f>
        <v>198.16666666666666</v>
      </c>
      <c r="K83" s="429"/>
      <c r="L83" s="377"/>
      <c r="N83" s="719"/>
      <c r="O83" s="728"/>
      <c r="P83" s="714"/>
    </row>
    <row r="84" spans="1:17">
      <c r="A84" s="1145" t="s">
        <v>200</v>
      </c>
      <c r="B84" s="571"/>
      <c r="C84" s="571"/>
      <c r="D84" s="478" t="s">
        <v>131</v>
      </c>
      <c r="E84" s="519">
        <f>'11'!F84</f>
        <v>508456</v>
      </c>
      <c r="F84" s="627">
        <v>509052</v>
      </c>
      <c r="G84" s="473">
        <f t="shared" si="6"/>
        <v>596</v>
      </c>
      <c r="H84" s="460">
        <f>G84+'11'!H84</f>
        <v>8758</v>
      </c>
      <c r="I84" s="481"/>
      <c r="J84" s="552">
        <f>H84/DAY(B2)</f>
        <v>729.83333333333337</v>
      </c>
      <c r="K84" s="380"/>
      <c r="L84" s="377"/>
      <c r="N84" s="719"/>
      <c r="O84" s="728"/>
      <c r="P84" s="714"/>
    </row>
    <row r="85" spans="1:17" s="379" customFormat="1">
      <c r="A85" s="605" t="s">
        <v>201</v>
      </c>
      <c r="B85" s="572"/>
      <c r="C85" s="572"/>
      <c r="D85" s="489"/>
      <c r="E85" s="523"/>
      <c r="F85" s="523"/>
      <c r="G85" s="460">
        <f xml:space="preserve"> SUM(G71:G84)</f>
        <v>1732</v>
      </c>
      <c r="H85" s="460">
        <f>G85+'11'!H85</f>
        <v>22008.959999999999</v>
      </c>
      <c r="I85" s="481"/>
      <c r="J85" s="552">
        <f>H85/DAY(B2)</f>
        <v>1834.08</v>
      </c>
      <c r="K85" s="380"/>
      <c r="L85" s="378"/>
      <c r="N85" s="719"/>
      <c r="O85" s="728"/>
      <c r="P85" s="714"/>
      <c r="Q85" s="736"/>
    </row>
    <row r="86" spans="1:17" s="736" customFormat="1">
      <c r="A86" s="731" t="s">
        <v>93</v>
      </c>
      <c r="B86" s="732"/>
      <c r="C86" s="732"/>
      <c r="D86" s="733" t="s">
        <v>182</v>
      </c>
      <c r="E86" s="627">
        <f>'11'!F86</f>
        <v>461277</v>
      </c>
      <c r="F86" s="648">
        <v>461307</v>
      </c>
      <c r="G86" s="706">
        <f t="shared" ref="G86:G91" si="7">F86-E86</f>
        <v>30</v>
      </c>
      <c r="H86" s="706">
        <f t="shared" ref="H86:H88" si="8">G86</f>
        <v>30</v>
      </c>
      <c r="I86" s="653"/>
      <c r="J86" s="708">
        <f>H86/DAY(B2)</f>
        <v>2.5</v>
      </c>
      <c r="K86" s="734"/>
      <c r="L86" s="735"/>
      <c r="O86" s="714"/>
    </row>
    <row r="87" spans="1:17" s="736" customFormat="1">
      <c r="A87" s="731" t="s">
        <v>94</v>
      </c>
      <c r="B87" s="732"/>
      <c r="C87" s="732"/>
      <c r="D87" s="733" t="s">
        <v>182</v>
      </c>
      <c r="E87" s="627">
        <f>'11'!F87</f>
        <v>81602.600000000006</v>
      </c>
      <c r="F87" s="648">
        <v>81615</v>
      </c>
      <c r="G87" s="706">
        <f t="shared" si="7"/>
        <v>12.399999999994179</v>
      </c>
      <c r="H87" s="706">
        <f t="shared" si="8"/>
        <v>12.399999999994179</v>
      </c>
      <c r="I87" s="653"/>
      <c r="J87" s="708">
        <f>H87/DAY(B2)</f>
        <v>1.0333333333328483</v>
      </c>
      <c r="K87" s="734"/>
      <c r="L87" s="735"/>
      <c r="O87" s="714"/>
    </row>
    <row r="88" spans="1:17" s="736" customFormat="1">
      <c r="A88" s="731" t="s">
        <v>95</v>
      </c>
      <c r="B88" s="732"/>
      <c r="C88" s="732"/>
      <c r="D88" s="733" t="s">
        <v>182</v>
      </c>
      <c r="E88" s="627">
        <f>'11'!F88</f>
        <v>153492</v>
      </c>
      <c r="F88" s="648">
        <v>153516</v>
      </c>
      <c r="G88" s="706">
        <f t="shared" si="7"/>
        <v>24</v>
      </c>
      <c r="H88" s="706">
        <f t="shared" si="8"/>
        <v>24</v>
      </c>
      <c r="I88" s="653"/>
      <c r="J88" s="708">
        <f>H88/DAY(B2)</f>
        <v>2</v>
      </c>
      <c r="K88" s="734"/>
      <c r="L88" s="735"/>
      <c r="O88" s="714"/>
    </row>
    <row r="89" spans="1:17" s="736" customFormat="1">
      <c r="A89" s="731" t="s">
        <v>203</v>
      </c>
      <c r="B89" s="732"/>
      <c r="C89" s="732"/>
      <c r="D89" s="733" t="s">
        <v>182</v>
      </c>
      <c r="E89" s="627">
        <f>'11'!F89</f>
        <v>65365</v>
      </c>
      <c r="F89" s="648">
        <v>65381</v>
      </c>
      <c r="G89" s="706">
        <f t="shared" si="7"/>
        <v>16</v>
      </c>
      <c r="H89" s="706">
        <f>G89</f>
        <v>16</v>
      </c>
      <c r="I89" s="653"/>
      <c r="J89" s="708">
        <f>H89/DAY(B2)</f>
        <v>1.3333333333333333</v>
      </c>
      <c r="K89" s="734"/>
      <c r="L89" s="735"/>
      <c r="N89" s="778"/>
      <c r="O89" s="714"/>
    </row>
    <row r="90" spans="1:17" s="736" customFormat="1">
      <c r="A90" s="731" t="s">
        <v>203</v>
      </c>
      <c r="B90" s="732"/>
      <c r="C90" s="732"/>
      <c r="D90" s="733" t="s">
        <v>182</v>
      </c>
      <c r="E90" s="627">
        <f>'11'!F90</f>
        <v>3289</v>
      </c>
      <c r="F90" s="648">
        <v>3290</v>
      </c>
      <c r="G90" s="706">
        <f t="shared" si="7"/>
        <v>1</v>
      </c>
      <c r="H90" s="706">
        <f>G90</f>
        <v>1</v>
      </c>
      <c r="I90" s="653"/>
      <c r="J90" s="708">
        <f>H90/DAY(B2)</f>
        <v>8.3333333333333329E-2</v>
      </c>
      <c r="K90" s="734"/>
      <c r="L90" s="735"/>
      <c r="N90" s="778"/>
      <c r="O90" s="714"/>
    </row>
    <row r="91" spans="1:17" s="736" customFormat="1">
      <c r="A91" s="731" t="s">
        <v>350</v>
      </c>
      <c r="B91" s="732"/>
      <c r="C91" s="732"/>
      <c r="D91" s="733"/>
      <c r="E91" s="627">
        <f>'11'!F91</f>
        <v>28109</v>
      </c>
      <c r="F91" s="648">
        <v>28112</v>
      </c>
      <c r="G91" s="706">
        <f t="shared" si="7"/>
        <v>3</v>
      </c>
      <c r="H91" s="706">
        <f>G91</f>
        <v>3</v>
      </c>
      <c r="I91" s="653"/>
      <c r="J91" s="708"/>
      <c r="K91" s="734"/>
      <c r="L91" s="735"/>
      <c r="N91" s="778"/>
      <c r="O91" s="382"/>
    </row>
    <row r="92" spans="1:17" s="379" customFormat="1">
      <c r="A92" s="606" t="s">
        <v>204</v>
      </c>
      <c r="B92" s="1147"/>
      <c r="C92" s="1147"/>
      <c r="D92" s="472"/>
      <c r="E92" s="472"/>
      <c r="F92" s="472"/>
      <c r="G92" s="488"/>
      <c r="H92" s="472"/>
      <c r="I92" s="472"/>
      <c r="J92" s="551"/>
      <c r="K92" s="380"/>
      <c r="L92" s="378"/>
      <c r="N92" s="719"/>
      <c r="O92" s="728"/>
      <c r="P92" s="714"/>
      <c r="Q92" s="736"/>
    </row>
    <row r="93" spans="1:17" ht="27.75">
      <c r="A93" s="1537" t="s">
        <v>205</v>
      </c>
      <c r="B93" s="1538"/>
      <c r="C93" s="1539"/>
      <c r="D93" s="523" t="s">
        <v>143</v>
      </c>
      <c r="E93" s="484">
        <f>'11'!F93</f>
        <v>245901</v>
      </c>
      <c r="F93" s="478">
        <v>245956</v>
      </c>
      <c r="G93" s="473">
        <f t="shared" ref="G93:G94" si="9">F93-E93</f>
        <v>55</v>
      </c>
      <c r="H93" s="460">
        <f>G93+'11'!H93</f>
        <v>468</v>
      </c>
      <c r="I93" s="480"/>
      <c r="J93" s="552">
        <f>H93/DAY(B2)</f>
        <v>39</v>
      </c>
      <c r="K93" s="429"/>
      <c r="L93" s="377"/>
      <c r="N93" s="719"/>
      <c r="O93" s="728"/>
      <c r="P93" s="714"/>
    </row>
    <row r="94" spans="1:17" ht="27.75">
      <c r="A94" s="1537" t="s">
        <v>206</v>
      </c>
      <c r="B94" s="1538"/>
      <c r="C94" s="1539"/>
      <c r="D94" s="523" t="s">
        <v>143</v>
      </c>
      <c r="E94" s="484">
        <f>'11'!F94</f>
        <v>187134</v>
      </c>
      <c r="F94" s="478">
        <v>187288</v>
      </c>
      <c r="G94" s="473">
        <f t="shared" si="9"/>
        <v>154</v>
      </c>
      <c r="H94" s="460">
        <f>G94+'11'!H94</f>
        <v>1167</v>
      </c>
      <c r="I94" s="480"/>
      <c r="J94" s="552">
        <f>H94/DAY(B2)</f>
        <v>97.25</v>
      </c>
      <c r="K94" s="380"/>
      <c r="L94" s="377"/>
      <c r="N94" s="719"/>
      <c r="O94" s="728"/>
      <c r="P94" s="714"/>
    </row>
    <row r="95" spans="1:17">
      <c r="A95" s="1531" t="s">
        <v>207</v>
      </c>
      <c r="B95" s="1532"/>
      <c r="C95" s="1533"/>
      <c r="D95" s="523"/>
      <c r="E95" s="484">
        <f>'11'!F95</f>
        <v>0</v>
      </c>
      <c r="F95" s="478"/>
      <c r="G95" s="473">
        <f>G93+G94</f>
        <v>209</v>
      </c>
      <c r="H95" s="460">
        <f>G95+'11'!H95</f>
        <v>1559</v>
      </c>
      <c r="I95" s="480"/>
      <c r="J95" s="552">
        <f>H95/DAY(B2)</f>
        <v>129.91666666666666</v>
      </c>
      <c r="K95" s="380"/>
      <c r="L95" s="377"/>
      <c r="N95" s="719"/>
      <c r="O95" s="728"/>
      <c r="P95" s="714"/>
    </row>
    <row r="96" spans="1:17" ht="27.75">
      <c r="A96" s="1537" t="s">
        <v>208</v>
      </c>
      <c r="B96" s="1538"/>
      <c r="C96" s="1539"/>
      <c r="D96" s="523" t="s">
        <v>143</v>
      </c>
      <c r="E96" s="484">
        <f>'11'!F96</f>
        <v>414810</v>
      </c>
      <c r="F96" s="478">
        <v>414846</v>
      </c>
      <c r="G96" s="473">
        <f t="shared" ref="G96:G101" si="10">F96-E96</f>
        <v>36</v>
      </c>
      <c r="H96" s="460">
        <f>G96+'11'!H96</f>
        <v>563</v>
      </c>
      <c r="I96" s="480"/>
      <c r="J96" s="552">
        <f>H96/DAY(B2)</f>
        <v>46.916666666666664</v>
      </c>
      <c r="K96" s="380"/>
      <c r="L96" s="377"/>
      <c r="N96" s="719"/>
      <c r="O96" s="728"/>
      <c r="P96" s="714"/>
    </row>
    <row r="97" spans="1:17" ht="27.75">
      <c r="A97" s="1141" t="s">
        <v>209</v>
      </c>
      <c r="B97" s="1142"/>
      <c r="C97" s="1142"/>
      <c r="D97" s="523" t="s">
        <v>143</v>
      </c>
      <c r="E97" s="484">
        <f>'11'!F97</f>
        <v>102770</v>
      </c>
      <c r="F97" s="478">
        <v>102786</v>
      </c>
      <c r="G97" s="473">
        <f t="shared" si="10"/>
        <v>16</v>
      </c>
      <c r="H97" s="460">
        <f>G97+'11'!H97</f>
        <v>138</v>
      </c>
      <c r="I97" s="480"/>
      <c r="J97" s="552">
        <f>H97/DAY(B2)</f>
        <v>11.5</v>
      </c>
      <c r="K97" s="427"/>
      <c r="L97" s="377"/>
      <c r="N97" s="719"/>
      <c r="O97" s="728"/>
      <c r="P97" s="714"/>
    </row>
    <row r="98" spans="1:17" ht="27.75">
      <c r="A98" s="1141" t="s">
        <v>210</v>
      </c>
      <c r="B98" s="1142"/>
      <c r="C98" s="1142"/>
      <c r="D98" s="523" t="s">
        <v>143</v>
      </c>
      <c r="E98" s="484">
        <f>'11'!F98</f>
        <v>98151</v>
      </c>
      <c r="F98" s="478">
        <v>98188</v>
      </c>
      <c r="G98" s="473">
        <f t="shared" si="10"/>
        <v>37</v>
      </c>
      <c r="H98" s="460">
        <f>G98+'11'!H98</f>
        <v>238</v>
      </c>
      <c r="I98" s="480"/>
      <c r="J98" s="552">
        <f>H98/DAY(B2)</f>
        <v>19.833333333333332</v>
      </c>
      <c r="K98" s="432"/>
      <c r="L98" s="377"/>
      <c r="N98" s="719"/>
      <c r="O98" s="728"/>
      <c r="P98" s="714"/>
    </row>
    <row r="99" spans="1:17" ht="27.75">
      <c r="A99" s="1141" t="s">
        <v>211</v>
      </c>
      <c r="B99" s="1142"/>
      <c r="C99" s="1142"/>
      <c r="D99" s="523" t="s">
        <v>143</v>
      </c>
      <c r="E99" s="484">
        <f>'11'!F99</f>
        <v>149937</v>
      </c>
      <c r="F99" s="478">
        <v>149957</v>
      </c>
      <c r="G99" s="473">
        <f t="shared" si="10"/>
        <v>20</v>
      </c>
      <c r="H99" s="460">
        <f>G99+'11'!H99</f>
        <v>105</v>
      </c>
      <c r="I99" s="480"/>
      <c r="J99" s="552">
        <f>H99/DAY(B2)</f>
        <v>8.75</v>
      </c>
      <c r="K99" s="380"/>
      <c r="L99" s="377"/>
      <c r="N99" s="721"/>
      <c r="O99" s="728"/>
      <c r="P99" s="714"/>
    </row>
    <row r="100" spans="1:17" ht="27.75">
      <c r="A100" s="1141" t="s">
        <v>212</v>
      </c>
      <c r="B100" s="1142"/>
      <c r="C100" s="1142"/>
      <c r="D100" s="523" t="s">
        <v>143</v>
      </c>
      <c r="E100" s="484">
        <f>'11'!F100</f>
        <v>7506</v>
      </c>
      <c r="F100" s="478">
        <v>7514</v>
      </c>
      <c r="G100" s="473">
        <f t="shared" si="10"/>
        <v>8</v>
      </c>
      <c r="H100" s="460">
        <f>G100+'11'!H100</f>
        <v>145</v>
      </c>
      <c r="I100" s="480"/>
      <c r="J100" s="552">
        <f>H100/DAY(B2)</f>
        <v>12.083333333333334</v>
      </c>
      <c r="K100" s="380"/>
      <c r="L100" s="377"/>
      <c r="N100" s="719"/>
      <c r="O100" s="728"/>
      <c r="P100" s="714"/>
    </row>
    <row r="101" spans="1:17" ht="27.75">
      <c r="A101" s="1141" t="s">
        <v>213</v>
      </c>
      <c r="B101" s="1142"/>
      <c r="C101" s="1142"/>
      <c r="D101" s="523" t="s">
        <v>143</v>
      </c>
      <c r="E101" s="484">
        <f>'11'!F101</f>
        <v>5463</v>
      </c>
      <c r="F101" s="478">
        <v>5489</v>
      </c>
      <c r="G101" s="473">
        <f t="shared" si="10"/>
        <v>26</v>
      </c>
      <c r="H101" s="460">
        <f>G101+'11'!H101</f>
        <v>98</v>
      </c>
      <c r="I101" s="480"/>
      <c r="J101" s="552">
        <f>H101/DAY(B2)</f>
        <v>8.1666666666666661</v>
      </c>
      <c r="K101" s="380"/>
      <c r="L101" s="377"/>
      <c r="N101" s="719"/>
      <c r="O101" s="728"/>
      <c r="P101" s="714"/>
    </row>
    <row r="102" spans="1:17">
      <c r="A102" s="1531" t="s">
        <v>215</v>
      </c>
      <c r="B102" s="1532"/>
      <c r="C102" s="1533"/>
      <c r="D102" s="524"/>
      <c r="E102" s="484"/>
      <c r="F102" s="524"/>
      <c r="G102" s="525">
        <f>SUM(G96:G101)</f>
        <v>143</v>
      </c>
      <c r="H102" s="460">
        <f>G102+'11'!H102</f>
        <v>1287</v>
      </c>
      <c r="I102" s="526"/>
      <c r="J102" s="552">
        <f>H102/DAY(B2)</f>
        <v>107.25</v>
      </c>
      <c r="K102" s="380"/>
      <c r="L102" s="377"/>
      <c r="N102" s="719"/>
      <c r="O102" s="728"/>
      <c r="P102" s="714"/>
    </row>
    <row r="103" spans="1:17" s="442" customFormat="1" ht="27">
      <c r="A103" s="607" t="s">
        <v>216</v>
      </c>
      <c r="B103" s="608"/>
      <c r="C103" s="608"/>
      <c r="D103" s="621"/>
      <c r="E103" s="484"/>
      <c r="F103" s="658"/>
      <c r="G103" s="529"/>
      <c r="H103" s="530"/>
      <c r="I103" s="531"/>
      <c r="J103" s="557"/>
      <c r="N103" s="719"/>
      <c r="O103" s="728"/>
      <c r="P103" s="714"/>
      <c r="Q103" s="445"/>
    </row>
    <row r="104" spans="1:17" s="442" customFormat="1" ht="27.75">
      <c r="A104" s="1540" t="s">
        <v>217</v>
      </c>
      <c r="B104" s="1541"/>
      <c r="C104" s="573"/>
      <c r="D104" s="622"/>
      <c r="E104" s="484"/>
      <c r="F104" s="659"/>
      <c r="G104" s="532"/>
      <c r="H104" s="533"/>
      <c r="I104" s="532"/>
      <c r="J104" s="558"/>
      <c r="N104" s="719"/>
      <c r="O104" s="728"/>
      <c r="P104" s="714"/>
      <c r="Q104" s="445"/>
    </row>
    <row r="105" spans="1:17" s="442" customFormat="1" ht="27.75">
      <c r="A105" s="1542" t="s">
        <v>218</v>
      </c>
      <c r="B105" s="1543"/>
      <c r="C105" s="1140"/>
      <c r="D105" s="622" t="s">
        <v>143</v>
      </c>
      <c r="E105" s="484">
        <f>'11'!F105</f>
        <v>7473</v>
      </c>
      <c r="F105" s="659">
        <v>7473</v>
      </c>
      <c r="G105" s="532">
        <f>F105-E105</f>
        <v>0</v>
      </c>
      <c r="H105" s="533">
        <f>SUM(G105+'1'!G76)</f>
        <v>57</v>
      </c>
      <c r="I105" s="532"/>
      <c r="J105" s="558">
        <f>H105/DAY(B2)</f>
        <v>4.75</v>
      </c>
      <c r="N105" s="719"/>
      <c r="O105" s="728"/>
      <c r="P105" s="714"/>
      <c r="Q105" s="445"/>
    </row>
    <row r="106" spans="1:17" s="442" customFormat="1" ht="27.75">
      <c r="A106" s="1542" t="s">
        <v>76</v>
      </c>
      <c r="B106" s="1543"/>
      <c r="C106" s="1140"/>
      <c r="D106" s="622" t="s">
        <v>143</v>
      </c>
      <c r="E106" s="484">
        <f>'11'!F106</f>
        <v>36006</v>
      </c>
      <c r="F106" s="660">
        <v>36006</v>
      </c>
      <c r="G106" s="532">
        <f t="shared" ref="G106:G107" si="11">F106-E106</f>
        <v>0</v>
      </c>
      <c r="H106" s="533">
        <f>SUM(G106+'1'!G77)</f>
        <v>49</v>
      </c>
      <c r="I106" s="532"/>
      <c r="J106" s="558">
        <f>H106/DAY(B2)</f>
        <v>4.083333333333333</v>
      </c>
      <c r="N106" s="719"/>
      <c r="O106" s="728"/>
      <c r="P106" s="714"/>
      <c r="Q106" s="445"/>
    </row>
    <row r="107" spans="1:17" s="442" customFormat="1" ht="27.75">
      <c r="A107" s="1542" t="s">
        <v>77</v>
      </c>
      <c r="B107" s="1544"/>
      <c r="C107" s="1543"/>
      <c r="D107" s="622" t="s">
        <v>143</v>
      </c>
      <c r="E107" s="484">
        <f>'11'!F107</f>
        <v>19742</v>
      </c>
      <c r="F107" s="660">
        <v>19746</v>
      </c>
      <c r="G107" s="532">
        <f t="shared" si="11"/>
        <v>4</v>
      </c>
      <c r="H107" s="533">
        <f>SUM(G107+'1'!G78)</f>
        <v>59</v>
      </c>
      <c r="I107" s="532"/>
      <c r="J107" s="558">
        <f>H107/DAY(B2)</f>
        <v>4.916666666666667</v>
      </c>
      <c r="N107" s="719"/>
      <c r="O107" s="728"/>
      <c r="P107" s="714"/>
      <c r="Q107" s="445"/>
    </row>
    <row r="108" spans="1:17" s="442" customFormat="1" ht="27.75">
      <c r="A108" s="1545" t="s">
        <v>201</v>
      </c>
      <c r="B108" s="1546"/>
      <c r="C108" s="1140"/>
      <c r="D108" s="622"/>
      <c r="E108" s="484"/>
      <c r="F108" s="660"/>
      <c r="G108" s="532">
        <f>SUM(G105:G107)</f>
        <v>4</v>
      </c>
      <c r="H108" s="533">
        <f>SUM(G108+'1'!G79)</f>
        <v>159</v>
      </c>
      <c r="I108" s="532"/>
      <c r="J108" s="558">
        <f>H108/DAY(B2)</f>
        <v>13.25</v>
      </c>
      <c r="N108" s="719"/>
      <c r="O108" s="728"/>
      <c r="P108" s="714"/>
      <c r="Q108" s="445"/>
    </row>
    <row r="109" spans="1:17" s="442" customFormat="1" ht="27.75">
      <c r="A109" s="1547" t="s">
        <v>78</v>
      </c>
      <c r="B109" s="1548"/>
      <c r="C109" s="1140"/>
      <c r="D109" s="622" t="s">
        <v>143</v>
      </c>
      <c r="E109" s="484"/>
      <c r="F109" s="660"/>
      <c r="G109" s="532"/>
      <c r="H109" s="533"/>
      <c r="I109" s="532"/>
      <c r="J109" s="558"/>
      <c r="N109" s="719"/>
      <c r="O109" s="728"/>
      <c r="P109" s="714"/>
      <c r="Q109" s="445"/>
    </row>
    <row r="110" spans="1:17" s="442" customFormat="1" ht="27.75">
      <c r="A110" s="1542" t="s">
        <v>219</v>
      </c>
      <c r="B110" s="1543"/>
      <c r="C110" s="1140"/>
      <c r="D110" s="622" t="s">
        <v>143</v>
      </c>
      <c r="E110" s="484">
        <f>'11'!F110</f>
        <v>63516</v>
      </c>
      <c r="F110" s="660">
        <v>63549</v>
      </c>
      <c r="G110" s="532">
        <f>F110-E110</f>
        <v>33</v>
      </c>
      <c r="H110" s="533">
        <f>SUM(G110+'1'!G81)</f>
        <v>127</v>
      </c>
      <c r="I110" s="532"/>
      <c r="J110" s="558">
        <f>H110/DAY(B2)</f>
        <v>10.583333333333334</v>
      </c>
      <c r="N110" s="719"/>
      <c r="O110" s="728"/>
      <c r="P110" s="714"/>
      <c r="Q110" s="445"/>
    </row>
    <row r="111" spans="1:17" s="442" customFormat="1" ht="27.75">
      <c r="A111" s="1542" t="s">
        <v>220</v>
      </c>
      <c r="B111" s="1543"/>
      <c r="C111" s="1140"/>
      <c r="D111" s="622" t="s">
        <v>143</v>
      </c>
      <c r="E111" s="484">
        <f>'11'!F111</f>
        <v>32675</v>
      </c>
      <c r="F111" s="660">
        <v>32697</v>
      </c>
      <c r="G111" s="532">
        <f t="shared" ref="G111:G112" si="12">F111-E111</f>
        <v>22</v>
      </c>
      <c r="H111" s="533">
        <f>SUM(G111+'1'!G82)</f>
        <v>33</v>
      </c>
      <c r="I111" s="532"/>
      <c r="J111" s="558">
        <f>H111/DAY(B2)</f>
        <v>2.75</v>
      </c>
      <c r="N111" s="719"/>
      <c r="O111" s="728"/>
      <c r="P111" s="714"/>
      <c r="Q111" s="445"/>
    </row>
    <row r="112" spans="1:17" s="442" customFormat="1" ht="27.75">
      <c r="A112" s="1542" t="s">
        <v>221</v>
      </c>
      <c r="B112" s="1543"/>
      <c r="C112" s="1140"/>
      <c r="D112" s="622" t="s">
        <v>143</v>
      </c>
      <c r="E112" s="484">
        <f>'11'!F112</f>
        <v>4621</v>
      </c>
      <c r="F112" s="660">
        <v>4621</v>
      </c>
      <c r="G112" s="532">
        <f t="shared" si="12"/>
        <v>0</v>
      </c>
      <c r="H112" s="533">
        <f>SUM(G112+'1'!G83)</f>
        <v>152</v>
      </c>
      <c r="I112" s="532"/>
      <c r="J112" s="558">
        <f>H112/DAY(B2)</f>
        <v>12.666666666666666</v>
      </c>
      <c r="N112" s="719"/>
      <c r="O112" s="728"/>
      <c r="P112" s="714"/>
      <c r="Q112" s="445"/>
    </row>
    <row r="113" spans="1:17" s="442" customFormat="1" ht="27.75">
      <c r="A113" s="1545" t="s">
        <v>109</v>
      </c>
      <c r="B113" s="1546"/>
      <c r="C113" s="1140"/>
      <c r="D113" s="622"/>
      <c r="E113" s="484"/>
      <c r="F113" s="660"/>
      <c r="G113" s="532">
        <f>SUM(G110:G112)</f>
        <v>55</v>
      </c>
      <c r="H113" s="533">
        <f>SUM(G113+'1'!G84)</f>
        <v>882</v>
      </c>
      <c r="I113" s="532"/>
      <c r="J113" s="558">
        <f>H113/DAY(B2)</f>
        <v>73.5</v>
      </c>
      <c r="N113" s="719"/>
      <c r="O113" s="728"/>
      <c r="P113" s="714"/>
      <c r="Q113" s="445"/>
    </row>
    <row r="114" spans="1:17" s="442" customFormat="1" ht="27.75">
      <c r="A114" s="1547" t="s">
        <v>222</v>
      </c>
      <c r="B114" s="1548"/>
      <c r="C114" s="1140"/>
      <c r="D114" s="622"/>
      <c r="E114" s="484"/>
      <c r="F114" s="660"/>
      <c r="G114" s="532"/>
      <c r="H114" s="533"/>
      <c r="I114" s="532"/>
      <c r="J114" s="558">
        <f>H114/DAY(B2)</f>
        <v>0</v>
      </c>
      <c r="N114" s="719"/>
      <c r="O114" s="728"/>
      <c r="P114" s="714"/>
      <c r="Q114" s="445"/>
    </row>
    <row r="115" spans="1:17" s="442" customFormat="1" ht="27.75">
      <c r="A115" s="1542" t="s">
        <v>223</v>
      </c>
      <c r="B115" s="1543"/>
      <c r="C115" s="574"/>
      <c r="D115" s="622" t="s">
        <v>143</v>
      </c>
      <c r="E115" s="484">
        <f>'11'!F115</f>
        <v>11666</v>
      </c>
      <c r="F115" s="660">
        <v>11677</v>
      </c>
      <c r="G115" s="534">
        <f>F115-E115</f>
        <v>11</v>
      </c>
      <c r="H115" s="533">
        <f>SUM(G115+'1'!G92)</f>
        <v>11</v>
      </c>
      <c r="I115" s="532"/>
      <c r="J115" s="558">
        <f>H115/DAY(B2)</f>
        <v>0.91666666666666663</v>
      </c>
      <c r="N115" s="719"/>
      <c r="O115" s="728"/>
      <c r="P115" s="714"/>
      <c r="Q115" s="445"/>
    </row>
    <row r="116" spans="1:17" s="442" customFormat="1" ht="27.75">
      <c r="A116" s="1542" t="s">
        <v>224</v>
      </c>
      <c r="B116" s="1543"/>
      <c r="C116" s="574"/>
      <c r="D116" s="622" t="s">
        <v>143</v>
      </c>
      <c r="E116" s="484">
        <f>'11'!F116</f>
        <v>8376</v>
      </c>
      <c r="F116" s="660">
        <v>8397</v>
      </c>
      <c r="G116" s="534">
        <f t="shared" ref="G116:G117" si="13">F116-E116</f>
        <v>21</v>
      </c>
      <c r="H116" s="533">
        <f>SUM(G116+'1'!G93)</f>
        <v>39</v>
      </c>
      <c r="I116" s="532"/>
      <c r="J116" s="558">
        <f>H116/DAY(B2)</f>
        <v>3.25</v>
      </c>
      <c r="N116" s="719"/>
      <c r="O116" s="728"/>
      <c r="P116" s="714"/>
      <c r="Q116" s="445"/>
    </row>
    <row r="117" spans="1:17" s="442" customFormat="1" ht="27.75">
      <c r="A117" s="1542" t="s">
        <v>225</v>
      </c>
      <c r="B117" s="1543"/>
      <c r="C117" s="574"/>
      <c r="D117" s="622" t="s">
        <v>143</v>
      </c>
      <c r="E117" s="534"/>
      <c r="F117" s="660"/>
      <c r="G117" s="534">
        <f t="shared" si="13"/>
        <v>0</v>
      </c>
      <c r="H117" s="533">
        <f>SUM(G117+'1'!G94)</f>
        <v>58</v>
      </c>
      <c r="I117" s="532"/>
      <c r="J117" s="558">
        <f>H117/DAY(B2)</f>
        <v>4.833333333333333</v>
      </c>
      <c r="N117" s="719"/>
      <c r="O117" s="728"/>
      <c r="P117" s="714"/>
      <c r="Q117" s="445"/>
    </row>
    <row r="118" spans="1:17" s="445" customFormat="1" ht="27.75">
      <c r="A118" s="1545" t="s">
        <v>201</v>
      </c>
      <c r="B118" s="1546"/>
      <c r="C118" s="574"/>
      <c r="D118" s="623"/>
      <c r="E118" s="534"/>
      <c r="F118" s="660"/>
      <c r="G118" s="534">
        <f>SUM(G115:G117)</f>
        <v>32</v>
      </c>
      <c r="H118" s="533">
        <f>SUM(G118+'1'!G96)</f>
        <v>72</v>
      </c>
      <c r="I118" s="534"/>
      <c r="J118" s="558">
        <f>H118/DAY(B2)</f>
        <v>6</v>
      </c>
      <c r="N118" s="719"/>
      <c r="O118" s="728"/>
      <c r="P118" s="714"/>
    </row>
    <row r="119" spans="1:17" s="446" customFormat="1" ht="27.75">
      <c r="A119" s="1576" t="s">
        <v>226</v>
      </c>
      <c r="B119" s="1577"/>
      <c r="C119" s="1138"/>
      <c r="D119" s="624" t="s">
        <v>143</v>
      </c>
      <c r="E119" s="536"/>
      <c r="F119" s="661">
        <f>SUM(G19+G93)</f>
        <v>120</v>
      </c>
      <c r="G119" s="536">
        <f>SUM(G19+G93)</f>
        <v>120</v>
      </c>
      <c r="H119" s="533">
        <f>SUM(G119+'1'!G97)</f>
        <v>133</v>
      </c>
      <c r="I119" s="535"/>
      <c r="J119" s="559">
        <f>H119/DAY(B2)</f>
        <v>11.083333333333334</v>
      </c>
      <c r="N119" s="719"/>
      <c r="O119" s="728"/>
      <c r="P119" s="714"/>
    </row>
    <row r="120" spans="1:17" s="446" customFormat="1" ht="27.75">
      <c r="A120" s="1576" t="s">
        <v>227</v>
      </c>
      <c r="B120" s="1577"/>
      <c r="C120" s="1138"/>
      <c r="D120" s="624" t="s">
        <v>143</v>
      </c>
      <c r="E120" s="536"/>
      <c r="F120" s="661">
        <f>SUM(G96,G97,G98,G100,G101)</f>
        <v>123</v>
      </c>
      <c r="G120" s="536">
        <f>SUM(G96,G97,G98,G100,G101)</f>
        <v>123</v>
      </c>
      <c r="H120" s="533">
        <f>SUM(G120+'1'!G99)</f>
        <v>130</v>
      </c>
      <c r="I120" s="535"/>
      <c r="J120" s="559">
        <f>H120/DAY(B2)</f>
        <v>10.833333333333334</v>
      </c>
      <c r="N120" s="719"/>
      <c r="O120" s="728"/>
      <c r="P120" s="714"/>
    </row>
    <row r="121" spans="1:17" s="446" customFormat="1" ht="27.75">
      <c r="A121" s="1576" t="s">
        <v>228</v>
      </c>
      <c r="B121" s="1577"/>
      <c r="C121" s="1138"/>
      <c r="D121" s="624" t="s">
        <v>143</v>
      </c>
      <c r="E121" s="534"/>
      <c r="F121" s="660">
        <f>SUM(G113)</f>
        <v>55</v>
      </c>
      <c r="G121" s="534">
        <f>SUM(G113)</f>
        <v>55</v>
      </c>
      <c r="H121" s="533">
        <f>SUM(G121+'1'!G101)</f>
        <v>59</v>
      </c>
      <c r="I121" s="535"/>
      <c r="J121" s="559">
        <f>H121/DAY(B2)</f>
        <v>4.916666666666667</v>
      </c>
      <c r="N121" s="719"/>
      <c r="O121" s="728"/>
      <c r="P121" s="714"/>
    </row>
    <row r="122" spans="1:17" s="442" customFormat="1" ht="27.75">
      <c r="A122" s="1578"/>
      <c r="B122" s="1579"/>
      <c r="C122" s="1139"/>
      <c r="D122" s="560"/>
      <c r="E122" s="560"/>
      <c r="F122" s="662" t="s">
        <v>214</v>
      </c>
      <c r="G122" s="560"/>
      <c r="H122" s="561"/>
      <c r="I122" s="560"/>
      <c r="J122" s="562"/>
      <c r="N122" s="719"/>
      <c r="O122" s="728"/>
      <c r="P122" s="714"/>
      <c r="Q122" s="445"/>
    </row>
    <row r="123" spans="1:17">
      <c r="A123" s="1528" t="s">
        <v>229</v>
      </c>
      <c r="B123" s="1529"/>
      <c r="C123" s="1530"/>
      <c r="D123" s="472"/>
      <c r="E123" s="472"/>
      <c r="F123" s="472"/>
      <c r="G123" s="483"/>
      <c r="H123" s="483"/>
      <c r="I123" s="483"/>
      <c r="J123" s="563"/>
      <c r="K123" s="380"/>
      <c r="L123" s="377"/>
      <c r="N123" s="719"/>
      <c r="O123" s="728"/>
      <c r="P123" s="714"/>
    </row>
    <row r="124" spans="1:17" ht="27.75">
      <c r="A124" s="1141" t="s">
        <v>230</v>
      </c>
      <c r="B124" s="1142"/>
      <c r="C124" s="1142"/>
      <c r="D124" s="523" t="s">
        <v>140</v>
      </c>
      <c r="E124" s="478">
        <f>'11'!F124</f>
        <v>834449</v>
      </c>
      <c r="F124" s="478">
        <v>834687</v>
      </c>
      <c r="G124" s="473">
        <f t="shared" ref="G124:G128" si="14">F124-E124</f>
        <v>238</v>
      </c>
      <c r="H124" s="460">
        <f>G124+'11'!H124</f>
        <v>2321</v>
      </c>
      <c r="I124" s="526"/>
      <c r="J124" s="552">
        <f>H124/DAY(B2)</f>
        <v>193.41666666666666</v>
      </c>
      <c r="K124" s="380"/>
      <c r="L124" s="377"/>
      <c r="N124" s="719"/>
      <c r="O124" s="728"/>
      <c r="P124" s="714"/>
    </row>
    <row r="125" spans="1:17" ht="27.75">
      <c r="A125" s="1141" t="s">
        <v>231</v>
      </c>
      <c r="B125" s="1142"/>
      <c r="C125" s="1142"/>
      <c r="D125" s="523" t="s">
        <v>140</v>
      </c>
      <c r="E125" s="626">
        <f>'11'!F125</f>
        <v>73583.399999999994</v>
      </c>
      <c r="F125" s="626">
        <v>73583</v>
      </c>
      <c r="G125" s="473">
        <f t="shared" si="14"/>
        <v>-0.39999999999417923</v>
      </c>
      <c r="H125" s="460">
        <f>G125+'11'!H125</f>
        <v>-0.39999999999417923</v>
      </c>
      <c r="I125" s="526"/>
      <c r="J125" s="552">
        <f>H125/DAY(B2)</f>
        <v>-3.3333333332848269E-2</v>
      </c>
      <c r="K125" s="380"/>
      <c r="L125" s="377"/>
      <c r="N125" s="719"/>
      <c r="O125" s="728"/>
      <c r="P125" s="714"/>
    </row>
    <row r="126" spans="1:17" ht="27.75">
      <c r="A126" s="1534" t="s">
        <v>232</v>
      </c>
      <c r="B126" s="1535"/>
      <c r="C126" s="1536"/>
      <c r="D126" s="523" t="s">
        <v>140</v>
      </c>
      <c r="E126" s="478">
        <f>'11'!F126</f>
        <v>147185</v>
      </c>
      <c r="F126" s="478">
        <v>147247</v>
      </c>
      <c r="G126" s="473">
        <f t="shared" si="14"/>
        <v>62</v>
      </c>
      <c r="H126" s="460">
        <f>G126+'11'!H126</f>
        <v>756</v>
      </c>
      <c r="I126" s="526"/>
      <c r="J126" s="552">
        <f>H126/DAY(B2)</f>
        <v>63</v>
      </c>
      <c r="K126" s="380"/>
      <c r="L126" s="377"/>
      <c r="N126" s="719"/>
      <c r="O126" s="728"/>
      <c r="P126" s="714"/>
    </row>
    <row r="127" spans="1:17" ht="27.75">
      <c r="A127" s="609" t="s">
        <v>233</v>
      </c>
      <c r="B127" s="1142"/>
      <c r="C127" s="1142"/>
      <c r="D127" s="523" t="s">
        <v>140</v>
      </c>
      <c r="E127" s="626">
        <f>'11'!F127</f>
        <v>31409</v>
      </c>
      <c r="F127" s="626">
        <v>31409</v>
      </c>
      <c r="G127" s="473">
        <f t="shared" si="14"/>
        <v>0</v>
      </c>
      <c r="H127" s="460">
        <f>G127+'11'!H127</f>
        <v>3</v>
      </c>
      <c r="I127" s="526"/>
      <c r="J127" s="552">
        <f>H127/DAY(B2)</f>
        <v>0.25</v>
      </c>
      <c r="K127" s="380"/>
      <c r="L127" s="377"/>
      <c r="N127" s="719"/>
      <c r="O127" s="728"/>
      <c r="P127" s="714"/>
    </row>
    <row r="128" spans="1:17" ht="27.75">
      <c r="A128" s="609" t="s">
        <v>234</v>
      </c>
      <c r="B128" s="1142"/>
      <c r="C128" s="1142"/>
      <c r="D128" s="523" t="s">
        <v>140</v>
      </c>
      <c r="E128" s="626">
        <f>'11'!F128</f>
        <v>8972</v>
      </c>
      <c r="F128" s="626">
        <v>8972</v>
      </c>
      <c r="G128" s="473">
        <f t="shared" si="14"/>
        <v>0</v>
      </c>
      <c r="H128" s="460">
        <f>G128+'11'!H128</f>
        <v>0</v>
      </c>
      <c r="I128" s="480"/>
      <c r="J128" s="552">
        <f>H128/DAY(B2)</f>
        <v>0</v>
      </c>
      <c r="K128" s="380"/>
      <c r="L128" s="377"/>
      <c r="N128" s="719"/>
      <c r="O128" s="728"/>
      <c r="P128" s="714"/>
    </row>
    <row r="129" spans="1:17" s="281" customFormat="1" ht="27.75">
      <c r="A129" s="609" t="s">
        <v>235</v>
      </c>
      <c r="B129" s="1142"/>
      <c r="C129" s="1142"/>
      <c r="D129" s="523"/>
      <c r="E129" s="478"/>
      <c r="F129" s="478"/>
      <c r="G129" s="473">
        <f>G15-SUM(G124:G128)</f>
        <v>160.39999999999418</v>
      </c>
      <c r="H129" s="460">
        <f>H15-SUM(H124:H128)</f>
        <v>2491.3999999999942</v>
      </c>
      <c r="I129" s="480"/>
      <c r="J129" s="552"/>
      <c r="K129" s="364"/>
      <c r="L129" s="292"/>
      <c r="N129" s="719"/>
      <c r="O129" s="728"/>
      <c r="P129" s="714"/>
      <c r="Q129" s="711"/>
    </row>
    <row r="130" spans="1:17">
      <c r="A130" s="610" t="s">
        <v>236</v>
      </c>
      <c r="B130" s="458"/>
      <c r="C130" s="458"/>
      <c r="D130" s="471"/>
      <c r="E130" s="471"/>
      <c r="F130" s="471"/>
      <c r="G130" s="540"/>
      <c r="H130" s="540"/>
      <c r="I130" s="540"/>
      <c r="J130" s="564"/>
      <c r="N130" s="719"/>
      <c r="O130" s="728"/>
      <c r="P130" s="714"/>
    </row>
    <row r="131" spans="1:17" ht="27.75">
      <c r="A131" s="1141" t="s">
        <v>237</v>
      </c>
      <c r="B131" s="1142"/>
      <c r="C131" s="1142"/>
      <c r="D131" s="523" t="s">
        <v>238</v>
      </c>
      <c r="E131" s="484">
        <f>'11'!F131</f>
        <v>0</v>
      </c>
      <c r="F131" s="478">
        <v>0</v>
      </c>
      <c r="G131" s="473">
        <f t="shared" ref="G131:G141" si="15">F131-E131</f>
        <v>0</v>
      </c>
      <c r="H131" s="460">
        <f>G131+'11'!H131</f>
        <v>0</v>
      </c>
      <c r="I131" s="480"/>
      <c r="J131" s="552">
        <f>H131/DAY(B2)</f>
        <v>0</v>
      </c>
      <c r="N131" s="719"/>
      <c r="O131" s="728"/>
      <c r="P131" s="714"/>
    </row>
    <row r="132" spans="1:17" ht="27.75">
      <c r="A132" s="1141" t="s">
        <v>239</v>
      </c>
      <c r="B132" s="1142"/>
      <c r="C132" s="1142"/>
      <c r="D132" s="523" t="s">
        <v>238</v>
      </c>
      <c r="E132" s="484">
        <f>'11'!F132</f>
        <v>0</v>
      </c>
      <c r="F132" s="478">
        <v>0</v>
      </c>
      <c r="G132" s="473">
        <f t="shared" si="15"/>
        <v>0</v>
      </c>
      <c r="H132" s="460">
        <f>G132+'11'!H132</f>
        <v>0</v>
      </c>
      <c r="I132" s="480"/>
      <c r="J132" s="552">
        <f>H132/DAY(B2)</f>
        <v>0</v>
      </c>
      <c r="N132" s="719"/>
      <c r="O132" s="728"/>
      <c r="P132" s="714"/>
    </row>
    <row r="133" spans="1:17" ht="27.75">
      <c r="A133" s="1141" t="s">
        <v>240</v>
      </c>
      <c r="B133" s="1142"/>
      <c r="C133" s="1142"/>
      <c r="D133" s="523" t="s">
        <v>238</v>
      </c>
      <c r="E133" s="541">
        <f>'11'!F133</f>
        <v>40146.47</v>
      </c>
      <c r="F133" s="652">
        <v>40170.449999999997</v>
      </c>
      <c r="G133" s="473">
        <f t="shared" si="15"/>
        <v>23.979999999995925</v>
      </c>
      <c r="H133" s="460">
        <f>G133+'11'!H133</f>
        <v>135.34999999999854</v>
      </c>
      <c r="I133" s="480"/>
      <c r="J133" s="552">
        <f>H133/DAY(B2)</f>
        <v>11.279166666666546</v>
      </c>
      <c r="N133" s="719"/>
      <c r="O133" s="728"/>
      <c r="P133" s="714"/>
    </row>
    <row r="134" spans="1:17" ht="27.75">
      <c r="A134" s="1141" t="s">
        <v>241</v>
      </c>
      <c r="B134" s="1142"/>
      <c r="C134" s="1142"/>
      <c r="D134" s="523" t="s">
        <v>238</v>
      </c>
      <c r="E134" s="702">
        <f>'11'!F134</f>
        <v>300</v>
      </c>
      <c r="F134" s="626">
        <v>300</v>
      </c>
      <c r="G134" s="473">
        <f t="shared" si="15"/>
        <v>0</v>
      </c>
      <c r="H134" s="460">
        <f>G134+'11'!H134</f>
        <v>0</v>
      </c>
      <c r="I134" s="480">
        <f>G131+G132+G133+G134</f>
        <v>23.979999999995925</v>
      </c>
      <c r="J134" s="552">
        <f>H134/DAY(B2)</f>
        <v>0</v>
      </c>
      <c r="N134" s="719"/>
      <c r="O134" s="728"/>
      <c r="P134" s="714"/>
    </row>
    <row r="135" spans="1:17" ht="27.75">
      <c r="A135" s="1141" t="s">
        <v>242</v>
      </c>
      <c r="B135" s="1142"/>
      <c r="C135" s="1142"/>
      <c r="D135" s="523" t="s">
        <v>238</v>
      </c>
      <c r="E135" s="702">
        <f>'11'!F135</f>
        <v>41730.449999999997</v>
      </c>
      <c r="F135" s="626">
        <v>41730.449999999997</v>
      </c>
      <c r="G135" s="473">
        <f t="shared" si="15"/>
        <v>0</v>
      </c>
      <c r="H135" s="460">
        <f>G135+'11'!H135</f>
        <v>0.44999999999708962</v>
      </c>
      <c r="I135" s="480"/>
      <c r="J135" s="552">
        <f>H135/DAY(B2)</f>
        <v>3.749999999975747E-2</v>
      </c>
      <c r="N135" s="719"/>
      <c r="O135" s="728"/>
      <c r="P135" s="714"/>
    </row>
    <row r="136" spans="1:17" ht="27.75">
      <c r="A136" s="1141" t="s">
        <v>243</v>
      </c>
      <c r="B136" s="1142"/>
      <c r="C136" s="1142"/>
      <c r="D136" s="523" t="s">
        <v>238</v>
      </c>
      <c r="E136" s="522">
        <f>'11'!F136</f>
        <v>32874</v>
      </c>
      <c r="F136" s="652">
        <v>32874</v>
      </c>
      <c r="G136" s="473">
        <f t="shared" si="15"/>
        <v>0</v>
      </c>
      <c r="H136" s="460">
        <f>G136+'11'!H136</f>
        <v>159</v>
      </c>
      <c r="I136" s="480"/>
      <c r="J136" s="552">
        <f>H136/DAY(B2)</f>
        <v>13.25</v>
      </c>
      <c r="N136" s="719"/>
      <c r="O136" s="728"/>
      <c r="P136" s="714"/>
    </row>
    <row r="137" spans="1:17" ht="27.75">
      <c r="A137" s="1141" t="s">
        <v>244</v>
      </c>
      <c r="B137" s="1142"/>
      <c r="C137" s="1142"/>
      <c r="D137" s="523" t="s">
        <v>238</v>
      </c>
      <c r="E137" s="541">
        <f>'11'!F137</f>
        <v>22833.51</v>
      </c>
      <c r="F137" s="652">
        <v>22833.51</v>
      </c>
      <c r="G137" s="473">
        <f t="shared" si="15"/>
        <v>0</v>
      </c>
      <c r="H137" s="460">
        <f>G137+'11'!H137</f>
        <v>26.269999999996799</v>
      </c>
      <c r="I137" s="480">
        <f>G135+G136+G137</f>
        <v>0</v>
      </c>
      <c r="J137" s="552">
        <f>H137/DAY(B2)</f>
        <v>2.1891666666664</v>
      </c>
      <c r="N137" s="719"/>
      <c r="O137" s="728"/>
      <c r="P137" s="714"/>
    </row>
    <row r="138" spans="1:17" ht="27.75">
      <c r="A138" s="1141" t="s">
        <v>245</v>
      </c>
      <c r="B138" s="1142"/>
      <c r="C138" s="1142"/>
      <c r="D138" s="523" t="s">
        <v>238</v>
      </c>
      <c r="E138" s="541">
        <f>'11'!F138</f>
        <v>25051.82</v>
      </c>
      <c r="F138" s="652">
        <v>25051.82</v>
      </c>
      <c r="G138" s="473">
        <f t="shared" si="15"/>
        <v>0</v>
      </c>
      <c r="H138" s="460">
        <f>G138+'11'!H138</f>
        <v>0</v>
      </c>
      <c r="I138" s="480"/>
      <c r="J138" s="552">
        <f>H138/DAY(B2)</f>
        <v>0</v>
      </c>
      <c r="N138" s="719"/>
      <c r="O138" s="728"/>
      <c r="P138" s="714"/>
    </row>
    <row r="139" spans="1:17" ht="27.75">
      <c r="A139" s="1141" t="s">
        <v>246</v>
      </c>
      <c r="B139" s="1142"/>
      <c r="C139" s="1142"/>
      <c r="D139" s="523" t="s">
        <v>238</v>
      </c>
      <c r="E139" s="541">
        <f>'11'!F139</f>
        <v>70456</v>
      </c>
      <c r="F139" s="652">
        <v>70460.649999999994</v>
      </c>
      <c r="G139" s="473">
        <f t="shared" si="15"/>
        <v>4.6499999999941792</v>
      </c>
      <c r="H139" s="460">
        <f>G139+'11'!H139</f>
        <v>48.909999999988941</v>
      </c>
      <c r="I139" s="480">
        <f>G138+G139</f>
        <v>4.6499999999941792</v>
      </c>
      <c r="J139" s="552">
        <f>H139/DAY(B2)</f>
        <v>4.0758333333324117</v>
      </c>
      <c r="N139" s="719"/>
      <c r="O139" s="728"/>
      <c r="P139" s="714"/>
    </row>
    <row r="140" spans="1:17" ht="27.75">
      <c r="A140" s="1141" t="s">
        <v>247</v>
      </c>
      <c r="B140" s="1142"/>
      <c r="C140" s="1142"/>
      <c r="D140" s="523" t="s">
        <v>238</v>
      </c>
      <c r="E140" s="702">
        <f>'11'!F140</f>
        <v>1934.29</v>
      </c>
      <c r="F140" s="626">
        <v>1943.38</v>
      </c>
      <c r="G140" s="473">
        <f t="shared" si="15"/>
        <v>9.0900000000001455</v>
      </c>
      <c r="H140" s="460">
        <f>G140+'11'!H140</f>
        <v>89.080000000000155</v>
      </c>
      <c r="I140" s="542"/>
      <c r="J140" s="552">
        <f>H140/DAY(B2)</f>
        <v>7.4233333333333462</v>
      </c>
      <c r="N140" s="719"/>
      <c r="O140" s="728"/>
      <c r="P140" s="714"/>
    </row>
    <row r="141" spans="1:17" ht="27.75">
      <c r="A141" s="1141" t="s">
        <v>248</v>
      </c>
      <c r="B141" s="1142"/>
      <c r="C141" s="1142"/>
      <c r="D141" s="523" t="s">
        <v>238</v>
      </c>
      <c r="E141" s="484">
        <f>'11'!F141</f>
        <v>4636.88</v>
      </c>
      <c r="F141" s="478">
        <v>4636.88</v>
      </c>
      <c r="G141" s="473">
        <f t="shared" si="15"/>
        <v>0</v>
      </c>
      <c r="H141" s="460">
        <f>G141+'11'!H141</f>
        <v>-0.11999999999989086</v>
      </c>
      <c r="I141" s="542"/>
      <c r="J141" s="552">
        <f>H141/DAY(B2)</f>
        <v>-9.9999999999909051E-3</v>
      </c>
      <c r="N141" s="719"/>
      <c r="O141" s="728"/>
      <c r="P141" s="714"/>
    </row>
    <row r="142" spans="1:17">
      <c r="A142" s="1572" t="s">
        <v>249</v>
      </c>
      <c r="B142" s="1573"/>
      <c r="C142" s="1147"/>
      <c r="D142" s="472"/>
      <c r="E142" s="472"/>
      <c r="F142" s="472"/>
      <c r="G142" s="483"/>
      <c r="H142" s="483"/>
      <c r="I142" s="483"/>
      <c r="J142" s="563"/>
      <c r="K142" s="380"/>
      <c r="L142" s="377"/>
      <c r="N142" s="719"/>
      <c r="O142" s="728"/>
      <c r="P142" s="714"/>
    </row>
    <row r="143" spans="1:17" ht="27.75">
      <c r="A143" s="1537" t="s">
        <v>250</v>
      </c>
      <c r="B143" s="1538"/>
      <c r="C143" s="1539"/>
      <c r="D143" s="523" t="s">
        <v>131</v>
      </c>
      <c r="E143" s="523"/>
      <c r="F143" s="523"/>
      <c r="G143" s="460">
        <f>G35+G43+G49+G57</f>
        <v>4936</v>
      </c>
      <c r="H143" s="460">
        <f>G143+'11'!H143</f>
        <v>57671.130000000005</v>
      </c>
      <c r="I143" s="480"/>
      <c r="J143" s="552">
        <f>H143/DAY(B2)</f>
        <v>4805.9275000000007</v>
      </c>
      <c r="K143" s="380"/>
      <c r="L143" s="377"/>
      <c r="N143" s="719"/>
      <c r="O143" s="728"/>
      <c r="P143" s="714"/>
    </row>
    <row r="144" spans="1:17" ht="27.75">
      <c r="A144" s="1537" t="s">
        <v>251</v>
      </c>
      <c r="B144" s="1538"/>
      <c r="C144" s="1539"/>
      <c r="D144" s="523" t="s">
        <v>24</v>
      </c>
      <c r="E144" s="511"/>
      <c r="F144" s="511"/>
      <c r="G144" s="543">
        <f>G143/G7</f>
        <v>0.26309898193060072</v>
      </c>
      <c r="H144" s="460">
        <f>G144+'11'!H144</f>
        <v>3.3308671611790284</v>
      </c>
      <c r="I144" s="544"/>
      <c r="J144" s="552">
        <f>H144/DAY(B2)</f>
        <v>0.2775722634315857</v>
      </c>
      <c r="K144" s="380"/>
      <c r="L144" s="377"/>
      <c r="N144" s="719"/>
      <c r="O144" s="728"/>
      <c r="P144" s="714"/>
    </row>
    <row r="145" spans="1:16" ht="27.75">
      <c r="A145" s="1537" t="s">
        <v>252</v>
      </c>
      <c r="B145" s="1538"/>
      <c r="C145" s="1539"/>
      <c r="D145" s="523" t="s">
        <v>131</v>
      </c>
      <c r="E145" s="455"/>
      <c r="F145" s="455"/>
      <c r="G145" s="460">
        <f>G41+G42+G55+G56</f>
        <v>5598</v>
      </c>
      <c r="H145" s="460">
        <f>G145+'11'!H145</f>
        <v>59877.55</v>
      </c>
      <c r="I145" s="480"/>
      <c r="J145" s="552">
        <f>H145/DAY(B2)</f>
        <v>4989.7958333333336</v>
      </c>
      <c r="K145" s="380"/>
      <c r="L145" s="377"/>
      <c r="N145" s="719"/>
      <c r="O145" s="728"/>
      <c r="P145" s="714"/>
    </row>
    <row r="146" spans="1:16" ht="27.75">
      <c r="A146" s="1537" t="s">
        <v>253</v>
      </c>
      <c r="B146" s="1538"/>
      <c r="C146" s="1539"/>
      <c r="D146" s="523" t="s">
        <v>24</v>
      </c>
      <c r="E146" s="455"/>
      <c r="F146" s="455"/>
      <c r="G146" s="543">
        <f>G145/G7</f>
        <v>0.29838494749746813</v>
      </c>
      <c r="H146" s="460">
        <f>G146+'11'!H146</f>
        <v>3.4500421373692278</v>
      </c>
      <c r="I146" s="544"/>
      <c r="J146" s="552">
        <f>H146/DAY(B2)</f>
        <v>0.28750351144743563</v>
      </c>
      <c r="K146" s="380"/>
      <c r="L146" s="377"/>
      <c r="N146" s="719"/>
      <c r="O146" s="728"/>
      <c r="P146" s="714"/>
    </row>
    <row r="147" spans="1:16" ht="27.75">
      <c r="A147" s="1537" t="s">
        <v>254</v>
      </c>
      <c r="B147" s="1538"/>
      <c r="C147" s="1539"/>
      <c r="D147" s="523" t="s">
        <v>131</v>
      </c>
      <c r="E147" s="455"/>
      <c r="F147" s="455"/>
      <c r="G147" s="460">
        <f>G39+G53</f>
        <v>3517</v>
      </c>
      <c r="H147" s="460">
        <f>G147+'11'!H147</f>
        <v>35586</v>
      </c>
      <c r="I147" s="545"/>
      <c r="J147" s="552">
        <f>H147/DAY(B2)</f>
        <v>2965.5</v>
      </c>
      <c r="K147" s="380"/>
      <c r="L147" s="377"/>
      <c r="N147" s="719"/>
      <c r="O147" s="728"/>
      <c r="P147" s="714"/>
    </row>
    <row r="148" spans="1:16" ht="27.75">
      <c r="A148" s="1537" t="s">
        <v>255</v>
      </c>
      <c r="B148" s="1538"/>
      <c r="C148" s="1539"/>
      <c r="D148" s="523" t="s">
        <v>24</v>
      </c>
      <c r="E148" s="455"/>
      <c r="F148" s="455"/>
      <c r="G148" s="543">
        <f>G147/G7</f>
        <v>0.18746335483183199</v>
      </c>
      <c r="H148" s="460">
        <f>G148+'11'!H148</f>
        <v>2.0482137084320637</v>
      </c>
      <c r="I148" s="545"/>
      <c r="J148" s="552">
        <f>H148/DAY(B2)</f>
        <v>0.17068447570267198</v>
      </c>
      <c r="N148" s="719"/>
      <c r="O148" s="728"/>
      <c r="P148" s="714"/>
    </row>
    <row r="149" spans="1:16" ht="27.75">
      <c r="A149" s="1537" t="s">
        <v>256</v>
      </c>
      <c r="B149" s="1538"/>
      <c r="C149" s="1539"/>
      <c r="D149" s="523" t="s">
        <v>182</v>
      </c>
      <c r="E149" s="455"/>
      <c r="F149" s="455"/>
      <c r="G149" s="460">
        <f>G38+G52</f>
        <v>1383</v>
      </c>
      <c r="H149" s="460">
        <f>G149+'11'!H149</f>
        <v>14760.069999999949</v>
      </c>
      <c r="I149" s="480"/>
      <c r="J149" s="552">
        <f>H149/DAY(B2)</f>
        <v>1230.0058333333291</v>
      </c>
      <c r="K149" s="381"/>
      <c r="N149" s="719"/>
      <c r="O149" s="728"/>
      <c r="P149" s="714"/>
    </row>
    <row r="150" spans="1:16" ht="27.75">
      <c r="A150" s="1537" t="s">
        <v>257</v>
      </c>
      <c r="B150" s="1538"/>
      <c r="C150" s="1539"/>
      <c r="D150" s="523" t="s">
        <v>24</v>
      </c>
      <c r="E150" s="455"/>
      <c r="F150" s="455"/>
      <c r="G150" s="543">
        <f>G149/G7</f>
        <v>7.3716752838334842E-2</v>
      </c>
      <c r="H150" s="460">
        <f>G150+'11'!H150</f>
        <v>0.85045401731064607</v>
      </c>
      <c r="I150" s="545"/>
      <c r="J150" s="552">
        <f>H150/DAY(B2)</f>
        <v>7.0871168109220506E-2</v>
      </c>
      <c r="N150" s="719"/>
      <c r="O150" s="728"/>
      <c r="P150" s="714"/>
    </row>
    <row r="151" spans="1:16" ht="27.75">
      <c r="A151" s="1537" t="s">
        <v>258</v>
      </c>
      <c r="B151" s="1538"/>
      <c r="C151" s="1539"/>
      <c r="D151" s="523" t="s">
        <v>182</v>
      </c>
      <c r="E151" s="455"/>
      <c r="F151" s="455"/>
      <c r="G151" s="460">
        <f>G36+G50</f>
        <v>1483</v>
      </c>
      <c r="H151" s="460">
        <f>G151+'11'!H151</f>
        <v>18053</v>
      </c>
      <c r="I151" s="545"/>
      <c r="J151" s="552">
        <f>H151/DAY(B2)</f>
        <v>1504.4166666666667</v>
      </c>
      <c r="N151" s="719"/>
      <c r="O151" s="728"/>
      <c r="P151" s="714"/>
    </row>
    <row r="152" spans="1:16" ht="27.75">
      <c r="A152" s="1537" t="s">
        <v>259</v>
      </c>
      <c r="B152" s="1538"/>
      <c r="C152" s="1539"/>
      <c r="D152" s="523" t="s">
        <v>24</v>
      </c>
      <c r="E152" s="455"/>
      <c r="F152" s="455"/>
      <c r="G152" s="543">
        <f>G151/G7</f>
        <v>7.9046959117317836E-2</v>
      </c>
      <c r="H152" s="460">
        <f>G152+'11'!H152</f>
        <v>1.0361566257617822</v>
      </c>
      <c r="I152" s="480"/>
      <c r="J152" s="552">
        <f>H152/DAY(B2)</f>
        <v>8.6346385480148516E-2</v>
      </c>
      <c r="N152" s="719"/>
      <c r="O152" s="728"/>
      <c r="P152" s="714"/>
    </row>
    <row r="153" spans="1:16" ht="27.75">
      <c r="A153" s="1537" t="s">
        <v>260</v>
      </c>
      <c r="B153" s="1538"/>
      <c r="C153" s="1539"/>
      <c r="D153" s="523" t="s">
        <v>182</v>
      </c>
      <c r="E153" s="455"/>
      <c r="F153" s="455"/>
      <c r="G153" s="460">
        <f>G37+G51</f>
        <v>1461</v>
      </c>
      <c r="H153" s="460">
        <f>G153+'11'!H153</f>
        <v>16052.869999999995</v>
      </c>
      <c r="I153" s="480"/>
      <c r="J153" s="552">
        <f>H153/DAY(B2)</f>
        <v>1337.7391666666663</v>
      </c>
      <c r="N153" s="719"/>
      <c r="O153" s="728"/>
      <c r="P153" s="714"/>
    </row>
    <row r="154" spans="1:16" ht="28.5" thickBot="1">
      <c r="A154" s="1569" t="s">
        <v>261</v>
      </c>
      <c r="B154" s="1570"/>
      <c r="C154" s="1571"/>
      <c r="D154" s="625" t="s">
        <v>24</v>
      </c>
      <c r="E154" s="565"/>
      <c r="F154" s="565"/>
      <c r="G154" s="566">
        <f>G153/G7</f>
        <v>7.7874313735941586E-2</v>
      </c>
      <c r="H154" s="460">
        <f>G154+'11'!H154</f>
        <v>0.92687270369796415</v>
      </c>
      <c r="I154" s="568"/>
      <c r="J154" s="569">
        <f>H154/DAY(B2)</f>
        <v>7.7239391974830346E-2</v>
      </c>
      <c r="N154" s="719"/>
      <c r="O154" s="728"/>
      <c r="P154" s="714"/>
    </row>
    <row r="155" spans="1:16">
      <c r="A155" s="466"/>
      <c r="B155" s="456"/>
      <c r="C155" s="456"/>
      <c r="D155" s="546"/>
      <c r="E155" s="546"/>
      <c r="F155" s="663"/>
      <c r="G155" s="546"/>
      <c r="H155" s="547"/>
      <c r="I155" s="546"/>
      <c r="J155" s="548"/>
      <c r="N155" s="719"/>
    </row>
    <row r="156" spans="1:16">
      <c r="N156" s="719"/>
    </row>
    <row r="157" spans="1:16">
      <c r="N157" s="719"/>
    </row>
    <row r="158" spans="1:16">
      <c r="N158" s="719"/>
    </row>
    <row r="159" spans="1:16">
      <c r="N159" s="719"/>
    </row>
    <row r="160" spans="1:16">
      <c r="N160" s="719"/>
    </row>
    <row r="161" spans="1:14">
      <c r="A161" s="785" t="s">
        <v>262</v>
      </c>
      <c r="B161" s="786"/>
      <c r="C161" s="786"/>
      <c r="D161" s="511" t="s">
        <v>186</v>
      </c>
      <c r="E161" s="541">
        <f>'11'!F161</f>
        <v>39318</v>
      </c>
      <c r="F161" s="659">
        <v>39400</v>
      </c>
      <c r="G161" s="473">
        <f t="shared" ref="G161:G164" si="16">F161-E161</f>
        <v>82</v>
      </c>
      <c r="N161" s="719"/>
    </row>
    <row r="162" spans="1:14">
      <c r="A162" s="785" t="s">
        <v>263</v>
      </c>
      <c r="B162" s="786"/>
      <c r="C162" s="786"/>
      <c r="D162" s="511" t="s">
        <v>186</v>
      </c>
      <c r="E162" s="541">
        <f>'11'!F162</f>
        <v>99314</v>
      </c>
      <c r="F162" s="659">
        <v>99749</v>
      </c>
      <c r="G162" s="473">
        <f t="shared" si="16"/>
        <v>435</v>
      </c>
      <c r="N162" s="719"/>
    </row>
    <row r="163" spans="1:14">
      <c r="A163" s="785" t="s">
        <v>264</v>
      </c>
      <c r="B163" s="786"/>
      <c r="C163" s="786"/>
      <c r="D163" s="511" t="s">
        <v>186</v>
      </c>
      <c r="E163" s="541">
        <f>'11'!F163</f>
        <v>47234</v>
      </c>
      <c r="F163" s="659">
        <v>47444</v>
      </c>
      <c r="G163" s="473">
        <f t="shared" si="16"/>
        <v>210</v>
      </c>
      <c r="N163" s="719"/>
    </row>
    <row r="164" spans="1:14">
      <c r="A164" s="785" t="s">
        <v>265</v>
      </c>
      <c r="B164" s="786"/>
      <c r="C164" s="786"/>
      <c r="D164" s="511" t="s">
        <v>186</v>
      </c>
      <c r="E164" s="541">
        <f>'11'!F164</f>
        <v>6657</v>
      </c>
      <c r="F164" s="659">
        <v>6671</v>
      </c>
      <c r="G164" s="473">
        <f t="shared" si="16"/>
        <v>14</v>
      </c>
      <c r="N164" s="719"/>
    </row>
    <row r="165" spans="1:14">
      <c r="A165" s="787" t="s">
        <v>97</v>
      </c>
      <c r="B165" s="604"/>
      <c r="C165" s="604"/>
      <c r="D165" s="511" t="s">
        <v>186</v>
      </c>
      <c r="E165" s="514">
        <f>E62</f>
        <v>0</v>
      </c>
      <c r="F165" s="514">
        <f>F62</f>
        <v>0</v>
      </c>
      <c r="G165" s="473">
        <f t="shared" ref="G165:G172" si="17">F165-E165</f>
        <v>0</v>
      </c>
      <c r="N165" s="719"/>
    </row>
    <row r="166" spans="1:14">
      <c r="A166" s="787" t="s">
        <v>187</v>
      </c>
      <c r="B166" s="604"/>
      <c r="C166" s="604"/>
      <c r="D166" s="511" t="s">
        <v>186</v>
      </c>
      <c r="E166" s="514">
        <f t="shared" ref="E166:E172" si="18">E63</f>
        <v>0</v>
      </c>
      <c r="F166" s="514">
        <f t="shared" ref="F166:F172" si="19">F63</f>
        <v>0</v>
      </c>
      <c r="G166" s="473">
        <f t="shared" si="17"/>
        <v>0</v>
      </c>
      <c r="N166" s="719"/>
    </row>
    <row r="167" spans="1:14" ht="33" customHeight="1">
      <c r="A167" s="1586" t="s">
        <v>98</v>
      </c>
      <c r="B167" s="1586"/>
      <c r="C167" s="1586"/>
      <c r="D167" s="523" t="s">
        <v>186</v>
      </c>
      <c r="E167" s="514">
        <f t="shared" si="18"/>
        <v>163000</v>
      </c>
      <c r="F167" s="514">
        <f t="shared" si="19"/>
        <v>163334</v>
      </c>
      <c r="G167" s="473">
        <f t="shared" si="17"/>
        <v>334</v>
      </c>
      <c r="N167" s="719"/>
    </row>
    <row r="168" spans="1:14" ht="33" customHeight="1">
      <c r="A168" s="1586" t="s">
        <v>99</v>
      </c>
      <c r="B168" s="1586"/>
      <c r="C168" s="1586"/>
      <c r="D168" s="523" t="s">
        <v>186</v>
      </c>
      <c r="E168" s="514">
        <f t="shared" si="18"/>
        <v>163635</v>
      </c>
      <c r="F168" s="514">
        <f t="shared" si="19"/>
        <v>164001</v>
      </c>
      <c r="G168" s="473">
        <f t="shared" si="17"/>
        <v>366</v>
      </c>
      <c r="N168" s="719"/>
    </row>
    <row r="169" spans="1:14" ht="41.25" customHeight="1">
      <c r="A169" s="1586" t="s">
        <v>100</v>
      </c>
      <c r="B169" s="1586"/>
      <c r="C169" s="1586"/>
      <c r="D169" s="523" t="s">
        <v>186</v>
      </c>
      <c r="E169" s="514">
        <f t="shared" si="18"/>
        <v>60644</v>
      </c>
      <c r="F169" s="514">
        <f t="shared" si="19"/>
        <v>61071</v>
      </c>
      <c r="G169" s="473">
        <f t="shared" si="17"/>
        <v>427</v>
      </c>
      <c r="N169" s="719"/>
    </row>
    <row r="170" spans="1:14" ht="26.25" customHeight="1">
      <c r="A170" s="1586" t="s">
        <v>101</v>
      </c>
      <c r="B170" s="1586"/>
      <c r="C170" s="1586"/>
      <c r="D170" s="523" t="s">
        <v>186</v>
      </c>
      <c r="E170" s="514">
        <f t="shared" si="18"/>
        <v>256499</v>
      </c>
      <c r="F170" s="514">
        <f t="shared" si="19"/>
        <v>256958</v>
      </c>
      <c r="G170" s="473">
        <f t="shared" si="17"/>
        <v>459</v>
      </c>
      <c r="N170" s="719"/>
    </row>
    <row r="171" spans="1:14" ht="24" customHeight="1">
      <c r="A171" s="1586" t="s">
        <v>102</v>
      </c>
      <c r="B171" s="1586"/>
      <c r="C171" s="1586"/>
      <c r="D171" s="523" t="s">
        <v>186</v>
      </c>
      <c r="E171" s="514">
        <f t="shared" si="18"/>
        <v>85321</v>
      </c>
      <c r="F171" s="514">
        <f t="shared" si="19"/>
        <v>85321</v>
      </c>
      <c r="G171" s="473">
        <f t="shared" si="17"/>
        <v>0</v>
      </c>
      <c r="N171" s="719"/>
    </row>
    <row r="172" spans="1:14" ht="27.75">
      <c r="A172" s="1586" t="s">
        <v>103</v>
      </c>
      <c r="B172" s="1586"/>
      <c r="C172" s="1586"/>
      <c r="D172" s="523" t="s">
        <v>186</v>
      </c>
      <c r="E172" s="514">
        <f t="shared" si="18"/>
        <v>83077</v>
      </c>
      <c r="F172" s="514">
        <f t="shared" si="19"/>
        <v>83304</v>
      </c>
      <c r="G172" s="473">
        <f t="shared" si="17"/>
        <v>227</v>
      </c>
      <c r="N172" s="719"/>
    </row>
    <row r="173" spans="1:14">
      <c r="A173" s="1596" t="s">
        <v>357</v>
      </c>
      <c r="B173" s="1579"/>
      <c r="C173" s="786"/>
      <c r="D173" s="523" t="s">
        <v>186</v>
      </c>
      <c r="E173" s="542"/>
      <c r="F173" s="542"/>
      <c r="G173" s="542"/>
      <c r="N173" s="719"/>
    </row>
    <row r="174" spans="1:14">
      <c r="A174" s="1596" t="s">
        <v>358</v>
      </c>
      <c r="B174" s="1579"/>
      <c r="C174" s="786"/>
      <c r="D174" s="523" t="s">
        <v>186</v>
      </c>
      <c r="E174" s="542"/>
      <c r="F174" s="542"/>
      <c r="G174" s="542"/>
      <c r="N174" s="719"/>
    </row>
    <row r="175" spans="1:14">
      <c r="N175" s="719"/>
    </row>
    <row r="176" spans="1:14">
      <c r="N176" s="719"/>
    </row>
    <row r="177" spans="14:14" ht="18.75" customHeight="1">
      <c r="N177" s="719"/>
    </row>
    <row r="178" spans="14:14" ht="18.75" customHeight="1">
      <c r="N178" s="719"/>
    </row>
    <row r="179" spans="14:14" ht="18.75" customHeight="1">
      <c r="N179" s="719"/>
    </row>
    <row r="180" spans="14:14" ht="18" customHeight="1">
      <c r="N180" s="719"/>
    </row>
    <row r="181" spans="14:14" ht="18.75" customHeight="1">
      <c r="N181" s="719"/>
    </row>
    <row r="182" spans="14:14" ht="18.75" customHeight="1">
      <c r="N182" s="719"/>
    </row>
    <row r="183" spans="14:14" ht="18" customHeight="1">
      <c r="N183" s="719"/>
    </row>
    <row r="184" spans="14:14" ht="18" customHeight="1">
      <c r="N184" s="719"/>
    </row>
    <row r="185" spans="14:14" ht="18" customHeight="1">
      <c r="N185" s="719"/>
    </row>
    <row r="186" spans="14:14" ht="18" customHeight="1">
      <c r="N186" s="719"/>
    </row>
    <row r="187" spans="14:14" ht="18" customHeight="1">
      <c r="N187" s="719"/>
    </row>
    <row r="188" spans="14:14" ht="18" customHeight="1">
      <c r="N188" s="719"/>
    </row>
    <row r="189" spans="14:14" ht="18" customHeight="1">
      <c r="N189" s="719"/>
    </row>
    <row r="190" spans="14:14" ht="18.75" customHeight="1">
      <c r="N190" s="719"/>
    </row>
    <row r="191" spans="14:14" ht="18.75" customHeight="1">
      <c r="N191" s="719"/>
    </row>
    <row r="192" spans="14:14" ht="18.75" customHeight="1">
      <c r="N192" s="719"/>
    </row>
    <row r="193" spans="14:14" ht="18.75" customHeight="1">
      <c r="N193" s="719"/>
    </row>
    <row r="194" spans="14:14" ht="18.75" customHeight="1">
      <c r="N194" s="719"/>
    </row>
    <row r="195" spans="14:14" ht="18.75" customHeight="1">
      <c r="N195" s="719"/>
    </row>
    <row r="196" spans="14:14" ht="18.75" customHeight="1">
      <c r="N196" s="719"/>
    </row>
    <row r="197" spans="14:14" ht="18.75" customHeight="1">
      <c r="N197" s="719"/>
    </row>
    <row r="198" spans="14:14" ht="18.75" customHeight="1">
      <c r="N198" s="719"/>
    </row>
    <row r="199" spans="14:14" ht="18.75" customHeight="1"/>
    <row r="200" spans="14:14" ht="18.75" customHeight="1"/>
    <row r="201" spans="14:14" ht="18.75" customHeight="1"/>
    <row r="202" spans="14:14" ht="18.75" customHeight="1"/>
    <row r="203" spans="14:14" ht="18.75" customHeight="1"/>
    <row r="204" spans="14:14" ht="18.75" customHeight="1"/>
    <row r="205" spans="14:14" ht="18.75" customHeight="1"/>
    <row r="206" spans="14:14" ht="18.75" customHeight="1"/>
    <row r="207" spans="14:14" ht="18.75" customHeight="1"/>
    <row r="208" spans="14:14" ht="18.75" customHeight="1"/>
    <row r="209" ht="18.75" customHeight="1"/>
    <row r="210" ht="18.75" customHeight="1"/>
    <row r="211" ht="18.75" customHeight="1"/>
    <row r="212" ht="18.75" customHeight="1"/>
    <row r="213" ht="18.75" customHeight="1"/>
    <row r="214" ht="18.75" customHeight="1"/>
    <row r="215" ht="18.75" customHeight="1"/>
    <row r="216" ht="18.75" customHeight="1"/>
    <row r="217" ht="18.75" customHeight="1"/>
    <row r="218" ht="18.75" customHeight="1"/>
    <row r="219" ht="18.75" customHeight="1"/>
    <row r="220" ht="18.75" customHeight="1"/>
    <row r="221" ht="18.75" customHeight="1"/>
    <row r="222" ht="18.75" customHeight="1"/>
    <row r="223" ht="18.75" customHeight="1"/>
    <row r="224" ht="18.75" customHeight="1"/>
    <row r="225" ht="18.75" customHeight="1"/>
    <row r="226" ht="18.75" customHeight="1"/>
    <row r="227" ht="18.75" customHeight="1"/>
    <row r="228" ht="18.75" customHeight="1"/>
    <row r="229" ht="18.75" customHeight="1"/>
    <row r="230" ht="18.75" customHeight="1"/>
    <row r="231" ht="18.75" customHeight="1"/>
    <row r="232" ht="18.75" customHeight="1"/>
    <row r="233" ht="18.75" customHeight="1"/>
    <row r="234" ht="18.75" customHeight="1"/>
    <row r="235" ht="18.75" customHeight="1"/>
    <row r="236" ht="18.75" customHeight="1"/>
    <row r="237" ht="18.75" customHeight="1"/>
    <row r="238" ht="18.75" customHeight="1"/>
  </sheetData>
  <mergeCells count="76">
    <mergeCell ref="A173:B173"/>
    <mergeCell ref="A174:B174"/>
    <mergeCell ref="A172:C172"/>
    <mergeCell ref="A167:C167"/>
    <mergeCell ref="A168:C168"/>
    <mergeCell ref="A169:C169"/>
    <mergeCell ref="A170:C170"/>
    <mergeCell ref="A171:C171"/>
    <mergeCell ref="A79:C79"/>
    <mergeCell ref="A80:C80"/>
    <mergeCell ref="A81:C81"/>
    <mergeCell ref="A82:C82"/>
    <mergeCell ref="A83:C83"/>
    <mergeCell ref="A119:B119"/>
    <mergeCell ref="A120:B120"/>
    <mergeCell ref="A121:B121"/>
    <mergeCell ref="A122:B122"/>
    <mergeCell ref="A114:B114"/>
    <mergeCell ref="A115:B115"/>
    <mergeCell ref="A116:B116"/>
    <mergeCell ref="A117:B117"/>
    <mergeCell ref="A118:B118"/>
    <mergeCell ref="A153:C153"/>
    <mergeCell ref="A154:C154"/>
    <mergeCell ref="A151:C151"/>
    <mergeCell ref="A152:C152"/>
    <mergeCell ref="A148:C148"/>
    <mergeCell ref="A149:C149"/>
    <mergeCell ref="A150:C150"/>
    <mergeCell ref="A147:C147"/>
    <mergeCell ref="A143:C143"/>
    <mergeCell ref="A144:C144"/>
    <mergeCell ref="A145:C145"/>
    <mergeCell ref="A146:C146"/>
    <mergeCell ref="A142:B142"/>
    <mergeCell ref="A126:C126"/>
    <mergeCell ref="A95:C95"/>
    <mergeCell ref="A96:C96"/>
    <mergeCell ref="A102:C102"/>
    <mergeCell ref="A123:C123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12:B112"/>
    <mergeCell ref="A113:B113"/>
    <mergeCell ref="A93:C93"/>
    <mergeCell ref="A94:C94"/>
    <mergeCell ref="A69:C69"/>
    <mergeCell ref="A70:C70"/>
    <mergeCell ref="A64:C64"/>
    <mergeCell ref="A65:C65"/>
    <mergeCell ref="A66:C66"/>
    <mergeCell ref="A67:C67"/>
    <mergeCell ref="A68:C68"/>
    <mergeCell ref="A71:J71"/>
    <mergeCell ref="A72:C72"/>
    <mergeCell ref="A73:C73"/>
    <mergeCell ref="A74:C74"/>
    <mergeCell ref="A75:C75"/>
    <mergeCell ref="A76:C76"/>
    <mergeCell ref="A77:C77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</mergeCells>
  <pageMargins left="0.22" right="0.17" top="0.14000000000000001" bottom="0.2" header="0.2" footer="0.2"/>
  <pageSetup paperSize="5" scale="20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238"/>
  <sheetViews>
    <sheetView view="pageBreakPreview" topLeftCell="A37" zoomScale="55" zoomScaleSheetLayoutView="55" workbookViewId="0">
      <selection activeCell="G173" sqref="G173"/>
    </sheetView>
  </sheetViews>
  <sheetFormatPr defaultColWidth="22.33203125" defaultRowHeight="29.25"/>
  <cols>
    <col min="1" max="1" width="40.6640625" style="454" customWidth="1"/>
    <col min="2" max="2" width="28.5546875" style="457" customWidth="1"/>
    <col min="3" max="3" width="15.88671875" style="457" customWidth="1"/>
    <col min="4" max="4" width="13.6640625" style="537" customWidth="1"/>
    <col min="5" max="5" width="30" style="537" customWidth="1"/>
    <col min="6" max="6" width="30" style="664" customWidth="1"/>
    <col min="7" max="7" width="28.88671875" style="537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3" width="22.33203125" style="376" hidden="1" customWidth="1"/>
    <col min="14" max="14" width="25.5546875" style="717" customWidth="1"/>
    <col min="15" max="15" width="22.33203125" style="724"/>
    <col min="16" max="16384" width="22.33203125" style="376"/>
  </cols>
  <sheetData>
    <row r="1" spans="1:16" ht="33.75">
      <c r="A1" s="1549" t="s">
        <v>116</v>
      </c>
      <c r="B1" s="1550"/>
      <c r="C1" s="1550"/>
      <c r="D1" s="1550"/>
      <c r="E1" s="1550"/>
      <c r="F1" s="1550"/>
      <c r="G1" s="1550"/>
      <c r="H1" s="1550"/>
      <c r="I1" s="1550"/>
      <c r="J1" s="1551"/>
    </row>
    <row r="2" spans="1:16" s="281" customFormat="1" ht="27">
      <c r="A2" s="575" t="s">
        <v>364</v>
      </c>
      <c r="B2" s="1033">
        <v>44360</v>
      </c>
      <c r="C2" s="1143" t="s">
        <v>68</v>
      </c>
      <c r="D2" s="611">
        <v>0.26</v>
      </c>
      <c r="E2" s="461"/>
      <c r="F2" s="461"/>
      <c r="G2" s="461" t="s">
        <v>117</v>
      </c>
      <c r="H2" s="461" t="s">
        <v>6</v>
      </c>
      <c r="I2" s="461" t="s">
        <v>8</v>
      </c>
      <c r="J2" s="613" t="s">
        <v>118</v>
      </c>
      <c r="N2" s="718"/>
      <c r="O2" s="725"/>
    </row>
    <row r="3" spans="1:16" s="281" customFormat="1" ht="27">
      <c r="A3" s="570"/>
      <c r="B3" s="614"/>
      <c r="C3" s="1143" t="s">
        <v>119</v>
      </c>
      <c r="D3" s="612">
        <v>27</v>
      </c>
      <c r="E3" s="1558" t="s">
        <v>120</v>
      </c>
      <c r="F3" s="1559"/>
      <c r="G3" s="462"/>
      <c r="H3" s="463"/>
      <c r="I3" s="463"/>
      <c r="J3" s="615"/>
      <c r="K3" s="371"/>
      <c r="L3" s="292"/>
      <c r="N3" s="718"/>
      <c r="O3" s="725"/>
    </row>
    <row r="4" spans="1:16" s="281" customFormat="1" ht="27">
      <c r="A4" s="576"/>
      <c r="B4" s="616"/>
      <c r="C4" s="1143" t="s">
        <v>121</v>
      </c>
      <c r="D4" s="611">
        <v>0.92</v>
      </c>
      <c r="E4" s="464"/>
      <c r="F4" s="464"/>
      <c r="G4" s="464"/>
      <c r="H4" s="464"/>
      <c r="I4" s="465"/>
      <c r="J4" s="615"/>
      <c r="K4" s="372"/>
      <c r="L4" s="292"/>
      <c r="N4" s="718"/>
      <c r="O4" s="725"/>
    </row>
    <row r="5" spans="1:16">
      <c r="A5" s="577" t="s">
        <v>122</v>
      </c>
      <c r="B5" s="459"/>
      <c r="C5" s="459"/>
      <c r="D5" s="511" t="s">
        <v>123</v>
      </c>
      <c r="E5" s="467" t="s">
        <v>124</v>
      </c>
      <c r="F5" s="467" t="s">
        <v>111</v>
      </c>
      <c r="G5" s="468" t="s">
        <v>125</v>
      </c>
      <c r="H5" s="469" t="s">
        <v>126</v>
      </c>
      <c r="I5" s="470" t="s">
        <v>127</v>
      </c>
      <c r="J5" s="550" t="s">
        <v>128</v>
      </c>
      <c r="K5" s="426"/>
      <c r="L5" s="377"/>
    </row>
    <row r="6" spans="1:16">
      <c r="A6" s="1552" t="s">
        <v>129</v>
      </c>
      <c r="B6" s="1553"/>
      <c r="C6" s="1554"/>
      <c r="D6" s="471"/>
      <c r="E6" s="471"/>
      <c r="F6" s="471"/>
      <c r="G6" s="471"/>
      <c r="H6" s="472"/>
      <c r="I6" s="472"/>
      <c r="J6" s="551"/>
      <c r="K6" s="427"/>
      <c r="L6" s="377"/>
    </row>
    <row r="7" spans="1:16" ht="30" thickBot="1">
      <c r="A7" s="677" t="s">
        <v>130</v>
      </c>
      <c r="B7" s="678"/>
      <c r="C7" s="678"/>
      <c r="D7" s="638" t="s">
        <v>131</v>
      </c>
      <c r="E7" s="633">
        <f>'12'!F7</f>
        <v>552607</v>
      </c>
      <c r="F7" s="455">
        <v>572941</v>
      </c>
      <c r="G7" s="679">
        <f>F7-E7</f>
        <v>20334</v>
      </c>
      <c r="H7" s="680">
        <f>G7+'12'!H7</f>
        <v>228529</v>
      </c>
      <c r="I7" s="681">
        <f>'1'!I7</f>
        <v>12000</v>
      </c>
      <c r="J7" s="682">
        <f>H7/DAY(B2)</f>
        <v>17579.153846153848</v>
      </c>
      <c r="K7" s="549"/>
      <c r="L7" s="377"/>
      <c r="N7" s="730">
        <f>G7/G8</f>
        <v>0.99466810155065299</v>
      </c>
      <c r="O7" s="726">
        <f>F7+200</f>
        <v>573141</v>
      </c>
      <c r="P7" s="729"/>
    </row>
    <row r="8" spans="1:16" ht="27.75" thickBot="1">
      <c r="A8" s="683" t="s">
        <v>132</v>
      </c>
      <c r="B8" s="684"/>
      <c r="C8" s="685"/>
      <c r="D8" s="686" t="s">
        <v>25</v>
      </c>
      <c r="E8" s="633">
        <f>'12'!F8</f>
        <v>555552</v>
      </c>
      <c r="F8" s="475">
        <v>575995</v>
      </c>
      <c r="G8" s="690">
        <f>F8-E8</f>
        <v>20443</v>
      </c>
      <c r="H8" s="680">
        <f>G8+'12'!H8</f>
        <v>229485</v>
      </c>
      <c r="I8" s="687">
        <f>'1'!I8</f>
        <v>12000</v>
      </c>
      <c r="J8" s="682">
        <f>H8/DAY(B2)</f>
        <v>17652.692307692309</v>
      </c>
      <c r="K8" s="549"/>
      <c r="L8" s="425"/>
      <c r="M8" s="440"/>
      <c r="N8" s="719"/>
      <c r="O8" s="726">
        <f>F8+200</f>
        <v>576195</v>
      </c>
      <c r="P8" s="382"/>
    </row>
    <row r="9" spans="1:16">
      <c r="A9" s="688" t="s">
        <v>133</v>
      </c>
      <c r="B9" s="689"/>
      <c r="C9" s="689"/>
      <c r="D9" s="638" t="s">
        <v>131</v>
      </c>
      <c r="E9" s="633">
        <f>'12'!F9</f>
        <v>1675297</v>
      </c>
      <c r="F9" s="478">
        <v>1694972</v>
      </c>
      <c r="G9" s="703">
        <f t="shared" ref="G9:G12" si="0">F9-E9</f>
        <v>19675</v>
      </c>
      <c r="H9" s="680">
        <f>G9+'12'!H9</f>
        <v>221282</v>
      </c>
      <c r="I9" s="691">
        <f>I7-J7</f>
        <v>-5579.1538461538476</v>
      </c>
      <c r="J9" s="682">
        <f>H9/DAY(B2)</f>
        <v>17021.692307692309</v>
      </c>
      <c r="K9" s="428"/>
      <c r="L9" s="377"/>
      <c r="N9" s="719"/>
      <c r="O9" s="726"/>
      <c r="P9" s="382"/>
    </row>
    <row r="10" spans="1:16">
      <c r="A10" s="677" t="s">
        <v>134</v>
      </c>
      <c r="B10" s="678"/>
      <c r="C10" s="678"/>
      <c r="D10" s="638" t="s">
        <v>131</v>
      </c>
      <c r="E10" s="633">
        <f>'12'!F10</f>
        <v>2606.5500000000002</v>
      </c>
      <c r="F10" s="478">
        <v>2606.5500000000002</v>
      </c>
      <c r="G10" s="690">
        <f t="shared" si="0"/>
        <v>0</v>
      </c>
      <c r="H10" s="680">
        <f>G10+'12'!H10</f>
        <v>0.42000000000007276</v>
      </c>
      <c r="I10" s="692"/>
      <c r="J10" s="682">
        <f>H10/DAY(B2)</f>
        <v>3.2307692307697908E-2</v>
      </c>
      <c r="K10" s="428"/>
      <c r="L10" s="377"/>
      <c r="N10" s="719"/>
      <c r="O10" s="726"/>
      <c r="P10" s="382"/>
    </row>
    <row r="11" spans="1:16">
      <c r="A11" s="677" t="s">
        <v>135</v>
      </c>
      <c r="B11" s="678"/>
      <c r="C11" s="678"/>
      <c r="D11" s="638" t="s">
        <v>131</v>
      </c>
      <c r="E11" s="633">
        <f>'5'!E11</f>
        <v>37000</v>
      </c>
      <c r="F11" s="455">
        <v>37000</v>
      </c>
      <c r="G11" s="690">
        <f t="shared" si="0"/>
        <v>0</v>
      </c>
      <c r="H11" s="680">
        <f>G11+'12'!H11</f>
        <v>0</v>
      </c>
      <c r="I11" s="692"/>
      <c r="J11" s="682">
        <f>H11/DAY(B2)</f>
        <v>0</v>
      </c>
      <c r="K11" s="428"/>
      <c r="L11" s="377"/>
      <c r="N11" s="719"/>
      <c r="O11" s="726"/>
      <c r="P11" s="382"/>
    </row>
    <row r="12" spans="1:16">
      <c r="A12" s="677" t="s">
        <v>136</v>
      </c>
      <c r="B12" s="678"/>
      <c r="C12" s="678"/>
      <c r="D12" s="638" t="s">
        <v>131</v>
      </c>
      <c r="E12" s="633">
        <f>'5'!E12</f>
        <v>40010</v>
      </c>
      <c r="F12" s="478">
        <v>40010</v>
      </c>
      <c r="G12" s="690">
        <f t="shared" si="0"/>
        <v>0</v>
      </c>
      <c r="H12" s="680">
        <f>G12+'12'!H12</f>
        <v>0</v>
      </c>
      <c r="I12" s="692"/>
      <c r="J12" s="682">
        <f>H12/DAY(B2)</f>
        <v>0</v>
      </c>
      <c r="K12" s="428"/>
      <c r="L12" s="377"/>
      <c r="N12" s="719"/>
      <c r="O12" s="726"/>
      <c r="P12" s="382"/>
    </row>
    <row r="13" spans="1:16">
      <c r="A13" s="693" t="s">
        <v>137</v>
      </c>
      <c r="B13" s="694"/>
      <c r="C13" s="694"/>
      <c r="D13" s="638"/>
      <c r="E13" s="633"/>
      <c r="F13" s="455"/>
      <c r="G13" s="695">
        <f>G9+G10+G11+G12</f>
        <v>19675</v>
      </c>
      <c r="H13" s="680">
        <f>G13+'12'!H13</f>
        <v>204757.41999999998</v>
      </c>
      <c r="I13" s="696">
        <f>G7-G13</f>
        <v>659</v>
      </c>
      <c r="J13" s="682">
        <f>H13/DAY(B2)</f>
        <v>15750.570769230768</v>
      </c>
      <c r="K13" s="428"/>
      <c r="L13" s="377"/>
      <c r="N13" s="719"/>
      <c r="O13" s="726"/>
      <c r="P13" s="382"/>
    </row>
    <row r="14" spans="1:16">
      <c r="A14" s="1555" t="s">
        <v>138</v>
      </c>
      <c r="B14" s="1556"/>
      <c r="C14" s="1557"/>
      <c r="D14" s="472"/>
      <c r="E14" s="472"/>
      <c r="F14" s="472"/>
      <c r="G14" s="483"/>
      <c r="H14" s="472"/>
      <c r="I14" s="472"/>
      <c r="J14" s="551"/>
      <c r="K14" s="429"/>
      <c r="L14" s="377"/>
      <c r="N14" s="719"/>
      <c r="O14" s="726"/>
      <c r="P14" s="382"/>
    </row>
    <row r="15" spans="1:16">
      <c r="A15" s="793" t="s">
        <v>139</v>
      </c>
      <c r="B15" s="794"/>
      <c r="C15" s="794"/>
      <c r="D15" s="524" t="s">
        <v>140</v>
      </c>
      <c r="E15" s="485">
        <f>'12'!F15</f>
        <v>1690095</v>
      </c>
      <c r="F15" s="485">
        <v>1690832</v>
      </c>
      <c r="G15" s="665">
        <f>(F15-E15)</f>
        <v>737</v>
      </c>
      <c r="H15" s="486">
        <f>G15+'12'!H15</f>
        <v>6308</v>
      </c>
      <c r="I15" s="474">
        <v>800</v>
      </c>
      <c r="J15" s="553">
        <f>H15/DAY(B2)</f>
        <v>485.23076923076923</v>
      </c>
      <c r="K15" s="428"/>
      <c r="L15" s="377"/>
      <c r="N15" s="719"/>
      <c r="O15" s="726"/>
      <c r="P15" s="382"/>
    </row>
    <row r="16" spans="1:16">
      <c r="A16" s="587"/>
      <c r="B16" s="588"/>
      <c r="C16" s="588"/>
      <c r="D16" s="524"/>
      <c r="E16" s="485"/>
      <c r="F16" s="485"/>
      <c r="G16" s="670"/>
      <c r="H16" s="486"/>
      <c r="I16" s="482">
        <f>I15-J15</f>
        <v>314.76923076923077</v>
      </c>
      <c r="J16" s="553"/>
      <c r="K16" s="428"/>
      <c r="L16" s="377"/>
      <c r="N16" s="719"/>
      <c r="O16" s="726"/>
      <c r="P16" s="382"/>
    </row>
    <row r="17" spans="1:16">
      <c r="A17" s="1555" t="s">
        <v>141</v>
      </c>
      <c r="B17" s="1556"/>
      <c r="C17" s="1557"/>
      <c r="D17" s="472"/>
      <c r="E17" s="472"/>
      <c r="F17" s="472"/>
      <c r="G17" s="488"/>
      <c r="H17" s="472"/>
      <c r="I17" s="472"/>
      <c r="J17" s="551"/>
      <c r="K17" s="428"/>
      <c r="L17" s="377"/>
      <c r="N17" s="719"/>
      <c r="O17" s="726"/>
      <c r="P17" s="382"/>
    </row>
    <row r="18" spans="1:16" ht="27.75">
      <c r="A18" s="1590" t="s">
        <v>142</v>
      </c>
      <c r="B18" s="1591"/>
      <c r="C18" s="1592"/>
      <c r="D18" s="638" t="s">
        <v>143</v>
      </c>
      <c r="E18" s="635">
        <f>'12'!F18</f>
        <v>6</v>
      </c>
      <c r="F18" s="478">
        <v>13</v>
      </c>
      <c r="G18" s="695">
        <f>F18*10</f>
        <v>130</v>
      </c>
      <c r="H18" s="680">
        <f>G18+'12'!H18</f>
        <v>760</v>
      </c>
      <c r="I18" s="681">
        <f>'1'!I18</f>
        <v>65</v>
      </c>
      <c r="J18" s="682">
        <f>H18/DAY(B2)</f>
        <v>58.46153846153846</v>
      </c>
      <c r="K18" s="428"/>
      <c r="L18" s="377"/>
      <c r="N18" s="719"/>
      <c r="O18" s="726"/>
      <c r="P18" s="382"/>
    </row>
    <row r="19" spans="1:16" ht="27.75">
      <c r="A19" s="1590" t="s">
        <v>70</v>
      </c>
      <c r="B19" s="1591"/>
      <c r="C19" s="1592"/>
      <c r="D19" s="638" t="s">
        <v>143</v>
      </c>
      <c r="E19" s="635">
        <f>'12'!F19</f>
        <v>140368</v>
      </c>
      <c r="F19" s="478">
        <v>140432</v>
      </c>
      <c r="G19" s="690">
        <f t="shared" ref="G19" si="1">F19-E19</f>
        <v>64</v>
      </c>
      <c r="H19" s="680">
        <f>G19+'12'!H19</f>
        <v>820</v>
      </c>
      <c r="I19" s="697"/>
      <c r="J19" s="682">
        <f>H19/DAY(B2)</f>
        <v>63.07692307692308</v>
      </c>
      <c r="K19" s="428"/>
      <c r="L19" s="377"/>
      <c r="N19" s="719"/>
      <c r="O19" s="726"/>
      <c r="P19" s="382"/>
    </row>
    <row r="20" spans="1:16">
      <c r="A20" s="693" t="s">
        <v>144</v>
      </c>
      <c r="B20" s="694"/>
      <c r="C20" s="694"/>
      <c r="D20" s="638"/>
      <c r="E20" s="638"/>
      <c r="F20" s="710"/>
      <c r="G20" s="698">
        <f>G18+G19</f>
        <v>194</v>
      </c>
      <c r="H20" s="680">
        <f>G20+'12'!H20</f>
        <v>1580</v>
      </c>
      <c r="I20" s="699">
        <f>I18-J20</f>
        <v>-56.538461538461533</v>
      </c>
      <c r="J20" s="682">
        <f>H20/DAY(B2)</f>
        <v>121.53846153846153</v>
      </c>
      <c r="K20" s="428"/>
      <c r="L20" s="377"/>
      <c r="N20" s="719"/>
      <c r="O20" s="726"/>
      <c r="P20" s="382"/>
    </row>
    <row r="21" spans="1:16">
      <c r="A21" s="1555" t="s">
        <v>145</v>
      </c>
      <c r="B21" s="1556"/>
      <c r="C21" s="1557"/>
      <c r="D21" s="472"/>
      <c r="E21" s="472"/>
      <c r="F21" s="472"/>
      <c r="G21" s="483"/>
      <c r="H21" s="472"/>
      <c r="I21" s="472"/>
      <c r="J21" s="551"/>
      <c r="K21" s="428"/>
      <c r="L21" s="377"/>
      <c r="N21" s="719"/>
      <c r="O21" s="726"/>
      <c r="P21" s="382"/>
    </row>
    <row r="22" spans="1:16">
      <c r="A22" s="1141" t="s">
        <v>146</v>
      </c>
      <c r="B22" s="589"/>
      <c r="C22" s="589"/>
      <c r="D22" s="523" t="s">
        <v>147</v>
      </c>
      <c r="E22" s="635">
        <v>2970</v>
      </c>
      <c r="F22" s="478">
        <v>2970</v>
      </c>
      <c r="G22" s="481">
        <f t="shared" ref="G22" si="2">(F22-E22)</f>
        <v>0</v>
      </c>
      <c r="H22" s="460">
        <v>0</v>
      </c>
      <c r="I22" s="480"/>
      <c r="J22" s="552">
        <f>H22/DAY(B2)</f>
        <v>0</v>
      </c>
      <c r="K22" s="428"/>
      <c r="L22" s="377"/>
      <c r="N22" s="719"/>
      <c r="O22" s="726"/>
      <c r="P22" s="382"/>
    </row>
    <row r="23" spans="1:16">
      <c r="A23" s="1141" t="s">
        <v>148</v>
      </c>
      <c r="B23" s="589"/>
      <c r="C23" s="589"/>
      <c r="D23" s="523" t="s">
        <v>147</v>
      </c>
      <c r="E23" s="635">
        <v>2000</v>
      </c>
      <c r="F23" s="478">
        <v>2000</v>
      </c>
      <c r="G23" s="481">
        <v>0</v>
      </c>
      <c r="H23" s="460">
        <f>G23+'12'!H23</f>
        <v>120</v>
      </c>
      <c r="I23" s="480"/>
      <c r="J23" s="552">
        <f>H23/DAY(B2)</f>
        <v>9.2307692307692299</v>
      </c>
      <c r="K23" s="428"/>
      <c r="L23" s="377"/>
      <c r="N23" s="719"/>
      <c r="O23" s="726"/>
      <c r="P23" s="382"/>
    </row>
    <row r="24" spans="1:16">
      <c r="A24" s="590" t="s">
        <v>149</v>
      </c>
      <c r="B24" s="591"/>
      <c r="C24" s="591"/>
      <c r="D24" s="511" t="s">
        <v>147</v>
      </c>
      <c r="E24" s="493">
        <v>4970</v>
      </c>
      <c r="F24" s="485">
        <v>4970</v>
      </c>
      <c r="G24" s="481">
        <v>0</v>
      </c>
      <c r="H24" s="460">
        <f>G24+'12'!H24</f>
        <v>120</v>
      </c>
      <c r="I24" s="480"/>
      <c r="J24" s="552">
        <f>H24/DAY(B2)</f>
        <v>9.2307692307692299</v>
      </c>
      <c r="K24" s="428"/>
      <c r="L24" s="377"/>
      <c r="N24" s="719"/>
      <c r="O24" s="726"/>
      <c r="P24" s="382"/>
    </row>
    <row r="25" spans="1:16" s="442" customFormat="1" ht="27">
      <c r="A25" s="1560" t="s">
        <v>150</v>
      </c>
      <c r="B25" s="1561"/>
      <c r="C25" s="1562"/>
      <c r="D25" s="471"/>
      <c r="E25" s="471"/>
      <c r="F25" s="471"/>
      <c r="G25" s="494"/>
      <c r="H25" s="495"/>
      <c r="I25" s="496"/>
      <c r="J25" s="554"/>
      <c r="K25" s="373"/>
      <c r="L25" s="443"/>
      <c r="N25" s="719"/>
      <c r="O25" s="726"/>
      <c r="P25" s="382"/>
    </row>
    <row r="26" spans="1:16" s="442" customFormat="1" ht="27.75">
      <c r="A26" s="592" t="s">
        <v>151</v>
      </c>
      <c r="B26" s="593"/>
      <c r="C26" s="594"/>
      <c r="D26" s="618" t="s">
        <v>152</v>
      </c>
      <c r="E26" s="497"/>
      <c r="F26" s="455"/>
      <c r="G26" s="498"/>
      <c r="H26" s="460"/>
      <c r="I26" s="499"/>
      <c r="J26" s="552"/>
      <c r="K26" s="374"/>
      <c r="L26" s="443"/>
      <c r="N26" s="719"/>
      <c r="O26" s="726"/>
      <c r="P26" s="382"/>
    </row>
    <row r="27" spans="1:16" s="442" customFormat="1" ht="27.75">
      <c r="A27" s="592" t="s">
        <v>6</v>
      </c>
      <c r="B27" s="593"/>
      <c r="C27" s="594"/>
      <c r="D27" s="619" t="s">
        <v>25</v>
      </c>
      <c r="E27" s="700">
        <f>G8</f>
        <v>20443</v>
      </c>
      <c r="F27" s="501">
        <v>9</v>
      </c>
      <c r="G27" s="502">
        <f>E27*F27</f>
        <v>183987</v>
      </c>
      <c r="H27" s="460">
        <f>G27+'12'!H27</f>
        <v>2064528</v>
      </c>
      <c r="I27" s="503"/>
      <c r="J27" s="552">
        <f>H27/DAY(B2)</f>
        <v>158809.84615384616</v>
      </c>
      <c r="K27" s="373"/>
      <c r="L27" s="443"/>
      <c r="N27" s="719"/>
      <c r="O27" s="726"/>
      <c r="P27" s="382"/>
    </row>
    <row r="28" spans="1:16" s="442" customFormat="1" ht="27.75">
      <c r="A28" s="592" t="s">
        <v>153</v>
      </c>
      <c r="B28" s="593"/>
      <c r="C28" s="594"/>
      <c r="D28" s="619" t="s">
        <v>154</v>
      </c>
      <c r="E28" s="700">
        <f>G15</f>
        <v>737</v>
      </c>
      <c r="F28" s="501">
        <v>52</v>
      </c>
      <c r="G28" s="502">
        <f>E28*F28</f>
        <v>38324</v>
      </c>
      <c r="H28" s="460">
        <f>G28+'12'!H28</f>
        <v>328016</v>
      </c>
      <c r="I28" s="505"/>
      <c r="J28" s="552">
        <f>H28/DAY(B2)</f>
        <v>25232</v>
      </c>
      <c r="K28" s="373"/>
      <c r="L28" s="443"/>
      <c r="N28" s="719"/>
      <c r="O28" s="726"/>
      <c r="P28" s="382"/>
    </row>
    <row r="29" spans="1:16" s="442" customFormat="1" ht="27.75">
      <c r="A29" s="592" t="s">
        <v>155</v>
      </c>
      <c r="B29" s="593"/>
      <c r="C29" s="594"/>
      <c r="D29" s="619" t="s">
        <v>156</v>
      </c>
      <c r="E29" s="700">
        <f>G24</f>
        <v>0</v>
      </c>
      <c r="F29" s="501">
        <v>69</v>
      </c>
      <c r="G29" s="502">
        <f>E29*F29</f>
        <v>0</v>
      </c>
      <c r="H29" s="460">
        <f>G29+'12'!H29</f>
        <v>8280</v>
      </c>
      <c r="I29" s="505"/>
      <c r="J29" s="552">
        <f>H29/DAY(B2)</f>
        <v>636.92307692307691</v>
      </c>
      <c r="K29" s="373"/>
      <c r="L29" s="443"/>
      <c r="N29" s="719"/>
      <c r="O29" s="726"/>
      <c r="P29" s="382"/>
    </row>
    <row r="30" spans="1:16" s="442" customFormat="1" ht="27.75">
      <c r="A30" s="592" t="s">
        <v>157</v>
      </c>
      <c r="B30" s="593"/>
      <c r="C30" s="594"/>
      <c r="D30" s="619" t="s">
        <v>158</v>
      </c>
      <c r="E30" s="700">
        <f>G19</f>
        <v>64</v>
      </c>
      <c r="F30" s="501">
        <v>146</v>
      </c>
      <c r="G30" s="502">
        <f>E30*F30</f>
        <v>9344</v>
      </c>
      <c r="H30" s="460">
        <f>G30+'12'!H30</f>
        <v>119720</v>
      </c>
      <c r="I30" s="505"/>
      <c r="J30" s="552">
        <f>H30/DAY(B2)</f>
        <v>9209.2307692307695</v>
      </c>
      <c r="K30" s="373"/>
      <c r="L30" s="443"/>
      <c r="N30" s="719"/>
      <c r="O30" s="726"/>
      <c r="P30" s="382"/>
    </row>
    <row r="31" spans="1:16" s="442" customFormat="1" ht="27.75">
      <c r="A31" s="592" t="s">
        <v>159</v>
      </c>
      <c r="B31" s="593"/>
      <c r="C31" s="594"/>
      <c r="D31" s="619" t="s">
        <v>143</v>
      </c>
      <c r="E31" s="700">
        <f>G18</f>
        <v>130</v>
      </c>
      <c r="F31" s="501">
        <v>80</v>
      </c>
      <c r="G31" s="502">
        <f>E31*F31</f>
        <v>10400</v>
      </c>
      <c r="H31" s="460">
        <f>G31+'12'!H31</f>
        <v>60800</v>
      </c>
      <c r="I31" s="505"/>
      <c r="J31" s="552">
        <f>H31/DAY(B2)</f>
        <v>4676.9230769230771</v>
      </c>
      <c r="K31" s="373"/>
      <c r="L31" s="443"/>
      <c r="N31" s="719"/>
      <c r="O31" s="726"/>
      <c r="P31" s="382"/>
    </row>
    <row r="32" spans="1:16" s="442" customFormat="1" ht="27.75">
      <c r="A32" s="595" t="s">
        <v>160</v>
      </c>
      <c r="B32" s="596"/>
      <c r="C32" s="597"/>
      <c r="D32" s="507"/>
      <c r="E32" s="507"/>
      <c r="F32" s="524"/>
      <c r="G32" s="508">
        <f>G27+G28+G29+G30+G31</f>
        <v>242055</v>
      </c>
      <c r="H32" s="460">
        <f>G32+'12'!H32</f>
        <v>2581344</v>
      </c>
      <c r="I32" s="509"/>
      <c r="J32" s="552">
        <f>H32/DAY(B2)</f>
        <v>198564.92307692306</v>
      </c>
      <c r="K32" s="373"/>
      <c r="L32" s="443"/>
      <c r="N32" s="719"/>
      <c r="O32" s="726"/>
      <c r="P32" s="382"/>
    </row>
    <row r="33" spans="1:16" ht="25.5">
      <c r="A33" s="1563" t="s">
        <v>161</v>
      </c>
      <c r="B33" s="1564"/>
      <c r="C33" s="1564"/>
      <c r="D33" s="1564"/>
      <c r="E33" s="1564"/>
      <c r="F33" s="1564"/>
      <c r="G33" s="1564"/>
      <c r="H33" s="1564"/>
      <c r="I33" s="1564"/>
      <c r="J33" s="1565"/>
      <c r="K33" s="428"/>
      <c r="L33" s="377"/>
      <c r="N33" s="719"/>
      <c r="O33" s="726"/>
      <c r="P33" s="382"/>
    </row>
    <row r="34" spans="1:16">
      <c r="A34" s="598" t="s">
        <v>162</v>
      </c>
      <c r="B34" s="1146"/>
      <c r="C34" s="1146"/>
      <c r="D34" s="472"/>
      <c r="E34" s="471"/>
      <c r="F34" s="471"/>
      <c r="G34" s="472"/>
      <c r="H34" s="472"/>
      <c r="I34" s="472"/>
      <c r="J34" s="551"/>
      <c r="K34" s="428"/>
      <c r="L34" s="377"/>
      <c r="N34" s="719"/>
      <c r="O34" s="726"/>
      <c r="P34" s="382"/>
    </row>
    <row r="35" spans="1:16">
      <c r="A35" s="578" t="s">
        <v>163</v>
      </c>
      <c r="B35" s="579"/>
      <c r="C35" s="579"/>
      <c r="D35" s="523" t="s">
        <v>131</v>
      </c>
      <c r="E35" s="510">
        <f>'12'!F35</f>
        <v>979277</v>
      </c>
      <c r="F35" s="510">
        <v>981892</v>
      </c>
      <c r="G35" s="473">
        <f t="shared" ref="G35:G46" si="3">F35-E35</f>
        <v>2615</v>
      </c>
      <c r="H35" s="460">
        <f>G35+'12'!H35</f>
        <v>31404</v>
      </c>
      <c r="I35" s="455"/>
      <c r="J35" s="552">
        <f>H35/DAY(B2)</f>
        <v>2415.6923076923076</v>
      </c>
      <c r="K35" s="428"/>
      <c r="L35" s="377"/>
      <c r="N35" s="719"/>
      <c r="O35" s="727"/>
      <c r="P35" s="382"/>
    </row>
    <row r="36" spans="1:16">
      <c r="A36" s="578" t="s">
        <v>164</v>
      </c>
      <c r="B36" s="579"/>
      <c r="C36" s="579"/>
      <c r="D36" s="523" t="s">
        <v>131</v>
      </c>
      <c r="E36" s="510">
        <f>'12'!F36</f>
        <v>6954</v>
      </c>
      <c r="F36" s="510">
        <v>7511</v>
      </c>
      <c r="G36" s="473">
        <f t="shared" si="3"/>
        <v>557</v>
      </c>
      <c r="H36" s="460">
        <f>G36+'12'!H36</f>
        <v>7338</v>
      </c>
      <c r="I36" s="455"/>
      <c r="J36" s="552">
        <f>H36/DAY(B2)</f>
        <v>564.46153846153845</v>
      </c>
      <c r="K36" s="428"/>
      <c r="L36" s="377"/>
      <c r="N36" s="720"/>
      <c r="O36" s="727"/>
      <c r="P36" s="382"/>
    </row>
    <row r="37" spans="1:16">
      <c r="A37" s="578" t="s">
        <v>165</v>
      </c>
      <c r="B37" s="579"/>
      <c r="C37" s="579"/>
      <c r="D37" s="523" t="s">
        <v>131</v>
      </c>
      <c r="E37" s="510">
        <f>'12'!F37</f>
        <v>150289</v>
      </c>
      <c r="F37" s="510">
        <v>151702</v>
      </c>
      <c r="G37" s="473">
        <f t="shared" si="3"/>
        <v>1413</v>
      </c>
      <c r="H37" s="460">
        <f>G37+'12'!H37</f>
        <v>17466</v>
      </c>
      <c r="I37" s="455"/>
      <c r="J37" s="552">
        <f>H37/DAY(B2)</f>
        <v>1343.5384615384614</v>
      </c>
      <c r="K37" s="428"/>
      <c r="L37" s="377"/>
      <c r="N37" s="720"/>
      <c r="O37" s="727"/>
      <c r="P37" s="382"/>
    </row>
    <row r="38" spans="1:16">
      <c r="A38" s="578" t="s">
        <v>166</v>
      </c>
      <c r="B38" s="579"/>
      <c r="C38" s="579"/>
      <c r="D38" s="523" t="s">
        <v>131</v>
      </c>
      <c r="E38" s="510">
        <f>'12'!F38</f>
        <v>171165</v>
      </c>
      <c r="F38" s="469">
        <v>172659</v>
      </c>
      <c r="G38" s="473">
        <f t="shared" si="3"/>
        <v>1494</v>
      </c>
      <c r="H38" s="460">
        <f>G38+'12'!H38</f>
        <v>16254</v>
      </c>
      <c r="I38" s="455"/>
      <c r="J38" s="552">
        <f>H38/DAY(B2)</f>
        <v>1250.3076923076924</v>
      </c>
      <c r="K38" s="428"/>
      <c r="L38" s="377"/>
      <c r="N38" s="719"/>
      <c r="O38" s="726"/>
      <c r="P38" s="382"/>
    </row>
    <row r="39" spans="1:16">
      <c r="A39" s="578" t="s">
        <v>167</v>
      </c>
      <c r="B39" s="579"/>
      <c r="C39" s="579"/>
      <c r="D39" s="523" t="s">
        <v>131</v>
      </c>
      <c r="E39" s="510">
        <f>'12'!F39</f>
        <v>342095</v>
      </c>
      <c r="F39" s="510">
        <v>345464</v>
      </c>
      <c r="G39" s="473">
        <f t="shared" si="3"/>
        <v>3369</v>
      </c>
      <c r="H39" s="460">
        <f>G39+'12'!H39</f>
        <v>37291</v>
      </c>
      <c r="I39" s="455"/>
      <c r="J39" s="552">
        <f>H39/DAY(B2)</f>
        <v>2868.5384615384614</v>
      </c>
      <c r="K39" s="428"/>
      <c r="L39" s="377"/>
      <c r="N39" s="719"/>
      <c r="O39" s="727"/>
      <c r="P39" s="382"/>
    </row>
    <row r="40" spans="1:16">
      <c r="A40" s="599" t="s">
        <v>168</v>
      </c>
      <c r="B40" s="600"/>
      <c r="C40" s="600"/>
      <c r="D40" s="523" t="s">
        <v>131</v>
      </c>
      <c r="E40" s="510">
        <f>'12'!F40</f>
        <v>1057</v>
      </c>
      <c r="F40" s="510">
        <v>1226</v>
      </c>
      <c r="G40" s="473">
        <f t="shared" si="3"/>
        <v>169</v>
      </c>
      <c r="H40" s="460">
        <f>G40+'12'!H40</f>
        <v>337</v>
      </c>
      <c r="I40" s="455"/>
      <c r="J40" s="552">
        <f>H40/DAY(B2)</f>
        <v>25.923076923076923</v>
      </c>
      <c r="K40" s="429"/>
      <c r="L40" s="377"/>
      <c r="N40" s="719"/>
      <c r="O40" s="726"/>
      <c r="P40" s="382"/>
    </row>
    <row r="41" spans="1:16">
      <c r="A41" s="578" t="s">
        <v>169</v>
      </c>
      <c r="B41" s="579"/>
      <c r="C41" s="579"/>
      <c r="D41" s="523" t="s">
        <v>131</v>
      </c>
      <c r="E41" s="510">
        <f>'12'!F41</f>
        <v>268701</v>
      </c>
      <c r="F41" s="510">
        <v>274199</v>
      </c>
      <c r="G41" s="473">
        <f t="shared" si="3"/>
        <v>5498</v>
      </c>
      <c r="H41" s="460">
        <f>G41+'12'!H41</f>
        <v>33721</v>
      </c>
      <c r="I41" s="455"/>
      <c r="J41" s="552">
        <f>H41/DAY(B2)</f>
        <v>2593.9230769230771</v>
      </c>
      <c r="K41" s="428"/>
      <c r="L41" s="377"/>
      <c r="N41" s="719"/>
      <c r="O41" s="728"/>
      <c r="P41" s="722"/>
    </row>
    <row r="42" spans="1:16">
      <c r="A42" s="578" t="s">
        <v>170</v>
      </c>
      <c r="B42" s="579"/>
      <c r="C42" s="579"/>
      <c r="D42" s="523" t="s">
        <v>131</v>
      </c>
      <c r="E42" s="510">
        <f>'12'!F42</f>
        <v>59211</v>
      </c>
      <c r="F42" s="510">
        <v>59211</v>
      </c>
      <c r="G42" s="473">
        <f t="shared" si="3"/>
        <v>0</v>
      </c>
      <c r="H42" s="460">
        <f>G42+'12'!H42</f>
        <v>12.029999999998836</v>
      </c>
      <c r="I42" s="455"/>
      <c r="J42" s="552">
        <f>H42/DAY(B2)</f>
        <v>0.92538461538452588</v>
      </c>
      <c r="K42" s="428"/>
      <c r="L42" s="377"/>
      <c r="N42" s="719"/>
      <c r="O42" s="726"/>
      <c r="P42" s="382"/>
    </row>
    <row r="43" spans="1:16">
      <c r="A43" s="578" t="s">
        <v>171</v>
      </c>
      <c r="B43" s="579"/>
      <c r="C43" s="579"/>
      <c r="D43" s="523" t="s">
        <v>131</v>
      </c>
      <c r="E43" s="510">
        <f>'12'!F43</f>
        <v>1071126</v>
      </c>
      <c r="F43" s="510">
        <v>1073773</v>
      </c>
      <c r="G43" s="473">
        <f t="shared" si="3"/>
        <v>2647</v>
      </c>
      <c r="H43" s="460">
        <f>G43+'12'!H43</f>
        <v>31529</v>
      </c>
      <c r="I43" s="455"/>
      <c r="J43" s="552">
        <f>H43/DAY(B2)</f>
        <v>2425.3076923076924</v>
      </c>
      <c r="K43" s="428"/>
      <c r="L43" s="377"/>
      <c r="N43" s="719"/>
      <c r="O43" s="727"/>
      <c r="P43" s="382"/>
    </row>
    <row r="44" spans="1:16">
      <c r="A44" s="578" t="s">
        <v>172</v>
      </c>
      <c r="B44" s="579"/>
      <c r="C44" s="579"/>
      <c r="D44" s="523" t="s">
        <v>131</v>
      </c>
      <c r="E44" s="510">
        <f>'12'!F44</f>
        <v>0</v>
      </c>
      <c r="F44" s="510">
        <v>0</v>
      </c>
      <c r="G44" s="473">
        <f t="shared" si="3"/>
        <v>0</v>
      </c>
      <c r="H44" s="460">
        <f>G44+'12'!H44</f>
        <v>0</v>
      </c>
      <c r="I44" s="455"/>
      <c r="J44" s="552">
        <f>H44/DAY(B2)</f>
        <v>0</v>
      </c>
      <c r="K44" s="428"/>
      <c r="L44" s="377"/>
      <c r="N44" s="719"/>
      <c r="O44" s="726"/>
      <c r="P44" s="382"/>
    </row>
    <row r="45" spans="1:16">
      <c r="A45" s="578" t="s">
        <v>173</v>
      </c>
      <c r="B45" s="579"/>
      <c r="C45" s="579"/>
      <c r="D45" s="523" t="s">
        <v>131</v>
      </c>
      <c r="E45" s="510">
        <v>614</v>
      </c>
      <c r="F45" s="510">
        <v>614</v>
      </c>
      <c r="G45" s="473">
        <f t="shared" si="3"/>
        <v>0</v>
      </c>
      <c r="H45" s="460">
        <f>G45+'12'!H45</f>
        <v>0</v>
      </c>
      <c r="I45" s="455"/>
      <c r="J45" s="552">
        <f>H45/DAY(B2)</f>
        <v>0</v>
      </c>
      <c r="K45" s="428"/>
      <c r="L45" s="377"/>
      <c r="N45" s="723"/>
      <c r="O45" s="726"/>
      <c r="P45" s="382"/>
    </row>
    <row r="46" spans="1:16">
      <c r="A46" s="578" t="s">
        <v>174</v>
      </c>
      <c r="B46" s="579"/>
      <c r="C46" s="579"/>
      <c r="D46" s="523" t="s">
        <v>131</v>
      </c>
      <c r="E46" s="510">
        <v>187.49</v>
      </c>
      <c r="F46" s="510">
        <v>187.49</v>
      </c>
      <c r="G46" s="473">
        <f t="shared" si="3"/>
        <v>0</v>
      </c>
      <c r="H46" s="460">
        <f>G46+'12'!H46</f>
        <v>0</v>
      </c>
      <c r="I46" s="455"/>
      <c r="J46" s="552">
        <f>H46/DAY(B2)</f>
        <v>0</v>
      </c>
      <c r="K46" s="428"/>
      <c r="L46" s="377"/>
      <c r="N46" s="719"/>
      <c r="O46" s="726"/>
      <c r="P46" s="382"/>
    </row>
    <row r="47" spans="1:16">
      <c r="A47" s="585" t="s">
        <v>175</v>
      </c>
      <c r="B47" s="586"/>
      <c r="C47" s="586"/>
      <c r="D47" s="470"/>
      <c r="E47" s="511"/>
      <c r="F47" s="511" t="s">
        <v>267</v>
      </c>
      <c r="G47" s="481">
        <f>G35+G36+G37+G38+G39+G40+G41+G42+G43+G44+G45+G46</f>
        <v>17762</v>
      </c>
      <c r="H47" s="460">
        <f>G47+'12'!H47</f>
        <v>175352.52</v>
      </c>
      <c r="I47" s="455"/>
      <c r="J47" s="552">
        <f>H47/DAY(B2)</f>
        <v>13488.655384615384</v>
      </c>
      <c r="K47" s="428"/>
      <c r="L47" s="377"/>
      <c r="N47" s="719"/>
      <c r="O47" s="726"/>
      <c r="P47" s="382"/>
    </row>
    <row r="48" spans="1:16">
      <c r="A48" s="598" t="s">
        <v>176</v>
      </c>
      <c r="B48" s="1146"/>
      <c r="C48" s="1146"/>
      <c r="D48" s="472"/>
      <c r="E48" s="471"/>
      <c r="F48" s="471"/>
      <c r="G48" s="472"/>
      <c r="H48" s="472"/>
      <c r="I48" s="472"/>
      <c r="J48" s="551"/>
      <c r="K48" s="428"/>
      <c r="L48" s="377"/>
      <c r="N48" s="719"/>
      <c r="O48" s="726"/>
      <c r="P48" s="382"/>
    </row>
    <row r="49" spans="1:16">
      <c r="A49" s="578" t="s">
        <v>163</v>
      </c>
      <c r="B49" s="601"/>
      <c r="C49" s="601"/>
      <c r="D49" s="523" t="s">
        <v>131</v>
      </c>
      <c r="E49" s="510">
        <f>'12'!F49</f>
        <v>260732.13</v>
      </c>
      <c r="F49" s="510">
        <v>260732.13</v>
      </c>
      <c r="G49" s="473">
        <f t="shared" ref="G49:G58" si="4">F49-E49</f>
        <v>0</v>
      </c>
      <c r="H49" s="460">
        <f>G49+'12'!H49</f>
        <v>0.13000000000465661</v>
      </c>
      <c r="I49" s="455"/>
      <c r="J49" s="552">
        <f>H49/DAY(B2)</f>
        <v>1.0000000000358202E-2</v>
      </c>
      <c r="K49" s="428"/>
      <c r="L49" s="377"/>
      <c r="N49" s="719"/>
      <c r="O49" s="726"/>
      <c r="P49" s="382"/>
    </row>
    <row r="50" spans="1:16">
      <c r="A50" s="578" t="s">
        <v>177</v>
      </c>
      <c r="B50" s="601"/>
      <c r="C50" s="601"/>
      <c r="D50" s="523" t="s">
        <v>131</v>
      </c>
      <c r="E50" s="510">
        <f>'12'!F50</f>
        <v>513808</v>
      </c>
      <c r="F50" s="510">
        <v>514858</v>
      </c>
      <c r="G50" s="473">
        <f t="shared" si="4"/>
        <v>1050</v>
      </c>
      <c r="H50" s="460">
        <f>G50+'12'!H50</f>
        <v>11432</v>
      </c>
      <c r="I50" s="455"/>
      <c r="J50" s="552">
        <f>H50/DAY(B2)</f>
        <v>879.38461538461536</v>
      </c>
      <c r="K50" s="428"/>
      <c r="L50" s="377"/>
      <c r="N50" s="719"/>
      <c r="O50" s="727"/>
      <c r="P50" s="382"/>
    </row>
    <row r="51" spans="1:16">
      <c r="A51" s="578" t="s">
        <v>165</v>
      </c>
      <c r="B51" s="601"/>
      <c r="C51" s="601"/>
      <c r="D51" s="523" t="s">
        <v>131</v>
      </c>
      <c r="E51" s="510">
        <f>'12'!F51</f>
        <v>144639.87</v>
      </c>
      <c r="F51" s="510">
        <v>144639.87</v>
      </c>
      <c r="G51" s="473">
        <f t="shared" si="4"/>
        <v>0</v>
      </c>
      <c r="H51" s="460">
        <f>G51+'12'!H51</f>
        <v>-0.13000000000465661</v>
      </c>
      <c r="I51" s="455"/>
      <c r="J51" s="552">
        <f>H51/DAY(B2)</f>
        <v>-1.0000000000358202E-2</v>
      </c>
      <c r="K51" s="428"/>
      <c r="L51" s="377"/>
      <c r="N51" s="719"/>
      <c r="O51" s="726"/>
      <c r="P51" s="382"/>
    </row>
    <row r="52" spans="1:16">
      <c r="A52" s="578" t="s">
        <v>178</v>
      </c>
      <c r="B52" s="601"/>
      <c r="C52" s="601"/>
      <c r="D52" s="523" t="s">
        <v>131</v>
      </c>
      <c r="E52" s="510">
        <f>'12'!F52</f>
        <v>539606.06999999995</v>
      </c>
      <c r="F52" s="510">
        <v>539606.06999999995</v>
      </c>
      <c r="G52" s="473">
        <f t="shared" si="4"/>
        <v>0</v>
      </c>
      <c r="H52" s="460">
        <v>0</v>
      </c>
      <c r="I52" s="455"/>
      <c r="J52" s="552">
        <f>H52/DAY(B2)</f>
        <v>0</v>
      </c>
      <c r="K52" s="428"/>
      <c r="L52" s="377"/>
      <c r="N52" s="719"/>
      <c r="O52" s="726"/>
      <c r="P52" s="382"/>
    </row>
    <row r="53" spans="1:16">
      <c r="A53" s="578" t="s">
        <v>167</v>
      </c>
      <c r="B53" s="601"/>
      <c r="C53" s="601"/>
      <c r="D53" s="523" t="s">
        <v>131</v>
      </c>
      <c r="E53" s="510">
        <f>'12'!F53</f>
        <v>434232</v>
      </c>
      <c r="F53" s="510">
        <v>434232</v>
      </c>
      <c r="G53" s="473">
        <f t="shared" si="4"/>
        <v>0</v>
      </c>
      <c r="H53" s="460">
        <f>G53+'12'!H53</f>
        <v>1663.6699999999837</v>
      </c>
      <c r="I53" s="455"/>
      <c r="J53" s="552">
        <f>H53/DAY(B2)</f>
        <v>127.97461538461413</v>
      </c>
      <c r="K53" s="428"/>
      <c r="L53" s="377"/>
      <c r="N53" s="719"/>
      <c r="O53" s="726"/>
      <c r="P53" s="382"/>
    </row>
    <row r="54" spans="1:16">
      <c r="A54" s="578" t="s">
        <v>179</v>
      </c>
      <c r="B54" s="601"/>
      <c r="C54" s="601"/>
      <c r="D54" s="523" t="s">
        <v>131</v>
      </c>
      <c r="E54" s="510">
        <f>'12'!F54</f>
        <v>14744</v>
      </c>
      <c r="F54" s="510">
        <v>14825</v>
      </c>
      <c r="G54" s="473">
        <f t="shared" si="4"/>
        <v>81</v>
      </c>
      <c r="H54" s="460">
        <f>G54+'12'!H54</f>
        <v>996</v>
      </c>
      <c r="I54" s="455"/>
      <c r="J54" s="552">
        <f>H54/DAY(B2)</f>
        <v>76.615384615384613</v>
      </c>
      <c r="K54" s="428"/>
      <c r="L54" s="377"/>
      <c r="N54" s="719"/>
      <c r="O54" s="726"/>
      <c r="P54" s="382"/>
    </row>
    <row r="55" spans="1:16">
      <c r="A55" s="578" t="s">
        <v>180</v>
      </c>
      <c r="B55" s="601"/>
      <c r="C55" s="601"/>
      <c r="D55" s="523" t="s">
        <v>131</v>
      </c>
      <c r="E55" s="510">
        <f>'12'!F55</f>
        <v>68136.52</v>
      </c>
      <c r="F55" s="654">
        <v>69298</v>
      </c>
      <c r="G55" s="653">
        <f t="shared" si="4"/>
        <v>1161.4799999999959</v>
      </c>
      <c r="H55" s="706">
        <f>G55+'12'!H55</f>
        <v>1187</v>
      </c>
      <c r="I55" s="707"/>
      <c r="J55" s="708">
        <f>H55/DAY(B2)</f>
        <v>91.307692307692307</v>
      </c>
      <c r="K55" s="428"/>
      <c r="L55" s="377"/>
      <c r="N55" s="719"/>
      <c r="O55" s="726"/>
      <c r="P55" s="382"/>
    </row>
    <row r="56" spans="1:16">
      <c r="A56" s="578" t="s">
        <v>181</v>
      </c>
      <c r="B56" s="601"/>
      <c r="C56" s="601"/>
      <c r="D56" s="523" t="s">
        <v>182</v>
      </c>
      <c r="E56" s="510">
        <f>'12'!F56</f>
        <v>648815</v>
      </c>
      <c r="F56" s="654">
        <v>648857</v>
      </c>
      <c r="G56" s="473">
        <f t="shared" si="4"/>
        <v>42</v>
      </c>
      <c r="H56" s="460">
        <f>G56+'12'!H56</f>
        <v>31659</v>
      </c>
      <c r="I56" s="455"/>
      <c r="J56" s="552">
        <f>H56/DAY(B2)</f>
        <v>2435.3076923076924</v>
      </c>
      <c r="K56" s="427"/>
      <c r="L56" s="377"/>
      <c r="N56" s="719"/>
      <c r="O56" s="728"/>
      <c r="P56" s="382"/>
    </row>
    <row r="57" spans="1:16">
      <c r="A57" s="578" t="s">
        <v>171</v>
      </c>
      <c r="B57" s="601"/>
      <c r="C57" s="601"/>
      <c r="D57" s="523" t="s">
        <v>131</v>
      </c>
      <c r="E57" s="510">
        <f>'12'!F57</f>
        <v>7711</v>
      </c>
      <c r="F57" s="510">
        <v>7711.33</v>
      </c>
      <c r="G57" s="473">
        <f t="shared" si="4"/>
        <v>0.32999999999992724</v>
      </c>
      <c r="H57" s="460">
        <f>G57+'12'!H57</f>
        <v>0.32999999999992724</v>
      </c>
      <c r="I57" s="455"/>
      <c r="J57" s="552">
        <f>H57/DAY(B2)</f>
        <v>2.5384615384609788E-2</v>
      </c>
      <c r="K57" s="428"/>
      <c r="L57" s="377"/>
      <c r="N57" s="719"/>
      <c r="O57" s="726"/>
      <c r="P57" s="382"/>
    </row>
    <row r="58" spans="1:16">
      <c r="A58" s="578" t="s">
        <v>183</v>
      </c>
      <c r="B58" s="601"/>
      <c r="C58" s="601"/>
      <c r="D58" s="523" t="s">
        <v>131</v>
      </c>
      <c r="E58" s="510">
        <f>'12'!F58</f>
        <v>50934</v>
      </c>
      <c r="F58" s="654">
        <v>51172</v>
      </c>
      <c r="G58" s="473">
        <f t="shared" si="4"/>
        <v>238</v>
      </c>
      <c r="H58" s="460">
        <f>G58+'12'!H58</f>
        <v>1307.7900000000009</v>
      </c>
      <c r="I58" s="455"/>
      <c r="J58" s="552">
        <f>H58/DAY(B2)</f>
        <v>100.59923076923084</v>
      </c>
      <c r="K58" s="428"/>
      <c r="L58" s="377"/>
      <c r="N58" s="719"/>
      <c r="O58" s="726"/>
      <c r="P58" s="382"/>
    </row>
    <row r="59" spans="1:16">
      <c r="A59" s="585" t="s">
        <v>175</v>
      </c>
      <c r="B59" s="586"/>
      <c r="C59" s="586"/>
      <c r="D59" s="511"/>
      <c r="E59" s="511"/>
      <c r="F59" s="511"/>
      <c r="G59" s="481">
        <f>G49+G50+G51+G52+G53+G54+G55+G56+G57+G58</f>
        <v>2572.8099999999959</v>
      </c>
      <c r="H59" s="460">
        <f>G59+'12'!H59</f>
        <v>48245.859999999935</v>
      </c>
      <c r="I59" s="455">
        <f>G7-G60</f>
        <v>-0.80999999999767169</v>
      </c>
      <c r="J59" s="552">
        <f>H59/DAY(B2)</f>
        <v>3711.2199999999948</v>
      </c>
      <c r="K59" s="428"/>
      <c r="L59" s="377"/>
      <c r="N59" s="719"/>
      <c r="O59" s="726"/>
      <c r="P59" s="382"/>
    </row>
    <row r="60" spans="1:16">
      <c r="A60" s="578"/>
      <c r="B60" s="579"/>
      <c r="C60" s="579"/>
      <c r="D60" s="511" t="s">
        <v>184</v>
      </c>
      <c r="E60" s="511"/>
      <c r="F60" s="511"/>
      <c r="G60" s="481">
        <f>G47+G59</f>
        <v>20334.809999999998</v>
      </c>
      <c r="H60" s="460">
        <f>G60+'12'!H60</f>
        <v>224806.91999999995</v>
      </c>
      <c r="I60" s="455">
        <f>G13-G60</f>
        <v>-659.80999999999767</v>
      </c>
      <c r="J60" s="552">
        <f>H60/DAY(B2)</f>
        <v>17292.839999999997</v>
      </c>
      <c r="K60" s="428"/>
      <c r="L60" s="377"/>
      <c r="N60" s="719"/>
      <c r="O60" s="726"/>
      <c r="P60" s="382"/>
    </row>
    <row r="61" spans="1:16">
      <c r="A61" s="602" t="s">
        <v>185</v>
      </c>
      <c r="B61" s="453"/>
      <c r="C61" s="453"/>
      <c r="D61" s="513"/>
      <c r="E61" s="512"/>
      <c r="F61" s="512"/>
      <c r="G61" s="513"/>
      <c r="H61" s="513"/>
      <c r="I61" s="513"/>
      <c r="J61" s="555"/>
      <c r="K61" s="428"/>
      <c r="L61" s="377"/>
      <c r="N61" s="719"/>
      <c r="O61" s="726"/>
      <c r="P61" s="382"/>
    </row>
    <row r="62" spans="1:16">
      <c r="A62" s="603" t="s">
        <v>97</v>
      </c>
      <c r="B62" s="604"/>
      <c r="C62" s="604"/>
      <c r="D62" s="511" t="s">
        <v>186</v>
      </c>
      <c r="E62" s="514">
        <f>'12'!F62</f>
        <v>0</v>
      </c>
      <c r="F62" s="514">
        <v>0</v>
      </c>
      <c r="G62" s="473">
        <f t="shared" ref="G62:G70" si="5">F62-E62</f>
        <v>0</v>
      </c>
      <c r="H62" s="460">
        <f>G62+'12'!H62</f>
        <v>1.9999999967694748E-3</v>
      </c>
      <c r="I62" s="515"/>
      <c r="J62" s="552">
        <f>H62/DAY(B2)</f>
        <v>1.5384615359765192E-4</v>
      </c>
      <c r="K62" s="428"/>
      <c r="L62" s="377"/>
      <c r="N62" s="719"/>
      <c r="O62" s="726"/>
      <c r="P62" s="382"/>
    </row>
    <row r="63" spans="1:16">
      <c r="A63" s="603" t="s">
        <v>187</v>
      </c>
      <c r="B63" s="604"/>
      <c r="C63" s="604"/>
      <c r="D63" s="511" t="s">
        <v>186</v>
      </c>
      <c r="E63" s="514">
        <f>'12'!F63</f>
        <v>0</v>
      </c>
      <c r="F63" s="514">
        <v>0</v>
      </c>
      <c r="G63" s="473">
        <f t="shared" si="5"/>
        <v>0</v>
      </c>
      <c r="H63" s="460">
        <f>G63+'12'!H63</f>
        <v>0</v>
      </c>
      <c r="I63" s="515"/>
      <c r="J63" s="552">
        <f>H63/DAY(B2)</f>
        <v>0</v>
      </c>
      <c r="K63" s="428"/>
      <c r="L63" s="377"/>
      <c r="N63" s="719"/>
      <c r="O63" s="726"/>
      <c r="P63" s="382"/>
    </row>
    <row r="64" spans="1:16" ht="27.75">
      <c r="A64" s="1534" t="s">
        <v>98</v>
      </c>
      <c r="B64" s="1535"/>
      <c r="C64" s="1536"/>
      <c r="D64" s="523" t="s">
        <v>186</v>
      </c>
      <c r="E64" s="514">
        <f>'12'!F64</f>
        <v>163334</v>
      </c>
      <c r="F64" s="478">
        <v>163686</v>
      </c>
      <c r="G64" s="473">
        <f t="shared" si="5"/>
        <v>352</v>
      </c>
      <c r="H64" s="460">
        <f>G64+'12'!H64</f>
        <v>3754</v>
      </c>
      <c r="I64" s="480"/>
      <c r="J64" s="552">
        <f>H64/DAY(B2)</f>
        <v>288.76923076923077</v>
      </c>
      <c r="K64" s="428"/>
      <c r="L64" s="377"/>
      <c r="N64" s="719"/>
      <c r="O64" s="726"/>
      <c r="P64" s="382"/>
    </row>
    <row r="65" spans="1:16" ht="27.75">
      <c r="A65" s="1534" t="s">
        <v>99</v>
      </c>
      <c r="B65" s="1535"/>
      <c r="C65" s="1536"/>
      <c r="D65" s="523" t="s">
        <v>186</v>
      </c>
      <c r="E65" s="514">
        <f>'12'!F65</f>
        <v>164001</v>
      </c>
      <c r="F65" s="652">
        <v>164412</v>
      </c>
      <c r="G65" s="473">
        <f t="shared" si="5"/>
        <v>411</v>
      </c>
      <c r="H65" s="460">
        <f>G65+'12'!H65</f>
        <v>3414</v>
      </c>
      <c r="I65" s="489"/>
      <c r="J65" s="552">
        <f>H65/DAY(B2)</f>
        <v>262.61538461538464</v>
      </c>
      <c r="K65" s="428"/>
      <c r="L65" s="377"/>
      <c r="N65" s="719"/>
      <c r="O65" s="727"/>
      <c r="P65" s="382"/>
    </row>
    <row r="66" spans="1:16" ht="27.75">
      <c r="A66" s="1534" t="s">
        <v>100</v>
      </c>
      <c r="B66" s="1535"/>
      <c r="C66" s="1536"/>
      <c r="D66" s="523" t="s">
        <v>186</v>
      </c>
      <c r="E66" s="514">
        <f>'12'!F66</f>
        <v>61071</v>
      </c>
      <c r="F66" s="478">
        <v>61447</v>
      </c>
      <c r="G66" s="473">
        <f t="shared" si="5"/>
        <v>376</v>
      </c>
      <c r="H66" s="460">
        <f>G66+'12'!H66</f>
        <v>4642</v>
      </c>
      <c r="I66" s="480"/>
      <c r="J66" s="552">
        <f>H66/DAY(B2)</f>
        <v>357.07692307692309</v>
      </c>
      <c r="K66" s="428"/>
      <c r="L66" s="377"/>
      <c r="N66" s="719"/>
      <c r="O66" s="726"/>
      <c r="P66" s="382"/>
    </row>
    <row r="67" spans="1:16" ht="27.75">
      <c r="A67" s="1534" t="s">
        <v>101</v>
      </c>
      <c r="B67" s="1535"/>
      <c r="C67" s="1536"/>
      <c r="D67" s="523" t="s">
        <v>186</v>
      </c>
      <c r="E67" s="514">
        <f>'12'!F67</f>
        <v>256958</v>
      </c>
      <c r="F67" s="478">
        <v>257387</v>
      </c>
      <c r="G67" s="473">
        <f t="shared" si="5"/>
        <v>429</v>
      </c>
      <c r="H67" s="460">
        <f>G67+'12'!H67</f>
        <v>5195</v>
      </c>
      <c r="I67" s="489"/>
      <c r="J67" s="552">
        <f>H67/DAY(B2)</f>
        <v>399.61538461538464</v>
      </c>
      <c r="K67" s="429"/>
      <c r="L67" s="377"/>
      <c r="N67" s="719"/>
      <c r="O67" s="726"/>
      <c r="P67" s="382"/>
    </row>
    <row r="68" spans="1:16" ht="27.75">
      <c r="A68" s="1534" t="s">
        <v>102</v>
      </c>
      <c r="B68" s="1535"/>
      <c r="C68" s="1536"/>
      <c r="D68" s="523" t="s">
        <v>186</v>
      </c>
      <c r="E68" s="514">
        <f>'12'!F68</f>
        <v>85321</v>
      </c>
      <c r="F68" s="478">
        <v>85321</v>
      </c>
      <c r="G68" s="473">
        <f t="shared" si="5"/>
        <v>0</v>
      </c>
      <c r="H68" s="460">
        <f>G68+'12'!H68</f>
        <v>0</v>
      </c>
      <c r="I68" s="516"/>
      <c r="J68" s="552">
        <f>H68/DAY(B2)</f>
        <v>0</v>
      </c>
      <c r="K68" s="430"/>
      <c r="L68" s="377"/>
      <c r="N68" s="719"/>
      <c r="O68" s="726"/>
      <c r="P68" s="382"/>
    </row>
    <row r="69" spans="1:16" ht="27.75">
      <c r="A69" s="1534" t="s">
        <v>103</v>
      </c>
      <c r="B69" s="1535"/>
      <c r="C69" s="1536"/>
      <c r="D69" s="523" t="s">
        <v>186</v>
      </c>
      <c r="E69" s="514">
        <f>'12'!F69</f>
        <v>83304</v>
      </c>
      <c r="F69" s="478">
        <v>83521</v>
      </c>
      <c r="G69" s="473">
        <f t="shared" si="5"/>
        <v>217</v>
      </c>
      <c r="H69" s="460">
        <f>G69+'12'!H69</f>
        <v>1772</v>
      </c>
      <c r="I69" s="516"/>
      <c r="J69" s="552">
        <f>H69/DAY(B2)</f>
        <v>136.30769230769232</v>
      </c>
      <c r="K69" s="431"/>
      <c r="L69" s="377"/>
      <c r="N69" s="719"/>
      <c r="O69" s="726"/>
      <c r="P69" s="382"/>
    </row>
    <row r="70" spans="1:16" ht="27.75">
      <c r="A70" s="1566" t="s">
        <v>188</v>
      </c>
      <c r="B70" s="1567"/>
      <c r="C70" s="1568"/>
      <c r="D70" s="523" t="s">
        <v>186</v>
      </c>
      <c r="E70" s="518">
        <f>'12'!F70</f>
        <v>0</v>
      </c>
      <c r="F70" s="518">
        <v>0</v>
      </c>
      <c r="G70" s="518">
        <f t="shared" si="5"/>
        <v>0</v>
      </c>
      <c r="H70" s="460">
        <f>G70+'12'!H70</f>
        <v>0</v>
      </c>
      <c r="I70" s="518"/>
      <c r="J70" s="556">
        <f>H70/DAY(B2)</f>
        <v>0</v>
      </c>
      <c r="K70" s="431"/>
      <c r="L70" s="377"/>
      <c r="N70" s="719"/>
      <c r="O70" s="726"/>
      <c r="P70" s="382"/>
    </row>
    <row r="71" spans="1:16" ht="31.5">
      <c r="A71" s="1580" t="s">
        <v>189</v>
      </c>
      <c r="B71" s="1581"/>
      <c r="C71" s="1581"/>
      <c r="D71" s="1581"/>
      <c r="E71" s="1581"/>
      <c r="F71" s="1581"/>
      <c r="G71" s="1581"/>
      <c r="H71" s="1581"/>
      <c r="I71" s="1581"/>
      <c r="J71" s="1582"/>
      <c r="K71" s="430"/>
      <c r="L71" s="377"/>
      <c r="N71" s="719"/>
      <c r="O71" s="726"/>
      <c r="P71" s="382"/>
    </row>
    <row r="72" spans="1:16" ht="27.75">
      <c r="A72" s="1534" t="s">
        <v>190</v>
      </c>
      <c r="B72" s="1535"/>
      <c r="C72" s="1536"/>
      <c r="D72" s="523" t="s">
        <v>186</v>
      </c>
      <c r="E72" s="519">
        <f>'12'!F72</f>
        <v>856001</v>
      </c>
      <c r="F72" s="655">
        <v>856014</v>
      </c>
      <c r="G72" s="473">
        <f t="shared" ref="G72:G84" si="6">F72-E72</f>
        <v>13</v>
      </c>
      <c r="H72" s="460">
        <f>G72+'12'!H72</f>
        <v>171</v>
      </c>
      <c r="I72" s="480"/>
      <c r="J72" s="552">
        <f>H72/DAY(B2)</f>
        <v>13.153846153846153</v>
      </c>
      <c r="K72" s="431"/>
      <c r="L72" s="377"/>
      <c r="N72" s="719"/>
      <c r="O72" s="726"/>
      <c r="P72" s="382"/>
    </row>
    <row r="73" spans="1:16" ht="27.75">
      <c r="A73" s="1534" t="s">
        <v>191</v>
      </c>
      <c r="B73" s="1535"/>
      <c r="C73" s="1536"/>
      <c r="D73" s="523" t="s">
        <v>186</v>
      </c>
      <c r="E73" s="519">
        <f>'12'!F73</f>
        <v>885951</v>
      </c>
      <c r="F73" s="656">
        <v>885952</v>
      </c>
      <c r="G73" s="653">
        <f t="shared" si="6"/>
        <v>1</v>
      </c>
      <c r="H73" s="460">
        <f>G73+'12'!H73</f>
        <v>15</v>
      </c>
      <c r="I73" s="480"/>
      <c r="J73" s="552">
        <f>H73/DAY(B2)</f>
        <v>1.1538461538461537</v>
      </c>
      <c r="K73" s="430"/>
      <c r="L73" s="377"/>
      <c r="N73" s="719"/>
      <c r="O73" s="726"/>
      <c r="P73" s="382"/>
    </row>
    <row r="74" spans="1:16" ht="27.75">
      <c r="A74" s="1534" t="s">
        <v>192</v>
      </c>
      <c r="B74" s="1535"/>
      <c r="C74" s="1536"/>
      <c r="D74" s="523" t="s">
        <v>186</v>
      </c>
      <c r="E74" s="519">
        <f>'12'!F74</f>
        <v>2599.96</v>
      </c>
      <c r="F74" s="656">
        <v>2599.96</v>
      </c>
      <c r="G74" s="473">
        <f t="shared" si="6"/>
        <v>0</v>
      </c>
      <c r="H74" s="460">
        <f>G74+'12'!H74</f>
        <v>13.960000000000036</v>
      </c>
      <c r="I74" s="480"/>
      <c r="J74" s="552">
        <f>H74/DAY(B2)</f>
        <v>1.0738461538461566</v>
      </c>
      <c r="K74" s="431"/>
      <c r="L74" s="377"/>
      <c r="N74" s="719"/>
      <c r="O74" s="726"/>
      <c r="P74" s="382"/>
    </row>
    <row r="75" spans="1:16" ht="27.75">
      <c r="A75" s="1583" t="s">
        <v>193</v>
      </c>
      <c r="B75" s="1584"/>
      <c r="C75" s="1585"/>
      <c r="D75" s="523" t="s">
        <v>186</v>
      </c>
      <c r="E75" s="519">
        <f>'12'!F75</f>
        <v>13508</v>
      </c>
      <c r="F75" s="656">
        <v>13637</v>
      </c>
      <c r="G75" s="473">
        <f t="shared" si="6"/>
        <v>129</v>
      </c>
      <c r="H75" s="460">
        <f>G75+'12'!H75</f>
        <v>968</v>
      </c>
      <c r="I75" s="480"/>
      <c r="J75" s="552">
        <f>H75/DAY(B2)</f>
        <v>74.461538461538467</v>
      </c>
      <c r="K75" s="430"/>
      <c r="L75" s="377"/>
      <c r="N75" s="719"/>
      <c r="O75" s="726"/>
      <c r="P75" s="382"/>
    </row>
    <row r="76" spans="1:16" ht="27.75">
      <c r="A76" s="1583" t="s">
        <v>194</v>
      </c>
      <c r="B76" s="1584"/>
      <c r="C76" s="1585"/>
      <c r="D76" s="523" t="s">
        <v>186</v>
      </c>
      <c r="E76" s="519">
        <f>'12'!F76</f>
        <v>8119</v>
      </c>
      <c r="F76" s="656">
        <v>8174</v>
      </c>
      <c r="G76" s="473">
        <f t="shared" si="6"/>
        <v>55</v>
      </c>
      <c r="H76" s="460">
        <f>G76+'12'!H76</f>
        <v>755</v>
      </c>
      <c r="I76" s="505"/>
      <c r="J76" s="552">
        <f>H76/DAY(B2)</f>
        <v>58.07692307692308</v>
      </c>
      <c r="K76" s="430"/>
      <c r="L76" s="377"/>
      <c r="N76" s="719"/>
      <c r="O76" s="726"/>
      <c r="P76" s="382"/>
    </row>
    <row r="77" spans="1:16" ht="27.75">
      <c r="A77" s="1534" t="s">
        <v>195</v>
      </c>
      <c r="B77" s="1535"/>
      <c r="C77" s="1536"/>
      <c r="D77" s="523" t="s">
        <v>186</v>
      </c>
      <c r="E77" s="519">
        <f>'12'!F77</f>
        <v>703432</v>
      </c>
      <c r="F77" s="656">
        <v>703488</v>
      </c>
      <c r="G77" s="653">
        <f t="shared" si="6"/>
        <v>56</v>
      </c>
      <c r="H77" s="460">
        <f>G77+'12'!H77</f>
        <v>649</v>
      </c>
      <c r="I77" s="505"/>
      <c r="J77" s="552">
        <f>H77/DAY(B2)</f>
        <v>49.92307692307692</v>
      </c>
      <c r="K77" s="430"/>
      <c r="L77" s="377"/>
      <c r="N77" s="719"/>
      <c r="O77" s="726"/>
      <c r="P77" s="382"/>
    </row>
    <row r="78" spans="1:16" ht="27.75">
      <c r="A78" s="1144" t="s">
        <v>196</v>
      </c>
      <c r="B78" s="1117"/>
      <c r="C78" s="1117"/>
      <c r="D78" s="523" t="s">
        <v>186</v>
      </c>
      <c r="E78" s="519">
        <f>'12'!F78</f>
        <v>673895</v>
      </c>
      <c r="F78" s="657">
        <v>673925</v>
      </c>
      <c r="G78" s="473">
        <f t="shared" si="6"/>
        <v>30</v>
      </c>
      <c r="H78" s="460">
        <f>G78+'12'!H78</f>
        <v>893</v>
      </c>
      <c r="I78" s="505"/>
      <c r="J78" s="552">
        <f>H78/DAY(B2)</f>
        <v>68.692307692307693</v>
      </c>
      <c r="K78" s="430"/>
      <c r="L78" s="377"/>
      <c r="N78" s="719"/>
      <c r="O78" s="726"/>
      <c r="P78" s="382"/>
    </row>
    <row r="79" spans="1:16" ht="27.75">
      <c r="A79" s="1583" t="s">
        <v>91</v>
      </c>
      <c r="B79" s="1584"/>
      <c r="C79" s="1585"/>
      <c r="D79" s="524" t="s">
        <v>186</v>
      </c>
      <c r="E79" s="519">
        <f>'12'!F79</f>
        <v>832779</v>
      </c>
      <c r="F79" s="657">
        <v>832915</v>
      </c>
      <c r="G79" s="473">
        <f t="shared" si="6"/>
        <v>136</v>
      </c>
      <c r="H79" s="460">
        <f>G79+'12'!H79</f>
        <v>1905</v>
      </c>
      <c r="I79" s="505"/>
      <c r="J79" s="552">
        <f>H79/DAY(B2)</f>
        <v>146.53846153846155</v>
      </c>
      <c r="K79" s="430"/>
      <c r="L79" s="377"/>
      <c r="N79" s="719"/>
      <c r="O79" s="726"/>
      <c r="P79" s="382"/>
    </row>
    <row r="80" spans="1:16" ht="27.75">
      <c r="A80" s="1583" t="s">
        <v>197</v>
      </c>
      <c r="B80" s="1584"/>
      <c r="C80" s="1585"/>
      <c r="D80" s="524" t="s">
        <v>186</v>
      </c>
      <c r="E80" s="519">
        <f>'12'!F80</f>
        <v>532070</v>
      </c>
      <c r="F80" s="656">
        <v>532450.52</v>
      </c>
      <c r="G80" s="473">
        <f t="shared" si="6"/>
        <v>380.52000000001863</v>
      </c>
      <c r="H80" s="460">
        <f>G80+'12'!H80</f>
        <v>4792.5200000000186</v>
      </c>
      <c r="I80" s="505"/>
      <c r="J80" s="552">
        <f>H80/DAY(B2)</f>
        <v>368.65538461538603</v>
      </c>
      <c r="K80" s="430"/>
      <c r="L80" s="377"/>
      <c r="N80" s="719"/>
      <c r="O80" s="726"/>
      <c r="P80" s="382"/>
    </row>
    <row r="81" spans="1:16" ht="27.75">
      <c r="A81" s="1583" t="s">
        <v>198</v>
      </c>
      <c r="B81" s="1584"/>
      <c r="C81" s="1585"/>
      <c r="D81" s="524" t="s">
        <v>186</v>
      </c>
      <c r="E81" s="519">
        <f>'12'!F81</f>
        <v>640219</v>
      </c>
      <c r="F81" s="656">
        <v>640343.80000000005</v>
      </c>
      <c r="G81" s="473">
        <f t="shared" si="6"/>
        <v>124.80000000004657</v>
      </c>
      <c r="H81" s="460">
        <f>G81+'12'!H81</f>
        <v>1445.8000000000466</v>
      </c>
      <c r="I81" s="505"/>
      <c r="J81" s="552">
        <f>H81/DAY(B2)</f>
        <v>111.2153846153882</v>
      </c>
      <c r="K81" s="430"/>
      <c r="L81" s="377"/>
      <c r="N81" s="719"/>
      <c r="O81" s="726"/>
      <c r="P81" s="382"/>
    </row>
    <row r="82" spans="1:16" ht="27.75">
      <c r="A82" s="1583" t="s">
        <v>92</v>
      </c>
      <c r="B82" s="1584"/>
      <c r="C82" s="1585"/>
      <c r="D82" s="485" t="s">
        <v>131</v>
      </c>
      <c r="E82" s="519">
        <f>'12'!F82</f>
        <v>108348</v>
      </c>
      <c r="F82" s="652">
        <v>108359</v>
      </c>
      <c r="G82" s="473">
        <f t="shared" si="6"/>
        <v>11</v>
      </c>
      <c r="H82" s="460">
        <f>G82+'12'!H82</f>
        <v>201</v>
      </c>
      <c r="I82" s="486"/>
      <c r="J82" s="552">
        <f>H82/DAY(B2)</f>
        <v>15.461538461538462</v>
      </c>
      <c r="K82" s="430"/>
      <c r="L82" s="377"/>
      <c r="N82" s="719"/>
      <c r="O82" s="726"/>
      <c r="P82" s="382"/>
    </row>
    <row r="83" spans="1:16" ht="27.75">
      <c r="A83" s="1583" t="s">
        <v>199</v>
      </c>
      <c r="B83" s="1584"/>
      <c r="C83" s="1585"/>
      <c r="D83" s="620" t="s">
        <v>131</v>
      </c>
      <c r="E83" s="519">
        <f>'12'!F83</f>
        <v>22884</v>
      </c>
      <c r="F83" s="511">
        <v>23120</v>
      </c>
      <c r="G83" s="473">
        <f t="shared" si="6"/>
        <v>236</v>
      </c>
      <c r="H83" s="460">
        <f>G83+'12'!H83</f>
        <v>2614</v>
      </c>
      <c r="I83" s="481"/>
      <c r="J83" s="552">
        <f>H83/DAY(B2)</f>
        <v>201.07692307692307</v>
      </c>
      <c r="K83" s="429"/>
      <c r="L83" s="377"/>
      <c r="N83" s="719"/>
      <c r="O83" s="726"/>
      <c r="P83" s="382"/>
    </row>
    <row r="84" spans="1:16">
      <c r="A84" s="1145" t="s">
        <v>200</v>
      </c>
      <c r="B84" s="571"/>
      <c r="C84" s="571"/>
      <c r="D84" s="478" t="s">
        <v>131</v>
      </c>
      <c r="E84" s="519">
        <f>'12'!F84</f>
        <v>509052</v>
      </c>
      <c r="F84" s="627">
        <v>509739</v>
      </c>
      <c r="G84" s="473">
        <f t="shared" si="6"/>
        <v>687</v>
      </c>
      <c r="H84" s="460">
        <f>G84+'12'!H84</f>
        <v>9445</v>
      </c>
      <c r="I84" s="481"/>
      <c r="J84" s="552">
        <f>H84/DAY(B2)</f>
        <v>726.53846153846155</v>
      </c>
      <c r="K84" s="380"/>
      <c r="L84" s="377"/>
      <c r="N84" s="719"/>
      <c r="O84" s="726"/>
      <c r="P84" s="382"/>
    </row>
    <row r="85" spans="1:16" s="379" customFormat="1">
      <c r="A85" s="605" t="s">
        <v>201</v>
      </c>
      <c r="B85" s="572"/>
      <c r="C85" s="572"/>
      <c r="D85" s="489"/>
      <c r="E85" s="523"/>
      <c r="F85" s="523"/>
      <c r="G85" s="460">
        <f xml:space="preserve"> SUM(G71:G84)</f>
        <v>1859.3200000000652</v>
      </c>
      <c r="H85" s="460">
        <f>G85+'12'!H85</f>
        <v>23868.280000000064</v>
      </c>
      <c r="I85" s="481"/>
      <c r="J85" s="552">
        <f>H85/DAY(B2)</f>
        <v>1836.0215384615435</v>
      </c>
      <c r="K85" s="380"/>
      <c r="L85" s="378"/>
      <c r="N85" s="719"/>
      <c r="O85" s="726"/>
      <c r="P85" s="382"/>
    </row>
    <row r="86" spans="1:16" s="736" customFormat="1">
      <c r="A86" s="731" t="s">
        <v>93</v>
      </c>
      <c r="B86" s="732"/>
      <c r="C86" s="732"/>
      <c r="D86" s="733" t="s">
        <v>182</v>
      </c>
      <c r="E86" s="627">
        <f>'12'!F86</f>
        <v>461307</v>
      </c>
      <c r="F86" s="648">
        <v>461336.44</v>
      </c>
      <c r="G86" s="706">
        <f t="shared" ref="G86:G91" si="7">F86-E86</f>
        <v>29.440000000002328</v>
      </c>
      <c r="H86" s="706">
        <f t="shared" ref="H86:H88" si="8">G86</f>
        <v>29.440000000002328</v>
      </c>
      <c r="I86" s="653"/>
      <c r="J86" s="708">
        <f>H86/DAY(B2)</f>
        <v>2.2646153846155639</v>
      </c>
      <c r="K86" s="734"/>
      <c r="L86" s="735"/>
      <c r="O86" s="714"/>
    </row>
    <row r="87" spans="1:16" s="736" customFormat="1">
      <c r="A87" s="731" t="s">
        <v>94</v>
      </c>
      <c r="B87" s="732"/>
      <c r="C87" s="732"/>
      <c r="D87" s="733" t="s">
        <v>182</v>
      </c>
      <c r="E87" s="627">
        <f>'12'!F87</f>
        <v>81615</v>
      </c>
      <c r="F87" s="648">
        <v>81626</v>
      </c>
      <c r="G87" s="706">
        <f t="shared" si="7"/>
        <v>11</v>
      </c>
      <c r="H87" s="706">
        <f t="shared" si="8"/>
        <v>11</v>
      </c>
      <c r="I87" s="653"/>
      <c r="J87" s="708">
        <f>H87/DAY(B2)</f>
        <v>0.84615384615384615</v>
      </c>
      <c r="K87" s="734"/>
      <c r="L87" s="735"/>
      <c r="O87" s="714"/>
    </row>
    <row r="88" spans="1:16" s="736" customFormat="1">
      <c r="A88" s="731" t="s">
        <v>95</v>
      </c>
      <c r="B88" s="732"/>
      <c r="C88" s="732"/>
      <c r="D88" s="733" t="s">
        <v>182</v>
      </c>
      <c r="E88" s="627">
        <f>'12'!F88</f>
        <v>153516</v>
      </c>
      <c r="F88" s="648">
        <v>153538.73000000001</v>
      </c>
      <c r="G88" s="706">
        <f t="shared" si="7"/>
        <v>22.730000000010477</v>
      </c>
      <c r="H88" s="706">
        <f t="shared" si="8"/>
        <v>22.730000000010477</v>
      </c>
      <c r="I88" s="653"/>
      <c r="J88" s="708">
        <f>H88/DAY(B2)</f>
        <v>1.7484615384623443</v>
      </c>
      <c r="K88" s="734"/>
      <c r="L88" s="735"/>
      <c r="O88" s="714"/>
    </row>
    <row r="89" spans="1:16" s="736" customFormat="1">
      <c r="A89" s="731" t="s">
        <v>203</v>
      </c>
      <c r="B89" s="732"/>
      <c r="C89" s="732"/>
      <c r="D89" s="733" t="s">
        <v>182</v>
      </c>
      <c r="E89" s="627">
        <f>'12'!F89</f>
        <v>65381</v>
      </c>
      <c r="F89" s="648">
        <v>65397.8</v>
      </c>
      <c r="G89" s="706">
        <f t="shared" si="7"/>
        <v>16.80000000000291</v>
      </c>
      <c r="H89" s="706">
        <f>G89</f>
        <v>16.80000000000291</v>
      </c>
      <c r="I89" s="653"/>
      <c r="J89" s="708">
        <f>H89/DAY(B2)</f>
        <v>1.2923076923079162</v>
      </c>
      <c r="K89" s="734"/>
      <c r="L89" s="735"/>
      <c r="N89" s="778"/>
      <c r="O89" s="382"/>
    </row>
    <row r="90" spans="1:16" s="736" customFormat="1">
      <c r="A90" s="731" t="s">
        <v>203</v>
      </c>
      <c r="B90" s="732"/>
      <c r="C90" s="732"/>
      <c r="D90" s="733" t="s">
        <v>182</v>
      </c>
      <c r="E90" s="627">
        <f>'12'!F90</f>
        <v>3290</v>
      </c>
      <c r="F90" s="648">
        <v>3291.9</v>
      </c>
      <c r="G90" s="706">
        <f t="shared" si="7"/>
        <v>1.9000000000000909</v>
      </c>
      <c r="H90" s="706">
        <f>G90</f>
        <v>1.9000000000000909</v>
      </c>
      <c r="I90" s="653"/>
      <c r="J90" s="708">
        <f>H90/DAY(B2)</f>
        <v>0.14615384615385316</v>
      </c>
      <c r="K90" s="734"/>
      <c r="L90" s="735"/>
      <c r="N90" s="778"/>
      <c r="O90" s="382"/>
    </row>
    <row r="91" spans="1:16" s="736" customFormat="1">
      <c r="A91" s="731" t="s">
        <v>350</v>
      </c>
      <c r="B91" s="732"/>
      <c r="C91" s="732"/>
      <c r="D91" s="733"/>
      <c r="E91" s="627">
        <f>'12'!F91</f>
        <v>28112</v>
      </c>
      <c r="F91" s="648">
        <v>28113</v>
      </c>
      <c r="G91" s="706">
        <f t="shared" si="7"/>
        <v>1</v>
      </c>
      <c r="H91" s="706">
        <f>G91</f>
        <v>1</v>
      </c>
      <c r="I91" s="653"/>
      <c r="J91" s="708"/>
      <c r="K91" s="734"/>
      <c r="L91" s="735"/>
      <c r="N91" s="778"/>
      <c r="O91" s="382"/>
    </row>
    <row r="92" spans="1:16" s="379" customFormat="1">
      <c r="A92" s="606" t="s">
        <v>204</v>
      </c>
      <c r="B92" s="1147"/>
      <c r="C92" s="1147"/>
      <c r="D92" s="472"/>
      <c r="E92" s="472"/>
      <c r="F92" s="472"/>
      <c r="G92" s="488"/>
      <c r="H92" s="472"/>
      <c r="I92" s="472"/>
      <c r="J92" s="551"/>
      <c r="K92" s="380"/>
      <c r="L92" s="378"/>
      <c r="N92" s="719"/>
      <c r="O92" s="726"/>
      <c r="P92" s="382"/>
    </row>
    <row r="93" spans="1:16" ht="27.75">
      <c r="A93" s="1537" t="s">
        <v>205</v>
      </c>
      <c r="B93" s="1538"/>
      <c r="C93" s="1539"/>
      <c r="D93" s="523" t="s">
        <v>143</v>
      </c>
      <c r="E93" s="484">
        <f>'12'!F93</f>
        <v>245956</v>
      </c>
      <c r="F93" s="478">
        <v>246080</v>
      </c>
      <c r="G93" s="473">
        <f t="shared" ref="G93:G94" si="9">F93-E93</f>
        <v>124</v>
      </c>
      <c r="H93" s="460">
        <f>G93+'12'!H93</f>
        <v>592</v>
      </c>
      <c r="I93" s="480"/>
      <c r="J93" s="552">
        <f>H93/DAY(B2)</f>
        <v>45.53846153846154</v>
      </c>
      <c r="K93" s="429"/>
      <c r="L93" s="377"/>
      <c r="N93" s="719"/>
      <c r="O93" s="726"/>
      <c r="P93" s="382"/>
    </row>
    <row r="94" spans="1:16" ht="27.75">
      <c r="A94" s="1537" t="s">
        <v>206</v>
      </c>
      <c r="B94" s="1538"/>
      <c r="C94" s="1539"/>
      <c r="D94" s="523" t="s">
        <v>143</v>
      </c>
      <c r="E94" s="484">
        <f>'12'!F94</f>
        <v>187288</v>
      </c>
      <c r="F94" s="478">
        <v>187397</v>
      </c>
      <c r="G94" s="473">
        <f t="shared" si="9"/>
        <v>109</v>
      </c>
      <c r="H94" s="460">
        <f>G94+'12'!H94</f>
        <v>1276</v>
      </c>
      <c r="I94" s="480"/>
      <c r="J94" s="552">
        <f>H94/DAY(B2)</f>
        <v>98.15384615384616</v>
      </c>
      <c r="K94" s="380"/>
      <c r="L94" s="377"/>
      <c r="N94" s="719"/>
      <c r="O94" s="726"/>
      <c r="P94" s="382"/>
    </row>
    <row r="95" spans="1:16">
      <c r="A95" s="1531" t="s">
        <v>207</v>
      </c>
      <c r="B95" s="1532"/>
      <c r="C95" s="1533"/>
      <c r="D95" s="523"/>
      <c r="E95" s="484">
        <f>'12'!F95</f>
        <v>0</v>
      </c>
      <c r="F95" s="478"/>
      <c r="G95" s="473">
        <f>G93+G94</f>
        <v>233</v>
      </c>
      <c r="H95" s="460">
        <f>G95+'12'!H95</f>
        <v>1792</v>
      </c>
      <c r="I95" s="480"/>
      <c r="J95" s="552">
        <f>H95/DAY(B2)</f>
        <v>137.84615384615384</v>
      </c>
      <c r="K95" s="380"/>
      <c r="L95" s="377"/>
      <c r="N95" s="719"/>
      <c r="O95" s="726"/>
      <c r="P95" s="382"/>
    </row>
    <row r="96" spans="1:16" ht="27.75">
      <c r="A96" s="1537" t="s">
        <v>208</v>
      </c>
      <c r="B96" s="1538"/>
      <c r="C96" s="1539"/>
      <c r="D96" s="523" t="s">
        <v>143</v>
      </c>
      <c r="E96" s="484">
        <f>'12'!F96</f>
        <v>414846</v>
      </c>
      <c r="F96" s="478">
        <v>414910</v>
      </c>
      <c r="G96" s="473">
        <f t="shared" ref="G96:G101" si="10">F96-E96</f>
        <v>64</v>
      </c>
      <c r="H96" s="460">
        <f>G96+'12'!H96</f>
        <v>627</v>
      </c>
      <c r="I96" s="480"/>
      <c r="J96" s="552">
        <f>H96/DAY(B2)</f>
        <v>48.230769230769234</v>
      </c>
      <c r="K96" s="380"/>
      <c r="L96" s="377"/>
      <c r="N96" s="719"/>
      <c r="O96" s="726"/>
      <c r="P96" s="382"/>
    </row>
    <row r="97" spans="1:16" ht="27.75">
      <c r="A97" s="1141" t="s">
        <v>209</v>
      </c>
      <c r="B97" s="1142"/>
      <c r="C97" s="1142"/>
      <c r="D97" s="523" t="s">
        <v>143</v>
      </c>
      <c r="E97" s="484">
        <f>'12'!F97</f>
        <v>102786</v>
      </c>
      <c r="F97" s="478">
        <v>102820</v>
      </c>
      <c r="G97" s="473">
        <f t="shared" si="10"/>
        <v>34</v>
      </c>
      <c r="H97" s="460">
        <f>G97+'12'!H97</f>
        <v>172</v>
      </c>
      <c r="I97" s="480"/>
      <c r="J97" s="552">
        <f>H97/DAY(B2)</f>
        <v>13.23076923076923</v>
      </c>
      <c r="K97" s="427"/>
      <c r="L97" s="377"/>
      <c r="N97" s="719"/>
      <c r="O97" s="726"/>
      <c r="P97" s="382"/>
    </row>
    <row r="98" spans="1:16" ht="27.75">
      <c r="A98" s="1141" t="s">
        <v>210</v>
      </c>
      <c r="B98" s="1142"/>
      <c r="C98" s="1142"/>
      <c r="D98" s="523" t="s">
        <v>143</v>
      </c>
      <c r="E98" s="484">
        <f>'12'!F98</f>
        <v>98188</v>
      </c>
      <c r="F98" s="478">
        <v>98235</v>
      </c>
      <c r="G98" s="473">
        <f t="shared" si="10"/>
        <v>47</v>
      </c>
      <c r="H98" s="460">
        <f>G98+'12'!H98</f>
        <v>285</v>
      </c>
      <c r="I98" s="480"/>
      <c r="J98" s="552">
        <f>H98/DAY(B2)</f>
        <v>21.923076923076923</v>
      </c>
      <c r="K98" s="432"/>
      <c r="L98" s="377"/>
      <c r="N98" s="719"/>
      <c r="O98" s="726"/>
      <c r="P98" s="382"/>
    </row>
    <row r="99" spans="1:16" ht="27.75">
      <c r="A99" s="1141" t="s">
        <v>211</v>
      </c>
      <c r="B99" s="1142"/>
      <c r="C99" s="1142"/>
      <c r="D99" s="523" t="s">
        <v>143</v>
      </c>
      <c r="E99" s="484">
        <f>'12'!F99</f>
        <v>149957</v>
      </c>
      <c r="F99" s="478">
        <v>149965</v>
      </c>
      <c r="G99" s="473">
        <f t="shared" si="10"/>
        <v>8</v>
      </c>
      <c r="H99" s="460">
        <f>G99+'12'!H99</f>
        <v>113</v>
      </c>
      <c r="I99" s="480"/>
      <c r="J99" s="552">
        <f>H99/DAY(B2)</f>
        <v>8.6923076923076916</v>
      </c>
      <c r="K99" s="380"/>
      <c r="L99" s="377"/>
      <c r="N99" s="721"/>
      <c r="O99" s="726"/>
      <c r="P99" s="382"/>
    </row>
    <row r="100" spans="1:16" ht="27.75">
      <c r="A100" s="1141" t="s">
        <v>212</v>
      </c>
      <c r="B100" s="1142"/>
      <c r="C100" s="1142"/>
      <c r="D100" s="523" t="s">
        <v>143</v>
      </c>
      <c r="E100" s="484">
        <f>'12'!F100</f>
        <v>7514</v>
      </c>
      <c r="F100" s="478">
        <v>7527</v>
      </c>
      <c r="G100" s="473">
        <f t="shared" si="10"/>
        <v>13</v>
      </c>
      <c r="H100" s="460">
        <f>G100+'12'!H100</f>
        <v>158</v>
      </c>
      <c r="I100" s="480"/>
      <c r="J100" s="552">
        <f>H100/DAY(B2)</f>
        <v>12.153846153846153</v>
      </c>
      <c r="K100" s="380"/>
      <c r="L100" s="377"/>
      <c r="N100" s="719"/>
      <c r="O100" s="726"/>
      <c r="P100" s="382"/>
    </row>
    <row r="101" spans="1:16" ht="27.75">
      <c r="A101" s="1141" t="s">
        <v>213</v>
      </c>
      <c r="B101" s="1142"/>
      <c r="C101" s="1142"/>
      <c r="D101" s="523" t="s">
        <v>143</v>
      </c>
      <c r="E101" s="484">
        <f>'12'!F101</f>
        <v>5489</v>
      </c>
      <c r="F101" s="626">
        <v>5501</v>
      </c>
      <c r="G101" s="473">
        <f t="shared" si="10"/>
        <v>12</v>
      </c>
      <c r="H101" s="460">
        <f>G101+'12'!H101</f>
        <v>110</v>
      </c>
      <c r="I101" s="480"/>
      <c r="J101" s="552">
        <f>H101/DAY(B2)</f>
        <v>8.4615384615384617</v>
      </c>
      <c r="K101" s="380"/>
      <c r="L101" s="377"/>
      <c r="N101" s="719"/>
      <c r="O101" s="726"/>
      <c r="P101" s="382"/>
    </row>
    <row r="102" spans="1:16">
      <c r="A102" s="1531" t="s">
        <v>215</v>
      </c>
      <c r="B102" s="1532"/>
      <c r="C102" s="1533"/>
      <c r="D102" s="524"/>
      <c r="E102" s="484"/>
      <c r="F102" s="524"/>
      <c r="G102" s="525">
        <f>SUM(G96:G101)</f>
        <v>178</v>
      </c>
      <c r="H102" s="460">
        <f>G102+'12'!H102</f>
        <v>1465</v>
      </c>
      <c r="I102" s="526"/>
      <c r="J102" s="552">
        <f>H102/DAY(B2)</f>
        <v>112.69230769230769</v>
      </c>
      <c r="K102" s="380"/>
      <c r="L102" s="377"/>
      <c r="N102" s="719"/>
      <c r="O102" s="726"/>
      <c r="P102" s="382"/>
    </row>
    <row r="103" spans="1:16" s="442" customFormat="1" ht="27">
      <c r="A103" s="607" t="s">
        <v>216</v>
      </c>
      <c r="B103" s="608"/>
      <c r="C103" s="608"/>
      <c r="D103" s="621"/>
      <c r="E103" s="484"/>
      <c r="F103" s="658"/>
      <c r="G103" s="529"/>
      <c r="H103" s="530"/>
      <c r="I103" s="531"/>
      <c r="J103" s="557"/>
      <c r="N103" s="719"/>
      <c r="O103" s="726"/>
      <c r="P103" s="382"/>
    </row>
    <row r="104" spans="1:16" s="442" customFormat="1" ht="27.75">
      <c r="A104" s="1540" t="s">
        <v>217</v>
      </c>
      <c r="B104" s="1541"/>
      <c r="C104" s="573"/>
      <c r="D104" s="622"/>
      <c r="E104" s="484"/>
      <c r="F104" s="659"/>
      <c r="G104" s="532"/>
      <c r="H104" s="533"/>
      <c r="I104" s="532"/>
      <c r="J104" s="558"/>
      <c r="N104" s="719"/>
      <c r="O104" s="726"/>
      <c r="P104" s="382"/>
    </row>
    <row r="105" spans="1:16" s="442" customFormat="1" ht="27.75">
      <c r="A105" s="1542" t="s">
        <v>218</v>
      </c>
      <c r="B105" s="1543"/>
      <c r="C105" s="1140"/>
      <c r="D105" s="622" t="s">
        <v>143</v>
      </c>
      <c r="E105" s="484">
        <f>'12'!F105</f>
        <v>7473</v>
      </c>
      <c r="F105" s="660">
        <v>7473</v>
      </c>
      <c r="G105" s="532">
        <f>F105-E105</f>
        <v>0</v>
      </c>
      <c r="H105" s="533">
        <f>SUM(G105+'1'!G76)</f>
        <v>57</v>
      </c>
      <c r="I105" s="532"/>
      <c r="J105" s="558">
        <f>H105/DAY(B2)</f>
        <v>4.384615384615385</v>
      </c>
      <c r="N105" s="719"/>
      <c r="O105" s="726"/>
      <c r="P105" s="382"/>
    </row>
    <row r="106" spans="1:16" s="442" customFormat="1" ht="27.75">
      <c r="A106" s="1542" t="s">
        <v>76</v>
      </c>
      <c r="B106" s="1543"/>
      <c r="C106" s="1140"/>
      <c r="D106" s="622" t="s">
        <v>143</v>
      </c>
      <c r="E106" s="484">
        <f>'12'!F106</f>
        <v>36006</v>
      </c>
      <c r="F106" s="660">
        <v>36019</v>
      </c>
      <c r="G106" s="532">
        <f t="shared" ref="G106:G107" si="11">F106-E106</f>
        <v>13</v>
      </c>
      <c r="H106" s="533">
        <f>SUM(G106+'1'!G77)</f>
        <v>62</v>
      </c>
      <c r="I106" s="532"/>
      <c r="J106" s="558">
        <f>H106/DAY(B2)</f>
        <v>4.7692307692307692</v>
      </c>
      <c r="N106" s="719"/>
      <c r="O106" s="726"/>
      <c r="P106" s="382"/>
    </row>
    <row r="107" spans="1:16" s="442" customFormat="1" ht="27.75">
      <c r="A107" s="1542" t="s">
        <v>77</v>
      </c>
      <c r="B107" s="1544"/>
      <c r="C107" s="1543"/>
      <c r="D107" s="622" t="s">
        <v>143</v>
      </c>
      <c r="E107" s="484">
        <f>'12'!F107</f>
        <v>19746</v>
      </c>
      <c r="F107" s="660">
        <v>19751</v>
      </c>
      <c r="G107" s="532">
        <f t="shared" si="11"/>
        <v>5</v>
      </c>
      <c r="H107" s="533">
        <f>SUM(G107+'1'!G78)</f>
        <v>60</v>
      </c>
      <c r="I107" s="532"/>
      <c r="J107" s="558">
        <f>H107/DAY(B2)</f>
        <v>4.615384615384615</v>
      </c>
      <c r="N107" s="719"/>
      <c r="O107" s="726"/>
      <c r="P107" s="382"/>
    </row>
    <row r="108" spans="1:16" s="442" customFormat="1" ht="27.75">
      <c r="A108" s="1545" t="s">
        <v>201</v>
      </c>
      <c r="B108" s="1546"/>
      <c r="C108" s="1140"/>
      <c r="D108" s="622"/>
      <c r="E108" s="484"/>
      <c r="F108" s="660"/>
      <c r="G108" s="532">
        <f>SUM(G105:G107)</f>
        <v>18</v>
      </c>
      <c r="H108" s="533">
        <f>SUM(G108+'1'!G79)</f>
        <v>173</v>
      </c>
      <c r="I108" s="532"/>
      <c r="J108" s="558">
        <f>H108/DAY(B2)</f>
        <v>13.307692307692308</v>
      </c>
      <c r="N108" s="719"/>
      <c r="O108" s="726"/>
      <c r="P108" s="382"/>
    </row>
    <row r="109" spans="1:16" s="442" customFormat="1" ht="27.75">
      <c r="A109" s="1547" t="s">
        <v>78</v>
      </c>
      <c r="B109" s="1548"/>
      <c r="C109" s="1140"/>
      <c r="D109" s="622" t="s">
        <v>143</v>
      </c>
      <c r="E109" s="484"/>
      <c r="F109" s="660"/>
      <c r="G109" s="532"/>
      <c r="H109" s="533"/>
      <c r="I109" s="532"/>
      <c r="J109" s="558"/>
      <c r="N109" s="719"/>
      <c r="O109" s="726"/>
      <c r="P109" s="382"/>
    </row>
    <row r="110" spans="1:16" s="442" customFormat="1" ht="27.75">
      <c r="A110" s="1542" t="s">
        <v>219</v>
      </c>
      <c r="B110" s="1543"/>
      <c r="C110" s="1140"/>
      <c r="D110" s="622" t="s">
        <v>143</v>
      </c>
      <c r="E110" s="484">
        <f>'12'!F110</f>
        <v>63549</v>
      </c>
      <c r="F110" s="660">
        <v>63612</v>
      </c>
      <c r="G110" s="532">
        <f>F110-E110</f>
        <v>63</v>
      </c>
      <c r="H110" s="533">
        <f>SUM(G110+'1'!G81)</f>
        <v>157</v>
      </c>
      <c r="I110" s="532"/>
      <c r="J110" s="558">
        <f>H110/DAY(B2)</f>
        <v>12.076923076923077</v>
      </c>
      <c r="N110" s="719"/>
      <c r="O110" s="726"/>
      <c r="P110" s="382"/>
    </row>
    <row r="111" spans="1:16" s="442" customFormat="1" ht="27.75">
      <c r="A111" s="1542" t="s">
        <v>220</v>
      </c>
      <c r="B111" s="1543"/>
      <c r="C111" s="1140"/>
      <c r="D111" s="622" t="s">
        <v>143</v>
      </c>
      <c r="E111" s="484">
        <f>'12'!F111</f>
        <v>32697</v>
      </c>
      <c r="F111" s="660">
        <v>32697</v>
      </c>
      <c r="G111" s="532">
        <f t="shared" ref="G111:G112" si="12">F111-E111</f>
        <v>0</v>
      </c>
      <c r="H111" s="533">
        <f>SUM(G111+'1'!G82)</f>
        <v>11</v>
      </c>
      <c r="I111" s="532"/>
      <c r="J111" s="558">
        <f>H111/DAY(B2)</f>
        <v>0.84615384615384615</v>
      </c>
      <c r="N111" s="719"/>
      <c r="O111" s="726"/>
      <c r="P111" s="382"/>
    </row>
    <row r="112" spans="1:16" s="442" customFormat="1" ht="27.75">
      <c r="A112" s="1542" t="s">
        <v>221</v>
      </c>
      <c r="B112" s="1543"/>
      <c r="C112" s="1140"/>
      <c r="D112" s="622" t="s">
        <v>143</v>
      </c>
      <c r="E112" s="484">
        <f>'12'!F112</f>
        <v>4621</v>
      </c>
      <c r="F112" s="660">
        <v>4621</v>
      </c>
      <c r="G112" s="532">
        <f t="shared" si="12"/>
        <v>0</v>
      </c>
      <c r="H112" s="533">
        <f>SUM(G112+'1'!G83)</f>
        <v>152</v>
      </c>
      <c r="I112" s="532"/>
      <c r="J112" s="558">
        <f>H112/DAY(B2)</f>
        <v>11.692307692307692</v>
      </c>
      <c r="N112" s="719"/>
      <c r="O112" s="726"/>
      <c r="P112" s="382"/>
    </row>
    <row r="113" spans="1:16" s="442" customFormat="1" ht="27.75">
      <c r="A113" s="1545" t="s">
        <v>109</v>
      </c>
      <c r="B113" s="1546"/>
      <c r="C113" s="1140"/>
      <c r="D113" s="622"/>
      <c r="E113" s="484"/>
      <c r="F113" s="660"/>
      <c r="G113" s="532">
        <f>SUM(G110:G112)</f>
        <v>63</v>
      </c>
      <c r="H113" s="533">
        <f>SUM(G113+'1'!G84)</f>
        <v>890</v>
      </c>
      <c r="I113" s="532"/>
      <c r="J113" s="558">
        <f>H113/DAY(B2)</f>
        <v>68.461538461538467</v>
      </c>
      <c r="N113" s="719"/>
      <c r="O113" s="726"/>
      <c r="P113" s="382"/>
    </row>
    <row r="114" spans="1:16" s="442" customFormat="1" ht="27.75">
      <c r="A114" s="1547" t="s">
        <v>222</v>
      </c>
      <c r="B114" s="1548"/>
      <c r="C114" s="1140"/>
      <c r="D114" s="622"/>
      <c r="E114" s="484"/>
      <c r="F114" s="660"/>
      <c r="G114" s="532"/>
      <c r="H114" s="533"/>
      <c r="I114" s="532"/>
      <c r="J114" s="558">
        <f>H114/DAY(B2)</f>
        <v>0</v>
      </c>
      <c r="N114" s="719"/>
      <c r="O114" s="726"/>
      <c r="P114" s="382"/>
    </row>
    <row r="115" spans="1:16" s="442" customFormat="1" ht="27.75">
      <c r="A115" s="1542" t="s">
        <v>223</v>
      </c>
      <c r="B115" s="1543"/>
      <c r="C115" s="574"/>
      <c r="D115" s="622" t="s">
        <v>143</v>
      </c>
      <c r="E115" s="484">
        <f>'12'!F115</f>
        <v>11677</v>
      </c>
      <c r="F115" s="660">
        <v>11693</v>
      </c>
      <c r="G115" s="534">
        <f>F115-E115</f>
        <v>16</v>
      </c>
      <c r="H115" s="533">
        <f>SUM(G115+'1'!G92)</f>
        <v>16</v>
      </c>
      <c r="I115" s="532"/>
      <c r="J115" s="558">
        <f>H115/DAY(B2)</f>
        <v>1.2307692307692308</v>
      </c>
      <c r="N115" s="719"/>
      <c r="O115" s="726"/>
      <c r="P115" s="382"/>
    </row>
    <row r="116" spans="1:16" s="442" customFormat="1" ht="27.75">
      <c r="A116" s="1542" t="s">
        <v>224</v>
      </c>
      <c r="B116" s="1543"/>
      <c r="C116" s="574"/>
      <c r="D116" s="622" t="s">
        <v>143</v>
      </c>
      <c r="E116" s="484">
        <f>'12'!F116</f>
        <v>8397</v>
      </c>
      <c r="F116" s="660">
        <v>8412</v>
      </c>
      <c r="G116" s="534">
        <f t="shared" ref="G116:G117" si="13">F116-E116</f>
        <v>15</v>
      </c>
      <c r="H116" s="533">
        <f>SUM(G116+'1'!G93)</f>
        <v>33</v>
      </c>
      <c r="I116" s="532"/>
      <c r="J116" s="558">
        <f>H116/DAY(B2)</f>
        <v>2.5384615384615383</v>
      </c>
      <c r="N116" s="719"/>
      <c r="O116" s="726"/>
      <c r="P116" s="382"/>
    </row>
    <row r="117" spans="1:16" s="442" customFormat="1" ht="27.75">
      <c r="A117" s="1542" t="s">
        <v>225</v>
      </c>
      <c r="B117" s="1543"/>
      <c r="C117" s="574"/>
      <c r="D117" s="622" t="s">
        <v>143</v>
      </c>
      <c r="E117" s="534"/>
      <c r="F117" s="660"/>
      <c r="G117" s="534">
        <f t="shared" si="13"/>
        <v>0</v>
      </c>
      <c r="H117" s="533">
        <f>SUM(G117+'1'!G94)</f>
        <v>58</v>
      </c>
      <c r="I117" s="532"/>
      <c r="J117" s="558">
        <f>H117/DAY(B2)</f>
        <v>4.4615384615384617</v>
      </c>
      <c r="N117" s="719"/>
      <c r="O117" s="726"/>
      <c r="P117" s="382"/>
    </row>
    <row r="118" spans="1:16" s="445" customFormat="1" ht="27.75">
      <c r="A118" s="1545" t="s">
        <v>201</v>
      </c>
      <c r="B118" s="1546"/>
      <c r="C118" s="574"/>
      <c r="D118" s="623"/>
      <c r="E118" s="534"/>
      <c r="F118" s="660"/>
      <c r="G118" s="534">
        <f>SUM(G115:G117)</f>
        <v>31</v>
      </c>
      <c r="H118" s="533">
        <f>SUM(G118+'1'!G96)</f>
        <v>71</v>
      </c>
      <c r="I118" s="534"/>
      <c r="J118" s="558">
        <f>H118/DAY(B2)</f>
        <v>5.4615384615384617</v>
      </c>
      <c r="N118" s="719"/>
      <c r="O118" s="726"/>
      <c r="P118" s="382"/>
    </row>
    <row r="119" spans="1:16" s="446" customFormat="1" ht="27.75">
      <c r="A119" s="1576" t="s">
        <v>226</v>
      </c>
      <c r="B119" s="1577"/>
      <c r="C119" s="1138"/>
      <c r="D119" s="624" t="s">
        <v>143</v>
      </c>
      <c r="E119" s="536"/>
      <c r="F119" s="661">
        <f>SUM(G19+G93)</f>
        <v>188</v>
      </c>
      <c r="G119" s="536">
        <f>SUM(G19+G93)</f>
        <v>188</v>
      </c>
      <c r="H119" s="533">
        <f>SUM(G119+'1'!G97)</f>
        <v>201</v>
      </c>
      <c r="I119" s="535"/>
      <c r="J119" s="559">
        <f>H119/DAY(B2)</f>
        <v>15.461538461538462</v>
      </c>
      <c r="N119" s="719"/>
      <c r="O119" s="726"/>
      <c r="P119" s="382"/>
    </row>
    <row r="120" spans="1:16" s="446" customFormat="1" ht="27.75">
      <c r="A120" s="1576" t="s">
        <v>227</v>
      </c>
      <c r="B120" s="1577"/>
      <c r="C120" s="1138"/>
      <c r="D120" s="624" t="s">
        <v>143</v>
      </c>
      <c r="E120" s="536"/>
      <c r="F120" s="661">
        <f>SUM(G96,G97,G98,G100,G101)</f>
        <v>170</v>
      </c>
      <c r="G120" s="536">
        <f>SUM(G96,G97,G98,G100,G101)</f>
        <v>170</v>
      </c>
      <c r="H120" s="533">
        <f>SUM(G120+'1'!G99)</f>
        <v>177</v>
      </c>
      <c r="I120" s="535"/>
      <c r="J120" s="559">
        <f>H120/DAY(B2)</f>
        <v>13.615384615384615</v>
      </c>
      <c r="N120" s="719"/>
      <c r="O120" s="726"/>
      <c r="P120" s="382"/>
    </row>
    <row r="121" spans="1:16" s="446" customFormat="1" ht="27.75">
      <c r="A121" s="1576" t="s">
        <v>228</v>
      </c>
      <c r="B121" s="1577"/>
      <c r="C121" s="1138"/>
      <c r="D121" s="624" t="s">
        <v>143</v>
      </c>
      <c r="E121" s="534"/>
      <c r="F121" s="660">
        <f>SUM(G113)</f>
        <v>63</v>
      </c>
      <c r="G121" s="534">
        <f>SUM(G113)</f>
        <v>63</v>
      </c>
      <c r="H121" s="533">
        <f>SUM(G121+'1'!G101)</f>
        <v>67</v>
      </c>
      <c r="I121" s="535"/>
      <c r="J121" s="559">
        <f>H121/DAY(B2)</f>
        <v>5.1538461538461542</v>
      </c>
      <c r="N121" s="719"/>
      <c r="O121" s="726"/>
      <c r="P121" s="382"/>
    </row>
    <row r="122" spans="1:16" s="442" customFormat="1" ht="27.75">
      <c r="A122" s="1578"/>
      <c r="B122" s="1579"/>
      <c r="C122" s="1139"/>
      <c r="D122" s="560"/>
      <c r="E122" s="560"/>
      <c r="F122" s="662" t="s">
        <v>214</v>
      </c>
      <c r="G122" s="560"/>
      <c r="H122" s="561"/>
      <c r="I122" s="560"/>
      <c r="J122" s="562"/>
      <c r="N122" s="719"/>
      <c r="O122" s="726"/>
      <c r="P122" s="382"/>
    </row>
    <row r="123" spans="1:16">
      <c r="A123" s="1528" t="s">
        <v>229</v>
      </c>
      <c r="B123" s="1529"/>
      <c r="C123" s="1530"/>
      <c r="D123" s="472"/>
      <c r="E123" s="472"/>
      <c r="F123" s="472"/>
      <c r="G123" s="483"/>
      <c r="H123" s="483"/>
      <c r="I123" s="483"/>
      <c r="J123" s="563"/>
      <c r="K123" s="380"/>
      <c r="L123" s="377"/>
      <c r="N123" s="719"/>
      <c r="O123" s="726"/>
      <c r="P123" s="382"/>
    </row>
    <row r="124" spans="1:16" ht="27.75">
      <c r="A124" s="1141" t="s">
        <v>230</v>
      </c>
      <c r="B124" s="1142"/>
      <c r="C124" s="1142"/>
      <c r="D124" s="523" t="s">
        <v>140</v>
      </c>
      <c r="E124" s="478">
        <f>'12'!F124</f>
        <v>834687</v>
      </c>
      <c r="F124" s="478">
        <v>834932</v>
      </c>
      <c r="G124" s="473">
        <f t="shared" ref="G124:G128" si="14">F124-E124</f>
        <v>245</v>
      </c>
      <c r="H124" s="460">
        <f>G124+'12'!H124</f>
        <v>2566</v>
      </c>
      <c r="I124" s="526"/>
      <c r="J124" s="552">
        <f>H124/DAY(B2)</f>
        <v>197.38461538461539</v>
      </c>
      <c r="K124" s="380"/>
      <c r="L124" s="377"/>
      <c r="N124" s="719"/>
      <c r="O124" s="726"/>
      <c r="P124" s="382"/>
    </row>
    <row r="125" spans="1:16" ht="27.75">
      <c r="A125" s="1141" t="s">
        <v>231</v>
      </c>
      <c r="B125" s="1142"/>
      <c r="C125" s="1142"/>
      <c r="D125" s="523" t="s">
        <v>140</v>
      </c>
      <c r="E125" s="626">
        <f>'12'!F125</f>
        <v>73583</v>
      </c>
      <c r="F125" s="626">
        <v>73583</v>
      </c>
      <c r="G125" s="473">
        <f t="shared" si="14"/>
        <v>0</v>
      </c>
      <c r="H125" s="460">
        <f>G125+'12'!H125</f>
        <v>-0.39999999999417923</v>
      </c>
      <c r="I125" s="526"/>
      <c r="J125" s="552">
        <f>H125/DAY(B2)</f>
        <v>-3.0769230768783018E-2</v>
      </c>
      <c r="K125" s="380"/>
      <c r="L125" s="377"/>
      <c r="N125" s="719"/>
      <c r="O125" s="726"/>
      <c r="P125" s="382"/>
    </row>
    <row r="126" spans="1:16" ht="27.75">
      <c r="A126" s="1534" t="s">
        <v>232</v>
      </c>
      <c r="B126" s="1535"/>
      <c r="C126" s="1536"/>
      <c r="D126" s="523" t="s">
        <v>140</v>
      </c>
      <c r="E126" s="478">
        <f>'12'!F126</f>
        <v>147247</v>
      </c>
      <c r="F126" s="478">
        <v>147307</v>
      </c>
      <c r="G126" s="473">
        <f t="shared" si="14"/>
        <v>60</v>
      </c>
      <c r="H126" s="460">
        <f>G126+'12'!H126</f>
        <v>816</v>
      </c>
      <c r="I126" s="526"/>
      <c r="J126" s="552">
        <f>H126/DAY(B2)</f>
        <v>62.769230769230766</v>
      </c>
      <c r="K126" s="380"/>
      <c r="L126" s="377"/>
      <c r="N126" s="719"/>
      <c r="O126" s="726"/>
      <c r="P126" s="382"/>
    </row>
    <row r="127" spans="1:16" ht="27.75">
      <c r="A127" s="609" t="s">
        <v>233</v>
      </c>
      <c r="B127" s="1142"/>
      <c r="C127" s="1142"/>
      <c r="D127" s="523" t="s">
        <v>140</v>
      </c>
      <c r="E127" s="626">
        <f>'12'!F127</f>
        <v>31409</v>
      </c>
      <c r="F127" s="626">
        <v>31477</v>
      </c>
      <c r="G127" s="473">
        <f t="shared" si="14"/>
        <v>68</v>
      </c>
      <c r="H127" s="460">
        <f>G127+'12'!H127</f>
        <v>71</v>
      </c>
      <c r="I127" s="526"/>
      <c r="J127" s="552">
        <f>H127/DAY(B2)</f>
        <v>5.4615384615384617</v>
      </c>
      <c r="K127" s="380"/>
      <c r="L127" s="377"/>
      <c r="N127" s="719"/>
      <c r="O127" s="726"/>
      <c r="P127" s="382"/>
    </row>
    <row r="128" spans="1:16" ht="27.75">
      <c r="A128" s="609" t="s">
        <v>234</v>
      </c>
      <c r="B128" s="1142"/>
      <c r="C128" s="1142"/>
      <c r="D128" s="523" t="s">
        <v>140</v>
      </c>
      <c r="E128" s="626">
        <f>'12'!F128</f>
        <v>8972</v>
      </c>
      <c r="F128" s="626">
        <v>8974</v>
      </c>
      <c r="G128" s="473">
        <f t="shared" si="14"/>
        <v>2</v>
      </c>
      <c r="H128" s="460">
        <f>G128+'12'!H128</f>
        <v>2</v>
      </c>
      <c r="I128" s="480"/>
      <c r="J128" s="552">
        <f>H128/DAY(B2)</f>
        <v>0.15384615384615385</v>
      </c>
      <c r="K128" s="380"/>
      <c r="L128" s="377"/>
      <c r="N128" s="719"/>
      <c r="O128" s="726"/>
      <c r="P128" s="382"/>
    </row>
    <row r="129" spans="1:16" s="281" customFormat="1" ht="27.75">
      <c r="A129" s="609" t="s">
        <v>235</v>
      </c>
      <c r="B129" s="1142"/>
      <c r="C129" s="1142"/>
      <c r="D129" s="523"/>
      <c r="E129" s="478"/>
      <c r="F129" s="478"/>
      <c r="G129" s="473">
        <f>G15-SUM(G124:G128)</f>
        <v>362</v>
      </c>
      <c r="H129" s="460"/>
      <c r="I129" s="480"/>
      <c r="J129" s="552"/>
      <c r="K129" s="364"/>
      <c r="L129" s="292"/>
      <c r="N129" s="719"/>
      <c r="O129" s="726"/>
      <c r="P129" s="382"/>
    </row>
    <row r="130" spans="1:16">
      <c r="A130" s="610" t="s">
        <v>236</v>
      </c>
      <c r="B130" s="458"/>
      <c r="C130" s="458"/>
      <c r="D130" s="471"/>
      <c r="E130" s="471"/>
      <c r="F130" s="471"/>
      <c r="G130" s="540"/>
      <c r="H130" s="540"/>
      <c r="I130" s="540"/>
      <c r="J130" s="564"/>
      <c r="N130" s="719"/>
      <c r="O130" s="726"/>
      <c r="P130" s="382"/>
    </row>
    <row r="131" spans="1:16" ht="27.75">
      <c r="A131" s="1141" t="s">
        <v>237</v>
      </c>
      <c r="B131" s="1142"/>
      <c r="C131" s="1142"/>
      <c r="D131" s="523" t="s">
        <v>238</v>
      </c>
      <c r="E131" s="484">
        <f>'12'!F131</f>
        <v>0</v>
      </c>
      <c r="F131" s="478">
        <v>0</v>
      </c>
      <c r="G131" s="473">
        <f t="shared" ref="G131:G141" si="15">F131-E131</f>
        <v>0</v>
      </c>
      <c r="H131" s="460">
        <f>G131+'12'!H131</f>
        <v>0</v>
      </c>
      <c r="I131" s="480"/>
      <c r="J131" s="552">
        <f>H131/DAY(B2)</f>
        <v>0</v>
      </c>
      <c r="N131" s="719"/>
      <c r="O131" s="726"/>
      <c r="P131" s="382"/>
    </row>
    <row r="132" spans="1:16" ht="27.75">
      <c r="A132" s="1141" t="s">
        <v>239</v>
      </c>
      <c r="B132" s="1142"/>
      <c r="C132" s="1142"/>
      <c r="D132" s="523" t="s">
        <v>238</v>
      </c>
      <c r="E132" s="484">
        <f>'12'!F132</f>
        <v>0</v>
      </c>
      <c r="F132" s="478">
        <v>0</v>
      </c>
      <c r="G132" s="473">
        <f t="shared" si="15"/>
        <v>0</v>
      </c>
      <c r="H132" s="460">
        <f>G132+'12'!H132</f>
        <v>0</v>
      </c>
      <c r="I132" s="480"/>
      <c r="J132" s="552">
        <f>H132/DAY(B2)</f>
        <v>0</v>
      </c>
      <c r="N132" s="719"/>
      <c r="O132" s="726"/>
      <c r="P132" s="382"/>
    </row>
    <row r="133" spans="1:16" ht="27.75">
      <c r="A133" s="1141" t="s">
        <v>240</v>
      </c>
      <c r="B133" s="1142"/>
      <c r="C133" s="1142"/>
      <c r="D133" s="523" t="s">
        <v>238</v>
      </c>
      <c r="E133" s="541">
        <f>'12'!F133</f>
        <v>40170.449999999997</v>
      </c>
      <c r="F133" s="652">
        <v>40194</v>
      </c>
      <c r="G133" s="473">
        <f t="shared" si="15"/>
        <v>23.55000000000291</v>
      </c>
      <c r="H133" s="460">
        <f>G133+'12'!H133</f>
        <v>158.90000000000146</v>
      </c>
      <c r="I133" s="480"/>
      <c r="J133" s="552">
        <f>H133/DAY(B2)</f>
        <v>12.223076923077034</v>
      </c>
      <c r="N133" s="719"/>
      <c r="O133" s="726"/>
      <c r="P133" s="382"/>
    </row>
    <row r="134" spans="1:16" ht="27.75">
      <c r="A134" s="1141" t="s">
        <v>241</v>
      </c>
      <c r="B134" s="1142"/>
      <c r="C134" s="1142"/>
      <c r="D134" s="523" t="s">
        <v>238</v>
      </c>
      <c r="E134" s="702">
        <f>'12'!F134</f>
        <v>300</v>
      </c>
      <c r="F134" s="626">
        <v>300</v>
      </c>
      <c r="G134" s="473">
        <f t="shared" si="15"/>
        <v>0</v>
      </c>
      <c r="H134" s="460">
        <f>G134+'12'!H134</f>
        <v>0</v>
      </c>
      <c r="I134" s="480">
        <f>G131+G132+G133+G134</f>
        <v>23.55000000000291</v>
      </c>
      <c r="J134" s="552">
        <f>H134/DAY(B2)</f>
        <v>0</v>
      </c>
      <c r="N134" s="719"/>
      <c r="O134" s="726"/>
      <c r="P134" s="382"/>
    </row>
    <row r="135" spans="1:16" ht="27.75">
      <c r="A135" s="1141" t="s">
        <v>242</v>
      </c>
      <c r="B135" s="1142"/>
      <c r="C135" s="1142"/>
      <c r="D135" s="523" t="s">
        <v>238</v>
      </c>
      <c r="E135" s="702">
        <f>'12'!F135</f>
        <v>41730.449999999997</v>
      </c>
      <c r="F135" s="626">
        <v>41736</v>
      </c>
      <c r="G135" s="473">
        <f t="shared" si="15"/>
        <v>5.5500000000029104</v>
      </c>
      <c r="H135" s="460">
        <f>G135+'12'!H135</f>
        <v>6</v>
      </c>
      <c r="I135" s="480"/>
      <c r="J135" s="552">
        <f>H135/DAY(B2)</f>
        <v>0.46153846153846156</v>
      </c>
      <c r="N135" s="719"/>
      <c r="O135" s="726"/>
      <c r="P135" s="382"/>
    </row>
    <row r="136" spans="1:16" ht="27.75">
      <c r="A136" s="1141" t="s">
        <v>243</v>
      </c>
      <c r="B136" s="1142"/>
      <c r="C136" s="1142"/>
      <c r="D136" s="523" t="s">
        <v>238</v>
      </c>
      <c r="E136" s="541">
        <f>'12'!F136</f>
        <v>32874</v>
      </c>
      <c r="F136" s="652">
        <v>32874</v>
      </c>
      <c r="G136" s="473">
        <f t="shared" si="15"/>
        <v>0</v>
      </c>
      <c r="H136" s="460">
        <f>G136+'12'!H136</f>
        <v>159</v>
      </c>
      <c r="I136" s="480"/>
      <c r="J136" s="552">
        <f>H136/DAY(B2)</f>
        <v>12.23076923076923</v>
      </c>
      <c r="N136" s="719"/>
      <c r="O136" s="726"/>
      <c r="P136" s="382"/>
    </row>
    <row r="137" spans="1:16" ht="27.75">
      <c r="A137" s="1141" t="s">
        <v>244</v>
      </c>
      <c r="B137" s="1142"/>
      <c r="C137" s="1142"/>
      <c r="D137" s="523" t="s">
        <v>238</v>
      </c>
      <c r="E137" s="541">
        <f>'12'!F137</f>
        <v>22833.51</v>
      </c>
      <c r="F137" s="652">
        <v>22841.51</v>
      </c>
      <c r="G137" s="473">
        <f t="shared" si="15"/>
        <v>8</v>
      </c>
      <c r="H137" s="460">
        <f>G137+'12'!H137</f>
        <v>34.269999999996799</v>
      </c>
      <c r="I137" s="480">
        <f>G135+G136+G137</f>
        <v>13.55000000000291</v>
      </c>
      <c r="J137" s="552">
        <f>H137/DAY(B2)</f>
        <v>2.6361538461535998</v>
      </c>
      <c r="N137" s="719"/>
      <c r="O137" s="726"/>
      <c r="P137" s="382"/>
    </row>
    <row r="138" spans="1:16" ht="27.75">
      <c r="A138" s="1141" t="s">
        <v>245</v>
      </c>
      <c r="B138" s="1142"/>
      <c r="C138" s="1142"/>
      <c r="D138" s="523" t="s">
        <v>238</v>
      </c>
      <c r="E138" s="541">
        <f>'12'!F138</f>
        <v>25051.82</v>
      </c>
      <c r="F138" s="652">
        <v>25051.82</v>
      </c>
      <c r="G138" s="473">
        <f t="shared" si="15"/>
        <v>0</v>
      </c>
      <c r="H138" s="460">
        <f>G138+'12'!H138</f>
        <v>0</v>
      </c>
      <c r="I138" s="480"/>
      <c r="J138" s="552">
        <f>H138/DAY(B2)</f>
        <v>0</v>
      </c>
      <c r="N138" s="719"/>
      <c r="O138" s="726"/>
      <c r="P138" s="382"/>
    </row>
    <row r="139" spans="1:16" ht="27.75">
      <c r="A139" s="1141" t="s">
        <v>246</v>
      </c>
      <c r="B139" s="1142"/>
      <c r="C139" s="1142"/>
      <c r="D139" s="523" t="s">
        <v>238</v>
      </c>
      <c r="E139" s="541">
        <f>'12'!F139</f>
        <v>70460.649999999994</v>
      </c>
      <c r="F139" s="652">
        <v>70460.649999999994</v>
      </c>
      <c r="G139" s="473">
        <f t="shared" si="15"/>
        <v>0</v>
      </c>
      <c r="H139" s="460">
        <f>G139+'12'!H139</f>
        <v>48.909999999988941</v>
      </c>
      <c r="I139" s="480">
        <f>G138+G139</f>
        <v>0</v>
      </c>
      <c r="J139" s="552">
        <f>H139/DAY(B2)</f>
        <v>3.7623076923068415</v>
      </c>
      <c r="N139" s="719"/>
      <c r="O139" s="726"/>
      <c r="P139" s="382"/>
    </row>
    <row r="140" spans="1:16" ht="27.75">
      <c r="A140" s="1141" t="s">
        <v>247</v>
      </c>
      <c r="B140" s="1142"/>
      <c r="C140" s="1142"/>
      <c r="D140" s="523" t="s">
        <v>238</v>
      </c>
      <c r="E140" s="702">
        <f>'12'!F140</f>
        <v>1943.38</v>
      </c>
      <c r="F140" s="626">
        <v>1952.6</v>
      </c>
      <c r="G140" s="473">
        <f t="shared" si="15"/>
        <v>9.2199999999997999</v>
      </c>
      <c r="H140" s="460">
        <f>G140+'12'!H140</f>
        <v>98.299999999999955</v>
      </c>
      <c r="I140" s="542"/>
      <c r="J140" s="552">
        <f>H140/DAY(B2)</f>
        <v>7.5615384615384578</v>
      </c>
      <c r="N140" s="719"/>
      <c r="O140" s="726"/>
      <c r="P140" s="382"/>
    </row>
    <row r="141" spans="1:16" ht="27.75">
      <c r="A141" s="1141" t="s">
        <v>248</v>
      </c>
      <c r="B141" s="1142"/>
      <c r="C141" s="1142"/>
      <c r="D141" s="523" t="s">
        <v>238</v>
      </c>
      <c r="E141" s="484">
        <f>'12'!F141</f>
        <v>4636.88</v>
      </c>
      <c r="F141" s="478">
        <v>4636.88</v>
      </c>
      <c r="G141" s="473">
        <f t="shared" si="15"/>
        <v>0</v>
      </c>
      <c r="H141" s="460">
        <f>G141+'12'!H141</f>
        <v>-0.11999999999989086</v>
      </c>
      <c r="I141" s="542"/>
      <c r="J141" s="552">
        <f>H141/DAY(B2)</f>
        <v>-9.2307692307608356E-3</v>
      </c>
      <c r="N141" s="719"/>
      <c r="O141" s="726"/>
      <c r="P141" s="382"/>
    </row>
    <row r="142" spans="1:16">
      <c r="A142" s="1572" t="s">
        <v>249</v>
      </c>
      <c r="B142" s="1573"/>
      <c r="C142" s="1147"/>
      <c r="D142" s="472"/>
      <c r="E142" s="472"/>
      <c r="F142" s="472"/>
      <c r="G142" s="483"/>
      <c r="H142" s="483"/>
      <c r="I142" s="483"/>
      <c r="J142" s="563"/>
      <c r="K142" s="380"/>
      <c r="L142" s="377"/>
      <c r="N142" s="719"/>
      <c r="O142" s="726"/>
      <c r="P142" s="382"/>
    </row>
    <row r="143" spans="1:16" ht="27.75">
      <c r="A143" s="1537" t="s">
        <v>250</v>
      </c>
      <c r="B143" s="1538"/>
      <c r="C143" s="1539"/>
      <c r="D143" s="523" t="s">
        <v>131</v>
      </c>
      <c r="E143" s="523"/>
      <c r="F143" s="523"/>
      <c r="G143" s="460">
        <f>G35+G43+G49+G57</f>
        <v>5262.33</v>
      </c>
      <c r="H143" s="460">
        <f>G143+'12'!H143</f>
        <v>62933.460000000006</v>
      </c>
      <c r="I143" s="480"/>
      <c r="J143" s="552">
        <f>H143/DAY(B2)</f>
        <v>4841.0353846153848</v>
      </c>
      <c r="K143" s="380"/>
      <c r="L143" s="377"/>
      <c r="N143" s="719"/>
      <c r="O143" s="726"/>
      <c r="P143" s="382"/>
    </row>
    <row r="144" spans="1:16" ht="27.75">
      <c r="A144" s="1537" t="s">
        <v>251</v>
      </c>
      <c r="B144" s="1538"/>
      <c r="C144" s="1539"/>
      <c r="D144" s="523" t="s">
        <v>24</v>
      </c>
      <c r="E144" s="511"/>
      <c r="F144" s="511"/>
      <c r="G144" s="543">
        <f>G143/G7</f>
        <v>0.25879462968427264</v>
      </c>
      <c r="H144" s="460">
        <f>G144+'12'!H144</f>
        <v>3.5896617908633011</v>
      </c>
      <c r="I144" s="544"/>
      <c r="J144" s="552">
        <f>H144/DAY(B2)</f>
        <v>0.27612783006640779</v>
      </c>
      <c r="K144" s="380"/>
      <c r="L144" s="377"/>
      <c r="N144" s="719"/>
      <c r="O144" s="726"/>
      <c r="P144" s="382"/>
    </row>
    <row r="145" spans="1:16" ht="27.75">
      <c r="A145" s="1537" t="s">
        <v>252</v>
      </c>
      <c r="B145" s="1538"/>
      <c r="C145" s="1539"/>
      <c r="D145" s="523" t="s">
        <v>131</v>
      </c>
      <c r="E145" s="455"/>
      <c r="F145" s="455"/>
      <c r="G145" s="460">
        <f>G41+G42+G55+G56</f>
        <v>6701.4799999999959</v>
      </c>
      <c r="H145" s="460">
        <f>G145+'12'!H145</f>
        <v>66579.03</v>
      </c>
      <c r="I145" s="480"/>
      <c r="J145" s="552">
        <f>H145/DAY(B2)</f>
        <v>5121.4638461538461</v>
      </c>
      <c r="K145" s="380"/>
      <c r="L145" s="377"/>
      <c r="N145" s="719"/>
      <c r="O145" s="726"/>
      <c r="P145" s="382"/>
    </row>
    <row r="146" spans="1:16" ht="27.75">
      <c r="A146" s="1537" t="s">
        <v>253</v>
      </c>
      <c r="B146" s="1538"/>
      <c r="C146" s="1539"/>
      <c r="D146" s="523" t="s">
        <v>24</v>
      </c>
      <c r="E146" s="455"/>
      <c r="F146" s="455"/>
      <c r="G146" s="543">
        <f>G145/G7</f>
        <v>0.32957017802694971</v>
      </c>
      <c r="H146" s="460">
        <f>G146+'12'!H146</f>
        <v>3.7796123153961774</v>
      </c>
      <c r="I146" s="544"/>
      <c r="J146" s="552">
        <f>H146/DAY(B2)</f>
        <v>0.29073940887662902</v>
      </c>
      <c r="K146" s="380"/>
      <c r="L146" s="377"/>
      <c r="N146" s="719"/>
      <c r="O146" s="726"/>
      <c r="P146" s="382"/>
    </row>
    <row r="147" spans="1:16" ht="27.75">
      <c r="A147" s="1537" t="s">
        <v>254</v>
      </c>
      <c r="B147" s="1538"/>
      <c r="C147" s="1539"/>
      <c r="D147" s="523" t="s">
        <v>131</v>
      </c>
      <c r="E147" s="455"/>
      <c r="F147" s="455"/>
      <c r="G147" s="460">
        <f>G39+G53</f>
        <v>3369</v>
      </c>
      <c r="H147" s="460">
        <f>G147+'12'!H147</f>
        <v>38955</v>
      </c>
      <c r="I147" s="545"/>
      <c r="J147" s="552">
        <f>H147/DAY(B2)</f>
        <v>2996.5384615384614</v>
      </c>
      <c r="K147" s="380"/>
      <c r="L147" s="377"/>
      <c r="N147" s="719"/>
      <c r="O147" s="726"/>
      <c r="P147" s="382"/>
    </row>
    <row r="148" spans="1:16" ht="27.75">
      <c r="A148" s="1537" t="s">
        <v>255</v>
      </c>
      <c r="B148" s="1538"/>
      <c r="C148" s="1539"/>
      <c r="D148" s="523" t="s">
        <v>24</v>
      </c>
      <c r="E148" s="455"/>
      <c r="F148" s="455"/>
      <c r="G148" s="543">
        <f>G147/G7</f>
        <v>0.16568309235762763</v>
      </c>
      <c r="H148" s="460">
        <f>G148+'12'!H148</f>
        <v>2.2138968007896915</v>
      </c>
      <c r="I148" s="545"/>
      <c r="J148" s="552">
        <f>H148/DAY(B2)</f>
        <v>0.17029975390689936</v>
      </c>
      <c r="N148" s="719"/>
      <c r="O148" s="726"/>
      <c r="P148" s="382"/>
    </row>
    <row r="149" spans="1:16" ht="27.75">
      <c r="A149" s="1537" t="s">
        <v>256</v>
      </c>
      <c r="B149" s="1538"/>
      <c r="C149" s="1539"/>
      <c r="D149" s="523" t="s">
        <v>182</v>
      </c>
      <c r="E149" s="455"/>
      <c r="F149" s="455"/>
      <c r="G149" s="460">
        <f>G38+G52</f>
        <v>1494</v>
      </c>
      <c r="H149" s="460">
        <f>G149+'12'!H149</f>
        <v>16254.069999999949</v>
      </c>
      <c r="I149" s="480"/>
      <c r="J149" s="552">
        <f>H149/DAY(B2)</f>
        <v>1250.3130769230729</v>
      </c>
      <c r="K149" s="381"/>
      <c r="N149" s="719"/>
      <c r="O149" s="726"/>
      <c r="P149" s="382"/>
    </row>
    <row r="150" spans="1:16" ht="27.75">
      <c r="A150" s="1537" t="s">
        <v>257</v>
      </c>
      <c r="B150" s="1538"/>
      <c r="C150" s="1539"/>
      <c r="D150" s="523" t="s">
        <v>24</v>
      </c>
      <c r="E150" s="455"/>
      <c r="F150" s="455"/>
      <c r="G150" s="543">
        <f>G149/G7</f>
        <v>7.3473000885216883E-2</v>
      </c>
      <c r="H150" s="460">
        <f>G150+'12'!H150</f>
        <v>0.92392701819586298</v>
      </c>
      <c r="I150" s="545"/>
      <c r="J150" s="552">
        <f>H150/DAY(B2)</f>
        <v>7.1071309091989457E-2</v>
      </c>
      <c r="N150" s="719"/>
      <c r="O150" s="726"/>
      <c r="P150" s="382"/>
    </row>
    <row r="151" spans="1:16" ht="27.75">
      <c r="A151" s="1537" t="s">
        <v>258</v>
      </c>
      <c r="B151" s="1538"/>
      <c r="C151" s="1539"/>
      <c r="D151" s="523" t="s">
        <v>182</v>
      </c>
      <c r="E151" s="455"/>
      <c r="F151" s="455"/>
      <c r="G151" s="460">
        <f>G36+G50</f>
        <v>1607</v>
      </c>
      <c r="H151" s="460">
        <f>G151+'12'!H151</f>
        <v>19660</v>
      </c>
      <c r="I151" s="545"/>
      <c r="J151" s="552">
        <f>H151/DAY(B2)</f>
        <v>1512.3076923076924</v>
      </c>
      <c r="N151" s="719"/>
      <c r="O151" s="726"/>
      <c r="P151" s="382"/>
    </row>
    <row r="152" spans="1:16" ht="27.75">
      <c r="A152" s="1537" t="s">
        <v>259</v>
      </c>
      <c r="B152" s="1538"/>
      <c r="C152" s="1539"/>
      <c r="D152" s="523" t="s">
        <v>24</v>
      </c>
      <c r="E152" s="455"/>
      <c r="F152" s="455"/>
      <c r="G152" s="543">
        <f>G151/G7</f>
        <v>7.90301957312875E-2</v>
      </c>
      <c r="H152" s="460">
        <f>G152+'12'!H152</f>
        <v>1.1151868214930698</v>
      </c>
      <c r="I152" s="480"/>
      <c r="J152" s="552">
        <f>H152/DAY(B2)</f>
        <v>8.5783601653313057E-2</v>
      </c>
      <c r="N152" s="719"/>
      <c r="O152" s="726"/>
      <c r="P152" s="382"/>
    </row>
    <row r="153" spans="1:16" ht="27.75">
      <c r="A153" s="1537" t="s">
        <v>260</v>
      </c>
      <c r="B153" s="1538"/>
      <c r="C153" s="1539"/>
      <c r="D153" s="523" t="s">
        <v>182</v>
      </c>
      <c r="E153" s="455"/>
      <c r="F153" s="455"/>
      <c r="G153" s="460">
        <f>G37+G51</f>
        <v>1413</v>
      </c>
      <c r="H153" s="460">
        <f>G153+'12'!H153</f>
        <v>17465.869999999995</v>
      </c>
      <c r="I153" s="480"/>
      <c r="J153" s="552">
        <f>H153/DAY(B2)</f>
        <v>1343.5284615384612</v>
      </c>
      <c r="N153" s="719"/>
      <c r="O153" s="726"/>
      <c r="P153" s="382"/>
    </row>
    <row r="154" spans="1:16" ht="28.5" thickBot="1">
      <c r="A154" s="1569" t="s">
        <v>261</v>
      </c>
      <c r="B154" s="1570"/>
      <c r="C154" s="1571"/>
      <c r="D154" s="625" t="s">
        <v>24</v>
      </c>
      <c r="E154" s="565"/>
      <c r="F154" s="565"/>
      <c r="G154" s="566">
        <f>G153/G7</f>
        <v>6.9489524933608729E-2</v>
      </c>
      <c r="H154" s="460">
        <f>G154+'12'!H154</f>
        <v>0.99636222863157287</v>
      </c>
      <c r="I154" s="568"/>
      <c r="J154" s="569">
        <f>H154/DAY(B2)</f>
        <v>7.664324835627484E-2</v>
      </c>
      <c r="N154" s="719"/>
      <c r="O154" s="726"/>
      <c r="P154" s="382"/>
    </row>
    <row r="155" spans="1:16">
      <c r="A155" s="466"/>
      <c r="B155" s="456"/>
      <c r="C155" s="456"/>
      <c r="D155" s="546"/>
      <c r="E155" s="546"/>
      <c r="F155" s="663"/>
      <c r="G155" s="546"/>
      <c r="H155" s="547"/>
      <c r="I155" s="546"/>
      <c r="J155" s="548"/>
      <c r="N155" s="719"/>
    </row>
    <row r="156" spans="1:16">
      <c r="N156" s="719"/>
    </row>
    <row r="157" spans="1:16">
      <c r="N157" s="719"/>
    </row>
    <row r="158" spans="1:16">
      <c r="N158" s="719"/>
    </row>
    <row r="159" spans="1:16">
      <c r="N159" s="719"/>
    </row>
    <row r="160" spans="1:16">
      <c r="N160" s="719"/>
    </row>
    <row r="161" spans="1:14">
      <c r="A161" s="795" t="s">
        <v>262</v>
      </c>
      <c r="B161" s="796"/>
      <c r="C161" s="796"/>
      <c r="D161" s="620" t="s">
        <v>186</v>
      </c>
      <c r="E161" s="522">
        <f>'12'!F161</f>
        <v>39400</v>
      </c>
      <c r="F161" s="804">
        <v>39481</v>
      </c>
      <c r="G161" s="473">
        <f t="shared" ref="G161:G164" si="16">F161-E161</f>
        <v>81</v>
      </c>
      <c r="N161" s="719"/>
    </row>
    <row r="162" spans="1:14">
      <c r="A162" s="795" t="s">
        <v>263</v>
      </c>
      <c r="B162" s="796"/>
      <c r="C162" s="796"/>
      <c r="D162" s="620" t="s">
        <v>186</v>
      </c>
      <c r="E162" s="522">
        <f>'12'!F162</f>
        <v>99749</v>
      </c>
      <c r="F162" s="804">
        <v>100170</v>
      </c>
      <c r="G162" s="473">
        <f t="shared" si="16"/>
        <v>421</v>
      </c>
      <c r="N162" s="719"/>
    </row>
    <row r="163" spans="1:14">
      <c r="A163" s="795" t="s">
        <v>264</v>
      </c>
      <c r="B163" s="796"/>
      <c r="C163" s="796"/>
      <c r="D163" s="620" t="s">
        <v>186</v>
      </c>
      <c r="E163" s="522">
        <f>'12'!F163</f>
        <v>47444</v>
      </c>
      <c r="F163" s="804">
        <v>47650</v>
      </c>
      <c r="G163" s="473">
        <f t="shared" si="16"/>
        <v>206</v>
      </c>
      <c r="N163" s="719"/>
    </row>
    <row r="164" spans="1:14">
      <c r="A164" s="795" t="s">
        <v>265</v>
      </c>
      <c r="B164" s="796"/>
      <c r="C164" s="796"/>
      <c r="D164" s="620" t="s">
        <v>186</v>
      </c>
      <c r="E164" s="522">
        <f>'12'!F164</f>
        <v>6671</v>
      </c>
      <c r="F164" s="804">
        <v>6679</v>
      </c>
      <c r="G164" s="473">
        <f t="shared" si="16"/>
        <v>8</v>
      </c>
      <c r="N164" s="719"/>
    </row>
    <row r="165" spans="1:14">
      <c r="A165" s="797" t="s">
        <v>97</v>
      </c>
      <c r="B165" s="798"/>
      <c r="C165" s="798"/>
      <c r="D165" s="620" t="s">
        <v>186</v>
      </c>
      <c r="E165" s="514">
        <f>E62</f>
        <v>0</v>
      </c>
      <c r="F165" s="514">
        <f>F62</f>
        <v>0</v>
      </c>
      <c r="G165" s="473">
        <f t="shared" ref="G165:G174" si="17">F165-E165</f>
        <v>0</v>
      </c>
      <c r="N165" s="719"/>
    </row>
    <row r="166" spans="1:14">
      <c r="A166" s="797" t="s">
        <v>187</v>
      </c>
      <c r="B166" s="798"/>
      <c r="C166" s="798"/>
      <c r="D166" s="620" t="s">
        <v>186</v>
      </c>
      <c r="E166" s="514">
        <f t="shared" ref="E166:E172" si="18">E63</f>
        <v>0</v>
      </c>
      <c r="F166" s="514">
        <f t="shared" ref="F166:F172" si="19">F63</f>
        <v>0</v>
      </c>
      <c r="G166" s="473">
        <f t="shared" si="17"/>
        <v>0</v>
      </c>
      <c r="N166" s="719"/>
    </row>
    <row r="167" spans="1:14" ht="21.75" customHeight="1">
      <c r="A167" s="1599" t="s">
        <v>98</v>
      </c>
      <c r="B167" s="1599"/>
      <c r="C167" s="1599"/>
      <c r="D167" s="524" t="s">
        <v>186</v>
      </c>
      <c r="E167" s="514">
        <f t="shared" si="18"/>
        <v>163334</v>
      </c>
      <c r="F167" s="514">
        <f t="shared" si="19"/>
        <v>163686</v>
      </c>
      <c r="G167" s="473">
        <f t="shared" si="17"/>
        <v>352</v>
      </c>
      <c r="N167" s="719"/>
    </row>
    <row r="168" spans="1:14" ht="21.75" customHeight="1">
      <c r="A168" s="1599" t="s">
        <v>99</v>
      </c>
      <c r="B168" s="1599"/>
      <c r="C168" s="1599"/>
      <c r="D168" s="524" t="s">
        <v>186</v>
      </c>
      <c r="E168" s="514">
        <f t="shared" si="18"/>
        <v>164001</v>
      </c>
      <c r="F168" s="514">
        <f t="shared" si="19"/>
        <v>164412</v>
      </c>
      <c r="G168" s="473">
        <f t="shared" si="17"/>
        <v>411</v>
      </c>
      <c r="N168" s="719"/>
    </row>
    <row r="169" spans="1:14" ht="21.75" customHeight="1">
      <c r="A169" s="1599" t="s">
        <v>100</v>
      </c>
      <c r="B169" s="1599"/>
      <c r="C169" s="1599"/>
      <c r="D169" s="524" t="s">
        <v>186</v>
      </c>
      <c r="E169" s="514">
        <f t="shared" si="18"/>
        <v>61071</v>
      </c>
      <c r="F169" s="514">
        <f t="shared" si="19"/>
        <v>61447</v>
      </c>
      <c r="G169" s="473">
        <f t="shared" si="17"/>
        <v>376</v>
      </c>
      <c r="N169" s="719"/>
    </row>
    <row r="170" spans="1:14" ht="26.25" customHeight="1">
      <c r="A170" s="1599" t="s">
        <v>101</v>
      </c>
      <c r="B170" s="1599"/>
      <c r="C170" s="1599"/>
      <c r="D170" s="524" t="s">
        <v>186</v>
      </c>
      <c r="E170" s="514">
        <f t="shared" si="18"/>
        <v>256958</v>
      </c>
      <c r="F170" s="514">
        <f t="shared" si="19"/>
        <v>257387</v>
      </c>
      <c r="G170" s="473">
        <f t="shared" si="17"/>
        <v>429</v>
      </c>
      <c r="N170" s="719"/>
    </row>
    <row r="171" spans="1:14" ht="24" customHeight="1">
      <c r="A171" s="1599" t="s">
        <v>102</v>
      </c>
      <c r="B171" s="1599"/>
      <c r="C171" s="1599"/>
      <c r="D171" s="524" t="s">
        <v>186</v>
      </c>
      <c r="E171" s="514">
        <f t="shared" si="18"/>
        <v>85321</v>
      </c>
      <c r="F171" s="514">
        <f t="shared" si="19"/>
        <v>85321</v>
      </c>
      <c r="G171" s="473">
        <f t="shared" si="17"/>
        <v>0</v>
      </c>
      <c r="N171" s="719"/>
    </row>
    <row r="172" spans="1:14" ht="27.75">
      <c r="A172" s="1599" t="s">
        <v>103</v>
      </c>
      <c r="B172" s="1599"/>
      <c r="C172" s="1599"/>
      <c r="D172" s="524" t="s">
        <v>186</v>
      </c>
      <c r="E172" s="514">
        <f t="shared" si="18"/>
        <v>83304</v>
      </c>
      <c r="F172" s="514">
        <f t="shared" si="19"/>
        <v>83521</v>
      </c>
      <c r="G172" s="473">
        <f t="shared" si="17"/>
        <v>217</v>
      </c>
      <c r="N172" s="719"/>
    </row>
    <row r="173" spans="1:14">
      <c r="A173" s="1596" t="s">
        <v>357</v>
      </c>
      <c r="B173" s="1579"/>
      <c r="C173" s="786"/>
      <c r="D173" s="523" t="s">
        <v>186</v>
      </c>
      <c r="E173" s="532">
        <v>189285</v>
      </c>
      <c r="F173" s="532">
        <v>189285</v>
      </c>
      <c r="G173" s="473">
        <f t="shared" si="17"/>
        <v>0</v>
      </c>
      <c r="N173" s="719"/>
    </row>
    <row r="174" spans="1:14">
      <c r="A174" s="1596" t="s">
        <v>358</v>
      </c>
      <c r="B174" s="1579"/>
      <c r="C174" s="786"/>
      <c r="D174" s="523" t="s">
        <v>186</v>
      </c>
      <c r="E174" s="532">
        <v>275511</v>
      </c>
      <c r="F174" s="532">
        <v>275556</v>
      </c>
      <c r="G174" s="473">
        <f t="shared" si="17"/>
        <v>45</v>
      </c>
      <c r="N174" s="719"/>
    </row>
    <row r="175" spans="1:14">
      <c r="N175" s="719"/>
    </row>
    <row r="176" spans="1:14">
      <c r="N176" s="719"/>
    </row>
    <row r="177" spans="14:14" ht="18.75" customHeight="1">
      <c r="N177" s="719"/>
    </row>
    <row r="178" spans="14:14" ht="18.75" customHeight="1">
      <c r="N178" s="719"/>
    </row>
    <row r="179" spans="14:14" ht="18.75" customHeight="1">
      <c r="N179" s="719"/>
    </row>
    <row r="180" spans="14:14" ht="18" customHeight="1">
      <c r="N180" s="719"/>
    </row>
    <row r="181" spans="14:14" ht="18.75" customHeight="1">
      <c r="N181" s="719"/>
    </row>
    <row r="182" spans="14:14" ht="18.75" customHeight="1">
      <c r="N182" s="719"/>
    </row>
    <row r="183" spans="14:14" ht="18" customHeight="1">
      <c r="N183" s="719"/>
    </row>
    <row r="184" spans="14:14" ht="18" customHeight="1">
      <c r="N184" s="719"/>
    </row>
    <row r="185" spans="14:14" ht="18" customHeight="1">
      <c r="N185" s="719"/>
    </row>
    <row r="186" spans="14:14" ht="18" customHeight="1">
      <c r="N186" s="719"/>
    </row>
    <row r="187" spans="14:14" ht="18" customHeight="1">
      <c r="N187" s="719"/>
    </row>
    <row r="188" spans="14:14" ht="18" customHeight="1">
      <c r="N188" s="719"/>
    </row>
    <row r="189" spans="14:14" ht="18" customHeight="1">
      <c r="N189" s="719"/>
    </row>
    <row r="190" spans="14:14" ht="18.75" customHeight="1">
      <c r="N190" s="719"/>
    </row>
    <row r="191" spans="14:14" ht="18.75" customHeight="1">
      <c r="N191" s="719"/>
    </row>
    <row r="192" spans="14:14" ht="18.75" customHeight="1">
      <c r="N192" s="719"/>
    </row>
    <row r="193" spans="14:14" ht="18.75" customHeight="1">
      <c r="N193" s="719"/>
    </row>
    <row r="194" spans="14:14" ht="18.75" customHeight="1">
      <c r="N194" s="719"/>
    </row>
    <row r="195" spans="14:14" ht="18.75" customHeight="1">
      <c r="N195" s="719"/>
    </row>
    <row r="196" spans="14:14" ht="18.75" customHeight="1">
      <c r="N196" s="719"/>
    </row>
    <row r="197" spans="14:14" ht="18.75" customHeight="1">
      <c r="N197" s="719"/>
    </row>
    <row r="198" spans="14:14" ht="18.75" customHeight="1">
      <c r="N198" s="719"/>
    </row>
    <row r="199" spans="14:14" ht="18.75" customHeight="1"/>
    <row r="200" spans="14:14" ht="18.75" customHeight="1"/>
    <row r="201" spans="14:14" ht="18.75" customHeight="1"/>
    <row r="202" spans="14:14" ht="18.75" customHeight="1"/>
    <row r="203" spans="14:14" ht="18.75" customHeight="1"/>
    <row r="204" spans="14:14" ht="18.75" customHeight="1"/>
    <row r="205" spans="14:14" ht="18.75" customHeight="1"/>
    <row r="206" spans="14:14" ht="18.75" customHeight="1"/>
    <row r="207" spans="14:14" ht="18.75" customHeight="1"/>
    <row r="208" spans="14:14" ht="18.75" customHeight="1"/>
    <row r="209" ht="18.75" customHeight="1"/>
    <row r="210" ht="18.75" customHeight="1"/>
    <row r="211" ht="18.75" customHeight="1"/>
    <row r="212" ht="18.75" customHeight="1"/>
    <row r="213" ht="18.75" customHeight="1"/>
    <row r="214" ht="18.75" customHeight="1"/>
    <row r="215" ht="18.75" customHeight="1"/>
    <row r="216" ht="18.75" customHeight="1"/>
    <row r="217" ht="18.75" customHeight="1"/>
    <row r="218" ht="18.75" customHeight="1"/>
    <row r="219" ht="18.75" customHeight="1"/>
    <row r="220" ht="18.75" customHeight="1"/>
    <row r="221" ht="18.75" customHeight="1"/>
    <row r="222" ht="18.75" customHeight="1"/>
    <row r="223" ht="18.75" customHeight="1"/>
    <row r="224" ht="18.75" customHeight="1"/>
    <row r="225" ht="18.75" customHeight="1"/>
    <row r="226" ht="18.75" customHeight="1"/>
    <row r="227" ht="18.75" customHeight="1"/>
    <row r="228" ht="18.75" customHeight="1"/>
    <row r="229" ht="18.75" customHeight="1"/>
    <row r="230" ht="18.75" customHeight="1"/>
    <row r="231" ht="18.75" customHeight="1"/>
    <row r="232" ht="18.75" customHeight="1"/>
    <row r="233" ht="18.75" customHeight="1"/>
    <row r="234" ht="18.75" customHeight="1"/>
    <row r="235" ht="18.75" customHeight="1"/>
    <row r="236" ht="18.75" customHeight="1"/>
    <row r="237" ht="18.75" customHeight="1"/>
    <row r="238" ht="18.75" customHeight="1"/>
  </sheetData>
  <mergeCells count="76">
    <mergeCell ref="A173:B173"/>
    <mergeCell ref="A174:B174"/>
    <mergeCell ref="A172:C172"/>
    <mergeCell ref="A167:C167"/>
    <mergeCell ref="A168:C168"/>
    <mergeCell ref="A169:C169"/>
    <mergeCell ref="A170:C170"/>
    <mergeCell ref="A171:C171"/>
    <mergeCell ref="A113:B113"/>
    <mergeCell ref="A119:B119"/>
    <mergeCell ref="A120:B120"/>
    <mergeCell ref="A121:B121"/>
    <mergeCell ref="A122:B122"/>
    <mergeCell ref="A114:B114"/>
    <mergeCell ref="A115:B115"/>
    <mergeCell ref="A116:B116"/>
    <mergeCell ref="A117:B117"/>
    <mergeCell ref="A118:B118"/>
    <mergeCell ref="A108:B108"/>
    <mergeCell ref="A109:B109"/>
    <mergeCell ref="A110:B110"/>
    <mergeCell ref="A111:B111"/>
    <mergeCell ref="A112:B112"/>
    <mergeCell ref="A95:C95"/>
    <mergeCell ref="A104:B104"/>
    <mergeCell ref="A105:B105"/>
    <mergeCell ref="A106:B106"/>
    <mergeCell ref="A107:C107"/>
    <mergeCell ref="A82:C82"/>
    <mergeCell ref="A153:C153"/>
    <mergeCell ref="A154:C154"/>
    <mergeCell ref="E3:F3"/>
    <mergeCell ref="A102:C102"/>
    <mergeCell ref="A123:C123"/>
    <mergeCell ref="A142:B142"/>
    <mergeCell ref="A149:C149"/>
    <mergeCell ref="A150:C150"/>
    <mergeCell ref="A143:C143"/>
    <mergeCell ref="A144:C144"/>
    <mergeCell ref="A145:C145"/>
    <mergeCell ref="A146:C146"/>
    <mergeCell ref="A147:C147"/>
    <mergeCell ref="A148:C148"/>
    <mergeCell ref="A126:C126"/>
    <mergeCell ref="A68:C68"/>
    <mergeCell ref="A96:C96"/>
    <mergeCell ref="A93:C93"/>
    <mergeCell ref="A94:C94"/>
    <mergeCell ref="A69:C69"/>
    <mergeCell ref="A70:C70"/>
    <mergeCell ref="A71:J71"/>
    <mergeCell ref="A72:C72"/>
    <mergeCell ref="A73:C73"/>
    <mergeCell ref="A74:C74"/>
    <mergeCell ref="A75:C75"/>
    <mergeCell ref="A76:C76"/>
    <mergeCell ref="A77:C77"/>
    <mergeCell ref="A79:C79"/>
    <mergeCell ref="A80:C80"/>
    <mergeCell ref="A81:C81"/>
    <mergeCell ref="A83:C83"/>
    <mergeCell ref="A25:C25"/>
    <mergeCell ref="A151:C151"/>
    <mergeCell ref="A152:C152"/>
    <mergeCell ref="A1:J1"/>
    <mergeCell ref="A6:C6"/>
    <mergeCell ref="A14:C14"/>
    <mergeCell ref="A17:C17"/>
    <mergeCell ref="A18:C18"/>
    <mergeCell ref="A19:C19"/>
    <mergeCell ref="A21:C21"/>
    <mergeCell ref="A33:J33"/>
    <mergeCell ref="A64:C64"/>
    <mergeCell ref="A65:C65"/>
    <mergeCell ref="A66:C66"/>
    <mergeCell ref="A67:C67"/>
  </mergeCells>
  <pageMargins left="0.22" right="0.17" top="0.14000000000000001" bottom="0.2" header="0.2" footer="0.2"/>
  <pageSetup paperSize="5" scale="20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238"/>
  <sheetViews>
    <sheetView view="pageBreakPreview" topLeftCell="A148" zoomScale="55" zoomScaleSheetLayoutView="55" workbookViewId="0">
      <selection activeCell="F107" sqref="F107"/>
    </sheetView>
  </sheetViews>
  <sheetFormatPr defaultColWidth="22.33203125" defaultRowHeight="29.25"/>
  <cols>
    <col min="1" max="1" width="40.6640625" style="454" customWidth="1"/>
    <col min="2" max="2" width="28.5546875" style="457" customWidth="1"/>
    <col min="3" max="3" width="15.88671875" style="457" customWidth="1"/>
    <col min="4" max="4" width="13.6640625" style="537" customWidth="1"/>
    <col min="5" max="5" width="30" style="537" customWidth="1"/>
    <col min="6" max="6" width="30" style="664" customWidth="1"/>
    <col min="7" max="7" width="28.88671875" style="537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3" width="22.33203125" style="376" hidden="1" customWidth="1"/>
    <col min="14" max="14" width="25.5546875" style="717" customWidth="1"/>
    <col min="15" max="15" width="22.33203125" style="724"/>
    <col min="16" max="16384" width="22.33203125" style="376"/>
  </cols>
  <sheetData>
    <row r="1" spans="1:16" ht="33.75">
      <c r="A1" s="1549" t="s">
        <v>269</v>
      </c>
      <c r="B1" s="1550"/>
      <c r="C1" s="1550"/>
      <c r="D1" s="1550"/>
      <c r="E1" s="1550"/>
      <c r="F1" s="1550"/>
      <c r="G1" s="1550"/>
      <c r="H1" s="1550"/>
      <c r="I1" s="1550"/>
      <c r="J1" s="1551"/>
    </row>
    <row r="2" spans="1:16" s="281" customFormat="1" ht="27">
      <c r="A2" s="575" t="s">
        <v>348</v>
      </c>
      <c r="B2" s="1033">
        <v>44361</v>
      </c>
      <c r="C2" s="1192" t="s">
        <v>68</v>
      </c>
      <c r="D2" s="611">
        <v>0.25</v>
      </c>
      <c r="E2" s="461"/>
      <c r="F2" s="461"/>
      <c r="G2" s="461" t="s">
        <v>117</v>
      </c>
      <c r="H2" s="461" t="s">
        <v>6</v>
      </c>
      <c r="I2" s="461" t="s">
        <v>8</v>
      </c>
      <c r="J2" s="613" t="s">
        <v>118</v>
      </c>
      <c r="N2" s="718"/>
      <c r="O2" s="725"/>
    </row>
    <row r="3" spans="1:16" s="281" customFormat="1" ht="27">
      <c r="A3" s="570"/>
      <c r="B3" s="614"/>
      <c r="C3" s="1192" t="s">
        <v>119</v>
      </c>
      <c r="D3" s="612">
        <v>28</v>
      </c>
      <c r="E3" s="1558" t="s">
        <v>120</v>
      </c>
      <c r="F3" s="1559"/>
      <c r="G3" s="462"/>
      <c r="H3" s="463"/>
      <c r="I3" s="463"/>
      <c r="J3" s="615"/>
      <c r="K3" s="371"/>
      <c r="L3" s="292"/>
      <c r="N3" s="718"/>
      <c r="O3" s="725"/>
    </row>
    <row r="4" spans="1:16" s="281" customFormat="1" ht="27">
      <c r="A4" s="576"/>
      <c r="B4" s="616"/>
      <c r="C4" s="1192" t="s">
        <v>121</v>
      </c>
      <c r="D4" s="611">
        <v>0.85</v>
      </c>
      <c r="E4" s="464"/>
      <c r="F4" s="464"/>
      <c r="G4" s="464"/>
      <c r="H4" s="464"/>
      <c r="I4" s="465"/>
      <c r="J4" s="615" t="s">
        <v>214</v>
      </c>
      <c r="K4" s="372"/>
      <c r="L4" s="292"/>
      <c r="N4" s="718"/>
      <c r="O4" s="725"/>
    </row>
    <row r="5" spans="1:16">
      <c r="A5" s="577" t="s">
        <v>122</v>
      </c>
      <c r="B5" s="459"/>
      <c r="C5" s="459"/>
      <c r="D5" s="511" t="s">
        <v>123</v>
      </c>
      <c r="E5" s="467" t="s">
        <v>124</v>
      </c>
      <c r="F5" s="467" t="s">
        <v>111</v>
      </c>
      <c r="G5" s="468" t="s">
        <v>125</v>
      </c>
      <c r="H5" s="469" t="s">
        <v>126</v>
      </c>
      <c r="I5" s="470" t="s">
        <v>127</v>
      </c>
      <c r="J5" s="550" t="s">
        <v>128</v>
      </c>
      <c r="K5" s="426"/>
      <c r="L5" s="377"/>
    </row>
    <row r="6" spans="1:16">
      <c r="A6" s="1552" t="s">
        <v>129</v>
      </c>
      <c r="B6" s="1553"/>
      <c r="C6" s="1554"/>
      <c r="D6" s="471"/>
      <c r="E6" s="471"/>
      <c r="F6" s="471"/>
      <c r="G6" s="471"/>
      <c r="H6" s="472"/>
      <c r="I6" s="472"/>
      <c r="J6" s="551"/>
      <c r="K6" s="427"/>
      <c r="L6" s="377"/>
    </row>
    <row r="7" spans="1:16" ht="30" thickBot="1">
      <c r="A7" s="677" t="s">
        <v>130</v>
      </c>
      <c r="B7" s="678"/>
      <c r="C7" s="678"/>
      <c r="D7" s="638" t="s">
        <v>131</v>
      </c>
      <c r="E7" s="633">
        <f>'13'!F7</f>
        <v>572941</v>
      </c>
      <c r="F7" s="455">
        <v>592806</v>
      </c>
      <c r="G7" s="679">
        <f>F7-E7</f>
        <v>19865</v>
      </c>
      <c r="H7" s="680">
        <f>G7+'13'!H7</f>
        <v>248394</v>
      </c>
      <c r="I7" s="681">
        <f>'1'!I7</f>
        <v>12000</v>
      </c>
      <c r="J7" s="682">
        <f>H7/DAY(B2)</f>
        <v>17742.428571428572</v>
      </c>
      <c r="K7" s="549"/>
      <c r="L7" s="377"/>
      <c r="N7" s="730"/>
      <c r="O7" s="726"/>
      <c r="P7" s="729"/>
    </row>
    <row r="8" spans="1:16" ht="27.75" thickBot="1">
      <c r="A8" s="683" t="s">
        <v>132</v>
      </c>
      <c r="B8" s="684"/>
      <c r="C8" s="685"/>
      <c r="D8" s="686" t="s">
        <v>25</v>
      </c>
      <c r="E8" s="633">
        <f>'13'!F8</f>
        <v>575995</v>
      </c>
      <c r="F8" s="475">
        <v>595969</v>
      </c>
      <c r="G8" s="690">
        <f>F8-E8</f>
        <v>19974</v>
      </c>
      <c r="H8" s="680">
        <f>G8+'13'!H8</f>
        <v>249459</v>
      </c>
      <c r="I8" s="687">
        <f>'1'!I8</f>
        <v>12000</v>
      </c>
      <c r="J8" s="682">
        <f>H8/DAY(B2)</f>
        <v>17818.5</v>
      </c>
      <c r="K8" s="549"/>
      <c r="L8" s="425"/>
      <c r="M8" s="440"/>
      <c r="N8" s="719"/>
      <c r="O8" s="726"/>
      <c r="P8" s="382"/>
    </row>
    <row r="9" spans="1:16">
      <c r="A9" s="688" t="s">
        <v>133</v>
      </c>
      <c r="B9" s="689"/>
      <c r="C9" s="689"/>
      <c r="D9" s="638" t="s">
        <v>131</v>
      </c>
      <c r="E9" s="633">
        <f>'13'!F9</f>
        <v>1694972</v>
      </c>
      <c r="F9" s="478">
        <v>1714221</v>
      </c>
      <c r="G9" s="703">
        <f t="shared" ref="G9:G12" si="0">F9-E9</f>
        <v>19249</v>
      </c>
      <c r="H9" s="680">
        <f>G9+'13'!H9</f>
        <v>240531</v>
      </c>
      <c r="I9" s="691">
        <f>I7-J7</f>
        <v>-5742.4285714285725</v>
      </c>
      <c r="J9" s="682">
        <f>H9/DAY(B2)</f>
        <v>17180.785714285714</v>
      </c>
      <c r="K9" s="428"/>
      <c r="L9" s="377"/>
      <c r="N9" s="719"/>
      <c r="O9" s="726"/>
      <c r="P9" s="382"/>
    </row>
    <row r="10" spans="1:16">
      <c r="A10" s="677" t="s">
        <v>134</v>
      </c>
      <c r="B10" s="678"/>
      <c r="C10" s="678"/>
      <c r="D10" s="638" t="s">
        <v>131</v>
      </c>
      <c r="E10" s="633">
        <f>'13'!F10</f>
        <v>2606.5500000000002</v>
      </c>
      <c r="F10" s="478">
        <v>2606.5500000000002</v>
      </c>
      <c r="G10" s="690">
        <f t="shared" si="0"/>
        <v>0</v>
      </c>
      <c r="H10" s="680">
        <f>G10+'13'!H10</f>
        <v>0.42000000000007276</v>
      </c>
      <c r="I10" s="692"/>
      <c r="J10" s="682">
        <f>H10/DAY(B2)</f>
        <v>3.0000000000005196E-2</v>
      </c>
      <c r="K10" s="428"/>
      <c r="L10" s="377"/>
      <c r="N10" s="719"/>
      <c r="O10" s="726"/>
      <c r="P10" s="382"/>
    </row>
    <row r="11" spans="1:16">
      <c r="A11" s="677" t="s">
        <v>135</v>
      </c>
      <c r="B11" s="678"/>
      <c r="C11" s="678"/>
      <c r="D11" s="638" t="s">
        <v>131</v>
      </c>
      <c r="E11" s="633">
        <f>'5'!E11</f>
        <v>37000</v>
      </c>
      <c r="F11" s="455">
        <v>37000</v>
      </c>
      <c r="G11" s="690">
        <f t="shared" si="0"/>
        <v>0</v>
      </c>
      <c r="H11" s="680">
        <f>G11+'13'!H11</f>
        <v>0</v>
      </c>
      <c r="I11" s="692"/>
      <c r="J11" s="682">
        <f>H11/DAY(B2)</f>
        <v>0</v>
      </c>
      <c r="K11" s="428"/>
      <c r="L11" s="377"/>
      <c r="N11" s="719"/>
      <c r="O11" s="726"/>
      <c r="P11" s="382"/>
    </row>
    <row r="12" spans="1:16">
      <c r="A12" s="677" t="s">
        <v>136</v>
      </c>
      <c r="B12" s="678"/>
      <c r="C12" s="678"/>
      <c r="D12" s="638" t="s">
        <v>131</v>
      </c>
      <c r="E12" s="633">
        <f>'5'!E12</f>
        <v>40010</v>
      </c>
      <c r="F12" s="478">
        <v>40010</v>
      </c>
      <c r="G12" s="690">
        <f t="shared" si="0"/>
        <v>0</v>
      </c>
      <c r="H12" s="680">
        <f>G12+'13'!H12</f>
        <v>0</v>
      </c>
      <c r="I12" s="692"/>
      <c r="J12" s="682">
        <f>H12/DAY(B2)</f>
        <v>0</v>
      </c>
      <c r="K12" s="428"/>
      <c r="L12" s="377" t="s">
        <v>267</v>
      </c>
      <c r="N12" s="719"/>
      <c r="O12" s="726">
        <v>0</v>
      </c>
      <c r="P12" s="382"/>
    </row>
    <row r="13" spans="1:16">
      <c r="A13" s="693" t="s">
        <v>137</v>
      </c>
      <c r="B13" s="694"/>
      <c r="C13" s="694"/>
      <c r="D13" s="638"/>
      <c r="E13" s="633"/>
      <c r="F13" s="455"/>
      <c r="G13" s="695">
        <f>G9+G10+G11+G12</f>
        <v>19249</v>
      </c>
      <c r="H13" s="680">
        <f>G13+'13'!H13</f>
        <v>224006.41999999998</v>
      </c>
      <c r="I13" s="696">
        <f>G7-G13</f>
        <v>616</v>
      </c>
      <c r="J13" s="682">
        <f>H13/DAY(B2)</f>
        <v>16000.458571428569</v>
      </c>
      <c r="K13" s="428"/>
      <c r="L13" s="377"/>
      <c r="N13" s="719"/>
      <c r="O13" s="726"/>
      <c r="P13" s="382"/>
    </row>
    <row r="14" spans="1:16">
      <c r="A14" s="1555" t="s">
        <v>138</v>
      </c>
      <c r="B14" s="1556"/>
      <c r="C14" s="1557"/>
      <c r="D14" s="472"/>
      <c r="E14" s="472"/>
      <c r="F14" s="472"/>
      <c r="G14" s="483"/>
      <c r="H14" s="472"/>
      <c r="I14" s="472"/>
      <c r="J14" s="551"/>
      <c r="K14" s="429"/>
      <c r="L14" s="377"/>
      <c r="N14" s="719"/>
      <c r="O14" s="726"/>
      <c r="P14" s="382"/>
    </row>
    <row r="15" spans="1:16">
      <c r="A15" s="793" t="s">
        <v>139</v>
      </c>
      <c r="B15" s="794"/>
      <c r="C15" s="794"/>
      <c r="D15" s="524" t="s">
        <v>140</v>
      </c>
      <c r="E15" s="485">
        <f>'13'!F15</f>
        <v>1690832</v>
      </c>
      <c r="F15" s="485">
        <v>1691654</v>
      </c>
      <c r="G15" s="665">
        <f>(F15-E15)</f>
        <v>822</v>
      </c>
      <c r="H15" s="486">
        <f>G15+'13'!H15</f>
        <v>7130</v>
      </c>
      <c r="I15" s="474">
        <v>800</v>
      </c>
      <c r="J15" s="553">
        <f>H15/DAY(B2)</f>
        <v>509.28571428571428</v>
      </c>
      <c r="K15" s="428"/>
      <c r="L15" s="377"/>
      <c r="N15" s="719"/>
      <c r="O15" s="726"/>
      <c r="P15" s="382"/>
    </row>
    <row r="16" spans="1:16">
      <c r="A16" s="587"/>
      <c r="B16" s="588"/>
      <c r="C16" s="588"/>
      <c r="D16" s="524"/>
      <c r="E16" s="485"/>
      <c r="F16" s="485"/>
      <c r="G16" s="670"/>
      <c r="H16" s="486"/>
      <c r="I16" s="482">
        <f>I15-J15</f>
        <v>290.71428571428572</v>
      </c>
      <c r="J16" s="553"/>
      <c r="K16" s="428"/>
      <c r="L16" s="377"/>
      <c r="N16" s="719"/>
      <c r="O16" s="726"/>
      <c r="P16" s="382"/>
    </row>
    <row r="17" spans="1:16">
      <c r="A17" s="1555" t="s">
        <v>141</v>
      </c>
      <c r="B17" s="1556"/>
      <c r="C17" s="1557"/>
      <c r="D17" s="472"/>
      <c r="E17" s="472"/>
      <c r="F17" s="472"/>
      <c r="G17" s="488"/>
      <c r="H17" s="472"/>
      <c r="I17" s="472"/>
      <c r="J17" s="551"/>
      <c r="K17" s="428"/>
      <c r="L17" s="377"/>
      <c r="N17" s="719"/>
      <c r="O17" s="726"/>
      <c r="P17" s="382"/>
    </row>
    <row r="18" spans="1:16" ht="27.75">
      <c r="A18" s="1590" t="s">
        <v>142</v>
      </c>
      <c r="B18" s="1591"/>
      <c r="C18" s="1592"/>
      <c r="D18" s="638" t="s">
        <v>143</v>
      </c>
      <c r="E18" s="635">
        <f>'13'!F18</f>
        <v>13</v>
      </c>
      <c r="F18" s="478">
        <v>12</v>
      </c>
      <c r="G18" s="695">
        <f>F18*10</f>
        <v>120</v>
      </c>
      <c r="H18" s="680">
        <f>G18+'13'!H18</f>
        <v>880</v>
      </c>
      <c r="I18" s="681">
        <f>'1'!I18</f>
        <v>65</v>
      </c>
      <c r="J18" s="682">
        <f>H18/DAY(B2)</f>
        <v>62.857142857142854</v>
      </c>
      <c r="K18" s="428"/>
      <c r="L18" s="377"/>
      <c r="N18" s="719"/>
      <c r="O18" s="726"/>
      <c r="P18" s="382"/>
    </row>
    <row r="19" spans="1:16" ht="27.75">
      <c r="A19" s="1590" t="s">
        <v>70</v>
      </c>
      <c r="B19" s="1591"/>
      <c r="C19" s="1592"/>
      <c r="D19" s="638" t="s">
        <v>143</v>
      </c>
      <c r="E19" s="635">
        <f>'13'!F19</f>
        <v>140432</v>
      </c>
      <c r="F19" s="478">
        <v>140495</v>
      </c>
      <c r="G19" s="690">
        <f t="shared" ref="G19" si="1">F19-E19</f>
        <v>63</v>
      </c>
      <c r="H19" s="680">
        <f>G19+'13'!H19</f>
        <v>883</v>
      </c>
      <c r="I19" s="697"/>
      <c r="J19" s="682">
        <f>H19/DAY(B2)</f>
        <v>63.071428571428569</v>
      </c>
      <c r="K19" s="428"/>
      <c r="L19" s="377"/>
      <c r="N19" s="719"/>
      <c r="O19" s="726"/>
      <c r="P19" s="382"/>
    </row>
    <row r="20" spans="1:16">
      <c r="A20" s="693" t="s">
        <v>144</v>
      </c>
      <c r="B20" s="694"/>
      <c r="C20" s="694"/>
      <c r="D20" s="638"/>
      <c r="E20" s="638"/>
      <c r="F20" s="710"/>
      <c r="G20" s="698">
        <f>G18+G19</f>
        <v>183</v>
      </c>
      <c r="H20" s="680">
        <f>G20+'13'!H20</f>
        <v>1763</v>
      </c>
      <c r="I20" s="699">
        <f>I18-J20</f>
        <v>-60.928571428571431</v>
      </c>
      <c r="J20" s="682">
        <f>H20/DAY(B2)</f>
        <v>125.92857142857143</v>
      </c>
      <c r="K20" s="428"/>
      <c r="L20" s="377"/>
      <c r="N20" s="719"/>
      <c r="O20" s="726"/>
      <c r="P20" s="382"/>
    </row>
    <row r="21" spans="1:16">
      <c r="A21" s="1555" t="s">
        <v>145</v>
      </c>
      <c r="B21" s="1556"/>
      <c r="C21" s="1557"/>
      <c r="D21" s="472"/>
      <c r="E21" s="472"/>
      <c r="F21" s="472"/>
      <c r="G21" s="483"/>
      <c r="H21" s="472"/>
      <c r="I21" s="472"/>
      <c r="J21" s="551"/>
      <c r="K21" s="428"/>
      <c r="L21" s="377"/>
      <c r="N21" s="719"/>
      <c r="O21" s="726"/>
      <c r="P21" s="382"/>
    </row>
    <row r="22" spans="1:16">
      <c r="A22" s="1185" t="s">
        <v>146</v>
      </c>
      <c r="B22" s="589"/>
      <c r="C22" s="589"/>
      <c r="D22" s="523" t="s">
        <v>147</v>
      </c>
      <c r="E22" s="635">
        <f>'13'!F22</f>
        <v>2970</v>
      </c>
      <c r="F22" s="478">
        <v>2970</v>
      </c>
      <c r="G22" s="481">
        <f t="shared" ref="G22" si="2">(F22-E22)</f>
        <v>0</v>
      </c>
      <c r="H22" s="460">
        <f>G22+'13'!H22</f>
        <v>0</v>
      </c>
      <c r="I22" s="480"/>
      <c r="J22" s="552">
        <f>H22/DAY(B2)</f>
        <v>0</v>
      </c>
      <c r="K22" s="428"/>
      <c r="L22" s="377"/>
      <c r="N22" s="719"/>
      <c r="O22" s="726"/>
      <c r="P22" s="382"/>
    </row>
    <row r="23" spans="1:16">
      <c r="A23" s="1185" t="s">
        <v>148</v>
      </c>
      <c r="B23" s="589"/>
      <c r="C23" s="589"/>
      <c r="D23" s="523" t="s">
        <v>147</v>
      </c>
      <c r="E23" s="635">
        <f>'13'!F23</f>
        <v>2000</v>
      </c>
      <c r="F23" s="478">
        <v>2000</v>
      </c>
      <c r="G23" s="481">
        <v>0</v>
      </c>
      <c r="H23" s="460">
        <f>G23+'13'!H23</f>
        <v>120</v>
      </c>
      <c r="I23" s="480"/>
      <c r="J23" s="552">
        <f>H23/DAY(B2)</f>
        <v>8.5714285714285712</v>
      </c>
      <c r="K23" s="428"/>
      <c r="L23" s="377"/>
      <c r="N23" s="719"/>
      <c r="O23" s="726"/>
      <c r="P23" s="382"/>
    </row>
    <row r="24" spans="1:16">
      <c r="A24" s="590" t="s">
        <v>149</v>
      </c>
      <c r="B24" s="591"/>
      <c r="C24" s="591"/>
      <c r="D24" s="511" t="s">
        <v>147</v>
      </c>
      <c r="E24" s="493">
        <f>'13'!F24</f>
        <v>4970</v>
      </c>
      <c r="F24" s="485">
        <v>4970</v>
      </c>
      <c r="G24" s="481">
        <v>0</v>
      </c>
      <c r="H24" s="460">
        <f>G24+'13'!H24</f>
        <v>120</v>
      </c>
      <c r="I24" s="480"/>
      <c r="J24" s="552">
        <f>H24/DAY(B2)</f>
        <v>8.5714285714285712</v>
      </c>
      <c r="K24" s="428"/>
      <c r="L24" s="377"/>
      <c r="N24" s="719"/>
      <c r="O24" s="726"/>
      <c r="P24" s="382"/>
    </row>
    <row r="25" spans="1:16" s="442" customFormat="1" ht="27">
      <c r="A25" s="1560" t="s">
        <v>150</v>
      </c>
      <c r="B25" s="1561"/>
      <c r="C25" s="1562"/>
      <c r="D25" s="471"/>
      <c r="E25" s="471"/>
      <c r="F25" s="471"/>
      <c r="G25" s="494"/>
      <c r="H25" s="495"/>
      <c r="I25" s="496"/>
      <c r="J25" s="554"/>
      <c r="K25" s="373"/>
      <c r="L25" s="443"/>
      <c r="N25" s="719"/>
      <c r="O25" s="726"/>
      <c r="P25" s="382"/>
    </row>
    <row r="26" spans="1:16" s="442" customFormat="1" ht="27.75">
      <c r="A26" s="592" t="s">
        <v>151</v>
      </c>
      <c r="B26" s="593"/>
      <c r="C26" s="594"/>
      <c r="D26" s="618" t="s">
        <v>152</v>
      </c>
      <c r="E26" s="497"/>
      <c r="F26" s="455"/>
      <c r="G26" s="498"/>
      <c r="H26" s="460"/>
      <c r="I26" s="499"/>
      <c r="J26" s="552"/>
      <c r="K26" s="374"/>
      <c r="L26" s="443"/>
      <c r="N26" s="719"/>
      <c r="O26" s="726"/>
      <c r="P26" s="382"/>
    </row>
    <row r="27" spans="1:16" s="442" customFormat="1" ht="27.75">
      <c r="A27" s="592" t="s">
        <v>6</v>
      </c>
      <c r="B27" s="593"/>
      <c r="C27" s="594"/>
      <c r="D27" s="619" t="s">
        <v>25</v>
      </c>
      <c r="E27" s="700">
        <f>G8</f>
        <v>19974</v>
      </c>
      <c r="F27" s="501">
        <v>9</v>
      </c>
      <c r="G27" s="502">
        <f>E27*F27</f>
        <v>179766</v>
      </c>
      <c r="H27" s="460">
        <f>G27+'13'!H27</f>
        <v>2244294</v>
      </c>
      <c r="I27" s="503"/>
      <c r="J27" s="552">
        <f>H27/DAY(B2)</f>
        <v>160306.71428571429</v>
      </c>
      <c r="K27" s="373"/>
      <c r="L27" s="443"/>
      <c r="N27" s="719"/>
      <c r="O27" s="726"/>
      <c r="P27" s="382"/>
    </row>
    <row r="28" spans="1:16" s="442" customFormat="1" ht="27.75">
      <c r="A28" s="592" t="s">
        <v>153</v>
      </c>
      <c r="B28" s="593"/>
      <c r="C28" s="594"/>
      <c r="D28" s="619" t="s">
        <v>154</v>
      </c>
      <c r="E28" s="700">
        <f>G15</f>
        <v>822</v>
      </c>
      <c r="F28" s="501">
        <v>52</v>
      </c>
      <c r="G28" s="502">
        <f>E28*F28</f>
        <v>42744</v>
      </c>
      <c r="H28" s="460">
        <f>G28+'13'!H28</f>
        <v>370760</v>
      </c>
      <c r="I28" s="505"/>
      <c r="J28" s="552">
        <f>H28/DAY(B2)</f>
        <v>26482.857142857141</v>
      </c>
      <c r="K28" s="373"/>
      <c r="L28" s="443"/>
      <c r="N28" s="719"/>
      <c r="O28" s="726"/>
      <c r="P28" s="382"/>
    </row>
    <row r="29" spans="1:16" s="442" customFormat="1" ht="27.75">
      <c r="A29" s="592" t="s">
        <v>155</v>
      </c>
      <c r="B29" s="593"/>
      <c r="C29" s="594"/>
      <c r="D29" s="619" t="s">
        <v>156</v>
      </c>
      <c r="E29" s="700">
        <f>G24</f>
        <v>0</v>
      </c>
      <c r="F29" s="501">
        <v>69</v>
      </c>
      <c r="G29" s="502">
        <f>E29*F29</f>
        <v>0</v>
      </c>
      <c r="H29" s="460">
        <f>G29+'13'!H29</f>
        <v>8280</v>
      </c>
      <c r="I29" s="505"/>
      <c r="J29" s="552">
        <f>H29/DAY(B2)</f>
        <v>591.42857142857144</v>
      </c>
      <c r="K29" s="373"/>
      <c r="L29" s="443"/>
      <c r="N29" s="719"/>
      <c r="O29" s="726"/>
      <c r="P29" s="382"/>
    </row>
    <row r="30" spans="1:16" s="442" customFormat="1" ht="27.75">
      <c r="A30" s="592" t="s">
        <v>157</v>
      </c>
      <c r="B30" s="593"/>
      <c r="C30" s="594"/>
      <c r="D30" s="619" t="s">
        <v>158</v>
      </c>
      <c r="E30" s="700">
        <f>G19</f>
        <v>63</v>
      </c>
      <c r="F30" s="501">
        <v>146</v>
      </c>
      <c r="G30" s="502">
        <f>E30*F30</f>
        <v>9198</v>
      </c>
      <c r="H30" s="460">
        <f>G30+'13'!H30</f>
        <v>128918</v>
      </c>
      <c r="I30" s="505"/>
      <c r="J30" s="552">
        <f>H30/DAY(B2)</f>
        <v>9208.4285714285706</v>
      </c>
      <c r="K30" s="373"/>
      <c r="L30" s="443"/>
      <c r="N30" s="719"/>
      <c r="O30" s="726"/>
      <c r="P30" s="382"/>
    </row>
    <row r="31" spans="1:16" s="442" customFormat="1" ht="27.75">
      <c r="A31" s="592" t="s">
        <v>159</v>
      </c>
      <c r="B31" s="593"/>
      <c r="C31" s="594"/>
      <c r="D31" s="619" t="s">
        <v>143</v>
      </c>
      <c r="E31" s="700">
        <f>G18</f>
        <v>120</v>
      </c>
      <c r="F31" s="501">
        <v>80</v>
      </c>
      <c r="G31" s="502">
        <f>E31*F31</f>
        <v>9600</v>
      </c>
      <c r="H31" s="460">
        <f>G31+'13'!H31</f>
        <v>70400</v>
      </c>
      <c r="I31" s="505"/>
      <c r="J31" s="552">
        <f>H31/DAY(B2)</f>
        <v>5028.5714285714284</v>
      </c>
      <c r="K31" s="373"/>
      <c r="L31" s="443"/>
      <c r="N31" s="719"/>
      <c r="O31" s="726"/>
      <c r="P31" s="382"/>
    </row>
    <row r="32" spans="1:16" s="442" customFormat="1" ht="27.75">
      <c r="A32" s="595" t="s">
        <v>160</v>
      </c>
      <c r="B32" s="596"/>
      <c r="C32" s="597"/>
      <c r="D32" s="507"/>
      <c r="E32" s="507"/>
      <c r="F32" s="524"/>
      <c r="G32" s="508">
        <f>G27+G28+G29+G30+G31</f>
        <v>241308</v>
      </c>
      <c r="H32" s="460">
        <f>G32+'13'!H32</f>
        <v>2822652</v>
      </c>
      <c r="I32" s="509"/>
      <c r="J32" s="552">
        <f>H32/DAY(B2)</f>
        <v>201618</v>
      </c>
      <c r="K32" s="373"/>
      <c r="L32" s="443"/>
      <c r="N32" s="719"/>
      <c r="O32" s="726"/>
      <c r="P32" s="382"/>
    </row>
    <row r="33" spans="1:16" ht="25.5">
      <c r="A33" s="1563" t="s">
        <v>161</v>
      </c>
      <c r="B33" s="1564"/>
      <c r="C33" s="1564"/>
      <c r="D33" s="1564"/>
      <c r="E33" s="1564"/>
      <c r="F33" s="1564"/>
      <c r="G33" s="1564"/>
      <c r="H33" s="1564"/>
      <c r="I33" s="1564"/>
      <c r="J33" s="1565"/>
      <c r="K33" s="428"/>
      <c r="L33" s="377"/>
      <c r="N33" s="719"/>
      <c r="O33" s="726"/>
      <c r="P33" s="382"/>
    </row>
    <row r="34" spans="1:16">
      <c r="A34" s="598" t="s">
        <v>162</v>
      </c>
      <c r="B34" s="1187"/>
      <c r="C34" s="1187"/>
      <c r="D34" s="472"/>
      <c r="E34" s="471"/>
      <c r="F34" s="471"/>
      <c r="G34" s="472"/>
      <c r="H34" s="472"/>
      <c r="I34" s="472"/>
      <c r="J34" s="551"/>
      <c r="K34" s="428"/>
      <c r="L34" s="377"/>
      <c r="N34" s="719"/>
      <c r="O34" s="726"/>
      <c r="P34" s="382"/>
    </row>
    <row r="35" spans="1:16">
      <c r="A35" s="578" t="s">
        <v>163</v>
      </c>
      <c r="B35" s="579"/>
      <c r="C35" s="579"/>
      <c r="D35" s="523" t="s">
        <v>131</v>
      </c>
      <c r="E35" s="510">
        <f>'13'!F35</f>
        <v>981892</v>
      </c>
      <c r="F35" s="510">
        <v>984474</v>
      </c>
      <c r="G35" s="473">
        <f t="shared" ref="G35:G46" si="3">F35-E35</f>
        <v>2582</v>
      </c>
      <c r="H35" s="460">
        <f>G35+'13'!H35</f>
        <v>33986</v>
      </c>
      <c r="I35" s="455"/>
      <c r="J35" s="552">
        <f>H35/DAY(B2)</f>
        <v>2427.5714285714284</v>
      </c>
      <c r="K35" s="428"/>
      <c r="L35" s="377"/>
      <c r="N35" s="719"/>
      <c r="O35" s="727" t="s">
        <v>267</v>
      </c>
      <c r="P35" s="382"/>
    </row>
    <row r="36" spans="1:16">
      <c r="A36" s="578" t="s">
        <v>164</v>
      </c>
      <c r="B36" s="579"/>
      <c r="C36" s="579"/>
      <c r="D36" s="523" t="s">
        <v>131</v>
      </c>
      <c r="E36" s="510">
        <f>'13'!F36</f>
        <v>7511</v>
      </c>
      <c r="F36" s="510">
        <v>8159</v>
      </c>
      <c r="G36" s="473">
        <f t="shared" si="3"/>
        <v>648</v>
      </c>
      <c r="H36" s="460">
        <f>G36+'13'!H36</f>
        <v>7986</v>
      </c>
      <c r="I36" s="455"/>
      <c r="J36" s="552">
        <f>H36/DAY(B2)</f>
        <v>570.42857142857144</v>
      </c>
      <c r="K36" s="428"/>
      <c r="L36" s="377"/>
      <c r="N36" s="720"/>
      <c r="O36" s="727" t="s">
        <v>270</v>
      </c>
      <c r="P36" s="382"/>
    </row>
    <row r="37" spans="1:16">
      <c r="A37" s="578" t="s">
        <v>165</v>
      </c>
      <c r="B37" s="579"/>
      <c r="C37" s="579"/>
      <c r="D37" s="523" t="s">
        <v>131</v>
      </c>
      <c r="E37" s="510">
        <f>'13'!F37</f>
        <v>151702</v>
      </c>
      <c r="F37" s="510">
        <v>153090</v>
      </c>
      <c r="G37" s="473">
        <f t="shared" si="3"/>
        <v>1388</v>
      </c>
      <c r="H37" s="460">
        <f>G37+'13'!H37</f>
        <v>18854</v>
      </c>
      <c r="I37" s="455"/>
      <c r="J37" s="552">
        <f>H37/DAY(B2)</f>
        <v>1346.7142857142858</v>
      </c>
      <c r="K37" s="428"/>
      <c r="L37" s="377"/>
      <c r="N37" s="720"/>
      <c r="O37" s="727"/>
      <c r="P37" s="382"/>
    </row>
    <row r="38" spans="1:16">
      <c r="A38" s="578" t="s">
        <v>166</v>
      </c>
      <c r="B38" s="579"/>
      <c r="C38" s="579"/>
      <c r="D38" s="523" t="s">
        <v>131</v>
      </c>
      <c r="E38" s="510">
        <f>'13'!F38</f>
        <v>172659</v>
      </c>
      <c r="F38" s="469">
        <v>174129</v>
      </c>
      <c r="G38" s="473">
        <f t="shared" si="3"/>
        <v>1470</v>
      </c>
      <c r="H38" s="460">
        <f>G38+'13'!H38</f>
        <v>17724</v>
      </c>
      <c r="I38" s="455"/>
      <c r="J38" s="552">
        <f>H38/DAY(B2)</f>
        <v>1266</v>
      </c>
      <c r="K38" s="428"/>
      <c r="L38" s="377"/>
      <c r="N38" s="719"/>
      <c r="O38" s="726"/>
      <c r="P38" s="382"/>
    </row>
    <row r="39" spans="1:16">
      <c r="A39" s="578" t="s">
        <v>167</v>
      </c>
      <c r="B39" s="579"/>
      <c r="C39" s="579"/>
      <c r="D39" s="523" t="s">
        <v>131</v>
      </c>
      <c r="E39" s="510">
        <f>'13'!F39</f>
        <v>345464</v>
      </c>
      <c r="F39" s="510">
        <v>348716</v>
      </c>
      <c r="G39" s="473">
        <f t="shared" si="3"/>
        <v>3252</v>
      </c>
      <c r="H39" s="460">
        <f>G39+'13'!H39</f>
        <v>40543</v>
      </c>
      <c r="I39" s="455"/>
      <c r="J39" s="552">
        <f>H39/DAY(B2)</f>
        <v>2895.9285714285716</v>
      </c>
      <c r="K39" s="428"/>
      <c r="L39" s="377"/>
      <c r="N39" s="719"/>
      <c r="O39" s="727"/>
      <c r="P39" s="382"/>
    </row>
    <row r="40" spans="1:16">
      <c r="A40" s="599" t="s">
        <v>168</v>
      </c>
      <c r="B40" s="600"/>
      <c r="C40" s="600"/>
      <c r="D40" s="523" t="s">
        <v>131</v>
      </c>
      <c r="E40" s="510">
        <f>'13'!F40</f>
        <v>1226</v>
      </c>
      <c r="F40" s="510">
        <v>1458</v>
      </c>
      <c r="G40" s="473">
        <f t="shared" si="3"/>
        <v>232</v>
      </c>
      <c r="H40" s="460">
        <f>G40+'13'!H40</f>
        <v>569</v>
      </c>
      <c r="I40" s="455"/>
      <c r="J40" s="552">
        <f>H40/DAY(B2)</f>
        <v>40.642857142857146</v>
      </c>
      <c r="K40" s="429"/>
      <c r="L40" s="377"/>
      <c r="N40" s="719"/>
      <c r="O40" s="726"/>
      <c r="P40" s="382"/>
    </row>
    <row r="41" spans="1:16">
      <c r="A41" s="578" t="s">
        <v>169</v>
      </c>
      <c r="B41" s="579"/>
      <c r="C41" s="579" t="s">
        <v>214</v>
      </c>
      <c r="D41" s="523" t="s">
        <v>131</v>
      </c>
      <c r="E41" s="510">
        <f>'13'!F41</f>
        <v>274199</v>
      </c>
      <c r="F41" s="510">
        <v>279337</v>
      </c>
      <c r="G41" s="473">
        <f t="shared" si="3"/>
        <v>5138</v>
      </c>
      <c r="H41" s="460">
        <f>G41+'13'!H41</f>
        <v>38859</v>
      </c>
      <c r="I41" s="455"/>
      <c r="J41" s="552">
        <f>H41/DAY(B2)</f>
        <v>2775.6428571428573</v>
      </c>
      <c r="K41" s="428"/>
      <c r="L41" s="377"/>
      <c r="N41" s="719"/>
      <c r="O41" s="728"/>
      <c r="P41" s="722"/>
    </row>
    <row r="42" spans="1:16">
      <c r="A42" s="578" t="s">
        <v>170</v>
      </c>
      <c r="B42" s="579"/>
      <c r="C42" s="579"/>
      <c r="D42" s="523" t="s">
        <v>131</v>
      </c>
      <c r="E42" s="510">
        <f>'13'!F42</f>
        <v>59211</v>
      </c>
      <c r="F42" s="510">
        <v>59211</v>
      </c>
      <c r="G42" s="473">
        <f t="shared" si="3"/>
        <v>0</v>
      </c>
      <c r="H42" s="460">
        <f>G42+'13'!H42</f>
        <v>12.029999999998836</v>
      </c>
      <c r="I42" s="455"/>
      <c r="J42" s="552">
        <f>H42/DAY(B2)</f>
        <v>0.85928571428563116</v>
      </c>
      <c r="K42" s="428"/>
      <c r="L42" s="377"/>
      <c r="N42" s="719"/>
      <c r="O42" s="726"/>
      <c r="P42" s="382"/>
    </row>
    <row r="43" spans="1:16">
      <c r="A43" s="578" t="s">
        <v>171</v>
      </c>
      <c r="B43" s="579"/>
      <c r="C43" s="579"/>
      <c r="D43" s="523" t="s">
        <v>131</v>
      </c>
      <c r="E43" s="510">
        <f>'13'!F43</f>
        <v>1073773</v>
      </c>
      <c r="F43" s="510">
        <v>1076429</v>
      </c>
      <c r="G43" s="473">
        <f t="shared" si="3"/>
        <v>2656</v>
      </c>
      <c r="H43" s="460">
        <f>G43+'13'!H43</f>
        <v>34185</v>
      </c>
      <c r="I43" s="455"/>
      <c r="J43" s="552">
        <f>H43/DAY(B2)</f>
        <v>2441.7857142857142</v>
      </c>
      <c r="K43" s="428"/>
      <c r="L43" s="377"/>
      <c r="N43" s="719"/>
      <c r="O43" s="727"/>
      <c r="P43" s="382"/>
    </row>
    <row r="44" spans="1:16">
      <c r="A44" s="578" t="s">
        <v>172</v>
      </c>
      <c r="B44" s="579"/>
      <c r="C44" s="579"/>
      <c r="D44" s="523" t="s">
        <v>131</v>
      </c>
      <c r="E44" s="510">
        <f>'13'!F44</f>
        <v>0</v>
      </c>
      <c r="F44" s="510">
        <v>0</v>
      </c>
      <c r="G44" s="473">
        <f t="shared" si="3"/>
        <v>0</v>
      </c>
      <c r="H44" s="460">
        <f>G44+'13'!H44</f>
        <v>0</v>
      </c>
      <c r="I44" s="455"/>
      <c r="J44" s="552">
        <f>H44/DAY(B2)</f>
        <v>0</v>
      </c>
      <c r="K44" s="428"/>
      <c r="L44" s="377"/>
      <c r="N44" s="719"/>
      <c r="O44" s="726"/>
      <c r="P44" s="382"/>
    </row>
    <row r="45" spans="1:16">
      <c r="A45" s="578" t="s">
        <v>173</v>
      </c>
      <c r="B45" s="579"/>
      <c r="C45" s="579"/>
      <c r="D45" s="523" t="s">
        <v>131</v>
      </c>
      <c r="E45" s="510">
        <v>0</v>
      </c>
      <c r="F45" s="510">
        <v>0</v>
      </c>
      <c r="G45" s="473">
        <f t="shared" si="3"/>
        <v>0</v>
      </c>
      <c r="H45" s="460">
        <f>G45+'13'!H45</f>
        <v>0</v>
      </c>
      <c r="I45" s="455"/>
      <c r="J45" s="552">
        <f>H45/DAY(B2)</f>
        <v>0</v>
      </c>
      <c r="K45" s="428"/>
      <c r="L45" s="377"/>
      <c r="N45" s="723"/>
      <c r="O45" s="726"/>
      <c r="P45" s="382"/>
    </row>
    <row r="46" spans="1:16">
      <c r="A46" s="578" t="s">
        <v>174</v>
      </c>
      <c r="B46" s="579"/>
      <c r="C46" s="579"/>
      <c r="D46" s="523" t="s">
        <v>131</v>
      </c>
      <c r="E46" s="510">
        <v>0</v>
      </c>
      <c r="F46" s="510">
        <v>0</v>
      </c>
      <c r="G46" s="473">
        <f t="shared" si="3"/>
        <v>0</v>
      </c>
      <c r="H46" s="460">
        <f>G46+'13'!H46</f>
        <v>0</v>
      </c>
      <c r="I46" s="455"/>
      <c r="J46" s="552">
        <f>H46/DAY(B2)</f>
        <v>0</v>
      </c>
      <c r="K46" s="428"/>
      <c r="L46" s="377"/>
      <c r="N46" s="719"/>
      <c r="O46" s="726"/>
      <c r="P46" s="382"/>
    </row>
    <row r="47" spans="1:16">
      <c r="A47" s="585" t="s">
        <v>175</v>
      </c>
      <c r="B47" s="586"/>
      <c r="C47" s="586"/>
      <c r="D47" s="470"/>
      <c r="E47" s="511"/>
      <c r="F47" s="511"/>
      <c r="G47" s="481">
        <f>G35+G36+G37+G38+G39+G40+G41+G42+G43+G44+G45+G46</f>
        <v>17366</v>
      </c>
      <c r="H47" s="460">
        <f>G47+'13'!H47</f>
        <v>192718.52</v>
      </c>
      <c r="I47" s="455"/>
      <c r="J47" s="552">
        <f>H47/DAY(B2)</f>
        <v>13765.608571428571</v>
      </c>
      <c r="K47" s="428"/>
      <c r="L47" s="377"/>
      <c r="N47" s="719"/>
      <c r="O47" s="726"/>
      <c r="P47" s="382"/>
    </row>
    <row r="48" spans="1:16">
      <c r="A48" s="598" t="s">
        <v>176</v>
      </c>
      <c r="B48" s="1187"/>
      <c r="C48" s="1187"/>
      <c r="D48" s="472"/>
      <c r="E48" s="471"/>
      <c r="F48" s="471"/>
      <c r="G48" s="472"/>
      <c r="H48" s="472"/>
      <c r="I48" s="472"/>
      <c r="J48" s="551"/>
      <c r="K48" s="428"/>
      <c r="L48" s="377"/>
      <c r="N48" s="719"/>
      <c r="O48" s="726"/>
      <c r="P48" s="382"/>
    </row>
    <row r="49" spans="1:16">
      <c r="A49" s="578" t="s">
        <v>163</v>
      </c>
      <c r="B49" s="601"/>
      <c r="C49" s="601"/>
      <c r="D49" s="523" t="s">
        <v>131</v>
      </c>
      <c r="E49" s="510">
        <f>'13'!F49</f>
        <v>260732.13</v>
      </c>
      <c r="F49" s="510">
        <v>260732</v>
      </c>
      <c r="G49" s="473">
        <f t="shared" ref="G49:G58" si="4">F49-E49</f>
        <v>-0.13000000000465661</v>
      </c>
      <c r="H49" s="460">
        <f>G49+'13'!H49</f>
        <v>0</v>
      </c>
      <c r="I49" s="455"/>
      <c r="J49" s="552">
        <f>H49/DAY(B2)</f>
        <v>0</v>
      </c>
      <c r="K49" s="428"/>
      <c r="L49" s="377"/>
      <c r="N49" s="719"/>
      <c r="O49" s="726"/>
      <c r="P49" s="382"/>
    </row>
    <row r="50" spans="1:16">
      <c r="A50" s="578" t="s">
        <v>177</v>
      </c>
      <c r="B50" s="601"/>
      <c r="C50" s="601"/>
      <c r="D50" s="523" t="s">
        <v>131</v>
      </c>
      <c r="E50" s="510">
        <f>'13'!F50</f>
        <v>514858</v>
      </c>
      <c r="F50" s="510">
        <v>515805</v>
      </c>
      <c r="G50" s="473">
        <f t="shared" si="4"/>
        <v>947</v>
      </c>
      <c r="H50" s="460">
        <f>G50+'13'!H50</f>
        <v>12379</v>
      </c>
      <c r="I50" s="455"/>
      <c r="J50" s="552">
        <f>H50/DAY(B2)</f>
        <v>884.21428571428567</v>
      </c>
      <c r="K50" s="428"/>
      <c r="L50" s="377"/>
      <c r="N50" s="719"/>
      <c r="O50" s="727"/>
      <c r="P50" s="382"/>
    </row>
    <row r="51" spans="1:16">
      <c r="A51" s="578" t="s">
        <v>165</v>
      </c>
      <c r="B51" s="601"/>
      <c r="C51" s="601"/>
      <c r="D51" s="523" t="s">
        <v>131</v>
      </c>
      <c r="E51" s="510">
        <f>'13'!F51</f>
        <v>144639.87</v>
      </c>
      <c r="F51" s="510">
        <v>144639.87</v>
      </c>
      <c r="G51" s="473">
        <f t="shared" si="4"/>
        <v>0</v>
      </c>
      <c r="H51" s="460">
        <f>G51+'13'!H51</f>
        <v>-0.13000000000465661</v>
      </c>
      <c r="I51" s="455"/>
      <c r="J51" s="552">
        <f>H51/DAY(B2)</f>
        <v>-9.2857142860469002E-3</v>
      </c>
      <c r="K51" s="428"/>
      <c r="L51" s="377"/>
      <c r="N51" s="719"/>
      <c r="O51" s="726"/>
      <c r="P51" s="382"/>
    </row>
    <row r="52" spans="1:16">
      <c r="A52" s="578" t="s">
        <v>178</v>
      </c>
      <c r="B52" s="601"/>
      <c r="C52" s="601"/>
      <c r="D52" s="523" t="s">
        <v>131</v>
      </c>
      <c r="E52" s="510">
        <f>'13'!F52</f>
        <v>539606.06999999995</v>
      </c>
      <c r="F52" s="510">
        <v>539606.06999999995</v>
      </c>
      <c r="G52" s="473">
        <f t="shared" si="4"/>
        <v>0</v>
      </c>
      <c r="H52" s="460">
        <f>G52+'13'!H52</f>
        <v>0</v>
      </c>
      <c r="I52" s="455"/>
      <c r="J52" s="552">
        <f>H52/DAY(B2)</f>
        <v>0</v>
      </c>
      <c r="K52" s="428"/>
      <c r="L52" s="377"/>
      <c r="N52" s="719"/>
      <c r="O52" s="726"/>
      <c r="P52" s="382"/>
    </row>
    <row r="53" spans="1:16">
      <c r="A53" s="578" t="s">
        <v>167</v>
      </c>
      <c r="B53" s="601"/>
      <c r="C53" s="601"/>
      <c r="D53" s="523" t="s">
        <v>131</v>
      </c>
      <c r="E53" s="510">
        <f>'13'!F53</f>
        <v>434232</v>
      </c>
      <c r="F53" s="510">
        <v>434232</v>
      </c>
      <c r="G53" s="473">
        <f t="shared" si="4"/>
        <v>0</v>
      </c>
      <c r="H53" s="460">
        <f>G53+'13'!H53</f>
        <v>1663.6699999999837</v>
      </c>
      <c r="I53" s="455"/>
      <c r="J53" s="552">
        <f>H53/DAY(B2)</f>
        <v>118.83357142857027</v>
      </c>
      <c r="K53" s="428"/>
      <c r="L53" s="377"/>
      <c r="N53" s="719"/>
      <c r="O53" s="726"/>
      <c r="P53" s="382"/>
    </row>
    <row r="54" spans="1:16">
      <c r="A54" s="578" t="s">
        <v>179</v>
      </c>
      <c r="B54" s="601"/>
      <c r="C54" s="601"/>
      <c r="D54" s="523" t="s">
        <v>131</v>
      </c>
      <c r="E54" s="510">
        <f>'13'!F54</f>
        <v>14825</v>
      </c>
      <c r="F54" s="510">
        <v>14908</v>
      </c>
      <c r="G54" s="473">
        <f t="shared" si="4"/>
        <v>83</v>
      </c>
      <c r="H54" s="460">
        <f>G54+'13'!H54</f>
        <v>1079</v>
      </c>
      <c r="I54" s="455"/>
      <c r="J54" s="552">
        <f>H54/DAY(B2)</f>
        <v>77.071428571428569</v>
      </c>
      <c r="K54" s="428"/>
      <c r="L54" s="377"/>
      <c r="N54" s="719"/>
      <c r="O54" s="726"/>
      <c r="P54" s="382"/>
    </row>
    <row r="55" spans="1:16">
      <c r="A55" s="578" t="s">
        <v>180</v>
      </c>
      <c r="B55" s="601"/>
      <c r="C55" s="601"/>
      <c r="D55" s="523" t="s">
        <v>131</v>
      </c>
      <c r="E55" s="510">
        <f>'13'!F55</f>
        <v>69298</v>
      </c>
      <c r="F55" s="654">
        <v>70500</v>
      </c>
      <c r="G55" s="653">
        <f t="shared" si="4"/>
        <v>1202</v>
      </c>
      <c r="H55" s="706">
        <f>G55+'13'!H55</f>
        <v>2389</v>
      </c>
      <c r="I55" s="707"/>
      <c r="J55" s="708">
        <f>H55/DAY(B2)</f>
        <v>170.64285714285714</v>
      </c>
      <c r="K55" s="428"/>
      <c r="L55" s="377"/>
      <c r="N55" s="719"/>
      <c r="O55" s="726"/>
      <c r="P55" s="382"/>
    </row>
    <row r="56" spans="1:16">
      <c r="A56" s="578" t="s">
        <v>181</v>
      </c>
      <c r="B56" s="601"/>
      <c r="C56" s="601"/>
      <c r="D56" s="523" t="s">
        <v>182</v>
      </c>
      <c r="E56" s="510">
        <f>'13'!F56</f>
        <v>648857</v>
      </c>
      <c r="F56" s="654">
        <v>648867</v>
      </c>
      <c r="G56" s="473">
        <f t="shared" si="4"/>
        <v>10</v>
      </c>
      <c r="H56" s="460">
        <f>G56+'13'!H56</f>
        <v>31669</v>
      </c>
      <c r="I56" s="455"/>
      <c r="J56" s="552">
        <f>H56/DAY(B2)</f>
        <v>2262.0714285714284</v>
      </c>
      <c r="K56" s="427"/>
      <c r="L56" s="377"/>
      <c r="N56" s="719"/>
      <c r="O56" s="728"/>
      <c r="P56" s="382"/>
    </row>
    <row r="57" spans="1:16">
      <c r="A57" s="578" t="s">
        <v>171</v>
      </c>
      <c r="B57" s="601"/>
      <c r="C57" s="601"/>
      <c r="D57" s="523" t="s">
        <v>131</v>
      </c>
      <c r="E57" s="510">
        <f>'13'!F57</f>
        <v>7711.33</v>
      </c>
      <c r="F57" s="510">
        <v>7711.33</v>
      </c>
      <c r="G57" s="473">
        <f t="shared" si="4"/>
        <v>0</v>
      </c>
      <c r="H57" s="460">
        <f>G57+'13'!H57</f>
        <v>0.32999999999992724</v>
      </c>
      <c r="I57" s="455"/>
      <c r="J57" s="552">
        <f>H57/DAY(B2)</f>
        <v>2.3571428571423376E-2</v>
      </c>
      <c r="K57" s="428"/>
      <c r="L57" s="377"/>
      <c r="N57" s="719"/>
      <c r="O57" s="726"/>
      <c r="P57" s="382"/>
    </row>
    <row r="58" spans="1:16">
      <c r="A58" s="578" t="s">
        <v>183</v>
      </c>
      <c r="B58" s="601"/>
      <c r="C58" s="601"/>
      <c r="D58" s="523" t="s">
        <v>131</v>
      </c>
      <c r="E58" s="510">
        <f>'13'!F58</f>
        <v>51172</v>
      </c>
      <c r="F58" s="654">
        <v>51396</v>
      </c>
      <c r="G58" s="473">
        <f t="shared" si="4"/>
        <v>224</v>
      </c>
      <c r="H58" s="460">
        <f>G58+'13'!H58</f>
        <v>1531.7900000000009</v>
      </c>
      <c r="I58" s="455"/>
      <c r="J58" s="552">
        <f>H58/DAY(B2)</f>
        <v>109.41357142857149</v>
      </c>
      <c r="K58" s="428"/>
      <c r="L58" s="377"/>
      <c r="N58" s="719"/>
      <c r="O58" s="726"/>
      <c r="P58" s="382"/>
    </row>
    <row r="59" spans="1:16">
      <c r="A59" s="585" t="s">
        <v>175</v>
      </c>
      <c r="B59" s="586"/>
      <c r="C59" s="586"/>
      <c r="D59" s="511"/>
      <c r="E59" s="511"/>
      <c r="F59" s="511"/>
      <c r="G59" s="481">
        <f>G49+G50+G51+G52+G53+G54+G55+G56+G57+G58</f>
        <v>2465.8699999999953</v>
      </c>
      <c r="H59" s="460">
        <f>G59+'13'!H59</f>
        <v>50711.72999999993</v>
      </c>
      <c r="I59" s="455">
        <f>G7-G60</f>
        <v>33.130000000004657</v>
      </c>
      <c r="J59" s="552">
        <f>H59/DAY(B2)</f>
        <v>3622.2664285714236</v>
      </c>
      <c r="K59" s="428"/>
      <c r="L59" s="377"/>
      <c r="N59" s="719"/>
      <c r="O59" s="726"/>
      <c r="P59" s="382"/>
    </row>
    <row r="60" spans="1:16">
      <c r="A60" s="578"/>
      <c r="B60" s="579"/>
      <c r="C60" s="579"/>
      <c r="D60" s="511" t="s">
        <v>184</v>
      </c>
      <c r="E60" s="511"/>
      <c r="F60" s="511"/>
      <c r="G60" s="481">
        <f>G47+G59</f>
        <v>19831.869999999995</v>
      </c>
      <c r="H60" s="460">
        <f>G60+'13'!H60</f>
        <v>244638.78999999995</v>
      </c>
      <c r="I60" s="455">
        <f>G13-G60</f>
        <v>-582.86999999999534</v>
      </c>
      <c r="J60" s="552">
        <f>H60/DAY(B2)</f>
        <v>17474.199285714283</v>
      </c>
      <c r="K60" s="428"/>
      <c r="L60" s="377"/>
      <c r="N60" s="719"/>
      <c r="O60" s="726"/>
      <c r="P60" s="382"/>
    </row>
    <row r="61" spans="1:16">
      <c r="A61" s="602" t="s">
        <v>185</v>
      </c>
      <c r="B61" s="453"/>
      <c r="C61" s="453"/>
      <c r="D61" s="513"/>
      <c r="E61" s="512"/>
      <c r="F61" s="512"/>
      <c r="G61" s="513"/>
      <c r="H61" s="513"/>
      <c r="I61" s="513"/>
      <c r="J61" s="555"/>
      <c r="K61" s="428"/>
      <c r="L61" s="377"/>
      <c r="N61" s="719"/>
      <c r="O61" s="726"/>
      <c r="P61" s="382"/>
    </row>
    <row r="62" spans="1:16">
      <c r="A62" s="603" t="s">
        <v>97</v>
      </c>
      <c r="B62" s="604"/>
      <c r="C62" s="604"/>
      <c r="D62" s="511" t="s">
        <v>186</v>
      </c>
      <c r="E62" s="514">
        <v>0</v>
      </c>
      <c r="F62" s="514">
        <v>0</v>
      </c>
      <c r="G62" s="473">
        <f t="shared" ref="G62:G69" si="5">F62-E62</f>
        <v>0</v>
      </c>
      <c r="H62" s="460">
        <f>G62+'13'!H62</f>
        <v>1.9999999967694748E-3</v>
      </c>
      <c r="I62" s="515"/>
      <c r="J62" s="552">
        <f>H62/DAY(B2)</f>
        <v>1.4285714262639106E-4</v>
      </c>
      <c r="K62" s="428"/>
      <c r="L62" s="377"/>
      <c r="N62" s="719"/>
      <c r="O62" s="726"/>
      <c r="P62" s="382"/>
    </row>
    <row r="63" spans="1:16">
      <c r="A63" s="603" t="s">
        <v>187</v>
      </c>
      <c r="B63" s="604"/>
      <c r="C63" s="604"/>
      <c r="D63" s="511" t="s">
        <v>186</v>
      </c>
      <c r="E63" s="514">
        <f>'13'!F63</f>
        <v>0</v>
      </c>
      <c r="F63" s="514">
        <v>0</v>
      </c>
      <c r="G63" s="473">
        <f t="shared" si="5"/>
        <v>0</v>
      </c>
      <c r="H63" s="460">
        <f>G63+'13'!H63</f>
        <v>0</v>
      </c>
      <c r="I63" s="515"/>
      <c r="J63" s="552">
        <f>H63/DAY(B2)</f>
        <v>0</v>
      </c>
      <c r="K63" s="428"/>
      <c r="L63" s="377"/>
      <c r="N63" s="719"/>
      <c r="O63" s="726"/>
      <c r="P63" s="382"/>
    </row>
    <row r="64" spans="1:16" ht="27.75">
      <c r="A64" s="1534" t="s">
        <v>98</v>
      </c>
      <c r="B64" s="1535"/>
      <c r="C64" s="1536"/>
      <c r="D64" s="523" t="s">
        <v>186</v>
      </c>
      <c r="E64" s="514">
        <f>'13'!F64</f>
        <v>163686</v>
      </c>
      <c r="F64" s="478">
        <v>164066</v>
      </c>
      <c r="G64" s="473">
        <f t="shared" si="5"/>
        <v>380</v>
      </c>
      <c r="H64" s="460">
        <f>G64+'13'!H64</f>
        <v>4134</v>
      </c>
      <c r="I64" s="480"/>
      <c r="J64" s="552">
        <f>H64/DAY(B2)</f>
        <v>295.28571428571428</v>
      </c>
      <c r="K64" s="428"/>
      <c r="L64" s="377"/>
      <c r="N64" s="719"/>
      <c r="O64" s="726"/>
      <c r="P64" s="382"/>
    </row>
    <row r="65" spans="1:16" ht="27.75">
      <c r="A65" s="1534" t="s">
        <v>99</v>
      </c>
      <c r="B65" s="1535"/>
      <c r="C65" s="1536"/>
      <c r="D65" s="523" t="s">
        <v>186</v>
      </c>
      <c r="E65" s="514">
        <f>'13'!F65</f>
        <v>164412</v>
      </c>
      <c r="F65" s="652">
        <v>164738</v>
      </c>
      <c r="G65" s="473">
        <f t="shared" si="5"/>
        <v>326</v>
      </c>
      <c r="H65" s="460">
        <f>G65+'13'!H65</f>
        <v>3740</v>
      </c>
      <c r="I65" s="489"/>
      <c r="J65" s="552">
        <f>H65/DAY(B2)</f>
        <v>267.14285714285717</v>
      </c>
      <c r="K65" s="428"/>
      <c r="L65" s="377"/>
      <c r="N65" s="719"/>
      <c r="O65" s="727"/>
      <c r="P65" s="382"/>
    </row>
    <row r="66" spans="1:16" ht="27.75">
      <c r="A66" s="1534" t="s">
        <v>100</v>
      </c>
      <c r="B66" s="1535"/>
      <c r="C66" s="1536"/>
      <c r="D66" s="523" t="s">
        <v>186</v>
      </c>
      <c r="E66" s="514">
        <f>'13'!F66</f>
        <v>61447</v>
      </c>
      <c r="F66" s="478">
        <v>61756</v>
      </c>
      <c r="G66" s="473">
        <f t="shared" si="5"/>
        <v>309</v>
      </c>
      <c r="H66" s="460">
        <f>G66+'13'!H66</f>
        <v>4951</v>
      </c>
      <c r="I66" s="480"/>
      <c r="J66" s="552">
        <f>H66/DAY(B2)</f>
        <v>353.64285714285717</v>
      </c>
      <c r="K66" s="428"/>
      <c r="L66" s="377"/>
      <c r="N66" s="719"/>
      <c r="O66" s="726"/>
      <c r="P66" s="382"/>
    </row>
    <row r="67" spans="1:16" ht="27.75">
      <c r="A67" s="1534" t="s">
        <v>101</v>
      </c>
      <c r="B67" s="1535"/>
      <c r="C67" s="1536"/>
      <c r="D67" s="523" t="s">
        <v>186</v>
      </c>
      <c r="E67" s="514">
        <f>'13'!F67</f>
        <v>257387</v>
      </c>
      <c r="F67" s="478">
        <v>257836</v>
      </c>
      <c r="G67" s="473">
        <f t="shared" si="5"/>
        <v>449</v>
      </c>
      <c r="H67" s="460">
        <f>G67+'13'!H67</f>
        <v>5644</v>
      </c>
      <c r="I67" s="489"/>
      <c r="J67" s="552">
        <f>H67/DAY(B2)</f>
        <v>403.14285714285717</v>
      </c>
      <c r="K67" s="429"/>
      <c r="L67" s="377"/>
      <c r="N67" s="719"/>
      <c r="O67" s="726"/>
      <c r="P67" s="382"/>
    </row>
    <row r="68" spans="1:16" ht="27.75">
      <c r="A68" s="1534" t="s">
        <v>102</v>
      </c>
      <c r="B68" s="1535"/>
      <c r="C68" s="1536"/>
      <c r="D68" s="523" t="s">
        <v>186</v>
      </c>
      <c r="E68" s="514">
        <f>'13'!F68</f>
        <v>85321</v>
      </c>
      <c r="F68" s="478">
        <v>85321</v>
      </c>
      <c r="G68" s="473">
        <f t="shared" si="5"/>
        <v>0</v>
      </c>
      <c r="H68" s="460">
        <f>G68+'13'!H68</f>
        <v>0</v>
      </c>
      <c r="I68" s="516"/>
      <c r="J68" s="552">
        <f>H68/DAY(B2)</f>
        <v>0</v>
      </c>
      <c r="K68" s="430"/>
      <c r="L68" s="377"/>
      <c r="N68" s="719"/>
      <c r="O68" s="726"/>
      <c r="P68" s="382"/>
    </row>
    <row r="69" spans="1:16" ht="27.75">
      <c r="A69" s="1534" t="s">
        <v>103</v>
      </c>
      <c r="B69" s="1535"/>
      <c r="C69" s="1536"/>
      <c r="D69" s="523" t="s">
        <v>186</v>
      </c>
      <c r="E69" s="514">
        <f>'13'!F69</f>
        <v>83521</v>
      </c>
      <c r="F69" s="478">
        <v>83730</v>
      </c>
      <c r="G69" s="473">
        <f t="shared" si="5"/>
        <v>209</v>
      </c>
      <c r="H69" s="460">
        <f>G69+'13'!H69</f>
        <v>1981</v>
      </c>
      <c r="I69" s="516"/>
      <c r="J69" s="552">
        <f>H69/DAY(B2)</f>
        <v>141.5</v>
      </c>
      <c r="K69" s="431"/>
      <c r="L69" s="377"/>
      <c r="N69" s="719"/>
      <c r="O69" s="726"/>
      <c r="P69" s="382"/>
    </row>
    <row r="70" spans="1:16" ht="27.75">
      <c r="A70" s="1566" t="s">
        <v>188</v>
      </c>
      <c r="B70" s="1567"/>
      <c r="C70" s="1568"/>
      <c r="D70" s="523" t="s">
        <v>186</v>
      </c>
      <c r="E70" s="518"/>
      <c r="F70" s="518"/>
      <c r="G70" s="518"/>
      <c r="H70" s="460">
        <f>G70+'13'!H70</f>
        <v>0</v>
      </c>
      <c r="I70" s="518"/>
      <c r="J70" s="556"/>
      <c r="K70" s="431"/>
      <c r="L70" s="377"/>
      <c r="N70" s="719"/>
      <c r="O70" s="726"/>
      <c r="P70" s="382"/>
    </row>
    <row r="71" spans="1:16" ht="31.5">
      <c r="A71" s="1580" t="s">
        <v>189</v>
      </c>
      <c r="B71" s="1581"/>
      <c r="C71" s="1581"/>
      <c r="D71" s="1581"/>
      <c r="E71" s="1581"/>
      <c r="F71" s="1581"/>
      <c r="G71" s="1581"/>
      <c r="H71" s="1581"/>
      <c r="I71" s="1581"/>
      <c r="J71" s="1582"/>
      <c r="K71" s="430"/>
      <c r="L71" s="377"/>
      <c r="N71" s="719"/>
      <c r="O71" s="726"/>
      <c r="P71" s="382"/>
    </row>
    <row r="72" spans="1:16" ht="27.75">
      <c r="A72" s="1534" t="s">
        <v>190</v>
      </c>
      <c r="B72" s="1535"/>
      <c r="C72" s="1536"/>
      <c r="D72" s="523" t="s">
        <v>186</v>
      </c>
      <c r="E72" s="519">
        <f>'13'!F72</f>
        <v>856014</v>
      </c>
      <c r="F72" s="655">
        <v>856027</v>
      </c>
      <c r="G72" s="473">
        <f t="shared" ref="G72" si="6">F72-E72</f>
        <v>13</v>
      </c>
      <c r="H72" s="460">
        <f>G72+'12'!H72</f>
        <v>171</v>
      </c>
      <c r="I72" s="480"/>
      <c r="J72" s="552">
        <f>H72/DAY(B2)</f>
        <v>12.214285714285714</v>
      </c>
      <c r="K72" s="431"/>
      <c r="L72" s="377"/>
      <c r="N72" s="719"/>
      <c r="O72" s="726"/>
      <c r="P72" s="382"/>
    </row>
    <row r="73" spans="1:16" ht="27.75">
      <c r="A73" s="1534" t="s">
        <v>191</v>
      </c>
      <c r="B73" s="1535"/>
      <c r="C73" s="1536"/>
      <c r="D73" s="523" t="s">
        <v>186</v>
      </c>
      <c r="E73" s="519">
        <f>'13'!F73</f>
        <v>885952</v>
      </c>
      <c r="F73" s="656">
        <v>885953</v>
      </c>
      <c r="G73" s="653">
        <f t="shared" ref="G73:G84" si="7">F73-E73</f>
        <v>1</v>
      </c>
      <c r="H73" s="460">
        <f>G73+'13'!H72</f>
        <v>172</v>
      </c>
      <c r="I73" s="480"/>
      <c r="J73" s="552">
        <f>H73/DAY(B2)</f>
        <v>12.285714285714286</v>
      </c>
      <c r="K73" s="430"/>
      <c r="L73" s="377"/>
      <c r="N73" s="719"/>
      <c r="O73" s="726"/>
      <c r="P73" s="382"/>
    </row>
    <row r="74" spans="1:16" ht="27.75">
      <c r="A74" s="1534" t="s">
        <v>192</v>
      </c>
      <c r="B74" s="1535"/>
      <c r="C74" s="1536"/>
      <c r="D74" s="523" t="s">
        <v>186</v>
      </c>
      <c r="E74" s="519">
        <v>88679</v>
      </c>
      <c r="F74" s="656">
        <v>88679</v>
      </c>
      <c r="G74" s="473">
        <f t="shared" si="7"/>
        <v>0</v>
      </c>
      <c r="H74" s="460">
        <f>G74+'13'!H74</f>
        <v>13.960000000000036</v>
      </c>
      <c r="I74" s="480"/>
      <c r="J74" s="552">
        <f>H74/DAY(B2)</f>
        <v>0.99714285714285977</v>
      </c>
      <c r="K74" s="431"/>
      <c r="L74" s="377"/>
      <c r="N74" s="719"/>
      <c r="O74" s="726"/>
      <c r="P74" s="382"/>
    </row>
    <row r="75" spans="1:16" ht="27.75">
      <c r="A75" s="1583" t="s">
        <v>193</v>
      </c>
      <c r="B75" s="1584"/>
      <c r="C75" s="1585"/>
      <c r="D75" s="523" t="s">
        <v>186</v>
      </c>
      <c r="E75" s="519">
        <f>'13'!F75</f>
        <v>13637</v>
      </c>
      <c r="F75" s="656">
        <v>13766</v>
      </c>
      <c r="G75" s="473">
        <f t="shared" si="7"/>
        <v>129</v>
      </c>
      <c r="H75" s="460">
        <f>G75+'13'!H75</f>
        <v>1097</v>
      </c>
      <c r="I75" s="480"/>
      <c r="J75" s="552">
        <f>H75/DAY(B2)</f>
        <v>78.357142857142861</v>
      </c>
      <c r="K75" s="430"/>
      <c r="L75" s="377"/>
      <c r="N75" s="719"/>
      <c r="O75" s="726"/>
      <c r="P75" s="382"/>
    </row>
    <row r="76" spans="1:16" ht="27.75">
      <c r="A76" s="1583" t="s">
        <v>194</v>
      </c>
      <c r="B76" s="1584"/>
      <c r="C76" s="1585"/>
      <c r="D76" s="523" t="s">
        <v>186</v>
      </c>
      <c r="E76" s="519">
        <f>'13'!F76</f>
        <v>8174</v>
      </c>
      <c r="F76" s="656">
        <v>8235</v>
      </c>
      <c r="G76" s="473">
        <f t="shared" si="7"/>
        <v>61</v>
      </c>
      <c r="H76" s="460">
        <f>G76+'13'!H75</f>
        <v>1029</v>
      </c>
      <c r="I76" s="505"/>
      <c r="J76" s="552">
        <f>H76/DAY(B2)</f>
        <v>73.5</v>
      </c>
      <c r="K76" s="430"/>
      <c r="L76" s="377"/>
      <c r="N76" s="719"/>
      <c r="O76" s="726"/>
      <c r="P76" s="382"/>
    </row>
    <row r="77" spans="1:16" ht="27.75">
      <c r="A77" s="1534" t="s">
        <v>195</v>
      </c>
      <c r="B77" s="1535"/>
      <c r="C77" s="1536"/>
      <c r="D77" s="523" t="s">
        <v>186</v>
      </c>
      <c r="E77" s="519">
        <f>'13'!F77</f>
        <v>703488</v>
      </c>
      <c r="F77" s="656">
        <v>703538</v>
      </c>
      <c r="G77" s="653">
        <f t="shared" si="7"/>
        <v>50</v>
      </c>
      <c r="H77" s="460">
        <f>G77+'13'!H77</f>
        <v>699</v>
      </c>
      <c r="I77" s="505"/>
      <c r="J77" s="552">
        <f>H77/DAY(B2)</f>
        <v>49.928571428571431</v>
      </c>
      <c r="K77" s="430"/>
      <c r="L77" s="377"/>
      <c r="N77" s="719"/>
      <c r="O77" s="726"/>
      <c r="P77" s="382"/>
    </row>
    <row r="78" spans="1:16" ht="27.75">
      <c r="A78" s="1188" t="s">
        <v>196</v>
      </c>
      <c r="B78" s="1184"/>
      <c r="C78" s="1184"/>
      <c r="D78" s="523" t="s">
        <v>186</v>
      </c>
      <c r="E78" s="519">
        <f>'13'!F78</f>
        <v>673925</v>
      </c>
      <c r="F78" s="657">
        <v>673971</v>
      </c>
      <c r="G78" s="473">
        <f t="shared" si="7"/>
        <v>46</v>
      </c>
      <c r="H78" s="460">
        <f>G78+'13'!H78</f>
        <v>939</v>
      </c>
      <c r="I78" s="505"/>
      <c r="J78" s="552">
        <f>H78/DAY(B2)</f>
        <v>67.071428571428569</v>
      </c>
      <c r="K78" s="430"/>
      <c r="L78" s="377"/>
      <c r="N78" s="719"/>
      <c r="O78" s="726"/>
      <c r="P78" s="382"/>
    </row>
    <row r="79" spans="1:16" ht="27.75">
      <c r="A79" s="1583" t="s">
        <v>91</v>
      </c>
      <c r="B79" s="1584"/>
      <c r="C79" s="1585"/>
      <c r="D79" s="524" t="s">
        <v>186</v>
      </c>
      <c r="E79" s="519">
        <f>'13'!F79</f>
        <v>832915</v>
      </c>
      <c r="F79" s="657">
        <v>833067</v>
      </c>
      <c r="G79" s="473">
        <f t="shared" si="7"/>
        <v>152</v>
      </c>
      <c r="H79" s="460">
        <f>G79+'13'!H78</f>
        <v>1045</v>
      </c>
      <c r="I79" s="505"/>
      <c r="J79" s="552">
        <f>H79/DAY(B2)</f>
        <v>74.642857142857139</v>
      </c>
      <c r="K79" s="430"/>
      <c r="L79" s="377"/>
      <c r="N79" s="719"/>
      <c r="O79" s="726"/>
      <c r="P79" s="382"/>
    </row>
    <row r="80" spans="1:16" ht="27.75">
      <c r="A80" s="1583" t="s">
        <v>197</v>
      </c>
      <c r="B80" s="1584"/>
      <c r="C80" s="1585"/>
      <c r="D80" s="524" t="s">
        <v>186</v>
      </c>
      <c r="E80" s="519">
        <f>'13'!F80</f>
        <v>532450.52</v>
      </c>
      <c r="F80" s="656">
        <v>532805</v>
      </c>
      <c r="G80" s="473">
        <f t="shared" si="7"/>
        <v>354.47999999998137</v>
      </c>
      <c r="H80" s="460">
        <f>G80+'13'!H79</f>
        <v>2259.4799999999814</v>
      </c>
      <c r="I80" s="505"/>
      <c r="J80" s="552">
        <f>H80/DAY(B2)</f>
        <v>161.39142857142724</v>
      </c>
      <c r="K80" s="430"/>
      <c r="L80" s="377"/>
      <c r="N80" s="719"/>
      <c r="O80" s="726"/>
      <c r="P80" s="382"/>
    </row>
    <row r="81" spans="1:16" ht="27.75">
      <c r="A81" s="1583" t="s">
        <v>198</v>
      </c>
      <c r="B81" s="1584"/>
      <c r="C81" s="1585"/>
      <c r="D81" s="524" t="s">
        <v>186</v>
      </c>
      <c r="E81" s="519">
        <f>'13'!F81</f>
        <v>640343.80000000005</v>
      </c>
      <c r="F81" s="656">
        <v>640498</v>
      </c>
      <c r="G81" s="473">
        <f t="shared" si="7"/>
        <v>154.19999999995343</v>
      </c>
      <c r="H81" s="460">
        <f>G81+'13'!H81</f>
        <v>1600</v>
      </c>
      <c r="I81" s="505"/>
      <c r="J81" s="552">
        <f>H81/DAY(B2)</f>
        <v>114.28571428571429</v>
      </c>
      <c r="K81" s="430"/>
      <c r="L81" s="377"/>
      <c r="N81" s="719"/>
      <c r="O81" s="726"/>
      <c r="P81" s="382"/>
    </row>
    <row r="82" spans="1:16" ht="27.75">
      <c r="A82" s="1583" t="s">
        <v>92</v>
      </c>
      <c r="B82" s="1584"/>
      <c r="C82" s="1585"/>
      <c r="D82" s="485" t="s">
        <v>131</v>
      </c>
      <c r="E82" s="519">
        <f>'13'!F82</f>
        <v>108359</v>
      </c>
      <c r="F82" s="652">
        <v>108381</v>
      </c>
      <c r="G82" s="473">
        <f t="shared" si="7"/>
        <v>22</v>
      </c>
      <c r="H82" s="460">
        <f>G82+'13'!H82</f>
        <v>223</v>
      </c>
      <c r="I82" s="486"/>
      <c r="J82" s="552">
        <f>H82/DAY(B2)</f>
        <v>15.928571428571429</v>
      </c>
      <c r="K82" s="430"/>
      <c r="L82" s="377"/>
      <c r="N82" s="719"/>
      <c r="O82" s="726"/>
      <c r="P82" s="382"/>
    </row>
    <row r="83" spans="1:16" ht="27.75">
      <c r="A83" s="1583" t="s">
        <v>199</v>
      </c>
      <c r="B83" s="1584"/>
      <c r="C83" s="1585"/>
      <c r="D83" s="620" t="s">
        <v>131</v>
      </c>
      <c r="E83" s="519">
        <f>'13'!F83</f>
        <v>23120</v>
      </c>
      <c r="F83" s="511">
        <v>23382</v>
      </c>
      <c r="G83" s="473">
        <f t="shared" si="7"/>
        <v>262</v>
      </c>
      <c r="H83" s="460">
        <f>G83+'13'!H83</f>
        <v>2876</v>
      </c>
      <c r="I83" s="481"/>
      <c r="J83" s="552">
        <f>H83/DAY(B2)</f>
        <v>205.42857142857142</v>
      </c>
      <c r="K83" s="429"/>
      <c r="L83" s="377"/>
      <c r="N83" s="719"/>
      <c r="O83" s="726"/>
      <c r="P83" s="382"/>
    </row>
    <row r="84" spans="1:16">
      <c r="A84" s="1191" t="s">
        <v>200</v>
      </c>
      <c r="B84" s="571"/>
      <c r="C84" s="571"/>
      <c r="D84" s="478" t="s">
        <v>131</v>
      </c>
      <c r="E84" s="519">
        <f>'13'!F84</f>
        <v>509739</v>
      </c>
      <c r="F84" s="627">
        <v>510493</v>
      </c>
      <c r="G84" s="473">
        <f t="shared" si="7"/>
        <v>754</v>
      </c>
      <c r="H84" s="460">
        <f>G84+'13'!H84</f>
        <v>10199</v>
      </c>
      <c r="I84" s="481"/>
      <c r="J84" s="552">
        <f>H84/DAY(B2)</f>
        <v>728.5</v>
      </c>
      <c r="K84" s="380"/>
      <c r="L84" s="377"/>
      <c r="N84" s="719"/>
      <c r="O84" s="726"/>
      <c r="P84" s="382"/>
    </row>
    <row r="85" spans="1:16" s="379" customFormat="1">
      <c r="A85" s="605" t="s">
        <v>201</v>
      </c>
      <c r="B85" s="572"/>
      <c r="C85" s="572"/>
      <c r="D85" s="489"/>
      <c r="E85" s="523"/>
      <c r="F85" s="523"/>
      <c r="G85" s="460">
        <f xml:space="preserve"> SUM(G72:G84)</f>
        <v>1998.6799999999348</v>
      </c>
      <c r="H85" s="460">
        <f>G85+'13'!H85</f>
        <v>25866.959999999999</v>
      </c>
      <c r="I85" s="481"/>
      <c r="J85" s="552">
        <f>H85/DAY(B2)</f>
        <v>1847.6399999999999</v>
      </c>
      <c r="K85" s="380"/>
      <c r="L85" s="378"/>
      <c r="N85" s="719"/>
      <c r="O85" s="726"/>
      <c r="P85" s="382"/>
    </row>
    <row r="86" spans="1:16" s="736" customFormat="1">
      <c r="A86" s="731" t="s">
        <v>93</v>
      </c>
      <c r="B86" s="732"/>
      <c r="C86" s="732"/>
      <c r="D86" s="733" t="s">
        <v>182</v>
      </c>
      <c r="E86" s="627">
        <f>'13'!F86</f>
        <v>461336.44</v>
      </c>
      <c r="F86" s="648">
        <v>461365</v>
      </c>
      <c r="G86" s="706">
        <f t="shared" ref="G86:G91" si="8">F86-E86</f>
        <v>28.559999999997672</v>
      </c>
      <c r="H86" s="706">
        <f t="shared" ref="H86:H88" si="9">G86</f>
        <v>28.559999999997672</v>
      </c>
      <c r="I86" s="653"/>
      <c r="J86" s="708">
        <f>H86/DAY(B2)</f>
        <v>2.0399999999998335</v>
      </c>
      <c r="K86" s="734"/>
      <c r="L86" s="735"/>
      <c r="O86" s="714"/>
    </row>
    <row r="87" spans="1:16" s="736" customFormat="1">
      <c r="A87" s="731" t="s">
        <v>94</v>
      </c>
      <c r="B87" s="732"/>
      <c r="C87" s="732"/>
      <c r="D87" s="733" t="s">
        <v>182</v>
      </c>
      <c r="E87" s="627">
        <f>'13'!F87</f>
        <v>81626</v>
      </c>
      <c r="F87" s="648">
        <v>81654</v>
      </c>
      <c r="G87" s="706">
        <f t="shared" si="8"/>
        <v>28</v>
      </c>
      <c r="H87" s="706">
        <f t="shared" si="9"/>
        <v>28</v>
      </c>
      <c r="I87" s="653"/>
      <c r="J87" s="708">
        <f>H87/DAY(B2)</f>
        <v>2</v>
      </c>
      <c r="K87" s="734"/>
      <c r="L87" s="735"/>
      <c r="O87" s="714"/>
    </row>
    <row r="88" spans="1:16" s="736" customFormat="1">
      <c r="A88" s="731" t="s">
        <v>95</v>
      </c>
      <c r="B88" s="732"/>
      <c r="C88" s="732"/>
      <c r="D88" s="733" t="s">
        <v>182</v>
      </c>
      <c r="E88" s="627">
        <f>'13'!F88</f>
        <v>153538.73000000001</v>
      </c>
      <c r="F88" s="648">
        <v>153690</v>
      </c>
      <c r="G88" s="706">
        <f t="shared" si="8"/>
        <v>151.26999999998952</v>
      </c>
      <c r="H88" s="706">
        <f t="shared" si="9"/>
        <v>151.26999999998952</v>
      </c>
      <c r="I88" s="653"/>
      <c r="J88" s="708">
        <f>H88/DAY(B2)</f>
        <v>10.804999999999252</v>
      </c>
      <c r="K88" s="734"/>
      <c r="L88" s="735"/>
      <c r="O88" s="714"/>
    </row>
    <row r="89" spans="1:16" s="736" customFormat="1">
      <c r="A89" s="731" t="s">
        <v>203</v>
      </c>
      <c r="B89" s="732"/>
      <c r="C89" s="732"/>
      <c r="D89" s="733" t="s">
        <v>182</v>
      </c>
      <c r="E89" s="627">
        <f>'13'!F89</f>
        <v>65397.8</v>
      </c>
      <c r="F89" s="648">
        <v>65425</v>
      </c>
      <c r="G89" s="706">
        <f t="shared" si="8"/>
        <v>27.19999999999709</v>
      </c>
      <c r="H89" s="706">
        <f>G89</f>
        <v>27.19999999999709</v>
      </c>
      <c r="I89" s="653"/>
      <c r="J89" s="708">
        <f>H89/DAY(B2)</f>
        <v>1.942857142856935</v>
      </c>
      <c r="K89" s="734"/>
      <c r="L89" s="735"/>
      <c r="N89" s="778"/>
      <c r="O89" s="382"/>
    </row>
    <row r="90" spans="1:16" s="736" customFormat="1">
      <c r="A90" s="731" t="s">
        <v>203</v>
      </c>
      <c r="B90" s="732"/>
      <c r="C90" s="732"/>
      <c r="D90" s="733" t="s">
        <v>182</v>
      </c>
      <c r="E90" s="627">
        <f>'13'!F90</f>
        <v>3291.9</v>
      </c>
      <c r="F90" s="648">
        <v>3295</v>
      </c>
      <c r="G90" s="706">
        <f t="shared" si="8"/>
        <v>3.0999999999999091</v>
      </c>
      <c r="H90" s="706">
        <f>G90</f>
        <v>3.0999999999999091</v>
      </c>
      <c r="I90" s="653"/>
      <c r="J90" s="708">
        <f>H90/DAY(B2)</f>
        <v>0.22142857142856492</v>
      </c>
      <c r="K90" s="734"/>
      <c r="L90" s="735"/>
      <c r="N90" s="778"/>
      <c r="O90" s="382"/>
    </row>
    <row r="91" spans="1:16" s="736" customFormat="1">
      <c r="A91" s="731" t="s">
        <v>350</v>
      </c>
      <c r="B91" s="732"/>
      <c r="C91" s="732"/>
      <c r="D91" s="733"/>
      <c r="E91" s="627">
        <f>'13'!F91</f>
        <v>28113</v>
      </c>
      <c r="F91" s="648">
        <v>28122</v>
      </c>
      <c r="G91" s="706">
        <f t="shared" si="8"/>
        <v>9</v>
      </c>
      <c r="H91" s="706">
        <f>G91</f>
        <v>9</v>
      </c>
      <c r="I91" s="653"/>
      <c r="J91" s="708">
        <f>H91/DAY(B2)</f>
        <v>0.6428571428571429</v>
      </c>
      <c r="K91" s="734"/>
      <c r="L91" s="735"/>
      <c r="N91" s="778"/>
      <c r="O91" s="382"/>
    </row>
    <row r="92" spans="1:16" s="379" customFormat="1">
      <c r="A92" s="606" t="s">
        <v>204</v>
      </c>
      <c r="B92" s="1189"/>
      <c r="C92" s="1189"/>
      <c r="D92" s="472"/>
      <c r="E92" s="472"/>
      <c r="F92" s="472"/>
      <c r="G92" s="488"/>
      <c r="H92" s="472"/>
      <c r="I92" s="472"/>
      <c r="J92" s="551"/>
      <c r="K92" s="380"/>
      <c r="L92" s="378"/>
      <c r="N92" s="719"/>
      <c r="O92" s="726"/>
      <c r="P92" s="382"/>
    </row>
    <row r="93" spans="1:16" ht="27.75">
      <c r="A93" s="1537" t="s">
        <v>205</v>
      </c>
      <c r="B93" s="1538"/>
      <c r="C93" s="1539"/>
      <c r="D93" s="523" t="s">
        <v>143</v>
      </c>
      <c r="E93" s="484">
        <f>'13'!F93</f>
        <v>246080</v>
      </c>
      <c r="F93" s="478">
        <v>246148</v>
      </c>
      <c r="G93" s="473">
        <f t="shared" ref="G93:G94" si="10">F93-E93</f>
        <v>68</v>
      </c>
      <c r="H93" s="460">
        <f>G93+'13'!H93</f>
        <v>660</v>
      </c>
      <c r="I93" s="480"/>
      <c r="J93" s="552">
        <f>H93/DAY(B2)</f>
        <v>47.142857142857146</v>
      </c>
      <c r="K93" s="429"/>
      <c r="L93" s="377"/>
      <c r="N93" s="719"/>
      <c r="O93" s="726"/>
      <c r="P93" s="382"/>
    </row>
    <row r="94" spans="1:16" ht="27.75">
      <c r="A94" s="1537" t="s">
        <v>206</v>
      </c>
      <c r="B94" s="1538"/>
      <c r="C94" s="1539"/>
      <c r="D94" s="523" t="s">
        <v>143</v>
      </c>
      <c r="E94" s="484">
        <f>'13'!F94</f>
        <v>187397</v>
      </c>
      <c r="F94" s="652">
        <v>187551</v>
      </c>
      <c r="G94" s="473">
        <f t="shared" si="10"/>
        <v>154</v>
      </c>
      <c r="H94" s="460">
        <f>G94+'13'!H94</f>
        <v>1430</v>
      </c>
      <c r="I94" s="480"/>
      <c r="J94" s="552">
        <f>H94/DAY(B2)</f>
        <v>102.14285714285714</v>
      </c>
      <c r="K94" s="380"/>
      <c r="L94" s="377"/>
      <c r="N94" s="719"/>
      <c r="O94" s="726"/>
      <c r="P94" s="382"/>
    </row>
    <row r="95" spans="1:16">
      <c r="A95" s="1531" t="s">
        <v>207</v>
      </c>
      <c r="B95" s="1532"/>
      <c r="C95" s="1533"/>
      <c r="D95" s="523"/>
      <c r="E95" s="484">
        <f>'13'!F95</f>
        <v>0</v>
      </c>
      <c r="F95" s="478"/>
      <c r="G95" s="473">
        <f>G93+G94</f>
        <v>222</v>
      </c>
      <c r="H95" s="460">
        <f>G95+'13'!H95</f>
        <v>2014</v>
      </c>
      <c r="I95" s="480"/>
      <c r="J95" s="552">
        <f>H95/DAY(B2)</f>
        <v>143.85714285714286</v>
      </c>
      <c r="K95" s="380"/>
      <c r="L95" s="377"/>
      <c r="N95" s="719"/>
      <c r="O95" s="726"/>
      <c r="P95" s="382"/>
    </row>
    <row r="96" spans="1:16" ht="27.75">
      <c r="A96" s="1537" t="s">
        <v>208</v>
      </c>
      <c r="B96" s="1538"/>
      <c r="C96" s="1539"/>
      <c r="D96" s="523" t="s">
        <v>143</v>
      </c>
      <c r="E96" s="484">
        <f>'13'!F96</f>
        <v>414910</v>
      </c>
      <c r="F96" s="478">
        <v>414978</v>
      </c>
      <c r="G96" s="473">
        <f t="shared" ref="G96:G101" si="11">F96-E96</f>
        <v>68</v>
      </c>
      <c r="H96" s="460">
        <f>G96+'13'!H96</f>
        <v>695</v>
      </c>
      <c r="I96" s="480"/>
      <c r="J96" s="552">
        <f>H96/DAY(B2)</f>
        <v>49.642857142857146</v>
      </c>
      <c r="K96" s="380"/>
      <c r="L96" s="377"/>
      <c r="N96" s="719"/>
      <c r="O96" s="726"/>
      <c r="P96" s="382"/>
    </row>
    <row r="97" spans="1:16" ht="27.75">
      <c r="A97" s="1185" t="s">
        <v>209</v>
      </c>
      <c r="B97" s="1186"/>
      <c r="C97" s="1186"/>
      <c r="D97" s="523" t="s">
        <v>143</v>
      </c>
      <c r="E97" s="484">
        <f>'13'!F97</f>
        <v>102820</v>
      </c>
      <c r="F97" s="478">
        <v>102843</v>
      </c>
      <c r="G97" s="473">
        <f t="shared" si="11"/>
        <v>23</v>
      </c>
      <c r="H97" s="460">
        <f>G97+'13'!H97</f>
        <v>195</v>
      </c>
      <c r="I97" s="480"/>
      <c r="J97" s="552">
        <f>H97/DAY(B2)</f>
        <v>13.928571428571429</v>
      </c>
      <c r="K97" s="427"/>
      <c r="L97" s="377"/>
      <c r="N97" s="719"/>
      <c r="O97" s="726"/>
      <c r="P97" s="382"/>
    </row>
    <row r="98" spans="1:16" ht="27.75">
      <c r="A98" s="1185" t="s">
        <v>210</v>
      </c>
      <c r="B98" s="1186"/>
      <c r="C98" s="1186"/>
      <c r="D98" s="523" t="s">
        <v>143</v>
      </c>
      <c r="E98" s="484">
        <f>'13'!F98</f>
        <v>98235</v>
      </c>
      <c r="F98" s="478">
        <v>98256</v>
      </c>
      <c r="G98" s="473">
        <f t="shared" si="11"/>
        <v>21</v>
      </c>
      <c r="H98" s="460">
        <f>G98+'13'!H98</f>
        <v>306</v>
      </c>
      <c r="I98" s="480"/>
      <c r="J98" s="552">
        <f>H98/DAY(B2)</f>
        <v>21.857142857142858</v>
      </c>
      <c r="K98" s="432"/>
      <c r="L98" s="377"/>
      <c r="N98" s="719"/>
      <c r="O98" s="726"/>
      <c r="P98" s="382"/>
    </row>
    <row r="99" spans="1:16" ht="27.75">
      <c r="A99" s="1185" t="s">
        <v>211</v>
      </c>
      <c r="B99" s="1186"/>
      <c r="C99" s="1186"/>
      <c r="D99" s="523" t="s">
        <v>143</v>
      </c>
      <c r="E99" s="484">
        <f>'13'!F99</f>
        <v>149965</v>
      </c>
      <c r="F99" s="478">
        <v>149973</v>
      </c>
      <c r="G99" s="473">
        <f t="shared" si="11"/>
        <v>8</v>
      </c>
      <c r="H99" s="460">
        <f>G99+'13'!H99</f>
        <v>121</v>
      </c>
      <c r="I99" s="480"/>
      <c r="J99" s="552">
        <f>H99/DAY(B2)</f>
        <v>8.6428571428571423</v>
      </c>
      <c r="K99" s="380"/>
      <c r="L99" s="377"/>
      <c r="N99" s="721"/>
      <c r="O99" s="726"/>
      <c r="P99" s="382"/>
    </row>
    <row r="100" spans="1:16" ht="27.75">
      <c r="A100" s="1185" t="s">
        <v>212</v>
      </c>
      <c r="B100" s="1186"/>
      <c r="C100" s="1186"/>
      <c r="D100" s="523" t="s">
        <v>143</v>
      </c>
      <c r="E100" s="484">
        <f>'13'!F100</f>
        <v>7527</v>
      </c>
      <c r="F100" s="478">
        <v>7534</v>
      </c>
      <c r="G100" s="473">
        <f t="shared" si="11"/>
        <v>7</v>
      </c>
      <c r="H100" s="460">
        <f>G100+'13'!H100</f>
        <v>165</v>
      </c>
      <c r="I100" s="480"/>
      <c r="J100" s="552">
        <f>H100/DAY(B2)</f>
        <v>11.785714285714286</v>
      </c>
      <c r="K100" s="380"/>
      <c r="L100" s="377"/>
      <c r="N100" s="719"/>
      <c r="O100" s="726"/>
      <c r="P100" s="382"/>
    </row>
    <row r="101" spans="1:16" ht="27.75">
      <c r="A101" s="1185" t="s">
        <v>213</v>
      </c>
      <c r="B101" s="1186"/>
      <c r="C101" s="1186"/>
      <c r="D101" s="523" t="s">
        <v>143</v>
      </c>
      <c r="E101" s="484">
        <f>'13'!F101</f>
        <v>5501</v>
      </c>
      <c r="F101" s="478">
        <v>5508</v>
      </c>
      <c r="G101" s="473">
        <f t="shared" si="11"/>
        <v>7</v>
      </c>
      <c r="H101" s="460">
        <f>G101+'13'!H101</f>
        <v>117</v>
      </c>
      <c r="I101" s="480"/>
      <c r="J101" s="552">
        <f>H101/DAY(B2)</f>
        <v>8.3571428571428577</v>
      </c>
      <c r="K101" s="380"/>
      <c r="L101" s="377"/>
      <c r="N101" s="719"/>
      <c r="O101" s="726"/>
      <c r="P101" s="382"/>
    </row>
    <row r="102" spans="1:16">
      <c r="A102" s="1531" t="s">
        <v>215</v>
      </c>
      <c r="B102" s="1532"/>
      <c r="C102" s="1533"/>
      <c r="D102" s="524"/>
      <c r="E102" s="484"/>
      <c r="F102" s="524"/>
      <c r="G102" s="525">
        <f>SUM(G96:G101)</f>
        <v>134</v>
      </c>
      <c r="H102" s="460">
        <f>G102+'13'!H102</f>
        <v>1599</v>
      </c>
      <c r="I102" s="526"/>
      <c r="J102" s="552">
        <f>H102/DAY(B2)</f>
        <v>114.21428571428571</v>
      </c>
      <c r="K102" s="380"/>
      <c r="L102" s="377"/>
      <c r="N102" s="719"/>
      <c r="O102" s="726"/>
      <c r="P102" s="382"/>
    </row>
    <row r="103" spans="1:16" s="442" customFormat="1" ht="27">
      <c r="A103" s="607" t="s">
        <v>216</v>
      </c>
      <c r="B103" s="608"/>
      <c r="C103" s="608"/>
      <c r="D103" s="621"/>
      <c r="E103" s="1061"/>
      <c r="F103" s="658"/>
      <c r="G103" s="529"/>
      <c r="H103" s="530"/>
      <c r="I103" s="531"/>
      <c r="J103" s="557"/>
      <c r="N103" s="719"/>
      <c r="O103" s="726"/>
      <c r="P103" s="382"/>
    </row>
    <row r="104" spans="1:16" s="442" customFormat="1" ht="27.75">
      <c r="A104" s="1540" t="s">
        <v>217</v>
      </c>
      <c r="B104" s="1541"/>
      <c r="C104" s="573"/>
      <c r="D104" s="622"/>
      <c r="E104" s="484"/>
      <c r="F104" s="659"/>
      <c r="G104" s="532"/>
      <c r="H104" s="533"/>
      <c r="I104" s="532"/>
      <c r="J104" s="558"/>
      <c r="N104" s="719"/>
      <c r="O104" s="726"/>
      <c r="P104" s="382"/>
    </row>
    <row r="105" spans="1:16" s="442" customFormat="1" ht="27.75">
      <c r="A105" s="1542" t="s">
        <v>218</v>
      </c>
      <c r="B105" s="1543"/>
      <c r="C105" s="1190"/>
      <c r="D105" s="622" t="s">
        <v>143</v>
      </c>
      <c r="E105" s="484">
        <f>'13'!F105</f>
        <v>7473</v>
      </c>
      <c r="F105" s="659">
        <v>7473</v>
      </c>
      <c r="G105" s="532">
        <f>F105-E105</f>
        <v>0</v>
      </c>
      <c r="H105" s="533">
        <f>SUM(G105+'1'!G76)</f>
        <v>57</v>
      </c>
      <c r="I105" s="532"/>
      <c r="J105" s="558">
        <f>H105/DAY(B2)</f>
        <v>4.0714285714285712</v>
      </c>
      <c r="N105" s="719"/>
      <c r="O105" s="726"/>
      <c r="P105" s="382"/>
    </row>
    <row r="106" spans="1:16" s="442" customFormat="1" ht="27.75">
      <c r="A106" s="1542" t="s">
        <v>76</v>
      </c>
      <c r="B106" s="1543"/>
      <c r="C106" s="1190"/>
      <c r="D106" s="622" t="s">
        <v>143</v>
      </c>
      <c r="E106" s="484">
        <f>'13'!F106</f>
        <v>36019</v>
      </c>
      <c r="F106" s="660">
        <v>36033</v>
      </c>
      <c r="G106" s="532">
        <f t="shared" ref="G106:G107" si="12">F106-E106</f>
        <v>14</v>
      </c>
      <c r="H106" s="533">
        <f>SUM(G106+'1'!G77)</f>
        <v>63</v>
      </c>
      <c r="I106" s="532"/>
      <c r="J106" s="558">
        <f>H106/DAY(B2)</f>
        <v>4.5</v>
      </c>
      <c r="N106" s="719"/>
      <c r="O106" s="726"/>
      <c r="P106" s="382"/>
    </row>
    <row r="107" spans="1:16" s="442" customFormat="1" ht="27.75">
      <c r="A107" s="1542" t="s">
        <v>77</v>
      </c>
      <c r="B107" s="1544"/>
      <c r="C107" s="1543"/>
      <c r="D107" s="622" t="s">
        <v>143</v>
      </c>
      <c r="E107" s="484">
        <f>'13'!F107</f>
        <v>19751</v>
      </c>
      <c r="F107" s="660">
        <v>19756</v>
      </c>
      <c r="G107" s="532">
        <f t="shared" si="12"/>
        <v>5</v>
      </c>
      <c r="H107" s="533">
        <f>SUM(G107+'1'!G78)</f>
        <v>60</v>
      </c>
      <c r="I107" s="532"/>
      <c r="J107" s="558">
        <f>H107/DAY(B2)</f>
        <v>4.2857142857142856</v>
      </c>
      <c r="N107" s="719"/>
      <c r="O107" s="726"/>
      <c r="P107" s="382"/>
    </row>
    <row r="108" spans="1:16" s="442" customFormat="1" ht="27.75">
      <c r="A108" s="1545" t="s">
        <v>201</v>
      </c>
      <c r="B108" s="1546"/>
      <c r="C108" s="1190"/>
      <c r="D108" s="622"/>
      <c r="E108" s="484">
        <f>'13'!F108</f>
        <v>0</v>
      </c>
      <c r="F108" s="660"/>
      <c r="G108" s="532">
        <f>SUM(G105:G107)</f>
        <v>19</v>
      </c>
      <c r="H108" s="533">
        <f>SUM(G108+'1'!G79)</f>
        <v>174</v>
      </c>
      <c r="I108" s="532"/>
      <c r="J108" s="558">
        <f>H108/DAY(B2)</f>
        <v>12.428571428571429</v>
      </c>
      <c r="N108" s="719"/>
      <c r="O108" s="726"/>
      <c r="P108" s="382"/>
    </row>
    <row r="109" spans="1:16" s="442" customFormat="1" ht="27.75">
      <c r="A109" s="1547" t="s">
        <v>78</v>
      </c>
      <c r="B109" s="1548"/>
      <c r="C109" s="1190"/>
      <c r="D109" s="622" t="s">
        <v>143</v>
      </c>
      <c r="E109" s="484">
        <f>'13'!F109</f>
        <v>0</v>
      </c>
      <c r="F109" s="660"/>
      <c r="G109" s="532"/>
      <c r="H109" s="533"/>
      <c r="I109" s="532"/>
      <c r="J109" s="558"/>
      <c r="N109" s="719"/>
      <c r="O109" s="726"/>
      <c r="P109" s="382"/>
    </row>
    <row r="110" spans="1:16" s="442" customFormat="1" ht="27.75">
      <c r="A110" s="1542" t="s">
        <v>219</v>
      </c>
      <c r="B110" s="1543"/>
      <c r="C110" s="1190"/>
      <c r="D110" s="622" t="s">
        <v>143</v>
      </c>
      <c r="E110" s="484">
        <f>'13'!F110</f>
        <v>63612</v>
      </c>
      <c r="F110" s="660">
        <v>63685</v>
      </c>
      <c r="G110" s="532">
        <f>F110-E110</f>
        <v>73</v>
      </c>
      <c r="H110" s="533">
        <f>SUM(G110+'1'!G81)</f>
        <v>167</v>
      </c>
      <c r="I110" s="532"/>
      <c r="J110" s="558">
        <f>H110/DAY(B2)</f>
        <v>11.928571428571429</v>
      </c>
      <c r="N110" s="719"/>
      <c r="O110" s="726"/>
      <c r="P110" s="382"/>
    </row>
    <row r="111" spans="1:16" s="442" customFormat="1" ht="27.75">
      <c r="A111" s="1542" t="s">
        <v>220</v>
      </c>
      <c r="B111" s="1543"/>
      <c r="C111" s="1190"/>
      <c r="D111" s="622" t="s">
        <v>143</v>
      </c>
      <c r="E111" s="484">
        <f>'13'!F111</f>
        <v>32697</v>
      </c>
      <c r="F111" s="660">
        <v>32697</v>
      </c>
      <c r="G111" s="532">
        <f t="shared" ref="G111:G112" si="13">F111-E111</f>
        <v>0</v>
      </c>
      <c r="H111" s="533">
        <f>SUM(G111+'1'!G82)</f>
        <v>11</v>
      </c>
      <c r="I111" s="532"/>
      <c r="J111" s="558">
        <f>H111/DAY(B2)</f>
        <v>0.7857142857142857</v>
      </c>
      <c r="N111" s="719"/>
      <c r="O111" s="726"/>
      <c r="P111" s="382"/>
    </row>
    <row r="112" spans="1:16" s="442" customFormat="1" ht="27.75">
      <c r="A112" s="1542" t="s">
        <v>221</v>
      </c>
      <c r="B112" s="1543"/>
      <c r="C112" s="1190"/>
      <c r="D112" s="622" t="s">
        <v>143</v>
      </c>
      <c r="E112" s="484">
        <f>'13'!F112</f>
        <v>4621</v>
      </c>
      <c r="F112" s="660">
        <v>4621</v>
      </c>
      <c r="G112" s="532">
        <f t="shared" si="13"/>
        <v>0</v>
      </c>
      <c r="H112" s="533">
        <f>SUM(G112+'1'!G83)</f>
        <v>152</v>
      </c>
      <c r="I112" s="532"/>
      <c r="J112" s="558">
        <f>H112/DAY(B2)</f>
        <v>10.857142857142858</v>
      </c>
      <c r="N112" s="719"/>
      <c r="O112" s="726"/>
      <c r="P112" s="382"/>
    </row>
    <row r="113" spans="1:16" s="442" customFormat="1" ht="27.75">
      <c r="A113" s="1545" t="s">
        <v>109</v>
      </c>
      <c r="B113" s="1546"/>
      <c r="C113" s="1190"/>
      <c r="D113" s="622"/>
      <c r="E113" s="484">
        <f>'13'!F113</f>
        <v>0</v>
      </c>
      <c r="F113" s="660"/>
      <c r="G113" s="532">
        <f>SUM(G110:G112)</f>
        <v>73</v>
      </c>
      <c r="H113" s="533">
        <f>SUM(G113+'1'!G84)</f>
        <v>900</v>
      </c>
      <c r="I113" s="532"/>
      <c r="J113" s="558">
        <f>H113/DAY(B2)</f>
        <v>64.285714285714292</v>
      </c>
      <c r="N113" s="719"/>
      <c r="O113" s="726"/>
      <c r="P113" s="382"/>
    </row>
    <row r="114" spans="1:16" s="442" customFormat="1" ht="27.75">
      <c r="A114" s="1547" t="s">
        <v>222</v>
      </c>
      <c r="B114" s="1548"/>
      <c r="C114" s="1190"/>
      <c r="D114" s="622"/>
      <c r="E114" s="484">
        <f>'13'!F114</f>
        <v>0</v>
      </c>
      <c r="F114" s="660"/>
      <c r="G114" s="532"/>
      <c r="H114" s="533"/>
      <c r="I114" s="532"/>
      <c r="J114" s="558">
        <f>H114/DAY(B2)</f>
        <v>0</v>
      </c>
      <c r="N114" s="719"/>
      <c r="O114" s="726"/>
      <c r="P114" s="382"/>
    </row>
    <row r="115" spans="1:16" s="442" customFormat="1" ht="27.75">
      <c r="A115" s="1542" t="s">
        <v>223</v>
      </c>
      <c r="B115" s="1543"/>
      <c r="C115" s="574"/>
      <c r="D115" s="622" t="s">
        <v>143</v>
      </c>
      <c r="E115" s="484">
        <f>'13'!F115</f>
        <v>11693</v>
      </c>
      <c r="F115" s="660">
        <v>11703</v>
      </c>
      <c r="G115" s="534">
        <f>F115-E115</f>
        <v>10</v>
      </c>
      <c r="H115" s="533">
        <f>SUM(G115+'1'!G92)</f>
        <v>10</v>
      </c>
      <c r="I115" s="532"/>
      <c r="J115" s="558">
        <f>H115/DAY(B2)</f>
        <v>0.7142857142857143</v>
      </c>
      <c r="N115" s="719"/>
      <c r="O115" s="726"/>
      <c r="P115" s="382"/>
    </row>
    <row r="116" spans="1:16" s="442" customFormat="1" ht="27.75">
      <c r="A116" s="1542" t="s">
        <v>224</v>
      </c>
      <c r="B116" s="1543"/>
      <c r="C116" s="574"/>
      <c r="D116" s="622" t="s">
        <v>143</v>
      </c>
      <c r="E116" s="484">
        <f>'13'!F116</f>
        <v>8412</v>
      </c>
      <c r="F116" s="660">
        <v>8418</v>
      </c>
      <c r="G116" s="534">
        <f t="shared" ref="G116:G117" si="14">F116-E116</f>
        <v>6</v>
      </c>
      <c r="H116" s="533">
        <f>SUM(G116+'1'!G93)</f>
        <v>24</v>
      </c>
      <c r="I116" s="532"/>
      <c r="J116" s="558">
        <f>H116/DAY(B2)</f>
        <v>1.7142857142857142</v>
      </c>
      <c r="N116" s="719"/>
      <c r="O116" s="726"/>
      <c r="P116" s="382"/>
    </row>
    <row r="117" spans="1:16" s="442" customFormat="1" ht="27.75">
      <c r="A117" s="1542" t="s">
        <v>225</v>
      </c>
      <c r="B117" s="1543"/>
      <c r="C117" s="574"/>
      <c r="D117" s="622" t="s">
        <v>143</v>
      </c>
      <c r="E117" s="534"/>
      <c r="F117" s="660"/>
      <c r="G117" s="534">
        <f t="shared" si="14"/>
        <v>0</v>
      </c>
      <c r="H117" s="533">
        <f>SUM(G117+'1'!G94)</f>
        <v>58</v>
      </c>
      <c r="I117" s="532"/>
      <c r="J117" s="558">
        <f>H117/DAY(B2)</f>
        <v>4.1428571428571432</v>
      </c>
      <c r="N117" s="719"/>
      <c r="O117" s="726"/>
      <c r="P117" s="382"/>
    </row>
    <row r="118" spans="1:16" s="445" customFormat="1" ht="27.75">
      <c r="A118" s="1545" t="s">
        <v>201</v>
      </c>
      <c r="B118" s="1546"/>
      <c r="C118" s="574"/>
      <c r="D118" s="623"/>
      <c r="E118" s="534"/>
      <c r="F118" s="660"/>
      <c r="G118" s="534">
        <f>SUM(G115:G117)</f>
        <v>16</v>
      </c>
      <c r="H118" s="533">
        <f>SUM(G118+'1'!G96)</f>
        <v>56</v>
      </c>
      <c r="I118" s="534"/>
      <c r="J118" s="558">
        <f>H118/DAY(B2)</f>
        <v>4</v>
      </c>
      <c r="N118" s="719"/>
      <c r="O118" s="726"/>
      <c r="P118" s="382"/>
    </row>
    <row r="119" spans="1:16" s="446" customFormat="1" ht="27.75">
      <c r="A119" s="1576" t="s">
        <v>226</v>
      </c>
      <c r="B119" s="1577"/>
      <c r="C119" s="1193"/>
      <c r="D119" s="624" t="s">
        <v>143</v>
      </c>
      <c r="E119" s="536"/>
      <c r="F119" s="661"/>
      <c r="G119" s="536">
        <f>SUM(G19+G93)</f>
        <v>131</v>
      </c>
      <c r="H119" s="533">
        <f>SUM(G119+'1'!G97)</f>
        <v>144</v>
      </c>
      <c r="I119" s="535"/>
      <c r="J119" s="559">
        <f>H119/DAY(B2)</f>
        <v>10.285714285714286</v>
      </c>
      <c r="N119" s="719"/>
      <c r="O119" s="726"/>
      <c r="P119" s="382"/>
    </row>
    <row r="120" spans="1:16" s="446" customFormat="1" ht="27.75">
      <c r="A120" s="1576" t="s">
        <v>227</v>
      </c>
      <c r="B120" s="1577"/>
      <c r="C120" s="1193"/>
      <c r="D120" s="624" t="s">
        <v>143</v>
      </c>
      <c r="E120" s="536"/>
      <c r="F120" s="661">
        <f>SUM(G96,G97,G98,G100,G101)</f>
        <v>126</v>
      </c>
      <c r="G120" s="536">
        <f>SUM(G96,G97,G98,G100,G101)</f>
        <v>126</v>
      </c>
      <c r="H120" s="533">
        <f>SUM(G120+'1'!G99)</f>
        <v>133</v>
      </c>
      <c r="I120" s="535"/>
      <c r="J120" s="559">
        <f>H120/DAY(B2)</f>
        <v>9.5</v>
      </c>
      <c r="N120" s="719"/>
      <c r="O120" s="726"/>
      <c r="P120" s="382"/>
    </row>
    <row r="121" spans="1:16" s="446" customFormat="1" ht="27.75">
      <c r="A121" s="1576" t="s">
        <v>228</v>
      </c>
      <c r="B121" s="1577"/>
      <c r="C121" s="1193"/>
      <c r="D121" s="624" t="s">
        <v>143</v>
      </c>
      <c r="E121" s="534"/>
      <c r="F121" s="660">
        <f>SUM(G113)</f>
        <v>73</v>
      </c>
      <c r="G121" s="534">
        <f>SUM(G113)</f>
        <v>73</v>
      </c>
      <c r="H121" s="533">
        <f>SUM(G121+'1'!G101)</f>
        <v>77</v>
      </c>
      <c r="I121" s="535"/>
      <c r="J121" s="559">
        <f>H121/DAY(B2)</f>
        <v>5.5</v>
      </c>
      <c r="N121" s="719"/>
      <c r="O121" s="726"/>
      <c r="P121" s="382"/>
    </row>
    <row r="122" spans="1:16" s="442" customFormat="1" ht="27.75">
      <c r="A122" s="1578"/>
      <c r="B122" s="1579"/>
      <c r="C122" s="1194"/>
      <c r="D122" s="560"/>
      <c r="E122" s="560"/>
      <c r="F122" s="662" t="s">
        <v>214</v>
      </c>
      <c r="G122" s="560"/>
      <c r="H122" s="561"/>
      <c r="I122" s="560"/>
      <c r="J122" s="562"/>
      <c r="N122" s="719"/>
      <c r="O122" s="726"/>
      <c r="P122" s="382"/>
    </row>
    <row r="123" spans="1:16">
      <c r="A123" s="1528" t="s">
        <v>229</v>
      </c>
      <c r="B123" s="1529"/>
      <c r="C123" s="1530"/>
      <c r="D123" s="472"/>
      <c r="E123" s="472"/>
      <c r="F123" s="472"/>
      <c r="G123" s="483"/>
      <c r="H123" s="483"/>
      <c r="I123" s="483"/>
      <c r="J123" s="563"/>
      <c r="K123" s="380"/>
      <c r="L123" s="377"/>
      <c r="N123" s="719"/>
      <c r="O123" s="726"/>
      <c r="P123" s="382"/>
    </row>
    <row r="124" spans="1:16" ht="27.75">
      <c r="A124" s="1185" t="s">
        <v>230</v>
      </c>
      <c r="B124" s="1186"/>
      <c r="C124" s="1186"/>
      <c r="D124" s="523" t="s">
        <v>140</v>
      </c>
      <c r="E124" s="478">
        <f>'13'!F124</f>
        <v>834932</v>
      </c>
      <c r="F124" s="478">
        <v>835191</v>
      </c>
      <c r="G124" s="473">
        <f t="shared" ref="G124:G128" si="15">F124-E124</f>
        <v>259</v>
      </c>
      <c r="H124" s="460">
        <f>G124+'13'!H124</f>
        <v>2825</v>
      </c>
      <c r="I124" s="526"/>
      <c r="J124" s="552">
        <f>H124/DAY(B2)</f>
        <v>201.78571428571428</v>
      </c>
      <c r="K124" s="380"/>
      <c r="L124" s="377"/>
      <c r="N124" s="719"/>
      <c r="O124" s="726"/>
      <c r="P124" s="382"/>
    </row>
    <row r="125" spans="1:16" ht="27.75">
      <c r="A125" s="1185" t="s">
        <v>231</v>
      </c>
      <c r="B125" s="1186"/>
      <c r="C125" s="1186"/>
      <c r="D125" s="523" t="s">
        <v>140</v>
      </c>
      <c r="E125" s="626">
        <f>'13'!F125</f>
        <v>73583</v>
      </c>
      <c r="F125" s="626">
        <v>73583</v>
      </c>
      <c r="G125" s="473">
        <f t="shared" si="15"/>
        <v>0</v>
      </c>
      <c r="H125" s="460">
        <f>G125+'13'!H125</f>
        <v>-0.39999999999417923</v>
      </c>
      <c r="I125" s="526"/>
      <c r="J125" s="552">
        <f>H125/DAY(B2)</f>
        <v>-2.8571428571012802E-2</v>
      </c>
      <c r="K125" s="380"/>
      <c r="L125" s="377"/>
      <c r="N125" s="719"/>
      <c r="O125" s="726"/>
      <c r="P125" s="382"/>
    </row>
    <row r="126" spans="1:16" ht="27.75">
      <c r="A126" s="1534" t="s">
        <v>232</v>
      </c>
      <c r="B126" s="1535"/>
      <c r="C126" s="1536"/>
      <c r="D126" s="523" t="s">
        <v>140</v>
      </c>
      <c r="E126" s="478">
        <f>'13'!F126</f>
        <v>147307</v>
      </c>
      <c r="F126" s="478">
        <v>147379</v>
      </c>
      <c r="G126" s="473">
        <f t="shared" si="15"/>
        <v>72</v>
      </c>
      <c r="H126" s="460">
        <f>G126+'13'!H126</f>
        <v>888</v>
      </c>
      <c r="I126" s="526"/>
      <c r="J126" s="552">
        <f>H126/DAY(B2)</f>
        <v>63.428571428571431</v>
      </c>
      <c r="K126" s="380"/>
      <c r="L126" s="377"/>
      <c r="N126" s="719"/>
      <c r="O126" s="726"/>
      <c r="P126" s="382"/>
    </row>
    <row r="127" spans="1:16" ht="27.75">
      <c r="A127" s="609" t="s">
        <v>233</v>
      </c>
      <c r="B127" s="1186"/>
      <c r="C127" s="1186"/>
      <c r="D127" s="523" t="s">
        <v>140</v>
      </c>
      <c r="E127" s="626">
        <f>'13'!F127</f>
        <v>31477</v>
      </c>
      <c r="F127" s="626">
        <v>31503</v>
      </c>
      <c r="G127" s="473">
        <f t="shared" si="15"/>
        <v>26</v>
      </c>
      <c r="H127" s="460">
        <f>G127+'13'!H127</f>
        <v>97</v>
      </c>
      <c r="I127" s="526"/>
      <c r="J127" s="552">
        <f>H127/DAY(B2)</f>
        <v>6.9285714285714288</v>
      </c>
      <c r="K127" s="380"/>
      <c r="L127" s="377"/>
      <c r="N127" s="719"/>
      <c r="O127" s="726"/>
      <c r="P127" s="382"/>
    </row>
    <row r="128" spans="1:16" ht="27.75">
      <c r="A128" s="609" t="s">
        <v>234</v>
      </c>
      <c r="B128" s="1186"/>
      <c r="C128" s="1186"/>
      <c r="D128" s="523" t="s">
        <v>140</v>
      </c>
      <c r="E128" s="626">
        <f>'13'!F128</f>
        <v>8974</v>
      </c>
      <c r="F128" s="626">
        <v>8975</v>
      </c>
      <c r="G128" s="473">
        <f t="shared" si="15"/>
        <v>1</v>
      </c>
      <c r="H128" s="460">
        <f>G128+'13'!H128</f>
        <v>3</v>
      </c>
      <c r="I128" s="480"/>
      <c r="J128" s="552">
        <f>H128/DAY(B2)</f>
        <v>0.21428571428571427</v>
      </c>
      <c r="K128" s="380"/>
      <c r="L128" s="377"/>
      <c r="N128" s="719"/>
      <c r="O128" s="726"/>
      <c r="P128" s="382"/>
    </row>
    <row r="129" spans="1:16" s="281" customFormat="1" ht="27.75">
      <c r="A129" s="609" t="s">
        <v>235</v>
      </c>
      <c r="B129" s="1186"/>
      <c r="C129" s="1186"/>
      <c r="D129" s="523"/>
      <c r="E129" s="478"/>
      <c r="F129" s="478"/>
      <c r="G129" s="473">
        <f>G15-SUM(G124:G128)</f>
        <v>464</v>
      </c>
      <c r="H129" s="460"/>
      <c r="I129" s="480"/>
      <c r="J129" s="552"/>
      <c r="K129" s="364"/>
      <c r="L129" s="292"/>
      <c r="N129" s="719"/>
      <c r="O129" s="726"/>
      <c r="P129" s="382"/>
    </row>
    <row r="130" spans="1:16">
      <c r="A130" s="610" t="s">
        <v>236</v>
      </c>
      <c r="B130" s="458"/>
      <c r="C130" s="458"/>
      <c r="D130" s="471"/>
      <c r="E130" s="471"/>
      <c r="F130" s="471"/>
      <c r="G130" s="540"/>
      <c r="H130" s="540"/>
      <c r="I130" s="540"/>
      <c r="J130" s="564"/>
      <c r="N130" s="719"/>
      <c r="O130" s="726"/>
      <c r="P130" s="382"/>
    </row>
    <row r="131" spans="1:16" ht="27.75">
      <c r="A131" s="1185" t="s">
        <v>237</v>
      </c>
      <c r="B131" s="1186"/>
      <c r="C131" s="1186"/>
      <c r="D131" s="523" t="s">
        <v>238</v>
      </c>
      <c r="E131" s="484">
        <f>'13'!F131</f>
        <v>0</v>
      </c>
      <c r="F131" s="478">
        <v>0</v>
      </c>
      <c r="G131" s="473">
        <f t="shared" ref="G131:G141" si="16">F131-E131</f>
        <v>0</v>
      </c>
      <c r="H131" s="460">
        <f>G131+'13'!H131</f>
        <v>0</v>
      </c>
      <c r="I131" s="480"/>
      <c r="J131" s="552">
        <f>H131/DAY(B2)</f>
        <v>0</v>
      </c>
      <c r="N131" s="719"/>
      <c r="O131" s="726"/>
      <c r="P131" s="382"/>
    </row>
    <row r="132" spans="1:16" ht="27.75">
      <c r="A132" s="1185" t="s">
        <v>239</v>
      </c>
      <c r="B132" s="1186"/>
      <c r="C132" s="1186"/>
      <c r="D132" s="523" t="s">
        <v>238</v>
      </c>
      <c r="E132" s="484">
        <f>'13'!F132</f>
        <v>0</v>
      </c>
      <c r="F132" s="478">
        <v>0</v>
      </c>
      <c r="G132" s="473">
        <f t="shared" si="16"/>
        <v>0</v>
      </c>
      <c r="H132" s="460">
        <f>G132+'13'!H132</f>
        <v>0</v>
      </c>
      <c r="I132" s="480"/>
      <c r="J132" s="552">
        <f>H132/DAY(B2)</f>
        <v>0</v>
      </c>
      <c r="N132" s="719"/>
      <c r="O132" s="726"/>
      <c r="P132" s="382"/>
    </row>
    <row r="133" spans="1:16" ht="27.75">
      <c r="A133" s="1185" t="s">
        <v>240</v>
      </c>
      <c r="B133" s="1186"/>
      <c r="C133" s="1186"/>
      <c r="D133" s="523" t="s">
        <v>238</v>
      </c>
      <c r="E133" s="541">
        <f>'13'!F133</f>
        <v>40194</v>
      </c>
      <c r="F133" s="652">
        <v>40218</v>
      </c>
      <c r="G133" s="473">
        <f t="shared" si="16"/>
        <v>24</v>
      </c>
      <c r="H133" s="460">
        <f>G133+'13'!H133</f>
        <v>182.90000000000146</v>
      </c>
      <c r="I133" s="480"/>
      <c r="J133" s="552">
        <f>H133/DAY(B2)</f>
        <v>13.064285714285818</v>
      </c>
      <c r="N133" s="719"/>
      <c r="O133" s="726"/>
      <c r="P133" s="382"/>
    </row>
    <row r="134" spans="1:16" ht="27.75">
      <c r="A134" s="1185" t="s">
        <v>241</v>
      </c>
      <c r="B134" s="1186"/>
      <c r="C134" s="1186"/>
      <c r="D134" s="523" t="s">
        <v>238</v>
      </c>
      <c r="E134" s="702">
        <f>'13'!F134</f>
        <v>300</v>
      </c>
      <c r="F134" s="626">
        <v>300</v>
      </c>
      <c r="G134" s="473">
        <f t="shared" si="16"/>
        <v>0</v>
      </c>
      <c r="H134" s="460">
        <f>G134+'13'!H134</f>
        <v>0</v>
      </c>
      <c r="I134" s="480">
        <f>G131+G132+G133+G134</f>
        <v>24</v>
      </c>
      <c r="J134" s="552">
        <f>H134/DAY(B2)</f>
        <v>0</v>
      </c>
      <c r="N134" s="719"/>
      <c r="O134" s="726"/>
      <c r="P134" s="382"/>
    </row>
    <row r="135" spans="1:16" ht="27.75">
      <c r="A135" s="1185" t="s">
        <v>242</v>
      </c>
      <c r="B135" s="1186"/>
      <c r="C135" s="1186"/>
      <c r="D135" s="523" t="s">
        <v>238</v>
      </c>
      <c r="E135" s="702">
        <f>'13'!F135</f>
        <v>41736</v>
      </c>
      <c r="F135" s="626">
        <v>41743</v>
      </c>
      <c r="G135" s="473">
        <f t="shared" si="16"/>
        <v>7</v>
      </c>
      <c r="H135" s="460">
        <f>G135+'13'!H135</f>
        <v>13</v>
      </c>
      <c r="I135" s="480"/>
      <c r="J135" s="552">
        <f>H135/DAY(B2)</f>
        <v>0.9285714285714286</v>
      </c>
      <c r="N135" s="719"/>
      <c r="O135" s="726"/>
      <c r="P135" s="382"/>
    </row>
    <row r="136" spans="1:16" ht="27.75">
      <c r="A136" s="1185" t="s">
        <v>243</v>
      </c>
      <c r="B136" s="1186"/>
      <c r="C136" s="1186"/>
      <c r="D136" s="523" t="s">
        <v>238</v>
      </c>
      <c r="E136" s="541">
        <f>'13'!F136</f>
        <v>32874</v>
      </c>
      <c r="F136" s="652">
        <v>32874</v>
      </c>
      <c r="G136" s="473">
        <f t="shared" si="16"/>
        <v>0</v>
      </c>
      <c r="H136" s="460">
        <f>G136+'13'!H136</f>
        <v>159</v>
      </c>
      <c r="I136" s="480"/>
      <c r="J136" s="552">
        <f>H136/DAY(B2)</f>
        <v>11.357142857142858</v>
      </c>
      <c r="N136" s="719"/>
      <c r="O136" s="726"/>
      <c r="P136" s="382"/>
    </row>
    <row r="137" spans="1:16" ht="27.75">
      <c r="A137" s="1185" t="s">
        <v>244</v>
      </c>
      <c r="B137" s="1186"/>
      <c r="C137" s="1186"/>
      <c r="D137" s="523" t="s">
        <v>238</v>
      </c>
      <c r="E137" s="541">
        <f>'13'!F137</f>
        <v>22841.51</v>
      </c>
      <c r="F137" s="652">
        <v>22850.49</v>
      </c>
      <c r="G137" s="473">
        <f t="shared" si="16"/>
        <v>8.9800000000032014</v>
      </c>
      <c r="H137" s="460">
        <f>G137+'13'!H137</f>
        <v>43.25</v>
      </c>
      <c r="I137" s="480">
        <f>G135+G136+G137</f>
        <v>15.980000000003201</v>
      </c>
      <c r="J137" s="552">
        <f>H137/DAY(B2)</f>
        <v>3.0892857142857144</v>
      </c>
      <c r="N137" s="719"/>
      <c r="O137" s="726"/>
      <c r="P137" s="382"/>
    </row>
    <row r="138" spans="1:16" ht="27.75">
      <c r="A138" s="1185" t="s">
        <v>245</v>
      </c>
      <c r="B138" s="1186"/>
      <c r="C138" s="1186"/>
      <c r="D138" s="523" t="s">
        <v>238</v>
      </c>
      <c r="E138" s="541">
        <f>'13'!F138</f>
        <v>25051.82</v>
      </c>
      <c r="F138" s="652">
        <v>25051.82</v>
      </c>
      <c r="G138" s="473">
        <f t="shared" si="16"/>
        <v>0</v>
      </c>
      <c r="H138" s="460">
        <f>G138+'13'!H138</f>
        <v>0</v>
      </c>
      <c r="I138" s="480"/>
      <c r="J138" s="552">
        <f>H138/DAY(B2)</f>
        <v>0</v>
      </c>
      <c r="N138" s="719"/>
      <c r="O138" s="726"/>
      <c r="P138" s="382"/>
    </row>
    <row r="139" spans="1:16" ht="27.75">
      <c r="A139" s="1185" t="s">
        <v>246</v>
      </c>
      <c r="B139" s="1186"/>
      <c r="C139" s="1186"/>
      <c r="D139" s="523" t="s">
        <v>238</v>
      </c>
      <c r="E139" s="541">
        <f>'13'!F139</f>
        <v>70460.649999999994</v>
      </c>
      <c r="F139" s="652">
        <v>70460.649999999994</v>
      </c>
      <c r="G139" s="473">
        <f t="shared" si="16"/>
        <v>0</v>
      </c>
      <c r="H139" s="460">
        <f>G139+'13'!H139</f>
        <v>48.909999999988941</v>
      </c>
      <c r="I139" s="480">
        <f>G138+G139</f>
        <v>0</v>
      </c>
      <c r="J139" s="552">
        <f>H139/DAY(B2)</f>
        <v>3.4935714285706387</v>
      </c>
      <c r="N139" s="719"/>
      <c r="O139" s="726"/>
      <c r="P139" s="382"/>
    </row>
    <row r="140" spans="1:16" ht="27.75">
      <c r="A140" s="1185" t="s">
        <v>247</v>
      </c>
      <c r="B140" s="1186"/>
      <c r="C140" s="1186"/>
      <c r="D140" s="523" t="s">
        <v>238</v>
      </c>
      <c r="E140" s="702">
        <f>'13'!F140</f>
        <v>1952.6</v>
      </c>
      <c r="F140" s="626">
        <v>1962.31</v>
      </c>
      <c r="G140" s="473">
        <f t="shared" si="16"/>
        <v>9.7100000000000364</v>
      </c>
      <c r="H140" s="460">
        <f>G140+'13'!H140</f>
        <v>108.00999999999999</v>
      </c>
      <c r="I140" s="542"/>
      <c r="J140" s="552">
        <f>H140/DAY(B2)</f>
        <v>7.714999999999999</v>
      </c>
      <c r="N140" s="719"/>
      <c r="O140" s="726"/>
      <c r="P140" s="382"/>
    </row>
    <row r="141" spans="1:16" ht="27.75">
      <c r="A141" s="1185" t="s">
        <v>248</v>
      </c>
      <c r="B141" s="1186"/>
      <c r="C141" s="1186"/>
      <c r="D141" s="523" t="s">
        <v>238</v>
      </c>
      <c r="E141" s="484">
        <f>'13'!F141</f>
        <v>4636.88</v>
      </c>
      <c r="F141" s="478">
        <v>4636.88</v>
      </c>
      <c r="G141" s="473">
        <f t="shared" si="16"/>
        <v>0</v>
      </c>
      <c r="H141" s="460">
        <f>G141+'13'!H141</f>
        <v>-0.11999999999989086</v>
      </c>
      <c r="I141" s="542"/>
      <c r="J141" s="552">
        <f>H141/DAY(B2)</f>
        <v>-8.571428571420776E-3</v>
      </c>
      <c r="N141" s="719"/>
      <c r="O141" s="726"/>
      <c r="P141" s="382"/>
    </row>
    <row r="142" spans="1:16">
      <c r="A142" s="1572" t="s">
        <v>249</v>
      </c>
      <c r="B142" s="1573"/>
      <c r="C142" s="1189"/>
      <c r="D142" s="472"/>
      <c r="E142" s="472"/>
      <c r="F142" s="472"/>
      <c r="G142" s="483"/>
      <c r="H142" s="483"/>
      <c r="I142" s="483"/>
      <c r="J142" s="563"/>
      <c r="K142" s="380"/>
      <c r="L142" s="377"/>
      <c r="N142" s="719"/>
      <c r="O142" s="726"/>
      <c r="P142" s="382"/>
    </row>
    <row r="143" spans="1:16" ht="27.75">
      <c r="A143" s="1537" t="s">
        <v>250</v>
      </c>
      <c r="B143" s="1538"/>
      <c r="C143" s="1539"/>
      <c r="D143" s="523" t="s">
        <v>131</v>
      </c>
      <c r="E143" s="523"/>
      <c r="F143" s="523"/>
      <c r="G143" s="460">
        <f>G35+G43+G49+G57</f>
        <v>5237.8699999999953</v>
      </c>
      <c r="H143" s="460">
        <f>G143+'13'!H143</f>
        <v>68171.33</v>
      </c>
      <c r="I143" s="480"/>
      <c r="J143" s="552">
        <f>H143/DAY(B2)</f>
        <v>4869.380714285714</v>
      </c>
      <c r="K143" s="380"/>
      <c r="L143" s="377"/>
      <c r="N143" s="719"/>
      <c r="O143" s="726"/>
      <c r="P143" s="382"/>
    </row>
    <row r="144" spans="1:16" ht="27.75">
      <c r="A144" s="1537" t="s">
        <v>251</v>
      </c>
      <c r="B144" s="1538"/>
      <c r="C144" s="1539"/>
      <c r="D144" s="523" t="s">
        <v>24</v>
      </c>
      <c r="E144" s="511"/>
      <c r="F144" s="511"/>
      <c r="G144" s="543">
        <f>G143/G7</f>
        <v>0.26367329473949136</v>
      </c>
      <c r="H144" s="460">
        <f>G144+'13'!H144</f>
        <v>3.8533350856027924</v>
      </c>
      <c r="I144" s="544"/>
      <c r="J144" s="552">
        <f>H144/DAY(B2)</f>
        <v>0.27523822040019946</v>
      </c>
      <c r="K144" s="380"/>
      <c r="L144" s="377"/>
      <c r="N144" s="719"/>
      <c r="O144" s="726"/>
      <c r="P144" s="382"/>
    </row>
    <row r="145" spans="1:16" ht="27.75">
      <c r="A145" s="1537" t="s">
        <v>252</v>
      </c>
      <c r="B145" s="1538"/>
      <c r="C145" s="1539"/>
      <c r="D145" s="523" t="s">
        <v>131</v>
      </c>
      <c r="E145" s="455"/>
      <c r="F145" s="455"/>
      <c r="G145" s="460">
        <f>G41+G42+G55+G56</f>
        <v>6350</v>
      </c>
      <c r="H145" s="460">
        <f>G145+'13'!H145</f>
        <v>72929.03</v>
      </c>
      <c r="I145" s="480"/>
      <c r="J145" s="552">
        <f>H145/DAY(B2)</f>
        <v>5209.2164285714289</v>
      </c>
      <c r="K145" s="380"/>
      <c r="L145" s="377"/>
      <c r="N145" s="719"/>
      <c r="O145" s="726"/>
      <c r="P145" s="382"/>
    </row>
    <row r="146" spans="1:16" ht="27.75">
      <c r="A146" s="1537" t="s">
        <v>253</v>
      </c>
      <c r="B146" s="1538"/>
      <c r="C146" s="1539"/>
      <c r="D146" s="523" t="s">
        <v>24</v>
      </c>
      <c r="E146" s="455"/>
      <c r="F146" s="455"/>
      <c r="G146" s="543">
        <f>G145/G7</f>
        <v>0.31965768940347344</v>
      </c>
      <c r="H146" s="460">
        <f>G146+'13'!H146</f>
        <v>4.0992700047996511</v>
      </c>
      <c r="I146" s="544"/>
      <c r="J146" s="552">
        <f>H146/DAY(B2)</f>
        <v>0.29280500034283224</v>
      </c>
      <c r="K146" s="380"/>
      <c r="L146" s="377"/>
      <c r="N146" s="719"/>
      <c r="O146" s="726"/>
      <c r="P146" s="382"/>
    </row>
    <row r="147" spans="1:16" ht="27.75">
      <c r="A147" s="1537" t="s">
        <v>254</v>
      </c>
      <c r="B147" s="1538"/>
      <c r="C147" s="1539"/>
      <c r="D147" s="523" t="s">
        <v>131</v>
      </c>
      <c r="E147" s="455"/>
      <c r="F147" s="455"/>
      <c r="G147" s="460">
        <f>G39+G53</f>
        <v>3252</v>
      </c>
      <c r="H147" s="460">
        <f>G147+'13'!H147</f>
        <v>42207</v>
      </c>
      <c r="I147" s="545"/>
      <c r="J147" s="552">
        <f>H147/DAY(B2)</f>
        <v>3014.7857142857142</v>
      </c>
      <c r="K147" s="380"/>
      <c r="L147" s="377"/>
      <c r="N147" s="719"/>
      <c r="O147" s="726"/>
      <c r="P147" s="382"/>
    </row>
    <row r="148" spans="1:16" ht="27.75">
      <c r="A148" s="1537" t="s">
        <v>255</v>
      </c>
      <c r="B148" s="1538"/>
      <c r="C148" s="1539"/>
      <c r="D148" s="523" t="s">
        <v>24</v>
      </c>
      <c r="E148" s="455"/>
      <c r="F148" s="455"/>
      <c r="G148" s="543">
        <f>G147/G7</f>
        <v>0.16370500880946387</v>
      </c>
      <c r="H148" s="460">
        <f>G148+'13'!H148</f>
        <v>2.3776018095991556</v>
      </c>
      <c r="I148" s="545"/>
      <c r="J148" s="552">
        <f>H148/DAY(B2)</f>
        <v>0.16982870068565398</v>
      </c>
      <c r="N148" s="719"/>
      <c r="O148" s="726"/>
      <c r="P148" s="382"/>
    </row>
    <row r="149" spans="1:16" ht="27.75">
      <c r="A149" s="1537" t="s">
        <v>256</v>
      </c>
      <c r="B149" s="1538"/>
      <c r="C149" s="1539"/>
      <c r="D149" s="523" t="s">
        <v>182</v>
      </c>
      <c r="E149" s="455"/>
      <c r="F149" s="455"/>
      <c r="G149" s="460">
        <f>G38+G52</f>
        <v>1470</v>
      </c>
      <c r="H149" s="460">
        <f>G149+'13'!H149</f>
        <v>17724.069999999949</v>
      </c>
      <c r="I149" s="480"/>
      <c r="J149" s="552">
        <f>H149/DAY(B2)</f>
        <v>1266.0049999999962</v>
      </c>
      <c r="K149" s="381"/>
      <c r="N149" s="719"/>
      <c r="O149" s="726"/>
      <c r="P149" s="382"/>
    </row>
    <row r="150" spans="1:16" ht="27.75">
      <c r="A150" s="1537" t="s">
        <v>257</v>
      </c>
      <c r="B150" s="1538"/>
      <c r="C150" s="1539"/>
      <c r="D150" s="523" t="s">
        <v>24</v>
      </c>
      <c r="E150" s="455"/>
      <c r="F150" s="455"/>
      <c r="G150" s="543">
        <f>G149/G7</f>
        <v>7.3999496602063938E-2</v>
      </c>
      <c r="H150" s="460">
        <f>G150+'13'!H150</f>
        <v>0.99792651479792693</v>
      </c>
      <c r="I150" s="545"/>
      <c r="J150" s="552">
        <f>H150/DAY(B2)</f>
        <v>7.1280465342709071E-2</v>
      </c>
      <c r="N150" s="719"/>
      <c r="O150" s="726"/>
      <c r="P150" s="382"/>
    </row>
    <row r="151" spans="1:16" ht="27.75">
      <c r="A151" s="1537" t="s">
        <v>258</v>
      </c>
      <c r="B151" s="1538"/>
      <c r="C151" s="1539"/>
      <c r="D151" s="523" t="s">
        <v>182</v>
      </c>
      <c r="E151" s="455"/>
      <c r="F151" s="455"/>
      <c r="G151" s="460">
        <f>G36+G50</f>
        <v>1595</v>
      </c>
      <c r="H151" s="460">
        <f>G151+'13'!H151</f>
        <v>21255</v>
      </c>
      <c r="I151" s="545"/>
      <c r="J151" s="552">
        <f>H151/DAY(B2)</f>
        <v>1518.2142857142858</v>
      </c>
      <c r="N151" s="719"/>
      <c r="O151" s="726"/>
      <c r="P151" s="382"/>
    </row>
    <row r="152" spans="1:16" ht="27.75">
      <c r="A152" s="1537" t="s">
        <v>259</v>
      </c>
      <c r="B152" s="1538"/>
      <c r="C152" s="1539"/>
      <c r="D152" s="523" t="s">
        <v>24</v>
      </c>
      <c r="E152" s="455"/>
      <c r="F152" s="455"/>
      <c r="G152" s="543">
        <f>G151/G7</f>
        <v>8.0291970802919707E-2</v>
      </c>
      <c r="H152" s="460">
        <f>G152+'13'!H152</f>
        <v>1.1954787922959895</v>
      </c>
      <c r="I152" s="480"/>
      <c r="J152" s="552">
        <f>H152/DAY(B2)</f>
        <v>8.5391342306856396E-2</v>
      </c>
      <c r="N152" s="719"/>
      <c r="O152" s="726"/>
      <c r="P152" s="382"/>
    </row>
    <row r="153" spans="1:16" ht="27.75">
      <c r="A153" s="1537" t="s">
        <v>260</v>
      </c>
      <c r="B153" s="1538"/>
      <c r="C153" s="1539"/>
      <c r="D153" s="523" t="s">
        <v>182</v>
      </c>
      <c r="E153" s="455"/>
      <c r="F153" s="455"/>
      <c r="G153" s="460">
        <f>G37+G51</f>
        <v>1388</v>
      </c>
      <c r="H153" s="460">
        <f>G153+'13'!H153</f>
        <v>18853.869999999995</v>
      </c>
      <c r="I153" s="480"/>
      <c r="J153" s="552">
        <f>H153/DAY(B2)</f>
        <v>1346.7049999999997</v>
      </c>
      <c r="N153" s="719"/>
      <c r="O153" s="726"/>
      <c r="P153" s="382"/>
    </row>
    <row r="154" spans="1:16" ht="28.5" thickBot="1">
      <c r="A154" s="1569" t="s">
        <v>261</v>
      </c>
      <c r="B154" s="1570"/>
      <c r="C154" s="1571"/>
      <c r="D154" s="625" t="s">
        <v>24</v>
      </c>
      <c r="E154" s="565"/>
      <c r="F154" s="565"/>
      <c r="G154" s="566">
        <f>G153/G7</f>
        <v>6.9871633526302546E-2</v>
      </c>
      <c r="H154" s="460">
        <f>G154+'13'!H154</f>
        <v>1.0662338621578753</v>
      </c>
      <c r="I154" s="568"/>
      <c r="J154" s="569">
        <f>H154/DAY(B2)</f>
        <v>7.6159561582705385E-2</v>
      </c>
      <c r="N154" s="719"/>
      <c r="O154" s="726"/>
      <c r="P154" s="382"/>
    </row>
    <row r="155" spans="1:16">
      <c r="A155" s="466"/>
      <c r="B155" s="456"/>
      <c r="C155" s="456"/>
      <c r="D155" s="546"/>
      <c r="E155" s="546"/>
      <c r="F155" s="663"/>
      <c r="G155" s="546"/>
      <c r="H155" s="547"/>
      <c r="I155" s="546"/>
      <c r="J155" s="548"/>
      <c r="N155" s="719"/>
    </row>
    <row r="156" spans="1:16">
      <c r="N156" s="719"/>
    </row>
    <row r="157" spans="1:16">
      <c r="N157" s="719"/>
    </row>
    <row r="158" spans="1:16">
      <c r="N158" s="719"/>
    </row>
    <row r="159" spans="1:16">
      <c r="N159" s="719"/>
    </row>
    <row r="160" spans="1:16">
      <c r="N160" s="719"/>
    </row>
    <row r="161" spans="1:14">
      <c r="A161" s="795" t="s">
        <v>262</v>
      </c>
      <c r="B161" s="796"/>
      <c r="C161" s="796"/>
      <c r="D161" s="620" t="s">
        <v>186</v>
      </c>
      <c r="E161" s="522">
        <f>'13'!F161</f>
        <v>39481</v>
      </c>
      <c r="F161" s="804">
        <v>39560</v>
      </c>
      <c r="G161" s="473">
        <f t="shared" ref="G161:G164" si="17">F161-E161</f>
        <v>79</v>
      </c>
      <c r="N161" s="719"/>
    </row>
    <row r="162" spans="1:14" ht="21.75" customHeight="1">
      <c r="A162" s="795" t="s">
        <v>263</v>
      </c>
      <c r="B162" s="796"/>
      <c r="C162" s="796"/>
      <c r="D162" s="620" t="s">
        <v>186</v>
      </c>
      <c r="E162" s="522">
        <f>'13'!F162</f>
        <v>100170</v>
      </c>
      <c r="F162" s="804">
        <v>100606</v>
      </c>
      <c r="G162" s="473">
        <f t="shared" si="17"/>
        <v>436</v>
      </c>
      <c r="N162" s="719"/>
    </row>
    <row r="163" spans="1:14" ht="21.75" customHeight="1">
      <c r="A163" s="795" t="s">
        <v>264</v>
      </c>
      <c r="B163" s="796"/>
      <c r="C163" s="796"/>
      <c r="D163" s="620" t="s">
        <v>186</v>
      </c>
      <c r="E163" s="522">
        <f>'13'!F163</f>
        <v>47650</v>
      </c>
      <c r="F163" s="804">
        <v>47858</v>
      </c>
      <c r="G163" s="473">
        <f t="shared" si="17"/>
        <v>208</v>
      </c>
      <c r="N163" s="719"/>
    </row>
    <row r="164" spans="1:14" ht="21.75" customHeight="1">
      <c r="A164" s="795" t="s">
        <v>265</v>
      </c>
      <c r="B164" s="796"/>
      <c r="C164" s="796"/>
      <c r="D164" s="620" t="s">
        <v>186</v>
      </c>
      <c r="E164" s="522">
        <f>'13'!F164</f>
        <v>6679</v>
      </c>
      <c r="F164" s="804">
        <v>6689</v>
      </c>
      <c r="G164" s="473">
        <f t="shared" si="17"/>
        <v>10</v>
      </c>
      <c r="N164" s="719"/>
    </row>
    <row r="165" spans="1:14" ht="21.75" customHeight="1">
      <c r="A165" s="797" t="s">
        <v>97</v>
      </c>
      <c r="B165" s="798"/>
      <c r="C165" s="798"/>
      <c r="D165" s="620" t="s">
        <v>186</v>
      </c>
      <c r="E165" s="514">
        <f>E62</f>
        <v>0</v>
      </c>
      <c r="F165" s="514">
        <f>F62</f>
        <v>0</v>
      </c>
      <c r="G165" s="473">
        <f t="shared" ref="G165:G174" si="18">F165-E165</f>
        <v>0</v>
      </c>
      <c r="N165" s="719"/>
    </row>
    <row r="166" spans="1:14" ht="21.75" customHeight="1">
      <c r="A166" s="797" t="s">
        <v>187</v>
      </c>
      <c r="B166" s="798"/>
      <c r="C166" s="798"/>
      <c r="D166" s="620" t="s">
        <v>186</v>
      </c>
      <c r="E166" s="514">
        <f t="shared" ref="E166:E172" si="19">E63</f>
        <v>0</v>
      </c>
      <c r="F166" s="514">
        <f t="shared" ref="F166:F172" si="20">F63</f>
        <v>0</v>
      </c>
      <c r="G166" s="473">
        <f t="shared" si="18"/>
        <v>0</v>
      </c>
      <c r="N166" s="719"/>
    </row>
    <row r="167" spans="1:14" ht="21.75" customHeight="1">
      <c r="A167" s="1599" t="s">
        <v>98</v>
      </c>
      <c r="B167" s="1599"/>
      <c r="C167" s="1599"/>
      <c r="D167" s="524" t="s">
        <v>186</v>
      </c>
      <c r="E167" s="514">
        <f t="shared" si="19"/>
        <v>163686</v>
      </c>
      <c r="F167" s="514">
        <f t="shared" si="20"/>
        <v>164066</v>
      </c>
      <c r="G167" s="473">
        <f t="shared" si="18"/>
        <v>380</v>
      </c>
      <c r="N167" s="719"/>
    </row>
    <row r="168" spans="1:14" ht="21.75" customHeight="1">
      <c r="A168" s="1599" t="s">
        <v>99</v>
      </c>
      <c r="B168" s="1599"/>
      <c r="C168" s="1599"/>
      <c r="D168" s="524" t="s">
        <v>186</v>
      </c>
      <c r="E168" s="514">
        <f t="shared" si="19"/>
        <v>164412</v>
      </c>
      <c r="F168" s="514">
        <f t="shared" si="20"/>
        <v>164738</v>
      </c>
      <c r="G168" s="473">
        <f t="shared" si="18"/>
        <v>326</v>
      </c>
      <c r="N168" s="719"/>
    </row>
    <row r="169" spans="1:14" ht="21.75" customHeight="1">
      <c r="A169" s="1599" t="s">
        <v>100</v>
      </c>
      <c r="B169" s="1599"/>
      <c r="C169" s="1599"/>
      <c r="D169" s="524" t="s">
        <v>186</v>
      </c>
      <c r="E169" s="514">
        <f t="shared" si="19"/>
        <v>61447</v>
      </c>
      <c r="F169" s="514">
        <f t="shared" si="20"/>
        <v>61756</v>
      </c>
      <c r="G169" s="473">
        <f t="shared" si="18"/>
        <v>309</v>
      </c>
      <c r="N169" s="719"/>
    </row>
    <row r="170" spans="1:14" ht="21.75" customHeight="1">
      <c r="A170" s="1599" t="s">
        <v>101</v>
      </c>
      <c r="B170" s="1599"/>
      <c r="C170" s="1599"/>
      <c r="D170" s="524" t="s">
        <v>186</v>
      </c>
      <c r="E170" s="514">
        <f t="shared" si="19"/>
        <v>257387</v>
      </c>
      <c r="F170" s="514">
        <f t="shared" si="20"/>
        <v>257836</v>
      </c>
      <c r="G170" s="473">
        <f t="shared" si="18"/>
        <v>449</v>
      </c>
      <c r="N170" s="719"/>
    </row>
    <row r="171" spans="1:14" ht="24" customHeight="1">
      <c r="A171" s="1599" t="s">
        <v>102</v>
      </c>
      <c r="B171" s="1599"/>
      <c r="C171" s="1599"/>
      <c r="D171" s="524" t="s">
        <v>186</v>
      </c>
      <c r="E171" s="514">
        <f t="shared" si="19"/>
        <v>85321</v>
      </c>
      <c r="F171" s="514">
        <f t="shared" si="20"/>
        <v>85321</v>
      </c>
      <c r="G171" s="473">
        <f t="shared" si="18"/>
        <v>0</v>
      </c>
      <c r="N171" s="719"/>
    </row>
    <row r="172" spans="1:14" ht="27.75">
      <c r="A172" s="1599" t="s">
        <v>103</v>
      </c>
      <c r="B172" s="1599"/>
      <c r="C172" s="1599"/>
      <c r="D172" s="524" t="s">
        <v>186</v>
      </c>
      <c r="E172" s="514">
        <f t="shared" si="19"/>
        <v>83521</v>
      </c>
      <c r="F172" s="514">
        <f t="shared" si="20"/>
        <v>83730</v>
      </c>
      <c r="G172" s="473">
        <f t="shared" si="18"/>
        <v>209</v>
      </c>
      <c r="N172" s="719"/>
    </row>
    <row r="173" spans="1:14">
      <c r="A173" s="1596" t="s">
        <v>357</v>
      </c>
      <c r="B173" s="1579"/>
      <c r="C173" s="786"/>
      <c r="D173" s="523" t="s">
        <v>186</v>
      </c>
      <c r="E173" s="532">
        <v>189285</v>
      </c>
      <c r="F173" s="532">
        <v>189285</v>
      </c>
      <c r="G173" s="473">
        <f t="shared" si="18"/>
        <v>0</v>
      </c>
      <c r="N173" s="719"/>
    </row>
    <row r="174" spans="1:14">
      <c r="A174" s="1596" t="s">
        <v>358</v>
      </c>
      <c r="B174" s="1579"/>
      <c r="C174" s="786"/>
      <c r="D174" s="523" t="s">
        <v>186</v>
      </c>
      <c r="E174" s="532">
        <v>275511</v>
      </c>
      <c r="F174" s="532">
        <v>275555</v>
      </c>
      <c r="G174" s="473">
        <f t="shared" si="18"/>
        <v>44</v>
      </c>
      <c r="N174" s="719"/>
    </row>
    <row r="175" spans="1:14">
      <c r="N175" s="719"/>
    </row>
    <row r="176" spans="1:14">
      <c r="N176" s="719"/>
    </row>
    <row r="177" spans="14:14" ht="18.75" customHeight="1">
      <c r="N177" s="719"/>
    </row>
    <row r="178" spans="14:14" ht="22.5" customHeight="1">
      <c r="N178" s="719"/>
    </row>
    <row r="179" spans="14:14" ht="22.5" customHeight="1">
      <c r="N179" s="719"/>
    </row>
    <row r="180" spans="14:14" ht="22.5" customHeight="1">
      <c r="N180" s="719"/>
    </row>
    <row r="181" spans="14:14" ht="22.5" customHeight="1">
      <c r="N181" s="719"/>
    </row>
    <row r="182" spans="14:14" ht="22.5" customHeight="1">
      <c r="N182" s="719"/>
    </row>
    <row r="183" spans="14:14" ht="22.5" customHeight="1">
      <c r="N183" s="719"/>
    </row>
    <row r="184" spans="14:14" ht="22.5" customHeight="1">
      <c r="N184" s="719"/>
    </row>
    <row r="185" spans="14:14" ht="22.5" customHeight="1">
      <c r="N185" s="719"/>
    </row>
    <row r="186" spans="14:14" ht="22.5" customHeight="1">
      <c r="N186" s="719"/>
    </row>
    <row r="187" spans="14:14" ht="22.5" customHeight="1">
      <c r="N187" s="719"/>
    </row>
    <row r="188" spans="14:14" ht="22.5" customHeight="1">
      <c r="N188" s="719"/>
    </row>
    <row r="189" spans="14:14" ht="22.5" customHeight="1">
      <c r="N189" s="719"/>
    </row>
    <row r="190" spans="14:14" ht="22.5" customHeight="1">
      <c r="N190" s="719"/>
    </row>
    <row r="191" spans="14:14" ht="22.5" customHeight="1">
      <c r="N191" s="719"/>
    </row>
    <row r="192" spans="14:14" ht="22.5" customHeight="1">
      <c r="N192" s="719"/>
    </row>
    <row r="193" spans="14:14" ht="22.5" customHeight="1">
      <c r="N193" s="719"/>
    </row>
    <row r="194" spans="14:14" ht="22.5" customHeight="1">
      <c r="N194" s="719"/>
    </row>
    <row r="195" spans="14:14" ht="22.5" customHeight="1">
      <c r="N195" s="719"/>
    </row>
    <row r="196" spans="14:14" ht="22.5" customHeight="1">
      <c r="N196" s="719"/>
    </row>
    <row r="197" spans="14:14" ht="22.5" customHeight="1">
      <c r="N197" s="719"/>
    </row>
    <row r="198" spans="14:14" ht="22.5" customHeight="1">
      <c r="N198" s="719"/>
    </row>
    <row r="199" spans="14:14" ht="22.5" customHeight="1"/>
    <row r="200" spans="14:14" ht="22.5" customHeight="1"/>
    <row r="201" spans="14:14" ht="22.5" customHeight="1"/>
    <row r="202" spans="14:14" ht="22.5" customHeight="1"/>
    <row r="203" spans="14:14" ht="22.5" customHeight="1"/>
    <row r="204" spans="14:14" ht="22.5" customHeight="1"/>
    <row r="205" spans="14:14" ht="22.5" customHeight="1"/>
    <row r="206" spans="14:14" ht="22.5" customHeight="1"/>
    <row r="207" spans="14:14" ht="22.5" customHeight="1"/>
    <row r="208" spans="14:14" ht="22.5" customHeight="1"/>
    <row r="209" ht="22.5" customHeight="1"/>
    <row r="210" ht="22.5" customHeight="1"/>
    <row r="211" ht="22.5" customHeight="1"/>
    <row r="212" ht="22.5" customHeight="1"/>
    <row r="213" ht="22.5" customHeight="1"/>
    <row r="214" ht="22.5" customHeight="1"/>
    <row r="215" ht="22.5" customHeight="1"/>
    <row r="216" ht="22.5" customHeight="1"/>
    <row r="217" ht="22.5" customHeight="1"/>
    <row r="218" ht="22.5" customHeight="1"/>
    <row r="219" ht="22.5" customHeight="1"/>
    <row r="220" ht="22.5" customHeight="1"/>
    <row r="221" ht="22.5" customHeight="1"/>
    <row r="222" ht="22.5" customHeight="1"/>
    <row r="223" ht="22.5" customHeight="1"/>
    <row r="224" ht="22.5" customHeight="1"/>
    <row r="225" ht="22.5" customHeight="1"/>
    <row r="226" ht="22.5" customHeight="1"/>
    <row r="227" ht="22.5" customHeight="1"/>
    <row r="228" ht="22.5" customHeight="1"/>
    <row r="229" ht="22.5" customHeight="1"/>
    <row r="230" ht="22.5" customHeight="1"/>
    <row r="231" ht="22.5" customHeight="1"/>
    <row r="232" ht="22.5" customHeight="1"/>
    <row r="233" ht="22.5" customHeight="1"/>
    <row r="234" ht="22.5" customHeight="1"/>
    <row r="235" ht="22.5" customHeight="1"/>
    <row r="236" ht="22.5" customHeight="1"/>
    <row r="237" ht="22.5" customHeight="1"/>
    <row r="238" ht="22.5" customHeight="1"/>
  </sheetData>
  <mergeCells count="76">
    <mergeCell ref="A172:C172"/>
    <mergeCell ref="A167:C167"/>
    <mergeCell ref="A168:C168"/>
    <mergeCell ref="A169:C169"/>
    <mergeCell ref="A170:C170"/>
    <mergeCell ref="A171:C171"/>
    <mergeCell ref="A119:B119"/>
    <mergeCell ref="A120:B120"/>
    <mergeCell ref="A121:B121"/>
    <mergeCell ref="A122:B122"/>
    <mergeCell ref="A114:B114"/>
    <mergeCell ref="A115:B115"/>
    <mergeCell ref="A116:B116"/>
    <mergeCell ref="A117:B117"/>
    <mergeCell ref="A118:B118"/>
    <mergeCell ref="A109:B109"/>
    <mergeCell ref="A110:B110"/>
    <mergeCell ref="A111:B111"/>
    <mergeCell ref="A112:B112"/>
    <mergeCell ref="A113:B113"/>
    <mergeCell ref="A104:B104"/>
    <mergeCell ref="A105:B105"/>
    <mergeCell ref="A106:B106"/>
    <mergeCell ref="A107:C107"/>
    <mergeCell ref="A108:B108"/>
    <mergeCell ref="A123:C123"/>
    <mergeCell ref="A142:B142"/>
    <mergeCell ref="A153:C153"/>
    <mergeCell ref="A154:C154"/>
    <mergeCell ref="A151:C151"/>
    <mergeCell ref="A152:C152"/>
    <mergeCell ref="A148:C148"/>
    <mergeCell ref="A149:C149"/>
    <mergeCell ref="A150:C150"/>
    <mergeCell ref="A147:C147"/>
    <mergeCell ref="A143:C143"/>
    <mergeCell ref="A144:C144"/>
    <mergeCell ref="A145:C145"/>
    <mergeCell ref="A146:C146"/>
    <mergeCell ref="A126:C126"/>
    <mergeCell ref="A79:C79"/>
    <mergeCell ref="A80:C80"/>
    <mergeCell ref="A81:C81"/>
    <mergeCell ref="A102:C102"/>
    <mergeCell ref="A95:C95"/>
    <mergeCell ref="A96:C96"/>
    <mergeCell ref="A82:C82"/>
    <mergeCell ref="A83:C83"/>
    <mergeCell ref="A93:C93"/>
    <mergeCell ref="A94:C94"/>
    <mergeCell ref="A75:C75"/>
    <mergeCell ref="A70:C70"/>
    <mergeCell ref="A71:J71"/>
    <mergeCell ref="A76:C76"/>
    <mergeCell ref="A77:C77"/>
    <mergeCell ref="A68:C68"/>
    <mergeCell ref="A69:C69"/>
    <mergeCell ref="A72:C72"/>
    <mergeCell ref="A73:C73"/>
    <mergeCell ref="A74:C74"/>
    <mergeCell ref="A173:B173"/>
    <mergeCell ref="A174:B174"/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</mergeCells>
  <pageMargins left="0.22" right="0.17" top="0.14000000000000001" bottom="0.2" header="0.2" footer="0.2"/>
  <pageSetup paperSize="5" scale="20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238"/>
  <sheetViews>
    <sheetView view="pageBreakPreview" topLeftCell="A142" zoomScale="55" zoomScaleNormal="80" zoomScaleSheetLayoutView="55" workbookViewId="0">
      <selection activeCell="G73" sqref="G73"/>
    </sheetView>
  </sheetViews>
  <sheetFormatPr defaultColWidth="22.33203125" defaultRowHeight="29.25"/>
  <cols>
    <col min="1" max="1" width="40.6640625" style="454" customWidth="1"/>
    <col min="2" max="2" width="28.5546875" style="457" customWidth="1"/>
    <col min="3" max="3" width="15.88671875" style="457" customWidth="1"/>
    <col min="4" max="4" width="13.6640625" style="537" customWidth="1"/>
    <col min="5" max="5" width="30" style="537" customWidth="1"/>
    <col min="6" max="6" width="30" style="664" customWidth="1"/>
    <col min="7" max="7" width="28.88671875" style="537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3" width="22.33203125" style="376" hidden="1" customWidth="1"/>
    <col min="14" max="14" width="25.5546875" style="717" customWidth="1"/>
    <col min="15" max="15" width="22.33203125" style="724"/>
    <col min="16" max="16384" width="22.33203125" style="376"/>
  </cols>
  <sheetData>
    <row r="1" spans="1:16" ht="33.75">
      <c r="A1" s="1549" t="s">
        <v>116</v>
      </c>
      <c r="B1" s="1550"/>
      <c r="C1" s="1550"/>
      <c r="D1" s="1550"/>
      <c r="E1" s="1550"/>
      <c r="F1" s="1550"/>
      <c r="G1" s="1550"/>
      <c r="H1" s="1550"/>
      <c r="I1" s="1550"/>
      <c r="J1" s="1551"/>
    </row>
    <row r="2" spans="1:16" s="281" customFormat="1" ht="27">
      <c r="A2" s="575" t="s">
        <v>287</v>
      </c>
      <c r="B2" s="1033">
        <v>44362</v>
      </c>
      <c r="C2" s="1201" t="s">
        <v>68</v>
      </c>
      <c r="D2" s="611">
        <v>0.26</v>
      </c>
      <c r="E2" s="461"/>
      <c r="F2" s="461"/>
      <c r="G2" s="461" t="s">
        <v>117</v>
      </c>
      <c r="H2" s="461" t="s">
        <v>6</v>
      </c>
      <c r="I2" s="461" t="s">
        <v>8</v>
      </c>
      <c r="J2" s="613" t="s">
        <v>118</v>
      </c>
      <c r="N2" s="718"/>
      <c r="O2" s="725"/>
    </row>
    <row r="3" spans="1:16" s="281" customFormat="1" ht="27">
      <c r="A3" s="570"/>
      <c r="B3" s="614"/>
      <c r="C3" s="1201" t="s">
        <v>119</v>
      </c>
      <c r="D3" s="612">
        <v>28</v>
      </c>
      <c r="E3" s="1558" t="s">
        <v>120</v>
      </c>
      <c r="F3" s="1559"/>
      <c r="G3" s="462"/>
      <c r="H3" s="463"/>
      <c r="I3" s="463"/>
      <c r="J3" s="615"/>
      <c r="K3" s="371"/>
      <c r="L3" s="292"/>
      <c r="N3" s="718"/>
      <c r="O3" s="725"/>
    </row>
    <row r="4" spans="1:16" s="281" customFormat="1" ht="27">
      <c r="A4" s="576"/>
      <c r="B4" s="616"/>
      <c r="C4" s="1201" t="s">
        <v>121</v>
      </c>
      <c r="D4" s="611">
        <v>0.89</v>
      </c>
      <c r="E4" s="464"/>
      <c r="F4" s="464"/>
      <c r="G4" s="464"/>
      <c r="H4" s="464"/>
      <c r="I4" s="465"/>
      <c r="J4" s="615"/>
      <c r="K4" s="372"/>
      <c r="L4" s="292"/>
      <c r="N4" s="718"/>
      <c r="O4" s="725"/>
    </row>
    <row r="5" spans="1:16">
      <c r="A5" s="577" t="s">
        <v>122</v>
      </c>
      <c r="B5" s="459"/>
      <c r="C5" s="459"/>
      <c r="D5" s="511" t="s">
        <v>123</v>
      </c>
      <c r="E5" s="467" t="s">
        <v>124</v>
      </c>
      <c r="F5" s="467" t="s">
        <v>111</v>
      </c>
      <c r="G5" s="468" t="s">
        <v>125</v>
      </c>
      <c r="H5" s="469" t="s">
        <v>126</v>
      </c>
      <c r="I5" s="470" t="s">
        <v>127</v>
      </c>
      <c r="J5" s="550" t="s">
        <v>128</v>
      </c>
      <c r="K5" s="426"/>
      <c r="L5" s="377"/>
    </row>
    <row r="6" spans="1:16">
      <c r="A6" s="1552" t="s">
        <v>129</v>
      </c>
      <c r="B6" s="1553"/>
      <c r="C6" s="1554"/>
      <c r="D6" s="471"/>
      <c r="E6" s="471"/>
      <c r="F6" s="471"/>
      <c r="G6" s="471"/>
      <c r="H6" s="472"/>
      <c r="I6" s="472"/>
      <c r="J6" s="551"/>
      <c r="K6" s="427"/>
      <c r="L6" s="377"/>
    </row>
    <row r="7" spans="1:16" ht="30" thickBot="1">
      <c r="A7" s="677" t="s">
        <v>130</v>
      </c>
      <c r="B7" s="678"/>
      <c r="C7" s="678"/>
      <c r="D7" s="638" t="s">
        <v>131</v>
      </c>
      <c r="E7" s="633">
        <f>'14'!F7</f>
        <v>592806</v>
      </c>
      <c r="F7" s="455">
        <v>610574</v>
      </c>
      <c r="G7" s="679">
        <f t="shared" ref="G7:G12" si="0">F7-E7</f>
        <v>17768</v>
      </c>
      <c r="H7" s="680">
        <f>G7+'14'!H7</f>
        <v>266162</v>
      </c>
      <c r="I7" s="681">
        <f>'1'!I7</f>
        <v>12000</v>
      </c>
      <c r="J7" s="682">
        <f>H7/DAY(B2)</f>
        <v>17744.133333333335</v>
      </c>
      <c r="K7" s="549"/>
      <c r="L7" s="377"/>
      <c r="N7" s="730"/>
      <c r="O7" s="726"/>
      <c r="P7" s="729"/>
    </row>
    <row r="8" spans="1:16" ht="27.75" thickBot="1">
      <c r="A8" s="683" t="s">
        <v>132</v>
      </c>
      <c r="B8" s="684"/>
      <c r="C8" s="685"/>
      <c r="D8" s="686" t="s">
        <v>25</v>
      </c>
      <c r="E8" s="633">
        <f>'14'!F8</f>
        <v>595969</v>
      </c>
      <c r="F8" s="475">
        <v>613828</v>
      </c>
      <c r="G8" s="690">
        <f t="shared" si="0"/>
        <v>17859</v>
      </c>
      <c r="H8" s="680">
        <f>G8+'14'!H8</f>
        <v>267318</v>
      </c>
      <c r="I8" s="687">
        <f>'1'!I8</f>
        <v>12000</v>
      </c>
      <c r="J8" s="682">
        <f>H8/DAY(B2)</f>
        <v>17821.2</v>
      </c>
      <c r="K8" s="549"/>
      <c r="L8" s="425"/>
      <c r="M8" s="440"/>
      <c r="N8" s="719"/>
      <c r="O8" s="726"/>
      <c r="P8" s="382"/>
    </row>
    <row r="9" spans="1:16">
      <c r="A9" s="688" t="s">
        <v>133</v>
      </c>
      <c r="B9" s="689"/>
      <c r="C9" s="689"/>
      <c r="D9" s="638" t="s">
        <v>131</v>
      </c>
      <c r="E9" s="633">
        <f>'14'!F9</f>
        <v>1714221</v>
      </c>
      <c r="F9" s="478">
        <v>1731422</v>
      </c>
      <c r="G9" s="703">
        <f t="shared" si="0"/>
        <v>17201</v>
      </c>
      <c r="H9" s="680">
        <f>G9+'14'!H9</f>
        <v>257732</v>
      </c>
      <c r="I9" s="691">
        <f>I7-J7</f>
        <v>-5744.133333333335</v>
      </c>
      <c r="J9" s="682">
        <f>H9/DAY(B2)</f>
        <v>17182.133333333335</v>
      </c>
      <c r="K9" s="428"/>
      <c r="L9" s="377"/>
      <c r="N9" s="719"/>
      <c r="O9" s="726"/>
      <c r="P9" s="382"/>
    </row>
    <row r="10" spans="1:16">
      <c r="A10" s="677" t="s">
        <v>134</v>
      </c>
      <c r="B10" s="678"/>
      <c r="C10" s="678"/>
      <c r="D10" s="638" t="s">
        <v>131</v>
      </c>
      <c r="E10" s="633">
        <f>'14'!F10</f>
        <v>2606.5500000000002</v>
      </c>
      <c r="F10" s="478">
        <v>2606.5500000000002</v>
      </c>
      <c r="G10" s="690">
        <f t="shared" si="0"/>
        <v>0</v>
      </c>
      <c r="H10" s="680">
        <f>G10+'14'!H10</f>
        <v>0.42000000000007276</v>
      </c>
      <c r="I10" s="692"/>
      <c r="J10" s="682">
        <f>H10/DAY(B2)</f>
        <v>2.8000000000004851E-2</v>
      </c>
      <c r="K10" s="428"/>
      <c r="L10" s="377"/>
      <c r="N10" s="719"/>
      <c r="O10" s="726"/>
      <c r="P10" s="382"/>
    </row>
    <row r="11" spans="1:16">
      <c r="A11" s="677" t="s">
        <v>135</v>
      </c>
      <c r="B11" s="678"/>
      <c r="C11" s="678"/>
      <c r="D11" s="638" t="s">
        <v>131</v>
      </c>
      <c r="E11" s="633">
        <f>'5'!E11</f>
        <v>37000</v>
      </c>
      <c r="F11" s="455">
        <v>37000</v>
      </c>
      <c r="G11" s="690">
        <f t="shared" si="0"/>
        <v>0</v>
      </c>
      <c r="H11" s="680">
        <f>G11+'14'!H11</f>
        <v>0</v>
      </c>
      <c r="I11" s="692"/>
      <c r="J11" s="682">
        <f>H11/DAY(B2)</f>
        <v>0</v>
      </c>
      <c r="K11" s="428"/>
      <c r="L11" s="377"/>
      <c r="N11" s="719"/>
      <c r="O11" s="726"/>
      <c r="P11" s="382"/>
    </row>
    <row r="12" spans="1:16">
      <c r="A12" s="677" t="s">
        <v>136</v>
      </c>
      <c r="B12" s="678"/>
      <c r="C12" s="678"/>
      <c r="D12" s="638" t="s">
        <v>131</v>
      </c>
      <c r="E12" s="633">
        <f>'5'!E12</f>
        <v>40010</v>
      </c>
      <c r="F12" s="478">
        <v>40010</v>
      </c>
      <c r="G12" s="690">
        <f t="shared" si="0"/>
        <v>0</v>
      </c>
      <c r="H12" s="680">
        <f>G12+'14'!H12</f>
        <v>0</v>
      </c>
      <c r="I12" s="692"/>
      <c r="J12" s="682">
        <f>H12/DAY(B2)</f>
        <v>0</v>
      </c>
      <c r="K12" s="428"/>
      <c r="L12" s="377"/>
      <c r="N12" s="719"/>
      <c r="O12" s="726"/>
      <c r="P12" s="382"/>
    </row>
    <row r="13" spans="1:16">
      <c r="A13" s="693" t="s">
        <v>137</v>
      </c>
      <c r="B13" s="694"/>
      <c r="C13" s="694"/>
      <c r="D13" s="638"/>
      <c r="E13" s="633"/>
      <c r="F13" s="455"/>
      <c r="G13" s="695">
        <f>G9+G10+G11+G12</f>
        <v>17201</v>
      </c>
      <c r="H13" s="680">
        <f>G13+'14'!H13</f>
        <v>241207.41999999998</v>
      </c>
      <c r="I13" s="696">
        <f>G7-G13</f>
        <v>567</v>
      </c>
      <c r="J13" s="682">
        <f>H13/DAY(B2)</f>
        <v>16080.494666666666</v>
      </c>
      <c r="K13" s="428"/>
      <c r="L13" s="377"/>
      <c r="N13" s="719"/>
      <c r="O13" s="726"/>
      <c r="P13" s="382"/>
    </row>
    <row r="14" spans="1:16">
      <c r="A14" s="1555" t="s">
        <v>138</v>
      </c>
      <c r="B14" s="1556"/>
      <c r="C14" s="1557"/>
      <c r="D14" s="472"/>
      <c r="E14" s="472"/>
      <c r="F14" s="472"/>
      <c r="G14" s="483"/>
      <c r="H14" s="472"/>
      <c r="I14" s="472"/>
      <c r="J14" s="1219"/>
      <c r="K14" s="429"/>
      <c r="L14" s="377"/>
      <c r="N14" s="719"/>
      <c r="O14" s="726"/>
      <c r="P14" s="382"/>
    </row>
    <row r="15" spans="1:16">
      <c r="A15" s="793" t="s">
        <v>139</v>
      </c>
      <c r="B15" s="794"/>
      <c r="C15" s="794"/>
      <c r="D15" s="524" t="s">
        <v>140</v>
      </c>
      <c r="E15" s="485">
        <f>'14'!F15</f>
        <v>1691654</v>
      </c>
      <c r="F15" s="626">
        <v>1692207</v>
      </c>
      <c r="G15" s="665">
        <f>(F15-E15)</f>
        <v>553</v>
      </c>
      <c r="H15" s="486">
        <f>G15+'14'!H15</f>
        <v>7683</v>
      </c>
      <c r="I15" s="474">
        <v>800</v>
      </c>
      <c r="J15" s="553">
        <f>H15/DAY(B2)</f>
        <v>512.20000000000005</v>
      </c>
      <c r="K15" s="428"/>
      <c r="L15" s="377"/>
      <c r="N15" s="719"/>
      <c r="O15" s="726"/>
      <c r="P15" s="382"/>
    </row>
    <row r="16" spans="1:16">
      <c r="A16" s="587"/>
      <c r="B16" s="588"/>
      <c r="C16" s="588"/>
      <c r="D16" s="524"/>
      <c r="E16" s="485"/>
      <c r="F16" s="485"/>
      <c r="G16" s="670"/>
      <c r="H16" s="486"/>
      <c r="I16" s="482">
        <f>I15-J15</f>
        <v>287.79999999999995</v>
      </c>
      <c r="J16" s="553"/>
      <c r="K16" s="428"/>
      <c r="L16" s="377"/>
      <c r="N16" s="719"/>
      <c r="O16" s="726"/>
      <c r="P16" s="382"/>
    </row>
    <row r="17" spans="1:16">
      <c r="A17" s="1555" t="s">
        <v>141</v>
      </c>
      <c r="B17" s="1556"/>
      <c r="C17" s="1557"/>
      <c r="D17" s="472"/>
      <c r="E17" s="472"/>
      <c r="F17" s="472"/>
      <c r="G17" s="488"/>
      <c r="H17" s="472"/>
      <c r="I17" s="472"/>
      <c r="J17" s="551"/>
      <c r="K17" s="428"/>
      <c r="L17" s="377"/>
      <c r="N17" s="719"/>
      <c r="O17" s="726"/>
      <c r="P17" s="382"/>
    </row>
    <row r="18" spans="1:16" ht="27.75">
      <c r="A18" s="1590" t="s">
        <v>142</v>
      </c>
      <c r="B18" s="1591"/>
      <c r="C18" s="1592"/>
      <c r="D18" s="638" t="s">
        <v>143</v>
      </c>
      <c r="E18" s="635">
        <f>'14'!F18</f>
        <v>12</v>
      </c>
      <c r="F18" s="478">
        <v>8</v>
      </c>
      <c r="G18" s="695">
        <f>F18*10</f>
        <v>80</v>
      </c>
      <c r="H18" s="680">
        <f>G18+'14'!H18</f>
        <v>960</v>
      </c>
      <c r="I18" s="681">
        <f>'1'!I18</f>
        <v>65</v>
      </c>
      <c r="J18" s="682">
        <f>H18/DAY(B2)</f>
        <v>64</v>
      </c>
      <c r="K18" s="428"/>
      <c r="L18" s="377"/>
      <c r="N18" s="719"/>
      <c r="O18" s="726"/>
      <c r="P18" s="382"/>
    </row>
    <row r="19" spans="1:16" ht="27.75">
      <c r="A19" s="1590" t="s">
        <v>70</v>
      </c>
      <c r="B19" s="1591"/>
      <c r="C19" s="1592"/>
      <c r="D19" s="638" t="s">
        <v>143</v>
      </c>
      <c r="E19" s="635">
        <f>'14'!F19</f>
        <v>140495</v>
      </c>
      <c r="F19" s="478">
        <v>140557</v>
      </c>
      <c r="G19" s="690">
        <f t="shared" ref="G19" si="1">F19-E19</f>
        <v>62</v>
      </c>
      <c r="H19" s="680">
        <f>G19+'14'!H19</f>
        <v>945</v>
      </c>
      <c r="I19" s="697"/>
      <c r="J19" s="682">
        <f>H19/DAY(B2)</f>
        <v>63</v>
      </c>
      <c r="K19" s="428"/>
      <c r="L19" s="377"/>
      <c r="N19" s="719"/>
      <c r="O19" s="726"/>
      <c r="P19" s="382"/>
    </row>
    <row r="20" spans="1:16">
      <c r="A20" s="693" t="s">
        <v>144</v>
      </c>
      <c r="B20" s="694"/>
      <c r="C20" s="694"/>
      <c r="D20" s="638"/>
      <c r="E20" s="638"/>
      <c r="F20" s="710"/>
      <c r="G20" s="698">
        <f>G18+G19</f>
        <v>142</v>
      </c>
      <c r="H20" s="680">
        <f>G20+'14'!H20</f>
        <v>1905</v>
      </c>
      <c r="I20" s="699">
        <f>I18-J20</f>
        <v>-62</v>
      </c>
      <c r="J20" s="682">
        <f>H20/DAY(B2)</f>
        <v>127</v>
      </c>
      <c r="K20" s="428"/>
      <c r="L20" s="377"/>
      <c r="N20" s="719"/>
      <c r="O20" s="726"/>
      <c r="P20" s="382"/>
    </row>
    <row r="21" spans="1:16">
      <c r="A21" s="1555" t="s">
        <v>145</v>
      </c>
      <c r="B21" s="1556"/>
      <c r="C21" s="1557"/>
      <c r="D21" s="472"/>
      <c r="E21" s="472"/>
      <c r="F21" s="472"/>
      <c r="G21" s="483"/>
      <c r="H21" s="472"/>
      <c r="I21" s="472"/>
      <c r="J21" s="551"/>
      <c r="K21" s="428"/>
      <c r="L21" s="377"/>
      <c r="N21" s="719"/>
      <c r="O21" s="726"/>
      <c r="P21" s="382"/>
    </row>
    <row r="22" spans="1:16">
      <c r="A22" s="1199" t="s">
        <v>146</v>
      </c>
      <c r="B22" s="589"/>
      <c r="C22" s="589"/>
      <c r="D22" s="523" t="s">
        <v>147</v>
      </c>
      <c r="E22" s="635">
        <f>'14'!F22</f>
        <v>2970</v>
      </c>
      <c r="F22" s="478">
        <v>2970</v>
      </c>
      <c r="G22" s="481">
        <f t="shared" ref="G22" si="2">(F22-E22)</f>
        <v>0</v>
      </c>
      <c r="H22" s="460">
        <f>G22+'14'!H22</f>
        <v>0</v>
      </c>
      <c r="I22" s="480"/>
      <c r="J22" s="552">
        <f>H22/DAY(B2)</f>
        <v>0</v>
      </c>
      <c r="K22" s="428"/>
      <c r="L22" s="377"/>
      <c r="N22" s="719"/>
      <c r="O22" s="726"/>
      <c r="P22" s="382"/>
    </row>
    <row r="23" spans="1:16">
      <c r="A23" s="1199" t="s">
        <v>148</v>
      </c>
      <c r="B23" s="589"/>
      <c r="C23" s="589"/>
      <c r="D23" s="523" t="s">
        <v>147</v>
      </c>
      <c r="E23" s="635">
        <f>'14'!F23</f>
        <v>2000</v>
      </c>
      <c r="F23" s="478">
        <v>2000</v>
      </c>
      <c r="G23" s="481">
        <v>0</v>
      </c>
      <c r="H23" s="460">
        <f>G23+'14'!H23</f>
        <v>120</v>
      </c>
      <c r="I23" s="480"/>
      <c r="J23" s="552">
        <f>H23/DAY(B2)</f>
        <v>8</v>
      </c>
      <c r="K23" s="428"/>
      <c r="L23" s="377"/>
      <c r="N23" s="719"/>
      <c r="O23" s="726"/>
      <c r="P23" s="382"/>
    </row>
    <row r="24" spans="1:16">
      <c r="A24" s="590" t="s">
        <v>149</v>
      </c>
      <c r="B24" s="591"/>
      <c r="C24" s="591"/>
      <c r="D24" s="511" t="s">
        <v>147</v>
      </c>
      <c r="E24" s="493">
        <f>'14'!F24</f>
        <v>4970</v>
      </c>
      <c r="F24" s="485">
        <v>4970</v>
      </c>
      <c r="G24" s="481">
        <v>0</v>
      </c>
      <c r="H24" s="460">
        <f>G24+'14'!H24</f>
        <v>120</v>
      </c>
      <c r="I24" s="480"/>
      <c r="J24" s="552">
        <f>H24/DAY(B2)</f>
        <v>8</v>
      </c>
      <c r="K24" s="428"/>
      <c r="L24" s="377"/>
      <c r="N24" s="719"/>
      <c r="O24" s="726"/>
      <c r="P24" s="382"/>
    </row>
    <row r="25" spans="1:16" s="442" customFormat="1" ht="27">
      <c r="A25" s="1560" t="s">
        <v>150</v>
      </c>
      <c r="B25" s="1561"/>
      <c r="C25" s="1562"/>
      <c r="D25" s="471"/>
      <c r="E25" s="471"/>
      <c r="F25" s="471"/>
      <c r="G25" s="494"/>
      <c r="H25" s="495"/>
      <c r="I25" s="496"/>
      <c r="J25" s="554"/>
      <c r="K25" s="373"/>
      <c r="L25" s="443"/>
      <c r="N25" s="719"/>
      <c r="O25" s="726"/>
      <c r="P25" s="382"/>
    </row>
    <row r="26" spans="1:16" s="442" customFormat="1" ht="27.75">
      <c r="A26" s="592" t="s">
        <v>151</v>
      </c>
      <c r="B26" s="593"/>
      <c r="C26" s="594"/>
      <c r="D26" s="618" t="s">
        <v>152</v>
      </c>
      <c r="E26" s="497"/>
      <c r="F26" s="455"/>
      <c r="G26" s="498"/>
      <c r="H26" s="460"/>
      <c r="I26" s="499"/>
      <c r="J26" s="552"/>
      <c r="K26" s="374"/>
      <c r="L26" s="443"/>
      <c r="N26" s="719"/>
      <c r="O26" s="726"/>
      <c r="P26" s="382"/>
    </row>
    <row r="27" spans="1:16" s="442" customFormat="1" ht="27.75">
      <c r="A27" s="592" t="s">
        <v>6</v>
      </c>
      <c r="B27" s="593"/>
      <c r="C27" s="594"/>
      <c r="D27" s="619" t="s">
        <v>25</v>
      </c>
      <c r="E27" s="700">
        <f>G8</f>
        <v>17859</v>
      </c>
      <c r="F27" s="501">
        <v>9</v>
      </c>
      <c r="G27" s="502">
        <f>E27*F27</f>
        <v>160731</v>
      </c>
      <c r="H27" s="460">
        <f>G27+'14'!H27</f>
        <v>2405025</v>
      </c>
      <c r="I27" s="503"/>
      <c r="J27" s="552">
        <f>H27/DAY(B2)</f>
        <v>160335</v>
      </c>
      <c r="K27" s="373"/>
      <c r="L27" s="443"/>
      <c r="N27" s="719"/>
      <c r="O27" s="726"/>
      <c r="P27" s="382"/>
    </row>
    <row r="28" spans="1:16" s="442" customFormat="1" ht="27.75">
      <c r="A28" s="592" t="s">
        <v>153</v>
      </c>
      <c r="B28" s="593"/>
      <c r="C28" s="594"/>
      <c r="D28" s="619" t="s">
        <v>154</v>
      </c>
      <c r="E28" s="700">
        <f>G15</f>
        <v>553</v>
      </c>
      <c r="F28" s="501">
        <v>52</v>
      </c>
      <c r="G28" s="502">
        <f>E28*F28</f>
        <v>28756</v>
      </c>
      <c r="H28" s="460">
        <f>G28+'14'!H28</f>
        <v>399516</v>
      </c>
      <c r="I28" s="505"/>
      <c r="J28" s="552">
        <f>H28/DAY(B2)</f>
        <v>26634.400000000001</v>
      </c>
      <c r="K28" s="373"/>
      <c r="L28" s="443"/>
      <c r="N28" s="719"/>
      <c r="O28" s="726"/>
      <c r="P28" s="382"/>
    </row>
    <row r="29" spans="1:16" s="442" customFormat="1" ht="27.75">
      <c r="A29" s="592" t="s">
        <v>155</v>
      </c>
      <c r="B29" s="593"/>
      <c r="C29" s="594"/>
      <c r="D29" s="619" t="s">
        <v>156</v>
      </c>
      <c r="E29" s="700">
        <f>G24</f>
        <v>0</v>
      </c>
      <c r="F29" s="501">
        <v>69</v>
      </c>
      <c r="G29" s="502">
        <f>E29*F29</f>
        <v>0</v>
      </c>
      <c r="H29" s="460">
        <f>G29+'14'!H29</f>
        <v>8280</v>
      </c>
      <c r="I29" s="505"/>
      <c r="J29" s="552">
        <f>H29/DAY(B2)</f>
        <v>552</v>
      </c>
      <c r="K29" s="373"/>
      <c r="L29" s="443"/>
      <c r="N29" s="719"/>
      <c r="O29" s="726"/>
      <c r="P29" s="382"/>
    </row>
    <row r="30" spans="1:16" s="442" customFormat="1" ht="27.75">
      <c r="A30" s="592" t="s">
        <v>157</v>
      </c>
      <c r="B30" s="593"/>
      <c r="C30" s="594"/>
      <c r="D30" s="619" t="s">
        <v>158</v>
      </c>
      <c r="E30" s="700">
        <f>G19</f>
        <v>62</v>
      </c>
      <c r="F30" s="501">
        <v>146</v>
      </c>
      <c r="G30" s="502">
        <f>E30*F30</f>
        <v>9052</v>
      </c>
      <c r="H30" s="460">
        <f>G30+'14'!H30</f>
        <v>137970</v>
      </c>
      <c r="I30" s="505"/>
      <c r="J30" s="552">
        <f>H30/DAY(B2)</f>
        <v>9198</v>
      </c>
      <c r="K30" s="373"/>
      <c r="L30" s="443"/>
      <c r="N30" s="719"/>
      <c r="O30" s="726"/>
      <c r="P30" s="382"/>
    </row>
    <row r="31" spans="1:16" s="442" customFormat="1" ht="27.75">
      <c r="A31" s="592" t="s">
        <v>159</v>
      </c>
      <c r="B31" s="593"/>
      <c r="C31" s="594"/>
      <c r="D31" s="619" t="s">
        <v>143</v>
      </c>
      <c r="E31" s="700">
        <f>G18</f>
        <v>80</v>
      </c>
      <c r="F31" s="501">
        <v>80</v>
      </c>
      <c r="G31" s="502">
        <f>E31*F31</f>
        <v>6400</v>
      </c>
      <c r="H31" s="460">
        <f>G31+'14'!H31</f>
        <v>76800</v>
      </c>
      <c r="I31" s="505"/>
      <c r="J31" s="552">
        <f>H31/DAY(B2)</f>
        <v>5120</v>
      </c>
      <c r="K31" s="373"/>
      <c r="L31" s="443"/>
      <c r="N31" s="719"/>
      <c r="O31" s="726"/>
      <c r="P31" s="382"/>
    </row>
    <row r="32" spans="1:16" s="442" customFormat="1" ht="27.75">
      <c r="A32" s="595" t="s">
        <v>160</v>
      </c>
      <c r="B32" s="596"/>
      <c r="C32" s="597"/>
      <c r="D32" s="507"/>
      <c r="E32" s="507"/>
      <c r="F32" s="524"/>
      <c r="G32" s="508">
        <f>G27+G28+G29+G30+G31</f>
        <v>204939</v>
      </c>
      <c r="H32" s="460">
        <f>G32+'14'!H32</f>
        <v>3027591</v>
      </c>
      <c r="I32" s="509"/>
      <c r="J32" s="552" t="s">
        <v>365</v>
      </c>
      <c r="K32" s="373"/>
      <c r="L32" s="443"/>
      <c r="N32" s="719"/>
      <c r="O32" s="726"/>
      <c r="P32" s="382"/>
    </row>
    <row r="33" spans="1:16" ht="25.5">
      <c r="A33" s="1563" t="s">
        <v>161</v>
      </c>
      <c r="B33" s="1564"/>
      <c r="C33" s="1564"/>
      <c r="D33" s="1564"/>
      <c r="E33" s="1564"/>
      <c r="F33" s="1564"/>
      <c r="G33" s="1564"/>
      <c r="H33" s="1564"/>
      <c r="I33" s="1564"/>
      <c r="J33" s="1565"/>
      <c r="K33" s="428"/>
      <c r="L33" s="377"/>
      <c r="N33" s="719"/>
      <c r="O33" s="726"/>
      <c r="P33" s="382"/>
    </row>
    <row r="34" spans="1:16">
      <c r="A34" s="598" t="s">
        <v>162</v>
      </c>
      <c r="B34" s="1204"/>
      <c r="C34" s="1204"/>
      <c r="D34" s="472"/>
      <c r="E34" s="471"/>
      <c r="F34" s="471"/>
      <c r="G34" s="472"/>
      <c r="H34" s="472"/>
      <c r="I34" s="472"/>
      <c r="J34" s="551"/>
      <c r="K34" s="428"/>
      <c r="L34" s="377"/>
      <c r="N34" s="719"/>
      <c r="O34" s="726"/>
      <c r="P34" s="382"/>
    </row>
    <row r="35" spans="1:16">
      <c r="A35" s="578" t="s">
        <v>163</v>
      </c>
      <c r="B35" s="579"/>
      <c r="C35" s="579"/>
      <c r="D35" s="523" t="s">
        <v>131</v>
      </c>
      <c r="E35" s="510">
        <f>'14'!F35</f>
        <v>984474</v>
      </c>
      <c r="F35" s="510">
        <v>986946</v>
      </c>
      <c r="G35" s="473">
        <f t="shared" ref="G35:G46" si="3">F35-E35</f>
        <v>2472</v>
      </c>
      <c r="H35" s="460">
        <f>G35+'14'!H35</f>
        <v>36458</v>
      </c>
      <c r="I35" s="455"/>
      <c r="J35" s="552">
        <f>H35/DAY(B2)</f>
        <v>2430.5333333333333</v>
      </c>
      <c r="K35" s="428"/>
      <c r="L35" s="377"/>
      <c r="N35" s="719"/>
      <c r="O35" s="727"/>
      <c r="P35" s="382"/>
    </row>
    <row r="36" spans="1:16">
      <c r="A36" s="578" t="s">
        <v>164</v>
      </c>
      <c r="B36" s="579"/>
      <c r="C36" s="579"/>
      <c r="D36" s="523" t="s">
        <v>131</v>
      </c>
      <c r="E36" s="510">
        <f>'14'!F36</f>
        <v>8159</v>
      </c>
      <c r="F36" s="510">
        <v>8823</v>
      </c>
      <c r="G36" s="473">
        <f t="shared" si="3"/>
        <v>664</v>
      </c>
      <c r="H36" s="460">
        <f>G36+'14'!H36</f>
        <v>8650</v>
      </c>
      <c r="I36" s="455"/>
      <c r="J36" s="552">
        <f>H36/DAY(B2)</f>
        <v>576.66666666666663</v>
      </c>
      <c r="K36" s="428"/>
      <c r="L36" s="377"/>
      <c r="N36" s="720"/>
      <c r="O36" s="727"/>
      <c r="P36" s="382"/>
    </row>
    <row r="37" spans="1:16">
      <c r="A37" s="578" t="s">
        <v>165</v>
      </c>
      <c r="B37" s="579"/>
      <c r="C37" s="579"/>
      <c r="D37" s="523" t="s">
        <v>131</v>
      </c>
      <c r="E37" s="510">
        <f>'14'!F37</f>
        <v>153090</v>
      </c>
      <c r="F37" s="510">
        <v>154495</v>
      </c>
      <c r="G37" s="473">
        <f t="shared" si="3"/>
        <v>1405</v>
      </c>
      <c r="H37" s="460">
        <f>G37+'14'!H37</f>
        <v>20259</v>
      </c>
      <c r="I37" s="455"/>
      <c r="J37" s="552">
        <f>H37/DAY(B2)</f>
        <v>1350.6</v>
      </c>
      <c r="K37" s="428"/>
      <c r="L37" s="377"/>
      <c r="N37" s="720"/>
      <c r="O37" s="727"/>
      <c r="P37" s="382"/>
    </row>
    <row r="38" spans="1:16">
      <c r="A38" s="578" t="s">
        <v>166</v>
      </c>
      <c r="B38" s="579"/>
      <c r="C38" s="579"/>
      <c r="D38" s="523" t="s">
        <v>131</v>
      </c>
      <c r="E38" s="510">
        <f>'14'!F38</f>
        <v>174129</v>
      </c>
      <c r="F38" s="469">
        <v>175383</v>
      </c>
      <c r="G38" s="473">
        <f t="shared" si="3"/>
        <v>1254</v>
      </c>
      <c r="H38" s="460">
        <f>G38+'14'!H38</f>
        <v>18978</v>
      </c>
      <c r="I38" s="455"/>
      <c r="J38" s="552">
        <f>H38/DAY(B2)</f>
        <v>1265.2</v>
      </c>
      <c r="K38" s="428"/>
      <c r="L38" s="377"/>
      <c r="N38" s="719"/>
      <c r="O38" s="726"/>
      <c r="P38" s="382"/>
    </row>
    <row r="39" spans="1:16">
      <c r="A39" s="578" t="s">
        <v>167</v>
      </c>
      <c r="B39" s="579"/>
      <c r="C39" s="579"/>
      <c r="D39" s="523" t="s">
        <v>131</v>
      </c>
      <c r="E39" s="510">
        <f>'14'!F39</f>
        <v>348716</v>
      </c>
      <c r="F39" s="510">
        <v>351609</v>
      </c>
      <c r="G39" s="473">
        <f t="shared" si="3"/>
        <v>2893</v>
      </c>
      <c r="H39" s="460">
        <f>G39+'14'!H39</f>
        <v>43436</v>
      </c>
      <c r="I39" s="455"/>
      <c r="J39" s="552">
        <f>H39/DAY(B2)</f>
        <v>2895.7333333333331</v>
      </c>
      <c r="K39" s="428"/>
      <c r="L39" s="377"/>
      <c r="N39" s="719"/>
      <c r="O39" s="727"/>
      <c r="P39" s="382"/>
    </row>
    <row r="40" spans="1:16">
      <c r="A40" s="599" t="s">
        <v>168</v>
      </c>
      <c r="B40" s="600"/>
      <c r="C40" s="600"/>
      <c r="D40" s="523" t="s">
        <v>131</v>
      </c>
      <c r="E40" s="510">
        <f>'14'!F40</f>
        <v>1458</v>
      </c>
      <c r="F40" s="510">
        <v>1678</v>
      </c>
      <c r="G40" s="473">
        <f t="shared" si="3"/>
        <v>220</v>
      </c>
      <c r="H40" s="460">
        <f>G40+'14'!H40</f>
        <v>789</v>
      </c>
      <c r="I40" s="455"/>
      <c r="J40" s="552">
        <f>H40/DAY(B2)</f>
        <v>52.6</v>
      </c>
      <c r="K40" s="429"/>
      <c r="L40" s="377"/>
      <c r="N40" s="719"/>
      <c r="O40" s="726"/>
      <c r="P40" s="382"/>
    </row>
    <row r="41" spans="1:16">
      <c r="A41" s="578" t="s">
        <v>169</v>
      </c>
      <c r="B41" s="579"/>
      <c r="C41" s="579"/>
      <c r="D41" s="523" t="s">
        <v>131</v>
      </c>
      <c r="E41" s="510">
        <f>'14'!F41</f>
        <v>279337</v>
      </c>
      <c r="F41" s="510">
        <v>284526</v>
      </c>
      <c r="G41" s="473">
        <f t="shared" si="3"/>
        <v>5189</v>
      </c>
      <c r="H41" s="460">
        <f>G41+'14'!H41</f>
        <v>44048</v>
      </c>
      <c r="I41" s="455"/>
      <c r="J41" s="552">
        <f>H41/DAY(B2)</f>
        <v>2936.5333333333333</v>
      </c>
      <c r="K41" s="428"/>
      <c r="L41" s="377"/>
      <c r="N41" s="719"/>
      <c r="O41" s="728"/>
      <c r="P41" s="722"/>
    </row>
    <row r="42" spans="1:16">
      <c r="A42" s="578" t="s">
        <v>170</v>
      </c>
      <c r="B42" s="579"/>
      <c r="C42" s="579"/>
      <c r="D42" s="523" t="s">
        <v>131</v>
      </c>
      <c r="E42" s="510">
        <f>'14'!F42</f>
        <v>59211</v>
      </c>
      <c r="F42" s="510">
        <v>59211</v>
      </c>
      <c r="G42" s="473">
        <f t="shared" si="3"/>
        <v>0</v>
      </c>
      <c r="H42" s="460">
        <f>G42+'14'!H42</f>
        <v>12.029999999998836</v>
      </c>
      <c r="I42" s="455"/>
      <c r="J42" s="552">
        <f>H42/DAY(B2)</f>
        <v>0.80199999999992244</v>
      </c>
      <c r="K42" s="428"/>
      <c r="L42" s="377"/>
      <c r="N42" s="719"/>
      <c r="O42" s="726"/>
      <c r="P42" s="382"/>
    </row>
    <row r="43" spans="1:16">
      <c r="A43" s="578" t="s">
        <v>171</v>
      </c>
      <c r="B43" s="579"/>
      <c r="C43" s="579"/>
      <c r="D43" s="523" t="s">
        <v>131</v>
      </c>
      <c r="E43" s="510">
        <f>'14'!F43</f>
        <v>1076429</v>
      </c>
      <c r="F43" s="510">
        <v>1078896</v>
      </c>
      <c r="G43" s="473">
        <f t="shared" si="3"/>
        <v>2467</v>
      </c>
      <c r="H43" s="460">
        <f>G43+'14'!H43</f>
        <v>36652</v>
      </c>
      <c r="I43" s="455"/>
      <c r="J43" s="552">
        <f>H43/DAY(B2)</f>
        <v>2443.4666666666667</v>
      </c>
      <c r="K43" s="428"/>
      <c r="L43" s="377"/>
      <c r="N43" s="719"/>
      <c r="O43" s="727"/>
      <c r="P43" s="382"/>
    </row>
    <row r="44" spans="1:16">
      <c r="A44" s="578" t="s">
        <v>172</v>
      </c>
      <c r="B44" s="579"/>
      <c r="C44" s="579"/>
      <c r="D44" s="523" t="s">
        <v>131</v>
      </c>
      <c r="E44" s="510">
        <f>'14'!F44</f>
        <v>0</v>
      </c>
      <c r="F44" s="510">
        <v>0</v>
      </c>
      <c r="G44" s="473">
        <f t="shared" si="3"/>
        <v>0</v>
      </c>
      <c r="H44" s="460">
        <f>G44+'14'!H44</f>
        <v>0</v>
      </c>
      <c r="I44" s="455"/>
      <c r="J44" s="552">
        <f>H44/DAY(B2)</f>
        <v>0</v>
      </c>
      <c r="K44" s="428"/>
      <c r="L44" s="377"/>
      <c r="N44" s="719"/>
      <c r="O44" s="726"/>
      <c r="P44" s="382"/>
    </row>
    <row r="45" spans="1:16">
      <c r="A45" s="578" t="s">
        <v>173</v>
      </c>
      <c r="B45" s="579"/>
      <c r="C45" s="579"/>
      <c r="D45" s="523" t="s">
        <v>131</v>
      </c>
      <c r="E45" s="510">
        <v>614</v>
      </c>
      <c r="F45" s="510">
        <v>614</v>
      </c>
      <c r="G45" s="473">
        <f t="shared" si="3"/>
        <v>0</v>
      </c>
      <c r="H45" s="460">
        <f>G45+'14'!H45</f>
        <v>0</v>
      </c>
      <c r="I45" s="455"/>
      <c r="J45" s="552">
        <f>H45/DAY(B2)</f>
        <v>0</v>
      </c>
      <c r="K45" s="428"/>
      <c r="L45" s="377"/>
      <c r="N45" s="723"/>
      <c r="O45" s="726"/>
      <c r="P45" s="382"/>
    </row>
    <row r="46" spans="1:16">
      <c r="A46" s="578" t="s">
        <v>174</v>
      </c>
      <c r="B46" s="579"/>
      <c r="C46" s="579"/>
      <c r="D46" s="523" t="s">
        <v>131</v>
      </c>
      <c r="E46" s="510">
        <v>187.49</v>
      </c>
      <c r="F46" s="510">
        <v>187.49</v>
      </c>
      <c r="G46" s="473">
        <f t="shared" si="3"/>
        <v>0</v>
      </c>
      <c r="H46" s="460">
        <f>G46+'14'!H46</f>
        <v>0</v>
      </c>
      <c r="I46" s="455"/>
      <c r="J46" s="552">
        <f>H46/DAY(B2)</f>
        <v>0</v>
      </c>
      <c r="K46" s="428"/>
      <c r="L46" s="377"/>
      <c r="N46" s="719"/>
      <c r="O46" s="726"/>
      <c r="P46" s="382"/>
    </row>
    <row r="47" spans="1:16">
      <c r="A47" s="585" t="s">
        <v>175</v>
      </c>
      <c r="B47" s="586"/>
      <c r="C47" s="586"/>
      <c r="D47" s="470"/>
      <c r="E47" s="511"/>
      <c r="F47" s="511"/>
      <c r="G47" s="481">
        <f>G35+G36+G37+G38+G39+G40+G41+G42+G43+G44+G45+G46</f>
        <v>16564</v>
      </c>
      <c r="H47" s="460">
        <f>G47+'14'!H47</f>
        <v>209282.52</v>
      </c>
      <c r="I47" s="455"/>
      <c r="J47" s="552">
        <f>H47/DAY(B2)</f>
        <v>13952.168</v>
      </c>
      <c r="K47" s="428"/>
      <c r="L47" s="377"/>
      <c r="N47" s="719"/>
      <c r="O47" s="726"/>
      <c r="P47" s="382"/>
    </row>
    <row r="48" spans="1:16">
      <c r="A48" s="598" t="s">
        <v>176</v>
      </c>
      <c r="B48" s="1204"/>
      <c r="C48" s="1204"/>
      <c r="D48" s="472"/>
      <c r="E48" s="471"/>
      <c r="F48" s="471"/>
      <c r="G48" s="472"/>
      <c r="H48" s="472"/>
      <c r="I48" s="472"/>
      <c r="J48" s="551"/>
      <c r="K48" s="428"/>
      <c r="L48" s="377"/>
      <c r="N48" s="719"/>
      <c r="O48" s="726"/>
      <c r="P48" s="382"/>
    </row>
    <row r="49" spans="1:16">
      <c r="A49" s="578" t="s">
        <v>163</v>
      </c>
      <c r="B49" s="601"/>
      <c r="C49" s="601"/>
      <c r="D49" s="523" t="s">
        <v>131</v>
      </c>
      <c r="E49" s="510">
        <f>'14'!F49</f>
        <v>260732</v>
      </c>
      <c r="F49" s="510">
        <v>260732</v>
      </c>
      <c r="G49" s="473">
        <f t="shared" ref="G49:G58" si="4">F49-E49</f>
        <v>0</v>
      </c>
      <c r="H49" s="460">
        <f>G49+'14'!H49</f>
        <v>0</v>
      </c>
      <c r="I49" s="455"/>
      <c r="J49" s="552">
        <f>H49/DAY(B2)</f>
        <v>0</v>
      </c>
      <c r="K49" s="428">
        <f>E49+242</f>
        <v>260974</v>
      </c>
      <c r="L49" s="377"/>
      <c r="N49" s="719"/>
      <c r="O49" s="726"/>
      <c r="P49" s="382"/>
    </row>
    <row r="50" spans="1:16">
      <c r="A50" s="578" t="s">
        <v>177</v>
      </c>
      <c r="B50" s="601"/>
      <c r="C50" s="601"/>
      <c r="D50" s="523" t="s">
        <v>131</v>
      </c>
      <c r="E50" s="510">
        <f>'14'!F50</f>
        <v>515805</v>
      </c>
      <c r="F50" s="510">
        <v>516817</v>
      </c>
      <c r="G50" s="473">
        <f t="shared" si="4"/>
        <v>1012</v>
      </c>
      <c r="H50" s="460">
        <f>G50+'14'!H50</f>
        <v>13391</v>
      </c>
      <c r="I50" s="455"/>
      <c r="J50" s="552">
        <f>H50/DAY(B2)</f>
        <v>892.73333333333335</v>
      </c>
      <c r="K50" s="428"/>
      <c r="L50" s="377"/>
      <c r="N50" s="719"/>
      <c r="O50" s="727"/>
      <c r="P50" s="382"/>
    </row>
    <row r="51" spans="1:16">
      <c r="A51" s="578" t="s">
        <v>165</v>
      </c>
      <c r="B51" s="601"/>
      <c r="C51" s="601"/>
      <c r="D51" s="523" t="s">
        <v>131</v>
      </c>
      <c r="E51" s="510">
        <f>'14'!F51</f>
        <v>144639.87</v>
      </c>
      <c r="F51" s="510">
        <v>144639.87</v>
      </c>
      <c r="G51" s="473">
        <f t="shared" si="4"/>
        <v>0</v>
      </c>
      <c r="H51" s="460">
        <f>G51+'14'!H51</f>
        <v>-0.13000000000465661</v>
      </c>
      <c r="I51" s="455"/>
      <c r="J51" s="552">
        <f>H51/DAY(B2)</f>
        <v>-8.6666666669771072E-3</v>
      </c>
      <c r="K51" s="428"/>
      <c r="L51" s="377"/>
      <c r="N51" s="719"/>
      <c r="O51" s="726"/>
      <c r="P51" s="382"/>
    </row>
    <row r="52" spans="1:16">
      <c r="A52" s="578" t="s">
        <v>178</v>
      </c>
      <c r="B52" s="601"/>
      <c r="C52" s="601"/>
      <c r="D52" s="523" t="s">
        <v>131</v>
      </c>
      <c r="E52" s="510">
        <f>'14'!F52</f>
        <v>539606.06999999995</v>
      </c>
      <c r="F52" s="510">
        <v>539606</v>
      </c>
      <c r="G52" s="473">
        <f t="shared" si="4"/>
        <v>-6.9999999948777258E-2</v>
      </c>
      <c r="H52" s="460">
        <f>G52+'14'!H52</f>
        <v>-6.9999999948777258E-2</v>
      </c>
      <c r="I52" s="455"/>
      <c r="J52" s="552">
        <f>H52/DAY(B2)</f>
        <v>-4.6666666632518171E-3</v>
      </c>
      <c r="K52" s="428"/>
      <c r="L52" s="377"/>
      <c r="N52" s="719"/>
      <c r="O52" s="726"/>
      <c r="P52" s="382"/>
    </row>
    <row r="53" spans="1:16">
      <c r="A53" s="578" t="s">
        <v>167</v>
      </c>
      <c r="B53" s="601"/>
      <c r="C53" s="601"/>
      <c r="D53" s="523" t="s">
        <v>131</v>
      </c>
      <c r="E53" s="510">
        <f>'14'!F53</f>
        <v>434232</v>
      </c>
      <c r="F53" s="510">
        <v>434232</v>
      </c>
      <c r="G53" s="473">
        <f t="shared" si="4"/>
        <v>0</v>
      </c>
      <c r="H53" s="460">
        <f>G53+'14'!H53</f>
        <v>1663.6699999999837</v>
      </c>
      <c r="I53" s="455"/>
      <c r="J53" s="552">
        <f>H53/DAY(B2)</f>
        <v>110.91133333333225</v>
      </c>
      <c r="K53" s="428"/>
      <c r="L53" s="377"/>
      <c r="N53" s="719"/>
      <c r="O53" s="726"/>
      <c r="P53" s="382"/>
    </row>
    <row r="54" spans="1:16">
      <c r="A54" s="578" t="s">
        <v>179</v>
      </c>
      <c r="B54" s="601"/>
      <c r="C54" s="601"/>
      <c r="D54" s="523" t="s">
        <v>131</v>
      </c>
      <c r="E54" s="510">
        <f>'14'!F54</f>
        <v>14908</v>
      </c>
      <c r="F54" s="510">
        <v>14967</v>
      </c>
      <c r="G54" s="473">
        <f t="shared" si="4"/>
        <v>59</v>
      </c>
      <c r="H54" s="460">
        <f>G54+'14'!H54</f>
        <v>1138</v>
      </c>
      <c r="I54" s="455"/>
      <c r="J54" s="552">
        <f>H54/DAY(B2)</f>
        <v>75.86666666666666</v>
      </c>
      <c r="K54" s="428"/>
      <c r="L54" s="377"/>
      <c r="N54" s="719"/>
      <c r="O54" s="726"/>
      <c r="P54" s="382"/>
    </row>
    <row r="55" spans="1:16">
      <c r="A55" s="578" t="s">
        <v>180</v>
      </c>
      <c r="B55" s="601"/>
      <c r="C55" s="601"/>
      <c r="D55" s="523" t="s">
        <v>131</v>
      </c>
      <c r="E55" s="510">
        <f>'14'!F55</f>
        <v>70500</v>
      </c>
      <c r="F55" s="654">
        <v>70500</v>
      </c>
      <c r="G55" s="653">
        <f t="shared" si="4"/>
        <v>0</v>
      </c>
      <c r="H55" s="706">
        <f>G55+'14'!H55</f>
        <v>2389</v>
      </c>
      <c r="I55" s="707"/>
      <c r="J55" s="708">
        <f>H55/DAY(B2)</f>
        <v>159.26666666666668</v>
      </c>
      <c r="K55" s="428"/>
      <c r="L55" s="377"/>
      <c r="N55" s="719"/>
      <c r="O55" s="726"/>
      <c r="P55" s="382"/>
    </row>
    <row r="56" spans="1:16">
      <c r="A56" s="578" t="s">
        <v>181</v>
      </c>
      <c r="B56" s="601"/>
      <c r="C56" s="601"/>
      <c r="D56" s="523" t="s">
        <v>182</v>
      </c>
      <c r="E56" s="510">
        <f>'14'!F56</f>
        <v>648867</v>
      </c>
      <c r="F56" s="654">
        <v>648878</v>
      </c>
      <c r="G56" s="473">
        <f t="shared" si="4"/>
        <v>11</v>
      </c>
      <c r="H56" s="460">
        <f>G56+'14'!H56</f>
        <v>31680</v>
      </c>
      <c r="I56" s="455"/>
      <c r="J56" s="552">
        <f>H56/DAY(B2)</f>
        <v>2112</v>
      </c>
      <c r="K56" s="427"/>
      <c r="L56" s="377"/>
      <c r="N56" s="719"/>
      <c r="O56" s="728"/>
      <c r="P56" s="382"/>
    </row>
    <row r="57" spans="1:16">
      <c r="A57" s="578" t="s">
        <v>171</v>
      </c>
      <c r="B57" s="601"/>
      <c r="C57" s="601"/>
      <c r="D57" s="523" t="s">
        <v>131</v>
      </c>
      <c r="E57" s="510">
        <f>'14'!F57</f>
        <v>7711.33</v>
      </c>
      <c r="F57" s="510">
        <v>7711.33</v>
      </c>
      <c r="G57" s="473">
        <f t="shared" si="4"/>
        <v>0</v>
      </c>
      <c r="H57" s="460">
        <f>G57+'14'!H57</f>
        <v>0.32999999999992724</v>
      </c>
      <c r="I57" s="455"/>
      <c r="J57" s="552">
        <f>H57/DAY(B2)</f>
        <v>2.1999999999995148E-2</v>
      </c>
      <c r="K57" s="428"/>
      <c r="L57" s="377"/>
      <c r="N57" s="719"/>
      <c r="O57" s="726"/>
      <c r="P57" s="382"/>
    </row>
    <row r="58" spans="1:16">
      <c r="A58" s="578" t="s">
        <v>183</v>
      </c>
      <c r="B58" s="601"/>
      <c r="C58" s="601"/>
      <c r="D58" s="523" t="s">
        <v>131</v>
      </c>
      <c r="E58" s="510">
        <f>'14'!F58</f>
        <v>51396</v>
      </c>
      <c r="F58" s="654">
        <v>51500</v>
      </c>
      <c r="G58" s="473">
        <f t="shared" si="4"/>
        <v>104</v>
      </c>
      <c r="H58" s="460">
        <f>G58+'14'!H58</f>
        <v>1635.7900000000009</v>
      </c>
      <c r="I58" s="455"/>
      <c r="J58" s="552">
        <f>H58/DAY(B2)</f>
        <v>109.05266666666672</v>
      </c>
      <c r="K58" s="428"/>
      <c r="L58" s="377"/>
      <c r="N58" s="719"/>
      <c r="O58" s="726"/>
      <c r="P58" s="382"/>
    </row>
    <row r="59" spans="1:16">
      <c r="A59" s="585" t="s">
        <v>175</v>
      </c>
      <c r="B59" s="586"/>
      <c r="C59" s="586"/>
      <c r="D59" s="511"/>
      <c r="E59" s="511"/>
      <c r="F59" s="511"/>
      <c r="G59" s="481">
        <f>G49+G50+G51+G52+G53+G54+G55+G56+G57+G58</f>
        <v>1185.9300000000512</v>
      </c>
      <c r="H59" s="460">
        <f>G59+'14'!H59</f>
        <v>51897.659999999982</v>
      </c>
      <c r="I59" s="455">
        <f>G7-G60</f>
        <v>18.069999999948777</v>
      </c>
      <c r="J59" s="552">
        <f>H59/DAY(B2)</f>
        <v>3459.8439999999987</v>
      </c>
      <c r="K59" s="428"/>
      <c r="L59" s="377"/>
      <c r="N59" s="719"/>
      <c r="O59" s="726"/>
      <c r="P59" s="382"/>
    </row>
    <row r="60" spans="1:16">
      <c r="A60" s="578"/>
      <c r="B60" s="579"/>
      <c r="C60" s="579"/>
      <c r="D60" s="511" t="s">
        <v>184</v>
      </c>
      <c r="E60" s="511"/>
      <c r="F60" s="511"/>
      <c r="G60" s="481">
        <f>G47+G59</f>
        <v>17749.930000000051</v>
      </c>
      <c r="H60" s="460">
        <f>G60+'14'!H60</f>
        <v>262388.71999999997</v>
      </c>
      <c r="I60" s="455">
        <f>G13-G60</f>
        <v>-548.93000000005122</v>
      </c>
      <c r="J60" s="552">
        <f>H60/DAY(B2)</f>
        <v>17492.581333333332</v>
      </c>
      <c r="K60" s="428"/>
      <c r="L60" s="377"/>
      <c r="N60" s="719"/>
      <c r="O60" s="726"/>
      <c r="P60" s="382"/>
    </row>
    <row r="61" spans="1:16">
      <c r="A61" s="602" t="s">
        <v>185</v>
      </c>
      <c r="B61" s="453"/>
      <c r="C61" s="453"/>
      <c r="D61" s="513"/>
      <c r="E61" s="512"/>
      <c r="F61" s="512"/>
      <c r="G61" s="513"/>
      <c r="H61" s="513"/>
      <c r="I61" s="513"/>
      <c r="J61" s="555"/>
      <c r="K61" s="428"/>
      <c r="L61" s="377"/>
      <c r="N61" s="719"/>
      <c r="O61" s="726"/>
      <c r="P61" s="382"/>
    </row>
    <row r="62" spans="1:16">
      <c r="A62" s="603" t="s">
        <v>97</v>
      </c>
      <c r="B62" s="604"/>
      <c r="C62" s="604"/>
      <c r="D62" s="511" t="s">
        <v>186</v>
      </c>
      <c r="E62" s="514">
        <v>20419</v>
      </c>
      <c r="F62" s="514">
        <v>20419.18</v>
      </c>
      <c r="G62" s="473">
        <f t="shared" ref="G62:G69" si="5">F62-E62</f>
        <v>0.18000000000029104</v>
      </c>
      <c r="H62" s="460">
        <f>G62+'14'!H62</f>
        <v>0.18199999999706051</v>
      </c>
      <c r="I62" s="515"/>
      <c r="J62" s="552">
        <f>H62/DAY(B2)</f>
        <v>1.2133333333137368E-2</v>
      </c>
      <c r="K62" s="428"/>
      <c r="L62" s="377"/>
      <c r="N62" s="719"/>
      <c r="O62" s="726"/>
      <c r="P62" s="382"/>
    </row>
    <row r="63" spans="1:16">
      <c r="A63" s="603" t="s">
        <v>187</v>
      </c>
      <c r="B63" s="604"/>
      <c r="C63" s="604"/>
      <c r="D63" s="511" t="s">
        <v>186</v>
      </c>
      <c r="E63" s="514">
        <f>'14'!F63</f>
        <v>0</v>
      </c>
      <c r="F63" s="514">
        <v>0</v>
      </c>
      <c r="G63" s="473">
        <f t="shared" si="5"/>
        <v>0</v>
      </c>
      <c r="H63" s="460">
        <f>G63+'14'!H63</f>
        <v>0</v>
      </c>
      <c r="I63" s="515"/>
      <c r="J63" s="552">
        <f>H63/DAY(B2)</f>
        <v>0</v>
      </c>
      <c r="K63" s="428"/>
      <c r="L63" s="377"/>
      <c r="N63" s="719"/>
      <c r="O63" s="726"/>
      <c r="P63" s="382"/>
    </row>
    <row r="64" spans="1:16" ht="27.75">
      <c r="A64" s="1534" t="s">
        <v>98</v>
      </c>
      <c r="B64" s="1535"/>
      <c r="C64" s="1536"/>
      <c r="D64" s="523" t="s">
        <v>186</v>
      </c>
      <c r="E64" s="514">
        <f>'14'!F64</f>
        <v>164066</v>
      </c>
      <c r="F64" s="478">
        <v>164442</v>
      </c>
      <c r="G64" s="473">
        <f t="shared" si="5"/>
        <v>376</v>
      </c>
      <c r="H64" s="460">
        <f>G64+'14'!H64</f>
        <v>4510</v>
      </c>
      <c r="I64" s="480"/>
      <c r="J64" s="552">
        <f>H64/DAY(B2)</f>
        <v>300.66666666666669</v>
      </c>
      <c r="K64" s="428"/>
      <c r="L64" s="377"/>
      <c r="N64" s="719"/>
      <c r="O64" s="726"/>
      <c r="P64" s="382"/>
    </row>
    <row r="65" spans="1:16" ht="27.75">
      <c r="A65" s="1534" t="s">
        <v>99</v>
      </c>
      <c r="B65" s="1535"/>
      <c r="C65" s="1536"/>
      <c r="D65" s="523" t="s">
        <v>186</v>
      </c>
      <c r="E65" s="514">
        <f>'14'!F65</f>
        <v>164738</v>
      </c>
      <c r="F65" s="652">
        <v>164888</v>
      </c>
      <c r="G65" s="473">
        <f t="shared" si="5"/>
        <v>150</v>
      </c>
      <c r="H65" s="460">
        <f>G65+'14'!H65</f>
        <v>3890</v>
      </c>
      <c r="I65" s="489"/>
      <c r="J65" s="552">
        <f>H65/DAY(B2)</f>
        <v>259.33333333333331</v>
      </c>
      <c r="K65" s="428"/>
      <c r="L65" s="377"/>
      <c r="N65" s="719"/>
      <c r="O65" s="727"/>
      <c r="P65" s="382"/>
    </row>
    <row r="66" spans="1:16" ht="27.75">
      <c r="A66" s="1534" t="s">
        <v>100</v>
      </c>
      <c r="B66" s="1535"/>
      <c r="C66" s="1536"/>
      <c r="D66" s="523" t="s">
        <v>186</v>
      </c>
      <c r="E66" s="514">
        <f>'14'!F66</f>
        <v>61756</v>
      </c>
      <c r="F66" s="478">
        <v>62024</v>
      </c>
      <c r="G66" s="473">
        <f t="shared" si="5"/>
        <v>268</v>
      </c>
      <c r="H66" s="460">
        <f>G66+'14'!H66</f>
        <v>5219</v>
      </c>
      <c r="I66" s="480"/>
      <c r="J66" s="552">
        <f>H66/DAY(B2)</f>
        <v>347.93333333333334</v>
      </c>
      <c r="K66" s="428"/>
      <c r="L66" s="377"/>
      <c r="N66" s="719"/>
      <c r="O66" s="726"/>
      <c r="P66" s="382"/>
    </row>
    <row r="67" spans="1:16" ht="27.75">
      <c r="A67" s="1534" t="s">
        <v>101</v>
      </c>
      <c r="B67" s="1535"/>
      <c r="C67" s="1536"/>
      <c r="D67" s="523" t="s">
        <v>186</v>
      </c>
      <c r="E67" s="514">
        <f>'14'!F67</f>
        <v>257836</v>
      </c>
      <c r="F67" s="478">
        <v>258242</v>
      </c>
      <c r="G67" s="473">
        <f t="shared" si="5"/>
        <v>406</v>
      </c>
      <c r="H67" s="460">
        <f>G67+'14'!H67</f>
        <v>6050</v>
      </c>
      <c r="I67" s="489"/>
      <c r="J67" s="552">
        <f>H67/DAY(B2)</f>
        <v>403.33333333333331</v>
      </c>
      <c r="K67" s="429"/>
      <c r="L67" s="377"/>
      <c r="N67" s="719"/>
      <c r="O67" s="726"/>
      <c r="P67" s="382"/>
    </row>
    <row r="68" spans="1:16" ht="27.75">
      <c r="A68" s="1534" t="s">
        <v>102</v>
      </c>
      <c r="B68" s="1535"/>
      <c r="C68" s="1536"/>
      <c r="D68" s="523" t="s">
        <v>186</v>
      </c>
      <c r="E68" s="514">
        <f>'14'!F68</f>
        <v>85321</v>
      </c>
      <c r="F68" s="478">
        <v>85321</v>
      </c>
      <c r="G68" s="473">
        <f t="shared" si="5"/>
        <v>0</v>
      </c>
      <c r="H68" s="460">
        <f>G68+'14'!H68</f>
        <v>0</v>
      </c>
      <c r="I68" s="516"/>
      <c r="J68" s="552">
        <f>H68/DAY(B2)</f>
        <v>0</v>
      </c>
      <c r="K68" s="430"/>
      <c r="L68" s="377"/>
      <c r="N68" s="719"/>
      <c r="O68" s="726"/>
      <c r="P68" s="382"/>
    </row>
    <row r="69" spans="1:16" ht="27.75">
      <c r="A69" s="1534" t="s">
        <v>103</v>
      </c>
      <c r="B69" s="1535"/>
      <c r="C69" s="1536"/>
      <c r="D69" s="523" t="s">
        <v>186</v>
      </c>
      <c r="E69" s="514">
        <f>'14'!F69</f>
        <v>83730</v>
      </c>
      <c r="F69" s="478">
        <v>83932</v>
      </c>
      <c r="G69" s="473">
        <f t="shared" si="5"/>
        <v>202</v>
      </c>
      <c r="H69" s="460">
        <f>G69+'14'!H69</f>
        <v>2183</v>
      </c>
      <c r="I69" s="516"/>
      <c r="J69" s="552">
        <f>H69/DAY(B2)</f>
        <v>145.53333333333333</v>
      </c>
      <c r="K69" s="431"/>
      <c r="L69" s="377"/>
      <c r="N69" s="719"/>
      <c r="O69" s="726"/>
      <c r="P69" s="382"/>
    </row>
    <row r="70" spans="1:16" ht="27.75">
      <c r="A70" s="1566" t="s">
        <v>188</v>
      </c>
      <c r="B70" s="1567"/>
      <c r="C70" s="1568"/>
      <c r="D70" s="523" t="s">
        <v>186</v>
      </c>
      <c r="E70" s="518"/>
      <c r="F70" s="518"/>
      <c r="G70" s="518"/>
      <c r="H70" s="460"/>
      <c r="I70" s="518"/>
      <c r="J70" s="556"/>
      <c r="K70" s="431"/>
      <c r="L70" s="377"/>
      <c r="N70" s="719"/>
      <c r="O70" s="726"/>
      <c r="P70" s="382"/>
    </row>
    <row r="71" spans="1:16" ht="31.5">
      <c r="A71" s="1580" t="s">
        <v>189</v>
      </c>
      <c r="B71" s="1581"/>
      <c r="C71" s="1581"/>
      <c r="D71" s="1581"/>
      <c r="E71" s="1581"/>
      <c r="F71" s="1581"/>
      <c r="G71" s="1581"/>
      <c r="H71" s="1581"/>
      <c r="I71" s="1581"/>
      <c r="J71" s="1582"/>
      <c r="K71" s="430"/>
      <c r="L71" s="377"/>
      <c r="N71" s="719"/>
      <c r="O71" s="726"/>
      <c r="P71" s="382"/>
    </row>
    <row r="72" spans="1:16" ht="27.75">
      <c r="A72" s="1534" t="s">
        <v>190</v>
      </c>
      <c r="B72" s="1535"/>
      <c r="C72" s="1536"/>
      <c r="D72" s="523" t="s">
        <v>186</v>
      </c>
      <c r="E72" s="519">
        <f>'14'!F72</f>
        <v>856027</v>
      </c>
      <c r="F72" s="655">
        <v>856040</v>
      </c>
      <c r="G72" s="473">
        <f t="shared" ref="G72:G84" si="6">F72-E72</f>
        <v>13</v>
      </c>
      <c r="H72" s="460">
        <f>G72+'14'!H72</f>
        <v>184</v>
      </c>
      <c r="I72" s="480"/>
      <c r="J72" s="552">
        <f>H72/DAY(B2)</f>
        <v>12.266666666666667</v>
      </c>
      <c r="K72" s="431"/>
      <c r="L72" s="377"/>
      <c r="N72" s="719"/>
      <c r="O72" s="726"/>
      <c r="P72" s="382"/>
    </row>
    <row r="73" spans="1:16" ht="27.75">
      <c r="A73" s="1534" t="s">
        <v>191</v>
      </c>
      <c r="B73" s="1535"/>
      <c r="C73" s="1536"/>
      <c r="D73" s="523" t="s">
        <v>186</v>
      </c>
      <c r="E73" s="519">
        <f>'14'!F73</f>
        <v>885953</v>
      </c>
      <c r="F73" s="656">
        <v>885955</v>
      </c>
      <c r="G73" s="653">
        <f t="shared" si="6"/>
        <v>2</v>
      </c>
      <c r="H73" s="460">
        <f>G73+'14'!H73</f>
        <v>174</v>
      </c>
      <c r="I73" s="480"/>
      <c r="J73" s="552">
        <f>H73/DAY(B2)</f>
        <v>11.6</v>
      </c>
      <c r="K73" s="430"/>
      <c r="L73" s="377"/>
      <c r="N73" s="719"/>
      <c r="O73" s="726"/>
      <c r="P73" s="382"/>
    </row>
    <row r="74" spans="1:16" ht="27.75">
      <c r="A74" s="1534" t="s">
        <v>192</v>
      </c>
      <c r="B74" s="1535"/>
      <c r="C74" s="1536"/>
      <c r="D74" s="523" t="s">
        <v>186</v>
      </c>
      <c r="E74" s="519">
        <f>'14'!F74</f>
        <v>88679</v>
      </c>
      <c r="F74" s="656">
        <v>88680</v>
      </c>
      <c r="G74" s="473">
        <f t="shared" si="6"/>
        <v>1</v>
      </c>
      <c r="H74" s="460">
        <f>G74+'14'!H74</f>
        <v>14.960000000000036</v>
      </c>
      <c r="I74" s="480"/>
      <c r="J74" s="552">
        <f>H74/DAY(B2)</f>
        <v>0.99733333333333574</v>
      </c>
      <c r="K74" s="431"/>
      <c r="L74" s="377"/>
      <c r="N74" s="719"/>
      <c r="O74" s="726"/>
      <c r="P74" s="382"/>
    </row>
    <row r="75" spans="1:16" ht="27.75">
      <c r="A75" s="1583" t="s">
        <v>193</v>
      </c>
      <c r="B75" s="1584"/>
      <c r="C75" s="1585"/>
      <c r="D75" s="523" t="s">
        <v>186</v>
      </c>
      <c r="E75" s="519">
        <f>'14'!F75</f>
        <v>13766</v>
      </c>
      <c r="F75" s="656">
        <v>13893</v>
      </c>
      <c r="G75" s="473">
        <f t="shared" si="6"/>
        <v>127</v>
      </c>
      <c r="H75" s="460">
        <f>G75+'14'!H75</f>
        <v>1224</v>
      </c>
      <c r="I75" s="480"/>
      <c r="J75" s="552">
        <f>H75/DAY(B2)</f>
        <v>81.599999999999994</v>
      </c>
      <c r="K75" s="430"/>
      <c r="L75" s="377"/>
      <c r="N75" s="719"/>
      <c r="O75" s="726"/>
      <c r="P75" s="382"/>
    </row>
    <row r="76" spans="1:16" ht="27.75">
      <c r="A76" s="1583" t="s">
        <v>194</v>
      </c>
      <c r="B76" s="1584"/>
      <c r="C76" s="1585"/>
      <c r="D76" s="523" t="s">
        <v>186</v>
      </c>
      <c r="E76" s="519">
        <f>'14'!F76</f>
        <v>8235</v>
      </c>
      <c r="F76" s="656">
        <v>8293</v>
      </c>
      <c r="G76" s="473">
        <f t="shared" si="6"/>
        <v>58</v>
      </c>
      <c r="H76" s="460">
        <f>G76+'14'!H76</f>
        <v>1087</v>
      </c>
      <c r="I76" s="505"/>
      <c r="J76" s="552">
        <f>H76/DAY(B2)</f>
        <v>72.466666666666669</v>
      </c>
      <c r="K76" s="430"/>
      <c r="L76" s="377"/>
      <c r="N76" s="719"/>
      <c r="O76" s="726"/>
      <c r="P76" s="382"/>
    </row>
    <row r="77" spans="1:16" ht="27.75">
      <c r="A77" s="1534" t="s">
        <v>195</v>
      </c>
      <c r="B77" s="1535"/>
      <c r="C77" s="1536"/>
      <c r="D77" s="523" t="s">
        <v>186</v>
      </c>
      <c r="E77" s="519">
        <f>'14'!F77</f>
        <v>703538</v>
      </c>
      <c r="F77" s="656">
        <v>703584</v>
      </c>
      <c r="G77" s="653">
        <f t="shared" si="6"/>
        <v>46</v>
      </c>
      <c r="H77" s="460">
        <f>G77+'14'!H77</f>
        <v>745</v>
      </c>
      <c r="I77" s="505"/>
      <c r="J77" s="552">
        <f>H77/DAY(B2)</f>
        <v>49.666666666666664</v>
      </c>
      <c r="K77" s="430"/>
      <c r="L77" s="377"/>
      <c r="N77" s="719"/>
      <c r="O77" s="726"/>
      <c r="P77" s="382"/>
    </row>
    <row r="78" spans="1:16" ht="27.75">
      <c r="A78" s="1202" t="s">
        <v>196</v>
      </c>
      <c r="B78" s="1195"/>
      <c r="C78" s="1195"/>
      <c r="D78" s="523" t="s">
        <v>186</v>
      </c>
      <c r="E78" s="519">
        <f>'14'!F78</f>
        <v>673971</v>
      </c>
      <c r="F78" s="657">
        <v>674020</v>
      </c>
      <c r="G78" s="473">
        <f t="shared" si="6"/>
        <v>49</v>
      </c>
      <c r="H78" s="460">
        <f>G78+'14'!H78</f>
        <v>988</v>
      </c>
      <c r="I78" s="505"/>
      <c r="J78" s="552">
        <f>H78/DAY(B2)</f>
        <v>65.86666666666666</v>
      </c>
      <c r="K78" s="430"/>
      <c r="L78" s="377"/>
      <c r="N78" s="719"/>
      <c r="O78" s="726"/>
      <c r="P78" s="382"/>
    </row>
    <row r="79" spans="1:16" ht="27.75">
      <c r="A79" s="1583" t="s">
        <v>91</v>
      </c>
      <c r="B79" s="1584"/>
      <c r="C79" s="1585"/>
      <c r="D79" s="524" t="s">
        <v>186</v>
      </c>
      <c r="E79" s="519">
        <f>'14'!F79</f>
        <v>833067</v>
      </c>
      <c r="F79" s="657">
        <v>833206</v>
      </c>
      <c r="G79" s="473">
        <f t="shared" si="6"/>
        <v>139</v>
      </c>
      <c r="H79" s="460">
        <f>G79+'14'!H79</f>
        <v>1184</v>
      </c>
      <c r="I79" s="505"/>
      <c r="J79" s="552">
        <f>H79/DAY(B2)</f>
        <v>78.933333333333337</v>
      </c>
      <c r="K79" s="430"/>
      <c r="L79" s="377"/>
      <c r="N79" s="719"/>
      <c r="O79" s="726"/>
      <c r="P79" s="382"/>
    </row>
    <row r="80" spans="1:16" ht="27.75">
      <c r="A80" s="1583" t="s">
        <v>197</v>
      </c>
      <c r="B80" s="1584"/>
      <c r="C80" s="1585"/>
      <c r="D80" s="524" t="s">
        <v>186</v>
      </c>
      <c r="E80" s="519">
        <f>'14'!F80</f>
        <v>532805</v>
      </c>
      <c r="F80" s="656">
        <v>533140</v>
      </c>
      <c r="G80" s="473">
        <f t="shared" si="6"/>
        <v>335</v>
      </c>
      <c r="H80" s="460">
        <f>G80+'14'!H80</f>
        <v>2594.4799999999814</v>
      </c>
      <c r="I80" s="505"/>
      <c r="J80" s="552">
        <f>H80/DAY(B2)</f>
        <v>172.9653333333321</v>
      </c>
      <c r="K80" s="430"/>
      <c r="L80" s="377"/>
      <c r="N80" s="719"/>
      <c r="O80" s="726"/>
      <c r="P80" s="382"/>
    </row>
    <row r="81" spans="1:16" ht="27.75">
      <c r="A81" s="1583" t="s">
        <v>198</v>
      </c>
      <c r="B81" s="1584"/>
      <c r="C81" s="1585"/>
      <c r="D81" s="524" t="s">
        <v>186</v>
      </c>
      <c r="E81" s="519">
        <f>'14'!F81</f>
        <v>640498</v>
      </c>
      <c r="F81" s="656">
        <v>640636</v>
      </c>
      <c r="G81" s="473">
        <f t="shared" si="6"/>
        <v>138</v>
      </c>
      <c r="H81" s="460">
        <f>G81+'14'!H81</f>
        <v>1738</v>
      </c>
      <c r="I81" s="505"/>
      <c r="J81" s="552">
        <f>H81/DAY(B2)</f>
        <v>115.86666666666666</v>
      </c>
      <c r="K81" s="430"/>
      <c r="L81" s="377"/>
      <c r="N81" s="719"/>
      <c r="O81" s="726"/>
      <c r="P81" s="382"/>
    </row>
    <row r="82" spans="1:16" s="776" customFormat="1" ht="27.75">
      <c r="A82" s="1600" t="s">
        <v>92</v>
      </c>
      <c r="B82" s="1601"/>
      <c r="C82" s="1602"/>
      <c r="D82" s="485" t="s">
        <v>131</v>
      </c>
      <c r="E82" s="519">
        <f>'14'!F82</f>
        <v>108381</v>
      </c>
      <c r="F82" s="485">
        <v>108408</v>
      </c>
      <c r="G82" s="473">
        <f t="shared" si="6"/>
        <v>27</v>
      </c>
      <c r="H82" s="486">
        <f>G82+'14'!H82</f>
        <v>250</v>
      </c>
      <c r="I82" s="486"/>
      <c r="J82" s="553">
        <f>H82/DAY(B2)</f>
        <v>16.666666666666668</v>
      </c>
      <c r="K82" s="1217"/>
      <c r="L82" s="1218"/>
      <c r="N82" s="723"/>
      <c r="O82" s="727"/>
      <c r="P82" s="722"/>
    </row>
    <row r="83" spans="1:16" s="776" customFormat="1" ht="27.75">
      <c r="A83" s="1603" t="s">
        <v>199</v>
      </c>
      <c r="B83" s="1604"/>
      <c r="C83" s="1605"/>
      <c r="D83" s="1313" t="s">
        <v>131</v>
      </c>
      <c r="E83" s="783">
        <f>'14'!F83</f>
        <v>23382</v>
      </c>
      <c r="F83" s="1313">
        <v>23525</v>
      </c>
      <c r="G83" s="774">
        <f t="shared" si="6"/>
        <v>143</v>
      </c>
      <c r="H83" s="479">
        <f>G83+'14'!H83</f>
        <v>3019</v>
      </c>
      <c r="I83" s="774"/>
      <c r="J83" s="775">
        <f>H83/DAY(B2)</f>
        <v>201.26666666666668</v>
      </c>
      <c r="K83" s="1314"/>
      <c r="L83" s="1218"/>
      <c r="N83" s="723"/>
      <c r="O83" s="727"/>
      <c r="P83" s="722"/>
    </row>
    <row r="84" spans="1:16">
      <c r="A84" s="1203" t="s">
        <v>200</v>
      </c>
      <c r="B84" s="571"/>
      <c r="C84" s="571"/>
      <c r="D84" s="478" t="s">
        <v>131</v>
      </c>
      <c r="E84" s="519">
        <f>'14'!F84</f>
        <v>510493</v>
      </c>
      <c r="F84" s="627">
        <v>511176</v>
      </c>
      <c r="G84" s="473">
        <f t="shared" si="6"/>
        <v>683</v>
      </c>
      <c r="H84" s="460">
        <f>G84+'14'!H84</f>
        <v>10882</v>
      </c>
      <c r="I84" s="481"/>
      <c r="J84" s="552">
        <f>H84/DAY(B2)</f>
        <v>725.4666666666667</v>
      </c>
      <c r="K84" s="380"/>
      <c r="L84" s="377"/>
      <c r="N84" s="719"/>
      <c r="O84" s="726"/>
      <c r="P84" s="382"/>
    </row>
    <row r="85" spans="1:16" s="379" customFormat="1">
      <c r="A85" s="605" t="s">
        <v>201</v>
      </c>
      <c r="B85" s="572"/>
      <c r="C85" s="572"/>
      <c r="D85" s="489"/>
      <c r="E85" s="523"/>
      <c r="F85" s="523"/>
      <c r="G85" s="460">
        <f xml:space="preserve"> SUM(G72:G84)</f>
        <v>1761</v>
      </c>
      <c r="H85" s="460">
        <f>G85+'14'!H85</f>
        <v>27627.96</v>
      </c>
      <c r="I85" s="481"/>
      <c r="J85" s="552">
        <f>H85/DAY(B2)</f>
        <v>1841.864</v>
      </c>
      <c r="K85" s="380"/>
      <c r="L85" s="378"/>
      <c r="N85" s="719"/>
      <c r="O85" s="726"/>
      <c r="P85" s="382"/>
    </row>
    <row r="86" spans="1:16" s="736" customFormat="1">
      <c r="A86" s="731" t="s">
        <v>93</v>
      </c>
      <c r="B86" s="732"/>
      <c r="C86" s="732"/>
      <c r="D86" s="733" t="s">
        <v>182</v>
      </c>
      <c r="E86" s="627">
        <f>'14'!F86</f>
        <v>461365</v>
      </c>
      <c r="F86" s="648">
        <v>461395</v>
      </c>
      <c r="G86" s="706">
        <f t="shared" ref="G86:G91" si="7">F86-E86</f>
        <v>30</v>
      </c>
      <c r="H86" s="706">
        <f t="shared" ref="H86:H88" si="8">G86</f>
        <v>30</v>
      </c>
      <c r="I86" s="653"/>
      <c r="J86" s="708">
        <f>H86/DAY(B2)</f>
        <v>2</v>
      </c>
      <c r="K86" s="734"/>
      <c r="L86" s="735"/>
      <c r="O86" s="714"/>
    </row>
    <row r="87" spans="1:16" s="736" customFormat="1">
      <c r="A87" s="731" t="s">
        <v>94</v>
      </c>
      <c r="B87" s="732"/>
      <c r="C87" s="732"/>
      <c r="D87" s="733" t="s">
        <v>182</v>
      </c>
      <c r="E87" s="627">
        <f>'14'!F87</f>
        <v>81654</v>
      </c>
      <c r="F87" s="648">
        <v>81679</v>
      </c>
      <c r="G87" s="706">
        <f t="shared" si="7"/>
        <v>25</v>
      </c>
      <c r="H87" s="706">
        <f t="shared" si="8"/>
        <v>25</v>
      </c>
      <c r="I87" s="653"/>
      <c r="J87" s="708">
        <f>H87/DAY(B2)</f>
        <v>1.6666666666666667</v>
      </c>
      <c r="K87" s="734"/>
      <c r="L87" s="735"/>
      <c r="O87" s="714"/>
    </row>
    <row r="88" spans="1:16" s="736" customFormat="1">
      <c r="A88" s="731" t="s">
        <v>95</v>
      </c>
      <c r="B88" s="732"/>
      <c r="C88" s="732"/>
      <c r="D88" s="733" t="s">
        <v>182</v>
      </c>
      <c r="E88" s="627">
        <f>'14'!F88</f>
        <v>153690</v>
      </c>
      <c r="F88" s="1468">
        <v>153927</v>
      </c>
      <c r="G88" s="706">
        <f t="shared" si="7"/>
        <v>237</v>
      </c>
      <c r="H88" s="706">
        <f t="shared" si="8"/>
        <v>237</v>
      </c>
      <c r="I88" s="653"/>
      <c r="J88" s="708">
        <f>H88/DAY(B2)</f>
        <v>15.8</v>
      </c>
      <c r="K88" s="734"/>
      <c r="L88" s="735"/>
      <c r="O88" s="714"/>
    </row>
    <row r="89" spans="1:16" s="736" customFormat="1">
      <c r="A89" s="731" t="s">
        <v>203</v>
      </c>
      <c r="B89" s="732"/>
      <c r="C89" s="732"/>
      <c r="D89" s="733" t="s">
        <v>182</v>
      </c>
      <c r="E89" s="627">
        <f>'14'!F89</f>
        <v>65425</v>
      </c>
      <c r="F89" s="648">
        <v>65441</v>
      </c>
      <c r="G89" s="706">
        <f t="shared" si="7"/>
        <v>16</v>
      </c>
      <c r="H89" s="706">
        <f>G89</f>
        <v>16</v>
      </c>
      <c r="I89" s="653"/>
      <c r="J89" s="708">
        <f>H89/DAY(B2)</f>
        <v>1.0666666666666667</v>
      </c>
      <c r="K89" s="734"/>
      <c r="L89" s="735"/>
      <c r="N89" s="778"/>
      <c r="O89" s="382"/>
    </row>
    <row r="90" spans="1:16" s="736" customFormat="1">
      <c r="A90" s="731" t="s">
        <v>203</v>
      </c>
      <c r="B90" s="732"/>
      <c r="C90" s="732"/>
      <c r="D90" s="733" t="s">
        <v>182</v>
      </c>
      <c r="E90" s="627">
        <f>'14'!F90</f>
        <v>3295</v>
      </c>
      <c r="F90" s="648">
        <v>3298</v>
      </c>
      <c r="G90" s="706">
        <f t="shared" si="7"/>
        <v>3</v>
      </c>
      <c r="H90" s="706">
        <f>G90</f>
        <v>3</v>
      </c>
      <c r="I90" s="653"/>
      <c r="J90" s="708">
        <f>H90/DAY(B2)</f>
        <v>0.2</v>
      </c>
      <c r="K90" s="734"/>
      <c r="L90" s="735"/>
      <c r="N90" s="778"/>
      <c r="O90" s="382"/>
    </row>
    <row r="91" spans="1:16" s="736" customFormat="1">
      <c r="A91" s="731" t="s">
        <v>350</v>
      </c>
      <c r="B91" s="732"/>
      <c r="C91" s="732"/>
      <c r="D91" s="733"/>
      <c r="E91" s="627">
        <f>'14'!F91</f>
        <v>28122</v>
      </c>
      <c r="F91" s="648">
        <v>28131</v>
      </c>
      <c r="G91" s="706">
        <f t="shared" si="7"/>
        <v>9</v>
      </c>
      <c r="H91" s="706">
        <f>G91</f>
        <v>9</v>
      </c>
      <c r="I91" s="653"/>
      <c r="J91" s="708"/>
      <c r="K91" s="734"/>
      <c r="L91" s="735"/>
      <c r="N91" s="778"/>
      <c r="O91" s="382"/>
    </row>
    <row r="92" spans="1:16" s="379" customFormat="1">
      <c r="A92" s="606" t="s">
        <v>204</v>
      </c>
      <c r="B92" s="1205"/>
      <c r="C92" s="1205"/>
      <c r="D92" s="472"/>
      <c r="E92" s="472"/>
      <c r="F92" s="472"/>
      <c r="G92" s="488"/>
      <c r="H92" s="472"/>
      <c r="I92" s="472"/>
      <c r="J92" s="551"/>
      <c r="K92" s="380"/>
      <c r="L92" s="378"/>
      <c r="N92" s="719"/>
      <c r="O92" s="726"/>
      <c r="P92" s="382"/>
    </row>
    <row r="93" spans="1:16" ht="27.75">
      <c r="A93" s="1537" t="s">
        <v>205</v>
      </c>
      <c r="B93" s="1538"/>
      <c r="C93" s="1539"/>
      <c r="D93" s="523" t="s">
        <v>143</v>
      </c>
      <c r="E93" s="484">
        <f>'14'!F93</f>
        <v>246148</v>
      </c>
      <c r="F93" s="478">
        <v>246205</v>
      </c>
      <c r="G93" s="473">
        <f t="shared" ref="G93:G94" si="9">F93-E93</f>
        <v>57</v>
      </c>
      <c r="H93" s="460">
        <f>G93+'14'!H93</f>
        <v>717</v>
      </c>
      <c r="I93" s="480"/>
      <c r="J93" s="552">
        <f>H93/DAY(B2)</f>
        <v>47.8</v>
      </c>
      <c r="K93" s="429"/>
      <c r="L93" s="377"/>
      <c r="N93" s="719"/>
      <c r="O93" s="726"/>
      <c r="P93" s="382"/>
    </row>
    <row r="94" spans="1:16" ht="27.75">
      <c r="A94" s="1537" t="s">
        <v>206</v>
      </c>
      <c r="B94" s="1538"/>
      <c r="C94" s="1539"/>
      <c r="D94" s="523" t="s">
        <v>143</v>
      </c>
      <c r="E94" s="484">
        <f>'14'!F94</f>
        <v>187551</v>
      </c>
      <c r="F94" s="478">
        <v>187623</v>
      </c>
      <c r="G94" s="473">
        <f t="shared" si="9"/>
        <v>72</v>
      </c>
      <c r="H94" s="460">
        <f>G94+'14'!H94</f>
        <v>1502</v>
      </c>
      <c r="I94" s="480"/>
      <c r="J94" s="552">
        <f>H94/DAY(B2)</f>
        <v>100.13333333333334</v>
      </c>
      <c r="K94" s="380"/>
      <c r="L94" s="377"/>
      <c r="N94" s="719"/>
      <c r="O94" s="726"/>
      <c r="P94" s="382"/>
    </row>
    <row r="95" spans="1:16">
      <c r="A95" s="1531" t="s">
        <v>207</v>
      </c>
      <c r="B95" s="1532"/>
      <c r="C95" s="1533"/>
      <c r="D95" s="523"/>
      <c r="E95" s="484"/>
      <c r="F95" s="478"/>
      <c r="G95" s="473">
        <f>G93+G94</f>
        <v>129</v>
      </c>
      <c r="H95" s="460">
        <f>G95+'14'!H95</f>
        <v>2143</v>
      </c>
      <c r="I95" s="480"/>
      <c r="J95" s="552">
        <f>H95/DAY(B2)</f>
        <v>142.86666666666667</v>
      </c>
      <c r="K95" s="380"/>
      <c r="L95" s="377"/>
      <c r="N95" s="719"/>
      <c r="O95" s="726"/>
      <c r="P95" s="382"/>
    </row>
    <row r="96" spans="1:16" ht="27.75">
      <c r="A96" s="1537" t="s">
        <v>208</v>
      </c>
      <c r="B96" s="1538"/>
      <c r="C96" s="1539"/>
      <c r="D96" s="523" t="s">
        <v>143</v>
      </c>
      <c r="E96" s="484">
        <f>'14'!F96</f>
        <v>414978</v>
      </c>
      <c r="F96" s="478">
        <v>415043</v>
      </c>
      <c r="G96" s="473">
        <f t="shared" ref="G96:G101" si="10">F96-E96</f>
        <v>65</v>
      </c>
      <c r="H96" s="460">
        <f>G96+'14'!H96</f>
        <v>760</v>
      </c>
      <c r="I96" s="480"/>
      <c r="J96" s="552">
        <f>H96/DAY(B2)</f>
        <v>50.666666666666664</v>
      </c>
      <c r="K96" s="380"/>
      <c r="L96" s="377"/>
      <c r="N96" s="719"/>
      <c r="O96" s="726"/>
      <c r="P96" s="382"/>
    </row>
    <row r="97" spans="1:16" ht="27.75">
      <c r="A97" s="1199" t="s">
        <v>209</v>
      </c>
      <c r="B97" s="1200"/>
      <c r="C97" s="1200"/>
      <c r="D97" s="523" t="s">
        <v>143</v>
      </c>
      <c r="E97" s="484">
        <f>'14'!F97</f>
        <v>102843</v>
      </c>
      <c r="F97" s="478">
        <v>102853</v>
      </c>
      <c r="G97" s="473">
        <f t="shared" si="10"/>
        <v>10</v>
      </c>
      <c r="H97" s="460">
        <f>G97+'14'!H97</f>
        <v>205</v>
      </c>
      <c r="I97" s="480"/>
      <c r="J97" s="552">
        <f>H97/DAY(B2)</f>
        <v>13.666666666666666</v>
      </c>
      <c r="K97" s="427"/>
      <c r="L97" s="377"/>
      <c r="N97" s="719"/>
      <c r="O97" s="726"/>
      <c r="P97" s="382"/>
    </row>
    <row r="98" spans="1:16" ht="27.75">
      <c r="A98" s="1199" t="s">
        <v>210</v>
      </c>
      <c r="B98" s="1200"/>
      <c r="C98" s="1200"/>
      <c r="D98" s="523" t="s">
        <v>143</v>
      </c>
      <c r="E98" s="484">
        <f>'14'!F98</f>
        <v>98256</v>
      </c>
      <c r="F98" s="478">
        <v>98273</v>
      </c>
      <c r="G98" s="473">
        <f t="shared" si="10"/>
        <v>17</v>
      </c>
      <c r="H98" s="460">
        <f>G98+'14'!H98</f>
        <v>323</v>
      </c>
      <c r="I98" s="480"/>
      <c r="J98" s="552">
        <f>H98/DAY(B2)</f>
        <v>21.533333333333335</v>
      </c>
      <c r="K98" s="432"/>
      <c r="L98" s="377"/>
      <c r="N98" s="719"/>
      <c r="O98" s="726"/>
      <c r="P98" s="382"/>
    </row>
    <row r="99" spans="1:16" ht="27.75">
      <c r="A99" s="1199" t="s">
        <v>211</v>
      </c>
      <c r="B99" s="1200"/>
      <c r="C99" s="1200"/>
      <c r="D99" s="523" t="s">
        <v>143</v>
      </c>
      <c r="E99" s="484">
        <f>'14'!F99</f>
        <v>149973</v>
      </c>
      <c r="F99" s="478">
        <v>149980</v>
      </c>
      <c r="G99" s="473">
        <f t="shared" si="10"/>
        <v>7</v>
      </c>
      <c r="H99" s="460">
        <f>G99+'14'!H99</f>
        <v>128</v>
      </c>
      <c r="I99" s="480"/>
      <c r="J99" s="552">
        <f>H99/DAY(B2)</f>
        <v>8.5333333333333332</v>
      </c>
      <c r="K99" s="380"/>
      <c r="L99" s="377"/>
      <c r="N99" s="721"/>
      <c r="O99" s="726"/>
      <c r="P99" s="382"/>
    </row>
    <row r="100" spans="1:16" ht="27.75">
      <c r="A100" s="1199" t="s">
        <v>212</v>
      </c>
      <c r="B100" s="1200"/>
      <c r="C100" s="1200"/>
      <c r="D100" s="523" t="s">
        <v>143</v>
      </c>
      <c r="E100" s="484">
        <f>'14'!F100</f>
        <v>7534</v>
      </c>
      <c r="F100" s="478">
        <v>7537</v>
      </c>
      <c r="G100" s="473">
        <f t="shared" si="10"/>
        <v>3</v>
      </c>
      <c r="H100" s="460">
        <f>G100+'14'!H100</f>
        <v>168</v>
      </c>
      <c r="I100" s="480"/>
      <c r="J100" s="552">
        <f>H100/DAY(B2)</f>
        <v>11.2</v>
      </c>
      <c r="K100" s="380"/>
      <c r="L100" s="377"/>
      <c r="N100" s="719"/>
      <c r="O100" s="726"/>
      <c r="P100" s="382"/>
    </row>
    <row r="101" spans="1:16" ht="27.75">
      <c r="A101" s="1199" t="s">
        <v>213</v>
      </c>
      <c r="B101" s="1200"/>
      <c r="C101" s="1200"/>
      <c r="D101" s="523" t="s">
        <v>143</v>
      </c>
      <c r="E101" s="484">
        <f>'14'!F101</f>
        <v>5508</v>
      </c>
      <c r="F101" s="478">
        <v>5516</v>
      </c>
      <c r="G101" s="473">
        <f t="shared" si="10"/>
        <v>8</v>
      </c>
      <c r="H101" s="460">
        <f>G101+'14'!H101</f>
        <v>125</v>
      </c>
      <c r="I101" s="480"/>
      <c r="J101" s="552">
        <f>H101/DAY(B2)</f>
        <v>8.3333333333333339</v>
      </c>
      <c r="K101" s="380"/>
      <c r="L101" s="377"/>
      <c r="N101" s="719"/>
      <c r="O101" s="726"/>
      <c r="P101" s="382"/>
    </row>
    <row r="102" spans="1:16">
      <c r="A102" s="1531" t="s">
        <v>215</v>
      </c>
      <c r="B102" s="1532"/>
      <c r="C102" s="1533"/>
      <c r="D102" s="524"/>
      <c r="E102" s="484"/>
      <c r="F102" s="524"/>
      <c r="G102" s="525">
        <f>SUM(G96:G101)</f>
        <v>110</v>
      </c>
      <c r="H102" s="460">
        <f>G102+'14'!H102</f>
        <v>1709</v>
      </c>
      <c r="I102" s="526"/>
      <c r="J102" s="552">
        <f>H102/DAY(B2)</f>
        <v>113.93333333333334</v>
      </c>
      <c r="K102" s="380"/>
      <c r="L102" s="377"/>
      <c r="N102" s="719"/>
      <c r="O102" s="726"/>
      <c r="P102" s="382"/>
    </row>
    <row r="103" spans="1:16" s="442" customFormat="1" ht="27">
      <c r="A103" s="607" t="s">
        <v>216</v>
      </c>
      <c r="B103" s="608"/>
      <c r="C103" s="608"/>
      <c r="D103" s="621"/>
      <c r="E103" s="484"/>
      <c r="F103" s="658"/>
      <c r="G103" s="529"/>
      <c r="H103" s="530"/>
      <c r="I103" s="531"/>
      <c r="J103" s="557">
        <v>3</v>
      </c>
      <c r="N103" s="719"/>
      <c r="O103" s="726"/>
      <c r="P103" s="382"/>
    </row>
    <row r="104" spans="1:16" s="442" customFormat="1" ht="27.75">
      <c r="A104" s="1540" t="s">
        <v>217</v>
      </c>
      <c r="B104" s="1541"/>
      <c r="C104" s="573"/>
      <c r="D104" s="622"/>
      <c r="E104" s="484"/>
      <c r="F104" s="659"/>
      <c r="G104" s="532"/>
      <c r="H104" s="533"/>
      <c r="I104" s="532"/>
      <c r="J104" s="558"/>
      <c r="N104" s="719"/>
      <c r="O104" s="726"/>
      <c r="P104" s="382"/>
    </row>
    <row r="105" spans="1:16" s="442" customFormat="1" ht="27.75">
      <c r="A105" s="1542" t="s">
        <v>218</v>
      </c>
      <c r="B105" s="1543"/>
      <c r="C105" s="1198"/>
      <c r="D105" s="622" t="s">
        <v>143</v>
      </c>
      <c r="E105" s="484">
        <f>'14'!F105</f>
        <v>7473</v>
      </c>
      <c r="F105" s="659">
        <v>7473</v>
      </c>
      <c r="G105" s="532">
        <f>F105-E105</f>
        <v>0</v>
      </c>
      <c r="H105" s="533">
        <f>SUM(G105+'1'!G76)</f>
        <v>57</v>
      </c>
      <c r="I105" s="532"/>
      <c r="J105" s="558">
        <f>H105/DAY(B2)</f>
        <v>3.8</v>
      </c>
      <c r="N105" s="719"/>
      <c r="O105" s="726"/>
      <c r="P105" s="382"/>
    </row>
    <row r="106" spans="1:16" s="442" customFormat="1" ht="27.75">
      <c r="A106" s="1542" t="s">
        <v>76</v>
      </c>
      <c r="B106" s="1543"/>
      <c r="C106" s="1198"/>
      <c r="D106" s="622" t="s">
        <v>143</v>
      </c>
      <c r="E106" s="484">
        <f>'14'!F106</f>
        <v>36033</v>
      </c>
      <c r="F106" s="660">
        <v>36033</v>
      </c>
      <c r="G106" s="532">
        <f t="shared" ref="G106:G107" si="11">F106-E106</f>
        <v>0</v>
      </c>
      <c r="H106" s="533">
        <f>SUM(G106+'1'!G77)</f>
        <v>49</v>
      </c>
      <c r="I106" s="532"/>
      <c r="J106" s="558">
        <f>H106/DAY(B2)</f>
        <v>3.2666666666666666</v>
      </c>
      <c r="N106" s="719"/>
      <c r="O106" s="726"/>
      <c r="P106" s="382"/>
    </row>
    <row r="107" spans="1:16" s="442" customFormat="1" ht="27.75">
      <c r="A107" s="1542" t="s">
        <v>77</v>
      </c>
      <c r="B107" s="1544"/>
      <c r="C107" s="1543"/>
      <c r="D107" s="622" t="s">
        <v>143</v>
      </c>
      <c r="E107" s="484">
        <f>'14'!F107</f>
        <v>19756</v>
      </c>
      <c r="F107" s="660">
        <v>19761</v>
      </c>
      <c r="G107" s="532">
        <f t="shared" si="11"/>
        <v>5</v>
      </c>
      <c r="H107" s="533">
        <f>SUM(G107+'1'!G78)</f>
        <v>60</v>
      </c>
      <c r="I107" s="532"/>
      <c r="J107" s="558">
        <f>H107/DAY(B2)</f>
        <v>4</v>
      </c>
      <c r="N107" s="719"/>
      <c r="O107" s="726"/>
      <c r="P107" s="382"/>
    </row>
    <row r="108" spans="1:16" s="442" customFormat="1" ht="27.75">
      <c r="A108" s="1545" t="s">
        <v>201</v>
      </c>
      <c r="B108" s="1546"/>
      <c r="C108" s="1198"/>
      <c r="D108" s="622"/>
      <c r="E108" s="484">
        <f>'14'!F108</f>
        <v>0</v>
      </c>
      <c r="F108" s="660"/>
      <c r="G108" s="532">
        <f>SUM(G105:G107)</f>
        <v>5</v>
      </c>
      <c r="H108" s="533">
        <f>SUM(G108+'1'!G79)</f>
        <v>160</v>
      </c>
      <c r="I108" s="532"/>
      <c r="J108" s="558">
        <f>H108/DAY(B2)</f>
        <v>10.666666666666666</v>
      </c>
      <c r="N108" s="719"/>
      <c r="O108" s="726"/>
      <c r="P108" s="382"/>
    </row>
    <row r="109" spans="1:16" s="442" customFormat="1" ht="27.75">
      <c r="A109" s="1547" t="s">
        <v>78</v>
      </c>
      <c r="B109" s="1548"/>
      <c r="C109" s="1198"/>
      <c r="D109" s="622" t="s">
        <v>143</v>
      </c>
      <c r="E109" s="484">
        <f>'14'!F109</f>
        <v>0</v>
      </c>
      <c r="F109" s="660"/>
      <c r="G109" s="532"/>
      <c r="H109" s="533"/>
      <c r="I109" s="532"/>
      <c r="J109" s="558"/>
      <c r="N109" s="719"/>
      <c r="O109" s="726"/>
      <c r="P109" s="382"/>
    </row>
    <row r="110" spans="1:16" s="442" customFormat="1" ht="27.75">
      <c r="A110" s="1542" t="s">
        <v>219</v>
      </c>
      <c r="B110" s="1543"/>
      <c r="C110" s="1198"/>
      <c r="D110" s="622" t="s">
        <v>143</v>
      </c>
      <c r="E110" s="484">
        <f>'14'!F110</f>
        <v>63685</v>
      </c>
      <c r="F110" s="660">
        <v>63730</v>
      </c>
      <c r="G110" s="532">
        <f>F110-E110</f>
        <v>45</v>
      </c>
      <c r="H110" s="533">
        <f>SUM(G110+'1'!G81)</f>
        <v>139</v>
      </c>
      <c r="I110" s="532"/>
      <c r="J110" s="558">
        <f>H110/DAY(B2)</f>
        <v>9.2666666666666675</v>
      </c>
      <c r="N110" s="719"/>
      <c r="O110" s="726"/>
      <c r="P110" s="382"/>
    </row>
    <row r="111" spans="1:16" s="442" customFormat="1" ht="27.75">
      <c r="A111" s="1542" t="s">
        <v>220</v>
      </c>
      <c r="B111" s="1543"/>
      <c r="C111" s="1198"/>
      <c r="D111" s="622" t="s">
        <v>143</v>
      </c>
      <c r="E111" s="484">
        <f>'14'!F111</f>
        <v>32697</v>
      </c>
      <c r="F111" s="660">
        <v>32710</v>
      </c>
      <c r="G111" s="532">
        <f t="shared" ref="G111:G112" si="12">F111-E111</f>
        <v>13</v>
      </c>
      <c r="H111" s="533">
        <f>SUM(G111+'1'!G82)</f>
        <v>24</v>
      </c>
      <c r="I111" s="532"/>
      <c r="J111" s="558">
        <f>H111/DAY(B2)</f>
        <v>1.6</v>
      </c>
      <c r="N111" s="719"/>
      <c r="O111" s="726"/>
      <c r="P111" s="382"/>
    </row>
    <row r="112" spans="1:16" s="442" customFormat="1" ht="27.75">
      <c r="A112" s="1542" t="s">
        <v>221</v>
      </c>
      <c r="B112" s="1543"/>
      <c r="C112" s="1198"/>
      <c r="D112" s="622" t="s">
        <v>143</v>
      </c>
      <c r="E112" s="484">
        <f>'14'!F112</f>
        <v>4621</v>
      </c>
      <c r="F112" s="660">
        <v>4621</v>
      </c>
      <c r="G112" s="532">
        <f t="shared" si="12"/>
        <v>0</v>
      </c>
      <c r="H112" s="533">
        <f>SUM(G112+'1'!G83)</f>
        <v>152</v>
      </c>
      <c r="I112" s="532"/>
      <c r="J112" s="558">
        <f>H112/DAY(B2)</f>
        <v>10.133333333333333</v>
      </c>
      <c r="N112" s="719"/>
      <c r="O112" s="726"/>
      <c r="P112" s="382"/>
    </row>
    <row r="113" spans="1:16" s="442" customFormat="1" ht="27.75">
      <c r="A113" s="1545" t="s">
        <v>109</v>
      </c>
      <c r="B113" s="1546"/>
      <c r="C113" s="1198"/>
      <c r="D113" s="622"/>
      <c r="E113" s="484">
        <f>'14'!F113</f>
        <v>0</v>
      </c>
      <c r="F113" s="660"/>
      <c r="G113" s="532">
        <f>SUM(G110:G112)</f>
        <v>58</v>
      </c>
      <c r="H113" s="533">
        <f>SUM(G113+'1'!G84)</f>
        <v>885</v>
      </c>
      <c r="I113" s="532"/>
      <c r="J113" s="558">
        <f>H113/DAY(B2)</f>
        <v>59</v>
      </c>
      <c r="N113" s="719"/>
      <c r="O113" s="726"/>
      <c r="P113" s="382"/>
    </row>
    <row r="114" spans="1:16" s="442" customFormat="1" ht="27.75">
      <c r="A114" s="1547" t="s">
        <v>222</v>
      </c>
      <c r="B114" s="1548"/>
      <c r="C114" s="1198"/>
      <c r="D114" s="622"/>
      <c r="E114" s="484">
        <f>'14'!F114</f>
        <v>0</v>
      </c>
      <c r="F114" s="660"/>
      <c r="G114" s="532"/>
      <c r="H114" s="533"/>
      <c r="I114" s="532"/>
      <c r="J114" s="558">
        <f>H114/DAY(B2)</f>
        <v>0</v>
      </c>
      <c r="N114" s="719"/>
      <c r="O114" s="726"/>
      <c r="P114" s="382"/>
    </row>
    <row r="115" spans="1:16" s="442" customFormat="1" ht="27.75">
      <c r="A115" s="1542" t="s">
        <v>223</v>
      </c>
      <c r="B115" s="1543"/>
      <c r="C115" s="574"/>
      <c r="D115" s="622" t="s">
        <v>143</v>
      </c>
      <c r="E115" s="484">
        <f>'14'!F115</f>
        <v>11703</v>
      </c>
      <c r="F115" s="660">
        <v>11707</v>
      </c>
      <c r="G115" s="534">
        <f>F115-E115</f>
        <v>4</v>
      </c>
      <c r="H115" s="533">
        <f>SUM(G115+'1'!G92)</f>
        <v>4</v>
      </c>
      <c r="I115" s="532"/>
      <c r="J115" s="558">
        <f>H115/DAY(B2)</f>
        <v>0.26666666666666666</v>
      </c>
      <c r="N115" s="719"/>
      <c r="O115" s="726"/>
      <c r="P115" s="382"/>
    </row>
    <row r="116" spans="1:16" s="442" customFormat="1" ht="27.75">
      <c r="A116" s="1542" t="s">
        <v>224</v>
      </c>
      <c r="B116" s="1543"/>
      <c r="C116" s="574"/>
      <c r="D116" s="622" t="s">
        <v>143</v>
      </c>
      <c r="E116" s="484">
        <f>'14'!F116</f>
        <v>8418</v>
      </c>
      <c r="F116" s="660">
        <v>8425</v>
      </c>
      <c r="G116" s="534">
        <f t="shared" ref="G116:G117" si="13">F116-E116</f>
        <v>7</v>
      </c>
      <c r="H116" s="533">
        <f>SUM(G116+'1'!G93)</f>
        <v>25</v>
      </c>
      <c r="I116" s="532"/>
      <c r="J116" s="558">
        <f>H116/DAY(B2)</f>
        <v>1.6666666666666667</v>
      </c>
      <c r="N116" s="719"/>
      <c r="O116" s="726"/>
      <c r="P116" s="382"/>
    </row>
    <row r="117" spans="1:16" s="442" customFormat="1" ht="27.75">
      <c r="A117" s="1542" t="s">
        <v>225</v>
      </c>
      <c r="B117" s="1543"/>
      <c r="C117" s="574"/>
      <c r="D117" s="622" t="s">
        <v>143</v>
      </c>
      <c r="E117" s="534">
        <f>'14'!F117</f>
        <v>0</v>
      </c>
      <c r="F117" s="660">
        <v>0</v>
      </c>
      <c r="G117" s="534">
        <f t="shared" si="13"/>
        <v>0</v>
      </c>
      <c r="H117" s="533">
        <f>SUM(G117+'1'!G94)</f>
        <v>58</v>
      </c>
      <c r="I117" s="532"/>
      <c r="J117" s="558">
        <f>H117/DAY(B2)</f>
        <v>3.8666666666666667</v>
      </c>
      <c r="N117" s="719"/>
      <c r="O117" s="726"/>
      <c r="P117" s="382"/>
    </row>
    <row r="118" spans="1:16" s="445" customFormat="1" ht="27.75">
      <c r="A118" s="1545" t="s">
        <v>201</v>
      </c>
      <c r="B118" s="1546"/>
      <c r="C118" s="574"/>
      <c r="D118" s="623"/>
      <c r="E118" s="534"/>
      <c r="F118" s="660"/>
      <c r="G118" s="534">
        <f>SUM(G115:G117)</f>
        <v>11</v>
      </c>
      <c r="H118" s="533">
        <f>SUM(G118+'1'!G96)</f>
        <v>51</v>
      </c>
      <c r="I118" s="534"/>
      <c r="J118" s="558">
        <f>H118/DAY(B2)</f>
        <v>3.4</v>
      </c>
      <c r="N118" s="719"/>
      <c r="O118" s="726"/>
      <c r="P118" s="382"/>
    </row>
    <row r="119" spans="1:16" s="446" customFormat="1" ht="27.75">
      <c r="A119" s="1576" t="s">
        <v>226</v>
      </c>
      <c r="B119" s="1577"/>
      <c r="C119" s="1196"/>
      <c r="D119" s="624" t="s">
        <v>143</v>
      </c>
      <c r="E119" s="536"/>
      <c r="F119" s="661">
        <f>SUM(G19+G93)</f>
        <v>119</v>
      </c>
      <c r="G119" s="536">
        <f>SUM(G19+G93)</f>
        <v>119</v>
      </c>
      <c r="H119" s="533">
        <f>SUM(G119+'1'!G97)</f>
        <v>132</v>
      </c>
      <c r="I119" s="535"/>
      <c r="J119" s="559">
        <f>H119/DAY(B2)</f>
        <v>8.8000000000000007</v>
      </c>
      <c r="N119" s="719"/>
      <c r="O119" s="726"/>
      <c r="P119" s="382"/>
    </row>
    <row r="120" spans="1:16" s="446" customFormat="1" ht="27.75">
      <c r="A120" s="1576" t="s">
        <v>227</v>
      </c>
      <c r="B120" s="1577"/>
      <c r="C120" s="1196"/>
      <c r="D120" s="624" t="s">
        <v>143</v>
      </c>
      <c r="E120" s="536"/>
      <c r="F120" s="661">
        <f>SUM(G96,G97,G98,G100,G101)</f>
        <v>103</v>
      </c>
      <c r="G120" s="536">
        <f>SUM(G96,G97,G98,G100,G101)</f>
        <v>103</v>
      </c>
      <c r="H120" s="533">
        <f>SUM(G120+'1'!G99)</f>
        <v>110</v>
      </c>
      <c r="I120" s="535"/>
      <c r="J120" s="559">
        <f>H120/DAY(B2)</f>
        <v>7.333333333333333</v>
      </c>
      <c r="N120" s="719"/>
      <c r="O120" s="726"/>
      <c r="P120" s="382"/>
    </row>
    <row r="121" spans="1:16" s="446" customFormat="1" ht="27.75">
      <c r="A121" s="1576" t="s">
        <v>228</v>
      </c>
      <c r="B121" s="1577"/>
      <c r="C121" s="1196"/>
      <c r="D121" s="624" t="s">
        <v>143</v>
      </c>
      <c r="E121" s="534"/>
      <c r="F121" s="660">
        <f>SUM(G113)</f>
        <v>58</v>
      </c>
      <c r="G121" s="534">
        <f>SUM(G113)</f>
        <v>58</v>
      </c>
      <c r="H121" s="533">
        <f>SUM(G121+'1'!G101)</f>
        <v>62</v>
      </c>
      <c r="I121" s="535"/>
      <c r="J121" s="559">
        <f>H121/DAY(B2)</f>
        <v>4.1333333333333337</v>
      </c>
      <c r="N121" s="719"/>
      <c r="O121" s="726"/>
      <c r="P121" s="382"/>
    </row>
    <row r="122" spans="1:16" s="442" customFormat="1" ht="27.75">
      <c r="A122" s="1578"/>
      <c r="B122" s="1579"/>
      <c r="C122" s="1197"/>
      <c r="D122" s="560"/>
      <c r="E122" s="560"/>
      <c r="F122" s="662" t="s">
        <v>214</v>
      </c>
      <c r="G122" s="560"/>
      <c r="H122" s="561"/>
      <c r="I122" s="560"/>
      <c r="J122" s="562"/>
      <c r="N122" s="719"/>
      <c r="O122" s="726"/>
      <c r="P122" s="382"/>
    </row>
    <row r="123" spans="1:16">
      <c r="A123" s="1528" t="s">
        <v>229</v>
      </c>
      <c r="B123" s="1529"/>
      <c r="C123" s="1530"/>
      <c r="D123" s="472"/>
      <c r="E123" s="472"/>
      <c r="F123" s="472"/>
      <c r="G123" s="483"/>
      <c r="H123" s="483"/>
      <c r="I123" s="483"/>
      <c r="J123" s="563"/>
      <c r="K123" s="380"/>
      <c r="L123" s="377"/>
      <c r="N123" s="719"/>
      <c r="O123" s="726"/>
      <c r="P123" s="382"/>
    </row>
    <row r="124" spans="1:16" ht="27.75">
      <c r="A124" s="1199" t="s">
        <v>230</v>
      </c>
      <c r="B124" s="1200"/>
      <c r="C124" s="1200"/>
      <c r="D124" s="523" t="s">
        <v>140</v>
      </c>
      <c r="E124" s="478">
        <f>'14'!F124</f>
        <v>835191</v>
      </c>
      <c r="F124" s="478">
        <v>835450</v>
      </c>
      <c r="G124" s="473">
        <f>F124-E124</f>
        <v>259</v>
      </c>
      <c r="H124" s="460">
        <f>G124+'14'!H124</f>
        <v>3084</v>
      </c>
      <c r="I124" s="526"/>
      <c r="J124" s="552">
        <f>H124/DAY(B2)</f>
        <v>205.6</v>
      </c>
      <c r="K124" s="380"/>
      <c r="L124" s="377"/>
      <c r="N124" s="719"/>
      <c r="O124" s="726"/>
      <c r="P124" s="382"/>
    </row>
    <row r="125" spans="1:16" ht="27.75">
      <c r="A125" s="1199" t="s">
        <v>231</v>
      </c>
      <c r="B125" s="1200"/>
      <c r="C125" s="1200"/>
      <c r="D125" s="523" t="s">
        <v>140</v>
      </c>
      <c r="E125" s="626">
        <f>'14'!F125</f>
        <v>73583</v>
      </c>
      <c r="F125" s="626">
        <v>73583.399999999994</v>
      </c>
      <c r="G125" s="473">
        <f t="shared" ref="G125:G128" si="14">F125-E125</f>
        <v>0.39999999999417923</v>
      </c>
      <c r="H125" s="460">
        <f>G125+'14'!H125</f>
        <v>0</v>
      </c>
      <c r="I125" s="526"/>
      <c r="J125" s="552">
        <f>H125/DAY(B2)</f>
        <v>0</v>
      </c>
      <c r="K125" s="380"/>
      <c r="L125" s="377"/>
      <c r="N125" s="719"/>
      <c r="O125" s="726"/>
      <c r="P125" s="382"/>
    </row>
    <row r="126" spans="1:16" ht="27.75">
      <c r="A126" s="1534" t="s">
        <v>232</v>
      </c>
      <c r="B126" s="1535"/>
      <c r="C126" s="1536"/>
      <c r="D126" s="523" t="s">
        <v>140</v>
      </c>
      <c r="E126" s="478">
        <f>'14'!F126</f>
        <v>147379</v>
      </c>
      <c r="F126" s="478">
        <v>147443</v>
      </c>
      <c r="G126" s="473">
        <f t="shared" si="14"/>
        <v>64</v>
      </c>
      <c r="H126" s="460">
        <f>G126+'14'!H126</f>
        <v>952</v>
      </c>
      <c r="I126" s="526"/>
      <c r="J126" s="552">
        <f>H126/DAY(B2)</f>
        <v>63.466666666666669</v>
      </c>
      <c r="K126" s="380"/>
      <c r="L126" s="377"/>
      <c r="N126" s="719"/>
      <c r="O126" s="726"/>
      <c r="P126" s="382"/>
    </row>
    <row r="127" spans="1:16" ht="27.75">
      <c r="A127" s="609" t="s">
        <v>233</v>
      </c>
      <c r="B127" s="1200"/>
      <c r="C127" s="1200"/>
      <c r="D127" s="523" t="s">
        <v>140</v>
      </c>
      <c r="E127" s="626">
        <f>'14'!F127</f>
        <v>31503</v>
      </c>
      <c r="F127" s="626">
        <v>31526</v>
      </c>
      <c r="G127" s="473">
        <f t="shared" si="14"/>
        <v>23</v>
      </c>
      <c r="H127" s="460">
        <f>G127+'14'!H127</f>
        <v>120</v>
      </c>
      <c r="I127" s="526"/>
      <c r="J127" s="552">
        <f>H127/DAY(B2)</f>
        <v>8</v>
      </c>
      <c r="K127" s="380"/>
      <c r="L127" s="377"/>
      <c r="N127" s="719"/>
      <c r="O127" s="726"/>
      <c r="P127" s="382"/>
    </row>
    <row r="128" spans="1:16" ht="27.75">
      <c r="A128" s="609" t="s">
        <v>234</v>
      </c>
      <c r="B128" s="1200"/>
      <c r="C128" s="1200"/>
      <c r="D128" s="523" t="s">
        <v>140</v>
      </c>
      <c r="E128" s="626">
        <f>'14'!F128</f>
        <v>8975</v>
      </c>
      <c r="F128" s="626">
        <v>8976</v>
      </c>
      <c r="G128" s="473">
        <f t="shared" si="14"/>
        <v>1</v>
      </c>
      <c r="H128" s="460">
        <f>G128+'14'!H128</f>
        <v>4</v>
      </c>
      <c r="I128" s="480"/>
      <c r="J128" s="552">
        <f>H128/DAY(B2)</f>
        <v>0.26666666666666666</v>
      </c>
      <c r="K128" s="380"/>
      <c r="L128" s="377"/>
      <c r="N128" s="719"/>
      <c r="O128" s="726"/>
      <c r="P128" s="382"/>
    </row>
    <row r="129" spans="1:16" s="281" customFormat="1" ht="27.75">
      <c r="A129" s="609" t="s">
        <v>235</v>
      </c>
      <c r="B129" s="1200"/>
      <c r="C129" s="1200"/>
      <c r="D129" s="523"/>
      <c r="E129" s="478"/>
      <c r="F129" s="478"/>
      <c r="G129" s="473">
        <f>G15-SUM(G124:G128)</f>
        <v>205.60000000000582</v>
      </c>
      <c r="H129" s="460"/>
      <c r="I129" s="480"/>
      <c r="J129" s="552"/>
      <c r="K129" s="364"/>
      <c r="L129" s="292"/>
      <c r="N129" s="719"/>
      <c r="O129" s="726"/>
      <c r="P129" s="382"/>
    </row>
    <row r="130" spans="1:16">
      <c r="A130" s="610" t="s">
        <v>236</v>
      </c>
      <c r="B130" s="458"/>
      <c r="C130" s="458"/>
      <c r="D130" s="471"/>
      <c r="E130" s="471"/>
      <c r="F130" s="471"/>
      <c r="G130" s="540"/>
      <c r="H130" s="540"/>
      <c r="I130" s="540"/>
      <c r="J130" s="564"/>
      <c r="N130" s="719"/>
      <c r="O130" s="726"/>
      <c r="P130" s="382"/>
    </row>
    <row r="131" spans="1:16" ht="27.75">
      <c r="A131" s="1199" t="s">
        <v>237</v>
      </c>
      <c r="B131" s="1200"/>
      <c r="C131" s="1200"/>
      <c r="D131" s="523" t="s">
        <v>238</v>
      </c>
      <c r="E131" s="484">
        <f>'14'!F131</f>
        <v>0</v>
      </c>
      <c r="F131" s="478">
        <v>0</v>
      </c>
      <c r="G131" s="473">
        <f t="shared" ref="G131:G141" si="15">F131-E131</f>
        <v>0</v>
      </c>
      <c r="H131" s="460">
        <f>G131+'14'!H131</f>
        <v>0</v>
      </c>
      <c r="I131" s="480"/>
      <c r="J131" s="552">
        <f>H131/DAY(B2)</f>
        <v>0</v>
      </c>
      <c r="N131" s="719"/>
      <c r="O131" s="726"/>
      <c r="P131" s="382"/>
    </row>
    <row r="132" spans="1:16" ht="27.75">
      <c r="A132" s="1199" t="s">
        <v>239</v>
      </c>
      <c r="B132" s="1200"/>
      <c r="C132" s="1200"/>
      <c r="D132" s="523" t="s">
        <v>238</v>
      </c>
      <c r="E132" s="484">
        <f>'14'!F132</f>
        <v>0</v>
      </c>
      <c r="F132" s="478">
        <v>0</v>
      </c>
      <c r="G132" s="473">
        <f t="shared" si="15"/>
        <v>0</v>
      </c>
      <c r="H132" s="460">
        <f>G132+'14'!H132</f>
        <v>0</v>
      </c>
      <c r="I132" s="480"/>
      <c r="J132" s="552">
        <f>H132/DAY(B2)</f>
        <v>0</v>
      </c>
      <c r="N132" s="719"/>
      <c r="O132" s="726"/>
      <c r="P132" s="382"/>
    </row>
    <row r="133" spans="1:16" ht="27.75">
      <c r="A133" s="1199" t="s">
        <v>240</v>
      </c>
      <c r="B133" s="1200"/>
      <c r="C133" s="1200"/>
      <c r="D133" s="523" t="s">
        <v>238</v>
      </c>
      <c r="E133" s="484">
        <f>'14'!F133</f>
        <v>40218</v>
      </c>
      <c r="F133" s="652">
        <v>40242</v>
      </c>
      <c r="G133" s="473">
        <f t="shared" si="15"/>
        <v>24</v>
      </c>
      <c r="H133" s="460">
        <f>G133+'14'!H133</f>
        <v>206.90000000000146</v>
      </c>
      <c r="I133" s="480"/>
      <c r="J133" s="552">
        <f>H133/DAY(B2)</f>
        <v>13.793333333333431</v>
      </c>
      <c r="N133" s="719"/>
      <c r="O133" s="726"/>
      <c r="P133" s="382"/>
    </row>
    <row r="134" spans="1:16" ht="27.75">
      <c r="A134" s="1199" t="s">
        <v>241</v>
      </c>
      <c r="B134" s="1200"/>
      <c r="C134" s="1200"/>
      <c r="D134" s="523" t="s">
        <v>238</v>
      </c>
      <c r="E134" s="484">
        <f>'14'!F134</f>
        <v>300</v>
      </c>
      <c r="F134" s="626">
        <v>300</v>
      </c>
      <c r="G134" s="473">
        <f t="shared" si="15"/>
        <v>0</v>
      </c>
      <c r="H134" s="460">
        <f>G134+'14'!H134</f>
        <v>0</v>
      </c>
      <c r="I134" s="480">
        <f>G131+G132+G133+G134</f>
        <v>24</v>
      </c>
      <c r="J134" s="552">
        <f>H134/DAY(B2)</f>
        <v>0</v>
      </c>
      <c r="N134" s="719"/>
      <c r="O134" s="726"/>
      <c r="P134" s="382"/>
    </row>
    <row r="135" spans="1:16" ht="27.75">
      <c r="A135" s="1199" t="s">
        <v>242</v>
      </c>
      <c r="B135" s="1200"/>
      <c r="C135" s="1200"/>
      <c r="D135" s="523" t="s">
        <v>238</v>
      </c>
      <c r="E135" s="484">
        <f>'14'!F135</f>
        <v>41743</v>
      </c>
      <c r="F135" s="626">
        <v>41743</v>
      </c>
      <c r="G135" s="473">
        <f t="shared" si="15"/>
        <v>0</v>
      </c>
      <c r="H135" s="460">
        <f>G135+'14'!H135</f>
        <v>13</v>
      </c>
      <c r="I135" s="480"/>
      <c r="J135" s="552">
        <f>H135/DAY(B2)</f>
        <v>0.8666666666666667</v>
      </c>
      <c r="N135" s="719"/>
      <c r="O135" s="726"/>
      <c r="P135" s="382"/>
    </row>
    <row r="136" spans="1:16" ht="27.75">
      <c r="A136" s="1199" t="s">
        <v>243</v>
      </c>
      <c r="B136" s="1200"/>
      <c r="C136" s="1200"/>
      <c r="D136" s="523" t="s">
        <v>238</v>
      </c>
      <c r="E136" s="484">
        <f>'14'!F136</f>
        <v>32874</v>
      </c>
      <c r="F136" s="652">
        <v>32874</v>
      </c>
      <c r="G136" s="473">
        <f t="shared" si="15"/>
        <v>0</v>
      </c>
      <c r="H136" s="460">
        <f>G136+'14'!H136</f>
        <v>159</v>
      </c>
      <c r="I136" s="480"/>
      <c r="J136" s="552">
        <f>H136/DAY(B2)</f>
        <v>10.6</v>
      </c>
      <c r="N136" s="719"/>
      <c r="O136" s="726"/>
      <c r="P136" s="382"/>
    </row>
    <row r="137" spans="1:16" ht="27.75">
      <c r="A137" s="1199" t="s">
        <v>244</v>
      </c>
      <c r="B137" s="1200"/>
      <c r="C137" s="1200"/>
      <c r="D137" s="523" t="s">
        <v>238</v>
      </c>
      <c r="E137" s="484">
        <f>'14'!F137</f>
        <v>22850.49</v>
      </c>
      <c r="F137" s="652">
        <v>22850</v>
      </c>
      <c r="G137" s="473">
        <f t="shared" si="15"/>
        <v>-0.49000000000160071</v>
      </c>
      <c r="H137" s="460">
        <f>G137+'14'!H137</f>
        <v>42.759999999998399</v>
      </c>
      <c r="I137" s="480">
        <f>G135+G136+G137</f>
        <v>-0.49000000000160071</v>
      </c>
      <c r="J137" s="552">
        <f>H137/DAY(B2)</f>
        <v>2.8506666666665601</v>
      </c>
      <c r="N137" s="719"/>
      <c r="O137" s="726"/>
      <c r="P137" s="382"/>
    </row>
    <row r="138" spans="1:16" ht="27.75">
      <c r="A138" s="1199" t="s">
        <v>245</v>
      </c>
      <c r="B138" s="1200"/>
      <c r="C138" s="1200"/>
      <c r="D138" s="523" t="s">
        <v>238</v>
      </c>
      <c r="E138" s="484">
        <f>'14'!F138</f>
        <v>25051.82</v>
      </c>
      <c r="F138" s="652">
        <v>25051.82</v>
      </c>
      <c r="G138" s="473">
        <f t="shared" si="15"/>
        <v>0</v>
      </c>
      <c r="H138" s="460">
        <f>G138+'14'!H138</f>
        <v>0</v>
      </c>
      <c r="I138" s="480"/>
      <c r="J138" s="552">
        <f>H138/DAY(B2)</f>
        <v>0</v>
      </c>
      <c r="N138" s="719"/>
      <c r="O138" s="726"/>
      <c r="P138" s="382"/>
    </row>
    <row r="139" spans="1:16" ht="27.75">
      <c r="A139" s="1199" t="s">
        <v>246</v>
      </c>
      <c r="B139" s="1200"/>
      <c r="C139" s="1200"/>
      <c r="D139" s="523" t="s">
        <v>238</v>
      </c>
      <c r="E139" s="484">
        <f>'14'!F139</f>
        <v>70460.649999999994</v>
      </c>
      <c r="F139" s="652">
        <v>70470.63</v>
      </c>
      <c r="G139" s="473">
        <f t="shared" si="15"/>
        <v>9.9800000000104774</v>
      </c>
      <c r="H139" s="460">
        <f>G139+'14'!H139</f>
        <v>58.889999999999418</v>
      </c>
      <c r="I139" s="480">
        <f>G138+G139</f>
        <v>9.9800000000104774</v>
      </c>
      <c r="J139" s="552">
        <f>H139/DAY(B2)</f>
        <v>3.9259999999999611</v>
      </c>
      <c r="N139" s="719"/>
      <c r="O139" s="726"/>
      <c r="P139" s="382"/>
    </row>
    <row r="140" spans="1:16" ht="27.75">
      <c r="A140" s="1199" t="s">
        <v>247</v>
      </c>
      <c r="B140" s="1200"/>
      <c r="C140" s="1200"/>
      <c r="D140" s="523" t="s">
        <v>238</v>
      </c>
      <c r="E140" s="484">
        <f>'14'!F140</f>
        <v>1962.31</v>
      </c>
      <c r="F140" s="626">
        <v>1972.72</v>
      </c>
      <c r="G140" s="473">
        <f t="shared" si="15"/>
        <v>10.410000000000082</v>
      </c>
      <c r="H140" s="460">
        <f>G140+'14'!H140</f>
        <v>118.42000000000007</v>
      </c>
      <c r="I140" s="542"/>
      <c r="J140" s="552">
        <f>H140/DAY(B2)</f>
        <v>7.8946666666666712</v>
      </c>
      <c r="N140" s="719"/>
      <c r="O140" s="726"/>
      <c r="P140" s="382"/>
    </row>
    <row r="141" spans="1:16" ht="27.75">
      <c r="A141" s="1199" t="s">
        <v>248</v>
      </c>
      <c r="B141" s="1200"/>
      <c r="C141" s="1200"/>
      <c r="D141" s="523" t="s">
        <v>238</v>
      </c>
      <c r="E141" s="484">
        <f>'14'!F141</f>
        <v>4636.88</v>
      </c>
      <c r="F141" s="478">
        <v>4636.88</v>
      </c>
      <c r="G141" s="473">
        <f t="shared" si="15"/>
        <v>0</v>
      </c>
      <c r="H141" s="460">
        <f>G141+'14'!H141</f>
        <v>-0.11999999999989086</v>
      </c>
      <c r="I141" s="542"/>
      <c r="J141" s="552">
        <f>H141/DAY(B2)</f>
        <v>-7.9999999999927247E-3</v>
      </c>
      <c r="N141" s="719"/>
      <c r="O141" s="726"/>
      <c r="P141" s="382"/>
    </row>
    <row r="142" spans="1:16">
      <c r="A142" s="1572" t="s">
        <v>249</v>
      </c>
      <c r="B142" s="1573"/>
      <c r="C142" s="1205"/>
      <c r="D142" s="472"/>
      <c r="E142" s="472"/>
      <c r="F142" s="472"/>
      <c r="G142" s="483"/>
      <c r="H142" s="483"/>
      <c r="I142" s="483"/>
      <c r="J142" s="563"/>
      <c r="K142" s="380"/>
      <c r="L142" s="377"/>
      <c r="N142" s="719"/>
      <c r="O142" s="726"/>
      <c r="P142" s="382"/>
    </row>
    <row r="143" spans="1:16" ht="27.75">
      <c r="A143" s="1537" t="s">
        <v>250</v>
      </c>
      <c r="B143" s="1538"/>
      <c r="C143" s="1539"/>
      <c r="D143" s="523" t="s">
        <v>131</v>
      </c>
      <c r="E143" s="523"/>
      <c r="F143" s="523"/>
      <c r="G143" s="460">
        <f>G35+G43+G49+G57</f>
        <v>4939</v>
      </c>
      <c r="H143" s="460">
        <f>G143+'14'!H143</f>
        <v>73110.33</v>
      </c>
      <c r="I143" s="480"/>
      <c r="J143" s="552">
        <f>H143/DAY(B2)</f>
        <v>4874.0219999999999</v>
      </c>
      <c r="K143" s="380"/>
      <c r="L143" s="377"/>
      <c r="N143" s="719"/>
      <c r="O143" s="726"/>
      <c r="P143" s="382"/>
    </row>
    <row r="144" spans="1:16" ht="27.75">
      <c r="A144" s="1537" t="s">
        <v>251</v>
      </c>
      <c r="B144" s="1538"/>
      <c r="C144" s="1539"/>
      <c r="D144" s="523" t="s">
        <v>24</v>
      </c>
      <c r="E144" s="511"/>
      <c r="F144" s="511"/>
      <c r="G144" s="543">
        <f>G143/G7</f>
        <v>0.27797163439891942</v>
      </c>
      <c r="H144" s="460">
        <f>G144+'14'!H144</f>
        <v>4.131306720001712</v>
      </c>
      <c r="I144" s="544"/>
      <c r="J144" s="552">
        <f>H144/DAY(B2)</f>
        <v>0.27542044800011412</v>
      </c>
      <c r="K144" s="380"/>
      <c r="L144" s="377"/>
      <c r="N144" s="719"/>
      <c r="O144" s="726"/>
      <c r="P144" s="382"/>
    </row>
    <row r="145" spans="1:16" ht="27.75">
      <c r="A145" s="1537" t="s">
        <v>252</v>
      </c>
      <c r="B145" s="1538"/>
      <c r="C145" s="1539"/>
      <c r="D145" s="523" t="s">
        <v>131</v>
      </c>
      <c r="E145" s="455"/>
      <c r="F145" s="455"/>
      <c r="G145" s="460">
        <f>G41+G42+G55+G56</f>
        <v>5200</v>
      </c>
      <c r="H145" s="460">
        <f>G145+'14'!H145</f>
        <v>78129.03</v>
      </c>
      <c r="I145" s="480"/>
      <c r="J145" s="552">
        <f>H145/DAY(B2)</f>
        <v>5208.6019999999999</v>
      </c>
      <c r="K145" s="380"/>
      <c r="L145" s="377"/>
      <c r="N145" s="719"/>
      <c r="O145" s="726"/>
      <c r="P145" s="382"/>
    </row>
    <row r="146" spans="1:16" ht="27.75">
      <c r="A146" s="1537" t="s">
        <v>253</v>
      </c>
      <c r="B146" s="1538"/>
      <c r="C146" s="1539"/>
      <c r="D146" s="523" t="s">
        <v>24</v>
      </c>
      <c r="E146" s="455"/>
      <c r="F146" s="455"/>
      <c r="G146" s="543">
        <f>G145/G7</f>
        <v>0.29266096352994148</v>
      </c>
      <c r="H146" s="460">
        <f>G146+'14'!H146</f>
        <v>4.3919309683295928</v>
      </c>
      <c r="I146" s="544"/>
      <c r="J146" s="552">
        <f>H146/DAY(B2)</f>
        <v>0.29279539788863951</v>
      </c>
      <c r="K146" s="380"/>
      <c r="L146" s="377"/>
      <c r="N146" s="719"/>
      <c r="O146" s="726"/>
      <c r="P146" s="382"/>
    </row>
    <row r="147" spans="1:16" ht="27.75">
      <c r="A147" s="1537" t="s">
        <v>254</v>
      </c>
      <c r="B147" s="1538"/>
      <c r="C147" s="1539"/>
      <c r="D147" s="523" t="s">
        <v>131</v>
      </c>
      <c r="E147" s="455"/>
      <c r="F147" s="455"/>
      <c r="G147" s="460">
        <f>G39+G53</f>
        <v>2893</v>
      </c>
      <c r="H147" s="460">
        <f>G147+'14'!H147</f>
        <v>45100</v>
      </c>
      <c r="I147" s="545"/>
      <c r="J147" s="552">
        <f>H147/DAY(B2)</f>
        <v>3006.6666666666665</v>
      </c>
      <c r="K147" s="380"/>
      <c r="L147" s="377"/>
      <c r="N147" s="719"/>
      <c r="O147" s="726"/>
      <c r="P147" s="382"/>
    </row>
    <row r="148" spans="1:16" ht="27.75">
      <c r="A148" s="1537" t="s">
        <v>255</v>
      </c>
      <c r="B148" s="1538"/>
      <c r="C148" s="1539"/>
      <c r="D148" s="523" t="s">
        <v>24</v>
      </c>
      <c r="E148" s="455"/>
      <c r="F148" s="455"/>
      <c r="G148" s="543">
        <f>G147/G7</f>
        <v>0.16282080144079245</v>
      </c>
      <c r="H148" s="460">
        <f>G148+'14'!H148</f>
        <v>2.5404226110399479</v>
      </c>
      <c r="I148" s="545"/>
      <c r="J148" s="552">
        <f>H148/DAY(B2)</f>
        <v>0.1693615074026632</v>
      </c>
      <c r="N148" s="719"/>
      <c r="O148" s="726"/>
      <c r="P148" s="382"/>
    </row>
    <row r="149" spans="1:16" ht="27.75">
      <c r="A149" s="1537" t="s">
        <v>256</v>
      </c>
      <c r="B149" s="1538"/>
      <c r="C149" s="1539"/>
      <c r="D149" s="523" t="s">
        <v>182</v>
      </c>
      <c r="E149" s="455"/>
      <c r="F149" s="455"/>
      <c r="G149" s="460">
        <f>G38+G52</f>
        <v>1253.9300000000512</v>
      </c>
      <c r="H149" s="460">
        <f>G149+'14'!H149</f>
        <v>18978</v>
      </c>
      <c r="I149" s="480"/>
      <c r="J149" s="552">
        <f>H149/DAY(B2)</f>
        <v>1265.2</v>
      </c>
      <c r="K149" s="381"/>
      <c r="N149" s="719"/>
      <c r="O149" s="726"/>
      <c r="P149" s="382"/>
    </row>
    <row r="150" spans="1:16" ht="27.75">
      <c r="A150" s="1537" t="s">
        <v>257</v>
      </c>
      <c r="B150" s="1538"/>
      <c r="C150" s="1539"/>
      <c r="D150" s="523" t="s">
        <v>24</v>
      </c>
      <c r="E150" s="455"/>
      <c r="F150" s="455"/>
      <c r="G150" s="543">
        <f>G149/G7</f>
        <v>7.0572377307522013E-2</v>
      </c>
      <c r="H150" s="460">
        <f>G150+'14'!H150</f>
        <v>1.068498892105449</v>
      </c>
      <c r="I150" s="545"/>
      <c r="J150" s="552">
        <f>H150/DAY(B2)</f>
        <v>7.1233259473696603E-2</v>
      </c>
      <c r="N150" s="719"/>
      <c r="O150" s="726"/>
      <c r="P150" s="382"/>
    </row>
    <row r="151" spans="1:16" ht="27.75">
      <c r="A151" s="1537" t="s">
        <v>258</v>
      </c>
      <c r="B151" s="1538"/>
      <c r="C151" s="1539"/>
      <c r="D151" s="523" t="s">
        <v>182</v>
      </c>
      <c r="E151" s="455"/>
      <c r="F151" s="455"/>
      <c r="G151" s="460">
        <f>G36+G50</f>
        <v>1676</v>
      </c>
      <c r="H151" s="460">
        <f>G151+'14'!H151</f>
        <v>22931</v>
      </c>
      <c r="I151" s="545"/>
      <c r="J151" s="552">
        <f>H151/DAY(B2)</f>
        <v>1528.7333333333333</v>
      </c>
      <c r="N151" s="719"/>
      <c r="O151" s="726"/>
      <c r="P151" s="382"/>
    </row>
    <row r="152" spans="1:16" ht="27.75">
      <c r="A152" s="1537" t="s">
        <v>259</v>
      </c>
      <c r="B152" s="1538"/>
      <c r="C152" s="1539"/>
      <c r="D152" s="523" t="s">
        <v>24</v>
      </c>
      <c r="E152" s="455"/>
      <c r="F152" s="455"/>
      <c r="G152" s="543">
        <f>G151/G7</f>
        <v>9.4326879783881129E-2</v>
      </c>
      <c r="H152" s="460">
        <f>G152+'14'!H152</f>
        <v>1.2898056720798707</v>
      </c>
      <c r="I152" s="480"/>
      <c r="J152" s="552">
        <f>H152/DAY(B2)</f>
        <v>8.5987044805324722E-2</v>
      </c>
      <c r="N152" s="719"/>
      <c r="O152" s="726"/>
      <c r="P152" s="382"/>
    </row>
    <row r="153" spans="1:16" ht="27.75">
      <c r="A153" s="1537" t="s">
        <v>260</v>
      </c>
      <c r="B153" s="1538"/>
      <c r="C153" s="1539"/>
      <c r="D153" s="523" t="s">
        <v>182</v>
      </c>
      <c r="E153" s="455"/>
      <c r="F153" s="455"/>
      <c r="G153" s="460">
        <f>G37+G51</f>
        <v>1405</v>
      </c>
      <c r="H153" s="460">
        <f>G153+'14'!H153</f>
        <v>20258.869999999995</v>
      </c>
      <c r="I153" s="480"/>
      <c r="J153" s="552">
        <f>H153/DAY(B2)</f>
        <v>1350.5913333333331</v>
      </c>
      <c r="N153" s="719"/>
      <c r="O153" s="726"/>
      <c r="P153" s="382"/>
    </row>
    <row r="154" spans="1:16" ht="28.5" thickBot="1">
      <c r="A154" s="1569" t="s">
        <v>261</v>
      </c>
      <c r="B154" s="1570"/>
      <c r="C154" s="1571"/>
      <c r="D154" s="625" t="s">
        <v>24</v>
      </c>
      <c r="E154" s="565"/>
      <c r="F154" s="565"/>
      <c r="G154" s="566">
        <f>G153/G7</f>
        <v>7.9074741107609189E-2</v>
      </c>
      <c r="H154" s="460">
        <f>G154+'14'!H154</f>
        <v>1.1453086032654844</v>
      </c>
      <c r="I154" s="568"/>
      <c r="J154" s="569">
        <f>H154/DAY(B2)</f>
        <v>7.6353906884365635E-2</v>
      </c>
      <c r="N154" s="719"/>
      <c r="O154" s="726"/>
      <c r="P154" s="382"/>
    </row>
    <row r="155" spans="1:16">
      <c r="A155" s="466"/>
      <c r="B155" s="456"/>
      <c r="C155" s="456"/>
      <c r="D155" s="546"/>
      <c r="E155" s="546"/>
      <c r="F155" s="663"/>
      <c r="G155" s="546"/>
      <c r="H155" s="547"/>
      <c r="I155" s="546"/>
      <c r="J155" s="548"/>
      <c r="N155" s="719"/>
    </row>
    <row r="156" spans="1:16">
      <c r="N156" s="719"/>
    </row>
    <row r="157" spans="1:16">
      <c r="N157" s="719"/>
    </row>
    <row r="158" spans="1:16">
      <c r="N158" s="719"/>
    </row>
    <row r="159" spans="1:16">
      <c r="N159" s="719"/>
    </row>
    <row r="160" spans="1:16">
      <c r="N160" s="719"/>
    </row>
    <row r="161" spans="1:14">
      <c r="A161" s="795" t="s">
        <v>262</v>
      </c>
      <c r="B161" s="796"/>
      <c r="C161" s="796"/>
      <c r="D161" s="620" t="s">
        <v>186</v>
      </c>
      <c r="E161" s="522">
        <f>'14'!F161</f>
        <v>39560</v>
      </c>
      <c r="F161" s="804">
        <v>39641</v>
      </c>
      <c r="G161" s="473">
        <f t="shared" ref="G161:G164" si="16">F161-E161</f>
        <v>81</v>
      </c>
      <c r="N161" s="719"/>
    </row>
    <row r="162" spans="1:14" ht="21.75" customHeight="1">
      <c r="A162" s="795" t="s">
        <v>263</v>
      </c>
      <c r="B162" s="796"/>
      <c r="C162" s="796"/>
      <c r="D162" s="620" t="s">
        <v>186</v>
      </c>
      <c r="E162" s="522">
        <f>'14'!F162</f>
        <v>100606</v>
      </c>
      <c r="F162" s="804">
        <v>101054</v>
      </c>
      <c r="G162" s="473">
        <f t="shared" si="16"/>
        <v>448</v>
      </c>
      <c r="N162" s="719"/>
    </row>
    <row r="163" spans="1:14" ht="21.75" customHeight="1">
      <c r="A163" s="795" t="s">
        <v>264</v>
      </c>
      <c r="B163" s="796"/>
      <c r="C163" s="796"/>
      <c r="D163" s="620" t="s">
        <v>186</v>
      </c>
      <c r="E163" s="522">
        <f>'14'!F163</f>
        <v>47858</v>
      </c>
      <c r="F163" s="804">
        <v>48067</v>
      </c>
      <c r="G163" s="473">
        <f t="shared" si="16"/>
        <v>209</v>
      </c>
      <c r="N163" s="719"/>
    </row>
    <row r="164" spans="1:14" ht="21.75" customHeight="1">
      <c r="A164" s="795" t="s">
        <v>265</v>
      </c>
      <c r="B164" s="796"/>
      <c r="C164" s="796"/>
      <c r="D164" s="620" t="s">
        <v>186</v>
      </c>
      <c r="E164" s="522">
        <f>'14'!F164</f>
        <v>6689</v>
      </c>
      <c r="F164" s="804">
        <v>6700</v>
      </c>
      <c r="G164" s="473">
        <f t="shared" si="16"/>
        <v>11</v>
      </c>
      <c r="N164" s="719"/>
    </row>
    <row r="165" spans="1:14" ht="21.75" customHeight="1">
      <c r="A165" s="797" t="s">
        <v>97</v>
      </c>
      <c r="B165" s="798"/>
      <c r="C165" s="798"/>
      <c r="D165" s="620" t="s">
        <v>186</v>
      </c>
      <c r="E165" s="514">
        <f>E62</f>
        <v>20419</v>
      </c>
      <c r="F165" s="514">
        <f>F62</f>
        <v>20419.18</v>
      </c>
      <c r="G165" s="473">
        <f t="shared" ref="G165:G174" si="17">F165-E165</f>
        <v>0.18000000000029104</v>
      </c>
      <c r="N165" s="719"/>
    </row>
    <row r="166" spans="1:14" ht="21.75" customHeight="1">
      <c r="A166" s="797" t="s">
        <v>187</v>
      </c>
      <c r="B166" s="798"/>
      <c r="C166" s="798"/>
      <c r="D166" s="620" t="s">
        <v>186</v>
      </c>
      <c r="E166" s="514">
        <f t="shared" ref="E166:E172" si="18">E63</f>
        <v>0</v>
      </c>
      <c r="F166" s="514">
        <v>2415</v>
      </c>
      <c r="G166" s="473">
        <f t="shared" si="17"/>
        <v>2415</v>
      </c>
      <c r="N166" s="719"/>
    </row>
    <row r="167" spans="1:14" ht="21.75" customHeight="1">
      <c r="A167" s="1599" t="s">
        <v>98</v>
      </c>
      <c r="B167" s="1599"/>
      <c r="C167" s="1599"/>
      <c r="D167" s="524" t="s">
        <v>186</v>
      </c>
      <c r="E167" s="514">
        <f t="shared" si="18"/>
        <v>164066</v>
      </c>
      <c r="F167" s="514">
        <f t="shared" ref="F167:F172" si="19">F64</f>
        <v>164442</v>
      </c>
      <c r="G167" s="473">
        <f t="shared" si="17"/>
        <v>376</v>
      </c>
      <c r="N167" s="719"/>
    </row>
    <row r="168" spans="1:14" ht="21.75" customHeight="1">
      <c r="A168" s="1599" t="s">
        <v>99</v>
      </c>
      <c r="B168" s="1599"/>
      <c r="C168" s="1599"/>
      <c r="D168" s="524" t="s">
        <v>186</v>
      </c>
      <c r="E168" s="514">
        <f t="shared" si="18"/>
        <v>164738</v>
      </c>
      <c r="F168" s="514">
        <f t="shared" si="19"/>
        <v>164888</v>
      </c>
      <c r="G168" s="473">
        <f t="shared" si="17"/>
        <v>150</v>
      </c>
      <c r="N168" s="719"/>
    </row>
    <row r="169" spans="1:14" ht="21.75" customHeight="1">
      <c r="A169" s="1599" t="s">
        <v>100</v>
      </c>
      <c r="B169" s="1599"/>
      <c r="C169" s="1599"/>
      <c r="D169" s="524" t="s">
        <v>186</v>
      </c>
      <c r="E169" s="514">
        <f t="shared" si="18"/>
        <v>61756</v>
      </c>
      <c r="F169" s="514">
        <f t="shared" si="19"/>
        <v>62024</v>
      </c>
      <c r="G169" s="473">
        <f t="shared" si="17"/>
        <v>268</v>
      </c>
      <c r="N169" s="719"/>
    </row>
    <row r="170" spans="1:14" ht="23.25" customHeight="1">
      <c r="A170" s="1599" t="s">
        <v>101</v>
      </c>
      <c r="B170" s="1599"/>
      <c r="C170" s="1599"/>
      <c r="D170" s="524" t="s">
        <v>186</v>
      </c>
      <c r="E170" s="514">
        <f t="shared" si="18"/>
        <v>257836</v>
      </c>
      <c r="F170" s="514">
        <f t="shared" si="19"/>
        <v>258242</v>
      </c>
      <c r="G170" s="473">
        <f t="shared" si="17"/>
        <v>406</v>
      </c>
      <c r="N170" s="719"/>
    </row>
    <row r="171" spans="1:14" ht="24" customHeight="1">
      <c r="A171" s="1599" t="s">
        <v>102</v>
      </c>
      <c r="B171" s="1599"/>
      <c r="C171" s="1599"/>
      <c r="D171" s="524" t="s">
        <v>186</v>
      </c>
      <c r="E171" s="514">
        <f t="shared" si="18"/>
        <v>85321</v>
      </c>
      <c r="F171" s="514">
        <f t="shared" si="19"/>
        <v>85321</v>
      </c>
      <c r="G171" s="473">
        <f t="shared" si="17"/>
        <v>0</v>
      </c>
      <c r="N171" s="719"/>
    </row>
    <row r="172" spans="1:14" ht="27.75">
      <c r="A172" s="1599" t="s">
        <v>103</v>
      </c>
      <c r="B172" s="1599"/>
      <c r="C172" s="1599"/>
      <c r="D172" s="524" t="s">
        <v>186</v>
      </c>
      <c r="E172" s="514">
        <f t="shared" si="18"/>
        <v>83730</v>
      </c>
      <c r="F172" s="514">
        <f t="shared" si="19"/>
        <v>83932</v>
      </c>
      <c r="G172" s="473">
        <f t="shared" si="17"/>
        <v>202</v>
      </c>
      <c r="N172" s="719"/>
    </row>
    <row r="173" spans="1:14">
      <c r="A173" s="1596" t="s">
        <v>357</v>
      </c>
      <c r="B173" s="1579"/>
      <c r="C173" s="786"/>
      <c r="D173" s="523" t="s">
        <v>186</v>
      </c>
      <c r="E173" s="532">
        <v>189285</v>
      </c>
      <c r="F173" s="532">
        <v>189324</v>
      </c>
      <c r="G173" s="473">
        <f t="shared" si="17"/>
        <v>39</v>
      </c>
      <c r="N173" s="719"/>
    </row>
    <row r="174" spans="1:14">
      <c r="A174" s="1596" t="s">
        <v>358</v>
      </c>
      <c r="B174" s="1579"/>
      <c r="C174" s="786"/>
      <c r="D174" s="523" t="s">
        <v>186</v>
      </c>
      <c r="E174" s="532">
        <v>38246</v>
      </c>
      <c r="F174" s="532">
        <v>38345</v>
      </c>
      <c r="G174" s="473">
        <f t="shared" si="17"/>
        <v>99</v>
      </c>
      <c r="N174" s="719"/>
    </row>
    <row r="175" spans="1:14">
      <c r="N175" s="719"/>
    </row>
    <row r="176" spans="1:14">
      <c r="N176" s="719"/>
    </row>
    <row r="177" spans="14:14" ht="18.75" customHeight="1">
      <c r="N177" s="719"/>
    </row>
    <row r="178" spans="14:14" ht="27" customHeight="1">
      <c r="N178" s="719"/>
    </row>
    <row r="179" spans="14:14" ht="27" customHeight="1">
      <c r="N179" s="719"/>
    </row>
    <row r="180" spans="14:14" ht="27" customHeight="1">
      <c r="N180" s="719"/>
    </row>
    <row r="181" spans="14:14" ht="27" customHeight="1">
      <c r="N181" s="719"/>
    </row>
    <row r="182" spans="14:14" ht="27" customHeight="1">
      <c r="N182" s="719"/>
    </row>
    <row r="183" spans="14:14" ht="27" customHeight="1">
      <c r="N183" s="719"/>
    </row>
    <row r="184" spans="14:14" ht="27" customHeight="1">
      <c r="N184" s="719"/>
    </row>
    <row r="185" spans="14:14" ht="27" customHeight="1">
      <c r="N185" s="719"/>
    </row>
    <row r="186" spans="14:14" ht="27" customHeight="1">
      <c r="N186" s="719"/>
    </row>
    <row r="187" spans="14:14" ht="27" customHeight="1">
      <c r="N187" s="719"/>
    </row>
    <row r="188" spans="14:14" ht="27" customHeight="1">
      <c r="N188" s="719"/>
    </row>
    <row r="189" spans="14:14" ht="27" customHeight="1">
      <c r="N189" s="719"/>
    </row>
    <row r="190" spans="14:14" ht="27" customHeight="1">
      <c r="N190" s="719"/>
    </row>
    <row r="191" spans="14:14" ht="27" customHeight="1">
      <c r="N191" s="719"/>
    </row>
    <row r="192" spans="14:14" ht="27" customHeight="1">
      <c r="N192" s="719"/>
    </row>
    <row r="193" spans="14:14" ht="27" customHeight="1">
      <c r="N193" s="719"/>
    </row>
    <row r="194" spans="14:14" ht="27" customHeight="1">
      <c r="N194" s="719"/>
    </row>
    <row r="195" spans="14:14" ht="27" customHeight="1">
      <c r="N195" s="719"/>
    </row>
    <row r="196" spans="14:14" ht="27" customHeight="1">
      <c r="N196" s="719"/>
    </row>
    <row r="197" spans="14:14" ht="27" customHeight="1">
      <c r="N197" s="719"/>
    </row>
    <row r="198" spans="14:14" ht="27" customHeight="1">
      <c r="N198" s="719"/>
    </row>
    <row r="199" spans="14:14" ht="27" customHeight="1"/>
    <row r="200" spans="14:14" ht="27" customHeight="1"/>
    <row r="201" spans="14:14" ht="27" customHeight="1"/>
    <row r="202" spans="14:14" ht="27" customHeight="1"/>
    <row r="203" spans="14:14" ht="27" customHeight="1"/>
    <row r="204" spans="14:14" ht="27" customHeight="1"/>
    <row r="205" spans="14:14" ht="27" customHeight="1"/>
    <row r="206" spans="14:14" ht="27" customHeight="1"/>
    <row r="207" spans="14:14" ht="27" customHeight="1"/>
    <row r="208" spans="14:14" ht="27" customHeight="1"/>
    <row r="209" ht="27" customHeight="1"/>
    <row r="210" ht="27" customHeight="1"/>
    <row r="211" ht="27" customHeight="1"/>
    <row r="212" ht="27" customHeight="1"/>
    <row r="213" ht="27" customHeight="1"/>
    <row r="214" ht="27" customHeight="1"/>
    <row r="215" ht="27" customHeight="1"/>
    <row r="216" ht="27" customHeight="1"/>
    <row r="217" ht="27" customHeight="1"/>
    <row r="218" ht="27" customHeight="1"/>
    <row r="219" ht="27" customHeight="1"/>
    <row r="220" ht="27" customHeight="1"/>
    <row r="221" ht="27" customHeight="1"/>
    <row r="222" ht="27" customHeight="1"/>
    <row r="223" ht="27" customHeight="1"/>
    <row r="224" ht="27" customHeight="1"/>
    <row r="225" ht="27" customHeight="1"/>
    <row r="226" ht="27" customHeight="1"/>
    <row r="227" ht="27" customHeight="1"/>
    <row r="228" ht="27" customHeight="1"/>
    <row r="229" ht="27" customHeight="1"/>
    <row r="230" ht="27" customHeight="1"/>
    <row r="231" ht="27" customHeight="1"/>
    <row r="232" ht="27" customHeight="1"/>
    <row r="233" ht="27" customHeight="1"/>
    <row r="234" ht="27" customHeight="1"/>
    <row r="235" ht="27" customHeight="1"/>
    <row r="236" ht="27" customHeight="1"/>
    <row r="237" ht="27" customHeight="1"/>
    <row r="238" ht="27" customHeight="1"/>
  </sheetData>
  <mergeCells count="76">
    <mergeCell ref="A173:B173"/>
    <mergeCell ref="A174:B174"/>
    <mergeCell ref="A172:C172"/>
    <mergeCell ref="A167:C167"/>
    <mergeCell ref="A168:C168"/>
    <mergeCell ref="A169:C169"/>
    <mergeCell ref="A170:C170"/>
    <mergeCell ref="A171:C171"/>
    <mergeCell ref="A119:B119"/>
    <mergeCell ref="A120:B120"/>
    <mergeCell ref="A121:B121"/>
    <mergeCell ref="A122:B122"/>
    <mergeCell ref="A114:B114"/>
    <mergeCell ref="A115:B115"/>
    <mergeCell ref="A116:B116"/>
    <mergeCell ref="A117:B117"/>
    <mergeCell ref="A118:B118"/>
    <mergeCell ref="A153:C153"/>
    <mergeCell ref="A154:C154"/>
    <mergeCell ref="A151:C151"/>
    <mergeCell ref="A152:C152"/>
    <mergeCell ref="A148:C148"/>
    <mergeCell ref="A149:C149"/>
    <mergeCell ref="A150:C150"/>
    <mergeCell ref="A143:C143"/>
    <mergeCell ref="A144:C144"/>
    <mergeCell ref="A145:C145"/>
    <mergeCell ref="A146:C146"/>
    <mergeCell ref="A147:C147"/>
    <mergeCell ref="A126:C126"/>
    <mergeCell ref="A102:C102"/>
    <mergeCell ref="A123:C123"/>
    <mergeCell ref="A142:B142"/>
    <mergeCell ref="A95:C95"/>
    <mergeCell ref="A96:C96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12:B112"/>
    <mergeCell ref="A113:B113"/>
    <mergeCell ref="A82:C82"/>
    <mergeCell ref="A83:C83"/>
    <mergeCell ref="A93:C93"/>
    <mergeCell ref="A94:C94"/>
    <mergeCell ref="A76:C76"/>
    <mergeCell ref="A77:C77"/>
    <mergeCell ref="A79:C79"/>
    <mergeCell ref="A80:C80"/>
    <mergeCell ref="A81:C81"/>
    <mergeCell ref="A69:C69"/>
    <mergeCell ref="A72:C72"/>
    <mergeCell ref="A73:C73"/>
    <mergeCell ref="A74:C74"/>
    <mergeCell ref="A75:C75"/>
    <mergeCell ref="A71:J71"/>
    <mergeCell ref="A70:C70"/>
    <mergeCell ref="A64:C64"/>
    <mergeCell ref="A65:C65"/>
    <mergeCell ref="A66:C66"/>
    <mergeCell ref="A67:C67"/>
    <mergeCell ref="A68:C68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</mergeCells>
  <pageMargins left="0.22" right="0.17" top="0.14000000000000001" bottom="0.2" header="0.2" footer="0.2"/>
  <pageSetup paperSize="5" scale="20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238"/>
  <sheetViews>
    <sheetView view="pageBreakPreview" topLeftCell="A91" zoomScale="55" zoomScaleNormal="90" zoomScaleSheetLayoutView="55" workbookViewId="0">
      <selection activeCell="A175" sqref="A175:D176"/>
    </sheetView>
  </sheetViews>
  <sheetFormatPr defaultColWidth="22.33203125" defaultRowHeight="29.25"/>
  <cols>
    <col min="1" max="1" width="59.6640625" style="454" customWidth="1"/>
    <col min="2" max="2" width="20" style="457" bestFit="1" customWidth="1"/>
    <col min="3" max="3" width="16.109375" style="457" bestFit="1" customWidth="1"/>
    <col min="4" max="4" width="23.109375" style="537" bestFit="1" customWidth="1"/>
    <col min="5" max="5" width="27.21875" style="537" customWidth="1"/>
    <col min="6" max="6" width="25.5546875" style="664" customWidth="1"/>
    <col min="7" max="7" width="27" style="537" customWidth="1"/>
    <col min="8" max="8" width="21.88671875" style="538" customWidth="1"/>
    <col min="9" max="9" width="24.77734375" style="537" customWidth="1"/>
    <col min="10" max="10" width="23.5546875" style="539" customWidth="1"/>
    <col min="11" max="11" width="43.21875" style="376" hidden="1" customWidth="1"/>
    <col min="12" max="13" width="22.33203125" style="376" hidden="1" customWidth="1"/>
    <col min="14" max="14" width="25.5546875" style="717" customWidth="1"/>
    <col min="15" max="15" width="22.33203125" style="724"/>
    <col min="16" max="16384" width="22.33203125" style="376"/>
  </cols>
  <sheetData>
    <row r="1" spans="1:16" ht="33.75">
      <c r="A1" s="1549" t="s">
        <v>116</v>
      </c>
      <c r="B1" s="1550"/>
      <c r="C1" s="1550"/>
      <c r="D1" s="1550"/>
      <c r="E1" s="1550"/>
      <c r="F1" s="1550"/>
      <c r="G1" s="1550"/>
      <c r="H1" s="1550"/>
      <c r="I1" s="1550"/>
      <c r="J1" s="1551"/>
    </row>
    <row r="2" spans="1:16" s="281" customFormat="1" ht="27">
      <c r="A2" s="575" t="s">
        <v>366</v>
      </c>
      <c r="B2" s="1033">
        <v>44363</v>
      </c>
      <c r="C2" s="1214" t="s">
        <v>68</v>
      </c>
      <c r="D2" s="611">
        <v>0.52</v>
      </c>
      <c r="E2" s="461"/>
      <c r="F2" s="461"/>
      <c r="G2" s="461" t="s">
        <v>117</v>
      </c>
      <c r="H2" s="461" t="s">
        <v>6</v>
      </c>
      <c r="I2" s="461" t="s">
        <v>8</v>
      </c>
      <c r="J2" s="613" t="s">
        <v>118</v>
      </c>
      <c r="N2" s="718"/>
      <c r="O2" s="725"/>
    </row>
    <row r="3" spans="1:16" s="281" customFormat="1" ht="27">
      <c r="A3" s="570"/>
      <c r="B3" s="614"/>
      <c r="C3" s="1214" t="s">
        <v>119</v>
      </c>
      <c r="D3" s="612">
        <v>30</v>
      </c>
      <c r="E3" s="1558" t="s">
        <v>120</v>
      </c>
      <c r="F3" s="1559"/>
      <c r="G3" s="462"/>
      <c r="H3" s="463"/>
      <c r="I3" s="463"/>
      <c r="J3" s="615"/>
      <c r="K3" s="371"/>
      <c r="L3" s="292"/>
      <c r="N3" s="718"/>
      <c r="O3" s="725"/>
    </row>
    <row r="4" spans="1:16" s="281" customFormat="1" ht="27">
      <c r="A4" s="576"/>
      <c r="B4" s="616"/>
      <c r="C4" s="1214" t="s">
        <v>121</v>
      </c>
      <c r="D4" s="611">
        <v>0.78</v>
      </c>
      <c r="E4" s="464"/>
      <c r="F4" s="464"/>
      <c r="G4" s="464"/>
      <c r="H4" s="464"/>
      <c r="I4" s="465"/>
      <c r="J4" s="615"/>
      <c r="K4" s="372"/>
      <c r="L4" s="292"/>
      <c r="N4" s="718"/>
      <c r="O4" s="725"/>
    </row>
    <row r="5" spans="1:16">
      <c r="A5" s="577" t="s">
        <v>122</v>
      </c>
      <c r="B5" s="459"/>
      <c r="C5" s="459"/>
      <c r="D5" s="511" t="s">
        <v>123</v>
      </c>
      <c r="E5" s="467" t="s">
        <v>124</v>
      </c>
      <c r="F5" s="467" t="s">
        <v>111</v>
      </c>
      <c r="G5" s="468" t="s">
        <v>125</v>
      </c>
      <c r="H5" s="469" t="s">
        <v>126</v>
      </c>
      <c r="I5" s="470" t="s">
        <v>127</v>
      </c>
      <c r="J5" s="550" t="s">
        <v>128</v>
      </c>
      <c r="K5" s="426"/>
      <c r="L5" s="377"/>
    </row>
    <row r="6" spans="1:16">
      <c r="A6" s="1552" t="s">
        <v>129</v>
      </c>
      <c r="B6" s="1553"/>
      <c r="C6" s="1554"/>
      <c r="D6" s="471"/>
      <c r="E6" s="471"/>
      <c r="F6" s="471"/>
      <c r="G6" s="471"/>
      <c r="H6" s="472"/>
      <c r="I6" s="472"/>
      <c r="J6" s="551"/>
      <c r="K6" s="427"/>
      <c r="L6" s="377"/>
    </row>
    <row r="7" spans="1:16" ht="30" thickBot="1">
      <c r="A7" s="677" t="s">
        <v>130</v>
      </c>
      <c r="B7" s="678"/>
      <c r="C7" s="678"/>
      <c r="D7" s="638" t="s">
        <v>131</v>
      </c>
      <c r="E7" s="633">
        <f>'15'!F7</f>
        <v>610574</v>
      </c>
      <c r="F7" s="455">
        <v>628980.31000000006</v>
      </c>
      <c r="G7" s="679">
        <f>F7-E7</f>
        <v>18406.310000000056</v>
      </c>
      <c r="H7" s="680">
        <f>G7+'15'!H7</f>
        <v>284568.31000000006</v>
      </c>
      <c r="I7" s="681">
        <f>'1'!I7</f>
        <v>12000</v>
      </c>
      <c r="J7" s="682">
        <f>H7/DAY(B2)</f>
        <v>17785.519375000003</v>
      </c>
      <c r="K7" s="549">
        <f>'1'!E7-'16'!F7</f>
        <v>-284568.31000000006</v>
      </c>
      <c r="L7" s="377"/>
      <c r="N7" s="730"/>
      <c r="O7" s="726"/>
      <c r="P7" s="729"/>
    </row>
    <row r="8" spans="1:16" ht="27.75" thickBot="1">
      <c r="A8" s="683" t="s">
        <v>132</v>
      </c>
      <c r="B8" s="684"/>
      <c r="C8" s="685"/>
      <c r="D8" s="686" t="s">
        <v>25</v>
      </c>
      <c r="E8" s="633">
        <f>'15'!F8</f>
        <v>613828</v>
      </c>
      <c r="F8" s="475">
        <v>632305.18999999994</v>
      </c>
      <c r="G8" s="690">
        <f>F8-E8</f>
        <v>18477.189999999944</v>
      </c>
      <c r="H8" s="680">
        <f>G8+'15'!H8</f>
        <v>285795.18999999994</v>
      </c>
      <c r="I8" s="687">
        <f>'1'!I8</f>
        <v>12000</v>
      </c>
      <c r="J8" s="682">
        <f>H8/DAY(B2)</f>
        <v>17862.199374999997</v>
      </c>
      <c r="K8" s="549">
        <f>'1'!E8-'16'!F8</f>
        <v>-285795.18999999994</v>
      </c>
      <c r="L8" s="425"/>
      <c r="M8" s="440"/>
      <c r="N8" s="719"/>
      <c r="O8" s="726"/>
      <c r="P8" s="382"/>
    </row>
    <row r="9" spans="1:16">
      <c r="A9" s="688" t="s">
        <v>133</v>
      </c>
      <c r="B9" s="689"/>
      <c r="C9" s="689"/>
      <c r="D9" s="638" t="s">
        <v>131</v>
      </c>
      <c r="E9" s="633">
        <f>'15'!F9</f>
        <v>1731422</v>
      </c>
      <c r="F9" s="478">
        <v>1749237.5</v>
      </c>
      <c r="G9" s="703">
        <f t="shared" ref="G9:G12" si="0">F9-E9</f>
        <v>17815.5</v>
      </c>
      <c r="H9" s="680">
        <f>G9+'15'!H9</f>
        <v>275547.5</v>
      </c>
      <c r="I9" s="691">
        <f>I7-J7</f>
        <v>-5785.5193750000035</v>
      </c>
      <c r="J9" s="682">
        <f>H9/DAY(B2)</f>
        <v>17221.71875</v>
      </c>
      <c r="K9" s="428">
        <f>'1'!E9-'16'!F9</f>
        <v>-275547.5</v>
      </c>
      <c r="L9" s="377"/>
      <c r="N9" s="719"/>
      <c r="O9" s="726"/>
      <c r="P9" s="382"/>
    </row>
    <row r="10" spans="1:16">
      <c r="A10" s="677" t="s">
        <v>134</v>
      </c>
      <c r="B10" s="678"/>
      <c r="C10" s="678"/>
      <c r="D10" s="638" t="s">
        <v>131</v>
      </c>
      <c r="E10" s="633">
        <f>'15'!F10</f>
        <v>2606.5500000000002</v>
      </c>
      <c r="F10" s="478">
        <v>2606.85</v>
      </c>
      <c r="G10" s="690">
        <f t="shared" si="0"/>
        <v>0.29999999999972715</v>
      </c>
      <c r="H10" s="680">
        <f>G10+'15'!H10</f>
        <v>0.71999999999979991</v>
      </c>
      <c r="I10" s="692"/>
      <c r="J10" s="682">
        <f>H10/DAY(B2)</f>
        <v>4.4999999999987494E-2</v>
      </c>
      <c r="K10" s="428"/>
      <c r="L10" s="377"/>
      <c r="N10" s="719"/>
      <c r="O10" s="726"/>
      <c r="P10" s="382"/>
    </row>
    <row r="11" spans="1:16">
      <c r="A11" s="677" t="s">
        <v>135</v>
      </c>
      <c r="B11" s="678"/>
      <c r="C11" s="678"/>
      <c r="D11" s="638" t="s">
        <v>131</v>
      </c>
      <c r="E11" s="633">
        <f>'5'!E11</f>
        <v>37000</v>
      </c>
      <c r="F11" s="455">
        <v>37000</v>
      </c>
      <c r="G11" s="690">
        <f t="shared" si="0"/>
        <v>0</v>
      </c>
      <c r="H11" s="680">
        <f>G11+'15'!H11</f>
        <v>0</v>
      </c>
      <c r="I11" s="692"/>
      <c r="J11" s="682">
        <f>H11/DAY(B2)</f>
        <v>0</v>
      </c>
      <c r="K11" s="428"/>
      <c r="L11" s="377"/>
      <c r="N11" s="719">
        <f>G8-G10</f>
        <v>18476.889999999945</v>
      </c>
      <c r="O11" s="726"/>
      <c r="P11" s="382"/>
    </row>
    <row r="12" spans="1:16">
      <c r="A12" s="677" t="s">
        <v>136</v>
      </c>
      <c r="B12" s="678"/>
      <c r="C12" s="678"/>
      <c r="D12" s="638" t="s">
        <v>131</v>
      </c>
      <c r="E12" s="633">
        <f>'5'!E12</f>
        <v>40010</v>
      </c>
      <c r="F12" s="478">
        <v>40010</v>
      </c>
      <c r="G12" s="690">
        <f t="shared" si="0"/>
        <v>0</v>
      </c>
      <c r="H12" s="680">
        <f>G12+'15'!H12</f>
        <v>0</v>
      </c>
      <c r="I12" s="692"/>
      <c r="J12" s="682">
        <f>H12/DAY(B2)</f>
        <v>0</v>
      </c>
      <c r="K12" s="428"/>
      <c r="L12" s="377"/>
      <c r="N12" s="719"/>
      <c r="O12" s="726"/>
      <c r="P12" s="382"/>
    </row>
    <row r="13" spans="1:16">
      <c r="A13" s="693" t="s">
        <v>137</v>
      </c>
      <c r="B13" s="694"/>
      <c r="C13" s="694"/>
      <c r="D13" s="638"/>
      <c r="E13" s="633"/>
      <c r="F13" s="455"/>
      <c r="G13" s="695">
        <f>G9+G10+G11+G12</f>
        <v>17815.8</v>
      </c>
      <c r="H13" s="680">
        <f>G13+'15'!H13</f>
        <v>259023.21999999997</v>
      </c>
      <c r="I13" s="696">
        <f>G7-G13</f>
        <v>590.51000000005661</v>
      </c>
      <c r="J13" s="682">
        <f>H13/DAY(B2)</f>
        <v>16188.951249999998</v>
      </c>
      <c r="K13" s="428"/>
      <c r="L13" s="377"/>
      <c r="N13" s="719"/>
      <c r="O13" s="726"/>
      <c r="P13" s="382"/>
    </row>
    <row r="14" spans="1:16">
      <c r="A14" s="1555" t="s">
        <v>138</v>
      </c>
      <c r="B14" s="1556"/>
      <c r="C14" s="1557"/>
      <c r="D14" s="472"/>
      <c r="E14" s="472"/>
      <c r="F14" s="472"/>
      <c r="G14" s="483"/>
      <c r="H14" s="472"/>
      <c r="I14" s="472"/>
      <c r="J14" s="1219"/>
      <c r="K14" s="429"/>
      <c r="L14" s="377"/>
      <c r="N14" s="719"/>
      <c r="O14" s="726"/>
      <c r="P14" s="382"/>
    </row>
    <row r="15" spans="1:16">
      <c r="A15" s="793" t="s">
        <v>139</v>
      </c>
      <c r="B15" s="794"/>
      <c r="C15" s="794"/>
      <c r="D15" s="524" t="s">
        <v>140</v>
      </c>
      <c r="E15" s="485">
        <f>'15'!F15</f>
        <v>1692207</v>
      </c>
      <c r="F15" s="485">
        <v>1692684.0649999999</v>
      </c>
      <c r="G15" s="665">
        <f>(F15-E15)</f>
        <v>477.06499999994412</v>
      </c>
      <c r="H15" s="486">
        <f>G15+'15'!H15</f>
        <v>8160.0649999999441</v>
      </c>
      <c r="I15" s="474">
        <f>'1'!I15</f>
        <v>800</v>
      </c>
      <c r="J15" s="553">
        <f>H15/DAY(B2)</f>
        <v>510.00406249999651</v>
      </c>
      <c r="K15" s="428"/>
      <c r="L15" s="377"/>
      <c r="N15" s="719"/>
      <c r="O15" s="726"/>
      <c r="P15" s="382"/>
    </row>
    <row r="16" spans="1:16">
      <c r="A16" s="587"/>
      <c r="B16" s="588"/>
      <c r="C16" s="588"/>
      <c r="D16" s="524"/>
      <c r="E16" s="485"/>
      <c r="F16" s="485" t="s">
        <v>271</v>
      </c>
      <c r="G16" s="670"/>
      <c r="H16" s="486"/>
      <c r="I16" s="482">
        <f>I15-J15</f>
        <v>289.99593750000349</v>
      </c>
      <c r="J16" s="553"/>
      <c r="K16" s="428"/>
      <c r="L16" s="377"/>
      <c r="N16" s="719"/>
      <c r="O16" s="726"/>
      <c r="P16" s="382"/>
    </row>
    <row r="17" spans="1:16">
      <c r="A17" s="1555" t="s">
        <v>141</v>
      </c>
      <c r="B17" s="1556"/>
      <c r="C17" s="1557"/>
      <c r="D17" s="472"/>
      <c r="E17" s="472"/>
      <c r="F17" s="472"/>
      <c r="G17" s="488"/>
      <c r="H17" s="472"/>
      <c r="I17" s="472"/>
      <c r="J17" s="551"/>
      <c r="K17" s="428"/>
      <c r="L17" s="377"/>
      <c r="N17" s="719"/>
      <c r="O17" s="726"/>
      <c r="P17" s="382"/>
    </row>
    <row r="18" spans="1:16" ht="27.75">
      <c r="A18" s="1590" t="s">
        <v>142</v>
      </c>
      <c r="B18" s="1591"/>
      <c r="C18" s="1592"/>
      <c r="D18" s="638" t="s">
        <v>143</v>
      </c>
      <c r="E18" s="635">
        <f>'15'!F18</f>
        <v>8</v>
      </c>
      <c r="F18" s="478">
        <v>3</v>
      </c>
      <c r="G18" s="695">
        <f>F18*10</f>
        <v>30</v>
      </c>
      <c r="H18" s="680">
        <f>G18+'15'!H18</f>
        <v>990</v>
      </c>
      <c r="I18" s="681">
        <f>'1'!I18</f>
        <v>65</v>
      </c>
      <c r="J18" s="682">
        <f>H18/DAY(B2)</f>
        <v>61.875</v>
      </c>
      <c r="K18" s="428"/>
      <c r="L18" s="377"/>
      <c r="N18" s="719"/>
      <c r="O18" s="726"/>
      <c r="P18" s="382"/>
    </row>
    <row r="19" spans="1:16" ht="27.75">
      <c r="A19" s="1590" t="s">
        <v>70</v>
      </c>
      <c r="B19" s="1591"/>
      <c r="C19" s="1592"/>
      <c r="D19" s="638" t="s">
        <v>143</v>
      </c>
      <c r="E19" s="635">
        <f>'15'!F19</f>
        <v>140557</v>
      </c>
      <c r="F19" s="478">
        <v>140619</v>
      </c>
      <c r="G19" s="690">
        <f t="shared" ref="G19" si="1">F19-E19</f>
        <v>62</v>
      </c>
      <c r="H19" s="680">
        <f>G19+'15'!H19</f>
        <v>1007</v>
      </c>
      <c r="I19" s="697"/>
      <c r="J19" s="682">
        <f>H19/DAY(B2)</f>
        <v>62.9375</v>
      </c>
      <c r="K19" s="428"/>
      <c r="L19" s="377"/>
      <c r="N19" s="719"/>
      <c r="O19" s="726"/>
      <c r="P19" s="382"/>
    </row>
    <row r="20" spans="1:16">
      <c r="A20" s="693" t="s">
        <v>144</v>
      </c>
      <c r="B20" s="694"/>
      <c r="C20" s="694"/>
      <c r="D20" s="638"/>
      <c r="E20" s="638"/>
      <c r="F20" s="710"/>
      <c r="G20" s="698">
        <f>G18+G19</f>
        <v>92</v>
      </c>
      <c r="H20" s="680">
        <f>G20+'15'!H20</f>
        <v>1997</v>
      </c>
      <c r="I20" s="699">
        <f>I18-J20</f>
        <v>-59.8125</v>
      </c>
      <c r="J20" s="682">
        <f>H20/DAY(B2)</f>
        <v>124.8125</v>
      </c>
      <c r="K20" s="428"/>
      <c r="L20" s="377"/>
      <c r="N20" s="719"/>
      <c r="O20" s="726"/>
      <c r="P20" s="382"/>
    </row>
    <row r="21" spans="1:16">
      <c r="A21" s="1555" t="s">
        <v>145</v>
      </c>
      <c r="B21" s="1556"/>
      <c r="C21" s="1557"/>
      <c r="D21" s="472"/>
      <c r="E21" s="472"/>
      <c r="F21" s="472"/>
      <c r="G21" s="483"/>
      <c r="H21" s="472"/>
      <c r="I21" s="472"/>
      <c r="J21" s="551"/>
      <c r="K21" s="428"/>
      <c r="L21" s="377"/>
      <c r="N21" s="719"/>
      <c r="O21" s="726"/>
      <c r="P21" s="382"/>
    </row>
    <row r="22" spans="1:16">
      <c r="A22" s="1207" t="s">
        <v>146</v>
      </c>
      <c r="B22" s="589"/>
      <c r="C22" s="589"/>
      <c r="D22" s="523" t="s">
        <v>147</v>
      </c>
      <c r="E22" s="635">
        <f>'15'!F22</f>
        <v>2970</v>
      </c>
      <c r="F22" s="478">
        <v>2970</v>
      </c>
      <c r="G22" s="481">
        <f t="shared" ref="G22" si="2">(F22-E22)</f>
        <v>0</v>
      </c>
      <c r="H22" s="460">
        <f>G22+'15'!H22</f>
        <v>0</v>
      </c>
      <c r="I22" s="480"/>
      <c r="J22" s="552">
        <f>H22/DAY(B2)</f>
        <v>0</v>
      </c>
      <c r="K22" s="428"/>
      <c r="L22" s="377"/>
      <c r="N22" s="719"/>
      <c r="O22" s="726"/>
      <c r="P22" s="382"/>
    </row>
    <row r="23" spans="1:16">
      <c r="A23" s="1207" t="s">
        <v>148</v>
      </c>
      <c r="B23" s="589"/>
      <c r="C23" s="589"/>
      <c r="D23" s="523" t="s">
        <v>147</v>
      </c>
      <c r="E23" s="635">
        <f>'15'!F23</f>
        <v>2000</v>
      </c>
      <c r="F23" s="478">
        <v>2900</v>
      </c>
      <c r="G23" s="481">
        <v>0</v>
      </c>
      <c r="H23" s="460">
        <f>G23+'15'!H23</f>
        <v>120</v>
      </c>
      <c r="I23" s="480"/>
      <c r="J23" s="552">
        <f>H23/DAY(B2)</f>
        <v>7.5</v>
      </c>
      <c r="K23" s="428"/>
      <c r="L23" s="377"/>
      <c r="N23" s="719"/>
      <c r="O23" s="726"/>
      <c r="P23" s="382"/>
    </row>
    <row r="24" spans="1:16">
      <c r="A24" s="590" t="s">
        <v>149</v>
      </c>
      <c r="B24" s="591"/>
      <c r="C24" s="591"/>
      <c r="D24" s="511" t="s">
        <v>147</v>
      </c>
      <c r="E24" s="493">
        <f>'15'!F24</f>
        <v>4970</v>
      </c>
      <c r="F24" s="485">
        <v>4250</v>
      </c>
      <c r="G24" s="481">
        <v>0</v>
      </c>
      <c r="H24" s="460">
        <f>G24+'15'!H24</f>
        <v>120</v>
      </c>
      <c r="I24" s="480"/>
      <c r="J24" s="552">
        <f>H24/DAY(B2)</f>
        <v>7.5</v>
      </c>
      <c r="K24" s="428"/>
      <c r="L24" s="377"/>
      <c r="N24" s="719"/>
      <c r="O24" s="726"/>
      <c r="P24" s="382"/>
    </row>
    <row r="25" spans="1:16" s="442" customFormat="1" ht="27">
      <c r="A25" s="1560" t="s">
        <v>150</v>
      </c>
      <c r="B25" s="1561"/>
      <c r="C25" s="1562"/>
      <c r="D25" s="471"/>
      <c r="E25" s="471"/>
      <c r="F25" s="471"/>
      <c r="G25" s="494"/>
      <c r="H25" s="495"/>
      <c r="I25" s="496"/>
      <c r="J25" s="554"/>
      <c r="K25" s="373"/>
      <c r="L25" s="443"/>
      <c r="N25" s="719"/>
      <c r="O25" s="726"/>
      <c r="P25" s="382"/>
    </row>
    <row r="26" spans="1:16" s="442" customFormat="1" ht="27.75">
      <c r="A26" s="592" t="s">
        <v>151</v>
      </c>
      <c r="B26" s="593"/>
      <c r="C26" s="594"/>
      <c r="D26" s="618" t="s">
        <v>152</v>
      </c>
      <c r="E26" s="497"/>
      <c r="F26" s="455"/>
      <c r="G26" s="498"/>
      <c r="H26" s="460"/>
      <c r="I26" s="499"/>
      <c r="J26" s="552"/>
      <c r="K26" s="374"/>
      <c r="L26" s="443"/>
      <c r="N26" s="719"/>
      <c r="O26" s="726"/>
      <c r="P26" s="382"/>
    </row>
    <row r="27" spans="1:16" s="442" customFormat="1" ht="27.75">
      <c r="A27" s="592" t="s">
        <v>6</v>
      </c>
      <c r="B27" s="593"/>
      <c r="C27" s="594"/>
      <c r="D27" s="619" t="s">
        <v>25</v>
      </c>
      <c r="E27" s="700">
        <f>G8</f>
        <v>18477.189999999944</v>
      </c>
      <c r="F27" s="501">
        <v>9</v>
      </c>
      <c r="G27" s="502">
        <f>E27*F27</f>
        <v>166294.7099999995</v>
      </c>
      <c r="H27" s="460">
        <f>G27+'15'!H27</f>
        <v>2571319.7099999995</v>
      </c>
      <c r="I27" s="503"/>
      <c r="J27" s="552">
        <f>H27/DAY(B2)</f>
        <v>160707.48187499997</v>
      </c>
      <c r="K27" s="373"/>
      <c r="L27" s="443"/>
      <c r="N27" s="719"/>
      <c r="O27" s="726"/>
      <c r="P27" s="382"/>
    </row>
    <row r="28" spans="1:16" s="442" customFormat="1" ht="27.75">
      <c r="A28" s="592" t="s">
        <v>153</v>
      </c>
      <c r="B28" s="593"/>
      <c r="C28" s="594"/>
      <c r="D28" s="619" t="s">
        <v>154</v>
      </c>
      <c r="E28" s="700">
        <f>G15</f>
        <v>477.06499999994412</v>
      </c>
      <c r="F28" s="501">
        <v>52</v>
      </c>
      <c r="G28" s="502">
        <f>E28*F28</f>
        <v>24807.379999997094</v>
      </c>
      <c r="H28" s="460">
        <f>G28+'15'!H28</f>
        <v>424323.37999999709</v>
      </c>
      <c r="I28" s="505"/>
      <c r="J28" s="552">
        <f>H28/DAY(B2)</f>
        <v>26520.211249999818</v>
      </c>
      <c r="K28" s="373"/>
      <c r="L28" s="443"/>
      <c r="N28" s="719"/>
      <c r="O28" s="726"/>
      <c r="P28" s="382"/>
    </row>
    <row r="29" spans="1:16" s="442" customFormat="1" ht="27.75">
      <c r="A29" s="592" t="s">
        <v>155</v>
      </c>
      <c r="B29" s="593"/>
      <c r="C29" s="594"/>
      <c r="D29" s="619" t="s">
        <v>156</v>
      </c>
      <c r="E29" s="700">
        <f>G24</f>
        <v>0</v>
      </c>
      <c r="F29" s="501">
        <v>69</v>
      </c>
      <c r="G29" s="502">
        <f>E29*F29</f>
        <v>0</v>
      </c>
      <c r="H29" s="460">
        <f>G29+'15'!H29</f>
        <v>8280</v>
      </c>
      <c r="I29" s="505"/>
      <c r="J29" s="552">
        <f>H29/DAY(B2)</f>
        <v>517.5</v>
      </c>
      <c r="K29" s="373"/>
      <c r="L29" s="443"/>
      <c r="N29" s="719"/>
      <c r="O29" s="726"/>
      <c r="P29" s="382"/>
    </row>
    <row r="30" spans="1:16" s="442" customFormat="1" ht="27.75">
      <c r="A30" s="592" t="s">
        <v>157</v>
      </c>
      <c r="B30" s="593"/>
      <c r="C30" s="594"/>
      <c r="D30" s="619" t="s">
        <v>158</v>
      </c>
      <c r="E30" s="700">
        <f>G19</f>
        <v>62</v>
      </c>
      <c r="F30" s="501">
        <v>146</v>
      </c>
      <c r="G30" s="502">
        <f>E30*F30</f>
        <v>9052</v>
      </c>
      <c r="H30" s="460">
        <f>G30+'15'!H30</f>
        <v>147022</v>
      </c>
      <c r="I30" s="505"/>
      <c r="J30" s="552">
        <f>H30/DAY(B2)</f>
        <v>9188.875</v>
      </c>
      <c r="K30" s="373"/>
      <c r="L30" s="443"/>
      <c r="N30" s="719"/>
      <c r="O30" s="726"/>
      <c r="P30" s="382"/>
    </row>
    <row r="31" spans="1:16" s="442" customFormat="1" ht="27.75">
      <c r="A31" s="592" t="s">
        <v>159</v>
      </c>
      <c r="B31" s="593"/>
      <c r="C31" s="594"/>
      <c r="D31" s="619" t="s">
        <v>143</v>
      </c>
      <c r="E31" s="700">
        <f>G18</f>
        <v>30</v>
      </c>
      <c r="F31" s="501">
        <v>80</v>
      </c>
      <c r="G31" s="502">
        <f>E31*F31</f>
        <v>2400</v>
      </c>
      <c r="H31" s="460">
        <f>G31+'15'!H31</f>
        <v>79200</v>
      </c>
      <c r="I31" s="505"/>
      <c r="J31" s="552"/>
      <c r="K31" s="373"/>
      <c r="L31" s="443"/>
      <c r="N31" s="719"/>
      <c r="O31" s="726"/>
      <c r="P31" s="382"/>
    </row>
    <row r="32" spans="1:16" s="442" customFormat="1" ht="27.75">
      <c r="A32" s="595" t="s">
        <v>160</v>
      </c>
      <c r="B32" s="596"/>
      <c r="C32" s="597"/>
      <c r="D32" s="507"/>
      <c r="E32" s="507"/>
      <c r="F32" s="524"/>
      <c r="G32" s="508">
        <f>G27+G28+G29+G30+G31</f>
        <v>202554.08999999659</v>
      </c>
      <c r="H32" s="460">
        <f>G32+'15'!H32</f>
        <v>3230145.0899999966</v>
      </c>
      <c r="I32" s="509"/>
      <c r="J32" s="552">
        <f>H32/DAY(B2)</f>
        <v>201884.06812499979</v>
      </c>
      <c r="K32" s="373"/>
      <c r="L32" s="443"/>
      <c r="N32" s="719"/>
      <c r="O32" s="726"/>
      <c r="P32" s="382"/>
    </row>
    <row r="33" spans="1:16" ht="25.5">
      <c r="A33" s="1563" t="s">
        <v>161</v>
      </c>
      <c r="B33" s="1564"/>
      <c r="C33" s="1564"/>
      <c r="D33" s="1564"/>
      <c r="E33" s="1564"/>
      <c r="F33" s="1564"/>
      <c r="G33" s="1564"/>
      <c r="H33" s="1564"/>
      <c r="I33" s="1564"/>
      <c r="J33" s="1565"/>
      <c r="K33" s="428"/>
      <c r="L33" s="377"/>
      <c r="N33" s="719"/>
      <c r="O33" s="726"/>
      <c r="P33" s="382"/>
    </row>
    <row r="34" spans="1:16">
      <c r="A34" s="598" t="s">
        <v>162</v>
      </c>
      <c r="B34" s="1209"/>
      <c r="C34" s="1209"/>
      <c r="D34" s="472"/>
      <c r="E34" s="471"/>
      <c r="F34" s="471"/>
      <c r="G34" s="472"/>
      <c r="H34" s="472"/>
      <c r="I34" s="472"/>
      <c r="J34" s="551"/>
      <c r="K34" s="428"/>
      <c r="L34" s="377"/>
      <c r="N34" s="719"/>
      <c r="O34" s="726"/>
      <c r="P34" s="382"/>
    </row>
    <row r="35" spans="1:16">
      <c r="A35" s="578" t="s">
        <v>163</v>
      </c>
      <c r="B35" s="579"/>
      <c r="C35" s="579"/>
      <c r="D35" s="523" t="s">
        <v>131</v>
      </c>
      <c r="E35" s="510">
        <f>'15'!F35</f>
        <v>986946</v>
      </c>
      <c r="F35" s="510">
        <v>989448.79</v>
      </c>
      <c r="G35" s="473">
        <f t="shared" ref="G35:G46" si="3">F35-E35</f>
        <v>2502.7900000000373</v>
      </c>
      <c r="H35" s="460">
        <f>G35+'15'!H35</f>
        <v>38960.790000000037</v>
      </c>
      <c r="I35" s="455"/>
      <c r="J35" s="552">
        <f>H35/DAY(B2)</f>
        <v>2435.0493750000023</v>
      </c>
      <c r="K35" s="428"/>
      <c r="L35" s="377"/>
      <c r="N35" s="719"/>
      <c r="O35" s="727"/>
      <c r="P35" s="382"/>
    </row>
    <row r="36" spans="1:16">
      <c r="A36" s="578" t="s">
        <v>164</v>
      </c>
      <c r="B36" s="579"/>
      <c r="C36" s="579"/>
      <c r="D36" s="523" t="s">
        <v>131</v>
      </c>
      <c r="E36" s="510">
        <f>'15'!F36</f>
        <v>8823</v>
      </c>
      <c r="F36" s="510">
        <v>9636.1200000000008</v>
      </c>
      <c r="G36" s="473">
        <f t="shared" si="3"/>
        <v>813.1200000000008</v>
      </c>
      <c r="H36" s="460">
        <f>G36+'15'!H36</f>
        <v>9463.1200000000008</v>
      </c>
      <c r="I36" s="455"/>
      <c r="J36" s="552">
        <f>H36/DAY(B2)</f>
        <v>591.44500000000005</v>
      </c>
      <c r="K36" s="428"/>
      <c r="L36" s="377"/>
      <c r="N36" s="720"/>
      <c r="O36" s="727"/>
      <c r="P36" s="382"/>
    </row>
    <row r="37" spans="1:16">
      <c r="A37" s="578" t="s">
        <v>165</v>
      </c>
      <c r="B37" s="579"/>
      <c r="C37" s="579"/>
      <c r="D37" s="523" t="s">
        <v>131</v>
      </c>
      <c r="E37" s="510">
        <f>'15'!F37</f>
        <v>154495</v>
      </c>
      <c r="F37" s="510">
        <v>155919.93</v>
      </c>
      <c r="G37" s="473">
        <f t="shared" si="3"/>
        <v>1424.929999999993</v>
      </c>
      <c r="H37" s="460">
        <f>G37+'15'!H37</f>
        <v>21683.929999999993</v>
      </c>
      <c r="I37" s="455"/>
      <c r="J37" s="552">
        <f>H37/DAY(B2)</f>
        <v>1355.2456249999996</v>
      </c>
      <c r="K37" s="428"/>
      <c r="L37" s="377"/>
      <c r="N37" s="720"/>
      <c r="O37" s="727"/>
      <c r="P37" s="382"/>
    </row>
    <row r="38" spans="1:16">
      <c r="A38" s="578" t="s">
        <v>166</v>
      </c>
      <c r="B38" s="579"/>
      <c r="C38" s="579"/>
      <c r="D38" s="523" t="s">
        <v>131</v>
      </c>
      <c r="E38" s="510">
        <f>'15'!F38</f>
        <v>175383</v>
      </c>
      <c r="F38" s="469">
        <v>176614.31</v>
      </c>
      <c r="G38" s="473">
        <f t="shared" si="3"/>
        <v>1231.3099999999977</v>
      </c>
      <c r="H38" s="460">
        <f>G38+'15'!H38</f>
        <v>20209.309999999998</v>
      </c>
      <c r="I38" s="455"/>
      <c r="J38" s="552">
        <f>H38/DAY(B2)</f>
        <v>1263.0818749999999</v>
      </c>
      <c r="K38" s="428"/>
      <c r="L38" s="377"/>
      <c r="N38" s="719"/>
      <c r="O38" s="726"/>
      <c r="P38" s="382"/>
    </row>
    <row r="39" spans="1:16">
      <c r="A39" s="578" t="s">
        <v>167</v>
      </c>
      <c r="B39" s="579"/>
      <c r="C39" s="579"/>
      <c r="D39" s="523" t="s">
        <v>131</v>
      </c>
      <c r="E39" s="510">
        <f>'15'!F39</f>
        <v>351609</v>
      </c>
      <c r="F39" s="510">
        <v>354781.9</v>
      </c>
      <c r="G39" s="473">
        <f t="shared" si="3"/>
        <v>3172.9000000000233</v>
      </c>
      <c r="H39" s="460">
        <f>G39+'15'!H39</f>
        <v>46608.900000000023</v>
      </c>
      <c r="I39" s="455"/>
      <c r="J39" s="552">
        <f>H39/DAY(B2)</f>
        <v>2913.0562500000015</v>
      </c>
      <c r="K39" s="428"/>
      <c r="L39" s="377"/>
      <c r="N39" s="719"/>
      <c r="O39" s="727"/>
      <c r="P39" s="382"/>
    </row>
    <row r="40" spans="1:16">
      <c r="A40" s="599" t="s">
        <v>168</v>
      </c>
      <c r="B40" s="600"/>
      <c r="C40" s="600"/>
      <c r="D40" s="523" t="s">
        <v>131</v>
      </c>
      <c r="E40" s="510">
        <f>'15'!F40</f>
        <v>1678</v>
      </c>
      <c r="F40" s="510">
        <v>1797.94</v>
      </c>
      <c r="G40" s="473">
        <f t="shared" si="3"/>
        <v>119.94000000000005</v>
      </c>
      <c r="H40" s="460">
        <f>G40+'15'!H40</f>
        <v>908.94</v>
      </c>
      <c r="I40" s="455"/>
      <c r="J40" s="552">
        <f>H40/DAY(B2)</f>
        <v>56.808750000000003</v>
      </c>
      <c r="K40" s="429"/>
      <c r="L40" s="377"/>
      <c r="N40" s="719"/>
      <c r="O40" s="726"/>
      <c r="P40" s="382"/>
    </row>
    <row r="41" spans="1:16">
      <c r="A41" s="578" t="s">
        <v>169</v>
      </c>
      <c r="B41" s="579"/>
      <c r="C41" s="579"/>
      <c r="D41" s="523" t="s">
        <v>131</v>
      </c>
      <c r="E41" s="510">
        <f>'15'!F41</f>
        <v>284526</v>
      </c>
      <c r="F41" s="510">
        <v>289890.65000000002</v>
      </c>
      <c r="G41" s="473">
        <f t="shared" si="3"/>
        <v>5364.6500000000233</v>
      </c>
      <c r="H41" s="460">
        <f>G41+'15'!H41</f>
        <v>49412.650000000023</v>
      </c>
      <c r="I41" s="455"/>
      <c r="J41" s="552">
        <f>H41/DAY(B2)</f>
        <v>3088.2906250000015</v>
      </c>
      <c r="K41" s="428"/>
      <c r="L41" s="377"/>
      <c r="N41" s="719"/>
      <c r="O41" s="728"/>
      <c r="P41" s="722"/>
    </row>
    <row r="42" spans="1:16">
      <c r="A42" s="578" t="s">
        <v>170</v>
      </c>
      <c r="B42" s="579"/>
      <c r="C42" s="579"/>
      <c r="D42" s="523" t="s">
        <v>131</v>
      </c>
      <c r="E42" s="510">
        <f>'15'!F42</f>
        <v>59211</v>
      </c>
      <c r="F42" s="510">
        <v>59210.080000000002</v>
      </c>
      <c r="G42" s="473">
        <f>F42-E42</f>
        <v>-0.91999999999825377</v>
      </c>
      <c r="H42" s="460">
        <f>G42+'15'!H42</f>
        <v>11.110000000000582</v>
      </c>
      <c r="I42" s="455"/>
      <c r="J42" s="552">
        <f>H42/DAY(B2)</f>
        <v>0.69437500000003638</v>
      </c>
      <c r="K42" s="428"/>
      <c r="L42" s="377"/>
      <c r="N42" s="719"/>
      <c r="O42" s="726"/>
      <c r="P42" s="382"/>
    </row>
    <row r="43" spans="1:16">
      <c r="A43" s="578" t="s">
        <v>171</v>
      </c>
      <c r="B43" s="579"/>
      <c r="C43" s="579"/>
      <c r="D43" s="523" t="s">
        <v>131</v>
      </c>
      <c r="E43" s="510">
        <f>'15'!F43</f>
        <v>1078896</v>
      </c>
      <c r="F43" s="510">
        <v>1081331</v>
      </c>
      <c r="G43" s="473">
        <f t="shared" si="3"/>
        <v>2435</v>
      </c>
      <c r="H43" s="460">
        <f>G43+'15'!H43</f>
        <v>39087</v>
      </c>
      <c r="I43" s="455"/>
      <c r="J43" s="552">
        <f>H43/DAY(B2)</f>
        <v>2442.9375</v>
      </c>
      <c r="K43" s="428"/>
      <c r="L43" s="377"/>
      <c r="N43" s="719"/>
      <c r="O43" s="727"/>
      <c r="P43" s="382"/>
    </row>
    <row r="44" spans="1:16">
      <c r="A44" s="578" t="s">
        <v>172</v>
      </c>
      <c r="B44" s="579"/>
      <c r="C44" s="579"/>
      <c r="D44" s="523" t="s">
        <v>131</v>
      </c>
      <c r="E44" s="510">
        <f>'15'!F44</f>
        <v>0</v>
      </c>
      <c r="F44" s="510">
        <v>0</v>
      </c>
      <c r="G44" s="473">
        <f t="shared" si="3"/>
        <v>0</v>
      </c>
      <c r="H44" s="460">
        <f>G44+'15'!H44</f>
        <v>0</v>
      </c>
      <c r="I44" s="455"/>
      <c r="J44" s="552">
        <f>H44/DAY(B2)</f>
        <v>0</v>
      </c>
      <c r="K44" s="428"/>
      <c r="L44" s="377"/>
      <c r="N44" s="719"/>
      <c r="O44" s="726"/>
      <c r="P44" s="382"/>
    </row>
    <row r="45" spans="1:16">
      <c r="A45" s="578" t="s">
        <v>173</v>
      </c>
      <c r="B45" s="579"/>
      <c r="C45" s="579"/>
      <c r="D45" s="523" t="s">
        <v>131</v>
      </c>
      <c r="E45" s="510">
        <f>'15'!F45</f>
        <v>614</v>
      </c>
      <c r="F45" s="510">
        <v>614</v>
      </c>
      <c r="G45" s="473">
        <f t="shared" si="3"/>
        <v>0</v>
      </c>
      <c r="H45" s="460">
        <f>G45+'15'!H45</f>
        <v>0</v>
      </c>
      <c r="I45" s="455"/>
      <c r="J45" s="552">
        <f>H45/DAY(B2)</f>
        <v>0</v>
      </c>
      <c r="K45" s="428"/>
      <c r="L45" s="377"/>
      <c r="N45" s="723"/>
      <c r="O45" s="726"/>
      <c r="P45" s="382"/>
    </row>
    <row r="46" spans="1:16">
      <c r="A46" s="578" t="s">
        <v>174</v>
      </c>
      <c r="B46" s="579"/>
      <c r="C46" s="579"/>
      <c r="D46" s="523" t="s">
        <v>131</v>
      </c>
      <c r="E46" s="510">
        <f>'15'!F46</f>
        <v>187.49</v>
      </c>
      <c r="F46" s="510">
        <v>187.49</v>
      </c>
      <c r="G46" s="473">
        <f t="shared" si="3"/>
        <v>0</v>
      </c>
      <c r="H46" s="460">
        <f>G46+'15'!H46</f>
        <v>0</v>
      </c>
      <c r="I46" s="455"/>
      <c r="J46" s="552">
        <f>H46/DAY(B2)</f>
        <v>0</v>
      </c>
      <c r="K46" s="428"/>
      <c r="L46" s="377"/>
      <c r="N46" s="719"/>
      <c r="O46" s="726"/>
      <c r="P46" s="382"/>
    </row>
    <row r="47" spans="1:16">
      <c r="A47" s="585" t="s">
        <v>175</v>
      </c>
      <c r="B47" s="586"/>
      <c r="C47" s="586"/>
      <c r="D47" s="470"/>
      <c r="E47" s="511"/>
      <c r="F47" s="511"/>
      <c r="G47" s="481">
        <f>G35+G36+G37+G38+G39+G40+G41+G42+G43+G44+G45+G46</f>
        <v>17063.720000000078</v>
      </c>
      <c r="H47" s="460">
        <f>G47+'15'!H47</f>
        <v>226346.24000000008</v>
      </c>
      <c r="I47" s="455"/>
      <c r="J47" s="552">
        <f>H47/DAY(B2)</f>
        <v>14146.640000000005</v>
      </c>
      <c r="K47" s="428"/>
      <c r="L47" s="377"/>
      <c r="N47" s="719"/>
      <c r="O47" s="726"/>
      <c r="P47" s="382"/>
    </row>
    <row r="48" spans="1:16">
      <c r="A48" s="598" t="s">
        <v>176</v>
      </c>
      <c r="B48" s="1209"/>
      <c r="C48" s="1209"/>
      <c r="D48" s="472"/>
      <c r="E48" s="471"/>
      <c r="F48" s="471"/>
      <c r="G48" s="472"/>
      <c r="H48" s="472"/>
      <c r="I48" s="472"/>
      <c r="J48" s="551"/>
      <c r="K48" s="428"/>
      <c r="L48" s="377"/>
      <c r="N48" s="719"/>
      <c r="O48" s="726"/>
      <c r="P48" s="382"/>
    </row>
    <row r="49" spans="1:16">
      <c r="A49" s="578" t="s">
        <v>163</v>
      </c>
      <c r="B49" s="601"/>
      <c r="C49" s="601"/>
      <c r="D49" s="523" t="s">
        <v>131</v>
      </c>
      <c r="E49" s="510">
        <f>'15'!F49</f>
        <v>260732</v>
      </c>
      <c r="F49" s="510">
        <v>260732.13</v>
      </c>
      <c r="G49" s="473">
        <f t="shared" ref="G49:G58" si="4">F49-E49</f>
        <v>0.13000000000465661</v>
      </c>
      <c r="H49" s="460">
        <f>G49+'15'!H49</f>
        <v>0.13000000000465661</v>
      </c>
      <c r="I49" s="455"/>
      <c r="J49" s="552">
        <f>H49/DAY(B2)</f>
        <v>8.1250000002910383E-3</v>
      </c>
      <c r="K49" s="428">
        <f>E49+244</f>
        <v>260976</v>
      </c>
      <c r="L49" s="377"/>
      <c r="N49" s="719"/>
      <c r="O49" s="726"/>
      <c r="P49" s="382"/>
    </row>
    <row r="50" spans="1:16">
      <c r="A50" s="578" t="s">
        <v>177</v>
      </c>
      <c r="B50" s="601"/>
      <c r="C50" s="601"/>
      <c r="D50" s="523" t="s">
        <v>131</v>
      </c>
      <c r="E50" s="510">
        <f>'15'!F50</f>
        <v>516817</v>
      </c>
      <c r="F50" s="1057">
        <v>517920.87</v>
      </c>
      <c r="G50" s="473">
        <f t="shared" si="4"/>
        <v>1103.8699999999953</v>
      </c>
      <c r="H50" s="460">
        <f>G50+'15'!H50</f>
        <v>14494.869999999995</v>
      </c>
      <c r="I50" s="455"/>
      <c r="J50" s="552">
        <f>H50/DAY(B2)</f>
        <v>905.92937499999971</v>
      </c>
      <c r="K50" s="428"/>
      <c r="L50" s="377"/>
      <c r="N50" s="719"/>
      <c r="O50" s="727"/>
      <c r="P50" s="382"/>
    </row>
    <row r="51" spans="1:16">
      <c r="A51" s="578" t="s">
        <v>165</v>
      </c>
      <c r="B51" s="601"/>
      <c r="C51" s="601"/>
      <c r="D51" s="523" t="s">
        <v>131</v>
      </c>
      <c r="E51" s="510">
        <f>'15'!F51</f>
        <v>144639.87</v>
      </c>
      <c r="F51" s="510">
        <v>144639.87</v>
      </c>
      <c r="G51" s="473">
        <f t="shared" si="4"/>
        <v>0</v>
      </c>
      <c r="H51" s="460">
        <f>G51+'15'!H51</f>
        <v>-0.13000000000465661</v>
      </c>
      <c r="I51" s="455"/>
      <c r="J51" s="552">
        <f>H51/DAY(B2)</f>
        <v>-8.1250000002910383E-3</v>
      </c>
      <c r="K51" s="428"/>
      <c r="L51" s="377"/>
      <c r="N51" s="719"/>
      <c r="O51" s="726"/>
      <c r="P51" s="382"/>
    </row>
    <row r="52" spans="1:16">
      <c r="A52" s="578" t="s">
        <v>178</v>
      </c>
      <c r="B52" s="601"/>
      <c r="C52" s="601"/>
      <c r="D52" s="523" t="s">
        <v>131</v>
      </c>
      <c r="E52" s="510">
        <f>'15'!F52</f>
        <v>539606</v>
      </c>
      <c r="F52" s="510">
        <v>539606.06999999995</v>
      </c>
      <c r="G52" s="473">
        <f t="shared" si="4"/>
        <v>6.9999999948777258E-2</v>
      </c>
      <c r="H52" s="460">
        <f>G52+'15'!H52</f>
        <v>0</v>
      </c>
      <c r="I52" s="455"/>
      <c r="J52" s="552">
        <f>H52/DAY(B2)</f>
        <v>0</v>
      </c>
      <c r="K52" s="428"/>
      <c r="L52" s="377"/>
      <c r="N52" s="719"/>
      <c r="O52" s="726"/>
      <c r="P52" s="382"/>
    </row>
    <row r="53" spans="1:16">
      <c r="A53" s="578" t="s">
        <v>167</v>
      </c>
      <c r="B53" s="601"/>
      <c r="C53" s="601"/>
      <c r="D53" s="523" t="s">
        <v>131</v>
      </c>
      <c r="E53" s="510">
        <f>'15'!F53</f>
        <v>434232</v>
      </c>
      <c r="F53" s="510">
        <v>434231.59</v>
      </c>
      <c r="G53" s="473">
        <f t="shared" si="4"/>
        <v>-0.40999999997438863</v>
      </c>
      <c r="H53" s="460">
        <f>G53+'15'!H53</f>
        <v>1663.2600000000093</v>
      </c>
      <c r="I53" s="455"/>
      <c r="J53" s="552">
        <f>H53/DAY(B2)</f>
        <v>103.95375000000058</v>
      </c>
      <c r="K53" s="428"/>
      <c r="L53" s="377"/>
      <c r="N53" s="719"/>
      <c r="O53" s="726"/>
      <c r="P53" s="382"/>
    </row>
    <row r="54" spans="1:16">
      <c r="A54" s="578" t="s">
        <v>179</v>
      </c>
      <c r="B54" s="601"/>
      <c r="C54" s="601"/>
      <c r="D54" s="523" t="s">
        <v>131</v>
      </c>
      <c r="E54" s="510">
        <f>'15'!F54</f>
        <v>14967</v>
      </c>
      <c r="F54" s="510">
        <v>14967.27</v>
      </c>
      <c r="G54" s="473">
        <f t="shared" si="4"/>
        <v>0.27000000000043656</v>
      </c>
      <c r="H54" s="460">
        <f>G54+'15'!H54</f>
        <v>1138.2700000000004</v>
      </c>
      <c r="I54" s="455"/>
      <c r="J54" s="552">
        <f>H54/DAY(B2)</f>
        <v>71.141875000000027</v>
      </c>
      <c r="K54" s="428"/>
      <c r="L54" s="377"/>
      <c r="N54" s="719"/>
      <c r="O54" s="726"/>
      <c r="P54" s="382"/>
    </row>
    <row r="55" spans="1:16">
      <c r="A55" s="578" t="s">
        <v>180</v>
      </c>
      <c r="B55" s="601"/>
      <c r="C55" s="601"/>
      <c r="D55" s="523" t="s">
        <v>131</v>
      </c>
      <c r="E55" s="510">
        <f>'15'!F55</f>
        <v>70500</v>
      </c>
      <c r="F55" s="654">
        <v>70500.009999999995</v>
      </c>
      <c r="G55" s="653">
        <f t="shared" si="4"/>
        <v>9.9999999947613105E-3</v>
      </c>
      <c r="H55" s="706">
        <f>G55+'15'!H55</f>
        <v>2389.0099999999948</v>
      </c>
      <c r="I55" s="707"/>
      <c r="J55" s="708">
        <f>H55/DAY(B2)</f>
        <v>149.31312499999967</v>
      </c>
      <c r="K55" s="428"/>
      <c r="L55" s="377"/>
      <c r="N55" s="719"/>
      <c r="O55" s="726"/>
      <c r="P55" s="382"/>
    </row>
    <row r="56" spans="1:16">
      <c r="A56" s="578" t="s">
        <v>181</v>
      </c>
      <c r="B56" s="601"/>
      <c r="C56" s="601"/>
      <c r="D56" s="523" t="s">
        <v>182</v>
      </c>
      <c r="E56" s="510">
        <f>'15'!F56</f>
        <v>648878</v>
      </c>
      <c r="F56" s="654">
        <v>648888.51</v>
      </c>
      <c r="G56" s="473">
        <f t="shared" si="4"/>
        <v>10.510000000009313</v>
      </c>
      <c r="H56" s="460">
        <f>G56+'15'!H56</f>
        <v>31690.510000000009</v>
      </c>
      <c r="I56" s="455"/>
      <c r="J56" s="552">
        <f>H56/DAY(B2)</f>
        <v>1980.6568750000006</v>
      </c>
      <c r="K56" s="427"/>
      <c r="L56" s="377"/>
      <c r="N56" s="719"/>
      <c r="O56" s="728"/>
      <c r="P56" s="382"/>
    </row>
    <row r="57" spans="1:16">
      <c r="A57" s="578" t="s">
        <v>171</v>
      </c>
      <c r="B57" s="601"/>
      <c r="C57" s="601"/>
      <c r="D57" s="523" t="s">
        <v>131</v>
      </c>
      <c r="E57" s="510">
        <f>'15'!F57</f>
        <v>7711.33</v>
      </c>
      <c r="F57" s="510">
        <v>7711.33</v>
      </c>
      <c r="G57" s="473">
        <f t="shared" si="4"/>
        <v>0</v>
      </c>
      <c r="H57" s="460">
        <f>G57+'15'!H57</f>
        <v>0.32999999999992724</v>
      </c>
      <c r="I57" s="455"/>
      <c r="J57" s="552">
        <f>H57/DAY(B2)</f>
        <v>2.0624999999995453E-2</v>
      </c>
      <c r="K57" s="428"/>
      <c r="L57" s="377"/>
      <c r="N57" s="719"/>
      <c r="O57" s="726"/>
      <c r="P57" s="382"/>
    </row>
    <row r="58" spans="1:16">
      <c r="A58" s="578" t="s">
        <v>183</v>
      </c>
      <c r="B58" s="601"/>
      <c r="C58" s="601"/>
      <c r="D58" s="523" t="s">
        <v>131</v>
      </c>
      <c r="E58" s="510">
        <f>'15'!F58</f>
        <v>51500</v>
      </c>
      <c r="F58" s="654">
        <v>51517.11</v>
      </c>
      <c r="G58" s="473">
        <f t="shared" si="4"/>
        <v>17.110000000000582</v>
      </c>
      <c r="H58" s="460">
        <f>G58+'15'!H58</f>
        <v>1652.9000000000015</v>
      </c>
      <c r="I58" s="455"/>
      <c r="J58" s="552">
        <f>H58/DAY(B2)</f>
        <v>103.30625000000009</v>
      </c>
      <c r="K58" s="428"/>
      <c r="L58" s="377"/>
      <c r="N58" s="719"/>
      <c r="O58" s="726"/>
      <c r="P58" s="382"/>
    </row>
    <row r="59" spans="1:16">
      <c r="A59" s="585" t="s">
        <v>175</v>
      </c>
      <c r="B59" s="586"/>
      <c r="C59" s="586"/>
      <c r="D59" s="511"/>
      <c r="E59" s="511"/>
      <c r="F59" s="511"/>
      <c r="G59" s="481">
        <f>G49+G50+G51+G52+G53+G54+G55+G56+G57+G58</f>
        <v>1131.5599999999795</v>
      </c>
      <c r="H59" s="460">
        <f>G59+'15'!H59</f>
        <v>53029.219999999958</v>
      </c>
      <c r="I59" s="455">
        <f>G7-G60</f>
        <v>211.02999999999884</v>
      </c>
      <c r="J59" s="552">
        <f>H59/DAY(B2)</f>
        <v>3314.3262499999973</v>
      </c>
      <c r="K59" s="428"/>
      <c r="L59" s="377"/>
      <c r="N59" s="719"/>
      <c r="O59" s="726"/>
      <c r="P59" s="382"/>
    </row>
    <row r="60" spans="1:16">
      <c r="A60" s="578"/>
      <c r="B60" s="579"/>
      <c r="C60" s="579"/>
      <c r="D60" s="511" t="s">
        <v>184</v>
      </c>
      <c r="E60" s="511"/>
      <c r="F60" s="511"/>
      <c r="G60" s="481">
        <f>G47+G59</f>
        <v>18195.280000000057</v>
      </c>
      <c r="H60" s="460">
        <f>G60+'15'!H60</f>
        <v>280584</v>
      </c>
      <c r="I60" s="455">
        <f>G13-G60</f>
        <v>-379.48000000005777</v>
      </c>
      <c r="J60" s="552">
        <f>H60/DAY(B2)</f>
        <v>17536.5</v>
      </c>
      <c r="K60" s="428"/>
      <c r="L60" s="377"/>
      <c r="N60" s="719"/>
      <c r="O60" s="726"/>
      <c r="P60" s="382"/>
    </row>
    <row r="61" spans="1:16">
      <c r="A61" s="602" t="s">
        <v>185</v>
      </c>
      <c r="B61" s="453"/>
      <c r="C61" s="453"/>
      <c r="D61" s="513"/>
      <c r="E61" s="512"/>
      <c r="F61" s="512"/>
      <c r="G61" s="513"/>
      <c r="H61" s="513"/>
      <c r="I61" s="513"/>
      <c r="J61" s="555"/>
      <c r="K61" s="428"/>
      <c r="L61" s="377"/>
      <c r="N61" s="719"/>
      <c r="O61" s="726"/>
      <c r="P61" s="382"/>
    </row>
    <row r="62" spans="1:16">
      <c r="A62" s="603" t="s">
        <v>97</v>
      </c>
      <c r="B62" s="604"/>
      <c r="C62" s="604"/>
      <c r="D62" s="511" t="s">
        <v>186</v>
      </c>
      <c r="E62" s="514">
        <f>'15'!F62</f>
        <v>20419.18</v>
      </c>
      <c r="F62" s="514">
        <v>20419.18</v>
      </c>
      <c r="G62" s="473">
        <f t="shared" ref="G62:G69" si="5">F62-E62</f>
        <v>0</v>
      </c>
      <c r="H62" s="460">
        <f>G62+'15'!H62</f>
        <v>0.18199999999706051</v>
      </c>
      <c r="I62" s="515"/>
      <c r="J62" s="552">
        <f>H62/DAY(B2)</f>
        <v>1.1374999999816282E-2</v>
      </c>
      <c r="K62" s="428"/>
      <c r="L62" s="377"/>
      <c r="N62" s="719"/>
      <c r="O62" s="726"/>
      <c r="P62" s="382"/>
    </row>
    <row r="63" spans="1:16">
      <c r="A63" s="603" t="s">
        <v>187</v>
      </c>
      <c r="B63" s="604"/>
      <c r="C63" s="604"/>
      <c r="D63" s="511" t="s">
        <v>186</v>
      </c>
      <c r="E63" s="514">
        <f>'15'!F63</f>
        <v>0</v>
      </c>
      <c r="F63" s="514">
        <v>0</v>
      </c>
      <c r="G63" s="473">
        <f t="shared" si="5"/>
        <v>0</v>
      </c>
      <c r="H63" s="460">
        <f>G63+'15'!H63</f>
        <v>0</v>
      </c>
      <c r="I63" s="515"/>
      <c r="J63" s="552">
        <f>H63/DAY(B2)</f>
        <v>0</v>
      </c>
      <c r="K63" s="428"/>
      <c r="L63" s="377"/>
      <c r="N63" s="719"/>
      <c r="O63" s="726"/>
      <c r="P63" s="382"/>
    </row>
    <row r="64" spans="1:16" ht="27.75">
      <c r="A64" s="1534" t="s">
        <v>98</v>
      </c>
      <c r="B64" s="1535"/>
      <c r="C64" s="1536"/>
      <c r="D64" s="523" t="s">
        <v>186</v>
      </c>
      <c r="E64" s="1231">
        <f>'15'!F64</f>
        <v>164442</v>
      </c>
      <c r="F64" s="626">
        <v>164857.35</v>
      </c>
      <c r="G64" s="774">
        <f t="shared" si="5"/>
        <v>415.35000000000582</v>
      </c>
      <c r="H64" s="460">
        <f>G64+'15'!H64</f>
        <v>4925.3500000000058</v>
      </c>
      <c r="I64" s="480"/>
      <c r="J64" s="552">
        <f>H64/DAY(B2)</f>
        <v>307.83437500000036</v>
      </c>
      <c r="K64" s="428"/>
      <c r="L64" s="377"/>
      <c r="N64" s="719"/>
      <c r="O64" s="726"/>
      <c r="P64" s="382"/>
    </row>
    <row r="65" spans="1:16" ht="27.75">
      <c r="A65" s="1534" t="s">
        <v>99</v>
      </c>
      <c r="B65" s="1535"/>
      <c r="C65" s="1536"/>
      <c r="D65" s="523" t="s">
        <v>186</v>
      </c>
      <c r="E65" s="514">
        <f>'15'!F65</f>
        <v>164888</v>
      </c>
      <c r="F65" s="652">
        <v>165153.25</v>
      </c>
      <c r="G65" s="473">
        <f t="shared" si="5"/>
        <v>265.25</v>
      </c>
      <c r="H65" s="460">
        <f>G65+'15'!H65</f>
        <v>4155.25</v>
      </c>
      <c r="I65" s="489"/>
      <c r="J65" s="552">
        <f>H65/DAY(B2)</f>
        <v>259.703125</v>
      </c>
      <c r="K65" s="428"/>
      <c r="L65" s="377"/>
      <c r="N65" s="719"/>
      <c r="O65" s="727"/>
      <c r="P65" s="382"/>
    </row>
    <row r="66" spans="1:16" ht="27.75">
      <c r="A66" s="1534" t="s">
        <v>100</v>
      </c>
      <c r="B66" s="1535"/>
      <c r="C66" s="1536"/>
      <c r="D66" s="523" t="s">
        <v>186</v>
      </c>
      <c r="E66" s="514">
        <f>'15'!F66</f>
        <v>62024</v>
      </c>
      <c r="F66" s="478">
        <v>62324.23</v>
      </c>
      <c r="G66" s="473">
        <f t="shared" si="5"/>
        <v>300.2300000000032</v>
      </c>
      <c r="H66" s="460">
        <f>G66+'15'!H66</f>
        <v>5519.2300000000032</v>
      </c>
      <c r="I66" s="480"/>
      <c r="J66" s="552">
        <f>H66/DAY(B2)</f>
        <v>344.9518750000002</v>
      </c>
      <c r="K66" s="428"/>
      <c r="L66" s="377"/>
      <c r="N66" s="719"/>
      <c r="O66" s="726"/>
      <c r="P66" s="382"/>
    </row>
    <row r="67" spans="1:16" ht="27.75">
      <c r="A67" s="1534" t="s">
        <v>101</v>
      </c>
      <c r="B67" s="1535"/>
      <c r="C67" s="1536"/>
      <c r="D67" s="523" t="s">
        <v>186</v>
      </c>
      <c r="E67" s="514">
        <f>'15'!F67</f>
        <v>258242</v>
      </c>
      <c r="F67" s="478">
        <v>258634.39</v>
      </c>
      <c r="G67" s="473">
        <f t="shared" si="5"/>
        <v>392.39000000001397</v>
      </c>
      <c r="H67" s="460">
        <f>G67+'15'!H67</f>
        <v>6442.390000000014</v>
      </c>
      <c r="I67" s="489"/>
      <c r="J67" s="552">
        <f>H67/DAY(B2)</f>
        <v>402.64937500000087</v>
      </c>
      <c r="K67" s="429"/>
      <c r="L67" s="377"/>
      <c r="N67" s="719"/>
      <c r="O67" s="726"/>
      <c r="P67" s="382"/>
    </row>
    <row r="68" spans="1:16" ht="27.75">
      <c r="A68" s="1534" t="s">
        <v>102</v>
      </c>
      <c r="B68" s="1535"/>
      <c r="C68" s="1536"/>
      <c r="D68" s="523" t="s">
        <v>186</v>
      </c>
      <c r="E68" s="514">
        <f>'15'!F68</f>
        <v>85321</v>
      </c>
      <c r="F68" s="478">
        <v>85321</v>
      </c>
      <c r="G68" s="473">
        <f t="shared" si="5"/>
        <v>0</v>
      </c>
      <c r="H68" s="460">
        <f>G68+'15'!H68</f>
        <v>0</v>
      </c>
      <c r="I68" s="516"/>
      <c r="J68" s="552">
        <f>H68/DAY(B2)</f>
        <v>0</v>
      </c>
      <c r="K68" s="430"/>
      <c r="L68" s="377"/>
      <c r="N68" s="719"/>
      <c r="O68" s="726"/>
      <c r="P68" s="382"/>
    </row>
    <row r="69" spans="1:16" ht="27.75">
      <c r="A69" s="1534" t="s">
        <v>103</v>
      </c>
      <c r="B69" s="1535"/>
      <c r="C69" s="1536"/>
      <c r="D69" s="523" t="s">
        <v>186</v>
      </c>
      <c r="E69" s="514">
        <f>'15'!F69</f>
        <v>83932</v>
      </c>
      <c r="F69" s="478">
        <v>84160.27</v>
      </c>
      <c r="G69" s="473">
        <f t="shared" si="5"/>
        <v>228.27000000000407</v>
      </c>
      <c r="H69" s="460">
        <f>G69+'15'!H69</f>
        <v>2411.2700000000041</v>
      </c>
      <c r="I69" s="516"/>
      <c r="J69" s="552">
        <f>H69/DAY(B2)</f>
        <v>150.70437500000025</v>
      </c>
      <c r="K69" s="431"/>
      <c r="L69" s="377"/>
      <c r="N69" s="719"/>
      <c r="O69" s="726"/>
      <c r="P69" s="382"/>
    </row>
    <row r="70" spans="1:16" ht="27.75">
      <c r="A70" s="1566" t="s">
        <v>188</v>
      </c>
      <c r="B70" s="1567"/>
      <c r="C70" s="1568"/>
      <c r="D70" s="523" t="s">
        <v>186</v>
      </c>
      <c r="E70" s="518"/>
      <c r="F70" s="518"/>
      <c r="G70" s="518"/>
      <c r="H70" s="460"/>
      <c r="I70" s="518"/>
      <c r="J70" s="556"/>
      <c r="K70" s="431"/>
      <c r="L70" s="377"/>
      <c r="N70" s="719"/>
      <c r="O70" s="726"/>
      <c r="P70" s="382"/>
    </row>
    <row r="71" spans="1:16" ht="31.5">
      <c r="A71" s="1580"/>
      <c r="B71" s="1581"/>
      <c r="C71" s="1581"/>
      <c r="D71" s="1581"/>
      <c r="E71" s="1581"/>
      <c r="F71" s="1581"/>
      <c r="G71" s="1581"/>
      <c r="H71" s="1581"/>
      <c r="I71" s="1581"/>
      <c r="J71" s="1582"/>
      <c r="K71" s="430"/>
      <c r="L71" s="377"/>
      <c r="N71" s="719"/>
      <c r="O71" s="726"/>
      <c r="P71" s="382"/>
    </row>
    <row r="72" spans="1:16" ht="27.75">
      <c r="A72" s="1534" t="s">
        <v>190</v>
      </c>
      <c r="B72" s="1535"/>
      <c r="C72" s="1536"/>
      <c r="D72" s="523" t="s">
        <v>186</v>
      </c>
      <c r="E72" s="519">
        <f>'15'!F72</f>
        <v>856040</v>
      </c>
      <c r="F72" s="655">
        <v>856053</v>
      </c>
      <c r="G72" s="473">
        <f t="shared" ref="G72:G84" si="6">F72-E72</f>
        <v>13</v>
      </c>
      <c r="H72" s="460">
        <f>G72+'15'!H72</f>
        <v>197</v>
      </c>
      <c r="I72" s="480"/>
      <c r="J72" s="552">
        <f>H72/DAY(B2)</f>
        <v>12.3125</v>
      </c>
      <c r="K72" s="431"/>
      <c r="L72" s="377"/>
      <c r="N72" s="719"/>
      <c r="O72" s="726"/>
      <c r="P72" s="382"/>
    </row>
    <row r="73" spans="1:16" ht="27.75">
      <c r="A73" s="1534" t="s">
        <v>191</v>
      </c>
      <c r="B73" s="1535"/>
      <c r="C73" s="1536"/>
      <c r="D73" s="523" t="s">
        <v>186</v>
      </c>
      <c r="E73" s="519">
        <f>'15'!F73</f>
        <v>885955</v>
      </c>
      <c r="F73" s="656">
        <v>885956</v>
      </c>
      <c r="G73" s="653">
        <f t="shared" si="6"/>
        <v>1</v>
      </c>
      <c r="H73" s="460">
        <f>G73+'15'!H73</f>
        <v>175</v>
      </c>
      <c r="I73" s="480"/>
      <c r="J73" s="552">
        <f>H73/DAY(B2)</f>
        <v>10.9375</v>
      </c>
      <c r="K73" s="430"/>
      <c r="L73" s="377"/>
      <c r="N73" s="719"/>
      <c r="O73" s="726"/>
      <c r="P73" s="382"/>
    </row>
    <row r="74" spans="1:16" ht="27.75">
      <c r="A74" s="1534" t="s">
        <v>192</v>
      </c>
      <c r="B74" s="1535"/>
      <c r="C74" s="1536"/>
      <c r="D74" s="523" t="s">
        <v>186</v>
      </c>
      <c r="E74" s="519">
        <f>'15'!F74</f>
        <v>88680</v>
      </c>
      <c r="F74" s="656">
        <v>88681.8</v>
      </c>
      <c r="G74" s="473">
        <f t="shared" si="6"/>
        <v>1.8000000000029104</v>
      </c>
      <c r="H74" s="460">
        <f>G74+'15'!H74</f>
        <v>16.760000000002947</v>
      </c>
      <c r="I74" s="480"/>
      <c r="J74" s="552">
        <f>H74/DAY(B2)</f>
        <v>1.0475000000001842</v>
      </c>
      <c r="K74" s="431"/>
      <c r="L74" s="377"/>
      <c r="N74" s="719"/>
      <c r="O74" s="726"/>
      <c r="P74" s="382"/>
    </row>
    <row r="75" spans="1:16" ht="27.75">
      <c r="A75" s="1583" t="s">
        <v>193</v>
      </c>
      <c r="B75" s="1584"/>
      <c r="C75" s="1585"/>
      <c r="D75" s="523" t="s">
        <v>186</v>
      </c>
      <c r="E75" s="519">
        <f>'15'!F75</f>
        <v>13893</v>
      </c>
      <c r="F75" s="656">
        <v>14026.49</v>
      </c>
      <c r="G75" s="473">
        <f t="shared" si="6"/>
        <v>133.48999999999978</v>
      </c>
      <c r="H75" s="460">
        <f>G75+'15'!H75</f>
        <v>1357.4899999999998</v>
      </c>
      <c r="I75" s="480"/>
      <c r="J75" s="552">
        <f>H75/DAY(B2)</f>
        <v>84.843124999999986</v>
      </c>
      <c r="K75" s="430"/>
      <c r="L75" s="377"/>
      <c r="N75" s="719"/>
      <c r="O75" s="726"/>
      <c r="P75" s="382"/>
    </row>
    <row r="76" spans="1:16" ht="27.75">
      <c r="A76" s="1583" t="s">
        <v>194</v>
      </c>
      <c r="B76" s="1584"/>
      <c r="C76" s="1585"/>
      <c r="D76" s="523" t="s">
        <v>186</v>
      </c>
      <c r="E76" s="519">
        <f>'15'!F76</f>
        <v>8293</v>
      </c>
      <c r="F76" s="656">
        <v>8349.7199999999993</v>
      </c>
      <c r="G76" s="473">
        <f t="shared" si="6"/>
        <v>56.719999999999345</v>
      </c>
      <c r="H76" s="460">
        <f>G76+'15'!H76</f>
        <v>1143.7199999999993</v>
      </c>
      <c r="I76" s="505"/>
      <c r="J76" s="552">
        <f>H76/DAY(B2)</f>
        <v>71.482499999999959</v>
      </c>
      <c r="K76" s="430"/>
      <c r="L76" s="377"/>
      <c r="N76" s="719"/>
      <c r="O76" s="726"/>
      <c r="P76" s="382"/>
    </row>
    <row r="77" spans="1:16" ht="27.75">
      <c r="A77" s="1534" t="s">
        <v>195</v>
      </c>
      <c r="B77" s="1535"/>
      <c r="C77" s="1536"/>
      <c r="D77" s="523" t="s">
        <v>186</v>
      </c>
      <c r="E77" s="519">
        <f>'15'!F77</f>
        <v>703584</v>
      </c>
      <c r="F77" s="656">
        <v>703642</v>
      </c>
      <c r="G77" s="653">
        <f t="shared" si="6"/>
        <v>58</v>
      </c>
      <c r="H77" s="460">
        <f>G77+'15'!H77</f>
        <v>803</v>
      </c>
      <c r="I77" s="505"/>
      <c r="J77" s="552">
        <f>H77/DAY(B2)</f>
        <v>50.1875</v>
      </c>
      <c r="K77" s="430"/>
      <c r="L77" s="377"/>
      <c r="N77" s="719"/>
      <c r="O77" s="726"/>
      <c r="P77" s="382"/>
    </row>
    <row r="78" spans="1:16" ht="27.75">
      <c r="A78" s="1210" t="s">
        <v>196</v>
      </c>
      <c r="B78" s="1206"/>
      <c r="C78" s="1206"/>
      <c r="D78" s="523" t="s">
        <v>186</v>
      </c>
      <c r="E78" s="519">
        <f>'15'!F78</f>
        <v>674020</v>
      </c>
      <c r="F78" s="657">
        <v>674088</v>
      </c>
      <c r="G78" s="473">
        <f t="shared" si="6"/>
        <v>68</v>
      </c>
      <c r="H78" s="460">
        <f>G78+'15'!H78</f>
        <v>1056</v>
      </c>
      <c r="I78" s="505"/>
      <c r="J78" s="552">
        <f>H78/DAY(B2)</f>
        <v>66</v>
      </c>
      <c r="K78" s="430"/>
      <c r="L78" s="377"/>
      <c r="N78" s="719"/>
      <c r="O78" s="726"/>
      <c r="P78" s="382"/>
    </row>
    <row r="79" spans="1:16" ht="27.75">
      <c r="A79" s="1583" t="s">
        <v>91</v>
      </c>
      <c r="B79" s="1584"/>
      <c r="C79" s="1585"/>
      <c r="D79" s="524" t="s">
        <v>186</v>
      </c>
      <c r="E79" s="519">
        <f>'15'!F79</f>
        <v>833206</v>
      </c>
      <c r="F79" s="657">
        <v>833360</v>
      </c>
      <c r="G79" s="473">
        <f t="shared" si="6"/>
        <v>154</v>
      </c>
      <c r="H79" s="460">
        <f>G79+'15'!H79</f>
        <v>1338</v>
      </c>
      <c r="I79" s="505"/>
      <c r="J79" s="552">
        <f>H79/DAY(B2)</f>
        <v>83.625</v>
      </c>
      <c r="K79" s="430"/>
      <c r="L79" s="377"/>
      <c r="N79" s="719"/>
      <c r="O79" s="726"/>
      <c r="P79" s="382"/>
    </row>
    <row r="80" spans="1:16" ht="27.75">
      <c r="A80" s="1583" t="s">
        <v>197</v>
      </c>
      <c r="B80" s="1584"/>
      <c r="C80" s="1585"/>
      <c r="D80" s="524" t="s">
        <v>186</v>
      </c>
      <c r="E80" s="519">
        <f>'15'!F80</f>
        <v>533140</v>
      </c>
      <c r="F80" s="1312">
        <v>533536</v>
      </c>
      <c r="G80" s="473">
        <f t="shared" si="6"/>
        <v>396</v>
      </c>
      <c r="H80" s="460">
        <f>G80+'15'!H80</f>
        <v>2990.4799999999814</v>
      </c>
      <c r="I80" s="505"/>
      <c r="J80" s="552">
        <f>H80/DAY(B2)</f>
        <v>186.90499999999884</v>
      </c>
      <c r="K80" s="430"/>
      <c r="L80" s="377"/>
      <c r="N80" s="719"/>
      <c r="O80" s="726"/>
      <c r="P80" s="382"/>
    </row>
    <row r="81" spans="1:16" ht="27.75">
      <c r="A81" s="1583" t="s">
        <v>198</v>
      </c>
      <c r="B81" s="1584"/>
      <c r="C81" s="1585"/>
      <c r="D81" s="524" t="s">
        <v>186</v>
      </c>
      <c r="E81" s="519">
        <f>'15'!F81</f>
        <v>640636</v>
      </c>
      <c r="F81" s="656">
        <v>640750.28</v>
      </c>
      <c r="G81" s="473">
        <f t="shared" si="6"/>
        <v>114.28000000002794</v>
      </c>
      <c r="H81" s="460">
        <f>G81+'15'!H81</f>
        <v>1852.2800000000279</v>
      </c>
      <c r="I81" s="505"/>
      <c r="J81" s="552">
        <f>H81/DAY(B2)</f>
        <v>115.76750000000175</v>
      </c>
      <c r="K81" s="430"/>
      <c r="L81" s="377"/>
      <c r="N81" s="719"/>
      <c r="O81" s="726"/>
      <c r="P81" s="382"/>
    </row>
    <row r="82" spans="1:16" s="441" customFormat="1" ht="27.75">
      <c r="A82" s="1606" t="s">
        <v>92</v>
      </c>
      <c r="B82" s="1607"/>
      <c r="C82" s="1608"/>
      <c r="D82" s="652" t="s">
        <v>131</v>
      </c>
      <c r="E82" s="520">
        <f>'15'!F82</f>
        <v>108408</v>
      </c>
      <c r="F82" s="652">
        <v>108421.66</v>
      </c>
      <c r="G82" s="653">
        <f t="shared" si="6"/>
        <v>13.660000000003492</v>
      </c>
      <c r="H82" s="706">
        <f>G82+'15'!H82</f>
        <v>263.66000000000349</v>
      </c>
      <c r="I82" s="706"/>
      <c r="J82" s="708">
        <f>H82/DAY(B2)</f>
        <v>16.478750000000218</v>
      </c>
      <c r="K82" s="1316"/>
      <c r="L82" s="1107"/>
      <c r="N82" s="719"/>
      <c r="O82" s="728"/>
      <c r="P82" s="714"/>
    </row>
    <row r="83" spans="1:16" ht="27.75">
      <c r="A83" s="1583" t="s">
        <v>199</v>
      </c>
      <c r="B83" s="1584"/>
      <c r="C83" s="1585"/>
      <c r="D83" s="620" t="s">
        <v>131</v>
      </c>
      <c r="E83" s="519">
        <f>'15'!F83</f>
        <v>23525</v>
      </c>
      <c r="F83" s="511">
        <v>23742</v>
      </c>
      <c r="G83" s="473">
        <f t="shared" si="6"/>
        <v>217</v>
      </c>
      <c r="H83" s="460">
        <f>G83+'15'!H83</f>
        <v>3236</v>
      </c>
      <c r="I83" s="481"/>
      <c r="J83" s="552">
        <f>H83/DAY(B2)</f>
        <v>202.25</v>
      </c>
      <c r="K83" s="429"/>
      <c r="L83" s="377"/>
      <c r="N83" s="719"/>
      <c r="O83" s="726"/>
      <c r="P83" s="382"/>
    </row>
    <row r="84" spans="1:16">
      <c r="A84" s="1213" t="s">
        <v>200</v>
      </c>
      <c r="B84" s="571"/>
      <c r="C84" s="571"/>
      <c r="D84" s="478" t="s">
        <v>131</v>
      </c>
      <c r="E84" s="519">
        <f>'15'!F84</f>
        <v>511176</v>
      </c>
      <c r="F84" s="627">
        <v>511911</v>
      </c>
      <c r="G84" s="473">
        <f t="shared" si="6"/>
        <v>735</v>
      </c>
      <c r="H84" s="460">
        <f>G84+'15'!H84</f>
        <v>11617</v>
      </c>
      <c r="I84" s="481"/>
      <c r="J84" s="552">
        <f>H84/DAY(B2)</f>
        <v>726.0625</v>
      </c>
      <c r="K84" s="380"/>
      <c r="L84" s="377"/>
      <c r="N84" s="719"/>
      <c r="O84" s="726"/>
      <c r="P84" s="382"/>
    </row>
    <row r="85" spans="1:16" s="379" customFormat="1">
      <c r="A85" s="605" t="s">
        <v>201</v>
      </c>
      <c r="B85" s="572"/>
      <c r="C85" s="572"/>
      <c r="D85" s="489"/>
      <c r="E85" s="523"/>
      <c r="F85" s="523"/>
      <c r="G85" s="460">
        <f xml:space="preserve"> SUM(G72:G84)</f>
        <v>1961.9500000000335</v>
      </c>
      <c r="H85" s="460">
        <f>G85+'15'!H85</f>
        <v>29589.910000000033</v>
      </c>
      <c r="I85" s="481"/>
      <c r="J85" s="552">
        <f>H85/DAY(B2)</f>
        <v>1849.369375000002</v>
      </c>
      <c r="K85" s="380"/>
      <c r="L85" s="378"/>
      <c r="N85" s="719"/>
      <c r="O85" s="726"/>
      <c r="P85" s="382"/>
    </row>
    <row r="86" spans="1:16" s="736" customFormat="1">
      <c r="A86" s="731" t="s">
        <v>93</v>
      </c>
      <c r="B86" s="732"/>
      <c r="C86" s="732"/>
      <c r="D86" s="733" t="s">
        <v>182</v>
      </c>
      <c r="E86" s="627">
        <f>'15'!F86</f>
        <v>461395</v>
      </c>
      <c r="F86" s="1468">
        <v>461431.44</v>
      </c>
      <c r="G86" s="706">
        <f t="shared" ref="G86:G91" si="7">F86-E86</f>
        <v>36.440000000002328</v>
      </c>
      <c r="H86" s="706">
        <f t="shared" ref="H86:H88" si="8">G86</f>
        <v>36.440000000002328</v>
      </c>
      <c r="I86" s="653"/>
      <c r="J86" s="708">
        <f>H86/DAY(B2)</f>
        <v>2.2775000000001455</v>
      </c>
      <c r="K86" s="734"/>
      <c r="L86" s="735"/>
      <c r="O86" s="714"/>
    </row>
    <row r="87" spans="1:16" s="736" customFormat="1">
      <c r="A87" s="731" t="s">
        <v>94</v>
      </c>
      <c r="B87" s="732"/>
      <c r="C87" s="732"/>
      <c r="D87" s="733" t="s">
        <v>182</v>
      </c>
      <c r="E87" s="627">
        <f>'15'!F87</f>
        <v>81679</v>
      </c>
      <c r="F87" s="648">
        <v>81710.2</v>
      </c>
      <c r="G87" s="706">
        <f t="shared" si="7"/>
        <v>31.19999999999709</v>
      </c>
      <c r="H87" s="706">
        <f t="shared" si="8"/>
        <v>31.19999999999709</v>
      </c>
      <c r="I87" s="653"/>
      <c r="J87" s="708">
        <f>H87/DAY(B2)</f>
        <v>1.9499999999998181</v>
      </c>
      <c r="K87" s="734"/>
      <c r="L87" s="735"/>
      <c r="O87" s="714"/>
    </row>
    <row r="88" spans="1:16" s="736" customFormat="1">
      <c r="A88" s="731" t="s">
        <v>95</v>
      </c>
      <c r="B88" s="732"/>
      <c r="C88" s="732"/>
      <c r="D88" s="733" t="s">
        <v>182</v>
      </c>
      <c r="E88" s="627">
        <f>'15'!F88</f>
        <v>153927</v>
      </c>
      <c r="F88" s="1468">
        <v>154005.91</v>
      </c>
      <c r="G88" s="706">
        <f t="shared" si="7"/>
        <v>78.910000000003492</v>
      </c>
      <c r="H88" s="706">
        <f t="shared" si="8"/>
        <v>78.910000000003492</v>
      </c>
      <c r="I88" s="653"/>
      <c r="J88" s="708">
        <f>H88/DAY(B2)</f>
        <v>4.9318750000002183</v>
      </c>
      <c r="K88" s="734"/>
      <c r="L88" s="735"/>
      <c r="O88" s="714"/>
    </row>
    <row r="89" spans="1:16" s="736" customFormat="1">
      <c r="A89" s="731" t="s">
        <v>203</v>
      </c>
      <c r="B89" s="732"/>
      <c r="C89" s="732"/>
      <c r="D89" s="733" t="s">
        <v>182</v>
      </c>
      <c r="E89" s="627">
        <f>'15'!F89</f>
        <v>65441</v>
      </c>
      <c r="F89" s="648">
        <v>65494.9</v>
      </c>
      <c r="G89" s="706">
        <f t="shared" si="7"/>
        <v>53.900000000001455</v>
      </c>
      <c r="H89" s="706">
        <f>G89</f>
        <v>53.900000000001455</v>
      </c>
      <c r="I89" s="653"/>
      <c r="J89" s="708">
        <f>H89/DAY(B2)</f>
        <v>3.3687500000000909</v>
      </c>
      <c r="K89" s="734"/>
      <c r="L89" s="735"/>
      <c r="N89" s="778"/>
      <c r="O89" s="382"/>
    </row>
    <row r="90" spans="1:16" s="736" customFormat="1">
      <c r="A90" s="731" t="s">
        <v>203</v>
      </c>
      <c r="B90" s="732"/>
      <c r="C90" s="732"/>
      <c r="D90" s="733" t="s">
        <v>182</v>
      </c>
      <c r="E90" s="627">
        <f>'15'!F90</f>
        <v>3298</v>
      </c>
      <c r="F90" s="648">
        <v>3302.3</v>
      </c>
      <c r="G90" s="706">
        <f t="shared" si="7"/>
        <v>4.3000000000001819</v>
      </c>
      <c r="H90" s="706">
        <f>G90</f>
        <v>4.3000000000001819</v>
      </c>
      <c r="I90" s="653"/>
      <c r="J90" s="708">
        <f>H90/DAY(B2)</f>
        <v>0.26875000000001137</v>
      </c>
      <c r="K90" s="734"/>
      <c r="L90" s="735"/>
      <c r="N90" s="778"/>
      <c r="O90" s="382"/>
    </row>
    <row r="91" spans="1:16" s="736" customFormat="1">
      <c r="A91" s="731" t="s">
        <v>350</v>
      </c>
      <c r="B91" s="732"/>
      <c r="C91" s="732"/>
      <c r="D91" s="733"/>
      <c r="E91" s="627">
        <f>'15'!F91</f>
        <v>28131</v>
      </c>
      <c r="F91" s="648">
        <v>28140.4192</v>
      </c>
      <c r="G91" s="706">
        <f t="shared" si="7"/>
        <v>9.4192000000002736</v>
      </c>
      <c r="H91" s="706">
        <f>G91</f>
        <v>9.4192000000002736</v>
      </c>
      <c r="I91" s="653"/>
      <c r="J91" s="708"/>
      <c r="K91" s="734"/>
      <c r="L91" s="735"/>
      <c r="N91" s="778"/>
      <c r="O91" s="382"/>
    </row>
    <row r="92" spans="1:16" s="379" customFormat="1">
      <c r="A92" s="606" t="s">
        <v>204</v>
      </c>
      <c r="B92" s="1211"/>
      <c r="C92" s="1211"/>
      <c r="D92" s="472"/>
      <c r="E92" s="472"/>
      <c r="F92" s="472"/>
      <c r="G92" s="488"/>
      <c r="H92" s="472"/>
      <c r="I92" s="472"/>
      <c r="J92" s="551"/>
      <c r="K92" s="380"/>
      <c r="L92" s="378"/>
      <c r="N92" s="719"/>
      <c r="O92" s="726"/>
      <c r="P92" s="382"/>
    </row>
    <row r="93" spans="1:16" ht="27.75">
      <c r="A93" s="1537" t="s">
        <v>205</v>
      </c>
      <c r="B93" s="1538"/>
      <c r="C93" s="1539"/>
      <c r="D93" s="523" t="s">
        <v>143</v>
      </c>
      <c r="E93" s="484">
        <f>'15'!F93</f>
        <v>246205</v>
      </c>
      <c r="F93" s="478">
        <v>246236</v>
      </c>
      <c r="G93" s="473">
        <f t="shared" ref="G93:G94" si="9">F93-E93</f>
        <v>31</v>
      </c>
      <c r="H93" s="460">
        <f>G93+'15'!H93</f>
        <v>748</v>
      </c>
      <c r="I93" s="480"/>
      <c r="J93" s="552">
        <f>H93/DAY(B2)</f>
        <v>46.75</v>
      </c>
      <c r="K93" s="429"/>
      <c r="L93" s="377"/>
      <c r="N93" s="719"/>
      <c r="O93" s="726"/>
      <c r="P93" s="382"/>
    </row>
    <row r="94" spans="1:16" ht="27.75">
      <c r="A94" s="1537" t="s">
        <v>206</v>
      </c>
      <c r="B94" s="1538"/>
      <c r="C94" s="1539"/>
      <c r="D94" s="523" t="s">
        <v>143</v>
      </c>
      <c r="E94" s="484">
        <f>'15'!F94</f>
        <v>187623</v>
      </c>
      <c r="F94" s="478">
        <v>187689</v>
      </c>
      <c r="G94" s="473">
        <f t="shared" si="9"/>
        <v>66</v>
      </c>
      <c r="H94" s="460">
        <f>G94+'15'!H94</f>
        <v>1568</v>
      </c>
      <c r="I94" s="480"/>
      <c r="J94" s="552">
        <f>H94/DAY(B2)</f>
        <v>98</v>
      </c>
      <c r="K94" s="380"/>
      <c r="L94" s="377"/>
      <c r="N94" s="719"/>
      <c r="O94" s="726"/>
      <c r="P94" s="382"/>
    </row>
    <row r="95" spans="1:16">
      <c r="A95" s="1531" t="s">
        <v>207</v>
      </c>
      <c r="B95" s="1532"/>
      <c r="C95" s="1533"/>
      <c r="D95" s="523"/>
      <c r="E95" s="484">
        <f>'15'!F95</f>
        <v>0</v>
      </c>
      <c r="F95" s="478">
        <v>0</v>
      </c>
      <c r="G95" s="473">
        <f>G93+G94</f>
        <v>97</v>
      </c>
      <c r="H95" s="460">
        <f>G95+'15'!H95</f>
        <v>2240</v>
      </c>
      <c r="I95" s="480"/>
      <c r="J95" s="552">
        <f>H95/DAY(B2)</f>
        <v>140</v>
      </c>
      <c r="K95" s="380"/>
      <c r="L95" s="377"/>
      <c r="N95" s="719"/>
      <c r="O95" s="726"/>
      <c r="P95" s="382"/>
    </row>
    <row r="96" spans="1:16" ht="27.75">
      <c r="A96" s="1537" t="s">
        <v>208</v>
      </c>
      <c r="B96" s="1538"/>
      <c r="C96" s="1539"/>
      <c r="D96" s="523" t="s">
        <v>143</v>
      </c>
      <c r="E96" s="484">
        <f>'15'!F96</f>
        <v>415043</v>
      </c>
      <c r="F96" s="478">
        <v>415077</v>
      </c>
      <c r="G96" s="473">
        <f t="shared" ref="G96:G101" si="10">F96-E96</f>
        <v>34</v>
      </c>
      <c r="H96" s="460">
        <f>G96+'15'!H96</f>
        <v>794</v>
      </c>
      <c r="I96" s="480"/>
      <c r="J96" s="552">
        <f>H96/DAY(B2)</f>
        <v>49.625</v>
      </c>
      <c r="K96" s="380"/>
      <c r="L96" s="377"/>
      <c r="N96" s="719"/>
      <c r="O96" s="726"/>
      <c r="P96" s="382"/>
    </row>
    <row r="97" spans="1:16" ht="27.75">
      <c r="A97" s="1207" t="s">
        <v>209</v>
      </c>
      <c r="B97" s="1208"/>
      <c r="C97" s="1208"/>
      <c r="D97" s="523" t="s">
        <v>143</v>
      </c>
      <c r="E97" s="484">
        <f>'15'!F97</f>
        <v>102853</v>
      </c>
      <c r="F97" s="478">
        <v>102865</v>
      </c>
      <c r="G97" s="473">
        <f t="shared" si="10"/>
        <v>12</v>
      </c>
      <c r="H97" s="460">
        <f>G97+'15'!H97</f>
        <v>217</v>
      </c>
      <c r="I97" s="480"/>
      <c r="J97" s="552">
        <f>H97/DAY(B2)</f>
        <v>13.5625</v>
      </c>
      <c r="K97" s="427"/>
      <c r="L97" s="377"/>
      <c r="N97" s="719"/>
      <c r="O97" s="726"/>
      <c r="P97" s="382"/>
    </row>
    <row r="98" spans="1:16" ht="27.75">
      <c r="A98" s="1207" t="s">
        <v>210</v>
      </c>
      <c r="B98" s="1208"/>
      <c r="C98" s="1208"/>
      <c r="D98" s="523" t="s">
        <v>143</v>
      </c>
      <c r="E98" s="484">
        <f>'15'!F98</f>
        <v>98273</v>
      </c>
      <c r="F98" s="478">
        <v>98293</v>
      </c>
      <c r="G98" s="473">
        <f t="shared" si="10"/>
        <v>20</v>
      </c>
      <c r="H98" s="460">
        <f>G98+'15'!H98</f>
        <v>343</v>
      </c>
      <c r="I98" s="480"/>
      <c r="J98" s="552">
        <f>H98/DAY(B2)</f>
        <v>21.4375</v>
      </c>
      <c r="K98" s="432"/>
      <c r="L98" s="377"/>
      <c r="N98" s="719">
        <v>96617</v>
      </c>
      <c r="O98" s="726"/>
      <c r="P98" s="382"/>
    </row>
    <row r="99" spans="1:16" ht="27.75">
      <c r="A99" s="1207" t="s">
        <v>211</v>
      </c>
      <c r="B99" s="1208"/>
      <c r="C99" s="1208"/>
      <c r="D99" s="523" t="s">
        <v>143</v>
      </c>
      <c r="E99" s="484">
        <f>'15'!F99</f>
        <v>149980</v>
      </c>
      <c r="F99" s="478">
        <v>149983</v>
      </c>
      <c r="G99" s="473">
        <f t="shared" si="10"/>
        <v>3</v>
      </c>
      <c r="H99" s="460">
        <f>G99+'15'!H99</f>
        <v>131</v>
      </c>
      <c r="I99" s="480"/>
      <c r="J99" s="552">
        <f>H99/DAY(B2)</f>
        <v>8.1875</v>
      </c>
      <c r="K99" s="380"/>
      <c r="L99" s="377"/>
      <c r="N99" s="721"/>
      <c r="O99" s="726"/>
      <c r="P99" s="382"/>
    </row>
    <row r="100" spans="1:16" ht="27.75">
      <c r="A100" s="1207" t="s">
        <v>212</v>
      </c>
      <c r="B100" s="1208"/>
      <c r="C100" s="1208"/>
      <c r="D100" s="523" t="s">
        <v>143</v>
      </c>
      <c r="E100" s="484">
        <f>'15'!F100</f>
        <v>7537</v>
      </c>
      <c r="F100" s="478">
        <v>7543</v>
      </c>
      <c r="G100" s="473">
        <f t="shared" si="10"/>
        <v>6</v>
      </c>
      <c r="H100" s="460">
        <f>G100+'15'!H100</f>
        <v>174</v>
      </c>
      <c r="I100" s="480"/>
      <c r="J100" s="552">
        <f>H100/DAY(B2)</f>
        <v>10.875</v>
      </c>
      <c r="K100" s="380"/>
      <c r="L100" s="377"/>
      <c r="N100" s="719"/>
      <c r="O100" s="726"/>
      <c r="P100" s="382"/>
    </row>
    <row r="101" spans="1:16" ht="27.75">
      <c r="A101" s="1207" t="s">
        <v>213</v>
      </c>
      <c r="B101" s="1208"/>
      <c r="C101" s="1208"/>
      <c r="D101" s="523" t="s">
        <v>143</v>
      </c>
      <c r="E101" s="484">
        <f>'15'!F101</f>
        <v>5516</v>
      </c>
      <c r="F101" s="478">
        <v>5523</v>
      </c>
      <c r="G101" s="473">
        <f t="shared" si="10"/>
        <v>7</v>
      </c>
      <c r="H101" s="460">
        <f>G101+'15'!H101</f>
        <v>132</v>
      </c>
      <c r="I101" s="480"/>
      <c r="J101" s="552">
        <f>H101/DAY(B2)</f>
        <v>8.25</v>
      </c>
      <c r="K101" s="380"/>
      <c r="L101" s="377"/>
      <c r="N101" s="719"/>
      <c r="O101" s="726"/>
      <c r="P101" s="382"/>
    </row>
    <row r="102" spans="1:16">
      <c r="A102" s="1531" t="s">
        <v>215</v>
      </c>
      <c r="B102" s="1532"/>
      <c r="C102" s="1533"/>
      <c r="D102" s="524"/>
      <c r="E102" s="484"/>
      <c r="F102" s="524"/>
      <c r="G102" s="525">
        <f>SUM(G96:G101)</f>
        <v>82</v>
      </c>
      <c r="H102" s="460">
        <f>G102+'15'!H102</f>
        <v>1791</v>
      </c>
      <c r="I102" s="526"/>
      <c r="J102" s="552">
        <f>H102/DAY(B2)</f>
        <v>111.9375</v>
      </c>
      <c r="K102" s="380"/>
      <c r="L102" s="377"/>
      <c r="N102" s="719"/>
      <c r="O102" s="726"/>
      <c r="P102" s="382"/>
    </row>
    <row r="103" spans="1:16" s="442" customFormat="1" ht="27">
      <c r="A103" s="607" t="s">
        <v>216</v>
      </c>
      <c r="B103" s="608"/>
      <c r="C103" s="608"/>
      <c r="D103" s="621"/>
      <c r="E103" s="484"/>
      <c r="F103" s="658"/>
      <c r="G103" s="529"/>
      <c r="H103" s="530"/>
      <c r="I103" s="531"/>
      <c r="J103" s="557"/>
      <c r="N103" s="719"/>
      <c r="O103" s="726"/>
      <c r="P103" s="382"/>
    </row>
    <row r="104" spans="1:16" s="442" customFormat="1" ht="27.75">
      <c r="A104" s="1540" t="s">
        <v>217</v>
      </c>
      <c r="B104" s="1541"/>
      <c r="C104" s="573"/>
      <c r="D104" s="622"/>
      <c r="E104" s="484"/>
      <c r="F104" s="659"/>
      <c r="G104" s="532"/>
      <c r="H104" s="533"/>
      <c r="I104" s="532"/>
      <c r="J104" s="558"/>
      <c r="N104" s="719"/>
      <c r="O104" s="726"/>
      <c r="P104" s="382"/>
    </row>
    <row r="105" spans="1:16" s="442" customFormat="1" ht="27.75">
      <c r="A105" s="1542" t="s">
        <v>218</v>
      </c>
      <c r="B105" s="1543"/>
      <c r="C105" s="1212"/>
      <c r="D105" s="622" t="s">
        <v>143</v>
      </c>
      <c r="E105" s="484">
        <f>'15'!F105</f>
        <v>7473</v>
      </c>
      <c r="F105" s="1315">
        <v>7473</v>
      </c>
      <c r="G105" s="532">
        <f>F105-E105</f>
        <v>0</v>
      </c>
      <c r="H105" s="533">
        <f>SUM(G105+'1'!G76)</f>
        <v>57</v>
      </c>
      <c r="I105" s="532"/>
      <c r="J105" s="558">
        <f>H105/DAY(B2)</f>
        <v>3.5625</v>
      </c>
      <c r="N105" s="719"/>
      <c r="O105" s="726"/>
      <c r="P105" s="382"/>
    </row>
    <row r="106" spans="1:16" s="442" customFormat="1" ht="27.75">
      <c r="A106" s="1542" t="s">
        <v>76</v>
      </c>
      <c r="B106" s="1543"/>
      <c r="C106" s="1212"/>
      <c r="D106" s="622" t="s">
        <v>143</v>
      </c>
      <c r="E106" s="484">
        <f>'15'!F106</f>
        <v>36033</v>
      </c>
      <c r="F106" s="660">
        <v>36033</v>
      </c>
      <c r="G106" s="532">
        <f t="shared" ref="G106:G107" si="11">F106-E106</f>
        <v>0</v>
      </c>
      <c r="H106" s="533">
        <f>SUM(G106+'1'!G77)</f>
        <v>49</v>
      </c>
      <c r="I106" s="532"/>
      <c r="J106" s="558">
        <f>H106/DAY(B2)</f>
        <v>3.0625</v>
      </c>
      <c r="N106" s="719"/>
      <c r="O106" s="726"/>
      <c r="P106" s="382"/>
    </row>
    <row r="107" spans="1:16" s="442" customFormat="1" ht="27.75">
      <c r="A107" s="1542" t="s">
        <v>77</v>
      </c>
      <c r="B107" s="1544"/>
      <c r="C107" s="1543"/>
      <c r="D107" s="622" t="s">
        <v>143</v>
      </c>
      <c r="E107" s="484">
        <f>'15'!F107</f>
        <v>19761</v>
      </c>
      <c r="F107" s="660">
        <v>19769</v>
      </c>
      <c r="G107" s="532">
        <f t="shared" si="11"/>
        <v>8</v>
      </c>
      <c r="H107" s="533">
        <f>SUM(G107+'1'!G78)</f>
        <v>63</v>
      </c>
      <c r="I107" s="532"/>
      <c r="J107" s="558">
        <f>H107/DAY(B2)</f>
        <v>3.9375</v>
      </c>
      <c r="N107" s="719"/>
      <c r="O107" s="726"/>
      <c r="P107" s="382"/>
    </row>
    <row r="108" spans="1:16" s="442" customFormat="1" ht="27.75">
      <c r="A108" s="1545" t="s">
        <v>201</v>
      </c>
      <c r="B108" s="1546"/>
      <c r="C108" s="1212"/>
      <c r="D108" s="622"/>
      <c r="E108" s="484">
        <f>'15'!F108</f>
        <v>0</v>
      </c>
      <c r="F108" s="660"/>
      <c r="G108" s="532">
        <f>SUM(G105:G107)</f>
        <v>8</v>
      </c>
      <c r="H108" s="533">
        <f>SUM(G108+'1'!G79)</f>
        <v>163</v>
      </c>
      <c r="I108" s="532"/>
      <c r="J108" s="558">
        <f>H108/DAY(B2)</f>
        <v>10.1875</v>
      </c>
      <c r="N108" s="719"/>
      <c r="O108" s="726"/>
      <c r="P108" s="382"/>
    </row>
    <row r="109" spans="1:16" s="442" customFormat="1" ht="27.75">
      <c r="A109" s="1547" t="s">
        <v>78</v>
      </c>
      <c r="B109" s="1548"/>
      <c r="C109" s="1212"/>
      <c r="D109" s="622" t="s">
        <v>143</v>
      </c>
      <c r="E109" s="484">
        <f>'15'!F109</f>
        <v>0</v>
      </c>
      <c r="F109" s="660"/>
      <c r="G109" s="532"/>
      <c r="H109" s="533"/>
      <c r="I109" s="532"/>
      <c r="J109" s="558"/>
      <c r="N109" s="719"/>
      <c r="O109" s="726"/>
      <c r="P109" s="382"/>
    </row>
    <row r="110" spans="1:16" s="442" customFormat="1" ht="27.75">
      <c r="A110" s="1542" t="s">
        <v>219</v>
      </c>
      <c r="B110" s="1543"/>
      <c r="C110" s="1212"/>
      <c r="D110" s="622" t="s">
        <v>143</v>
      </c>
      <c r="E110" s="484">
        <f>'15'!F110</f>
        <v>63730</v>
      </c>
      <c r="F110" s="660">
        <v>63771</v>
      </c>
      <c r="G110" s="532">
        <f>F110-E110</f>
        <v>41</v>
      </c>
      <c r="H110" s="533">
        <f>SUM(G110+'1'!G81)</f>
        <v>135</v>
      </c>
      <c r="I110" s="532"/>
      <c r="J110" s="558">
        <f>H110/DAY(B2)</f>
        <v>8.4375</v>
      </c>
      <c r="N110" s="719"/>
      <c r="O110" s="726"/>
      <c r="P110" s="382"/>
    </row>
    <row r="111" spans="1:16" s="442" customFormat="1" ht="27.75">
      <c r="A111" s="1542" t="s">
        <v>220</v>
      </c>
      <c r="B111" s="1543"/>
      <c r="C111" s="1212"/>
      <c r="D111" s="622" t="s">
        <v>143</v>
      </c>
      <c r="E111" s="484">
        <f>'15'!F111</f>
        <v>32710</v>
      </c>
      <c r="F111" s="660">
        <v>32710</v>
      </c>
      <c r="G111" s="532">
        <f t="shared" ref="G111:G112" si="12">F111-E111</f>
        <v>0</v>
      </c>
      <c r="H111" s="533">
        <f>SUM(G111+'1'!G82)</f>
        <v>11</v>
      </c>
      <c r="I111" s="532"/>
      <c r="J111" s="558">
        <f>H111/DAY(B2)</f>
        <v>0.6875</v>
      </c>
      <c r="N111" s="719"/>
      <c r="O111" s="726"/>
      <c r="P111" s="382"/>
    </row>
    <row r="112" spans="1:16" s="442" customFormat="1" ht="27.75">
      <c r="A112" s="1542" t="s">
        <v>221</v>
      </c>
      <c r="B112" s="1543"/>
      <c r="C112" s="1212"/>
      <c r="D112" s="622" t="s">
        <v>143</v>
      </c>
      <c r="E112" s="484">
        <f>'15'!F112</f>
        <v>4621</v>
      </c>
      <c r="F112" s="660">
        <v>4621</v>
      </c>
      <c r="G112" s="532">
        <f t="shared" si="12"/>
        <v>0</v>
      </c>
      <c r="H112" s="533">
        <f>SUM(G112+'1'!G83)</f>
        <v>152</v>
      </c>
      <c r="I112" s="532"/>
      <c r="J112" s="558">
        <f>H112/DAY(B2)</f>
        <v>9.5</v>
      </c>
      <c r="N112" s="719"/>
      <c r="O112" s="726"/>
      <c r="P112" s="382"/>
    </row>
    <row r="113" spans="1:16" s="442" customFormat="1" ht="27.75">
      <c r="A113" s="1545" t="s">
        <v>109</v>
      </c>
      <c r="B113" s="1546"/>
      <c r="C113" s="1212"/>
      <c r="D113" s="622"/>
      <c r="E113" s="484">
        <f>'15'!F113</f>
        <v>0</v>
      </c>
      <c r="F113" s="660"/>
      <c r="G113" s="532">
        <f>SUM(G110:G112)</f>
        <v>41</v>
      </c>
      <c r="H113" s="533">
        <f>SUM(G113+'1'!G84)</f>
        <v>868</v>
      </c>
      <c r="I113" s="532"/>
      <c r="J113" s="558">
        <f>H113/DAY(B2)</f>
        <v>54.25</v>
      </c>
      <c r="N113" s="719"/>
      <c r="O113" s="726"/>
      <c r="P113" s="382"/>
    </row>
    <row r="114" spans="1:16" s="442" customFormat="1" ht="27.75">
      <c r="A114" s="1547" t="s">
        <v>222</v>
      </c>
      <c r="B114" s="1548"/>
      <c r="C114" s="1212"/>
      <c r="D114" s="622"/>
      <c r="E114" s="484">
        <f>'15'!F114</f>
        <v>0</v>
      </c>
      <c r="F114" s="660"/>
      <c r="G114" s="532"/>
      <c r="H114" s="533"/>
      <c r="I114" s="532"/>
      <c r="J114" s="558">
        <f>H114/DAY(B2)</f>
        <v>0</v>
      </c>
      <c r="N114" s="719"/>
      <c r="O114" s="726"/>
      <c r="P114" s="382"/>
    </row>
    <row r="115" spans="1:16" s="442" customFormat="1" ht="27.75">
      <c r="A115" s="1542" t="s">
        <v>223</v>
      </c>
      <c r="B115" s="1543"/>
      <c r="C115" s="574"/>
      <c r="D115" s="622" t="s">
        <v>143</v>
      </c>
      <c r="E115" s="484">
        <f>'15'!F115</f>
        <v>11707</v>
      </c>
      <c r="F115" s="660">
        <v>11713</v>
      </c>
      <c r="G115" s="534">
        <f>F115-E115</f>
        <v>6</v>
      </c>
      <c r="H115" s="533">
        <f>SUM(G115+'1'!G92)</f>
        <v>6</v>
      </c>
      <c r="I115" s="532"/>
      <c r="J115" s="558">
        <f>H115/DAY(B2)</f>
        <v>0.375</v>
      </c>
      <c r="N115" s="719"/>
      <c r="O115" s="726"/>
      <c r="P115" s="382"/>
    </row>
    <row r="116" spans="1:16" s="442" customFormat="1" ht="27.75">
      <c r="A116" s="1542" t="s">
        <v>224</v>
      </c>
      <c r="B116" s="1543"/>
      <c r="C116" s="574"/>
      <c r="D116" s="622" t="s">
        <v>143</v>
      </c>
      <c r="E116" s="484">
        <f>'15'!F116</f>
        <v>8425</v>
      </c>
      <c r="F116" s="660">
        <v>8431</v>
      </c>
      <c r="G116" s="534">
        <f t="shared" ref="G116:G117" si="13">F116-E116</f>
        <v>6</v>
      </c>
      <c r="H116" s="533">
        <f>SUM(G116+'1'!G93)</f>
        <v>24</v>
      </c>
      <c r="I116" s="532"/>
      <c r="J116" s="558">
        <f>H116/DAY(B2)</f>
        <v>1.5</v>
      </c>
      <c r="N116" s="719"/>
      <c r="O116" s="726"/>
      <c r="P116" s="382"/>
    </row>
    <row r="117" spans="1:16" s="442" customFormat="1" ht="27.75">
      <c r="A117" s="1542" t="s">
        <v>225</v>
      </c>
      <c r="B117" s="1543"/>
      <c r="C117" s="574"/>
      <c r="D117" s="622" t="s">
        <v>143</v>
      </c>
      <c r="E117" s="534"/>
      <c r="F117" s="660"/>
      <c r="G117" s="534">
        <f t="shared" si="13"/>
        <v>0</v>
      </c>
      <c r="H117" s="533">
        <f>SUM(G117+'1'!G94)</f>
        <v>58</v>
      </c>
      <c r="I117" s="532"/>
      <c r="J117" s="558">
        <f>H117/DAY(B2)</f>
        <v>3.625</v>
      </c>
      <c r="N117" s="719"/>
      <c r="O117" s="726"/>
      <c r="P117" s="382"/>
    </row>
    <row r="118" spans="1:16" s="445" customFormat="1" ht="27.75">
      <c r="A118" s="1545" t="s">
        <v>201</v>
      </c>
      <c r="B118" s="1546"/>
      <c r="C118" s="574"/>
      <c r="D118" s="623"/>
      <c r="E118" s="534"/>
      <c r="F118" s="660"/>
      <c r="G118" s="534">
        <f>SUM(G115:G117)</f>
        <v>12</v>
      </c>
      <c r="H118" s="533">
        <f>SUM(G118+'1'!G96)</f>
        <v>52</v>
      </c>
      <c r="I118" s="534"/>
      <c r="J118" s="558">
        <f>H118/DAY(B2)</f>
        <v>3.25</v>
      </c>
      <c r="N118" s="719"/>
      <c r="O118" s="726"/>
      <c r="P118" s="382"/>
    </row>
    <row r="119" spans="1:16" s="446" customFormat="1" ht="27.75">
      <c r="A119" s="1576" t="s">
        <v>226</v>
      </c>
      <c r="B119" s="1577"/>
      <c r="C119" s="1215"/>
      <c r="D119" s="624" t="s">
        <v>143</v>
      </c>
      <c r="E119" s="536"/>
      <c r="F119" s="661">
        <f>SUM(G19+G93)</f>
        <v>93</v>
      </c>
      <c r="G119" s="536">
        <f>SUM(G19+G93)</f>
        <v>93</v>
      </c>
      <c r="H119" s="533">
        <f>SUM(G119+'1'!G97)</f>
        <v>106</v>
      </c>
      <c r="I119" s="535"/>
      <c r="J119" s="559">
        <f>H119/DAY(B2)</f>
        <v>6.625</v>
      </c>
      <c r="N119" s="719"/>
      <c r="O119" s="726"/>
      <c r="P119" s="382"/>
    </row>
    <row r="120" spans="1:16" s="446" customFormat="1" ht="27.75">
      <c r="A120" s="1576" t="s">
        <v>227</v>
      </c>
      <c r="B120" s="1577"/>
      <c r="C120" s="1215"/>
      <c r="D120" s="624" t="s">
        <v>143</v>
      </c>
      <c r="E120" s="536"/>
      <c r="F120" s="661">
        <f>SUM(G96,G97,G98,G100,G101)</f>
        <v>79</v>
      </c>
      <c r="G120" s="536">
        <f>SUM(G96,G97,G98,G100,G101)</f>
        <v>79</v>
      </c>
      <c r="H120" s="533">
        <f>SUM(G120+'1'!G99)</f>
        <v>86</v>
      </c>
      <c r="I120" s="535"/>
      <c r="J120" s="559">
        <f>H120/DAY(B2)</f>
        <v>5.375</v>
      </c>
      <c r="N120" s="719"/>
      <c r="O120" s="726"/>
      <c r="P120" s="382"/>
    </row>
    <row r="121" spans="1:16" s="446" customFormat="1" ht="27.75">
      <c r="A121" s="1576" t="s">
        <v>228</v>
      </c>
      <c r="B121" s="1577"/>
      <c r="C121" s="1215"/>
      <c r="D121" s="624" t="s">
        <v>143</v>
      </c>
      <c r="E121" s="534"/>
      <c r="F121" s="660">
        <f>SUM(G113)</f>
        <v>41</v>
      </c>
      <c r="G121" s="534">
        <f>SUM(G113)</f>
        <v>41</v>
      </c>
      <c r="H121" s="533">
        <f>SUM(G121+'1'!G101)</f>
        <v>45</v>
      </c>
      <c r="I121" s="535"/>
      <c r="J121" s="559">
        <f>H121/DAY(B2)</f>
        <v>2.8125</v>
      </c>
      <c r="N121" s="719"/>
      <c r="O121" s="726"/>
      <c r="P121" s="382"/>
    </row>
    <row r="122" spans="1:16" s="442" customFormat="1" ht="27.75">
      <c r="A122" s="1578"/>
      <c r="B122" s="1579"/>
      <c r="C122" s="1216"/>
      <c r="D122" s="560"/>
      <c r="E122" s="560"/>
      <c r="F122" s="662" t="s">
        <v>214</v>
      </c>
      <c r="G122" s="560"/>
      <c r="H122" s="561"/>
      <c r="I122" s="560"/>
      <c r="J122" s="562"/>
      <c r="N122" s="719"/>
      <c r="O122" s="726"/>
      <c r="P122" s="382"/>
    </row>
    <row r="123" spans="1:16">
      <c r="A123" s="1528" t="s">
        <v>229</v>
      </c>
      <c r="B123" s="1529"/>
      <c r="C123" s="1530"/>
      <c r="D123" s="472"/>
      <c r="E123" s="472"/>
      <c r="F123" s="472"/>
      <c r="G123" s="483"/>
      <c r="H123" s="483"/>
      <c r="I123" s="483"/>
      <c r="J123" s="563"/>
      <c r="K123" s="380"/>
      <c r="L123" s="377"/>
      <c r="N123" s="719"/>
      <c r="O123" s="726"/>
      <c r="P123" s="382"/>
    </row>
    <row r="124" spans="1:16" ht="27.75">
      <c r="A124" s="1207" t="s">
        <v>230</v>
      </c>
      <c r="B124" s="1208"/>
      <c r="C124" s="1208"/>
      <c r="D124" s="523" t="s">
        <v>140</v>
      </c>
      <c r="E124" s="478">
        <f>'15'!F124</f>
        <v>835450</v>
      </c>
      <c r="F124" s="478">
        <v>835712.66</v>
      </c>
      <c r="G124" s="473">
        <f t="shared" ref="G124:G128" si="14">F124-E124</f>
        <v>262.6600000000326</v>
      </c>
      <c r="H124" s="460">
        <f>G124+'15'!H124</f>
        <v>3346.6600000000326</v>
      </c>
      <c r="I124" s="526"/>
      <c r="J124" s="552">
        <f>H124/DAY(B2)</f>
        <v>209.16625000000204</v>
      </c>
      <c r="K124" s="380"/>
      <c r="L124" s="377"/>
      <c r="N124" s="719"/>
      <c r="O124" s="726"/>
      <c r="P124" s="382"/>
    </row>
    <row r="125" spans="1:16" ht="27.75">
      <c r="A125" s="1207" t="s">
        <v>231</v>
      </c>
      <c r="B125" s="1208"/>
      <c r="C125" s="1208"/>
      <c r="D125" s="523" t="s">
        <v>140</v>
      </c>
      <c r="E125" s="626">
        <f>'15'!F125</f>
        <v>73583.399999999994</v>
      </c>
      <c r="F125" s="626">
        <v>73583.399999999994</v>
      </c>
      <c r="G125" s="473">
        <f t="shared" si="14"/>
        <v>0</v>
      </c>
      <c r="H125" s="460">
        <f>G125+'15'!H125</f>
        <v>0</v>
      </c>
      <c r="I125" s="526"/>
      <c r="J125" s="552">
        <f>H125/DAY(B2)</f>
        <v>0</v>
      </c>
      <c r="K125" s="380"/>
      <c r="L125" s="377"/>
      <c r="N125" s="719"/>
      <c r="O125" s="726"/>
      <c r="P125" s="382"/>
    </row>
    <row r="126" spans="1:16" ht="27.75">
      <c r="A126" s="1534" t="s">
        <v>232</v>
      </c>
      <c r="B126" s="1535"/>
      <c r="C126" s="1536"/>
      <c r="D126" s="523" t="s">
        <v>140</v>
      </c>
      <c r="E126" s="478">
        <f>'15'!F126</f>
        <v>147443</v>
      </c>
      <c r="F126" s="478">
        <v>147506.38</v>
      </c>
      <c r="G126" s="473">
        <f t="shared" si="14"/>
        <v>63.380000000004657</v>
      </c>
      <c r="H126" s="460">
        <f>G126+'15'!H126</f>
        <v>1015.3800000000047</v>
      </c>
      <c r="I126" s="526"/>
      <c r="J126" s="552">
        <f>H126/DAY(B2)</f>
        <v>63.461250000000291</v>
      </c>
      <c r="K126" s="380"/>
      <c r="L126" s="377"/>
      <c r="N126" s="719"/>
      <c r="O126" s="726"/>
      <c r="P126" s="382"/>
    </row>
    <row r="127" spans="1:16" ht="27.75">
      <c r="A127" s="609" t="s">
        <v>233</v>
      </c>
      <c r="B127" s="1208"/>
      <c r="C127" s="1208"/>
      <c r="D127" s="523" t="s">
        <v>140</v>
      </c>
      <c r="E127" s="626">
        <f>'15'!F127</f>
        <v>31526</v>
      </c>
      <c r="F127" s="626">
        <v>31561.200000000001</v>
      </c>
      <c r="G127" s="473">
        <f t="shared" si="14"/>
        <v>35.200000000000728</v>
      </c>
      <c r="H127" s="460">
        <f>G127+'15'!H127</f>
        <v>155.20000000000073</v>
      </c>
      <c r="I127" s="526"/>
      <c r="J127" s="552">
        <f>H127/DAY(B2)</f>
        <v>9.7000000000000455</v>
      </c>
      <c r="K127" s="380"/>
      <c r="L127" s="377"/>
      <c r="N127" s="719"/>
      <c r="O127" s="726"/>
      <c r="P127" s="382"/>
    </row>
    <row r="128" spans="1:16" ht="27.75">
      <c r="A128" s="609" t="s">
        <v>234</v>
      </c>
      <c r="B128" s="1208"/>
      <c r="C128" s="1208"/>
      <c r="D128" s="523" t="s">
        <v>140</v>
      </c>
      <c r="E128" s="626">
        <f>'15'!F128</f>
        <v>8976</v>
      </c>
      <c r="F128" s="626">
        <v>8976.2999999999993</v>
      </c>
      <c r="G128" s="473">
        <f t="shared" si="14"/>
        <v>0.2999999999992724</v>
      </c>
      <c r="H128" s="460">
        <f>G128+'15'!H128</f>
        <v>4.2999999999992724</v>
      </c>
      <c r="I128" s="480"/>
      <c r="J128" s="552">
        <f>H128/DAY(B2)</f>
        <v>0.26874999999995453</v>
      </c>
      <c r="K128" s="380"/>
      <c r="L128" s="377"/>
      <c r="N128" s="719"/>
      <c r="O128" s="726"/>
      <c r="P128" s="382"/>
    </row>
    <row r="129" spans="1:16" s="281" customFormat="1" ht="27.75">
      <c r="A129" s="609" t="s">
        <v>235</v>
      </c>
      <c r="B129" s="1208"/>
      <c r="C129" s="1208"/>
      <c r="D129" s="523"/>
      <c r="E129" s="478"/>
      <c r="F129" s="478"/>
      <c r="G129" s="473">
        <f>G15-SUM(G124:G128)</f>
        <v>115.52499999990687</v>
      </c>
      <c r="H129" s="460">
        <f>G129+'15'!H129</f>
        <v>115.52499999990687</v>
      </c>
      <c r="I129" s="480"/>
      <c r="J129" s="552">
        <f>H129/DAY(B2)</f>
        <v>7.2203124999941792</v>
      </c>
      <c r="K129" s="364"/>
      <c r="L129" s="292"/>
      <c r="N129" s="719"/>
      <c r="O129" s="726"/>
      <c r="P129" s="382"/>
    </row>
    <row r="130" spans="1:16">
      <c r="A130" s="610" t="s">
        <v>236</v>
      </c>
      <c r="B130" s="458"/>
      <c r="C130" s="458"/>
      <c r="D130" s="471"/>
      <c r="E130" s="471"/>
      <c r="F130" s="471"/>
      <c r="G130" s="540"/>
      <c r="H130" s="540"/>
      <c r="I130" s="540"/>
      <c r="J130" s="564"/>
      <c r="N130" s="719"/>
      <c r="O130" s="726"/>
      <c r="P130" s="382"/>
    </row>
    <row r="131" spans="1:16" ht="27.75">
      <c r="A131" s="1207" t="s">
        <v>237</v>
      </c>
      <c r="B131" s="1208"/>
      <c r="C131" s="1208"/>
      <c r="D131" s="523" t="s">
        <v>238</v>
      </c>
      <c r="E131" s="484">
        <f>'15'!F131</f>
        <v>0</v>
      </c>
      <c r="F131" s="478">
        <v>0</v>
      </c>
      <c r="G131" s="473">
        <f t="shared" ref="G131:G141" si="15">F131-E131</f>
        <v>0</v>
      </c>
      <c r="H131" s="460">
        <f>G131+'15'!H131</f>
        <v>0</v>
      </c>
      <c r="I131" s="480"/>
      <c r="J131" s="552">
        <f>H131/DAY(B2)</f>
        <v>0</v>
      </c>
      <c r="N131" s="719"/>
      <c r="O131" s="726"/>
      <c r="P131" s="382"/>
    </row>
    <row r="132" spans="1:16" ht="27.75">
      <c r="A132" s="1207" t="s">
        <v>239</v>
      </c>
      <c r="B132" s="1208"/>
      <c r="C132" s="1208"/>
      <c r="D132" s="523" t="s">
        <v>238</v>
      </c>
      <c r="E132" s="484">
        <f>'15'!F132</f>
        <v>0</v>
      </c>
      <c r="F132" s="478">
        <v>0</v>
      </c>
      <c r="G132" s="473">
        <f t="shared" si="15"/>
        <v>0</v>
      </c>
      <c r="H132" s="460">
        <f>G132+'15'!H132</f>
        <v>0</v>
      </c>
      <c r="I132" s="480"/>
      <c r="J132" s="552">
        <f>H132/DAY(B2)</f>
        <v>0</v>
      </c>
      <c r="N132" s="719"/>
      <c r="O132" s="726"/>
      <c r="P132" s="382"/>
    </row>
    <row r="133" spans="1:16" ht="27.75">
      <c r="A133" s="1207" t="s">
        <v>240</v>
      </c>
      <c r="B133" s="1208"/>
      <c r="C133" s="1208"/>
      <c r="D133" s="523" t="s">
        <v>238</v>
      </c>
      <c r="E133" s="541">
        <f>'15'!F133</f>
        <v>40242</v>
      </c>
      <c r="F133" s="652">
        <v>40266.31</v>
      </c>
      <c r="G133" s="473">
        <f t="shared" si="15"/>
        <v>24.309999999997672</v>
      </c>
      <c r="H133" s="460">
        <f>G133+'15'!H133</f>
        <v>231.20999999999913</v>
      </c>
      <c r="I133" s="480"/>
      <c r="J133" s="552">
        <f>H133/DAY(B2)</f>
        <v>14.450624999999945</v>
      </c>
      <c r="N133" s="719"/>
      <c r="O133" s="726"/>
      <c r="P133" s="382"/>
    </row>
    <row r="134" spans="1:16" ht="27.75">
      <c r="A134" s="1207" t="s">
        <v>241</v>
      </c>
      <c r="B134" s="1208"/>
      <c r="C134" s="1208"/>
      <c r="D134" s="523" t="s">
        <v>238</v>
      </c>
      <c r="E134" s="702">
        <f>'15'!F134</f>
        <v>300</v>
      </c>
      <c r="F134" s="626">
        <v>300</v>
      </c>
      <c r="G134" s="473">
        <f t="shared" si="15"/>
        <v>0</v>
      </c>
      <c r="H134" s="460">
        <f>G134+'15'!H134</f>
        <v>0</v>
      </c>
      <c r="I134" s="480">
        <f>G131+G132+G133+G134</f>
        <v>24.309999999997672</v>
      </c>
      <c r="J134" s="552">
        <f>H134/DAY(B2)</f>
        <v>0</v>
      </c>
      <c r="N134" s="719"/>
      <c r="O134" s="726"/>
      <c r="P134" s="382"/>
    </row>
    <row r="135" spans="1:16" ht="27.75">
      <c r="A135" s="1207" t="s">
        <v>242</v>
      </c>
      <c r="B135" s="1208"/>
      <c r="C135" s="1208"/>
      <c r="D135" s="523" t="s">
        <v>238</v>
      </c>
      <c r="E135" s="702">
        <f>'15'!F135</f>
        <v>41743</v>
      </c>
      <c r="F135" s="626">
        <v>41743</v>
      </c>
      <c r="G135" s="473">
        <f t="shared" si="15"/>
        <v>0</v>
      </c>
      <c r="H135" s="460">
        <f>G135+'15'!H135</f>
        <v>13</v>
      </c>
      <c r="I135" s="480"/>
      <c r="J135" s="552">
        <f>H135/DAY(B2)</f>
        <v>0.8125</v>
      </c>
      <c r="N135" s="719"/>
      <c r="O135" s="726"/>
      <c r="P135" s="382"/>
    </row>
    <row r="136" spans="1:16" ht="27.75">
      <c r="A136" s="1207" t="s">
        <v>243</v>
      </c>
      <c r="B136" s="1208"/>
      <c r="C136" s="1208"/>
      <c r="D136" s="523" t="s">
        <v>238</v>
      </c>
      <c r="E136" s="541">
        <f>'15'!F136</f>
        <v>32874</v>
      </c>
      <c r="F136" s="652">
        <v>32874</v>
      </c>
      <c r="G136" s="473">
        <f t="shared" si="15"/>
        <v>0</v>
      </c>
      <c r="H136" s="460">
        <f>G136+'15'!H136</f>
        <v>159</v>
      </c>
      <c r="I136" s="480"/>
      <c r="J136" s="552">
        <f>H136/DAY(B2)</f>
        <v>9.9375</v>
      </c>
      <c r="N136" s="719"/>
      <c r="O136" s="726"/>
      <c r="P136" s="382"/>
    </row>
    <row r="137" spans="1:16" ht="27.75">
      <c r="A137" s="1207" t="s">
        <v>244</v>
      </c>
      <c r="B137" s="1208"/>
      <c r="C137" s="1208"/>
      <c r="D137" s="523" t="s">
        <v>238</v>
      </c>
      <c r="E137" s="541">
        <f>'15'!F137</f>
        <v>22850</v>
      </c>
      <c r="F137" s="652">
        <v>22850.49</v>
      </c>
      <c r="G137" s="473">
        <f t="shared" si="15"/>
        <v>0.49000000000160071</v>
      </c>
      <c r="H137" s="460">
        <f>G137+'15'!H137</f>
        <v>43.25</v>
      </c>
      <c r="I137" s="480">
        <f>G135+G136+G137</f>
        <v>0.49000000000160071</v>
      </c>
      <c r="J137" s="552">
        <f>H137/DAY(B2)</f>
        <v>2.703125</v>
      </c>
      <c r="N137" s="719"/>
      <c r="O137" s="726"/>
      <c r="P137" s="382"/>
    </row>
    <row r="138" spans="1:16" ht="27.75">
      <c r="A138" s="1207" t="s">
        <v>245</v>
      </c>
      <c r="B138" s="1208"/>
      <c r="C138" s="1208"/>
      <c r="D138" s="523" t="s">
        <v>238</v>
      </c>
      <c r="E138" s="541">
        <f>'15'!F138</f>
        <v>25051.82</v>
      </c>
      <c r="F138" s="652">
        <v>25051.82</v>
      </c>
      <c r="G138" s="473">
        <f t="shared" si="15"/>
        <v>0</v>
      </c>
      <c r="H138" s="460">
        <f>G138+'15'!H138</f>
        <v>0</v>
      </c>
      <c r="I138" s="480"/>
      <c r="J138" s="552">
        <f>H138/DAY(B2)</f>
        <v>0</v>
      </c>
      <c r="N138" s="719"/>
      <c r="O138" s="726"/>
      <c r="P138" s="382"/>
    </row>
    <row r="139" spans="1:16" ht="27.75">
      <c r="A139" s="1207" t="s">
        <v>246</v>
      </c>
      <c r="B139" s="1208"/>
      <c r="C139" s="1208"/>
      <c r="D139" s="523" t="s">
        <v>238</v>
      </c>
      <c r="E139" s="541">
        <f>'15'!F139</f>
        <v>70470.63</v>
      </c>
      <c r="F139" s="652">
        <v>70470.63</v>
      </c>
      <c r="G139" s="473">
        <f t="shared" si="15"/>
        <v>0</v>
      </c>
      <c r="H139" s="460">
        <f>G139+'15'!H139</f>
        <v>58.889999999999418</v>
      </c>
      <c r="I139" s="480">
        <f>G138+G139</f>
        <v>0</v>
      </c>
      <c r="J139" s="552">
        <f>H139/DAY(B2)</f>
        <v>3.6806249999999636</v>
      </c>
      <c r="N139" s="719"/>
      <c r="O139" s="726"/>
      <c r="P139" s="382"/>
    </row>
    <row r="140" spans="1:16" ht="27.75">
      <c r="A140" s="1207" t="s">
        <v>247</v>
      </c>
      <c r="B140" s="1208"/>
      <c r="C140" s="1208"/>
      <c r="D140" s="523" t="s">
        <v>238</v>
      </c>
      <c r="E140" s="702">
        <f>'15'!F140</f>
        <v>1972.72</v>
      </c>
      <c r="F140" s="626">
        <v>1982.12</v>
      </c>
      <c r="G140" s="473">
        <f t="shared" si="15"/>
        <v>9.3999999999998636</v>
      </c>
      <c r="H140" s="460">
        <f>G140+'15'!H140</f>
        <v>127.81999999999994</v>
      </c>
      <c r="I140" s="542"/>
      <c r="J140" s="552">
        <f>H140/DAY(B2)</f>
        <v>7.988749999999996</v>
      </c>
      <c r="N140" s="719"/>
      <c r="O140" s="726"/>
      <c r="P140" s="382"/>
    </row>
    <row r="141" spans="1:16" ht="27.75">
      <c r="A141" s="1207" t="s">
        <v>248</v>
      </c>
      <c r="B141" s="1208"/>
      <c r="C141" s="1208"/>
      <c r="D141" s="523" t="s">
        <v>238</v>
      </c>
      <c r="E141" s="484">
        <f>'15'!F141</f>
        <v>4636.88</v>
      </c>
      <c r="F141" s="478">
        <v>4636.88</v>
      </c>
      <c r="G141" s="473">
        <f t="shared" si="15"/>
        <v>0</v>
      </c>
      <c r="H141" s="460">
        <f>G141+'15'!H141</f>
        <v>-0.11999999999989086</v>
      </c>
      <c r="I141" s="542"/>
      <c r="J141" s="552">
        <f>H141/DAY(B2)</f>
        <v>-7.4999999999931788E-3</v>
      </c>
      <c r="N141" s="719"/>
      <c r="O141" s="726"/>
      <c r="P141" s="382"/>
    </row>
    <row r="142" spans="1:16">
      <c r="A142" s="1572" t="s">
        <v>307</v>
      </c>
      <c r="B142" s="1573"/>
      <c r="C142" s="1211"/>
      <c r="D142" s="472"/>
      <c r="E142" s="472"/>
      <c r="F142" s="472"/>
      <c r="G142" s="483"/>
      <c r="H142" s="483"/>
      <c r="I142" s="483"/>
      <c r="J142" s="563"/>
      <c r="K142" s="380"/>
      <c r="L142" s="377"/>
      <c r="N142" s="719"/>
      <c r="O142" s="726"/>
      <c r="P142" s="382"/>
    </row>
    <row r="143" spans="1:16" ht="27.75">
      <c r="A143" s="1537" t="s">
        <v>250</v>
      </c>
      <c r="B143" s="1538"/>
      <c r="C143" s="1539"/>
      <c r="D143" s="523" t="s">
        <v>131</v>
      </c>
      <c r="E143" s="523"/>
      <c r="F143" s="523"/>
      <c r="G143" s="460">
        <f>G35+G43+G49+G57</f>
        <v>4937.9200000000419</v>
      </c>
      <c r="H143" s="460">
        <f>G143+'15'!H143</f>
        <v>78048.250000000044</v>
      </c>
      <c r="I143" s="480"/>
      <c r="J143" s="552">
        <f>H143/DAY(B2)</f>
        <v>4878.0156250000027</v>
      </c>
      <c r="K143" s="380"/>
      <c r="L143" s="377"/>
      <c r="N143" s="719"/>
      <c r="O143" s="726"/>
      <c r="P143" s="382"/>
    </row>
    <row r="144" spans="1:16" ht="27.75">
      <c r="A144" s="1537" t="s">
        <v>251</v>
      </c>
      <c r="B144" s="1538"/>
      <c r="C144" s="1539"/>
      <c r="D144" s="523" t="s">
        <v>24</v>
      </c>
      <c r="E144" s="511"/>
      <c r="F144" s="511"/>
      <c r="G144" s="543">
        <f>G143/G7</f>
        <v>0.26827321717389452</v>
      </c>
      <c r="H144" s="460">
        <f>G144+'15'!H144</f>
        <v>4.3995799371756066</v>
      </c>
      <c r="I144" s="544"/>
      <c r="J144" s="552">
        <f>H144/DAY(B2)</f>
        <v>0.27497374607347541</v>
      </c>
      <c r="K144" s="380"/>
      <c r="L144" s="377"/>
      <c r="N144" s="719"/>
      <c r="O144" s="726"/>
      <c r="P144" s="382"/>
    </row>
    <row r="145" spans="1:16" ht="27.75">
      <c r="A145" s="1537" t="s">
        <v>252</v>
      </c>
      <c r="B145" s="1538"/>
      <c r="C145" s="1539"/>
      <c r="D145" s="523" t="s">
        <v>131</v>
      </c>
      <c r="E145" s="455"/>
      <c r="F145" s="455"/>
      <c r="G145" s="460">
        <f>G41+G42+G55+G56</f>
        <v>5374.2500000000291</v>
      </c>
      <c r="H145" s="460">
        <f>G145+'15'!H145</f>
        <v>83503.280000000028</v>
      </c>
      <c r="I145" s="480"/>
      <c r="J145" s="552">
        <f>H145/DAY(B2)</f>
        <v>5218.9550000000017</v>
      </c>
      <c r="K145" s="380"/>
      <c r="L145" s="377"/>
      <c r="N145" s="719"/>
      <c r="O145" s="726"/>
      <c r="P145" s="382"/>
    </row>
    <row r="146" spans="1:16" ht="27.75">
      <c r="A146" s="1537" t="s">
        <v>253</v>
      </c>
      <c r="B146" s="1538"/>
      <c r="C146" s="1539"/>
      <c r="D146" s="523" t="s">
        <v>24</v>
      </c>
      <c r="E146" s="455"/>
      <c r="F146" s="455"/>
      <c r="G146" s="543">
        <f>G145/G7</f>
        <v>0.29197867470449063</v>
      </c>
      <c r="H146" s="460">
        <f>G146+'15'!H146</f>
        <v>4.6839096430340836</v>
      </c>
      <c r="I146" s="544"/>
      <c r="J146" s="552">
        <f>H146/DAY(B2)</f>
        <v>0.29274435268963023</v>
      </c>
      <c r="K146" s="380"/>
      <c r="L146" s="377"/>
      <c r="N146" s="719"/>
      <c r="O146" s="726"/>
      <c r="P146" s="382"/>
    </row>
    <row r="147" spans="1:16" ht="27.75">
      <c r="A147" s="1537" t="s">
        <v>254</v>
      </c>
      <c r="B147" s="1538"/>
      <c r="C147" s="1539"/>
      <c r="D147" s="523" t="s">
        <v>131</v>
      </c>
      <c r="E147" s="455"/>
      <c r="F147" s="455"/>
      <c r="G147" s="460">
        <f>G39+G53</f>
        <v>3172.4900000000489</v>
      </c>
      <c r="H147" s="460">
        <f>G147+'15'!H147</f>
        <v>48272.490000000049</v>
      </c>
      <c r="I147" s="545"/>
      <c r="J147" s="552">
        <f>H147/DAY(B2)</f>
        <v>3017.0306250000031</v>
      </c>
      <c r="K147" s="380"/>
      <c r="L147" s="377"/>
      <c r="N147" s="719"/>
      <c r="O147" s="726"/>
      <c r="P147" s="382"/>
    </row>
    <row r="148" spans="1:16" ht="27.75">
      <c r="A148" s="1537" t="s">
        <v>255</v>
      </c>
      <c r="B148" s="1538"/>
      <c r="C148" s="1539"/>
      <c r="D148" s="523" t="s">
        <v>24</v>
      </c>
      <c r="E148" s="455"/>
      <c r="F148" s="455"/>
      <c r="G148" s="543">
        <f>G147/G7</f>
        <v>0.17235882694576149</v>
      </c>
      <c r="H148" s="460">
        <f>G148+'15'!H148</f>
        <v>2.7127814379857096</v>
      </c>
      <c r="I148" s="545"/>
      <c r="J148" s="552">
        <f>H148/DAY(B2)</f>
        <v>0.16954883987410685</v>
      </c>
      <c r="N148" s="719"/>
      <c r="O148" s="726"/>
      <c r="P148" s="382"/>
    </row>
    <row r="149" spans="1:16" ht="27.75">
      <c r="A149" s="1537" t="s">
        <v>256</v>
      </c>
      <c r="B149" s="1538"/>
      <c r="C149" s="1539"/>
      <c r="D149" s="523" t="s">
        <v>182</v>
      </c>
      <c r="E149" s="455"/>
      <c r="F149" s="455"/>
      <c r="G149" s="460">
        <f>G38+G52</f>
        <v>1231.3799999999464</v>
      </c>
      <c r="H149" s="460">
        <f>G149+'15'!H149</f>
        <v>20209.379999999946</v>
      </c>
      <c r="I149" s="480"/>
      <c r="J149" s="552">
        <f>H149/DAY(B2)</f>
        <v>1263.0862499999967</v>
      </c>
      <c r="K149" s="381"/>
      <c r="N149" s="719"/>
      <c r="O149" s="726"/>
      <c r="P149" s="382"/>
    </row>
    <row r="150" spans="1:16" ht="27.75">
      <c r="A150" s="1537" t="s">
        <v>257</v>
      </c>
      <c r="B150" s="1538"/>
      <c r="C150" s="1539"/>
      <c r="D150" s="523" t="s">
        <v>24</v>
      </c>
      <c r="E150" s="455"/>
      <c r="F150" s="455"/>
      <c r="G150" s="543">
        <f>G149/G7</f>
        <v>6.6899883789849388E-2</v>
      </c>
      <c r="H150" s="460">
        <f>G150+'15'!H150</f>
        <v>1.1353987758952984</v>
      </c>
      <c r="I150" s="545"/>
      <c r="J150" s="552">
        <f>H150/DAY(B2)</f>
        <v>7.0962423493456148E-2</v>
      </c>
      <c r="N150" s="719"/>
      <c r="O150" s="726"/>
      <c r="P150" s="382"/>
    </row>
    <row r="151" spans="1:16" ht="27.75">
      <c r="A151" s="1537" t="s">
        <v>258</v>
      </c>
      <c r="B151" s="1538"/>
      <c r="C151" s="1539"/>
      <c r="D151" s="523" t="s">
        <v>182</v>
      </c>
      <c r="E151" s="455"/>
      <c r="F151" s="455"/>
      <c r="G151" s="460">
        <f>G36+G50</f>
        <v>1916.9899999999961</v>
      </c>
      <c r="H151" s="460">
        <f>G151+'15'!H151</f>
        <v>24847.989999999998</v>
      </c>
      <c r="I151" s="545"/>
      <c r="J151" s="552">
        <f>H151/DAY(B2)</f>
        <v>1552.9993749999999</v>
      </c>
      <c r="N151" s="719"/>
      <c r="O151" s="726"/>
      <c r="P151" s="382"/>
    </row>
    <row r="152" spans="1:16" ht="27.75">
      <c r="A152" s="1537" t="s">
        <v>259</v>
      </c>
      <c r="B152" s="1538"/>
      <c r="C152" s="1539"/>
      <c r="D152" s="523" t="s">
        <v>24</v>
      </c>
      <c r="E152" s="455"/>
      <c r="F152" s="455"/>
      <c r="G152" s="543">
        <f>G151/G7</f>
        <v>0.10414852297934732</v>
      </c>
      <c r="H152" s="460">
        <f>G152+'15'!H152</f>
        <v>1.393954195059218</v>
      </c>
      <c r="I152" s="480"/>
      <c r="J152" s="552">
        <f>H152/DAY(B2)</f>
        <v>8.7122137191201127E-2</v>
      </c>
      <c r="N152" s="719"/>
      <c r="O152" s="726"/>
      <c r="P152" s="382"/>
    </row>
    <row r="153" spans="1:16" ht="27.75">
      <c r="A153" s="1537" t="s">
        <v>260</v>
      </c>
      <c r="B153" s="1538"/>
      <c r="C153" s="1539"/>
      <c r="D153" s="523" t="s">
        <v>182</v>
      </c>
      <c r="E153" s="455"/>
      <c r="F153" s="455"/>
      <c r="G153" s="460">
        <f>G37+G51</f>
        <v>1424.929999999993</v>
      </c>
      <c r="H153" s="460">
        <f>G153+'15'!H153</f>
        <v>21683.799999999988</v>
      </c>
      <c r="I153" s="480"/>
      <c r="J153" s="552">
        <f>H153/DAY(B2)</f>
        <v>1355.2374999999993</v>
      </c>
      <c r="N153" s="719"/>
      <c r="O153" s="726"/>
      <c r="P153" s="382"/>
    </row>
    <row r="154" spans="1:16" ht="28.5" thickBot="1">
      <c r="A154" s="1569" t="s">
        <v>261</v>
      </c>
      <c r="B154" s="1570"/>
      <c r="C154" s="1571"/>
      <c r="D154" s="625" t="s">
        <v>24</v>
      </c>
      <c r="E154" s="565"/>
      <c r="F154" s="565"/>
      <c r="G154" s="566">
        <f>G153/G7</f>
        <v>7.741529942720668E-2</v>
      </c>
      <c r="H154" s="460">
        <f>G154+'15'!H154</f>
        <v>1.222723902692691</v>
      </c>
      <c r="I154" s="568"/>
      <c r="J154" s="569">
        <f>H154/DAY(B2)</f>
        <v>7.642024391829319E-2</v>
      </c>
      <c r="N154" s="719"/>
      <c r="O154" s="726"/>
      <c r="P154" s="382"/>
    </row>
    <row r="155" spans="1:16">
      <c r="A155" s="466"/>
      <c r="B155" s="456"/>
      <c r="C155" s="456"/>
      <c r="D155" s="546"/>
      <c r="E155" s="546"/>
      <c r="F155" s="663"/>
      <c r="G155" s="546"/>
      <c r="H155" s="547"/>
      <c r="I155" s="546"/>
      <c r="J155" s="548"/>
      <c r="N155" s="719"/>
    </row>
    <row r="156" spans="1:16">
      <c r="N156" s="719"/>
    </row>
    <row r="157" spans="1:16">
      <c r="N157" s="719"/>
    </row>
    <row r="158" spans="1:16">
      <c r="N158" s="719"/>
    </row>
    <row r="159" spans="1:16">
      <c r="N159" s="719"/>
    </row>
    <row r="160" spans="1:16">
      <c r="N160" s="719"/>
    </row>
    <row r="161" spans="1:14">
      <c r="A161" s="795" t="s">
        <v>262</v>
      </c>
      <c r="B161" s="796"/>
      <c r="C161" s="796"/>
      <c r="D161" s="620" t="s">
        <v>186</v>
      </c>
      <c r="E161" s="522">
        <f>'15'!F161</f>
        <v>39641</v>
      </c>
      <c r="F161" s="804">
        <v>39719.64</v>
      </c>
      <c r="G161" s="473">
        <f t="shared" ref="G161:G164" si="16">F161-E161</f>
        <v>78.639999999999418</v>
      </c>
      <c r="N161" s="719"/>
    </row>
    <row r="162" spans="1:14">
      <c r="A162" s="795" t="s">
        <v>263</v>
      </c>
      <c r="B162" s="796"/>
      <c r="C162" s="796"/>
      <c r="D162" s="620" t="s">
        <v>186</v>
      </c>
      <c r="E162" s="522">
        <f>'15'!F162</f>
        <v>101054</v>
      </c>
      <c r="F162" s="804">
        <v>101503.63</v>
      </c>
      <c r="G162" s="473">
        <f t="shared" si="16"/>
        <v>449.63000000000466</v>
      </c>
      <c r="N162" s="719"/>
    </row>
    <row r="163" spans="1:14">
      <c r="A163" s="795" t="s">
        <v>264</v>
      </c>
      <c r="B163" s="796"/>
      <c r="C163" s="796"/>
      <c r="D163" s="620" t="s">
        <v>186</v>
      </c>
      <c r="E163" s="522">
        <f>'15'!F163</f>
        <v>48067</v>
      </c>
      <c r="F163" s="784">
        <v>48271.33</v>
      </c>
      <c r="G163" s="473">
        <f t="shared" si="16"/>
        <v>204.33000000000175</v>
      </c>
      <c r="N163" s="719"/>
    </row>
    <row r="164" spans="1:14">
      <c r="A164" s="795" t="s">
        <v>265</v>
      </c>
      <c r="B164" s="796"/>
      <c r="C164" s="796"/>
      <c r="D164" s="620" t="s">
        <v>186</v>
      </c>
      <c r="E164" s="522">
        <f>'15'!F164</f>
        <v>6700</v>
      </c>
      <c r="F164" s="804">
        <v>6710.01</v>
      </c>
      <c r="G164" s="473">
        <f t="shared" si="16"/>
        <v>10.010000000000218</v>
      </c>
      <c r="N164" s="719"/>
    </row>
    <row r="165" spans="1:14">
      <c r="A165" s="797" t="s">
        <v>97</v>
      </c>
      <c r="B165" s="798"/>
      <c r="C165" s="798"/>
      <c r="D165" s="620" t="s">
        <v>186</v>
      </c>
      <c r="E165" s="522">
        <f>'15'!F165</f>
        <v>20419.18</v>
      </c>
      <c r="F165" s="514">
        <f>F62</f>
        <v>20419.18</v>
      </c>
      <c r="G165" s="473">
        <f t="shared" ref="G165:G172" si="17">F165-E165</f>
        <v>0</v>
      </c>
      <c r="N165" s="719"/>
    </row>
    <row r="166" spans="1:14">
      <c r="A166" s="797" t="s">
        <v>187</v>
      </c>
      <c r="B166" s="798"/>
      <c r="C166" s="798"/>
      <c r="D166" s="620" t="s">
        <v>186</v>
      </c>
      <c r="E166" s="522">
        <v>0</v>
      </c>
      <c r="F166" s="514">
        <f t="shared" ref="F166:F172" si="18">F63</f>
        <v>0</v>
      </c>
      <c r="G166" s="473">
        <f t="shared" si="17"/>
        <v>0</v>
      </c>
      <c r="N166" s="719"/>
    </row>
    <row r="167" spans="1:14" ht="27.75">
      <c r="A167" s="1599" t="s">
        <v>98</v>
      </c>
      <c r="B167" s="1599"/>
      <c r="C167" s="1599"/>
      <c r="D167" s="524" t="s">
        <v>186</v>
      </c>
      <c r="E167" s="522">
        <f>'15'!F167</f>
        <v>164442</v>
      </c>
      <c r="F167" s="514">
        <f t="shared" si="18"/>
        <v>164857.35</v>
      </c>
      <c r="G167" s="473">
        <f t="shared" si="17"/>
        <v>415.35000000000582</v>
      </c>
      <c r="N167" s="719"/>
    </row>
    <row r="168" spans="1:14" ht="27.75">
      <c r="A168" s="1599" t="s">
        <v>99</v>
      </c>
      <c r="B168" s="1599"/>
      <c r="C168" s="1599"/>
      <c r="D168" s="524" t="s">
        <v>186</v>
      </c>
      <c r="E168" s="522">
        <f>'15'!F168</f>
        <v>164888</v>
      </c>
      <c r="F168" s="514">
        <f t="shared" si="18"/>
        <v>165153.25</v>
      </c>
      <c r="G168" s="473">
        <f t="shared" si="17"/>
        <v>265.25</v>
      </c>
      <c r="N168" s="719"/>
    </row>
    <row r="169" spans="1:14" ht="27.75">
      <c r="A169" s="1599" t="s">
        <v>100</v>
      </c>
      <c r="B169" s="1599"/>
      <c r="C169" s="1599"/>
      <c r="D169" s="524" t="s">
        <v>186</v>
      </c>
      <c r="E169" s="522">
        <f>'15'!F169</f>
        <v>62024</v>
      </c>
      <c r="F169" s="514">
        <f t="shared" si="18"/>
        <v>62324.23</v>
      </c>
      <c r="G169" s="473">
        <f t="shared" si="17"/>
        <v>300.2300000000032</v>
      </c>
      <c r="N169" s="719"/>
    </row>
    <row r="170" spans="1:14" ht="27.75">
      <c r="A170" s="1599" t="s">
        <v>101</v>
      </c>
      <c r="B170" s="1599"/>
      <c r="C170" s="1599"/>
      <c r="D170" s="524" t="s">
        <v>186</v>
      </c>
      <c r="E170" s="522">
        <f>'15'!F170</f>
        <v>258242</v>
      </c>
      <c r="F170" s="514">
        <f t="shared" si="18"/>
        <v>258634.39</v>
      </c>
      <c r="G170" s="473">
        <f t="shared" si="17"/>
        <v>392.39000000001397</v>
      </c>
      <c r="N170" s="719"/>
    </row>
    <row r="171" spans="1:14" ht="27.75">
      <c r="A171" s="1599" t="s">
        <v>102</v>
      </c>
      <c r="B171" s="1599"/>
      <c r="C171" s="1599"/>
      <c r="D171" s="524" t="s">
        <v>186</v>
      </c>
      <c r="E171" s="522">
        <f>'15'!F171</f>
        <v>85321</v>
      </c>
      <c r="F171" s="514">
        <f t="shared" si="18"/>
        <v>85321</v>
      </c>
      <c r="G171" s="473">
        <f t="shared" si="17"/>
        <v>0</v>
      </c>
      <c r="N171" s="719"/>
    </row>
    <row r="172" spans="1:14" ht="27.75">
      <c r="A172" s="1599" t="s">
        <v>103</v>
      </c>
      <c r="B172" s="1599"/>
      <c r="C172" s="1599"/>
      <c r="D172" s="524" t="s">
        <v>186</v>
      </c>
      <c r="E172" s="522">
        <f>'15'!F172</f>
        <v>83932</v>
      </c>
      <c r="F172" s="514">
        <f t="shared" si="18"/>
        <v>84160.27</v>
      </c>
      <c r="G172" s="473">
        <f t="shared" si="17"/>
        <v>228.27000000000407</v>
      </c>
      <c r="N172" s="719"/>
    </row>
    <row r="173" spans="1:14">
      <c r="A173" s="799"/>
      <c r="B173" s="800"/>
      <c r="C173" s="800"/>
      <c r="D173" s="801"/>
      <c r="E173" s="801"/>
      <c r="F173" s="802"/>
      <c r="G173" s="803">
        <f>SUM(G161:G172)</f>
        <v>2344.1000000000331</v>
      </c>
      <c r="N173" s="719"/>
    </row>
    <row r="174" spans="1:14">
      <c r="N174" s="719"/>
    </row>
    <row r="175" spans="1:14">
      <c r="A175" s="1596" t="s">
        <v>357</v>
      </c>
      <c r="B175" s="1579"/>
      <c r="C175" s="786"/>
      <c r="D175" s="523" t="s">
        <v>186</v>
      </c>
      <c r="N175" s="719"/>
    </row>
    <row r="176" spans="1:14">
      <c r="A176" s="1596" t="s">
        <v>358</v>
      </c>
      <c r="B176" s="1579"/>
      <c r="C176" s="786"/>
      <c r="D176" s="523" t="s">
        <v>186</v>
      </c>
      <c r="N176" s="719"/>
    </row>
    <row r="177" spans="14:14" ht="18.75" customHeight="1">
      <c r="N177" s="719"/>
    </row>
    <row r="178" spans="14:14" ht="23.25" customHeight="1">
      <c r="N178" s="719"/>
    </row>
    <row r="179" spans="14:14" ht="23.25" customHeight="1">
      <c r="N179" s="719"/>
    </row>
    <row r="180" spans="14:14" ht="23.25" customHeight="1">
      <c r="N180" s="719"/>
    </row>
    <row r="181" spans="14:14" ht="23.25" customHeight="1">
      <c r="N181" s="719"/>
    </row>
    <row r="182" spans="14:14" ht="23.25" customHeight="1">
      <c r="N182" s="719"/>
    </row>
    <row r="183" spans="14:14" ht="23.25" customHeight="1">
      <c r="N183" s="719"/>
    </row>
    <row r="184" spans="14:14" ht="23.25" customHeight="1">
      <c r="N184" s="719"/>
    </row>
    <row r="185" spans="14:14" ht="23.25" customHeight="1">
      <c r="N185" s="719"/>
    </row>
    <row r="186" spans="14:14" ht="23.25" customHeight="1">
      <c r="N186" s="719"/>
    </row>
    <row r="187" spans="14:14" ht="23.25" customHeight="1">
      <c r="N187" s="719"/>
    </row>
    <row r="188" spans="14:14" ht="23.25" customHeight="1">
      <c r="N188" s="719"/>
    </row>
    <row r="189" spans="14:14" ht="23.25" customHeight="1">
      <c r="N189" s="719"/>
    </row>
    <row r="190" spans="14:14" ht="23.25" customHeight="1">
      <c r="N190" s="719"/>
    </row>
    <row r="191" spans="14:14" ht="23.25" customHeight="1">
      <c r="N191" s="719"/>
    </row>
    <row r="192" spans="14:14" ht="23.25" customHeight="1">
      <c r="N192" s="719"/>
    </row>
    <row r="193" spans="14:14" ht="23.25" customHeight="1">
      <c r="N193" s="719"/>
    </row>
    <row r="194" spans="14:14" ht="23.25" customHeight="1">
      <c r="N194" s="719"/>
    </row>
    <row r="195" spans="14:14" ht="23.25" customHeight="1">
      <c r="N195" s="719"/>
    </row>
    <row r="196" spans="14:14" ht="23.25" customHeight="1">
      <c r="N196" s="719"/>
    </row>
    <row r="197" spans="14:14" ht="23.25" customHeight="1">
      <c r="N197" s="719"/>
    </row>
    <row r="198" spans="14:14" ht="23.25" customHeight="1">
      <c r="N198" s="719"/>
    </row>
    <row r="199" spans="14:14" ht="23.25" customHeight="1"/>
    <row r="200" spans="14:14" ht="23.25" customHeight="1"/>
    <row r="201" spans="14:14" ht="23.25" customHeight="1"/>
    <row r="202" spans="14:14" ht="23.25" customHeight="1"/>
    <row r="203" spans="14:14" ht="23.25" customHeight="1"/>
    <row r="204" spans="14:14" ht="23.25" customHeight="1"/>
    <row r="205" spans="14:14" ht="23.25" customHeight="1"/>
    <row r="206" spans="14:14" ht="23.25" customHeight="1"/>
    <row r="207" spans="14:14" ht="23.25" customHeight="1"/>
    <row r="208" spans="14:14" ht="23.25" customHeight="1"/>
    <row r="209" ht="23.25" customHeight="1"/>
    <row r="210" ht="23.25" customHeight="1"/>
    <row r="211" ht="23.25" customHeight="1"/>
    <row r="212" ht="23.25" customHeight="1"/>
    <row r="213" ht="23.25" customHeight="1"/>
    <row r="214" ht="23.25" customHeight="1"/>
    <row r="215" ht="23.25" customHeight="1"/>
    <row r="216" ht="23.25" customHeight="1"/>
    <row r="217" ht="23.25" customHeight="1"/>
    <row r="218" ht="23.25" customHeight="1"/>
    <row r="219" ht="23.25" customHeight="1"/>
    <row r="220" ht="23.25" customHeight="1"/>
    <row r="221" ht="23.25" customHeight="1"/>
    <row r="222" ht="23.25" customHeight="1"/>
    <row r="223" ht="23.25" customHeight="1"/>
    <row r="224" ht="23.25" customHeight="1"/>
    <row r="225" ht="23.25" customHeight="1"/>
    <row r="226" ht="23.25" customHeight="1"/>
    <row r="227" ht="23.25" customHeight="1"/>
    <row r="228" ht="23.25" customHeight="1"/>
    <row r="229" ht="23.25" customHeight="1"/>
    <row r="230" ht="23.25" customHeight="1"/>
    <row r="231" ht="23.25" customHeight="1"/>
    <row r="232" ht="23.25" customHeight="1"/>
    <row r="233" ht="23.25" customHeight="1"/>
    <row r="234" ht="23.25" customHeight="1"/>
    <row r="235" ht="23.25" customHeight="1"/>
    <row r="236" ht="23.25" customHeight="1"/>
    <row r="237" ht="23.25" customHeight="1"/>
    <row r="238" ht="23.25" customHeight="1"/>
  </sheetData>
  <mergeCells count="76">
    <mergeCell ref="A172:C172"/>
    <mergeCell ref="A167:C167"/>
    <mergeCell ref="A168:C168"/>
    <mergeCell ref="A169:C169"/>
    <mergeCell ref="A170:C170"/>
    <mergeCell ref="A171:C171"/>
    <mergeCell ref="A119:B119"/>
    <mergeCell ref="A120:B120"/>
    <mergeCell ref="A121:B121"/>
    <mergeCell ref="A122:B122"/>
    <mergeCell ref="A114:B114"/>
    <mergeCell ref="A115:B115"/>
    <mergeCell ref="A116:B116"/>
    <mergeCell ref="A117:B117"/>
    <mergeCell ref="A118:B118"/>
    <mergeCell ref="A109:B109"/>
    <mergeCell ref="A110:B110"/>
    <mergeCell ref="A111:B111"/>
    <mergeCell ref="A112:B112"/>
    <mergeCell ref="A113:B113"/>
    <mergeCell ref="A104:B104"/>
    <mergeCell ref="A105:B105"/>
    <mergeCell ref="A106:B106"/>
    <mergeCell ref="A107:C107"/>
    <mergeCell ref="A108:B108"/>
    <mergeCell ref="A153:C153"/>
    <mergeCell ref="A154:C154"/>
    <mergeCell ref="E3:F3"/>
    <mergeCell ref="A71:J71"/>
    <mergeCell ref="A102:C102"/>
    <mergeCell ref="A123:C123"/>
    <mergeCell ref="A142:B142"/>
    <mergeCell ref="A149:C149"/>
    <mergeCell ref="A150:C150"/>
    <mergeCell ref="A143:C143"/>
    <mergeCell ref="A144:C144"/>
    <mergeCell ref="A145:C145"/>
    <mergeCell ref="A146:C146"/>
    <mergeCell ref="A147:C147"/>
    <mergeCell ref="A148:C148"/>
    <mergeCell ref="A126:C126"/>
    <mergeCell ref="A79:C79"/>
    <mergeCell ref="A80:C80"/>
    <mergeCell ref="A94:C94"/>
    <mergeCell ref="A95:C95"/>
    <mergeCell ref="A96:C96"/>
    <mergeCell ref="A81:C81"/>
    <mergeCell ref="A82:C82"/>
    <mergeCell ref="A83:C83"/>
    <mergeCell ref="A93:C93"/>
    <mergeCell ref="A19:C19"/>
    <mergeCell ref="A21:C21"/>
    <mergeCell ref="A33:J33"/>
    <mergeCell ref="A64:C64"/>
    <mergeCell ref="A65:C65"/>
    <mergeCell ref="A1:J1"/>
    <mergeCell ref="A6:C6"/>
    <mergeCell ref="A14:C14"/>
    <mergeCell ref="A17:C17"/>
    <mergeCell ref="A18:C18"/>
    <mergeCell ref="A175:B175"/>
    <mergeCell ref="A176:B176"/>
    <mergeCell ref="A25:C25"/>
    <mergeCell ref="A151:C151"/>
    <mergeCell ref="A152:C152"/>
    <mergeCell ref="A66:C66"/>
    <mergeCell ref="A67:C67"/>
    <mergeCell ref="A68:C68"/>
    <mergeCell ref="A69:C69"/>
    <mergeCell ref="A72:C72"/>
    <mergeCell ref="A73:C73"/>
    <mergeCell ref="A74:C74"/>
    <mergeCell ref="A75:C75"/>
    <mergeCell ref="A70:C70"/>
    <mergeCell ref="A76:C76"/>
    <mergeCell ref="A77:C77"/>
  </mergeCells>
  <pageMargins left="0.22" right="0.17" top="0.14000000000000001" bottom="0.2" header="0.2" footer="0.2"/>
  <pageSetup paperSize="5" scale="20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238"/>
  <sheetViews>
    <sheetView view="pageBreakPreview" topLeftCell="A142" zoomScale="55" zoomScaleSheetLayoutView="55" zoomScalePageLayoutView="60" workbookViewId="0">
      <selection activeCell="A175" sqref="A175:D176"/>
    </sheetView>
  </sheetViews>
  <sheetFormatPr defaultColWidth="22.33203125" defaultRowHeight="29.25"/>
  <cols>
    <col min="1" max="1" width="59.6640625" style="454" bestFit="1" customWidth="1"/>
    <col min="2" max="2" width="28.5546875" style="457" customWidth="1"/>
    <col min="3" max="3" width="15.88671875" style="457" customWidth="1"/>
    <col min="4" max="4" width="17.88671875" style="537" customWidth="1"/>
    <col min="5" max="5" width="27.21875" style="537" customWidth="1"/>
    <col min="6" max="6" width="26.21875" style="664" customWidth="1"/>
    <col min="7" max="7" width="24.44140625" style="537" customWidth="1"/>
    <col min="8" max="8" width="22.88671875" style="538" customWidth="1"/>
    <col min="9" max="9" width="16.88671875" style="537" bestFit="1" customWidth="1"/>
    <col min="10" max="10" width="23.21875" style="539" customWidth="1"/>
    <col min="11" max="11" width="43.21875" style="376" hidden="1" customWidth="1"/>
    <col min="12" max="13" width="22.33203125" style="376" hidden="1" customWidth="1"/>
    <col min="14" max="14" width="25.5546875" style="717" customWidth="1"/>
    <col min="15" max="15" width="22.33203125" style="724"/>
    <col min="16" max="16384" width="22.33203125" style="376"/>
  </cols>
  <sheetData>
    <row r="1" spans="1:16" ht="33.75">
      <c r="A1" s="1549" t="s">
        <v>116</v>
      </c>
      <c r="B1" s="1550"/>
      <c r="C1" s="1550"/>
      <c r="D1" s="1550"/>
      <c r="E1" s="1550"/>
      <c r="F1" s="1550"/>
      <c r="G1" s="1550"/>
      <c r="H1" s="1550"/>
      <c r="I1" s="1550"/>
      <c r="J1" s="1551"/>
    </row>
    <row r="2" spans="1:16" s="281" customFormat="1" ht="27">
      <c r="A2" s="575" t="s">
        <v>367</v>
      </c>
      <c r="B2" s="1033">
        <v>44364</v>
      </c>
      <c r="C2" s="1226" t="s">
        <v>68</v>
      </c>
      <c r="D2" s="611">
        <v>0.6</v>
      </c>
      <c r="E2" s="461"/>
      <c r="F2" s="461"/>
      <c r="G2" s="461" t="s">
        <v>117</v>
      </c>
      <c r="H2" s="461" t="s">
        <v>6</v>
      </c>
      <c r="I2" s="461" t="s">
        <v>8</v>
      </c>
      <c r="J2" s="613" t="s">
        <v>118</v>
      </c>
      <c r="N2" s="718"/>
      <c r="O2" s="725"/>
    </row>
    <row r="3" spans="1:16" s="281" customFormat="1" ht="27">
      <c r="A3" s="570"/>
      <c r="B3" s="614"/>
      <c r="C3" s="1226" t="s">
        <v>119</v>
      </c>
      <c r="D3" s="612">
        <v>29</v>
      </c>
      <c r="E3" s="1558" t="s">
        <v>120</v>
      </c>
      <c r="F3" s="1559"/>
      <c r="G3" s="462"/>
      <c r="H3" s="463"/>
      <c r="I3" s="463"/>
      <c r="J3" s="615"/>
      <c r="K3" s="371"/>
      <c r="L3" s="292"/>
      <c r="N3" s="718"/>
      <c r="O3" s="725"/>
    </row>
    <row r="4" spans="1:16" s="281" customFormat="1" ht="27">
      <c r="A4" s="576"/>
      <c r="B4" s="616"/>
      <c r="C4" s="1226" t="s">
        <v>121</v>
      </c>
      <c r="D4" s="611">
        <v>0.8</v>
      </c>
      <c r="E4" s="464"/>
      <c r="F4" s="464"/>
      <c r="G4" s="464"/>
      <c r="H4" s="464"/>
      <c r="I4" s="465"/>
      <c r="J4" s="615"/>
      <c r="K4" s="372"/>
      <c r="L4" s="292"/>
      <c r="N4" s="718"/>
      <c r="O4" s="725"/>
    </row>
    <row r="5" spans="1:16">
      <c r="A5" s="577" t="s">
        <v>122</v>
      </c>
      <c r="B5" s="459"/>
      <c r="C5" s="459"/>
      <c r="D5" s="511" t="s">
        <v>123</v>
      </c>
      <c r="E5" s="467" t="s">
        <v>124</v>
      </c>
      <c r="F5" s="467" t="s">
        <v>111</v>
      </c>
      <c r="G5" s="468" t="s">
        <v>125</v>
      </c>
      <c r="H5" s="469" t="s">
        <v>126</v>
      </c>
      <c r="I5" s="470" t="s">
        <v>127</v>
      </c>
      <c r="J5" s="550" t="s">
        <v>128</v>
      </c>
      <c r="K5" s="426"/>
      <c r="L5" s="377"/>
    </row>
    <row r="6" spans="1:16">
      <c r="A6" s="1552" t="s">
        <v>129</v>
      </c>
      <c r="B6" s="1553"/>
      <c r="C6" s="1554"/>
      <c r="D6" s="471"/>
      <c r="E6" s="471"/>
      <c r="F6" s="471"/>
      <c r="G6" s="471"/>
      <c r="H6" s="472"/>
      <c r="I6" s="472"/>
      <c r="J6" s="551"/>
      <c r="K6" s="427"/>
      <c r="L6" s="377"/>
    </row>
    <row r="7" spans="1:16" ht="30" thickBot="1">
      <c r="A7" s="677" t="s">
        <v>130</v>
      </c>
      <c r="B7" s="678"/>
      <c r="C7" s="678"/>
      <c r="D7" s="638" t="s">
        <v>131</v>
      </c>
      <c r="E7" s="633">
        <f>'16'!F7</f>
        <v>628980.31000000006</v>
      </c>
      <c r="F7" s="455">
        <v>648110.18999999994</v>
      </c>
      <c r="G7" s="679">
        <f>F7-E7</f>
        <v>19129.879999999888</v>
      </c>
      <c r="H7" s="680">
        <f>G7+'16'!H7</f>
        <v>303698.18999999994</v>
      </c>
      <c r="I7" s="681">
        <f>'1'!I7</f>
        <v>12000</v>
      </c>
      <c r="J7" s="682">
        <f>H7/DAY(B2)</f>
        <v>17864.599411764702</v>
      </c>
      <c r="K7" s="549"/>
      <c r="L7" s="377"/>
      <c r="N7" s="730"/>
      <c r="O7" s="726"/>
      <c r="P7" s="729"/>
    </row>
    <row r="8" spans="1:16" ht="27.75" thickBot="1">
      <c r="A8" s="683" t="s">
        <v>132</v>
      </c>
      <c r="B8" s="684"/>
      <c r="C8" s="685"/>
      <c r="D8" s="686" t="s">
        <v>25</v>
      </c>
      <c r="E8" s="633">
        <f>'16'!F8</f>
        <v>632305.18999999994</v>
      </c>
      <c r="F8" s="475">
        <v>651514.63</v>
      </c>
      <c r="G8" s="690">
        <f>F8-E8</f>
        <v>19209.440000000061</v>
      </c>
      <c r="H8" s="680">
        <f>G8+'16'!H8</f>
        <v>305004.63</v>
      </c>
      <c r="I8" s="687">
        <f>'1'!I8</f>
        <v>12000</v>
      </c>
      <c r="J8" s="682">
        <f>H8/DAY(B2)</f>
        <v>17941.448823529412</v>
      </c>
      <c r="K8" s="549"/>
      <c r="L8" s="425"/>
      <c r="M8" s="440"/>
      <c r="N8" s="719"/>
      <c r="O8" s="726"/>
      <c r="P8" s="382"/>
    </row>
    <row r="9" spans="1:16">
      <c r="A9" s="688" t="s">
        <v>133</v>
      </c>
      <c r="B9" s="689"/>
      <c r="C9" s="689"/>
      <c r="D9" s="638" t="s">
        <v>131</v>
      </c>
      <c r="E9" s="633">
        <f>'16'!F9</f>
        <v>1749237.5</v>
      </c>
      <c r="F9" s="478">
        <v>1767757.9</v>
      </c>
      <c r="G9" s="703">
        <f t="shared" ref="G9:G12" si="0">F9-E9</f>
        <v>18520.399999999907</v>
      </c>
      <c r="H9" s="680">
        <f>G9+'16'!H9</f>
        <v>294067.89999999991</v>
      </c>
      <c r="I9" s="691">
        <f>I7-J7</f>
        <v>-5864.5994117647024</v>
      </c>
      <c r="J9" s="682">
        <f>H9/DAY(B2)</f>
        <v>17298.111764705878</v>
      </c>
      <c r="K9" s="428"/>
      <c r="L9" s="377"/>
      <c r="N9" s="719"/>
      <c r="O9" s="726"/>
      <c r="P9" s="382"/>
    </row>
    <row r="10" spans="1:16">
      <c r="A10" s="677" t="s">
        <v>134</v>
      </c>
      <c r="B10" s="678"/>
      <c r="C10" s="678"/>
      <c r="D10" s="638" t="s">
        <v>131</v>
      </c>
      <c r="E10" s="633">
        <f>'16'!F10</f>
        <v>2606.85</v>
      </c>
      <c r="F10" s="478">
        <v>2606.85</v>
      </c>
      <c r="G10" s="690">
        <f t="shared" si="0"/>
        <v>0</v>
      </c>
      <c r="H10" s="680">
        <f>G10+'16'!H10</f>
        <v>0.71999999999979991</v>
      </c>
      <c r="I10" s="692"/>
      <c r="J10" s="682">
        <f>H10/DAY(B2)</f>
        <v>4.2352941176458818E-2</v>
      </c>
      <c r="K10" s="428"/>
      <c r="L10" s="377"/>
      <c r="N10" s="719"/>
      <c r="O10" s="726"/>
      <c r="P10" s="382"/>
    </row>
    <row r="11" spans="1:16">
      <c r="A11" s="677" t="s">
        <v>135</v>
      </c>
      <c r="B11" s="678"/>
      <c r="C11" s="678"/>
      <c r="D11" s="638" t="s">
        <v>131</v>
      </c>
      <c r="E11" s="633">
        <f>'5'!E11</f>
        <v>37000</v>
      </c>
      <c r="F11" s="455">
        <v>37000</v>
      </c>
      <c r="G11" s="690">
        <f t="shared" si="0"/>
        <v>0</v>
      </c>
      <c r="H11" s="680">
        <f>G11+'16'!H11</f>
        <v>0</v>
      </c>
      <c r="I11" s="692"/>
      <c r="J11" s="682">
        <f>H11/DAY(B2)</f>
        <v>0</v>
      </c>
      <c r="K11" s="428"/>
      <c r="L11" s="377"/>
      <c r="N11" s="719">
        <f>G8-866</f>
        <v>18343.440000000061</v>
      </c>
      <c r="O11" s="726"/>
      <c r="P11" s="382"/>
    </row>
    <row r="12" spans="1:16">
      <c r="A12" s="677" t="s">
        <v>136</v>
      </c>
      <c r="B12" s="678"/>
      <c r="C12" s="678"/>
      <c r="D12" s="638" t="s">
        <v>131</v>
      </c>
      <c r="E12" s="633">
        <f>'5'!E12</f>
        <v>40010</v>
      </c>
      <c r="F12" s="478">
        <v>40010</v>
      </c>
      <c r="G12" s="690">
        <f t="shared" si="0"/>
        <v>0</v>
      </c>
      <c r="H12" s="680">
        <f>G12+'16'!H12</f>
        <v>0</v>
      </c>
      <c r="I12" s="692"/>
      <c r="J12" s="682">
        <f>H12/DAY(B2)</f>
        <v>0</v>
      </c>
      <c r="K12" s="428"/>
      <c r="L12" s="377"/>
      <c r="N12" s="719"/>
      <c r="O12" s="726"/>
      <c r="P12" s="382"/>
    </row>
    <row r="13" spans="1:16">
      <c r="A13" s="693" t="s">
        <v>137</v>
      </c>
      <c r="B13" s="694"/>
      <c r="C13" s="694"/>
      <c r="D13" s="638"/>
      <c r="E13" s="633"/>
      <c r="F13" s="455"/>
      <c r="G13" s="695">
        <f>G9+G10+G11+G12</f>
        <v>18520.399999999907</v>
      </c>
      <c r="H13" s="680">
        <f>G13+'16'!H13</f>
        <v>277543.61999999988</v>
      </c>
      <c r="I13" s="696">
        <f>G7-G13</f>
        <v>609.47999999998137</v>
      </c>
      <c r="J13" s="682">
        <f>H13/DAY(B2)</f>
        <v>16326.09529411764</v>
      </c>
      <c r="K13" s="428"/>
      <c r="L13" s="377"/>
      <c r="N13" s="719"/>
      <c r="O13" s="726"/>
      <c r="P13" s="382"/>
    </row>
    <row r="14" spans="1:16">
      <c r="A14" s="1555" t="s">
        <v>138</v>
      </c>
      <c r="B14" s="1556"/>
      <c r="C14" s="1557"/>
      <c r="D14" s="472"/>
      <c r="E14" s="472"/>
      <c r="F14" s="472"/>
      <c r="G14" s="483"/>
      <c r="H14" s="472"/>
      <c r="I14" s="472"/>
      <c r="J14" s="1219"/>
      <c r="K14" s="429"/>
      <c r="L14" s="377"/>
      <c r="N14" s="719"/>
      <c r="O14" s="726"/>
      <c r="P14" s="382"/>
    </row>
    <row r="15" spans="1:16">
      <c r="A15" s="793" t="s">
        <v>139</v>
      </c>
      <c r="B15" s="794"/>
      <c r="C15" s="794"/>
      <c r="D15" s="524" t="s">
        <v>140</v>
      </c>
      <c r="E15" s="485">
        <f>'16'!F15</f>
        <v>1692684.0649999999</v>
      </c>
      <c r="F15" s="485">
        <v>1693517.8430000001</v>
      </c>
      <c r="G15" s="665">
        <f>(F15-E15)</f>
        <v>833.77800000016578</v>
      </c>
      <c r="H15" s="486">
        <f>G15+'16'!H15</f>
        <v>8993.8430000001099</v>
      </c>
      <c r="I15" s="474">
        <f>'1'!I15</f>
        <v>800</v>
      </c>
      <c r="J15" s="553">
        <f>H15/DAY(B2)</f>
        <v>529.04958823530058</v>
      </c>
      <c r="K15" s="428"/>
      <c r="L15" s="377"/>
      <c r="N15" s="719"/>
      <c r="O15" s="726"/>
      <c r="P15" s="382"/>
    </row>
    <row r="16" spans="1:16">
      <c r="A16" s="587"/>
      <c r="B16" s="588"/>
      <c r="C16" s="588"/>
      <c r="D16" s="524"/>
      <c r="E16" s="485"/>
      <c r="F16" s="485"/>
      <c r="G16" s="670"/>
      <c r="H16" s="486"/>
      <c r="I16" s="482">
        <f>I15-J15</f>
        <v>270.95041176469942</v>
      </c>
      <c r="J16" s="553"/>
      <c r="K16" s="428"/>
      <c r="L16" s="377"/>
      <c r="N16" s="719"/>
      <c r="O16" s="726"/>
      <c r="P16" s="382"/>
    </row>
    <row r="17" spans="1:16">
      <c r="A17" s="1555" t="s">
        <v>141</v>
      </c>
      <c r="B17" s="1556"/>
      <c r="C17" s="1557"/>
      <c r="D17" s="472"/>
      <c r="E17" s="472"/>
      <c r="F17" s="472"/>
      <c r="G17" s="488"/>
      <c r="H17" s="472"/>
      <c r="I17" s="472"/>
      <c r="J17" s="551"/>
      <c r="K17" s="428"/>
      <c r="L17" s="377"/>
      <c r="N17" s="719"/>
      <c r="O17" s="726"/>
      <c r="P17" s="382"/>
    </row>
    <row r="18" spans="1:16" ht="27.75">
      <c r="A18" s="1590" t="s">
        <v>142</v>
      </c>
      <c r="B18" s="1591"/>
      <c r="C18" s="1592"/>
      <c r="D18" s="638" t="s">
        <v>143</v>
      </c>
      <c r="E18" s="635">
        <f>'16'!F18</f>
        <v>3</v>
      </c>
      <c r="F18" s="478">
        <v>6</v>
      </c>
      <c r="G18" s="695">
        <f>F18*10</f>
        <v>60</v>
      </c>
      <c r="H18" s="680">
        <f>G18+'16'!H18</f>
        <v>1050</v>
      </c>
      <c r="I18" s="681">
        <f>'1'!I18</f>
        <v>65</v>
      </c>
      <c r="J18" s="682">
        <f>H18/DAY(B2)</f>
        <v>61.764705882352942</v>
      </c>
      <c r="K18" s="428"/>
      <c r="L18" s="377"/>
      <c r="N18" s="719"/>
      <c r="O18" s="726"/>
      <c r="P18" s="382"/>
    </row>
    <row r="19" spans="1:16" ht="27.75">
      <c r="A19" s="1590" t="s">
        <v>70</v>
      </c>
      <c r="B19" s="1591"/>
      <c r="C19" s="1592"/>
      <c r="D19" s="638" t="s">
        <v>143</v>
      </c>
      <c r="E19" s="635">
        <f>'16'!F19</f>
        <v>140619</v>
      </c>
      <c r="F19" s="478">
        <v>140681</v>
      </c>
      <c r="G19" s="690">
        <f>F19-E19</f>
        <v>62</v>
      </c>
      <c r="H19" s="680">
        <f>G19+'16'!H19</f>
        <v>1069</v>
      </c>
      <c r="I19" s="697"/>
      <c r="J19" s="682">
        <f>H19/DAY(B2)</f>
        <v>62.882352941176471</v>
      </c>
      <c r="K19" s="428"/>
      <c r="L19" s="377"/>
      <c r="N19" s="719"/>
      <c r="O19" s="726"/>
      <c r="P19" s="382"/>
    </row>
    <row r="20" spans="1:16">
      <c r="A20" s="693" t="s">
        <v>144</v>
      </c>
      <c r="B20" s="694"/>
      <c r="C20" s="694"/>
      <c r="D20" s="638"/>
      <c r="E20" s="638"/>
      <c r="F20" s="710"/>
      <c r="G20" s="698">
        <f>G18+G19</f>
        <v>122</v>
      </c>
      <c r="H20" s="680">
        <f>G20+'16'!H20</f>
        <v>2119</v>
      </c>
      <c r="I20" s="699">
        <f>I18-J20</f>
        <v>-59.647058823529406</v>
      </c>
      <c r="J20" s="682">
        <f>H20/DAY(B2)</f>
        <v>124.64705882352941</v>
      </c>
      <c r="K20" s="428"/>
      <c r="L20" s="377"/>
      <c r="N20" s="719"/>
      <c r="O20" s="726"/>
      <c r="P20" s="382"/>
    </row>
    <row r="21" spans="1:16">
      <c r="A21" s="1555" t="s">
        <v>145</v>
      </c>
      <c r="B21" s="1556"/>
      <c r="C21" s="1557"/>
      <c r="D21" s="472"/>
      <c r="E21" s="472"/>
      <c r="F21" s="472"/>
      <c r="G21" s="483"/>
      <c r="H21" s="472"/>
      <c r="I21" s="472"/>
      <c r="J21" s="551"/>
      <c r="K21" s="428"/>
      <c r="L21" s="377"/>
      <c r="N21" s="719"/>
      <c r="O21" s="726"/>
      <c r="P21" s="382"/>
    </row>
    <row r="22" spans="1:16">
      <c r="A22" s="1224" t="s">
        <v>146</v>
      </c>
      <c r="B22" s="589"/>
      <c r="C22" s="589"/>
      <c r="D22" s="523" t="s">
        <v>147</v>
      </c>
      <c r="E22" s="635">
        <f>'16'!F22</f>
        <v>2970</v>
      </c>
      <c r="F22" s="478">
        <v>2970</v>
      </c>
      <c r="G22" s="481">
        <v>0</v>
      </c>
      <c r="H22" s="460">
        <f>G22+'16'!H22</f>
        <v>0</v>
      </c>
      <c r="I22" s="480"/>
      <c r="J22" s="552">
        <f>H22/DAY(B2)</f>
        <v>0</v>
      </c>
      <c r="K22" s="428"/>
      <c r="L22" s="377"/>
      <c r="N22" s="719"/>
      <c r="O22" s="726"/>
      <c r="P22" s="382"/>
    </row>
    <row r="23" spans="1:16">
      <c r="A23" s="1224" t="s">
        <v>148</v>
      </c>
      <c r="B23" s="589"/>
      <c r="C23" s="589"/>
      <c r="D23" s="523" t="s">
        <v>147</v>
      </c>
      <c r="E23" s="635">
        <f>'16'!F23</f>
        <v>2900</v>
      </c>
      <c r="F23" s="478">
        <v>2900</v>
      </c>
      <c r="G23" s="481">
        <v>0</v>
      </c>
      <c r="H23" s="460">
        <f>G23+'16'!H23</f>
        <v>120</v>
      </c>
      <c r="I23" s="480"/>
      <c r="J23" s="552">
        <f>H23/DAY(B2)</f>
        <v>7.0588235294117645</v>
      </c>
      <c r="K23" s="428"/>
      <c r="L23" s="377"/>
      <c r="N23" s="719"/>
      <c r="O23" s="726"/>
      <c r="P23" s="382"/>
    </row>
    <row r="24" spans="1:16">
      <c r="A24" s="590" t="s">
        <v>149</v>
      </c>
      <c r="B24" s="591"/>
      <c r="C24" s="591"/>
      <c r="D24" s="511" t="s">
        <v>147</v>
      </c>
      <c r="E24" s="493">
        <f>'16'!F24</f>
        <v>4250</v>
      </c>
      <c r="F24" s="485">
        <v>4250</v>
      </c>
      <c r="G24" s="481">
        <v>0</v>
      </c>
      <c r="H24" s="460">
        <v>0</v>
      </c>
      <c r="I24" s="480"/>
      <c r="J24" s="552">
        <f>H24/DAY(B2)</f>
        <v>0</v>
      </c>
      <c r="K24" s="428"/>
      <c r="L24" s="377"/>
      <c r="N24" s="719"/>
      <c r="O24" s="726"/>
      <c r="P24" s="382"/>
    </row>
    <row r="25" spans="1:16" s="442" customFormat="1" ht="27">
      <c r="A25" s="1560" t="s">
        <v>150</v>
      </c>
      <c r="B25" s="1561"/>
      <c r="C25" s="1562"/>
      <c r="D25" s="471"/>
      <c r="E25" s="471"/>
      <c r="F25" s="471"/>
      <c r="G25" s="494"/>
      <c r="H25" s="495"/>
      <c r="I25" s="496"/>
      <c r="J25" s="554"/>
      <c r="K25" s="373"/>
      <c r="L25" s="443"/>
      <c r="N25" s="719"/>
      <c r="O25" s="726"/>
      <c r="P25" s="382"/>
    </row>
    <row r="26" spans="1:16" s="442" customFormat="1" ht="27.75">
      <c r="A26" s="592" t="s">
        <v>151</v>
      </c>
      <c r="B26" s="593"/>
      <c r="C26" s="594"/>
      <c r="D26" s="618" t="s">
        <v>152</v>
      </c>
      <c r="E26" s="497"/>
      <c r="F26" s="455"/>
      <c r="G26" s="498"/>
      <c r="H26" s="460"/>
      <c r="I26" s="499"/>
      <c r="J26" s="552"/>
      <c r="K26" s="374"/>
      <c r="L26" s="443"/>
      <c r="N26" s="719"/>
      <c r="O26" s="726"/>
      <c r="P26" s="382"/>
    </row>
    <row r="27" spans="1:16" s="442" customFormat="1" ht="27.75">
      <c r="A27" s="592" t="s">
        <v>6</v>
      </c>
      <c r="B27" s="593"/>
      <c r="C27" s="594"/>
      <c r="D27" s="619" t="s">
        <v>25</v>
      </c>
      <c r="E27" s="700">
        <f>G8</f>
        <v>19209.440000000061</v>
      </c>
      <c r="F27" s="501">
        <v>9</v>
      </c>
      <c r="G27" s="502">
        <f>E27*F27</f>
        <v>172884.96000000054</v>
      </c>
      <c r="H27" s="460">
        <f>G27+'16'!H27</f>
        <v>2744204.67</v>
      </c>
      <c r="I27" s="503"/>
      <c r="J27" s="552">
        <f>H27/DAY(B2)</f>
        <v>161423.80411764706</v>
      </c>
      <c r="K27" s="373"/>
      <c r="L27" s="443"/>
      <c r="N27" s="719"/>
      <c r="O27" s="726"/>
      <c r="P27" s="382"/>
    </row>
    <row r="28" spans="1:16" s="442" customFormat="1" ht="27.75">
      <c r="A28" s="592" t="s">
        <v>153</v>
      </c>
      <c r="B28" s="593"/>
      <c r="C28" s="594"/>
      <c r="D28" s="619" t="s">
        <v>154</v>
      </c>
      <c r="E28" s="700">
        <f>G15</f>
        <v>833.77800000016578</v>
      </c>
      <c r="F28" s="501">
        <v>52</v>
      </c>
      <c r="G28" s="502">
        <f>E28*F28</f>
        <v>43356.45600000862</v>
      </c>
      <c r="H28" s="460">
        <f>G28+'16'!H28</f>
        <v>467679.83600000571</v>
      </c>
      <c r="I28" s="505"/>
      <c r="J28" s="552">
        <f>H28/DAY(B2)</f>
        <v>27510.578588235629</v>
      </c>
      <c r="K28" s="373"/>
      <c r="L28" s="443"/>
      <c r="N28" s="719"/>
      <c r="O28" s="726"/>
      <c r="P28" s="382"/>
    </row>
    <row r="29" spans="1:16" s="442" customFormat="1" ht="27.75">
      <c r="A29" s="592" t="s">
        <v>155</v>
      </c>
      <c r="B29" s="593"/>
      <c r="C29" s="594"/>
      <c r="D29" s="619" t="s">
        <v>156</v>
      </c>
      <c r="E29" s="700">
        <f>G24</f>
        <v>0</v>
      </c>
      <c r="F29" s="501">
        <v>69</v>
      </c>
      <c r="G29" s="502">
        <f>E29*F29</f>
        <v>0</v>
      </c>
      <c r="H29" s="460">
        <f>G29+'16'!H29</f>
        <v>8280</v>
      </c>
      <c r="I29" s="505"/>
      <c r="J29" s="552">
        <f>H29/DAY(B2)</f>
        <v>487.05882352941177</v>
      </c>
      <c r="K29" s="373"/>
      <c r="L29" s="443"/>
      <c r="N29" s="719"/>
      <c r="O29" s="726"/>
      <c r="P29" s="382"/>
    </row>
    <row r="30" spans="1:16" s="442" customFormat="1" ht="27.75">
      <c r="A30" s="592" t="s">
        <v>157</v>
      </c>
      <c r="B30" s="593"/>
      <c r="C30" s="594"/>
      <c r="D30" s="619" t="s">
        <v>158</v>
      </c>
      <c r="E30" s="700">
        <f>G19</f>
        <v>62</v>
      </c>
      <c r="F30" s="501">
        <v>146</v>
      </c>
      <c r="G30" s="502">
        <f>E30*F30</f>
        <v>9052</v>
      </c>
      <c r="H30" s="460">
        <f>G30+'16'!H30</f>
        <v>156074</v>
      </c>
      <c r="I30" s="505"/>
      <c r="J30" s="552">
        <f>H30/DAY(B2)</f>
        <v>9180.823529411764</v>
      </c>
      <c r="K30" s="373"/>
      <c r="L30" s="443"/>
      <c r="N30" s="719"/>
      <c r="O30" s="726"/>
      <c r="P30" s="382"/>
    </row>
    <row r="31" spans="1:16" s="442" customFormat="1" ht="27.75">
      <c r="A31" s="592" t="s">
        <v>159</v>
      </c>
      <c r="B31" s="593"/>
      <c r="C31" s="594"/>
      <c r="D31" s="619" t="s">
        <v>143</v>
      </c>
      <c r="E31" s="700">
        <f>G18</f>
        <v>60</v>
      </c>
      <c r="F31" s="501">
        <v>80</v>
      </c>
      <c r="G31" s="502">
        <f>E31*F31</f>
        <v>4800</v>
      </c>
      <c r="H31" s="460">
        <f>G31+'16'!H31</f>
        <v>84000</v>
      </c>
      <c r="I31" s="505"/>
      <c r="J31" s="552"/>
      <c r="K31" s="373">
        <f>E31*80%</f>
        <v>48</v>
      </c>
      <c r="L31" s="443"/>
      <c r="N31" s="719"/>
      <c r="O31" s="726"/>
      <c r="P31" s="382"/>
    </row>
    <row r="32" spans="1:16" s="442" customFormat="1" ht="27.75">
      <c r="A32" s="595" t="s">
        <v>160</v>
      </c>
      <c r="B32" s="596"/>
      <c r="C32" s="597"/>
      <c r="D32" s="507"/>
      <c r="E32" s="507"/>
      <c r="F32" s="524"/>
      <c r="G32" s="508">
        <f>G27+G28+G29+G30+G31</f>
        <v>230093.41600000917</v>
      </c>
      <c r="H32" s="460">
        <f>G32+'16'!H32</f>
        <v>3460238.5060000056</v>
      </c>
      <c r="I32" s="509"/>
      <c r="J32" s="552">
        <f>H32/DAY(B2)</f>
        <v>203543.44152941208</v>
      </c>
      <c r="K32" s="373"/>
      <c r="L32" s="443"/>
      <c r="N32" s="719"/>
      <c r="O32" s="726"/>
      <c r="P32" s="382"/>
    </row>
    <row r="33" spans="1:16" ht="25.5">
      <c r="A33" s="1563" t="s">
        <v>161</v>
      </c>
      <c r="B33" s="1564"/>
      <c r="C33" s="1564"/>
      <c r="D33" s="1564"/>
      <c r="E33" s="1564"/>
      <c r="F33" s="1564"/>
      <c r="G33" s="1564"/>
      <c r="H33" s="1564"/>
      <c r="I33" s="1564"/>
      <c r="J33" s="1565"/>
      <c r="K33" s="428"/>
      <c r="L33" s="377"/>
      <c r="N33" s="719"/>
      <c r="O33" s="726"/>
      <c r="P33" s="382"/>
    </row>
    <row r="34" spans="1:16">
      <c r="A34" s="598" t="s">
        <v>162</v>
      </c>
      <c r="B34" s="1229"/>
      <c r="C34" s="1229"/>
      <c r="D34" s="472"/>
      <c r="E34" s="471"/>
      <c r="F34" s="471"/>
      <c r="G34" s="472"/>
      <c r="H34" s="472"/>
      <c r="I34" s="472"/>
      <c r="J34" s="551"/>
      <c r="K34" s="428"/>
      <c r="L34" s="377"/>
      <c r="N34" s="719"/>
      <c r="O34" s="726"/>
      <c r="P34" s="382"/>
    </row>
    <row r="35" spans="1:16">
      <c r="A35" s="578" t="s">
        <v>163</v>
      </c>
      <c r="B35" s="579"/>
      <c r="C35" s="579"/>
      <c r="D35" s="523" t="s">
        <v>131</v>
      </c>
      <c r="E35" s="510">
        <f>'16'!F35</f>
        <v>989448.79</v>
      </c>
      <c r="F35" s="510">
        <v>991917.35</v>
      </c>
      <c r="G35" s="473">
        <f t="shared" ref="G35:G46" si="1">F35-E35</f>
        <v>2468.5599999999395</v>
      </c>
      <c r="H35" s="460">
        <f>G35+'16'!H35</f>
        <v>41429.349999999977</v>
      </c>
      <c r="I35" s="455"/>
      <c r="J35" s="552">
        <f>H35/DAY(B2)</f>
        <v>2437.020588235293</v>
      </c>
      <c r="K35" s="428"/>
      <c r="L35" s="377"/>
      <c r="N35" s="719"/>
      <c r="O35" s="727"/>
      <c r="P35" s="382"/>
    </row>
    <row r="36" spans="1:16">
      <c r="A36" s="578" t="s">
        <v>164</v>
      </c>
      <c r="B36" s="579"/>
      <c r="C36" s="579"/>
      <c r="D36" s="523" t="s">
        <v>131</v>
      </c>
      <c r="E36" s="510">
        <f>'16'!F36</f>
        <v>9636.1200000000008</v>
      </c>
      <c r="F36" s="510">
        <v>10411.870000000001</v>
      </c>
      <c r="G36" s="473">
        <f t="shared" si="1"/>
        <v>775.75</v>
      </c>
      <c r="H36" s="460">
        <f>G36+'16'!H36</f>
        <v>10238.870000000001</v>
      </c>
      <c r="I36" s="455"/>
      <c r="J36" s="552">
        <f>H36/DAY(B2)</f>
        <v>602.28647058823537</v>
      </c>
      <c r="K36" s="428"/>
      <c r="L36" s="377"/>
      <c r="N36" s="720"/>
      <c r="O36" s="727"/>
      <c r="P36" s="382"/>
    </row>
    <row r="37" spans="1:16">
      <c r="A37" s="578" t="s">
        <v>165</v>
      </c>
      <c r="B37" s="579"/>
      <c r="C37" s="579"/>
      <c r="D37" s="523" t="s">
        <v>131</v>
      </c>
      <c r="E37" s="510">
        <f>'16'!F37</f>
        <v>155919.93</v>
      </c>
      <c r="F37" s="510">
        <v>157351.28</v>
      </c>
      <c r="G37" s="473">
        <f t="shared" si="1"/>
        <v>1431.3500000000058</v>
      </c>
      <c r="H37" s="460">
        <f>G37+'16'!H37</f>
        <v>23115.279999999999</v>
      </c>
      <c r="I37" s="455"/>
      <c r="J37" s="552">
        <f>H37/DAY(B2)</f>
        <v>1359.7223529411765</v>
      </c>
      <c r="K37" s="428"/>
      <c r="L37" s="377"/>
      <c r="N37" s="720"/>
      <c r="O37" s="727"/>
      <c r="P37" s="382"/>
    </row>
    <row r="38" spans="1:16">
      <c r="A38" s="578" t="s">
        <v>166</v>
      </c>
      <c r="B38" s="579"/>
      <c r="C38" s="579"/>
      <c r="D38" s="523" t="s">
        <v>131</v>
      </c>
      <c r="E38" s="510">
        <f>'16'!F38</f>
        <v>176614.31</v>
      </c>
      <c r="F38" s="469">
        <v>177993.13</v>
      </c>
      <c r="G38" s="473">
        <f t="shared" si="1"/>
        <v>1378.820000000007</v>
      </c>
      <c r="H38" s="460">
        <f>G38+'16'!H38</f>
        <v>21588.130000000005</v>
      </c>
      <c r="I38" s="455"/>
      <c r="J38" s="552">
        <f>H38/DAY(B2)</f>
        <v>1269.8900000000003</v>
      </c>
      <c r="K38" s="428"/>
      <c r="L38" s="377"/>
      <c r="N38" s="719"/>
      <c r="O38" s="726"/>
      <c r="P38" s="382"/>
    </row>
    <row r="39" spans="1:16">
      <c r="A39" s="578" t="s">
        <v>167</v>
      </c>
      <c r="B39" s="579"/>
      <c r="C39" s="579"/>
      <c r="D39" s="523" t="s">
        <v>131</v>
      </c>
      <c r="E39" s="510">
        <f>'16'!F39</f>
        <v>354781.9</v>
      </c>
      <c r="F39" s="510">
        <v>358061.67</v>
      </c>
      <c r="G39" s="473">
        <f>F39-E39</f>
        <v>3279.7699999999604</v>
      </c>
      <c r="H39" s="460">
        <f>G39+'16'!H39</f>
        <v>49888.669999999984</v>
      </c>
      <c r="I39" s="455"/>
      <c r="J39" s="552">
        <f>H39/DAY(B2)</f>
        <v>2934.6276470588227</v>
      </c>
      <c r="K39" s="428"/>
      <c r="L39" s="377"/>
      <c r="N39" s="719"/>
      <c r="O39" s="727"/>
      <c r="P39" s="382"/>
    </row>
    <row r="40" spans="1:16">
      <c r="A40" s="599" t="s">
        <v>168</v>
      </c>
      <c r="B40" s="600"/>
      <c r="C40" s="600"/>
      <c r="D40" s="523" t="s">
        <v>131</v>
      </c>
      <c r="E40" s="510">
        <f>'16'!F40</f>
        <v>1797.94</v>
      </c>
      <c r="F40" s="510">
        <v>2019.52</v>
      </c>
      <c r="G40" s="473">
        <f t="shared" si="1"/>
        <v>221.57999999999993</v>
      </c>
      <c r="H40" s="460">
        <f>G40+'16'!H40</f>
        <v>1130.52</v>
      </c>
      <c r="I40" s="455"/>
      <c r="J40" s="552">
        <f>H40/DAY(B2)</f>
        <v>66.501176470588234</v>
      </c>
      <c r="K40" s="429"/>
      <c r="L40" s="377"/>
      <c r="N40" s="719"/>
      <c r="O40" s="726"/>
      <c r="P40" s="382"/>
    </row>
    <row r="41" spans="1:16">
      <c r="A41" s="578" t="s">
        <v>169</v>
      </c>
      <c r="B41" s="579"/>
      <c r="C41" s="579"/>
      <c r="D41" s="523" t="s">
        <v>131</v>
      </c>
      <c r="E41" s="510">
        <f>'16'!F41</f>
        <v>289890.65000000002</v>
      </c>
      <c r="F41" s="510">
        <v>293824.90999999997</v>
      </c>
      <c r="G41" s="473">
        <f t="shared" si="1"/>
        <v>3934.2599999999511</v>
      </c>
      <c r="H41" s="460">
        <f>G41+'16'!H41</f>
        <v>53346.909999999974</v>
      </c>
      <c r="I41" s="455"/>
      <c r="J41" s="552">
        <f>H41/DAY(B2)</f>
        <v>3138.0535294117631</v>
      </c>
      <c r="K41" s="428"/>
      <c r="L41" s="377"/>
      <c r="N41" s="719"/>
      <c r="O41" s="728"/>
      <c r="P41" s="722"/>
    </row>
    <row r="42" spans="1:16">
      <c r="A42" s="578" t="s">
        <v>170</v>
      </c>
      <c r="B42" s="579"/>
      <c r="C42" s="579"/>
      <c r="D42" s="523" t="s">
        <v>131</v>
      </c>
      <c r="E42" s="510">
        <f>'16'!F42</f>
        <v>59210.080000000002</v>
      </c>
      <c r="F42" s="510">
        <v>59210.080000000002</v>
      </c>
      <c r="G42" s="473">
        <f>F42-E42</f>
        <v>0</v>
      </c>
      <c r="H42" s="460">
        <f>G42+'16'!H42</f>
        <v>11.110000000000582</v>
      </c>
      <c r="I42" s="455"/>
      <c r="J42" s="552">
        <f>H42/DAY(B2)</f>
        <v>0.65352941176474011</v>
      </c>
      <c r="K42" s="428"/>
      <c r="L42" s="377"/>
      <c r="N42" s="719"/>
      <c r="O42" s="726"/>
      <c r="P42" s="382"/>
    </row>
    <row r="43" spans="1:16">
      <c r="A43" s="578" t="s">
        <v>171</v>
      </c>
      <c r="B43" s="579"/>
      <c r="C43" s="579"/>
      <c r="D43" s="523" t="s">
        <v>131</v>
      </c>
      <c r="E43" s="510">
        <f>'16'!F43</f>
        <v>1081331</v>
      </c>
      <c r="F43" s="510">
        <v>1083854.5</v>
      </c>
      <c r="G43" s="473">
        <f t="shared" si="1"/>
        <v>2523.5</v>
      </c>
      <c r="H43" s="460">
        <f>G43+'16'!H43</f>
        <v>41610.5</v>
      </c>
      <c r="I43" s="455"/>
      <c r="J43" s="552">
        <f>H43/DAY(B2)</f>
        <v>2447.6764705882351</v>
      </c>
      <c r="K43" s="428"/>
      <c r="L43" s="377"/>
      <c r="N43" s="719"/>
      <c r="O43" s="727"/>
      <c r="P43" s="382"/>
    </row>
    <row r="44" spans="1:16">
      <c r="A44" s="578" t="s">
        <v>172</v>
      </c>
      <c r="B44" s="579"/>
      <c r="C44" s="579"/>
      <c r="D44" s="523" t="s">
        <v>131</v>
      </c>
      <c r="E44" s="510">
        <f>'16'!F44</f>
        <v>0</v>
      </c>
      <c r="F44" s="510">
        <v>0</v>
      </c>
      <c r="G44" s="473">
        <f t="shared" si="1"/>
        <v>0</v>
      </c>
      <c r="H44" s="460">
        <f>G44+'16'!H44</f>
        <v>0</v>
      </c>
      <c r="I44" s="455"/>
      <c r="J44" s="552">
        <f>H44/DAY(B2)</f>
        <v>0</v>
      </c>
      <c r="K44" s="428"/>
      <c r="L44" s="377"/>
      <c r="N44" s="719"/>
      <c r="O44" s="726"/>
      <c r="P44" s="382"/>
    </row>
    <row r="45" spans="1:16">
      <c r="A45" s="578" t="s">
        <v>173</v>
      </c>
      <c r="B45" s="579"/>
      <c r="C45" s="579"/>
      <c r="D45" s="523" t="s">
        <v>131</v>
      </c>
      <c r="E45" s="510">
        <f>'16'!F45</f>
        <v>614</v>
      </c>
      <c r="F45" s="510">
        <v>614</v>
      </c>
      <c r="G45" s="473">
        <f t="shared" si="1"/>
        <v>0</v>
      </c>
      <c r="H45" s="460">
        <f>G45+'16'!H45</f>
        <v>0</v>
      </c>
      <c r="I45" s="455"/>
      <c r="J45" s="552">
        <f>H45/DAY(B2)</f>
        <v>0</v>
      </c>
      <c r="K45" s="428"/>
      <c r="L45" s="377"/>
      <c r="N45" s="723"/>
      <c r="O45" s="726"/>
      <c r="P45" s="382"/>
    </row>
    <row r="46" spans="1:16">
      <c r="A46" s="578" t="s">
        <v>174</v>
      </c>
      <c r="B46" s="579"/>
      <c r="C46" s="579"/>
      <c r="D46" s="523" t="s">
        <v>131</v>
      </c>
      <c r="E46" s="510">
        <f>'16'!F46</f>
        <v>187.49</v>
      </c>
      <c r="F46" s="510">
        <v>187.49</v>
      </c>
      <c r="G46" s="473">
        <f t="shared" si="1"/>
        <v>0</v>
      </c>
      <c r="H46" s="460">
        <f>G46+'16'!H46</f>
        <v>0</v>
      </c>
      <c r="I46" s="455"/>
      <c r="J46" s="552">
        <f>H46/DAY(B2)</f>
        <v>0</v>
      </c>
      <c r="K46" s="428"/>
      <c r="L46" s="377"/>
      <c r="N46" s="719"/>
      <c r="O46" s="726"/>
      <c r="P46" s="382"/>
    </row>
    <row r="47" spans="1:16">
      <c r="A47" s="585" t="s">
        <v>175</v>
      </c>
      <c r="B47" s="586"/>
      <c r="C47" s="586"/>
      <c r="D47" s="470"/>
      <c r="E47" s="511"/>
      <c r="F47" s="511"/>
      <c r="G47" s="481">
        <f>G35+G36+G37+G38+G39+G40+G41+G42+G43+G44+G45+G46</f>
        <v>16013.589999999864</v>
      </c>
      <c r="H47" s="460">
        <f>G47+'16'!H47</f>
        <v>242359.82999999993</v>
      </c>
      <c r="I47" s="455"/>
      <c r="J47" s="552">
        <f>H47/DAY(B2)</f>
        <v>14256.46058823529</v>
      </c>
      <c r="K47" s="428"/>
      <c r="L47" s="377"/>
      <c r="N47" s="719"/>
      <c r="O47" s="726"/>
      <c r="P47" s="382"/>
    </row>
    <row r="48" spans="1:16">
      <c r="A48" s="598" t="s">
        <v>176</v>
      </c>
      <c r="B48" s="1229"/>
      <c r="C48" s="1229"/>
      <c r="D48" s="472"/>
      <c r="E48" s="471"/>
      <c r="F48" s="471"/>
      <c r="G48" s="472"/>
      <c r="H48" s="472"/>
      <c r="I48" s="472"/>
      <c r="J48" s="551"/>
      <c r="K48" s="428"/>
      <c r="L48" s="377"/>
      <c r="N48" s="719"/>
      <c r="O48" s="726"/>
      <c r="P48" s="382"/>
    </row>
    <row r="49" spans="1:16">
      <c r="A49" s="578" t="s">
        <v>163</v>
      </c>
      <c r="B49" s="601"/>
      <c r="C49" s="601"/>
      <c r="D49" s="523" t="s">
        <v>131</v>
      </c>
      <c r="E49" s="510">
        <f>'16'!F49</f>
        <v>260732.13</v>
      </c>
      <c r="F49" s="510">
        <v>260732.13</v>
      </c>
      <c r="G49" s="473">
        <f t="shared" ref="G49:G58" si="2">F49-E49</f>
        <v>0</v>
      </c>
      <c r="H49" s="460">
        <f>G49+'16'!H49</f>
        <v>0.13000000000465661</v>
      </c>
      <c r="I49" s="455"/>
      <c r="J49" s="552">
        <f>H49/DAY(B2)</f>
        <v>7.6470588238033302E-3</v>
      </c>
      <c r="K49" s="428">
        <f>E49+242</f>
        <v>260974.13</v>
      </c>
      <c r="L49" s="377"/>
      <c r="N49" s="719"/>
      <c r="O49" s="726"/>
      <c r="P49" s="382"/>
    </row>
    <row r="50" spans="1:16">
      <c r="A50" s="578" t="s">
        <v>177</v>
      </c>
      <c r="B50" s="601"/>
      <c r="C50" s="601"/>
      <c r="D50" s="523" t="s">
        <v>131</v>
      </c>
      <c r="E50" s="510">
        <f>'16'!F50</f>
        <v>517920.87</v>
      </c>
      <c r="F50" s="510">
        <v>518861.15</v>
      </c>
      <c r="G50" s="473">
        <f t="shared" si="2"/>
        <v>940.28000000002794</v>
      </c>
      <c r="H50" s="460">
        <f>G50+'16'!H50</f>
        <v>15435.150000000023</v>
      </c>
      <c r="I50" s="455"/>
      <c r="J50" s="552">
        <f>H50/DAY(B2)</f>
        <v>907.95000000000141</v>
      </c>
      <c r="K50" s="428"/>
      <c r="L50" s="377"/>
      <c r="N50" s="719"/>
      <c r="O50" s="727"/>
      <c r="P50" s="382"/>
    </row>
    <row r="51" spans="1:16">
      <c r="A51" s="578" t="s">
        <v>165</v>
      </c>
      <c r="B51" s="601"/>
      <c r="C51" s="601"/>
      <c r="D51" s="523" t="s">
        <v>131</v>
      </c>
      <c r="E51" s="510">
        <f>'16'!F51</f>
        <v>144639.87</v>
      </c>
      <c r="F51" s="510">
        <v>144640</v>
      </c>
      <c r="G51" s="473">
        <f t="shared" si="2"/>
        <v>0.13000000000465661</v>
      </c>
      <c r="H51" s="460">
        <f>G51+'16'!H51</f>
        <v>0</v>
      </c>
      <c r="I51" s="455"/>
      <c r="J51" s="552">
        <f>H51/DAY(B2)</f>
        <v>0</v>
      </c>
      <c r="K51" s="428"/>
      <c r="L51" s="377"/>
      <c r="N51" s="719"/>
      <c r="O51" s="726"/>
      <c r="P51" s="382"/>
    </row>
    <row r="52" spans="1:16">
      <c r="A52" s="578" t="s">
        <v>178</v>
      </c>
      <c r="B52" s="601"/>
      <c r="C52" s="601"/>
      <c r="D52" s="523" t="s">
        <v>131</v>
      </c>
      <c r="E52" s="510">
        <f>'16'!F52</f>
        <v>539606.06999999995</v>
      </c>
      <c r="F52" s="510">
        <v>539606.06999999995</v>
      </c>
      <c r="G52" s="473">
        <f t="shared" si="2"/>
        <v>0</v>
      </c>
      <c r="H52" s="460">
        <f>G52+'16'!H52</f>
        <v>0</v>
      </c>
      <c r="I52" s="455"/>
      <c r="J52" s="552">
        <f>H52/DAY(B2)</f>
        <v>0</v>
      </c>
      <c r="K52" s="428"/>
      <c r="L52" s="377"/>
      <c r="N52" s="719"/>
      <c r="O52" s="726"/>
      <c r="P52" s="382"/>
    </row>
    <row r="53" spans="1:16">
      <c r="A53" s="578" t="s">
        <v>167</v>
      </c>
      <c r="B53" s="601"/>
      <c r="C53" s="601"/>
      <c r="D53" s="523" t="s">
        <v>131</v>
      </c>
      <c r="E53" s="510">
        <f>'16'!F53</f>
        <v>434231.59</v>
      </c>
      <c r="F53" s="510">
        <v>434231.99</v>
      </c>
      <c r="G53" s="473">
        <f t="shared" si="2"/>
        <v>0.3999999999650754</v>
      </c>
      <c r="H53" s="460">
        <f>G53+'16'!H53</f>
        <v>1663.6599999999744</v>
      </c>
      <c r="I53" s="455"/>
      <c r="J53" s="552">
        <f>H53/DAY(B2)</f>
        <v>97.862352941174962</v>
      </c>
      <c r="K53" s="428"/>
      <c r="L53" s="377"/>
      <c r="N53" s="719"/>
      <c r="O53" s="726"/>
      <c r="P53" s="382"/>
    </row>
    <row r="54" spans="1:16">
      <c r="A54" s="578" t="s">
        <v>179</v>
      </c>
      <c r="B54" s="601"/>
      <c r="C54" s="601"/>
      <c r="D54" s="523" t="s">
        <v>131</v>
      </c>
      <c r="E54" s="510">
        <f>'16'!F54</f>
        <v>14967.27</v>
      </c>
      <c r="F54" s="510">
        <v>14967.27</v>
      </c>
      <c r="G54" s="473">
        <f t="shared" si="2"/>
        <v>0</v>
      </c>
      <c r="H54" s="460">
        <f>G54+'16'!H54</f>
        <v>1138.2700000000004</v>
      </c>
      <c r="I54" s="455"/>
      <c r="J54" s="552">
        <f>H54/DAY(B2)</f>
        <v>66.957058823529437</v>
      </c>
      <c r="K54" s="428"/>
      <c r="L54" s="377"/>
      <c r="N54" s="719"/>
      <c r="O54" s="726"/>
      <c r="P54" s="382"/>
    </row>
    <row r="55" spans="1:16">
      <c r="A55" s="578" t="s">
        <v>180</v>
      </c>
      <c r="B55" s="601"/>
      <c r="C55" s="601"/>
      <c r="D55" s="523" t="s">
        <v>131</v>
      </c>
      <c r="E55" s="510">
        <f>'16'!F55</f>
        <v>70500.009999999995</v>
      </c>
      <c r="F55" s="654">
        <v>72232.070000000007</v>
      </c>
      <c r="G55" s="653">
        <f t="shared" si="2"/>
        <v>1732.0600000000122</v>
      </c>
      <c r="H55" s="706">
        <f>G55+'16'!H55</f>
        <v>4121.070000000007</v>
      </c>
      <c r="I55" s="707"/>
      <c r="J55" s="708">
        <f>H55/DAY(B2)</f>
        <v>242.41588235294159</v>
      </c>
      <c r="K55" s="428"/>
      <c r="L55" s="377"/>
      <c r="N55" s="719"/>
      <c r="O55" s="726"/>
      <c r="P55" s="382"/>
    </row>
    <row r="56" spans="1:16">
      <c r="A56" s="578" t="s">
        <v>181</v>
      </c>
      <c r="B56" s="601"/>
      <c r="C56" s="601"/>
      <c r="D56" s="523" t="s">
        <v>182</v>
      </c>
      <c r="E56" s="510">
        <f>'16'!F56</f>
        <v>648888.51</v>
      </c>
      <c r="F56" s="654">
        <v>648898.63</v>
      </c>
      <c r="G56" s="473">
        <f>F56-E56</f>
        <v>10.119999999995343</v>
      </c>
      <c r="H56" s="460">
        <f>G56+'16'!H56</f>
        <v>31700.630000000005</v>
      </c>
      <c r="I56" s="455"/>
      <c r="J56" s="552">
        <f>H56/DAY(B2)</f>
        <v>1864.7429411764708</v>
      </c>
      <c r="K56" s="427"/>
      <c r="L56" s="377"/>
      <c r="N56" s="719"/>
      <c r="O56" s="728"/>
      <c r="P56" s="382"/>
    </row>
    <row r="57" spans="1:16">
      <c r="A57" s="578" t="s">
        <v>171</v>
      </c>
      <c r="B57" s="601"/>
      <c r="C57" s="601"/>
      <c r="D57" s="523" t="s">
        <v>131</v>
      </c>
      <c r="E57" s="510">
        <f>'16'!F57</f>
        <v>7711.33</v>
      </c>
      <c r="F57" s="510">
        <v>7711.33</v>
      </c>
      <c r="G57" s="473">
        <f>F57-E57</f>
        <v>0</v>
      </c>
      <c r="H57" s="460">
        <f>G57+'16'!H57</f>
        <v>0.32999999999992724</v>
      </c>
      <c r="I57" s="455"/>
      <c r="J57" s="552">
        <f>H57/DAY(B2)</f>
        <v>1.9411764705878073E-2</v>
      </c>
      <c r="K57" s="428"/>
      <c r="L57" s="377"/>
      <c r="N57" s="719"/>
      <c r="O57" s="726"/>
      <c r="P57" s="382"/>
    </row>
    <row r="58" spans="1:16">
      <c r="A58" s="578" t="s">
        <v>183</v>
      </c>
      <c r="B58" s="601"/>
      <c r="C58" s="601"/>
      <c r="D58" s="523" t="s">
        <v>131</v>
      </c>
      <c r="E58" s="510">
        <f>'16'!F58</f>
        <v>51517.11</v>
      </c>
      <c r="F58" s="654">
        <v>51763.74</v>
      </c>
      <c r="G58" s="473">
        <f t="shared" si="2"/>
        <v>246.62999999999738</v>
      </c>
      <c r="H58" s="460">
        <f>G58+'16'!H58</f>
        <v>1899.5299999999988</v>
      </c>
      <c r="I58" s="455"/>
      <c r="J58" s="552">
        <f>H58/DAY(B2)</f>
        <v>111.73705882352934</v>
      </c>
      <c r="K58" s="428"/>
      <c r="L58" s="377"/>
      <c r="N58" s="719"/>
      <c r="O58" s="726"/>
      <c r="P58" s="382"/>
    </row>
    <row r="59" spans="1:16">
      <c r="A59" s="585" t="s">
        <v>175</v>
      </c>
      <c r="B59" s="586"/>
      <c r="C59" s="586"/>
      <c r="D59" s="511"/>
      <c r="E59" s="511"/>
      <c r="F59" s="511"/>
      <c r="G59" s="481">
        <f>G49+G50+G51+G52+G53+G54+G55+G56+G57+G58</f>
        <v>2929.6200000000026</v>
      </c>
      <c r="H59" s="460">
        <f>G59+'16'!H59</f>
        <v>55958.83999999996</v>
      </c>
      <c r="I59" s="455">
        <f>G7-G60</f>
        <v>186.67000000002008</v>
      </c>
      <c r="J59" s="552">
        <f>H59/DAY(B2)</f>
        <v>3291.6964705882328</v>
      </c>
      <c r="K59" s="428"/>
      <c r="L59" s="377"/>
      <c r="N59" s="719"/>
      <c r="O59" s="726"/>
      <c r="P59" s="382"/>
    </row>
    <row r="60" spans="1:16">
      <c r="A60" s="578"/>
      <c r="B60" s="579"/>
      <c r="C60" s="579"/>
      <c r="D60" s="511" t="s">
        <v>184</v>
      </c>
      <c r="E60" s="511"/>
      <c r="F60" s="511"/>
      <c r="G60" s="481">
        <f>G47+G59</f>
        <v>18943.209999999868</v>
      </c>
      <c r="H60" s="460">
        <f>G60+'16'!H60</f>
        <v>299527.20999999985</v>
      </c>
      <c r="I60" s="455">
        <f>G13-G60</f>
        <v>-422.80999999996129</v>
      </c>
      <c r="J60" s="552">
        <f>H60/DAY(B2)</f>
        <v>17619.247647058815</v>
      </c>
      <c r="K60" s="428"/>
      <c r="L60" s="377"/>
      <c r="N60" s="719"/>
      <c r="O60" s="726"/>
      <c r="P60" s="382"/>
    </row>
    <row r="61" spans="1:16">
      <c r="A61" s="602" t="s">
        <v>185</v>
      </c>
      <c r="B61" s="453"/>
      <c r="C61" s="453"/>
      <c r="D61" s="513"/>
      <c r="E61" s="512"/>
      <c r="F61" s="512"/>
      <c r="G61" s="513"/>
      <c r="H61" s="513"/>
      <c r="I61" s="513"/>
      <c r="J61" s="555"/>
      <c r="K61" s="428"/>
      <c r="L61" s="377"/>
      <c r="N61" s="719"/>
      <c r="O61" s="726"/>
      <c r="P61" s="382"/>
    </row>
    <row r="62" spans="1:16">
      <c r="A62" s="603" t="s">
        <v>97</v>
      </c>
      <c r="B62" s="604"/>
      <c r="C62" s="604"/>
      <c r="D62" s="511" t="s">
        <v>186</v>
      </c>
      <c r="E62" s="514">
        <f>'16'!F62</f>
        <v>20419.18</v>
      </c>
      <c r="F62" s="514">
        <v>20419</v>
      </c>
      <c r="G62" s="473">
        <f t="shared" ref="G62:G69" si="3">F62-E62</f>
        <v>-0.18000000000029104</v>
      </c>
      <c r="H62" s="460">
        <f>G62+'16'!H62</f>
        <v>1.9999999967694748E-3</v>
      </c>
      <c r="I62" s="515"/>
      <c r="J62" s="552">
        <f>H62/DAY(B2)</f>
        <v>1.1764705863349852E-4</v>
      </c>
      <c r="K62" s="428"/>
      <c r="L62" s="377"/>
      <c r="N62" s="719"/>
      <c r="O62" s="726"/>
      <c r="P62" s="382"/>
    </row>
    <row r="63" spans="1:16">
      <c r="A63" s="603" t="s">
        <v>187</v>
      </c>
      <c r="B63" s="604"/>
      <c r="C63" s="604"/>
      <c r="D63" s="511" t="s">
        <v>186</v>
      </c>
      <c r="E63" s="514">
        <f>'16'!F63</f>
        <v>0</v>
      </c>
      <c r="F63" s="514">
        <v>0</v>
      </c>
      <c r="G63" s="473">
        <f t="shared" si="3"/>
        <v>0</v>
      </c>
      <c r="H63" s="460">
        <f>G63+'16'!H63</f>
        <v>0</v>
      </c>
      <c r="I63" s="515"/>
      <c r="J63" s="552">
        <f>H63/DAY(B2)</f>
        <v>0</v>
      </c>
      <c r="K63" s="428"/>
      <c r="L63" s="377"/>
      <c r="N63" s="719"/>
      <c r="O63" s="726"/>
      <c r="P63" s="382"/>
    </row>
    <row r="64" spans="1:16" ht="27.75">
      <c r="A64" s="1534" t="s">
        <v>98</v>
      </c>
      <c r="B64" s="1535"/>
      <c r="C64" s="1536"/>
      <c r="D64" s="523" t="s">
        <v>186</v>
      </c>
      <c r="E64" s="1231">
        <f>'16'!F64</f>
        <v>164857.35</v>
      </c>
      <c r="F64" s="626">
        <v>165201.93</v>
      </c>
      <c r="G64" s="774">
        <f t="shared" si="3"/>
        <v>344.57999999998719</v>
      </c>
      <c r="H64" s="460">
        <f>G64+'16'!H64</f>
        <v>5269.929999999993</v>
      </c>
      <c r="I64" s="480"/>
      <c r="J64" s="552">
        <f>H64/DAY(B2)</f>
        <v>309.99588235294078</v>
      </c>
      <c r="K64" s="428"/>
      <c r="L64" s="377"/>
      <c r="N64" s="719"/>
      <c r="O64" s="726"/>
      <c r="P64" s="382"/>
    </row>
    <row r="65" spans="1:16" ht="27.75">
      <c r="A65" s="1534" t="s">
        <v>99</v>
      </c>
      <c r="B65" s="1535"/>
      <c r="C65" s="1536"/>
      <c r="D65" s="523" t="s">
        <v>186</v>
      </c>
      <c r="E65" s="514">
        <f>'16'!F65</f>
        <v>165153.25</v>
      </c>
      <c r="F65" s="652">
        <v>165495.54999999999</v>
      </c>
      <c r="G65" s="473">
        <f t="shared" si="3"/>
        <v>342.29999999998836</v>
      </c>
      <c r="H65" s="460">
        <f>G65+'16'!H65</f>
        <v>4497.5499999999884</v>
      </c>
      <c r="I65" s="489"/>
      <c r="J65" s="552">
        <f>H65/DAY(B2)</f>
        <v>264.56176470588167</v>
      </c>
      <c r="K65" s="428"/>
      <c r="L65" s="377"/>
      <c r="N65" s="719"/>
      <c r="O65" s="727"/>
      <c r="P65" s="382"/>
    </row>
    <row r="66" spans="1:16" ht="27.75">
      <c r="A66" s="1534" t="s">
        <v>100</v>
      </c>
      <c r="B66" s="1535"/>
      <c r="C66" s="1536"/>
      <c r="D66" s="523" t="s">
        <v>186</v>
      </c>
      <c r="E66" s="514">
        <f>'16'!F66</f>
        <v>62324.23</v>
      </c>
      <c r="F66" s="478">
        <v>62655.67</v>
      </c>
      <c r="G66" s="473">
        <f t="shared" si="3"/>
        <v>331.43999999999505</v>
      </c>
      <c r="H66" s="460">
        <f>G66+'16'!H66</f>
        <v>5850.6699999999983</v>
      </c>
      <c r="I66" s="480"/>
      <c r="J66" s="552">
        <f>H66/DAY(B2)</f>
        <v>344.15705882352933</v>
      </c>
      <c r="K66" s="428"/>
      <c r="L66" s="377"/>
      <c r="N66" s="719"/>
      <c r="O66" s="726"/>
      <c r="P66" s="382"/>
    </row>
    <row r="67" spans="1:16" ht="27.75">
      <c r="A67" s="1534" t="s">
        <v>101</v>
      </c>
      <c r="B67" s="1535"/>
      <c r="C67" s="1536"/>
      <c r="D67" s="523" t="s">
        <v>186</v>
      </c>
      <c r="E67" s="514">
        <f>'16'!F67</f>
        <v>258634.39</v>
      </c>
      <c r="F67" s="478">
        <v>259060.43</v>
      </c>
      <c r="G67" s="473">
        <f t="shared" si="3"/>
        <v>426.03999999997905</v>
      </c>
      <c r="H67" s="460">
        <f>G67+'16'!H67</f>
        <v>6868.429999999993</v>
      </c>
      <c r="I67" s="489"/>
      <c r="J67" s="552">
        <f>H67/DAY(B2)</f>
        <v>404.02529411764664</v>
      </c>
      <c r="K67" s="429"/>
      <c r="L67" s="377"/>
      <c r="N67" s="719"/>
      <c r="O67" s="726"/>
      <c r="P67" s="382"/>
    </row>
    <row r="68" spans="1:16" ht="27.75">
      <c r="A68" s="1534" t="s">
        <v>102</v>
      </c>
      <c r="B68" s="1535"/>
      <c r="C68" s="1536"/>
      <c r="D68" s="523" t="s">
        <v>186</v>
      </c>
      <c r="E68" s="514">
        <f>'16'!F68</f>
        <v>85321</v>
      </c>
      <c r="F68" s="478">
        <v>85321</v>
      </c>
      <c r="G68" s="473">
        <f t="shared" si="3"/>
        <v>0</v>
      </c>
      <c r="H68" s="460">
        <f>G68+'16'!H68</f>
        <v>0</v>
      </c>
      <c r="I68" s="516"/>
      <c r="J68" s="552">
        <f>H68/DAY(B2)</f>
        <v>0</v>
      </c>
      <c r="K68" s="430"/>
      <c r="L68" s="377"/>
      <c r="N68" s="719"/>
      <c r="O68" s="726"/>
      <c r="P68" s="382"/>
    </row>
    <row r="69" spans="1:16" ht="27.75">
      <c r="A69" s="1534" t="s">
        <v>103</v>
      </c>
      <c r="B69" s="1535"/>
      <c r="C69" s="1536"/>
      <c r="D69" s="523" t="s">
        <v>186</v>
      </c>
      <c r="E69" s="514">
        <f>'16'!F69</f>
        <v>84160.27</v>
      </c>
      <c r="F69" s="478">
        <v>84334.43</v>
      </c>
      <c r="G69" s="473">
        <f t="shared" si="3"/>
        <v>174.15999999998894</v>
      </c>
      <c r="H69" s="460">
        <f>G69+'16'!H69</f>
        <v>2585.429999999993</v>
      </c>
      <c r="I69" s="516"/>
      <c r="J69" s="552">
        <f>H69/DAY(B2)</f>
        <v>152.08411764705841</v>
      </c>
      <c r="K69" s="431"/>
      <c r="L69" s="377"/>
      <c r="N69" s="719"/>
      <c r="O69" s="726"/>
      <c r="P69" s="382"/>
    </row>
    <row r="70" spans="1:16" ht="27.75">
      <c r="A70" s="1566" t="s">
        <v>188</v>
      </c>
      <c r="B70" s="1567"/>
      <c r="C70" s="1568"/>
      <c r="D70" s="523" t="s">
        <v>186</v>
      </c>
      <c r="E70" s="518"/>
      <c r="F70" s="518"/>
      <c r="G70" s="518"/>
      <c r="H70" s="460">
        <f>G70+'13'!H70</f>
        <v>0</v>
      </c>
      <c r="I70" s="518"/>
      <c r="J70" s="556"/>
      <c r="K70" s="431"/>
      <c r="L70" s="377"/>
      <c r="N70" s="719"/>
      <c r="O70" s="726"/>
      <c r="P70" s="382"/>
    </row>
    <row r="71" spans="1:16" ht="31.5">
      <c r="A71" s="1580">
        <v>855695</v>
      </c>
      <c r="B71" s="1581"/>
      <c r="C71" s="1581"/>
      <c r="D71" s="1581"/>
      <c r="E71" s="1581"/>
      <c r="F71" s="1581"/>
      <c r="G71" s="1581"/>
      <c r="H71" s="1581"/>
      <c r="I71" s="1581"/>
      <c r="J71" s="1582"/>
      <c r="K71" s="430"/>
      <c r="L71" s="377"/>
      <c r="N71" s="719"/>
      <c r="O71" s="726"/>
      <c r="P71" s="382"/>
    </row>
    <row r="72" spans="1:16" ht="27.75">
      <c r="A72" s="1534" t="s">
        <v>190</v>
      </c>
      <c r="B72" s="1535"/>
      <c r="C72" s="1536"/>
      <c r="D72" s="523" t="s">
        <v>186</v>
      </c>
      <c r="E72" s="519">
        <f>'16'!F72</f>
        <v>856053</v>
      </c>
      <c r="F72" s="655">
        <v>856066</v>
      </c>
      <c r="G72" s="473">
        <f t="shared" ref="G72:G84" si="4">F72-E72</f>
        <v>13</v>
      </c>
      <c r="H72" s="460">
        <f>G72+'16'!H72</f>
        <v>210</v>
      </c>
      <c r="I72" s="480"/>
      <c r="J72" s="552">
        <f>H72/DAY(B2)</f>
        <v>12.352941176470589</v>
      </c>
      <c r="K72" s="431"/>
      <c r="L72" s="377"/>
      <c r="N72" s="719"/>
      <c r="O72" s="726"/>
      <c r="P72" s="382"/>
    </row>
    <row r="73" spans="1:16" ht="27.75">
      <c r="A73" s="1534" t="s">
        <v>191</v>
      </c>
      <c r="B73" s="1535"/>
      <c r="C73" s="1536"/>
      <c r="D73" s="523" t="s">
        <v>186</v>
      </c>
      <c r="E73" s="519">
        <f>'16'!F73</f>
        <v>885956</v>
      </c>
      <c r="F73" s="656">
        <v>885958</v>
      </c>
      <c r="G73" s="653">
        <f t="shared" si="4"/>
        <v>2</v>
      </c>
      <c r="H73" s="460">
        <f>G73+'16'!H73</f>
        <v>177</v>
      </c>
      <c r="I73" s="480"/>
      <c r="J73" s="552">
        <f>H73/DAY(B2)</f>
        <v>10.411764705882353</v>
      </c>
      <c r="K73" s="430"/>
      <c r="L73" s="377"/>
      <c r="N73" s="719"/>
      <c r="O73" s="726"/>
      <c r="P73" s="382"/>
    </row>
    <row r="74" spans="1:16" ht="27.75">
      <c r="A74" s="1534" t="s">
        <v>192</v>
      </c>
      <c r="B74" s="1535"/>
      <c r="C74" s="1536"/>
      <c r="D74" s="523" t="s">
        <v>186</v>
      </c>
      <c r="E74" s="519">
        <f>'16'!F74</f>
        <v>88681.8</v>
      </c>
      <c r="F74" s="656">
        <v>88682.7</v>
      </c>
      <c r="G74" s="473">
        <f t="shared" si="4"/>
        <v>0.89999999999417923</v>
      </c>
      <c r="H74" s="460">
        <f>G74+'16'!H74</f>
        <v>17.659999999997126</v>
      </c>
      <c r="I74" s="480"/>
      <c r="J74" s="552">
        <f>H74/DAY(B2)</f>
        <v>1.0388235294115957</v>
      </c>
      <c r="K74" s="431"/>
      <c r="L74" s="377"/>
      <c r="N74" s="719"/>
      <c r="O74" s="726"/>
      <c r="P74" s="382"/>
    </row>
    <row r="75" spans="1:16" ht="27.75">
      <c r="A75" s="1583" t="s">
        <v>193</v>
      </c>
      <c r="B75" s="1584"/>
      <c r="C75" s="1585"/>
      <c r="D75" s="523" t="s">
        <v>186</v>
      </c>
      <c r="E75" s="519">
        <f>'16'!F75</f>
        <v>14026.49</v>
      </c>
      <c r="F75" s="656">
        <v>14156.57</v>
      </c>
      <c r="G75" s="473">
        <f t="shared" si="4"/>
        <v>130.07999999999993</v>
      </c>
      <c r="H75" s="460">
        <f>G75+'16'!H75</f>
        <v>1487.5699999999997</v>
      </c>
      <c r="I75" s="480"/>
      <c r="J75" s="552">
        <f>H75/DAY(B2)</f>
        <v>87.504117647058806</v>
      </c>
      <c r="K75" s="430"/>
      <c r="L75" s="377"/>
      <c r="N75" s="719"/>
      <c r="O75" s="726"/>
      <c r="P75" s="382"/>
    </row>
    <row r="76" spans="1:16" ht="27.75">
      <c r="A76" s="1583" t="s">
        <v>194</v>
      </c>
      <c r="B76" s="1584"/>
      <c r="C76" s="1585"/>
      <c r="D76" s="523" t="s">
        <v>186</v>
      </c>
      <c r="E76" s="519">
        <f>'16'!F76</f>
        <v>8349.7199999999993</v>
      </c>
      <c r="F76" s="656">
        <v>8407.7999999999993</v>
      </c>
      <c r="G76" s="473">
        <f t="shared" si="4"/>
        <v>58.079999999999927</v>
      </c>
      <c r="H76" s="460">
        <f>G76+'16'!H76</f>
        <v>1201.7999999999993</v>
      </c>
      <c r="I76" s="505"/>
      <c r="J76" s="552">
        <f>H76/DAY(B2)</f>
        <v>70.694117647058775</v>
      </c>
      <c r="K76" s="430"/>
      <c r="L76" s="377"/>
      <c r="N76" s="719"/>
      <c r="O76" s="726"/>
      <c r="P76" s="382"/>
    </row>
    <row r="77" spans="1:16" ht="27.75">
      <c r="A77" s="1534" t="s">
        <v>195</v>
      </c>
      <c r="B77" s="1535"/>
      <c r="C77" s="1536"/>
      <c r="D77" s="523" t="s">
        <v>186</v>
      </c>
      <c r="E77" s="519">
        <f>'16'!F77</f>
        <v>703642</v>
      </c>
      <c r="F77" s="656">
        <v>703690</v>
      </c>
      <c r="G77" s="653">
        <f t="shared" si="4"/>
        <v>48</v>
      </c>
      <c r="H77" s="460">
        <f>G77+'16'!H77</f>
        <v>851</v>
      </c>
      <c r="I77" s="505"/>
      <c r="J77" s="552">
        <f>H77/DAY(B2)</f>
        <v>50.058823529411768</v>
      </c>
      <c r="K77" s="430"/>
      <c r="L77" s="377"/>
      <c r="N77" s="719"/>
      <c r="O77" s="726"/>
      <c r="P77" s="382"/>
    </row>
    <row r="78" spans="1:16" ht="27.75">
      <c r="A78" s="1227" t="s">
        <v>196</v>
      </c>
      <c r="B78" s="1220"/>
      <c r="C78" s="1220"/>
      <c r="D78" s="523" t="s">
        <v>186</v>
      </c>
      <c r="E78" s="519">
        <f>'16'!F78</f>
        <v>674088</v>
      </c>
      <c r="F78" s="657">
        <v>674191</v>
      </c>
      <c r="G78" s="473">
        <f t="shared" si="4"/>
        <v>103</v>
      </c>
      <c r="H78" s="460">
        <f>G78+'16'!H78</f>
        <v>1159</v>
      </c>
      <c r="I78" s="505"/>
      <c r="J78" s="552">
        <f>H78/DAY(B2)</f>
        <v>68.17647058823529</v>
      </c>
      <c r="K78" s="430"/>
      <c r="L78" s="377"/>
      <c r="N78" s="719"/>
      <c r="O78" s="726"/>
      <c r="P78" s="382"/>
    </row>
    <row r="79" spans="1:16" ht="27.75">
      <c r="A79" s="1583" t="s">
        <v>91</v>
      </c>
      <c r="B79" s="1584"/>
      <c r="C79" s="1585"/>
      <c r="D79" s="524" t="s">
        <v>186</v>
      </c>
      <c r="E79" s="519">
        <f>'16'!F79</f>
        <v>833360</v>
      </c>
      <c r="F79" s="657">
        <v>833493</v>
      </c>
      <c r="G79" s="473">
        <f t="shared" si="4"/>
        <v>133</v>
      </c>
      <c r="H79" s="460">
        <f>G79+'16'!H79</f>
        <v>1471</v>
      </c>
      <c r="I79" s="505"/>
      <c r="J79" s="552">
        <f>H79/DAY(B2)</f>
        <v>86.529411764705884</v>
      </c>
      <c r="K79" s="430"/>
      <c r="L79" s="377"/>
      <c r="N79" s="719"/>
      <c r="O79" s="726"/>
      <c r="P79" s="382"/>
    </row>
    <row r="80" spans="1:16" ht="27.75">
      <c r="A80" s="1583" t="s">
        <v>197</v>
      </c>
      <c r="B80" s="1584"/>
      <c r="C80" s="1585"/>
      <c r="D80" s="524" t="s">
        <v>186</v>
      </c>
      <c r="E80" s="519">
        <f>'16'!F80</f>
        <v>533536</v>
      </c>
      <c r="F80" s="656">
        <v>533870.52</v>
      </c>
      <c r="G80" s="473">
        <f t="shared" si="4"/>
        <v>334.52000000001863</v>
      </c>
      <c r="H80" s="460">
        <f>G80+'16'!H80</f>
        <v>3325</v>
      </c>
      <c r="I80" s="505"/>
      <c r="J80" s="552">
        <f>H80/DAY(B2)</f>
        <v>195.58823529411765</v>
      </c>
      <c r="K80" s="430"/>
      <c r="L80" s="377"/>
      <c r="N80" s="719"/>
      <c r="O80" s="726"/>
      <c r="P80" s="382"/>
    </row>
    <row r="81" spans="1:16" ht="27.75">
      <c r="A81" s="1583" t="s">
        <v>198</v>
      </c>
      <c r="B81" s="1584"/>
      <c r="C81" s="1585"/>
      <c r="D81" s="524" t="s">
        <v>186</v>
      </c>
      <c r="E81" s="519">
        <f>'16'!F81</f>
        <v>640750.28</v>
      </c>
      <c r="F81" s="656">
        <v>640893.56000000006</v>
      </c>
      <c r="G81" s="473">
        <f t="shared" si="4"/>
        <v>143.28000000002794</v>
      </c>
      <c r="H81" s="460">
        <f>G81+'16'!H81</f>
        <v>1995.5600000000559</v>
      </c>
      <c r="I81" s="505"/>
      <c r="J81" s="552">
        <f>H81/DAY(B2)</f>
        <v>117.38588235294446</v>
      </c>
      <c r="K81" s="430"/>
      <c r="L81" s="377"/>
      <c r="N81" s="719"/>
      <c r="O81" s="726"/>
      <c r="P81" s="382"/>
    </row>
    <row r="82" spans="1:16" s="776" customFormat="1" ht="27.75">
      <c r="A82" s="1603" t="s">
        <v>92</v>
      </c>
      <c r="B82" s="1604"/>
      <c r="C82" s="1605"/>
      <c r="D82" s="626" t="s">
        <v>131</v>
      </c>
      <c r="E82" s="519">
        <f>'16'!F82</f>
        <v>108421.66</v>
      </c>
      <c r="F82" s="626">
        <v>108435.34</v>
      </c>
      <c r="G82" s="774">
        <f t="shared" si="4"/>
        <v>13.679999999993015</v>
      </c>
      <c r="H82" s="479">
        <f>G82+'16'!H82</f>
        <v>277.33999999999651</v>
      </c>
      <c r="I82" s="479"/>
      <c r="J82" s="775">
        <f>H82/DAY(B2)</f>
        <v>16.31411764705862</v>
      </c>
      <c r="K82" s="1217"/>
      <c r="L82" s="1218"/>
      <c r="N82" s="723"/>
      <c r="O82" s="727"/>
      <c r="P82" s="722"/>
    </row>
    <row r="83" spans="1:16" ht="27.75">
      <c r="A83" s="1583" t="s">
        <v>199</v>
      </c>
      <c r="B83" s="1584"/>
      <c r="C83" s="1585"/>
      <c r="D83" s="620" t="s">
        <v>131</v>
      </c>
      <c r="E83" s="519">
        <f>'16'!F83</f>
        <v>23742</v>
      </c>
      <c r="F83" s="511">
        <v>23906</v>
      </c>
      <c r="G83" s="473">
        <f t="shared" si="4"/>
        <v>164</v>
      </c>
      <c r="H83" s="460">
        <f>G83+'16'!H83</f>
        <v>3400</v>
      </c>
      <c r="I83" s="481"/>
      <c r="J83" s="552">
        <f>H83/DAY(B2)</f>
        <v>200</v>
      </c>
      <c r="K83" s="429"/>
      <c r="L83" s="377"/>
      <c r="N83" s="719"/>
      <c r="O83" s="726"/>
      <c r="P83" s="382"/>
    </row>
    <row r="84" spans="1:16">
      <c r="A84" s="1228" t="s">
        <v>200</v>
      </c>
      <c r="B84" s="571"/>
      <c r="C84" s="571"/>
      <c r="D84" s="478" t="s">
        <v>131</v>
      </c>
      <c r="E84" s="519">
        <f>'16'!F84</f>
        <v>511911</v>
      </c>
      <c r="F84" s="627">
        <v>512617</v>
      </c>
      <c r="G84" s="473">
        <f t="shared" si="4"/>
        <v>706</v>
      </c>
      <c r="H84" s="460">
        <f>G84+'16'!H84</f>
        <v>12323</v>
      </c>
      <c r="I84" s="481"/>
      <c r="J84" s="552">
        <f>H84/DAY(B2)</f>
        <v>724.88235294117646</v>
      </c>
      <c r="K84" s="380"/>
      <c r="L84" s="377"/>
      <c r="N84" s="719"/>
      <c r="O84" s="726"/>
      <c r="P84" s="382"/>
    </row>
    <row r="85" spans="1:16" s="379" customFormat="1">
      <c r="A85" s="605" t="s">
        <v>201</v>
      </c>
      <c r="B85" s="572"/>
      <c r="C85" s="572"/>
      <c r="D85" s="489"/>
      <c r="E85" s="523"/>
      <c r="F85" s="523"/>
      <c r="G85" s="460">
        <f xml:space="preserve"> SUM(G72:G84)</f>
        <v>1849.5400000000336</v>
      </c>
      <c r="H85" s="460">
        <f>G85+'16'!H85</f>
        <v>31439.450000000066</v>
      </c>
      <c r="I85" s="481"/>
      <c r="J85" s="552">
        <f>H85/DAY(B2)</f>
        <v>1849.3794117647099</v>
      </c>
      <c r="K85" s="380"/>
      <c r="L85" s="378"/>
      <c r="N85" s="719"/>
      <c r="O85" s="726"/>
      <c r="P85" s="382"/>
    </row>
    <row r="86" spans="1:16" s="736" customFormat="1">
      <c r="A86" s="731" t="s">
        <v>93</v>
      </c>
      <c r="B86" s="732"/>
      <c r="C86" s="732"/>
      <c r="D86" s="733" t="s">
        <v>182</v>
      </c>
      <c r="E86" s="627">
        <f>'16'!F86</f>
        <v>461431.44</v>
      </c>
      <c r="F86" s="1468">
        <v>461458.28</v>
      </c>
      <c r="G86" s="706">
        <f t="shared" ref="G86:G91" si="5">F86-E86</f>
        <v>26.840000000025611</v>
      </c>
      <c r="H86" s="706">
        <f t="shared" ref="H86:H88" si="6">G86</f>
        <v>26.840000000025611</v>
      </c>
      <c r="I86" s="653"/>
      <c r="J86" s="708">
        <f>H86/DAY(B2)</f>
        <v>1.5788235294132713</v>
      </c>
      <c r="K86" s="734"/>
      <c r="L86" s="735"/>
      <c r="O86" s="714"/>
    </row>
    <row r="87" spans="1:16" s="736" customFormat="1">
      <c r="A87" s="731" t="s">
        <v>94</v>
      </c>
      <c r="B87" s="732"/>
      <c r="C87" s="732"/>
      <c r="D87" s="733" t="s">
        <v>182</v>
      </c>
      <c r="E87" s="627">
        <f>'16'!F87</f>
        <v>81710.2</v>
      </c>
      <c r="F87" s="648">
        <v>81728.800000000003</v>
      </c>
      <c r="G87" s="706">
        <f t="shared" si="5"/>
        <v>18.600000000005821</v>
      </c>
      <c r="H87" s="706">
        <f t="shared" si="6"/>
        <v>18.600000000005821</v>
      </c>
      <c r="I87" s="653"/>
      <c r="J87" s="708">
        <f>H87/DAY(B2)</f>
        <v>1.094117647059166</v>
      </c>
      <c r="K87" s="734"/>
      <c r="L87" s="735"/>
      <c r="O87" s="714"/>
    </row>
    <row r="88" spans="1:16" s="736" customFormat="1">
      <c r="A88" s="731" t="s">
        <v>95</v>
      </c>
      <c r="B88" s="732"/>
      <c r="C88" s="732"/>
      <c r="D88" s="733" t="s">
        <v>182</v>
      </c>
      <c r="E88" s="627">
        <f>'16'!F88</f>
        <v>154005.91</v>
      </c>
      <c r="F88" s="648">
        <v>154077.66</v>
      </c>
      <c r="G88" s="706">
        <f t="shared" si="5"/>
        <v>71.75</v>
      </c>
      <c r="H88" s="706">
        <f t="shared" si="6"/>
        <v>71.75</v>
      </c>
      <c r="I88" s="653"/>
      <c r="J88" s="708">
        <f>H88/DAY(B2)</f>
        <v>4.2205882352941178</v>
      </c>
      <c r="K88" s="734"/>
      <c r="L88" s="735"/>
      <c r="O88" s="714"/>
    </row>
    <row r="89" spans="1:16" s="736" customFormat="1">
      <c r="A89" s="731" t="s">
        <v>203</v>
      </c>
      <c r="B89" s="732"/>
      <c r="C89" s="732"/>
      <c r="D89" s="733" t="s">
        <v>182</v>
      </c>
      <c r="E89" s="627">
        <f>'16'!F89</f>
        <v>65494.9</v>
      </c>
      <c r="F89" s="648">
        <v>65512.1</v>
      </c>
      <c r="G89" s="706">
        <f t="shared" si="5"/>
        <v>17.19999999999709</v>
      </c>
      <c r="H89" s="706">
        <f>G89</f>
        <v>17.19999999999709</v>
      </c>
      <c r="I89" s="653"/>
      <c r="J89" s="708">
        <f>H89/DAY(B2)</f>
        <v>1.0117647058821817</v>
      </c>
      <c r="K89" s="734"/>
      <c r="L89" s="735"/>
      <c r="N89" s="778"/>
      <c r="O89" s="382"/>
    </row>
    <row r="90" spans="1:16" s="736" customFormat="1">
      <c r="A90" s="731" t="s">
        <v>203</v>
      </c>
      <c r="B90" s="732"/>
      <c r="C90" s="732"/>
      <c r="D90" s="733" t="s">
        <v>182</v>
      </c>
      <c r="E90" s="627">
        <f>'16'!F90</f>
        <v>3302.3</v>
      </c>
      <c r="F90" s="648">
        <v>3303.9</v>
      </c>
      <c r="G90" s="706">
        <f t="shared" si="5"/>
        <v>1.5999999999999091</v>
      </c>
      <c r="H90" s="706">
        <f>G90</f>
        <v>1.5999999999999091</v>
      </c>
      <c r="I90" s="653"/>
      <c r="J90" s="708">
        <f>H90/DAY(B2)</f>
        <v>9.4117647058818185E-2</v>
      </c>
      <c r="K90" s="734"/>
      <c r="L90" s="735"/>
      <c r="N90" s="778"/>
      <c r="O90" s="382"/>
    </row>
    <row r="91" spans="1:16" s="736" customFormat="1">
      <c r="A91" s="731" t="s">
        <v>350</v>
      </c>
      <c r="B91" s="732"/>
      <c r="C91" s="732"/>
      <c r="D91" s="733"/>
      <c r="E91" s="627">
        <f>'16'!F91</f>
        <v>28140.4192</v>
      </c>
      <c r="F91" s="648">
        <v>28145.72</v>
      </c>
      <c r="G91" s="706">
        <f t="shared" si="5"/>
        <v>5.3008000000008906</v>
      </c>
      <c r="H91" s="706">
        <f>G91</f>
        <v>5.3008000000008906</v>
      </c>
      <c r="I91" s="653"/>
      <c r="J91" s="708"/>
      <c r="K91" s="734"/>
      <c r="L91" s="735"/>
      <c r="N91" s="778"/>
      <c r="O91" s="382"/>
    </row>
    <row r="92" spans="1:16" s="379" customFormat="1">
      <c r="A92" s="606" t="s">
        <v>204</v>
      </c>
      <c r="B92" s="1230"/>
      <c r="C92" s="1230"/>
      <c r="D92" s="472"/>
      <c r="E92" s="472"/>
      <c r="F92" s="472" t="s">
        <v>267</v>
      </c>
      <c r="G92" s="488"/>
      <c r="H92" s="472"/>
      <c r="I92" s="472"/>
      <c r="J92" s="551"/>
      <c r="K92" s="380"/>
      <c r="L92" s="378"/>
      <c r="N92" s="719"/>
      <c r="O92" s="726"/>
      <c r="P92" s="382"/>
    </row>
    <row r="93" spans="1:16" ht="27.75">
      <c r="A93" s="1537" t="s">
        <v>205</v>
      </c>
      <c r="B93" s="1538"/>
      <c r="C93" s="1539"/>
      <c r="D93" s="523" t="s">
        <v>143</v>
      </c>
      <c r="E93" s="484">
        <f>'16'!F93</f>
        <v>246236</v>
      </c>
      <c r="F93" s="478">
        <v>246293</v>
      </c>
      <c r="G93" s="473">
        <f t="shared" ref="G93:G94" si="7">F93-E93</f>
        <v>57</v>
      </c>
      <c r="H93" s="460">
        <f>G93+'16'!H93</f>
        <v>805</v>
      </c>
      <c r="I93" s="480"/>
      <c r="J93" s="552">
        <f>H93/DAY(B2)</f>
        <v>47.352941176470587</v>
      </c>
      <c r="K93" s="429"/>
      <c r="L93" s="377"/>
      <c r="N93" s="719"/>
      <c r="O93" s="726"/>
      <c r="P93" s="382"/>
    </row>
    <row r="94" spans="1:16" ht="27.75">
      <c r="A94" s="1537" t="s">
        <v>206</v>
      </c>
      <c r="B94" s="1538"/>
      <c r="C94" s="1539"/>
      <c r="D94" s="523" t="s">
        <v>143</v>
      </c>
      <c r="E94" s="484">
        <f>'16'!F94</f>
        <v>187689</v>
      </c>
      <c r="F94" s="478">
        <v>187755</v>
      </c>
      <c r="G94" s="473">
        <f t="shared" si="7"/>
        <v>66</v>
      </c>
      <c r="H94" s="460">
        <f>G94+'16'!H94</f>
        <v>1634</v>
      </c>
      <c r="I94" s="480"/>
      <c r="J94" s="552">
        <f>H94/DAY(B2)</f>
        <v>96.117647058823536</v>
      </c>
      <c r="K94" s="380"/>
      <c r="L94" s="377"/>
      <c r="N94" s="719"/>
      <c r="O94" s="726"/>
      <c r="P94" s="382"/>
    </row>
    <row r="95" spans="1:16">
      <c r="A95" s="1531" t="s">
        <v>207</v>
      </c>
      <c r="B95" s="1532"/>
      <c r="C95" s="1533"/>
      <c r="D95" s="523"/>
      <c r="E95" s="484">
        <f>'16'!F95</f>
        <v>0</v>
      </c>
      <c r="F95" s="478"/>
      <c r="G95" s="473">
        <f>G93+G94</f>
        <v>123</v>
      </c>
      <c r="H95" s="460">
        <f>G95+'16'!H95</f>
        <v>2363</v>
      </c>
      <c r="I95" s="480"/>
      <c r="J95" s="552">
        <f>H95/DAY(B2)</f>
        <v>139</v>
      </c>
      <c r="K95" s="380"/>
      <c r="L95" s="377"/>
      <c r="N95" s="719"/>
      <c r="O95" s="726"/>
      <c r="P95" s="382"/>
    </row>
    <row r="96" spans="1:16" ht="27.75">
      <c r="A96" s="1537" t="s">
        <v>208</v>
      </c>
      <c r="B96" s="1538"/>
      <c r="C96" s="1539"/>
      <c r="D96" s="523" t="s">
        <v>143</v>
      </c>
      <c r="E96" s="484">
        <f>'16'!F96</f>
        <v>415077</v>
      </c>
      <c r="F96" s="478">
        <v>415149</v>
      </c>
      <c r="G96" s="473">
        <f t="shared" ref="G96:G101" si="8">F96-E96</f>
        <v>72</v>
      </c>
      <c r="H96" s="460">
        <f>G96+'16'!H96</f>
        <v>866</v>
      </c>
      <c r="I96" s="480"/>
      <c r="J96" s="552">
        <f>H96/DAY(B2)</f>
        <v>50.941176470588232</v>
      </c>
      <c r="K96" s="380"/>
      <c r="L96" s="377"/>
      <c r="N96" s="719"/>
      <c r="O96" s="726"/>
      <c r="P96" s="382"/>
    </row>
    <row r="97" spans="1:16" ht="27.75">
      <c r="A97" s="1224" t="s">
        <v>209</v>
      </c>
      <c r="B97" s="1225"/>
      <c r="C97" s="1225"/>
      <c r="D97" s="523" t="s">
        <v>143</v>
      </c>
      <c r="E97" s="484">
        <f>'16'!F97</f>
        <v>102865</v>
      </c>
      <c r="F97" s="478">
        <v>102875</v>
      </c>
      <c r="G97" s="473">
        <f t="shared" si="8"/>
        <v>10</v>
      </c>
      <c r="H97" s="460">
        <f>G97+'16'!H97</f>
        <v>227</v>
      </c>
      <c r="I97" s="480"/>
      <c r="J97" s="552">
        <f>H97/DAY(B2)</f>
        <v>13.352941176470589</v>
      </c>
      <c r="K97" s="427"/>
      <c r="L97" s="377"/>
      <c r="N97" s="719"/>
      <c r="O97" s="726"/>
      <c r="P97" s="382"/>
    </row>
    <row r="98" spans="1:16" ht="27.75">
      <c r="A98" s="1224" t="s">
        <v>210</v>
      </c>
      <c r="B98" s="1225"/>
      <c r="C98" s="1225"/>
      <c r="D98" s="523" t="s">
        <v>143</v>
      </c>
      <c r="E98" s="484">
        <f>'16'!F98</f>
        <v>98293</v>
      </c>
      <c r="F98" s="478">
        <v>98315</v>
      </c>
      <c r="G98" s="473">
        <f t="shared" si="8"/>
        <v>22</v>
      </c>
      <c r="H98" s="460">
        <f>G98+'16'!H98</f>
        <v>365</v>
      </c>
      <c r="I98" s="480"/>
      <c r="J98" s="552">
        <f>H98/DAY(B2)</f>
        <v>21.470588235294116</v>
      </c>
      <c r="K98" s="432"/>
      <c r="L98" s="377"/>
      <c r="N98" s="719"/>
      <c r="O98" s="726"/>
      <c r="P98" s="382"/>
    </row>
    <row r="99" spans="1:16" ht="27.75">
      <c r="A99" s="1224" t="s">
        <v>211</v>
      </c>
      <c r="B99" s="1225"/>
      <c r="C99" s="1225"/>
      <c r="D99" s="523" t="s">
        <v>143</v>
      </c>
      <c r="E99" s="484">
        <f>'16'!F99</f>
        <v>149983</v>
      </c>
      <c r="F99" s="478">
        <v>149989</v>
      </c>
      <c r="G99" s="473">
        <f t="shared" si="8"/>
        <v>6</v>
      </c>
      <c r="H99" s="460">
        <f>G99+'16'!H99</f>
        <v>137</v>
      </c>
      <c r="I99" s="480"/>
      <c r="J99" s="552">
        <f>H99/DAY(B2)</f>
        <v>8.0588235294117645</v>
      </c>
      <c r="K99" s="380"/>
      <c r="L99" s="377"/>
      <c r="N99" s="721"/>
      <c r="O99" s="726"/>
      <c r="P99" s="382"/>
    </row>
    <row r="100" spans="1:16" ht="27.75">
      <c r="A100" s="1224" t="s">
        <v>212</v>
      </c>
      <c r="B100" s="1225"/>
      <c r="C100" s="1225"/>
      <c r="D100" s="523" t="s">
        <v>143</v>
      </c>
      <c r="E100" s="484">
        <f>'16'!F100</f>
        <v>7543</v>
      </c>
      <c r="F100" s="478">
        <v>7547</v>
      </c>
      <c r="G100" s="473">
        <f t="shared" si="8"/>
        <v>4</v>
      </c>
      <c r="H100" s="460">
        <f>G100+'16'!H100</f>
        <v>178</v>
      </c>
      <c r="I100" s="480"/>
      <c r="J100" s="552">
        <f>H100/DAY(B2)</f>
        <v>10.470588235294118</v>
      </c>
      <c r="K100" s="380"/>
      <c r="L100" s="377"/>
      <c r="N100" s="719"/>
      <c r="O100" s="726"/>
      <c r="P100" s="382"/>
    </row>
    <row r="101" spans="1:16" ht="27.75">
      <c r="A101" s="1224" t="s">
        <v>213</v>
      </c>
      <c r="B101" s="1225"/>
      <c r="C101" s="1225"/>
      <c r="D101" s="523" t="s">
        <v>143</v>
      </c>
      <c r="E101" s="484">
        <f>'16'!F101</f>
        <v>5523</v>
      </c>
      <c r="F101" s="478">
        <v>5532</v>
      </c>
      <c r="G101" s="473">
        <f t="shared" si="8"/>
        <v>9</v>
      </c>
      <c r="H101" s="460">
        <f>G101+'16'!H101</f>
        <v>141</v>
      </c>
      <c r="I101" s="480"/>
      <c r="J101" s="552">
        <f>H101/DAY(B2)</f>
        <v>8.2941176470588243</v>
      </c>
      <c r="K101" s="380"/>
      <c r="L101" s="377"/>
      <c r="N101" s="719"/>
      <c r="O101" s="726"/>
      <c r="P101" s="382"/>
    </row>
    <row r="102" spans="1:16">
      <c r="A102" s="1531" t="s">
        <v>215</v>
      </c>
      <c r="B102" s="1532"/>
      <c r="C102" s="1533"/>
      <c r="D102" s="524"/>
      <c r="E102" s="484"/>
      <c r="F102" s="524"/>
      <c r="G102" s="525">
        <f>SUM(G96:G101)</f>
        <v>123</v>
      </c>
      <c r="H102" s="460">
        <f>G102+'16'!H102</f>
        <v>1914</v>
      </c>
      <c r="I102" s="526"/>
      <c r="J102" s="552">
        <f>H102/DAY(B2)</f>
        <v>112.58823529411765</v>
      </c>
      <c r="K102" s="380"/>
      <c r="L102" s="377"/>
      <c r="N102" s="719"/>
      <c r="O102" s="726"/>
      <c r="P102" s="382"/>
    </row>
    <row r="103" spans="1:16" s="442" customFormat="1" ht="27">
      <c r="A103" s="607" t="s">
        <v>216</v>
      </c>
      <c r="B103" s="608"/>
      <c r="C103" s="608"/>
      <c r="D103" s="621"/>
      <c r="E103" s="484"/>
      <c r="F103" s="658"/>
      <c r="G103" s="529"/>
      <c r="H103" s="530"/>
      <c r="I103" s="531"/>
      <c r="J103" s="557"/>
      <c r="N103" s="719"/>
      <c r="O103" s="726"/>
      <c r="P103" s="382"/>
    </row>
    <row r="104" spans="1:16" s="442" customFormat="1" ht="27.75">
      <c r="A104" s="1540" t="s">
        <v>217</v>
      </c>
      <c r="B104" s="1541"/>
      <c r="C104" s="573"/>
      <c r="D104" s="622"/>
      <c r="E104" s="484"/>
      <c r="F104" s="659"/>
      <c r="G104" s="532"/>
      <c r="H104" s="533"/>
      <c r="I104" s="532"/>
      <c r="J104" s="558"/>
      <c r="N104" s="719"/>
      <c r="O104" s="726"/>
      <c r="P104" s="382"/>
    </row>
    <row r="105" spans="1:16" s="442" customFormat="1" ht="27.75">
      <c r="A105" s="1542" t="s">
        <v>218</v>
      </c>
      <c r="B105" s="1543"/>
      <c r="C105" s="1223"/>
      <c r="D105" s="622" t="s">
        <v>143</v>
      </c>
      <c r="E105" s="484">
        <f>'16'!F105</f>
        <v>7473</v>
      </c>
      <c r="F105" s="659">
        <v>7473</v>
      </c>
      <c r="G105" s="532">
        <f>F105-E105</f>
        <v>0</v>
      </c>
      <c r="H105" s="533">
        <f>SUM(G105+'1'!G76)</f>
        <v>57</v>
      </c>
      <c r="I105" s="532"/>
      <c r="J105" s="558">
        <f>H105/DAY(B2)</f>
        <v>3.3529411764705883</v>
      </c>
      <c r="N105" s="719"/>
      <c r="O105" s="726"/>
      <c r="P105" s="382"/>
    </row>
    <row r="106" spans="1:16" s="442" customFormat="1" ht="27.75">
      <c r="A106" s="1542" t="s">
        <v>76</v>
      </c>
      <c r="B106" s="1543"/>
      <c r="C106" s="1223"/>
      <c r="D106" s="622" t="s">
        <v>143</v>
      </c>
      <c r="E106" s="484">
        <f>'16'!F106</f>
        <v>36033</v>
      </c>
      <c r="F106" s="660">
        <v>36053</v>
      </c>
      <c r="G106" s="532">
        <f t="shared" ref="G106:G107" si="9">F106-E106</f>
        <v>20</v>
      </c>
      <c r="H106" s="533">
        <f>SUM(G106+'1'!G77)</f>
        <v>69</v>
      </c>
      <c r="I106" s="532"/>
      <c r="J106" s="558">
        <f>H106/DAY(B2)</f>
        <v>4.0588235294117645</v>
      </c>
      <c r="N106" s="719"/>
      <c r="O106" s="726"/>
      <c r="P106" s="382"/>
    </row>
    <row r="107" spans="1:16" s="442" customFormat="1" ht="27.75">
      <c r="A107" s="1542" t="s">
        <v>77</v>
      </c>
      <c r="B107" s="1544"/>
      <c r="C107" s="1543"/>
      <c r="D107" s="622" t="s">
        <v>143</v>
      </c>
      <c r="E107" s="484">
        <f>'16'!F107</f>
        <v>19769</v>
      </c>
      <c r="F107" s="784">
        <v>19767</v>
      </c>
      <c r="G107" s="532">
        <f t="shared" si="9"/>
        <v>-2</v>
      </c>
      <c r="H107" s="533">
        <f>SUM(G107+'1'!G78)</f>
        <v>53</v>
      </c>
      <c r="I107" s="532"/>
      <c r="J107" s="558">
        <f>H107/DAY(B2)</f>
        <v>3.1176470588235294</v>
      </c>
      <c r="N107" s="719"/>
      <c r="O107" s="726"/>
      <c r="P107" s="382"/>
    </row>
    <row r="108" spans="1:16" s="442" customFormat="1" ht="27.75">
      <c r="A108" s="1545" t="s">
        <v>201</v>
      </c>
      <c r="B108" s="1546"/>
      <c r="C108" s="1223"/>
      <c r="D108" s="622"/>
      <c r="E108" s="484">
        <f>'16'!F108</f>
        <v>0</v>
      </c>
      <c r="F108" s="660"/>
      <c r="G108" s="532">
        <f>SUM(G105:G107)</f>
        <v>18</v>
      </c>
      <c r="H108" s="533">
        <f>SUM(G108+'1'!G79)</f>
        <v>173</v>
      </c>
      <c r="I108" s="532"/>
      <c r="J108" s="558">
        <f>H108/DAY(B2)</f>
        <v>10.176470588235293</v>
      </c>
      <c r="N108" s="719"/>
      <c r="O108" s="726"/>
      <c r="P108" s="382"/>
    </row>
    <row r="109" spans="1:16" s="442" customFormat="1" ht="27.75">
      <c r="A109" s="1547" t="s">
        <v>78</v>
      </c>
      <c r="B109" s="1548"/>
      <c r="C109" s="1223"/>
      <c r="D109" s="622" t="s">
        <v>143</v>
      </c>
      <c r="E109" s="484">
        <f>'16'!F109</f>
        <v>0</v>
      </c>
      <c r="F109" s="660"/>
      <c r="G109" s="532"/>
      <c r="H109" s="533"/>
      <c r="I109" s="532"/>
      <c r="J109" s="558"/>
      <c r="N109" s="719"/>
      <c r="O109" s="726"/>
      <c r="P109" s="382"/>
    </row>
    <row r="110" spans="1:16" s="442" customFormat="1" ht="27.75">
      <c r="A110" s="1542" t="s">
        <v>219</v>
      </c>
      <c r="B110" s="1543"/>
      <c r="C110" s="1223"/>
      <c r="D110" s="622" t="s">
        <v>143</v>
      </c>
      <c r="E110" s="484">
        <f>'16'!F110</f>
        <v>63771</v>
      </c>
      <c r="F110" s="660">
        <v>63832</v>
      </c>
      <c r="G110" s="532">
        <f>F110-E110</f>
        <v>61</v>
      </c>
      <c r="H110" s="533">
        <f>SUM(G110+'1'!G81)</f>
        <v>155</v>
      </c>
      <c r="I110" s="532"/>
      <c r="J110" s="558">
        <f>H110/DAY(B2)</f>
        <v>9.117647058823529</v>
      </c>
      <c r="N110" s="719"/>
      <c r="O110" s="726"/>
      <c r="P110" s="382"/>
    </row>
    <row r="111" spans="1:16" s="442" customFormat="1" ht="27.75">
      <c r="A111" s="1542" t="s">
        <v>220</v>
      </c>
      <c r="B111" s="1543"/>
      <c r="C111" s="1223"/>
      <c r="D111" s="622" t="s">
        <v>143</v>
      </c>
      <c r="E111" s="484">
        <f>'16'!F111</f>
        <v>32710</v>
      </c>
      <c r="F111" s="660">
        <v>32720</v>
      </c>
      <c r="G111" s="532">
        <f t="shared" ref="G111:G112" si="10">F111-E111</f>
        <v>10</v>
      </c>
      <c r="H111" s="533">
        <f>SUM(G111+'1'!G82)</f>
        <v>21</v>
      </c>
      <c r="I111" s="532"/>
      <c r="J111" s="558">
        <f>H111/DAY(B2)</f>
        <v>1.2352941176470589</v>
      </c>
      <c r="N111" s="719"/>
      <c r="O111" s="726"/>
      <c r="P111" s="382"/>
    </row>
    <row r="112" spans="1:16" s="442" customFormat="1" ht="27.75">
      <c r="A112" s="1542" t="s">
        <v>221</v>
      </c>
      <c r="B112" s="1543"/>
      <c r="C112" s="1223"/>
      <c r="D112" s="622" t="s">
        <v>143</v>
      </c>
      <c r="E112" s="484">
        <f>'16'!F112</f>
        <v>4621</v>
      </c>
      <c r="F112" s="660">
        <v>4621</v>
      </c>
      <c r="G112" s="532">
        <f t="shared" si="10"/>
        <v>0</v>
      </c>
      <c r="H112" s="533">
        <f>SUM(G112+'1'!G83)</f>
        <v>152</v>
      </c>
      <c r="I112" s="532"/>
      <c r="J112" s="558">
        <f>H112/DAY(B2)</f>
        <v>8.9411764705882355</v>
      </c>
      <c r="N112" s="719"/>
      <c r="O112" s="726"/>
      <c r="P112" s="382"/>
    </row>
    <row r="113" spans="1:16" s="442" customFormat="1" ht="27.75">
      <c r="A113" s="1545" t="s">
        <v>109</v>
      </c>
      <c r="B113" s="1546"/>
      <c r="C113" s="1223"/>
      <c r="D113" s="622"/>
      <c r="E113" s="484">
        <f>'16'!F113</f>
        <v>0</v>
      </c>
      <c r="F113" s="660"/>
      <c r="G113" s="532">
        <f>SUM(G110:G112)</f>
        <v>71</v>
      </c>
      <c r="H113" s="533">
        <f>SUM(G113+'1'!G84)</f>
        <v>898</v>
      </c>
      <c r="I113" s="532"/>
      <c r="J113" s="558">
        <f>H113/DAY(B2)</f>
        <v>52.823529411764703</v>
      </c>
      <c r="N113" s="719"/>
      <c r="O113" s="726"/>
      <c r="P113" s="382"/>
    </row>
    <row r="114" spans="1:16" s="442" customFormat="1" ht="27.75">
      <c r="A114" s="1547" t="s">
        <v>222</v>
      </c>
      <c r="B114" s="1548"/>
      <c r="C114" s="1223"/>
      <c r="D114" s="622"/>
      <c r="E114" s="484">
        <f>'16'!F114</f>
        <v>0</v>
      </c>
      <c r="F114" s="660"/>
      <c r="G114" s="532"/>
      <c r="H114" s="533"/>
      <c r="I114" s="532"/>
      <c r="J114" s="558">
        <f>H114/DAY(B2)</f>
        <v>0</v>
      </c>
      <c r="N114" s="719"/>
      <c r="O114" s="726"/>
      <c r="P114" s="382"/>
    </row>
    <row r="115" spans="1:16" s="442" customFormat="1" ht="27.75">
      <c r="A115" s="1542" t="s">
        <v>223</v>
      </c>
      <c r="B115" s="1543"/>
      <c r="C115" s="574"/>
      <c r="D115" s="622" t="s">
        <v>143</v>
      </c>
      <c r="E115" s="484">
        <f>'16'!F115</f>
        <v>11713</v>
      </c>
      <c r="F115" s="660">
        <v>11718</v>
      </c>
      <c r="G115" s="534">
        <f>F115-E115</f>
        <v>5</v>
      </c>
      <c r="H115" s="533">
        <f>SUM(G115+'1'!G92)</f>
        <v>5</v>
      </c>
      <c r="I115" s="532"/>
      <c r="J115" s="558">
        <f>H115/DAY(B2)</f>
        <v>0.29411764705882354</v>
      </c>
      <c r="N115" s="719"/>
      <c r="O115" s="726"/>
      <c r="P115" s="382"/>
    </row>
    <row r="116" spans="1:16" s="442" customFormat="1" ht="27.75">
      <c r="A116" s="1542" t="s">
        <v>224</v>
      </c>
      <c r="B116" s="1543"/>
      <c r="C116" s="574"/>
      <c r="D116" s="622" t="s">
        <v>143</v>
      </c>
      <c r="E116" s="484">
        <f>'16'!F116</f>
        <v>8431</v>
      </c>
      <c r="F116" s="660">
        <v>8437</v>
      </c>
      <c r="G116" s="534">
        <f t="shared" ref="G116:G117" si="11">F116-E116</f>
        <v>6</v>
      </c>
      <c r="H116" s="533">
        <f>SUM(G116+'1'!G93)</f>
        <v>24</v>
      </c>
      <c r="I116" s="532"/>
      <c r="J116" s="558">
        <f>H116/DAY(B2)</f>
        <v>1.411764705882353</v>
      </c>
      <c r="N116" s="719"/>
      <c r="O116" s="726"/>
      <c r="P116" s="382"/>
    </row>
    <row r="117" spans="1:16" s="442" customFormat="1" ht="27.75">
      <c r="A117" s="1542" t="s">
        <v>225</v>
      </c>
      <c r="B117" s="1543"/>
      <c r="C117" s="574"/>
      <c r="D117" s="622" t="s">
        <v>143</v>
      </c>
      <c r="E117" s="534"/>
      <c r="F117" s="660"/>
      <c r="G117" s="534">
        <f t="shared" si="11"/>
        <v>0</v>
      </c>
      <c r="H117" s="533">
        <f>SUM(G117+'1'!G94)</f>
        <v>58</v>
      </c>
      <c r="I117" s="532"/>
      <c r="J117" s="558">
        <f>H117/DAY(B2)</f>
        <v>3.4117647058823528</v>
      </c>
      <c r="N117" s="719"/>
      <c r="O117" s="726"/>
      <c r="P117" s="382"/>
    </row>
    <row r="118" spans="1:16" s="445" customFormat="1" ht="27.75">
      <c r="A118" s="1545" t="s">
        <v>201</v>
      </c>
      <c r="B118" s="1546"/>
      <c r="C118" s="574"/>
      <c r="D118" s="623"/>
      <c r="E118" s="534"/>
      <c r="F118" s="660"/>
      <c r="G118" s="534">
        <f>SUM(G115:G117)</f>
        <v>11</v>
      </c>
      <c r="H118" s="533">
        <f>SUM(G118+'1'!G96)</f>
        <v>51</v>
      </c>
      <c r="I118" s="534"/>
      <c r="J118" s="558">
        <f>H118/DAY(B2)</f>
        <v>3</v>
      </c>
      <c r="N118" s="719"/>
      <c r="O118" s="726"/>
      <c r="P118" s="382"/>
    </row>
    <row r="119" spans="1:16" s="446" customFormat="1" ht="27.75">
      <c r="A119" s="1576" t="s">
        <v>226</v>
      </c>
      <c r="B119" s="1577"/>
      <c r="C119" s="1221"/>
      <c r="D119" s="624" t="s">
        <v>143</v>
      </c>
      <c r="E119" s="536"/>
      <c r="F119" s="661">
        <f>SUM(G19+G93)</f>
        <v>119</v>
      </c>
      <c r="G119" s="536">
        <f>SUM(G19+G93)</f>
        <v>119</v>
      </c>
      <c r="H119" s="533">
        <f>SUM(G119+'1'!G97)</f>
        <v>132</v>
      </c>
      <c r="I119" s="535"/>
      <c r="J119" s="559">
        <f>H119/DAY(B2)</f>
        <v>7.7647058823529411</v>
      </c>
      <c r="N119" s="719"/>
      <c r="O119" s="726"/>
      <c r="P119" s="382"/>
    </row>
    <row r="120" spans="1:16" s="446" customFormat="1" ht="27.75">
      <c r="A120" s="1576" t="s">
        <v>227</v>
      </c>
      <c r="B120" s="1577"/>
      <c r="C120" s="1221"/>
      <c r="D120" s="624" t="s">
        <v>143</v>
      </c>
      <c r="E120" s="536"/>
      <c r="F120" s="661">
        <f>SUM(G96,G97,G98,G100,G101)</f>
        <v>117</v>
      </c>
      <c r="G120" s="536">
        <f>SUM(G96,G97,G98,G100,G101)</f>
        <v>117</v>
      </c>
      <c r="H120" s="533">
        <f>SUM(G120+'1'!G99)</f>
        <v>124</v>
      </c>
      <c r="I120" s="535"/>
      <c r="J120" s="559">
        <f>H120/DAY(B2)</f>
        <v>7.2941176470588234</v>
      </c>
      <c r="N120" s="719"/>
      <c r="O120" s="726"/>
      <c r="P120" s="382"/>
    </row>
    <row r="121" spans="1:16" s="446" customFormat="1" ht="27.75">
      <c r="A121" s="1576" t="s">
        <v>228</v>
      </c>
      <c r="B121" s="1577"/>
      <c r="C121" s="1221"/>
      <c r="D121" s="624" t="s">
        <v>143</v>
      </c>
      <c r="E121" s="534"/>
      <c r="F121" s="660">
        <f>SUM(G113)</f>
        <v>71</v>
      </c>
      <c r="G121" s="534">
        <f>SUM(G113)</f>
        <v>71</v>
      </c>
      <c r="H121" s="533">
        <f>SUM(G121+'1'!G101)</f>
        <v>75</v>
      </c>
      <c r="I121" s="535"/>
      <c r="J121" s="559">
        <f>H121/DAY(B2)</f>
        <v>4.4117647058823533</v>
      </c>
      <c r="N121" s="719"/>
      <c r="O121" s="726"/>
      <c r="P121" s="382"/>
    </row>
    <row r="122" spans="1:16" s="442" customFormat="1" ht="27.75">
      <c r="A122" s="1578"/>
      <c r="B122" s="1579"/>
      <c r="C122" s="1222"/>
      <c r="D122" s="560"/>
      <c r="E122" s="560"/>
      <c r="F122" s="662" t="s">
        <v>214</v>
      </c>
      <c r="G122" s="560"/>
      <c r="H122" s="561"/>
      <c r="I122" s="560"/>
      <c r="J122" s="562"/>
      <c r="N122" s="719"/>
      <c r="O122" s="726"/>
      <c r="P122" s="382"/>
    </row>
    <row r="123" spans="1:16">
      <c r="A123" s="1528" t="s">
        <v>229</v>
      </c>
      <c r="B123" s="1529"/>
      <c r="C123" s="1530"/>
      <c r="D123" s="472"/>
      <c r="E123" s="472"/>
      <c r="F123" s="472"/>
      <c r="G123" s="483"/>
      <c r="H123" s="483"/>
      <c r="I123" s="483"/>
      <c r="J123" s="563"/>
      <c r="K123" s="380"/>
      <c r="L123" s="377"/>
      <c r="N123" s="719"/>
      <c r="O123" s="726"/>
      <c r="P123" s="382"/>
    </row>
    <row r="124" spans="1:16" ht="27.75">
      <c r="A124" s="1224" t="s">
        <v>230</v>
      </c>
      <c r="B124" s="1225"/>
      <c r="C124" s="1225"/>
      <c r="D124" s="523" t="s">
        <v>140</v>
      </c>
      <c r="E124" s="478">
        <f>'16'!F124</f>
        <v>835712.66</v>
      </c>
      <c r="F124" s="478">
        <v>836015.84</v>
      </c>
      <c r="G124" s="473">
        <f t="shared" ref="G124:G128" si="12">F124-E124</f>
        <v>303.17999999993481</v>
      </c>
      <c r="H124" s="460">
        <f>G124+'16'!H124</f>
        <v>3649.8399999999674</v>
      </c>
      <c r="I124" s="526"/>
      <c r="J124" s="552">
        <f>H124/DAY(B2)</f>
        <v>214.69647058823338</v>
      </c>
      <c r="K124" s="380"/>
      <c r="L124" s="377"/>
      <c r="N124" s="719"/>
      <c r="O124" s="726"/>
      <c r="P124" s="382"/>
    </row>
    <row r="125" spans="1:16" ht="27.75">
      <c r="A125" s="1224" t="s">
        <v>231</v>
      </c>
      <c r="B125" s="1225"/>
      <c r="C125" s="1225"/>
      <c r="D125" s="523" t="s">
        <v>140</v>
      </c>
      <c r="E125" s="626">
        <f>'16'!F125</f>
        <v>73583.399999999994</v>
      </c>
      <c r="F125" s="626">
        <v>73583.399999999994</v>
      </c>
      <c r="G125" s="473">
        <f t="shared" si="12"/>
        <v>0</v>
      </c>
      <c r="H125" s="460">
        <f>G125+'16'!H125</f>
        <v>0</v>
      </c>
      <c r="I125" s="526"/>
      <c r="J125" s="552">
        <f>H125/DAY(B2)</f>
        <v>0</v>
      </c>
      <c r="K125" s="380"/>
      <c r="L125" s="377"/>
      <c r="N125" s="719"/>
      <c r="O125" s="726"/>
      <c r="P125" s="382"/>
    </row>
    <row r="126" spans="1:16" ht="27.75">
      <c r="A126" s="1534" t="s">
        <v>232</v>
      </c>
      <c r="B126" s="1535"/>
      <c r="C126" s="1536"/>
      <c r="D126" s="523" t="s">
        <v>140</v>
      </c>
      <c r="E126" s="478">
        <f>'16'!F126</f>
        <v>147506.38</v>
      </c>
      <c r="F126" s="478">
        <v>147575.88</v>
      </c>
      <c r="G126" s="473">
        <f t="shared" si="12"/>
        <v>69.5</v>
      </c>
      <c r="H126" s="460">
        <f>G126+'16'!H126</f>
        <v>1084.8800000000047</v>
      </c>
      <c r="I126" s="526"/>
      <c r="J126" s="552">
        <f>H126/DAY(B2)</f>
        <v>63.816470588235568</v>
      </c>
      <c r="K126" s="380"/>
      <c r="L126" s="377"/>
      <c r="N126" s="719"/>
      <c r="O126" s="726"/>
      <c r="P126" s="382"/>
    </row>
    <row r="127" spans="1:16" ht="27.75">
      <c r="A127" s="609" t="s">
        <v>233</v>
      </c>
      <c r="B127" s="1225"/>
      <c r="C127" s="1225"/>
      <c r="D127" s="523" t="s">
        <v>140</v>
      </c>
      <c r="E127" s="626">
        <f>'16'!F127</f>
        <v>31561.200000000001</v>
      </c>
      <c r="F127" s="626">
        <v>31591.200000000001</v>
      </c>
      <c r="G127" s="473">
        <f t="shared" si="12"/>
        <v>30</v>
      </c>
      <c r="H127" s="460">
        <f>G127+'16'!H127</f>
        <v>185.20000000000073</v>
      </c>
      <c r="I127" s="526"/>
      <c r="J127" s="552">
        <f>H127/DAY(B2)</f>
        <v>10.894117647058867</v>
      </c>
      <c r="K127" s="380"/>
      <c r="L127" s="377"/>
      <c r="N127" s="719"/>
      <c r="O127" s="726"/>
      <c r="P127" s="382"/>
    </row>
    <row r="128" spans="1:16" ht="27.75">
      <c r="A128" s="609" t="s">
        <v>234</v>
      </c>
      <c r="B128" s="1225"/>
      <c r="C128" s="1225"/>
      <c r="D128" s="523" t="s">
        <v>140</v>
      </c>
      <c r="E128" s="626">
        <f>'16'!F128</f>
        <v>8976.2999999999993</v>
      </c>
      <c r="F128" s="626">
        <v>8976.4</v>
      </c>
      <c r="G128" s="473">
        <f t="shared" si="12"/>
        <v>0.1000000000003638</v>
      </c>
      <c r="H128" s="460">
        <f>G128+'16'!H128</f>
        <v>4.3999999999996362</v>
      </c>
      <c r="I128" s="480"/>
      <c r="J128" s="552">
        <f>H128/DAY(B2)</f>
        <v>0.2588235294117433</v>
      </c>
      <c r="K128" s="380"/>
      <c r="L128" s="377"/>
      <c r="N128" s="719"/>
      <c r="O128" s="726"/>
      <c r="P128" s="382"/>
    </row>
    <row r="129" spans="1:16" s="281" customFormat="1" ht="27.75">
      <c r="A129" s="609" t="s">
        <v>235</v>
      </c>
      <c r="B129" s="1225"/>
      <c r="C129" s="1225"/>
      <c r="D129" s="523"/>
      <c r="E129" s="478"/>
      <c r="F129" s="478"/>
      <c r="G129" s="473">
        <f>G15-SUM(G124:G128)</f>
        <v>430.9980000002306</v>
      </c>
      <c r="H129" s="460">
        <f>G129+'16'!H129</f>
        <v>546.52300000013747</v>
      </c>
      <c r="I129" s="480"/>
      <c r="J129" s="552">
        <f>H129/DAY(B2)</f>
        <v>32.14841176471397</v>
      </c>
      <c r="K129" s="364"/>
      <c r="L129" s="292"/>
      <c r="N129" s="719"/>
      <c r="O129" s="726"/>
      <c r="P129" s="382"/>
    </row>
    <row r="130" spans="1:16">
      <c r="A130" s="610" t="s">
        <v>236</v>
      </c>
      <c r="B130" s="458"/>
      <c r="C130" s="458"/>
      <c r="D130" s="471"/>
      <c r="E130" s="471"/>
      <c r="F130" s="471"/>
      <c r="G130" s="540"/>
      <c r="H130" s="540"/>
      <c r="I130" s="540"/>
      <c r="J130" s="564"/>
      <c r="N130" s="719"/>
      <c r="O130" s="726"/>
      <c r="P130" s="382"/>
    </row>
    <row r="131" spans="1:16" ht="27.75">
      <c r="A131" s="1224" t="s">
        <v>237</v>
      </c>
      <c r="B131" s="1225"/>
      <c r="C131" s="1225"/>
      <c r="D131" s="523" t="s">
        <v>238</v>
      </c>
      <c r="E131" s="484">
        <f>'16'!F131</f>
        <v>0</v>
      </c>
      <c r="F131" s="478">
        <v>0</v>
      </c>
      <c r="G131" s="473">
        <f t="shared" ref="G131:G141" si="13">F131-E131</f>
        <v>0</v>
      </c>
      <c r="H131" s="460">
        <f>G131+'16'!H131</f>
        <v>0</v>
      </c>
      <c r="I131" s="480"/>
      <c r="J131" s="552">
        <f>H131/DAY(B2)</f>
        <v>0</v>
      </c>
      <c r="N131" s="719"/>
      <c r="O131" s="726"/>
      <c r="P131" s="382"/>
    </row>
    <row r="132" spans="1:16" ht="27.75">
      <c r="A132" s="1224" t="s">
        <v>239</v>
      </c>
      <c r="B132" s="1225"/>
      <c r="C132" s="1225"/>
      <c r="D132" s="523" t="s">
        <v>238</v>
      </c>
      <c r="E132" s="484">
        <f>'16'!F132</f>
        <v>0</v>
      </c>
      <c r="F132" s="478">
        <v>0</v>
      </c>
      <c r="G132" s="473">
        <f t="shared" si="13"/>
        <v>0</v>
      </c>
      <c r="H132" s="460">
        <f>G132+'16'!H132</f>
        <v>0</v>
      </c>
      <c r="I132" s="480"/>
      <c r="J132" s="552">
        <f>H132/DAY(B2)</f>
        <v>0</v>
      </c>
      <c r="N132" s="719"/>
      <c r="O132" s="726"/>
      <c r="P132" s="382"/>
    </row>
    <row r="133" spans="1:16" ht="27.75">
      <c r="A133" s="1224" t="s">
        <v>240</v>
      </c>
      <c r="B133" s="1225"/>
      <c r="C133" s="1225"/>
      <c r="D133" s="523" t="s">
        <v>238</v>
      </c>
      <c r="E133" s="541">
        <f>'16'!F133</f>
        <v>40266.31</v>
      </c>
      <c r="F133" s="652">
        <v>40284</v>
      </c>
      <c r="G133" s="473">
        <f>F133-E133</f>
        <v>17.690000000002328</v>
      </c>
      <c r="H133" s="460">
        <f>G133+'16'!H133</f>
        <v>248.90000000000146</v>
      </c>
      <c r="I133" s="480"/>
      <c r="J133" s="552">
        <f>H133/DAY(B2)</f>
        <v>14.64117647058832</v>
      </c>
      <c r="N133" s="719"/>
      <c r="O133" s="726"/>
      <c r="P133" s="382"/>
    </row>
    <row r="134" spans="1:16" ht="27.75">
      <c r="A134" s="1224" t="s">
        <v>241</v>
      </c>
      <c r="B134" s="1225"/>
      <c r="C134" s="1225"/>
      <c r="D134" s="523" t="s">
        <v>238</v>
      </c>
      <c r="E134" s="702">
        <f>'16'!F134</f>
        <v>300</v>
      </c>
      <c r="F134" s="626">
        <v>300</v>
      </c>
      <c r="G134" s="473">
        <f t="shared" si="13"/>
        <v>0</v>
      </c>
      <c r="H134" s="460">
        <f>G134+'16'!H134</f>
        <v>0</v>
      </c>
      <c r="I134" s="480">
        <f>G131+G132+G133+G134</f>
        <v>17.690000000002328</v>
      </c>
      <c r="J134" s="552">
        <f>H134/DAY(B2)</f>
        <v>0</v>
      </c>
      <c r="N134" s="719"/>
      <c r="O134" s="726"/>
      <c r="P134" s="382"/>
    </row>
    <row r="135" spans="1:16" ht="27.75">
      <c r="A135" s="1224" t="s">
        <v>242</v>
      </c>
      <c r="B135" s="1225"/>
      <c r="C135" s="1225"/>
      <c r="D135" s="523" t="s">
        <v>238</v>
      </c>
      <c r="E135" s="702">
        <f>'16'!F135</f>
        <v>41743</v>
      </c>
      <c r="F135" s="626">
        <v>41751.269999999997</v>
      </c>
      <c r="G135" s="473">
        <f t="shared" si="13"/>
        <v>8.2699999999967986</v>
      </c>
      <c r="H135" s="460">
        <f>G135+'16'!H135</f>
        <v>21.269999999996799</v>
      </c>
      <c r="I135" s="480"/>
      <c r="J135" s="552">
        <f>H135/DAY(B2)</f>
        <v>1.251176470588047</v>
      </c>
      <c r="N135" s="719"/>
      <c r="O135" s="726"/>
      <c r="P135" s="382"/>
    </row>
    <row r="136" spans="1:16" ht="27.75">
      <c r="A136" s="1224" t="s">
        <v>243</v>
      </c>
      <c r="B136" s="1225"/>
      <c r="C136" s="1225"/>
      <c r="D136" s="523" t="s">
        <v>238</v>
      </c>
      <c r="E136" s="541">
        <f>'16'!F136</f>
        <v>32874</v>
      </c>
      <c r="F136" s="652">
        <v>32874</v>
      </c>
      <c r="G136" s="473">
        <f t="shared" si="13"/>
        <v>0</v>
      </c>
      <c r="H136" s="460">
        <f>G136+'16'!H136</f>
        <v>159</v>
      </c>
      <c r="I136" s="480"/>
      <c r="J136" s="552">
        <f>H136/DAY(B2)</f>
        <v>9.3529411764705888</v>
      </c>
      <c r="N136" s="719"/>
      <c r="O136" s="726"/>
      <c r="P136" s="382"/>
    </row>
    <row r="137" spans="1:16" ht="27.75">
      <c r="A137" s="1224" t="s">
        <v>244</v>
      </c>
      <c r="B137" s="1225"/>
      <c r="C137" s="1225"/>
      <c r="D137" s="523" t="s">
        <v>238</v>
      </c>
      <c r="E137" s="541">
        <f>'16'!F137</f>
        <v>22850.49</v>
      </c>
      <c r="F137" s="652">
        <v>22859.1</v>
      </c>
      <c r="G137" s="473">
        <f t="shared" si="13"/>
        <v>8.6099999999969441</v>
      </c>
      <c r="H137" s="460">
        <f>G137+'16'!H137</f>
        <v>51.859999999996944</v>
      </c>
      <c r="I137" s="480">
        <f>G135+G136+G137</f>
        <v>16.879999999993743</v>
      </c>
      <c r="J137" s="552">
        <f>H137/DAY(B2)</f>
        <v>3.050588235293938</v>
      </c>
      <c r="N137" s="719"/>
      <c r="O137" s="726"/>
      <c r="P137" s="382"/>
    </row>
    <row r="138" spans="1:16" ht="27.75">
      <c r="A138" s="1224" t="s">
        <v>245</v>
      </c>
      <c r="B138" s="1225"/>
      <c r="C138" s="1225"/>
      <c r="D138" s="523" t="s">
        <v>238</v>
      </c>
      <c r="E138" s="541">
        <f>'16'!F138</f>
        <v>25051.82</v>
      </c>
      <c r="F138" s="652">
        <v>25051.82</v>
      </c>
      <c r="G138" s="473">
        <f t="shared" si="13"/>
        <v>0</v>
      </c>
      <c r="H138" s="460">
        <f>G138+'16'!H138</f>
        <v>0</v>
      </c>
      <c r="I138" s="480"/>
      <c r="J138" s="552">
        <f>H138/DAY(B2)</f>
        <v>0</v>
      </c>
      <c r="N138" s="719"/>
      <c r="O138" s="726"/>
      <c r="P138" s="382"/>
    </row>
    <row r="139" spans="1:16" ht="27.75">
      <c r="A139" s="1224" t="s">
        <v>246</v>
      </c>
      <c r="B139" s="1225"/>
      <c r="C139" s="1225"/>
      <c r="D139" s="523" t="s">
        <v>238</v>
      </c>
      <c r="E139" s="541">
        <f>'16'!F139</f>
        <v>70470.63</v>
      </c>
      <c r="F139" s="652">
        <v>70470.63</v>
      </c>
      <c r="G139" s="473">
        <f t="shared" si="13"/>
        <v>0</v>
      </c>
      <c r="H139" s="460">
        <f>G139+'16'!H139</f>
        <v>58.889999999999418</v>
      </c>
      <c r="I139" s="480">
        <f>G138+G139</f>
        <v>0</v>
      </c>
      <c r="J139" s="552">
        <f>H139/DAY(B2)</f>
        <v>3.4641176470587891</v>
      </c>
      <c r="N139" s="719"/>
      <c r="O139" s="726"/>
      <c r="P139" s="382"/>
    </row>
    <row r="140" spans="1:16" ht="27.75">
      <c r="A140" s="1224" t="s">
        <v>247</v>
      </c>
      <c r="B140" s="1225"/>
      <c r="C140" s="1225"/>
      <c r="D140" s="523" t="s">
        <v>238</v>
      </c>
      <c r="E140" s="702">
        <f>'16'!F140</f>
        <v>1982.12</v>
      </c>
      <c r="F140" s="626">
        <v>1993.42</v>
      </c>
      <c r="G140" s="473">
        <f t="shared" si="13"/>
        <v>11.300000000000182</v>
      </c>
      <c r="H140" s="460">
        <f>G140+'16'!H140</f>
        <v>139.12000000000012</v>
      </c>
      <c r="I140" s="542"/>
      <c r="J140" s="552">
        <f>H140/DAY(B2)</f>
        <v>8.183529411764713</v>
      </c>
      <c r="N140" s="719"/>
      <c r="O140" s="726"/>
      <c r="P140" s="382"/>
    </row>
    <row r="141" spans="1:16" ht="27.75">
      <c r="A141" s="1224" t="s">
        <v>248</v>
      </c>
      <c r="B141" s="1225"/>
      <c r="C141" s="1225"/>
      <c r="D141" s="523" t="s">
        <v>238</v>
      </c>
      <c r="E141" s="484">
        <f>'16'!F141</f>
        <v>4636.88</v>
      </c>
      <c r="F141" s="478">
        <v>4636.88</v>
      </c>
      <c r="G141" s="473">
        <f t="shared" si="13"/>
        <v>0</v>
      </c>
      <c r="H141" s="460">
        <f>G141+'16'!H141</f>
        <v>-0.11999999999989086</v>
      </c>
      <c r="I141" s="542"/>
      <c r="J141" s="552">
        <f>H141/DAY(B2)</f>
        <v>-7.0588235294053447E-3</v>
      </c>
      <c r="N141" s="719"/>
      <c r="O141" s="726"/>
      <c r="P141" s="382"/>
    </row>
    <row r="142" spans="1:16">
      <c r="A142" s="1572" t="s">
        <v>249</v>
      </c>
      <c r="B142" s="1573"/>
      <c r="C142" s="1230"/>
      <c r="D142" s="472"/>
      <c r="E142" s="472"/>
      <c r="F142" s="472"/>
      <c r="G142" s="483"/>
      <c r="H142" s="483"/>
      <c r="I142" s="483"/>
      <c r="J142" s="563"/>
      <c r="K142" s="380"/>
      <c r="L142" s="377"/>
      <c r="N142" s="719"/>
      <c r="O142" s="726"/>
      <c r="P142" s="382"/>
    </row>
    <row r="143" spans="1:16" ht="27.75">
      <c r="A143" s="1537" t="s">
        <v>250</v>
      </c>
      <c r="B143" s="1538"/>
      <c r="C143" s="1539"/>
      <c r="D143" s="523" t="s">
        <v>131</v>
      </c>
      <c r="E143" s="523"/>
      <c r="F143" s="523"/>
      <c r="G143" s="460">
        <v>3349</v>
      </c>
      <c r="H143" s="460">
        <f>G143+'16'!H143</f>
        <v>81397.250000000044</v>
      </c>
      <c r="I143" s="480"/>
      <c r="J143" s="552">
        <f>H143/DAY(B2)</f>
        <v>4788.0735294117676</v>
      </c>
      <c r="K143" s="380"/>
      <c r="L143" s="377"/>
      <c r="N143" s="719"/>
      <c r="O143" s="726"/>
      <c r="P143" s="382"/>
    </row>
    <row r="144" spans="1:16" ht="27.75">
      <c r="A144" s="1537" t="s">
        <v>251</v>
      </c>
      <c r="B144" s="1538"/>
      <c r="C144" s="1539"/>
      <c r="D144" s="523" t="s">
        <v>24</v>
      </c>
      <c r="E144" s="511"/>
      <c r="F144" s="511"/>
      <c r="G144" s="543">
        <f>G143/G7</f>
        <v>0.175066440563141</v>
      </c>
      <c r="H144" s="460">
        <f>G144+'16'!H144</f>
        <v>4.5746463777387474</v>
      </c>
      <c r="I144" s="544"/>
      <c r="J144" s="552">
        <f>H144/DAY(B2)</f>
        <v>0.26909684574933807</v>
      </c>
      <c r="K144" s="380"/>
      <c r="L144" s="377"/>
      <c r="N144" s="719"/>
      <c r="O144" s="726"/>
      <c r="P144" s="382"/>
    </row>
    <row r="145" spans="1:16" ht="27.75">
      <c r="A145" s="1537" t="s">
        <v>252</v>
      </c>
      <c r="B145" s="1538"/>
      <c r="C145" s="1539"/>
      <c r="D145" s="523" t="s">
        <v>131</v>
      </c>
      <c r="E145" s="455"/>
      <c r="F145" s="455"/>
      <c r="G145" s="460">
        <f>G41+G42+G55+G56</f>
        <v>5676.4399999999587</v>
      </c>
      <c r="H145" s="460">
        <f>G145+'16'!H145</f>
        <v>89179.719999999987</v>
      </c>
      <c r="I145" s="480"/>
      <c r="J145" s="552">
        <f>H145/DAY(B2)</f>
        <v>5245.8658823529404</v>
      </c>
      <c r="K145" s="380"/>
      <c r="L145" s="377"/>
      <c r="N145" s="719"/>
      <c r="O145" s="726"/>
      <c r="P145" s="382"/>
    </row>
    <row r="146" spans="1:16" ht="27.75">
      <c r="A146" s="1537" t="s">
        <v>253</v>
      </c>
      <c r="B146" s="1538"/>
      <c r="C146" s="1539"/>
      <c r="D146" s="523" t="s">
        <v>24</v>
      </c>
      <c r="E146" s="455"/>
      <c r="F146" s="455"/>
      <c r="G146" s="543">
        <f>G145/G7</f>
        <v>0.29673160521655084</v>
      </c>
      <c r="H146" s="460">
        <f>G146+'16'!H146</f>
        <v>4.9806412482506346</v>
      </c>
      <c r="I146" s="544"/>
      <c r="J146" s="552">
        <f>H146/DAY(B2)</f>
        <v>0.29297889695591967</v>
      </c>
      <c r="K146" s="380"/>
      <c r="L146" s="377"/>
      <c r="N146" s="719"/>
      <c r="O146" s="726"/>
      <c r="P146" s="382"/>
    </row>
    <row r="147" spans="1:16" ht="27.75">
      <c r="A147" s="1537" t="s">
        <v>254</v>
      </c>
      <c r="B147" s="1538"/>
      <c r="C147" s="1539"/>
      <c r="D147" s="523" t="s">
        <v>131</v>
      </c>
      <c r="E147" s="455"/>
      <c r="F147" s="455"/>
      <c r="G147" s="460">
        <f>G39+G53</f>
        <v>3280.1699999999255</v>
      </c>
      <c r="H147" s="460">
        <f>G147+'16'!H147</f>
        <v>51552.659999999974</v>
      </c>
      <c r="I147" s="545"/>
      <c r="J147" s="552">
        <f>H147/DAY(B2)</f>
        <v>3032.5094117647045</v>
      </c>
      <c r="K147" s="380"/>
      <c r="L147" s="377"/>
      <c r="N147" s="719"/>
      <c r="O147" s="726"/>
      <c r="P147" s="382"/>
    </row>
    <row r="148" spans="1:16" ht="27.75">
      <c r="A148" s="1537" t="s">
        <v>255</v>
      </c>
      <c r="B148" s="1538"/>
      <c r="C148" s="1539"/>
      <c r="D148" s="523" t="s">
        <v>24</v>
      </c>
      <c r="E148" s="455"/>
      <c r="F148" s="455"/>
      <c r="G148" s="543">
        <f>G147/G7</f>
        <v>0.17146840440190658</v>
      </c>
      <c r="H148" s="460">
        <f>G148+'16'!H148</f>
        <v>2.8842498423876162</v>
      </c>
      <c r="I148" s="545"/>
      <c r="J148" s="552">
        <f>H148/DAY(B2)</f>
        <v>0.16966175543456566</v>
      </c>
      <c r="N148" s="719"/>
      <c r="O148" s="726"/>
      <c r="P148" s="382"/>
    </row>
    <row r="149" spans="1:16" ht="27.75">
      <c r="A149" s="1537" t="s">
        <v>256</v>
      </c>
      <c r="B149" s="1538"/>
      <c r="C149" s="1539"/>
      <c r="D149" s="523" t="s">
        <v>182</v>
      </c>
      <c r="E149" s="455"/>
      <c r="F149" s="455"/>
      <c r="G149" s="460">
        <f>G38+G52</f>
        <v>1378.820000000007</v>
      </c>
      <c r="H149" s="460">
        <f>G149+'16'!H149</f>
        <v>21588.199999999953</v>
      </c>
      <c r="I149" s="480"/>
      <c r="J149" s="552">
        <f>H149/DAY(B2)</f>
        <v>1269.8941176470562</v>
      </c>
      <c r="K149" s="381"/>
      <c r="N149" s="719"/>
      <c r="O149" s="726"/>
      <c r="P149" s="382"/>
    </row>
    <row r="150" spans="1:16" ht="27.75">
      <c r="A150" s="1537" t="s">
        <v>257</v>
      </c>
      <c r="B150" s="1538"/>
      <c r="C150" s="1539"/>
      <c r="D150" s="523" t="s">
        <v>24</v>
      </c>
      <c r="E150" s="455"/>
      <c r="F150" s="455"/>
      <c r="G150" s="543">
        <f>G149/G7</f>
        <v>7.2076772044571899E-2</v>
      </c>
      <c r="H150" s="460">
        <f>G150+'16'!H150</f>
        <v>1.2074755479398702</v>
      </c>
      <c r="I150" s="545"/>
      <c r="J150" s="552">
        <f>H150/DAY(B2)</f>
        <v>7.1027973408227654E-2</v>
      </c>
      <c r="N150" s="719"/>
      <c r="O150" s="726"/>
      <c r="P150" s="382"/>
    </row>
    <row r="151" spans="1:16" ht="27.75">
      <c r="A151" s="1537" t="s">
        <v>258</v>
      </c>
      <c r="B151" s="1538"/>
      <c r="C151" s="1539"/>
      <c r="D151" s="523" t="s">
        <v>182</v>
      </c>
      <c r="E151" s="455"/>
      <c r="F151" s="455"/>
      <c r="G151" s="460">
        <f>G36+G50</f>
        <v>1716.0300000000279</v>
      </c>
      <c r="H151" s="460">
        <f>G151+'16'!H151</f>
        <v>26564.020000000026</v>
      </c>
      <c r="I151" s="545"/>
      <c r="J151" s="552">
        <f>H151/DAY(B2)</f>
        <v>1562.5894117647074</v>
      </c>
      <c r="N151" s="719"/>
      <c r="O151" s="726"/>
      <c r="P151" s="382"/>
    </row>
    <row r="152" spans="1:16" ht="27.75">
      <c r="A152" s="1537" t="s">
        <v>259</v>
      </c>
      <c r="B152" s="1538"/>
      <c r="C152" s="1539"/>
      <c r="D152" s="523" t="s">
        <v>24</v>
      </c>
      <c r="E152" s="455"/>
      <c r="F152" s="455"/>
      <c r="G152" s="543">
        <f>G151/G7</f>
        <v>8.9704169602738651E-2</v>
      </c>
      <c r="H152" s="460">
        <f>G152+'16'!H152</f>
        <v>1.4836583646619568</v>
      </c>
      <c r="I152" s="480"/>
      <c r="J152" s="552">
        <f>H152/DAY(B2)</f>
        <v>8.7274021450703343E-2</v>
      </c>
      <c r="N152" s="719"/>
      <c r="O152" s="726"/>
      <c r="P152" s="382"/>
    </row>
    <row r="153" spans="1:16" ht="27.75">
      <c r="A153" s="1537" t="s">
        <v>260</v>
      </c>
      <c r="B153" s="1538"/>
      <c r="C153" s="1539"/>
      <c r="D153" s="523" t="s">
        <v>182</v>
      </c>
      <c r="E153" s="455"/>
      <c r="F153" s="455"/>
      <c r="G153" s="460">
        <f>G37+G51</f>
        <v>1431.4800000000105</v>
      </c>
      <c r="H153" s="460">
        <f>G153+'16'!H153</f>
        <v>23115.279999999999</v>
      </c>
      <c r="I153" s="480"/>
      <c r="J153" s="552">
        <f>H153/DAY(B2)</f>
        <v>1359.7223529411765</v>
      </c>
      <c r="N153" s="719"/>
      <c r="O153" s="726"/>
      <c r="P153" s="382"/>
    </row>
    <row r="154" spans="1:16" ht="28.5" thickBot="1">
      <c r="A154" s="1569" t="s">
        <v>261</v>
      </c>
      <c r="B154" s="1570"/>
      <c r="C154" s="1571"/>
      <c r="D154" s="625" t="s">
        <v>24</v>
      </c>
      <c r="E154" s="565"/>
      <c r="F154" s="565"/>
      <c r="G154" s="566">
        <f>G153/G7</f>
        <v>7.4829533692841718E-2</v>
      </c>
      <c r="H154" s="460">
        <f>G154+'16'!H154</f>
        <v>1.2975534363855328</v>
      </c>
      <c r="I154" s="568"/>
      <c r="J154" s="569">
        <f>H154/DAY(B2)</f>
        <v>7.6326672728560752E-2</v>
      </c>
      <c r="N154" s="719"/>
      <c r="O154" s="726"/>
      <c r="P154" s="382"/>
    </row>
    <row r="155" spans="1:16">
      <c r="A155" s="466"/>
      <c r="B155" s="456"/>
      <c r="C155" s="456"/>
      <c r="D155" s="546"/>
      <c r="E155" s="546"/>
      <c r="F155" s="663"/>
      <c r="G155" s="546"/>
      <c r="H155" s="547"/>
      <c r="I155" s="546"/>
      <c r="J155" s="548"/>
      <c r="N155" s="719"/>
    </row>
    <row r="156" spans="1:16">
      <c r="N156" s="719"/>
    </row>
    <row r="157" spans="1:16">
      <c r="N157" s="719"/>
    </row>
    <row r="158" spans="1:16">
      <c r="N158" s="719"/>
    </row>
    <row r="159" spans="1:16">
      <c r="N159" s="719"/>
    </row>
    <row r="160" spans="1:16">
      <c r="N160" s="719"/>
    </row>
    <row r="161" spans="1:14">
      <c r="A161" s="795" t="s">
        <v>262</v>
      </c>
      <c r="B161" s="796"/>
      <c r="C161" s="796"/>
      <c r="D161" s="620" t="s">
        <v>186</v>
      </c>
      <c r="E161" s="522">
        <f>'16'!F161</f>
        <v>39719.64</v>
      </c>
      <c r="F161" s="804">
        <v>39799.879999999997</v>
      </c>
      <c r="G161" s="473">
        <f t="shared" ref="G161:G164" si="14">F161-E161</f>
        <v>80.239999999997963</v>
      </c>
      <c r="N161" s="719"/>
    </row>
    <row r="162" spans="1:14">
      <c r="A162" s="795" t="s">
        <v>263</v>
      </c>
      <c r="B162" s="796"/>
      <c r="C162" s="796"/>
      <c r="D162" s="620" t="s">
        <v>186</v>
      </c>
      <c r="E162" s="522">
        <f>'16'!F162</f>
        <v>101503.63</v>
      </c>
      <c r="F162" s="804">
        <v>101956.39</v>
      </c>
      <c r="G162" s="473">
        <f t="shared" si="14"/>
        <v>452.75999999999476</v>
      </c>
      <c r="N162" s="719"/>
    </row>
    <row r="163" spans="1:14">
      <c r="A163" s="795" t="s">
        <v>264</v>
      </c>
      <c r="B163" s="796"/>
      <c r="C163" s="796"/>
      <c r="D163" s="620" t="s">
        <v>186</v>
      </c>
      <c r="E163" s="522">
        <f>'16'!F163</f>
        <v>48271.33</v>
      </c>
      <c r="F163" s="784">
        <v>48474.5</v>
      </c>
      <c r="G163" s="473">
        <f t="shared" si="14"/>
        <v>203.16999999999825</v>
      </c>
      <c r="N163" s="719"/>
    </row>
    <row r="164" spans="1:14">
      <c r="A164" s="795" t="s">
        <v>265</v>
      </c>
      <c r="B164" s="796"/>
      <c r="C164" s="796"/>
      <c r="D164" s="620" t="s">
        <v>186</v>
      </c>
      <c r="E164" s="522">
        <f>'16'!F164</f>
        <v>6710.01</v>
      </c>
      <c r="F164" s="804">
        <v>6720.43</v>
      </c>
      <c r="G164" s="473">
        <f t="shared" si="14"/>
        <v>10.420000000000073</v>
      </c>
      <c r="N164" s="719"/>
    </row>
    <row r="165" spans="1:14">
      <c r="A165" s="797" t="s">
        <v>97</v>
      </c>
      <c r="B165" s="798"/>
      <c r="C165" s="798"/>
      <c r="D165" s="620" t="s">
        <v>186</v>
      </c>
      <c r="E165" s="522">
        <f>E62</f>
        <v>20419.18</v>
      </c>
      <c r="F165" s="514">
        <f>F62</f>
        <v>20419</v>
      </c>
      <c r="G165" s="473">
        <f t="shared" ref="G165:G172" si="15">F165-E165</f>
        <v>-0.18000000000029104</v>
      </c>
      <c r="N165" s="719"/>
    </row>
    <row r="166" spans="1:14">
      <c r="A166" s="797" t="s">
        <v>187</v>
      </c>
      <c r="B166" s="798"/>
      <c r="C166" s="798"/>
      <c r="D166" s="620" t="s">
        <v>186</v>
      </c>
      <c r="E166" s="522">
        <f t="shared" ref="E166:E172" si="16">E63</f>
        <v>0</v>
      </c>
      <c r="F166" s="514">
        <f t="shared" ref="F166:F172" si="17">F63</f>
        <v>0</v>
      </c>
      <c r="G166" s="473">
        <f t="shared" si="15"/>
        <v>0</v>
      </c>
      <c r="N166" s="719"/>
    </row>
    <row r="167" spans="1:14" ht="27.75">
      <c r="A167" s="1599" t="s">
        <v>98</v>
      </c>
      <c r="B167" s="1599"/>
      <c r="C167" s="1599"/>
      <c r="D167" s="524" t="s">
        <v>186</v>
      </c>
      <c r="E167" s="522">
        <f t="shared" si="16"/>
        <v>164857.35</v>
      </c>
      <c r="F167" s="514">
        <f t="shared" si="17"/>
        <v>165201.93</v>
      </c>
      <c r="G167" s="473">
        <f t="shared" si="15"/>
        <v>344.57999999998719</v>
      </c>
      <c r="N167" s="719"/>
    </row>
    <row r="168" spans="1:14" ht="27.75">
      <c r="A168" s="1599" t="s">
        <v>99</v>
      </c>
      <c r="B168" s="1599"/>
      <c r="C168" s="1599"/>
      <c r="D168" s="524" t="s">
        <v>186</v>
      </c>
      <c r="E168" s="522">
        <f t="shared" si="16"/>
        <v>165153.25</v>
      </c>
      <c r="F168" s="514">
        <f>F65</f>
        <v>165495.54999999999</v>
      </c>
      <c r="G168" s="473">
        <f t="shared" si="15"/>
        <v>342.29999999998836</v>
      </c>
      <c r="N168" s="719"/>
    </row>
    <row r="169" spans="1:14" ht="27.75">
      <c r="A169" s="1599" t="s">
        <v>100</v>
      </c>
      <c r="B169" s="1599"/>
      <c r="C169" s="1599"/>
      <c r="D169" s="524" t="s">
        <v>186</v>
      </c>
      <c r="E169" s="522">
        <f t="shared" si="16"/>
        <v>62324.23</v>
      </c>
      <c r="F169" s="514">
        <f t="shared" si="17"/>
        <v>62655.67</v>
      </c>
      <c r="G169" s="473">
        <f t="shared" si="15"/>
        <v>331.43999999999505</v>
      </c>
      <c r="N169" s="719"/>
    </row>
    <row r="170" spans="1:14" ht="27.75">
      <c r="A170" s="1599" t="s">
        <v>101</v>
      </c>
      <c r="B170" s="1599"/>
      <c r="C170" s="1599"/>
      <c r="D170" s="524" t="s">
        <v>186</v>
      </c>
      <c r="E170" s="522">
        <f t="shared" si="16"/>
        <v>258634.39</v>
      </c>
      <c r="F170" s="514">
        <f t="shared" si="17"/>
        <v>259060.43</v>
      </c>
      <c r="G170" s="473">
        <f t="shared" si="15"/>
        <v>426.03999999997905</v>
      </c>
      <c r="N170" s="719"/>
    </row>
    <row r="171" spans="1:14" ht="27.75">
      <c r="A171" s="1599" t="s">
        <v>102</v>
      </c>
      <c r="B171" s="1599"/>
      <c r="C171" s="1599"/>
      <c r="D171" s="524" t="s">
        <v>186</v>
      </c>
      <c r="E171" s="522">
        <f t="shared" si="16"/>
        <v>85321</v>
      </c>
      <c r="F171" s="514">
        <f t="shared" si="17"/>
        <v>85321</v>
      </c>
      <c r="G171" s="473">
        <f t="shared" si="15"/>
        <v>0</v>
      </c>
      <c r="N171" s="719"/>
    </row>
    <row r="172" spans="1:14" ht="27.75">
      <c r="A172" s="1599" t="s">
        <v>103</v>
      </c>
      <c r="B172" s="1599"/>
      <c r="C172" s="1599"/>
      <c r="D172" s="524" t="s">
        <v>186</v>
      </c>
      <c r="E172" s="522">
        <f t="shared" si="16"/>
        <v>84160.27</v>
      </c>
      <c r="F172" s="514">
        <f t="shared" si="17"/>
        <v>84334.43</v>
      </c>
      <c r="G172" s="473">
        <f t="shared" si="15"/>
        <v>174.15999999998894</v>
      </c>
      <c r="N172" s="719"/>
    </row>
    <row r="173" spans="1:14">
      <c r="A173" s="799"/>
      <c r="B173" s="800"/>
      <c r="C173" s="800"/>
      <c r="D173" s="801"/>
      <c r="E173" s="801"/>
      <c r="F173" s="802"/>
      <c r="G173" s="803">
        <f>SUM(G161:G172)</f>
        <v>2364.9299999999294</v>
      </c>
      <c r="N173" s="719"/>
    </row>
    <row r="174" spans="1:14">
      <c r="N174" s="719"/>
    </row>
    <row r="175" spans="1:14">
      <c r="A175" s="1596" t="s">
        <v>357</v>
      </c>
      <c r="B175" s="1579"/>
      <c r="C175" s="786"/>
      <c r="D175" s="523" t="s">
        <v>186</v>
      </c>
      <c r="N175" s="719"/>
    </row>
    <row r="176" spans="1:14">
      <c r="A176" s="1596" t="s">
        <v>358</v>
      </c>
      <c r="B176" s="1579"/>
      <c r="C176" s="786"/>
      <c r="D176" s="523" t="s">
        <v>186</v>
      </c>
      <c r="N176" s="719"/>
    </row>
    <row r="177" spans="14:14" ht="18.75" customHeight="1">
      <c r="N177" s="719"/>
    </row>
    <row r="178" spans="14:14" ht="18.75" customHeight="1">
      <c r="N178" s="719"/>
    </row>
    <row r="179" spans="14:14" ht="17.25" customHeight="1">
      <c r="N179" s="719"/>
    </row>
    <row r="180" spans="14:14" ht="18.75" customHeight="1">
      <c r="N180" s="719"/>
    </row>
    <row r="181" spans="14:14" ht="18.75" customHeight="1">
      <c r="N181" s="719"/>
    </row>
    <row r="182" spans="14:14" ht="17.25" customHeight="1">
      <c r="N182" s="719"/>
    </row>
    <row r="183" spans="14:14" ht="18.75" customHeight="1">
      <c r="N183" s="719"/>
    </row>
    <row r="184" spans="14:14" ht="18.75" customHeight="1">
      <c r="N184" s="719"/>
    </row>
    <row r="185" spans="14:14" ht="17.25" customHeight="1">
      <c r="N185" s="719"/>
    </row>
    <row r="186" spans="14:14" ht="17.25" customHeight="1">
      <c r="N186" s="719"/>
    </row>
    <row r="187" spans="14:14" ht="17.25" customHeight="1">
      <c r="N187" s="719"/>
    </row>
    <row r="188" spans="14:14" ht="17.25" customHeight="1">
      <c r="N188" s="719"/>
    </row>
    <row r="189" spans="14:14" ht="17.25" customHeight="1">
      <c r="N189" s="719"/>
    </row>
    <row r="190" spans="14:14" ht="17.25" customHeight="1">
      <c r="N190" s="719"/>
    </row>
    <row r="191" spans="14:14" ht="17.25" customHeight="1">
      <c r="N191" s="719"/>
    </row>
    <row r="192" spans="14:14" ht="18.75" customHeight="1">
      <c r="N192" s="719"/>
    </row>
    <row r="193" spans="14:14" ht="18.75" customHeight="1">
      <c r="N193" s="719"/>
    </row>
    <row r="194" spans="14:14" ht="18.75" customHeight="1">
      <c r="N194" s="719"/>
    </row>
    <row r="195" spans="14:14" ht="18.75" customHeight="1">
      <c r="N195" s="719"/>
    </row>
    <row r="196" spans="14:14" ht="18.75" customHeight="1">
      <c r="N196" s="719"/>
    </row>
    <row r="197" spans="14:14" ht="18.75" customHeight="1">
      <c r="N197" s="719"/>
    </row>
    <row r="198" spans="14:14" ht="18.75" customHeight="1">
      <c r="N198" s="719"/>
    </row>
    <row r="199" spans="14:14" ht="18.75" customHeight="1"/>
    <row r="200" spans="14:14" ht="18.75" customHeight="1"/>
    <row r="201" spans="14:14" ht="18.75" customHeight="1"/>
    <row r="202" spans="14:14" ht="18.75" customHeight="1"/>
    <row r="203" spans="14:14" ht="18.75" customHeight="1"/>
    <row r="204" spans="14:14" ht="18.75" customHeight="1"/>
    <row r="205" spans="14:14" ht="18.75" customHeight="1"/>
    <row r="206" spans="14:14" ht="18.75" customHeight="1"/>
    <row r="207" spans="14:14" ht="18.75" customHeight="1"/>
    <row r="208" spans="14:14" ht="18.75" customHeight="1"/>
    <row r="209" ht="18.75" customHeight="1"/>
    <row r="210" ht="18.75" customHeight="1"/>
    <row r="211" ht="18.75" customHeight="1"/>
    <row r="212" ht="18.75" customHeight="1"/>
    <row r="213" ht="18.75" customHeight="1"/>
    <row r="214" ht="18.75" customHeight="1"/>
    <row r="215" ht="18.75" customHeight="1"/>
    <row r="216" ht="18.75" customHeight="1"/>
    <row r="217" ht="18.75" customHeight="1"/>
    <row r="218" ht="18.75" customHeight="1"/>
    <row r="219" ht="18.75" customHeight="1"/>
    <row r="220" ht="18.75" customHeight="1"/>
    <row r="221" ht="18.75" customHeight="1"/>
    <row r="222" ht="18.75" customHeight="1"/>
    <row r="223" ht="18.75" customHeight="1"/>
    <row r="224" ht="18.75" customHeight="1"/>
    <row r="225" ht="18.75" customHeight="1"/>
    <row r="226" ht="18.75" customHeight="1"/>
    <row r="227" ht="18.75" customHeight="1"/>
    <row r="228" ht="18.75" customHeight="1"/>
    <row r="229" ht="18.75" customHeight="1"/>
    <row r="230" ht="18.75" customHeight="1"/>
    <row r="231" ht="18.75" customHeight="1"/>
    <row r="232" ht="18.75" customHeight="1"/>
    <row r="233" ht="18.75" customHeight="1"/>
    <row r="234" ht="18.75" customHeight="1"/>
    <row r="235" ht="18.75" customHeight="1"/>
    <row r="236" ht="18.75" customHeight="1"/>
    <row r="237" ht="18.75" customHeight="1"/>
    <row r="238" ht="18.75" customHeight="1"/>
  </sheetData>
  <mergeCells count="76">
    <mergeCell ref="A172:C172"/>
    <mergeCell ref="A167:C167"/>
    <mergeCell ref="A168:C168"/>
    <mergeCell ref="A169:C169"/>
    <mergeCell ref="A170:C170"/>
    <mergeCell ref="A171:C171"/>
    <mergeCell ref="A120:B120"/>
    <mergeCell ref="A121:B121"/>
    <mergeCell ref="A122:B122"/>
    <mergeCell ref="A115:B115"/>
    <mergeCell ref="A116:B116"/>
    <mergeCell ref="A117:B117"/>
    <mergeCell ref="A118:B118"/>
    <mergeCell ref="A119:B119"/>
    <mergeCell ref="A153:C153"/>
    <mergeCell ref="A154:C154"/>
    <mergeCell ref="A149:C149"/>
    <mergeCell ref="A150:C150"/>
    <mergeCell ref="A151:C151"/>
    <mergeCell ref="A152:C152"/>
    <mergeCell ref="A144:C144"/>
    <mergeCell ref="A145:C145"/>
    <mergeCell ref="A146:C146"/>
    <mergeCell ref="A147:C147"/>
    <mergeCell ref="A148:C148"/>
    <mergeCell ref="A143:C143"/>
    <mergeCell ref="A126:C126"/>
    <mergeCell ref="A102:C102"/>
    <mergeCell ref="A123:C123"/>
    <mergeCell ref="A142:B142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12:B112"/>
    <mergeCell ref="A113:B113"/>
    <mergeCell ref="A114:B114"/>
    <mergeCell ref="A79:C79"/>
    <mergeCell ref="A80:C80"/>
    <mergeCell ref="A94:C94"/>
    <mergeCell ref="A95:C95"/>
    <mergeCell ref="A96:C96"/>
    <mergeCell ref="A81:C81"/>
    <mergeCell ref="A82:C82"/>
    <mergeCell ref="A83:C83"/>
    <mergeCell ref="A93:C93"/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175:B175"/>
    <mergeCell ref="A176:B176"/>
    <mergeCell ref="A64:C64"/>
    <mergeCell ref="A65:C65"/>
    <mergeCell ref="A66:C66"/>
    <mergeCell ref="A67:C67"/>
    <mergeCell ref="A68:C68"/>
    <mergeCell ref="A69:C69"/>
    <mergeCell ref="A72:C72"/>
    <mergeCell ref="A73:C73"/>
    <mergeCell ref="A74:C74"/>
    <mergeCell ref="A71:J71"/>
    <mergeCell ref="A70:C70"/>
    <mergeCell ref="A75:C75"/>
    <mergeCell ref="A76:C76"/>
    <mergeCell ref="A77:C77"/>
  </mergeCells>
  <pageMargins left="0.22" right="0.17" top="0.14000000000000001" bottom="0.2" header="0.2" footer="0.2"/>
  <pageSetup paperSize="5" scale="20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238"/>
  <sheetViews>
    <sheetView view="pageBreakPreview" topLeftCell="A49" zoomScale="55" zoomScaleNormal="68" zoomScaleSheetLayoutView="55" workbookViewId="0">
      <selection activeCell="A175" sqref="A175:D176"/>
    </sheetView>
  </sheetViews>
  <sheetFormatPr defaultColWidth="22.33203125" defaultRowHeight="29.25"/>
  <cols>
    <col min="1" max="1" width="59.6640625" style="454" bestFit="1" customWidth="1"/>
    <col min="2" max="2" width="28.5546875" style="457" customWidth="1"/>
    <col min="3" max="3" width="15.88671875" style="457" customWidth="1"/>
    <col min="4" max="4" width="17.88671875" style="537" customWidth="1"/>
    <col min="5" max="5" width="27.21875" style="537" customWidth="1"/>
    <col min="6" max="6" width="26.21875" style="664" customWidth="1"/>
    <col min="7" max="7" width="24.44140625" style="537" customWidth="1"/>
    <col min="8" max="8" width="22.88671875" style="538" customWidth="1"/>
    <col min="9" max="9" width="18.109375" style="537" bestFit="1" customWidth="1"/>
    <col min="10" max="10" width="23.21875" style="539" customWidth="1"/>
    <col min="11" max="11" width="43.21875" style="376" hidden="1" customWidth="1"/>
    <col min="12" max="13" width="22.33203125" style="376" hidden="1" customWidth="1"/>
    <col min="14" max="14" width="25.5546875" style="717" customWidth="1"/>
    <col min="15" max="15" width="22.33203125" style="724"/>
    <col min="16" max="16384" width="22.33203125" style="376"/>
  </cols>
  <sheetData>
    <row r="1" spans="1:16" ht="33.75">
      <c r="A1" s="1549" t="s">
        <v>116</v>
      </c>
      <c r="B1" s="1550"/>
      <c r="C1" s="1550"/>
      <c r="D1" s="1550"/>
      <c r="E1" s="1550"/>
      <c r="F1" s="1550"/>
      <c r="G1" s="1550"/>
      <c r="H1" s="1550"/>
      <c r="I1" s="1550"/>
      <c r="J1" s="1551"/>
    </row>
    <row r="2" spans="1:16" s="281" customFormat="1" ht="27">
      <c r="A2" s="575" t="s">
        <v>368</v>
      </c>
      <c r="B2" s="1033">
        <v>44365</v>
      </c>
      <c r="C2" s="1324" t="s">
        <v>68</v>
      </c>
      <c r="D2" s="611">
        <v>0.54</v>
      </c>
      <c r="E2" s="461"/>
      <c r="F2" s="461"/>
      <c r="G2" s="461" t="s">
        <v>117</v>
      </c>
      <c r="H2" s="461" t="s">
        <v>6</v>
      </c>
      <c r="I2" s="461" t="s">
        <v>8</v>
      </c>
      <c r="J2" s="613" t="s">
        <v>118</v>
      </c>
      <c r="N2" s="718"/>
      <c r="O2" s="725"/>
    </row>
    <row r="3" spans="1:16" s="281" customFormat="1" ht="27">
      <c r="A3" s="570"/>
      <c r="B3" s="614"/>
      <c r="C3" s="1324" t="s">
        <v>119</v>
      </c>
      <c r="D3" s="612">
        <v>29</v>
      </c>
      <c r="E3" s="1558" t="s">
        <v>120</v>
      </c>
      <c r="F3" s="1559"/>
      <c r="G3" s="462">
        <f>'1'!G3</f>
        <v>0</v>
      </c>
      <c r="H3" s="463">
        <f>'1'!H3</f>
        <v>0</v>
      </c>
      <c r="I3" s="463">
        <f>'1'!I3</f>
        <v>0</v>
      </c>
      <c r="J3" s="615">
        <f>'1'!J3</f>
        <v>0</v>
      </c>
      <c r="K3" s="371"/>
      <c r="L3" s="292"/>
      <c r="N3" s="718"/>
      <c r="O3" s="725"/>
    </row>
    <row r="4" spans="1:16" s="281" customFormat="1" ht="27">
      <c r="A4" s="576"/>
      <c r="B4" s="616"/>
      <c r="C4" s="1324" t="s">
        <v>121</v>
      </c>
      <c r="D4" s="611">
        <v>0.79</v>
      </c>
      <c r="E4" s="464"/>
      <c r="F4" s="464"/>
      <c r="G4" s="464"/>
      <c r="H4" s="464"/>
      <c r="I4" s="465"/>
      <c r="J4" s="615"/>
      <c r="K4" s="372"/>
      <c r="L4" s="292"/>
      <c r="N4" s="718"/>
      <c r="O4" s="725"/>
    </row>
    <row r="5" spans="1:16">
      <c r="A5" s="577" t="s">
        <v>122</v>
      </c>
      <c r="B5" s="459"/>
      <c r="C5" s="459"/>
      <c r="D5" s="511" t="s">
        <v>123</v>
      </c>
      <c r="E5" s="467" t="s">
        <v>124</v>
      </c>
      <c r="F5" s="467" t="s">
        <v>111</v>
      </c>
      <c r="G5" s="468" t="s">
        <v>125</v>
      </c>
      <c r="H5" s="469" t="s">
        <v>126</v>
      </c>
      <c r="I5" s="470" t="s">
        <v>127</v>
      </c>
      <c r="J5" s="550" t="s">
        <v>128</v>
      </c>
      <c r="K5" s="426"/>
      <c r="L5" s="377"/>
    </row>
    <row r="6" spans="1:16">
      <c r="A6" s="1552" t="s">
        <v>129</v>
      </c>
      <c r="B6" s="1553"/>
      <c r="C6" s="1554"/>
      <c r="D6" s="471"/>
      <c r="E6" s="471"/>
      <c r="F6" s="471"/>
      <c r="G6" s="471"/>
      <c r="H6" s="472"/>
      <c r="I6" s="472"/>
      <c r="J6" s="551"/>
      <c r="K6" s="427"/>
      <c r="L6" s="377"/>
    </row>
    <row r="7" spans="1:16" ht="30" thickBot="1">
      <c r="A7" s="677" t="s">
        <v>130</v>
      </c>
      <c r="B7" s="678"/>
      <c r="C7" s="678"/>
      <c r="D7" s="638" t="s">
        <v>131</v>
      </c>
      <c r="E7" s="633">
        <f>'17'!F7</f>
        <v>648110.18999999994</v>
      </c>
      <c r="F7" s="455">
        <v>668115.71</v>
      </c>
      <c r="G7" s="679">
        <f>F7-E7</f>
        <v>20005.520000000019</v>
      </c>
      <c r="H7" s="680">
        <f>G7+'17'!H7</f>
        <v>323703.70999999996</v>
      </c>
      <c r="I7" s="681">
        <f>'1'!I7</f>
        <v>12000</v>
      </c>
      <c r="J7" s="682">
        <f>H7/DAY(B2)</f>
        <v>17983.539444444443</v>
      </c>
      <c r="K7" s="549"/>
      <c r="L7" s="377"/>
      <c r="N7" s="730"/>
      <c r="O7" s="726"/>
      <c r="P7" s="729"/>
    </row>
    <row r="8" spans="1:16" ht="27.75" thickBot="1">
      <c r="A8" s="683" t="s">
        <v>132</v>
      </c>
      <c r="B8" s="684"/>
      <c r="C8" s="685"/>
      <c r="D8" s="686" t="s">
        <v>25</v>
      </c>
      <c r="E8" s="633">
        <f>'17'!F8</f>
        <v>651514.63</v>
      </c>
      <c r="F8" s="475">
        <v>671619.11</v>
      </c>
      <c r="G8" s="690">
        <f>F8-E8</f>
        <v>20104.479999999981</v>
      </c>
      <c r="H8" s="680">
        <f>G8+'17'!H8</f>
        <v>325109.11</v>
      </c>
      <c r="I8" s="687">
        <f>'1'!I8</f>
        <v>12000</v>
      </c>
      <c r="J8" s="682">
        <f>H8/DAY(B2)</f>
        <v>18061.617222222223</v>
      </c>
      <c r="K8" s="549"/>
      <c r="L8" s="425"/>
      <c r="M8" s="440"/>
      <c r="N8" s="719"/>
      <c r="O8" s="726"/>
      <c r="P8" s="382"/>
    </row>
    <row r="9" spans="1:16">
      <c r="A9" s="688" t="s">
        <v>133</v>
      </c>
      <c r="B9" s="689"/>
      <c r="C9" s="689"/>
      <c r="D9" s="638" t="s">
        <v>131</v>
      </c>
      <c r="E9" s="633">
        <f>'17'!F9</f>
        <v>1767757.9</v>
      </c>
      <c r="F9" s="478">
        <v>1787137.7</v>
      </c>
      <c r="G9" s="703">
        <f t="shared" ref="G9:G12" si="0">F9-E9</f>
        <v>19379.800000000047</v>
      </c>
      <c r="H9" s="680">
        <f>G9+'17'!H9</f>
        <v>313447.69999999995</v>
      </c>
      <c r="I9" s="691">
        <f>I7-J7</f>
        <v>-5983.5394444444428</v>
      </c>
      <c r="J9" s="682">
        <f>H9/DAY(B2)</f>
        <v>17413.761111111107</v>
      </c>
      <c r="K9" s="428"/>
      <c r="L9" s="377"/>
      <c r="N9" s="719"/>
      <c r="O9" s="726"/>
      <c r="P9" s="382"/>
    </row>
    <row r="10" spans="1:16">
      <c r="A10" s="677" t="s">
        <v>134</v>
      </c>
      <c r="B10" s="678"/>
      <c r="C10" s="678"/>
      <c r="D10" s="638" t="s">
        <v>131</v>
      </c>
      <c r="E10" s="633">
        <f>'17'!F10</f>
        <v>2606.85</v>
      </c>
      <c r="F10" s="478">
        <v>2606.85</v>
      </c>
      <c r="G10" s="690">
        <f t="shared" si="0"/>
        <v>0</v>
      </c>
      <c r="H10" s="680">
        <f>G10+'17'!H10</f>
        <v>0.71999999999979991</v>
      </c>
      <c r="I10" s="692"/>
      <c r="J10" s="682">
        <f>H10/DAY(B2)</f>
        <v>3.9999999999988885E-2</v>
      </c>
      <c r="K10" s="428"/>
      <c r="L10" s="377"/>
      <c r="N10" s="719"/>
      <c r="O10" s="726"/>
      <c r="P10" s="382"/>
    </row>
    <row r="11" spans="1:16">
      <c r="A11" s="677" t="s">
        <v>135</v>
      </c>
      <c r="B11" s="678"/>
      <c r="C11" s="678"/>
      <c r="D11" s="638" t="s">
        <v>131</v>
      </c>
      <c r="E11" s="633">
        <f>'17'!F11</f>
        <v>37000</v>
      </c>
      <c r="F11" s="455">
        <v>37000</v>
      </c>
      <c r="G11" s="690">
        <f t="shared" si="0"/>
        <v>0</v>
      </c>
      <c r="H11" s="680">
        <f>G11+'17'!H11</f>
        <v>0</v>
      </c>
      <c r="I11" s="692"/>
      <c r="J11" s="682">
        <f>H11/DAY(B2)</f>
        <v>0</v>
      </c>
      <c r="K11" s="428"/>
      <c r="L11" s="377"/>
      <c r="N11" s="719">
        <f>G8-866</f>
        <v>19238.479999999981</v>
      </c>
      <c r="O11" s="726"/>
      <c r="P11" s="382"/>
    </row>
    <row r="12" spans="1:16">
      <c r="A12" s="677" t="s">
        <v>136</v>
      </c>
      <c r="B12" s="678"/>
      <c r="C12" s="678"/>
      <c r="D12" s="638" t="s">
        <v>131</v>
      </c>
      <c r="E12" s="633">
        <f>'17'!F12</f>
        <v>40010</v>
      </c>
      <c r="F12" s="478">
        <v>40010</v>
      </c>
      <c r="G12" s="690">
        <f t="shared" si="0"/>
        <v>0</v>
      </c>
      <c r="H12" s="680">
        <f>G12+'17'!H12</f>
        <v>0</v>
      </c>
      <c r="I12" s="692"/>
      <c r="J12" s="682">
        <f>H12/DAY(B2)</f>
        <v>0</v>
      </c>
      <c r="K12" s="428"/>
      <c r="L12" s="377"/>
      <c r="N12" s="719"/>
      <c r="O12" s="726"/>
      <c r="P12" s="382"/>
    </row>
    <row r="13" spans="1:16">
      <c r="A13" s="693" t="s">
        <v>137</v>
      </c>
      <c r="B13" s="694"/>
      <c r="C13" s="694"/>
      <c r="D13" s="638"/>
      <c r="E13" s="633"/>
      <c r="F13" s="455"/>
      <c r="G13" s="695">
        <f>G9+G10+G11+G12</f>
        <v>19379.800000000047</v>
      </c>
      <c r="H13" s="680">
        <f>G13+'17'!H13</f>
        <v>296923.41999999993</v>
      </c>
      <c r="I13" s="696">
        <f>G7-G13</f>
        <v>625.71999999997206</v>
      </c>
      <c r="J13" s="682">
        <f>H13/DAY(B2)</f>
        <v>16495.74555555555</v>
      </c>
      <c r="K13" s="428"/>
      <c r="L13" s="377"/>
      <c r="N13" s="719"/>
      <c r="O13" s="726"/>
      <c r="P13" s="382"/>
    </row>
    <row r="14" spans="1:16">
      <c r="A14" s="1555" t="s">
        <v>138</v>
      </c>
      <c r="B14" s="1556"/>
      <c r="C14" s="1557"/>
      <c r="D14" s="472"/>
      <c r="E14" s="472"/>
      <c r="F14" s="472"/>
      <c r="G14" s="483"/>
      <c r="H14" s="472"/>
      <c r="I14" s="472"/>
      <c r="J14" s="1219"/>
      <c r="K14" s="429"/>
      <c r="L14" s="377"/>
      <c r="N14" s="719"/>
      <c r="O14" s="726"/>
      <c r="P14" s="382"/>
    </row>
    <row r="15" spans="1:16">
      <c r="A15" s="793" t="s">
        <v>139</v>
      </c>
      <c r="B15" s="794"/>
      <c r="C15" s="794"/>
      <c r="D15" s="524" t="s">
        <v>140</v>
      </c>
      <c r="E15" s="485">
        <f>'17'!F15</f>
        <v>1693517.8430000001</v>
      </c>
      <c r="F15" s="485">
        <v>1694156.62</v>
      </c>
      <c r="G15" s="665">
        <f>(F15-E15)</f>
        <v>638.77700000000186</v>
      </c>
      <c r="H15" s="486">
        <f>G15+'17'!H15</f>
        <v>9632.6200000001118</v>
      </c>
      <c r="I15" s="474">
        <f>'1'!I15</f>
        <v>800</v>
      </c>
      <c r="J15" s="553">
        <f>H15/DAY(B2)</f>
        <v>535.14555555556171</v>
      </c>
      <c r="K15" s="428"/>
      <c r="L15" s="377"/>
      <c r="N15" s="719"/>
      <c r="O15" s="726"/>
      <c r="P15" s="382"/>
    </row>
    <row r="16" spans="1:16">
      <c r="A16" s="587"/>
      <c r="B16" s="588"/>
      <c r="C16" s="588"/>
      <c r="D16" s="524"/>
      <c r="E16" s="485"/>
      <c r="F16" s="485"/>
      <c r="G16" s="670"/>
      <c r="H16" s="486"/>
      <c r="I16" s="482">
        <f>I15-J15</f>
        <v>264.85444444443829</v>
      </c>
      <c r="J16" s="553"/>
      <c r="K16" s="428"/>
      <c r="L16" s="377"/>
      <c r="N16" s="719"/>
      <c r="O16" s="726"/>
      <c r="P16" s="382"/>
    </row>
    <row r="17" spans="1:16">
      <c r="A17" s="1555" t="s">
        <v>141</v>
      </c>
      <c r="B17" s="1556"/>
      <c r="C17" s="1557"/>
      <c r="D17" s="472"/>
      <c r="E17" s="472"/>
      <c r="F17" s="472"/>
      <c r="G17" s="488"/>
      <c r="H17" s="472"/>
      <c r="I17" s="472"/>
      <c r="J17" s="551"/>
      <c r="K17" s="428"/>
      <c r="L17" s="377"/>
      <c r="N17" s="719"/>
      <c r="O17" s="726"/>
      <c r="P17" s="382"/>
    </row>
    <row r="18" spans="1:16" ht="27.75">
      <c r="A18" s="1590" t="s">
        <v>142</v>
      </c>
      <c r="B18" s="1591"/>
      <c r="C18" s="1592"/>
      <c r="D18" s="638" t="s">
        <v>143</v>
      </c>
      <c r="E18" s="635">
        <f>'17'!F18</f>
        <v>6</v>
      </c>
      <c r="F18" s="478">
        <v>8</v>
      </c>
      <c r="G18" s="695">
        <f>F18*10</f>
        <v>80</v>
      </c>
      <c r="H18" s="680">
        <f>G18+'17'!H18</f>
        <v>1130</v>
      </c>
      <c r="I18" s="681">
        <f>'1'!I18</f>
        <v>65</v>
      </c>
      <c r="J18" s="682">
        <f>H18/DAY(B2)</f>
        <v>62.777777777777779</v>
      </c>
      <c r="K18" s="428"/>
      <c r="L18" s="377"/>
      <c r="N18" s="719"/>
      <c r="O18" s="726"/>
      <c r="P18" s="382"/>
    </row>
    <row r="19" spans="1:16" ht="27.75">
      <c r="A19" s="1590" t="s">
        <v>70</v>
      </c>
      <c r="B19" s="1591"/>
      <c r="C19" s="1592"/>
      <c r="D19" s="638" t="s">
        <v>143</v>
      </c>
      <c r="E19" s="635">
        <f>'17'!F19</f>
        <v>140681</v>
      </c>
      <c r="F19" s="478">
        <v>140746</v>
      </c>
      <c r="G19" s="690">
        <f t="shared" ref="G19" si="1">F19-E19</f>
        <v>65</v>
      </c>
      <c r="H19" s="680">
        <f>G19+'17'!H19</f>
        <v>1134</v>
      </c>
      <c r="I19" s="697"/>
      <c r="J19" s="682">
        <f>H19/DAY(B2)</f>
        <v>63</v>
      </c>
      <c r="K19" s="428"/>
      <c r="L19" s="377"/>
      <c r="N19" s="719"/>
      <c r="O19" s="726"/>
      <c r="P19" s="382"/>
    </row>
    <row r="20" spans="1:16">
      <c r="A20" s="693" t="s">
        <v>144</v>
      </c>
      <c r="B20" s="694"/>
      <c r="C20" s="694"/>
      <c r="D20" s="638"/>
      <c r="E20" s="638"/>
      <c r="F20" s="710"/>
      <c r="G20" s="698">
        <f>G18+G19</f>
        <v>145</v>
      </c>
      <c r="H20" s="680">
        <f>G20+'17'!H20</f>
        <v>2264</v>
      </c>
      <c r="I20" s="699">
        <f>I18-J20</f>
        <v>-60.777777777777771</v>
      </c>
      <c r="J20" s="682">
        <f>H20/DAY(B2)</f>
        <v>125.77777777777777</v>
      </c>
      <c r="K20" s="428"/>
      <c r="L20" s="377"/>
      <c r="N20" s="719"/>
      <c r="O20" s="726"/>
      <c r="P20" s="382"/>
    </row>
    <row r="21" spans="1:16">
      <c r="A21" s="1555" t="s">
        <v>145</v>
      </c>
      <c r="B21" s="1556"/>
      <c r="C21" s="1557"/>
      <c r="D21" s="472"/>
      <c r="E21" s="472"/>
      <c r="F21" s="472"/>
      <c r="G21" s="483"/>
      <c r="H21" s="472"/>
      <c r="I21" s="472"/>
      <c r="J21" s="551"/>
      <c r="K21" s="428"/>
      <c r="L21" s="377"/>
      <c r="N21" s="719"/>
      <c r="O21" s="726"/>
      <c r="P21" s="382"/>
    </row>
    <row r="22" spans="1:16">
      <c r="A22" s="1322" t="s">
        <v>146</v>
      </c>
      <c r="B22" s="589"/>
      <c r="C22" s="589"/>
      <c r="D22" s="523" t="s">
        <v>147</v>
      </c>
      <c r="E22" s="635">
        <f>'17'!F22</f>
        <v>2970</v>
      </c>
      <c r="F22" s="478">
        <v>2970</v>
      </c>
      <c r="G22" s="481">
        <f t="shared" ref="G22" si="2">F22-E22</f>
        <v>0</v>
      </c>
      <c r="H22" s="460">
        <f>G22+'17'!H22</f>
        <v>0</v>
      </c>
      <c r="I22" s="480"/>
      <c r="J22" s="552">
        <f>H22/DAY(B2)</f>
        <v>0</v>
      </c>
      <c r="K22" s="428"/>
      <c r="L22" s="377"/>
      <c r="N22" s="719"/>
      <c r="O22" s="726"/>
      <c r="P22" s="382"/>
    </row>
    <row r="23" spans="1:16">
      <c r="A23" s="1322" t="s">
        <v>148</v>
      </c>
      <c r="B23" s="589"/>
      <c r="C23" s="589"/>
      <c r="D23" s="523" t="s">
        <v>147</v>
      </c>
      <c r="E23" s="635">
        <f>'17'!F23</f>
        <v>2900</v>
      </c>
      <c r="F23" s="478">
        <v>2900</v>
      </c>
      <c r="G23" s="481">
        <v>0</v>
      </c>
      <c r="H23" s="460">
        <f>G23+'17'!H23</f>
        <v>120</v>
      </c>
      <c r="I23" s="480"/>
      <c r="J23" s="552">
        <f>H23/DAY(B2)</f>
        <v>6.666666666666667</v>
      </c>
      <c r="K23" s="428"/>
      <c r="L23" s="377"/>
      <c r="N23" s="719"/>
      <c r="O23" s="726"/>
      <c r="P23" s="382"/>
    </row>
    <row r="24" spans="1:16">
      <c r="A24" s="590" t="s">
        <v>149</v>
      </c>
      <c r="B24" s="591"/>
      <c r="C24" s="591"/>
      <c r="D24" s="511" t="s">
        <v>147</v>
      </c>
      <c r="E24" s="493">
        <f>'17'!F24</f>
        <v>4250</v>
      </c>
      <c r="F24" s="485">
        <v>4250</v>
      </c>
      <c r="G24" s="481">
        <v>0</v>
      </c>
      <c r="H24" s="460">
        <f>G24+'17'!H24</f>
        <v>0</v>
      </c>
      <c r="I24" s="480"/>
      <c r="J24" s="552">
        <f>H24/DAY(B2)</f>
        <v>0</v>
      </c>
      <c r="K24" s="428"/>
      <c r="L24" s="377"/>
      <c r="N24" s="719"/>
      <c r="O24" s="726"/>
      <c r="P24" s="382"/>
    </row>
    <row r="25" spans="1:16" s="442" customFormat="1" ht="27">
      <c r="A25" s="1560" t="s">
        <v>150</v>
      </c>
      <c r="B25" s="1561"/>
      <c r="C25" s="1562"/>
      <c r="D25" s="471"/>
      <c r="E25" s="471"/>
      <c r="F25" s="471"/>
      <c r="G25" s="494"/>
      <c r="H25" s="495"/>
      <c r="I25" s="496"/>
      <c r="J25" s="554"/>
      <c r="K25" s="373"/>
      <c r="L25" s="443"/>
      <c r="N25" s="719"/>
      <c r="O25" s="726"/>
      <c r="P25" s="382"/>
    </row>
    <row r="26" spans="1:16" s="442" customFormat="1" ht="27.75">
      <c r="A26" s="592" t="s">
        <v>151</v>
      </c>
      <c r="B26" s="593"/>
      <c r="C26" s="594"/>
      <c r="D26" s="618" t="s">
        <v>152</v>
      </c>
      <c r="E26" s="497"/>
      <c r="F26" s="455"/>
      <c r="G26" s="498"/>
      <c r="H26" s="460"/>
      <c r="I26" s="499"/>
      <c r="J26" s="552"/>
      <c r="K26" s="374"/>
      <c r="L26" s="443"/>
      <c r="N26" s="719"/>
      <c r="O26" s="726"/>
      <c r="P26" s="382"/>
    </row>
    <row r="27" spans="1:16" s="442" customFormat="1" ht="27.75">
      <c r="A27" s="592" t="s">
        <v>6</v>
      </c>
      <c r="B27" s="593"/>
      <c r="C27" s="594"/>
      <c r="D27" s="619" t="s">
        <v>25</v>
      </c>
      <c r="E27" s="700">
        <f>G8</f>
        <v>20104.479999999981</v>
      </c>
      <c r="F27" s="501">
        <v>9</v>
      </c>
      <c r="G27" s="502">
        <f>E27*F27</f>
        <v>180940.31999999983</v>
      </c>
      <c r="H27" s="460">
        <f>G27+'17'!H27</f>
        <v>2925144.9899999998</v>
      </c>
      <c r="I27" s="503"/>
      <c r="J27" s="552">
        <f>H27/DAY(B2)</f>
        <v>162508.05499999999</v>
      </c>
      <c r="K27" s="373"/>
      <c r="L27" s="443"/>
      <c r="N27" s="719"/>
      <c r="O27" s="726"/>
      <c r="P27" s="382"/>
    </row>
    <row r="28" spans="1:16" s="442" customFormat="1" ht="27.75">
      <c r="A28" s="592" t="s">
        <v>153</v>
      </c>
      <c r="B28" s="593"/>
      <c r="C28" s="594"/>
      <c r="D28" s="619" t="s">
        <v>154</v>
      </c>
      <c r="E28" s="700">
        <f>G15</f>
        <v>638.77700000000186</v>
      </c>
      <c r="F28" s="501">
        <v>52</v>
      </c>
      <c r="G28" s="502">
        <f>E28*F28</f>
        <v>33216.404000000097</v>
      </c>
      <c r="H28" s="460">
        <f>G28+'17'!H28</f>
        <v>500896.24000000581</v>
      </c>
      <c r="I28" s="505"/>
      <c r="J28" s="552">
        <f>H28/DAY(B2)</f>
        <v>27827.568888889211</v>
      </c>
      <c r="K28" s="373"/>
      <c r="L28" s="443"/>
      <c r="N28" s="719"/>
      <c r="O28" s="726"/>
      <c r="P28" s="382"/>
    </row>
    <row r="29" spans="1:16" s="442" customFormat="1" ht="27.75">
      <c r="A29" s="592" t="s">
        <v>155</v>
      </c>
      <c r="B29" s="593"/>
      <c r="C29" s="594"/>
      <c r="D29" s="619" t="s">
        <v>156</v>
      </c>
      <c r="E29" s="700">
        <f>G24</f>
        <v>0</v>
      </c>
      <c r="F29" s="501">
        <v>69</v>
      </c>
      <c r="G29" s="502">
        <f>E29*F29</f>
        <v>0</v>
      </c>
      <c r="H29" s="460">
        <f>G29+'17'!H29</f>
        <v>8280</v>
      </c>
      <c r="I29" s="505"/>
      <c r="J29" s="552">
        <f>H29/DAY(B2)</f>
        <v>460</v>
      </c>
      <c r="K29" s="373"/>
      <c r="L29" s="443"/>
      <c r="N29" s="719"/>
      <c r="O29" s="726"/>
      <c r="P29" s="382"/>
    </row>
    <row r="30" spans="1:16" s="442" customFormat="1" ht="27.75">
      <c r="A30" s="592" t="s">
        <v>157</v>
      </c>
      <c r="B30" s="593"/>
      <c r="C30" s="594"/>
      <c r="D30" s="619" t="s">
        <v>158</v>
      </c>
      <c r="E30" s="700">
        <f>G19</f>
        <v>65</v>
      </c>
      <c r="F30" s="501">
        <v>146</v>
      </c>
      <c r="G30" s="502">
        <f>E30*F30</f>
        <v>9490</v>
      </c>
      <c r="H30" s="460">
        <f>G30+'17'!H30</f>
        <v>165564</v>
      </c>
      <c r="I30" s="505"/>
      <c r="J30" s="552">
        <f>H30/DAY(B2)</f>
        <v>9198</v>
      </c>
      <c r="K30" s="373"/>
      <c r="L30" s="443"/>
      <c r="N30" s="719"/>
      <c r="O30" s="726"/>
      <c r="P30" s="382"/>
    </row>
    <row r="31" spans="1:16" s="442" customFormat="1" ht="27.75">
      <c r="A31" s="592" t="s">
        <v>159</v>
      </c>
      <c r="B31" s="593"/>
      <c r="C31" s="594"/>
      <c r="D31" s="619" t="s">
        <v>143</v>
      </c>
      <c r="E31" s="700">
        <f>G18</f>
        <v>80</v>
      </c>
      <c r="F31" s="501">
        <v>80</v>
      </c>
      <c r="G31" s="502">
        <f>E31*F31</f>
        <v>6400</v>
      </c>
      <c r="H31" s="460">
        <f>G31+'17'!H31</f>
        <v>90400</v>
      </c>
      <c r="I31" s="505"/>
      <c r="J31" s="552"/>
      <c r="K31" s="373"/>
      <c r="L31" s="443"/>
      <c r="N31" s="719"/>
      <c r="O31" s="726"/>
      <c r="P31" s="382"/>
    </row>
    <row r="32" spans="1:16" s="442" customFormat="1" ht="27.75">
      <c r="A32" s="595" t="s">
        <v>160</v>
      </c>
      <c r="B32" s="596"/>
      <c r="C32" s="597"/>
      <c r="D32" s="507"/>
      <c r="E32" s="507"/>
      <c r="F32" s="524"/>
      <c r="G32" s="508">
        <f>G27+G28+G29+G30+G31</f>
        <v>230046.72399999993</v>
      </c>
      <c r="H32" s="460">
        <f>G32+'17'!H32</f>
        <v>3690285.2300000056</v>
      </c>
      <c r="I32" s="509"/>
      <c r="J32" s="552">
        <f>H32/DAY(B2)</f>
        <v>205015.84611111143</v>
      </c>
      <c r="K32" s="373"/>
      <c r="L32" s="443"/>
      <c r="N32" s="719"/>
      <c r="O32" s="726"/>
      <c r="P32" s="382"/>
    </row>
    <row r="33" spans="1:16" ht="25.5">
      <c r="A33" s="1563" t="s">
        <v>161</v>
      </c>
      <c r="B33" s="1564"/>
      <c r="C33" s="1564"/>
      <c r="D33" s="1564"/>
      <c r="E33" s="1564"/>
      <c r="F33" s="1564"/>
      <c r="G33" s="1564"/>
      <c r="H33" s="1564"/>
      <c r="I33" s="1564"/>
      <c r="J33" s="1565"/>
      <c r="K33" s="428"/>
      <c r="L33" s="377"/>
      <c r="N33" s="719"/>
      <c r="O33" s="726"/>
      <c r="P33" s="382"/>
    </row>
    <row r="34" spans="1:16">
      <c r="A34" s="598" t="s">
        <v>162</v>
      </c>
      <c r="B34" s="1327"/>
      <c r="C34" s="1327"/>
      <c r="D34" s="472"/>
      <c r="E34" s="471"/>
      <c r="F34" s="471"/>
      <c r="G34" s="472"/>
      <c r="H34" s="472"/>
      <c r="I34" s="472"/>
      <c r="J34" s="551"/>
      <c r="K34" s="428"/>
      <c r="L34" s="377"/>
      <c r="N34" s="719"/>
      <c r="O34" s="726"/>
      <c r="P34" s="382"/>
    </row>
    <row r="35" spans="1:16">
      <c r="A35" s="578" t="s">
        <v>163</v>
      </c>
      <c r="B35" s="579"/>
      <c r="C35" s="579"/>
      <c r="D35" s="523" t="s">
        <v>131</v>
      </c>
      <c r="E35" s="510">
        <f>'17'!F35</f>
        <v>991917.35</v>
      </c>
      <c r="F35" s="510">
        <v>994564.87</v>
      </c>
      <c r="G35" s="473">
        <f>F35-E35</f>
        <v>2647.5200000000186</v>
      </c>
      <c r="H35" s="460">
        <f>G35+'17'!H35</f>
        <v>44076.869999999995</v>
      </c>
      <c r="I35" s="455"/>
      <c r="J35" s="552">
        <f>H35/DAY(B2)</f>
        <v>2448.7149999999997</v>
      </c>
      <c r="K35" s="428"/>
      <c r="L35" s="377"/>
      <c r="N35" s="719"/>
      <c r="O35" s="727"/>
      <c r="P35" s="382"/>
    </row>
    <row r="36" spans="1:16">
      <c r="A36" s="578" t="s">
        <v>164</v>
      </c>
      <c r="B36" s="579"/>
      <c r="C36" s="579"/>
      <c r="D36" s="523" t="s">
        <v>131</v>
      </c>
      <c r="E36" s="510">
        <f>'17'!F36</f>
        <v>10411.870000000001</v>
      </c>
      <c r="F36" s="510">
        <v>11027.19</v>
      </c>
      <c r="G36" s="473">
        <f t="shared" ref="G36:G46" si="3">F36-E36</f>
        <v>615.31999999999971</v>
      </c>
      <c r="H36" s="460">
        <f>G36+'17'!H36</f>
        <v>10854.19</v>
      </c>
      <c r="I36" s="455"/>
      <c r="J36" s="552">
        <f>H36/DAY(B2)</f>
        <v>603.01055555555558</v>
      </c>
      <c r="K36" s="428"/>
      <c r="L36" s="377"/>
      <c r="N36" s="720"/>
      <c r="O36" s="727"/>
      <c r="P36" s="382"/>
    </row>
    <row r="37" spans="1:16">
      <c r="A37" s="578" t="s">
        <v>165</v>
      </c>
      <c r="B37" s="579"/>
      <c r="C37" s="579"/>
      <c r="D37" s="523" t="s">
        <v>131</v>
      </c>
      <c r="E37" s="510">
        <f>'17'!F37</f>
        <v>157351.28</v>
      </c>
      <c r="F37" s="510">
        <v>158802.87</v>
      </c>
      <c r="G37" s="473">
        <f>F37-E37</f>
        <v>1451.5899999999965</v>
      </c>
      <c r="H37" s="460">
        <f>G37+'17'!H37</f>
        <v>24566.869999999995</v>
      </c>
      <c r="I37" s="455"/>
      <c r="J37" s="552">
        <f>H37/DAY(B2)</f>
        <v>1364.8261111111108</v>
      </c>
      <c r="K37" s="428"/>
      <c r="L37" s="377"/>
      <c r="N37" s="720"/>
      <c r="O37" s="727"/>
      <c r="P37" s="382"/>
    </row>
    <row r="38" spans="1:16">
      <c r="A38" s="578" t="s">
        <v>166</v>
      </c>
      <c r="B38" s="579"/>
      <c r="C38" s="579"/>
      <c r="D38" s="523" t="s">
        <v>131</v>
      </c>
      <c r="E38" s="510">
        <f>'17'!F38</f>
        <v>177993.13</v>
      </c>
      <c r="F38" s="469">
        <v>179368.33</v>
      </c>
      <c r="G38" s="473">
        <f t="shared" si="3"/>
        <v>1375.1999999999825</v>
      </c>
      <c r="H38" s="460">
        <f>G38+'17'!H38</f>
        <v>22963.329999999987</v>
      </c>
      <c r="I38" s="455"/>
      <c r="J38" s="552">
        <f>H38/DAY(B2)</f>
        <v>1275.7405555555549</v>
      </c>
      <c r="K38" s="428"/>
      <c r="L38" s="377"/>
      <c r="N38" s="719"/>
      <c r="O38" s="726"/>
      <c r="P38" s="382"/>
    </row>
    <row r="39" spans="1:16">
      <c r="A39" s="578" t="s">
        <v>167</v>
      </c>
      <c r="B39" s="579"/>
      <c r="C39" s="579"/>
      <c r="D39" s="523" t="s">
        <v>131</v>
      </c>
      <c r="E39" s="510">
        <f>'17'!F39</f>
        <v>358061.67</v>
      </c>
      <c r="F39" s="510">
        <v>361552.47</v>
      </c>
      <c r="G39" s="473">
        <f>F39-E39</f>
        <v>3490.7999999999884</v>
      </c>
      <c r="H39" s="460">
        <f>G39+'17'!H39</f>
        <v>53379.469999999972</v>
      </c>
      <c r="I39" s="455"/>
      <c r="J39" s="552">
        <f>H39/DAY(B2)</f>
        <v>2965.5261111111095</v>
      </c>
      <c r="K39" s="428"/>
      <c r="L39" s="377"/>
      <c r="N39" s="719"/>
      <c r="O39" s="727"/>
      <c r="P39" s="382"/>
    </row>
    <row r="40" spans="1:16">
      <c r="A40" s="599" t="s">
        <v>168</v>
      </c>
      <c r="B40" s="600"/>
      <c r="C40" s="600"/>
      <c r="D40" s="523" t="s">
        <v>131</v>
      </c>
      <c r="E40" s="510">
        <f>'17'!F40</f>
        <v>2019.52</v>
      </c>
      <c r="F40" s="510">
        <v>2657.41</v>
      </c>
      <c r="G40" s="473">
        <f t="shared" si="3"/>
        <v>637.88999999999987</v>
      </c>
      <c r="H40" s="460">
        <f>G40+'17'!H40</f>
        <v>1768.4099999999999</v>
      </c>
      <c r="I40" s="455"/>
      <c r="J40" s="552">
        <f>H40/DAY(B2)</f>
        <v>98.24499999999999</v>
      </c>
      <c r="K40" s="429"/>
      <c r="L40" s="377"/>
      <c r="N40" s="719"/>
      <c r="O40" s="726"/>
      <c r="P40" s="382"/>
    </row>
    <row r="41" spans="1:16">
      <c r="A41" s="578" t="s">
        <v>169</v>
      </c>
      <c r="B41" s="579"/>
      <c r="C41" s="579"/>
      <c r="D41" s="523" t="s">
        <v>131</v>
      </c>
      <c r="E41" s="510">
        <f>'17'!F41</f>
        <v>293824.90999999997</v>
      </c>
      <c r="F41" s="510">
        <v>295098.84999999998</v>
      </c>
      <c r="G41" s="473">
        <f t="shared" si="3"/>
        <v>1273.9400000000023</v>
      </c>
      <c r="H41" s="460">
        <f>G41+'17'!H41</f>
        <v>54620.849999999977</v>
      </c>
      <c r="I41" s="455"/>
      <c r="J41" s="552">
        <f>H41/DAY(B2)</f>
        <v>3034.4916666666654</v>
      </c>
      <c r="K41" s="428"/>
      <c r="L41" s="377"/>
      <c r="N41" s="719"/>
      <c r="O41" s="728"/>
      <c r="P41" s="722"/>
    </row>
    <row r="42" spans="1:16">
      <c r="A42" s="578" t="s">
        <v>170</v>
      </c>
      <c r="B42" s="579"/>
      <c r="C42" s="579"/>
      <c r="D42" s="523" t="s">
        <v>131</v>
      </c>
      <c r="E42" s="510">
        <f>'17'!F42</f>
        <v>59210.080000000002</v>
      </c>
      <c r="F42" s="510">
        <v>59210.080000000002</v>
      </c>
      <c r="G42" s="473">
        <f t="shared" si="3"/>
        <v>0</v>
      </c>
      <c r="H42" s="460">
        <f>G42+'17'!H42</f>
        <v>11.110000000000582</v>
      </c>
      <c r="I42" s="455"/>
      <c r="J42" s="552">
        <f>H42/DAY(B2)</f>
        <v>0.61722222222225454</v>
      </c>
      <c r="K42" s="428"/>
      <c r="L42" s="377"/>
      <c r="N42" s="719"/>
      <c r="O42" s="726"/>
      <c r="P42" s="382"/>
    </row>
    <row r="43" spans="1:16">
      <c r="A43" s="578" t="s">
        <v>171</v>
      </c>
      <c r="B43" s="579"/>
      <c r="C43" s="579"/>
      <c r="D43" s="523" t="s">
        <v>131</v>
      </c>
      <c r="E43" s="510">
        <f>'17'!F43</f>
        <v>1083854.5</v>
      </c>
      <c r="F43" s="510">
        <v>1086611.3999999999</v>
      </c>
      <c r="G43" s="473">
        <f t="shared" si="3"/>
        <v>2756.8999999999069</v>
      </c>
      <c r="H43" s="460">
        <f>G43+'17'!H43</f>
        <v>44367.399999999907</v>
      </c>
      <c r="I43" s="455"/>
      <c r="J43" s="552">
        <f>H43/DAY(B2)</f>
        <v>2464.8555555555504</v>
      </c>
      <c r="K43" s="428"/>
      <c r="L43" s="377"/>
      <c r="N43" s="719"/>
      <c r="O43" s="727"/>
      <c r="P43" s="382"/>
    </row>
    <row r="44" spans="1:16">
      <c r="A44" s="578" t="s">
        <v>172</v>
      </c>
      <c r="B44" s="579"/>
      <c r="C44" s="579"/>
      <c r="D44" s="523" t="s">
        <v>131</v>
      </c>
      <c r="E44" s="510">
        <f>'17'!F44</f>
        <v>0</v>
      </c>
      <c r="F44" s="510">
        <v>0</v>
      </c>
      <c r="G44" s="473">
        <f t="shared" si="3"/>
        <v>0</v>
      </c>
      <c r="H44" s="460">
        <f>G44+'17'!H44</f>
        <v>0</v>
      </c>
      <c r="I44" s="455"/>
      <c r="J44" s="552">
        <f>H44/DAY(B2)</f>
        <v>0</v>
      </c>
      <c r="K44" s="428"/>
      <c r="L44" s="377"/>
      <c r="N44" s="719"/>
      <c r="O44" s="726"/>
      <c r="P44" s="382"/>
    </row>
    <row r="45" spans="1:16">
      <c r="A45" s="578" t="s">
        <v>173</v>
      </c>
      <c r="B45" s="579"/>
      <c r="C45" s="579"/>
      <c r="D45" s="523" t="s">
        <v>131</v>
      </c>
      <c r="E45" s="510">
        <f>'17'!F45</f>
        <v>614</v>
      </c>
      <c r="F45" s="510">
        <v>614</v>
      </c>
      <c r="G45" s="473">
        <f t="shared" si="3"/>
        <v>0</v>
      </c>
      <c r="H45" s="460">
        <f>G45+'17'!H45</f>
        <v>0</v>
      </c>
      <c r="I45" s="455"/>
      <c r="J45" s="552">
        <f>H45/DAY(B2)</f>
        <v>0</v>
      </c>
      <c r="K45" s="428"/>
      <c r="L45" s="377"/>
      <c r="N45" s="723"/>
      <c r="O45" s="726"/>
      <c r="P45" s="382"/>
    </row>
    <row r="46" spans="1:16">
      <c r="A46" s="578" t="s">
        <v>174</v>
      </c>
      <c r="B46" s="579"/>
      <c r="C46" s="579"/>
      <c r="D46" s="523" t="s">
        <v>131</v>
      </c>
      <c r="E46" s="510">
        <f>'17'!F46</f>
        <v>187.49</v>
      </c>
      <c r="F46" s="510">
        <v>187.44</v>
      </c>
      <c r="G46" s="473">
        <f t="shared" si="3"/>
        <v>-5.0000000000011369E-2</v>
      </c>
      <c r="H46" s="460">
        <f>G46+'17'!H46</f>
        <v>-5.0000000000011369E-2</v>
      </c>
      <c r="I46" s="455"/>
      <c r="J46" s="552">
        <f>H46/DAY(B2)</f>
        <v>-2.7777777777784093E-3</v>
      </c>
      <c r="K46" s="428"/>
      <c r="L46" s="377"/>
      <c r="N46" s="719"/>
      <c r="O46" s="726"/>
      <c r="P46" s="382"/>
    </row>
    <row r="47" spans="1:16">
      <c r="A47" s="585" t="s">
        <v>175</v>
      </c>
      <c r="B47" s="586"/>
      <c r="C47" s="586"/>
      <c r="D47" s="470"/>
      <c r="E47" s="511"/>
      <c r="F47" s="511"/>
      <c r="G47" s="481">
        <f>G35+G36+G37+G38+G39+G40+G41+G42+G43+G44+G45+G46</f>
        <v>14249.109999999895</v>
      </c>
      <c r="H47" s="460">
        <f>G47+'17'!H47</f>
        <v>256608.93999999983</v>
      </c>
      <c r="I47" s="455"/>
      <c r="J47" s="552">
        <f>H47/DAY(B2)</f>
        <v>14256.052222222213</v>
      </c>
      <c r="K47" s="428"/>
      <c r="L47" s="377"/>
      <c r="N47" s="719"/>
      <c r="O47" s="726"/>
      <c r="P47" s="382"/>
    </row>
    <row r="48" spans="1:16">
      <c r="A48" s="598" t="s">
        <v>176</v>
      </c>
      <c r="B48" s="1327"/>
      <c r="C48" s="1327"/>
      <c r="D48" s="472"/>
      <c r="E48" s="471"/>
      <c r="F48" s="471"/>
      <c r="G48" s="472"/>
      <c r="H48" s="472"/>
      <c r="I48" s="472"/>
      <c r="J48" s="551"/>
      <c r="K48" s="428"/>
      <c r="L48" s="377"/>
      <c r="N48" s="719"/>
      <c r="O48" s="726"/>
      <c r="P48" s="382"/>
    </row>
    <row r="49" spans="1:16">
      <c r="A49" s="578" t="s">
        <v>163</v>
      </c>
      <c r="B49" s="601"/>
      <c r="C49" s="601"/>
      <c r="D49" s="523" t="s">
        <v>131</v>
      </c>
      <c r="E49" s="510">
        <f>'17'!F49</f>
        <v>260732.13</v>
      </c>
      <c r="F49" s="510">
        <v>260732.13</v>
      </c>
      <c r="G49" s="473">
        <f t="shared" ref="G49:G58" si="4">F49-E49</f>
        <v>0</v>
      </c>
      <c r="H49" s="460">
        <f>G49+'17'!H49</f>
        <v>0.13000000000465661</v>
      </c>
      <c r="I49" s="455"/>
      <c r="J49" s="552">
        <f>H49/DAY(B2)</f>
        <v>7.2222222224809229E-3</v>
      </c>
      <c r="K49" s="428">
        <f>E49+247</f>
        <v>260979.13</v>
      </c>
      <c r="L49" s="377"/>
      <c r="N49" s="719"/>
      <c r="O49" s="726"/>
      <c r="P49" s="382"/>
    </row>
    <row r="50" spans="1:16">
      <c r="A50" s="578" t="s">
        <v>177</v>
      </c>
      <c r="B50" s="601"/>
      <c r="C50" s="601"/>
      <c r="D50" s="523" t="s">
        <v>131</v>
      </c>
      <c r="E50" s="510">
        <f>'17'!F50</f>
        <v>518861.15</v>
      </c>
      <c r="F50" s="510">
        <v>519829.99</v>
      </c>
      <c r="G50" s="473">
        <f t="shared" si="4"/>
        <v>968.8399999999674</v>
      </c>
      <c r="H50" s="460">
        <f>G50+'17'!H50</f>
        <v>16403.989999999991</v>
      </c>
      <c r="I50" s="455"/>
      <c r="J50" s="552">
        <f>H50/DAY(B2)</f>
        <v>911.33277777777721</v>
      </c>
      <c r="K50" s="428"/>
      <c r="L50" s="377"/>
      <c r="N50" s="719"/>
      <c r="O50" s="727"/>
      <c r="P50" s="382"/>
    </row>
    <row r="51" spans="1:16">
      <c r="A51" s="578" t="s">
        <v>165</v>
      </c>
      <c r="B51" s="601"/>
      <c r="C51" s="601"/>
      <c r="D51" s="523" t="s">
        <v>131</v>
      </c>
      <c r="E51" s="510">
        <f>'17'!F51</f>
        <v>144640</v>
      </c>
      <c r="F51" s="510">
        <v>144640</v>
      </c>
      <c r="G51" s="473">
        <f t="shared" si="4"/>
        <v>0</v>
      </c>
      <c r="H51" s="460">
        <f>G51+'17'!H51</f>
        <v>0</v>
      </c>
      <c r="I51" s="455"/>
      <c r="J51" s="552">
        <f>H51/DAY(B2)</f>
        <v>0</v>
      </c>
      <c r="K51" s="428"/>
      <c r="L51" s="377"/>
      <c r="N51" s="719"/>
      <c r="O51" s="726"/>
      <c r="P51" s="382"/>
    </row>
    <row r="52" spans="1:16">
      <c r="A52" s="578" t="s">
        <v>178</v>
      </c>
      <c r="B52" s="601"/>
      <c r="C52" s="601"/>
      <c r="D52" s="523" t="s">
        <v>131</v>
      </c>
      <c r="E52" s="510">
        <f>'17'!F52</f>
        <v>539606.06999999995</v>
      </c>
      <c r="F52" s="510">
        <v>539606</v>
      </c>
      <c r="G52" s="473">
        <f t="shared" si="4"/>
        <v>-6.9999999948777258E-2</v>
      </c>
      <c r="H52" s="460">
        <f>G52+'17'!H52</f>
        <v>-6.9999999948777258E-2</v>
      </c>
      <c r="I52" s="455"/>
      <c r="J52" s="552">
        <f>H52/DAY(B2)</f>
        <v>-3.8888888860431812E-3</v>
      </c>
      <c r="K52" s="428"/>
      <c r="L52" s="377"/>
      <c r="N52" s="719"/>
      <c r="O52" s="726"/>
      <c r="P52" s="382"/>
    </row>
    <row r="53" spans="1:16">
      <c r="A53" s="578" t="s">
        <v>167</v>
      </c>
      <c r="B53" s="601"/>
      <c r="C53" s="601"/>
      <c r="D53" s="523" t="s">
        <v>131</v>
      </c>
      <c r="E53" s="510">
        <f>'17'!F53</f>
        <v>434231.99</v>
      </c>
      <c r="F53" s="510">
        <v>434231.59</v>
      </c>
      <c r="G53" s="473">
        <f t="shared" si="4"/>
        <v>-0.3999999999650754</v>
      </c>
      <c r="H53" s="460">
        <f>G53+'17'!H53</f>
        <v>1663.2600000000093</v>
      </c>
      <c r="I53" s="455"/>
      <c r="J53" s="552">
        <f>H53/DAY(B2)</f>
        <v>92.403333333333848</v>
      </c>
      <c r="K53" s="428"/>
      <c r="L53" s="377"/>
      <c r="N53" s="719"/>
      <c r="O53" s="726"/>
      <c r="P53" s="382"/>
    </row>
    <row r="54" spans="1:16">
      <c r="A54" s="578" t="s">
        <v>179</v>
      </c>
      <c r="B54" s="601"/>
      <c r="C54" s="601"/>
      <c r="D54" s="523" t="s">
        <v>131</v>
      </c>
      <c r="E54" s="510">
        <f>'17'!F54</f>
        <v>14967.27</v>
      </c>
      <c r="F54" s="510">
        <v>14967.35</v>
      </c>
      <c r="G54" s="473">
        <f t="shared" si="4"/>
        <v>7.999999999992724E-2</v>
      </c>
      <c r="H54" s="460">
        <f>G54+'17'!H54</f>
        <v>1138.3500000000004</v>
      </c>
      <c r="I54" s="455"/>
      <c r="J54" s="552">
        <f>H54/DAY(B2)</f>
        <v>63.241666666666688</v>
      </c>
      <c r="K54" s="428"/>
      <c r="L54" s="377"/>
      <c r="N54" s="719"/>
      <c r="O54" s="726"/>
      <c r="P54" s="382"/>
    </row>
    <row r="55" spans="1:16">
      <c r="A55" s="578" t="s">
        <v>180</v>
      </c>
      <c r="B55" s="601"/>
      <c r="C55" s="601"/>
      <c r="D55" s="523" t="s">
        <v>131</v>
      </c>
      <c r="E55" s="510">
        <f>'17'!F55</f>
        <v>72232.070000000007</v>
      </c>
      <c r="F55" s="654">
        <v>77276.399999999994</v>
      </c>
      <c r="G55" s="653">
        <f t="shared" si="4"/>
        <v>5044.3299999999872</v>
      </c>
      <c r="H55" s="706">
        <f>G55+'17'!H55</f>
        <v>9165.3999999999942</v>
      </c>
      <c r="I55" s="707"/>
      <c r="J55" s="708">
        <f>H55/DAY(B2)</f>
        <v>509.18888888888858</v>
      </c>
      <c r="K55" s="428"/>
      <c r="L55" s="377"/>
      <c r="N55" s="719"/>
      <c r="O55" s="726"/>
      <c r="P55" s="382"/>
    </row>
    <row r="56" spans="1:16">
      <c r="A56" s="578" t="s">
        <v>181</v>
      </c>
      <c r="B56" s="601"/>
      <c r="C56" s="601"/>
      <c r="D56" s="523" t="s">
        <v>182</v>
      </c>
      <c r="E56" s="510">
        <f>'17'!F56</f>
        <v>648898.63</v>
      </c>
      <c r="F56" s="654">
        <v>648909.06999999995</v>
      </c>
      <c r="G56" s="473">
        <f t="shared" si="4"/>
        <v>10.439999999944121</v>
      </c>
      <c r="H56" s="460">
        <f>G56+'17'!H56</f>
        <v>31711.069999999949</v>
      </c>
      <c r="I56" s="455"/>
      <c r="J56" s="552">
        <f>H56/DAY(B2)</f>
        <v>1761.7261111111084</v>
      </c>
      <c r="K56" s="427"/>
      <c r="L56" s="377"/>
      <c r="N56" s="719"/>
      <c r="O56" s="728"/>
      <c r="P56" s="382"/>
    </row>
    <row r="57" spans="1:16">
      <c r="A57" s="578" t="s">
        <v>171</v>
      </c>
      <c r="B57" s="601"/>
      <c r="C57" s="601"/>
      <c r="D57" s="523" t="s">
        <v>131</v>
      </c>
      <c r="E57" s="510">
        <f>'17'!F57</f>
        <v>7711.33</v>
      </c>
      <c r="F57" s="510">
        <v>7711.33</v>
      </c>
      <c r="G57" s="473">
        <f t="shared" si="4"/>
        <v>0</v>
      </c>
      <c r="H57" s="460">
        <f>G57+'17'!H57</f>
        <v>0.32999999999992724</v>
      </c>
      <c r="I57" s="455"/>
      <c r="J57" s="552">
        <f>H57/DAY(B2)</f>
        <v>1.8333333333329292E-2</v>
      </c>
      <c r="K57" s="428"/>
      <c r="L57" s="377"/>
      <c r="N57" s="719"/>
      <c r="O57" s="726"/>
      <c r="P57" s="382"/>
    </row>
    <row r="58" spans="1:16">
      <c r="A58" s="578" t="s">
        <v>183</v>
      </c>
      <c r="B58" s="601"/>
      <c r="C58" s="601"/>
      <c r="D58" s="523" t="s">
        <v>131</v>
      </c>
      <c r="E58" s="510">
        <f>'17'!F58</f>
        <v>51763.74</v>
      </c>
      <c r="F58" s="654">
        <v>51918.14</v>
      </c>
      <c r="G58" s="473">
        <f t="shared" si="4"/>
        <v>154.40000000000146</v>
      </c>
      <c r="H58" s="460">
        <f>G58+'17'!H58</f>
        <v>2053.9300000000003</v>
      </c>
      <c r="I58" s="455"/>
      <c r="J58" s="552">
        <f>H58/DAY(B2)</f>
        <v>114.10722222222223</v>
      </c>
      <c r="K58" s="428"/>
      <c r="L58" s="377"/>
      <c r="N58" s="719"/>
      <c r="O58" s="726"/>
      <c r="P58" s="382"/>
    </row>
    <row r="59" spans="1:16">
      <c r="A59" s="585" t="s">
        <v>175</v>
      </c>
      <c r="B59" s="586"/>
      <c r="C59" s="586"/>
      <c r="D59" s="511"/>
      <c r="E59" s="511"/>
      <c r="F59" s="511"/>
      <c r="G59" s="481">
        <f>G49+G50+G51+G52+G53+G54+G55+G56+G57+G58</f>
        <v>6177.6199999999862</v>
      </c>
      <c r="H59" s="460">
        <f>G59+'17'!H59</f>
        <v>62136.459999999948</v>
      </c>
      <c r="I59" s="455">
        <f>G7-G60</f>
        <v>-421.20999999986088</v>
      </c>
      <c r="J59" s="552">
        <f>H59/DAY(B2)</f>
        <v>3452.0255555555527</v>
      </c>
      <c r="K59" s="428"/>
      <c r="L59" s="377"/>
      <c r="N59" s="719"/>
      <c r="O59" s="726"/>
      <c r="P59" s="382"/>
    </row>
    <row r="60" spans="1:16">
      <c r="A60" s="578"/>
      <c r="B60" s="579"/>
      <c r="C60" s="579"/>
      <c r="D60" s="511" t="s">
        <v>184</v>
      </c>
      <c r="E60" s="511"/>
      <c r="F60" s="511"/>
      <c r="G60" s="481">
        <f>G47+G59</f>
        <v>20426.72999999988</v>
      </c>
      <c r="H60" s="460">
        <f>G60+'17'!H60</f>
        <v>319953.93999999971</v>
      </c>
      <c r="I60" s="455">
        <f>G13-G60</f>
        <v>-1046.9299999998329</v>
      </c>
      <c r="J60" s="552">
        <f>H60/DAY(B2)</f>
        <v>17775.218888888874</v>
      </c>
      <c r="K60" s="428"/>
      <c r="L60" s="377"/>
      <c r="N60" s="719"/>
      <c r="O60" s="726"/>
      <c r="P60" s="382"/>
    </row>
    <row r="61" spans="1:16">
      <c r="A61" s="602" t="s">
        <v>185</v>
      </c>
      <c r="B61" s="453"/>
      <c r="C61" s="453"/>
      <c r="D61" s="513"/>
      <c r="E61" s="512"/>
      <c r="F61" s="512"/>
      <c r="G61" s="513"/>
      <c r="H61" s="513"/>
      <c r="I61" s="513"/>
      <c r="J61" s="555"/>
      <c r="K61" s="428"/>
      <c r="L61" s="377"/>
      <c r="N61" s="719"/>
      <c r="O61" s="726"/>
      <c r="P61" s="382"/>
    </row>
    <row r="62" spans="1:16">
      <c r="A62" s="603" t="s">
        <v>97</v>
      </c>
      <c r="B62" s="604"/>
      <c r="C62" s="604"/>
      <c r="D62" s="511" t="s">
        <v>186</v>
      </c>
      <c r="E62" s="514">
        <f>'17'!F62</f>
        <v>20419</v>
      </c>
      <c r="F62" s="514">
        <v>20419.18</v>
      </c>
      <c r="G62" s="473">
        <f t="shared" ref="G62:G69" si="5">F62-E62</f>
        <v>0.18000000000029104</v>
      </c>
      <c r="H62" s="460">
        <f>G62+'17'!H62</f>
        <v>0.18199999999706051</v>
      </c>
      <c r="I62" s="515"/>
      <c r="J62" s="552">
        <f>H62/DAY(B2)</f>
        <v>1.0111111110947806E-2</v>
      </c>
      <c r="K62" s="428"/>
      <c r="L62" s="377"/>
      <c r="N62" s="719"/>
      <c r="O62" s="726"/>
      <c r="P62" s="382"/>
    </row>
    <row r="63" spans="1:16">
      <c r="A63" s="603" t="s">
        <v>187</v>
      </c>
      <c r="B63" s="604"/>
      <c r="C63" s="604"/>
      <c r="D63" s="511" t="s">
        <v>186</v>
      </c>
      <c r="E63" s="514">
        <f>'17'!F63</f>
        <v>0</v>
      </c>
      <c r="F63" s="514">
        <v>0</v>
      </c>
      <c r="G63" s="473">
        <f t="shared" si="5"/>
        <v>0</v>
      </c>
      <c r="H63" s="460">
        <f>G63+'17'!H63</f>
        <v>0</v>
      </c>
      <c r="I63" s="515"/>
      <c r="J63" s="552">
        <f>H63/DAY(B2)</f>
        <v>0</v>
      </c>
      <c r="K63" s="428"/>
      <c r="L63" s="377"/>
      <c r="N63" s="719"/>
      <c r="O63" s="726"/>
      <c r="P63" s="382"/>
    </row>
    <row r="64" spans="1:16" ht="27.75">
      <c r="A64" s="1534" t="s">
        <v>98</v>
      </c>
      <c r="B64" s="1535"/>
      <c r="C64" s="1536"/>
      <c r="D64" s="523" t="s">
        <v>186</v>
      </c>
      <c r="E64" s="514">
        <f>'17'!F64</f>
        <v>165201.93</v>
      </c>
      <c r="F64" s="626">
        <v>165546.95000000001</v>
      </c>
      <c r="G64" s="774">
        <f t="shared" si="5"/>
        <v>345.02000000001863</v>
      </c>
      <c r="H64" s="460">
        <f>G64+'17'!H64</f>
        <v>5614.9500000000116</v>
      </c>
      <c r="I64" s="480"/>
      <c r="J64" s="552">
        <f>H64/DAY(B2)</f>
        <v>311.94166666666729</v>
      </c>
      <c r="K64" s="428"/>
      <c r="L64" s="377"/>
      <c r="N64" s="719"/>
      <c r="O64" s="726"/>
      <c r="P64" s="382"/>
    </row>
    <row r="65" spans="1:16" ht="27.75">
      <c r="A65" s="1534" t="s">
        <v>99</v>
      </c>
      <c r="B65" s="1535"/>
      <c r="C65" s="1536"/>
      <c r="D65" s="523" t="s">
        <v>186</v>
      </c>
      <c r="E65" s="514">
        <f>'17'!F65</f>
        <v>165495.54999999999</v>
      </c>
      <c r="F65" s="652">
        <v>165867.10999999999</v>
      </c>
      <c r="G65" s="473">
        <f t="shared" si="5"/>
        <v>371.55999999999767</v>
      </c>
      <c r="H65" s="460">
        <f>G65+'17'!H65</f>
        <v>4869.109999999986</v>
      </c>
      <c r="I65" s="489"/>
      <c r="J65" s="552">
        <f>H65/DAY(B2)</f>
        <v>270.50611111111033</v>
      </c>
      <c r="K65" s="428"/>
      <c r="L65" s="377"/>
      <c r="N65" s="719"/>
      <c r="O65" s="727"/>
      <c r="P65" s="382"/>
    </row>
    <row r="66" spans="1:16" ht="27.75">
      <c r="A66" s="1534" t="s">
        <v>100</v>
      </c>
      <c r="B66" s="1535"/>
      <c r="C66" s="1536"/>
      <c r="D66" s="523" t="s">
        <v>186</v>
      </c>
      <c r="E66" s="514">
        <f>'17'!F66</f>
        <v>62655.67</v>
      </c>
      <c r="F66" s="478">
        <v>63008.51</v>
      </c>
      <c r="G66" s="473">
        <f t="shared" si="5"/>
        <v>352.84000000000378</v>
      </c>
      <c r="H66" s="460">
        <f>G66+'17'!H66</f>
        <v>6203.510000000002</v>
      </c>
      <c r="I66" s="480"/>
      <c r="J66" s="552">
        <f>H66/DAY(B2)</f>
        <v>344.63944444444456</v>
      </c>
      <c r="K66" s="428"/>
      <c r="L66" s="377"/>
      <c r="N66" s="719"/>
      <c r="O66" s="726"/>
      <c r="P66" s="382"/>
    </row>
    <row r="67" spans="1:16" ht="27.75">
      <c r="A67" s="1534" t="s">
        <v>101</v>
      </c>
      <c r="B67" s="1535"/>
      <c r="C67" s="1536"/>
      <c r="D67" s="523" t="s">
        <v>186</v>
      </c>
      <c r="E67" s="514">
        <f>'17'!F67</f>
        <v>259060.43</v>
      </c>
      <c r="F67" s="478">
        <v>259536.45</v>
      </c>
      <c r="G67" s="473">
        <f t="shared" si="5"/>
        <v>476.02000000001863</v>
      </c>
      <c r="H67" s="460">
        <f>G67+'17'!H67</f>
        <v>7344.4500000000116</v>
      </c>
      <c r="I67" s="489"/>
      <c r="J67" s="552">
        <f>H67/DAY(B2)</f>
        <v>408.02500000000066</v>
      </c>
      <c r="K67" s="429"/>
      <c r="L67" s="377"/>
      <c r="N67" s="719"/>
      <c r="O67" s="726"/>
      <c r="P67" s="382"/>
    </row>
    <row r="68" spans="1:16" ht="27.75">
      <c r="A68" s="1534" t="s">
        <v>102</v>
      </c>
      <c r="B68" s="1535"/>
      <c r="C68" s="1536"/>
      <c r="D68" s="523" t="s">
        <v>186</v>
      </c>
      <c r="E68" s="514">
        <f>'17'!F68</f>
        <v>85321</v>
      </c>
      <c r="F68" s="478">
        <v>85321</v>
      </c>
      <c r="G68" s="473">
        <f t="shared" si="5"/>
        <v>0</v>
      </c>
      <c r="H68" s="460">
        <f>G68+'17'!H68</f>
        <v>0</v>
      </c>
      <c r="I68" s="516"/>
      <c r="J68" s="552">
        <f>H68/DAY(B2)</f>
        <v>0</v>
      </c>
      <c r="K68" s="430"/>
      <c r="L68" s="377"/>
      <c r="N68" s="719"/>
      <c r="O68" s="726"/>
      <c r="P68" s="382"/>
    </row>
    <row r="69" spans="1:16" ht="27.75">
      <c r="A69" s="1534" t="s">
        <v>103</v>
      </c>
      <c r="B69" s="1535"/>
      <c r="C69" s="1536"/>
      <c r="D69" s="523" t="s">
        <v>186</v>
      </c>
      <c r="E69" s="514">
        <f>'17'!F69</f>
        <v>84334.43</v>
      </c>
      <c r="F69" s="478">
        <v>84579.38</v>
      </c>
      <c r="G69" s="473">
        <f t="shared" si="5"/>
        <v>244.95000000001164</v>
      </c>
      <c r="H69" s="460">
        <f>G69+'17'!H69</f>
        <v>2830.3800000000047</v>
      </c>
      <c r="I69" s="516"/>
      <c r="J69" s="552">
        <f>H69/DAY(B2)</f>
        <v>157.2433333333336</v>
      </c>
      <c r="K69" s="431"/>
      <c r="L69" s="377"/>
      <c r="N69" s="719"/>
      <c r="O69" s="726"/>
      <c r="P69" s="382"/>
    </row>
    <row r="70" spans="1:16" ht="27.75">
      <c r="A70" s="1566" t="s">
        <v>188</v>
      </c>
      <c r="B70" s="1567"/>
      <c r="C70" s="1568"/>
      <c r="D70" s="523" t="s">
        <v>186</v>
      </c>
      <c r="E70" s="518"/>
      <c r="F70" s="518"/>
      <c r="G70" s="518"/>
      <c r="H70" s="460">
        <f>G70+'13'!H70</f>
        <v>0</v>
      </c>
      <c r="I70" s="518"/>
      <c r="J70" s="556"/>
      <c r="K70" s="431"/>
      <c r="L70" s="377"/>
      <c r="N70" s="719"/>
      <c r="O70" s="726"/>
      <c r="P70" s="382"/>
    </row>
    <row r="71" spans="1:16" ht="31.5">
      <c r="A71" s="1580" t="s">
        <v>189</v>
      </c>
      <c r="B71" s="1581"/>
      <c r="C71" s="1581"/>
      <c r="D71" s="1581"/>
      <c r="E71" s="1581"/>
      <c r="F71" s="1581"/>
      <c r="G71" s="1581"/>
      <c r="H71" s="1581"/>
      <c r="I71" s="1581"/>
      <c r="J71" s="1582"/>
      <c r="K71" s="430"/>
      <c r="L71" s="377"/>
      <c r="N71" s="719"/>
      <c r="O71" s="726"/>
      <c r="P71" s="382"/>
    </row>
    <row r="72" spans="1:16" ht="27.75">
      <c r="A72" s="1534" t="s">
        <v>190</v>
      </c>
      <c r="B72" s="1535"/>
      <c r="C72" s="1536"/>
      <c r="D72" s="523" t="s">
        <v>186</v>
      </c>
      <c r="E72" s="519">
        <f>'17'!F72</f>
        <v>856066</v>
      </c>
      <c r="F72" s="655">
        <v>856078</v>
      </c>
      <c r="G72" s="473">
        <f t="shared" ref="G72:G84" si="6">F72-E72</f>
        <v>12</v>
      </c>
      <c r="H72" s="460">
        <f>G72+'17'!H72</f>
        <v>222</v>
      </c>
      <c r="I72" s="480"/>
      <c r="J72" s="552">
        <f>H72/DAY(B2)</f>
        <v>12.333333333333334</v>
      </c>
      <c r="K72" s="431"/>
      <c r="L72" s="377"/>
      <c r="N72" s="719"/>
      <c r="O72" s="726"/>
      <c r="P72" s="382"/>
    </row>
    <row r="73" spans="1:16" ht="27.75">
      <c r="A73" s="1534" t="s">
        <v>191</v>
      </c>
      <c r="B73" s="1535"/>
      <c r="C73" s="1536"/>
      <c r="D73" s="523" t="s">
        <v>186</v>
      </c>
      <c r="E73" s="519">
        <f>'17'!F73</f>
        <v>885958</v>
      </c>
      <c r="F73" s="656">
        <v>885958</v>
      </c>
      <c r="G73" s="653">
        <f t="shared" si="6"/>
        <v>0</v>
      </c>
      <c r="H73" s="460">
        <f>G73+'17'!H73</f>
        <v>177</v>
      </c>
      <c r="I73" s="480"/>
      <c r="J73" s="552">
        <f>H73/DAY(B2)</f>
        <v>9.8333333333333339</v>
      </c>
      <c r="K73" s="430"/>
      <c r="L73" s="377"/>
      <c r="N73" s="719"/>
      <c r="O73" s="726"/>
      <c r="P73" s="382"/>
    </row>
    <row r="74" spans="1:16" ht="27.75">
      <c r="A74" s="1534" t="s">
        <v>192</v>
      </c>
      <c r="B74" s="1535"/>
      <c r="C74" s="1536"/>
      <c r="D74" s="523" t="s">
        <v>186</v>
      </c>
      <c r="E74" s="519">
        <f>'17'!F74</f>
        <v>88682.7</v>
      </c>
      <c r="F74" s="656">
        <v>88683.3</v>
      </c>
      <c r="G74" s="473">
        <f t="shared" si="6"/>
        <v>0.60000000000582077</v>
      </c>
      <c r="H74" s="460">
        <f>G74+'17'!H74</f>
        <v>18.260000000002947</v>
      </c>
      <c r="I74" s="480"/>
      <c r="J74" s="552">
        <f>H74/DAY(B2)</f>
        <v>1.0144444444446081</v>
      </c>
      <c r="K74" s="431"/>
      <c r="L74" s="377"/>
      <c r="N74" s="719"/>
      <c r="O74" s="726"/>
      <c r="P74" s="382"/>
    </row>
    <row r="75" spans="1:16" ht="27.75">
      <c r="A75" s="1583" t="s">
        <v>193</v>
      </c>
      <c r="B75" s="1584"/>
      <c r="C75" s="1585"/>
      <c r="D75" s="523" t="s">
        <v>186</v>
      </c>
      <c r="E75" s="519">
        <f>'17'!F75</f>
        <v>14156.57</v>
      </c>
      <c r="F75" s="656">
        <v>14299.42</v>
      </c>
      <c r="G75" s="473">
        <f t="shared" si="6"/>
        <v>142.85000000000036</v>
      </c>
      <c r="H75" s="460">
        <f>G75+'17'!H75</f>
        <v>1630.42</v>
      </c>
      <c r="I75" s="480"/>
      <c r="J75" s="552">
        <f>H75/DAY(B2)</f>
        <v>90.578888888888898</v>
      </c>
      <c r="K75" s="430"/>
      <c r="L75" s="377"/>
      <c r="N75" s="719"/>
      <c r="O75" s="726"/>
      <c r="P75" s="382"/>
    </row>
    <row r="76" spans="1:16" ht="27.75">
      <c r="A76" s="1583" t="s">
        <v>194</v>
      </c>
      <c r="B76" s="1584"/>
      <c r="C76" s="1585"/>
      <c r="D76" s="523" t="s">
        <v>186</v>
      </c>
      <c r="E76" s="519">
        <f>'17'!F76</f>
        <v>8407.7999999999993</v>
      </c>
      <c r="F76" s="656">
        <v>8466.48</v>
      </c>
      <c r="G76" s="473">
        <f t="shared" si="6"/>
        <v>58.680000000000291</v>
      </c>
      <c r="H76" s="460">
        <f>G76+'17'!H76</f>
        <v>1260.4799999999996</v>
      </c>
      <c r="I76" s="505"/>
      <c r="J76" s="552">
        <f>H76/DAY(B2)</f>
        <v>70.026666666666642</v>
      </c>
      <c r="K76" s="430"/>
      <c r="L76" s="377"/>
      <c r="N76" s="719"/>
      <c r="O76" s="726"/>
      <c r="P76" s="382"/>
    </row>
    <row r="77" spans="1:16" ht="27.75">
      <c r="A77" s="1534" t="s">
        <v>195</v>
      </c>
      <c r="B77" s="1535"/>
      <c r="C77" s="1536"/>
      <c r="D77" s="523" t="s">
        <v>186</v>
      </c>
      <c r="E77" s="519">
        <f>'17'!F77</f>
        <v>703690</v>
      </c>
      <c r="F77" s="656">
        <v>703744</v>
      </c>
      <c r="G77" s="653">
        <f t="shared" si="6"/>
        <v>54</v>
      </c>
      <c r="H77" s="460">
        <f>G77+'17'!H77</f>
        <v>905</v>
      </c>
      <c r="I77" s="505"/>
      <c r="J77" s="552">
        <f>H77/DAY(B2)</f>
        <v>50.277777777777779</v>
      </c>
      <c r="K77" s="430"/>
      <c r="L77" s="377"/>
      <c r="N77" s="719"/>
      <c r="O77" s="726"/>
      <c r="P77" s="382"/>
    </row>
    <row r="78" spans="1:16" ht="27.75">
      <c r="A78" s="1325" t="s">
        <v>196</v>
      </c>
      <c r="B78" s="1318"/>
      <c r="C78" s="1318"/>
      <c r="D78" s="523" t="s">
        <v>186</v>
      </c>
      <c r="E78" s="519">
        <f>'17'!F78</f>
        <v>674191</v>
      </c>
      <c r="F78" s="657">
        <v>674311</v>
      </c>
      <c r="G78" s="473">
        <f t="shared" si="6"/>
        <v>120</v>
      </c>
      <c r="H78" s="460">
        <f>G78+'17'!H78</f>
        <v>1279</v>
      </c>
      <c r="I78" s="505"/>
      <c r="J78" s="552">
        <f>H78/DAY(B2)</f>
        <v>71.055555555555557</v>
      </c>
      <c r="K78" s="430"/>
      <c r="L78" s="377"/>
      <c r="N78" s="719"/>
      <c r="O78" s="726"/>
      <c r="P78" s="382"/>
    </row>
    <row r="79" spans="1:16" ht="27.75">
      <c r="A79" s="1583" t="s">
        <v>91</v>
      </c>
      <c r="B79" s="1584"/>
      <c r="C79" s="1585"/>
      <c r="D79" s="524" t="s">
        <v>186</v>
      </c>
      <c r="E79" s="519">
        <f>'17'!F79</f>
        <v>833493</v>
      </c>
      <c r="F79" s="657">
        <v>833636</v>
      </c>
      <c r="G79" s="473">
        <f t="shared" si="6"/>
        <v>143</v>
      </c>
      <c r="H79" s="460">
        <f>G79+'17'!H79</f>
        <v>1614</v>
      </c>
      <c r="I79" s="505"/>
      <c r="J79" s="552">
        <f>H79/DAY(B2)</f>
        <v>89.666666666666671</v>
      </c>
      <c r="K79" s="430"/>
      <c r="L79" s="377"/>
      <c r="N79" s="719"/>
      <c r="O79" s="726"/>
      <c r="P79" s="382"/>
    </row>
    <row r="80" spans="1:16" ht="27.75">
      <c r="A80" s="1583" t="s">
        <v>197</v>
      </c>
      <c r="B80" s="1584"/>
      <c r="C80" s="1585"/>
      <c r="D80" s="524" t="s">
        <v>186</v>
      </c>
      <c r="E80" s="519">
        <f>'17'!F80</f>
        <v>533870.52</v>
      </c>
      <c r="F80" s="656">
        <v>534260.84</v>
      </c>
      <c r="G80" s="473">
        <f t="shared" si="6"/>
        <v>390.31999999994878</v>
      </c>
      <c r="H80" s="460">
        <f>G80+'17'!H80</f>
        <v>3715.3199999999488</v>
      </c>
      <c r="I80" s="505"/>
      <c r="J80" s="552">
        <f>H80/DAY(B2)</f>
        <v>206.40666666666382</v>
      </c>
      <c r="K80" s="430"/>
      <c r="L80" s="377"/>
      <c r="N80" s="719"/>
      <c r="O80" s="726"/>
      <c r="P80" s="382"/>
    </row>
    <row r="81" spans="1:16" ht="27.75">
      <c r="A81" s="1583" t="s">
        <v>198</v>
      </c>
      <c r="B81" s="1584"/>
      <c r="C81" s="1585"/>
      <c r="D81" s="524" t="s">
        <v>186</v>
      </c>
      <c r="E81" s="519">
        <f>'17'!F81</f>
        <v>640893.56000000006</v>
      </c>
      <c r="F81" s="656">
        <v>641035.31999999995</v>
      </c>
      <c r="G81" s="473">
        <f t="shared" si="6"/>
        <v>141.7599999998929</v>
      </c>
      <c r="H81" s="460">
        <f>G81+'17'!H81</f>
        <v>2137.3199999999488</v>
      </c>
      <c r="I81" s="505"/>
      <c r="J81" s="552">
        <f>H81/DAY(B2)</f>
        <v>118.73999999999715</v>
      </c>
      <c r="K81" s="430"/>
      <c r="L81" s="377"/>
      <c r="N81" s="719"/>
      <c r="O81" s="726"/>
      <c r="P81" s="382"/>
    </row>
    <row r="82" spans="1:16" s="776" customFormat="1" ht="27.75">
      <c r="A82" s="1603" t="s">
        <v>92</v>
      </c>
      <c r="B82" s="1604"/>
      <c r="C82" s="1605"/>
      <c r="D82" s="626" t="s">
        <v>131</v>
      </c>
      <c r="E82" s="519">
        <f>'17'!F82</f>
        <v>108435.34</v>
      </c>
      <c r="F82" s="626">
        <v>108460.61</v>
      </c>
      <c r="G82" s="774">
        <f t="shared" si="6"/>
        <v>25.270000000004075</v>
      </c>
      <c r="H82" s="479">
        <f>G82+'17'!H82</f>
        <v>302.61000000000058</v>
      </c>
      <c r="I82" s="479"/>
      <c r="J82" s="775">
        <f>H82/DAY(B2)</f>
        <v>16.811666666666699</v>
      </c>
      <c r="K82" s="1217"/>
      <c r="L82" s="1218"/>
      <c r="N82" s="723"/>
      <c r="O82" s="727"/>
      <c r="P82" s="722"/>
    </row>
    <row r="83" spans="1:16" ht="27.75">
      <c r="A83" s="1583" t="s">
        <v>199</v>
      </c>
      <c r="B83" s="1584"/>
      <c r="C83" s="1585"/>
      <c r="D83" s="620" t="s">
        <v>131</v>
      </c>
      <c r="E83" s="519">
        <f>'17'!F83</f>
        <v>23906</v>
      </c>
      <c r="F83" s="511">
        <v>24106</v>
      </c>
      <c r="G83" s="473">
        <f t="shared" si="6"/>
        <v>200</v>
      </c>
      <c r="H83" s="460">
        <f>G83+'17'!H83</f>
        <v>3600</v>
      </c>
      <c r="I83" s="481"/>
      <c r="J83" s="552">
        <f>H83/DAY(B2)</f>
        <v>200</v>
      </c>
      <c r="K83" s="429"/>
      <c r="L83" s="377"/>
      <c r="N83" s="719"/>
      <c r="O83" s="726"/>
      <c r="P83" s="382"/>
    </row>
    <row r="84" spans="1:16">
      <c r="A84" s="1326" t="s">
        <v>200</v>
      </c>
      <c r="B84" s="571"/>
      <c r="C84" s="571"/>
      <c r="D84" s="478" t="s">
        <v>131</v>
      </c>
      <c r="E84" s="519">
        <f>'17'!F84</f>
        <v>512617</v>
      </c>
      <c r="F84" s="627">
        <v>513364</v>
      </c>
      <c r="G84" s="473">
        <f t="shared" si="6"/>
        <v>747</v>
      </c>
      <c r="H84" s="460">
        <f>G84+'17'!H84</f>
        <v>13070</v>
      </c>
      <c r="I84" s="481"/>
      <c r="J84" s="552">
        <f>H84/DAY(B2)</f>
        <v>726.11111111111109</v>
      </c>
      <c r="K84" s="380"/>
      <c r="L84" s="377"/>
      <c r="N84" s="719"/>
      <c r="O84" s="726"/>
      <c r="P84" s="382"/>
    </row>
    <row r="85" spans="1:16" s="379" customFormat="1">
      <c r="A85" s="605" t="s">
        <v>201</v>
      </c>
      <c r="B85" s="572"/>
      <c r="C85" s="572"/>
      <c r="D85" s="489"/>
      <c r="E85" s="523"/>
      <c r="F85" s="523"/>
      <c r="G85" s="460">
        <f xml:space="preserve"> SUM(G72:G84)</f>
        <v>2035.4799999998522</v>
      </c>
      <c r="H85" s="460">
        <f>G85+'17'!H85</f>
        <v>33474.92999999992</v>
      </c>
      <c r="I85" s="481"/>
      <c r="J85" s="552">
        <f>H85/DAY(B2)</f>
        <v>1859.7183333333289</v>
      </c>
      <c r="K85" s="380"/>
      <c r="L85" s="378"/>
      <c r="N85" s="719"/>
      <c r="O85" s="726"/>
      <c r="P85" s="382"/>
    </row>
    <row r="86" spans="1:16" s="736" customFormat="1">
      <c r="A86" s="731" t="s">
        <v>93</v>
      </c>
      <c r="B86" s="732"/>
      <c r="C86" s="732"/>
      <c r="D86" s="733" t="s">
        <v>182</v>
      </c>
      <c r="E86" s="627">
        <f>'17'!F86</f>
        <v>461458.28</v>
      </c>
      <c r="F86" s="648">
        <v>461480.2</v>
      </c>
      <c r="G86" s="706">
        <f t="shared" ref="G86:G91" si="7">F86-E86</f>
        <v>21.919999999983702</v>
      </c>
      <c r="H86" s="706">
        <f t="shared" ref="H86:H88" si="8">G86</f>
        <v>21.919999999983702</v>
      </c>
      <c r="I86" s="653"/>
      <c r="J86" s="708">
        <f>H86/DAY(B2)</f>
        <v>1.2177777777768723</v>
      </c>
      <c r="K86" s="734"/>
      <c r="L86" s="735"/>
      <c r="O86" s="714"/>
    </row>
    <row r="87" spans="1:16" s="736" customFormat="1">
      <c r="A87" s="731" t="s">
        <v>94</v>
      </c>
      <c r="B87" s="732"/>
      <c r="C87" s="732"/>
      <c r="D87" s="733" t="s">
        <v>182</v>
      </c>
      <c r="E87" s="627">
        <f>'17'!F87</f>
        <v>81728.800000000003</v>
      </c>
      <c r="F87" s="648">
        <v>81757.7</v>
      </c>
      <c r="G87" s="706">
        <f t="shared" si="7"/>
        <v>28.899999999994179</v>
      </c>
      <c r="H87" s="706">
        <f t="shared" si="8"/>
        <v>28.899999999994179</v>
      </c>
      <c r="I87" s="653"/>
      <c r="J87" s="708">
        <f>H87/DAY(B2)</f>
        <v>1.6055555555552321</v>
      </c>
      <c r="K87" s="734"/>
      <c r="L87" s="735"/>
      <c r="O87" s="714"/>
    </row>
    <row r="88" spans="1:16" s="736" customFormat="1">
      <c r="A88" s="731" t="s">
        <v>95</v>
      </c>
      <c r="B88" s="732"/>
      <c r="C88" s="732"/>
      <c r="D88" s="733" t="s">
        <v>182</v>
      </c>
      <c r="E88" s="627">
        <f>'17'!F88</f>
        <v>154077.66</v>
      </c>
      <c r="F88" s="648">
        <v>154172.51</v>
      </c>
      <c r="G88" s="706">
        <f t="shared" si="7"/>
        <v>94.850000000005821</v>
      </c>
      <c r="H88" s="706">
        <f t="shared" si="8"/>
        <v>94.850000000005821</v>
      </c>
      <c r="I88" s="653"/>
      <c r="J88" s="708">
        <f>H88/DAY(B2)</f>
        <v>5.2694444444447681</v>
      </c>
      <c r="K88" s="734"/>
      <c r="L88" s="735"/>
      <c r="O88" s="714"/>
    </row>
    <row r="89" spans="1:16" s="736" customFormat="1">
      <c r="A89" s="731" t="s">
        <v>203</v>
      </c>
      <c r="B89" s="732"/>
      <c r="C89" s="732"/>
      <c r="D89" s="733" t="s">
        <v>182</v>
      </c>
      <c r="E89" s="627">
        <f>'17'!F89</f>
        <v>65512.1</v>
      </c>
      <c r="F89" s="648">
        <v>65528.6</v>
      </c>
      <c r="G89" s="706">
        <f t="shared" si="7"/>
        <v>16.5</v>
      </c>
      <c r="H89" s="706">
        <f>G89</f>
        <v>16.5</v>
      </c>
      <c r="I89" s="653"/>
      <c r="J89" s="708">
        <f>H89/DAY(B2)</f>
        <v>0.91666666666666663</v>
      </c>
      <c r="K89" s="734"/>
      <c r="L89" s="735"/>
      <c r="N89" s="778"/>
      <c r="O89" s="382"/>
    </row>
    <row r="90" spans="1:16" s="736" customFormat="1">
      <c r="A90" s="731" t="s">
        <v>203</v>
      </c>
      <c r="B90" s="732"/>
      <c r="C90" s="732"/>
      <c r="D90" s="733" t="s">
        <v>182</v>
      </c>
      <c r="E90" s="627">
        <f>'17'!F90</f>
        <v>3303.9</v>
      </c>
      <c r="F90" s="648">
        <v>3307.4</v>
      </c>
      <c r="G90" s="706">
        <f t="shared" si="7"/>
        <v>3.5</v>
      </c>
      <c r="H90" s="706">
        <f>G90</f>
        <v>3.5</v>
      </c>
      <c r="I90" s="653"/>
      <c r="J90" s="708">
        <f>H90/DAY(B2)</f>
        <v>0.19444444444444445</v>
      </c>
      <c r="K90" s="734"/>
      <c r="L90" s="735"/>
      <c r="N90" s="778"/>
      <c r="O90" s="382"/>
    </row>
    <row r="91" spans="1:16" s="736" customFormat="1">
      <c r="A91" s="731" t="s">
        <v>350</v>
      </c>
      <c r="B91" s="732"/>
      <c r="C91" s="732"/>
      <c r="D91" s="733" t="s">
        <v>131</v>
      </c>
      <c r="E91" s="627">
        <f>'17'!F91</f>
        <v>28145.72</v>
      </c>
      <c r="F91" s="648">
        <v>28154.166399999998</v>
      </c>
      <c r="G91" s="706">
        <f t="shared" si="7"/>
        <v>8.4463999999970838</v>
      </c>
      <c r="H91" s="706">
        <f>G91</f>
        <v>8.4463999999970838</v>
      </c>
      <c r="I91" s="653"/>
      <c r="J91" s="708"/>
      <c r="K91" s="734"/>
      <c r="L91" s="735"/>
      <c r="N91" s="778"/>
      <c r="O91" s="382"/>
    </row>
    <row r="92" spans="1:16" s="379" customFormat="1">
      <c r="A92" s="606" t="s">
        <v>204</v>
      </c>
      <c r="B92" s="1328"/>
      <c r="C92" s="1328"/>
      <c r="D92" s="472"/>
      <c r="E92" s="472"/>
      <c r="F92" s="472"/>
      <c r="G92" s="488"/>
      <c r="H92" s="472"/>
      <c r="I92" s="472"/>
      <c r="J92" s="551"/>
      <c r="K92" s="380"/>
      <c r="L92" s="378"/>
      <c r="N92" s="719"/>
      <c r="O92" s="726"/>
      <c r="P92" s="382"/>
    </row>
    <row r="93" spans="1:16" ht="27.75">
      <c r="A93" s="1537" t="s">
        <v>205</v>
      </c>
      <c r="B93" s="1538"/>
      <c r="C93" s="1539"/>
      <c r="D93" s="523" t="s">
        <v>143</v>
      </c>
      <c r="E93" s="484">
        <f>'17'!F93</f>
        <v>246293</v>
      </c>
      <c r="F93" s="478">
        <v>246344</v>
      </c>
      <c r="G93" s="473">
        <f t="shared" ref="G93:G94" si="9">F93-E93</f>
        <v>51</v>
      </c>
      <c r="H93" s="460">
        <f>G93+'17'!H93</f>
        <v>856</v>
      </c>
      <c r="I93" s="480"/>
      <c r="J93" s="552">
        <f>H93/DAY(B2)</f>
        <v>47.555555555555557</v>
      </c>
      <c r="K93" s="429"/>
      <c r="L93" s="377"/>
      <c r="N93" s="719"/>
      <c r="O93" s="726"/>
      <c r="P93" s="382"/>
    </row>
    <row r="94" spans="1:16" ht="27.75">
      <c r="A94" s="1537" t="s">
        <v>206</v>
      </c>
      <c r="B94" s="1538"/>
      <c r="C94" s="1539"/>
      <c r="D94" s="523" t="s">
        <v>143</v>
      </c>
      <c r="E94" s="484">
        <f>'17'!F94</f>
        <v>187755</v>
      </c>
      <c r="F94" s="478">
        <v>187830</v>
      </c>
      <c r="G94" s="473">
        <f t="shared" si="9"/>
        <v>75</v>
      </c>
      <c r="H94" s="460">
        <f>G94+'17'!H94</f>
        <v>1709</v>
      </c>
      <c r="I94" s="480"/>
      <c r="J94" s="552">
        <f>H94/DAY(B2)</f>
        <v>94.944444444444443</v>
      </c>
      <c r="K94" s="380"/>
      <c r="L94" s="377"/>
      <c r="N94" s="719"/>
      <c r="O94" s="726"/>
      <c r="P94" s="382"/>
    </row>
    <row r="95" spans="1:16">
      <c r="A95" s="1531" t="s">
        <v>207</v>
      </c>
      <c r="B95" s="1532"/>
      <c r="C95" s="1533"/>
      <c r="D95" s="523"/>
      <c r="E95" s="484">
        <f>'17'!F95</f>
        <v>0</v>
      </c>
      <c r="F95" s="478"/>
      <c r="G95" s="473">
        <f>G93+G94</f>
        <v>126</v>
      </c>
      <c r="H95" s="460">
        <f>G95+'17'!H95</f>
        <v>2489</v>
      </c>
      <c r="I95" s="480"/>
      <c r="J95" s="552">
        <f>H95/DAY(B2)</f>
        <v>138.27777777777777</v>
      </c>
      <c r="K95" s="380"/>
      <c r="L95" s="377"/>
      <c r="N95" s="719"/>
      <c r="O95" s="726"/>
      <c r="P95" s="382"/>
    </row>
    <row r="96" spans="1:16" ht="27.75">
      <c r="A96" s="1537" t="s">
        <v>208</v>
      </c>
      <c r="B96" s="1538"/>
      <c r="C96" s="1539"/>
      <c r="D96" s="523" t="s">
        <v>143</v>
      </c>
      <c r="E96" s="484">
        <f>'17'!F96</f>
        <v>415149</v>
      </c>
      <c r="F96" s="478">
        <v>415205</v>
      </c>
      <c r="G96" s="473">
        <f t="shared" ref="G96:G101" si="10">F96-E96</f>
        <v>56</v>
      </c>
      <c r="H96" s="460">
        <f>G96+'17'!H96</f>
        <v>922</v>
      </c>
      <c r="I96" s="480"/>
      <c r="J96" s="552">
        <f>H96/DAY(B2)</f>
        <v>51.222222222222221</v>
      </c>
      <c r="K96" s="380"/>
      <c r="L96" s="377"/>
      <c r="N96" s="719"/>
      <c r="O96" s="726"/>
      <c r="P96" s="382"/>
    </row>
    <row r="97" spans="1:16" ht="27.75">
      <c r="A97" s="1322" t="s">
        <v>209</v>
      </c>
      <c r="B97" s="1323"/>
      <c r="C97" s="1323"/>
      <c r="D97" s="523" t="s">
        <v>143</v>
      </c>
      <c r="E97" s="484">
        <f>'17'!F97</f>
        <v>102875</v>
      </c>
      <c r="F97" s="478">
        <v>102889</v>
      </c>
      <c r="G97" s="473">
        <f t="shared" si="10"/>
        <v>14</v>
      </c>
      <c r="H97" s="460">
        <f>G97+'17'!H97</f>
        <v>241</v>
      </c>
      <c r="I97" s="480"/>
      <c r="J97" s="552">
        <f>H97/DAY(B2)</f>
        <v>13.388888888888889</v>
      </c>
      <c r="K97" s="427"/>
      <c r="L97" s="377"/>
      <c r="N97" s="719"/>
      <c r="O97" s="726"/>
      <c r="P97" s="382"/>
    </row>
    <row r="98" spans="1:16" ht="27.75">
      <c r="A98" s="1322" t="s">
        <v>210</v>
      </c>
      <c r="B98" s="1323"/>
      <c r="C98" s="1323"/>
      <c r="D98" s="523" t="s">
        <v>143</v>
      </c>
      <c r="E98" s="484">
        <f>'17'!F98</f>
        <v>98315</v>
      </c>
      <c r="F98" s="478">
        <v>98343</v>
      </c>
      <c r="G98" s="473">
        <f t="shared" si="10"/>
        <v>28</v>
      </c>
      <c r="H98" s="460">
        <f>G98+'17'!H98</f>
        <v>393</v>
      </c>
      <c r="I98" s="480"/>
      <c r="J98" s="552">
        <f>H98/DAY(B2)</f>
        <v>21.833333333333332</v>
      </c>
      <c r="K98" s="432"/>
      <c r="L98" s="377"/>
      <c r="N98" s="719"/>
      <c r="O98" s="726"/>
      <c r="P98" s="382"/>
    </row>
    <row r="99" spans="1:16" ht="27.75">
      <c r="A99" s="1322" t="s">
        <v>211</v>
      </c>
      <c r="B99" s="1323"/>
      <c r="C99" s="1323"/>
      <c r="D99" s="523" t="s">
        <v>143</v>
      </c>
      <c r="E99" s="484">
        <f>'17'!F99</f>
        <v>149989</v>
      </c>
      <c r="F99" s="478">
        <v>149994</v>
      </c>
      <c r="G99" s="473">
        <f t="shared" si="10"/>
        <v>5</v>
      </c>
      <c r="H99" s="460">
        <f>G99+'17'!H99</f>
        <v>142</v>
      </c>
      <c r="I99" s="480"/>
      <c r="J99" s="552">
        <f>H99/DAY(B2)</f>
        <v>7.8888888888888893</v>
      </c>
      <c r="K99" s="380"/>
      <c r="L99" s="377"/>
      <c r="N99" s="721"/>
      <c r="O99" s="726"/>
      <c r="P99" s="382"/>
    </row>
    <row r="100" spans="1:16" ht="27.75">
      <c r="A100" s="1322" t="s">
        <v>212</v>
      </c>
      <c r="B100" s="1323"/>
      <c r="C100" s="1323"/>
      <c r="D100" s="523" t="s">
        <v>143</v>
      </c>
      <c r="E100" s="484">
        <f>'17'!F100</f>
        <v>7547</v>
      </c>
      <c r="F100" s="478">
        <v>7553</v>
      </c>
      <c r="G100" s="473">
        <f t="shared" si="10"/>
        <v>6</v>
      </c>
      <c r="H100" s="460">
        <f>G100+'17'!H100</f>
        <v>184</v>
      </c>
      <c r="I100" s="480"/>
      <c r="J100" s="552">
        <f>H100/DAY(B2)</f>
        <v>10.222222222222221</v>
      </c>
      <c r="K100" s="380"/>
      <c r="L100" s="377"/>
      <c r="N100" s="719"/>
      <c r="O100" s="726"/>
      <c r="P100" s="382"/>
    </row>
    <row r="101" spans="1:16" ht="27.75">
      <c r="A101" s="1322" t="s">
        <v>213</v>
      </c>
      <c r="B101" s="1323"/>
      <c r="C101" s="1323"/>
      <c r="D101" s="523" t="s">
        <v>143</v>
      </c>
      <c r="E101" s="484">
        <f>'17'!F101</f>
        <v>5532</v>
      </c>
      <c r="F101" s="478">
        <v>5541</v>
      </c>
      <c r="G101" s="473">
        <f t="shared" si="10"/>
        <v>9</v>
      </c>
      <c r="H101" s="460">
        <f>G101+'17'!H101</f>
        <v>150</v>
      </c>
      <c r="I101" s="480"/>
      <c r="J101" s="552">
        <f>H101/DAY(B2)</f>
        <v>8.3333333333333339</v>
      </c>
      <c r="K101" s="380"/>
      <c r="L101" s="377"/>
      <c r="N101" s="719"/>
      <c r="O101" s="726"/>
      <c r="P101" s="382"/>
    </row>
    <row r="102" spans="1:16">
      <c r="A102" s="1531" t="s">
        <v>215</v>
      </c>
      <c r="B102" s="1532"/>
      <c r="C102" s="1533"/>
      <c r="D102" s="524"/>
      <c r="E102" s="484"/>
      <c r="F102" s="524"/>
      <c r="G102" s="525">
        <f>SUM(G96:G101)</f>
        <v>118</v>
      </c>
      <c r="H102" s="460">
        <f>G102+'17'!H102</f>
        <v>2032</v>
      </c>
      <c r="I102" s="526"/>
      <c r="J102" s="552">
        <f>H102/DAY(B2)</f>
        <v>112.88888888888889</v>
      </c>
      <c r="K102" s="380"/>
      <c r="L102" s="377"/>
      <c r="N102" s="719"/>
      <c r="O102" s="726"/>
      <c r="P102" s="382"/>
    </row>
    <row r="103" spans="1:16" s="442" customFormat="1" ht="27">
      <c r="A103" s="607" t="s">
        <v>216</v>
      </c>
      <c r="B103" s="608"/>
      <c r="C103" s="608"/>
      <c r="D103" s="621"/>
      <c r="E103" s="484"/>
      <c r="F103" s="658"/>
      <c r="G103" s="529"/>
      <c r="H103" s="530"/>
      <c r="I103" s="531"/>
      <c r="J103" s="557"/>
      <c r="N103" s="719"/>
      <c r="O103" s="726"/>
      <c r="P103" s="382"/>
    </row>
    <row r="104" spans="1:16" s="442" customFormat="1" ht="27.75">
      <c r="A104" s="1540" t="s">
        <v>217</v>
      </c>
      <c r="B104" s="1541"/>
      <c r="C104" s="573"/>
      <c r="D104" s="622"/>
      <c r="E104" s="484"/>
      <c r="F104" s="659"/>
      <c r="G104" s="532"/>
      <c r="H104" s="533"/>
      <c r="I104" s="532"/>
      <c r="J104" s="558"/>
      <c r="N104" s="719"/>
      <c r="O104" s="726"/>
      <c r="P104" s="382"/>
    </row>
    <row r="105" spans="1:16" s="442" customFormat="1" ht="27.75">
      <c r="A105" s="1542" t="s">
        <v>218</v>
      </c>
      <c r="B105" s="1543"/>
      <c r="C105" s="1321"/>
      <c r="D105" s="622" t="s">
        <v>143</v>
      </c>
      <c r="E105" s="484">
        <f>'17'!F105</f>
        <v>7473</v>
      </c>
      <c r="F105" s="659">
        <v>7473</v>
      </c>
      <c r="G105" s="532">
        <f>F105-E105</f>
        <v>0</v>
      </c>
      <c r="H105" s="533">
        <f>SUM(G105+'1'!G76)</f>
        <v>57</v>
      </c>
      <c r="I105" s="532"/>
      <c r="J105" s="558">
        <f>H105/DAY(B2)</f>
        <v>3.1666666666666665</v>
      </c>
      <c r="N105" s="719"/>
      <c r="O105" s="726"/>
      <c r="P105" s="382"/>
    </row>
    <row r="106" spans="1:16" s="442" customFormat="1" ht="27.75">
      <c r="A106" s="1542" t="s">
        <v>76</v>
      </c>
      <c r="B106" s="1543"/>
      <c r="C106" s="1321"/>
      <c r="D106" s="622" t="s">
        <v>143</v>
      </c>
      <c r="E106" s="484">
        <f>'17'!F106</f>
        <v>36053</v>
      </c>
      <c r="F106" s="660">
        <v>36054</v>
      </c>
      <c r="G106" s="532">
        <f t="shared" ref="G106:G107" si="11">F106-E106</f>
        <v>1</v>
      </c>
      <c r="H106" s="533">
        <f>SUM(G106+'1'!G77)</f>
        <v>50</v>
      </c>
      <c r="I106" s="532"/>
      <c r="J106" s="558">
        <f>H106/DAY(B2)</f>
        <v>2.7777777777777777</v>
      </c>
      <c r="N106" s="719"/>
      <c r="O106" s="726"/>
      <c r="P106" s="382"/>
    </row>
    <row r="107" spans="1:16" s="442" customFormat="1" ht="27.75">
      <c r="A107" s="1542" t="s">
        <v>77</v>
      </c>
      <c r="B107" s="1544"/>
      <c r="C107" s="1543"/>
      <c r="D107" s="622" t="s">
        <v>143</v>
      </c>
      <c r="E107" s="484">
        <f>'17'!F107</f>
        <v>19767</v>
      </c>
      <c r="F107" s="660">
        <v>19769</v>
      </c>
      <c r="G107" s="532">
        <f t="shared" si="11"/>
        <v>2</v>
      </c>
      <c r="H107" s="533">
        <f>SUM(G107+'1'!G78)</f>
        <v>57</v>
      </c>
      <c r="I107" s="532"/>
      <c r="J107" s="558">
        <f>H107/DAY(B2)</f>
        <v>3.1666666666666665</v>
      </c>
      <c r="N107" s="719"/>
      <c r="O107" s="726"/>
      <c r="P107" s="382"/>
    </row>
    <row r="108" spans="1:16" s="442" customFormat="1" ht="27.75">
      <c r="A108" s="1545" t="s">
        <v>201</v>
      </c>
      <c r="B108" s="1546"/>
      <c r="C108" s="1321"/>
      <c r="D108" s="622"/>
      <c r="E108" s="484">
        <f>'17'!F108</f>
        <v>0</v>
      </c>
      <c r="F108" s="660"/>
      <c r="G108" s="532">
        <f>SUM(G105:G107)</f>
        <v>3</v>
      </c>
      <c r="H108" s="533">
        <f>SUM(G108+'1'!G79)</f>
        <v>158</v>
      </c>
      <c r="I108" s="532"/>
      <c r="J108" s="558">
        <f>H108/DAY(B2)</f>
        <v>8.7777777777777786</v>
      </c>
      <c r="N108" s="719"/>
      <c r="O108" s="726"/>
      <c r="P108" s="382"/>
    </row>
    <row r="109" spans="1:16" s="442" customFormat="1" ht="27.75">
      <c r="A109" s="1547" t="s">
        <v>78</v>
      </c>
      <c r="B109" s="1548"/>
      <c r="C109" s="1321"/>
      <c r="D109" s="622" t="s">
        <v>143</v>
      </c>
      <c r="E109" s="484">
        <f>'17'!F109</f>
        <v>0</v>
      </c>
      <c r="F109" s="660"/>
      <c r="G109" s="532"/>
      <c r="H109" s="533"/>
      <c r="I109" s="532"/>
      <c r="J109" s="558"/>
      <c r="N109" s="719"/>
      <c r="O109" s="726"/>
      <c r="P109" s="382"/>
    </row>
    <row r="110" spans="1:16" s="442" customFormat="1" ht="27.75">
      <c r="A110" s="1542" t="s">
        <v>219</v>
      </c>
      <c r="B110" s="1543"/>
      <c r="C110" s="1321"/>
      <c r="D110" s="622" t="s">
        <v>143</v>
      </c>
      <c r="E110" s="484">
        <f>'17'!F110</f>
        <v>63832</v>
      </c>
      <c r="F110" s="660">
        <v>63907</v>
      </c>
      <c r="G110" s="532">
        <f>F110-E110</f>
        <v>75</v>
      </c>
      <c r="H110" s="533">
        <f>SUM(G110+'1'!G81)</f>
        <v>169</v>
      </c>
      <c r="I110" s="532"/>
      <c r="J110" s="558">
        <f>H110/DAY(B2)</f>
        <v>9.3888888888888893</v>
      </c>
      <c r="N110" s="719"/>
      <c r="O110" s="726"/>
      <c r="P110" s="382"/>
    </row>
    <row r="111" spans="1:16" s="442" customFormat="1" ht="27.75">
      <c r="A111" s="1542" t="s">
        <v>220</v>
      </c>
      <c r="B111" s="1543"/>
      <c r="C111" s="1321"/>
      <c r="D111" s="622" t="s">
        <v>143</v>
      </c>
      <c r="E111" s="484">
        <f>'17'!F111</f>
        <v>32720</v>
      </c>
      <c r="F111" s="660">
        <v>32730</v>
      </c>
      <c r="G111" s="532">
        <f t="shared" ref="G111:G112" si="12">F111-E111</f>
        <v>10</v>
      </c>
      <c r="H111" s="533">
        <f>SUM(G111+'1'!G82)</f>
        <v>21</v>
      </c>
      <c r="I111" s="532"/>
      <c r="J111" s="558">
        <f>H111/DAY(B2)</f>
        <v>1.1666666666666667</v>
      </c>
      <c r="N111" s="719"/>
      <c r="O111" s="726"/>
      <c r="P111" s="382"/>
    </row>
    <row r="112" spans="1:16" s="442" customFormat="1" ht="27.75">
      <c r="A112" s="1542" t="s">
        <v>221</v>
      </c>
      <c r="B112" s="1543"/>
      <c r="C112" s="1321"/>
      <c r="D112" s="622" t="s">
        <v>143</v>
      </c>
      <c r="E112" s="484">
        <f>'17'!F112</f>
        <v>4621</v>
      </c>
      <c r="F112" s="660">
        <v>4621</v>
      </c>
      <c r="G112" s="532">
        <f t="shared" si="12"/>
        <v>0</v>
      </c>
      <c r="H112" s="533">
        <f>SUM(G112+'1'!G83)</f>
        <v>152</v>
      </c>
      <c r="I112" s="532"/>
      <c r="J112" s="558">
        <f>H112/DAY(B2)</f>
        <v>8.4444444444444446</v>
      </c>
      <c r="N112" s="719"/>
      <c r="O112" s="726"/>
      <c r="P112" s="382"/>
    </row>
    <row r="113" spans="1:16" s="442" customFormat="1" ht="27.75">
      <c r="A113" s="1545" t="s">
        <v>109</v>
      </c>
      <c r="B113" s="1546"/>
      <c r="C113" s="1321"/>
      <c r="D113" s="622"/>
      <c r="E113" s="484">
        <f>'17'!F113</f>
        <v>0</v>
      </c>
      <c r="F113" s="660"/>
      <c r="G113" s="532">
        <f>SUM(G110:G112)</f>
        <v>85</v>
      </c>
      <c r="H113" s="533">
        <f>SUM(G113+'1'!G84)</f>
        <v>912</v>
      </c>
      <c r="I113" s="532"/>
      <c r="J113" s="558">
        <f>H113/DAY(B2)</f>
        <v>50.666666666666664</v>
      </c>
      <c r="N113" s="719"/>
      <c r="O113" s="726"/>
      <c r="P113" s="382"/>
    </row>
    <row r="114" spans="1:16" s="442" customFormat="1" ht="27.75">
      <c r="A114" s="1547" t="s">
        <v>222</v>
      </c>
      <c r="B114" s="1548"/>
      <c r="C114" s="1321"/>
      <c r="D114" s="622"/>
      <c r="E114" s="484">
        <f>'17'!F114</f>
        <v>0</v>
      </c>
      <c r="F114" s="660"/>
      <c r="G114" s="532"/>
      <c r="H114" s="533"/>
      <c r="I114" s="532"/>
      <c r="J114" s="558">
        <f>H114/DAY(B2)</f>
        <v>0</v>
      </c>
      <c r="N114" s="719"/>
      <c r="O114" s="726"/>
      <c r="P114" s="382"/>
    </row>
    <row r="115" spans="1:16" s="442" customFormat="1" ht="27.75">
      <c r="A115" s="1542" t="s">
        <v>223</v>
      </c>
      <c r="B115" s="1543"/>
      <c r="C115" s="574"/>
      <c r="D115" s="622" t="s">
        <v>143</v>
      </c>
      <c r="E115" s="484">
        <f>'17'!F115</f>
        <v>11718</v>
      </c>
      <c r="F115" s="660">
        <v>11727</v>
      </c>
      <c r="G115" s="534">
        <f>F115-E115</f>
        <v>9</v>
      </c>
      <c r="H115" s="533">
        <f>SUM(G115+'1'!G92)</f>
        <v>9</v>
      </c>
      <c r="I115" s="532"/>
      <c r="J115" s="558">
        <f>H115/DAY(B2)</f>
        <v>0.5</v>
      </c>
      <c r="N115" s="719"/>
      <c r="O115" s="726"/>
      <c r="P115" s="382"/>
    </row>
    <row r="116" spans="1:16" s="442" customFormat="1" ht="27.75">
      <c r="A116" s="1542" t="s">
        <v>224</v>
      </c>
      <c r="B116" s="1543"/>
      <c r="C116" s="574"/>
      <c r="D116" s="622" t="s">
        <v>143</v>
      </c>
      <c r="E116" s="484">
        <f>'17'!F116</f>
        <v>8437</v>
      </c>
      <c r="F116" s="660">
        <v>8445</v>
      </c>
      <c r="G116" s="534">
        <f t="shared" ref="G116:G117" si="13">F116-E116</f>
        <v>8</v>
      </c>
      <c r="H116" s="533">
        <f>SUM(G116+'1'!G93)</f>
        <v>26</v>
      </c>
      <c r="I116" s="532"/>
      <c r="J116" s="558">
        <f>H116/DAY(B2)</f>
        <v>1.4444444444444444</v>
      </c>
      <c r="N116" s="719"/>
      <c r="O116" s="726"/>
      <c r="P116" s="382"/>
    </row>
    <row r="117" spans="1:16" s="442" customFormat="1" ht="27.75">
      <c r="A117" s="1542" t="s">
        <v>225</v>
      </c>
      <c r="B117" s="1543"/>
      <c r="C117" s="574"/>
      <c r="D117" s="622" t="s">
        <v>143</v>
      </c>
      <c r="E117" s="534"/>
      <c r="F117" s="660"/>
      <c r="G117" s="534">
        <f t="shared" si="13"/>
        <v>0</v>
      </c>
      <c r="H117" s="533">
        <f>SUM(G117+'1'!G94)</f>
        <v>58</v>
      </c>
      <c r="I117" s="532"/>
      <c r="J117" s="558">
        <f>H117/DAY(B2)</f>
        <v>3.2222222222222223</v>
      </c>
      <c r="N117" s="719"/>
      <c r="O117" s="726"/>
      <c r="P117" s="382"/>
    </row>
    <row r="118" spans="1:16" s="445" customFormat="1" ht="27.75">
      <c r="A118" s="1545" t="s">
        <v>201</v>
      </c>
      <c r="B118" s="1546"/>
      <c r="C118" s="574"/>
      <c r="D118" s="623"/>
      <c r="E118" s="534"/>
      <c r="F118" s="660"/>
      <c r="G118" s="534">
        <f>SUM(G115:G117)</f>
        <v>17</v>
      </c>
      <c r="H118" s="533">
        <f>SUM(G118+'1'!G96)</f>
        <v>57</v>
      </c>
      <c r="I118" s="534"/>
      <c r="J118" s="558">
        <f>H118/DAY(B2)</f>
        <v>3.1666666666666665</v>
      </c>
      <c r="N118" s="719"/>
      <c r="O118" s="726"/>
      <c r="P118" s="382"/>
    </row>
    <row r="119" spans="1:16" s="446" customFormat="1" ht="27.75">
      <c r="A119" s="1576" t="s">
        <v>226</v>
      </c>
      <c r="B119" s="1577"/>
      <c r="C119" s="1319"/>
      <c r="D119" s="624" t="s">
        <v>143</v>
      </c>
      <c r="E119" s="536"/>
      <c r="F119" s="661">
        <f>SUM(G19+G93)</f>
        <v>116</v>
      </c>
      <c r="G119" s="536">
        <f>SUM(G19+G93)</f>
        <v>116</v>
      </c>
      <c r="H119" s="533">
        <f>SUM(G119+'1'!G97)</f>
        <v>129</v>
      </c>
      <c r="I119" s="535"/>
      <c r="J119" s="559">
        <f>H119/DAY(B2)</f>
        <v>7.166666666666667</v>
      </c>
      <c r="N119" s="719"/>
      <c r="O119" s="726"/>
      <c r="P119" s="382"/>
    </row>
    <row r="120" spans="1:16" s="446" customFormat="1" ht="27.75">
      <c r="A120" s="1576" t="s">
        <v>227</v>
      </c>
      <c r="B120" s="1577"/>
      <c r="C120" s="1319"/>
      <c r="D120" s="624" t="s">
        <v>143</v>
      </c>
      <c r="E120" s="536"/>
      <c r="F120" s="661">
        <f>SUM(G96,G97,G98,G100,G101)</f>
        <v>113</v>
      </c>
      <c r="G120" s="536">
        <f>SUM(G96,G97,G98,G100,G101)</f>
        <v>113</v>
      </c>
      <c r="H120" s="533">
        <f>SUM(G120+'1'!G99)</f>
        <v>120</v>
      </c>
      <c r="I120" s="535"/>
      <c r="J120" s="559">
        <f>H120/DAY(B2)</f>
        <v>6.666666666666667</v>
      </c>
      <c r="N120" s="719"/>
      <c r="O120" s="726"/>
      <c r="P120" s="382"/>
    </row>
    <row r="121" spans="1:16" s="446" customFormat="1" ht="27.75">
      <c r="A121" s="1576" t="s">
        <v>228</v>
      </c>
      <c r="B121" s="1577"/>
      <c r="C121" s="1319"/>
      <c r="D121" s="624" t="s">
        <v>143</v>
      </c>
      <c r="E121" s="534"/>
      <c r="F121" s="660">
        <f>SUM(G113)</f>
        <v>85</v>
      </c>
      <c r="G121" s="534">
        <f>SUM(G113)</f>
        <v>85</v>
      </c>
      <c r="H121" s="533">
        <f>SUM(G121+'1'!G101)</f>
        <v>89</v>
      </c>
      <c r="I121" s="535"/>
      <c r="J121" s="559">
        <f>H121/DAY(B2)</f>
        <v>4.9444444444444446</v>
      </c>
      <c r="N121" s="719"/>
      <c r="O121" s="726"/>
      <c r="P121" s="382"/>
    </row>
    <row r="122" spans="1:16" s="442" customFormat="1" ht="27.75">
      <c r="A122" s="1578"/>
      <c r="B122" s="1579"/>
      <c r="C122" s="1320"/>
      <c r="D122" s="560"/>
      <c r="E122" s="560"/>
      <c r="F122" s="662" t="s">
        <v>214</v>
      </c>
      <c r="G122" s="560"/>
      <c r="H122" s="561"/>
      <c r="I122" s="560"/>
      <c r="J122" s="562"/>
      <c r="N122" s="719"/>
      <c r="O122" s="726"/>
      <c r="P122" s="382"/>
    </row>
    <row r="123" spans="1:16">
      <c r="A123" s="1528" t="s">
        <v>229</v>
      </c>
      <c r="B123" s="1529"/>
      <c r="C123" s="1530"/>
      <c r="D123" s="472"/>
      <c r="E123" s="472"/>
      <c r="F123" s="472"/>
      <c r="G123" s="483"/>
      <c r="H123" s="483"/>
      <c r="I123" s="483"/>
      <c r="J123" s="563"/>
      <c r="K123" s="380"/>
      <c r="L123" s="377"/>
      <c r="N123" s="719"/>
      <c r="O123" s="726"/>
      <c r="P123" s="382"/>
    </row>
    <row r="124" spans="1:16" ht="27.75">
      <c r="A124" s="1322" t="s">
        <v>230</v>
      </c>
      <c r="B124" s="1323"/>
      <c r="C124" s="1323"/>
      <c r="D124" s="523" t="s">
        <v>140</v>
      </c>
      <c r="E124" s="478">
        <f>'17'!F124</f>
        <v>836015.84</v>
      </c>
      <c r="F124" s="478">
        <v>836288.71</v>
      </c>
      <c r="G124" s="473">
        <f t="shared" ref="G124:G128" si="14">F124-E124</f>
        <v>272.86999999999534</v>
      </c>
      <c r="H124" s="460">
        <f>G124+'17'!H124</f>
        <v>3922.7099999999627</v>
      </c>
      <c r="I124" s="526"/>
      <c r="J124" s="552">
        <f>H124/DAY(B2)</f>
        <v>217.92833333333127</v>
      </c>
      <c r="K124" s="380"/>
      <c r="L124" s="377"/>
      <c r="N124" s="719"/>
      <c r="O124" s="726"/>
      <c r="P124" s="382"/>
    </row>
    <row r="125" spans="1:16" ht="27.75">
      <c r="A125" s="1322" t="s">
        <v>231</v>
      </c>
      <c r="B125" s="1323"/>
      <c r="C125" s="1323"/>
      <c r="D125" s="523" t="s">
        <v>140</v>
      </c>
      <c r="E125" s="478">
        <f>'17'!F125</f>
        <v>73583.399999999994</v>
      </c>
      <c r="F125" s="626">
        <v>73583.399999999994</v>
      </c>
      <c r="G125" s="473">
        <f t="shared" si="14"/>
        <v>0</v>
      </c>
      <c r="H125" s="460">
        <f>G125+'17'!H125</f>
        <v>0</v>
      </c>
      <c r="I125" s="526"/>
      <c r="J125" s="552">
        <f>H125/DAY(B2)</f>
        <v>0</v>
      </c>
      <c r="K125" s="380"/>
      <c r="L125" s="377"/>
      <c r="N125" s="719"/>
      <c r="O125" s="726"/>
      <c r="P125" s="382"/>
    </row>
    <row r="126" spans="1:16" ht="27.75">
      <c r="A126" s="1534" t="s">
        <v>232</v>
      </c>
      <c r="B126" s="1535"/>
      <c r="C126" s="1536"/>
      <c r="D126" s="523" t="s">
        <v>140</v>
      </c>
      <c r="E126" s="478">
        <f>'17'!F126</f>
        <v>147575.88</v>
      </c>
      <c r="F126" s="478">
        <v>147643.68</v>
      </c>
      <c r="G126" s="473">
        <f t="shared" si="14"/>
        <v>67.799999999988358</v>
      </c>
      <c r="H126" s="460">
        <f>G126+'17'!H126</f>
        <v>1152.679999999993</v>
      </c>
      <c r="I126" s="526"/>
      <c r="J126" s="552">
        <f>H126/DAY(B2)</f>
        <v>64.037777777777393</v>
      </c>
      <c r="K126" s="380"/>
      <c r="L126" s="377"/>
      <c r="N126" s="719"/>
      <c r="O126" s="726"/>
      <c r="P126" s="382"/>
    </row>
    <row r="127" spans="1:16" ht="27.75">
      <c r="A127" s="609" t="s">
        <v>233</v>
      </c>
      <c r="B127" s="1323"/>
      <c r="C127" s="1323"/>
      <c r="D127" s="523" t="s">
        <v>140</v>
      </c>
      <c r="E127" s="478">
        <f>'17'!F127</f>
        <v>31591.200000000001</v>
      </c>
      <c r="F127" s="626">
        <v>31625.1</v>
      </c>
      <c r="G127" s="473">
        <f t="shared" si="14"/>
        <v>33.899999999997817</v>
      </c>
      <c r="H127" s="460">
        <f>G127+'17'!H127</f>
        <v>219.09999999999854</v>
      </c>
      <c r="I127" s="526"/>
      <c r="J127" s="552">
        <f>H127/DAY(B2)</f>
        <v>12.172222222222141</v>
      </c>
      <c r="K127" s="380"/>
      <c r="L127" s="377"/>
      <c r="N127" s="719"/>
      <c r="O127" s="726"/>
      <c r="P127" s="382"/>
    </row>
    <row r="128" spans="1:16" ht="27.75">
      <c r="A128" s="609" t="s">
        <v>234</v>
      </c>
      <c r="B128" s="1323"/>
      <c r="C128" s="1323"/>
      <c r="D128" s="523" t="s">
        <v>140</v>
      </c>
      <c r="E128" s="478">
        <f>'17'!F128</f>
        <v>8976.4</v>
      </c>
      <c r="F128" s="626">
        <v>8978.7000000000007</v>
      </c>
      <c r="G128" s="473">
        <f t="shared" si="14"/>
        <v>2.3000000000010914</v>
      </c>
      <c r="H128" s="460">
        <f>G128+'17'!H128</f>
        <v>6.7000000000007276</v>
      </c>
      <c r="I128" s="480"/>
      <c r="J128" s="552">
        <f>H128/DAY(B2)</f>
        <v>0.37222222222226264</v>
      </c>
      <c r="K128" s="380"/>
      <c r="L128" s="377"/>
      <c r="N128" s="719"/>
      <c r="O128" s="726"/>
      <c r="P128" s="382"/>
    </row>
    <row r="129" spans="1:16" s="281" customFormat="1" ht="27.75">
      <c r="A129" s="609" t="s">
        <v>235</v>
      </c>
      <c r="B129" s="1323"/>
      <c r="C129" s="1323"/>
      <c r="D129" s="523"/>
      <c r="E129" s="478"/>
      <c r="F129" s="478"/>
      <c r="G129" s="473">
        <f>G15-SUM(G124:G128)</f>
        <v>261.90700000001925</v>
      </c>
      <c r="H129" s="460">
        <f>G129+'17'!H129</f>
        <v>808.43000000015672</v>
      </c>
      <c r="I129" s="480"/>
      <c r="J129" s="552">
        <f>H129/DAY(B2)</f>
        <v>44.912777777786488</v>
      </c>
      <c r="K129" s="364"/>
      <c r="L129" s="292"/>
      <c r="N129" s="719"/>
      <c r="O129" s="726"/>
      <c r="P129" s="382"/>
    </row>
    <row r="130" spans="1:16">
      <c r="A130" s="610" t="s">
        <v>236</v>
      </c>
      <c r="B130" s="458"/>
      <c r="C130" s="458"/>
      <c r="D130" s="471"/>
      <c r="E130" s="471"/>
      <c r="F130" s="471"/>
      <c r="G130" s="540"/>
      <c r="H130" s="540"/>
      <c r="I130" s="540"/>
      <c r="J130" s="564"/>
      <c r="N130" s="719"/>
      <c r="O130" s="726"/>
      <c r="P130" s="382"/>
    </row>
    <row r="131" spans="1:16" ht="27.75">
      <c r="A131" s="1322" t="s">
        <v>237</v>
      </c>
      <c r="B131" s="1323"/>
      <c r="C131" s="1323"/>
      <c r="D131" s="523" t="s">
        <v>238</v>
      </c>
      <c r="E131" s="484">
        <f>'17'!F131</f>
        <v>0</v>
      </c>
      <c r="F131" s="478">
        <v>0</v>
      </c>
      <c r="G131" s="473">
        <f t="shared" ref="G131:G141" si="15">F131-E131</f>
        <v>0</v>
      </c>
      <c r="H131" s="460">
        <f>G131+'17'!H131</f>
        <v>0</v>
      </c>
      <c r="I131" s="480"/>
      <c r="J131" s="552">
        <f>H131/DAY(B2)</f>
        <v>0</v>
      </c>
      <c r="N131" s="719"/>
      <c r="O131" s="726"/>
      <c r="P131" s="382"/>
    </row>
    <row r="132" spans="1:16" ht="27.75">
      <c r="A132" s="1322" t="s">
        <v>239</v>
      </c>
      <c r="B132" s="1323"/>
      <c r="C132" s="1323"/>
      <c r="D132" s="523" t="s">
        <v>238</v>
      </c>
      <c r="E132" s="484">
        <f>'17'!F132</f>
        <v>0</v>
      </c>
      <c r="F132" s="478">
        <v>0</v>
      </c>
      <c r="G132" s="473">
        <f t="shared" si="15"/>
        <v>0</v>
      </c>
      <c r="H132" s="460">
        <f>G132+'17'!H132</f>
        <v>0</v>
      </c>
      <c r="I132" s="480"/>
      <c r="J132" s="552">
        <f>H132/DAY(B2)</f>
        <v>0</v>
      </c>
      <c r="N132" s="719"/>
      <c r="O132" s="726"/>
      <c r="P132" s="382"/>
    </row>
    <row r="133" spans="1:16" ht="27.75">
      <c r="A133" s="1322" t="s">
        <v>240</v>
      </c>
      <c r="B133" s="1323"/>
      <c r="C133" s="1323"/>
      <c r="D133" s="523" t="s">
        <v>238</v>
      </c>
      <c r="E133" s="484">
        <f>'17'!F133</f>
        <v>40284</v>
      </c>
      <c r="F133" s="652">
        <v>40290</v>
      </c>
      <c r="G133" s="473">
        <f t="shared" si="15"/>
        <v>6</v>
      </c>
      <c r="H133" s="460">
        <f>G133+'17'!H133</f>
        <v>254.90000000000146</v>
      </c>
      <c r="I133" s="480"/>
      <c r="J133" s="552">
        <f>H133/DAY(B2)</f>
        <v>14.161111111111191</v>
      </c>
      <c r="N133" s="719"/>
      <c r="O133" s="726"/>
      <c r="P133" s="382"/>
    </row>
    <row r="134" spans="1:16" ht="27.75">
      <c r="A134" s="1322" t="s">
        <v>241</v>
      </c>
      <c r="B134" s="1323"/>
      <c r="C134" s="1323"/>
      <c r="D134" s="523" t="s">
        <v>238</v>
      </c>
      <c r="E134" s="484">
        <f>'17'!F134</f>
        <v>300</v>
      </c>
      <c r="F134" s="626">
        <v>300</v>
      </c>
      <c r="G134" s="473">
        <f t="shared" si="15"/>
        <v>0</v>
      </c>
      <c r="H134" s="460">
        <f>G134+'17'!H134</f>
        <v>0</v>
      </c>
      <c r="I134" s="480">
        <f>G131+G132+G133+G134</f>
        <v>6</v>
      </c>
      <c r="J134" s="552">
        <f>H134/DAY(B2)</f>
        <v>0</v>
      </c>
      <c r="N134" s="719"/>
      <c r="O134" s="726"/>
      <c r="P134" s="382"/>
    </row>
    <row r="135" spans="1:16" ht="27.75">
      <c r="A135" s="1322" t="s">
        <v>242</v>
      </c>
      <c r="B135" s="1323"/>
      <c r="C135" s="1323"/>
      <c r="D135" s="523" t="s">
        <v>238</v>
      </c>
      <c r="E135" s="484">
        <f>'17'!F135</f>
        <v>41751.269999999997</v>
      </c>
      <c r="F135" s="626">
        <v>41775.199999999997</v>
      </c>
      <c r="G135" s="473">
        <f t="shared" si="15"/>
        <v>23.930000000000291</v>
      </c>
      <c r="H135" s="460">
        <f>G135+'17'!H135</f>
        <v>45.19999999999709</v>
      </c>
      <c r="I135" s="480"/>
      <c r="J135" s="552">
        <f>H135/DAY(B2)</f>
        <v>2.5111111111109494</v>
      </c>
      <c r="N135" s="719"/>
      <c r="O135" s="726"/>
      <c r="P135" s="382"/>
    </row>
    <row r="136" spans="1:16" ht="27.75">
      <c r="A136" s="1322" t="s">
        <v>243</v>
      </c>
      <c r="B136" s="1323"/>
      <c r="C136" s="1323"/>
      <c r="D136" s="523" t="s">
        <v>238</v>
      </c>
      <c r="E136" s="484">
        <f>'17'!F136</f>
        <v>32874</v>
      </c>
      <c r="F136" s="652">
        <v>32874</v>
      </c>
      <c r="G136" s="473">
        <f t="shared" si="15"/>
        <v>0</v>
      </c>
      <c r="H136" s="460">
        <f>G136+'17'!H136</f>
        <v>159</v>
      </c>
      <c r="I136" s="480"/>
      <c r="J136" s="552">
        <f>H136/DAY(B2)</f>
        <v>8.8333333333333339</v>
      </c>
      <c r="N136" s="719"/>
      <c r="O136" s="726"/>
      <c r="P136" s="382"/>
    </row>
    <row r="137" spans="1:16" ht="27.75">
      <c r="A137" s="1322" t="s">
        <v>244</v>
      </c>
      <c r="B137" s="1323"/>
      <c r="C137" s="1323"/>
      <c r="D137" s="523" t="s">
        <v>238</v>
      </c>
      <c r="E137" s="484">
        <f>'17'!F137</f>
        <v>22859.1</v>
      </c>
      <c r="F137" s="652">
        <v>22859.1</v>
      </c>
      <c r="G137" s="473">
        <f t="shared" si="15"/>
        <v>0</v>
      </c>
      <c r="H137" s="460">
        <f>G137+'17'!H137</f>
        <v>51.859999999996944</v>
      </c>
      <c r="I137" s="480">
        <f>G135+G136+G137</f>
        <v>23.930000000000291</v>
      </c>
      <c r="J137" s="552">
        <f>H137/DAY(B2)</f>
        <v>2.8811111111109415</v>
      </c>
      <c r="N137" s="719"/>
      <c r="O137" s="726"/>
      <c r="P137" s="382"/>
    </row>
    <row r="138" spans="1:16" ht="27.75">
      <c r="A138" s="1322" t="s">
        <v>245</v>
      </c>
      <c r="B138" s="1323"/>
      <c r="C138" s="1323"/>
      <c r="D138" s="523" t="s">
        <v>238</v>
      </c>
      <c r="E138" s="484">
        <f>'17'!F138</f>
        <v>25051.82</v>
      </c>
      <c r="F138" s="652">
        <v>25051.87</v>
      </c>
      <c r="G138" s="473">
        <f t="shared" si="15"/>
        <v>4.9999999999272404E-2</v>
      </c>
      <c r="H138" s="460">
        <f>G138+'17'!H138</f>
        <v>4.9999999999272404E-2</v>
      </c>
      <c r="I138" s="480"/>
      <c r="J138" s="552">
        <f>H138/DAY(B2)</f>
        <v>2.7777777777373558E-3</v>
      </c>
      <c r="N138" s="719"/>
      <c r="O138" s="726"/>
      <c r="P138" s="382"/>
    </row>
    <row r="139" spans="1:16" ht="27.75">
      <c r="A139" s="1322" t="s">
        <v>246</v>
      </c>
      <c r="B139" s="1323"/>
      <c r="C139" s="1323"/>
      <c r="D139" s="523" t="s">
        <v>238</v>
      </c>
      <c r="E139" s="484">
        <f>'17'!F139</f>
        <v>70470.63</v>
      </c>
      <c r="F139" s="652">
        <v>70483.41</v>
      </c>
      <c r="G139" s="473">
        <f t="shared" si="15"/>
        <v>12.779999999998836</v>
      </c>
      <c r="H139" s="460">
        <f>G139+'17'!H139</f>
        <v>71.669999999998254</v>
      </c>
      <c r="I139" s="480">
        <f>G138+G139</f>
        <v>12.829999999998108</v>
      </c>
      <c r="J139" s="552">
        <f>H139/DAY(B2)</f>
        <v>3.9816666666665697</v>
      </c>
      <c r="N139" s="719"/>
      <c r="O139" s="726"/>
      <c r="P139" s="382"/>
    </row>
    <row r="140" spans="1:16" ht="27.75">
      <c r="A140" s="1322" t="s">
        <v>247</v>
      </c>
      <c r="B140" s="1323"/>
      <c r="C140" s="1323"/>
      <c r="D140" s="523" t="s">
        <v>238</v>
      </c>
      <c r="E140" s="484">
        <f>'17'!F140</f>
        <v>1993.42</v>
      </c>
      <c r="F140" s="626">
        <v>2003.62</v>
      </c>
      <c r="G140" s="473">
        <f t="shared" si="15"/>
        <v>10.199999999999818</v>
      </c>
      <c r="H140" s="460">
        <f>G140+'17'!H140</f>
        <v>149.31999999999994</v>
      </c>
      <c r="I140" s="542"/>
      <c r="J140" s="552">
        <f>H140/DAY(B2)</f>
        <v>8.295555555555552</v>
      </c>
      <c r="N140" s="719"/>
      <c r="O140" s="726"/>
      <c r="P140" s="382"/>
    </row>
    <row r="141" spans="1:16" ht="27.75">
      <c r="A141" s="1322" t="s">
        <v>248</v>
      </c>
      <c r="B141" s="1323"/>
      <c r="C141" s="1323"/>
      <c r="D141" s="523" t="s">
        <v>238</v>
      </c>
      <c r="E141" s="484">
        <f>'17'!F141</f>
        <v>4636.88</v>
      </c>
      <c r="F141" s="478">
        <v>4636.97</v>
      </c>
      <c r="G141" s="473">
        <f t="shared" si="15"/>
        <v>9.0000000000145519E-2</v>
      </c>
      <c r="H141" s="460">
        <f>G141+'17'!H141</f>
        <v>-2.9999999999745341E-2</v>
      </c>
      <c r="I141" s="542"/>
      <c r="J141" s="552">
        <f>H141/DAY(B2)</f>
        <v>-1.666666666652519E-3</v>
      </c>
      <c r="N141" s="719"/>
      <c r="O141" s="726"/>
      <c r="P141" s="382"/>
    </row>
    <row r="142" spans="1:16">
      <c r="A142" s="1572" t="s">
        <v>249</v>
      </c>
      <c r="B142" s="1573"/>
      <c r="C142" s="1328"/>
      <c r="D142" s="472"/>
      <c r="E142" s="472"/>
      <c r="F142" s="472"/>
      <c r="G142" s="483"/>
      <c r="H142" s="483"/>
      <c r="I142" s="483"/>
      <c r="J142" s="563"/>
      <c r="K142" s="380"/>
      <c r="L142" s="377"/>
      <c r="N142" s="719"/>
      <c r="O142" s="726"/>
      <c r="P142" s="382"/>
    </row>
    <row r="143" spans="1:16" ht="27.75">
      <c r="A143" s="1537" t="s">
        <v>250</v>
      </c>
      <c r="B143" s="1538"/>
      <c r="C143" s="1539"/>
      <c r="D143" s="523" t="s">
        <v>131</v>
      </c>
      <c r="E143" s="523"/>
      <c r="F143" s="523"/>
      <c r="G143" s="460">
        <f>G35+G43+G49+G57</f>
        <v>5404.4199999999255</v>
      </c>
      <c r="H143" s="460">
        <f>G143+'17'!H143</f>
        <v>86801.669999999969</v>
      </c>
      <c r="I143" s="480"/>
      <c r="J143" s="552">
        <f>H143/DAY(B2)</f>
        <v>4822.3149999999987</v>
      </c>
      <c r="K143" s="380"/>
      <c r="L143" s="377"/>
      <c r="N143" s="719"/>
      <c r="O143" s="726"/>
      <c r="P143" s="382"/>
    </row>
    <row r="144" spans="1:16" ht="27.75">
      <c r="A144" s="1537" t="s">
        <v>251</v>
      </c>
      <c r="B144" s="1538"/>
      <c r="C144" s="1539"/>
      <c r="D144" s="523" t="s">
        <v>24</v>
      </c>
      <c r="E144" s="511"/>
      <c r="F144" s="511"/>
      <c r="G144" s="543">
        <f>G143/G7</f>
        <v>0.27014643958267121</v>
      </c>
      <c r="H144" s="460">
        <f>G144+'17'!H144</f>
        <v>4.8447928173214185</v>
      </c>
      <c r="I144" s="544"/>
      <c r="J144" s="552">
        <f>H144/DAY(B2)</f>
        <v>0.2691551565178566</v>
      </c>
      <c r="K144" s="380"/>
      <c r="L144" s="377"/>
      <c r="N144" s="719"/>
      <c r="O144" s="726"/>
      <c r="P144" s="382"/>
    </row>
    <row r="145" spans="1:16" ht="27.75">
      <c r="A145" s="1537" t="s">
        <v>252</v>
      </c>
      <c r="B145" s="1538"/>
      <c r="C145" s="1539"/>
      <c r="D145" s="523" t="s">
        <v>131</v>
      </c>
      <c r="E145" s="455"/>
      <c r="F145" s="455"/>
      <c r="G145" s="460">
        <f>G41+G42+G55+G56</f>
        <v>6328.7099999999336</v>
      </c>
      <c r="H145" s="460">
        <f>G145+'17'!H145</f>
        <v>95508.42999999992</v>
      </c>
      <c r="I145" s="480"/>
      <c r="J145" s="552">
        <f>H145/DAY(B2)</f>
        <v>5306.0238888888844</v>
      </c>
      <c r="K145" s="380"/>
      <c r="L145" s="377"/>
      <c r="N145" s="719"/>
      <c r="O145" s="726"/>
      <c r="P145" s="382"/>
    </row>
    <row r="146" spans="1:16" ht="27.75">
      <c r="A146" s="1537" t="s">
        <v>253</v>
      </c>
      <c r="B146" s="1538"/>
      <c r="C146" s="1539"/>
      <c r="D146" s="523" t="s">
        <v>24</v>
      </c>
      <c r="E146" s="455"/>
      <c r="F146" s="455" t="s">
        <v>272</v>
      </c>
      <c r="G146" s="543">
        <f>G145/G7</f>
        <v>0.31634818790013597</v>
      </c>
      <c r="H146" s="460">
        <f>G146+'17'!H146</f>
        <v>5.2969894361507706</v>
      </c>
      <c r="I146" s="544"/>
      <c r="J146" s="552">
        <f>H146/DAY(B2)</f>
        <v>0.29427719089726501</v>
      </c>
      <c r="K146" s="380"/>
      <c r="L146" s="377"/>
      <c r="N146" s="719"/>
      <c r="O146" s="726"/>
      <c r="P146" s="382"/>
    </row>
    <row r="147" spans="1:16" ht="27.75">
      <c r="A147" s="1537" t="s">
        <v>254</v>
      </c>
      <c r="B147" s="1538"/>
      <c r="C147" s="1539"/>
      <c r="D147" s="523" t="s">
        <v>131</v>
      </c>
      <c r="E147" s="455"/>
      <c r="F147" s="455"/>
      <c r="G147" s="460">
        <f>G39+G53</f>
        <v>3490.4000000000233</v>
      </c>
      <c r="H147" s="460">
        <f>G147+'17'!H147</f>
        <v>55043.06</v>
      </c>
      <c r="I147" s="545"/>
      <c r="J147" s="552">
        <f>H147/DAY(B2)</f>
        <v>3057.9477777777774</v>
      </c>
      <c r="K147" s="380"/>
      <c r="L147" s="377"/>
      <c r="N147" s="719"/>
      <c r="O147" s="726"/>
      <c r="P147" s="382"/>
    </row>
    <row r="148" spans="1:16" ht="27.75">
      <c r="A148" s="1537" t="s">
        <v>255</v>
      </c>
      <c r="B148" s="1538"/>
      <c r="C148" s="1539"/>
      <c r="D148" s="523" t="s">
        <v>24</v>
      </c>
      <c r="E148" s="455"/>
      <c r="F148" s="455"/>
      <c r="G148" s="543">
        <f>G147/G7</f>
        <v>0.17447184577056832</v>
      </c>
      <c r="H148" s="460">
        <f>G148+'17'!H148</f>
        <v>3.0587216881581845</v>
      </c>
      <c r="I148" s="545"/>
      <c r="J148" s="552">
        <f>H148/DAY(B2)</f>
        <v>0.1699289826754547</v>
      </c>
      <c r="N148" s="719"/>
      <c r="O148" s="726"/>
      <c r="P148" s="382"/>
    </row>
    <row r="149" spans="1:16" ht="27.75">
      <c r="A149" s="1537" t="s">
        <v>256</v>
      </c>
      <c r="B149" s="1538"/>
      <c r="C149" s="1539"/>
      <c r="D149" s="523" t="s">
        <v>182</v>
      </c>
      <c r="E149" s="455"/>
      <c r="F149" s="455"/>
      <c r="G149" s="460">
        <f>G38+G52</f>
        <v>1375.1300000000338</v>
      </c>
      <c r="H149" s="460">
        <f>G149+'17'!H149</f>
        <v>22963.329999999987</v>
      </c>
      <c r="I149" s="480"/>
      <c r="J149" s="552">
        <f>H149/DAY(B2)</f>
        <v>1275.7405555555549</v>
      </c>
      <c r="K149" s="381"/>
      <c r="N149" s="719"/>
      <c r="O149" s="726"/>
      <c r="P149" s="382"/>
    </row>
    <row r="150" spans="1:16" ht="27.75">
      <c r="A150" s="1537" t="s">
        <v>257</v>
      </c>
      <c r="B150" s="1538"/>
      <c r="C150" s="1539"/>
      <c r="D150" s="523" t="s">
        <v>24</v>
      </c>
      <c r="E150" s="455"/>
      <c r="F150" s="455"/>
      <c r="G150" s="543">
        <f>G149/G7</f>
        <v>6.8737528442151585E-2</v>
      </c>
      <c r="H150" s="460">
        <f>G150+'17'!H150</f>
        <v>1.2762130763820219</v>
      </c>
      <c r="I150" s="545"/>
      <c r="J150" s="552">
        <f>H150/DAY(B2)</f>
        <v>7.0900726465667877E-2</v>
      </c>
      <c r="N150" s="719"/>
      <c r="O150" s="726"/>
      <c r="P150" s="382"/>
    </row>
    <row r="151" spans="1:16" ht="27.75">
      <c r="A151" s="1537" t="s">
        <v>258</v>
      </c>
      <c r="B151" s="1538"/>
      <c r="C151" s="1539"/>
      <c r="D151" s="523" t="s">
        <v>182</v>
      </c>
      <c r="E151" s="455"/>
      <c r="F151" s="455"/>
      <c r="G151" s="460">
        <f>G36+G50</f>
        <v>1584.1599999999671</v>
      </c>
      <c r="H151" s="460">
        <f>G151+'17'!H151</f>
        <v>28148.179999999993</v>
      </c>
      <c r="I151" s="545"/>
      <c r="J151" s="552">
        <f>H151/DAY(B2)</f>
        <v>1563.7877777777774</v>
      </c>
      <c r="N151" s="719"/>
      <c r="O151" s="726"/>
      <c r="P151" s="382"/>
    </row>
    <row r="152" spans="1:16" ht="27.75">
      <c r="A152" s="1537" t="s">
        <v>259</v>
      </c>
      <c r="B152" s="1538"/>
      <c r="C152" s="1539"/>
      <c r="D152" s="523" t="s">
        <v>24</v>
      </c>
      <c r="E152" s="455"/>
      <c r="F152" s="455"/>
      <c r="G152" s="543">
        <f>G151/G7</f>
        <v>7.9186144624082036E-2</v>
      </c>
      <c r="H152" s="460">
        <f>G152+'17'!H152</f>
        <v>1.5628445092860388</v>
      </c>
      <c r="I152" s="480"/>
      <c r="J152" s="552">
        <f>H152/DAY(B2)</f>
        <v>8.6824694960335486E-2</v>
      </c>
      <c r="N152" s="719"/>
      <c r="O152" s="726"/>
      <c r="P152" s="382"/>
    </row>
    <row r="153" spans="1:16" ht="27.75">
      <c r="A153" s="1537" t="s">
        <v>260</v>
      </c>
      <c r="B153" s="1538"/>
      <c r="C153" s="1539"/>
      <c r="D153" s="523" t="s">
        <v>182</v>
      </c>
      <c r="E153" s="455"/>
      <c r="F153" s="455"/>
      <c r="G153" s="460">
        <f>G37+G51</f>
        <v>1451.5899999999965</v>
      </c>
      <c r="H153" s="460">
        <f>G153+'17'!H153</f>
        <v>24566.869999999995</v>
      </c>
      <c r="I153" s="480"/>
      <c r="J153" s="552">
        <f>H153/DAY(B2)</f>
        <v>1364.8261111111108</v>
      </c>
      <c r="N153" s="719"/>
      <c r="O153" s="726"/>
      <c r="P153" s="382"/>
    </row>
    <row r="154" spans="1:16" ht="28.5" thickBot="1">
      <c r="A154" s="1569" t="s">
        <v>261</v>
      </c>
      <c r="B154" s="1570"/>
      <c r="C154" s="1571"/>
      <c r="D154" s="625" t="s">
        <v>24</v>
      </c>
      <c r="E154" s="565"/>
      <c r="F154" s="565"/>
      <c r="G154" s="566">
        <f>G153/G7</f>
        <v>7.2559473585290218E-2</v>
      </c>
      <c r="H154" s="460">
        <f>G154+'17'!H154</f>
        <v>1.3701129099708229</v>
      </c>
      <c r="I154" s="568"/>
      <c r="J154" s="569">
        <f>H154/DAY(B2)</f>
        <v>7.6117383887267936E-2</v>
      </c>
      <c r="N154" s="719"/>
      <c r="O154" s="726"/>
      <c r="P154" s="382"/>
    </row>
    <row r="155" spans="1:16">
      <c r="A155" s="466"/>
      <c r="B155" s="456"/>
      <c r="C155" s="456"/>
      <c r="D155" s="546"/>
      <c r="E155" s="546"/>
      <c r="F155" s="663"/>
      <c r="G155" s="546"/>
      <c r="H155" s="547"/>
      <c r="I155" s="546"/>
      <c r="J155" s="548"/>
      <c r="N155" s="719"/>
    </row>
    <row r="156" spans="1:16">
      <c r="N156" s="719"/>
    </row>
    <row r="157" spans="1:16">
      <c r="N157" s="719"/>
    </row>
    <row r="158" spans="1:16">
      <c r="N158" s="719"/>
    </row>
    <row r="159" spans="1:16">
      <c r="N159" s="719"/>
    </row>
    <row r="160" spans="1:16">
      <c r="N160" s="719"/>
    </row>
    <row r="161" spans="1:14">
      <c r="A161" s="795" t="s">
        <v>262</v>
      </c>
      <c r="B161" s="796"/>
      <c r="C161" s="796"/>
      <c r="D161" s="620" t="s">
        <v>186</v>
      </c>
      <c r="E161" s="522">
        <f>'17'!F161</f>
        <v>39799.879999999997</v>
      </c>
      <c r="F161" s="804">
        <v>39881.129999999997</v>
      </c>
      <c r="G161" s="473">
        <f t="shared" ref="G161:G166" si="16">F161-E161</f>
        <v>81.25</v>
      </c>
      <c r="N161" s="719"/>
    </row>
    <row r="162" spans="1:14">
      <c r="A162" s="795" t="s">
        <v>263</v>
      </c>
      <c r="B162" s="796"/>
      <c r="C162" s="796"/>
      <c r="D162" s="620" t="s">
        <v>186</v>
      </c>
      <c r="E162" s="522">
        <f>'17'!F162</f>
        <v>101956.39</v>
      </c>
      <c r="F162" s="804">
        <v>102410.34</v>
      </c>
      <c r="G162" s="473">
        <f t="shared" si="16"/>
        <v>453.94999999999709</v>
      </c>
      <c r="N162" s="719"/>
    </row>
    <row r="163" spans="1:14">
      <c r="A163" s="795" t="s">
        <v>264</v>
      </c>
      <c r="B163" s="796"/>
      <c r="C163" s="796"/>
      <c r="D163" s="620" t="s">
        <v>186</v>
      </c>
      <c r="E163" s="522">
        <f>'17'!F163</f>
        <v>48474.5</v>
      </c>
      <c r="F163" s="784">
        <v>48685.31</v>
      </c>
      <c r="G163" s="473">
        <f t="shared" si="16"/>
        <v>210.80999999999767</v>
      </c>
      <c r="N163" s="719"/>
    </row>
    <row r="164" spans="1:14">
      <c r="A164" s="795" t="s">
        <v>265</v>
      </c>
      <c r="B164" s="796"/>
      <c r="C164" s="796"/>
      <c r="D164" s="620" t="s">
        <v>186</v>
      </c>
      <c r="E164" s="522">
        <f>'17'!F164</f>
        <v>6720.43</v>
      </c>
      <c r="F164" s="804">
        <v>6726.91</v>
      </c>
      <c r="G164" s="473">
        <f t="shared" si="16"/>
        <v>6.4799999999995634</v>
      </c>
      <c r="N164" s="719"/>
    </row>
    <row r="165" spans="1:14">
      <c r="A165" s="797" t="s">
        <v>97</v>
      </c>
      <c r="B165" s="798"/>
      <c r="C165" s="798"/>
      <c r="D165" s="620" t="s">
        <v>186</v>
      </c>
      <c r="E165" s="522">
        <f>'17'!F165</f>
        <v>20419</v>
      </c>
      <c r="F165" s="514">
        <v>20419</v>
      </c>
      <c r="G165" s="473">
        <f t="shared" si="16"/>
        <v>0</v>
      </c>
      <c r="N165" s="719"/>
    </row>
    <row r="166" spans="1:14">
      <c r="A166" s="797" t="s">
        <v>187</v>
      </c>
      <c r="B166" s="798"/>
      <c r="C166" s="798"/>
      <c r="D166" s="620" t="s">
        <v>186</v>
      </c>
      <c r="E166" s="522">
        <f>'17'!F166</f>
        <v>0</v>
      </c>
      <c r="F166" s="514">
        <f>F63</f>
        <v>0</v>
      </c>
      <c r="G166" s="473">
        <f t="shared" si="16"/>
        <v>0</v>
      </c>
      <c r="N166" s="719"/>
    </row>
    <row r="167" spans="1:14" ht="27.75">
      <c r="A167" s="1599" t="s">
        <v>98</v>
      </c>
      <c r="B167" s="1599"/>
      <c r="C167" s="1599"/>
      <c r="D167" s="524" t="s">
        <v>186</v>
      </c>
      <c r="E167" s="522">
        <f>'17'!F167</f>
        <v>165201.93</v>
      </c>
      <c r="F167" s="514">
        <f t="shared" ref="F167:F172" si="17">F64</f>
        <v>165546.95000000001</v>
      </c>
      <c r="G167" s="473">
        <f>F64-E64</f>
        <v>345.02000000001863</v>
      </c>
      <c r="N167" s="719"/>
    </row>
    <row r="168" spans="1:14" ht="27.75">
      <c r="A168" s="1599" t="s">
        <v>99</v>
      </c>
      <c r="B168" s="1599"/>
      <c r="C168" s="1599"/>
      <c r="D168" s="524" t="s">
        <v>186</v>
      </c>
      <c r="E168" s="522">
        <f>'17'!F168</f>
        <v>165495.54999999999</v>
      </c>
      <c r="F168" s="514">
        <f t="shared" si="17"/>
        <v>165867.10999999999</v>
      </c>
      <c r="G168" s="473">
        <f t="shared" ref="G168:G172" si="18">F65-E65</f>
        <v>371.55999999999767</v>
      </c>
      <c r="N168" s="719"/>
    </row>
    <row r="169" spans="1:14" ht="27.75">
      <c r="A169" s="1599" t="s">
        <v>100</v>
      </c>
      <c r="B169" s="1599"/>
      <c r="C169" s="1599"/>
      <c r="D169" s="524" t="s">
        <v>186</v>
      </c>
      <c r="E169" s="522">
        <f>'17'!F169</f>
        <v>62655.67</v>
      </c>
      <c r="F169" s="514">
        <f t="shared" si="17"/>
        <v>63008.51</v>
      </c>
      <c r="G169" s="473">
        <f t="shared" si="18"/>
        <v>352.84000000000378</v>
      </c>
      <c r="N169" s="719"/>
    </row>
    <row r="170" spans="1:14" ht="27.75">
      <c r="A170" s="1599" t="s">
        <v>101</v>
      </c>
      <c r="B170" s="1599"/>
      <c r="C170" s="1599"/>
      <c r="D170" s="524" t="s">
        <v>186</v>
      </c>
      <c r="E170" s="522">
        <f>'17'!F170</f>
        <v>259060.43</v>
      </c>
      <c r="F170" s="514">
        <f t="shared" si="17"/>
        <v>259536.45</v>
      </c>
      <c r="G170" s="473">
        <f t="shared" si="18"/>
        <v>476.02000000001863</v>
      </c>
      <c r="N170" s="719"/>
    </row>
    <row r="171" spans="1:14" ht="27.75">
      <c r="A171" s="1599" t="s">
        <v>102</v>
      </c>
      <c r="B171" s="1599"/>
      <c r="C171" s="1599"/>
      <c r="D171" s="524" t="s">
        <v>186</v>
      </c>
      <c r="E171" s="522">
        <f>'17'!F171</f>
        <v>85321</v>
      </c>
      <c r="F171" s="514">
        <f t="shared" si="17"/>
        <v>85321</v>
      </c>
      <c r="G171" s="473">
        <f t="shared" si="18"/>
        <v>0</v>
      </c>
      <c r="N171" s="719"/>
    </row>
    <row r="172" spans="1:14" ht="27.75">
      <c r="A172" s="1599" t="s">
        <v>103</v>
      </c>
      <c r="B172" s="1599"/>
      <c r="C172" s="1599"/>
      <c r="D172" s="524" t="s">
        <v>186</v>
      </c>
      <c r="E172" s="522">
        <f>'17'!F172</f>
        <v>84334.43</v>
      </c>
      <c r="F172" s="514">
        <f t="shared" si="17"/>
        <v>84579.38</v>
      </c>
      <c r="G172" s="473">
        <f t="shared" si="18"/>
        <v>244.95000000001164</v>
      </c>
      <c r="N172" s="719"/>
    </row>
    <row r="173" spans="1:14">
      <c r="A173" s="799"/>
      <c r="B173" s="800"/>
      <c r="C173" s="800"/>
      <c r="D173" s="801"/>
      <c r="E173" s="801"/>
      <c r="F173" s="802"/>
      <c r="G173" s="803">
        <f>SUM(G161:G172)</f>
        <v>2542.8800000000447</v>
      </c>
      <c r="N173" s="719"/>
    </row>
    <row r="174" spans="1:14">
      <c r="N174" s="719"/>
    </row>
    <row r="175" spans="1:14">
      <c r="A175" s="1596" t="s">
        <v>357</v>
      </c>
      <c r="B175" s="1579"/>
      <c r="C175" s="786"/>
      <c r="D175" s="523" t="s">
        <v>186</v>
      </c>
      <c r="N175" s="719"/>
    </row>
    <row r="176" spans="1:14">
      <c r="A176" s="1596" t="s">
        <v>358</v>
      </c>
      <c r="B176" s="1579"/>
      <c r="C176" s="786"/>
      <c r="D176" s="523" t="s">
        <v>186</v>
      </c>
      <c r="N176" s="719"/>
    </row>
    <row r="177" spans="14:14">
      <c r="N177" s="719"/>
    </row>
    <row r="178" spans="14:14" ht="18.75" customHeight="1">
      <c r="N178" s="719"/>
    </row>
    <row r="179" spans="14:14" ht="23.25" customHeight="1">
      <c r="N179" s="719"/>
    </row>
    <row r="180" spans="14:14" ht="23.25" customHeight="1">
      <c r="N180" s="719"/>
    </row>
    <row r="181" spans="14:14" ht="23.25" customHeight="1">
      <c r="N181" s="719"/>
    </row>
    <row r="182" spans="14:14" ht="23.25" customHeight="1">
      <c r="N182" s="719"/>
    </row>
    <row r="183" spans="14:14" ht="23.25" customHeight="1">
      <c r="N183" s="719"/>
    </row>
    <row r="184" spans="14:14" ht="23.25" customHeight="1">
      <c r="N184" s="719"/>
    </row>
    <row r="185" spans="14:14" ht="23.25" customHeight="1">
      <c r="N185" s="719"/>
    </row>
    <row r="186" spans="14:14" ht="23.25" customHeight="1">
      <c r="N186" s="719"/>
    </row>
    <row r="187" spans="14:14" ht="23.25" customHeight="1">
      <c r="N187" s="719"/>
    </row>
    <row r="188" spans="14:14" ht="23.25" customHeight="1">
      <c r="N188" s="719"/>
    </row>
    <row r="189" spans="14:14" ht="23.25" customHeight="1">
      <c r="N189" s="719"/>
    </row>
    <row r="190" spans="14:14" ht="23.25" customHeight="1">
      <c r="N190" s="719"/>
    </row>
    <row r="191" spans="14:14" ht="23.25" customHeight="1">
      <c r="N191" s="719"/>
    </row>
    <row r="192" spans="14:14" ht="23.25" customHeight="1">
      <c r="N192" s="719"/>
    </row>
    <row r="193" spans="14:14" ht="23.25" customHeight="1">
      <c r="N193" s="719"/>
    </row>
    <row r="194" spans="14:14" ht="23.25" customHeight="1">
      <c r="N194" s="719"/>
    </row>
    <row r="195" spans="14:14" ht="23.25" customHeight="1">
      <c r="N195" s="719"/>
    </row>
    <row r="196" spans="14:14" ht="23.25" customHeight="1">
      <c r="N196" s="719"/>
    </row>
    <row r="197" spans="14:14" ht="23.25" customHeight="1">
      <c r="N197" s="719"/>
    </row>
    <row r="198" spans="14:14" ht="23.25" customHeight="1">
      <c r="N198" s="719"/>
    </row>
    <row r="199" spans="14:14" ht="23.25" customHeight="1"/>
    <row r="200" spans="14:14" ht="23.25" customHeight="1"/>
    <row r="201" spans="14:14" ht="23.25" customHeight="1"/>
    <row r="202" spans="14:14" ht="23.25" customHeight="1"/>
    <row r="203" spans="14:14" ht="23.25" customHeight="1"/>
    <row r="204" spans="14:14" ht="23.25" customHeight="1"/>
    <row r="205" spans="14:14" ht="23.25" customHeight="1"/>
    <row r="206" spans="14:14" ht="23.25" customHeight="1"/>
    <row r="207" spans="14:14" ht="23.25" customHeight="1"/>
    <row r="208" spans="14:14" ht="23.25" customHeight="1"/>
    <row r="209" ht="23.25" customHeight="1"/>
    <row r="210" ht="23.25" customHeight="1"/>
    <row r="211" ht="23.25" customHeight="1"/>
    <row r="212" ht="23.25" customHeight="1"/>
    <row r="213" ht="23.25" customHeight="1"/>
    <row r="214" ht="23.25" customHeight="1"/>
    <row r="215" ht="23.25" customHeight="1"/>
    <row r="216" ht="23.25" customHeight="1"/>
    <row r="217" ht="23.25" customHeight="1"/>
    <row r="218" ht="23.25" customHeight="1"/>
    <row r="219" ht="23.25" customHeight="1"/>
    <row r="220" ht="23.25" customHeight="1"/>
    <row r="221" ht="23.25" customHeight="1"/>
    <row r="222" ht="23.25" customHeight="1"/>
    <row r="223" ht="23.25" customHeight="1"/>
    <row r="224" ht="23.25" customHeight="1"/>
    <row r="225" ht="23.25" customHeight="1"/>
    <row r="226" ht="23.25" customHeight="1"/>
    <row r="227" ht="23.25" customHeight="1"/>
    <row r="228" ht="23.25" customHeight="1"/>
    <row r="229" ht="23.25" customHeight="1"/>
    <row r="230" ht="23.25" customHeight="1"/>
    <row r="231" ht="23.25" customHeight="1"/>
    <row r="232" ht="23.25" customHeight="1"/>
    <row r="233" ht="23.25" customHeight="1"/>
    <row r="234" ht="23.25" customHeight="1"/>
    <row r="235" ht="23.25" customHeight="1"/>
    <row r="236" ht="23.25" customHeight="1"/>
    <row r="237" ht="23.25" customHeight="1"/>
    <row r="238" ht="23.25" customHeight="1"/>
  </sheetData>
  <mergeCells count="76">
    <mergeCell ref="A172:C172"/>
    <mergeCell ref="A167:C167"/>
    <mergeCell ref="A168:C168"/>
    <mergeCell ref="A169:C169"/>
    <mergeCell ref="A170:C170"/>
    <mergeCell ref="A171:C171"/>
    <mergeCell ref="A119:B119"/>
    <mergeCell ref="A120:B120"/>
    <mergeCell ref="A121:B121"/>
    <mergeCell ref="A122:B122"/>
    <mergeCell ref="A114:B114"/>
    <mergeCell ref="A115:B115"/>
    <mergeCell ref="A116:B116"/>
    <mergeCell ref="A117:B117"/>
    <mergeCell ref="A118:B118"/>
    <mergeCell ref="A109:B109"/>
    <mergeCell ref="A110:B110"/>
    <mergeCell ref="A111:B111"/>
    <mergeCell ref="A112:B112"/>
    <mergeCell ref="A113:B113"/>
    <mergeCell ref="A104:B104"/>
    <mergeCell ref="A105:B105"/>
    <mergeCell ref="A106:B106"/>
    <mergeCell ref="A107:C107"/>
    <mergeCell ref="A108:B108"/>
    <mergeCell ref="A102:C102"/>
    <mergeCell ref="A123:C123"/>
    <mergeCell ref="A142:B142"/>
    <mergeCell ref="A153:C153"/>
    <mergeCell ref="A154:C154"/>
    <mergeCell ref="A126:C126"/>
    <mergeCell ref="A150:C150"/>
    <mergeCell ref="A151:C151"/>
    <mergeCell ref="A152:C152"/>
    <mergeCell ref="A145:C145"/>
    <mergeCell ref="A146:C146"/>
    <mergeCell ref="A147:C147"/>
    <mergeCell ref="A148:C148"/>
    <mergeCell ref="A149:C149"/>
    <mergeCell ref="A143:C143"/>
    <mergeCell ref="A144:C144"/>
    <mergeCell ref="A79:C79"/>
    <mergeCell ref="A80:C80"/>
    <mergeCell ref="A81:C81"/>
    <mergeCell ref="A95:C95"/>
    <mergeCell ref="A96:C96"/>
    <mergeCell ref="A82:C82"/>
    <mergeCell ref="A83:C83"/>
    <mergeCell ref="A93:C93"/>
    <mergeCell ref="A94:C94"/>
    <mergeCell ref="A75:C75"/>
    <mergeCell ref="A71:J71"/>
    <mergeCell ref="A70:C70"/>
    <mergeCell ref="A76:C76"/>
    <mergeCell ref="A77:C77"/>
    <mergeCell ref="A68:C68"/>
    <mergeCell ref="A69:C69"/>
    <mergeCell ref="A72:C72"/>
    <mergeCell ref="A73:C73"/>
    <mergeCell ref="A74:C74"/>
    <mergeCell ref="A175:B175"/>
    <mergeCell ref="A176:B176"/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</mergeCells>
  <pageMargins left="0.22" right="0.17" top="0.14000000000000001" bottom="0.2" header="0.2" footer="0.2"/>
  <pageSetup paperSize="5" scale="20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77"/>
  <sheetViews>
    <sheetView view="pageBreakPreview" topLeftCell="A67" zoomScale="55" zoomScaleNormal="40" zoomScaleSheetLayoutView="55" zoomScalePageLayoutView="60" workbookViewId="0">
      <selection activeCell="A175" sqref="A175:D176"/>
    </sheetView>
  </sheetViews>
  <sheetFormatPr defaultColWidth="22.33203125" defaultRowHeight="29.25"/>
  <cols>
    <col min="1" max="1" width="48.44140625" style="454" customWidth="1"/>
    <col min="2" max="2" width="30.77734375" style="457" customWidth="1"/>
    <col min="3" max="3" width="15.88671875" style="457" customWidth="1"/>
    <col min="4" max="4" width="13.6640625" style="537" customWidth="1"/>
    <col min="5" max="6" width="30" style="537" customWidth="1"/>
    <col min="7" max="7" width="28.88671875" style="537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3" width="0" style="376" hidden="1" customWidth="1"/>
    <col min="14" max="14" width="25.109375" style="376" customWidth="1"/>
    <col min="15" max="16384" width="22.33203125" style="376"/>
  </cols>
  <sheetData>
    <row r="1" spans="1:15" ht="33.75">
      <c r="A1" s="1549" t="s">
        <v>116</v>
      </c>
      <c r="B1" s="1550"/>
      <c r="C1" s="1550"/>
      <c r="D1" s="1550"/>
      <c r="E1" s="1550"/>
      <c r="F1" s="1550"/>
      <c r="G1" s="1550"/>
      <c r="H1" s="1550"/>
      <c r="I1" s="1550"/>
      <c r="J1" s="1551"/>
    </row>
    <row r="2" spans="1:15" s="281" customFormat="1" ht="27">
      <c r="A2" s="575" t="s">
        <v>369</v>
      </c>
      <c r="B2" s="1033">
        <v>44366</v>
      </c>
      <c r="C2" s="1143" t="s">
        <v>68</v>
      </c>
      <c r="D2" s="611">
        <v>0.1</v>
      </c>
      <c r="E2" s="461"/>
      <c r="F2" s="461"/>
      <c r="G2" s="461" t="s">
        <v>117</v>
      </c>
      <c r="H2" s="461" t="s">
        <v>6</v>
      </c>
      <c r="I2" s="461" t="s">
        <v>8</v>
      </c>
      <c r="J2" s="613" t="s">
        <v>118</v>
      </c>
    </row>
    <row r="3" spans="1:15" s="281" customFormat="1" ht="27">
      <c r="A3" s="570"/>
      <c r="B3" s="614"/>
      <c r="C3" s="1143" t="s">
        <v>119</v>
      </c>
      <c r="D3" s="612">
        <v>27</v>
      </c>
      <c r="E3" s="1558" t="s">
        <v>120</v>
      </c>
      <c r="F3" s="1559"/>
      <c r="G3" s="462"/>
      <c r="H3" s="463"/>
      <c r="I3" s="463"/>
      <c r="J3" s="615"/>
      <c r="K3" s="371"/>
      <c r="L3" s="292"/>
    </row>
    <row r="4" spans="1:15" s="281" customFormat="1" ht="27">
      <c r="A4" s="576"/>
      <c r="B4" s="616"/>
      <c r="C4" s="1143" t="s">
        <v>121</v>
      </c>
      <c r="D4" s="611">
        <v>0.84</v>
      </c>
      <c r="E4" s="464"/>
      <c r="F4" s="464"/>
      <c r="G4" s="464"/>
      <c r="H4" s="464"/>
      <c r="I4" s="465"/>
      <c r="J4" s="615"/>
      <c r="K4" s="372"/>
      <c r="L4" s="292"/>
    </row>
    <row r="5" spans="1:15">
      <c r="A5" s="577" t="s">
        <v>122</v>
      </c>
      <c r="B5" s="459"/>
      <c r="C5" s="459"/>
      <c r="D5" s="511" t="s">
        <v>123</v>
      </c>
      <c r="E5" s="467" t="s">
        <v>124</v>
      </c>
      <c r="F5" s="467" t="s">
        <v>111</v>
      </c>
      <c r="G5" s="468" t="s">
        <v>125</v>
      </c>
      <c r="H5" s="469" t="s">
        <v>126</v>
      </c>
      <c r="I5" s="470" t="s">
        <v>127</v>
      </c>
      <c r="J5" s="550" t="s">
        <v>128</v>
      </c>
      <c r="K5" s="426"/>
      <c r="L5" s="377"/>
    </row>
    <row r="6" spans="1:15">
      <c r="A6" s="1552" t="s">
        <v>129</v>
      </c>
      <c r="B6" s="1553"/>
      <c r="C6" s="1554"/>
      <c r="D6" s="471"/>
      <c r="E6" s="471"/>
      <c r="F6" s="471"/>
      <c r="G6" s="471"/>
      <c r="H6" s="472"/>
      <c r="I6" s="472"/>
      <c r="J6" s="551"/>
      <c r="K6" s="427"/>
      <c r="L6" s="377"/>
    </row>
    <row r="7" spans="1:15" ht="30" thickBot="1">
      <c r="A7" s="578" t="s">
        <v>130</v>
      </c>
      <c r="B7" s="579"/>
      <c r="C7" s="579"/>
      <c r="D7" s="523" t="s">
        <v>131</v>
      </c>
      <c r="E7" s="455">
        <f>'18'!F7</f>
        <v>668115.71</v>
      </c>
      <c r="F7" s="455">
        <v>691238.15</v>
      </c>
      <c r="G7" s="473">
        <f>F7-E7</f>
        <v>23122.440000000061</v>
      </c>
      <c r="H7" s="460">
        <f>G7+'18'!H7</f>
        <v>346826.15</v>
      </c>
      <c r="I7" s="474">
        <f>'1'!I7</f>
        <v>12000</v>
      </c>
      <c r="J7" s="552">
        <f>H7/DAY(B2)</f>
        <v>18254.007894736842</v>
      </c>
      <c r="K7" s="549"/>
      <c r="L7" s="377"/>
      <c r="N7" s="382"/>
      <c r="O7" s="382"/>
    </row>
    <row r="8" spans="1:15" ht="27.75" thickBot="1">
      <c r="A8" s="580" t="s">
        <v>132</v>
      </c>
      <c r="B8" s="581"/>
      <c r="C8" s="582"/>
      <c r="D8" s="617" t="s">
        <v>25</v>
      </c>
      <c r="E8" s="475">
        <f>'18'!F8</f>
        <v>671619.11</v>
      </c>
      <c r="F8" s="475">
        <v>694873.83</v>
      </c>
      <c r="G8" s="476">
        <f>F8-E8</f>
        <v>23254.719999999972</v>
      </c>
      <c r="H8" s="460">
        <f>G8+'18'!H8</f>
        <v>348363.82999999996</v>
      </c>
      <c r="I8" s="477">
        <f>'1'!I8</f>
        <v>12000</v>
      </c>
      <c r="J8" s="552">
        <f>H8/DAY(B2)</f>
        <v>18334.93842105263</v>
      </c>
      <c r="K8" s="549"/>
      <c r="L8" s="425"/>
      <c r="M8" s="440"/>
      <c r="N8" s="382"/>
      <c r="O8" s="382"/>
    </row>
    <row r="9" spans="1:15">
      <c r="A9" s="583" t="s">
        <v>133</v>
      </c>
      <c r="B9" s="584"/>
      <c r="C9" s="584"/>
      <c r="D9" s="523" t="s">
        <v>131</v>
      </c>
      <c r="E9" s="478">
        <f>'18'!F9</f>
        <v>1787137.7</v>
      </c>
      <c r="F9" s="478">
        <v>1809519.3</v>
      </c>
      <c r="G9" s="473">
        <f t="shared" ref="G9:G12" si="0">F9-E9</f>
        <v>22381.600000000093</v>
      </c>
      <c r="H9" s="460">
        <f>G9+'18'!H9</f>
        <v>335829.30000000005</v>
      </c>
      <c r="I9" s="479">
        <f>I8-J8</f>
        <v>-6334.9384210526296</v>
      </c>
      <c r="J9" s="552">
        <f>H9/DAY(B2)</f>
        <v>17675.226315789478</v>
      </c>
      <c r="K9" s="428"/>
      <c r="L9" s="377"/>
      <c r="N9" s="382"/>
      <c r="O9" s="382"/>
    </row>
    <row r="10" spans="1:15">
      <c r="A10" s="578" t="s">
        <v>134</v>
      </c>
      <c r="B10" s="579"/>
      <c r="C10" s="579"/>
      <c r="D10" s="523" t="s">
        <v>131</v>
      </c>
      <c r="E10" s="478">
        <f>'18'!F10</f>
        <v>2606.85</v>
      </c>
      <c r="F10" s="478"/>
      <c r="G10" s="473">
        <v>0</v>
      </c>
      <c r="H10" s="460">
        <f>G10+'18'!H10</f>
        <v>0.71999999999979991</v>
      </c>
      <c r="I10" s="480"/>
      <c r="J10" s="552">
        <f>H10/DAY(B2)</f>
        <v>3.7894736842094733E-2</v>
      </c>
      <c r="K10" s="428"/>
      <c r="L10" s="377"/>
      <c r="N10" s="382"/>
      <c r="O10" s="382"/>
    </row>
    <row r="11" spans="1:15">
      <c r="A11" s="578" t="s">
        <v>135</v>
      </c>
      <c r="B11" s="579"/>
      <c r="C11" s="579"/>
      <c r="D11" s="523" t="s">
        <v>131</v>
      </c>
      <c r="E11" s="455">
        <f>'5'!E11</f>
        <v>37000</v>
      </c>
      <c r="F11" s="455">
        <v>37000</v>
      </c>
      <c r="G11" s="473">
        <f t="shared" si="0"/>
        <v>0</v>
      </c>
      <c r="H11" s="460">
        <f>G11+'18'!H11</f>
        <v>0</v>
      </c>
      <c r="I11" s="480"/>
      <c r="J11" s="552">
        <f>H11/DAY(B2)</f>
        <v>0</v>
      </c>
      <c r="K11" s="428"/>
      <c r="L11" s="377"/>
      <c r="N11" s="382"/>
      <c r="O11" s="382"/>
    </row>
    <row r="12" spans="1:15">
      <c r="A12" s="578" t="s">
        <v>136</v>
      </c>
      <c r="B12" s="579"/>
      <c r="C12" s="579"/>
      <c r="D12" s="523" t="s">
        <v>131</v>
      </c>
      <c r="E12" s="478">
        <f>'5'!E12</f>
        <v>40010</v>
      </c>
      <c r="F12" s="478">
        <v>40010</v>
      </c>
      <c r="G12" s="473">
        <f t="shared" si="0"/>
        <v>0</v>
      </c>
      <c r="H12" s="460">
        <f>G12+'18'!H12</f>
        <v>0</v>
      </c>
      <c r="I12" s="480"/>
      <c r="J12" s="552">
        <f>H12/DAY(B2)</f>
        <v>0</v>
      </c>
      <c r="K12" s="428"/>
      <c r="L12" s="377"/>
      <c r="N12" s="382"/>
      <c r="O12" s="382"/>
    </row>
    <row r="13" spans="1:15">
      <c r="A13" s="585" t="s">
        <v>137</v>
      </c>
      <c r="B13" s="586"/>
      <c r="C13" s="586"/>
      <c r="D13" s="523"/>
      <c r="E13" s="455"/>
      <c r="F13" s="455"/>
      <c r="G13" s="481">
        <f>G9+G10+G11+G12</f>
        <v>22381.600000000093</v>
      </c>
      <c r="H13" s="460">
        <f>G13+'18'!H13</f>
        <v>319305.02</v>
      </c>
      <c r="I13" s="482">
        <f>G7-G13</f>
        <v>740.8399999999674</v>
      </c>
      <c r="J13" s="552">
        <f>H13/DAY(B2)</f>
        <v>16805.527368421055</v>
      </c>
      <c r="K13" s="428"/>
      <c r="L13" s="377"/>
      <c r="N13" s="382"/>
      <c r="O13" s="382"/>
    </row>
    <row r="14" spans="1:15">
      <c r="A14" s="1555" t="s">
        <v>138</v>
      </c>
      <c r="B14" s="1556"/>
      <c r="C14" s="1557"/>
      <c r="D14" s="472"/>
      <c r="E14" s="472"/>
      <c r="F14" s="472"/>
      <c r="G14" s="483"/>
      <c r="H14" s="472"/>
      <c r="I14" s="472"/>
      <c r="J14" s="551"/>
      <c r="K14" s="429"/>
      <c r="L14" s="377"/>
      <c r="N14" s="382"/>
      <c r="O14" s="382"/>
    </row>
    <row r="15" spans="1:15">
      <c r="A15" s="1141" t="s">
        <v>139</v>
      </c>
      <c r="B15" s="589"/>
      <c r="C15" s="589"/>
      <c r="D15" s="523" t="s">
        <v>140</v>
      </c>
      <c r="E15" s="484">
        <f>'18'!F15</f>
        <v>1694156.62</v>
      </c>
      <c r="F15" s="484">
        <v>1695206.3659999999</v>
      </c>
      <c r="G15" s="780">
        <f>(F15-E15)</f>
        <v>1049.74599999981</v>
      </c>
      <c r="H15" s="460">
        <f>G15+'18'!H15</f>
        <v>10682.365999999922</v>
      </c>
      <c r="I15" s="474">
        <v>800</v>
      </c>
      <c r="J15" s="552">
        <f>H15/DAY(B2)</f>
        <v>562.22978947368006</v>
      </c>
      <c r="K15" s="428"/>
      <c r="L15" s="377"/>
      <c r="N15" s="382"/>
      <c r="O15" s="722"/>
    </row>
    <row r="16" spans="1:15">
      <c r="A16" s="587"/>
      <c r="B16" s="588"/>
      <c r="C16" s="588"/>
      <c r="D16" s="524"/>
      <c r="E16" s="485"/>
      <c r="F16" s="485"/>
      <c r="G16" s="473"/>
      <c r="H16" s="486"/>
      <c r="I16" s="487">
        <f>I15-J15</f>
        <v>237.77021052631994</v>
      </c>
      <c r="J16" s="553"/>
      <c r="K16" s="428"/>
      <c r="L16" s="377"/>
      <c r="N16" s="382"/>
      <c r="O16" s="382"/>
    </row>
    <row r="17" spans="1:15">
      <c r="A17" s="1555" t="s">
        <v>141</v>
      </c>
      <c r="B17" s="1556"/>
      <c r="C17" s="1557"/>
      <c r="D17" s="472"/>
      <c r="E17" s="472"/>
      <c r="F17" s="472"/>
      <c r="G17" s="488"/>
      <c r="H17" s="472"/>
      <c r="I17" s="472"/>
      <c r="J17" s="551"/>
      <c r="K17" s="428"/>
      <c r="L17" s="377"/>
      <c r="N17" s="382"/>
      <c r="O17" s="382"/>
    </row>
    <row r="18" spans="1:15" ht="27.75">
      <c r="A18" s="1537" t="s">
        <v>142</v>
      </c>
      <c r="B18" s="1538"/>
      <c r="C18" s="1539"/>
      <c r="D18" s="523" t="s">
        <v>143</v>
      </c>
      <c r="E18" s="484">
        <f>'18'!F18</f>
        <v>8</v>
      </c>
      <c r="F18" s="484">
        <v>13</v>
      </c>
      <c r="G18" s="481">
        <f>F18*10</f>
        <v>130</v>
      </c>
      <c r="H18" s="460">
        <f>G18+'18'!H18</f>
        <v>1260</v>
      </c>
      <c r="I18" s="474">
        <f>'1'!I18</f>
        <v>65</v>
      </c>
      <c r="J18" s="552">
        <f>H18/DAY(B2)</f>
        <v>66.315789473684205</v>
      </c>
      <c r="K18" s="428"/>
      <c r="L18" s="377"/>
      <c r="N18" s="382"/>
      <c r="O18" s="382"/>
    </row>
    <row r="19" spans="1:15" ht="27.75">
      <c r="A19" s="1537" t="s">
        <v>70</v>
      </c>
      <c r="B19" s="1538"/>
      <c r="C19" s="1539"/>
      <c r="D19" s="523" t="s">
        <v>143</v>
      </c>
      <c r="E19" s="484">
        <f>'18'!F19</f>
        <v>140746</v>
      </c>
      <c r="F19" s="484">
        <v>140809</v>
      </c>
      <c r="G19" s="473">
        <f t="shared" ref="G19" si="1">F19-E19</f>
        <v>63</v>
      </c>
      <c r="H19" s="460">
        <f>G19+'18'!H19</f>
        <v>1197</v>
      </c>
      <c r="I19" s="489"/>
      <c r="J19" s="552">
        <f>H19/DAY(B2)</f>
        <v>63</v>
      </c>
      <c r="K19" s="428"/>
      <c r="L19" s="377"/>
      <c r="N19" s="382"/>
      <c r="O19" s="382"/>
    </row>
    <row r="20" spans="1:15">
      <c r="A20" s="585" t="s">
        <v>144</v>
      </c>
      <c r="B20" s="586"/>
      <c r="C20" s="586"/>
      <c r="D20" s="490"/>
      <c r="E20" s="490"/>
      <c r="F20" s="490"/>
      <c r="G20" s="491">
        <f>G18+G19</f>
        <v>193</v>
      </c>
      <c r="H20" s="460">
        <f>G20+'18'!H20</f>
        <v>2457</v>
      </c>
      <c r="I20" s="492">
        <f>I18-J20</f>
        <v>-64.31578947368422</v>
      </c>
      <c r="J20" s="552">
        <f>H20/DAY(B2)</f>
        <v>129.31578947368422</v>
      </c>
      <c r="K20" s="428"/>
      <c r="L20" s="377"/>
      <c r="N20" s="382"/>
      <c r="O20" s="382"/>
    </row>
    <row r="21" spans="1:15">
      <c r="A21" s="1555" t="s">
        <v>145</v>
      </c>
      <c r="B21" s="1556"/>
      <c r="C21" s="1557"/>
      <c r="D21" s="472"/>
      <c r="E21" s="472"/>
      <c r="F21" s="472"/>
      <c r="G21" s="483"/>
      <c r="H21" s="472"/>
      <c r="I21" s="472"/>
      <c r="J21" s="551"/>
      <c r="K21" s="428"/>
      <c r="L21" s="377"/>
      <c r="N21" s="382"/>
      <c r="O21" s="382"/>
    </row>
    <row r="22" spans="1:15">
      <c r="A22" s="1141" t="s">
        <v>146</v>
      </c>
      <c r="B22" s="589"/>
      <c r="C22" s="589"/>
      <c r="D22" s="523" t="s">
        <v>147</v>
      </c>
      <c r="E22" s="478">
        <v>2970</v>
      </c>
      <c r="F22" s="484">
        <v>2970</v>
      </c>
      <c r="G22" s="481">
        <f t="shared" ref="G22" si="2">(F22-E22)</f>
        <v>0</v>
      </c>
      <c r="H22" s="460">
        <v>0</v>
      </c>
      <c r="I22" s="480"/>
      <c r="J22" s="552">
        <f>H22/DAY(B2)</f>
        <v>0</v>
      </c>
      <c r="K22" s="428"/>
      <c r="L22" s="377"/>
      <c r="N22" s="382"/>
      <c r="O22" s="382"/>
    </row>
    <row r="23" spans="1:15">
      <c r="A23" s="1141" t="s">
        <v>148</v>
      </c>
      <c r="B23" s="589"/>
      <c r="C23" s="589"/>
      <c r="D23" s="523" t="s">
        <v>147</v>
      </c>
      <c r="E23" s="478">
        <v>2000</v>
      </c>
      <c r="F23" s="484">
        <v>2000</v>
      </c>
      <c r="G23" s="481">
        <v>0</v>
      </c>
      <c r="H23" s="460">
        <v>0</v>
      </c>
      <c r="I23" s="480"/>
      <c r="J23" s="552">
        <f>H23/DAY(B2)</f>
        <v>0</v>
      </c>
      <c r="K23" s="428"/>
      <c r="L23" s="377"/>
      <c r="N23" s="382"/>
      <c r="O23" s="382"/>
    </row>
    <row r="24" spans="1:15">
      <c r="A24" s="590" t="s">
        <v>149</v>
      </c>
      <c r="B24" s="591"/>
      <c r="C24" s="591"/>
      <c r="D24" s="511" t="s">
        <v>147</v>
      </c>
      <c r="E24" s="485">
        <v>4970</v>
      </c>
      <c r="F24" s="493">
        <v>4970</v>
      </c>
      <c r="G24" s="481">
        <v>0</v>
      </c>
      <c r="H24" s="460">
        <f>G24+'18'!H24</f>
        <v>0</v>
      </c>
      <c r="I24" s="480"/>
      <c r="J24" s="552">
        <f>H24/DAY(B2)</f>
        <v>0</v>
      </c>
      <c r="K24" s="428"/>
      <c r="L24" s="377"/>
      <c r="N24" s="382"/>
      <c r="O24" s="382"/>
    </row>
    <row r="25" spans="1:15" s="442" customFormat="1" ht="27">
      <c r="A25" s="1560" t="s">
        <v>150</v>
      </c>
      <c r="B25" s="1561"/>
      <c r="C25" s="1562"/>
      <c r="D25" s="471"/>
      <c r="E25" s="471"/>
      <c r="F25" s="471"/>
      <c r="G25" s="494"/>
      <c r="H25" s="495"/>
      <c r="I25" s="496"/>
      <c r="J25" s="554"/>
      <c r="K25" s="373"/>
      <c r="L25" s="443"/>
      <c r="N25" s="444"/>
      <c r="O25" s="382"/>
    </row>
    <row r="26" spans="1:15" s="442" customFormat="1" ht="27.75">
      <c r="A26" s="592" t="s">
        <v>151</v>
      </c>
      <c r="B26" s="593"/>
      <c r="C26" s="594"/>
      <c r="D26" s="618" t="s">
        <v>152</v>
      </c>
      <c r="E26" s="497"/>
      <c r="F26" s="497"/>
      <c r="G26" s="498"/>
      <c r="H26" s="460"/>
      <c r="I26" s="499"/>
      <c r="J26" s="552"/>
      <c r="K26" s="374"/>
      <c r="L26" s="443"/>
      <c r="N26" s="444"/>
      <c r="O26" s="382"/>
    </row>
    <row r="27" spans="1:15" s="442" customFormat="1" ht="27.75">
      <c r="A27" s="592" t="s">
        <v>6</v>
      </c>
      <c r="B27" s="593"/>
      <c r="C27" s="594"/>
      <c r="D27" s="619" t="s">
        <v>25</v>
      </c>
      <c r="E27" s="501">
        <f>G8</f>
        <v>23254.719999999972</v>
      </c>
      <c r="F27" s="501">
        <v>9</v>
      </c>
      <c r="G27" s="502">
        <f>E27*F27</f>
        <v>209292.47999999975</v>
      </c>
      <c r="H27" s="460">
        <f>G27+'18'!H27</f>
        <v>3134437.4699999997</v>
      </c>
      <c r="I27" s="503"/>
      <c r="J27" s="552">
        <f>H27/DAY(B2)</f>
        <v>164970.39315789472</v>
      </c>
      <c r="K27" s="373"/>
      <c r="L27" s="443"/>
      <c r="N27" s="444"/>
      <c r="O27" s="382"/>
    </row>
    <row r="28" spans="1:15" s="442" customFormat="1" ht="27.75">
      <c r="A28" s="592" t="s">
        <v>153</v>
      </c>
      <c r="B28" s="593"/>
      <c r="C28" s="594"/>
      <c r="D28" s="619" t="s">
        <v>154</v>
      </c>
      <c r="E28" s="501">
        <f>G15</f>
        <v>1049.74599999981</v>
      </c>
      <c r="F28" s="501">
        <v>52</v>
      </c>
      <c r="G28" s="502">
        <f>E28*F28</f>
        <v>54586.791999990121</v>
      </c>
      <c r="H28" s="460">
        <f>G28+'18'!H28</f>
        <v>555483.03199999593</v>
      </c>
      <c r="I28" s="505"/>
      <c r="J28" s="552">
        <f>H28/DAY(B2)</f>
        <v>29235.949052631364</v>
      </c>
      <c r="K28" s="373"/>
      <c r="L28" s="443"/>
      <c r="N28" s="444"/>
      <c r="O28" s="382"/>
    </row>
    <row r="29" spans="1:15" s="442" customFormat="1" ht="27.75">
      <c r="A29" s="592" t="s">
        <v>155</v>
      </c>
      <c r="B29" s="593"/>
      <c r="C29" s="594"/>
      <c r="D29" s="619" t="s">
        <v>156</v>
      </c>
      <c r="E29" s="501">
        <f>G24</f>
        <v>0</v>
      </c>
      <c r="F29" s="501">
        <v>69</v>
      </c>
      <c r="G29" s="502">
        <f>E29*F29</f>
        <v>0</v>
      </c>
      <c r="H29" s="460">
        <f>G29+'18'!H29</f>
        <v>8280</v>
      </c>
      <c r="I29" s="505"/>
      <c r="J29" s="552">
        <f>H29/DAY(B2)</f>
        <v>435.78947368421052</v>
      </c>
      <c r="K29" s="373"/>
      <c r="L29" s="443"/>
      <c r="N29" s="444"/>
      <c r="O29" s="382"/>
    </row>
    <row r="30" spans="1:15" s="442" customFormat="1" ht="27.75">
      <c r="A30" s="592" t="s">
        <v>157</v>
      </c>
      <c r="B30" s="593"/>
      <c r="C30" s="594"/>
      <c r="D30" s="619" t="s">
        <v>158</v>
      </c>
      <c r="E30" s="501">
        <f>G19</f>
        <v>63</v>
      </c>
      <c r="F30" s="501">
        <v>146</v>
      </c>
      <c r="G30" s="502">
        <f>E30*F30</f>
        <v>9198</v>
      </c>
      <c r="H30" s="460">
        <f>G30+'18'!H30</f>
        <v>174762</v>
      </c>
      <c r="I30" s="505"/>
      <c r="J30" s="552">
        <f>H30/DAY(B2)</f>
        <v>9198</v>
      </c>
      <c r="K30" s="373"/>
      <c r="L30" s="443"/>
      <c r="N30" s="444"/>
      <c r="O30" s="382"/>
    </row>
    <row r="31" spans="1:15" s="442" customFormat="1" ht="27.75">
      <c r="A31" s="592" t="s">
        <v>159</v>
      </c>
      <c r="B31" s="593"/>
      <c r="C31" s="594"/>
      <c r="D31" s="619" t="s">
        <v>143</v>
      </c>
      <c r="E31" s="501">
        <f>G18</f>
        <v>130</v>
      </c>
      <c r="F31" s="501">
        <v>80</v>
      </c>
      <c r="G31" s="502">
        <f>E31*F31</f>
        <v>10400</v>
      </c>
      <c r="H31" s="460">
        <f>G31+'18'!H31</f>
        <v>100800</v>
      </c>
      <c r="I31" s="505"/>
      <c r="J31" s="552">
        <f>H31/DAY(B2)</f>
        <v>5305.2631578947367</v>
      </c>
      <c r="K31" s="373"/>
      <c r="L31" s="443"/>
      <c r="N31" s="444"/>
      <c r="O31" s="382"/>
    </row>
    <row r="32" spans="1:15" s="442" customFormat="1" ht="27.75">
      <c r="A32" s="595" t="s">
        <v>160</v>
      </c>
      <c r="B32" s="596"/>
      <c r="C32" s="597"/>
      <c r="D32" s="507"/>
      <c r="E32" s="507"/>
      <c r="F32" s="507"/>
      <c r="G32" s="508">
        <f>G27+G28+G29+G30+G31</f>
        <v>283477.27199998987</v>
      </c>
      <c r="H32" s="460">
        <f>G32+'18'!H32</f>
        <v>3973762.5019999957</v>
      </c>
      <c r="I32" s="509"/>
      <c r="J32" s="552">
        <f>H32/DAY(B2)</f>
        <v>209145.39484210504</v>
      </c>
      <c r="K32" s="373"/>
      <c r="L32" s="443"/>
      <c r="N32" s="444"/>
      <c r="O32" s="382"/>
    </row>
    <row r="33" spans="1:15" ht="25.5">
      <c r="A33" s="1563" t="s">
        <v>161</v>
      </c>
      <c r="B33" s="1564"/>
      <c r="C33" s="1564"/>
      <c r="D33" s="1564"/>
      <c r="E33" s="1564"/>
      <c r="F33" s="1564"/>
      <c r="G33" s="1564"/>
      <c r="H33" s="1564"/>
      <c r="I33" s="1564"/>
      <c r="J33" s="1565"/>
      <c r="K33" s="428"/>
      <c r="L33" s="377"/>
      <c r="N33" s="382"/>
      <c r="O33" s="382"/>
    </row>
    <row r="34" spans="1:15">
      <c r="A34" s="598" t="s">
        <v>162</v>
      </c>
      <c r="B34" s="1146"/>
      <c r="C34" s="1146"/>
      <c r="D34" s="472"/>
      <c r="E34" s="471"/>
      <c r="F34" s="471"/>
      <c r="G34" s="472"/>
      <c r="H34" s="472"/>
      <c r="I34" s="472"/>
      <c r="J34" s="551"/>
      <c r="K34" s="428"/>
      <c r="L34" s="377"/>
      <c r="N34" s="382"/>
      <c r="O34" s="382"/>
    </row>
    <row r="35" spans="1:15">
      <c r="A35" s="578" t="s">
        <v>163</v>
      </c>
      <c r="B35" s="579"/>
      <c r="C35" s="579"/>
      <c r="D35" s="523" t="s">
        <v>131</v>
      </c>
      <c r="E35" s="510">
        <f>'18'!F35</f>
        <v>994564.87</v>
      </c>
      <c r="F35" s="510">
        <v>997523.03</v>
      </c>
      <c r="G35" s="473">
        <f t="shared" ref="G35:G44" si="3">F35-E35</f>
        <v>2958.1600000000326</v>
      </c>
      <c r="H35" s="460">
        <f>G35+'18'!H35</f>
        <v>47035.030000000028</v>
      </c>
      <c r="I35" s="455"/>
      <c r="J35" s="552">
        <f>H35/DAY(B2)</f>
        <v>2475.5278947368438</v>
      </c>
      <c r="K35" s="428"/>
      <c r="L35" s="377"/>
      <c r="N35" s="382"/>
      <c r="O35" s="628"/>
    </row>
    <row r="36" spans="1:15">
      <c r="A36" s="578" t="s">
        <v>164</v>
      </c>
      <c r="B36" s="579"/>
      <c r="C36" s="579"/>
      <c r="D36" s="523" t="s">
        <v>131</v>
      </c>
      <c r="E36" s="510">
        <f>'18'!F36</f>
        <v>11027.19</v>
      </c>
      <c r="F36" s="510">
        <v>12057.47</v>
      </c>
      <c r="G36" s="473">
        <f t="shared" si="3"/>
        <v>1030.2799999999988</v>
      </c>
      <c r="H36" s="460">
        <f>G36+'18'!H36</f>
        <v>11884.47</v>
      </c>
      <c r="I36" s="455"/>
      <c r="J36" s="552">
        <f>H36/DAY(B2)</f>
        <v>625.49842105263156</v>
      </c>
      <c r="K36" s="428"/>
      <c r="L36" s="377"/>
      <c r="N36" s="382"/>
      <c r="O36" s="628"/>
    </row>
    <row r="37" spans="1:15">
      <c r="A37" s="578" t="s">
        <v>165</v>
      </c>
      <c r="B37" s="579"/>
      <c r="C37" s="579"/>
      <c r="D37" s="523" t="s">
        <v>131</v>
      </c>
      <c r="E37" s="510">
        <f>'18'!F37</f>
        <v>158802.87</v>
      </c>
      <c r="F37" s="469">
        <v>160349.26</v>
      </c>
      <c r="G37" s="473">
        <f t="shared" si="3"/>
        <v>1546.390000000014</v>
      </c>
      <c r="H37" s="460">
        <f>G37+'18'!H37</f>
        <v>26113.260000000009</v>
      </c>
      <c r="I37" s="455"/>
      <c r="J37" s="552">
        <f>H37/DAY(B2)</f>
        <v>1374.3821052631583</v>
      </c>
      <c r="K37" s="428"/>
      <c r="L37" s="377"/>
      <c r="N37" s="382"/>
      <c r="O37" s="382"/>
    </row>
    <row r="38" spans="1:15">
      <c r="A38" s="578" t="s">
        <v>166</v>
      </c>
      <c r="B38" s="579"/>
      <c r="C38" s="579"/>
      <c r="D38" s="523" t="s">
        <v>131</v>
      </c>
      <c r="E38" s="469">
        <f>'18'!F38</f>
        <v>179368.33</v>
      </c>
      <c r="F38" s="510">
        <v>180981.33</v>
      </c>
      <c r="G38" s="473">
        <f t="shared" si="3"/>
        <v>1613</v>
      </c>
      <c r="H38" s="460">
        <f>G38+'18'!H38</f>
        <v>24576.329999999987</v>
      </c>
      <c r="I38" s="455"/>
      <c r="J38" s="552">
        <f>H38/DAY(B2)</f>
        <v>1293.4910526315782</v>
      </c>
      <c r="K38" s="428"/>
      <c r="L38" s="377"/>
      <c r="N38" s="382"/>
      <c r="O38" s="382"/>
    </row>
    <row r="39" spans="1:15">
      <c r="A39" s="578" t="s">
        <v>167</v>
      </c>
      <c r="B39" s="579"/>
      <c r="C39" s="579"/>
      <c r="D39" s="523" t="s">
        <v>131</v>
      </c>
      <c r="E39" s="510">
        <f>'18'!F39</f>
        <v>361552.47</v>
      </c>
      <c r="F39" s="510">
        <v>365296.75</v>
      </c>
      <c r="G39" s="473">
        <f t="shared" si="3"/>
        <v>3744.2800000000279</v>
      </c>
      <c r="H39" s="460">
        <f>G39+'18'!H39</f>
        <v>57123.75</v>
      </c>
      <c r="I39" s="455"/>
      <c r="J39" s="552">
        <f>H39/DAY(B2)</f>
        <v>3006.5131578947367</v>
      </c>
      <c r="K39" s="428"/>
      <c r="L39" s="377"/>
      <c r="N39" s="382"/>
      <c r="O39" s="382"/>
    </row>
    <row r="40" spans="1:15">
      <c r="A40" s="599" t="s">
        <v>168</v>
      </c>
      <c r="B40" s="600"/>
      <c r="C40" s="600"/>
      <c r="D40" s="523" t="s">
        <v>131</v>
      </c>
      <c r="E40" s="510">
        <f>'18'!F40</f>
        <v>2657.41</v>
      </c>
      <c r="F40" s="510">
        <v>3254.05</v>
      </c>
      <c r="G40" s="473">
        <f t="shared" si="3"/>
        <v>596.64000000000033</v>
      </c>
      <c r="H40" s="460">
        <f>G40+'18'!H40</f>
        <v>2365.0500000000002</v>
      </c>
      <c r="I40" s="455"/>
      <c r="J40" s="552">
        <f>H40/DAY(B2)</f>
        <v>124.47631578947369</v>
      </c>
      <c r="K40" s="429"/>
      <c r="L40" s="377"/>
      <c r="N40" s="382"/>
      <c r="O40" s="382"/>
    </row>
    <row r="41" spans="1:15">
      <c r="A41" s="578" t="s">
        <v>169</v>
      </c>
      <c r="B41" s="579"/>
      <c r="C41" s="579"/>
      <c r="D41" s="523" t="s">
        <v>131</v>
      </c>
      <c r="E41" s="510">
        <f>'18'!F41</f>
        <v>295098.84999999998</v>
      </c>
      <c r="F41" s="510">
        <v>296609.46999999997</v>
      </c>
      <c r="G41" s="473">
        <f t="shared" si="3"/>
        <v>1510.6199999999953</v>
      </c>
      <c r="H41" s="460">
        <f>G41+'18'!H41</f>
        <v>56131.469999999972</v>
      </c>
      <c r="I41" s="455"/>
      <c r="J41" s="552">
        <f>H41/DAY(B2)</f>
        <v>2954.2878947368408</v>
      </c>
      <c r="K41" s="428"/>
      <c r="L41" s="377"/>
      <c r="N41" s="382"/>
      <c r="O41" s="722"/>
    </row>
    <row r="42" spans="1:15">
      <c r="A42" s="578" t="s">
        <v>170</v>
      </c>
      <c r="B42" s="579"/>
      <c r="C42" s="579"/>
      <c r="D42" s="523" t="s">
        <v>131</v>
      </c>
      <c r="E42" s="510">
        <f>'18'!F42</f>
        <v>59210.080000000002</v>
      </c>
      <c r="F42" s="510">
        <v>59210.080000000002</v>
      </c>
      <c r="G42" s="473">
        <f t="shared" si="3"/>
        <v>0</v>
      </c>
      <c r="H42" s="460">
        <f>G42+'18'!H42</f>
        <v>11.110000000000582</v>
      </c>
      <c r="I42" s="455"/>
      <c r="J42" s="552">
        <f>H42/DAY(B2)</f>
        <v>0.58473684210529375</v>
      </c>
      <c r="K42" s="428"/>
      <c r="L42" s="377"/>
      <c r="N42" s="382"/>
      <c r="O42" s="382"/>
    </row>
    <row r="43" spans="1:15">
      <c r="A43" s="578" t="s">
        <v>171</v>
      </c>
      <c r="B43" s="579"/>
      <c r="C43" s="579"/>
      <c r="D43" s="523" t="s">
        <v>131</v>
      </c>
      <c r="E43" s="510">
        <f>'18'!F43</f>
        <v>1086611.3999999999</v>
      </c>
      <c r="F43" s="510">
        <v>1089539.3999999999</v>
      </c>
      <c r="G43" s="473">
        <f t="shared" si="3"/>
        <v>2928</v>
      </c>
      <c r="H43" s="460">
        <f>G43+'18'!H43</f>
        <v>47295.399999999907</v>
      </c>
      <c r="I43" s="455"/>
      <c r="J43" s="552">
        <f>H43/DAY(B2)</f>
        <v>2489.2315789473637</v>
      </c>
      <c r="K43" s="428"/>
      <c r="L43" s="377"/>
      <c r="N43" s="382"/>
      <c r="O43" s="382"/>
    </row>
    <row r="44" spans="1:15">
      <c r="A44" s="578" t="s">
        <v>172</v>
      </c>
      <c r="B44" s="579"/>
      <c r="C44" s="579"/>
      <c r="D44" s="523" t="s">
        <v>131</v>
      </c>
      <c r="E44" s="510">
        <f>'18'!F44</f>
        <v>0</v>
      </c>
      <c r="F44" s="1501">
        <v>0</v>
      </c>
      <c r="G44" s="473">
        <f t="shared" si="3"/>
        <v>0</v>
      </c>
      <c r="H44" s="460">
        <f>G44+'18'!H44</f>
        <v>0</v>
      </c>
      <c r="I44" s="455"/>
      <c r="J44" s="552">
        <f>H44/DAY(B2)</f>
        <v>0</v>
      </c>
      <c r="K44" s="428"/>
      <c r="L44" s="377"/>
      <c r="N44" s="382"/>
      <c r="O44" s="382"/>
    </row>
    <row r="45" spans="1:15">
      <c r="A45" s="578" t="s">
        <v>173</v>
      </c>
      <c r="B45" s="579"/>
      <c r="C45" s="579"/>
      <c r="D45" s="523" t="s">
        <v>131</v>
      </c>
      <c r="E45" s="510">
        <v>0</v>
      </c>
      <c r="F45" s="510">
        <v>0</v>
      </c>
      <c r="G45" s="473">
        <f t="shared" ref="G45:G46" si="4">F45-E45</f>
        <v>0</v>
      </c>
      <c r="H45" s="460">
        <f>G45+'18'!H45</f>
        <v>0</v>
      </c>
      <c r="I45" s="455"/>
      <c r="J45" s="552">
        <f>H45/DAY(B2)</f>
        <v>0</v>
      </c>
      <c r="K45" s="428"/>
      <c r="L45" s="377"/>
      <c r="N45" s="382"/>
      <c r="O45" s="382"/>
    </row>
    <row r="46" spans="1:15">
      <c r="A46" s="578" t="s">
        <v>174</v>
      </c>
      <c r="B46" s="579"/>
      <c r="C46" s="579"/>
      <c r="D46" s="523" t="s">
        <v>131</v>
      </c>
      <c r="E46" s="510">
        <v>0</v>
      </c>
      <c r="F46" s="510">
        <v>0</v>
      </c>
      <c r="G46" s="473">
        <f t="shared" si="4"/>
        <v>0</v>
      </c>
      <c r="H46" s="460">
        <f>G46+'18'!H46</f>
        <v>-5.0000000000011369E-2</v>
      </c>
      <c r="I46" s="455"/>
      <c r="J46" s="552">
        <f>H46/DAY(B2)</f>
        <v>-2.6315789473690195E-3</v>
      </c>
      <c r="K46" s="428"/>
      <c r="L46" s="377"/>
      <c r="N46" s="382"/>
      <c r="O46" s="382"/>
    </row>
    <row r="47" spans="1:15">
      <c r="A47" s="585" t="s">
        <v>175</v>
      </c>
      <c r="B47" s="586"/>
      <c r="C47" s="586"/>
      <c r="D47" s="470"/>
      <c r="E47" s="511">
        <f>'18'!F47</f>
        <v>0</v>
      </c>
      <c r="F47" s="511">
        <v>0</v>
      </c>
      <c r="G47" s="481">
        <f>G35+G36+G37+G38+G39+G40+G41+G42+G43+G44+G45+G46</f>
        <v>15927.370000000068</v>
      </c>
      <c r="H47" s="460">
        <f>G47+'18'!H47</f>
        <v>272536.30999999988</v>
      </c>
      <c r="I47" s="455"/>
      <c r="J47" s="552">
        <f>H47/DAY(B2)</f>
        <v>14344.016315789468</v>
      </c>
      <c r="K47" s="428"/>
      <c r="L47" s="377"/>
      <c r="N47" s="382"/>
      <c r="O47" s="382"/>
    </row>
    <row r="48" spans="1:15">
      <c r="A48" s="598" t="s">
        <v>176</v>
      </c>
      <c r="B48" s="1146"/>
      <c r="C48" s="1146"/>
      <c r="D48" s="472"/>
      <c r="E48" s="471"/>
      <c r="F48" s="471"/>
      <c r="G48" s="472"/>
      <c r="H48" s="472"/>
      <c r="I48" s="472"/>
      <c r="J48" s="551"/>
      <c r="K48" s="428"/>
      <c r="L48" s="377"/>
      <c r="N48" s="382"/>
      <c r="O48" s="382"/>
    </row>
    <row r="49" spans="1:15">
      <c r="A49" s="578" t="s">
        <v>163</v>
      </c>
      <c r="B49" s="601"/>
      <c r="C49" s="601"/>
      <c r="D49" s="523" t="s">
        <v>131</v>
      </c>
      <c r="E49" s="510">
        <f>'18'!F49</f>
        <v>260732.13</v>
      </c>
      <c r="F49" s="510">
        <v>260732.13</v>
      </c>
      <c r="G49" s="473">
        <f t="shared" ref="G49:G58" si="5">F49-E49</f>
        <v>0</v>
      </c>
      <c r="H49" s="460">
        <f>G49+'18'!H49</f>
        <v>0.13000000000465661</v>
      </c>
      <c r="I49" s="455"/>
      <c r="J49" s="552">
        <f>H49/DAY(B2)</f>
        <v>6.8421052634029794E-3</v>
      </c>
      <c r="K49" s="428"/>
      <c r="L49" s="377"/>
      <c r="N49" s="382"/>
      <c r="O49" s="382"/>
    </row>
    <row r="50" spans="1:15">
      <c r="A50" s="578" t="s">
        <v>177</v>
      </c>
      <c r="B50" s="601"/>
      <c r="C50" s="601"/>
      <c r="D50" s="523" t="s">
        <v>131</v>
      </c>
      <c r="E50" s="510">
        <f>'18'!F50</f>
        <v>519829.99</v>
      </c>
      <c r="F50" s="510">
        <v>521403.23</v>
      </c>
      <c r="G50" s="473">
        <f t="shared" si="5"/>
        <v>1573.2399999999907</v>
      </c>
      <c r="H50" s="460">
        <f>G50+'18'!H50</f>
        <v>17977.229999999981</v>
      </c>
      <c r="I50" s="455"/>
      <c r="J50" s="552">
        <f>H50/DAY(B2)</f>
        <v>946.16999999999905</v>
      </c>
      <c r="K50" s="428"/>
      <c r="L50" s="377"/>
      <c r="N50" s="382"/>
      <c r="O50" s="382"/>
    </row>
    <row r="51" spans="1:15">
      <c r="A51" s="578" t="s">
        <v>165</v>
      </c>
      <c r="B51" s="601"/>
      <c r="C51" s="601"/>
      <c r="D51" s="523" t="s">
        <v>131</v>
      </c>
      <c r="E51" s="510">
        <f>'18'!F51</f>
        <v>144640</v>
      </c>
      <c r="F51" s="510">
        <v>144639.87</v>
      </c>
      <c r="G51" s="473">
        <f t="shared" si="5"/>
        <v>-0.13000000000465661</v>
      </c>
      <c r="H51" s="460">
        <f>G51+'18'!H51</f>
        <v>-0.13000000000465661</v>
      </c>
      <c r="I51" s="455"/>
      <c r="J51" s="552">
        <f>H51/DAY(B2)</f>
        <v>-6.8421052634029794E-3</v>
      </c>
      <c r="K51" s="428"/>
      <c r="L51" s="377"/>
      <c r="N51" s="382"/>
      <c r="O51" s="382"/>
    </row>
    <row r="52" spans="1:15">
      <c r="A52" s="578" t="s">
        <v>178</v>
      </c>
      <c r="B52" s="601"/>
      <c r="C52" s="601"/>
      <c r="D52" s="523" t="s">
        <v>131</v>
      </c>
      <c r="E52" s="510">
        <f>'18'!F52</f>
        <v>539606</v>
      </c>
      <c r="F52" s="510">
        <v>539606.06999999995</v>
      </c>
      <c r="G52" s="473">
        <f t="shared" si="5"/>
        <v>6.9999999948777258E-2</v>
      </c>
      <c r="H52" s="460">
        <f>G52+'18'!H52</f>
        <v>0</v>
      </c>
      <c r="I52" s="455"/>
      <c r="J52" s="552">
        <f>H52/DAY(B2)</f>
        <v>0</v>
      </c>
      <c r="K52" s="428"/>
      <c r="L52" s="377"/>
      <c r="N52" s="382"/>
      <c r="O52" s="722"/>
    </row>
    <row r="53" spans="1:15">
      <c r="A53" s="578" t="s">
        <v>167</v>
      </c>
      <c r="B53" s="601"/>
      <c r="C53" s="601"/>
      <c r="D53" s="523" t="s">
        <v>131</v>
      </c>
      <c r="E53" s="510">
        <f>'18'!F53</f>
        <v>434231.59</v>
      </c>
      <c r="F53" s="510">
        <v>434231.59</v>
      </c>
      <c r="G53" s="473">
        <f t="shared" si="5"/>
        <v>0</v>
      </c>
      <c r="H53" s="460">
        <f>G53+'18'!H53</f>
        <v>1663.2600000000093</v>
      </c>
      <c r="I53" s="455"/>
      <c r="J53" s="552">
        <f>H53/DAY(B2)</f>
        <v>87.540000000000489</v>
      </c>
      <c r="K53" s="428"/>
      <c r="L53" s="377"/>
      <c r="N53" s="382"/>
      <c r="O53" s="382"/>
    </row>
    <row r="54" spans="1:15">
      <c r="A54" s="578" t="s">
        <v>179</v>
      </c>
      <c r="B54" s="601"/>
      <c r="C54" s="601"/>
      <c r="D54" s="523" t="s">
        <v>131</v>
      </c>
      <c r="E54" s="510">
        <f>'18'!F54</f>
        <v>14967.35</v>
      </c>
      <c r="F54" s="510">
        <v>14967.38</v>
      </c>
      <c r="G54" s="473">
        <f t="shared" si="5"/>
        <v>2.9999999998835847E-2</v>
      </c>
      <c r="H54" s="460">
        <f>G54+'18'!H54</f>
        <v>1138.3799999999992</v>
      </c>
      <c r="I54" s="455"/>
      <c r="J54" s="552">
        <f>H54/DAY(B2)</f>
        <v>59.914736842105221</v>
      </c>
      <c r="K54" s="428"/>
      <c r="L54" s="377"/>
      <c r="N54" s="382"/>
      <c r="O54" s="382"/>
    </row>
    <row r="55" spans="1:15">
      <c r="A55" s="578" t="s">
        <v>180</v>
      </c>
      <c r="B55" s="601"/>
      <c r="C55" s="601"/>
      <c r="D55" s="523" t="s">
        <v>131</v>
      </c>
      <c r="E55" s="510">
        <f>'18'!F55</f>
        <v>77276.399999999994</v>
      </c>
      <c r="F55" s="510">
        <v>82777.33</v>
      </c>
      <c r="G55" s="473">
        <f t="shared" si="5"/>
        <v>5500.9300000000076</v>
      </c>
      <c r="H55" s="460">
        <f>G55+'18'!H55</f>
        <v>14666.330000000002</v>
      </c>
      <c r="I55" s="455"/>
      <c r="J55" s="552">
        <f>H55/DAY(B2)</f>
        <v>771.91210526315797</v>
      </c>
      <c r="K55" s="428"/>
      <c r="L55" s="377"/>
      <c r="N55" s="382"/>
      <c r="O55" s="382"/>
    </row>
    <row r="56" spans="1:15">
      <c r="A56" s="578" t="s">
        <v>181</v>
      </c>
      <c r="B56" s="601"/>
      <c r="C56" s="601"/>
      <c r="D56" s="523" t="s">
        <v>182</v>
      </c>
      <c r="E56" s="510">
        <f>'18'!F56</f>
        <v>648909.06999999995</v>
      </c>
      <c r="F56" s="510">
        <v>648919.23</v>
      </c>
      <c r="G56" s="473">
        <f t="shared" si="5"/>
        <v>10.160000000032596</v>
      </c>
      <c r="H56" s="460">
        <f>G56+'18'!H56</f>
        <v>31721.229999999981</v>
      </c>
      <c r="I56" s="455"/>
      <c r="J56" s="552">
        <f>H56/DAY(B2)</f>
        <v>1669.5384210526306</v>
      </c>
      <c r="K56" s="427"/>
      <c r="L56" s="377"/>
      <c r="N56" s="382"/>
      <c r="O56" s="382"/>
    </row>
    <row r="57" spans="1:15">
      <c r="A57" s="578" t="s">
        <v>171</v>
      </c>
      <c r="B57" s="601"/>
      <c r="C57" s="601"/>
      <c r="D57" s="523" t="s">
        <v>131</v>
      </c>
      <c r="E57" s="510">
        <f>'18'!F57</f>
        <v>7711.33</v>
      </c>
      <c r="F57" s="510">
        <v>7711</v>
      </c>
      <c r="G57" s="473">
        <f t="shared" si="5"/>
        <v>-0.32999999999992724</v>
      </c>
      <c r="H57" s="460">
        <f>G57+'18'!H57</f>
        <v>0</v>
      </c>
      <c r="I57" s="455"/>
      <c r="J57" s="552">
        <f>H57/DAY(B2)</f>
        <v>0</v>
      </c>
      <c r="K57" s="428"/>
      <c r="L57" s="377"/>
      <c r="N57" s="382"/>
      <c r="O57" s="382"/>
    </row>
    <row r="58" spans="1:15">
      <c r="A58" s="578" t="s">
        <v>183</v>
      </c>
      <c r="B58" s="601"/>
      <c r="C58" s="601"/>
      <c r="D58" s="523" t="s">
        <v>131</v>
      </c>
      <c r="E58" s="510">
        <f>'18'!F58</f>
        <v>51918.14</v>
      </c>
      <c r="F58" s="510">
        <v>52232.27</v>
      </c>
      <c r="G58" s="473">
        <f t="shared" si="5"/>
        <v>314.12999999999738</v>
      </c>
      <c r="H58" s="460">
        <f>G58+'18'!H58</f>
        <v>2368.0599999999977</v>
      </c>
      <c r="I58" s="455"/>
      <c r="J58" s="552">
        <f>H58/DAY(B2)</f>
        <v>124.63473684210514</v>
      </c>
      <c r="K58" s="428"/>
      <c r="L58" s="377"/>
      <c r="N58" s="382"/>
      <c r="O58" s="382"/>
    </row>
    <row r="59" spans="1:15">
      <c r="A59" s="585" t="s">
        <v>175</v>
      </c>
      <c r="B59" s="586"/>
      <c r="C59" s="586"/>
      <c r="D59" s="511"/>
      <c r="E59" s="511"/>
      <c r="F59" s="511"/>
      <c r="G59" s="481">
        <f>G49+G50+G51+G52+G53+G54+G55+G56+G57+G58</f>
        <v>7398.0999999999713</v>
      </c>
      <c r="H59" s="460">
        <f>G59+'18'!H59</f>
        <v>69534.559999999925</v>
      </c>
      <c r="I59" s="455">
        <f>G7-G60</f>
        <v>-203.02999999997701</v>
      </c>
      <c r="J59" s="552">
        <f>H59/DAY(B2)</f>
        <v>3659.7136842105224</v>
      </c>
      <c r="K59" s="428"/>
      <c r="L59" s="377"/>
      <c r="N59" s="382"/>
      <c r="O59" s="382"/>
    </row>
    <row r="60" spans="1:15">
      <c r="A60" s="578"/>
      <c r="B60" s="579"/>
      <c r="C60" s="579"/>
      <c r="D60" s="511" t="s">
        <v>184</v>
      </c>
      <c r="E60" s="511"/>
      <c r="F60" s="511"/>
      <c r="G60" s="481">
        <f>G47+G59</f>
        <v>23325.470000000038</v>
      </c>
      <c r="H60" s="460">
        <f>G60+'18'!H60</f>
        <v>343279.40999999974</v>
      </c>
      <c r="I60" s="455">
        <f>G13-G60</f>
        <v>-943.86999999994441</v>
      </c>
      <c r="J60" s="552">
        <f>H60/DAY(B2)</f>
        <v>18067.337368421038</v>
      </c>
      <c r="K60" s="428"/>
      <c r="L60" s="377"/>
      <c r="N60" s="382"/>
      <c r="O60" s="382"/>
    </row>
    <row r="61" spans="1:15">
      <c r="A61" s="602" t="s">
        <v>185</v>
      </c>
      <c r="B61" s="453"/>
      <c r="C61" s="453"/>
      <c r="D61" s="513"/>
      <c r="E61" s="512"/>
      <c r="F61" s="512"/>
      <c r="G61" s="513"/>
      <c r="H61" s="513"/>
      <c r="I61" s="513"/>
      <c r="J61" s="555"/>
      <c r="K61" s="428"/>
      <c r="L61" s="377"/>
      <c r="N61" s="382"/>
      <c r="O61" s="382"/>
    </row>
    <row r="62" spans="1:15">
      <c r="A62" s="603" t="s">
        <v>97</v>
      </c>
      <c r="B62" s="604"/>
      <c r="C62" s="604"/>
      <c r="D62" s="511" t="s">
        <v>186</v>
      </c>
      <c r="E62" s="514">
        <f>'18'!F62</f>
        <v>20419.18</v>
      </c>
      <c r="F62" s="514">
        <v>20419.2</v>
      </c>
      <c r="G62" s="473">
        <f t="shared" ref="G62:G69" si="6">F62-E62</f>
        <v>2.0000000000436557E-2</v>
      </c>
      <c r="H62" s="460">
        <f>G62+'18'!H62</f>
        <v>0.20199999999749707</v>
      </c>
      <c r="I62" s="515"/>
      <c r="J62" s="552">
        <f>H62/DAY(B2)</f>
        <v>1.0631578947236688E-2</v>
      </c>
      <c r="K62" s="428"/>
      <c r="L62" s="377"/>
      <c r="N62" s="382"/>
      <c r="O62" s="382"/>
    </row>
    <row r="63" spans="1:15">
      <c r="A63" s="603" t="s">
        <v>187</v>
      </c>
      <c r="B63" s="604"/>
      <c r="C63" s="604"/>
      <c r="D63" s="511" t="s">
        <v>186</v>
      </c>
      <c r="E63" s="514">
        <f>'18'!F63</f>
        <v>0</v>
      </c>
      <c r="F63" s="514">
        <v>0</v>
      </c>
      <c r="G63" s="473">
        <f t="shared" si="6"/>
        <v>0</v>
      </c>
      <c r="H63" s="460">
        <f>G63+'18'!H63</f>
        <v>0</v>
      </c>
      <c r="I63" s="515"/>
      <c r="J63" s="552">
        <f>H63/DAY(B2)</f>
        <v>0</v>
      </c>
      <c r="K63" s="428"/>
      <c r="L63" s="377"/>
      <c r="N63" s="382"/>
      <c r="O63" s="382"/>
    </row>
    <row r="64" spans="1:15" ht="27.75">
      <c r="A64" s="1534" t="s">
        <v>98</v>
      </c>
      <c r="B64" s="1535"/>
      <c r="C64" s="1536"/>
      <c r="D64" s="523" t="s">
        <v>186</v>
      </c>
      <c r="E64" s="484">
        <f>'18'!F64</f>
        <v>165546.95000000001</v>
      </c>
      <c r="F64" s="484">
        <v>165890.62</v>
      </c>
      <c r="G64" s="473">
        <f t="shared" si="6"/>
        <v>343.6699999999837</v>
      </c>
      <c r="H64" s="460">
        <f>G64+'18'!H64</f>
        <v>5958.6199999999953</v>
      </c>
      <c r="I64" s="480"/>
      <c r="J64" s="552">
        <f>H64/DAY(B2)</f>
        <v>313.61157894736817</v>
      </c>
      <c r="K64" s="428"/>
      <c r="L64" s="377"/>
      <c r="N64" s="382"/>
      <c r="O64" s="382"/>
    </row>
    <row r="65" spans="1:15" ht="27.75">
      <c r="A65" s="1534" t="s">
        <v>99</v>
      </c>
      <c r="B65" s="1535"/>
      <c r="C65" s="1536"/>
      <c r="D65" s="523" t="s">
        <v>186</v>
      </c>
      <c r="E65" s="484">
        <f>'18'!F65</f>
        <v>165867.10999999999</v>
      </c>
      <c r="F65" s="484">
        <v>166289.87</v>
      </c>
      <c r="G65" s="473">
        <f t="shared" si="6"/>
        <v>422.76000000000931</v>
      </c>
      <c r="H65" s="460">
        <f>G65+'18'!H65</f>
        <v>5291.8699999999953</v>
      </c>
      <c r="I65" s="489"/>
      <c r="J65" s="552">
        <f>H65/DAY(B2)</f>
        <v>278.51947368421025</v>
      </c>
      <c r="K65" s="428"/>
      <c r="L65" s="377"/>
      <c r="N65" s="382"/>
      <c r="O65" s="382"/>
    </row>
    <row r="66" spans="1:15" ht="27.75">
      <c r="A66" s="1534" t="s">
        <v>100</v>
      </c>
      <c r="B66" s="1535"/>
      <c r="C66" s="1536"/>
      <c r="D66" s="523" t="s">
        <v>186</v>
      </c>
      <c r="E66" s="484">
        <f>'18'!F66</f>
        <v>63008.51</v>
      </c>
      <c r="F66" s="484">
        <v>63429.97</v>
      </c>
      <c r="G66" s="473">
        <f t="shared" si="6"/>
        <v>421.45999999999913</v>
      </c>
      <c r="H66" s="460">
        <f>G66+'18'!H66</f>
        <v>6624.9700000000012</v>
      </c>
      <c r="I66" s="480"/>
      <c r="J66" s="552">
        <f>H66/DAY(B2)</f>
        <v>348.68263157894745</v>
      </c>
      <c r="K66" s="428"/>
      <c r="L66" s="377"/>
      <c r="N66" s="382"/>
      <c r="O66" s="382"/>
    </row>
    <row r="67" spans="1:15" ht="27.75">
      <c r="A67" s="1534" t="s">
        <v>101</v>
      </c>
      <c r="B67" s="1535"/>
      <c r="C67" s="1536"/>
      <c r="D67" s="523" t="s">
        <v>186</v>
      </c>
      <c r="E67" s="484">
        <f>'18'!F67</f>
        <v>259536.45</v>
      </c>
      <c r="F67" s="484">
        <v>260027.21</v>
      </c>
      <c r="G67" s="473">
        <f t="shared" si="6"/>
        <v>490.75999999998021</v>
      </c>
      <c r="H67" s="460">
        <f>G67+'18'!H67</f>
        <v>7835.2099999999919</v>
      </c>
      <c r="I67" s="489"/>
      <c r="J67" s="552">
        <f>H67/DAY(B2)</f>
        <v>412.3794736842101</v>
      </c>
      <c r="K67" s="429"/>
      <c r="L67" s="377"/>
      <c r="N67" s="382"/>
      <c r="O67" s="382"/>
    </row>
    <row r="68" spans="1:15" ht="27.75">
      <c r="A68" s="1534" t="s">
        <v>102</v>
      </c>
      <c r="B68" s="1535"/>
      <c r="C68" s="1536"/>
      <c r="D68" s="523" t="s">
        <v>186</v>
      </c>
      <c r="E68" s="484">
        <f>'18'!F68</f>
        <v>85321</v>
      </c>
      <c r="F68" s="484">
        <v>85321</v>
      </c>
      <c r="G68" s="473">
        <f t="shared" si="6"/>
        <v>0</v>
      </c>
      <c r="H68" s="460">
        <f>G68+'18'!H68</f>
        <v>0</v>
      </c>
      <c r="I68" s="516"/>
      <c r="J68" s="552">
        <f>H68/DAY(B2)</f>
        <v>0</v>
      </c>
      <c r="K68" s="430"/>
      <c r="L68" s="377"/>
      <c r="N68" s="382"/>
      <c r="O68" s="382"/>
    </row>
    <row r="69" spans="1:15" ht="27.75">
      <c r="A69" s="1534" t="s">
        <v>103</v>
      </c>
      <c r="B69" s="1535"/>
      <c r="C69" s="1536"/>
      <c r="D69" s="523" t="s">
        <v>186</v>
      </c>
      <c r="E69" s="484">
        <f>'18'!F69</f>
        <v>84579.38</v>
      </c>
      <c r="F69" s="484">
        <v>84858.91</v>
      </c>
      <c r="G69" s="473">
        <f t="shared" si="6"/>
        <v>279.52999999999884</v>
      </c>
      <c r="H69" s="460">
        <f>G69+'18'!H69</f>
        <v>3109.9100000000035</v>
      </c>
      <c r="I69" s="516"/>
      <c r="J69" s="552">
        <f>H69/DAY(B2)</f>
        <v>163.67947368421071</v>
      </c>
      <c r="K69" s="431"/>
      <c r="L69" s="377"/>
      <c r="N69" s="382"/>
      <c r="O69" s="382"/>
    </row>
    <row r="70" spans="1:15" ht="27.75">
      <c r="A70" s="1566" t="s">
        <v>188</v>
      </c>
      <c r="B70" s="1567"/>
      <c r="C70" s="1568"/>
      <c r="D70" s="523" t="s">
        <v>186</v>
      </c>
      <c r="E70" s="518"/>
      <c r="F70" s="518"/>
      <c r="G70" s="518"/>
      <c r="H70" s="460">
        <f>G70+'13'!H70</f>
        <v>0</v>
      </c>
      <c r="I70" s="518"/>
      <c r="J70" s="556"/>
      <c r="K70" s="431"/>
      <c r="L70" s="377"/>
      <c r="N70" s="382"/>
      <c r="O70" s="382"/>
    </row>
    <row r="71" spans="1:15" ht="31.5">
      <c r="A71" s="1580" t="s">
        <v>189</v>
      </c>
      <c r="B71" s="1581"/>
      <c r="C71" s="1581"/>
      <c r="D71" s="1581"/>
      <c r="E71" s="1581"/>
      <c r="F71" s="1581"/>
      <c r="G71" s="1581"/>
      <c r="H71" s="1581"/>
      <c r="I71" s="1581"/>
      <c r="J71" s="1582"/>
      <c r="K71" s="430"/>
      <c r="L71" s="377"/>
      <c r="N71" s="382"/>
      <c r="O71" s="382"/>
    </row>
    <row r="72" spans="1:15" ht="27.75">
      <c r="A72" s="1534" t="s">
        <v>190</v>
      </c>
      <c r="B72" s="1535"/>
      <c r="C72" s="1536"/>
      <c r="D72" s="523" t="s">
        <v>186</v>
      </c>
      <c r="E72" s="519">
        <f>'18'!F72</f>
        <v>856078</v>
      </c>
      <c r="F72" s="519">
        <v>856091</v>
      </c>
      <c r="G72" s="473">
        <f t="shared" ref="G72:G84" si="7">F72-E72</f>
        <v>13</v>
      </c>
      <c r="H72" s="460">
        <f>G72+'18'!H72</f>
        <v>235</v>
      </c>
      <c r="I72" s="480"/>
      <c r="J72" s="552">
        <f>H72/DAY(B2)</f>
        <v>12.368421052631579</v>
      </c>
      <c r="K72" s="431"/>
      <c r="L72" s="377"/>
      <c r="N72" s="382"/>
      <c r="O72" s="382"/>
    </row>
    <row r="73" spans="1:15" ht="27.75">
      <c r="A73" s="1534" t="s">
        <v>191</v>
      </c>
      <c r="B73" s="1535"/>
      <c r="C73" s="1536"/>
      <c r="D73" s="523" t="s">
        <v>186</v>
      </c>
      <c r="E73" s="520">
        <f>'18'!F73</f>
        <v>885958</v>
      </c>
      <c r="F73" s="520">
        <v>885959</v>
      </c>
      <c r="G73" s="473">
        <f t="shared" si="7"/>
        <v>1</v>
      </c>
      <c r="H73" s="460">
        <f>G73+'18'!H73</f>
        <v>178</v>
      </c>
      <c r="I73" s="480"/>
      <c r="J73" s="552">
        <f>H73/DAY(B2)</f>
        <v>9.3684210526315788</v>
      </c>
      <c r="K73" s="430"/>
      <c r="L73" s="377"/>
      <c r="N73" s="382"/>
      <c r="O73" s="382"/>
    </row>
    <row r="74" spans="1:15" ht="27.75">
      <c r="A74" s="1609" t="s">
        <v>192</v>
      </c>
      <c r="B74" s="1610"/>
      <c r="C74" s="1611"/>
      <c r="D74" s="523" t="s">
        <v>186</v>
      </c>
      <c r="E74" s="521">
        <f>'18'!F74</f>
        <v>88683.3</v>
      </c>
      <c r="F74" s="521">
        <v>88684.4</v>
      </c>
      <c r="G74" s="473">
        <f t="shared" si="7"/>
        <v>1.0999999999912689</v>
      </c>
      <c r="H74" s="460">
        <f>G74+'18'!H74</f>
        <v>19.359999999994216</v>
      </c>
      <c r="I74" s="480"/>
      <c r="J74" s="552">
        <f>H74/DAY(B2)</f>
        <v>1.0189473684207482</v>
      </c>
      <c r="K74" s="431"/>
      <c r="L74" s="377"/>
      <c r="N74" s="382"/>
      <c r="O74" s="382"/>
    </row>
    <row r="75" spans="1:15" ht="27.75">
      <c r="A75" s="1583" t="s">
        <v>193</v>
      </c>
      <c r="B75" s="1584"/>
      <c r="C75" s="1585"/>
      <c r="D75" s="523" t="s">
        <v>186</v>
      </c>
      <c r="E75" s="521">
        <f>'18'!F75</f>
        <v>14299.42</v>
      </c>
      <c r="F75" s="521">
        <v>14473.9</v>
      </c>
      <c r="G75" s="473">
        <f t="shared" si="7"/>
        <v>174.47999999999956</v>
      </c>
      <c r="H75" s="460">
        <f>G75+'18'!H75</f>
        <v>1804.8999999999996</v>
      </c>
      <c r="I75" s="480"/>
      <c r="J75" s="552">
        <f>H75/DAY(B2)</f>
        <v>94.99473684210524</v>
      </c>
      <c r="K75" s="430"/>
      <c r="L75" s="377"/>
      <c r="N75" s="382"/>
      <c r="O75" s="382"/>
    </row>
    <row r="76" spans="1:15" ht="27.75">
      <c r="A76" s="1583" t="s">
        <v>194</v>
      </c>
      <c r="B76" s="1584"/>
      <c r="C76" s="1585"/>
      <c r="D76" s="523" t="s">
        <v>186</v>
      </c>
      <c r="E76" s="520">
        <f>'18'!F76</f>
        <v>8466.48</v>
      </c>
      <c r="F76" s="520">
        <v>8533.0300000000007</v>
      </c>
      <c r="G76" s="473">
        <f t="shared" si="7"/>
        <v>66.550000000001091</v>
      </c>
      <c r="H76" s="460">
        <f>G76+'18'!H76</f>
        <v>1327.0300000000007</v>
      </c>
      <c r="I76" s="505"/>
      <c r="J76" s="552">
        <f>H76/DAY(B2)</f>
        <v>69.843684210526348</v>
      </c>
      <c r="K76" s="430"/>
      <c r="L76" s="377"/>
      <c r="N76" s="382"/>
      <c r="O76" s="382"/>
    </row>
    <row r="77" spans="1:15" ht="27.75">
      <c r="A77" s="1534" t="s">
        <v>195</v>
      </c>
      <c r="B77" s="1535"/>
      <c r="C77" s="1536"/>
      <c r="D77" s="523" t="s">
        <v>186</v>
      </c>
      <c r="E77" s="521">
        <f>'18'!F77</f>
        <v>703744</v>
      </c>
      <c r="F77" s="521">
        <v>703787</v>
      </c>
      <c r="G77" s="473">
        <f t="shared" si="7"/>
        <v>43</v>
      </c>
      <c r="H77" s="460">
        <f>G77+'18'!H77</f>
        <v>948</v>
      </c>
      <c r="I77" s="505"/>
      <c r="J77" s="552">
        <f>H77/DAY(B2)</f>
        <v>49.89473684210526</v>
      </c>
      <c r="K77" s="430"/>
      <c r="L77" s="377"/>
      <c r="N77" s="382"/>
      <c r="O77" s="382"/>
    </row>
    <row r="78" spans="1:15" ht="27.75">
      <c r="A78" s="1144" t="s">
        <v>196</v>
      </c>
      <c r="B78" s="1117"/>
      <c r="C78" s="1117"/>
      <c r="D78" s="523" t="s">
        <v>186</v>
      </c>
      <c r="E78" s="521">
        <f>'18'!F78</f>
        <v>674311</v>
      </c>
      <c r="F78" s="521">
        <v>674432</v>
      </c>
      <c r="G78" s="473">
        <f t="shared" si="7"/>
        <v>121</v>
      </c>
      <c r="H78" s="460">
        <f>G78+'18'!H78</f>
        <v>1400</v>
      </c>
      <c r="I78" s="505"/>
      <c r="J78" s="552">
        <f>H78/DAY(B2)</f>
        <v>73.684210526315795</v>
      </c>
      <c r="K78" s="430"/>
      <c r="L78" s="377"/>
      <c r="N78" s="382"/>
      <c r="O78" s="382"/>
    </row>
    <row r="79" spans="1:15" ht="27.75">
      <c r="A79" s="1583" t="s">
        <v>91</v>
      </c>
      <c r="B79" s="1584"/>
      <c r="C79" s="1585"/>
      <c r="D79" s="524" t="s">
        <v>186</v>
      </c>
      <c r="E79" s="521">
        <f>'18'!F79</f>
        <v>833636</v>
      </c>
      <c r="F79" s="521">
        <v>833783</v>
      </c>
      <c r="G79" s="473">
        <f t="shared" si="7"/>
        <v>147</v>
      </c>
      <c r="H79" s="460">
        <f>G79+'18'!H79</f>
        <v>1761</v>
      </c>
      <c r="I79" s="505"/>
      <c r="J79" s="552">
        <f>H79/DAY(B2)</f>
        <v>92.684210526315795</v>
      </c>
      <c r="K79" s="430"/>
      <c r="L79" s="377"/>
      <c r="N79" s="382"/>
      <c r="O79" s="382"/>
    </row>
    <row r="80" spans="1:15" ht="27.75">
      <c r="A80" s="1583" t="s">
        <v>197</v>
      </c>
      <c r="B80" s="1584"/>
      <c r="C80" s="1585"/>
      <c r="D80" s="524" t="s">
        <v>186</v>
      </c>
      <c r="E80" s="520">
        <f>'18'!F80</f>
        <v>534260.84</v>
      </c>
      <c r="F80" s="520">
        <v>534665.16</v>
      </c>
      <c r="G80" s="473">
        <f t="shared" si="7"/>
        <v>404.32000000006519</v>
      </c>
      <c r="H80" s="460">
        <f>G80+'18'!H80</f>
        <v>4119.640000000014</v>
      </c>
      <c r="I80" s="505"/>
      <c r="J80" s="552">
        <f>H80/DAY(B2)</f>
        <v>216.82315789473759</v>
      </c>
      <c r="K80" s="430"/>
      <c r="L80" s="377"/>
      <c r="N80" s="382"/>
      <c r="O80" s="382"/>
    </row>
    <row r="81" spans="1:15" ht="27.75">
      <c r="A81" s="1583" t="s">
        <v>198</v>
      </c>
      <c r="B81" s="1584"/>
      <c r="C81" s="1585"/>
      <c r="D81" s="524" t="s">
        <v>186</v>
      </c>
      <c r="E81" s="520">
        <f>'18'!F81</f>
        <v>641035.31999999995</v>
      </c>
      <c r="F81" s="520">
        <v>641219.96</v>
      </c>
      <c r="G81" s="473">
        <f t="shared" si="7"/>
        <v>184.64000000001397</v>
      </c>
      <c r="H81" s="460">
        <f>G81+'18'!H81</f>
        <v>2321.9599999999627</v>
      </c>
      <c r="I81" s="505"/>
      <c r="J81" s="552">
        <f>H81/DAY(B2)</f>
        <v>122.20842105262962</v>
      </c>
      <c r="K81" s="430"/>
      <c r="L81" s="377"/>
      <c r="N81" s="382"/>
      <c r="O81" s="382"/>
    </row>
    <row r="82" spans="1:15" ht="27.75">
      <c r="A82" s="1583" t="s">
        <v>92</v>
      </c>
      <c r="B82" s="1584"/>
      <c r="C82" s="1585"/>
      <c r="D82" s="485" t="s">
        <v>131</v>
      </c>
      <c r="E82" s="522">
        <f>'18'!F82</f>
        <v>108460.61</v>
      </c>
      <c r="F82" s="522">
        <v>108479.52</v>
      </c>
      <c r="G82" s="473">
        <f t="shared" si="7"/>
        <v>18.910000000003492</v>
      </c>
      <c r="H82" s="460">
        <f>G82+'18'!H82</f>
        <v>321.52000000000407</v>
      </c>
      <c r="I82" s="486"/>
      <c r="J82" s="552">
        <f>H82/DAY(B2)</f>
        <v>16.922105263158109</v>
      </c>
      <c r="K82" s="430"/>
      <c r="L82" s="377"/>
      <c r="N82" s="382"/>
      <c r="O82" s="382"/>
    </row>
    <row r="83" spans="1:15" ht="27.75">
      <c r="A83" s="1583" t="s">
        <v>199</v>
      </c>
      <c r="B83" s="1584"/>
      <c r="C83" s="1585"/>
      <c r="D83" s="620" t="s">
        <v>131</v>
      </c>
      <c r="E83" s="511">
        <f>'18'!F83</f>
        <v>24106</v>
      </c>
      <c r="F83" s="511">
        <v>24413</v>
      </c>
      <c r="G83" s="473">
        <f t="shared" si="7"/>
        <v>307</v>
      </c>
      <c r="H83" s="460">
        <f>G83+'18'!H83</f>
        <v>3907</v>
      </c>
      <c r="I83" s="481"/>
      <c r="J83" s="552">
        <f>H83/DAY(B2)</f>
        <v>205.63157894736841</v>
      </c>
      <c r="K83" s="429"/>
      <c r="L83" s="377"/>
      <c r="N83" s="382"/>
      <c r="O83" s="722"/>
    </row>
    <row r="84" spans="1:15">
      <c r="A84" s="1145" t="s">
        <v>200</v>
      </c>
      <c r="B84" s="571"/>
      <c r="C84" s="571"/>
      <c r="D84" s="478" t="s">
        <v>131</v>
      </c>
      <c r="E84" s="627">
        <f>'18'!F84</f>
        <v>513364</v>
      </c>
      <c r="F84" s="627">
        <v>514155</v>
      </c>
      <c r="G84" s="473">
        <f t="shared" si="7"/>
        <v>791</v>
      </c>
      <c r="H84" s="460">
        <f>G84+'18'!H84</f>
        <v>13861</v>
      </c>
      <c r="I84" s="481"/>
      <c r="J84" s="552">
        <f>H84/DAY(B2)</f>
        <v>729.52631578947364</v>
      </c>
      <c r="K84" s="380"/>
      <c r="L84" s="377"/>
      <c r="N84" s="382"/>
      <c r="O84" s="382"/>
    </row>
    <row r="85" spans="1:15" s="379" customFormat="1">
      <c r="A85" s="605" t="s">
        <v>201</v>
      </c>
      <c r="B85" s="572"/>
      <c r="C85" s="572"/>
      <c r="D85" s="489"/>
      <c r="E85" s="523"/>
      <c r="F85" s="523"/>
      <c r="G85" s="460">
        <f xml:space="preserve"> SUM(G72:G84)</f>
        <v>2273.0000000000746</v>
      </c>
      <c r="H85" s="460">
        <f>G85+'18'!H85</f>
        <v>35747.929999999993</v>
      </c>
      <c r="I85" s="481"/>
      <c r="J85" s="552">
        <f>H85/DAY(B2)</f>
        <v>1881.4699999999996</v>
      </c>
      <c r="K85" s="380"/>
      <c r="L85" s="378"/>
      <c r="N85" s="777"/>
      <c r="O85" s="722"/>
    </row>
    <row r="86" spans="1:15" s="736" customFormat="1">
      <c r="A86" s="731" t="s">
        <v>93</v>
      </c>
      <c r="B86" s="732"/>
      <c r="C86" s="732"/>
      <c r="D86" s="733" t="s">
        <v>182</v>
      </c>
      <c r="E86" s="648">
        <f>'18'!F86</f>
        <v>461480.2</v>
      </c>
      <c r="F86" s="648">
        <v>461496.24</v>
      </c>
      <c r="G86" s="706">
        <f t="shared" ref="G86:G91" si="8">F86-E86</f>
        <v>16.039999999979045</v>
      </c>
      <c r="H86" s="460">
        <f>G86+'18'!H86</f>
        <v>37.959999999962747</v>
      </c>
      <c r="I86" s="653"/>
      <c r="J86" s="708">
        <f>H86/DAY(B2)</f>
        <v>1.9978947368401445</v>
      </c>
      <c r="K86" s="734">
        <v>424609</v>
      </c>
      <c r="L86" s="735">
        <f>K86-F86</f>
        <v>-36887.239999999991</v>
      </c>
      <c r="N86" s="778"/>
      <c r="O86" s="382"/>
    </row>
    <row r="87" spans="1:15" s="736" customFormat="1">
      <c r="A87" s="731" t="s">
        <v>94</v>
      </c>
      <c r="B87" s="732"/>
      <c r="C87" s="732"/>
      <c r="D87" s="733" t="s">
        <v>182</v>
      </c>
      <c r="E87" s="648">
        <f>'18'!F87</f>
        <v>81757.7</v>
      </c>
      <c r="F87" s="648">
        <v>81776.800000000003</v>
      </c>
      <c r="G87" s="706">
        <f t="shared" si="8"/>
        <v>19.100000000005821</v>
      </c>
      <c r="H87" s="460">
        <f>G87+'18'!H87</f>
        <v>48</v>
      </c>
      <c r="I87" s="653"/>
      <c r="J87" s="708">
        <f>H87/DAY(B2)</f>
        <v>2.5263157894736841</v>
      </c>
      <c r="K87" s="734"/>
      <c r="L87" s="735"/>
      <c r="N87" s="778"/>
      <c r="O87" s="382"/>
    </row>
    <row r="88" spans="1:15" s="736" customFormat="1">
      <c r="A88" s="731" t="s">
        <v>95</v>
      </c>
      <c r="B88" s="732"/>
      <c r="C88" s="732"/>
      <c r="D88" s="733" t="s">
        <v>182</v>
      </c>
      <c r="E88" s="648">
        <f>'18'!F88</f>
        <v>154172.51</v>
      </c>
      <c r="F88" s="648">
        <v>154227.82999999999</v>
      </c>
      <c r="G88" s="706">
        <f t="shared" si="8"/>
        <v>55.319999999977881</v>
      </c>
      <c r="H88" s="460">
        <f>G88+'18'!H88</f>
        <v>150.1699999999837</v>
      </c>
      <c r="I88" s="653"/>
      <c r="J88" s="708">
        <f>H88/DAY(B2)</f>
        <v>7.9036842105254577</v>
      </c>
      <c r="K88" s="734"/>
      <c r="L88" s="735"/>
      <c r="N88" s="778"/>
      <c r="O88" s="382"/>
    </row>
    <row r="89" spans="1:15" s="736" customFormat="1">
      <c r="A89" s="731" t="s">
        <v>203</v>
      </c>
      <c r="B89" s="732"/>
      <c r="C89" s="732"/>
      <c r="D89" s="733" t="s">
        <v>182</v>
      </c>
      <c r="E89" s="648">
        <f>'18'!F89</f>
        <v>65528.6</v>
      </c>
      <c r="F89" s="648">
        <v>65543.5</v>
      </c>
      <c r="G89" s="706">
        <f t="shared" si="8"/>
        <v>14.900000000001455</v>
      </c>
      <c r="H89" s="460">
        <f>G89+'18'!H89</f>
        <v>31.400000000001455</v>
      </c>
      <c r="I89" s="653"/>
      <c r="J89" s="708">
        <f>H89/DAY(B2)</f>
        <v>1.6526315789474451</v>
      </c>
      <c r="K89" s="734"/>
      <c r="L89" s="735"/>
      <c r="N89" s="778"/>
      <c r="O89" s="382"/>
    </row>
    <row r="90" spans="1:15" s="736" customFormat="1">
      <c r="A90" s="731" t="s">
        <v>203</v>
      </c>
      <c r="B90" s="732"/>
      <c r="C90" s="732"/>
      <c r="D90" s="733" t="s">
        <v>182</v>
      </c>
      <c r="E90" s="648">
        <f>'18'!F90</f>
        <v>3307.4</v>
      </c>
      <c r="F90" s="648">
        <v>3308.7</v>
      </c>
      <c r="G90" s="706">
        <f t="shared" si="8"/>
        <v>1.2999999999997272</v>
      </c>
      <c r="H90" s="706">
        <f>G90</f>
        <v>1.2999999999997272</v>
      </c>
      <c r="I90" s="653"/>
      <c r="J90" s="708">
        <f>H90/DAY(B2)</f>
        <v>6.8421052631564588E-2</v>
      </c>
      <c r="K90" s="734"/>
      <c r="L90" s="735"/>
      <c r="N90" s="778"/>
      <c r="O90" s="382"/>
    </row>
    <row r="91" spans="1:15" s="736" customFormat="1">
      <c r="A91" s="731" t="s">
        <v>350</v>
      </c>
      <c r="B91" s="732"/>
      <c r="C91" s="732"/>
      <c r="D91" s="733"/>
      <c r="E91" s="648">
        <f>'18'!F91</f>
        <v>28154.166399999998</v>
      </c>
      <c r="F91" s="648">
        <v>28159.68</v>
      </c>
      <c r="G91" s="706">
        <f t="shared" si="8"/>
        <v>5.5136000000020431</v>
      </c>
      <c r="H91" s="706"/>
      <c r="I91" s="653"/>
      <c r="J91" s="708"/>
      <c r="K91" s="734"/>
      <c r="L91" s="735"/>
      <c r="N91" s="778"/>
      <c r="O91" s="382"/>
    </row>
    <row r="92" spans="1:15" s="379" customFormat="1">
      <c r="A92" s="606" t="s">
        <v>204</v>
      </c>
      <c r="B92" s="1147"/>
      <c r="C92" s="1147"/>
      <c r="D92" s="472"/>
      <c r="E92" s="472"/>
      <c r="F92" s="472"/>
      <c r="G92" s="488"/>
      <c r="H92" s="472"/>
      <c r="I92" s="472"/>
      <c r="J92" s="551"/>
      <c r="K92" s="380"/>
      <c r="L92" s="378"/>
      <c r="N92" s="777"/>
      <c r="O92" s="382"/>
    </row>
    <row r="93" spans="1:15" ht="27.75">
      <c r="A93" s="1537" t="s">
        <v>205</v>
      </c>
      <c r="B93" s="1538"/>
      <c r="C93" s="1539"/>
      <c r="D93" s="523" t="s">
        <v>143</v>
      </c>
      <c r="E93" s="648">
        <f>'18'!F93</f>
        <v>246344</v>
      </c>
      <c r="F93" s="484">
        <v>246443</v>
      </c>
      <c r="G93" s="473">
        <f t="shared" ref="G93:G94" si="9">F93-E93</f>
        <v>99</v>
      </c>
      <c r="H93" s="460">
        <f>G93+'18'!H93</f>
        <v>955</v>
      </c>
      <c r="I93" s="480"/>
      <c r="J93" s="552">
        <f>H93/DAY(B2)</f>
        <v>50.263157894736842</v>
      </c>
      <c r="K93" s="429"/>
      <c r="L93" s="377"/>
      <c r="N93" s="382"/>
      <c r="O93" s="382"/>
    </row>
    <row r="94" spans="1:15" ht="27.75">
      <c r="A94" s="1537" t="s">
        <v>206</v>
      </c>
      <c r="B94" s="1538"/>
      <c r="C94" s="1539"/>
      <c r="D94" s="523" t="s">
        <v>143</v>
      </c>
      <c r="E94" s="484">
        <f>'18'!F94</f>
        <v>187830</v>
      </c>
      <c r="F94" s="484">
        <v>188011</v>
      </c>
      <c r="G94" s="473">
        <f t="shared" si="9"/>
        <v>181</v>
      </c>
      <c r="H94" s="460">
        <f>G94+'18'!H94</f>
        <v>1890</v>
      </c>
      <c r="I94" s="480"/>
      <c r="J94" s="552">
        <f>H94/DAY(B2)</f>
        <v>99.473684210526315</v>
      </c>
      <c r="K94" s="380"/>
      <c r="L94" s="377"/>
      <c r="N94" s="382"/>
      <c r="O94" s="382"/>
    </row>
    <row r="95" spans="1:15">
      <c r="A95" s="1531" t="s">
        <v>207</v>
      </c>
      <c r="B95" s="1532"/>
      <c r="C95" s="1533"/>
      <c r="D95" s="523"/>
      <c r="E95" s="484">
        <f>'18'!F95</f>
        <v>0</v>
      </c>
      <c r="F95" s="484"/>
      <c r="G95" s="473">
        <f>G93+G94</f>
        <v>280</v>
      </c>
      <c r="H95" s="460">
        <f>G95+'18'!H95</f>
        <v>2769</v>
      </c>
      <c r="I95" s="480"/>
      <c r="J95" s="552">
        <f>H95/DAY(B2)</f>
        <v>145.73684210526315</v>
      </c>
      <c r="K95" s="380"/>
      <c r="L95" s="377"/>
      <c r="N95" s="382"/>
      <c r="O95" s="382"/>
    </row>
    <row r="96" spans="1:15" ht="27.75">
      <c r="A96" s="1537" t="s">
        <v>208</v>
      </c>
      <c r="B96" s="1538"/>
      <c r="C96" s="1539"/>
      <c r="D96" s="523" t="s">
        <v>143</v>
      </c>
      <c r="E96" s="484">
        <f>'18'!F96</f>
        <v>415205</v>
      </c>
      <c r="F96" s="484">
        <v>415280</v>
      </c>
      <c r="G96" s="473">
        <f t="shared" ref="G96:G101" si="10">F96-E96</f>
        <v>75</v>
      </c>
      <c r="H96" s="460">
        <f>G96+'18'!H96</f>
        <v>997</v>
      </c>
      <c r="I96" s="480"/>
      <c r="J96" s="552">
        <f>H96/DAY(B2)</f>
        <v>52.473684210526315</v>
      </c>
      <c r="K96" s="380"/>
      <c r="L96" s="377"/>
      <c r="N96" s="382"/>
      <c r="O96" s="382"/>
    </row>
    <row r="97" spans="1:15" ht="27.75">
      <c r="A97" s="1141" t="s">
        <v>209</v>
      </c>
      <c r="B97" s="1142"/>
      <c r="C97" s="1142"/>
      <c r="D97" s="523" t="s">
        <v>143</v>
      </c>
      <c r="E97" s="484">
        <f>'18'!F97</f>
        <v>102889</v>
      </c>
      <c r="F97" s="484">
        <v>102911</v>
      </c>
      <c r="G97" s="473">
        <f t="shared" si="10"/>
        <v>22</v>
      </c>
      <c r="H97" s="460">
        <f>G97+'18'!H97</f>
        <v>263</v>
      </c>
      <c r="I97" s="480"/>
      <c r="J97" s="552">
        <f>H97/DAY(B2)</f>
        <v>13.842105263157896</v>
      </c>
      <c r="K97" s="427"/>
      <c r="L97" s="377"/>
      <c r="N97" s="382"/>
      <c r="O97" s="382"/>
    </row>
    <row r="98" spans="1:15" ht="27.75">
      <c r="A98" s="1141" t="s">
        <v>210</v>
      </c>
      <c r="B98" s="1142"/>
      <c r="C98" s="1142"/>
      <c r="D98" s="523" t="s">
        <v>143</v>
      </c>
      <c r="E98" s="484">
        <f>'18'!F98</f>
        <v>98343</v>
      </c>
      <c r="F98" s="484">
        <v>98382</v>
      </c>
      <c r="G98" s="473">
        <f t="shared" si="10"/>
        <v>39</v>
      </c>
      <c r="H98" s="460">
        <f>G98+'18'!H98</f>
        <v>432</v>
      </c>
      <c r="I98" s="480"/>
      <c r="J98" s="552">
        <f>H98/DAY(B2)</f>
        <v>22.736842105263158</v>
      </c>
      <c r="K98" s="432"/>
      <c r="L98" s="377"/>
      <c r="N98" s="382"/>
      <c r="O98" s="382"/>
    </row>
    <row r="99" spans="1:15" ht="27.75">
      <c r="A99" s="1141" t="s">
        <v>211</v>
      </c>
      <c r="B99" s="1142"/>
      <c r="C99" s="1142"/>
      <c r="D99" s="523" t="s">
        <v>143</v>
      </c>
      <c r="E99" s="484">
        <f>'18'!F99</f>
        <v>149994</v>
      </c>
      <c r="F99" s="484">
        <v>150008</v>
      </c>
      <c r="G99" s="473">
        <f t="shared" si="10"/>
        <v>14</v>
      </c>
      <c r="H99" s="460">
        <f>G99+'18'!H99</f>
        <v>156</v>
      </c>
      <c r="I99" s="480"/>
      <c r="J99" s="552">
        <f>H99/DAY(B2)</f>
        <v>8.2105263157894743</v>
      </c>
      <c r="K99" s="380"/>
      <c r="L99" s="377"/>
      <c r="N99" s="382"/>
      <c r="O99" s="382"/>
    </row>
    <row r="100" spans="1:15" ht="27.75">
      <c r="A100" s="1141" t="s">
        <v>212</v>
      </c>
      <c r="B100" s="1142"/>
      <c r="C100" s="1142"/>
      <c r="D100" s="523" t="s">
        <v>143</v>
      </c>
      <c r="E100" s="484">
        <f>'18'!F100</f>
        <v>7553</v>
      </c>
      <c r="F100" s="484">
        <v>7565</v>
      </c>
      <c r="G100" s="473">
        <f t="shared" si="10"/>
        <v>12</v>
      </c>
      <c r="H100" s="460">
        <f>G100+'18'!H100</f>
        <v>196</v>
      </c>
      <c r="I100" s="480"/>
      <c r="J100" s="552">
        <f>H100/DAY(B2)</f>
        <v>10.315789473684211</v>
      </c>
      <c r="K100" s="380"/>
      <c r="L100" s="377"/>
      <c r="N100" s="382"/>
      <c r="O100" s="382"/>
    </row>
    <row r="101" spans="1:15" ht="27.75">
      <c r="A101" s="1141" t="s">
        <v>213</v>
      </c>
      <c r="B101" s="1142"/>
      <c r="C101" s="1142"/>
      <c r="D101" s="523" t="s">
        <v>143</v>
      </c>
      <c r="E101" s="484">
        <f>'18'!F101</f>
        <v>5541</v>
      </c>
      <c r="F101" s="484">
        <v>5555</v>
      </c>
      <c r="G101" s="473">
        <f t="shared" si="10"/>
        <v>14</v>
      </c>
      <c r="H101" s="460">
        <f>G101+'18'!H101</f>
        <v>164</v>
      </c>
      <c r="I101" s="480"/>
      <c r="J101" s="552">
        <f>H101/DAY(B2)</f>
        <v>8.6315789473684212</v>
      </c>
      <c r="K101" s="380"/>
      <c r="L101" s="377"/>
      <c r="N101" s="382"/>
      <c r="O101" s="382"/>
    </row>
    <row r="102" spans="1:15">
      <c r="A102" s="1531" t="s">
        <v>215</v>
      </c>
      <c r="B102" s="1532"/>
      <c r="C102" s="1533"/>
      <c r="D102" s="524"/>
      <c r="E102" s="524"/>
      <c r="F102" s="524"/>
      <c r="G102" s="525">
        <f>SUM(G96:G101)</f>
        <v>176</v>
      </c>
      <c r="H102" s="460">
        <f>G102+'18'!H102</f>
        <v>2208</v>
      </c>
      <c r="I102" s="526"/>
      <c r="J102" s="552">
        <f>H102/DAY(B2)</f>
        <v>116.21052631578948</v>
      </c>
      <c r="K102" s="380"/>
      <c r="L102" s="377"/>
      <c r="N102" s="382"/>
      <c r="O102" s="382"/>
    </row>
    <row r="103" spans="1:15" s="442" customFormat="1" ht="27">
      <c r="A103" s="607" t="s">
        <v>216</v>
      </c>
      <c r="B103" s="608"/>
      <c r="C103" s="608"/>
      <c r="D103" s="621"/>
      <c r="E103" s="528"/>
      <c r="F103" s="528"/>
      <c r="G103" s="529"/>
      <c r="H103" s="530"/>
      <c r="I103" s="531"/>
      <c r="J103" s="557"/>
      <c r="N103" s="444"/>
      <c r="O103" s="382"/>
    </row>
    <row r="104" spans="1:15" s="442" customFormat="1" ht="27.75">
      <c r="A104" s="1540" t="s">
        <v>217</v>
      </c>
      <c r="B104" s="1541"/>
      <c r="C104" s="573"/>
      <c r="D104" s="622"/>
      <c r="E104" s="532"/>
      <c r="F104" s="532"/>
      <c r="G104" s="532"/>
      <c r="H104" s="533"/>
      <c r="I104" s="532"/>
      <c r="J104" s="558"/>
      <c r="N104" s="444"/>
      <c r="O104" s="382"/>
    </row>
    <row r="105" spans="1:15" s="442" customFormat="1" ht="27.75">
      <c r="A105" s="1542" t="s">
        <v>218</v>
      </c>
      <c r="B105" s="1543"/>
      <c r="C105" s="1139"/>
      <c r="D105" s="622" t="s">
        <v>143</v>
      </c>
      <c r="E105" s="532">
        <f>'18'!F105</f>
        <v>7473</v>
      </c>
      <c r="F105" s="532">
        <v>7473</v>
      </c>
      <c r="G105" s="532">
        <f>F105-E105</f>
        <v>0</v>
      </c>
      <c r="H105" s="460">
        <f>G105+'18'!H105</f>
        <v>57</v>
      </c>
      <c r="I105" s="532"/>
      <c r="J105" s="558">
        <f>H105/DAY(B2)</f>
        <v>3</v>
      </c>
      <c r="N105" s="444"/>
      <c r="O105" s="382"/>
    </row>
    <row r="106" spans="1:15" s="442" customFormat="1" ht="27.75">
      <c r="A106" s="1542" t="s">
        <v>76</v>
      </c>
      <c r="B106" s="1543"/>
      <c r="C106" s="1139"/>
      <c r="D106" s="622" t="s">
        <v>143</v>
      </c>
      <c r="E106" s="534">
        <f>'18'!F106</f>
        <v>36054</v>
      </c>
      <c r="F106" s="534">
        <v>36069</v>
      </c>
      <c r="G106" s="532">
        <f t="shared" ref="G106" si="11">F106-E106</f>
        <v>15</v>
      </c>
      <c r="H106" s="460">
        <f>G106+'18'!H106</f>
        <v>65</v>
      </c>
      <c r="I106" s="532"/>
      <c r="J106" s="558">
        <f>H106/DAY(B2)</f>
        <v>3.4210526315789473</v>
      </c>
      <c r="N106" s="444"/>
      <c r="O106" s="382"/>
    </row>
    <row r="107" spans="1:15" s="442" customFormat="1" ht="27.75">
      <c r="A107" s="1542" t="s">
        <v>77</v>
      </c>
      <c r="B107" s="1544"/>
      <c r="C107" s="1543"/>
      <c r="D107" s="622" t="s">
        <v>143</v>
      </c>
      <c r="E107" s="532">
        <f>'18'!F107</f>
        <v>19769</v>
      </c>
      <c r="F107" s="532">
        <v>19774</v>
      </c>
      <c r="G107" s="532">
        <f>F107-E107</f>
        <v>5</v>
      </c>
      <c r="H107" s="460">
        <f>G107+'18'!H107</f>
        <v>62</v>
      </c>
      <c r="I107" s="532"/>
      <c r="J107" s="558">
        <f>H107/DAY(B2)</f>
        <v>3.263157894736842</v>
      </c>
      <c r="N107" s="444"/>
      <c r="O107" s="382"/>
    </row>
    <row r="108" spans="1:15" s="442" customFormat="1" ht="27.75">
      <c r="A108" s="1545" t="s">
        <v>201</v>
      </c>
      <c r="B108" s="1546"/>
      <c r="C108" s="1139"/>
      <c r="D108" s="622"/>
      <c r="E108" s="532">
        <f>'18'!F108</f>
        <v>0</v>
      </c>
      <c r="F108" s="532"/>
      <c r="G108" s="532">
        <f>SUM(G105:G107)</f>
        <v>20</v>
      </c>
      <c r="H108" s="460">
        <f>G108+'18'!H108</f>
        <v>178</v>
      </c>
      <c r="I108" s="532"/>
      <c r="J108" s="558">
        <f>H108/DAY(B2)</f>
        <v>9.3684210526315788</v>
      </c>
      <c r="N108" s="444"/>
      <c r="O108" s="382"/>
    </row>
    <row r="109" spans="1:15" s="442" customFormat="1" ht="27.75">
      <c r="A109" s="1547" t="s">
        <v>78</v>
      </c>
      <c r="B109" s="1548"/>
      <c r="C109" s="1139"/>
      <c r="D109" s="622" t="s">
        <v>143</v>
      </c>
      <c r="E109" s="532">
        <f>'18'!F109</f>
        <v>0</v>
      </c>
      <c r="F109" s="532"/>
      <c r="G109" s="532"/>
      <c r="H109" s="460"/>
      <c r="I109" s="532"/>
      <c r="J109" s="558"/>
      <c r="N109" s="444"/>
      <c r="O109" s="382"/>
    </row>
    <row r="110" spans="1:15" s="442" customFormat="1" ht="27.75">
      <c r="A110" s="1542" t="s">
        <v>219</v>
      </c>
      <c r="B110" s="1543"/>
      <c r="C110" s="1139"/>
      <c r="D110" s="622" t="s">
        <v>143</v>
      </c>
      <c r="E110" s="532">
        <f>'18'!F110</f>
        <v>63907</v>
      </c>
      <c r="F110" s="532">
        <v>63977</v>
      </c>
      <c r="G110" s="532">
        <f>F110-E110</f>
        <v>70</v>
      </c>
      <c r="H110" s="460">
        <f>G110+'18'!H110</f>
        <v>239</v>
      </c>
      <c r="I110" s="532"/>
      <c r="J110" s="558">
        <f>H110/DAY(B2)</f>
        <v>12.578947368421053</v>
      </c>
      <c r="N110" s="444"/>
      <c r="O110" s="382"/>
    </row>
    <row r="111" spans="1:15" s="442" customFormat="1" ht="27.75">
      <c r="A111" s="1542" t="s">
        <v>220</v>
      </c>
      <c r="B111" s="1543"/>
      <c r="C111" s="1139"/>
      <c r="D111" s="622" t="s">
        <v>143</v>
      </c>
      <c r="E111" s="532">
        <f>'18'!F111</f>
        <v>32730</v>
      </c>
      <c r="F111" s="532">
        <v>32750</v>
      </c>
      <c r="G111" s="532">
        <f t="shared" ref="G111:G112" si="12">F111-E111</f>
        <v>20</v>
      </c>
      <c r="H111" s="460">
        <f>G111+'18'!H111</f>
        <v>41</v>
      </c>
      <c r="I111" s="532"/>
      <c r="J111" s="558">
        <f>H111/DAY(B2)</f>
        <v>2.1578947368421053</v>
      </c>
      <c r="N111" s="444"/>
      <c r="O111" s="382"/>
    </row>
    <row r="112" spans="1:15" s="442" customFormat="1" ht="27.75">
      <c r="A112" s="1542" t="s">
        <v>221</v>
      </c>
      <c r="B112" s="1543"/>
      <c r="C112" s="1139"/>
      <c r="D112" s="622" t="s">
        <v>143</v>
      </c>
      <c r="E112" s="532">
        <f>'18'!F112</f>
        <v>4621</v>
      </c>
      <c r="F112" s="532">
        <v>4621</v>
      </c>
      <c r="G112" s="532">
        <f t="shared" si="12"/>
        <v>0</v>
      </c>
      <c r="H112" s="460">
        <f>G112+'18'!H112</f>
        <v>152</v>
      </c>
      <c r="I112" s="532"/>
      <c r="J112" s="558">
        <f>H112/DAY(B2)</f>
        <v>8</v>
      </c>
      <c r="N112" s="444"/>
      <c r="O112" s="382"/>
    </row>
    <row r="113" spans="1:15" s="442" customFormat="1" ht="27.75">
      <c r="A113" s="1574" t="s">
        <v>109</v>
      </c>
      <c r="B113" s="1575"/>
      <c r="C113" s="1139"/>
      <c r="D113" s="622"/>
      <c r="E113" s="532">
        <f>'18'!F113</f>
        <v>0</v>
      </c>
      <c r="F113" s="532"/>
      <c r="G113" s="532">
        <f>SUM(G110:G112)</f>
        <v>90</v>
      </c>
      <c r="H113" s="460">
        <f>G113+'18'!H113</f>
        <v>1002</v>
      </c>
      <c r="I113" s="532"/>
      <c r="J113" s="558">
        <f>H113/DAY(B2)</f>
        <v>52.736842105263158</v>
      </c>
      <c r="N113" s="444"/>
      <c r="O113" s="382"/>
    </row>
    <row r="114" spans="1:15" s="442" customFormat="1" ht="27.75">
      <c r="A114" s="1547" t="s">
        <v>222</v>
      </c>
      <c r="B114" s="1548"/>
      <c r="C114" s="1139"/>
      <c r="D114" s="622"/>
      <c r="E114" s="532">
        <f>'18'!F114</f>
        <v>0</v>
      </c>
      <c r="F114" s="532"/>
      <c r="G114" s="532"/>
      <c r="H114" s="460"/>
      <c r="I114" s="532"/>
      <c r="J114" s="558">
        <f>H114/DAY(B2)</f>
        <v>0</v>
      </c>
      <c r="N114" s="444"/>
      <c r="O114" s="382"/>
    </row>
    <row r="115" spans="1:15" s="442" customFormat="1" ht="27.75">
      <c r="A115" s="1542" t="s">
        <v>223</v>
      </c>
      <c r="B115" s="1543"/>
      <c r="C115" s="574"/>
      <c r="D115" s="622" t="s">
        <v>143</v>
      </c>
      <c r="E115" s="534">
        <f>'18'!F115</f>
        <v>11727</v>
      </c>
      <c r="F115" s="534">
        <v>11742</v>
      </c>
      <c r="G115" s="534">
        <f>F115-E115</f>
        <v>15</v>
      </c>
      <c r="H115" s="460">
        <f>G115+'18'!H115</f>
        <v>24</v>
      </c>
      <c r="I115" s="532"/>
      <c r="J115" s="558">
        <f>H115/DAY(B2)</f>
        <v>1.263157894736842</v>
      </c>
      <c r="N115" s="444"/>
      <c r="O115" s="382"/>
    </row>
    <row r="116" spans="1:15" s="442" customFormat="1" ht="27.75">
      <c r="A116" s="1542" t="s">
        <v>224</v>
      </c>
      <c r="B116" s="1543"/>
      <c r="C116" s="574"/>
      <c r="D116" s="622" t="s">
        <v>143</v>
      </c>
      <c r="E116" s="534">
        <f>'18'!F116</f>
        <v>8445</v>
      </c>
      <c r="F116" s="534">
        <v>8454</v>
      </c>
      <c r="G116" s="534">
        <f t="shared" ref="G116:G117" si="13">F116-E116</f>
        <v>9</v>
      </c>
      <c r="H116" s="460">
        <f>G116+'18'!H116</f>
        <v>35</v>
      </c>
      <c r="I116" s="532"/>
      <c r="J116" s="558">
        <f>H116/DAY(B2)</f>
        <v>1.8421052631578947</v>
      </c>
      <c r="N116" s="444"/>
      <c r="O116" s="382"/>
    </row>
    <row r="117" spans="1:15" s="442" customFormat="1" ht="27.75">
      <c r="A117" s="1542" t="s">
        <v>225</v>
      </c>
      <c r="B117" s="1543"/>
      <c r="C117" s="574"/>
      <c r="D117" s="622" t="s">
        <v>143</v>
      </c>
      <c r="E117" s="534"/>
      <c r="F117" s="534"/>
      <c r="G117" s="534">
        <f t="shared" si="13"/>
        <v>0</v>
      </c>
      <c r="H117" s="460">
        <f>G117+'18'!H117</f>
        <v>58</v>
      </c>
      <c r="I117" s="532"/>
      <c r="J117" s="558">
        <f>H117/DAY(B2)</f>
        <v>3.0526315789473686</v>
      </c>
      <c r="N117" s="444"/>
      <c r="O117" s="382"/>
    </row>
    <row r="118" spans="1:15" s="445" customFormat="1" ht="27.75">
      <c r="A118" s="1545" t="s">
        <v>201</v>
      </c>
      <c r="B118" s="1546"/>
      <c r="C118" s="574"/>
      <c r="D118" s="623"/>
      <c r="E118" s="534"/>
      <c r="F118" s="534"/>
      <c r="G118" s="534">
        <f>SUM(G115:G117)</f>
        <v>24</v>
      </c>
      <c r="H118" s="460">
        <f>G118+'18'!H118</f>
        <v>81</v>
      </c>
      <c r="I118" s="534"/>
      <c r="J118" s="558">
        <f>H118/DAY(B2)</f>
        <v>4.2631578947368425</v>
      </c>
      <c r="N118" s="447"/>
      <c r="O118" s="382"/>
    </row>
    <row r="119" spans="1:15" s="446" customFormat="1" ht="27.75">
      <c r="A119" s="1576" t="s">
        <v>226</v>
      </c>
      <c r="B119" s="1577"/>
      <c r="C119" s="1138"/>
      <c r="D119" s="624" t="s">
        <v>143</v>
      </c>
      <c r="E119" s="536"/>
      <c r="F119" s="536">
        <f>SUM(G19+G93)</f>
        <v>162</v>
      </c>
      <c r="G119" s="536">
        <f>SUM(G19+G93)</f>
        <v>162</v>
      </c>
      <c r="H119" s="460">
        <f>G119+'18'!H119</f>
        <v>291</v>
      </c>
      <c r="I119" s="535"/>
      <c r="J119" s="559">
        <f>H119/DAY(B2)</f>
        <v>15.315789473684211</v>
      </c>
      <c r="N119" s="779"/>
      <c r="O119" s="382"/>
    </row>
    <row r="120" spans="1:15" s="446" customFormat="1" ht="27.75">
      <c r="A120" s="1576" t="s">
        <v>227</v>
      </c>
      <c r="B120" s="1577"/>
      <c r="C120" s="1138"/>
      <c r="D120" s="624" t="s">
        <v>143</v>
      </c>
      <c r="E120" s="536"/>
      <c r="F120" s="536">
        <f>SUM(G96,G97,G98,G100,G101)</f>
        <v>162</v>
      </c>
      <c r="G120" s="536">
        <f>SUM(G96,G97,G98,G100,G101)</f>
        <v>162</v>
      </c>
      <c r="H120" s="460">
        <f>G120+'18'!H120</f>
        <v>282</v>
      </c>
      <c r="I120" s="535"/>
      <c r="J120" s="559">
        <f>H120/DAY(B2)</f>
        <v>14.842105263157896</v>
      </c>
      <c r="N120" s="779"/>
      <c r="O120" s="382"/>
    </row>
    <row r="121" spans="1:15" s="446" customFormat="1" ht="27.75">
      <c r="A121" s="1576" t="s">
        <v>228</v>
      </c>
      <c r="B121" s="1577"/>
      <c r="C121" s="1138"/>
      <c r="D121" s="624" t="s">
        <v>143</v>
      </c>
      <c r="E121" s="534"/>
      <c r="F121" s="534">
        <f>SUM(G113)</f>
        <v>90</v>
      </c>
      <c r="G121" s="534">
        <f>SUM(G113)</f>
        <v>90</v>
      </c>
      <c r="H121" s="460">
        <f>G121+'18'!H121</f>
        <v>179</v>
      </c>
      <c r="I121" s="535"/>
      <c r="J121" s="559">
        <f>H121/DAY(B2)</f>
        <v>9.4210526315789469</v>
      </c>
      <c r="N121" s="779"/>
      <c r="O121" s="382"/>
    </row>
    <row r="122" spans="1:15" s="442" customFormat="1" ht="27.75">
      <c r="A122" s="1578"/>
      <c r="B122" s="1579"/>
      <c r="C122" s="1139"/>
      <c r="D122" s="560"/>
      <c r="E122" s="560"/>
      <c r="F122" s="560" t="s">
        <v>214</v>
      </c>
      <c r="G122" s="560"/>
      <c r="H122" s="561"/>
      <c r="I122" s="560"/>
      <c r="J122" s="562"/>
      <c r="N122" s="444"/>
      <c r="O122" s="382"/>
    </row>
    <row r="123" spans="1:15">
      <c r="A123" s="1528" t="s">
        <v>229</v>
      </c>
      <c r="B123" s="1529"/>
      <c r="C123" s="1530"/>
      <c r="D123" s="472"/>
      <c r="E123" s="472"/>
      <c r="F123" s="472"/>
      <c r="G123" s="483"/>
      <c r="H123" s="483"/>
      <c r="I123" s="483"/>
      <c r="J123" s="563"/>
      <c r="K123" s="380"/>
      <c r="L123" s="377"/>
      <c r="N123" s="382"/>
      <c r="O123" s="382"/>
    </row>
    <row r="124" spans="1:15" ht="27.75">
      <c r="A124" s="1141" t="s">
        <v>230</v>
      </c>
      <c r="B124" s="1142"/>
      <c r="C124" s="1142"/>
      <c r="D124" s="523" t="s">
        <v>140</v>
      </c>
      <c r="E124" s="478">
        <f>'18'!F124</f>
        <v>836288.71</v>
      </c>
      <c r="F124" s="478">
        <v>836576.38</v>
      </c>
      <c r="G124" s="473">
        <f t="shared" ref="G124:G128" si="14">F124-E124</f>
        <v>287.67000000004191</v>
      </c>
      <c r="H124" s="460">
        <f>G124+'18'!H124</f>
        <v>4210.3800000000047</v>
      </c>
      <c r="I124" s="526"/>
      <c r="J124" s="552">
        <f>H124/DAY(B2)</f>
        <v>221.59894736842131</v>
      </c>
      <c r="K124" s="380"/>
      <c r="L124" s="377"/>
      <c r="N124" s="382"/>
      <c r="O124" s="382"/>
    </row>
    <row r="125" spans="1:15" ht="27.75">
      <c r="A125" s="1141" t="s">
        <v>231</v>
      </c>
      <c r="B125" s="1142"/>
      <c r="C125" s="1142"/>
      <c r="D125" s="523" t="s">
        <v>140</v>
      </c>
      <c r="E125" s="626">
        <f>'18'!F125</f>
        <v>73583.399999999994</v>
      </c>
      <c r="F125" s="626">
        <v>73583.399999999994</v>
      </c>
      <c r="G125" s="473">
        <f t="shared" si="14"/>
        <v>0</v>
      </c>
      <c r="H125" s="460">
        <f>G125+'18'!H125</f>
        <v>0</v>
      </c>
      <c r="I125" s="526"/>
      <c r="J125" s="552">
        <f>H125/DAY(B2)</f>
        <v>0</v>
      </c>
      <c r="K125" s="380"/>
      <c r="L125" s="377"/>
      <c r="N125" s="382"/>
      <c r="O125" s="382"/>
    </row>
    <row r="126" spans="1:15" ht="27.75">
      <c r="A126" s="1534" t="s">
        <v>232</v>
      </c>
      <c r="B126" s="1535"/>
      <c r="C126" s="1536"/>
      <c r="D126" s="523" t="s">
        <v>140</v>
      </c>
      <c r="E126" s="478">
        <f>'18'!F126</f>
        <v>147643.68</v>
      </c>
      <c r="F126" s="478">
        <v>147735.46</v>
      </c>
      <c r="G126" s="473">
        <f t="shared" si="14"/>
        <v>91.779999999998836</v>
      </c>
      <c r="H126" s="460">
        <f>G126+'18'!H126</f>
        <v>1244.4599999999919</v>
      </c>
      <c r="I126" s="526"/>
      <c r="J126" s="552">
        <f>H126/DAY(B2)</f>
        <v>65.497894736841673</v>
      </c>
      <c r="K126" s="380"/>
      <c r="L126" s="377"/>
      <c r="N126" s="382"/>
      <c r="O126" s="382"/>
    </row>
    <row r="127" spans="1:15" ht="27.75">
      <c r="A127" s="609" t="s">
        <v>233</v>
      </c>
      <c r="B127" s="1142"/>
      <c r="C127" s="1142"/>
      <c r="D127" s="523" t="s">
        <v>140</v>
      </c>
      <c r="E127" s="626">
        <f>'18'!F127</f>
        <v>31625.1</v>
      </c>
      <c r="F127" s="626">
        <v>31665.7</v>
      </c>
      <c r="G127" s="473">
        <f t="shared" si="14"/>
        <v>40.600000000002183</v>
      </c>
      <c r="H127" s="460">
        <f>G127+'18'!H127</f>
        <v>259.70000000000073</v>
      </c>
      <c r="I127" s="526"/>
      <c r="J127" s="552">
        <f>H127/DAY(B2)</f>
        <v>13.668421052631617</v>
      </c>
      <c r="K127" s="380"/>
      <c r="L127" s="377"/>
      <c r="N127" s="382"/>
      <c r="O127" s="382"/>
    </row>
    <row r="128" spans="1:15" ht="27.75">
      <c r="A128" s="609" t="s">
        <v>234</v>
      </c>
      <c r="B128" s="1142"/>
      <c r="C128" s="1142"/>
      <c r="D128" s="523" t="s">
        <v>140</v>
      </c>
      <c r="E128" s="626">
        <f>'18'!F128</f>
        <v>8978.7000000000007</v>
      </c>
      <c r="F128" s="626">
        <v>8980.9</v>
      </c>
      <c r="G128" s="473">
        <f t="shared" si="14"/>
        <v>2.1999999999989086</v>
      </c>
      <c r="H128" s="460">
        <f>G128+'18'!H128</f>
        <v>8.8999999999996362</v>
      </c>
      <c r="I128" s="480"/>
      <c r="J128" s="552">
        <f>H128/DAY(B2)</f>
        <v>0.46842105263155981</v>
      </c>
      <c r="K128" s="380"/>
      <c r="L128" s="377"/>
      <c r="N128" s="382"/>
      <c r="O128" s="382"/>
    </row>
    <row r="129" spans="1:15" s="281" customFormat="1" ht="27.75">
      <c r="A129" s="609" t="s">
        <v>235</v>
      </c>
      <c r="B129" s="1142"/>
      <c r="C129" s="1142"/>
      <c r="D129" s="523"/>
      <c r="E129" s="478"/>
      <c r="F129" s="478"/>
      <c r="G129" s="473">
        <f>G15-SUM(G124:G128)</f>
        <v>627.49599999976817</v>
      </c>
      <c r="H129" s="460">
        <f>G129+'18'!H129</f>
        <v>1435.9259999999249</v>
      </c>
      <c r="I129" s="480"/>
      <c r="J129" s="552">
        <f>H129/DAY(B2)</f>
        <v>75.575052631574991</v>
      </c>
      <c r="K129" s="364"/>
      <c r="L129" s="292"/>
      <c r="N129" s="365"/>
      <c r="O129" s="382"/>
    </row>
    <row r="130" spans="1:15">
      <c r="A130" s="610" t="s">
        <v>236</v>
      </c>
      <c r="B130" s="458"/>
      <c r="C130" s="458"/>
      <c r="D130" s="471"/>
      <c r="E130" s="471"/>
      <c r="F130" s="471"/>
      <c r="G130" s="540"/>
      <c r="H130" s="540"/>
      <c r="I130" s="540"/>
      <c r="J130" s="564"/>
      <c r="N130" s="382"/>
      <c r="O130" s="382"/>
    </row>
    <row r="131" spans="1:15" ht="27.75">
      <c r="A131" s="1141" t="s">
        <v>237</v>
      </c>
      <c r="B131" s="1142"/>
      <c r="C131" s="1142"/>
      <c r="D131" s="523" t="s">
        <v>238</v>
      </c>
      <c r="E131" s="484">
        <f>'18'!F131</f>
        <v>0</v>
      </c>
      <c r="F131" s="484">
        <v>0</v>
      </c>
      <c r="G131" s="473">
        <f t="shared" ref="G131:G141" si="15">F131-E131</f>
        <v>0</v>
      </c>
      <c r="H131" s="460">
        <f>G131+'18'!H131</f>
        <v>0</v>
      </c>
      <c r="I131" s="480"/>
      <c r="J131" s="552">
        <f>H131/DAY(B2)</f>
        <v>0</v>
      </c>
      <c r="N131" s="382"/>
      <c r="O131" s="382"/>
    </row>
    <row r="132" spans="1:15" ht="27.75">
      <c r="A132" s="1141" t="s">
        <v>239</v>
      </c>
      <c r="B132" s="1142"/>
      <c r="C132" s="1142"/>
      <c r="D132" s="523" t="s">
        <v>238</v>
      </c>
      <c r="E132" s="484">
        <f>'18'!F132</f>
        <v>0</v>
      </c>
      <c r="F132" s="484">
        <v>0</v>
      </c>
      <c r="G132" s="473">
        <f t="shared" si="15"/>
        <v>0</v>
      </c>
      <c r="H132" s="460">
        <f>G132+'18'!H132</f>
        <v>0</v>
      </c>
      <c r="I132" s="480"/>
      <c r="J132" s="552">
        <f>H132/DAY(B2)</f>
        <v>0</v>
      </c>
      <c r="N132" s="382"/>
      <c r="O132" s="382"/>
    </row>
    <row r="133" spans="1:15" ht="27.75">
      <c r="A133" s="1141" t="s">
        <v>240</v>
      </c>
      <c r="B133" s="1142"/>
      <c r="C133" s="1142"/>
      <c r="D133" s="523" t="s">
        <v>238</v>
      </c>
      <c r="E133" s="541">
        <f>'18'!F133</f>
        <v>40290</v>
      </c>
      <c r="F133" s="541">
        <v>40297.519999999997</v>
      </c>
      <c r="G133" s="473">
        <f t="shared" si="15"/>
        <v>7.5199999999967986</v>
      </c>
      <c r="H133" s="460">
        <f>G133+'18'!H133</f>
        <v>262.41999999999825</v>
      </c>
      <c r="I133" s="480"/>
      <c r="J133" s="552">
        <f>H133/DAY(B2)</f>
        <v>13.811578947368329</v>
      </c>
      <c r="N133" s="382"/>
      <c r="O133" s="382"/>
    </row>
    <row r="134" spans="1:15" s="441" customFormat="1" ht="27.75">
      <c r="A134" s="1071" t="s">
        <v>241</v>
      </c>
      <c r="B134" s="1072"/>
      <c r="C134" s="1072"/>
      <c r="D134" s="627" t="s">
        <v>238</v>
      </c>
      <c r="E134" s="541">
        <f>'18'!F134</f>
        <v>300</v>
      </c>
      <c r="F134" s="541">
        <v>300</v>
      </c>
      <c r="G134" s="653">
        <f t="shared" si="15"/>
        <v>0</v>
      </c>
      <c r="H134" s="706">
        <f>G134+'18'!H134</f>
        <v>0</v>
      </c>
      <c r="I134" s="1073">
        <f>G131+G132+G133+G134</f>
        <v>7.5199999999967986</v>
      </c>
      <c r="J134" s="708">
        <f>H134/DAY(B2)</f>
        <v>0</v>
      </c>
      <c r="N134" s="714"/>
      <c r="O134" s="714"/>
    </row>
    <row r="135" spans="1:15" ht="27.75">
      <c r="A135" s="1141" t="s">
        <v>242</v>
      </c>
      <c r="B135" s="1142"/>
      <c r="C135" s="1142"/>
      <c r="D135" s="523" t="s">
        <v>238</v>
      </c>
      <c r="E135" s="541">
        <f>'18'!F135</f>
        <v>41775.199999999997</v>
      </c>
      <c r="F135" s="541">
        <v>41799</v>
      </c>
      <c r="G135" s="473">
        <f t="shared" si="15"/>
        <v>23.80000000000291</v>
      </c>
      <c r="H135" s="460">
        <f>G135+'18'!H135</f>
        <v>69</v>
      </c>
      <c r="I135" s="480"/>
      <c r="J135" s="552">
        <f>H135/DAY(B2)</f>
        <v>3.6315789473684212</v>
      </c>
      <c r="N135" s="382"/>
      <c r="O135" s="382"/>
    </row>
    <row r="136" spans="1:15" ht="27.75">
      <c r="A136" s="1141" t="s">
        <v>243</v>
      </c>
      <c r="B136" s="1142"/>
      <c r="C136" s="1142"/>
      <c r="D136" s="523" t="s">
        <v>238</v>
      </c>
      <c r="E136" s="541">
        <f>'18'!F136</f>
        <v>32874</v>
      </c>
      <c r="F136" s="541">
        <v>32874</v>
      </c>
      <c r="G136" s="473">
        <f t="shared" si="15"/>
        <v>0</v>
      </c>
      <c r="H136" s="460">
        <f>G136+'18'!H136</f>
        <v>159</v>
      </c>
      <c r="I136" s="480"/>
      <c r="J136" s="552">
        <f>H136/DAY(B2)</f>
        <v>8.3684210526315788</v>
      </c>
      <c r="N136" s="382"/>
      <c r="O136" s="382"/>
    </row>
    <row r="137" spans="1:15" ht="27.75">
      <c r="A137" s="1141" t="s">
        <v>244</v>
      </c>
      <c r="B137" s="1142"/>
      <c r="C137" s="1142"/>
      <c r="D137" s="523" t="s">
        <v>238</v>
      </c>
      <c r="E137" s="541">
        <f>'18'!F137</f>
        <v>22859.1</v>
      </c>
      <c r="F137" s="541">
        <v>22859.1</v>
      </c>
      <c r="G137" s="473">
        <f t="shared" si="15"/>
        <v>0</v>
      </c>
      <c r="H137" s="460">
        <f>G137+'18'!H137</f>
        <v>51.859999999996944</v>
      </c>
      <c r="I137" s="480">
        <f>G135+G136+G137</f>
        <v>23.80000000000291</v>
      </c>
      <c r="J137" s="552">
        <f>H137/DAY(B2)</f>
        <v>2.7294736842103653</v>
      </c>
      <c r="N137" s="382"/>
      <c r="O137" s="382"/>
    </row>
    <row r="138" spans="1:15" ht="27.75">
      <c r="A138" s="1141" t="s">
        <v>245</v>
      </c>
      <c r="B138" s="1142"/>
      <c r="C138" s="1142"/>
      <c r="D138" s="523" t="s">
        <v>238</v>
      </c>
      <c r="E138" s="541">
        <f>'18'!F138</f>
        <v>25051.87</v>
      </c>
      <c r="F138" s="541">
        <v>25063.87</v>
      </c>
      <c r="G138" s="473">
        <f t="shared" si="15"/>
        <v>12</v>
      </c>
      <c r="H138" s="460">
        <f>G138+'18'!H138</f>
        <v>12.049999999999272</v>
      </c>
      <c r="I138" s="480"/>
      <c r="J138" s="552">
        <f>H138/DAY(B2)</f>
        <v>0.63421052631575114</v>
      </c>
      <c r="N138" s="382"/>
      <c r="O138" s="382"/>
    </row>
    <row r="139" spans="1:15" ht="27.75">
      <c r="A139" s="1141" t="s">
        <v>246</v>
      </c>
      <c r="B139" s="1142"/>
      <c r="C139" s="1142"/>
      <c r="D139" s="523" t="s">
        <v>238</v>
      </c>
      <c r="E139" s="541">
        <f>'18'!F139</f>
        <v>70483.41</v>
      </c>
      <c r="F139" s="541">
        <v>70483.41</v>
      </c>
      <c r="G139" s="473">
        <f t="shared" si="15"/>
        <v>0</v>
      </c>
      <c r="H139" s="460">
        <f>G139+'18'!H139</f>
        <v>71.669999999998254</v>
      </c>
      <c r="I139" s="480">
        <f>G138+G139</f>
        <v>12</v>
      </c>
      <c r="J139" s="552">
        <f>H139/DAY(B2)</f>
        <v>3.7721052631578029</v>
      </c>
      <c r="N139" s="382"/>
      <c r="O139" s="382"/>
    </row>
    <row r="140" spans="1:15" ht="27.75">
      <c r="A140" s="1141" t="s">
        <v>247</v>
      </c>
      <c r="B140" s="1142"/>
      <c r="C140" s="1142"/>
      <c r="D140" s="523" t="s">
        <v>238</v>
      </c>
      <c r="E140" s="484">
        <f>'18'!F140</f>
        <v>2003.62</v>
      </c>
      <c r="F140" s="484">
        <v>2014.34</v>
      </c>
      <c r="G140" s="473">
        <f t="shared" si="15"/>
        <v>10.720000000000027</v>
      </c>
      <c r="H140" s="460">
        <f>G140+'18'!H140</f>
        <v>160.03999999999996</v>
      </c>
      <c r="I140" s="542"/>
      <c r="J140" s="552">
        <f>H140/DAY(B2)</f>
        <v>8.4231578947368408</v>
      </c>
      <c r="N140" s="382"/>
      <c r="O140" s="382"/>
    </row>
    <row r="141" spans="1:15" ht="27.75">
      <c r="A141" s="1141" t="s">
        <v>248</v>
      </c>
      <c r="B141" s="1142"/>
      <c r="C141" s="1142"/>
      <c r="D141" s="523" t="s">
        <v>238</v>
      </c>
      <c r="E141" s="484">
        <f>'18'!F141</f>
        <v>4636.97</v>
      </c>
      <c r="F141" s="484">
        <v>4636.88</v>
      </c>
      <c r="G141" s="473">
        <f t="shared" si="15"/>
        <v>-9.0000000000145519E-2</v>
      </c>
      <c r="H141" s="460">
        <f>G141+'18'!H141</f>
        <v>-0.11999999999989086</v>
      </c>
      <c r="I141" s="542"/>
      <c r="J141" s="552">
        <f>H141/DAY(B2)</f>
        <v>-6.3157894736784667E-3</v>
      </c>
      <c r="N141" s="382"/>
      <c r="O141" s="382"/>
    </row>
    <row r="142" spans="1:15">
      <c r="A142" s="1572" t="s">
        <v>249</v>
      </c>
      <c r="B142" s="1573"/>
      <c r="C142" s="1147"/>
      <c r="D142" s="472"/>
      <c r="E142" s="472"/>
      <c r="F142" s="472" t="s">
        <v>272</v>
      </c>
      <c r="G142" s="483"/>
      <c r="H142" s="483"/>
      <c r="I142" s="483"/>
      <c r="J142" s="563"/>
      <c r="K142" s="380"/>
      <c r="L142" s="377"/>
      <c r="N142" s="382"/>
      <c r="O142" s="382"/>
    </row>
    <row r="143" spans="1:15" ht="27.75">
      <c r="A143" s="1537" t="s">
        <v>250</v>
      </c>
      <c r="B143" s="1538"/>
      <c r="C143" s="1539"/>
      <c r="D143" s="523" t="s">
        <v>131</v>
      </c>
      <c r="E143" s="523"/>
      <c r="F143" s="523"/>
      <c r="G143" s="460">
        <f>G35+G43+G49+G57</f>
        <v>5885.8300000000327</v>
      </c>
      <c r="H143" s="460">
        <f>G143+'18'!H143</f>
        <v>92687.5</v>
      </c>
      <c r="I143" s="480"/>
      <c r="J143" s="552">
        <f>H143/DAY(B2)</f>
        <v>4878.2894736842109</v>
      </c>
      <c r="K143" s="380"/>
      <c r="L143" s="377"/>
      <c r="N143" s="382"/>
      <c r="O143" s="382"/>
    </row>
    <row r="144" spans="1:15" ht="27.75">
      <c r="A144" s="1537" t="s">
        <v>251</v>
      </c>
      <c r="B144" s="1538"/>
      <c r="C144" s="1539"/>
      <c r="D144" s="523" t="s">
        <v>24</v>
      </c>
      <c r="E144" s="511"/>
      <c r="F144" s="511"/>
      <c r="G144" s="543">
        <f>G143/G7</f>
        <v>0.25455055781310354</v>
      </c>
      <c r="H144" s="460">
        <f>G144+'18'!H144</f>
        <v>5.0993433751345218</v>
      </c>
      <c r="I144" s="544"/>
      <c r="J144" s="552">
        <f>H144/DAY(B2)</f>
        <v>0.26838649342813276</v>
      </c>
      <c r="K144" s="380"/>
      <c r="L144" s="377"/>
      <c r="N144" s="382"/>
      <c r="O144" s="382"/>
    </row>
    <row r="145" spans="1:15" ht="27.75">
      <c r="A145" s="1537" t="s">
        <v>252</v>
      </c>
      <c r="B145" s="1538"/>
      <c r="C145" s="1539"/>
      <c r="D145" s="523" t="s">
        <v>131</v>
      </c>
      <c r="E145" s="455"/>
      <c r="F145" s="455"/>
      <c r="G145" s="460">
        <f>G41+G42+G55+G56</f>
        <v>7021.7100000000355</v>
      </c>
      <c r="H145" s="460">
        <f>G145+'18'!H145</f>
        <v>102530.13999999996</v>
      </c>
      <c r="I145" s="480"/>
      <c r="J145" s="552">
        <f>H145/DAY(B2)</f>
        <v>5396.3231578947343</v>
      </c>
      <c r="K145" s="380"/>
      <c r="L145" s="377"/>
      <c r="N145" s="382"/>
      <c r="O145" s="382"/>
    </row>
    <row r="146" spans="1:15" ht="27.75">
      <c r="A146" s="1537" t="s">
        <v>253</v>
      </c>
      <c r="B146" s="1538"/>
      <c r="C146" s="1539"/>
      <c r="D146" s="523" t="s">
        <v>24</v>
      </c>
      <c r="E146" s="455"/>
      <c r="F146" s="455"/>
      <c r="G146" s="543">
        <f>G145/G7</f>
        <v>0.30367513117127853</v>
      </c>
      <c r="H146" s="460">
        <f>G146+'18'!H146</f>
        <v>5.600664567322049</v>
      </c>
      <c r="I146" s="544"/>
      <c r="J146" s="552">
        <f>H146/DAY(B2)</f>
        <v>0.29477181933273944</v>
      </c>
      <c r="K146" s="380"/>
      <c r="L146" s="377"/>
      <c r="N146" s="382"/>
      <c r="O146" s="382"/>
    </row>
    <row r="147" spans="1:15" ht="27.75">
      <c r="A147" s="1537" t="s">
        <v>254</v>
      </c>
      <c r="B147" s="1538"/>
      <c r="C147" s="1539"/>
      <c r="D147" s="523" t="s">
        <v>131</v>
      </c>
      <c r="E147" s="455"/>
      <c r="F147" s="455"/>
      <c r="G147" s="460">
        <f>G39+G53</f>
        <v>3744.2800000000279</v>
      </c>
      <c r="H147" s="460">
        <f>G147+'18'!H147</f>
        <v>58787.340000000026</v>
      </c>
      <c r="I147" s="545"/>
      <c r="J147" s="552">
        <f>H147/DAY(B2)</f>
        <v>3094.0705263157906</v>
      </c>
      <c r="K147" s="380"/>
      <c r="L147" s="377"/>
      <c r="N147" s="382"/>
      <c r="O147" s="382"/>
    </row>
    <row r="148" spans="1:15" ht="27.75">
      <c r="A148" s="1537" t="s">
        <v>255</v>
      </c>
      <c r="B148" s="1538"/>
      <c r="C148" s="1539"/>
      <c r="D148" s="523" t="s">
        <v>24</v>
      </c>
      <c r="E148" s="455"/>
      <c r="F148" s="455"/>
      <c r="G148" s="543">
        <f>G147/G7</f>
        <v>0.16193273720247595</v>
      </c>
      <c r="H148" s="460">
        <f>G148+'18'!H148</f>
        <v>3.2206544253606606</v>
      </c>
      <c r="I148" s="545"/>
      <c r="J148" s="552">
        <f>H148/DAY(B2)</f>
        <v>0.16950812765056109</v>
      </c>
      <c r="N148" s="382"/>
      <c r="O148" s="382"/>
    </row>
    <row r="149" spans="1:15" ht="27.75">
      <c r="A149" s="1537" t="s">
        <v>256</v>
      </c>
      <c r="B149" s="1538"/>
      <c r="C149" s="1539"/>
      <c r="D149" s="523" t="s">
        <v>182</v>
      </c>
      <c r="E149" s="455"/>
      <c r="F149" s="455"/>
      <c r="G149" s="460">
        <f>G38+G52</f>
        <v>1613.0699999999488</v>
      </c>
      <c r="H149" s="460">
        <f>G149+'18'!H149</f>
        <v>24576.399999999936</v>
      </c>
      <c r="I149" s="480"/>
      <c r="J149" s="552">
        <f>H149/DAY(B2)</f>
        <v>1293.4947368421019</v>
      </c>
      <c r="K149" s="381"/>
      <c r="N149" s="382"/>
      <c r="O149" s="382"/>
    </row>
    <row r="150" spans="1:15" ht="27.75">
      <c r="A150" s="1537" t="s">
        <v>257</v>
      </c>
      <c r="B150" s="1538"/>
      <c r="C150" s="1539"/>
      <c r="D150" s="523" t="s">
        <v>24</v>
      </c>
      <c r="E150" s="455"/>
      <c r="F150" s="455"/>
      <c r="G150" s="543">
        <f>G149/G7</f>
        <v>6.9762101231528525E-2</v>
      </c>
      <c r="H150" s="460">
        <f>G150+'18'!H150</f>
        <v>1.3459751776135505</v>
      </c>
      <c r="I150" s="545"/>
      <c r="J150" s="552">
        <f>H150/DAY(B2)</f>
        <v>7.0840798821765819E-2</v>
      </c>
      <c r="N150" s="382"/>
      <c r="O150" s="382"/>
    </row>
    <row r="151" spans="1:15" ht="27.75">
      <c r="A151" s="1537" t="s">
        <v>258</v>
      </c>
      <c r="B151" s="1538"/>
      <c r="C151" s="1539"/>
      <c r="D151" s="523" t="s">
        <v>182</v>
      </c>
      <c r="E151" s="455"/>
      <c r="F151" s="455"/>
      <c r="G151" s="460">
        <f>G36+G50</f>
        <v>2603.5199999999895</v>
      </c>
      <c r="H151" s="460">
        <f>G151+'18'!H151</f>
        <v>30751.699999999983</v>
      </c>
      <c r="I151" s="545"/>
      <c r="J151" s="552">
        <f>H151/DAY(B2)</f>
        <v>1618.5105263157886</v>
      </c>
      <c r="N151" s="382"/>
      <c r="O151" s="382"/>
    </row>
    <row r="152" spans="1:15" ht="27.75">
      <c r="A152" s="1537" t="s">
        <v>259</v>
      </c>
      <c r="B152" s="1538"/>
      <c r="C152" s="1539"/>
      <c r="D152" s="523" t="s">
        <v>24</v>
      </c>
      <c r="E152" s="455"/>
      <c r="F152" s="455"/>
      <c r="G152" s="543">
        <f>G151/G7</f>
        <v>0.11259711345342371</v>
      </c>
      <c r="H152" s="460">
        <f>G152+'18'!H152</f>
        <v>1.6754416227394624</v>
      </c>
      <c r="I152" s="480"/>
      <c r="J152" s="552">
        <f>H152/DAY(B2)</f>
        <v>8.8181138038919069E-2</v>
      </c>
      <c r="N152" s="382"/>
      <c r="O152" s="382"/>
    </row>
    <row r="153" spans="1:15" ht="27.75">
      <c r="A153" s="1537" t="s">
        <v>260</v>
      </c>
      <c r="B153" s="1538"/>
      <c r="C153" s="1539"/>
      <c r="D153" s="523" t="s">
        <v>182</v>
      </c>
      <c r="E153" s="455"/>
      <c r="F153" s="455"/>
      <c r="G153" s="460">
        <f>G37+G51</f>
        <v>1546.2600000000093</v>
      </c>
      <c r="H153" s="460">
        <f>G153+'18'!H153</f>
        <v>26113.130000000005</v>
      </c>
      <c r="I153" s="480"/>
      <c r="J153" s="552">
        <f>H153/DAY(B2)</f>
        <v>1374.375263157895</v>
      </c>
      <c r="N153" s="382"/>
      <c r="O153" s="382"/>
    </row>
    <row r="154" spans="1:15" ht="28.5" thickBot="1">
      <c r="A154" s="1569" t="s">
        <v>261</v>
      </c>
      <c r="B154" s="1570"/>
      <c r="C154" s="1571"/>
      <c r="D154" s="625" t="s">
        <v>24</v>
      </c>
      <c r="E154" s="565"/>
      <c r="F154" s="565"/>
      <c r="G154" s="566">
        <f>G153/G7</f>
        <v>6.687270028595621E-2</v>
      </c>
      <c r="H154" s="460">
        <f>G154+'18'!H154</f>
        <v>1.4369856102567791</v>
      </c>
      <c r="I154" s="568"/>
      <c r="J154" s="569">
        <f>H154/DAY(B2)</f>
        <v>7.5630821592462052E-2</v>
      </c>
      <c r="N154" s="382"/>
      <c r="O154" s="382"/>
    </row>
    <row r="155" spans="1:15">
      <c r="A155" s="466"/>
      <c r="B155" s="456"/>
      <c r="C155" s="456"/>
      <c r="D155" s="546"/>
      <c r="E155" s="546"/>
      <c r="F155" s="546"/>
      <c r="G155" s="546"/>
      <c r="H155" s="547"/>
      <c r="I155" s="546"/>
      <c r="J155" s="548"/>
      <c r="O155" s="382"/>
    </row>
    <row r="161" spans="1:7">
      <c r="A161" s="785" t="s">
        <v>262</v>
      </c>
      <c r="B161" s="786"/>
      <c r="C161" s="786"/>
      <c r="D161" s="511" t="s">
        <v>186</v>
      </c>
      <c r="E161" s="659">
        <f>'18'!F161</f>
        <v>39881.129999999997</v>
      </c>
      <c r="F161" s="659">
        <v>39961.699999999997</v>
      </c>
      <c r="G161" s="473">
        <f t="shared" ref="G161:G164" si="16">F161-E161</f>
        <v>80.569999999999709</v>
      </c>
    </row>
    <row r="162" spans="1:7">
      <c r="A162" s="785" t="s">
        <v>263</v>
      </c>
      <c r="B162" s="786"/>
      <c r="C162" s="786"/>
      <c r="D162" s="511" t="s">
        <v>186</v>
      </c>
      <c r="E162" s="659">
        <f>'18'!F162</f>
        <v>102410.34</v>
      </c>
      <c r="F162" s="659">
        <v>102842.27</v>
      </c>
      <c r="G162" s="473">
        <f t="shared" si="16"/>
        <v>431.93000000000757</v>
      </c>
    </row>
    <row r="163" spans="1:7">
      <c r="A163" s="785" t="s">
        <v>264</v>
      </c>
      <c r="B163" s="786"/>
      <c r="C163" s="786"/>
      <c r="D163" s="511" t="s">
        <v>186</v>
      </c>
      <c r="E163" s="659">
        <f>'18'!F163</f>
        <v>48685.31</v>
      </c>
      <c r="F163" s="659">
        <v>48920.62</v>
      </c>
      <c r="G163" s="473">
        <f t="shared" si="16"/>
        <v>235.31000000000495</v>
      </c>
    </row>
    <row r="164" spans="1:7">
      <c r="A164" s="785" t="s">
        <v>265</v>
      </c>
      <c r="B164" s="786"/>
      <c r="C164" s="786"/>
      <c r="D164" s="511" t="s">
        <v>186</v>
      </c>
      <c r="E164" s="659">
        <f>'18'!F164</f>
        <v>6726.91</v>
      </c>
      <c r="F164" s="659">
        <v>6737.38</v>
      </c>
      <c r="G164" s="473">
        <f t="shared" si="16"/>
        <v>10.470000000000255</v>
      </c>
    </row>
    <row r="165" spans="1:7">
      <c r="A165" s="787" t="s">
        <v>97</v>
      </c>
      <c r="B165" s="604"/>
      <c r="C165" s="604"/>
      <c r="D165" s="511" t="s">
        <v>186</v>
      </c>
      <c r="E165" s="659">
        <f>'18'!F165</f>
        <v>20419</v>
      </c>
      <c r="F165" s="514">
        <v>20419</v>
      </c>
      <c r="G165" s="473">
        <f t="shared" ref="G165:G166" si="17">F165-E165</f>
        <v>0</v>
      </c>
    </row>
    <row r="166" spans="1:7">
      <c r="A166" s="787" t="s">
        <v>187</v>
      </c>
      <c r="B166" s="604"/>
      <c r="C166" s="604"/>
      <c r="D166" s="511" t="s">
        <v>186</v>
      </c>
      <c r="E166" s="659">
        <f>'18'!F166</f>
        <v>0</v>
      </c>
      <c r="F166" s="514">
        <v>2431</v>
      </c>
      <c r="G166" s="473">
        <f t="shared" si="17"/>
        <v>2431</v>
      </c>
    </row>
    <row r="167" spans="1:7" ht="27.75">
      <c r="A167" s="1586" t="s">
        <v>98</v>
      </c>
      <c r="B167" s="1586"/>
      <c r="C167" s="1586"/>
      <c r="D167" s="523" t="s">
        <v>186</v>
      </c>
      <c r="E167" s="659">
        <f>'18'!F167</f>
        <v>165546.95000000001</v>
      </c>
      <c r="F167" s="514">
        <v>106166</v>
      </c>
      <c r="G167" s="473">
        <f>F64-E64</f>
        <v>343.6699999999837</v>
      </c>
    </row>
    <row r="168" spans="1:7" ht="27.75">
      <c r="A168" s="1586" t="s">
        <v>99</v>
      </c>
      <c r="B168" s="1586"/>
      <c r="C168" s="1586"/>
      <c r="D168" s="523" t="s">
        <v>186</v>
      </c>
      <c r="E168" s="659">
        <f>'18'!F168</f>
        <v>165867.10999999999</v>
      </c>
      <c r="F168" s="514">
        <v>116811.03</v>
      </c>
      <c r="G168" s="473">
        <f t="shared" ref="G168:G172" si="18">F65-E65</f>
        <v>422.76000000000931</v>
      </c>
    </row>
    <row r="169" spans="1:7" ht="27.75">
      <c r="A169" s="1586" t="s">
        <v>100</v>
      </c>
      <c r="B169" s="1586"/>
      <c r="C169" s="1586"/>
      <c r="D169" s="523" t="s">
        <v>186</v>
      </c>
      <c r="E169" s="659">
        <f>'18'!F169</f>
        <v>63008.51</v>
      </c>
      <c r="F169" s="514">
        <v>9380.09</v>
      </c>
      <c r="G169" s="473">
        <f t="shared" si="18"/>
        <v>421.45999999999913</v>
      </c>
    </row>
    <row r="170" spans="1:7" ht="27.75">
      <c r="A170" s="1586" t="s">
        <v>101</v>
      </c>
      <c r="B170" s="1586"/>
      <c r="C170" s="1586"/>
      <c r="D170" s="523" t="s">
        <v>186</v>
      </c>
      <c r="E170" s="659">
        <f>'18'!F170</f>
        <v>259536.45</v>
      </c>
      <c r="F170" s="514">
        <v>180787.83</v>
      </c>
      <c r="G170" s="473">
        <f t="shared" si="18"/>
        <v>490.75999999998021</v>
      </c>
    </row>
    <row r="171" spans="1:7" ht="27.75">
      <c r="A171" s="1586" t="s">
        <v>102</v>
      </c>
      <c r="B171" s="1586"/>
      <c r="C171" s="1586"/>
      <c r="D171" s="523" t="s">
        <v>186</v>
      </c>
      <c r="E171" s="659">
        <f>'18'!F171</f>
        <v>85321</v>
      </c>
      <c r="F171" s="514">
        <v>59451.31</v>
      </c>
      <c r="G171" s="473">
        <f t="shared" si="18"/>
        <v>0</v>
      </c>
    </row>
    <row r="172" spans="1:7" ht="27.75">
      <c r="A172" s="1586" t="s">
        <v>103</v>
      </c>
      <c r="B172" s="1586"/>
      <c r="C172" s="1586"/>
      <c r="D172" s="523" t="s">
        <v>186</v>
      </c>
      <c r="E172" s="659">
        <f>'18'!F172</f>
        <v>84579.38</v>
      </c>
      <c r="F172" s="514">
        <v>52064.98</v>
      </c>
      <c r="G172" s="473">
        <f t="shared" si="18"/>
        <v>279.52999999999884</v>
      </c>
    </row>
    <row r="173" spans="1:7">
      <c r="G173" s="537">
        <f>SUM(G161:G172)</f>
        <v>5147.4599999999837</v>
      </c>
    </row>
    <row r="174" spans="1:7" ht="27.75">
      <c r="A174" s="1586" t="s">
        <v>347</v>
      </c>
      <c r="B174" s="1586"/>
      <c r="C174" s="1586"/>
      <c r="D174" s="523" t="s">
        <v>186</v>
      </c>
      <c r="E174" s="659"/>
      <c r="F174" s="514"/>
      <c r="G174" s="473">
        <f t="shared" ref="G174" si="19">F174-E174</f>
        <v>0</v>
      </c>
    </row>
    <row r="175" spans="1:7">
      <c r="A175" s="1596" t="s">
        <v>357</v>
      </c>
      <c r="B175" s="1579"/>
      <c r="C175" s="786"/>
      <c r="D175" s="523" t="s">
        <v>186</v>
      </c>
    </row>
    <row r="176" spans="1:7">
      <c r="A176" s="1596" t="s">
        <v>358</v>
      </c>
      <c r="B176" s="1579"/>
      <c r="C176" s="786"/>
      <c r="D176" s="523" t="s">
        <v>186</v>
      </c>
    </row>
    <row r="177" ht="18.75" customHeight="1"/>
  </sheetData>
  <mergeCells count="77">
    <mergeCell ref="A174:C174"/>
    <mergeCell ref="A172:C172"/>
    <mergeCell ref="A167:C167"/>
    <mergeCell ref="A168:C168"/>
    <mergeCell ref="A169:C169"/>
    <mergeCell ref="A170:C170"/>
    <mergeCell ref="A171:C171"/>
    <mergeCell ref="A119:B119"/>
    <mergeCell ref="A120:B120"/>
    <mergeCell ref="A121:B121"/>
    <mergeCell ref="A122:B122"/>
    <mergeCell ref="A114:B114"/>
    <mergeCell ref="A115:B115"/>
    <mergeCell ref="A116:B116"/>
    <mergeCell ref="A117:B117"/>
    <mergeCell ref="A118:B118"/>
    <mergeCell ref="A109:B109"/>
    <mergeCell ref="A110:B110"/>
    <mergeCell ref="A111:B111"/>
    <mergeCell ref="A112:B112"/>
    <mergeCell ref="A113:B113"/>
    <mergeCell ref="A104:B104"/>
    <mergeCell ref="A105:B105"/>
    <mergeCell ref="A106:B106"/>
    <mergeCell ref="A107:C107"/>
    <mergeCell ref="A108:B108"/>
    <mergeCell ref="A102:C102"/>
    <mergeCell ref="A123:C123"/>
    <mergeCell ref="A142:B142"/>
    <mergeCell ref="A153:C153"/>
    <mergeCell ref="A154:C154"/>
    <mergeCell ref="A126:C126"/>
    <mergeCell ref="A150:C150"/>
    <mergeCell ref="A151:C151"/>
    <mergeCell ref="A152:C152"/>
    <mergeCell ref="A145:C145"/>
    <mergeCell ref="A146:C146"/>
    <mergeCell ref="A147:C147"/>
    <mergeCell ref="A148:C148"/>
    <mergeCell ref="A149:C149"/>
    <mergeCell ref="A143:C143"/>
    <mergeCell ref="A144:C144"/>
    <mergeCell ref="A79:C79"/>
    <mergeCell ref="A80:C80"/>
    <mergeCell ref="A81:C81"/>
    <mergeCell ref="A95:C95"/>
    <mergeCell ref="A96:C96"/>
    <mergeCell ref="A82:C82"/>
    <mergeCell ref="A83:C83"/>
    <mergeCell ref="A93:C93"/>
    <mergeCell ref="A94:C94"/>
    <mergeCell ref="A75:C75"/>
    <mergeCell ref="A71:J71"/>
    <mergeCell ref="A70:C70"/>
    <mergeCell ref="A76:C76"/>
    <mergeCell ref="A77:C77"/>
    <mergeCell ref="A68:C68"/>
    <mergeCell ref="A69:C69"/>
    <mergeCell ref="A72:C72"/>
    <mergeCell ref="A73:C73"/>
    <mergeCell ref="A74:C74"/>
    <mergeCell ref="A175:B175"/>
    <mergeCell ref="A176:B176"/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</mergeCells>
  <pageMargins left="0.22" right="0.17" top="0.14000000000000001" bottom="0.2" header="0.2" footer="0.2"/>
  <pageSetup paperSize="5" scale="20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690"/>
  <sheetViews>
    <sheetView view="pageBreakPreview" topLeftCell="A28" zoomScale="55" zoomScaleSheetLayoutView="55" zoomScalePageLayoutView="78" workbookViewId="0">
      <selection activeCell="I60" sqref="I60"/>
    </sheetView>
  </sheetViews>
  <sheetFormatPr defaultColWidth="22.33203125" defaultRowHeight="29.25"/>
  <cols>
    <col min="1" max="1" width="59.6640625" style="454" bestFit="1" customWidth="1"/>
    <col min="2" max="2" width="30.77734375" style="457" customWidth="1"/>
    <col min="3" max="3" width="15.88671875" style="457" customWidth="1"/>
    <col min="4" max="4" width="13.6640625" style="537" customWidth="1"/>
    <col min="5" max="6" width="30" style="537" customWidth="1"/>
    <col min="7" max="7" width="28.88671875" style="1358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3" width="0" style="376" hidden="1" customWidth="1"/>
    <col min="14" max="14" width="25.109375" style="376" customWidth="1"/>
    <col min="15" max="16384" width="22.33203125" style="376"/>
  </cols>
  <sheetData>
    <row r="1" spans="1:15" ht="33.75">
      <c r="A1" s="1549" t="s">
        <v>116</v>
      </c>
      <c r="B1" s="1550"/>
      <c r="C1" s="1550"/>
      <c r="D1" s="1550"/>
      <c r="E1" s="1550"/>
      <c r="F1" s="1550"/>
      <c r="G1" s="1550"/>
      <c r="H1" s="1550"/>
      <c r="I1" s="1550"/>
      <c r="J1" s="1551"/>
    </row>
    <row r="2" spans="1:15" s="281" customFormat="1" ht="27">
      <c r="A2" s="575" t="s">
        <v>370</v>
      </c>
      <c r="B2" s="1033">
        <v>44367</v>
      </c>
      <c r="C2" s="1143" t="s">
        <v>68</v>
      </c>
      <c r="D2" s="611">
        <v>0.86</v>
      </c>
      <c r="E2" s="461"/>
      <c r="F2" s="461"/>
      <c r="G2" s="1329" t="s">
        <v>117</v>
      </c>
      <c r="H2" s="461" t="s">
        <v>6</v>
      </c>
      <c r="I2" s="461" t="s">
        <v>8</v>
      </c>
      <c r="J2" s="613" t="s">
        <v>118</v>
      </c>
    </row>
    <row r="3" spans="1:15" s="281" customFormat="1" ht="27">
      <c r="A3" s="570"/>
      <c r="B3" s="614"/>
      <c r="C3" s="1143" t="s">
        <v>119</v>
      </c>
      <c r="D3" s="612">
        <v>27</v>
      </c>
      <c r="E3" s="1558" t="s">
        <v>120</v>
      </c>
      <c r="F3" s="1559"/>
      <c r="G3" s="1330">
        <f>'1'!G3</f>
        <v>0</v>
      </c>
      <c r="H3" s="463">
        <f>'1'!H3</f>
        <v>0</v>
      </c>
      <c r="I3" s="463">
        <f>'1'!I3</f>
        <v>0</v>
      </c>
      <c r="J3" s="615">
        <f>'1'!J3</f>
        <v>0</v>
      </c>
      <c r="K3" s="371"/>
      <c r="L3" s="292"/>
    </row>
    <row r="4" spans="1:15" s="281" customFormat="1" ht="27">
      <c r="A4" s="576"/>
      <c r="B4" s="616"/>
      <c r="C4" s="1143" t="s">
        <v>121</v>
      </c>
      <c r="D4" s="611">
        <v>0.84</v>
      </c>
      <c r="E4" s="464"/>
      <c r="F4" s="464"/>
      <c r="G4" s="1330"/>
      <c r="H4" s="464"/>
      <c r="I4" s="465"/>
      <c r="J4" s="615"/>
      <c r="K4" s="372"/>
      <c r="L4" s="292"/>
    </row>
    <row r="5" spans="1:15">
      <c r="A5" s="577" t="s">
        <v>122</v>
      </c>
      <c r="B5" s="459"/>
      <c r="C5" s="459"/>
      <c r="D5" s="511" t="s">
        <v>123</v>
      </c>
      <c r="E5" s="467" t="s">
        <v>124</v>
      </c>
      <c r="F5" s="467" t="s">
        <v>111</v>
      </c>
      <c r="G5" s="1331" t="s">
        <v>125</v>
      </c>
      <c r="H5" s="469" t="s">
        <v>126</v>
      </c>
      <c r="I5" s="470" t="s">
        <v>127</v>
      </c>
      <c r="J5" s="550" t="s">
        <v>128</v>
      </c>
      <c r="K5" s="426"/>
      <c r="L5" s="377"/>
    </row>
    <row r="6" spans="1:15">
      <c r="A6" s="1552" t="s">
        <v>129</v>
      </c>
      <c r="B6" s="1553"/>
      <c r="C6" s="1554"/>
      <c r="D6" s="471"/>
      <c r="E6" s="471"/>
      <c r="F6" s="471"/>
      <c r="G6" s="1332"/>
      <c r="H6" s="472"/>
      <c r="I6" s="472"/>
      <c r="J6" s="551"/>
      <c r="K6" s="427"/>
      <c r="L6" s="377"/>
    </row>
    <row r="7" spans="1:15" ht="30" thickBot="1">
      <c r="A7" s="578" t="s">
        <v>130</v>
      </c>
      <c r="B7" s="579"/>
      <c r="C7" s="579"/>
      <c r="D7" s="523" t="s">
        <v>131</v>
      </c>
      <c r="E7" s="455">
        <f>'19'!F7</f>
        <v>691238.15</v>
      </c>
      <c r="F7" s="455">
        <v>714485.83</v>
      </c>
      <c r="G7" s="1333">
        <f>F7-E7</f>
        <v>23247.679999999935</v>
      </c>
      <c r="H7" s="460">
        <f>G7+'19'!H7</f>
        <v>370073.82999999996</v>
      </c>
      <c r="I7" s="474">
        <f>'1'!I7</f>
        <v>12000</v>
      </c>
      <c r="J7" s="552">
        <f>H7/DAY(B2)</f>
        <v>18503.691499999997</v>
      </c>
      <c r="K7" s="549">
        <v>11998</v>
      </c>
      <c r="L7" s="377">
        <f>G7-K7</f>
        <v>11249.679999999935</v>
      </c>
      <c r="N7" s="382"/>
      <c r="O7" s="382"/>
    </row>
    <row r="8" spans="1:15" ht="27.75" thickBot="1">
      <c r="A8" s="580" t="s">
        <v>132</v>
      </c>
      <c r="B8" s="581"/>
      <c r="C8" s="582"/>
      <c r="D8" s="617" t="s">
        <v>25</v>
      </c>
      <c r="E8" s="475">
        <f>'19'!F8</f>
        <v>694873.83</v>
      </c>
      <c r="F8" s="475">
        <v>718223.92</v>
      </c>
      <c r="G8" s="1334">
        <f>F8-E8</f>
        <v>23350.090000000084</v>
      </c>
      <c r="H8" s="460">
        <f>G8+'19'!H8</f>
        <v>371713.92000000004</v>
      </c>
      <c r="I8" s="477">
        <f>'1'!I8</f>
        <v>12000</v>
      </c>
      <c r="J8" s="552">
        <f>H8/DAY(B2)</f>
        <v>18585.696000000004</v>
      </c>
      <c r="K8" s="549"/>
      <c r="L8" s="425"/>
      <c r="M8" s="440"/>
      <c r="N8" s="382"/>
      <c r="O8" s="382"/>
    </row>
    <row r="9" spans="1:15">
      <c r="A9" s="583" t="s">
        <v>133</v>
      </c>
      <c r="B9" s="584"/>
      <c r="C9" s="584"/>
      <c r="D9" s="523" t="s">
        <v>131</v>
      </c>
      <c r="E9" s="478">
        <f>'19'!F9</f>
        <v>1809519.3</v>
      </c>
      <c r="F9" s="478">
        <v>1832034.9</v>
      </c>
      <c r="G9" s="1333">
        <f t="shared" ref="G9:G12" si="0">F9-E9</f>
        <v>22515.59999999986</v>
      </c>
      <c r="H9" s="460">
        <f>G9+'19'!H9</f>
        <v>358344.89999999991</v>
      </c>
      <c r="I9" s="479">
        <f>I8-J8</f>
        <v>-6585.6960000000036</v>
      </c>
      <c r="J9" s="552">
        <f>H9/DAY(B2)</f>
        <v>17917.244999999995</v>
      </c>
      <c r="K9" s="428"/>
      <c r="L9" s="377"/>
      <c r="N9" s="382"/>
      <c r="O9" s="382"/>
    </row>
    <row r="10" spans="1:15">
      <c r="A10" s="578" t="s">
        <v>134</v>
      </c>
      <c r="B10" s="579"/>
      <c r="C10" s="579"/>
      <c r="D10" s="523" t="s">
        <v>131</v>
      </c>
      <c r="E10" s="478">
        <f>'19'!F10</f>
        <v>0</v>
      </c>
      <c r="F10" s="478"/>
      <c r="G10" s="1333">
        <f t="shared" si="0"/>
        <v>0</v>
      </c>
      <c r="H10" s="460">
        <f>G10+'19'!H10</f>
        <v>0.71999999999979991</v>
      </c>
      <c r="I10" s="480"/>
      <c r="J10" s="552">
        <f>H10/DAY(B2)</f>
        <v>3.5999999999989998E-2</v>
      </c>
      <c r="K10" s="428"/>
      <c r="L10" s="377"/>
      <c r="N10" s="382"/>
      <c r="O10" s="382"/>
    </row>
    <row r="11" spans="1:15">
      <c r="A11" s="578" t="s">
        <v>135</v>
      </c>
      <c r="B11" s="579"/>
      <c r="C11" s="579"/>
      <c r="D11" s="523" t="s">
        <v>131</v>
      </c>
      <c r="E11" s="478">
        <f>'19'!F11</f>
        <v>37000</v>
      </c>
      <c r="F11" s="455">
        <v>37000</v>
      </c>
      <c r="G11" s="1333">
        <f t="shared" si="0"/>
        <v>0</v>
      </c>
      <c r="H11" s="460">
        <f>G11+'19'!H11</f>
        <v>0</v>
      </c>
      <c r="I11" s="480"/>
      <c r="J11" s="552">
        <f>H11/DAY(B2)</f>
        <v>0</v>
      </c>
      <c r="K11" s="428"/>
      <c r="L11" s="377"/>
      <c r="N11" s="382"/>
      <c r="O11" s="382"/>
    </row>
    <row r="12" spans="1:15">
      <c r="A12" s="578" t="s">
        <v>136</v>
      </c>
      <c r="B12" s="579"/>
      <c r="C12" s="579"/>
      <c r="D12" s="523" t="s">
        <v>131</v>
      </c>
      <c r="E12" s="478">
        <f>'19'!F12</f>
        <v>40010</v>
      </c>
      <c r="F12" s="478">
        <v>40010</v>
      </c>
      <c r="G12" s="1333">
        <f t="shared" si="0"/>
        <v>0</v>
      </c>
      <c r="H12" s="460">
        <f>G12+'19'!H12</f>
        <v>0</v>
      </c>
      <c r="I12" s="480"/>
      <c r="J12" s="552">
        <f>H12/DAY(B2)</f>
        <v>0</v>
      </c>
      <c r="K12" s="428"/>
      <c r="L12" s="377"/>
      <c r="N12" s="382"/>
      <c r="O12" s="382"/>
    </row>
    <row r="13" spans="1:15">
      <c r="A13" s="585" t="s">
        <v>137</v>
      </c>
      <c r="B13" s="586"/>
      <c r="C13" s="586"/>
      <c r="D13" s="523"/>
      <c r="E13" s="455"/>
      <c r="F13" s="455"/>
      <c r="G13" s="1335">
        <f>G9+G10+G11+G12</f>
        <v>22515.59999999986</v>
      </c>
      <c r="H13" s="460">
        <f>G13+'19'!H13</f>
        <v>341820.61999999988</v>
      </c>
      <c r="I13" s="482">
        <f>G7-G13</f>
        <v>732.08000000007451</v>
      </c>
      <c r="J13" s="552">
        <f>H13/DAY(B2)</f>
        <v>17091.030999999995</v>
      </c>
      <c r="K13" s="428"/>
      <c r="L13" s="377"/>
      <c r="N13" s="382"/>
      <c r="O13" s="382"/>
    </row>
    <row r="14" spans="1:15">
      <c r="A14" s="1555" t="s">
        <v>138</v>
      </c>
      <c r="B14" s="1556"/>
      <c r="C14" s="1557"/>
      <c r="D14" s="472"/>
      <c r="E14" s="472"/>
      <c r="F14" s="472"/>
      <c r="G14" s="1336"/>
      <c r="H14" s="472"/>
      <c r="I14" s="472"/>
      <c r="J14" s="551"/>
      <c r="K14" s="429"/>
      <c r="L14" s="377"/>
      <c r="N14" s="382"/>
      <c r="O14" s="382"/>
    </row>
    <row r="15" spans="1:15">
      <c r="A15" s="1141" t="s">
        <v>139</v>
      </c>
      <c r="B15" s="589"/>
      <c r="C15" s="589"/>
      <c r="D15" s="523" t="s">
        <v>140</v>
      </c>
      <c r="E15" s="484">
        <f>'19'!F15</f>
        <v>1695206.3659999999</v>
      </c>
      <c r="F15" s="484">
        <v>1696145</v>
      </c>
      <c r="G15" s="1337">
        <f>(F15-E15)</f>
        <v>938.63400000007823</v>
      </c>
      <c r="H15" s="460">
        <f>G15+'19'!H15</f>
        <v>11621</v>
      </c>
      <c r="I15" s="474">
        <v>800</v>
      </c>
      <c r="J15" s="552">
        <f>H15/DAY(B2)</f>
        <v>581.04999999999995</v>
      </c>
      <c r="K15" s="428"/>
      <c r="L15" s="377"/>
      <c r="N15" s="382"/>
      <c r="O15" s="722"/>
    </row>
    <row r="16" spans="1:15">
      <c r="A16" s="587"/>
      <c r="B16" s="588"/>
      <c r="C16" s="588"/>
      <c r="D16" s="524"/>
      <c r="E16" s="485"/>
      <c r="F16" s="485"/>
      <c r="G16" s="1333"/>
      <c r="H16" s="486"/>
      <c r="I16" s="487">
        <f>I15-J15</f>
        <v>218.95000000000005</v>
      </c>
      <c r="J16" s="553"/>
      <c r="K16" s="428"/>
      <c r="L16" s="377"/>
      <c r="N16" s="382"/>
      <c r="O16" s="382"/>
    </row>
    <row r="17" spans="1:15">
      <c r="A17" s="1555" t="s">
        <v>141</v>
      </c>
      <c r="B17" s="1556"/>
      <c r="C17" s="1557"/>
      <c r="D17" s="472"/>
      <c r="E17" s="472"/>
      <c r="F17" s="472"/>
      <c r="G17" s="1336"/>
      <c r="H17" s="472"/>
      <c r="I17" s="472"/>
      <c r="J17" s="551"/>
      <c r="K17" s="428"/>
      <c r="L17" s="377"/>
      <c r="N17" s="382"/>
      <c r="O17" s="382"/>
    </row>
    <row r="18" spans="1:15" ht="27.75">
      <c r="A18" s="1537" t="s">
        <v>142</v>
      </c>
      <c r="B18" s="1538"/>
      <c r="C18" s="1539"/>
      <c r="D18" s="523" t="s">
        <v>143</v>
      </c>
      <c r="E18" s="484">
        <f>'19'!F18</f>
        <v>13</v>
      </c>
      <c r="F18" s="484">
        <v>20</v>
      </c>
      <c r="G18" s="1335">
        <f>F18*10</f>
        <v>200</v>
      </c>
      <c r="H18" s="460">
        <f>G18+'19'!H18</f>
        <v>1460</v>
      </c>
      <c r="I18" s="474">
        <f>'1'!I18</f>
        <v>65</v>
      </c>
      <c r="J18" s="552">
        <f>H18/DAY(B2)</f>
        <v>73</v>
      </c>
      <c r="K18" s="428"/>
      <c r="L18" s="377"/>
      <c r="N18" s="382"/>
      <c r="O18" s="382"/>
    </row>
    <row r="19" spans="1:15" ht="27.75">
      <c r="A19" s="1537" t="s">
        <v>70</v>
      </c>
      <c r="B19" s="1538"/>
      <c r="C19" s="1539"/>
      <c r="D19" s="523" t="s">
        <v>143</v>
      </c>
      <c r="E19" s="484">
        <f>'19'!F19</f>
        <v>140809</v>
      </c>
      <c r="F19" s="484">
        <v>140870</v>
      </c>
      <c r="G19" s="1333">
        <f t="shared" ref="G19" si="1">F19-E19</f>
        <v>61</v>
      </c>
      <c r="H19" s="460">
        <f>G19+'19'!H19</f>
        <v>1258</v>
      </c>
      <c r="I19" s="489"/>
      <c r="J19" s="552">
        <f>H19/DAY(B2)</f>
        <v>62.9</v>
      </c>
      <c r="K19" s="428"/>
      <c r="L19" s="377"/>
      <c r="N19" s="382"/>
      <c r="O19" s="382"/>
    </row>
    <row r="20" spans="1:15">
      <c r="A20" s="585" t="s">
        <v>144</v>
      </c>
      <c r="B20" s="586"/>
      <c r="C20" s="586"/>
      <c r="D20" s="490"/>
      <c r="E20" s="490"/>
      <c r="F20" s="490"/>
      <c r="G20" s="1338">
        <f>G18+G19</f>
        <v>261</v>
      </c>
      <c r="H20" s="460">
        <f>G20+'19'!H20</f>
        <v>2718</v>
      </c>
      <c r="I20" s="492">
        <f>I18-J20</f>
        <v>-70.900000000000006</v>
      </c>
      <c r="J20" s="552">
        <f>H20/DAY(B2)</f>
        <v>135.9</v>
      </c>
      <c r="K20" s="428"/>
      <c r="L20" s="377"/>
      <c r="N20" s="382"/>
      <c r="O20" s="382"/>
    </row>
    <row r="21" spans="1:15">
      <c r="A21" s="1555" t="s">
        <v>145</v>
      </c>
      <c r="B21" s="1556"/>
      <c r="C21" s="1557"/>
      <c r="D21" s="472"/>
      <c r="E21" s="472"/>
      <c r="F21" s="472"/>
      <c r="G21" s="1336"/>
      <c r="H21" s="472"/>
      <c r="I21" s="472"/>
      <c r="J21" s="551"/>
      <c r="K21" s="428"/>
      <c r="L21" s="377"/>
      <c r="N21" s="382"/>
      <c r="O21" s="382"/>
    </row>
    <row r="22" spans="1:15">
      <c r="A22" s="1141" t="s">
        <v>146</v>
      </c>
      <c r="B22" s="589"/>
      <c r="C22" s="589"/>
      <c r="D22" s="523" t="s">
        <v>147</v>
      </c>
      <c r="E22" s="484">
        <f>'19'!F22</f>
        <v>2970</v>
      </c>
      <c r="F22" s="484">
        <v>2970</v>
      </c>
      <c r="G22" s="1335">
        <v>0</v>
      </c>
      <c r="H22" s="460">
        <f>G22+'19'!H22</f>
        <v>0</v>
      </c>
      <c r="I22" s="480"/>
      <c r="J22" s="552">
        <f>H22/DAY(B2)</f>
        <v>0</v>
      </c>
      <c r="K22" s="428"/>
      <c r="L22" s="377"/>
      <c r="N22" s="382"/>
      <c r="O22" s="382"/>
    </row>
    <row r="23" spans="1:15">
      <c r="A23" s="1141" t="s">
        <v>148</v>
      </c>
      <c r="B23" s="589"/>
      <c r="C23" s="589"/>
      <c r="D23" s="523" t="s">
        <v>147</v>
      </c>
      <c r="E23" s="484">
        <f>'19'!F23</f>
        <v>2000</v>
      </c>
      <c r="F23" s="484">
        <v>2000</v>
      </c>
      <c r="G23" s="1335">
        <v>0</v>
      </c>
      <c r="H23" s="460">
        <f>G23+'19'!H23</f>
        <v>0</v>
      </c>
      <c r="I23" s="480"/>
      <c r="J23" s="552">
        <f>H23/DAY(B2)</f>
        <v>0</v>
      </c>
      <c r="K23" s="428"/>
      <c r="L23" s="377"/>
      <c r="N23" s="382"/>
      <c r="O23" s="382"/>
    </row>
    <row r="24" spans="1:15">
      <c r="A24" s="590" t="s">
        <v>149</v>
      </c>
      <c r="B24" s="591"/>
      <c r="C24" s="591"/>
      <c r="D24" s="511" t="s">
        <v>147</v>
      </c>
      <c r="E24" s="484">
        <f>'19'!F24</f>
        <v>4970</v>
      </c>
      <c r="F24" s="332">
        <v>4970</v>
      </c>
      <c r="G24" s="1335">
        <v>0</v>
      </c>
      <c r="H24" s="460">
        <f>G24+'19'!H24</f>
        <v>0</v>
      </c>
      <c r="I24" s="480"/>
      <c r="J24" s="552">
        <f>H24/DAY(B2)</f>
        <v>0</v>
      </c>
      <c r="K24" s="428"/>
      <c r="L24" s="377"/>
      <c r="N24" s="382"/>
      <c r="O24" s="382"/>
    </row>
    <row r="25" spans="1:15" s="442" customFormat="1" ht="27">
      <c r="A25" s="1560" t="s">
        <v>150</v>
      </c>
      <c r="B25" s="1561"/>
      <c r="C25" s="1562"/>
      <c r="D25" s="471"/>
      <c r="E25" s="471"/>
      <c r="F25" s="471"/>
      <c r="G25" s="1339"/>
      <c r="H25" s="495"/>
      <c r="I25" s="496"/>
      <c r="J25" s="554"/>
      <c r="K25" s="373"/>
      <c r="L25" s="443"/>
      <c r="N25" s="444"/>
      <c r="O25" s="382"/>
    </row>
    <row r="26" spans="1:15" s="442" customFormat="1" ht="27.75">
      <c r="A26" s="592" t="s">
        <v>151</v>
      </c>
      <c r="B26" s="593"/>
      <c r="C26" s="594"/>
      <c r="D26" s="618" t="s">
        <v>152</v>
      </c>
      <c r="E26" s="497"/>
      <c r="F26" s="497"/>
      <c r="G26" s="1340"/>
      <c r="H26" s="460"/>
      <c r="I26" s="499"/>
      <c r="J26" s="552"/>
      <c r="K26" s="374"/>
      <c r="L26" s="443"/>
      <c r="N26" s="444"/>
      <c r="O26" s="382"/>
    </row>
    <row r="27" spans="1:15" s="442" customFormat="1" ht="27.75">
      <c r="A27" s="592" t="s">
        <v>6</v>
      </c>
      <c r="B27" s="593"/>
      <c r="C27" s="594"/>
      <c r="D27" s="619" t="s">
        <v>25</v>
      </c>
      <c r="E27" s="501">
        <f>G8</f>
        <v>23350.090000000084</v>
      </c>
      <c r="F27" s="501">
        <v>9</v>
      </c>
      <c r="G27" s="1341">
        <f>E27*F27</f>
        <v>210150.81000000075</v>
      </c>
      <c r="H27" s="460">
        <f>G27+'19'!H27</f>
        <v>3344588.2800000003</v>
      </c>
      <c r="I27" s="503"/>
      <c r="J27" s="552">
        <f>H27/DAY(B2)</f>
        <v>167229.41400000002</v>
      </c>
      <c r="K27" s="373"/>
      <c r="L27" s="443"/>
      <c r="N27" s="444"/>
      <c r="O27" s="382"/>
    </row>
    <row r="28" spans="1:15" s="442" customFormat="1" ht="27.75">
      <c r="A28" s="592" t="s">
        <v>153</v>
      </c>
      <c r="B28" s="593"/>
      <c r="C28" s="594"/>
      <c r="D28" s="619" t="s">
        <v>154</v>
      </c>
      <c r="E28" s="501">
        <f>G15</f>
        <v>938.63400000007823</v>
      </c>
      <c r="F28" s="501">
        <v>52</v>
      </c>
      <c r="G28" s="1341">
        <f>E28*F28</f>
        <v>48808.968000004068</v>
      </c>
      <c r="H28" s="460">
        <f>G28+'19'!H28</f>
        <v>604292</v>
      </c>
      <c r="I28" s="505"/>
      <c r="J28" s="552">
        <f>H28/DAY(B2)</f>
        <v>30214.6</v>
      </c>
      <c r="K28" s="373"/>
      <c r="L28" s="443"/>
      <c r="N28" s="444"/>
      <c r="O28" s="382"/>
    </row>
    <row r="29" spans="1:15" s="442" customFormat="1" ht="27.75">
      <c r="A29" s="592" t="s">
        <v>155</v>
      </c>
      <c r="B29" s="593"/>
      <c r="C29" s="594"/>
      <c r="D29" s="619" t="s">
        <v>156</v>
      </c>
      <c r="E29" s="501">
        <f>G24</f>
        <v>0</v>
      </c>
      <c r="F29" s="501">
        <v>69</v>
      </c>
      <c r="G29" s="1341">
        <f>E29*F29</f>
        <v>0</v>
      </c>
      <c r="H29" s="460">
        <f>G29+'19'!H29</f>
        <v>8280</v>
      </c>
      <c r="I29" s="505"/>
      <c r="J29" s="552">
        <f>H29/DAY(B2)</f>
        <v>414</v>
      </c>
      <c r="K29" s="373"/>
      <c r="L29" s="443"/>
      <c r="N29" s="444"/>
      <c r="O29" s="382"/>
    </row>
    <row r="30" spans="1:15" s="442" customFormat="1" ht="27.75">
      <c r="A30" s="592" t="s">
        <v>157</v>
      </c>
      <c r="B30" s="593"/>
      <c r="C30" s="594"/>
      <c r="D30" s="619" t="s">
        <v>158</v>
      </c>
      <c r="E30" s="501">
        <f>G19</f>
        <v>61</v>
      </c>
      <c r="F30" s="501">
        <v>146</v>
      </c>
      <c r="G30" s="1341">
        <f>E30*F30</f>
        <v>8906</v>
      </c>
      <c r="H30" s="460">
        <f>G30+'19'!H30</f>
        <v>183668</v>
      </c>
      <c r="I30" s="505"/>
      <c r="J30" s="552">
        <f>H30/DAY(B2)</f>
        <v>9183.4</v>
      </c>
      <c r="K30" s="373"/>
      <c r="L30" s="443"/>
      <c r="N30" s="444"/>
      <c r="O30" s="382"/>
    </row>
    <row r="31" spans="1:15" s="442" customFormat="1" ht="27.75">
      <c r="A31" s="592" t="s">
        <v>159</v>
      </c>
      <c r="B31" s="593"/>
      <c r="C31" s="594"/>
      <c r="D31" s="619" t="s">
        <v>143</v>
      </c>
      <c r="E31" s="501">
        <f>G18</f>
        <v>200</v>
      </c>
      <c r="F31" s="501">
        <v>80</v>
      </c>
      <c r="G31" s="1341">
        <f>E31*F31</f>
        <v>16000</v>
      </c>
      <c r="H31" s="460">
        <f>G31+'19'!H31</f>
        <v>116800</v>
      </c>
      <c r="I31" s="505"/>
      <c r="J31" s="552">
        <f>H31/DAY(B2)</f>
        <v>5840</v>
      </c>
      <c r="K31" s="373"/>
      <c r="L31" s="443"/>
      <c r="N31" s="444"/>
      <c r="O31" s="382"/>
    </row>
    <row r="32" spans="1:15" s="442" customFormat="1" ht="27.75">
      <c r="A32" s="595" t="s">
        <v>160</v>
      </c>
      <c r="B32" s="596"/>
      <c r="C32" s="597"/>
      <c r="D32" s="507"/>
      <c r="E32" s="507"/>
      <c r="F32" s="507"/>
      <c r="G32" s="1342">
        <f>G27+G28+G29+G30+G31</f>
        <v>283865.77800000482</v>
      </c>
      <c r="H32" s="460">
        <f>G32+'19'!H32</f>
        <v>4257628.28</v>
      </c>
      <c r="I32" s="509"/>
      <c r="J32" s="552">
        <f>H32/DAY(B2)</f>
        <v>212881.41400000002</v>
      </c>
      <c r="K32" s="373"/>
      <c r="L32" s="443"/>
      <c r="N32" s="444"/>
      <c r="O32" s="382"/>
    </row>
    <row r="33" spans="1:15" ht="25.5">
      <c r="A33" s="1563" t="s">
        <v>161</v>
      </c>
      <c r="B33" s="1564"/>
      <c r="C33" s="1564"/>
      <c r="D33" s="1564"/>
      <c r="E33" s="1564"/>
      <c r="F33" s="1564"/>
      <c r="G33" s="1564"/>
      <c r="H33" s="1564"/>
      <c r="I33" s="1564"/>
      <c r="J33" s="1565"/>
      <c r="K33" s="428"/>
      <c r="L33" s="377"/>
      <c r="N33" s="382"/>
      <c r="O33" s="382"/>
    </row>
    <row r="34" spans="1:15">
      <c r="A34" s="598" t="s">
        <v>162</v>
      </c>
      <c r="B34" s="1146"/>
      <c r="C34" s="1146"/>
      <c r="D34" s="472"/>
      <c r="E34" s="471"/>
      <c r="F34" s="471"/>
      <c r="G34" s="1343"/>
      <c r="H34" s="472"/>
      <c r="I34" s="472"/>
      <c r="J34" s="551" t="s">
        <v>310</v>
      </c>
      <c r="K34" s="428"/>
      <c r="L34" s="377"/>
      <c r="N34" s="382"/>
      <c r="O34" s="382"/>
    </row>
    <row r="35" spans="1:15">
      <c r="A35" s="578" t="s">
        <v>163</v>
      </c>
      <c r="B35" s="579"/>
      <c r="C35" s="579"/>
      <c r="D35" s="523" t="s">
        <v>131</v>
      </c>
      <c r="E35" s="484">
        <f>'19'!F35</f>
        <v>997523.03</v>
      </c>
      <c r="F35" s="510">
        <v>1000428.6</v>
      </c>
      <c r="G35" s="1333">
        <f t="shared" ref="G35:G46" si="2">F35-E35</f>
        <v>2905.5699999999488</v>
      </c>
      <c r="H35" s="460">
        <f>G35+'19'!H35</f>
        <v>49940.599999999977</v>
      </c>
      <c r="I35" s="455"/>
      <c r="J35" s="552">
        <f>H35/DAY(B2)</f>
        <v>2497.0299999999988</v>
      </c>
      <c r="K35" s="428">
        <v>1457.2799999999697</v>
      </c>
      <c r="L35" s="377">
        <f>G35-K35</f>
        <v>1448.289999999979</v>
      </c>
      <c r="N35" s="382"/>
      <c r="O35" s="628"/>
    </row>
    <row r="36" spans="1:15">
      <c r="A36" s="578" t="s">
        <v>164</v>
      </c>
      <c r="B36" s="579"/>
      <c r="C36" s="579"/>
      <c r="D36" s="523" t="s">
        <v>131</v>
      </c>
      <c r="E36" s="484">
        <f>'19'!F36</f>
        <v>12057.47</v>
      </c>
      <c r="F36" s="510">
        <v>13082.87</v>
      </c>
      <c r="G36" s="1333">
        <f t="shared" si="2"/>
        <v>1025.4000000000015</v>
      </c>
      <c r="H36" s="460">
        <f>G36+'19'!H36</f>
        <v>12909.87</v>
      </c>
      <c r="I36" s="455"/>
      <c r="J36" s="552">
        <f>H36/DAY(B2)</f>
        <v>645.49350000000004</v>
      </c>
      <c r="K36" s="428">
        <v>483.92999999999302</v>
      </c>
      <c r="L36" s="377">
        <f t="shared" ref="L36:L60" si="3">G36-K36</f>
        <v>541.47000000000844</v>
      </c>
      <c r="N36" s="382"/>
      <c r="O36" s="628"/>
    </row>
    <row r="37" spans="1:15">
      <c r="A37" s="578" t="s">
        <v>165</v>
      </c>
      <c r="B37" s="579"/>
      <c r="C37" s="579"/>
      <c r="D37" s="523" t="s">
        <v>131</v>
      </c>
      <c r="E37" s="484">
        <f>'19'!F37</f>
        <v>160349.26</v>
      </c>
      <c r="F37" s="510">
        <v>161888.04999999999</v>
      </c>
      <c r="G37" s="1333">
        <f>F37-E37</f>
        <v>1538.789999999979</v>
      </c>
      <c r="H37" s="460">
        <f>G37+'19'!H37</f>
        <v>27652.049999999988</v>
      </c>
      <c r="I37" s="455"/>
      <c r="J37" s="552">
        <f>H37/DAY(B2)</f>
        <v>1382.6024999999995</v>
      </c>
      <c r="K37" s="428">
        <v>1173.9200000000128</v>
      </c>
      <c r="L37" s="377">
        <f>G37-K37</f>
        <v>364.86999999996624</v>
      </c>
      <c r="N37" s="382"/>
      <c r="O37" s="382"/>
    </row>
    <row r="38" spans="1:15">
      <c r="A38" s="578" t="s">
        <v>166</v>
      </c>
      <c r="B38" s="579"/>
      <c r="C38" s="579"/>
      <c r="D38" s="523" t="s">
        <v>131</v>
      </c>
      <c r="E38" s="484">
        <f>'19'!F38</f>
        <v>180981.33</v>
      </c>
      <c r="F38" s="469">
        <v>182709.43</v>
      </c>
      <c r="G38" s="1333">
        <f t="shared" si="2"/>
        <v>1728.1000000000058</v>
      </c>
      <c r="H38" s="460">
        <f>G38+'19'!H38</f>
        <v>26304.429999999993</v>
      </c>
      <c r="I38" s="455"/>
      <c r="J38" s="552">
        <f>H38/DAY(B2)</f>
        <v>1315.2214999999997</v>
      </c>
      <c r="K38" s="428">
        <v>0</v>
      </c>
      <c r="L38" s="377">
        <f t="shared" si="3"/>
        <v>1728.1000000000058</v>
      </c>
      <c r="N38" s="382"/>
      <c r="O38" s="382"/>
    </row>
    <row r="39" spans="1:15">
      <c r="A39" s="578" t="s">
        <v>167</v>
      </c>
      <c r="B39" s="579"/>
      <c r="C39" s="579"/>
      <c r="D39" s="523" t="s">
        <v>131</v>
      </c>
      <c r="E39" s="484">
        <f>'19'!F39</f>
        <v>365296.75</v>
      </c>
      <c r="F39" s="510">
        <v>368907.47</v>
      </c>
      <c r="G39" s="1333">
        <f t="shared" si="2"/>
        <v>3610.7199999999721</v>
      </c>
      <c r="H39" s="460">
        <f>G39+'19'!H39</f>
        <v>60734.469999999972</v>
      </c>
      <c r="I39" s="455"/>
      <c r="J39" s="552">
        <f>H39/DAY(B2)</f>
        <v>3036.7234999999987</v>
      </c>
      <c r="K39" s="428">
        <v>1987.0400000000373</v>
      </c>
      <c r="L39" s="377">
        <f t="shared" si="3"/>
        <v>1623.6799999999348</v>
      </c>
      <c r="N39" s="382"/>
      <c r="O39" s="382"/>
    </row>
    <row r="40" spans="1:15">
      <c r="A40" s="599" t="s">
        <v>168</v>
      </c>
      <c r="B40" s="600"/>
      <c r="C40" s="600"/>
      <c r="D40" s="523" t="s">
        <v>131</v>
      </c>
      <c r="E40" s="484">
        <f>'19'!F40</f>
        <v>3254.05</v>
      </c>
      <c r="F40" s="510">
        <v>3598.31</v>
      </c>
      <c r="G40" s="1333">
        <f t="shared" si="2"/>
        <v>344.25999999999976</v>
      </c>
      <c r="H40" s="460">
        <f>G40+'19'!H40</f>
        <v>2709.31</v>
      </c>
      <c r="I40" s="455"/>
      <c r="J40" s="552">
        <f>H40/DAY(B2)</f>
        <v>135.46549999999999</v>
      </c>
      <c r="K40" s="429">
        <v>0</v>
      </c>
      <c r="L40" s="377">
        <f t="shared" si="3"/>
        <v>344.25999999999976</v>
      </c>
      <c r="N40" s="382"/>
      <c r="O40" s="382"/>
    </row>
    <row r="41" spans="1:15">
      <c r="A41" s="578" t="s">
        <v>169</v>
      </c>
      <c r="B41" s="579"/>
      <c r="C41" s="579"/>
      <c r="D41" s="523" t="s">
        <v>131</v>
      </c>
      <c r="E41" s="484">
        <f>'19'!F41</f>
        <v>296609.46999999997</v>
      </c>
      <c r="F41" s="510">
        <v>299709.45</v>
      </c>
      <c r="G41" s="1333">
        <f t="shared" si="2"/>
        <v>3099.9800000000396</v>
      </c>
      <c r="H41" s="460">
        <f>G41+'19'!H41</f>
        <v>59231.450000000012</v>
      </c>
      <c r="I41" s="455"/>
      <c r="J41" s="552">
        <f>H41/DAY(B2)</f>
        <v>2961.5725000000007</v>
      </c>
      <c r="K41" s="428">
        <v>0</v>
      </c>
      <c r="L41" s="377">
        <f t="shared" si="3"/>
        <v>3099.9800000000396</v>
      </c>
      <c r="N41" s="382"/>
      <c r="O41" s="722"/>
    </row>
    <row r="42" spans="1:15">
      <c r="A42" s="578" t="s">
        <v>170</v>
      </c>
      <c r="B42" s="579"/>
      <c r="C42" s="579"/>
      <c r="D42" s="523" t="s">
        <v>131</v>
      </c>
      <c r="E42" s="484">
        <f>'19'!F42</f>
        <v>59210.080000000002</v>
      </c>
      <c r="F42" s="510">
        <v>59210.080000000002</v>
      </c>
      <c r="G42" s="1333">
        <f t="shared" si="2"/>
        <v>0</v>
      </c>
      <c r="H42" s="460">
        <f>G42+'19'!H42</f>
        <v>11.110000000000582</v>
      </c>
      <c r="I42" s="455"/>
      <c r="J42" s="552">
        <f>H42/DAY(B2)</f>
        <v>0.55550000000002908</v>
      </c>
      <c r="K42" s="428">
        <v>3246.4500000000007</v>
      </c>
      <c r="L42" s="377">
        <f t="shared" si="3"/>
        <v>-3246.4500000000007</v>
      </c>
      <c r="N42" s="382"/>
      <c r="O42" s="382"/>
    </row>
    <row r="43" spans="1:15">
      <c r="A43" s="578" t="s">
        <v>171</v>
      </c>
      <c r="B43" s="579"/>
      <c r="C43" s="579"/>
      <c r="D43" s="523" t="s">
        <v>131</v>
      </c>
      <c r="E43" s="484">
        <f>'19'!F43</f>
        <v>1089539.3999999999</v>
      </c>
      <c r="F43" s="510">
        <v>1092467.7</v>
      </c>
      <c r="G43" s="1333">
        <f t="shared" si="2"/>
        <v>2928.3000000000466</v>
      </c>
      <c r="H43" s="460">
        <f>G43+'19'!H43</f>
        <v>50223.699999999953</v>
      </c>
      <c r="I43" s="455"/>
      <c r="J43" s="552">
        <f>H43/DAY(B2)</f>
        <v>2511.1849999999977</v>
      </c>
      <c r="K43" s="428">
        <v>1559.2000000000116</v>
      </c>
      <c r="L43" s="377">
        <f t="shared" si="3"/>
        <v>1369.1000000000349</v>
      </c>
      <c r="N43" s="382"/>
      <c r="O43" s="382"/>
    </row>
    <row r="44" spans="1:15">
      <c r="A44" s="578" t="s">
        <v>172</v>
      </c>
      <c r="B44" s="579"/>
      <c r="C44" s="579"/>
      <c r="D44" s="523" t="s">
        <v>131</v>
      </c>
      <c r="E44" s="484">
        <f>'19'!F44</f>
        <v>0</v>
      </c>
      <c r="F44" s="510">
        <v>0</v>
      </c>
      <c r="G44" s="1333">
        <f t="shared" si="2"/>
        <v>0</v>
      </c>
      <c r="H44" s="460">
        <f>G44+'19'!H44</f>
        <v>0</v>
      </c>
      <c r="I44" s="455"/>
      <c r="J44" s="552">
        <f>H44/DAY(B2)</f>
        <v>0</v>
      </c>
      <c r="K44" s="428">
        <v>0</v>
      </c>
      <c r="L44" s="377">
        <f t="shared" si="3"/>
        <v>0</v>
      </c>
      <c r="N44" s="382"/>
      <c r="O44" s="382"/>
    </row>
    <row r="45" spans="1:15">
      <c r="A45" s="578" t="s">
        <v>173</v>
      </c>
      <c r="B45" s="579"/>
      <c r="C45" s="579"/>
      <c r="D45" s="523" t="s">
        <v>131</v>
      </c>
      <c r="E45" s="484">
        <f>'19'!F45</f>
        <v>0</v>
      </c>
      <c r="F45" s="510">
        <v>0</v>
      </c>
      <c r="G45" s="1333">
        <f t="shared" si="2"/>
        <v>0</v>
      </c>
      <c r="H45" s="460">
        <f>G45+'19'!H45</f>
        <v>0</v>
      </c>
      <c r="I45" s="455"/>
      <c r="J45" s="552">
        <f>H45/DAY(B2)</f>
        <v>0</v>
      </c>
      <c r="K45" s="428">
        <v>0</v>
      </c>
      <c r="L45" s="377">
        <f t="shared" si="3"/>
        <v>0</v>
      </c>
      <c r="N45" s="382"/>
      <c r="O45" s="382"/>
    </row>
    <row r="46" spans="1:15">
      <c r="A46" s="578" t="s">
        <v>174</v>
      </c>
      <c r="B46" s="579"/>
      <c r="C46" s="579"/>
      <c r="D46" s="523" t="s">
        <v>131</v>
      </c>
      <c r="E46" s="484">
        <f>'19'!F46</f>
        <v>0</v>
      </c>
      <c r="F46" s="510">
        <v>0</v>
      </c>
      <c r="G46" s="1333">
        <f t="shared" si="2"/>
        <v>0</v>
      </c>
      <c r="H46" s="460">
        <f>G46+'19'!H46</f>
        <v>-5.0000000000011369E-2</v>
      </c>
      <c r="I46" s="455"/>
      <c r="J46" s="552">
        <f>H46/DAY(B2)</f>
        <v>-2.5000000000005686E-3</v>
      </c>
      <c r="K46" s="428">
        <v>0</v>
      </c>
      <c r="L46" s="377">
        <f t="shared" si="3"/>
        <v>0</v>
      </c>
      <c r="N46" s="382"/>
      <c r="O46" s="382"/>
    </row>
    <row r="47" spans="1:15">
      <c r="A47" s="585" t="s">
        <v>175</v>
      </c>
      <c r="B47" s="586"/>
      <c r="C47" s="586"/>
      <c r="D47" s="470"/>
      <c r="E47" s="511"/>
      <c r="F47" s="511"/>
      <c r="G47" s="1335">
        <f>G35+G36+G37+G38+G39+G40+G41+G42+G43+G44+G45+G46</f>
        <v>17181.119999999995</v>
      </c>
      <c r="H47" s="460">
        <f>G47+'19'!H47</f>
        <v>289717.42999999988</v>
      </c>
      <c r="I47" s="455"/>
      <c r="J47" s="552">
        <f>H47/DAY(B2)</f>
        <v>14485.871499999994</v>
      </c>
      <c r="K47" s="428">
        <v>9907.8200000000252</v>
      </c>
      <c r="L47" s="377">
        <f t="shared" si="3"/>
        <v>7273.2999999999702</v>
      </c>
      <c r="N47" s="382"/>
      <c r="O47" s="382"/>
    </row>
    <row r="48" spans="1:15">
      <c r="A48" s="598" t="s">
        <v>176</v>
      </c>
      <c r="B48" s="1146"/>
      <c r="C48" s="1146"/>
      <c r="D48" s="472"/>
      <c r="E48" s="471"/>
      <c r="F48" s="471"/>
      <c r="G48" s="1343"/>
      <c r="H48" s="472"/>
      <c r="I48" s="472"/>
      <c r="J48" s="551"/>
      <c r="K48" s="428"/>
      <c r="L48" s="377">
        <f t="shared" si="3"/>
        <v>0</v>
      </c>
      <c r="N48" s="382"/>
      <c r="O48" s="382"/>
    </row>
    <row r="49" spans="1:15">
      <c r="A49" s="578" t="s">
        <v>163</v>
      </c>
      <c r="B49" s="601"/>
      <c r="C49" s="601"/>
      <c r="D49" s="523" t="s">
        <v>131</v>
      </c>
      <c r="E49" s="510">
        <f>'19'!F49</f>
        <v>260732.13</v>
      </c>
      <c r="F49" s="510">
        <v>260732.13</v>
      </c>
      <c r="G49" s="1333">
        <f t="shared" ref="G49:G58" si="4">F49-E49</f>
        <v>0</v>
      </c>
      <c r="H49" s="460">
        <f>G49+'19'!H49</f>
        <v>0.13000000000465661</v>
      </c>
      <c r="I49" s="455"/>
      <c r="J49" s="552">
        <f>H49/DAY(B2)</f>
        <v>6.5000000002328308E-3</v>
      </c>
      <c r="K49" s="428">
        <v>0</v>
      </c>
      <c r="L49" s="377">
        <f t="shared" si="3"/>
        <v>0</v>
      </c>
      <c r="N49" s="382"/>
      <c r="O49" s="382"/>
    </row>
    <row r="50" spans="1:15">
      <c r="A50" s="578" t="s">
        <v>177</v>
      </c>
      <c r="B50" s="601"/>
      <c r="C50" s="601"/>
      <c r="D50" s="523" t="s">
        <v>131</v>
      </c>
      <c r="E50" s="510">
        <f>'19'!F50</f>
        <v>521403.23</v>
      </c>
      <c r="F50" s="510">
        <v>523239.63</v>
      </c>
      <c r="G50" s="1333">
        <f t="shared" si="4"/>
        <v>1836.4000000000233</v>
      </c>
      <c r="H50" s="460">
        <f>G50+'19'!H50</f>
        <v>19813.630000000005</v>
      </c>
      <c r="I50" s="455"/>
      <c r="J50" s="552">
        <f>H50/DAY(B2)</f>
        <v>990.68150000000026</v>
      </c>
      <c r="K50" s="428">
        <v>631.67000000001281</v>
      </c>
      <c r="L50" s="377">
        <f t="shared" si="3"/>
        <v>1204.7300000000105</v>
      </c>
      <c r="N50" s="382"/>
      <c r="O50" s="382"/>
    </row>
    <row r="51" spans="1:15">
      <c r="A51" s="578" t="s">
        <v>165</v>
      </c>
      <c r="B51" s="601"/>
      <c r="C51" s="601"/>
      <c r="D51" s="523" t="s">
        <v>131</v>
      </c>
      <c r="E51" s="510">
        <f>'19'!F51</f>
        <v>144639.87</v>
      </c>
      <c r="F51" s="510">
        <v>144639.87</v>
      </c>
      <c r="G51" s="1333">
        <f t="shared" si="4"/>
        <v>0</v>
      </c>
      <c r="H51" s="460">
        <f>G51+'19'!H51</f>
        <v>-0.13000000000465661</v>
      </c>
      <c r="I51" s="455"/>
      <c r="J51" s="552">
        <f>H51/DAY(B2)</f>
        <v>-6.5000000002328308E-3</v>
      </c>
      <c r="K51" s="428">
        <v>0</v>
      </c>
      <c r="L51" s="377">
        <f t="shared" si="3"/>
        <v>0</v>
      </c>
      <c r="N51" s="382"/>
      <c r="O51" s="382"/>
    </row>
    <row r="52" spans="1:15">
      <c r="A52" s="578" t="s">
        <v>178</v>
      </c>
      <c r="B52" s="601"/>
      <c r="C52" s="601"/>
      <c r="D52" s="523" t="s">
        <v>131</v>
      </c>
      <c r="E52" s="510">
        <f>'19'!F52</f>
        <v>539606.06999999995</v>
      </c>
      <c r="F52" s="510">
        <v>539606.06999999995</v>
      </c>
      <c r="G52" s="1333">
        <f t="shared" si="4"/>
        <v>0</v>
      </c>
      <c r="H52" s="460">
        <f>G52+'19'!H52</f>
        <v>0</v>
      </c>
      <c r="I52" s="455"/>
      <c r="J52" s="552">
        <f>H52/DAY(B2)</f>
        <v>0</v>
      </c>
      <c r="K52" s="428">
        <v>1057.5200000000186</v>
      </c>
      <c r="L52" s="377">
        <f t="shared" si="3"/>
        <v>-1057.5200000000186</v>
      </c>
      <c r="N52" s="382"/>
      <c r="O52" s="722"/>
    </row>
    <row r="53" spans="1:15">
      <c r="A53" s="578" t="s">
        <v>167</v>
      </c>
      <c r="B53" s="601"/>
      <c r="C53" s="601"/>
      <c r="D53" s="523" t="s">
        <v>131</v>
      </c>
      <c r="E53" s="510">
        <f>'19'!F53</f>
        <v>434231.59</v>
      </c>
      <c r="F53" s="510">
        <v>434231.59</v>
      </c>
      <c r="G53" s="1333">
        <f t="shared" si="4"/>
        <v>0</v>
      </c>
      <c r="H53" s="460">
        <f>G53+'19'!H53</f>
        <v>1663.2600000000093</v>
      </c>
      <c r="I53" s="455"/>
      <c r="J53" s="552">
        <f>H53/DAY(B2)</f>
        <v>83.163000000000466</v>
      </c>
      <c r="K53" s="428">
        <v>106.48999999999978</v>
      </c>
      <c r="L53" s="377">
        <f t="shared" si="3"/>
        <v>-106.48999999999978</v>
      </c>
      <c r="N53" s="382"/>
      <c r="O53" s="382"/>
    </row>
    <row r="54" spans="1:15">
      <c r="A54" s="578" t="s">
        <v>179</v>
      </c>
      <c r="B54" s="601"/>
      <c r="C54" s="601"/>
      <c r="D54" s="523" t="s">
        <v>131</v>
      </c>
      <c r="E54" s="510">
        <f>'19'!F54</f>
        <v>14967.38</v>
      </c>
      <c r="F54" s="510">
        <v>14967.39</v>
      </c>
      <c r="G54" s="1333">
        <f t="shared" si="4"/>
        <v>1.0000000000218279E-2</v>
      </c>
      <c r="H54" s="460">
        <f>G54+'19'!H54</f>
        <v>1138.3899999999994</v>
      </c>
      <c r="I54" s="455"/>
      <c r="J54" s="552">
        <f>H54/DAY(B2)</f>
        <v>56.919499999999971</v>
      </c>
      <c r="K54" s="428">
        <v>0</v>
      </c>
      <c r="L54" s="377">
        <f t="shared" si="3"/>
        <v>1.0000000000218279E-2</v>
      </c>
      <c r="N54" s="382"/>
      <c r="O54" s="382"/>
    </row>
    <row r="55" spans="1:15">
      <c r="A55" s="578" t="s">
        <v>180</v>
      </c>
      <c r="B55" s="601"/>
      <c r="C55" s="601"/>
      <c r="D55" s="523" t="s">
        <v>131</v>
      </c>
      <c r="E55" s="510">
        <f>'19'!F55</f>
        <v>82777.33</v>
      </c>
      <c r="F55" s="510">
        <v>86765.31</v>
      </c>
      <c r="G55" s="1333">
        <f t="shared" si="4"/>
        <v>3987.9799999999959</v>
      </c>
      <c r="H55" s="460">
        <f>G55+'19'!H55</f>
        <v>18654.309999999998</v>
      </c>
      <c r="I55" s="455"/>
      <c r="J55" s="552">
        <f>H55/DAY(B2)</f>
        <v>932.71549999999991</v>
      </c>
      <c r="K55" s="428">
        <v>0</v>
      </c>
      <c r="L55" s="377">
        <f t="shared" si="3"/>
        <v>3987.9799999999959</v>
      </c>
      <c r="N55" s="382"/>
      <c r="O55" s="382"/>
    </row>
    <row r="56" spans="1:15">
      <c r="A56" s="578" t="s">
        <v>181</v>
      </c>
      <c r="B56" s="601"/>
      <c r="C56" s="601"/>
      <c r="D56" s="523" t="s">
        <v>182</v>
      </c>
      <c r="E56" s="510">
        <f>'19'!F56</f>
        <v>648919.23</v>
      </c>
      <c r="F56" s="510">
        <v>648929.23</v>
      </c>
      <c r="G56" s="1333">
        <f t="shared" si="4"/>
        <v>10</v>
      </c>
      <c r="H56" s="460">
        <f>G56+'19'!H56</f>
        <v>31731.229999999981</v>
      </c>
      <c r="I56" s="455"/>
      <c r="J56" s="552">
        <f>H56/DAY(B2)</f>
        <v>1586.5614999999991</v>
      </c>
      <c r="K56" s="427">
        <v>0</v>
      </c>
      <c r="L56" s="377">
        <f t="shared" si="3"/>
        <v>10</v>
      </c>
      <c r="N56" s="382"/>
      <c r="O56" s="382"/>
    </row>
    <row r="57" spans="1:15">
      <c r="A57" s="578" t="s">
        <v>171</v>
      </c>
      <c r="B57" s="601"/>
      <c r="C57" s="601"/>
      <c r="D57" s="523" t="s">
        <v>131</v>
      </c>
      <c r="E57" s="510">
        <f>'19'!F57</f>
        <v>7711</v>
      </c>
      <c r="F57" s="510">
        <v>7711</v>
      </c>
      <c r="G57" s="1333">
        <f t="shared" si="4"/>
        <v>0</v>
      </c>
      <c r="H57" s="460">
        <f>G57+'19'!H57</f>
        <v>0</v>
      </c>
      <c r="I57" s="455"/>
      <c r="J57" s="552">
        <f>H57/DAY(B2)</f>
        <v>0</v>
      </c>
      <c r="K57" s="428">
        <v>0</v>
      </c>
      <c r="L57" s="377">
        <f t="shared" si="3"/>
        <v>0</v>
      </c>
      <c r="N57" s="382"/>
      <c r="O57" s="382"/>
    </row>
    <row r="58" spans="1:15">
      <c r="A58" s="578" t="s">
        <v>183</v>
      </c>
      <c r="B58" s="601"/>
      <c r="C58" s="601"/>
      <c r="D58" s="523" t="s">
        <v>131</v>
      </c>
      <c r="E58" s="510">
        <f>'19'!F58</f>
        <v>52232.27</v>
      </c>
      <c r="F58" s="510">
        <v>52426.52</v>
      </c>
      <c r="G58" s="1333">
        <f t="shared" si="4"/>
        <v>194.25</v>
      </c>
      <c r="H58" s="460">
        <f>G58+'19'!H58</f>
        <v>2562.3099999999977</v>
      </c>
      <c r="I58" s="455"/>
      <c r="J58" s="552">
        <f>H58/DAY(B2)</f>
        <v>128.11549999999988</v>
      </c>
      <c r="K58" s="428">
        <v>0</v>
      </c>
      <c r="L58" s="377">
        <f t="shared" si="3"/>
        <v>194.25</v>
      </c>
      <c r="N58" s="382"/>
      <c r="O58" s="382"/>
    </row>
    <row r="59" spans="1:15">
      <c r="A59" s="585" t="s">
        <v>175</v>
      </c>
      <c r="B59" s="586"/>
      <c r="C59" s="586"/>
      <c r="D59" s="511"/>
      <c r="E59" s="511"/>
      <c r="F59" s="511"/>
      <c r="G59" s="1335">
        <f>G49+G50+G51+G52+G53+G54+G55+G56+G57+G58</f>
        <v>6028.6400000000194</v>
      </c>
      <c r="H59" s="460">
        <f>G59+'19'!H59</f>
        <v>75563.199999999939</v>
      </c>
      <c r="I59" s="455">
        <f>G7-G60</f>
        <v>37.919999999918218</v>
      </c>
      <c r="J59" s="552">
        <f>H59/DAY(B2)</f>
        <v>3778.1599999999971</v>
      </c>
      <c r="K59" s="428">
        <v>1795.6800000000312</v>
      </c>
      <c r="L59" s="377">
        <f t="shared" si="3"/>
        <v>4232.9599999999882</v>
      </c>
      <c r="N59" s="382"/>
      <c r="O59" s="382"/>
    </row>
    <row r="60" spans="1:15">
      <c r="A60" s="578"/>
      <c r="B60" s="579"/>
      <c r="C60" s="579"/>
      <c r="D60" s="511" t="s">
        <v>184</v>
      </c>
      <c r="E60" s="511"/>
      <c r="F60" s="511"/>
      <c r="G60" s="1335">
        <f>G47+G59</f>
        <v>23209.760000000017</v>
      </c>
      <c r="H60" s="460">
        <f>G60+'19'!H60</f>
        <v>366489.16999999975</v>
      </c>
      <c r="I60" s="455">
        <f>G13-G60</f>
        <v>-694.16000000015629</v>
      </c>
      <c r="J60" s="552">
        <f>H60/DAY(B2)</f>
        <v>18324.458499999986</v>
      </c>
      <c r="K60" s="428">
        <v>11703.500000000056</v>
      </c>
      <c r="L60" s="377">
        <f t="shared" si="3"/>
        <v>11506.25999999996</v>
      </c>
      <c r="N60" s="382"/>
      <c r="O60" s="382"/>
    </row>
    <row r="61" spans="1:15">
      <c r="A61" s="602" t="s">
        <v>185</v>
      </c>
      <c r="B61" s="453"/>
      <c r="C61" s="453"/>
      <c r="D61" s="513"/>
      <c r="E61" s="512"/>
      <c r="F61" s="512"/>
      <c r="G61" s="1344"/>
      <c r="H61" s="513"/>
      <c r="I61" s="513"/>
      <c r="J61" s="555"/>
      <c r="K61" s="428"/>
      <c r="L61" s="377"/>
      <c r="N61" s="382"/>
      <c r="O61" s="382"/>
    </row>
    <row r="62" spans="1:15">
      <c r="A62" s="603" t="s">
        <v>97</v>
      </c>
      <c r="B62" s="604"/>
      <c r="C62" s="604"/>
      <c r="D62" s="511" t="s">
        <v>186</v>
      </c>
      <c r="E62" s="514">
        <f>'19'!F62</f>
        <v>20419.2</v>
      </c>
      <c r="F62" s="514">
        <v>20419.2</v>
      </c>
      <c r="G62" s="1333">
        <f t="shared" ref="G62:G69" si="5">F62-E62</f>
        <v>0</v>
      </c>
      <c r="H62" s="460">
        <f>G62+'19'!H62</f>
        <v>0.20199999999749707</v>
      </c>
      <c r="I62" s="515"/>
      <c r="J62" s="552">
        <f>H62/DAY(B2)</f>
        <v>1.0099999999874853E-2</v>
      </c>
      <c r="K62" s="428"/>
      <c r="L62" s="377"/>
      <c r="N62" s="382"/>
      <c r="O62" s="382"/>
    </row>
    <row r="63" spans="1:15">
      <c r="A63" s="603" t="s">
        <v>187</v>
      </c>
      <c r="B63" s="604"/>
      <c r="C63" s="604"/>
      <c r="D63" s="511" t="s">
        <v>186</v>
      </c>
      <c r="E63" s="514">
        <f>'19'!F63</f>
        <v>0</v>
      </c>
      <c r="F63" s="514">
        <v>0</v>
      </c>
      <c r="G63" s="1333">
        <f t="shared" si="5"/>
        <v>0</v>
      </c>
      <c r="H63" s="460">
        <f>G63+'19'!H63</f>
        <v>0</v>
      </c>
      <c r="I63" s="515"/>
      <c r="J63" s="552">
        <f>H63/DAY(B2)</f>
        <v>0</v>
      </c>
      <c r="K63" s="428"/>
      <c r="L63" s="377"/>
      <c r="N63" s="382"/>
      <c r="O63" s="382"/>
    </row>
    <row r="64" spans="1:15" ht="27.75">
      <c r="A64" s="1534" t="s">
        <v>98</v>
      </c>
      <c r="B64" s="1535"/>
      <c r="C64" s="1536"/>
      <c r="D64" s="523" t="s">
        <v>186</v>
      </c>
      <c r="E64" s="484">
        <f>'19'!F64</f>
        <v>165890.62</v>
      </c>
      <c r="F64" s="484">
        <v>166237.26999999999</v>
      </c>
      <c r="G64" s="1333">
        <f t="shared" si="5"/>
        <v>346.64999999999418</v>
      </c>
      <c r="H64" s="460">
        <f>G64+'19'!H64</f>
        <v>6305.2699999999895</v>
      </c>
      <c r="I64" s="480"/>
      <c r="J64" s="552">
        <f>H64/DAY(B2)</f>
        <v>315.26349999999945</v>
      </c>
      <c r="K64" s="428"/>
      <c r="L64" s="377"/>
      <c r="N64" s="382"/>
      <c r="O64" s="382"/>
    </row>
    <row r="65" spans="1:15" ht="27.75">
      <c r="A65" s="1534" t="s">
        <v>99</v>
      </c>
      <c r="B65" s="1535"/>
      <c r="C65" s="1536"/>
      <c r="D65" s="523" t="s">
        <v>186</v>
      </c>
      <c r="E65" s="484">
        <f>'19'!F65</f>
        <v>166289.87</v>
      </c>
      <c r="F65" s="484">
        <v>166667.84</v>
      </c>
      <c r="G65" s="1333">
        <f t="shared" si="5"/>
        <v>377.97000000000116</v>
      </c>
      <c r="H65" s="460">
        <f>G65+'19'!H65</f>
        <v>5669.8399999999965</v>
      </c>
      <c r="I65" s="489"/>
      <c r="J65" s="552">
        <f>H65/DAY(B2)</f>
        <v>283.49199999999985</v>
      </c>
      <c r="K65" s="428"/>
      <c r="L65" s="377"/>
      <c r="N65" s="382"/>
      <c r="O65" s="382"/>
    </row>
    <row r="66" spans="1:15" ht="27.75">
      <c r="A66" s="1534" t="s">
        <v>100</v>
      </c>
      <c r="B66" s="1535"/>
      <c r="C66" s="1536"/>
      <c r="D66" s="523" t="s">
        <v>186</v>
      </c>
      <c r="E66" s="484">
        <f>'19'!F66</f>
        <v>63429.97</v>
      </c>
      <c r="F66" s="484">
        <v>63824.5</v>
      </c>
      <c r="G66" s="1333">
        <f t="shared" si="5"/>
        <v>394.52999999999884</v>
      </c>
      <c r="H66" s="460">
        <f>G66+'19'!H66</f>
        <v>7019.5</v>
      </c>
      <c r="I66" s="480"/>
      <c r="J66" s="552">
        <f>H66/DAY(B2)</f>
        <v>350.97500000000002</v>
      </c>
      <c r="K66" s="428"/>
      <c r="L66" s="377"/>
      <c r="N66" s="382"/>
      <c r="O66" s="382"/>
    </row>
    <row r="67" spans="1:15" ht="27.75">
      <c r="A67" s="1534" t="s">
        <v>101</v>
      </c>
      <c r="B67" s="1535"/>
      <c r="C67" s="1536"/>
      <c r="D67" s="523" t="s">
        <v>186</v>
      </c>
      <c r="E67" s="484">
        <f>'19'!F67</f>
        <v>260027.21</v>
      </c>
      <c r="F67" s="484">
        <v>260486.91</v>
      </c>
      <c r="G67" s="1333">
        <f t="shared" si="5"/>
        <v>459.70000000001164</v>
      </c>
      <c r="H67" s="460">
        <f>G67+'19'!H67</f>
        <v>8294.9100000000035</v>
      </c>
      <c r="I67" s="489"/>
      <c r="J67" s="552">
        <f>H67/DAY(B2)</f>
        <v>414.74550000000016</v>
      </c>
      <c r="K67" s="429"/>
      <c r="L67" s="377"/>
      <c r="N67" s="382"/>
      <c r="O67" s="382"/>
    </row>
    <row r="68" spans="1:15" ht="27.75">
      <c r="A68" s="1534" t="s">
        <v>102</v>
      </c>
      <c r="B68" s="1535"/>
      <c r="C68" s="1536"/>
      <c r="D68" s="523" t="s">
        <v>186</v>
      </c>
      <c r="E68" s="484">
        <f>'19'!F68</f>
        <v>85321</v>
      </c>
      <c r="F68" s="484">
        <v>85321</v>
      </c>
      <c r="G68" s="1333">
        <f t="shared" si="5"/>
        <v>0</v>
      </c>
      <c r="H68" s="460">
        <f>G68+'19'!H68</f>
        <v>0</v>
      </c>
      <c r="I68" s="516"/>
      <c r="J68" s="552">
        <f>H68/DAY(B2)</f>
        <v>0</v>
      </c>
      <c r="K68" s="430"/>
      <c r="L68" s="377"/>
      <c r="N68" s="382"/>
      <c r="O68" s="382"/>
    </row>
    <row r="69" spans="1:15" ht="27.75">
      <c r="A69" s="1534" t="s">
        <v>103</v>
      </c>
      <c r="B69" s="1535"/>
      <c r="C69" s="1536"/>
      <c r="D69" s="523" t="s">
        <v>186</v>
      </c>
      <c r="E69" s="484">
        <f>'19'!F69</f>
        <v>84858.91</v>
      </c>
      <c r="F69" s="484">
        <v>85116.51</v>
      </c>
      <c r="G69" s="1333">
        <f t="shared" si="5"/>
        <v>257.59999999999127</v>
      </c>
      <c r="H69" s="460">
        <f>G69+'19'!H69</f>
        <v>3367.5099999999948</v>
      </c>
      <c r="I69" s="516"/>
      <c r="J69" s="552">
        <f>H69/DAY(B2)</f>
        <v>168.37549999999973</v>
      </c>
      <c r="K69" s="431"/>
      <c r="L69" s="377"/>
      <c r="N69" s="382"/>
      <c r="O69" s="382"/>
    </row>
    <row r="70" spans="1:15" ht="27.75">
      <c r="A70" s="1566" t="s">
        <v>188</v>
      </c>
      <c r="B70" s="1567"/>
      <c r="C70" s="1568"/>
      <c r="D70" s="523" t="s">
        <v>186</v>
      </c>
      <c r="E70" s="518"/>
      <c r="F70" s="518"/>
      <c r="G70" s="1345"/>
      <c r="H70" s="460">
        <f>G70+'13'!H70</f>
        <v>0</v>
      </c>
      <c r="I70" s="518"/>
      <c r="J70" s="556"/>
      <c r="K70" s="431"/>
      <c r="L70" s="377"/>
      <c r="N70" s="382"/>
      <c r="O70" s="382"/>
    </row>
    <row r="71" spans="1:15" ht="31.5">
      <c r="A71" s="1580" t="s">
        <v>189</v>
      </c>
      <c r="B71" s="1581"/>
      <c r="C71" s="1581"/>
      <c r="D71" s="1581"/>
      <c r="E71" s="1581"/>
      <c r="F71" s="1581"/>
      <c r="G71" s="1581"/>
      <c r="H71" s="1581"/>
      <c r="I71" s="1581"/>
      <c r="J71" s="1582"/>
      <c r="K71" s="430"/>
      <c r="L71" s="377"/>
      <c r="N71" s="382"/>
      <c r="O71" s="382"/>
    </row>
    <row r="72" spans="1:15" ht="27.75">
      <c r="A72" s="1534" t="s">
        <v>190</v>
      </c>
      <c r="B72" s="1535"/>
      <c r="C72" s="1536"/>
      <c r="D72" s="523" t="s">
        <v>186</v>
      </c>
      <c r="E72" s="519">
        <f>'19'!F72</f>
        <v>856091</v>
      </c>
      <c r="F72" s="519">
        <v>856104</v>
      </c>
      <c r="G72" s="1333">
        <f t="shared" ref="G72:G84" si="6">F72-E72</f>
        <v>13</v>
      </c>
      <c r="H72" s="460">
        <f>G72+'19'!H72</f>
        <v>248</v>
      </c>
      <c r="I72" s="480"/>
      <c r="J72" s="552">
        <f>H72/DAY(B2)</f>
        <v>12.4</v>
      </c>
      <c r="K72" s="431"/>
      <c r="L72" s="377"/>
      <c r="N72" s="382"/>
      <c r="O72" s="382"/>
    </row>
    <row r="73" spans="1:15" ht="27.75">
      <c r="A73" s="1534" t="s">
        <v>191</v>
      </c>
      <c r="B73" s="1535"/>
      <c r="C73" s="1536"/>
      <c r="D73" s="523" t="s">
        <v>186</v>
      </c>
      <c r="E73" s="519">
        <f>'19'!F73</f>
        <v>885959</v>
      </c>
      <c r="F73" s="520">
        <v>885960</v>
      </c>
      <c r="G73" s="1333">
        <f t="shared" si="6"/>
        <v>1</v>
      </c>
      <c r="H73" s="460">
        <f>G73+'19'!H73</f>
        <v>179</v>
      </c>
      <c r="I73" s="480"/>
      <c r="J73" s="552">
        <f>H73/DAY(B2)</f>
        <v>8.9499999999999993</v>
      </c>
      <c r="K73" s="430"/>
      <c r="L73" s="377"/>
      <c r="N73" s="382"/>
      <c r="O73" s="382"/>
    </row>
    <row r="74" spans="1:15" ht="27.75">
      <c r="A74" s="1609" t="s">
        <v>192</v>
      </c>
      <c r="B74" s="1610"/>
      <c r="C74" s="1611"/>
      <c r="D74" s="523" t="s">
        <v>186</v>
      </c>
      <c r="E74" s="519">
        <f>'19'!F74</f>
        <v>88684.4</v>
      </c>
      <c r="F74" s="521">
        <v>88686</v>
      </c>
      <c r="G74" s="1333">
        <f t="shared" si="6"/>
        <v>1.6000000000058208</v>
      </c>
      <c r="H74" s="460">
        <f>G74+'19'!H74</f>
        <v>20.960000000000036</v>
      </c>
      <c r="I74" s="480"/>
      <c r="J74" s="552">
        <f>H74/DAY(B2)</f>
        <v>1.0480000000000018</v>
      </c>
      <c r="K74" s="431"/>
      <c r="L74" s="377"/>
      <c r="N74" s="382"/>
      <c r="O74" s="382"/>
    </row>
    <row r="75" spans="1:15" ht="27.75">
      <c r="A75" s="1583" t="s">
        <v>193</v>
      </c>
      <c r="B75" s="1584"/>
      <c r="C75" s="1585"/>
      <c r="D75" s="523" t="s">
        <v>186</v>
      </c>
      <c r="E75" s="519">
        <f>'19'!F75</f>
        <v>14473.9</v>
      </c>
      <c r="F75" s="521">
        <v>14618.25</v>
      </c>
      <c r="G75" s="1333">
        <f t="shared" si="6"/>
        <v>144.35000000000036</v>
      </c>
      <c r="H75" s="460">
        <f>G75+'19'!H75</f>
        <v>1949.25</v>
      </c>
      <c r="I75" s="480"/>
      <c r="J75" s="552">
        <f>H75/DAY(B2)</f>
        <v>97.462500000000006</v>
      </c>
      <c r="K75" s="430"/>
      <c r="L75" s="377"/>
      <c r="N75" s="382"/>
      <c r="O75" s="382"/>
    </row>
    <row r="76" spans="1:15" ht="27.75">
      <c r="A76" s="1583" t="s">
        <v>194</v>
      </c>
      <c r="B76" s="1584"/>
      <c r="C76" s="1585"/>
      <c r="D76" s="523" t="s">
        <v>186</v>
      </c>
      <c r="E76" s="519">
        <f>'19'!F76</f>
        <v>8533.0300000000007</v>
      </c>
      <c r="F76" s="655">
        <v>8596.83</v>
      </c>
      <c r="G76" s="1333">
        <f>F76-E76</f>
        <v>63.799999999999272</v>
      </c>
      <c r="H76" s="460">
        <f>G76+'19'!H76</f>
        <v>1390.83</v>
      </c>
      <c r="I76" s="505"/>
      <c r="J76" s="552">
        <f>H76/DAY(B2)</f>
        <v>69.541499999999999</v>
      </c>
      <c r="K76" s="430"/>
      <c r="L76" s="377"/>
      <c r="N76" s="382"/>
      <c r="O76" s="382"/>
    </row>
    <row r="77" spans="1:15" ht="27.75">
      <c r="A77" s="1534" t="s">
        <v>195</v>
      </c>
      <c r="B77" s="1535"/>
      <c r="C77" s="1536"/>
      <c r="D77" s="523" t="s">
        <v>186</v>
      </c>
      <c r="E77" s="519">
        <f>'19'!F77</f>
        <v>703787</v>
      </c>
      <c r="F77" s="521">
        <v>703840</v>
      </c>
      <c r="G77" s="1333">
        <f t="shared" si="6"/>
        <v>53</v>
      </c>
      <c r="H77" s="460">
        <f>G77+'19'!H77</f>
        <v>1001</v>
      </c>
      <c r="I77" s="505"/>
      <c r="J77" s="552">
        <f>H77/DAY(B2)</f>
        <v>50.05</v>
      </c>
      <c r="K77" s="430"/>
      <c r="L77" s="377"/>
      <c r="N77" s="382"/>
      <c r="O77" s="382"/>
    </row>
    <row r="78" spans="1:15" ht="27.75">
      <c r="A78" s="1144" t="s">
        <v>196</v>
      </c>
      <c r="B78" s="1117"/>
      <c r="C78" s="1117"/>
      <c r="D78" s="523" t="s">
        <v>186</v>
      </c>
      <c r="E78" s="521">
        <f>'19'!F78</f>
        <v>674432</v>
      </c>
      <c r="F78" s="521">
        <v>674552</v>
      </c>
      <c r="G78" s="1333">
        <f t="shared" si="6"/>
        <v>120</v>
      </c>
      <c r="H78" s="460">
        <f>G78+'19'!H78</f>
        <v>1520</v>
      </c>
      <c r="I78" s="505"/>
      <c r="J78" s="552">
        <f>H78/DAY(B2)</f>
        <v>76</v>
      </c>
      <c r="K78" s="430"/>
      <c r="L78" s="377"/>
      <c r="N78" s="382"/>
      <c r="O78" s="382"/>
    </row>
    <row r="79" spans="1:15" ht="27.75">
      <c r="A79" s="1583" t="s">
        <v>91</v>
      </c>
      <c r="B79" s="1584"/>
      <c r="C79" s="1585"/>
      <c r="D79" s="524" t="s">
        <v>186</v>
      </c>
      <c r="E79" s="521">
        <f>'19'!F79</f>
        <v>833783</v>
      </c>
      <c r="F79" s="521">
        <v>833932</v>
      </c>
      <c r="G79" s="1333">
        <f t="shared" si="6"/>
        <v>149</v>
      </c>
      <c r="H79" s="460">
        <f>G79+'19'!H79</f>
        <v>1910</v>
      </c>
      <c r="I79" s="505"/>
      <c r="J79" s="552">
        <f>H79/DAY(B2)</f>
        <v>95.5</v>
      </c>
      <c r="K79" s="430"/>
      <c r="L79" s="377"/>
      <c r="N79" s="382"/>
      <c r="O79" s="382"/>
    </row>
    <row r="80" spans="1:15" ht="27.75">
      <c r="A80" s="1583" t="s">
        <v>197</v>
      </c>
      <c r="B80" s="1584"/>
      <c r="C80" s="1585"/>
      <c r="D80" s="524" t="s">
        <v>186</v>
      </c>
      <c r="E80" s="520">
        <f>'19'!F80</f>
        <v>534665.16</v>
      </c>
      <c r="F80" s="520">
        <v>535107</v>
      </c>
      <c r="G80" s="1333">
        <f t="shared" si="6"/>
        <v>441.8399999999674</v>
      </c>
      <c r="H80" s="460">
        <f>G80+'19'!H80</f>
        <v>4561.4799999999814</v>
      </c>
      <c r="I80" s="505"/>
      <c r="J80" s="552">
        <f>H80/DAY(B2)</f>
        <v>228.07399999999907</v>
      </c>
      <c r="K80" s="430"/>
      <c r="L80" s="377"/>
      <c r="N80" s="382"/>
      <c r="O80" s="382"/>
    </row>
    <row r="81" spans="1:15" ht="27.75">
      <c r="A81" s="1583" t="s">
        <v>198</v>
      </c>
      <c r="B81" s="1584"/>
      <c r="C81" s="1585"/>
      <c r="D81" s="524" t="s">
        <v>186</v>
      </c>
      <c r="E81" s="520">
        <f>'19'!F81</f>
        <v>641219.96</v>
      </c>
      <c r="F81" s="520">
        <v>641422</v>
      </c>
      <c r="G81" s="1333">
        <f t="shared" si="6"/>
        <v>202.04000000003725</v>
      </c>
      <c r="H81" s="460">
        <f>G81+'19'!H81</f>
        <v>2524</v>
      </c>
      <c r="I81" s="505"/>
      <c r="J81" s="552">
        <f>H81/DAY(B2)</f>
        <v>126.2</v>
      </c>
      <c r="K81" s="430"/>
      <c r="L81" s="377"/>
      <c r="N81" s="382"/>
      <c r="O81" s="382"/>
    </row>
    <row r="82" spans="1:15" ht="27.75">
      <c r="A82" s="1583" t="s">
        <v>92</v>
      </c>
      <c r="B82" s="1584"/>
      <c r="C82" s="1585"/>
      <c r="D82" s="485" t="s">
        <v>131</v>
      </c>
      <c r="E82" s="522">
        <f>'19'!F82</f>
        <v>108479.52</v>
      </c>
      <c r="F82" s="522">
        <v>108504.35</v>
      </c>
      <c r="G82" s="1333">
        <f t="shared" si="6"/>
        <v>24.830000000001746</v>
      </c>
      <c r="H82" s="460">
        <f>G82+'19'!H82</f>
        <v>346.35000000000582</v>
      </c>
      <c r="I82" s="486"/>
      <c r="J82" s="552">
        <f>H82/DAY(B2)</f>
        <v>17.31750000000029</v>
      </c>
      <c r="K82" s="430"/>
      <c r="L82" s="377"/>
      <c r="N82" s="382"/>
      <c r="O82" s="382"/>
    </row>
    <row r="83" spans="1:15" ht="27.75">
      <c r="A83" s="1583" t="s">
        <v>199</v>
      </c>
      <c r="B83" s="1584"/>
      <c r="C83" s="1585"/>
      <c r="D83" s="620" t="s">
        <v>131</v>
      </c>
      <c r="E83" s="522">
        <f>'19'!F83</f>
        <v>24413</v>
      </c>
      <c r="F83" s="511">
        <v>24672</v>
      </c>
      <c r="G83" s="1333">
        <f t="shared" si="6"/>
        <v>259</v>
      </c>
      <c r="H83" s="460">
        <f>G83+'19'!H83</f>
        <v>4166</v>
      </c>
      <c r="I83" s="481"/>
      <c r="J83" s="552">
        <f>H83/DAY(B2)</f>
        <v>208.3</v>
      </c>
      <c r="K83" s="429"/>
      <c r="L83" s="377"/>
      <c r="N83" s="382"/>
      <c r="O83" s="722"/>
    </row>
    <row r="84" spans="1:15">
      <c r="A84" s="1145" t="s">
        <v>200</v>
      </c>
      <c r="B84" s="571"/>
      <c r="C84" s="571"/>
      <c r="D84" s="478" t="s">
        <v>131</v>
      </c>
      <c r="E84" s="522">
        <f>'19'!F84</f>
        <v>514155</v>
      </c>
      <c r="F84" s="627">
        <v>515021</v>
      </c>
      <c r="G84" s="1333">
        <f t="shared" si="6"/>
        <v>866</v>
      </c>
      <c r="H84" s="460">
        <f>G84+'19'!H84</f>
        <v>14727</v>
      </c>
      <c r="I84" s="481"/>
      <c r="J84" s="552">
        <f>H84/DAY(B2)</f>
        <v>736.35</v>
      </c>
      <c r="K84" s="380"/>
      <c r="L84" s="377"/>
      <c r="N84" s="382"/>
      <c r="O84" s="382"/>
    </row>
    <row r="85" spans="1:15" s="379" customFormat="1">
      <c r="A85" s="605" t="s">
        <v>201</v>
      </c>
      <c r="B85" s="572"/>
      <c r="C85" s="572"/>
      <c r="D85" s="489"/>
      <c r="E85" s="523"/>
      <c r="F85" s="523"/>
      <c r="G85" s="1346">
        <f xml:space="preserve"> SUM(G72:G84)</f>
        <v>2339.4600000000119</v>
      </c>
      <c r="H85" s="460">
        <f>G85+'19'!H85</f>
        <v>38087.390000000007</v>
      </c>
      <c r="I85" s="481"/>
      <c r="J85" s="552">
        <f>H85/DAY(B2)</f>
        <v>1904.3695000000002</v>
      </c>
      <c r="K85" s="380"/>
      <c r="L85" s="378"/>
      <c r="N85" s="777"/>
      <c r="O85" s="722"/>
    </row>
    <row r="86" spans="1:15" s="736" customFormat="1">
      <c r="A86" s="731" t="s">
        <v>93</v>
      </c>
      <c r="B86" s="732"/>
      <c r="C86" s="732"/>
      <c r="D86" s="733" t="s">
        <v>182</v>
      </c>
      <c r="E86" s="648">
        <f>'19'!F86</f>
        <v>461496.24</v>
      </c>
      <c r="F86" s="648">
        <v>461512</v>
      </c>
      <c r="G86" s="1347">
        <f>F86-E86</f>
        <v>15.760000000009313</v>
      </c>
      <c r="H86" s="460">
        <f>G86+'19'!H86</f>
        <v>53.71999999997206</v>
      </c>
      <c r="I86" s="653"/>
      <c r="J86" s="708">
        <f>H86/DAY(B2)</f>
        <v>2.6859999999986028</v>
      </c>
      <c r="K86" s="734"/>
      <c r="L86" s="735"/>
      <c r="N86" s="778"/>
      <c r="O86" s="382"/>
    </row>
    <row r="87" spans="1:15" s="736" customFormat="1">
      <c r="A87" s="731" t="s">
        <v>94</v>
      </c>
      <c r="B87" s="732"/>
      <c r="C87" s="732"/>
      <c r="D87" s="733" t="s">
        <v>182</v>
      </c>
      <c r="E87" s="648">
        <f>'19'!F87</f>
        <v>81776.800000000003</v>
      </c>
      <c r="F87" s="648">
        <v>81787.7</v>
      </c>
      <c r="G87" s="1347">
        <f t="shared" ref="G87:G91" si="7">F87-E87</f>
        <v>10.899999999994179</v>
      </c>
      <c r="H87" s="460">
        <f>G87+'19'!H87</f>
        <v>58.899999999994179</v>
      </c>
      <c r="I87" s="653"/>
      <c r="J87" s="708">
        <f>H87/DAY(B2)</f>
        <v>2.944999999999709</v>
      </c>
      <c r="K87" s="734"/>
      <c r="L87" s="735"/>
      <c r="N87" s="778"/>
      <c r="O87" s="382"/>
    </row>
    <row r="88" spans="1:15" s="736" customFormat="1">
      <c r="A88" s="731" t="s">
        <v>95</v>
      </c>
      <c r="B88" s="732"/>
      <c r="C88" s="732"/>
      <c r="D88" s="733" t="s">
        <v>182</v>
      </c>
      <c r="E88" s="648">
        <f>'19'!F88</f>
        <v>154227.82999999999</v>
      </c>
      <c r="F88" s="648">
        <v>154260</v>
      </c>
      <c r="G88" s="1347">
        <f t="shared" si="7"/>
        <v>32.170000000012806</v>
      </c>
      <c r="H88" s="460">
        <f>G88+'19'!H88</f>
        <v>182.33999999999651</v>
      </c>
      <c r="I88" s="653"/>
      <c r="J88" s="708">
        <f>H88/DAY(B2)</f>
        <v>9.116999999999825</v>
      </c>
      <c r="K88" s="734"/>
      <c r="L88" s="735"/>
      <c r="N88" s="778"/>
      <c r="O88" s="382"/>
    </row>
    <row r="89" spans="1:15" s="736" customFormat="1">
      <c r="A89" s="731" t="s">
        <v>203</v>
      </c>
      <c r="B89" s="732"/>
      <c r="C89" s="732"/>
      <c r="D89" s="733" t="s">
        <v>182</v>
      </c>
      <c r="E89" s="648">
        <f>'19'!F89</f>
        <v>65543.5</v>
      </c>
      <c r="F89" s="648">
        <v>65558.5</v>
      </c>
      <c r="G89" s="1347">
        <f t="shared" si="7"/>
        <v>15</v>
      </c>
      <c r="H89" s="460">
        <f>G89+'19'!H89</f>
        <v>46.400000000001455</v>
      </c>
      <c r="I89" s="653"/>
      <c r="J89" s="708">
        <f>H89/DAY(B2)</f>
        <v>2.3200000000000727</v>
      </c>
      <c r="K89" s="734"/>
      <c r="L89" s="735"/>
      <c r="N89" s="778"/>
      <c r="O89" s="382"/>
    </row>
    <row r="90" spans="1:15" s="736" customFormat="1">
      <c r="A90" s="731" t="s">
        <v>203</v>
      </c>
      <c r="B90" s="732"/>
      <c r="C90" s="732"/>
      <c r="D90" s="733" t="s">
        <v>182</v>
      </c>
      <c r="E90" s="648">
        <f>'19'!F90</f>
        <v>3308.7</v>
      </c>
      <c r="F90" s="648">
        <v>3309.8</v>
      </c>
      <c r="G90" s="1347">
        <f t="shared" si="7"/>
        <v>1.1000000000003638</v>
      </c>
      <c r="H90" s="460">
        <f>G90+'19'!H90</f>
        <v>2.4000000000000909</v>
      </c>
      <c r="I90" s="653"/>
      <c r="J90" s="708">
        <f>H90/DAY(B2)</f>
        <v>0.12000000000000455</v>
      </c>
      <c r="K90" s="734"/>
      <c r="L90" s="735"/>
      <c r="N90" s="778"/>
      <c r="O90" s="382"/>
    </row>
    <row r="91" spans="1:15" s="736" customFormat="1">
      <c r="A91" s="731" t="s">
        <v>350</v>
      </c>
      <c r="B91" s="732"/>
      <c r="C91" s="732"/>
      <c r="D91" s="733"/>
      <c r="E91" s="648">
        <f>'19'!F91</f>
        <v>28159.68</v>
      </c>
      <c r="F91" s="648">
        <v>28160.45</v>
      </c>
      <c r="G91" s="706">
        <f t="shared" si="7"/>
        <v>0.77000000000043656</v>
      </c>
      <c r="H91" s="460">
        <f>G91+'19'!H91</f>
        <v>0.77000000000043656</v>
      </c>
      <c r="I91" s="653"/>
      <c r="J91" s="708">
        <f>H91/DAY(B2)</f>
        <v>3.8500000000021829E-2</v>
      </c>
      <c r="K91" s="734"/>
      <c r="L91" s="735"/>
      <c r="N91" s="778"/>
      <c r="O91" s="382"/>
    </row>
    <row r="92" spans="1:15" s="379" customFormat="1">
      <c r="A92" s="606" t="s">
        <v>204</v>
      </c>
      <c r="B92" s="1147"/>
      <c r="C92" s="1147"/>
      <c r="D92" s="472"/>
      <c r="E92" s="472"/>
      <c r="F92" s="472"/>
      <c r="G92" s="1336"/>
      <c r="H92" s="472"/>
      <c r="I92" s="472"/>
      <c r="J92" s="551"/>
      <c r="K92" s="380"/>
      <c r="L92" s="378"/>
      <c r="N92" s="777"/>
      <c r="O92" s="382"/>
    </row>
    <row r="93" spans="1:15" ht="27.75">
      <c r="A93" s="1537" t="s">
        <v>205</v>
      </c>
      <c r="B93" s="1538"/>
      <c r="C93" s="1539"/>
      <c r="D93" s="523" t="s">
        <v>143</v>
      </c>
      <c r="E93" s="484">
        <f>'19'!F93</f>
        <v>246443</v>
      </c>
      <c r="F93" s="484">
        <v>246590</v>
      </c>
      <c r="G93" s="1333">
        <f t="shared" ref="G93:G94" si="8">F93-E93</f>
        <v>147</v>
      </c>
      <c r="H93" s="460">
        <f>G93+'19'!H93</f>
        <v>1102</v>
      </c>
      <c r="I93" s="480"/>
      <c r="J93" s="552">
        <f>H93/DAY(B2)</f>
        <v>55.1</v>
      </c>
      <c r="K93" s="429"/>
      <c r="L93" s="377"/>
      <c r="N93" s="382"/>
      <c r="O93" s="382"/>
    </row>
    <row r="94" spans="1:15" ht="27.75">
      <c r="A94" s="1537" t="s">
        <v>206</v>
      </c>
      <c r="B94" s="1538"/>
      <c r="C94" s="1539"/>
      <c r="D94" s="523" t="s">
        <v>143</v>
      </c>
      <c r="E94" s="484">
        <f>'19'!F94</f>
        <v>188011</v>
      </c>
      <c r="F94" s="484">
        <v>188219</v>
      </c>
      <c r="G94" s="1333">
        <f t="shared" si="8"/>
        <v>208</v>
      </c>
      <c r="H94" s="460">
        <f>G94+'19'!H94</f>
        <v>2098</v>
      </c>
      <c r="I94" s="480"/>
      <c r="J94" s="552">
        <f>H94/DAY(B2)</f>
        <v>104.9</v>
      </c>
      <c r="K94" s="380"/>
      <c r="L94" s="377"/>
      <c r="N94" s="382"/>
      <c r="O94" s="382"/>
    </row>
    <row r="95" spans="1:15">
      <c r="A95" s="1531" t="s">
        <v>207</v>
      </c>
      <c r="B95" s="1532"/>
      <c r="C95" s="1533"/>
      <c r="D95" s="523"/>
      <c r="E95" s="484">
        <f>'19'!F95</f>
        <v>0</v>
      </c>
      <c r="F95" s="484"/>
      <c r="G95" s="1333">
        <f>G93+G94</f>
        <v>355</v>
      </c>
      <c r="H95" s="460">
        <f>G95+'19'!H95</f>
        <v>3124</v>
      </c>
      <c r="I95" s="480"/>
      <c r="J95" s="552">
        <f>H95/DAY(B2)</f>
        <v>156.19999999999999</v>
      </c>
      <c r="K95" s="380"/>
      <c r="L95" s="377"/>
      <c r="N95" s="382"/>
      <c r="O95" s="382"/>
    </row>
    <row r="96" spans="1:15" ht="27.75">
      <c r="A96" s="1537" t="s">
        <v>208</v>
      </c>
      <c r="B96" s="1538"/>
      <c r="C96" s="1539"/>
      <c r="D96" s="523" t="s">
        <v>143</v>
      </c>
      <c r="E96" s="484">
        <f>'19'!F96</f>
        <v>415280</v>
      </c>
      <c r="F96" s="484">
        <v>415362</v>
      </c>
      <c r="G96" s="1333">
        <f t="shared" ref="G96:G101" si="9">F96-E96</f>
        <v>82</v>
      </c>
      <c r="H96" s="460">
        <f>G96+'19'!H96</f>
        <v>1079</v>
      </c>
      <c r="I96" s="480"/>
      <c r="J96" s="552">
        <f>H96/DAY(B2)</f>
        <v>53.95</v>
      </c>
      <c r="K96" s="380"/>
      <c r="L96" s="377"/>
      <c r="N96" s="382"/>
      <c r="O96" s="382"/>
    </row>
    <row r="97" spans="1:15" ht="27.75">
      <c r="A97" s="1141" t="s">
        <v>209</v>
      </c>
      <c r="B97" s="1142"/>
      <c r="C97" s="1142"/>
      <c r="D97" s="523" t="s">
        <v>143</v>
      </c>
      <c r="E97" s="484">
        <f>'19'!F97</f>
        <v>102911</v>
      </c>
      <c r="F97" s="484">
        <v>102953</v>
      </c>
      <c r="G97" s="1333">
        <f t="shared" si="9"/>
        <v>42</v>
      </c>
      <c r="H97" s="460">
        <f>G97+'19'!H97</f>
        <v>305</v>
      </c>
      <c r="I97" s="480"/>
      <c r="J97" s="552">
        <f>H97/DAY(B2)</f>
        <v>15.25</v>
      </c>
      <c r="K97" s="427"/>
      <c r="L97" s="377"/>
      <c r="N97" s="382"/>
      <c r="O97" s="382"/>
    </row>
    <row r="98" spans="1:15" ht="27.75">
      <c r="A98" s="1141" t="s">
        <v>210</v>
      </c>
      <c r="B98" s="1142"/>
      <c r="C98" s="1142"/>
      <c r="D98" s="523" t="s">
        <v>143</v>
      </c>
      <c r="E98" s="484">
        <f>'19'!F98</f>
        <v>98382</v>
      </c>
      <c r="F98" s="484">
        <v>98424</v>
      </c>
      <c r="G98" s="1333">
        <f t="shared" si="9"/>
        <v>42</v>
      </c>
      <c r="H98" s="460">
        <f>G98+'19'!H98</f>
        <v>474</v>
      </c>
      <c r="I98" s="480"/>
      <c r="J98" s="552">
        <f>H98/DAY(B2)</f>
        <v>23.7</v>
      </c>
      <c r="K98" s="432"/>
      <c r="L98" s="377"/>
      <c r="N98" s="382"/>
      <c r="O98" s="382"/>
    </row>
    <row r="99" spans="1:15" ht="27.75">
      <c r="A99" s="1141" t="s">
        <v>211</v>
      </c>
      <c r="B99" s="1142"/>
      <c r="C99" s="1142"/>
      <c r="D99" s="523" t="s">
        <v>143</v>
      </c>
      <c r="E99" s="484">
        <f>'19'!F99</f>
        <v>150008</v>
      </c>
      <c r="F99" s="484">
        <v>150051</v>
      </c>
      <c r="G99" s="1333">
        <f t="shared" si="9"/>
        <v>43</v>
      </c>
      <c r="H99" s="460">
        <f>G99+'19'!H99</f>
        <v>199</v>
      </c>
      <c r="I99" s="480"/>
      <c r="J99" s="552">
        <f>H99/DAY(B2)</f>
        <v>9.9499999999999993</v>
      </c>
      <c r="K99" s="380"/>
      <c r="L99" s="377"/>
      <c r="N99" s="382"/>
      <c r="O99" s="382"/>
    </row>
    <row r="100" spans="1:15" ht="27.75">
      <c r="A100" s="1141" t="s">
        <v>212</v>
      </c>
      <c r="B100" s="1142"/>
      <c r="C100" s="1142"/>
      <c r="D100" s="523" t="s">
        <v>143</v>
      </c>
      <c r="E100" s="484">
        <f>'19'!F100</f>
        <v>7565</v>
      </c>
      <c r="F100" s="484">
        <v>7596</v>
      </c>
      <c r="G100" s="1333">
        <f t="shared" si="9"/>
        <v>31</v>
      </c>
      <c r="H100" s="460">
        <f>G100+'19'!H100</f>
        <v>227</v>
      </c>
      <c r="I100" s="480"/>
      <c r="J100" s="552">
        <f>H100/DAY(B2)</f>
        <v>11.35</v>
      </c>
      <c r="K100" s="380"/>
      <c r="L100" s="377"/>
      <c r="N100" s="382"/>
      <c r="O100" s="382"/>
    </row>
    <row r="101" spans="1:15" ht="27.75">
      <c r="A101" s="1141" t="s">
        <v>213</v>
      </c>
      <c r="B101" s="1142"/>
      <c r="C101" s="1142"/>
      <c r="D101" s="523" t="s">
        <v>143</v>
      </c>
      <c r="E101" s="484">
        <f>'19'!F101</f>
        <v>5555</v>
      </c>
      <c r="F101" s="484">
        <v>5574</v>
      </c>
      <c r="G101" s="1333">
        <f t="shared" si="9"/>
        <v>19</v>
      </c>
      <c r="H101" s="460">
        <f>G101+'19'!H101</f>
        <v>183</v>
      </c>
      <c r="I101" s="480"/>
      <c r="J101" s="552">
        <f>H101/DAY(B2)</f>
        <v>9.15</v>
      </c>
      <c r="K101" s="380"/>
      <c r="L101" s="377"/>
      <c r="N101" s="382"/>
      <c r="O101" s="382"/>
    </row>
    <row r="102" spans="1:15">
      <c r="A102" s="1531" t="s">
        <v>215</v>
      </c>
      <c r="B102" s="1532"/>
      <c r="C102" s="1533"/>
      <c r="D102" s="524"/>
      <c r="E102" s="524"/>
      <c r="F102" s="524"/>
      <c r="G102" s="1348">
        <f>SUM(G96:G101)</f>
        <v>259</v>
      </c>
      <c r="H102" s="460">
        <f>G102+'19'!H102</f>
        <v>2467</v>
      </c>
      <c r="I102" s="526"/>
      <c r="J102" s="552">
        <f>H102/DAY(B2)</f>
        <v>123.35</v>
      </c>
      <c r="K102" s="380"/>
      <c r="L102" s="377"/>
      <c r="N102" s="382"/>
      <c r="O102" s="382"/>
    </row>
    <row r="103" spans="1:15" s="442" customFormat="1" ht="27">
      <c r="A103" s="607" t="s">
        <v>216</v>
      </c>
      <c r="B103" s="608"/>
      <c r="C103" s="608"/>
      <c r="D103" s="621"/>
      <c r="E103" s="528"/>
      <c r="F103" s="528"/>
      <c r="G103" s="1349"/>
      <c r="H103" s="530"/>
      <c r="I103" s="531"/>
      <c r="J103" s="557"/>
      <c r="N103" s="444"/>
      <c r="O103" s="382"/>
    </row>
    <row r="104" spans="1:15" s="442" customFormat="1" ht="27.75">
      <c r="A104" s="1540" t="s">
        <v>217</v>
      </c>
      <c r="B104" s="1541"/>
      <c r="C104" s="573"/>
      <c r="D104" s="622"/>
      <c r="E104" s="532"/>
      <c r="F104" s="532"/>
      <c r="G104" s="1350"/>
      <c r="H104" s="533"/>
      <c r="I104" s="532"/>
      <c r="J104" s="558"/>
      <c r="N104" s="444"/>
      <c r="O104" s="382"/>
    </row>
    <row r="105" spans="1:15" s="442" customFormat="1" ht="27.75">
      <c r="A105" s="1542" t="s">
        <v>218</v>
      </c>
      <c r="B105" s="1543"/>
      <c r="C105" s="1139"/>
      <c r="D105" s="622" t="s">
        <v>143</v>
      </c>
      <c r="E105" s="532">
        <v>7637</v>
      </c>
      <c r="F105" s="532">
        <v>7637</v>
      </c>
      <c r="G105" s="1350">
        <f>F105-E105</f>
        <v>0</v>
      </c>
      <c r="H105" s="460">
        <f>G105+'19'!H105</f>
        <v>57</v>
      </c>
      <c r="I105" s="532"/>
      <c r="J105" s="558">
        <f>H105/DAY(B2)</f>
        <v>2.85</v>
      </c>
      <c r="N105" s="444"/>
      <c r="O105" s="382"/>
    </row>
    <row r="106" spans="1:15" s="442" customFormat="1" ht="27.75">
      <c r="A106" s="1542" t="s">
        <v>76</v>
      </c>
      <c r="B106" s="1543"/>
      <c r="C106" s="1139"/>
      <c r="D106" s="622" t="s">
        <v>143</v>
      </c>
      <c r="E106" s="534">
        <f>'19'!F106</f>
        <v>36069</v>
      </c>
      <c r="F106" s="534">
        <v>36077</v>
      </c>
      <c r="G106" s="1350">
        <f t="shared" ref="G106:G107" si="10">F106-E106</f>
        <v>8</v>
      </c>
      <c r="H106" s="460">
        <f>G106+'19'!H106</f>
        <v>73</v>
      </c>
      <c r="I106" s="532"/>
      <c r="J106" s="558">
        <f>H106/DAY(B2)</f>
        <v>3.65</v>
      </c>
      <c r="N106" s="444"/>
      <c r="O106" s="382"/>
    </row>
    <row r="107" spans="1:15" s="442" customFormat="1" ht="27.75">
      <c r="A107" s="1542" t="s">
        <v>77</v>
      </c>
      <c r="B107" s="1544"/>
      <c r="C107" s="1543"/>
      <c r="D107" s="622" t="s">
        <v>143</v>
      </c>
      <c r="E107" s="532">
        <f>'19'!F107</f>
        <v>19774</v>
      </c>
      <c r="F107" s="532">
        <v>19779</v>
      </c>
      <c r="G107" s="1350">
        <f t="shared" si="10"/>
        <v>5</v>
      </c>
      <c r="H107" s="460">
        <f>G107+'19'!H107</f>
        <v>67</v>
      </c>
      <c r="I107" s="532"/>
      <c r="J107" s="558">
        <f>H107/DAY(B2)</f>
        <v>3.35</v>
      </c>
      <c r="N107" s="444"/>
      <c r="O107" s="382"/>
    </row>
    <row r="108" spans="1:15" s="442" customFormat="1" ht="27.75">
      <c r="A108" s="1545" t="s">
        <v>201</v>
      </c>
      <c r="B108" s="1546"/>
      <c r="C108" s="1139"/>
      <c r="D108" s="622"/>
      <c r="E108" s="532">
        <f>'19'!F108</f>
        <v>0</v>
      </c>
      <c r="F108" s="532"/>
      <c r="G108" s="1350">
        <f>SUM(G105:G107)</f>
        <v>13</v>
      </c>
      <c r="H108" s="460">
        <f>G108+'19'!H108</f>
        <v>191</v>
      </c>
      <c r="I108" s="532"/>
      <c r="J108" s="558">
        <f>H108/DAY(B2)</f>
        <v>9.5500000000000007</v>
      </c>
      <c r="N108" s="444"/>
      <c r="O108" s="382"/>
    </row>
    <row r="109" spans="1:15" s="442" customFormat="1" ht="27.75">
      <c r="A109" s="1547" t="s">
        <v>78</v>
      </c>
      <c r="B109" s="1548"/>
      <c r="C109" s="1139"/>
      <c r="D109" s="622" t="s">
        <v>143</v>
      </c>
      <c r="E109" s="532">
        <f>'19'!F109</f>
        <v>0</v>
      </c>
      <c r="F109" s="532"/>
      <c r="G109" s="1350"/>
      <c r="H109" s="460"/>
      <c r="I109" s="532"/>
      <c r="J109" s="558"/>
      <c r="N109" s="444"/>
      <c r="O109" s="382"/>
    </row>
    <row r="110" spans="1:15" s="442" customFormat="1" ht="27.75">
      <c r="A110" s="1542" t="s">
        <v>219</v>
      </c>
      <c r="B110" s="1543"/>
      <c r="C110" s="1139"/>
      <c r="D110" s="622" t="s">
        <v>143</v>
      </c>
      <c r="E110" s="532">
        <f>'19'!F110</f>
        <v>63977</v>
      </c>
      <c r="F110" s="532">
        <v>64053</v>
      </c>
      <c r="G110" s="1350">
        <f>F110-E110</f>
        <v>76</v>
      </c>
      <c r="H110" s="460">
        <f>G110+'19'!H110</f>
        <v>315</v>
      </c>
      <c r="I110" s="532"/>
      <c r="J110" s="558">
        <f>H110/DAY(B2)</f>
        <v>15.75</v>
      </c>
      <c r="N110" s="444"/>
      <c r="O110" s="382"/>
    </row>
    <row r="111" spans="1:15" s="442" customFormat="1" ht="27.75">
      <c r="A111" s="1542" t="s">
        <v>220</v>
      </c>
      <c r="B111" s="1543"/>
      <c r="C111" s="1139"/>
      <c r="D111" s="622" t="s">
        <v>143</v>
      </c>
      <c r="E111" s="532">
        <f>'19'!F111</f>
        <v>32750</v>
      </c>
      <c r="F111" s="532">
        <v>32765</v>
      </c>
      <c r="G111" s="1350">
        <f t="shared" ref="G111:G112" si="11">F111-E111</f>
        <v>15</v>
      </c>
      <c r="H111" s="460">
        <f>G111+'19'!H111</f>
        <v>56</v>
      </c>
      <c r="I111" s="532"/>
      <c r="J111" s="558">
        <f>H111/DAY(B2)</f>
        <v>2.8</v>
      </c>
      <c r="N111" s="444"/>
      <c r="O111" s="382"/>
    </row>
    <row r="112" spans="1:15" s="442" customFormat="1" ht="27.75">
      <c r="A112" s="1542" t="s">
        <v>221</v>
      </c>
      <c r="B112" s="1543"/>
      <c r="C112" s="1139"/>
      <c r="D112" s="622" t="s">
        <v>143</v>
      </c>
      <c r="E112" s="532">
        <f>'19'!F112</f>
        <v>4621</v>
      </c>
      <c r="F112" s="532">
        <v>4621</v>
      </c>
      <c r="G112" s="1350">
        <f t="shared" si="11"/>
        <v>0</v>
      </c>
      <c r="H112" s="460">
        <f>G112+'19'!H112</f>
        <v>152</v>
      </c>
      <c r="I112" s="532"/>
      <c r="J112" s="558">
        <f>H112/DAY(B2)</f>
        <v>7.6</v>
      </c>
      <c r="N112" s="444"/>
      <c r="O112" s="382"/>
    </row>
    <row r="113" spans="1:15" s="442" customFormat="1" ht="27.75">
      <c r="A113" s="1574" t="s">
        <v>109</v>
      </c>
      <c r="B113" s="1575"/>
      <c r="C113" s="1139"/>
      <c r="D113" s="622"/>
      <c r="E113" s="532">
        <f>'19'!F113</f>
        <v>0</v>
      </c>
      <c r="F113" s="532"/>
      <c r="G113" s="1350">
        <f>SUM(G110:G112)</f>
        <v>91</v>
      </c>
      <c r="H113" s="460">
        <f>G113+'19'!H113</f>
        <v>1093</v>
      </c>
      <c r="I113" s="532"/>
      <c r="J113" s="558">
        <f>H113/DAY(B2)</f>
        <v>54.65</v>
      </c>
      <c r="N113" s="444"/>
      <c r="O113" s="382"/>
    </row>
    <row r="114" spans="1:15" s="442" customFormat="1" ht="27.75">
      <c r="A114" s="1547" t="s">
        <v>222</v>
      </c>
      <c r="B114" s="1548"/>
      <c r="C114" s="1139"/>
      <c r="D114" s="622"/>
      <c r="E114" s="532">
        <f>'19'!F114</f>
        <v>0</v>
      </c>
      <c r="F114" s="532"/>
      <c r="G114" s="1350"/>
      <c r="H114" s="460"/>
      <c r="I114" s="532"/>
      <c r="J114" s="558">
        <f>H114/DAY(B2)</f>
        <v>0</v>
      </c>
      <c r="N114" s="444"/>
      <c r="O114" s="382"/>
    </row>
    <row r="115" spans="1:15" s="442" customFormat="1" ht="27.75">
      <c r="A115" s="1542" t="s">
        <v>223</v>
      </c>
      <c r="B115" s="1543"/>
      <c r="C115" s="574"/>
      <c r="D115" s="622" t="s">
        <v>143</v>
      </c>
      <c r="E115" s="534">
        <f>'19'!F115</f>
        <v>11742</v>
      </c>
      <c r="F115" s="534">
        <v>11778</v>
      </c>
      <c r="G115" s="1351">
        <f>F115-E115</f>
        <v>36</v>
      </c>
      <c r="H115" s="460">
        <f>G115+'19'!H115</f>
        <v>60</v>
      </c>
      <c r="I115" s="532"/>
      <c r="J115" s="558">
        <f>H115/DAY(B2)</f>
        <v>3</v>
      </c>
      <c r="N115" s="444"/>
      <c r="O115" s="382"/>
    </row>
    <row r="116" spans="1:15" s="442" customFormat="1" ht="27.75">
      <c r="A116" s="1542" t="s">
        <v>224</v>
      </c>
      <c r="B116" s="1543"/>
      <c r="C116" s="574"/>
      <c r="D116" s="622" t="s">
        <v>143</v>
      </c>
      <c r="E116" s="534">
        <f>'19'!F116</f>
        <v>8454</v>
      </c>
      <c r="F116" s="534">
        <v>8465</v>
      </c>
      <c r="G116" s="1351">
        <f t="shared" ref="G116:G117" si="12">F116-E116</f>
        <v>11</v>
      </c>
      <c r="H116" s="460">
        <f>G116+'19'!H116</f>
        <v>46</v>
      </c>
      <c r="I116" s="532"/>
      <c r="J116" s="558">
        <f>H116/DAY(B2)</f>
        <v>2.2999999999999998</v>
      </c>
      <c r="N116" s="444"/>
      <c r="O116" s="382"/>
    </row>
    <row r="117" spans="1:15" s="442" customFormat="1" ht="27.75">
      <c r="A117" s="1542" t="s">
        <v>225</v>
      </c>
      <c r="B117" s="1543"/>
      <c r="C117" s="574"/>
      <c r="D117" s="622" t="s">
        <v>143</v>
      </c>
      <c r="E117" s="534"/>
      <c r="F117" s="534"/>
      <c r="G117" s="1351">
        <f t="shared" si="12"/>
        <v>0</v>
      </c>
      <c r="H117" s="460">
        <f>G117+'19'!H117</f>
        <v>58</v>
      </c>
      <c r="I117" s="532"/>
      <c r="J117" s="558">
        <f>H117/DAY(B2)</f>
        <v>2.9</v>
      </c>
      <c r="N117" s="444"/>
      <c r="O117" s="382"/>
    </row>
    <row r="118" spans="1:15" s="445" customFormat="1" ht="27.75">
      <c r="A118" s="1545" t="s">
        <v>201</v>
      </c>
      <c r="B118" s="1546"/>
      <c r="C118" s="574"/>
      <c r="D118" s="623"/>
      <c r="E118" s="534"/>
      <c r="F118" s="534"/>
      <c r="G118" s="1351">
        <f>SUM(G115:G117)</f>
        <v>47</v>
      </c>
      <c r="H118" s="460">
        <f>G118+'19'!H118</f>
        <v>128</v>
      </c>
      <c r="I118" s="534"/>
      <c r="J118" s="558">
        <f>H118/DAY(B2)</f>
        <v>6.4</v>
      </c>
      <c r="N118" s="447"/>
      <c r="O118" s="382"/>
    </row>
    <row r="119" spans="1:15" s="446" customFormat="1" ht="27.75">
      <c r="A119" s="1576" t="s">
        <v>226</v>
      </c>
      <c r="B119" s="1577"/>
      <c r="C119" s="1138"/>
      <c r="D119" s="624" t="s">
        <v>143</v>
      </c>
      <c r="E119" s="536"/>
      <c r="F119" s="536">
        <f>SUM(G19+G93)</f>
        <v>208</v>
      </c>
      <c r="G119" s="1351">
        <f>SUM(G19+G93)</f>
        <v>208</v>
      </c>
      <c r="H119" s="460">
        <f>G119+'19'!H119</f>
        <v>499</v>
      </c>
      <c r="I119" s="535"/>
      <c r="J119" s="559">
        <f>H119/DAY(B2)</f>
        <v>24.95</v>
      </c>
      <c r="N119" s="779"/>
      <c r="O119" s="382"/>
    </row>
    <row r="120" spans="1:15" s="446" customFormat="1" ht="27.75">
      <c r="A120" s="1576" t="s">
        <v>227</v>
      </c>
      <c r="B120" s="1577"/>
      <c r="C120" s="1138"/>
      <c r="D120" s="624" t="s">
        <v>143</v>
      </c>
      <c r="E120" s="536"/>
      <c r="F120" s="536">
        <f>SUM(G96,G97,G98,G100,G101)</f>
        <v>216</v>
      </c>
      <c r="G120" s="1351">
        <f>SUM(G96,G97,G98,G100,G101)</f>
        <v>216</v>
      </c>
      <c r="H120" s="460">
        <f>G120+'19'!H120</f>
        <v>498</v>
      </c>
      <c r="I120" s="535"/>
      <c r="J120" s="559">
        <f>H120/DAY(B2)</f>
        <v>24.9</v>
      </c>
      <c r="N120" s="779"/>
      <c r="O120" s="382"/>
    </row>
    <row r="121" spans="1:15" s="446" customFormat="1" ht="27.75">
      <c r="A121" s="1576" t="s">
        <v>228</v>
      </c>
      <c r="B121" s="1577"/>
      <c r="C121" s="1138"/>
      <c r="D121" s="624" t="s">
        <v>143</v>
      </c>
      <c r="E121" s="534"/>
      <c r="F121" s="534">
        <f>SUM(G113)</f>
        <v>91</v>
      </c>
      <c r="G121" s="1351">
        <f>SUM(G113)</f>
        <v>91</v>
      </c>
      <c r="H121" s="460">
        <f>G121+'19'!H121</f>
        <v>270</v>
      </c>
      <c r="I121" s="535"/>
      <c r="J121" s="559">
        <f>H121/DAY(B2)</f>
        <v>13.5</v>
      </c>
      <c r="N121" s="779"/>
      <c r="O121" s="382"/>
    </row>
    <row r="122" spans="1:15" s="442" customFormat="1" ht="27.75">
      <c r="A122" s="1578"/>
      <c r="B122" s="1579"/>
      <c r="C122" s="1139"/>
      <c r="D122" s="560"/>
      <c r="E122" s="560"/>
      <c r="F122" s="560" t="s">
        <v>214</v>
      </c>
      <c r="G122" s="1352"/>
      <c r="H122" s="561"/>
      <c r="I122" s="560"/>
      <c r="J122" s="562"/>
      <c r="N122" s="444"/>
      <c r="O122" s="382"/>
    </row>
    <row r="123" spans="1:15">
      <c r="A123" s="1528" t="s">
        <v>229</v>
      </c>
      <c r="B123" s="1529"/>
      <c r="C123" s="1530"/>
      <c r="D123" s="472"/>
      <c r="E123" s="472"/>
      <c r="F123" s="472"/>
      <c r="G123" s="1336"/>
      <c r="H123" s="483"/>
      <c r="I123" s="483"/>
      <c r="J123" s="563"/>
      <c r="K123" s="380"/>
      <c r="L123" s="377"/>
      <c r="N123" s="382"/>
      <c r="O123" s="382"/>
    </row>
    <row r="124" spans="1:15" ht="27.75">
      <c r="A124" s="1141" t="s">
        <v>230</v>
      </c>
      <c r="B124" s="1142"/>
      <c r="C124" s="1142"/>
      <c r="D124" s="523" t="s">
        <v>140</v>
      </c>
      <c r="E124" s="478">
        <f>'19'!F124</f>
        <v>836576.38</v>
      </c>
      <c r="F124" s="478">
        <v>836889.21</v>
      </c>
      <c r="G124" s="1333">
        <f t="shared" ref="G124:G128" si="13">F124-E124</f>
        <v>312.82999999995809</v>
      </c>
      <c r="H124" s="460">
        <f>G124+'19'!H124</f>
        <v>4523.2099999999627</v>
      </c>
      <c r="I124" s="526"/>
      <c r="J124" s="552">
        <f>H124/DAY(B2)</f>
        <v>226.16049999999814</v>
      </c>
      <c r="K124" s="380"/>
      <c r="L124" s="377"/>
      <c r="N124" s="382"/>
      <c r="O124" s="382"/>
    </row>
    <row r="125" spans="1:15" ht="27.75">
      <c r="A125" s="1141" t="s">
        <v>231</v>
      </c>
      <c r="B125" s="1142"/>
      <c r="C125" s="1142"/>
      <c r="D125" s="523" t="s">
        <v>140</v>
      </c>
      <c r="E125" s="626">
        <f>'19'!F125</f>
        <v>73583.399999999994</v>
      </c>
      <c r="F125" s="626">
        <v>73583.399999999994</v>
      </c>
      <c r="G125" s="1333">
        <f t="shared" si="13"/>
        <v>0</v>
      </c>
      <c r="H125" s="460">
        <f>G125+'19'!H125</f>
        <v>0</v>
      </c>
      <c r="I125" s="526"/>
      <c r="J125" s="552">
        <f>H125/DAY(B2)</f>
        <v>0</v>
      </c>
      <c r="K125" s="380"/>
      <c r="L125" s="377"/>
      <c r="N125" s="382"/>
      <c r="O125" s="382"/>
    </row>
    <row r="126" spans="1:15" ht="27.75">
      <c r="A126" s="1534" t="s">
        <v>232</v>
      </c>
      <c r="B126" s="1535"/>
      <c r="C126" s="1536"/>
      <c r="D126" s="523" t="s">
        <v>140</v>
      </c>
      <c r="E126" s="478">
        <f>'19'!F126</f>
        <v>147735.46</v>
      </c>
      <c r="F126" s="478">
        <v>147815.85</v>
      </c>
      <c r="G126" s="1333">
        <f t="shared" si="13"/>
        <v>80.39000000001397</v>
      </c>
      <c r="H126" s="460">
        <f>G126+'19'!H126</f>
        <v>1324.8500000000058</v>
      </c>
      <c r="I126" s="526"/>
      <c r="J126" s="552">
        <f>H126/DAY(B2)</f>
        <v>66.242500000000291</v>
      </c>
      <c r="K126" s="380"/>
      <c r="L126" s="377"/>
      <c r="N126" s="382"/>
      <c r="O126" s="382"/>
    </row>
    <row r="127" spans="1:15" ht="27.75">
      <c r="A127" s="609" t="s">
        <v>233</v>
      </c>
      <c r="B127" s="1142"/>
      <c r="C127" s="1142"/>
      <c r="D127" s="523" t="s">
        <v>140</v>
      </c>
      <c r="E127" s="626">
        <f>'19'!F127</f>
        <v>31665.7</v>
      </c>
      <c r="F127" s="626">
        <v>31718.400000000001</v>
      </c>
      <c r="G127" s="1333">
        <f t="shared" si="13"/>
        <v>52.700000000000728</v>
      </c>
      <c r="H127" s="460">
        <f>G127+'19'!H127</f>
        <v>312.40000000000146</v>
      </c>
      <c r="I127" s="526"/>
      <c r="J127" s="552">
        <f>H127/DAY(B2)</f>
        <v>15.620000000000072</v>
      </c>
      <c r="K127" s="380"/>
      <c r="L127" s="377"/>
      <c r="N127" s="382"/>
      <c r="O127" s="382"/>
    </row>
    <row r="128" spans="1:15" ht="27.75">
      <c r="A128" s="609" t="s">
        <v>234</v>
      </c>
      <c r="B128" s="1142"/>
      <c r="C128" s="1142"/>
      <c r="D128" s="523" t="s">
        <v>140</v>
      </c>
      <c r="E128" s="626">
        <f>'19'!F128</f>
        <v>8980.9</v>
      </c>
      <c r="F128" s="626">
        <v>8982.5</v>
      </c>
      <c r="G128" s="1333">
        <f t="shared" si="13"/>
        <v>1.6000000000003638</v>
      </c>
      <c r="H128" s="460">
        <f>G128+'19'!H128</f>
        <v>10.5</v>
      </c>
      <c r="I128" s="480"/>
      <c r="J128" s="552">
        <f>H128/DAY(B2)</f>
        <v>0.52500000000000002</v>
      </c>
      <c r="K128" s="380"/>
      <c r="L128" s="377"/>
      <c r="N128" s="382"/>
      <c r="O128" s="382"/>
    </row>
    <row r="129" spans="1:15" s="281" customFormat="1" ht="27.75">
      <c r="A129" s="609" t="s">
        <v>235</v>
      </c>
      <c r="B129" s="1142"/>
      <c r="C129" s="1142"/>
      <c r="D129" s="523"/>
      <c r="E129" s="478"/>
      <c r="F129" s="478"/>
      <c r="G129" s="1333">
        <f>G15-SUM(G124:G128)</f>
        <v>491.11400000010508</v>
      </c>
      <c r="H129" s="460">
        <f>G129+'19'!H129</f>
        <v>1927.04000000003</v>
      </c>
      <c r="I129" s="480"/>
      <c r="J129" s="552">
        <f>H129/DAY(B2)</f>
        <v>96.352000000001496</v>
      </c>
      <c r="K129" s="364"/>
      <c r="L129" s="292"/>
      <c r="N129" s="365"/>
      <c r="O129" s="382"/>
    </row>
    <row r="130" spans="1:15">
      <c r="A130" s="610" t="s">
        <v>236</v>
      </c>
      <c r="B130" s="458"/>
      <c r="C130" s="458"/>
      <c r="D130" s="471"/>
      <c r="E130" s="471"/>
      <c r="F130" s="471"/>
      <c r="G130" s="1353"/>
      <c r="H130" s="540"/>
      <c r="I130" s="540"/>
      <c r="J130" s="564"/>
      <c r="N130" s="382"/>
      <c r="O130" s="382"/>
    </row>
    <row r="131" spans="1:15" ht="27.75">
      <c r="A131" s="1141" t="s">
        <v>237</v>
      </c>
      <c r="B131" s="1142"/>
      <c r="C131" s="1142"/>
      <c r="D131" s="523" t="s">
        <v>238</v>
      </c>
      <c r="E131" s="484">
        <f>'19'!F131</f>
        <v>0</v>
      </c>
      <c r="F131" s="484">
        <v>0</v>
      </c>
      <c r="G131" s="1333">
        <f t="shared" ref="G131:G141" si="14">F131-E131</f>
        <v>0</v>
      </c>
      <c r="H131" s="460">
        <f>G131+'19'!H131</f>
        <v>0</v>
      </c>
      <c r="I131" s="480"/>
      <c r="J131" s="552">
        <f>H131/DAY(B2)</f>
        <v>0</v>
      </c>
      <c r="N131" s="382"/>
      <c r="O131" s="382"/>
    </row>
    <row r="132" spans="1:15" ht="27.75">
      <c r="A132" s="1141" t="s">
        <v>239</v>
      </c>
      <c r="B132" s="1142"/>
      <c r="C132" s="1142"/>
      <c r="D132" s="523" t="s">
        <v>238</v>
      </c>
      <c r="E132" s="484">
        <f>'19'!F132</f>
        <v>0</v>
      </c>
      <c r="F132" s="484">
        <v>0</v>
      </c>
      <c r="G132" s="1333">
        <f t="shared" si="14"/>
        <v>0</v>
      </c>
      <c r="H132" s="460">
        <f>G132+'19'!H132</f>
        <v>0</v>
      </c>
      <c r="I132" s="480"/>
      <c r="J132" s="552">
        <f>H132/DAY(B2)</f>
        <v>0</v>
      </c>
      <c r="N132" s="382"/>
      <c r="O132" s="382"/>
    </row>
    <row r="133" spans="1:15" ht="27.75">
      <c r="A133" s="1141" t="s">
        <v>240</v>
      </c>
      <c r="B133" s="1142"/>
      <c r="C133" s="1142"/>
      <c r="D133" s="523" t="s">
        <v>238</v>
      </c>
      <c r="E133" s="484">
        <f>'19'!F133</f>
        <v>40297.519999999997</v>
      </c>
      <c r="F133" s="636">
        <v>40311.07</v>
      </c>
      <c r="G133" s="1470">
        <f t="shared" si="14"/>
        <v>13.55000000000291</v>
      </c>
      <c r="H133" s="460">
        <f>G133+'19'!H133</f>
        <v>275.97000000000116</v>
      </c>
      <c r="I133" s="480"/>
      <c r="J133" s="552">
        <f>H133/DAY(B2)</f>
        <v>13.798500000000057</v>
      </c>
      <c r="N133" s="382">
        <f>G133-24</f>
        <v>-10.44999999999709</v>
      </c>
      <c r="O133" s="382"/>
    </row>
    <row r="134" spans="1:15" s="441" customFormat="1" ht="27.75">
      <c r="A134" s="1071" t="s">
        <v>241</v>
      </c>
      <c r="B134" s="1072"/>
      <c r="C134" s="1072"/>
      <c r="D134" s="627" t="s">
        <v>238</v>
      </c>
      <c r="E134" s="484">
        <f>'19'!F134</f>
        <v>300</v>
      </c>
      <c r="F134" s="636">
        <v>300</v>
      </c>
      <c r="G134" s="1471">
        <f t="shared" si="14"/>
        <v>0</v>
      </c>
      <c r="H134" s="706">
        <f>G134+'19'!H134</f>
        <v>0</v>
      </c>
      <c r="I134" s="1073">
        <f>G131+G132+G133+G134</f>
        <v>13.55000000000291</v>
      </c>
      <c r="J134" s="708">
        <f>H134/DAY(B2)</f>
        <v>0</v>
      </c>
      <c r="N134" s="714"/>
      <c r="O134" s="714"/>
    </row>
    <row r="135" spans="1:15" ht="27.75">
      <c r="A135" s="1141" t="s">
        <v>242</v>
      </c>
      <c r="B135" s="1142"/>
      <c r="C135" s="1142"/>
      <c r="D135" s="523" t="s">
        <v>238</v>
      </c>
      <c r="E135" s="484">
        <f>'19'!F135</f>
        <v>41799</v>
      </c>
      <c r="F135" s="636">
        <v>41818.04</v>
      </c>
      <c r="G135" s="1470">
        <f t="shared" si="14"/>
        <v>19.040000000000873</v>
      </c>
      <c r="H135" s="460">
        <f>G135+'19'!H135</f>
        <v>88.040000000000873</v>
      </c>
      <c r="I135" s="480"/>
      <c r="J135" s="552">
        <f>H135/DAY(B2)</f>
        <v>4.4020000000000437</v>
      </c>
      <c r="N135" s="382"/>
      <c r="O135" s="382"/>
    </row>
    <row r="136" spans="1:15" ht="27.75">
      <c r="A136" s="1141" t="s">
        <v>243</v>
      </c>
      <c r="B136" s="1142"/>
      <c r="C136" s="1142"/>
      <c r="D136" s="523" t="s">
        <v>238</v>
      </c>
      <c r="E136" s="484">
        <f>'19'!F136</f>
        <v>32874</v>
      </c>
      <c r="F136" s="541">
        <v>32874.050000000003</v>
      </c>
      <c r="G136" s="1333">
        <f t="shared" si="14"/>
        <v>5.0000000002910383E-2</v>
      </c>
      <c r="H136" s="460">
        <f>G136+'19'!H136</f>
        <v>159.05000000000291</v>
      </c>
      <c r="I136" s="480"/>
      <c r="J136" s="552">
        <f>H136/DAY(B2)</f>
        <v>7.9525000000001453</v>
      </c>
      <c r="N136" s="382"/>
      <c r="O136" s="382"/>
    </row>
    <row r="137" spans="1:15" ht="27.75">
      <c r="A137" s="1141" t="s">
        <v>244</v>
      </c>
      <c r="B137" s="1142"/>
      <c r="C137" s="1142"/>
      <c r="D137" s="523" t="s">
        <v>238</v>
      </c>
      <c r="E137" s="484">
        <f>'19'!F137</f>
        <v>22859.1</v>
      </c>
      <c r="F137" s="541">
        <v>22859.1</v>
      </c>
      <c r="G137" s="1333">
        <f t="shared" si="14"/>
        <v>0</v>
      </c>
      <c r="H137" s="460">
        <f>G137+'19'!H137</f>
        <v>51.859999999996944</v>
      </c>
      <c r="I137" s="480">
        <f>G135+G136+G137</f>
        <v>19.090000000003783</v>
      </c>
      <c r="J137" s="552">
        <f>H137/DAY(B2)</f>
        <v>2.5929999999998472</v>
      </c>
      <c r="N137" s="382"/>
      <c r="O137" s="382"/>
    </row>
    <row r="138" spans="1:15" ht="27.75">
      <c r="A138" s="1141" t="s">
        <v>245</v>
      </c>
      <c r="B138" s="1142"/>
      <c r="C138" s="1142"/>
      <c r="D138" s="523" t="s">
        <v>238</v>
      </c>
      <c r="E138" s="484">
        <f>'19'!F138</f>
        <v>25063.87</v>
      </c>
      <c r="F138" s="541">
        <v>25071.15</v>
      </c>
      <c r="G138" s="1333">
        <f t="shared" si="14"/>
        <v>7.2800000000024738</v>
      </c>
      <c r="H138" s="460">
        <f>G138+'19'!H138</f>
        <v>19.330000000001746</v>
      </c>
      <c r="I138" s="480"/>
      <c r="J138" s="552">
        <f>H138/DAY(B2)</f>
        <v>0.96650000000008729</v>
      </c>
      <c r="N138" s="382"/>
      <c r="O138" s="382"/>
    </row>
    <row r="139" spans="1:15" ht="27.75">
      <c r="A139" s="1141" t="s">
        <v>246</v>
      </c>
      <c r="B139" s="1142"/>
      <c r="C139" s="1142"/>
      <c r="D139" s="523" t="s">
        <v>238</v>
      </c>
      <c r="E139" s="484">
        <f>'19'!F139</f>
        <v>70483.41</v>
      </c>
      <c r="F139" s="541">
        <v>70487.08</v>
      </c>
      <c r="G139" s="1333">
        <f t="shared" si="14"/>
        <v>3.6699999999982538</v>
      </c>
      <c r="H139" s="460">
        <f>G139+'19'!H139</f>
        <v>75.339999999996508</v>
      </c>
      <c r="I139" s="480">
        <f>G138+G139</f>
        <v>10.950000000000728</v>
      </c>
      <c r="J139" s="552">
        <f>H139/DAY(B2)</f>
        <v>3.7669999999998254</v>
      </c>
      <c r="N139" s="382"/>
      <c r="O139" s="382"/>
    </row>
    <row r="140" spans="1:15" ht="27.75">
      <c r="A140" s="1141" t="s">
        <v>247</v>
      </c>
      <c r="B140" s="1142"/>
      <c r="C140" s="1142"/>
      <c r="D140" s="523" t="s">
        <v>238</v>
      </c>
      <c r="E140" s="484">
        <f>'19'!F140</f>
        <v>2014.34</v>
      </c>
      <c r="F140" s="484">
        <v>2026.02</v>
      </c>
      <c r="G140" s="1333">
        <f t="shared" si="14"/>
        <v>11.680000000000064</v>
      </c>
      <c r="H140" s="460">
        <f>G140+'19'!H140</f>
        <v>171.72000000000003</v>
      </c>
      <c r="I140" s="542"/>
      <c r="J140" s="552">
        <f>H140/DAY(B2)</f>
        <v>8.5860000000000021</v>
      </c>
      <c r="N140" s="382"/>
      <c r="O140" s="382"/>
    </row>
    <row r="141" spans="1:15" ht="27.75">
      <c r="A141" s="1141" t="s">
        <v>248</v>
      </c>
      <c r="B141" s="1142"/>
      <c r="C141" s="1142"/>
      <c r="D141" s="523" t="s">
        <v>238</v>
      </c>
      <c r="E141" s="484">
        <f>'19'!F141</f>
        <v>4636.88</v>
      </c>
      <c r="F141" s="484">
        <v>4636.88</v>
      </c>
      <c r="G141" s="1333">
        <f t="shared" si="14"/>
        <v>0</v>
      </c>
      <c r="H141" s="460">
        <f>G141+'19'!H141</f>
        <v>-0.11999999999989086</v>
      </c>
      <c r="I141" s="542"/>
      <c r="J141" s="552">
        <f>H141/DAY(B2)</f>
        <v>-5.9999999999945427E-3</v>
      </c>
      <c r="N141" s="382"/>
      <c r="O141" s="382"/>
    </row>
    <row r="142" spans="1:15">
      <c r="A142" s="1572" t="s">
        <v>249</v>
      </c>
      <c r="B142" s="1573"/>
      <c r="C142" s="1147"/>
      <c r="D142" s="472"/>
      <c r="E142" s="472"/>
      <c r="F142" s="472"/>
      <c r="G142" s="1336"/>
      <c r="H142" s="483"/>
      <c r="I142" s="483"/>
      <c r="J142" s="563"/>
      <c r="K142" s="380"/>
      <c r="L142" s="377"/>
      <c r="N142" s="382"/>
      <c r="O142" s="382"/>
    </row>
    <row r="143" spans="1:15" ht="27.75">
      <c r="A143" s="1537" t="s">
        <v>250</v>
      </c>
      <c r="B143" s="1538"/>
      <c r="C143" s="1539"/>
      <c r="D143" s="523" t="s">
        <v>131</v>
      </c>
      <c r="E143" s="523"/>
      <c r="F143" s="523"/>
      <c r="G143" s="1346">
        <f>G35+G43+G49+G57</f>
        <v>5833.8699999999953</v>
      </c>
      <c r="H143" s="460">
        <f>G143+'19'!H143</f>
        <v>98521.37</v>
      </c>
      <c r="I143" s="480"/>
      <c r="J143" s="552">
        <f>H143/DAY(B2)</f>
        <v>4926.0684999999994</v>
      </c>
      <c r="K143" s="380"/>
      <c r="L143" s="377"/>
      <c r="N143" s="382"/>
      <c r="O143" s="382"/>
    </row>
    <row r="144" spans="1:15" ht="27.75">
      <c r="A144" s="1537" t="s">
        <v>251</v>
      </c>
      <c r="B144" s="1538"/>
      <c r="C144" s="1539"/>
      <c r="D144" s="523" t="s">
        <v>24</v>
      </c>
      <c r="E144" s="511"/>
      <c r="F144" s="511"/>
      <c r="G144" s="1355">
        <f>G143/G7</f>
        <v>0.25094418023648002</v>
      </c>
      <c r="H144" s="460">
        <f>G144+'19'!H144</f>
        <v>5.3502875553710023</v>
      </c>
      <c r="I144" s="544"/>
      <c r="J144" s="552">
        <f>H144/DAY(B2)</f>
        <v>0.26751437776855014</v>
      </c>
      <c r="K144" s="380"/>
      <c r="L144" s="377"/>
      <c r="N144" s="382"/>
      <c r="O144" s="382"/>
    </row>
    <row r="145" spans="1:15" ht="27.75">
      <c r="A145" s="1537" t="s">
        <v>252</v>
      </c>
      <c r="B145" s="1538"/>
      <c r="C145" s="1539"/>
      <c r="D145" s="523" t="s">
        <v>131</v>
      </c>
      <c r="E145" s="455"/>
      <c r="F145" s="455"/>
      <c r="G145" s="1346">
        <f>G41+G42+G55+G56</f>
        <v>7097.9600000000355</v>
      </c>
      <c r="H145" s="460">
        <f>G145+'19'!H145</f>
        <v>109628.09999999999</v>
      </c>
      <c r="I145" s="480"/>
      <c r="J145" s="552">
        <f>H145/DAY(B2)</f>
        <v>5481.4049999999997</v>
      </c>
      <c r="K145" s="380"/>
      <c r="L145" s="377"/>
      <c r="N145" s="382"/>
      <c r="O145" s="382"/>
    </row>
    <row r="146" spans="1:15" ht="27.75">
      <c r="A146" s="1537" t="s">
        <v>253</v>
      </c>
      <c r="B146" s="1538"/>
      <c r="C146" s="1539"/>
      <c r="D146" s="523" t="s">
        <v>24</v>
      </c>
      <c r="E146" s="455"/>
      <c r="F146" s="455"/>
      <c r="G146" s="1355">
        <f>G145/G7</f>
        <v>0.30531906839736506</v>
      </c>
      <c r="H146" s="460">
        <f>G146+'19'!H146</f>
        <v>5.905983635719414</v>
      </c>
      <c r="I146" s="544"/>
      <c r="J146" s="552">
        <f>H146/DAY(B2)</f>
        <v>0.2952991817859707</v>
      </c>
      <c r="K146" s="380"/>
      <c r="L146" s="377"/>
      <c r="N146" s="382"/>
      <c r="O146" s="382"/>
    </row>
    <row r="147" spans="1:15" ht="27.75">
      <c r="A147" s="1537" t="s">
        <v>254</v>
      </c>
      <c r="B147" s="1538"/>
      <c r="C147" s="1539"/>
      <c r="D147" s="523" t="s">
        <v>131</v>
      </c>
      <c r="E147" s="455"/>
      <c r="F147" s="455"/>
      <c r="G147" s="1346">
        <f>G39+G53</f>
        <v>3610.7199999999721</v>
      </c>
      <c r="H147" s="460">
        <f>G147+'19'!H147</f>
        <v>62398.06</v>
      </c>
      <c r="I147" s="545"/>
      <c r="J147" s="552">
        <f>H147/DAY(B2)</f>
        <v>3119.9029999999998</v>
      </c>
      <c r="K147" s="380"/>
      <c r="L147" s="377"/>
      <c r="N147" s="382"/>
      <c r="O147" s="382"/>
    </row>
    <row r="148" spans="1:15" ht="27.75">
      <c r="A148" s="1537" t="s">
        <v>255</v>
      </c>
      <c r="B148" s="1538"/>
      <c r="C148" s="1539"/>
      <c r="D148" s="523" t="s">
        <v>24</v>
      </c>
      <c r="E148" s="455"/>
      <c r="F148" s="455"/>
      <c r="G148" s="1355">
        <f>G147/G7</f>
        <v>0.155315283073407</v>
      </c>
      <c r="H148" s="460">
        <f>G148+'19'!H148</f>
        <v>3.3759697084340674</v>
      </c>
      <c r="I148" s="545"/>
      <c r="J148" s="552">
        <f>H148/DAY(B2)</f>
        <v>0.16879848542170336</v>
      </c>
      <c r="N148" s="382"/>
      <c r="O148" s="382"/>
    </row>
    <row r="149" spans="1:15" ht="27.75">
      <c r="A149" s="1537" t="s">
        <v>256</v>
      </c>
      <c r="B149" s="1538"/>
      <c r="C149" s="1539"/>
      <c r="D149" s="523" t="s">
        <v>182</v>
      </c>
      <c r="E149" s="455"/>
      <c r="F149" s="455"/>
      <c r="G149" s="1346">
        <f>G38+G52</f>
        <v>1728.1000000000058</v>
      </c>
      <c r="H149" s="460">
        <f>G149+'19'!H149</f>
        <v>26304.499999999942</v>
      </c>
      <c r="I149" s="480"/>
      <c r="J149" s="552">
        <f>H149/DAY(B2)</f>
        <v>1315.2249999999972</v>
      </c>
      <c r="K149" s="381"/>
      <c r="N149" s="382"/>
      <c r="O149" s="382"/>
    </row>
    <row r="150" spans="1:15" ht="27.75">
      <c r="A150" s="1537" t="s">
        <v>257</v>
      </c>
      <c r="B150" s="1538"/>
      <c r="C150" s="1539"/>
      <c r="D150" s="523" t="s">
        <v>24</v>
      </c>
      <c r="E150" s="455"/>
      <c r="F150" s="455"/>
      <c r="G150" s="1355">
        <f>G149/G7</f>
        <v>7.4334299164476231E-2</v>
      </c>
      <c r="H150" s="460">
        <f>G150+'19'!H150</f>
        <v>1.4203094767780267</v>
      </c>
      <c r="I150" s="545"/>
      <c r="J150" s="552">
        <f>H150/DAY(B2)</f>
        <v>7.1015473838901333E-2</v>
      </c>
      <c r="N150" s="382"/>
      <c r="O150" s="382"/>
    </row>
    <row r="151" spans="1:15" ht="27.75">
      <c r="A151" s="1537" t="s">
        <v>258</v>
      </c>
      <c r="B151" s="1538"/>
      <c r="C151" s="1539"/>
      <c r="D151" s="523" t="s">
        <v>182</v>
      </c>
      <c r="E151" s="455"/>
      <c r="F151" s="455"/>
      <c r="G151" s="1346">
        <f>G36+G50</f>
        <v>2861.8000000000247</v>
      </c>
      <c r="H151" s="460">
        <f>G151+'19'!H151</f>
        <v>33613.500000000007</v>
      </c>
      <c r="I151" s="545"/>
      <c r="J151" s="552">
        <f>H151/DAY(B2)</f>
        <v>1680.6750000000004</v>
      </c>
      <c r="N151" s="382"/>
      <c r="O151" s="382"/>
    </row>
    <row r="152" spans="1:15" ht="27.75">
      <c r="A152" s="1537" t="s">
        <v>259</v>
      </c>
      <c r="B152" s="1538"/>
      <c r="C152" s="1539"/>
      <c r="D152" s="523" t="s">
        <v>24</v>
      </c>
      <c r="E152" s="455"/>
      <c r="F152" s="455"/>
      <c r="G152" s="1355">
        <f>G151/G7</f>
        <v>0.12310045561535744</v>
      </c>
      <c r="H152" s="460">
        <f>G152+'19'!H152</f>
        <v>1.7985420783548198</v>
      </c>
      <c r="I152" s="480"/>
      <c r="J152" s="552">
        <f>H152/DAY(B2)</f>
        <v>8.9927103917740989E-2</v>
      </c>
      <c r="N152" s="382"/>
      <c r="O152" s="382"/>
    </row>
    <row r="153" spans="1:15" ht="27.75">
      <c r="A153" s="1537" t="s">
        <v>260</v>
      </c>
      <c r="B153" s="1538"/>
      <c r="C153" s="1539"/>
      <c r="D153" s="523" t="s">
        <v>182</v>
      </c>
      <c r="E153" s="455"/>
      <c r="F153" s="455"/>
      <c r="G153" s="1346">
        <f>G37+G51</f>
        <v>1538.789999999979</v>
      </c>
      <c r="H153" s="460">
        <f>G153+'19'!H153</f>
        <v>27651.919999999984</v>
      </c>
      <c r="I153" s="480"/>
      <c r="J153" s="552">
        <f>H153/DAY(B2)</f>
        <v>1382.5959999999991</v>
      </c>
      <c r="L153" s="376" t="s">
        <v>273</v>
      </c>
      <c r="M153" s="376">
        <v>0.5</v>
      </c>
      <c r="N153" s="382">
        <v>50</v>
      </c>
      <c r="O153" s="382"/>
    </row>
    <row r="154" spans="1:15" ht="28.5" thickBot="1">
      <c r="A154" s="1569" t="s">
        <v>261</v>
      </c>
      <c r="B154" s="1570"/>
      <c r="C154" s="1571"/>
      <c r="D154" s="625" t="s">
        <v>24</v>
      </c>
      <c r="E154" s="565"/>
      <c r="F154" s="565"/>
      <c r="G154" s="1356">
        <f>G153/G7</f>
        <v>6.6191121006482515E-2</v>
      </c>
      <c r="H154" s="460">
        <f>G154+'19'!H154</f>
        <v>1.5031767312632616</v>
      </c>
      <c r="I154" s="568"/>
      <c r="J154" s="569">
        <f>H154/DAY(B2)</f>
        <v>7.5158836563163078E-2</v>
      </c>
      <c r="N154" s="382"/>
      <c r="O154" s="382"/>
    </row>
    <row r="155" spans="1:15">
      <c r="A155" s="466"/>
      <c r="B155" s="456"/>
      <c r="C155" s="456"/>
      <c r="D155" s="546"/>
      <c r="E155" s="546"/>
      <c r="F155" s="546"/>
      <c r="G155" s="1357"/>
      <c r="H155" s="547"/>
      <c r="I155" s="546"/>
      <c r="J155" s="548"/>
      <c r="O155" s="382"/>
    </row>
    <row r="161" spans="1:12">
      <c r="A161" s="785" t="s">
        <v>262</v>
      </c>
      <c r="B161" s="786"/>
      <c r="C161" s="786"/>
      <c r="D161" s="511" t="s">
        <v>186</v>
      </c>
      <c r="E161" s="659">
        <f>'19'!F161</f>
        <v>39961.699999999997</v>
      </c>
      <c r="F161" s="659">
        <v>40041.760000000002</v>
      </c>
      <c r="G161" s="1333">
        <f t="shared" ref="G161:G164" si="15">F161-E161</f>
        <v>80.060000000004948</v>
      </c>
      <c r="K161" s="376">
        <v>70.399999999999636</v>
      </c>
      <c r="L161" s="376">
        <f t="shared" ref="L161:L172" si="16">G161-K161</f>
        <v>9.6600000000053114</v>
      </c>
    </row>
    <row r="162" spans="1:12">
      <c r="A162" s="785" t="s">
        <v>263</v>
      </c>
      <c r="B162" s="786"/>
      <c r="C162" s="786"/>
      <c r="D162" s="511" t="s">
        <v>186</v>
      </c>
      <c r="E162" s="659">
        <f>'19'!F162</f>
        <v>102842.27</v>
      </c>
      <c r="F162" s="659">
        <v>103252.73</v>
      </c>
      <c r="G162" s="1333">
        <f t="shared" si="15"/>
        <v>410.45999999999185</v>
      </c>
      <c r="K162" s="376">
        <v>124.25999999999999</v>
      </c>
      <c r="L162" s="376">
        <f t="shared" si="16"/>
        <v>286.19999999999186</v>
      </c>
    </row>
    <row r="163" spans="1:12">
      <c r="A163" s="785" t="s">
        <v>264</v>
      </c>
      <c r="B163" s="786"/>
      <c r="C163" s="786"/>
      <c r="D163" s="511" t="s">
        <v>186</v>
      </c>
      <c r="E163" s="659">
        <f>'19'!F163</f>
        <v>48920.62</v>
      </c>
      <c r="F163" s="659">
        <v>49146.86</v>
      </c>
      <c r="G163" s="1333">
        <f t="shared" si="15"/>
        <v>226.23999999999796</v>
      </c>
      <c r="K163" s="376">
        <v>138.98000000000002</v>
      </c>
      <c r="L163" s="376">
        <f t="shared" si="16"/>
        <v>87.259999999997945</v>
      </c>
    </row>
    <row r="164" spans="1:12">
      <c r="A164" s="785" t="s">
        <v>265</v>
      </c>
      <c r="B164" s="786"/>
      <c r="C164" s="786"/>
      <c r="D164" s="511" t="s">
        <v>186</v>
      </c>
      <c r="E164" s="659">
        <f>'19'!F164</f>
        <v>6737.38</v>
      </c>
      <c r="F164" s="659">
        <v>6746.63</v>
      </c>
      <c r="G164" s="1333">
        <f t="shared" si="15"/>
        <v>9.25</v>
      </c>
      <c r="K164" s="376">
        <v>45.830000000000041</v>
      </c>
      <c r="L164" s="376">
        <f t="shared" si="16"/>
        <v>-36.580000000000041</v>
      </c>
    </row>
    <row r="165" spans="1:12">
      <c r="A165" s="787" t="s">
        <v>97</v>
      </c>
      <c r="B165" s="604"/>
      <c r="C165" s="604"/>
      <c r="D165" s="511" t="s">
        <v>186</v>
      </c>
      <c r="E165" s="514">
        <f>E62</f>
        <v>20419.2</v>
      </c>
      <c r="F165" s="514">
        <f>F62</f>
        <v>20419.2</v>
      </c>
      <c r="G165" s="1333">
        <f t="shared" ref="G165:G172" si="17">F165-E165</f>
        <v>0</v>
      </c>
      <c r="K165" s="376">
        <v>-0.18000000000029104</v>
      </c>
      <c r="L165" s="376">
        <f t="shared" si="16"/>
        <v>0.18000000000029104</v>
      </c>
    </row>
    <row r="166" spans="1:12">
      <c r="A166" s="787" t="s">
        <v>187</v>
      </c>
      <c r="B166" s="604"/>
      <c r="C166" s="604"/>
      <c r="D166" s="511" t="s">
        <v>186</v>
      </c>
      <c r="E166" s="514">
        <f t="shared" ref="E166:E172" si="18">E63</f>
        <v>0</v>
      </c>
      <c r="F166" s="514">
        <f t="shared" ref="F166:F172" si="19">F63</f>
        <v>0</v>
      </c>
      <c r="G166" s="1333">
        <f t="shared" si="17"/>
        <v>0</v>
      </c>
      <c r="K166" s="376">
        <v>0</v>
      </c>
      <c r="L166" s="376">
        <f t="shared" si="16"/>
        <v>0</v>
      </c>
    </row>
    <row r="167" spans="1:12" ht="27.75">
      <c r="A167" s="1586" t="s">
        <v>98</v>
      </c>
      <c r="B167" s="1586"/>
      <c r="C167" s="1586"/>
      <c r="D167" s="523" t="s">
        <v>186</v>
      </c>
      <c r="E167" s="514">
        <f t="shared" si="18"/>
        <v>165890.62</v>
      </c>
      <c r="F167" s="514">
        <f t="shared" si="19"/>
        <v>166237.26999999999</v>
      </c>
      <c r="G167" s="1333">
        <f t="shared" si="17"/>
        <v>346.64999999999418</v>
      </c>
      <c r="K167" s="376">
        <v>193.55000000000291</v>
      </c>
      <c r="L167" s="376">
        <f t="shared" si="16"/>
        <v>153.09999999999127</v>
      </c>
    </row>
    <row r="168" spans="1:12" ht="27.75">
      <c r="A168" s="1586" t="s">
        <v>99</v>
      </c>
      <c r="B168" s="1586"/>
      <c r="C168" s="1586"/>
      <c r="D168" s="523" t="s">
        <v>186</v>
      </c>
      <c r="E168" s="514">
        <f t="shared" si="18"/>
        <v>166289.87</v>
      </c>
      <c r="F168" s="514">
        <f t="shared" si="19"/>
        <v>166667.84</v>
      </c>
      <c r="G168" s="1333">
        <f t="shared" si="17"/>
        <v>377.97000000000116</v>
      </c>
      <c r="K168" s="376">
        <v>168.39999999999418</v>
      </c>
      <c r="L168" s="376">
        <f t="shared" si="16"/>
        <v>209.57000000000698</v>
      </c>
    </row>
    <row r="169" spans="1:12" ht="27.75">
      <c r="A169" s="1586" t="s">
        <v>100</v>
      </c>
      <c r="B169" s="1586"/>
      <c r="C169" s="1586"/>
      <c r="D169" s="523" t="s">
        <v>186</v>
      </c>
      <c r="E169" s="514">
        <f t="shared" si="18"/>
        <v>63429.97</v>
      </c>
      <c r="F169" s="514">
        <f t="shared" si="19"/>
        <v>63824.5</v>
      </c>
      <c r="G169" s="1333">
        <f t="shared" si="17"/>
        <v>394.52999999999884</v>
      </c>
      <c r="K169" s="376">
        <v>221.18999999999505</v>
      </c>
      <c r="L169" s="376">
        <f t="shared" si="16"/>
        <v>173.34000000000378</v>
      </c>
    </row>
    <row r="170" spans="1:12" ht="27.75">
      <c r="A170" s="1586" t="s">
        <v>101</v>
      </c>
      <c r="B170" s="1586"/>
      <c r="C170" s="1586"/>
      <c r="D170" s="523" t="s">
        <v>186</v>
      </c>
      <c r="E170" s="514">
        <f t="shared" si="18"/>
        <v>260027.21</v>
      </c>
      <c r="F170" s="514">
        <f t="shared" si="19"/>
        <v>260486.91</v>
      </c>
      <c r="G170" s="1333">
        <f t="shared" si="17"/>
        <v>459.70000000001164</v>
      </c>
      <c r="K170" s="376">
        <v>337.19000000000233</v>
      </c>
      <c r="L170" s="376">
        <f t="shared" si="16"/>
        <v>122.51000000000931</v>
      </c>
    </row>
    <row r="171" spans="1:12" ht="27.75">
      <c r="A171" s="1586" t="s">
        <v>102</v>
      </c>
      <c r="B171" s="1586"/>
      <c r="C171" s="1586"/>
      <c r="D171" s="523" t="s">
        <v>186</v>
      </c>
      <c r="E171" s="514">
        <f t="shared" si="18"/>
        <v>85321</v>
      </c>
      <c r="F171" s="514">
        <f t="shared" si="19"/>
        <v>85321</v>
      </c>
      <c r="G171" s="1333">
        <f t="shared" si="17"/>
        <v>0</v>
      </c>
      <c r="K171" s="376">
        <v>115.09000000000015</v>
      </c>
      <c r="L171" s="376">
        <f t="shared" si="16"/>
        <v>-115.09000000000015</v>
      </c>
    </row>
    <row r="172" spans="1:12" ht="27.75">
      <c r="A172" s="1586" t="s">
        <v>103</v>
      </c>
      <c r="B172" s="1586"/>
      <c r="C172" s="1586"/>
      <c r="D172" s="523" t="s">
        <v>186</v>
      </c>
      <c r="E172" s="514">
        <f t="shared" si="18"/>
        <v>84858.91</v>
      </c>
      <c r="F172" s="514">
        <f t="shared" si="19"/>
        <v>85116.51</v>
      </c>
      <c r="G172" s="1333">
        <f t="shared" si="17"/>
        <v>257.59999999999127</v>
      </c>
      <c r="K172" s="376">
        <v>11.799999999999272</v>
      </c>
      <c r="L172" s="376">
        <f t="shared" si="16"/>
        <v>245.799999999992</v>
      </c>
    </row>
    <row r="173" spans="1:12" ht="24.75" customHeight="1">
      <c r="G173" s="1469">
        <f>SUM(G161:G172)</f>
        <v>2562.4599999999919</v>
      </c>
      <c r="L173" s="376">
        <f>SUM(L161:L172)</f>
        <v>1135.9499999999985</v>
      </c>
    </row>
    <row r="174" spans="1:12" ht="24.75" customHeight="1">
      <c r="A174" s="1586" t="s">
        <v>347</v>
      </c>
      <c r="B174" s="1586"/>
      <c r="C174" s="1586"/>
      <c r="D174" s="523" t="s">
        <v>186</v>
      </c>
      <c r="E174" s="514">
        <v>28159.68</v>
      </c>
      <c r="F174" s="514">
        <v>28160.45</v>
      </c>
      <c r="G174" s="473">
        <f t="shared" ref="G174:G176" si="20">F174-E174</f>
        <v>0.77000000000043656</v>
      </c>
    </row>
    <row r="175" spans="1:12" ht="24.75" customHeight="1">
      <c r="A175" s="1596" t="s">
        <v>357</v>
      </c>
      <c r="B175" s="1579"/>
      <c r="C175" s="786"/>
      <c r="D175" s="523" t="s">
        <v>186</v>
      </c>
      <c r="E175" s="1501">
        <v>18951.5</v>
      </c>
      <c r="F175" s="1501">
        <v>18956</v>
      </c>
      <c r="G175" s="473">
        <f t="shared" si="20"/>
        <v>4.5</v>
      </c>
    </row>
    <row r="176" spans="1:12" ht="24.75" customHeight="1">
      <c r="A176" s="1596" t="s">
        <v>358</v>
      </c>
      <c r="B176" s="1579"/>
      <c r="C176" s="786"/>
      <c r="D176" s="523" t="s">
        <v>186</v>
      </c>
      <c r="E176" s="1501">
        <v>27582.2</v>
      </c>
      <c r="F176" s="1501">
        <v>27586.400000000001</v>
      </c>
      <c r="G176" s="473">
        <f t="shared" si="20"/>
        <v>4.2000000000007276</v>
      </c>
    </row>
    <row r="177" ht="24.75" customHeight="1"/>
    <row r="302" spans="6:6">
      <c r="F302" s="537" t="s">
        <v>267</v>
      </c>
    </row>
    <row r="303" spans="6:6">
      <c r="F303" s="537">
        <v>0</v>
      </c>
    </row>
    <row r="304" spans="6:6">
      <c r="F304" s="537">
        <v>0</v>
      </c>
    </row>
    <row r="305" spans="6:6">
      <c r="F305" s="537">
        <v>0</v>
      </c>
    </row>
    <row r="306" spans="6:6">
      <c r="F306" s="537">
        <v>0</v>
      </c>
    </row>
    <row r="307" spans="6:6">
      <c r="F307" s="537">
        <v>0</v>
      </c>
    </row>
    <row r="308" spans="6:6">
      <c r="F308" s="537">
        <v>0</v>
      </c>
    </row>
    <row r="309" spans="6:6">
      <c r="F309" s="537">
        <v>0</v>
      </c>
    </row>
    <row r="310" spans="6:6">
      <c r="F310" s="537">
        <v>0</v>
      </c>
    </row>
    <row r="311" spans="6:6">
      <c r="F311" s="537">
        <v>0</v>
      </c>
    </row>
    <row r="312" spans="6:6">
      <c r="F312" s="537">
        <v>0</v>
      </c>
    </row>
    <row r="313" spans="6:6">
      <c r="F313" s="537">
        <v>0</v>
      </c>
    </row>
    <row r="314" spans="6:6">
      <c r="F314" s="537">
        <v>0</v>
      </c>
    </row>
    <row r="315" spans="6:6">
      <c r="F315" s="537">
        <v>0</v>
      </c>
    </row>
    <row r="316" spans="6:6">
      <c r="F316" s="537">
        <v>0</v>
      </c>
    </row>
    <row r="317" spans="6:6">
      <c r="F317" s="537">
        <v>0</v>
      </c>
    </row>
    <row r="318" spans="6:6">
      <c r="F318" s="537">
        <v>0</v>
      </c>
    </row>
    <row r="319" spans="6:6">
      <c r="F319" s="537">
        <v>0</v>
      </c>
    </row>
    <row r="320" spans="6:6">
      <c r="F320" s="537">
        <v>0</v>
      </c>
    </row>
    <row r="321" spans="6:6">
      <c r="F321" s="537">
        <v>0</v>
      </c>
    </row>
    <row r="322" spans="6:6">
      <c r="F322" s="537">
        <v>0</v>
      </c>
    </row>
    <row r="323" spans="6:6">
      <c r="F323" s="537">
        <v>0</v>
      </c>
    </row>
    <row r="324" spans="6:6">
      <c r="F324" s="537">
        <v>0</v>
      </c>
    </row>
    <row r="325" spans="6:6">
      <c r="F325" s="537">
        <v>0</v>
      </c>
    </row>
    <row r="326" spans="6:6">
      <c r="F326" s="537">
        <v>0</v>
      </c>
    </row>
    <row r="327" spans="6:6">
      <c r="F327" s="537">
        <v>0</v>
      </c>
    </row>
    <row r="328" spans="6:6">
      <c r="F328" s="537">
        <v>0</v>
      </c>
    </row>
    <row r="329" spans="6:6">
      <c r="F329" s="537">
        <v>0</v>
      </c>
    </row>
    <row r="330" spans="6:6">
      <c r="F330" s="537">
        <v>0</v>
      </c>
    </row>
    <row r="331" spans="6:6">
      <c r="F331" s="537">
        <v>0</v>
      </c>
    </row>
    <row r="332" spans="6:6">
      <c r="F332" s="537">
        <v>0</v>
      </c>
    </row>
    <row r="333" spans="6:6">
      <c r="F333" s="537">
        <v>0</v>
      </c>
    </row>
    <row r="334" spans="6:6">
      <c r="F334" s="537">
        <v>0</v>
      </c>
    </row>
    <row r="335" spans="6:6">
      <c r="F335" s="537">
        <v>0</v>
      </c>
    </row>
    <row r="336" spans="6:6">
      <c r="F336" s="537">
        <v>0</v>
      </c>
    </row>
    <row r="337" spans="6:6">
      <c r="F337" s="537">
        <v>0</v>
      </c>
    </row>
    <row r="338" spans="6:6">
      <c r="F338" s="537">
        <v>0</v>
      </c>
    </row>
    <row r="339" spans="6:6">
      <c r="F339" s="537">
        <v>0</v>
      </c>
    </row>
    <row r="340" spans="6:6">
      <c r="F340" s="537">
        <v>0</v>
      </c>
    </row>
    <row r="341" spans="6:6">
      <c r="F341" s="537">
        <v>0</v>
      </c>
    </row>
    <row r="342" spans="6:6">
      <c r="F342" s="537">
        <v>0</v>
      </c>
    </row>
    <row r="343" spans="6:6">
      <c r="F343" s="537">
        <v>0</v>
      </c>
    </row>
    <row r="344" spans="6:6">
      <c r="F344" s="537">
        <v>0</v>
      </c>
    </row>
    <row r="345" spans="6:6">
      <c r="F345" s="537">
        <v>0</v>
      </c>
    </row>
    <row r="346" spans="6:6">
      <c r="F346" s="537">
        <v>0</v>
      </c>
    </row>
    <row r="347" spans="6:6">
      <c r="F347" s="537">
        <v>0</v>
      </c>
    </row>
    <row r="348" spans="6:6">
      <c r="F348" s="537">
        <v>0</v>
      </c>
    </row>
    <row r="349" spans="6:6">
      <c r="F349" s="537">
        <v>0</v>
      </c>
    </row>
    <row r="350" spans="6:6">
      <c r="F350" s="537">
        <v>0</v>
      </c>
    </row>
    <row r="351" spans="6:6">
      <c r="F351" s="537">
        <v>0</v>
      </c>
    </row>
    <row r="352" spans="6:6">
      <c r="F352" s="537">
        <v>0</v>
      </c>
    </row>
    <row r="353" spans="6:6">
      <c r="F353" s="537">
        <v>0</v>
      </c>
    </row>
    <row r="354" spans="6:6">
      <c r="F354" s="537">
        <v>0</v>
      </c>
    </row>
    <row r="355" spans="6:6">
      <c r="F355" s="537">
        <v>0</v>
      </c>
    </row>
    <row r="356" spans="6:6">
      <c r="F356" s="537">
        <v>0</v>
      </c>
    </row>
    <row r="357" spans="6:6">
      <c r="F357" s="537">
        <v>0</v>
      </c>
    </row>
    <row r="358" spans="6:6">
      <c r="F358" s="537">
        <v>0</v>
      </c>
    </row>
    <row r="359" spans="6:6">
      <c r="F359" s="537">
        <v>0</v>
      </c>
    </row>
    <row r="360" spans="6:6">
      <c r="F360" s="537">
        <v>0</v>
      </c>
    </row>
    <row r="361" spans="6:6">
      <c r="F361" s="537">
        <v>0</v>
      </c>
    </row>
    <row r="362" spans="6:6">
      <c r="F362" s="537">
        <v>0</v>
      </c>
    </row>
    <row r="363" spans="6:6">
      <c r="F363" s="537">
        <v>0</v>
      </c>
    </row>
    <row r="364" spans="6:6">
      <c r="F364" s="537">
        <v>0</v>
      </c>
    </row>
    <row r="365" spans="6:6">
      <c r="F365" s="537">
        <v>0</v>
      </c>
    </row>
    <row r="366" spans="6:6">
      <c r="F366" s="537">
        <v>0</v>
      </c>
    </row>
    <row r="367" spans="6:6">
      <c r="F367" s="537">
        <v>0</v>
      </c>
    </row>
    <row r="368" spans="6:6">
      <c r="F368" s="537">
        <v>0</v>
      </c>
    </row>
    <row r="369" spans="6:6">
      <c r="F369" s="537">
        <v>0</v>
      </c>
    </row>
    <row r="370" spans="6:6">
      <c r="F370" s="537">
        <v>0</v>
      </c>
    </row>
    <row r="371" spans="6:6">
      <c r="F371" s="537">
        <v>0</v>
      </c>
    </row>
    <row r="372" spans="6:6">
      <c r="F372" s="537">
        <v>0</v>
      </c>
    </row>
    <row r="373" spans="6:6">
      <c r="F373" s="537">
        <v>0</v>
      </c>
    </row>
    <row r="374" spans="6:6">
      <c r="F374" s="537">
        <v>0</v>
      </c>
    </row>
    <row r="375" spans="6:6">
      <c r="F375" s="537">
        <v>0</v>
      </c>
    </row>
    <row r="376" spans="6:6">
      <c r="F376" s="537">
        <v>0</v>
      </c>
    </row>
    <row r="377" spans="6:6">
      <c r="F377" s="537">
        <v>0</v>
      </c>
    </row>
    <row r="378" spans="6:6">
      <c r="F378" s="537">
        <v>0</v>
      </c>
    </row>
    <row r="379" spans="6:6">
      <c r="F379" s="537">
        <v>0</v>
      </c>
    </row>
    <row r="380" spans="6:6">
      <c r="F380" s="537">
        <v>0</v>
      </c>
    </row>
    <row r="381" spans="6:6">
      <c r="F381" s="537">
        <v>0</v>
      </c>
    </row>
    <row r="382" spans="6:6">
      <c r="F382" s="537">
        <v>0</v>
      </c>
    </row>
    <row r="383" spans="6:6">
      <c r="F383" s="537">
        <v>0</v>
      </c>
    </row>
    <row r="384" spans="6:6">
      <c r="F384" s="537">
        <v>0</v>
      </c>
    </row>
    <row r="385" spans="6:6">
      <c r="F385" s="537">
        <v>0</v>
      </c>
    </row>
    <row r="386" spans="6:6">
      <c r="F386" s="537">
        <v>0</v>
      </c>
    </row>
    <row r="387" spans="6:6">
      <c r="F387" s="537">
        <v>0</v>
      </c>
    </row>
    <row r="388" spans="6:6">
      <c r="F388" s="537">
        <v>0</v>
      </c>
    </row>
    <row r="389" spans="6:6">
      <c r="F389" s="537">
        <v>0</v>
      </c>
    </row>
    <row r="390" spans="6:6">
      <c r="F390" s="537">
        <v>0</v>
      </c>
    </row>
    <row r="391" spans="6:6">
      <c r="F391" s="537">
        <v>0</v>
      </c>
    </row>
    <row r="392" spans="6:6">
      <c r="F392" s="537">
        <v>0</v>
      </c>
    </row>
    <row r="393" spans="6:6">
      <c r="F393" s="537">
        <v>0</v>
      </c>
    </row>
    <row r="394" spans="6:6">
      <c r="F394" s="537">
        <v>0</v>
      </c>
    </row>
    <row r="395" spans="6:6">
      <c r="F395" s="537">
        <v>0</v>
      </c>
    </row>
    <row r="396" spans="6:6">
      <c r="F396" s="537">
        <v>0</v>
      </c>
    </row>
    <row r="397" spans="6:6">
      <c r="F397" s="537">
        <v>0</v>
      </c>
    </row>
    <row r="398" spans="6:6">
      <c r="F398" s="537">
        <v>0</v>
      </c>
    </row>
    <row r="399" spans="6:6">
      <c r="F399" s="537">
        <v>0</v>
      </c>
    </row>
    <row r="400" spans="6:6">
      <c r="F400" s="537">
        <v>0</v>
      </c>
    </row>
    <row r="401" spans="6:6">
      <c r="F401" s="537">
        <v>0</v>
      </c>
    </row>
    <row r="402" spans="6:6">
      <c r="F402" s="537">
        <v>0</v>
      </c>
    </row>
    <row r="403" spans="6:6">
      <c r="F403" s="537">
        <v>0</v>
      </c>
    </row>
    <row r="404" spans="6:6">
      <c r="F404" s="537">
        <v>0</v>
      </c>
    </row>
    <row r="405" spans="6:6">
      <c r="F405" s="537">
        <v>0</v>
      </c>
    </row>
    <row r="406" spans="6:6">
      <c r="F406" s="537">
        <v>0</v>
      </c>
    </row>
    <row r="407" spans="6:6">
      <c r="F407" s="537">
        <v>0</v>
      </c>
    </row>
    <row r="408" spans="6:6">
      <c r="F408" s="537">
        <v>0</v>
      </c>
    </row>
    <row r="409" spans="6:6">
      <c r="F409" s="537">
        <v>0</v>
      </c>
    </row>
    <row r="410" spans="6:6">
      <c r="F410" s="537">
        <v>0</v>
      </c>
    </row>
    <row r="411" spans="6:6">
      <c r="F411" s="537">
        <v>0</v>
      </c>
    </row>
    <row r="412" spans="6:6">
      <c r="F412" s="537">
        <v>0</v>
      </c>
    </row>
    <row r="413" spans="6:6">
      <c r="F413" s="537">
        <v>0</v>
      </c>
    </row>
    <row r="414" spans="6:6">
      <c r="F414" s="537">
        <v>0</v>
      </c>
    </row>
    <row r="415" spans="6:6">
      <c r="F415" s="537">
        <v>0</v>
      </c>
    </row>
    <row r="416" spans="6:6">
      <c r="F416" s="537">
        <v>0</v>
      </c>
    </row>
    <row r="417" spans="6:6">
      <c r="F417" s="537">
        <v>0</v>
      </c>
    </row>
    <row r="418" spans="6:6">
      <c r="F418" s="537">
        <v>0</v>
      </c>
    </row>
    <row r="419" spans="6:6">
      <c r="F419" s="537">
        <v>0</v>
      </c>
    </row>
    <row r="420" spans="6:6">
      <c r="F420" s="537">
        <v>0</v>
      </c>
    </row>
    <row r="421" spans="6:6">
      <c r="F421" s="537">
        <v>0</v>
      </c>
    </row>
    <row r="422" spans="6:6">
      <c r="F422" s="537">
        <v>0</v>
      </c>
    </row>
    <row r="423" spans="6:6">
      <c r="F423" s="537">
        <v>0</v>
      </c>
    </row>
    <row r="424" spans="6:6">
      <c r="F424" s="537">
        <v>0</v>
      </c>
    </row>
    <row r="425" spans="6:6">
      <c r="F425" s="537">
        <v>0</v>
      </c>
    </row>
    <row r="426" spans="6:6">
      <c r="F426" s="537">
        <v>0</v>
      </c>
    </row>
    <row r="427" spans="6:6">
      <c r="F427" s="537">
        <v>0</v>
      </c>
    </row>
    <row r="428" spans="6:6">
      <c r="F428" s="537">
        <v>0</v>
      </c>
    </row>
    <row r="429" spans="6:6">
      <c r="F429" s="537">
        <v>0</v>
      </c>
    </row>
    <row r="430" spans="6:6">
      <c r="F430" s="537">
        <v>0</v>
      </c>
    </row>
    <row r="431" spans="6:6">
      <c r="F431" s="537">
        <v>0</v>
      </c>
    </row>
    <row r="432" spans="6:6">
      <c r="F432" s="537">
        <v>0</v>
      </c>
    </row>
    <row r="433" spans="6:6">
      <c r="F433" s="537">
        <v>0</v>
      </c>
    </row>
    <row r="434" spans="6:6">
      <c r="F434" s="537">
        <v>0</v>
      </c>
    </row>
    <row r="435" spans="6:6">
      <c r="F435" s="537">
        <v>0</v>
      </c>
    </row>
    <row r="436" spans="6:6">
      <c r="F436" s="537">
        <v>0</v>
      </c>
    </row>
    <row r="437" spans="6:6">
      <c r="F437" s="537">
        <v>0</v>
      </c>
    </row>
    <row r="438" spans="6:6">
      <c r="F438" s="537">
        <v>0</v>
      </c>
    </row>
    <row r="439" spans="6:6">
      <c r="F439" s="537">
        <v>0</v>
      </c>
    </row>
    <row r="440" spans="6:6">
      <c r="F440" s="537">
        <v>0</v>
      </c>
    </row>
    <row r="441" spans="6:6">
      <c r="F441" s="537">
        <v>0</v>
      </c>
    </row>
    <row r="442" spans="6:6">
      <c r="F442" s="537">
        <v>0</v>
      </c>
    </row>
    <row r="443" spans="6:6">
      <c r="F443" s="537">
        <v>0</v>
      </c>
    </row>
    <row r="444" spans="6:6">
      <c r="F444" s="537">
        <v>0</v>
      </c>
    </row>
    <row r="445" spans="6:6">
      <c r="F445" s="537">
        <v>0</v>
      </c>
    </row>
    <row r="446" spans="6:6">
      <c r="F446" s="537">
        <v>0</v>
      </c>
    </row>
    <row r="447" spans="6:6">
      <c r="F447" s="537">
        <v>0</v>
      </c>
    </row>
    <row r="448" spans="6:6">
      <c r="F448" s="537">
        <v>0</v>
      </c>
    </row>
    <row r="449" spans="6:6">
      <c r="F449" s="537">
        <v>0</v>
      </c>
    </row>
    <row r="450" spans="6:6">
      <c r="F450" s="537">
        <v>0</v>
      </c>
    </row>
    <row r="451" spans="6:6">
      <c r="F451" s="537">
        <v>0</v>
      </c>
    </row>
    <row r="452" spans="6:6">
      <c r="F452" s="537">
        <v>0</v>
      </c>
    </row>
    <row r="453" spans="6:6">
      <c r="F453" s="537">
        <v>0</v>
      </c>
    </row>
    <row r="454" spans="6:6">
      <c r="F454" s="537">
        <v>0</v>
      </c>
    </row>
    <row r="455" spans="6:6">
      <c r="F455" s="537">
        <v>0</v>
      </c>
    </row>
    <row r="456" spans="6:6">
      <c r="F456" s="537">
        <v>0</v>
      </c>
    </row>
    <row r="457" spans="6:6">
      <c r="F457" s="537">
        <v>0</v>
      </c>
    </row>
    <row r="458" spans="6:6">
      <c r="F458" s="537">
        <v>0</v>
      </c>
    </row>
    <row r="459" spans="6:6">
      <c r="F459" s="537">
        <v>0</v>
      </c>
    </row>
    <row r="460" spans="6:6">
      <c r="F460" s="537">
        <v>0</v>
      </c>
    </row>
    <row r="461" spans="6:6">
      <c r="F461" s="537">
        <v>0</v>
      </c>
    </row>
    <row r="462" spans="6:6">
      <c r="F462" s="537">
        <v>0</v>
      </c>
    </row>
    <row r="463" spans="6:6">
      <c r="F463" s="537">
        <v>0</v>
      </c>
    </row>
    <row r="464" spans="6:6">
      <c r="F464" s="537">
        <v>0</v>
      </c>
    </row>
    <row r="465" spans="6:6">
      <c r="F465" s="537">
        <v>0</v>
      </c>
    </row>
    <row r="466" spans="6:6">
      <c r="F466" s="537">
        <v>0</v>
      </c>
    </row>
    <row r="467" spans="6:6">
      <c r="F467" s="537">
        <v>0</v>
      </c>
    </row>
    <row r="468" spans="6:6">
      <c r="F468" s="537">
        <v>0</v>
      </c>
    </row>
    <row r="469" spans="6:6">
      <c r="F469" s="537">
        <v>0</v>
      </c>
    </row>
    <row r="470" spans="6:6">
      <c r="F470" s="537">
        <v>0</v>
      </c>
    </row>
    <row r="471" spans="6:6">
      <c r="F471" s="537">
        <v>0</v>
      </c>
    </row>
    <row r="472" spans="6:6">
      <c r="F472" s="537">
        <v>0</v>
      </c>
    </row>
    <row r="473" spans="6:6">
      <c r="F473" s="537">
        <v>0</v>
      </c>
    </row>
    <row r="474" spans="6:6">
      <c r="F474" s="537">
        <v>0</v>
      </c>
    </row>
    <row r="475" spans="6:6">
      <c r="F475" s="537">
        <v>0</v>
      </c>
    </row>
    <row r="476" spans="6:6">
      <c r="F476" s="537">
        <v>0</v>
      </c>
    </row>
    <row r="477" spans="6:6">
      <c r="F477" s="537">
        <v>0</v>
      </c>
    </row>
    <row r="478" spans="6:6">
      <c r="F478" s="537">
        <v>0</v>
      </c>
    </row>
    <row r="479" spans="6:6">
      <c r="F479" s="537">
        <v>0</v>
      </c>
    </row>
    <row r="480" spans="6:6">
      <c r="F480" s="537">
        <v>0</v>
      </c>
    </row>
    <row r="481" spans="6:6">
      <c r="F481" s="537">
        <v>0</v>
      </c>
    </row>
    <row r="482" spans="6:6">
      <c r="F482" s="537">
        <v>0</v>
      </c>
    </row>
    <row r="483" spans="6:6">
      <c r="F483" s="537">
        <v>0</v>
      </c>
    </row>
    <row r="484" spans="6:6">
      <c r="F484" s="537">
        <v>0</v>
      </c>
    </row>
    <row r="485" spans="6:6">
      <c r="F485" s="537">
        <v>0</v>
      </c>
    </row>
    <row r="486" spans="6:6">
      <c r="F486" s="537">
        <v>0</v>
      </c>
    </row>
    <row r="487" spans="6:6">
      <c r="F487" s="537">
        <v>0</v>
      </c>
    </row>
    <row r="488" spans="6:6">
      <c r="F488" s="537">
        <v>0</v>
      </c>
    </row>
    <row r="489" spans="6:6">
      <c r="F489" s="537">
        <v>0</v>
      </c>
    </row>
    <row r="490" spans="6:6">
      <c r="F490" s="537">
        <v>0</v>
      </c>
    </row>
    <row r="491" spans="6:6">
      <c r="F491" s="537">
        <v>0</v>
      </c>
    </row>
    <row r="492" spans="6:6">
      <c r="F492" s="537">
        <v>0</v>
      </c>
    </row>
    <row r="493" spans="6:6">
      <c r="F493" s="537">
        <v>0</v>
      </c>
    </row>
    <row r="494" spans="6:6">
      <c r="F494" s="537">
        <v>0</v>
      </c>
    </row>
    <row r="495" spans="6:6">
      <c r="F495" s="537">
        <v>0</v>
      </c>
    </row>
    <row r="496" spans="6:6">
      <c r="F496" s="537">
        <v>0</v>
      </c>
    </row>
    <row r="497" spans="6:6">
      <c r="F497" s="537">
        <v>0</v>
      </c>
    </row>
    <row r="498" spans="6:6">
      <c r="F498" s="537">
        <v>0</v>
      </c>
    </row>
    <row r="499" spans="6:6">
      <c r="F499" s="537">
        <v>0</v>
      </c>
    </row>
    <row r="500" spans="6:6">
      <c r="F500" s="537">
        <v>0</v>
      </c>
    </row>
    <row r="501" spans="6:6">
      <c r="F501" s="537">
        <v>0</v>
      </c>
    </row>
    <row r="502" spans="6:6">
      <c r="F502" s="537">
        <v>0</v>
      </c>
    </row>
    <row r="503" spans="6:6">
      <c r="F503" s="537">
        <v>0</v>
      </c>
    </row>
    <row r="504" spans="6:6">
      <c r="F504" s="537">
        <v>0</v>
      </c>
    </row>
    <row r="505" spans="6:6">
      <c r="F505" s="537">
        <v>0</v>
      </c>
    </row>
    <row r="506" spans="6:6">
      <c r="F506" s="537">
        <v>0</v>
      </c>
    </row>
    <row r="507" spans="6:6">
      <c r="F507" s="537">
        <v>0</v>
      </c>
    </row>
    <row r="508" spans="6:6">
      <c r="F508" s="537">
        <v>0</v>
      </c>
    </row>
    <row r="509" spans="6:6">
      <c r="F509" s="537">
        <v>0</v>
      </c>
    </row>
    <row r="510" spans="6:6">
      <c r="F510" s="537">
        <v>0</v>
      </c>
    </row>
    <row r="511" spans="6:6">
      <c r="F511" s="537">
        <v>0</v>
      </c>
    </row>
    <row r="512" spans="6:6">
      <c r="F512" s="537">
        <v>0</v>
      </c>
    </row>
    <row r="513" spans="6:6">
      <c r="F513" s="537">
        <v>0</v>
      </c>
    </row>
    <row r="514" spans="6:6">
      <c r="F514" s="537">
        <v>0</v>
      </c>
    </row>
    <row r="515" spans="6:6">
      <c r="F515" s="537">
        <v>0</v>
      </c>
    </row>
    <row r="516" spans="6:6">
      <c r="F516" s="537">
        <v>0</v>
      </c>
    </row>
    <row r="517" spans="6:6">
      <c r="F517" s="537">
        <v>0</v>
      </c>
    </row>
    <row r="518" spans="6:6">
      <c r="F518" s="537">
        <v>0</v>
      </c>
    </row>
    <row r="519" spans="6:6">
      <c r="F519" s="537">
        <v>0</v>
      </c>
    </row>
    <row r="520" spans="6:6">
      <c r="F520" s="537">
        <v>0</v>
      </c>
    </row>
    <row r="521" spans="6:6">
      <c r="F521" s="537">
        <v>0</v>
      </c>
    </row>
    <row r="522" spans="6:6">
      <c r="F522" s="537">
        <v>0</v>
      </c>
    </row>
    <row r="523" spans="6:6">
      <c r="F523" s="537">
        <v>0</v>
      </c>
    </row>
    <row r="524" spans="6:6">
      <c r="F524" s="537">
        <v>0</v>
      </c>
    </row>
    <row r="525" spans="6:6">
      <c r="F525" s="537">
        <v>0</v>
      </c>
    </row>
    <row r="526" spans="6:6">
      <c r="F526" s="537">
        <v>0</v>
      </c>
    </row>
    <row r="527" spans="6:6">
      <c r="F527" s="537">
        <v>0</v>
      </c>
    </row>
    <row r="528" spans="6:6">
      <c r="F528" s="537">
        <v>0</v>
      </c>
    </row>
    <row r="529" spans="6:6">
      <c r="F529" s="537">
        <v>0</v>
      </c>
    </row>
    <row r="530" spans="6:6">
      <c r="F530" s="537">
        <v>0</v>
      </c>
    </row>
    <row r="531" spans="6:6">
      <c r="F531" s="537">
        <v>0</v>
      </c>
    </row>
    <row r="532" spans="6:6">
      <c r="F532" s="537">
        <v>0</v>
      </c>
    </row>
    <row r="533" spans="6:6">
      <c r="F533" s="537">
        <v>0</v>
      </c>
    </row>
    <row r="534" spans="6:6">
      <c r="F534" s="537">
        <v>0</v>
      </c>
    </row>
    <row r="535" spans="6:6">
      <c r="F535" s="537">
        <v>0</v>
      </c>
    </row>
    <row r="536" spans="6:6">
      <c r="F536" s="537">
        <v>0</v>
      </c>
    </row>
    <row r="537" spans="6:6">
      <c r="F537" s="537">
        <v>0</v>
      </c>
    </row>
    <row r="538" spans="6:6">
      <c r="F538" s="537">
        <v>0</v>
      </c>
    </row>
    <row r="539" spans="6:6">
      <c r="F539" s="537">
        <v>0</v>
      </c>
    </row>
    <row r="540" spans="6:6">
      <c r="F540" s="537">
        <v>0</v>
      </c>
    </row>
    <row r="541" spans="6:6">
      <c r="F541" s="537">
        <v>0</v>
      </c>
    </row>
    <row r="542" spans="6:6">
      <c r="F542" s="537">
        <v>0</v>
      </c>
    </row>
    <row r="543" spans="6:6">
      <c r="F543" s="537">
        <v>0</v>
      </c>
    </row>
    <row r="544" spans="6:6">
      <c r="F544" s="537">
        <v>0</v>
      </c>
    </row>
    <row r="545" spans="6:6">
      <c r="F545" s="537">
        <v>0</v>
      </c>
    </row>
    <row r="546" spans="6:6">
      <c r="F546" s="537">
        <v>0</v>
      </c>
    </row>
    <row r="547" spans="6:6">
      <c r="F547" s="537">
        <v>0</v>
      </c>
    </row>
    <row r="548" spans="6:6">
      <c r="F548" s="537">
        <v>0</v>
      </c>
    </row>
    <row r="549" spans="6:6">
      <c r="F549" s="537">
        <v>0</v>
      </c>
    </row>
    <row r="550" spans="6:6">
      <c r="F550" s="537">
        <v>0</v>
      </c>
    </row>
    <row r="551" spans="6:6">
      <c r="F551" s="537">
        <v>0</v>
      </c>
    </row>
    <row r="552" spans="6:6">
      <c r="F552" s="537">
        <v>0</v>
      </c>
    </row>
    <row r="553" spans="6:6">
      <c r="F553" s="537">
        <v>0</v>
      </c>
    </row>
    <row r="554" spans="6:6">
      <c r="F554" s="537">
        <v>0</v>
      </c>
    </row>
    <row r="555" spans="6:6">
      <c r="F555" s="537">
        <v>0</v>
      </c>
    </row>
    <row r="556" spans="6:6">
      <c r="F556" s="537">
        <v>0</v>
      </c>
    </row>
    <row r="557" spans="6:6">
      <c r="F557" s="537">
        <v>0</v>
      </c>
    </row>
    <row r="558" spans="6:6">
      <c r="F558" s="537">
        <v>0</v>
      </c>
    </row>
    <row r="559" spans="6:6">
      <c r="F559" s="537">
        <v>0</v>
      </c>
    </row>
    <row r="560" spans="6:6">
      <c r="F560" s="537">
        <v>0</v>
      </c>
    </row>
    <row r="561" spans="6:6">
      <c r="F561" s="537">
        <v>0</v>
      </c>
    </row>
    <row r="562" spans="6:6">
      <c r="F562" s="537">
        <v>0</v>
      </c>
    </row>
    <row r="563" spans="6:6">
      <c r="F563" s="537">
        <v>0</v>
      </c>
    </row>
    <row r="564" spans="6:6">
      <c r="F564" s="537">
        <v>0</v>
      </c>
    </row>
    <row r="565" spans="6:6">
      <c r="F565" s="537">
        <v>0</v>
      </c>
    </row>
    <row r="566" spans="6:6">
      <c r="F566" s="537">
        <v>0</v>
      </c>
    </row>
    <row r="567" spans="6:6">
      <c r="F567" s="537">
        <v>0</v>
      </c>
    </row>
    <row r="568" spans="6:6">
      <c r="F568" s="537">
        <v>0</v>
      </c>
    </row>
    <row r="569" spans="6:6">
      <c r="F569" s="537">
        <v>0</v>
      </c>
    </row>
    <row r="570" spans="6:6">
      <c r="F570" s="537">
        <v>0</v>
      </c>
    </row>
    <row r="571" spans="6:6">
      <c r="F571" s="537">
        <v>0</v>
      </c>
    </row>
    <row r="572" spans="6:6">
      <c r="F572" s="537">
        <v>0</v>
      </c>
    </row>
    <row r="573" spans="6:6">
      <c r="F573" s="537">
        <v>0</v>
      </c>
    </row>
    <row r="574" spans="6:6">
      <c r="F574" s="537">
        <v>0</v>
      </c>
    </row>
    <row r="575" spans="6:6">
      <c r="F575" s="537">
        <v>0</v>
      </c>
    </row>
    <row r="576" spans="6:6">
      <c r="F576" s="537">
        <v>0</v>
      </c>
    </row>
    <row r="577" spans="6:6">
      <c r="F577" s="537">
        <v>0</v>
      </c>
    </row>
    <row r="578" spans="6:6">
      <c r="F578" s="537">
        <v>0</v>
      </c>
    </row>
    <row r="579" spans="6:6">
      <c r="F579" s="537">
        <v>0</v>
      </c>
    </row>
    <row r="580" spans="6:6">
      <c r="F580" s="537">
        <v>0</v>
      </c>
    </row>
    <row r="581" spans="6:6">
      <c r="F581" s="537">
        <v>0</v>
      </c>
    </row>
    <row r="582" spans="6:6">
      <c r="F582" s="537">
        <v>0</v>
      </c>
    </row>
    <row r="583" spans="6:6">
      <c r="F583" s="537">
        <v>0</v>
      </c>
    </row>
    <row r="584" spans="6:6">
      <c r="F584" s="537">
        <v>0</v>
      </c>
    </row>
    <row r="585" spans="6:6">
      <c r="F585" s="537">
        <v>0</v>
      </c>
    </row>
    <row r="586" spans="6:6">
      <c r="F586" s="537">
        <v>0</v>
      </c>
    </row>
    <row r="587" spans="6:6">
      <c r="F587" s="537">
        <v>0</v>
      </c>
    </row>
    <row r="588" spans="6:6">
      <c r="F588" s="537">
        <v>0</v>
      </c>
    </row>
    <row r="589" spans="6:6">
      <c r="F589" s="537">
        <v>0</v>
      </c>
    </row>
    <row r="590" spans="6:6">
      <c r="F590" s="537">
        <v>0</v>
      </c>
    </row>
    <row r="591" spans="6:6">
      <c r="F591" s="537">
        <v>0</v>
      </c>
    </row>
    <row r="592" spans="6:6">
      <c r="F592" s="537">
        <v>0</v>
      </c>
    </row>
    <row r="593" spans="6:6">
      <c r="F593" s="537">
        <v>0</v>
      </c>
    </row>
    <row r="594" spans="6:6">
      <c r="F594" s="537">
        <v>0</v>
      </c>
    </row>
    <row r="595" spans="6:6">
      <c r="F595" s="537">
        <v>0</v>
      </c>
    </row>
    <row r="596" spans="6:6">
      <c r="F596" s="537">
        <v>0</v>
      </c>
    </row>
    <row r="597" spans="6:6">
      <c r="F597" s="537">
        <v>0</v>
      </c>
    </row>
    <row r="598" spans="6:6">
      <c r="F598" s="537">
        <v>0</v>
      </c>
    </row>
    <row r="599" spans="6:6">
      <c r="F599" s="537">
        <v>0</v>
      </c>
    </row>
    <row r="600" spans="6:6">
      <c r="F600" s="537">
        <v>0</v>
      </c>
    </row>
    <row r="601" spans="6:6">
      <c r="F601" s="537">
        <v>0</v>
      </c>
    </row>
    <row r="602" spans="6:6">
      <c r="F602" s="537">
        <v>0</v>
      </c>
    </row>
    <row r="603" spans="6:6">
      <c r="F603" s="537">
        <v>0</v>
      </c>
    </row>
    <row r="604" spans="6:6">
      <c r="F604" s="537">
        <v>0</v>
      </c>
    </row>
    <row r="605" spans="6:6">
      <c r="F605" s="537">
        <v>0</v>
      </c>
    </row>
    <row r="606" spans="6:6">
      <c r="F606" s="537">
        <v>0</v>
      </c>
    </row>
    <row r="607" spans="6:6">
      <c r="F607" s="537">
        <v>0</v>
      </c>
    </row>
    <row r="608" spans="6:6">
      <c r="F608" s="537">
        <v>0</v>
      </c>
    </row>
    <row r="609" spans="6:6">
      <c r="F609" s="537">
        <v>0</v>
      </c>
    </row>
    <row r="610" spans="6:6">
      <c r="F610" s="537">
        <v>0</v>
      </c>
    </row>
    <row r="611" spans="6:6">
      <c r="F611" s="537">
        <v>0</v>
      </c>
    </row>
    <row r="612" spans="6:6">
      <c r="F612" s="537">
        <v>0</v>
      </c>
    </row>
    <row r="613" spans="6:6">
      <c r="F613" s="537">
        <v>0</v>
      </c>
    </row>
    <row r="614" spans="6:6">
      <c r="F614" s="537">
        <v>0</v>
      </c>
    </row>
    <row r="615" spans="6:6">
      <c r="F615" s="537">
        <v>0</v>
      </c>
    </row>
    <row r="616" spans="6:6">
      <c r="F616" s="537">
        <v>0</v>
      </c>
    </row>
    <row r="617" spans="6:6">
      <c r="F617" s="537">
        <v>0</v>
      </c>
    </row>
    <row r="618" spans="6:6">
      <c r="F618" s="537">
        <v>0</v>
      </c>
    </row>
    <row r="619" spans="6:6">
      <c r="F619" s="537">
        <v>0</v>
      </c>
    </row>
    <row r="620" spans="6:6">
      <c r="F620" s="537">
        <v>0</v>
      </c>
    </row>
    <row r="621" spans="6:6">
      <c r="F621" s="537">
        <v>0</v>
      </c>
    </row>
    <row r="622" spans="6:6">
      <c r="F622" s="537">
        <v>0</v>
      </c>
    </row>
    <row r="623" spans="6:6">
      <c r="F623" s="537">
        <v>0</v>
      </c>
    </row>
    <row r="624" spans="6:6">
      <c r="F624" s="537">
        <v>0</v>
      </c>
    </row>
    <row r="625" spans="6:6">
      <c r="F625" s="537">
        <v>0</v>
      </c>
    </row>
    <row r="626" spans="6:6">
      <c r="F626" s="537">
        <v>0</v>
      </c>
    </row>
    <row r="627" spans="6:6">
      <c r="F627" s="537">
        <v>0</v>
      </c>
    </row>
    <row r="628" spans="6:6">
      <c r="F628" s="537">
        <v>0</v>
      </c>
    </row>
    <row r="629" spans="6:6">
      <c r="F629" s="537">
        <v>0</v>
      </c>
    </row>
    <row r="630" spans="6:6">
      <c r="F630" s="537">
        <v>0</v>
      </c>
    </row>
    <row r="631" spans="6:6">
      <c r="F631" s="537">
        <v>0</v>
      </c>
    </row>
    <row r="632" spans="6:6">
      <c r="F632" s="537">
        <v>0</v>
      </c>
    </row>
    <row r="633" spans="6:6">
      <c r="F633" s="537">
        <v>0</v>
      </c>
    </row>
    <row r="634" spans="6:6">
      <c r="F634" s="537">
        <v>0</v>
      </c>
    </row>
    <row r="635" spans="6:6">
      <c r="F635" s="537">
        <v>0</v>
      </c>
    </row>
    <row r="636" spans="6:6">
      <c r="F636" s="537">
        <v>0</v>
      </c>
    </row>
    <row r="637" spans="6:6">
      <c r="F637" s="537">
        <v>0</v>
      </c>
    </row>
    <row r="638" spans="6:6">
      <c r="F638" s="537">
        <v>0</v>
      </c>
    </row>
    <row r="639" spans="6:6">
      <c r="F639" s="537">
        <v>0</v>
      </c>
    </row>
    <row r="640" spans="6:6">
      <c r="F640" s="537">
        <v>0</v>
      </c>
    </row>
    <row r="641" spans="6:6">
      <c r="F641" s="537">
        <v>0</v>
      </c>
    </row>
    <row r="642" spans="6:6">
      <c r="F642" s="537">
        <v>0</v>
      </c>
    </row>
    <row r="643" spans="6:6">
      <c r="F643" s="537">
        <v>0</v>
      </c>
    </row>
    <row r="644" spans="6:6">
      <c r="F644" s="537">
        <v>0</v>
      </c>
    </row>
    <row r="645" spans="6:6">
      <c r="F645" s="537">
        <v>0</v>
      </c>
    </row>
    <row r="646" spans="6:6">
      <c r="F646" s="537">
        <v>0</v>
      </c>
    </row>
    <row r="647" spans="6:6">
      <c r="F647" s="537">
        <v>0</v>
      </c>
    </row>
    <row r="648" spans="6:6">
      <c r="F648" s="537">
        <v>0</v>
      </c>
    </row>
    <row r="649" spans="6:6">
      <c r="F649" s="537">
        <v>0</v>
      </c>
    </row>
    <row r="650" spans="6:6">
      <c r="F650" s="537">
        <v>0</v>
      </c>
    </row>
    <row r="651" spans="6:6">
      <c r="F651" s="537">
        <v>0</v>
      </c>
    </row>
    <row r="652" spans="6:6">
      <c r="F652" s="537">
        <v>0</v>
      </c>
    </row>
    <row r="653" spans="6:6">
      <c r="F653" s="537">
        <v>0</v>
      </c>
    </row>
    <row r="654" spans="6:6">
      <c r="F654" s="537">
        <v>0</v>
      </c>
    </row>
    <row r="655" spans="6:6">
      <c r="F655" s="537">
        <v>0</v>
      </c>
    </row>
    <row r="656" spans="6:6">
      <c r="F656" s="537">
        <v>0</v>
      </c>
    </row>
    <row r="657" spans="6:6">
      <c r="F657" s="537">
        <v>0</v>
      </c>
    </row>
    <row r="658" spans="6:6">
      <c r="F658" s="537">
        <v>0</v>
      </c>
    </row>
    <row r="659" spans="6:6">
      <c r="F659" s="537">
        <v>0</v>
      </c>
    </row>
    <row r="660" spans="6:6">
      <c r="F660" s="537">
        <v>0</v>
      </c>
    </row>
    <row r="661" spans="6:6">
      <c r="F661" s="537">
        <v>0</v>
      </c>
    </row>
    <row r="662" spans="6:6">
      <c r="F662" s="537">
        <v>0</v>
      </c>
    </row>
    <row r="663" spans="6:6">
      <c r="F663" s="537">
        <v>0</v>
      </c>
    </row>
    <row r="664" spans="6:6">
      <c r="F664" s="537">
        <v>0</v>
      </c>
    </row>
    <row r="665" spans="6:6">
      <c r="F665" s="537">
        <v>0</v>
      </c>
    </row>
    <row r="666" spans="6:6">
      <c r="F666" s="537">
        <v>0</v>
      </c>
    </row>
    <row r="667" spans="6:6">
      <c r="F667" s="537">
        <v>0</v>
      </c>
    </row>
    <row r="668" spans="6:6">
      <c r="F668" s="537">
        <v>0</v>
      </c>
    </row>
    <row r="669" spans="6:6">
      <c r="F669" s="537">
        <v>0</v>
      </c>
    </row>
    <row r="670" spans="6:6">
      <c r="F670" s="537">
        <v>0</v>
      </c>
    </row>
    <row r="671" spans="6:6">
      <c r="F671" s="537">
        <v>0</v>
      </c>
    </row>
    <row r="672" spans="6:6">
      <c r="F672" s="537">
        <v>0</v>
      </c>
    </row>
    <row r="673" spans="6:6">
      <c r="F673" s="537">
        <v>0</v>
      </c>
    </row>
    <row r="674" spans="6:6">
      <c r="F674" s="537">
        <v>0</v>
      </c>
    </row>
    <row r="675" spans="6:6">
      <c r="F675" s="537">
        <v>0</v>
      </c>
    </row>
    <row r="676" spans="6:6">
      <c r="F676" s="537">
        <v>0</v>
      </c>
    </row>
    <row r="677" spans="6:6">
      <c r="F677" s="537">
        <v>0</v>
      </c>
    </row>
    <row r="678" spans="6:6">
      <c r="F678" s="537">
        <v>0</v>
      </c>
    </row>
    <row r="679" spans="6:6">
      <c r="F679" s="537">
        <v>0</v>
      </c>
    </row>
    <row r="680" spans="6:6">
      <c r="F680" s="537">
        <v>0</v>
      </c>
    </row>
    <row r="681" spans="6:6">
      <c r="F681" s="537">
        <v>0</v>
      </c>
    </row>
    <row r="682" spans="6:6">
      <c r="F682" s="537">
        <v>0</v>
      </c>
    </row>
    <row r="683" spans="6:6">
      <c r="F683" s="537">
        <v>0</v>
      </c>
    </row>
    <row r="684" spans="6:6">
      <c r="F684" s="537">
        <v>0</v>
      </c>
    </row>
    <row r="685" spans="6:6">
      <c r="F685" s="537">
        <v>0</v>
      </c>
    </row>
    <row r="686" spans="6:6">
      <c r="F686" s="537">
        <v>0</v>
      </c>
    </row>
    <row r="687" spans="6:6">
      <c r="F687" s="537">
        <v>0</v>
      </c>
    </row>
    <row r="688" spans="6:6">
      <c r="F688" s="537">
        <v>0</v>
      </c>
    </row>
    <row r="689" spans="6:6">
      <c r="F689" s="537">
        <v>0</v>
      </c>
    </row>
    <row r="690" spans="6:6">
      <c r="F690" s="537">
        <v>0</v>
      </c>
    </row>
    <row r="691" spans="6:6">
      <c r="F691" s="537">
        <v>0</v>
      </c>
    </row>
    <row r="692" spans="6:6">
      <c r="F692" s="537">
        <v>0</v>
      </c>
    </row>
    <row r="693" spans="6:6">
      <c r="F693" s="537">
        <v>0</v>
      </c>
    </row>
    <row r="694" spans="6:6">
      <c r="F694" s="537">
        <v>0</v>
      </c>
    </row>
    <row r="695" spans="6:6">
      <c r="F695" s="537">
        <v>0</v>
      </c>
    </row>
    <row r="696" spans="6:6">
      <c r="F696" s="537">
        <v>0</v>
      </c>
    </row>
    <row r="697" spans="6:6">
      <c r="F697" s="537">
        <v>0</v>
      </c>
    </row>
    <row r="698" spans="6:6">
      <c r="F698" s="537">
        <v>0</v>
      </c>
    </row>
    <row r="699" spans="6:6">
      <c r="F699" s="537">
        <v>0</v>
      </c>
    </row>
    <row r="700" spans="6:6">
      <c r="F700" s="537">
        <v>0</v>
      </c>
    </row>
    <row r="701" spans="6:6">
      <c r="F701" s="537">
        <v>0</v>
      </c>
    </row>
    <row r="702" spans="6:6">
      <c r="F702" s="537">
        <v>0</v>
      </c>
    </row>
    <row r="703" spans="6:6">
      <c r="F703" s="537">
        <v>0</v>
      </c>
    </row>
    <row r="704" spans="6:6">
      <c r="F704" s="537">
        <v>0</v>
      </c>
    </row>
    <row r="705" spans="6:6">
      <c r="F705" s="537">
        <v>0</v>
      </c>
    </row>
    <row r="706" spans="6:6">
      <c r="F706" s="537">
        <v>0</v>
      </c>
    </row>
    <row r="707" spans="6:6">
      <c r="F707" s="537">
        <v>0</v>
      </c>
    </row>
    <row r="708" spans="6:6">
      <c r="F708" s="537">
        <v>0</v>
      </c>
    </row>
    <row r="709" spans="6:6">
      <c r="F709" s="537">
        <v>0</v>
      </c>
    </row>
    <row r="710" spans="6:6">
      <c r="F710" s="537">
        <v>0</v>
      </c>
    </row>
    <row r="711" spans="6:6">
      <c r="F711" s="537">
        <v>0</v>
      </c>
    </row>
    <row r="712" spans="6:6">
      <c r="F712" s="537">
        <v>0</v>
      </c>
    </row>
    <row r="713" spans="6:6">
      <c r="F713" s="537">
        <v>0</v>
      </c>
    </row>
    <row r="714" spans="6:6">
      <c r="F714" s="537">
        <v>0</v>
      </c>
    </row>
    <row r="715" spans="6:6">
      <c r="F715" s="537">
        <v>0</v>
      </c>
    </row>
    <row r="716" spans="6:6">
      <c r="F716" s="537">
        <v>0</v>
      </c>
    </row>
    <row r="717" spans="6:6">
      <c r="F717" s="537">
        <v>0</v>
      </c>
    </row>
    <row r="718" spans="6:6">
      <c r="F718" s="537">
        <v>0</v>
      </c>
    </row>
    <row r="719" spans="6:6">
      <c r="F719" s="537">
        <v>0</v>
      </c>
    </row>
    <row r="720" spans="6:6">
      <c r="F720" s="537">
        <v>0</v>
      </c>
    </row>
    <row r="721" spans="6:6">
      <c r="F721" s="537">
        <v>0</v>
      </c>
    </row>
    <row r="722" spans="6:6">
      <c r="F722" s="537">
        <v>0</v>
      </c>
    </row>
    <row r="723" spans="6:6">
      <c r="F723" s="537">
        <v>0</v>
      </c>
    </row>
    <row r="724" spans="6:6">
      <c r="F724" s="537">
        <v>0</v>
      </c>
    </row>
    <row r="725" spans="6:6">
      <c r="F725" s="537">
        <v>0</v>
      </c>
    </row>
    <row r="726" spans="6:6">
      <c r="F726" s="537">
        <v>0</v>
      </c>
    </row>
    <row r="727" spans="6:6">
      <c r="F727" s="537">
        <v>0</v>
      </c>
    </row>
    <row r="728" spans="6:6">
      <c r="F728" s="537">
        <v>0</v>
      </c>
    </row>
    <row r="729" spans="6:6">
      <c r="F729" s="537">
        <v>0</v>
      </c>
    </row>
    <row r="730" spans="6:6">
      <c r="F730" s="537">
        <v>0</v>
      </c>
    </row>
    <row r="731" spans="6:6">
      <c r="F731" s="537">
        <v>0</v>
      </c>
    </row>
    <row r="732" spans="6:6">
      <c r="F732" s="537">
        <v>0</v>
      </c>
    </row>
    <row r="733" spans="6:6">
      <c r="F733" s="537">
        <v>0</v>
      </c>
    </row>
    <row r="734" spans="6:6">
      <c r="F734" s="537">
        <v>0</v>
      </c>
    </row>
    <row r="735" spans="6:6">
      <c r="F735" s="537">
        <v>0</v>
      </c>
    </row>
    <row r="736" spans="6:6">
      <c r="F736" s="537">
        <v>0</v>
      </c>
    </row>
    <row r="737" spans="6:6">
      <c r="F737" s="537">
        <v>0</v>
      </c>
    </row>
    <row r="738" spans="6:6">
      <c r="F738" s="537">
        <v>0</v>
      </c>
    </row>
    <row r="739" spans="6:6">
      <c r="F739" s="537">
        <v>0</v>
      </c>
    </row>
    <row r="740" spans="6:6">
      <c r="F740" s="537">
        <v>0</v>
      </c>
    </row>
    <row r="741" spans="6:6">
      <c r="F741" s="537">
        <v>0</v>
      </c>
    </row>
    <row r="742" spans="6:6">
      <c r="F742" s="537">
        <v>0</v>
      </c>
    </row>
    <row r="743" spans="6:6">
      <c r="F743" s="537">
        <v>0</v>
      </c>
    </row>
    <row r="744" spans="6:6">
      <c r="F744" s="537">
        <v>0</v>
      </c>
    </row>
    <row r="745" spans="6:6">
      <c r="F745" s="537">
        <v>0</v>
      </c>
    </row>
    <row r="746" spans="6:6">
      <c r="F746" s="537">
        <v>0</v>
      </c>
    </row>
    <row r="747" spans="6:6">
      <c r="F747" s="537">
        <v>0</v>
      </c>
    </row>
    <row r="748" spans="6:6">
      <c r="F748" s="537">
        <v>0</v>
      </c>
    </row>
    <row r="749" spans="6:6">
      <c r="F749" s="537">
        <v>0</v>
      </c>
    </row>
    <row r="750" spans="6:6">
      <c r="F750" s="537">
        <v>0</v>
      </c>
    </row>
    <row r="751" spans="6:6">
      <c r="F751" s="537">
        <v>0</v>
      </c>
    </row>
    <row r="752" spans="6:6">
      <c r="F752" s="537">
        <v>0</v>
      </c>
    </row>
    <row r="753" spans="6:6">
      <c r="F753" s="537">
        <v>0</v>
      </c>
    </row>
    <row r="754" spans="6:6">
      <c r="F754" s="537">
        <v>0</v>
      </c>
    </row>
    <row r="755" spans="6:6">
      <c r="F755" s="537">
        <v>0</v>
      </c>
    </row>
    <row r="756" spans="6:6">
      <c r="F756" s="537">
        <v>0</v>
      </c>
    </row>
    <row r="757" spans="6:6">
      <c r="F757" s="537">
        <v>0</v>
      </c>
    </row>
    <row r="758" spans="6:6">
      <c r="F758" s="537">
        <v>0</v>
      </c>
    </row>
    <row r="759" spans="6:6">
      <c r="F759" s="537">
        <v>0</v>
      </c>
    </row>
    <row r="760" spans="6:6">
      <c r="F760" s="537">
        <v>0</v>
      </c>
    </row>
    <row r="761" spans="6:6">
      <c r="F761" s="537">
        <v>0</v>
      </c>
    </row>
    <row r="762" spans="6:6">
      <c r="F762" s="537">
        <v>0</v>
      </c>
    </row>
    <row r="763" spans="6:6">
      <c r="F763" s="537">
        <v>0</v>
      </c>
    </row>
    <row r="764" spans="6:6">
      <c r="F764" s="537">
        <v>0</v>
      </c>
    </row>
    <row r="765" spans="6:6">
      <c r="F765" s="537">
        <v>0</v>
      </c>
    </row>
    <row r="766" spans="6:6">
      <c r="F766" s="537">
        <v>0</v>
      </c>
    </row>
    <row r="767" spans="6:6">
      <c r="F767" s="537">
        <v>0</v>
      </c>
    </row>
    <row r="768" spans="6:6">
      <c r="F768" s="537">
        <v>0</v>
      </c>
    </row>
    <row r="769" spans="6:6">
      <c r="F769" s="537">
        <v>0</v>
      </c>
    </row>
    <row r="770" spans="6:6">
      <c r="F770" s="537">
        <v>0</v>
      </c>
    </row>
    <row r="771" spans="6:6">
      <c r="F771" s="537">
        <v>0</v>
      </c>
    </row>
    <row r="772" spans="6:6">
      <c r="F772" s="537">
        <v>0</v>
      </c>
    </row>
    <row r="773" spans="6:6">
      <c r="F773" s="537">
        <v>0</v>
      </c>
    </row>
    <row r="774" spans="6:6">
      <c r="F774" s="537">
        <v>0</v>
      </c>
    </row>
    <row r="775" spans="6:6">
      <c r="F775" s="537">
        <v>0</v>
      </c>
    </row>
    <row r="776" spans="6:6">
      <c r="F776" s="537">
        <v>0</v>
      </c>
    </row>
    <row r="777" spans="6:6">
      <c r="F777" s="537">
        <v>0</v>
      </c>
    </row>
    <row r="778" spans="6:6">
      <c r="F778" s="537">
        <v>0</v>
      </c>
    </row>
    <row r="779" spans="6:6">
      <c r="F779" s="537">
        <v>0</v>
      </c>
    </row>
    <row r="780" spans="6:6">
      <c r="F780" s="537">
        <v>0</v>
      </c>
    </row>
    <row r="781" spans="6:6">
      <c r="F781" s="537">
        <v>0</v>
      </c>
    </row>
    <row r="782" spans="6:6">
      <c r="F782" s="537">
        <v>0</v>
      </c>
    </row>
    <row r="783" spans="6:6">
      <c r="F783" s="537">
        <v>0</v>
      </c>
    </row>
    <row r="784" spans="6:6">
      <c r="F784" s="537">
        <v>0</v>
      </c>
    </row>
    <row r="785" spans="6:6">
      <c r="F785" s="537">
        <v>0</v>
      </c>
    </row>
    <row r="786" spans="6:6">
      <c r="F786" s="537">
        <v>0</v>
      </c>
    </row>
    <row r="787" spans="6:6">
      <c r="F787" s="537">
        <v>0</v>
      </c>
    </row>
    <row r="788" spans="6:6">
      <c r="F788" s="537">
        <v>0</v>
      </c>
    </row>
    <row r="789" spans="6:6">
      <c r="F789" s="537">
        <v>0</v>
      </c>
    </row>
    <row r="790" spans="6:6">
      <c r="F790" s="537">
        <v>0</v>
      </c>
    </row>
    <row r="791" spans="6:6">
      <c r="F791" s="537">
        <v>0</v>
      </c>
    </row>
    <row r="792" spans="6:6">
      <c r="F792" s="537">
        <v>0</v>
      </c>
    </row>
    <row r="793" spans="6:6">
      <c r="F793" s="537">
        <v>0</v>
      </c>
    </row>
    <row r="794" spans="6:6">
      <c r="F794" s="537">
        <v>0</v>
      </c>
    </row>
    <row r="795" spans="6:6">
      <c r="F795" s="537">
        <v>0</v>
      </c>
    </row>
    <row r="796" spans="6:6">
      <c r="F796" s="537">
        <v>0</v>
      </c>
    </row>
    <row r="797" spans="6:6">
      <c r="F797" s="537">
        <v>0</v>
      </c>
    </row>
    <row r="798" spans="6:6">
      <c r="F798" s="537">
        <v>0</v>
      </c>
    </row>
    <row r="799" spans="6:6">
      <c r="F799" s="537">
        <v>0</v>
      </c>
    </row>
    <row r="800" spans="6:6">
      <c r="F800" s="537">
        <v>0</v>
      </c>
    </row>
    <row r="801" spans="6:6">
      <c r="F801" s="537">
        <v>0</v>
      </c>
    </row>
    <row r="802" spans="6:6">
      <c r="F802" s="537">
        <v>0</v>
      </c>
    </row>
    <row r="803" spans="6:6">
      <c r="F803" s="537">
        <v>0</v>
      </c>
    </row>
    <row r="804" spans="6:6">
      <c r="F804" s="537">
        <v>0</v>
      </c>
    </row>
    <row r="805" spans="6:6">
      <c r="F805" s="537">
        <v>0</v>
      </c>
    </row>
    <row r="806" spans="6:6">
      <c r="F806" s="537">
        <v>0</v>
      </c>
    </row>
    <row r="807" spans="6:6">
      <c r="F807" s="537">
        <v>0</v>
      </c>
    </row>
    <row r="808" spans="6:6">
      <c r="F808" s="537">
        <v>0</v>
      </c>
    </row>
    <row r="809" spans="6:6">
      <c r="F809" s="537">
        <v>0</v>
      </c>
    </row>
    <row r="810" spans="6:6">
      <c r="F810" s="537">
        <v>0</v>
      </c>
    </row>
    <row r="811" spans="6:6">
      <c r="F811" s="537">
        <v>0</v>
      </c>
    </row>
    <row r="812" spans="6:6">
      <c r="F812" s="537">
        <v>0</v>
      </c>
    </row>
    <row r="813" spans="6:6">
      <c r="F813" s="537">
        <v>0</v>
      </c>
    </row>
    <row r="814" spans="6:6">
      <c r="F814" s="537">
        <v>0</v>
      </c>
    </row>
    <row r="815" spans="6:6">
      <c r="F815" s="537">
        <v>0</v>
      </c>
    </row>
    <row r="816" spans="6:6">
      <c r="F816" s="537">
        <v>0</v>
      </c>
    </row>
    <row r="817" spans="6:6">
      <c r="F817" s="537">
        <v>0</v>
      </c>
    </row>
    <row r="818" spans="6:6">
      <c r="F818" s="537">
        <v>0</v>
      </c>
    </row>
    <row r="819" spans="6:6">
      <c r="F819" s="537">
        <v>0</v>
      </c>
    </row>
    <row r="820" spans="6:6">
      <c r="F820" s="537">
        <v>0</v>
      </c>
    </row>
    <row r="821" spans="6:6">
      <c r="F821" s="537">
        <v>0</v>
      </c>
    </row>
    <row r="822" spans="6:6">
      <c r="F822" s="537">
        <v>0</v>
      </c>
    </row>
    <row r="823" spans="6:6">
      <c r="F823" s="537">
        <v>0</v>
      </c>
    </row>
    <row r="824" spans="6:6">
      <c r="F824" s="537">
        <v>0</v>
      </c>
    </row>
    <row r="825" spans="6:6">
      <c r="F825" s="537">
        <v>0</v>
      </c>
    </row>
    <row r="826" spans="6:6">
      <c r="F826" s="537">
        <v>0</v>
      </c>
    </row>
    <row r="827" spans="6:6">
      <c r="F827" s="537">
        <v>0</v>
      </c>
    </row>
    <row r="828" spans="6:6">
      <c r="F828" s="537">
        <v>0</v>
      </c>
    </row>
    <row r="829" spans="6:6">
      <c r="F829" s="537">
        <v>0</v>
      </c>
    </row>
    <row r="830" spans="6:6">
      <c r="F830" s="537">
        <v>0</v>
      </c>
    </row>
    <row r="831" spans="6:6">
      <c r="F831" s="537">
        <v>0</v>
      </c>
    </row>
    <row r="832" spans="6:6">
      <c r="F832" s="537">
        <v>0</v>
      </c>
    </row>
    <row r="833" spans="6:6">
      <c r="F833" s="537">
        <v>0</v>
      </c>
    </row>
    <row r="834" spans="6:6">
      <c r="F834" s="537">
        <v>0</v>
      </c>
    </row>
    <row r="835" spans="6:6">
      <c r="F835" s="537">
        <v>0</v>
      </c>
    </row>
    <row r="836" spans="6:6">
      <c r="F836" s="537">
        <v>0</v>
      </c>
    </row>
    <row r="837" spans="6:6">
      <c r="F837" s="537">
        <v>0</v>
      </c>
    </row>
    <row r="838" spans="6:6">
      <c r="F838" s="537">
        <v>0</v>
      </c>
    </row>
    <row r="839" spans="6:6">
      <c r="F839" s="537">
        <v>0</v>
      </c>
    </row>
    <row r="840" spans="6:6">
      <c r="F840" s="537">
        <v>0</v>
      </c>
    </row>
    <row r="841" spans="6:6">
      <c r="F841" s="537">
        <v>0</v>
      </c>
    </row>
    <row r="842" spans="6:6">
      <c r="F842" s="537">
        <v>0</v>
      </c>
    </row>
    <row r="843" spans="6:6">
      <c r="F843" s="537">
        <v>0</v>
      </c>
    </row>
    <row r="844" spans="6:6">
      <c r="F844" s="537">
        <v>0</v>
      </c>
    </row>
    <row r="845" spans="6:6">
      <c r="F845" s="537">
        <v>0</v>
      </c>
    </row>
    <row r="846" spans="6:6">
      <c r="F846" s="537">
        <v>0</v>
      </c>
    </row>
    <row r="847" spans="6:6">
      <c r="F847" s="537">
        <v>0</v>
      </c>
    </row>
    <row r="848" spans="6:6">
      <c r="F848" s="537">
        <v>0</v>
      </c>
    </row>
    <row r="849" spans="6:6">
      <c r="F849" s="537">
        <v>0</v>
      </c>
    </row>
    <row r="850" spans="6:6">
      <c r="F850" s="537">
        <v>0</v>
      </c>
    </row>
    <row r="851" spans="6:6">
      <c r="F851" s="537">
        <v>0</v>
      </c>
    </row>
    <row r="852" spans="6:6">
      <c r="F852" s="537">
        <v>0</v>
      </c>
    </row>
    <row r="853" spans="6:6">
      <c r="F853" s="537">
        <v>0</v>
      </c>
    </row>
    <row r="854" spans="6:6">
      <c r="F854" s="537">
        <v>0</v>
      </c>
    </row>
    <row r="855" spans="6:6">
      <c r="F855" s="537">
        <v>0</v>
      </c>
    </row>
    <row r="856" spans="6:6">
      <c r="F856" s="537">
        <v>0</v>
      </c>
    </row>
    <row r="857" spans="6:6">
      <c r="F857" s="537">
        <v>0</v>
      </c>
    </row>
    <row r="858" spans="6:6">
      <c r="F858" s="537">
        <v>0</v>
      </c>
    </row>
    <row r="859" spans="6:6">
      <c r="F859" s="537">
        <v>0</v>
      </c>
    </row>
    <row r="860" spans="6:6">
      <c r="F860" s="537">
        <v>0</v>
      </c>
    </row>
    <row r="861" spans="6:6">
      <c r="F861" s="537">
        <v>0</v>
      </c>
    </row>
    <row r="862" spans="6:6">
      <c r="F862" s="537">
        <v>0</v>
      </c>
    </row>
    <row r="863" spans="6:6">
      <c r="F863" s="537">
        <v>0</v>
      </c>
    </row>
    <row r="864" spans="6:6">
      <c r="F864" s="537">
        <v>0</v>
      </c>
    </row>
    <row r="865" spans="6:6">
      <c r="F865" s="537">
        <v>0</v>
      </c>
    </row>
    <row r="866" spans="6:6">
      <c r="F866" s="537">
        <v>0</v>
      </c>
    </row>
    <row r="867" spans="6:6">
      <c r="F867" s="537">
        <v>0</v>
      </c>
    </row>
    <row r="868" spans="6:6">
      <c r="F868" s="537">
        <v>0</v>
      </c>
    </row>
    <row r="869" spans="6:6">
      <c r="F869" s="537">
        <v>0</v>
      </c>
    </row>
    <row r="870" spans="6:6">
      <c r="F870" s="537">
        <v>0</v>
      </c>
    </row>
    <row r="871" spans="6:6">
      <c r="F871" s="537">
        <v>0</v>
      </c>
    </row>
    <row r="872" spans="6:6">
      <c r="F872" s="537">
        <v>0</v>
      </c>
    </row>
    <row r="873" spans="6:6">
      <c r="F873" s="537">
        <v>0</v>
      </c>
    </row>
    <row r="874" spans="6:6">
      <c r="F874" s="537">
        <v>0</v>
      </c>
    </row>
    <row r="875" spans="6:6">
      <c r="F875" s="537">
        <v>0</v>
      </c>
    </row>
    <row r="876" spans="6:6">
      <c r="F876" s="537">
        <v>0</v>
      </c>
    </row>
    <row r="877" spans="6:6">
      <c r="F877" s="537">
        <v>0</v>
      </c>
    </row>
    <row r="878" spans="6:6">
      <c r="F878" s="537">
        <v>0</v>
      </c>
    </row>
    <row r="879" spans="6:6">
      <c r="F879" s="537">
        <v>0</v>
      </c>
    </row>
    <row r="880" spans="6:6">
      <c r="F880" s="537">
        <v>0</v>
      </c>
    </row>
    <row r="881" spans="6:6">
      <c r="F881" s="537">
        <v>0</v>
      </c>
    </row>
    <row r="882" spans="6:6">
      <c r="F882" s="537">
        <v>0</v>
      </c>
    </row>
    <row r="883" spans="6:6">
      <c r="F883" s="537">
        <v>0</v>
      </c>
    </row>
    <row r="884" spans="6:6">
      <c r="F884" s="537">
        <v>0</v>
      </c>
    </row>
    <row r="885" spans="6:6">
      <c r="F885" s="537">
        <v>0</v>
      </c>
    </row>
    <row r="886" spans="6:6">
      <c r="F886" s="537">
        <v>0</v>
      </c>
    </row>
    <row r="887" spans="6:6">
      <c r="F887" s="537">
        <v>0</v>
      </c>
    </row>
    <row r="888" spans="6:6">
      <c r="F888" s="537">
        <v>0</v>
      </c>
    </row>
    <row r="889" spans="6:6">
      <c r="F889" s="537">
        <v>0</v>
      </c>
    </row>
    <row r="890" spans="6:6">
      <c r="F890" s="537">
        <v>0</v>
      </c>
    </row>
    <row r="891" spans="6:6">
      <c r="F891" s="537">
        <v>0</v>
      </c>
    </row>
    <row r="892" spans="6:6">
      <c r="F892" s="537">
        <v>0</v>
      </c>
    </row>
    <row r="893" spans="6:6">
      <c r="F893" s="537">
        <v>0</v>
      </c>
    </row>
    <row r="894" spans="6:6">
      <c r="F894" s="537">
        <v>0</v>
      </c>
    </row>
    <row r="895" spans="6:6">
      <c r="F895" s="537">
        <v>0</v>
      </c>
    </row>
    <row r="896" spans="6:6">
      <c r="F896" s="537">
        <v>0</v>
      </c>
    </row>
    <row r="897" spans="6:6">
      <c r="F897" s="537">
        <v>0</v>
      </c>
    </row>
    <row r="898" spans="6:6">
      <c r="F898" s="537">
        <v>0</v>
      </c>
    </row>
    <row r="899" spans="6:6">
      <c r="F899" s="537">
        <v>0</v>
      </c>
    </row>
    <row r="900" spans="6:6">
      <c r="F900" s="537">
        <v>0</v>
      </c>
    </row>
    <row r="901" spans="6:6">
      <c r="F901" s="537">
        <v>0</v>
      </c>
    </row>
    <row r="902" spans="6:6">
      <c r="F902" s="537">
        <v>0</v>
      </c>
    </row>
    <row r="903" spans="6:6">
      <c r="F903" s="537">
        <v>0</v>
      </c>
    </row>
    <row r="904" spans="6:6">
      <c r="F904" s="537">
        <v>0</v>
      </c>
    </row>
    <row r="905" spans="6:6">
      <c r="F905" s="537">
        <v>0</v>
      </c>
    </row>
    <row r="906" spans="6:6">
      <c r="F906" s="537">
        <v>0</v>
      </c>
    </row>
    <row r="907" spans="6:6">
      <c r="F907" s="537">
        <v>0</v>
      </c>
    </row>
    <row r="908" spans="6:6">
      <c r="F908" s="537">
        <v>0</v>
      </c>
    </row>
    <row r="909" spans="6:6">
      <c r="F909" s="537">
        <v>0</v>
      </c>
    </row>
    <row r="910" spans="6:6">
      <c r="F910" s="537">
        <v>0</v>
      </c>
    </row>
    <row r="911" spans="6:6">
      <c r="F911" s="537">
        <v>0</v>
      </c>
    </row>
    <row r="912" spans="6:6">
      <c r="F912" s="537">
        <v>0</v>
      </c>
    </row>
    <row r="913" spans="6:6">
      <c r="F913" s="537">
        <v>0</v>
      </c>
    </row>
    <row r="914" spans="6:6">
      <c r="F914" s="537">
        <v>0</v>
      </c>
    </row>
    <row r="915" spans="6:6">
      <c r="F915" s="537">
        <v>0</v>
      </c>
    </row>
    <row r="916" spans="6:6">
      <c r="F916" s="537">
        <v>0</v>
      </c>
    </row>
    <row r="917" spans="6:6">
      <c r="F917" s="537">
        <v>0</v>
      </c>
    </row>
    <row r="918" spans="6:6">
      <c r="F918" s="537">
        <v>0</v>
      </c>
    </row>
    <row r="919" spans="6:6">
      <c r="F919" s="537">
        <v>0</v>
      </c>
    </row>
    <row r="920" spans="6:6">
      <c r="F920" s="537">
        <v>0</v>
      </c>
    </row>
    <row r="921" spans="6:6">
      <c r="F921" s="537">
        <v>0</v>
      </c>
    </row>
    <row r="922" spans="6:6">
      <c r="F922" s="537">
        <v>0</v>
      </c>
    </row>
    <row r="923" spans="6:6">
      <c r="F923" s="537">
        <v>0</v>
      </c>
    </row>
    <row r="924" spans="6:6">
      <c r="F924" s="537">
        <v>0</v>
      </c>
    </row>
    <row r="925" spans="6:6">
      <c r="F925" s="537">
        <v>0</v>
      </c>
    </row>
    <row r="926" spans="6:6">
      <c r="F926" s="537">
        <v>0</v>
      </c>
    </row>
    <row r="927" spans="6:6">
      <c r="F927" s="537">
        <v>0</v>
      </c>
    </row>
    <row r="928" spans="6:6">
      <c r="F928" s="537">
        <v>0</v>
      </c>
    </row>
    <row r="929" spans="6:6">
      <c r="F929" s="537">
        <v>0</v>
      </c>
    </row>
    <row r="930" spans="6:6">
      <c r="F930" s="537">
        <v>0</v>
      </c>
    </row>
    <row r="931" spans="6:6">
      <c r="F931" s="537">
        <v>0</v>
      </c>
    </row>
    <row r="932" spans="6:6">
      <c r="F932" s="537">
        <v>0</v>
      </c>
    </row>
    <row r="933" spans="6:6">
      <c r="F933" s="537">
        <v>0</v>
      </c>
    </row>
    <row r="934" spans="6:6">
      <c r="F934" s="537">
        <v>0</v>
      </c>
    </row>
    <row r="935" spans="6:6">
      <c r="F935" s="537">
        <v>0</v>
      </c>
    </row>
    <row r="936" spans="6:6">
      <c r="F936" s="537">
        <v>0</v>
      </c>
    </row>
    <row r="937" spans="6:6">
      <c r="F937" s="537">
        <v>0</v>
      </c>
    </row>
    <row r="938" spans="6:6">
      <c r="F938" s="537">
        <v>0</v>
      </c>
    </row>
    <row r="939" spans="6:6">
      <c r="F939" s="537">
        <v>0</v>
      </c>
    </row>
    <row r="940" spans="6:6">
      <c r="F940" s="537">
        <v>0</v>
      </c>
    </row>
    <row r="941" spans="6:6">
      <c r="F941" s="537">
        <v>0</v>
      </c>
    </row>
    <row r="942" spans="6:6">
      <c r="F942" s="537">
        <v>0</v>
      </c>
    </row>
    <row r="943" spans="6:6">
      <c r="F943" s="537">
        <v>0</v>
      </c>
    </row>
    <row r="944" spans="6:6">
      <c r="F944" s="537">
        <v>0</v>
      </c>
    </row>
    <row r="945" spans="6:6">
      <c r="F945" s="537">
        <v>0</v>
      </c>
    </row>
    <row r="946" spans="6:6">
      <c r="F946" s="537">
        <v>0</v>
      </c>
    </row>
    <row r="947" spans="6:6">
      <c r="F947" s="537">
        <v>0</v>
      </c>
    </row>
    <row r="948" spans="6:6">
      <c r="F948" s="537">
        <v>0</v>
      </c>
    </row>
    <row r="949" spans="6:6">
      <c r="F949" s="537">
        <v>0</v>
      </c>
    </row>
    <row r="950" spans="6:6">
      <c r="F950" s="537">
        <v>0</v>
      </c>
    </row>
    <row r="951" spans="6:6">
      <c r="F951" s="537">
        <v>0</v>
      </c>
    </row>
    <row r="952" spans="6:6">
      <c r="F952" s="537">
        <v>0</v>
      </c>
    </row>
    <row r="953" spans="6:6">
      <c r="F953" s="537">
        <v>0</v>
      </c>
    </row>
    <row r="954" spans="6:6">
      <c r="F954" s="537">
        <v>0</v>
      </c>
    </row>
    <row r="955" spans="6:6">
      <c r="F955" s="537">
        <v>0</v>
      </c>
    </row>
    <row r="956" spans="6:6">
      <c r="F956" s="537">
        <v>0</v>
      </c>
    </row>
    <row r="957" spans="6:6">
      <c r="F957" s="537">
        <v>0</v>
      </c>
    </row>
    <row r="958" spans="6:6">
      <c r="F958" s="537">
        <v>0</v>
      </c>
    </row>
    <row r="959" spans="6:6">
      <c r="F959" s="537">
        <v>0</v>
      </c>
    </row>
    <row r="960" spans="6:6">
      <c r="F960" s="537">
        <v>0</v>
      </c>
    </row>
    <row r="961" spans="6:6">
      <c r="F961" s="537">
        <v>0</v>
      </c>
    </row>
    <row r="962" spans="6:6">
      <c r="F962" s="537">
        <v>0</v>
      </c>
    </row>
    <row r="963" spans="6:6">
      <c r="F963" s="537">
        <v>0</v>
      </c>
    </row>
    <row r="964" spans="6:6">
      <c r="F964" s="537">
        <v>0</v>
      </c>
    </row>
    <row r="965" spans="6:6">
      <c r="F965" s="537">
        <v>0</v>
      </c>
    </row>
    <row r="966" spans="6:6">
      <c r="F966" s="537">
        <v>0</v>
      </c>
    </row>
    <row r="967" spans="6:6">
      <c r="F967" s="537">
        <v>0</v>
      </c>
    </row>
    <row r="968" spans="6:6">
      <c r="F968" s="537">
        <v>0</v>
      </c>
    </row>
    <row r="969" spans="6:6">
      <c r="F969" s="537">
        <v>0</v>
      </c>
    </row>
    <row r="970" spans="6:6">
      <c r="F970" s="537">
        <v>0</v>
      </c>
    </row>
    <row r="971" spans="6:6">
      <c r="F971" s="537">
        <v>0</v>
      </c>
    </row>
    <row r="972" spans="6:6">
      <c r="F972" s="537">
        <v>0</v>
      </c>
    </row>
    <row r="973" spans="6:6">
      <c r="F973" s="537">
        <v>0</v>
      </c>
    </row>
    <row r="974" spans="6:6">
      <c r="F974" s="537">
        <v>0</v>
      </c>
    </row>
    <row r="975" spans="6:6">
      <c r="F975" s="537">
        <v>0</v>
      </c>
    </row>
    <row r="976" spans="6:6">
      <c r="F976" s="537">
        <v>0</v>
      </c>
    </row>
    <row r="977" spans="6:6">
      <c r="F977" s="537">
        <v>0</v>
      </c>
    </row>
    <row r="978" spans="6:6">
      <c r="F978" s="537">
        <v>0</v>
      </c>
    </row>
    <row r="979" spans="6:6">
      <c r="F979" s="537">
        <v>0</v>
      </c>
    </row>
    <row r="980" spans="6:6">
      <c r="F980" s="537">
        <v>0</v>
      </c>
    </row>
    <row r="981" spans="6:6">
      <c r="F981" s="537">
        <v>0</v>
      </c>
    </row>
    <row r="982" spans="6:6">
      <c r="F982" s="537">
        <v>0</v>
      </c>
    </row>
    <row r="983" spans="6:6">
      <c r="F983" s="537">
        <v>0</v>
      </c>
    </row>
    <row r="984" spans="6:6">
      <c r="F984" s="537">
        <v>0</v>
      </c>
    </row>
    <row r="985" spans="6:6">
      <c r="F985" s="537">
        <v>0</v>
      </c>
    </row>
    <row r="986" spans="6:6">
      <c r="F986" s="537">
        <v>0</v>
      </c>
    </row>
    <row r="987" spans="6:6">
      <c r="F987" s="537">
        <v>0</v>
      </c>
    </row>
    <row r="988" spans="6:6">
      <c r="F988" s="537">
        <v>0</v>
      </c>
    </row>
    <row r="989" spans="6:6">
      <c r="F989" s="537">
        <v>0</v>
      </c>
    </row>
    <row r="990" spans="6:6">
      <c r="F990" s="537">
        <v>0</v>
      </c>
    </row>
    <row r="991" spans="6:6">
      <c r="F991" s="537">
        <v>0</v>
      </c>
    </row>
    <row r="992" spans="6:6">
      <c r="F992" s="537">
        <v>0</v>
      </c>
    </row>
    <row r="993" spans="6:6">
      <c r="F993" s="537">
        <v>0</v>
      </c>
    </row>
    <row r="994" spans="6:6">
      <c r="F994" s="537">
        <v>0</v>
      </c>
    </row>
    <row r="995" spans="6:6">
      <c r="F995" s="537">
        <v>0</v>
      </c>
    </row>
    <row r="996" spans="6:6">
      <c r="F996" s="537">
        <v>0</v>
      </c>
    </row>
    <row r="997" spans="6:6">
      <c r="F997" s="537">
        <v>0</v>
      </c>
    </row>
    <row r="998" spans="6:6">
      <c r="F998" s="537">
        <v>0</v>
      </c>
    </row>
    <row r="999" spans="6:6">
      <c r="F999" s="537">
        <v>0</v>
      </c>
    </row>
    <row r="1000" spans="6:6">
      <c r="F1000" s="537">
        <v>0</v>
      </c>
    </row>
    <row r="1001" spans="6:6">
      <c r="F1001" s="537">
        <v>0</v>
      </c>
    </row>
    <row r="1002" spans="6:6">
      <c r="F1002" s="537">
        <v>0</v>
      </c>
    </row>
    <row r="1003" spans="6:6">
      <c r="F1003" s="537">
        <v>0</v>
      </c>
    </row>
    <row r="1004" spans="6:6">
      <c r="F1004" s="537">
        <v>0</v>
      </c>
    </row>
    <row r="1005" spans="6:6">
      <c r="F1005" s="537">
        <v>0</v>
      </c>
    </row>
    <row r="1006" spans="6:6">
      <c r="F1006" s="537">
        <v>0</v>
      </c>
    </row>
    <row r="1007" spans="6:6">
      <c r="F1007" s="537">
        <v>0</v>
      </c>
    </row>
    <row r="1008" spans="6:6">
      <c r="F1008" s="537">
        <v>0</v>
      </c>
    </row>
    <row r="1009" spans="6:6">
      <c r="F1009" s="537">
        <v>0</v>
      </c>
    </row>
    <row r="1010" spans="6:6">
      <c r="F1010" s="537">
        <v>0</v>
      </c>
    </row>
    <row r="1011" spans="6:6">
      <c r="F1011" s="537">
        <v>0</v>
      </c>
    </row>
    <row r="1012" spans="6:6">
      <c r="F1012" s="537">
        <v>0</v>
      </c>
    </row>
    <row r="1013" spans="6:6">
      <c r="F1013" s="537">
        <v>0</v>
      </c>
    </row>
    <row r="1014" spans="6:6">
      <c r="F1014" s="537">
        <v>0</v>
      </c>
    </row>
    <row r="1015" spans="6:6">
      <c r="F1015" s="537">
        <v>0</v>
      </c>
    </row>
    <row r="1016" spans="6:6">
      <c r="F1016" s="537">
        <v>0</v>
      </c>
    </row>
    <row r="1017" spans="6:6">
      <c r="F1017" s="537">
        <v>0</v>
      </c>
    </row>
    <row r="1018" spans="6:6">
      <c r="F1018" s="537">
        <v>0</v>
      </c>
    </row>
    <row r="1019" spans="6:6">
      <c r="F1019" s="537">
        <v>0</v>
      </c>
    </row>
    <row r="1020" spans="6:6">
      <c r="F1020" s="537">
        <v>0</v>
      </c>
    </row>
    <row r="1021" spans="6:6">
      <c r="F1021" s="537">
        <v>0</v>
      </c>
    </row>
    <row r="1022" spans="6:6">
      <c r="F1022" s="537">
        <v>0</v>
      </c>
    </row>
    <row r="1023" spans="6:6">
      <c r="F1023" s="537">
        <v>0</v>
      </c>
    </row>
    <row r="1024" spans="6:6">
      <c r="F1024" s="537">
        <v>0</v>
      </c>
    </row>
    <row r="1025" spans="6:6">
      <c r="F1025" s="537">
        <v>0</v>
      </c>
    </row>
    <row r="1026" spans="6:6">
      <c r="F1026" s="537">
        <v>0</v>
      </c>
    </row>
    <row r="1027" spans="6:6">
      <c r="F1027" s="537">
        <v>0</v>
      </c>
    </row>
    <row r="1028" spans="6:6">
      <c r="F1028" s="537">
        <v>0</v>
      </c>
    </row>
    <row r="1029" spans="6:6">
      <c r="F1029" s="537">
        <v>0</v>
      </c>
    </row>
    <row r="1030" spans="6:6">
      <c r="F1030" s="537">
        <v>0</v>
      </c>
    </row>
    <row r="1031" spans="6:6">
      <c r="F1031" s="537">
        <v>0</v>
      </c>
    </row>
    <row r="1032" spans="6:6">
      <c r="F1032" s="537">
        <v>0</v>
      </c>
    </row>
    <row r="1033" spans="6:6">
      <c r="F1033" s="537">
        <v>0</v>
      </c>
    </row>
    <row r="1034" spans="6:6">
      <c r="F1034" s="537">
        <v>0</v>
      </c>
    </row>
    <row r="1035" spans="6:6">
      <c r="F1035" s="537">
        <v>0</v>
      </c>
    </row>
    <row r="1036" spans="6:6">
      <c r="F1036" s="537">
        <v>0</v>
      </c>
    </row>
    <row r="1037" spans="6:6">
      <c r="F1037" s="537">
        <v>0</v>
      </c>
    </row>
    <row r="1038" spans="6:6">
      <c r="F1038" s="537">
        <v>0</v>
      </c>
    </row>
    <row r="1039" spans="6:6">
      <c r="F1039" s="537">
        <v>0</v>
      </c>
    </row>
    <row r="1040" spans="6:6">
      <c r="F1040" s="537">
        <v>0</v>
      </c>
    </row>
    <row r="1041" spans="6:6">
      <c r="F1041" s="537">
        <v>0</v>
      </c>
    </row>
    <row r="1042" spans="6:6">
      <c r="F1042" s="537">
        <v>0</v>
      </c>
    </row>
    <row r="1043" spans="6:6">
      <c r="F1043" s="537">
        <v>0</v>
      </c>
    </row>
    <row r="1044" spans="6:6">
      <c r="F1044" s="537">
        <v>0</v>
      </c>
    </row>
    <row r="1045" spans="6:6">
      <c r="F1045" s="537">
        <v>0</v>
      </c>
    </row>
    <row r="1046" spans="6:6">
      <c r="F1046" s="537">
        <v>0</v>
      </c>
    </row>
    <row r="1047" spans="6:6">
      <c r="F1047" s="537">
        <v>0</v>
      </c>
    </row>
    <row r="1048" spans="6:6">
      <c r="F1048" s="537">
        <v>0</v>
      </c>
    </row>
    <row r="1049" spans="6:6">
      <c r="F1049" s="537">
        <v>0</v>
      </c>
    </row>
    <row r="1050" spans="6:6">
      <c r="F1050" s="537">
        <v>0</v>
      </c>
    </row>
    <row r="1051" spans="6:6">
      <c r="F1051" s="537">
        <v>0</v>
      </c>
    </row>
    <row r="1052" spans="6:6">
      <c r="F1052" s="537">
        <v>0</v>
      </c>
    </row>
    <row r="1053" spans="6:6">
      <c r="F1053" s="537">
        <v>0</v>
      </c>
    </row>
    <row r="1054" spans="6:6">
      <c r="F1054" s="537">
        <v>0</v>
      </c>
    </row>
    <row r="1055" spans="6:6">
      <c r="F1055" s="537">
        <v>0</v>
      </c>
    </row>
    <row r="1056" spans="6:6">
      <c r="F1056" s="537">
        <v>0</v>
      </c>
    </row>
    <row r="1057" spans="6:6">
      <c r="F1057" s="537">
        <v>0</v>
      </c>
    </row>
    <row r="1058" spans="6:6">
      <c r="F1058" s="537">
        <v>0</v>
      </c>
    </row>
    <row r="1059" spans="6:6">
      <c r="F1059" s="537">
        <v>0</v>
      </c>
    </row>
    <row r="1060" spans="6:6">
      <c r="F1060" s="537">
        <v>0</v>
      </c>
    </row>
    <row r="1061" spans="6:6">
      <c r="F1061" s="537">
        <v>0</v>
      </c>
    </row>
    <row r="1062" spans="6:6">
      <c r="F1062" s="537">
        <v>0</v>
      </c>
    </row>
    <row r="1063" spans="6:6">
      <c r="F1063" s="537">
        <v>0</v>
      </c>
    </row>
    <row r="1064" spans="6:6">
      <c r="F1064" s="537">
        <v>0</v>
      </c>
    </row>
    <row r="1065" spans="6:6">
      <c r="F1065" s="537">
        <v>0</v>
      </c>
    </row>
    <row r="1066" spans="6:6">
      <c r="F1066" s="537">
        <v>0</v>
      </c>
    </row>
    <row r="1067" spans="6:6">
      <c r="F1067" s="537">
        <v>0</v>
      </c>
    </row>
    <row r="1068" spans="6:6">
      <c r="F1068" s="537">
        <v>0</v>
      </c>
    </row>
    <row r="1069" spans="6:6">
      <c r="F1069" s="537">
        <v>0</v>
      </c>
    </row>
    <row r="1070" spans="6:6">
      <c r="F1070" s="537">
        <v>0</v>
      </c>
    </row>
    <row r="1071" spans="6:6">
      <c r="F1071" s="537">
        <v>0</v>
      </c>
    </row>
    <row r="1072" spans="6:6">
      <c r="F1072" s="537">
        <v>0</v>
      </c>
    </row>
    <row r="1073" spans="6:6">
      <c r="F1073" s="537">
        <v>0</v>
      </c>
    </row>
    <row r="1074" spans="6:6">
      <c r="F1074" s="537">
        <v>0</v>
      </c>
    </row>
    <row r="1075" spans="6:6">
      <c r="F1075" s="537">
        <v>0</v>
      </c>
    </row>
    <row r="1076" spans="6:6">
      <c r="F1076" s="537">
        <v>0</v>
      </c>
    </row>
    <row r="1077" spans="6:6">
      <c r="F1077" s="537">
        <v>0</v>
      </c>
    </row>
    <row r="1078" spans="6:6">
      <c r="F1078" s="537">
        <v>0</v>
      </c>
    </row>
    <row r="1079" spans="6:6">
      <c r="F1079" s="537">
        <v>0</v>
      </c>
    </row>
    <row r="1080" spans="6:6">
      <c r="F1080" s="537">
        <v>0</v>
      </c>
    </row>
    <row r="1081" spans="6:6">
      <c r="F1081" s="537">
        <v>0</v>
      </c>
    </row>
    <row r="1082" spans="6:6">
      <c r="F1082" s="537">
        <v>0</v>
      </c>
    </row>
    <row r="1083" spans="6:6">
      <c r="F1083" s="537">
        <v>0</v>
      </c>
    </row>
    <row r="1084" spans="6:6">
      <c r="F1084" s="537">
        <v>0</v>
      </c>
    </row>
    <row r="1085" spans="6:6">
      <c r="F1085" s="537">
        <v>0</v>
      </c>
    </row>
    <row r="1086" spans="6:6">
      <c r="F1086" s="537">
        <v>0</v>
      </c>
    </row>
    <row r="1087" spans="6:6">
      <c r="F1087" s="537">
        <v>0</v>
      </c>
    </row>
    <row r="1088" spans="6:6">
      <c r="F1088" s="537">
        <v>0</v>
      </c>
    </row>
    <row r="1089" spans="6:6">
      <c r="F1089" s="537">
        <v>0</v>
      </c>
    </row>
    <row r="1090" spans="6:6">
      <c r="F1090" s="537">
        <v>0</v>
      </c>
    </row>
    <row r="1091" spans="6:6">
      <c r="F1091" s="537">
        <v>0</v>
      </c>
    </row>
    <row r="1092" spans="6:6">
      <c r="F1092" s="537">
        <v>0</v>
      </c>
    </row>
    <row r="1093" spans="6:6">
      <c r="F1093" s="537">
        <v>0</v>
      </c>
    </row>
    <row r="1094" spans="6:6">
      <c r="F1094" s="537">
        <v>0</v>
      </c>
    </row>
    <row r="1095" spans="6:6">
      <c r="F1095" s="537">
        <v>0</v>
      </c>
    </row>
    <row r="1096" spans="6:6">
      <c r="F1096" s="537">
        <v>0</v>
      </c>
    </row>
    <row r="1097" spans="6:6">
      <c r="F1097" s="537">
        <v>0</v>
      </c>
    </row>
    <row r="1098" spans="6:6">
      <c r="F1098" s="537">
        <v>0</v>
      </c>
    </row>
    <row r="1099" spans="6:6">
      <c r="F1099" s="537">
        <v>0</v>
      </c>
    </row>
    <row r="1100" spans="6:6">
      <c r="F1100" s="537">
        <v>0</v>
      </c>
    </row>
    <row r="1101" spans="6:6">
      <c r="F1101" s="537">
        <v>0</v>
      </c>
    </row>
    <row r="1102" spans="6:6">
      <c r="F1102" s="537">
        <v>0</v>
      </c>
    </row>
    <row r="1103" spans="6:6">
      <c r="F1103" s="537">
        <v>0</v>
      </c>
    </row>
    <row r="1104" spans="6:6">
      <c r="F1104" s="537">
        <v>0</v>
      </c>
    </row>
    <row r="1105" spans="6:6">
      <c r="F1105" s="537">
        <v>0</v>
      </c>
    </row>
    <row r="1106" spans="6:6">
      <c r="F1106" s="537">
        <v>0</v>
      </c>
    </row>
    <row r="1107" spans="6:6">
      <c r="F1107" s="537">
        <v>0</v>
      </c>
    </row>
    <row r="1108" spans="6:6">
      <c r="F1108" s="537">
        <v>0</v>
      </c>
    </row>
    <row r="1109" spans="6:6">
      <c r="F1109" s="537">
        <v>0</v>
      </c>
    </row>
    <row r="1110" spans="6:6">
      <c r="F1110" s="537">
        <v>0</v>
      </c>
    </row>
    <row r="1111" spans="6:6">
      <c r="F1111" s="537">
        <v>0</v>
      </c>
    </row>
    <row r="1112" spans="6:6">
      <c r="F1112" s="537">
        <v>0</v>
      </c>
    </row>
    <row r="1113" spans="6:6">
      <c r="F1113" s="537">
        <v>0</v>
      </c>
    </row>
    <row r="1114" spans="6:6">
      <c r="F1114" s="537">
        <v>0</v>
      </c>
    </row>
    <row r="1115" spans="6:6">
      <c r="F1115" s="537">
        <v>0</v>
      </c>
    </row>
    <row r="1116" spans="6:6">
      <c r="F1116" s="537">
        <v>0</v>
      </c>
    </row>
    <row r="1117" spans="6:6">
      <c r="F1117" s="537">
        <v>0</v>
      </c>
    </row>
    <row r="1118" spans="6:6">
      <c r="F1118" s="537">
        <v>0</v>
      </c>
    </row>
    <row r="1119" spans="6:6">
      <c r="F1119" s="537">
        <v>0</v>
      </c>
    </row>
    <row r="1120" spans="6:6">
      <c r="F1120" s="537">
        <v>0</v>
      </c>
    </row>
    <row r="1121" spans="6:6">
      <c r="F1121" s="537">
        <v>0</v>
      </c>
    </row>
    <row r="1122" spans="6:6">
      <c r="F1122" s="537">
        <v>0</v>
      </c>
    </row>
    <row r="1123" spans="6:6">
      <c r="F1123" s="537">
        <v>0</v>
      </c>
    </row>
    <row r="1124" spans="6:6">
      <c r="F1124" s="537">
        <v>0</v>
      </c>
    </row>
    <row r="1125" spans="6:6">
      <c r="F1125" s="537">
        <v>0</v>
      </c>
    </row>
    <row r="1126" spans="6:6">
      <c r="F1126" s="537">
        <v>0</v>
      </c>
    </row>
    <row r="1127" spans="6:6">
      <c r="F1127" s="537">
        <v>0</v>
      </c>
    </row>
    <row r="1128" spans="6:6">
      <c r="F1128" s="537">
        <v>0</v>
      </c>
    </row>
    <row r="1129" spans="6:6">
      <c r="F1129" s="537">
        <v>0</v>
      </c>
    </row>
    <row r="1130" spans="6:6">
      <c r="F1130" s="537">
        <v>0</v>
      </c>
    </row>
    <row r="1131" spans="6:6">
      <c r="F1131" s="537">
        <v>0</v>
      </c>
    </row>
    <row r="1132" spans="6:6">
      <c r="F1132" s="537">
        <v>0</v>
      </c>
    </row>
    <row r="1133" spans="6:6">
      <c r="F1133" s="537">
        <v>0</v>
      </c>
    </row>
    <row r="1134" spans="6:6">
      <c r="F1134" s="537">
        <v>0</v>
      </c>
    </row>
    <row r="1135" spans="6:6">
      <c r="F1135" s="537">
        <v>0</v>
      </c>
    </row>
    <row r="1136" spans="6:6">
      <c r="F1136" s="537">
        <v>0</v>
      </c>
    </row>
    <row r="1137" spans="6:6">
      <c r="F1137" s="537">
        <v>0</v>
      </c>
    </row>
    <row r="1138" spans="6:6">
      <c r="F1138" s="537">
        <v>0</v>
      </c>
    </row>
    <row r="1139" spans="6:6">
      <c r="F1139" s="537">
        <v>0</v>
      </c>
    </row>
    <row r="1140" spans="6:6">
      <c r="F1140" s="537">
        <v>0</v>
      </c>
    </row>
    <row r="1141" spans="6:6">
      <c r="F1141" s="537">
        <v>0</v>
      </c>
    </row>
    <row r="1142" spans="6:6">
      <c r="F1142" s="537">
        <v>0</v>
      </c>
    </row>
    <row r="1143" spans="6:6">
      <c r="F1143" s="537">
        <v>0</v>
      </c>
    </row>
    <row r="1144" spans="6:6">
      <c r="F1144" s="537">
        <v>0</v>
      </c>
    </row>
    <row r="1145" spans="6:6">
      <c r="F1145" s="537">
        <v>0</v>
      </c>
    </row>
    <row r="1146" spans="6:6">
      <c r="F1146" s="537">
        <v>0</v>
      </c>
    </row>
    <row r="1147" spans="6:6">
      <c r="F1147" s="537">
        <v>0</v>
      </c>
    </row>
    <row r="1148" spans="6:6">
      <c r="F1148" s="537">
        <v>0</v>
      </c>
    </row>
    <row r="1149" spans="6:6">
      <c r="F1149" s="537">
        <v>0</v>
      </c>
    </row>
    <row r="1150" spans="6:6">
      <c r="F1150" s="537">
        <v>0</v>
      </c>
    </row>
    <row r="1151" spans="6:6">
      <c r="F1151" s="537">
        <v>0</v>
      </c>
    </row>
    <row r="1152" spans="6:6">
      <c r="F1152" s="537">
        <v>0</v>
      </c>
    </row>
    <row r="1153" spans="6:6">
      <c r="F1153" s="537">
        <v>0</v>
      </c>
    </row>
    <row r="1154" spans="6:6">
      <c r="F1154" s="537">
        <v>0</v>
      </c>
    </row>
    <row r="1155" spans="6:6">
      <c r="F1155" s="537">
        <v>0</v>
      </c>
    </row>
    <row r="1156" spans="6:6">
      <c r="F1156" s="537">
        <v>0</v>
      </c>
    </row>
    <row r="1157" spans="6:6">
      <c r="F1157" s="537">
        <v>0</v>
      </c>
    </row>
    <row r="1158" spans="6:6">
      <c r="F1158" s="537">
        <v>0</v>
      </c>
    </row>
    <row r="1159" spans="6:6">
      <c r="F1159" s="537">
        <v>0</v>
      </c>
    </row>
    <row r="1160" spans="6:6">
      <c r="F1160" s="537">
        <v>0</v>
      </c>
    </row>
    <row r="1161" spans="6:6">
      <c r="F1161" s="537">
        <v>0</v>
      </c>
    </row>
    <row r="1162" spans="6:6">
      <c r="F1162" s="537">
        <v>0</v>
      </c>
    </row>
    <row r="1163" spans="6:6">
      <c r="F1163" s="537">
        <v>0</v>
      </c>
    </row>
    <row r="1164" spans="6:6">
      <c r="F1164" s="537">
        <v>0</v>
      </c>
    </row>
    <row r="1165" spans="6:6">
      <c r="F1165" s="537">
        <v>0</v>
      </c>
    </row>
    <row r="1166" spans="6:6">
      <c r="F1166" s="537">
        <v>0</v>
      </c>
    </row>
    <row r="1167" spans="6:6">
      <c r="F1167" s="537">
        <v>0</v>
      </c>
    </row>
    <row r="1168" spans="6:6">
      <c r="F1168" s="537">
        <v>0</v>
      </c>
    </row>
    <row r="1169" spans="6:6">
      <c r="F1169" s="537">
        <v>0</v>
      </c>
    </row>
    <row r="1170" spans="6:6">
      <c r="F1170" s="537">
        <v>0</v>
      </c>
    </row>
    <row r="1171" spans="6:6">
      <c r="F1171" s="537">
        <v>0</v>
      </c>
    </row>
    <row r="1172" spans="6:6">
      <c r="F1172" s="537">
        <v>0</v>
      </c>
    </row>
    <row r="1173" spans="6:6">
      <c r="F1173" s="537">
        <v>0</v>
      </c>
    </row>
    <row r="1174" spans="6:6">
      <c r="F1174" s="537">
        <v>0</v>
      </c>
    </row>
    <row r="1175" spans="6:6">
      <c r="F1175" s="537">
        <v>0</v>
      </c>
    </row>
    <row r="1176" spans="6:6">
      <c r="F1176" s="537">
        <v>0</v>
      </c>
    </row>
    <row r="1177" spans="6:6">
      <c r="F1177" s="537">
        <v>0</v>
      </c>
    </row>
    <row r="1178" spans="6:6">
      <c r="F1178" s="537">
        <v>0</v>
      </c>
    </row>
    <row r="1179" spans="6:6">
      <c r="F1179" s="537">
        <v>0</v>
      </c>
    </row>
    <row r="1180" spans="6:6">
      <c r="F1180" s="537">
        <v>0</v>
      </c>
    </row>
    <row r="1181" spans="6:6">
      <c r="F1181" s="537">
        <v>0</v>
      </c>
    </row>
    <row r="1182" spans="6:6">
      <c r="F1182" s="537">
        <v>0</v>
      </c>
    </row>
    <row r="1183" spans="6:6">
      <c r="F1183" s="537">
        <v>0</v>
      </c>
    </row>
    <row r="1184" spans="6:6">
      <c r="F1184" s="537">
        <v>0</v>
      </c>
    </row>
    <row r="1185" spans="6:6">
      <c r="F1185" s="537">
        <v>0</v>
      </c>
    </row>
    <row r="1186" spans="6:6">
      <c r="F1186" s="537">
        <v>0</v>
      </c>
    </row>
    <row r="1187" spans="6:6">
      <c r="F1187" s="537">
        <v>0</v>
      </c>
    </row>
    <row r="1188" spans="6:6">
      <c r="F1188" s="537">
        <v>0</v>
      </c>
    </row>
    <row r="1189" spans="6:6">
      <c r="F1189" s="537">
        <v>0</v>
      </c>
    </row>
    <row r="1190" spans="6:6">
      <c r="F1190" s="537">
        <v>0</v>
      </c>
    </row>
    <row r="1191" spans="6:6">
      <c r="F1191" s="537">
        <v>0</v>
      </c>
    </row>
    <row r="1192" spans="6:6">
      <c r="F1192" s="537">
        <v>0</v>
      </c>
    </row>
    <row r="1193" spans="6:6">
      <c r="F1193" s="537">
        <v>0</v>
      </c>
    </row>
    <row r="1194" spans="6:6">
      <c r="F1194" s="537">
        <v>0</v>
      </c>
    </row>
    <row r="1195" spans="6:6">
      <c r="F1195" s="537">
        <v>0</v>
      </c>
    </row>
    <row r="1196" spans="6:6">
      <c r="F1196" s="537">
        <v>0</v>
      </c>
    </row>
    <row r="1197" spans="6:6">
      <c r="F1197" s="537">
        <v>0</v>
      </c>
    </row>
    <row r="1198" spans="6:6">
      <c r="F1198" s="537">
        <v>0</v>
      </c>
    </row>
    <row r="1199" spans="6:6">
      <c r="F1199" s="537">
        <v>0</v>
      </c>
    </row>
    <row r="1200" spans="6:6">
      <c r="F1200" s="537">
        <v>0</v>
      </c>
    </row>
    <row r="1201" spans="6:6">
      <c r="F1201" s="537">
        <v>0</v>
      </c>
    </row>
    <row r="1202" spans="6:6">
      <c r="F1202" s="537">
        <v>0</v>
      </c>
    </row>
    <row r="1203" spans="6:6">
      <c r="F1203" s="537">
        <v>0</v>
      </c>
    </row>
    <row r="1204" spans="6:6">
      <c r="F1204" s="537">
        <v>0</v>
      </c>
    </row>
    <row r="1205" spans="6:6">
      <c r="F1205" s="537">
        <v>0</v>
      </c>
    </row>
    <row r="1206" spans="6:6">
      <c r="F1206" s="537">
        <v>0</v>
      </c>
    </row>
    <row r="1207" spans="6:6">
      <c r="F1207" s="537">
        <v>0</v>
      </c>
    </row>
    <row r="1208" spans="6:6">
      <c r="F1208" s="537">
        <v>0</v>
      </c>
    </row>
    <row r="1209" spans="6:6">
      <c r="F1209" s="537">
        <v>0</v>
      </c>
    </row>
    <row r="1210" spans="6:6">
      <c r="F1210" s="537">
        <v>0</v>
      </c>
    </row>
    <row r="1211" spans="6:6">
      <c r="F1211" s="537">
        <v>0</v>
      </c>
    </row>
    <row r="1212" spans="6:6">
      <c r="F1212" s="537">
        <v>0</v>
      </c>
    </row>
    <row r="1213" spans="6:6">
      <c r="F1213" s="537">
        <v>0</v>
      </c>
    </row>
    <row r="1214" spans="6:6">
      <c r="F1214" s="537">
        <v>0</v>
      </c>
    </row>
    <row r="1215" spans="6:6">
      <c r="F1215" s="537">
        <v>0</v>
      </c>
    </row>
    <row r="1216" spans="6:6">
      <c r="F1216" s="537">
        <v>0</v>
      </c>
    </row>
    <row r="1217" spans="6:6">
      <c r="F1217" s="537">
        <v>0</v>
      </c>
    </row>
    <row r="1218" spans="6:6">
      <c r="F1218" s="537">
        <v>0</v>
      </c>
    </row>
    <row r="1219" spans="6:6">
      <c r="F1219" s="537">
        <v>0</v>
      </c>
    </row>
    <row r="1220" spans="6:6">
      <c r="F1220" s="537">
        <v>0</v>
      </c>
    </row>
    <row r="1221" spans="6:6">
      <c r="F1221" s="537">
        <v>0</v>
      </c>
    </row>
    <row r="1222" spans="6:6">
      <c r="F1222" s="537">
        <v>0</v>
      </c>
    </row>
    <row r="1223" spans="6:6">
      <c r="F1223" s="537">
        <v>0</v>
      </c>
    </row>
    <row r="1224" spans="6:6">
      <c r="F1224" s="537">
        <v>0</v>
      </c>
    </row>
    <row r="1225" spans="6:6">
      <c r="F1225" s="537">
        <v>0</v>
      </c>
    </row>
    <row r="1226" spans="6:6">
      <c r="F1226" s="537">
        <v>0</v>
      </c>
    </row>
    <row r="1227" spans="6:6">
      <c r="F1227" s="537">
        <v>0</v>
      </c>
    </row>
    <row r="1228" spans="6:6">
      <c r="F1228" s="537">
        <v>0</v>
      </c>
    </row>
    <row r="1229" spans="6:6">
      <c r="F1229" s="537">
        <v>0</v>
      </c>
    </row>
    <row r="1230" spans="6:6">
      <c r="F1230" s="537">
        <v>0</v>
      </c>
    </row>
    <row r="1231" spans="6:6">
      <c r="F1231" s="537">
        <v>0</v>
      </c>
    </row>
    <row r="1232" spans="6:6">
      <c r="F1232" s="537">
        <v>0</v>
      </c>
    </row>
    <row r="1233" spans="6:6">
      <c r="F1233" s="537">
        <v>0</v>
      </c>
    </row>
    <row r="1234" spans="6:6">
      <c r="F1234" s="537">
        <v>0</v>
      </c>
    </row>
    <row r="1235" spans="6:6">
      <c r="F1235" s="537">
        <v>0</v>
      </c>
    </row>
    <row r="1236" spans="6:6">
      <c r="F1236" s="537">
        <v>0</v>
      </c>
    </row>
    <row r="1237" spans="6:6">
      <c r="F1237" s="537">
        <v>0</v>
      </c>
    </row>
    <row r="1238" spans="6:6">
      <c r="F1238" s="537">
        <v>0</v>
      </c>
    </row>
    <row r="1239" spans="6:6">
      <c r="F1239" s="537">
        <v>0</v>
      </c>
    </row>
    <row r="1240" spans="6:6">
      <c r="F1240" s="537">
        <v>0</v>
      </c>
    </row>
    <row r="1241" spans="6:6">
      <c r="F1241" s="537">
        <v>0</v>
      </c>
    </row>
    <row r="1242" spans="6:6">
      <c r="F1242" s="537">
        <v>0</v>
      </c>
    </row>
    <row r="1243" spans="6:6">
      <c r="F1243" s="537">
        <v>0</v>
      </c>
    </row>
    <row r="1244" spans="6:6">
      <c r="F1244" s="537">
        <v>0</v>
      </c>
    </row>
    <row r="1245" spans="6:6">
      <c r="F1245" s="537">
        <v>0</v>
      </c>
    </row>
    <row r="1246" spans="6:6">
      <c r="F1246" s="537">
        <v>0</v>
      </c>
    </row>
    <row r="1247" spans="6:6">
      <c r="F1247" s="537">
        <v>0</v>
      </c>
    </row>
    <row r="1248" spans="6:6">
      <c r="F1248" s="537">
        <v>0</v>
      </c>
    </row>
    <row r="1249" spans="6:6">
      <c r="F1249" s="537">
        <v>0</v>
      </c>
    </row>
    <row r="1250" spans="6:6">
      <c r="F1250" s="537">
        <v>0</v>
      </c>
    </row>
    <row r="1251" spans="6:6">
      <c r="F1251" s="537">
        <v>0</v>
      </c>
    </row>
    <row r="1252" spans="6:6">
      <c r="F1252" s="537">
        <v>0</v>
      </c>
    </row>
    <row r="1253" spans="6:6">
      <c r="F1253" s="537">
        <v>0</v>
      </c>
    </row>
    <row r="1254" spans="6:6">
      <c r="F1254" s="537">
        <v>0</v>
      </c>
    </row>
    <row r="1255" spans="6:6">
      <c r="F1255" s="537">
        <v>0</v>
      </c>
    </row>
    <row r="1256" spans="6:6">
      <c r="F1256" s="537">
        <v>0</v>
      </c>
    </row>
    <row r="1257" spans="6:6">
      <c r="F1257" s="537">
        <v>0</v>
      </c>
    </row>
    <row r="1258" spans="6:6">
      <c r="F1258" s="537">
        <v>0</v>
      </c>
    </row>
    <row r="1259" spans="6:6">
      <c r="F1259" s="537">
        <v>0</v>
      </c>
    </row>
    <row r="1260" spans="6:6">
      <c r="F1260" s="537">
        <v>0</v>
      </c>
    </row>
    <row r="1261" spans="6:6">
      <c r="F1261" s="537">
        <v>0</v>
      </c>
    </row>
    <row r="1262" spans="6:6">
      <c r="F1262" s="537">
        <v>0</v>
      </c>
    </row>
    <row r="1263" spans="6:6">
      <c r="F1263" s="537">
        <v>0</v>
      </c>
    </row>
    <row r="1264" spans="6:6">
      <c r="F1264" s="537">
        <v>0</v>
      </c>
    </row>
    <row r="1265" spans="6:6">
      <c r="F1265" s="537">
        <v>0</v>
      </c>
    </row>
    <row r="1266" spans="6:6">
      <c r="F1266" s="537">
        <v>0</v>
      </c>
    </row>
    <row r="1267" spans="6:6">
      <c r="F1267" s="537">
        <v>0</v>
      </c>
    </row>
    <row r="1268" spans="6:6">
      <c r="F1268" s="537">
        <v>0</v>
      </c>
    </row>
    <row r="1269" spans="6:6">
      <c r="F1269" s="537">
        <v>0</v>
      </c>
    </row>
    <row r="1270" spans="6:6">
      <c r="F1270" s="537">
        <v>0</v>
      </c>
    </row>
    <row r="1271" spans="6:6">
      <c r="F1271" s="537">
        <v>0</v>
      </c>
    </row>
    <row r="1272" spans="6:6">
      <c r="F1272" s="537">
        <v>0</v>
      </c>
    </row>
    <row r="1273" spans="6:6">
      <c r="F1273" s="537">
        <v>0</v>
      </c>
    </row>
    <row r="1274" spans="6:6">
      <c r="F1274" s="537">
        <v>0</v>
      </c>
    </row>
    <row r="1275" spans="6:6">
      <c r="F1275" s="537">
        <v>0</v>
      </c>
    </row>
    <row r="1276" spans="6:6">
      <c r="F1276" s="537">
        <v>0</v>
      </c>
    </row>
    <row r="1277" spans="6:6">
      <c r="F1277" s="537">
        <v>0</v>
      </c>
    </row>
    <row r="1278" spans="6:6">
      <c r="F1278" s="537">
        <v>0</v>
      </c>
    </row>
    <row r="1279" spans="6:6">
      <c r="F1279" s="537">
        <v>0</v>
      </c>
    </row>
    <row r="1280" spans="6:6">
      <c r="F1280" s="537">
        <v>0</v>
      </c>
    </row>
    <row r="1281" spans="6:6">
      <c r="F1281" s="537">
        <v>0</v>
      </c>
    </row>
    <row r="1282" spans="6:6">
      <c r="F1282" s="537">
        <v>0</v>
      </c>
    </row>
    <row r="1283" spans="6:6">
      <c r="F1283" s="537">
        <v>0</v>
      </c>
    </row>
    <row r="1284" spans="6:6">
      <c r="F1284" s="537">
        <v>0</v>
      </c>
    </row>
    <row r="1285" spans="6:6">
      <c r="F1285" s="537">
        <v>0</v>
      </c>
    </row>
    <row r="1286" spans="6:6">
      <c r="F1286" s="537">
        <v>0</v>
      </c>
    </row>
    <row r="1287" spans="6:6">
      <c r="F1287" s="537">
        <v>0</v>
      </c>
    </row>
    <row r="1288" spans="6:6">
      <c r="F1288" s="537">
        <v>0</v>
      </c>
    </row>
    <row r="1289" spans="6:6">
      <c r="F1289" s="537">
        <v>0</v>
      </c>
    </row>
    <row r="1290" spans="6:6">
      <c r="F1290" s="537">
        <v>0</v>
      </c>
    </row>
    <row r="1291" spans="6:6">
      <c r="F1291" s="537">
        <v>0</v>
      </c>
    </row>
    <row r="1292" spans="6:6">
      <c r="F1292" s="537">
        <v>0</v>
      </c>
    </row>
    <row r="1293" spans="6:6">
      <c r="F1293" s="537">
        <v>0</v>
      </c>
    </row>
    <row r="1294" spans="6:6">
      <c r="F1294" s="537">
        <v>0</v>
      </c>
    </row>
    <row r="1295" spans="6:6">
      <c r="F1295" s="537">
        <v>0</v>
      </c>
    </row>
    <row r="1296" spans="6:6">
      <c r="F1296" s="537">
        <v>0</v>
      </c>
    </row>
    <row r="1297" spans="6:6">
      <c r="F1297" s="537">
        <v>0</v>
      </c>
    </row>
    <row r="1298" spans="6:6">
      <c r="F1298" s="537">
        <v>0</v>
      </c>
    </row>
    <row r="1299" spans="6:6">
      <c r="F1299" s="537">
        <v>0</v>
      </c>
    </row>
    <row r="1300" spans="6:6">
      <c r="F1300" s="537">
        <v>0</v>
      </c>
    </row>
    <row r="1301" spans="6:6">
      <c r="F1301" s="537">
        <v>0</v>
      </c>
    </row>
    <row r="1302" spans="6:6">
      <c r="F1302" s="537">
        <v>0</v>
      </c>
    </row>
    <row r="1303" spans="6:6">
      <c r="F1303" s="537">
        <v>0</v>
      </c>
    </row>
    <row r="1304" spans="6:6">
      <c r="F1304" s="537">
        <v>0</v>
      </c>
    </row>
    <row r="1305" spans="6:6">
      <c r="F1305" s="537">
        <v>0</v>
      </c>
    </row>
    <row r="1306" spans="6:6">
      <c r="F1306" s="537">
        <v>0</v>
      </c>
    </row>
    <row r="1307" spans="6:6">
      <c r="F1307" s="537">
        <v>0</v>
      </c>
    </row>
    <row r="1308" spans="6:6">
      <c r="F1308" s="537">
        <v>0</v>
      </c>
    </row>
    <row r="1309" spans="6:6">
      <c r="F1309" s="537">
        <v>0</v>
      </c>
    </row>
    <row r="1310" spans="6:6">
      <c r="F1310" s="537">
        <v>0</v>
      </c>
    </row>
    <row r="1311" spans="6:6">
      <c r="F1311" s="537">
        <v>0</v>
      </c>
    </row>
    <row r="1312" spans="6:6">
      <c r="F1312" s="537">
        <v>0</v>
      </c>
    </row>
    <row r="1313" spans="6:6">
      <c r="F1313" s="537">
        <v>0</v>
      </c>
    </row>
    <row r="1314" spans="6:6">
      <c r="F1314" s="537">
        <v>0</v>
      </c>
    </row>
    <row r="1315" spans="6:6">
      <c r="F1315" s="537">
        <v>0</v>
      </c>
    </row>
    <row r="1316" spans="6:6">
      <c r="F1316" s="537">
        <v>0</v>
      </c>
    </row>
    <row r="1317" spans="6:6">
      <c r="F1317" s="537">
        <v>0</v>
      </c>
    </row>
    <row r="1318" spans="6:6">
      <c r="F1318" s="537">
        <v>0</v>
      </c>
    </row>
    <row r="1319" spans="6:6">
      <c r="F1319" s="537">
        <v>0</v>
      </c>
    </row>
    <row r="1320" spans="6:6">
      <c r="F1320" s="537">
        <v>0</v>
      </c>
    </row>
    <row r="1321" spans="6:6">
      <c r="F1321" s="537">
        <v>0</v>
      </c>
    </row>
    <row r="1322" spans="6:6">
      <c r="F1322" s="537">
        <v>0</v>
      </c>
    </row>
    <row r="1323" spans="6:6">
      <c r="F1323" s="537">
        <v>0</v>
      </c>
    </row>
    <row r="1324" spans="6:6">
      <c r="F1324" s="537">
        <v>0</v>
      </c>
    </row>
    <row r="1325" spans="6:6">
      <c r="F1325" s="537">
        <v>0</v>
      </c>
    </row>
    <row r="1326" spans="6:6">
      <c r="F1326" s="537">
        <v>0</v>
      </c>
    </row>
    <row r="1327" spans="6:6">
      <c r="F1327" s="537">
        <v>0</v>
      </c>
    </row>
    <row r="1328" spans="6:6">
      <c r="F1328" s="537">
        <v>0</v>
      </c>
    </row>
    <row r="1329" spans="6:6">
      <c r="F1329" s="537">
        <v>0</v>
      </c>
    </row>
    <row r="1330" spans="6:6">
      <c r="F1330" s="537">
        <v>0</v>
      </c>
    </row>
    <row r="1331" spans="6:6">
      <c r="F1331" s="537">
        <v>0</v>
      </c>
    </row>
    <row r="1332" spans="6:6">
      <c r="F1332" s="537">
        <v>0</v>
      </c>
    </row>
    <row r="1333" spans="6:6">
      <c r="F1333" s="537">
        <v>0</v>
      </c>
    </row>
    <row r="1334" spans="6:6">
      <c r="F1334" s="537">
        <v>0</v>
      </c>
    </row>
    <row r="1335" spans="6:6">
      <c r="F1335" s="537">
        <v>0</v>
      </c>
    </row>
    <row r="1336" spans="6:6">
      <c r="F1336" s="537">
        <v>0</v>
      </c>
    </row>
    <row r="1337" spans="6:6">
      <c r="F1337" s="537">
        <v>0</v>
      </c>
    </row>
    <row r="1338" spans="6:6">
      <c r="F1338" s="537">
        <v>0</v>
      </c>
    </row>
    <row r="1339" spans="6:6">
      <c r="F1339" s="537">
        <v>0</v>
      </c>
    </row>
    <row r="1340" spans="6:6">
      <c r="F1340" s="537">
        <v>0</v>
      </c>
    </row>
    <row r="1341" spans="6:6">
      <c r="F1341" s="537">
        <v>0</v>
      </c>
    </row>
    <row r="1342" spans="6:6">
      <c r="F1342" s="537">
        <v>0</v>
      </c>
    </row>
    <row r="1343" spans="6:6">
      <c r="F1343" s="537">
        <v>0</v>
      </c>
    </row>
    <row r="1344" spans="6:6">
      <c r="F1344" s="537">
        <v>0</v>
      </c>
    </row>
    <row r="1345" spans="6:6">
      <c r="F1345" s="537">
        <v>0</v>
      </c>
    </row>
    <row r="1346" spans="6:6">
      <c r="F1346" s="537">
        <v>0</v>
      </c>
    </row>
    <row r="1347" spans="6:6">
      <c r="F1347" s="537">
        <v>0</v>
      </c>
    </row>
    <row r="1348" spans="6:6">
      <c r="F1348" s="537">
        <v>0</v>
      </c>
    </row>
    <row r="1349" spans="6:6">
      <c r="F1349" s="537">
        <v>0</v>
      </c>
    </row>
    <row r="1350" spans="6:6">
      <c r="F1350" s="537">
        <v>0</v>
      </c>
    </row>
    <row r="1351" spans="6:6">
      <c r="F1351" s="537">
        <v>0</v>
      </c>
    </row>
    <row r="1352" spans="6:6">
      <c r="F1352" s="537">
        <v>0</v>
      </c>
    </row>
    <row r="1353" spans="6:6">
      <c r="F1353" s="537">
        <v>0</v>
      </c>
    </row>
    <row r="1354" spans="6:6">
      <c r="F1354" s="537">
        <v>0</v>
      </c>
    </row>
    <row r="1355" spans="6:6">
      <c r="F1355" s="537">
        <v>0</v>
      </c>
    </row>
    <row r="1356" spans="6:6">
      <c r="F1356" s="537">
        <v>0</v>
      </c>
    </row>
    <row r="1357" spans="6:6">
      <c r="F1357" s="537">
        <v>0</v>
      </c>
    </row>
    <row r="1358" spans="6:6">
      <c r="F1358" s="537">
        <v>0</v>
      </c>
    </row>
    <row r="1359" spans="6:6">
      <c r="F1359" s="537">
        <v>0</v>
      </c>
    </row>
    <row r="1360" spans="6:6">
      <c r="F1360" s="537">
        <v>0</v>
      </c>
    </row>
    <row r="1361" spans="6:6">
      <c r="F1361" s="537">
        <v>0</v>
      </c>
    </row>
    <row r="1362" spans="6:6">
      <c r="F1362" s="537">
        <v>0</v>
      </c>
    </row>
    <row r="1363" spans="6:6">
      <c r="F1363" s="537">
        <v>0</v>
      </c>
    </row>
    <row r="1364" spans="6:6">
      <c r="F1364" s="537">
        <v>0</v>
      </c>
    </row>
    <row r="1365" spans="6:6">
      <c r="F1365" s="537">
        <v>0</v>
      </c>
    </row>
    <row r="1366" spans="6:6">
      <c r="F1366" s="537">
        <v>0</v>
      </c>
    </row>
    <row r="1367" spans="6:6">
      <c r="F1367" s="537">
        <v>0</v>
      </c>
    </row>
    <row r="1368" spans="6:6">
      <c r="F1368" s="537">
        <v>0</v>
      </c>
    </row>
    <row r="1369" spans="6:6">
      <c r="F1369" s="537">
        <v>0</v>
      </c>
    </row>
    <row r="1370" spans="6:6">
      <c r="F1370" s="537">
        <v>0</v>
      </c>
    </row>
    <row r="1371" spans="6:6">
      <c r="F1371" s="537">
        <v>0</v>
      </c>
    </row>
    <row r="1372" spans="6:6">
      <c r="F1372" s="537">
        <v>0</v>
      </c>
    </row>
    <row r="1373" spans="6:6">
      <c r="F1373" s="537">
        <v>0</v>
      </c>
    </row>
    <row r="1374" spans="6:6">
      <c r="F1374" s="537">
        <v>0</v>
      </c>
    </row>
    <row r="1375" spans="6:6">
      <c r="F1375" s="537">
        <v>0</v>
      </c>
    </row>
    <row r="1376" spans="6:6">
      <c r="F1376" s="537">
        <v>0</v>
      </c>
    </row>
    <row r="1377" spans="6:6">
      <c r="F1377" s="537">
        <v>0</v>
      </c>
    </row>
    <row r="1378" spans="6:6">
      <c r="F1378" s="537">
        <v>0</v>
      </c>
    </row>
    <row r="1379" spans="6:6">
      <c r="F1379" s="537">
        <v>0</v>
      </c>
    </row>
    <row r="1380" spans="6:6">
      <c r="F1380" s="537">
        <v>0</v>
      </c>
    </row>
    <row r="1381" spans="6:6">
      <c r="F1381" s="537">
        <v>0</v>
      </c>
    </row>
    <row r="1382" spans="6:6">
      <c r="F1382" s="537">
        <v>0</v>
      </c>
    </row>
    <row r="1383" spans="6:6">
      <c r="F1383" s="537">
        <v>0</v>
      </c>
    </row>
    <row r="1384" spans="6:6">
      <c r="F1384" s="537">
        <v>0</v>
      </c>
    </row>
    <row r="1385" spans="6:6">
      <c r="F1385" s="537">
        <v>0</v>
      </c>
    </row>
    <row r="1386" spans="6:6">
      <c r="F1386" s="537">
        <v>0</v>
      </c>
    </row>
    <row r="1387" spans="6:6">
      <c r="F1387" s="537">
        <v>0</v>
      </c>
    </row>
    <row r="1388" spans="6:6">
      <c r="F1388" s="537">
        <v>0</v>
      </c>
    </row>
    <row r="1389" spans="6:6">
      <c r="F1389" s="537">
        <v>0</v>
      </c>
    </row>
    <row r="1390" spans="6:6">
      <c r="F1390" s="537">
        <v>0</v>
      </c>
    </row>
    <row r="1391" spans="6:6">
      <c r="F1391" s="537">
        <v>0</v>
      </c>
    </row>
    <row r="1392" spans="6:6">
      <c r="F1392" s="537">
        <v>0</v>
      </c>
    </row>
    <row r="1393" spans="6:6">
      <c r="F1393" s="537">
        <v>0</v>
      </c>
    </row>
    <row r="1394" spans="6:6">
      <c r="F1394" s="537">
        <v>0</v>
      </c>
    </row>
    <row r="1395" spans="6:6">
      <c r="F1395" s="537">
        <v>0</v>
      </c>
    </row>
    <row r="1396" spans="6:6">
      <c r="F1396" s="537">
        <v>0</v>
      </c>
    </row>
    <row r="1397" spans="6:6">
      <c r="F1397" s="537">
        <v>0</v>
      </c>
    </row>
    <row r="1398" spans="6:6">
      <c r="F1398" s="537">
        <v>0</v>
      </c>
    </row>
    <row r="1399" spans="6:6">
      <c r="F1399" s="537">
        <v>0</v>
      </c>
    </row>
    <row r="1400" spans="6:6">
      <c r="F1400" s="537">
        <v>0</v>
      </c>
    </row>
    <row r="1401" spans="6:6">
      <c r="F1401" s="537">
        <v>0</v>
      </c>
    </row>
    <row r="1402" spans="6:6">
      <c r="F1402" s="537">
        <v>0</v>
      </c>
    </row>
    <row r="1403" spans="6:6">
      <c r="F1403" s="537">
        <v>0</v>
      </c>
    </row>
    <row r="1404" spans="6:6">
      <c r="F1404" s="537">
        <v>0</v>
      </c>
    </row>
    <row r="1405" spans="6:6">
      <c r="F1405" s="537">
        <v>0</v>
      </c>
    </row>
    <row r="1406" spans="6:6">
      <c r="F1406" s="537">
        <v>0</v>
      </c>
    </row>
    <row r="1407" spans="6:6">
      <c r="F1407" s="537">
        <v>0</v>
      </c>
    </row>
    <row r="1408" spans="6:6">
      <c r="F1408" s="537">
        <v>0</v>
      </c>
    </row>
    <row r="1409" spans="6:6">
      <c r="F1409" s="537">
        <v>0</v>
      </c>
    </row>
    <row r="1410" spans="6:6">
      <c r="F1410" s="537">
        <v>0</v>
      </c>
    </row>
    <row r="1411" spans="6:6">
      <c r="F1411" s="537">
        <v>0</v>
      </c>
    </row>
    <row r="1412" spans="6:6">
      <c r="F1412" s="537">
        <v>0</v>
      </c>
    </row>
    <row r="1413" spans="6:6">
      <c r="F1413" s="537">
        <v>0</v>
      </c>
    </row>
    <row r="1414" spans="6:6">
      <c r="F1414" s="537">
        <v>0</v>
      </c>
    </row>
    <row r="1415" spans="6:6">
      <c r="F1415" s="537">
        <v>0</v>
      </c>
    </row>
    <row r="1416" spans="6:6">
      <c r="F1416" s="537">
        <v>0</v>
      </c>
    </row>
    <row r="1417" spans="6:6">
      <c r="F1417" s="537">
        <v>0</v>
      </c>
    </row>
    <row r="1418" spans="6:6">
      <c r="F1418" s="537">
        <v>0</v>
      </c>
    </row>
    <row r="1419" spans="6:6">
      <c r="F1419" s="537">
        <v>0</v>
      </c>
    </row>
    <row r="1420" spans="6:6">
      <c r="F1420" s="537">
        <v>0</v>
      </c>
    </row>
    <row r="1421" spans="6:6">
      <c r="F1421" s="537">
        <v>0</v>
      </c>
    </row>
    <row r="1422" spans="6:6">
      <c r="F1422" s="537">
        <v>0</v>
      </c>
    </row>
    <row r="1423" spans="6:6">
      <c r="F1423" s="537">
        <v>0</v>
      </c>
    </row>
    <row r="1424" spans="6:6">
      <c r="F1424" s="537">
        <v>0</v>
      </c>
    </row>
    <row r="1425" spans="6:6">
      <c r="F1425" s="537">
        <v>0</v>
      </c>
    </row>
    <row r="1426" spans="6:6">
      <c r="F1426" s="537">
        <v>0</v>
      </c>
    </row>
    <row r="1427" spans="6:6">
      <c r="F1427" s="537">
        <v>0</v>
      </c>
    </row>
    <row r="1428" spans="6:6">
      <c r="F1428" s="537">
        <v>0</v>
      </c>
    </row>
    <row r="1429" spans="6:6">
      <c r="F1429" s="537">
        <v>0</v>
      </c>
    </row>
    <row r="1430" spans="6:6">
      <c r="F1430" s="537">
        <v>0</v>
      </c>
    </row>
    <row r="1431" spans="6:6">
      <c r="F1431" s="537">
        <v>0</v>
      </c>
    </row>
    <row r="1432" spans="6:6">
      <c r="F1432" s="537">
        <v>0</v>
      </c>
    </row>
    <row r="1433" spans="6:6">
      <c r="F1433" s="537">
        <v>0</v>
      </c>
    </row>
    <row r="1434" spans="6:6">
      <c r="F1434" s="537">
        <v>0</v>
      </c>
    </row>
    <row r="1435" spans="6:6">
      <c r="F1435" s="537">
        <v>0</v>
      </c>
    </row>
    <row r="1436" spans="6:6">
      <c r="F1436" s="537">
        <v>0</v>
      </c>
    </row>
    <row r="1437" spans="6:6">
      <c r="F1437" s="537">
        <v>0</v>
      </c>
    </row>
    <row r="1438" spans="6:6">
      <c r="F1438" s="537">
        <v>0</v>
      </c>
    </row>
    <row r="1439" spans="6:6">
      <c r="F1439" s="537">
        <v>0</v>
      </c>
    </row>
    <row r="1440" spans="6:6">
      <c r="F1440" s="537">
        <v>0</v>
      </c>
    </row>
    <row r="1441" spans="6:6">
      <c r="F1441" s="537">
        <v>0</v>
      </c>
    </row>
    <row r="1442" spans="6:6">
      <c r="F1442" s="537">
        <v>0</v>
      </c>
    </row>
    <row r="1443" spans="6:6">
      <c r="F1443" s="537">
        <v>0</v>
      </c>
    </row>
    <row r="1444" spans="6:6">
      <c r="F1444" s="537">
        <v>0</v>
      </c>
    </row>
    <row r="1445" spans="6:6">
      <c r="F1445" s="537">
        <v>0</v>
      </c>
    </row>
    <row r="1446" spans="6:6">
      <c r="F1446" s="537">
        <v>0</v>
      </c>
    </row>
    <row r="1447" spans="6:6">
      <c r="F1447" s="537">
        <v>0</v>
      </c>
    </row>
    <row r="1448" spans="6:6">
      <c r="F1448" s="537">
        <v>0</v>
      </c>
    </row>
    <row r="1449" spans="6:6">
      <c r="F1449" s="537">
        <v>0</v>
      </c>
    </row>
    <row r="1450" spans="6:6">
      <c r="F1450" s="537">
        <v>0</v>
      </c>
    </row>
    <row r="1451" spans="6:6">
      <c r="F1451" s="537">
        <v>0</v>
      </c>
    </row>
    <row r="1452" spans="6:6">
      <c r="F1452" s="537">
        <v>0</v>
      </c>
    </row>
    <row r="1453" spans="6:6">
      <c r="F1453" s="537">
        <v>0</v>
      </c>
    </row>
    <row r="1454" spans="6:6">
      <c r="F1454" s="537">
        <v>0</v>
      </c>
    </row>
    <row r="1455" spans="6:6">
      <c r="F1455" s="537">
        <v>0</v>
      </c>
    </row>
    <row r="1456" spans="6:6">
      <c r="F1456" s="537">
        <v>0</v>
      </c>
    </row>
    <row r="1457" spans="6:6">
      <c r="F1457" s="537">
        <v>0</v>
      </c>
    </row>
    <row r="1458" spans="6:6">
      <c r="F1458" s="537">
        <v>0</v>
      </c>
    </row>
    <row r="1459" spans="6:6">
      <c r="F1459" s="537">
        <v>0</v>
      </c>
    </row>
    <row r="1460" spans="6:6">
      <c r="F1460" s="537">
        <v>0</v>
      </c>
    </row>
    <row r="1461" spans="6:6">
      <c r="F1461" s="537">
        <v>0</v>
      </c>
    </row>
    <row r="1462" spans="6:6">
      <c r="F1462" s="537">
        <v>0</v>
      </c>
    </row>
    <row r="1463" spans="6:6">
      <c r="F1463" s="537">
        <v>0</v>
      </c>
    </row>
    <row r="1464" spans="6:6">
      <c r="F1464" s="537">
        <v>0</v>
      </c>
    </row>
    <row r="1465" spans="6:6">
      <c r="F1465" s="537">
        <v>0</v>
      </c>
    </row>
    <row r="1466" spans="6:6">
      <c r="F1466" s="537">
        <v>0</v>
      </c>
    </row>
    <row r="1467" spans="6:6">
      <c r="F1467" s="537">
        <v>0</v>
      </c>
    </row>
    <row r="1468" spans="6:6">
      <c r="F1468" s="537">
        <v>0</v>
      </c>
    </row>
    <row r="1469" spans="6:6">
      <c r="F1469" s="537">
        <v>0</v>
      </c>
    </row>
    <row r="1470" spans="6:6">
      <c r="F1470" s="537">
        <v>0</v>
      </c>
    </row>
    <row r="1471" spans="6:6">
      <c r="F1471" s="537">
        <v>0</v>
      </c>
    </row>
    <row r="1472" spans="6:6">
      <c r="F1472" s="537">
        <v>0</v>
      </c>
    </row>
    <row r="1473" spans="6:6">
      <c r="F1473" s="537">
        <v>0</v>
      </c>
    </row>
    <row r="1474" spans="6:6">
      <c r="F1474" s="537">
        <v>0</v>
      </c>
    </row>
    <row r="1475" spans="6:6">
      <c r="F1475" s="537">
        <v>0</v>
      </c>
    </row>
    <row r="1476" spans="6:6">
      <c r="F1476" s="537">
        <v>0</v>
      </c>
    </row>
    <row r="1477" spans="6:6">
      <c r="F1477" s="537">
        <v>0</v>
      </c>
    </row>
    <row r="1478" spans="6:6">
      <c r="F1478" s="537">
        <v>0</v>
      </c>
    </row>
    <row r="1479" spans="6:6">
      <c r="F1479" s="537">
        <v>0</v>
      </c>
    </row>
    <row r="1480" spans="6:6">
      <c r="F1480" s="537">
        <v>0</v>
      </c>
    </row>
    <row r="1481" spans="6:6">
      <c r="F1481" s="537">
        <v>0</v>
      </c>
    </row>
    <row r="1482" spans="6:6">
      <c r="F1482" s="537">
        <v>0</v>
      </c>
    </row>
    <row r="1483" spans="6:6">
      <c r="F1483" s="537">
        <v>0</v>
      </c>
    </row>
    <row r="1484" spans="6:6">
      <c r="F1484" s="537">
        <v>0</v>
      </c>
    </row>
    <row r="1485" spans="6:6">
      <c r="F1485" s="537">
        <v>0</v>
      </c>
    </row>
    <row r="1486" spans="6:6">
      <c r="F1486" s="537">
        <v>0</v>
      </c>
    </row>
    <row r="1487" spans="6:6">
      <c r="F1487" s="537">
        <v>0</v>
      </c>
    </row>
    <row r="1488" spans="6:6">
      <c r="F1488" s="537">
        <v>0</v>
      </c>
    </row>
    <row r="1489" spans="6:6">
      <c r="F1489" s="537">
        <v>0</v>
      </c>
    </row>
    <row r="1490" spans="6:6">
      <c r="F1490" s="537">
        <v>0</v>
      </c>
    </row>
    <row r="1491" spans="6:6">
      <c r="F1491" s="537">
        <v>0</v>
      </c>
    </row>
    <row r="1492" spans="6:6">
      <c r="F1492" s="537">
        <v>0</v>
      </c>
    </row>
    <row r="1493" spans="6:6">
      <c r="F1493" s="537">
        <v>0</v>
      </c>
    </row>
    <row r="1494" spans="6:6">
      <c r="F1494" s="537">
        <v>0</v>
      </c>
    </row>
    <row r="1495" spans="6:6">
      <c r="F1495" s="537">
        <v>0</v>
      </c>
    </row>
    <row r="1496" spans="6:6">
      <c r="F1496" s="537">
        <v>0</v>
      </c>
    </row>
    <row r="1497" spans="6:6">
      <c r="F1497" s="537">
        <v>0</v>
      </c>
    </row>
    <row r="1498" spans="6:6">
      <c r="F1498" s="537">
        <v>0</v>
      </c>
    </row>
    <row r="1499" spans="6:6">
      <c r="F1499" s="537">
        <v>0</v>
      </c>
    </row>
    <row r="1500" spans="6:6">
      <c r="F1500" s="537">
        <v>0</v>
      </c>
    </row>
    <row r="1501" spans="6:6">
      <c r="F1501" s="537">
        <v>0</v>
      </c>
    </row>
    <row r="1502" spans="6:6">
      <c r="F1502" s="537">
        <v>0</v>
      </c>
    </row>
    <row r="1503" spans="6:6">
      <c r="F1503" s="537">
        <v>0</v>
      </c>
    </row>
    <row r="1504" spans="6:6">
      <c r="F1504" s="537">
        <v>0</v>
      </c>
    </row>
    <row r="1505" spans="6:6">
      <c r="F1505" s="537">
        <v>0</v>
      </c>
    </row>
    <row r="1506" spans="6:6">
      <c r="F1506" s="537">
        <v>0</v>
      </c>
    </row>
    <row r="1507" spans="6:6">
      <c r="F1507" s="537">
        <v>0</v>
      </c>
    </row>
    <row r="1508" spans="6:6">
      <c r="F1508" s="537">
        <v>0</v>
      </c>
    </row>
    <row r="1509" spans="6:6">
      <c r="F1509" s="537">
        <v>0</v>
      </c>
    </row>
    <row r="1510" spans="6:6">
      <c r="F1510" s="537">
        <v>0</v>
      </c>
    </row>
    <row r="1511" spans="6:6">
      <c r="F1511" s="537">
        <v>0</v>
      </c>
    </row>
    <row r="1512" spans="6:6">
      <c r="F1512" s="537">
        <v>0</v>
      </c>
    </row>
    <row r="1513" spans="6:6">
      <c r="F1513" s="537">
        <v>0</v>
      </c>
    </row>
    <row r="1514" spans="6:6">
      <c r="F1514" s="537">
        <v>0</v>
      </c>
    </row>
    <row r="1515" spans="6:6">
      <c r="F1515" s="537">
        <v>0</v>
      </c>
    </row>
    <row r="1516" spans="6:6">
      <c r="F1516" s="537">
        <v>0</v>
      </c>
    </row>
    <row r="1517" spans="6:6">
      <c r="F1517" s="537">
        <v>0</v>
      </c>
    </row>
    <row r="1518" spans="6:6">
      <c r="F1518" s="537">
        <v>0</v>
      </c>
    </row>
    <row r="1519" spans="6:6">
      <c r="F1519" s="537">
        <v>0</v>
      </c>
    </row>
    <row r="1520" spans="6:6">
      <c r="F1520" s="537">
        <v>0</v>
      </c>
    </row>
    <row r="1521" spans="6:6">
      <c r="F1521" s="537">
        <v>0</v>
      </c>
    </row>
    <row r="1522" spans="6:6">
      <c r="F1522" s="537">
        <v>0</v>
      </c>
    </row>
    <row r="1523" spans="6:6">
      <c r="F1523" s="537">
        <v>0</v>
      </c>
    </row>
    <row r="1524" spans="6:6">
      <c r="F1524" s="537">
        <v>0</v>
      </c>
    </row>
    <row r="1525" spans="6:6">
      <c r="F1525" s="537">
        <v>0</v>
      </c>
    </row>
    <row r="1526" spans="6:6">
      <c r="F1526" s="537">
        <v>0</v>
      </c>
    </row>
    <row r="1527" spans="6:6">
      <c r="F1527" s="537">
        <v>0</v>
      </c>
    </row>
    <row r="1528" spans="6:6">
      <c r="F1528" s="537">
        <v>0</v>
      </c>
    </row>
    <row r="1529" spans="6:6">
      <c r="F1529" s="537">
        <v>0</v>
      </c>
    </row>
    <row r="1530" spans="6:6">
      <c r="F1530" s="537">
        <v>0</v>
      </c>
    </row>
    <row r="1531" spans="6:6">
      <c r="F1531" s="537">
        <v>0</v>
      </c>
    </row>
    <row r="1532" spans="6:6">
      <c r="F1532" s="537">
        <v>0</v>
      </c>
    </row>
    <row r="1533" spans="6:6">
      <c r="F1533" s="537">
        <v>0</v>
      </c>
    </row>
    <row r="1534" spans="6:6">
      <c r="F1534" s="537">
        <v>0</v>
      </c>
    </row>
    <row r="1535" spans="6:6">
      <c r="F1535" s="537">
        <v>0</v>
      </c>
    </row>
    <row r="1536" spans="6:6">
      <c r="F1536" s="537">
        <v>0</v>
      </c>
    </row>
    <row r="1537" spans="6:6">
      <c r="F1537" s="537">
        <v>0</v>
      </c>
    </row>
    <row r="1538" spans="6:6">
      <c r="F1538" s="537">
        <v>0</v>
      </c>
    </row>
    <row r="1539" spans="6:6">
      <c r="F1539" s="537">
        <v>0</v>
      </c>
    </row>
    <row r="1540" spans="6:6">
      <c r="F1540" s="537">
        <v>0</v>
      </c>
    </row>
    <row r="1541" spans="6:6">
      <c r="F1541" s="537">
        <v>0</v>
      </c>
    </row>
    <row r="1542" spans="6:6">
      <c r="F1542" s="537">
        <v>0</v>
      </c>
    </row>
    <row r="1543" spans="6:6">
      <c r="F1543" s="537">
        <v>0</v>
      </c>
    </row>
    <row r="1544" spans="6:6">
      <c r="F1544" s="537">
        <v>0</v>
      </c>
    </row>
    <row r="1545" spans="6:6">
      <c r="F1545" s="537">
        <v>0</v>
      </c>
    </row>
    <row r="1546" spans="6:6">
      <c r="F1546" s="537">
        <v>0</v>
      </c>
    </row>
    <row r="1547" spans="6:6">
      <c r="F1547" s="537">
        <v>0</v>
      </c>
    </row>
    <row r="1548" spans="6:6">
      <c r="F1548" s="537">
        <v>0</v>
      </c>
    </row>
    <row r="1549" spans="6:6">
      <c r="F1549" s="537">
        <v>0</v>
      </c>
    </row>
    <row r="1550" spans="6:6">
      <c r="F1550" s="537">
        <v>0</v>
      </c>
    </row>
    <row r="1551" spans="6:6">
      <c r="F1551" s="537">
        <v>0</v>
      </c>
    </row>
    <row r="1552" spans="6:6">
      <c r="F1552" s="537">
        <v>0</v>
      </c>
    </row>
    <row r="1553" spans="6:6">
      <c r="F1553" s="537">
        <v>0</v>
      </c>
    </row>
    <row r="1554" spans="6:6">
      <c r="F1554" s="537">
        <v>0</v>
      </c>
    </row>
    <row r="1555" spans="6:6">
      <c r="F1555" s="537">
        <v>0</v>
      </c>
    </row>
    <row r="1556" spans="6:6">
      <c r="F1556" s="537">
        <v>0</v>
      </c>
    </row>
    <row r="1557" spans="6:6">
      <c r="F1557" s="537">
        <v>0</v>
      </c>
    </row>
    <row r="1558" spans="6:6">
      <c r="F1558" s="537">
        <v>0</v>
      </c>
    </row>
    <row r="1559" spans="6:6">
      <c r="F1559" s="537">
        <v>0</v>
      </c>
    </row>
    <row r="1560" spans="6:6">
      <c r="F1560" s="537">
        <v>0</v>
      </c>
    </row>
    <row r="1561" spans="6:6">
      <c r="F1561" s="537">
        <v>0</v>
      </c>
    </row>
    <row r="1562" spans="6:6">
      <c r="F1562" s="537">
        <v>0</v>
      </c>
    </row>
    <row r="1563" spans="6:6">
      <c r="F1563" s="537">
        <v>0</v>
      </c>
    </row>
    <row r="1564" spans="6:6">
      <c r="F1564" s="537">
        <v>0</v>
      </c>
    </row>
    <row r="1565" spans="6:6">
      <c r="F1565" s="537">
        <v>0</v>
      </c>
    </row>
    <row r="1566" spans="6:6">
      <c r="F1566" s="537">
        <v>0</v>
      </c>
    </row>
    <row r="1567" spans="6:6">
      <c r="F1567" s="537">
        <v>0</v>
      </c>
    </row>
    <row r="1568" spans="6:6">
      <c r="F1568" s="537">
        <v>0</v>
      </c>
    </row>
    <row r="1569" spans="6:6">
      <c r="F1569" s="537">
        <v>0</v>
      </c>
    </row>
    <row r="1570" spans="6:6">
      <c r="F1570" s="537">
        <v>0</v>
      </c>
    </row>
    <row r="1571" spans="6:6">
      <c r="F1571" s="537">
        <v>0</v>
      </c>
    </row>
    <row r="1572" spans="6:6">
      <c r="F1572" s="537">
        <v>0</v>
      </c>
    </row>
    <row r="1573" spans="6:6">
      <c r="F1573" s="537">
        <v>0</v>
      </c>
    </row>
    <row r="1574" spans="6:6">
      <c r="F1574" s="537">
        <v>0</v>
      </c>
    </row>
    <row r="1575" spans="6:6">
      <c r="F1575" s="537">
        <v>0</v>
      </c>
    </row>
    <row r="1576" spans="6:6">
      <c r="F1576" s="537">
        <v>0</v>
      </c>
    </row>
    <row r="1577" spans="6:6">
      <c r="F1577" s="537">
        <v>0</v>
      </c>
    </row>
    <row r="1578" spans="6:6">
      <c r="F1578" s="537">
        <v>0</v>
      </c>
    </row>
    <row r="1579" spans="6:6">
      <c r="F1579" s="537">
        <v>0</v>
      </c>
    </row>
    <row r="1580" spans="6:6">
      <c r="F1580" s="537">
        <v>0</v>
      </c>
    </row>
    <row r="1581" spans="6:6">
      <c r="F1581" s="537">
        <v>0</v>
      </c>
    </row>
    <row r="1582" spans="6:6">
      <c r="F1582" s="537">
        <v>0</v>
      </c>
    </row>
    <row r="1583" spans="6:6">
      <c r="F1583" s="537">
        <v>0</v>
      </c>
    </row>
    <row r="1584" spans="6:6">
      <c r="F1584" s="537">
        <v>0</v>
      </c>
    </row>
    <row r="1585" spans="6:6">
      <c r="F1585" s="537">
        <v>0</v>
      </c>
    </row>
    <row r="1586" spans="6:6">
      <c r="F1586" s="537">
        <v>0</v>
      </c>
    </row>
    <row r="1587" spans="6:6">
      <c r="F1587" s="537">
        <v>0</v>
      </c>
    </row>
    <row r="1588" spans="6:6">
      <c r="F1588" s="537">
        <v>0</v>
      </c>
    </row>
    <row r="1589" spans="6:6">
      <c r="F1589" s="537">
        <v>0</v>
      </c>
    </row>
    <row r="1590" spans="6:6">
      <c r="F1590" s="537">
        <v>0</v>
      </c>
    </row>
    <row r="1591" spans="6:6">
      <c r="F1591" s="537">
        <v>0</v>
      </c>
    </row>
    <row r="1592" spans="6:6">
      <c r="F1592" s="537">
        <v>0</v>
      </c>
    </row>
    <row r="1593" spans="6:6">
      <c r="F1593" s="537">
        <v>0</v>
      </c>
    </row>
    <row r="1594" spans="6:6">
      <c r="F1594" s="537">
        <v>0</v>
      </c>
    </row>
    <row r="1595" spans="6:6">
      <c r="F1595" s="537">
        <v>0</v>
      </c>
    </row>
    <row r="1596" spans="6:6">
      <c r="F1596" s="537">
        <v>0</v>
      </c>
    </row>
    <row r="1597" spans="6:6">
      <c r="F1597" s="537">
        <v>0</v>
      </c>
    </row>
    <row r="1598" spans="6:6">
      <c r="F1598" s="537">
        <v>0</v>
      </c>
    </row>
    <row r="1599" spans="6:6">
      <c r="F1599" s="537">
        <v>0</v>
      </c>
    </row>
    <row r="1600" spans="6:6">
      <c r="F1600" s="537">
        <v>0</v>
      </c>
    </row>
    <row r="1601" spans="6:6">
      <c r="F1601" s="537">
        <v>0</v>
      </c>
    </row>
    <row r="1602" spans="6:6">
      <c r="F1602" s="537">
        <v>0</v>
      </c>
    </row>
    <row r="1603" spans="6:6">
      <c r="F1603" s="537">
        <v>0</v>
      </c>
    </row>
    <row r="1604" spans="6:6">
      <c r="F1604" s="537">
        <v>0</v>
      </c>
    </row>
    <row r="1605" spans="6:6">
      <c r="F1605" s="537">
        <v>0</v>
      </c>
    </row>
    <row r="1606" spans="6:6">
      <c r="F1606" s="537">
        <v>0</v>
      </c>
    </row>
    <row r="1607" spans="6:6">
      <c r="F1607" s="537">
        <v>0</v>
      </c>
    </row>
    <row r="1608" spans="6:6">
      <c r="F1608" s="537">
        <v>0</v>
      </c>
    </row>
    <row r="1609" spans="6:6">
      <c r="F1609" s="537">
        <v>0</v>
      </c>
    </row>
    <row r="1610" spans="6:6">
      <c r="F1610" s="537">
        <v>0</v>
      </c>
    </row>
    <row r="1611" spans="6:6">
      <c r="F1611" s="537">
        <v>0</v>
      </c>
    </row>
    <row r="1612" spans="6:6">
      <c r="F1612" s="537">
        <v>0</v>
      </c>
    </row>
    <row r="1613" spans="6:6">
      <c r="F1613" s="537">
        <v>0</v>
      </c>
    </row>
    <row r="1614" spans="6:6">
      <c r="F1614" s="537">
        <v>0</v>
      </c>
    </row>
    <row r="1615" spans="6:6">
      <c r="F1615" s="537">
        <v>0</v>
      </c>
    </row>
    <row r="1616" spans="6:6">
      <c r="F1616" s="537">
        <v>0</v>
      </c>
    </row>
    <row r="1617" spans="6:6">
      <c r="F1617" s="537">
        <v>0</v>
      </c>
    </row>
    <row r="1618" spans="6:6">
      <c r="F1618" s="537">
        <v>0</v>
      </c>
    </row>
    <row r="1619" spans="6:6">
      <c r="F1619" s="537">
        <v>0</v>
      </c>
    </row>
    <row r="1620" spans="6:6">
      <c r="F1620" s="537">
        <v>0</v>
      </c>
    </row>
    <row r="1621" spans="6:6">
      <c r="F1621" s="537">
        <v>0</v>
      </c>
    </row>
    <row r="1622" spans="6:6">
      <c r="F1622" s="537">
        <v>0</v>
      </c>
    </row>
    <row r="1623" spans="6:6">
      <c r="F1623" s="537">
        <v>0</v>
      </c>
    </row>
    <row r="1624" spans="6:6">
      <c r="F1624" s="537">
        <v>0</v>
      </c>
    </row>
    <row r="1625" spans="6:6">
      <c r="F1625" s="537">
        <v>0</v>
      </c>
    </row>
    <row r="1626" spans="6:6">
      <c r="F1626" s="537">
        <v>0</v>
      </c>
    </row>
    <row r="1627" spans="6:6">
      <c r="F1627" s="537">
        <v>0</v>
      </c>
    </row>
    <row r="1628" spans="6:6">
      <c r="F1628" s="537">
        <v>0</v>
      </c>
    </row>
    <row r="1629" spans="6:6">
      <c r="F1629" s="537">
        <v>0</v>
      </c>
    </row>
    <row r="1630" spans="6:6">
      <c r="F1630" s="537">
        <v>0</v>
      </c>
    </row>
    <row r="1631" spans="6:6">
      <c r="F1631" s="537">
        <v>0</v>
      </c>
    </row>
    <row r="1632" spans="6:6">
      <c r="F1632" s="537">
        <v>0</v>
      </c>
    </row>
    <row r="1633" spans="6:6">
      <c r="F1633" s="537">
        <v>0</v>
      </c>
    </row>
    <row r="1634" spans="6:6">
      <c r="F1634" s="537">
        <v>0</v>
      </c>
    </row>
    <row r="1635" spans="6:6">
      <c r="F1635" s="537">
        <v>0</v>
      </c>
    </row>
    <row r="1636" spans="6:6">
      <c r="F1636" s="537">
        <v>0</v>
      </c>
    </row>
    <row r="1637" spans="6:6">
      <c r="F1637" s="537">
        <v>0</v>
      </c>
    </row>
    <row r="1638" spans="6:6">
      <c r="F1638" s="537">
        <v>0</v>
      </c>
    </row>
    <row r="1639" spans="6:6">
      <c r="F1639" s="537">
        <v>0</v>
      </c>
    </row>
    <row r="1640" spans="6:6">
      <c r="F1640" s="537">
        <v>0</v>
      </c>
    </row>
    <row r="1641" spans="6:6">
      <c r="F1641" s="537">
        <v>0</v>
      </c>
    </row>
    <row r="1642" spans="6:6">
      <c r="F1642" s="537">
        <v>0</v>
      </c>
    </row>
    <row r="1643" spans="6:6">
      <c r="F1643" s="537">
        <v>0</v>
      </c>
    </row>
    <row r="1644" spans="6:6">
      <c r="F1644" s="537">
        <v>0</v>
      </c>
    </row>
    <row r="1645" spans="6:6">
      <c r="F1645" s="537">
        <v>0</v>
      </c>
    </row>
    <row r="1646" spans="6:6">
      <c r="F1646" s="537">
        <v>0</v>
      </c>
    </row>
    <row r="1647" spans="6:6">
      <c r="F1647" s="537">
        <v>0</v>
      </c>
    </row>
    <row r="1648" spans="6:6">
      <c r="F1648" s="537">
        <v>0</v>
      </c>
    </row>
    <row r="1649" spans="6:6">
      <c r="F1649" s="537">
        <v>0</v>
      </c>
    </row>
    <row r="1650" spans="6:6">
      <c r="F1650" s="537">
        <v>0</v>
      </c>
    </row>
    <row r="1651" spans="6:6">
      <c r="F1651" s="537">
        <v>0</v>
      </c>
    </row>
    <row r="1652" spans="6:6">
      <c r="F1652" s="537">
        <v>0</v>
      </c>
    </row>
    <row r="1653" spans="6:6">
      <c r="F1653" s="537">
        <v>0</v>
      </c>
    </row>
    <row r="1654" spans="6:6">
      <c r="F1654" s="537">
        <v>0</v>
      </c>
    </row>
    <row r="1655" spans="6:6">
      <c r="F1655" s="537">
        <v>0</v>
      </c>
    </row>
    <row r="1656" spans="6:6">
      <c r="F1656" s="537">
        <v>0</v>
      </c>
    </row>
    <row r="1657" spans="6:6">
      <c r="F1657" s="537">
        <v>0</v>
      </c>
    </row>
    <row r="1658" spans="6:6">
      <c r="F1658" s="537">
        <v>0</v>
      </c>
    </row>
    <row r="1659" spans="6:6">
      <c r="F1659" s="537">
        <v>0</v>
      </c>
    </row>
    <row r="1660" spans="6:6">
      <c r="F1660" s="537">
        <v>0</v>
      </c>
    </row>
    <row r="1661" spans="6:6">
      <c r="F1661" s="537">
        <v>0</v>
      </c>
    </row>
    <row r="1662" spans="6:6">
      <c r="F1662" s="537">
        <v>0</v>
      </c>
    </row>
    <row r="1663" spans="6:6">
      <c r="F1663" s="537">
        <v>0</v>
      </c>
    </row>
    <row r="1664" spans="6:6">
      <c r="F1664" s="537">
        <v>0</v>
      </c>
    </row>
    <row r="1665" spans="6:6">
      <c r="F1665" s="537">
        <v>0</v>
      </c>
    </row>
    <row r="1666" spans="6:6">
      <c r="F1666" s="537">
        <v>0</v>
      </c>
    </row>
    <row r="1667" spans="6:6">
      <c r="F1667" s="537">
        <v>0</v>
      </c>
    </row>
    <row r="1668" spans="6:6">
      <c r="F1668" s="537">
        <v>0</v>
      </c>
    </row>
    <row r="1669" spans="6:6">
      <c r="F1669" s="537">
        <v>0</v>
      </c>
    </row>
    <row r="1670" spans="6:6">
      <c r="F1670" s="537">
        <v>0</v>
      </c>
    </row>
    <row r="1671" spans="6:6">
      <c r="F1671" s="537">
        <v>0</v>
      </c>
    </row>
    <row r="1672" spans="6:6">
      <c r="F1672" s="537">
        <v>0</v>
      </c>
    </row>
    <row r="1673" spans="6:6">
      <c r="F1673" s="537">
        <v>0</v>
      </c>
    </row>
    <row r="1674" spans="6:6">
      <c r="F1674" s="537">
        <v>0</v>
      </c>
    </row>
    <row r="1675" spans="6:6">
      <c r="F1675" s="537">
        <v>0</v>
      </c>
    </row>
    <row r="1676" spans="6:6">
      <c r="F1676" s="537">
        <v>0</v>
      </c>
    </row>
    <row r="1677" spans="6:6">
      <c r="F1677" s="537">
        <v>0</v>
      </c>
    </row>
    <row r="1678" spans="6:6">
      <c r="F1678" s="537">
        <v>0</v>
      </c>
    </row>
    <row r="1679" spans="6:6">
      <c r="F1679" s="537">
        <v>0</v>
      </c>
    </row>
    <row r="1680" spans="6:6">
      <c r="F1680" s="537">
        <v>0</v>
      </c>
    </row>
    <row r="1681" spans="6:6">
      <c r="F1681" s="537">
        <v>0</v>
      </c>
    </row>
    <row r="1682" spans="6:6">
      <c r="F1682" s="537">
        <v>0</v>
      </c>
    </row>
    <row r="1683" spans="6:6">
      <c r="F1683" s="537">
        <v>0</v>
      </c>
    </row>
    <row r="1684" spans="6:6">
      <c r="F1684" s="537">
        <v>0</v>
      </c>
    </row>
    <row r="1685" spans="6:6">
      <c r="F1685" s="537">
        <v>0</v>
      </c>
    </row>
    <row r="1686" spans="6:6">
      <c r="F1686" s="537">
        <v>0</v>
      </c>
    </row>
    <row r="1687" spans="6:6">
      <c r="F1687" s="537">
        <v>0</v>
      </c>
    </row>
    <row r="1688" spans="6:6">
      <c r="F1688" s="537">
        <v>0</v>
      </c>
    </row>
    <row r="1689" spans="6:6">
      <c r="F1689" s="537">
        <v>0</v>
      </c>
    </row>
    <row r="1690" spans="6:6">
      <c r="F1690" s="537">
        <v>0</v>
      </c>
    </row>
  </sheetData>
  <mergeCells count="77">
    <mergeCell ref="A174:C174"/>
    <mergeCell ref="A172:C172"/>
    <mergeCell ref="A167:C167"/>
    <mergeCell ref="A168:C168"/>
    <mergeCell ref="A169:C169"/>
    <mergeCell ref="A170:C170"/>
    <mergeCell ref="A171:C171"/>
    <mergeCell ref="A122:B122"/>
    <mergeCell ref="A115:B115"/>
    <mergeCell ref="A116:B116"/>
    <mergeCell ref="A117:B117"/>
    <mergeCell ref="A118:B118"/>
    <mergeCell ref="A119:B119"/>
    <mergeCell ref="A153:C153"/>
    <mergeCell ref="A154:C154"/>
    <mergeCell ref="A149:C149"/>
    <mergeCell ref="A150:C150"/>
    <mergeCell ref="A151:C151"/>
    <mergeCell ref="A152:C152"/>
    <mergeCell ref="A144:C144"/>
    <mergeCell ref="A145:C145"/>
    <mergeCell ref="A146:C146"/>
    <mergeCell ref="A147:C147"/>
    <mergeCell ref="A148:C148"/>
    <mergeCell ref="A102:C102"/>
    <mergeCell ref="A123:C123"/>
    <mergeCell ref="A142:B142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12:B112"/>
    <mergeCell ref="A113:B113"/>
    <mergeCell ref="A114:B114"/>
    <mergeCell ref="A120:B120"/>
    <mergeCell ref="A121:B121"/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  <mergeCell ref="A68:C68"/>
    <mergeCell ref="A69:C69"/>
    <mergeCell ref="A72:C72"/>
    <mergeCell ref="A73:C73"/>
    <mergeCell ref="A74:C74"/>
    <mergeCell ref="A71:J71"/>
    <mergeCell ref="A70:C70"/>
    <mergeCell ref="A175:B175"/>
    <mergeCell ref="A176:B176"/>
    <mergeCell ref="A75:C75"/>
    <mergeCell ref="A76:C76"/>
    <mergeCell ref="A77:C77"/>
    <mergeCell ref="A79:C79"/>
    <mergeCell ref="A80:C80"/>
    <mergeCell ref="A94:C94"/>
    <mergeCell ref="A95:C95"/>
    <mergeCell ref="A96:C96"/>
    <mergeCell ref="A81:C81"/>
    <mergeCell ref="A82:C82"/>
    <mergeCell ref="A83:C83"/>
    <mergeCell ref="A93:C93"/>
    <mergeCell ref="A143:C143"/>
    <mergeCell ref="A126:C126"/>
  </mergeCells>
  <pageMargins left="0.22" right="0.17" top="0.14000000000000001" bottom="0.2" header="0.2" footer="0.2"/>
  <pageSetup paperSize="5" scale="20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690"/>
  <sheetViews>
    <sheetView view="pageBreakPreview" topLeftCell="A148" zoomScale="55" zoomScaleNormal="60" zoomScaleSheetLayoutView="55" zoomScalePageLayoutView="20" workbookViewId="0">
      <selection activeCell="F16" sqref="F16"/>
    </sheetView>
  </sheetViews>
  <sheetFormatPr defaultColWidth="22.33203125" defaultRowHeight="29.25"/>
  <cols>
    <col min="1" max="1" width="59.6640625" style="454" bestFit="1" customWidth="1"/>
    <col min="2" max="2" width="30.77734375" style="457" customWidth="1"/>
    <col min="3" max="3" width="15.88671875" style="457" customWidth="1"/>
    <col min="4" max="4" width="13.6640625" style="537" customWidth="1"/>
    <col min="5" max="6" width="30" style="537" customWidth="1"/>
    <col min="7" max="7" width="28.88671875" style="1358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3" width="0" style="376" hidden="1" customWidth="1"/>
    <col min="14" max="14" width="25.109375" style="376" customWidth="1"/>
    <col min="15" max="16384" width="22.33203125" style="376"/>
  </cols>
  <sheetData>
    <row r="1" spans="1:15" ht="33.75">
      <c r="A1" s="1549" t="s">
        <v>214</v>
      </c>
      <c r="B1" s="1550"/>
      <c r="C1" s="1550"/>
      <c r="D1" s="1550"/>
      <c r="E1" s="1550"/>
      <c r="F1" s="1550"/>
      <c r="G1" s="1550"/>
      <c r="H1" s="1550"/>
      <c r="I1" s="1550"/>
      <c r="J1" s="1551"/>
    </row>
    <row r="2" spans="1:15" s="281" customFormat="1" ht="27">
      <c r="A2" s="575" t="s">
        <v>371</v>
      </c>
      <c r="B2" s="1033">
        <v>44368</v>
      </c>
      <c r="C2" s="1143" t="s">
        <v>68</v>
      </c>
      <c r="D2" s="611">
        <v>0.66</v>
      </c>
      <c r="E2" s="461"/>
      <c r="F2" s="461"/>
      <c r="G2" s="1329" t="s">
        <v>117</v>
      </c>
      <c r="H2" s="461" t="s">
        <v>6</v>
      </c>
      <c r="I2" s="461" t="s">
        <v>8</v>
      </c>
      <c r="J2" s="613" t="s">
        <v>118</v>
      </c>
    </row>
    <row r="3" spans="1:15" s="281" customFormat="1" ht="27">
      <c r="A3" s="570"/>
      <c r="B3" s="614"/>
      <c r="C3" s="1143" t="s">
        <v>119</v>
      </c>
      <c r="D3" s="612">
        <v>28</v>
      </c>
      <c r="E3" s="1558" t="s">
        <v>120</v>
      </c>
      <c r="F3" s="1559"/>
      <c r="G3" s="1330">
        <f>'1'!G3</f>
        <v>0</v>
      </c>
      <c r="H3" s="463">
        <f>'1'!H3</f>
        <v>0</v>
      </c>
      <c r="I3" s="463">
        <f>'1'!I3</f>
        <v>0</v>
      </c>
      <c r="J3" s="615">
        <f>'1'!J3</f>
        <v>0</v>
      </c>
      <c r="K3" s="371"/>
      <c r="L3" s="292"/>
    </row>
    <row r="4" spans="1:15" s="281" customFormat="1" ht="27">
      <c r="A4" s="576"/>
      <c r="B4" s="616"/>
      <c r="C4" s="1143" t="s">
        <v>121</v>
      </c>
      <c r="D4" s="611">
        <v>0.84</v>
      </c>
      <c r="E4" s="464"/>
      <c r="F4" s="464"/>
      <c r="G4" s="1330"/>
      <c r="H4" s="464"/>
      <c r="I4" s="465"/>
      <c r="J4" s="615"/>
      <c r="K4" s="372"/>
      <c r="L4" s="292"/>
    </row>
    <row r="5" spans="1:15">
      <c r="A5" s="577" t="s">
        <v>122</v>
      </c>
      <c r="B5" s="459"/>
      <c r="C5" s="459"/>
      <c r="D5" s="511" t="s">
        <v>123</v>
      </c>
      <c r="E5" s="467" t="s">
        <v>124</v>
      </c>
      <c r="F5" s="467" t="s">
        <v>111</v>
      </c>
      <c r="G5" s="1331" t="s">
        <v>125</v>
      </c>
      <c r="H5" s="469" t="s">
        <v>126</v>
      </c>
      <c r="I5" s="470" t="s">
        <v>127</v>
      </c>
      <c r="J5" s="550" t="s">
        <v>128</v>
      </c>
      <c r="K5" s="426"/>
      <c r="L5" s="377"/>
    </row>
    <row r="6" spans="1:15">
      <c r="A6" s="1552" t="s">
        <v>129</v>
      </c>
      <c r="B6" s="1553"/>
      <c r="C6" s="1554"/>
      <c r="D6" s="471"/>
      <c r="E6" s="471"/>
      <c r="F6" s="471"/>
      <c r="G6" s="1332"/>
      <c r="H6" s="472"/>
      <c r="I6" s="472"/>
      <c r="J6" s="551"/>
      <c r="K6" s="427"/>
      <c r="L6" s="377"/>
    </row>
    <row r="7" spans="1:15" ht="30" thickBot="1">
      <c r="A7" s="578" t="s">
        <v>130</v>
      </c>
      <c r="B7" s="579"/>
      <c r="C7" s="579"/>
      <c r="D7" s="523" t="s">
        <v>131</v>
      </c>
      <c r="E7" s="455">
        <f>'20'!F7</f>
        <v>714485.83</v>
      </c>
      <c r="F7" s="455">
        <v>736340.15</v>
      </c>
      <c r="G7" s="1333">
        <f>F7-E7</f>
        <v>21854.320000000065</v>
      </c>
      <c r="H7" s="460">
        <f>G7+'20'!H7</f>
        <v>391928.15</v>
      </c>
      <c r="I7" s="474">
        <f>'1'!I7</f>
        <v>12000</v>
      </c>
      <c r="J7" s="552">
        <f>H7/DAY(B2)</f>
        <v>18663.245238095238</v>
      </c>
      <c r="K7" s="549">
        <v>12199</v>
      </c>
      <c r="L7" s="377">
        <f>G7-K7</f>
        <v>9655.3200000000652</v>
      </c>
      <c r="N7" s="382"/>
      <c r="O7" s="382"/>
    </row>
    <row r="8" spans="1:15" ht="27.75" thickBot="1">
      <c r="A8" s="580" t="s">
        <v>132</v>
      </c>
      <c r="B8" s="581"/>
      <c r="C8" s="582"/>
      <c r="D8" s="617" t="s">
        <v>25</v>
      </c>
      <c r="E8" s="475">
        <f>'20'!F8</f>
        <v>718223.92</v>
      </c>
      <c r="F8" s="475">
        <v>740179.07</v>
      </c>
      <c r="G8" s="1334">
        <f>F8-E8</f>
        <v>21955.149999999907</v>
      </c>
      <c r="H8" s="460">
        <f>G8+'20'!H8</f>
        <v>393669.06999999995</v>
      </c>
      <c r="I8" s="477">
        <f>'1'!I8</f>
        <v>12000</v>
      </c>
      <c r="J8" s="552">
        <f>H8/DAY(B2)</f>
        <v>18746.146190476189</v>
      </c>
      <c r="K8" s="549">
        <v>12262</v>
      </c>
      <c r="L8" s="425">
        <f>G8-K8</f>
        <v>9693.1499999999069</v>
      </c>
      <c r="M8" s="440"/>
      <c r="N8" s="382"/>
      <c r="O8" s="382"/>
    </row>
    <row r="9" spans="1:15">
      <c r="A9" s="583" t="s">
        <v>133</v>
      </c>
      <c r="B9" s="584"/>
      <c r="C9" s="584"/>
      <c r="D9" s="523" t="s">
        <v>131</v>
      </c>
      <c r="E9" s="478">
        <f>'20'!F9</f>
        <v>1832034.9</v>
      </c>
      <c r="F9" s="478">
        <v>1853193.5</v>
      </c>
      <c r="G9" s="1333">
        <f t="shared" ref="G9:G12" si="0">F9-E9</f>
        <v>21158.600000000093</v>
      </c>
      <c r="H9" s="460">
        <f>G9+'20'!H9</f>
        <v>379503.5</v>
      </c>
      <c r="I9" s="479">
        <f>I8-J8</f>
        <v>-6746.1461904761891</v>
      </c>
      <c r="J9" s="552">
        <f>H9/DAY(B2)</f>
        <v>18071.595238095237</v>
      </c>
      <c r="K9" s="428"/>
      <c r="L9" s="377"/>
      <c r="N9" s="382"/>
      <c r="O9" s="382"/>
    </row>
    <row r="10" spans="1:15">
      <c r="A10" s="578" t="s">
        <v>134</v>
      </c>
      <c r="B10" s="579"/>
      <c r="C10" s="579"/>
      <c r="D10" s="523" t="s">
        <v>131</v>
      </c>
      <c r="E10" s="478">
        <f>'20'!F10</f>
        <v>0</v>
      </c>
      <c r="F10" s="478"/>
      <c r="G10" s="1333">
        <f t="shared" si="0"/>
        <v>0</v>
      </c>
      <c r="H10" s="460">
        <f>G10+'20'!H10</f>
        <v>0.71999999999979991</v>
      </c>
      <c r="I10" s="480"/>
      <c r="J10" s="552">
        <f>H10/DAY(B2)</f>
        <v>3.428571428570476E-2</v>
      </c>
      <c r="K10" s="428"/>
      <c r="L10" s="377"/>
      <c r="N10" s="382"/>
      <c r="O10" s="382"/>
    </row>
    <row r="11" spans="1:15">
      <c r="A11" s="578" t="s">
        <v>135</v>
      </c>
      <c r="B11" s="579"/>
      <c r="C11" s="579"/>
      <c r="D11" s="523" t="s">
        <v>131</v>
      </c>
      <c r="E11" s="478">
        <f>'20'!F11</f>
        <v>37000</v>
      </c>
      <c r="F11" s="455">
        <v>37000</v>
      </c>
      <c r="G11" s="1333">
        <f t="shared" si="0"/>
        <v>0</v>
      </c>
      <c r="H11" s="460">
        <f>G11+'20'!H11</f>
        <v>0</v>
      </c>
      <c r="I11" s="480"/>
      <c r="J11" s="552">
        <f>H11/DAY(B2)</f>
        <v>0</v>
      </c>
      <c r="K11" s="428"/>
      <c r="L11" s="377"/>
      <c r="N11" s="382"/>
      <c r="O11" s="382"/>
    </row>
    <row r="12" spans="1:15">
      <c r="A12" s="578" t="s">
        <v>136</v>
      </c>
      <c r="B12" s="579"/>
      <c r="C12" s="579"/>
      <c r="D12" s="523" t="s">
        <v>131</v>
      </c>
      <c r="E12" s="478">
        <f>'20'!F12</f>
        <v>40010</v>
      </c>
      <c r="F12" s="478">
        <v>40010</v>
      </c>
      <c r="G12" s="1333">
        <f t="shared" si="0"/>
        <v>0</v>
      </c>
      <c r="H12" s="460">
        <f>G12+'20'!H12</f>
        <v>0</v>
      </c>
      <c r="I12" s="480"/>
      <c r="J12" s="552">
        <f>H12/DAY(B2)</f>
        <v>0</v>
      </c>
      <c r="K12" s="428"/>
      <c r="L12" s="377"/>
      <c r="N12" s="382"/>
      <c r="O12" s="382"/>
    </row>
    <row r="13" spans="1:15">
      <c r="A13" s="585" t="s">
        <v>137</v>
      </c>
      <c r="B13" s="586"/>
      <c r="C13" s="586"/>
      <c r="D13" s="523"/>
      <c r="E13" s="455"/>
      <c r="F13" s="455"/>
      <c r="G13" s="1335">
        <f>G9+G10+G11+G12</f>
        <v>21158.600000000093</v>
      </c>
      <c r="H13" s="460">
        <f>G13+'20'!H13</f>
        <v>362979.22</v>
      </c>
      <c r="I13" s="482">
        <f>G7-G13</f>
        <v>695.71999999997206</v>
      </c>
      <c r="J13" s="552">
        <f>H13/DAY(B2)</f>
        <v>17284.724761904759</v>
      </c>
      <c r="K13" s="428"/>
      <c r="L13" s="377"/>
      <c r="N13" s="382"/>
      <c r="O13" s="382"/>
    </row>
    <row r="14" spans="1:15">
      <c r="A14" s="1555" t="s">
        <v>138</v>
      </c>
      <c r="B14" s="1556"/>
      <c r="C14" s="1557"/>
      <c r="D14" s="472"/>
      <c r="E14" s="472"/>
      <c r="F14" s="472"/>
      <c r="G14" s="1336"/>
      <c r="H14" s="472"/>
      <c r="I14" s="472"/>
      <c r="J14" s="551"/>
      <c r="K14" s="429"/>
      <c r="L14" s="377"/>
      <c r="N14" s="382"/>
      <c r="O14" s="382"/>
    </row>
    <row r="15" spans="1:15">
      <c r="A15" s="1141" t="s">
        <v>139</v>
      </c>
      <c r="B15" s="589"/>
      <c r="C15" s="589"/>
      <c r="D15" s="523" t="s">
        <v>140</v>
      </c>
      <c r="E15" s="484">
        <f>'20'!F15</f>
        <v>1696145</v>
      </c>
      <c r="F15" s="484">
        <v>1697100.89</v>
      </c>
      <c r="G15" s="1337">
        <f>(F15-E15)</f>
        <v>955.88999999989755</v>
      </c>
      <c r="H15" s="460">
        <f>G15+'20'!H15</f>
        <v>12576.889999999898</v>
      </c>
      <c r="I15" s="474">
        <v>800</v>
      </c>
      <c r="J15" s="552">
        <f>H15/DAY(B2)</f>
        <v>598.89952380951888</v>
      </c>
      <c r="K15" s="428"/>
      <c r="L15" s="377"/>
      <c r="N15" s="382"/>
      <c r="O15" s="722"/>
    </row>
    <row r="16" spans="1:15">
      <c r="A16" s="587"/>
      <c r="B16" s="588"/>
      <c r="C16" s="588"/>
      <c r="D16" s="524"/>
      <c r="E16" s="485"/>
      <c r="F16" s="485"/>
      <c r="G16" s="1333"/>
      <c r="H16" s="486"/>
      <c r="I16" s="487">
        <f>I15-J15</f>
        <v>201.10047619048112</v>
      </c>
      <c r="J16" s="553"/>
      <c r="K16" s="428"/>
      <c r="L16" s="377"/>
      <c r="N16" s="382"/>
      <c r="O16" s="382"/>
    </row>
    <row r="17" spans="1:15">
      <c r="A17" s="1555" t="s">
        <v>141</v>
      </c>
      <c r="B17" s="1556"/>
      <c r="C17" s="1557"/>
      <c r="D17" s="472"/>
      <c r="E17" s="472"/>
      <c r="F17" s="472"/>
      <c r="G17" s="1336"/>
      <c r="H17" s="472"/>
      <c r="I17" s="472"/>
      <c r="J17" s="551"/>
      <c r="K17" s="428"/>
      <c r="L17" s="377"/>
      <c r="N17" s="382"/>
      <c r="O17" s="382"/>
    </row>
    <row r="18" spans="1:15" ht="27.75">
      <c r="A18" s="1537" t="s">
        <v>142</v>
      </c>
      <c r="B18" s="1538"/>
      <c r="C18" s="1539"/>
      <c r="D18" s="523" t="s">
        <v>143</v>
      </c>
      <c r="E18" s="484">
        <f>'20'!F18</f>
        <v>20</v>
      </c>
      <c r="F18" s="484">
        <v>14</v>
      </c>
      <c r="G18" s="1335">
        <f>F18*10</f>
        <v>140</v>
      </c>
      <c r="H18" s="460">
        <f>G18+'20'!H18</f>
        <v>1600</v>
      </c>
      <c r="I18" s="474">
        <f>'1'!I18</f>
        <v>65</v>
      </c>
      <c r="J18" s="552">
        <f>H18/DAY(B2)</f>
        <v>76.19047619047619</v>
      </c>
      <c r="K18" s="428"/>
      <c r="L18" s="377"/>
      <c r="N18" s="382"/>
      <c r="O18" s="382"/>
    </row>
    <row r="19" spans="1:15" ht="27.75">
      <c r="A19" s="1537" t="s">
        <v>70</v>
      </c>
      <c r="B19" s="1538"/>
      <c r="C19" s="1539"/>
      <c r="D19" s="523" t="s">
        <v>143</v>
      </c>
      <c r="E19" s="484">
        <f>'20'!F19</f>
        <v>140870</v>
      </c>
      <c r="F19" s="484">
        <v>140931</v>
      </c>
      <c r="G19" s="1333">
        <f t="shared" ref="G19" si="1">F19-E19</f>
        <v>61</v>
      </c>
      <c r="H19" s="460">
        <f>G19+'20'!H19</f>
        <v>1319</v>
      </c>
      <c r="I19" s="489"/>
      <c r="J19" s="552">
        <f>H19/DAY(B2)</f>
        <v>62.80952380952381</v>
      </c>
      <c r="K19" s="428"/>
      <c r="L19" s="377"/>
      <c r="N19" s="382"/>
      <c r="O19" s="382"/>
    </row>
    <row r="20" spans="1:15">
      <c r="A20" s="585" t="s">
        <v>144</v>
      </c>
      <c r="B20" s="586"/>
      <c r="C20" s="586"/>
      <c r="D20" s="490"/>
      <c r="E20" s="490"/>
      <c r="F20" s="490"/>
      <c r="G20" s="1338">
        <f>G18+G19</f>
        <v>201</v>
      </c>
      <c r="H20" s="460">
        <f>G20+'20'!H20</f>
        <v>2919</v>
      </c>
      <c r="I20" s="492">
        <f>I18-J20</f>
        <v>-74</v>
      </c>
      <c r="J20" s="552">
        <f>H20/DAY(B2)</f>
        <v>139</v>
      </c>
      <c r="K20" s="428"/>
      <c r="L20" s="377"/>
      <c r="N20" s="382"/>
      <c r="O20" s="382"/>
    </row>
    <row r="21" spans="1:15">
      <c r="A21" s="1555" t="s">
        <v>145</v>
      </c>
      <c r="B21" s="1556"/>
      <c r="C21" s="1557"/>
      <c r="D21" s="472"/>
      <c r="E21" s="472"/>
      <c r="F21" s="472"/>
      <c r="G21" s="1336"/>
      <c r="H21" s="472"/>
      <c r="I21" s="472"/>
      <c r="J21" s="551"/>
      <c r="K21" s="428"/>
      <c r="L21" s="377"/>
      <c r="N21" s="382"/>
      <c r="O21" s="382"/>
    </row>
    <row r="22" spans="1:15">
      <c r="A22" s="1141" t="s">
        <v>146</v>
      </c>
      <c r="B22" s="589"/>
      <c r="C22" s="589"/>
      <c r="D22" s="523" t="s">
        <v>147</v>
      </c>
      <c r="E22" s="484">
        <f>'20'!F22</f>
        <v>2970</v>
      </c>
      <c r="F22" s="484">
        <v>2970</v>
      </c>
      <c r="G22" s="1335">
        <f t="shared" ref="G22" si="2">(F22-E22)</f>
        <v>0</v>
      </c>
      <c r="H22" s="460">
        <f>G22+'20'!H22</f>
        <v>0</v>
      </c>
      <c r="I22" s="480"/>
      <c r="J22" s="552">
        <f>H22/DAY(B2)</f>
        <v>0</v>
      </c>
      <c r="K22" s="428"/>
      <c r="L22" s="377"/>
      <c r="N22" s="382"/>
      <c r="O22" s="382"/>
    </row>
    <row r="23" spans="1:15">
      <c r="A23" s="1141" t="s">
        <v>148</v>
      </c>
      <c r="B23" s="589"/>
      <c r="C23" s="589"/>
      <c r="D23" s="523" t="s">
        <v>147</v>
      </c>
      <c r="E23" s="484">
        <f>'20'!F23</f>
        <v>2000</v>
      </c>
      <c r="F23" s="484">
        <v>2000</v>
      </c>
      <c r="G23" s="1335">
        <v>0</v>
      </c>
      <c r="H23" s="460">
        <f>G23+'20'!H23</f>
        <v>0</v>
      </c>
      <c r="I23" s="480"/>
      <c r="J23" s="552">
        <f>H23/DAY(B2)</f>
        <v>0</v>
      </c>
      <c r="K23" s="428"/>
      <c r="L23" s="377"/>
      <c r="N23" s="382"/>
      <c r="O23" s="382"/>
    </row>
    <row r="24" spans="1:15">
      <c r="A24" s="590" t="s">
        <v>149</v>
      </c>
      <c r="B24" s="591"/>
      <c r="C24" s="591"/>
      <c r="D24" s="511" t="s">
        <v>147</v>
      </c>
      <c r="E24" s="493">
        <f>'20'!F24</f>
        <v>4970</v>
      </c>
      <c r="F24" s="493">
        <v>4970</v>
      </c>
      <c r="G24" s="1335">
        <v>0</v>
      </c>
      <c r="H24" s="460">
        <f>G24+'20'!H24</f>
        <v>0</v>
      </c>
      <c r="I24" s="480"/>
      <c r="J24" s="552">
        <f>H24/DAY(B2)</f>
        <v>0</v>
      </c>
      <c r="K24" s="428"/>
      <c r="L24" s="377"/>
      <c r="N24" s="382"/>
      <c r="O24" s="382"/>
    </row>
    <row r="25" spans="1:15" s="442" customFormat="1" ht="27">
      <c r="A25" s="1560" t="s">
        <v>150</v>
      </c>
      <c r="B25" s="1561"/>
      <c r="C25" s="1562"/>
      <c r="D25" s="471"/>
      <c r="E25" s="471"/>
      <c r="F25" s="471"/>
      <c r="G25" s="1339"/>
      <c r="H25" s="495"/>
      <c r="I25" s="496"/>
      <c r="J25" s="554"/>
      <c r="K25" s="373"/>
      <c r="L25" s="443"/>
      <c r="N25" s="444"/>
      <c r="O25" s="382"/>
    </row>
    <row r="26" spans="1:15" s="442" customFormat="1" ht="27.75">
      <c r="A26" s="592" t="s">
        <v>151</v>
      </c>
      <c r="B26" s="593"/>
      <c r="C26" s="594"/>
      <c r="D26" s="618" t="s">
        <v>152</v>
      </c>
      <c r="E26" s="497"/>
      <c r="F26" s="497"/>
      <c r="G26" s="1340"/>
      <c r="H26" s="460"/>
      <c r="I26" s="499"/>
      <c r="J26" s="552"/>
      <c r="K26" s="374"/>
      <c r="L26" s="443"/>
      <c r="N26" s="444"/>
      <c r="O26" s="382"/>
    </row>
    <row r="27" spans="1:15" s="442" customFormat="1" ht="27.75">
      <c r="A27" s="592" t="s">
        <v>6</v>
      </c>
      <c r="B27" s="593"/>
      <c r="C27" s="594"/>
      <c r="D27" s="619" t="s">
        <v>25</v>
      </c>
      <c r="E27" s="501">
        <f>G8</f>
        <v>21955.149999999907</v>
      </c>
      <c r="F27" s="501">
        <v>9</v>
      </c>
      <c r="G27" s="1341">
        <f>E27*F27</f>
        <v>197596.34999999916</v>
      </c>
      <c r="H27" s="460">
        <f>G27+'20'!H27</f>
        <v>3542184.6299999994</v>
      </c>
      <c r="I27" s="503"/>
      <c r="J27" s="552">
        <f>H27/DAY(B2)</f>
        <v>168675.45857142855</v>
      </c>
      <c r="K27" s="373"/>
      <c r="L27" s="443"/>
      <c r="N27" s="444"/>
      <c r="O27" s="382"/>
    </row>
    <row r="28" spans="1:15" s="442" customFormat="1" ht="27.75">
      <c r="A28" s="592" t="s">
        <v>153</v>
      </c>
      <c r="B28" s="593"/>
      <c r="C28" s="594"/>
      <c r="D28" s="619" t="s">
        <v>154</v>
      </c>
      <c r="E28" s="501">
        <f>G15</f>
        <v>955.88999999989755</v>
      </c>
      <c r="F28" s="501">
        <v>52</v>
      </c>
      <c r="G28" s="1341">
        <f t="shared" ref="G28:G30" si="3">E28*F28</f>
        <v>49706.279999994673</v>
      </c>
      <c r="H28" s="460">
        <f>G28+'20'!H28</f>
        <v>653998.27999999467</v>
      </c>
      <c r="I28" s="505"/>
      <c r="J28" s="552">
        <f>H28/DAY(B2)</f>
        <v>31142.775238094986</v>
      </c>
      <c r="K28" s="373"/>
      <c r="L28" s="443"/>
      <c r="N28" s="444"/>
      <c r="O28" s="382"/>
    </row>
    <row r="29" spans="1:15" s="442" customFormat="1" ht="27.75">
      <c r="A29" s="592" t="s">
        <v>155</v>
      </c>
      <c r="B29" s="593"/>
      <c r="C29" s="594"/>
      <c r="D29" s="619" t="s">
        <v>156</v>
      </c>
      <c r="E29" s="501">
        <f>G24</f>
        <v>0</v>
      </c>
      <c r="F29" s="501">
        <v>69</v>
      </c>
      <c r="G29" s="1341">
        <f t="shared" si="3"/>
        <v>0</v>
      </c>
      <c r="H29" s="460">
        <f>G29+'20'!H29</f>
        <v>8280</v>
      </c>
      <c r="I29" s="505"/>
      <c r="J29" s="552">
        <f>H29/DAY(B2)</f>
        <v>394.28571428571428</v>
      </c>
      <c r="K29" s="373"/>
      <c r="L29" s="443"/>
      <c r="N29" s="444"/>
      <c r="O29" s="382"/>
    </row>
    <row r="30" spans="1:15" s="442" customFormat="1" ht="27.75">
      <c r="A30" s="592" t="s">
        <v>157</v>
      </c>
      <c r="B30" s="593"/>
      <c r="C30" s="594"/>
      <c r="D30" s="619" t="s">
        <v>158</v>
      </c>
      <c r="E30" s="501">
        <f>G19</f>
        <v>61</v>
      </c>
      <c r="F30" s="501">
        <v>146</v>
      </c>
      <c r="G30" s="1341">
        <f t="shared" si="3"/>
        <v>8906</v>
      </c>
      <c r="H30" s="460">
        <f>G30+'20'!H30</f>
        <v>192574</v>
      </c>
      <c r="I30" s="505"/>
      <c r="J30" s="552">
        <f>H30/DAY(B2)</f>
        <v>9170.1904761904771</v>
      </c>
      <c r="K30" s="373"/>
      <c r="L30" s="443"/>
      <c r="N30" s="444"/>
      <c r="O30" s="382"/>
    </row>
    <row r="31" spans="1:15" s="442" customFormat="1" ht="27.75">
      <c r="A31" s="592" t="s">
        <v>159</v>
      </c>
      <c r="B31" s="593"/>
      <c r="C31" s="594"/>
      <c r="D31" s="619" t="s">
        <v>143</v>
      </c>
      <c r="E31" s="501">
        <f>G18</f>
        <v>140</v>
      </c>
      <c r="F31" s="501">
        <v>80</v>
      </c>
      <c r="G31" s="1341">
        <f>E31*F31</f>
        <v>11200</v>
      </c>
      <c r="H31" s="460">
        <f>G31+'20'!H31</f>
        <v>128000</v>
      </c>
      <c r="I31" s="505"/>
      <c r="J31" s="552">
        <f>H31/DAY(B2)</f>
        <v>6095.2380952380954</v>
      </c>
      <c r="K31" s="373"/>
      <c r="L31" s="443"/>
      <c r="N31" s="444"/>
      <c r="O31" s="382"/>
    </row>
    <row r="32" spans="1:15" s="442" customFormat="1" ht="27.75">
      <c r="A32" s="595" t="s">
        <v>160</v>
      </c>
      <c r="B32" s="596"/>
      <c r="C32" s="597"/>
      <c r="D32" s="507"/>
      <c r="E32" s="507"/>
      <c r="F32" s="507"/>
      <c r="G32" s="1342">
        <f>G27+G28+G29+G30+G31</f>
        <v>267408.62999999383</v>
      </c>
      <c r="H32" s="460">
        <f>G32+'20'!H32</f>
        <v>4525036.9099999946</v>
      </c>
      <c r="I32" s="509"/>
      <c r="J32" s="552">
        <f>H32/DAY(B2)</f>
        <v>215477.94809523784</v>
      </c>
      <c r="K32" s="373"/>
      <c r="L32" s="443"/>
      <c r="N32" s="444"/>
      <c r="O32" s="382"/>
    </row>
    <row r="33" spans="1:15" ht="25.5">
      <c r="A33" s="1563" t="s">
        <v>161</v>
      </c>
      <c r="B33" s="1564"/>
      <c r="C33" s="1564"/>
      <c r="D33" s="1564"/>
      <c r="E33" s="1564"/>
      <c r="F33" s="1564"/>
      <c r="G33" s="1564"/>
      <c r="H33" s="1564"/>
      <c r="I33" s="1564"/>
      <c r="J33" s="1565"/>
      <c r="K33" s="428"/>
      <c r="L33" s="377"/>
      <c r="N33" s="382"/>
      <c r="O33" s="382"/>
    </row>
    <row r="34" spans="1:15">
      <c r="A34" s="598" t="s">
        <v>162</v>
      </c>
      <c r="B34" s="1146"/>
      <c r="C34" s="1146"/>
      <c r="D34" s="472"/>
      <c r="E34" s="471"/>
      <c r="F34" s="471"/>
      <c r="G34" s="1343"/>
      <c r="H34" s="472"/>
      <c r="I34" s="472"/>
      <c r="J34" s="551"/>
      <c r="K34" s="428"/>
      <c r="L34" s="377"/>
      <c r="N34" s="382"/>
      <c r="O34" s="382"/>
    </row>
    <row r="35" spans="1:15">
      <c r="A35" s="578" t="s">
        <v>163</v>
      </c>
      <c r="B35" s="579"/>
      <c r="C35" s="579"/>
      <c r="D35" s="523" t="s">
        <v>131</v>
      </c>
      <c r="E35" s="510">
        <f>'20'!F35</f>
        <v>1000428.6</v>
      </c>
      <c r="F35" s="510">
        <v>1003179.1</v>
      </c>
      <c r="G35" s="1333">
        <f t="shared" ref="G35:G46" si="4">F35-E35</f>
        <v>2750.5</v>
      </c>
      <c r="H35" s="460">
        <f>G35+'20'!H35</f>
        <v>52691.099999999977</v>
      </c>
      <c r="I35" s="455"/>
      <c r="J35" s="552">
        <f>H35/DAY(B2)</f>
        <v>2509.099999999999</v>
      </c>
      <c r="K35" s="428">
        <v>1520.2800000000279</v>
      </c>
      <c r="L35" s="377">
        <f t="shared" ref="L35:L60" si="5">G35-K35</f>
        <v>1230.2199999999721</v>
      </c>
      <c r="N35" s="382"/>
      <c r="O35" s="628"/>
    </row>
    <row r="36" spans="1:15">
      <c r="A36" s="578" t="s">
        <v>164</v>
      </c>
      <c r="B36" s="579"/>
      <c r="C36" s="579"/>
      <c r="D36" s="523" t="s">
        <v>131</v>
      </c>
      <c r="E36" s="510">
        <f>'20'!F36</f>
        <v>13082.87</v>
      </c>
      <c r="F36" s="510">
        <v>13824.15</v>
      </c>
      <c r="G36" s="1333">
        <f t="shared" si="4"/>
        <v>741.27999999999884</v>
      </c>
      <c r="H36" s="460">
        <f>G36+'20'!H36</f>
        <v>13651.15</v>
      </c>
      <c r="I36" s="455"/>
      <c r="J36" s="552">
        <f>H36/DAY(B2)</f>
        <v>650.0547619047619</v>
      </c>
      <c r="K36" s="428">
        <v>485.22000000000116</v>
      </c>
      <c r="L36" s="377">
        <f t="shared" si="5"/>
        <v>256.05999999999767</v>
      </c>
      <c r="N36" s="382"/>
      <c r="O36" s="628"/>
    </row>
    <row r="37" spans="1:15">
      <c r="A37" s="578" t="s">
        <v>165</v>
      </c>
      <c r="B37" s="579"/>
      <c r="C37" s="579"/>
      <c r="D37" s="523" t="s">
        <v>131</v>
      </c>
      <c r="E37" s="510">
        <f>'20'!F37</f>
        <v>161888.04999999999</v>
      </c>
      <c r="F37" s="510">
        <v>163376.22</v>
      </c>
      <c r="G37" s="1333">
        <f t="shared" si="4"/>
        <v>1488.1700000000128</v>
      </c>
      <c r="H37" s="460">
        <f>G37+'20'!H37</f>
        <v>29140.22</v>
      </c>
      <c r="I37" s="455"/>
      <c r="J37" s="552">
        <f>H37/DAY(B2)</f>
        <v>1387.6295238095238</v>
      </c>
      <c r="K37" s="428">
        <v>1194.8999999999942</v>
      </c>
      <c r="L37" s="377">
        <f t="shared" si="5"/>
        <v>293.27000000001863</v>
      </c>
      <c r="N37" s="382"/>
      <c r="O37" s="382"/>
    </row>
    <row r="38" spans="1:15">
      <c r="A38" s="578" t="s">
        <v>166</v>
      </c>
      <c r="B38" s="579"/>
      <c r="C38" s="579"/>
      <c r="D38" s="523" t="s">
        <v>131</v>
      </c>
      <c r="E38" s="469">
        <f>'20'!F38</f>
        <v>182709.43</v>
      </c>
      <c r="F38" s="469">
        <v>184337.75</v>
      </c>
      <c r="G38" s="1333">
        <f t="shared" si="4"/>
        <v>1628.320000000007</v>
      </c>
      <c r="H38" s="460">
        <f>G38+'20'!H38</f>
        <v>27932.75</v>
      </c>
      <c r="I38" s="455"/>
      <c r="J38" s="552">
        <f>H38/DAY(B2)</f>
        <v>1330.1309523809523</v>
      </c>
      <c r="K38" s="428">
        <v>0</v>
      </c>
      <c r="L38" s="377">
        <f t="shared" si="5"/>
        <v>1628.320000000007</v>
      </c>
      <c r="N38" s="382"/>
      <c r="O38" s="382"/>
    </row>
    <row r="39" spans="1:15">
      <c r="A39" s="578" t="s">
        <v>167</v>
      </c>
      <c r="B39" s="579"/>
      <c r="C39" s="579"/>
      <c r="D39" s="523" t="s">
        <v>131</v>
      </c>
      <c r="E39" s="510">
        <f>'20'!F39</f>
        <v>368907.47</v>
      </c>
      <c r="F39" s="510">
        <v>372469.99</v>
      </c>
      <c r="G39" s="1333">
        <f t="shared" si="4"/>
        <v>3562.5200000000186</v>
      </c>
      <c r="H39" s="460">
        <f>G39+'20'!H39</f>
        <v>64296.989999999991</v>
      </c>
      <c r="I39" s="455"/>
      <c r="J39" s="552">
        <f>H39/DAY(B2)</f>
        <v>3061.761428571428</v>
      </c>
      <c r="K39" s="428">
        <v>2147.359999999986</v>
      </c>
      <c r="L39" s="377">
        <f t="shared" si="5"/>
        <v>1415.1600000000326</v>
      </c>
      <c r="N39" s="382"/>
      <c r="O39" s="382"/>
    </row>
    <row r="40" spans="1:15">
      <c r="A40" s="599" t="s">
        <v>168</v>
      </c>
      <c r="B40" s="600"/>
      <c r="C40" s="600"/>
      <c r="D40" s="523" t="s">
        <v>131</v>
      </c>
      <c r="E40" s="510">
        <f>'20'!F40</f>
        <v>3598.31</v>
      </c>
      <c r="F40" s="510">
        <v>3986.96</v>
      </c>
      <c r="G40" s="1333">
        <f t="shared" si="4"/>
        <v>388.65000000000009</v>
      </c>
      <c r="H40" s="460">
        <f>G40+'20'!H40</f>
        <v>3097.96</v>
      </c>
      <c r="I40" s="455"/>
      <c r="J40" s="552">
        <f>H40/DAY(B2)</f>
        <v>147.52190476190475</v>
      </c>
      <c r="K40" s="429">
        <v>0</v>
      </c>
      <c r="L40" s="377">
        <f t="shared" si="5"/>
        <v>388.65000000000009</v>
      </c>
      <c r="N40" s="382"/>
      <c r="O40" s="382"/>
    </row>
    <row r="41" spans="1:15">
      <c r="A41" s="578" t="s">
        <v>169</v>
      </c>
      <c r="B41" s="579"/>
      <c r="C41" s="579"/>
      <c r="D41" s="523" t="s">
        <v>131</v>
      </c>
      <c r="E41" s="510">
        <f>'20'!F41</f>
        <v>299709.45</v>
      </c>
      <c r="F41" s="510">
        <v>304892.09000000003</v>
      </c>
      <c r="G41" s="1333">
        <f t="shared" si="4"/>
        <v>5182.640000000014</v>
      </c>
      <c r="H41" s="460">
        <f>G41+'20'!H41</f>
        <v>64414.090000000026</v>
      </c>
      <c r="I41" s="455"/>
      <c r="J41" s="552">
        <f>H41/DAY(B2)</f>
        <v>3067.3376190476201</v>
      </c>
      <c r="K41" s="428">
        <v>0</v>
      </c>
      <c r="L41" s="377">
        <f t="shared" si="5"/>
        <v>5182.640000000014</v>
      </c>
      <c r="N41" s="382"/>
      <c r="O41" s="722"/>
    </row>
    <row r="42" spans="1:15">
      <c r="A42" s="578" t="s">
        <v>170</v>
      </c>
      <c r="B42" s="579"/>
      <c r="C42" s="579"/>
      <c r="D42" s="523" t="s">
        <v>131</v>
      </c>
      <c r="E42" s="510">
        <f>'20'!F42</f>
        <v>59210.080000000002</v>
      </c>
      <c r="F42" s="510">
        <v>59210.080000000002</v>
      </c>
      <c r="G42" s="1333">
        <f t="shared" si="4"/>
        <v>0</v>
      </c>
      <c r="H42" s="460">
        <f>G42+'20'!H42</f>
        <v>11.110000000000582</v>
      </c>
      <c r="I42" s="455"/>
      <c r="J42" s="552">
        <f>H42/DAY(B2)</f>
        <v>0.52904761904764674</v>
      </c>
      <c r="K42" s="428">
        <v>3228.5699999999997</v>
      </c>
      <c r="L42" s="377">
        <f t="shared" si="5"/>
        <v>-3228.5699999999997</v>
      </c>
      <c r="N42" s="382"/>
      <c r="O42" s="382"/>
    </row>
    <row r="43" spans="1:15">
      <c r="A43" s="578" t="s">
        <v>171</v>
      </c>
      <c r="B43" s="579"/>
      <c r="C43" s="579"/>
      <c r="D43" s="523" t="s">
        <v>131</v>
      </c>
      <c r="E43" s="510">
        <f>'20'!F43</f>
        <v>1092467.7</v>
      </c>
      <c r="F43" s="510">
        <v>1095339.3999999999</v>
      </c>
      <c r="G43" s="1333">
        <f t="shared" si="4"/>
        <v>2871.6999999999534</v>
      </c>
      <c r="H43" s="460">
        <f>G43+'20'!H43</f>
        <v>53095.399999999907</v>
      </c>
      <c r="I43" s="455"/>
      <c r="J43" s="552">
        <f>H43/DAY(B2)</f>
        <v>2528.3523809523767</v>
      </c>
      <c r="K43" s="428">
        <v>1595.679999999993</v>
      </c>
      <c r="L43" s="377">
        <f t="shared" si="5"/>
        <v>1276.0199999999604</v>
      </c>
      <c r="N43" s="382"/>
      <c r="O43" s="382"/>
    </row>
    <row r="44" spans="1:15">
      <c r="A44" s="578" t="s">
        <v>172</v>
      </c>
      <c r="B44" s="579"/>
      <c r="C44" s="579"/>
      <c r="D44" s="523" t="s">
        <v>131</v>
      </c>
      <c r="E44" s="510">
        <f>'20'!F44</f>
        <v>0</v>
      </c>
      <c r="F44" s="510">
        <v>0</v>
      </c>
      <c r="G44" s="1333">
        <f t="shared" si="4"/>
        <v>0</v>
      </c>
      <c r="H44" s="460">
        <f>G44+'20'!H44</f>
        <v>0</v>
      </c>
      <c r="I44" s="455"/>
      <c r="J44" s="552">
        <f>H44/DAY(B2)</f>
        <v>0</v>
      </c>
      <c r="K44" s="428">
        <v>0</v>
      </c>
      <c r="L44" s="377">
        <f t="shared" si="5"/>
        <v>0</v>
      </c>
      <c r="N44" s="382"/>
      <c r="O44" s="382"/>
    </row>
    <row r="45" spans="1:15">
      <c r="A45" s="578" t="s">
        <v>173</v>
      </c>
      <c r="B45" s="579"/>
      <c r="C45" s="579"/>
      <c r="D45" s="523" t="s">
        <v>131</v>
      </c>
      <c r="E45" s="510">
        <f>'20'!F45</f>
        <v>0</v>
      </c>
      <c r="F45" s="510">
        <v>0</v>
      </c>
      <c r="G45" s="1333">
        <f t="shared" si="4"/>
        <v>0</v>
      </c>
      <c r="H45" s="460">
        <f>G45+'20'!H45</f>
        <v>0</v>
      </c>
      <c r="I45" s="455"/>
      <c r="J45" s="552">
        <f>H45/DAY(B2)</f>
        <v>0</v>
      </c>
      <c r="K45" s="428">
        <v>0</v>
      </c>
      <c r="L45" s="377">
        <f t="shared" si="5"/>
        <v>0</v>
      </c>
      <c r="N45" s="382"/>
      <c r="O45" s="382"/>
    </row>
    <row r="46" spans="1:15">
      <c r="A46" s="578" t="s">
        <v>174</v>
      </c>
      <c r="B46" s="579"/>
      <c r="C46" s="579"/>
      <c r="D46" s="523" t="s">
        <v>131</v>
      </c>
      <c r="E46" s="510">
        <f>'20'!F46</f>
        <v>0</v>
      </c>
      <c r="F46" s="510">
        <v>0</v>
      </c>
      <c r="G46" s="1333">
        <f t="shared" si="4"/>
        <v>0</v>
      </c>
      <c r="H46" s="460">
        <f>G46+'20'!H46</f>
        <v>-5.0000000000011369E-2</v>
      </c>
      <c r="I46" s="455"/>
      <c r="J46" s="552">
        <f>H46/DAY(B2)</f>
        <v>-2.3809523809529224E-3</v>
      </c>
      <c r="K46" s="428">
        <v>5.0000000000011369E-2</v>
      </c>
      <c r="L46" s="377">
        <f t="shared" si="5"/>
        <v>-5.0000000000011369E-2</v>
      </c>
      <c r="N46" s="382"/>
      <c r="O46" s="382"/>
    </row>
    <row r="47" spans="1:15">
      <c r="A47" s="585" t="s">
        <v>175</v>
      </c>
      <c r="B47" s="586"/>
      <c r="C47" s="586"/>
      <c r="D47" s="470"/>
      <c r="E47" s="511"/>
      <c r="F47" s="511"/>
      <c r="G47" s="1335">
        <f>G35+G36+G37+G38+G39+G40+G41+G42+G43+G44+G45+G46</f>
        <v>18613.780000000006</v>
      </c>
      <c r="H47" s="460">
        <f>G47+'20'!H47</f>
        <v>308331.2099999999</v>
      </c>
      <c r="I47" s="455"/>
      <c r="J47" s="552">
        <f>H47/DAY(B2)</f>
        <v>14682.438571428567</v>
      </c>
      <c r="K47" s="428">
        <v>10172.060000000001</v>
      </c>
      <c r="L47" s="377">
        <f t="shared" si="5"/>
        <v>8441.7200000000048</v>
      </c>
      <c r="N47" s="382"/>
      <c r="O47" s="382"/>
    </row>
    <row r="48" spans="1:15">
      <c r="A48" s="598" t="s">
        <v>176</v>
      </c>
      <c r="B48" s="1146"/>
      <c r="C48" s="1146"/>
      <c r="D48" s="472"/>
      <c r="E48" s="471"/>
      <c r="F48" s="471"/>
      <c r="G48" s="1343"/>
      <c r="H48" s="472"/>
      <c r="I48" s="472"/>
      <c r="J48" s="551"/>
      <c r="K48" s="428"/>
      <c r="L48" s="377">
        <f t="shared" si="5"/>
        <v>0</v>
      </c>
      <c r="N48" s="382"/>
      <c r="O48" s="382"/>
    </row>
    <row r="49" spans="1:15">
      <c r="A49" s="578" t="s">
        <v>163</v>
      </c>
      <c r="B49" s="601"/>
      <c r="C49" s="601"/>
      <c r="D49" s="523" t="s">
        <v>131</v>
      </c>
      <c r="E49" s="510">
        <f>'20'!F49</f>
        <v>260732.13</v>
      </c>
      <c r="F49" s="510">
        <v>260732.13</v>
      </c>
      <c r="G49" s="1333">
        <f t="shared" ref="G49:G58" si="6">F49-E49</f>
        <v>0</v>
      </c>
      <c r="H49" s="460">
        <f>G49+'20'!H49</f>
        <v>0.13000000000465661</v>
      </c>
      <c r="I49" s="455"/>
      <c r="J49" s="552">
        <f>H49/DAY(B2)</f>
        <v>6.1904761906979343E-3</v>
      </c>
      <c r="K49" s="428">
        <v>0</v>
      </c>
      <c r="L49" s="377">
        <f t="shared" si="5"/>
        <v>0</v>
      </c>
      <c r="N49" s="382"/>
      <c r="O49" s="382"/>
    </row>
    <row r="50" spans="1:15">
      <c r="A50" s="578" t="s">
        <v>177</v>
      </c>
      <c r="B50" s="601"/>
      <c r="C50" s="601"/>
      <c r="D50" s="523" t="s">
        <v>131</v>
      </c>
      <c r="E50" s="510">
        <f>'20'!F50</f>
        <v>523239.63</v>
      </c>
      <c r="F50" s="510">
        <v>524730.82999999996</v>
      </c>
      <c r="G50" s="1333">
        <f>F50-E50</f>
        <v>1491.1999999999534</v>
      </c>
      <c r="H50" s="460">
        <f>G50+'20'!H50</f>
        <v>21304.829999999958</v>
      </c>
      <c r="I50" s="455"/>
      <c r="J50" s="552">
        <f>H50/DAY(B2)</f>
        <v>1014.5157142857123</v>
      </c>
      <c r="K50" s="428">
        <v>700.86999999999534</v>
      </c>
      <c r="L50" s="377">
        <f t="shared" si="5"/>
        <v>790.32999999995809</v>
      </c>
      <c r="N50" s="382"/>
      <c r="O50" s="382"/>
    </row>
    <row r="51" spans="1:15">
      <c r="A51" s="578" t="s">
        <v>165</v>
      </c>
      <c r="B51" s="601"/>
      <c r="C51" s="601"/>
      <c r="D51" s="523" t="s">
        <v>131</v>
      </c>
      <c r="E51" s="510">
        <f>'20'!F51</f>
        <v>144639.87</v>
      </c>
      <c r="F51" s="510">
        <v>144639.87</v>
      </c>
      <c r="G51" s="1333">
        <f t="shared" si="6"/>
        <v>0</v>
      </c>
      <c r="H51" s="460">
        <f>G51+'20'!H51</f>
        <v>-0.13000000000465661</v>
      </c>
      <c r="I51" s="455"/>
      <c r="J51" s="552">
        <f>H51/DAY(B2)</f>
        <v>-6.1904761906979343E-3</v>
      </c>
      <c r="K51" s="428">
        <v>0</v>
      </c>
      <c r="L51" s="377">
        <f t="shared" si="5"/>
        <v>0</v>
      </c>
      <c r="N51" s="382"/>
      <c r="O51" s="382"/>
    </row>
    <row r="52" spans="1:15">
      <c r="A52" s="578" t="s">
        <v>178</v>
      </c>
      <c r="B52" s="601"/>
      <c r="C52" s="601"/>
      <c r="D52" s="523" t="s">
        <v>131</v>
      </c>
      <c r="E52" s="510">
        <f>'20'!F52</f>
        <v>539606.06999999995</v>
      </c>
      <c r="F52" s="510">
        <v>539606.06999999995</v>
      </c>
      <c r="G52" s="1333">
        <f t="shared" si="6"/>
        <v>0</v>
      </c>
      <c r="H52" s="460">
        <f>G52+'20'!H52</f>
        <v>0</v>
      </c>
      <c r="I52" s="455"/>
      <c r="J52" s="552">
        <f>H52/DAY(B2)</f>
        <v>0</v>
      </c>
      <c r="K52" s="428">
        <v>985.97999999998137</v>
      </c>
      <c r="L52" s="377">
        <f t="shared" si="5"/>
        <v>-985.97999999998137</v>
      </c>
      <c r="N52" s="382"/>
      <c r="O52" s="722"/>
    </row>
    <row r="53" spans="1:15">
      <c r="A53" s="578" t="s">
        <v>167</v>
      </c>
      <c r="B53" s="601"/>
      <c r="C53" s="601"/>
      <c r="D53" s="523" t="s">
        <v>131</v>
      </c>
      <c r="E53" s="510">
        <f>'20'!F53</f>
        <v>434231.59</v>
      </c>
      <c r="F53" s="510">
        <v>434231.59</v>
      </c>
      <c r="G53" s="1333">
        <f t="shared" si="6"/>
        <v>0</v>
      </c>
      <c r="H53" s="460">
        <f>G53+'20'!H53</f>
        <v>1663.2600000000093</v>
      </c>
      <c r="I53" s="455"/>
      <c r="J53" s="552">
        <f>H53/DAY(B2)</f>
        <v>79.202857142857582</v>
      </c>
      <c r="K53" s="428">
        <v>107.60000000000036</v>
      </c>
      <c r="L53" s="377">
        <f t="shared" si="5"/>
        <v>-107.60000000000036</v>
      </c>
      <c r="N53" s="382"/>
      <c r="O53" s="382"/>
    </row>
    <row r="54" spans="1:15">
      <c r="A54" s="578" t="s">
        <v>179</v>
      </c>
      <c r="B54" s="601"/>
      <c r="C54" s="601"/>
      <c r="D54" s="523" t="s">
        <v>131</v>
      </c>
      <c r="E54" s="510">
        <f>'20'!F54</f>
        <v>14967.39</v>
      </c>
      <c r="F54" s="510">
        <v>14967.39</v>
      </c>
      <c r="G54" s="1333">
        <f t="shared" si="6"/>
        <v>0</v>
      </c>
      <c r="H54" s="460">
        <f>G54+'20'!H54</f>
        <v>1138.3899999999994</v>
      </c>
      <c r="I54" s="455"/>
      <c r="J54" s="552">
        <f>H54/DAY(B2)</f>
        <v>54.209047619047588</v>
      </c>
      <c r="K54" s="428">
        <v>0</v>
      </c>
      <c r="L54" s="377">
        <f t="shared" si="5"/>
        <v>0</v>
      </c>
      <c r="N54" s="382"/>
      <c r="O54" s="382"/>
    </row>
    <row r="55" spans="1:15">
      <c r="A55" s="578" t="s">
        <v>180</v>
      </c>
      <c r="B55" s="601"/>
      <c r="C55" s="601"/>
      <c r="D55" s="523" t="s">
        <v>131</v>
      </c>
      <c r="E55" s="510">
        <f>'20'!F55</f>
        <v>86765.31</v>
      </c>
      <c r="F55" s="510">
        <v>88280.54</v>
      </c>
      <c r="G55" s="1333">
        <f t="shared" si="6"/>
        <v>1515.2299999999959</v>
      </c>
      <c r="H55" s="460">
        <f>G55+'20'!H55</f>
        <v>20169.539999999994</v>
      </c>
      <c r="I55" s="455"/>
      <c r="J55" s="552">
        <f>H55/DAY(B2)</f>
        <v>960.45428571428545</v>
      </c>
      <c r="K55" s="428">
        <v>0</v>
      </c>
      <c r="L55" s="377">
        <f t="shared" si="5"/>
        <v>1515.2299999999959</v>
      </c>
      <c r="N55" s="382"/>
      <c r="O55" s="382"/>
    </row>
    <row r="56" spans="1:15" s="441" customFormat="1">
      <c r="A56" s="1104" t="s">
        <v>181</v>
      </c>
      <c r="B56" s="1105"/>
      <c r="C56" s="1105"/>
      <c r="D56" s="627" t="s">
        <v>182</v>
      </c>
      <c r="E56" s="654">
        <f>'20'!F56</f>
        <v>648929.23</v>
      </c>
      <c r="F56" s="654">
        <v>648939.47</v>
      </c>
      <c r="G56" s="1354">
        <f t="shared" si="6"/>
        <v>10.239999999990687</v>
      </c>
      <c r="H56" s="706">
        <f>G56+'20'!H56</f>
        <v>31741.469999999972</v>
      </c>
      <c r="I56" s="707"/>
      <c r="J56" s="708">
        <f>H56/DAY(B2)</f>
        <v>1511.4985714285701</v>
      </c>
      <c r="K56" s="1359">
        <v>0</v>
      </c>
      <c r="L56" s="1107">
        <f t="shared" si="5"/>
        <v>10.239999999990687</v>
      </c>
      <c r="N56" s="714"/>
      <c r="O56" s="714"/>
    </row>
    <row r="57" spans="1:15">
      <c r="A57" s="578" t="s">
        <v>171</v>
      </c>
      <c r="B57" s="601"/>
      <c r="C57" s="601"/>
      <c r="D57" s="523" t="s">
        <v>131</v>
      </c>
      <c r="E57" s="510">
        <f>'20'!F57</f>
        <v>7711</v>
      </c>
      <c r="F57" s="510">
        <v>7711</v>
      </c>
      <c r="G57" s="1333">
        <f t="shared" si="6"/>
        <v>0</v>
      </c>
      <c r="H57" s="460">
        <f>G57+'20'!H57</f>
        <v>0</v>
      </c>
      <c r="I57" s="455"/>
      <c r="J57" s="552">
        <f>H57/DAY(B2)</f>
        <v>0</v>
      </c>
      <c r="K57" s="428">
        <v>0</v>
      </c>
      <c r="L57" s="377">
        <f t="shared" si="5"/>
        <v>0</v>
      </c>
      <c r="N57" s="382"/>
      <c r="O57" s="382"/>
    </row>
    <row r="58" spans="1:15">
      <c r="A58" s="578" t="s">
        <v>183</v>
      </c>
      <c r="B58" s="601"/>
      <c r="C58" s="601"/>
      <c r="D58" s="523" t="s">
        <v>131</v>
      </c>
      <c r="E58" s="510">
        <f>'20'!F58</f>
        <v>52426.52</v>
      </c>
      <c r="F58" s="510">
        <v>52669.21</v>
      </c>
      <c r="G58" s="1333">
        <f t="shared" si="6"/>
        <v>242.69000000000233</v>
      </c>
      <c r="H58" s="460">
        <f>G58+'20'!H58</f>
        <v>2805</v>
      </c>
      <c r="I58" s="455"/>
      <c r="J58" s="552">
        <f>H58/DAY(B2)</f>
        <v>133.57142857142858</v>
      </c>
      <c r="K58" s="428">
        <v>0</v>
      </c>
      <c r="L58" s="377">
        <f t="shared" si="5"/>
        <v>242.69000000000233</v>
      </c>
      <c r="N58" s="382"/>
      <c r="O58" s="382"/>
    </row>
    <row r="59" spans="1:15">
      <c r="A59" s="585" t="s">
        <v>175</v>
      </c>
      <c r="B59" s="586"/>
      <c r="C59" s="586"/>
      <c r="D59" s="511"/>
      <c r="E59" s="511"/>
      <c r="F59" s="511"/>
      <c r="G59" s="1335">
        <f>G49+G50+G51+G52+G53+G54+G55+G56+G57+G58</f>
        <v>3259.3599999999424</v>
      </c>
      <c r="H59" s="460">
        <f>G59+'20'!H59</f>
        <v>78822.559999999881</v>
      </c>
      <c r="I59" s="455">
        <f>G7-G60</f>
        <v>-18.819999999883294</v>
      </c>
      <c r="J59" s="552">
        <f>H59/DAY(B2)</f>
        <v>3753.4552380952323</v>
      </c>
      <c r="K59" s="428">
        <v>1794.4499999999771</v>
      </c>
      <c r="L59" s="377">
        <f t="shared" si="5"/>
        <v>1464.9099999999653</v>
      </c>
      <c r="N59" s="382"/>
      <c r="O59" s="382"/>
    </row>
    <row r="60" spans="1:15">
      <c r="A60" s="578"/>
      <c r="B60" s="579"/>
      <c r="C60" s="579"/>
      <c r="D60" s="511" t="s">
        <v>184</v>
      </c>
      <c r="E60" s="511"/>
      <c r="F60" s="511"/>
      <c r="G60" s="1335">
        <f>G47+G59</f>
        <v>21873.139999999948</v>
      </c>
      <c r="H60" s="460">
        <f>G60+'20'!H60</f>
        <v>388362.30999999971</v>
      </c>
      <c r="I60" s="455">
        <f>G13-G60</f>
        <v>-714.53999999985535</v>
      </c>
      <c r="J60" s="552">
        <f>H60/DAY(B2)</f>
        <v>18493.443333333318</v>
      </c>
      <c r="K60" s="428">
        <v>11966.509999999978</v>
      </c>
      <c r="L60" s="377">
        <f t="shared" si="5"/>
        <v>9906.6299999999701</v>
      </c>
      <c r="N60" s="382"/>
      <c r="O60" s="382"/>
    </row>
    <row r="61" spans="1:15">
      <c r="A61" s="602" t="s">
        <v>185</v>
      </c>
      <c r="B61" s="453"/>
      <c r="C61" s="453"/>
      <c r="D61" s="513"/>
      <c r="E61" s="512"/>
      <c r="F61" s="512"/>
      <c r="G61" s="1344"/>
      <c r="H61" s="513"/>
      <c r="I61" s="513"/>
      <c r="J61" s="555"/>
      <c r="K61" s="428"/>
      <c r="L61" s="377"/>
      <c r="N61" s="382"/>
      <c r="O61" s="382"/>
    </row>
    <row r="62" spans="1:15">
      <c r="A62" s="603" t="s">
        <v>97</v>
      </c>
      <c r="B62" s="604"/>
      <c r="C62" s="604"/>
      <c r="D62" s="511" t="s">
        <v>186</v>
      </c>
      <c r="E62" s="514">
        <f>'20'!F62</f>
        <v>20419.2</v>
      </c>
      <c r="F62" s="514">
        <v>20419.2</v>
      </c>
      <c r="G62" s="1333">
        <f t="shared" ref="G62:G69" si="7">F62-E62</f>
        <v>0</v>
      </c>
      <c r="H62" s="460">
        <f>G62+'20'!H62</f>
        <v>0.20199999999749707</v>
      </c>
      <c r="I62" s="515"/>
      <c r="J62" s="552">
        <f>H62/DAY(B2)</f>
        <v>9.6190476189284314E-3</v>
      </c>
      <c r="K62" s="428"/>
      <c r="L62" s="377"/>
      <c r="N62" s="382"/>
      <c r="O62" s="382"/>
    </row>
    <row r="63" spans="1:15">
      <c r="A63" s="603" t="s">
        <v>187</v>
      </c>
      <c r="B63" s="604"/>
      <c r="C63" s="604"/>
      <c r="D63" s="511" t="s">
        <v>186</v>
      </c>
      <c r="E63" s="514">
        <f>'20'!F63</f>
        <v>0</v>
      </c>
      <c r="F63" s="514">
        <v>0</v>
      </c>
      <c r="G63" s="1333">
        <f t="shared" si="7"/>
        <v>0</v>
      </c>
      <c r="H63" s="460">
        <f>G63+'20'!H63</f>
        <v>0</v>
      </c>
      <c r="I63" s="515"/>
      <c r="J63" s="552">
        <f>H63/DAY(B2)</f>
        <v>0</v>
      </c>
      <c r="K63" s="428"/>
      <c r="L63" s="377"/>
      <c r="N63" s="382"/>
      <c r="O63" s="382"/>
    </row>
    <row r="64" spans="1:15" ht="27.75">
      <c r="A64" s="1534" t="s">
        <v>98</v>
      </c>
      <c r="B64" s="1535"/>
      <c r="C64" s="1536"/>
      <c r="D64" s="523" t="s">
        <v>186</v>
      </c>
      <c r="E64" s="484">
        <f>'20'!F64</f>
        <v>166237.26999999999</v>
      </c>
      <c r="F64" s="484">
        <v>166627.75</v>
      </c>
      <c r="G64" s="1333">
        <f t="shared" si="7"/>
        <v>390.48000000001048</v>
      </c>
      <c r="H64" s="460">
        <f>G64+'20'!H64</f>
        <v>6695.75</v>
      </c>
      <c r="I64" s="480"/>
      <c r="J64" s="552">
        <f>H64/DAY(B2)</f>
        <v>318.84523809523807</v>
      </c>
      <c r="K64" s="428"/>
      <c r="L64" s="377"/>
      <c r="N64" s="382"/>
      <c r="O64" s="382"/>
    </row>
    <row r="65" spans="1:15" ht="27.75">
      <c r="A65" s="1534" t="s">
        <v>99</v>
      </c>
      <c r="B65" s="1535"/>
      <c r="C65" s="1536"/>
      <c r="D65" s="523" t="s">
        <v>186</v>
      </c>
      <c r="E65" s="484">
        <f>'20'!F65</f>
        <v>166667.84</v>
      </c>
      <c r="F65" s="484">
        <v>166980.74</v>
      </c>
      <c r="G65" s="1333">
        <f t="shared" si="7"/>
        <v>312.89999999999418</v>
      </c>
      <c r="H65" s="460">
        <f>G65+'20'!H65</f>
        <v>5982.7399999999907</v>
      </c>
      <c r="I65" s="489"/>
      <c r="J65" s="552">
        <f>H65/DAY(B2)</f>
        <v>284.89238095238051</v>
      </c>
      <c r="K65" s="428"/>
      <c r="L65" s="377"/>
      <c r="N65" s="382"/>
      <c r="O65" s="382"/>
    </row>
    <row r="66" spans="1:15" ht="27.75">
      <c r="A66" s="1534" t="s">
        <v>100</v>
      </c>
      <c r="B66" s="1535"/>
      <c r="C66" s="1536"/>
      <c r="D66" s="523" t="s">
        <v>186</v>
      </c>
      <c r="E66" s="484">
        <f>'20'!F66</f>
        <v>63824.5</v>
      </c>
      <c r="F66" s="484">
        <v>64226.15</v>
      </c>
      <c r="G66" s="1333">
        <f t="shared" si="7"/>
        <v>401.65000000000146</v>
      </c>
      <c r="H66" s="460">
        <f>G66+'20'!H66</f>
        <v>7421.1500000000015</v>
      </c>
      <c r="I66" s="480"/>
      <c r="J66" s="552">
        <f>H66/DAY(B2)</f>
        <v>353.38809523809533</v>
      </c>
      <c r="K66" s="428"/>
      <c r="L66" s="377"/>
      <c r="N66" s="382"/>
      <c r="O66" s="382"/>
    </row>
    <row r="67" spans="1:15" ht="27.75">
      <c r="A67" s="1534" t="s">
        <v>101</v>
      </c>
      <c r="B67" s="1535"/>
      <c r="C67" s="1536"/>
      <c r="D67" s="523" t="s">
        <v>186</v>
      </c>
      <c r="E67" s="484">
        <f>'20'!F67</f>
        <v>260486.91</v>
      </c>
      <c r="F67" s="484">
        <v>260958</v>
      </c>
      <c r="G67" s="1333">
        <f t="shared" si="7"/>
        <v>471.08999999999651</v>
      </c>
      <c r="H67" s="460">
        <f>G67+'20'!H67</f>
        <v>8766</v>
      </c>
      <c r="I67" s="489"/>
      <c r="J67" s="552">
        <f>H67/DAY(B2)</f>
        <v>417.42857142857144</v>
      </c>
      <c r="K67" s="429"/>
      <c r="L67" s="377"/>
      <c r="N67" s="382"/>
      <c r="O67" s="382"/>
    </row>
    <row r="68" spans="1:15" ht="27.75">
      <c r="A68" s="1534" t="s">
        <v>102</v>
      </c>
      <c r="B68" s="1535"/>
      <c r="C68" s="1536"/>
      <c r="D68" s="523" t="s">
        <v>186</v>
      </c>
      <c r="E68" s="484">
        <f>'20'!F68</f>
        <v>85321</v>
      </c>
      <c r="F68" s="484">
        <v>85321</v>
      </c>
      <c r="G68" s="1333">
        <f t="shared" si="7"/>
        <v>0</v>
      </c>
      <c r="H68" s="460">
        <f>G68+'20'!H68</f>
        <v>0</v>
      </c>
      <c r="I68" s="516"/>
      <c r="J68" s="552">
        <f>H68/DAY(B2)</f>
        <v>0</v>
      </c>
      <c r="K68" s="430"/>
      <c r="L68" s="377"/>
      <c r="N68" s="382"/>
      <c r="O68" s="382"/>
    </row>
    <row r="69" spans="1:15" ht="27.75">
      <c r="A69" s="1534" t="s">
        <v>103</v>
      </c>
      <c r="B69" s="1535"/>
      <c r="C69" s="1536"/>
      <c r="D69" s="523" t="s">
        <v>186</v>
      </c>
      <c r="E69" s="484">
        <f>'20'!F69</f>
        <v>85116.51</v>
      </c>
      <c r="F69" s="484">
        <v>85351.83</v>
      </c>
      <c r="G69" s="1333">
        <f t="shared" si="7"/>
        <v>235.32000000000698</v>
      </c>
      <c r="H69" s="460">
        <f>G69+'20'!H69</f>
        <v>3602.8300000000017</v>
      </c>
      <c r="I69" s="516"/>
      <c r="J69" s="552">
        <f>H69/DAY(B2)</f>
        <v>171.56333333333342</v>
      </c>
      <c r="K69" s="431"/>
      <c r="L69" s="377"/>
      <c r="N69" s="382"/>
      <c r="O69" s="382"/>
    </row>
    <row r="70" spans="1:15" ht="27.75">
      <c r="A70" s="1566" t="s">
        <v>188</v>
      </c>
      <c r="B70" s="1567"/>
      <c r="C70" s="1568"/>
      <c r="D70" s="523" t="s">
        <v>186</v>
      </c>
      <c r="E70" s="518"/>
      <c r="F70" s="518"/>
      <c r="G70" s="1345"/>
      <c r="H70" s="460">
        <f>G70+'20'!H70</f>
        <v>0</v>
      </c>
      <c r="I70" s="518"/>
      <c r="J70" s="556"/>
      <c r="K70" s="431"/>
      <c r="L70" s="377"/>
      <c r="N70" s="382"/>
      <c r="O70" s="382"/>
    </row>
    <row r="71" spans="1:15" ht="31.5">
      <c r="A71" s="1580" t="s">
        <v>189</v>
      </c>
      <c r="B71" s="1581"/>
      <c r="C71" s="1581"/>
      <c r="D71" s="1581"/>
      <c r="E71" s="1581"/>
      <c r="F71" s="1581"/>
      <c r="G71" s="1581"/>
      <c r="H71" s="1581"/>
      <c r="I71" s="1581"/>
      <c r="J71" s="1582"/>
      <c r="K71" s="430"/>
      <c r="L71" s="377"/>
      <c r="N71" s="382"/>
      <c r="O71" s="382"/>
    </row>
    <row r="72" spans="1:15" ht="27.75">
      <c r="A72" s="1534" t="s">
        <v>190</v>
      </c>
      <c r="B72" s="1535"/>
      <c r="C72" s="1536"/>
      <c r="D72" s="523" t="s">
        <v>186</v>
      </c>
      <c r="E72" s="519">
        <f>'20'!F72</f>
        <v>856104</v>
      </c>
      <c r="F72" s="519">
        <v>856117</v>
      </c>
      <c r="G72" s="1333">
        <f t="shared" ref="G72:G84" si="8">F72-E72</f>
        <v>13</v>
      </c>
      <c r="H72" s="460">
        <f>G72+'20'!H72</f>
        <v>261</v>
      </c>
      <c r="I72" s="480"/>
      <c r="J72" s="552">
        <f>H72/DAY(B2)</f>
        <v>12.428571428571429</v>
      </c>
      <c r="K72" s="431"/>
      <c r="L72" s="377"/>
      <c r="N72" s="382"/>
      <c r="O72" s="382"/>
    </row>
    <row r="73" spans="1:15" ht="27.75">
      <c r="A73" s="1534" t="s">
        <v>191</v>
      </c>
      <c r="B73" s="1535"/>
      <c r="C73" s="1536"/>
      <c r="D73" s="523" t="s">
        <v>186</v>
      </c>
      <c r="E73" s="520">
        <f>'20'!F73</f>
        <v>885960</v>
      </c>
      <c r="F73" s="520">
        <v>885961</v>
      </c>
      <c r="G73" s="1333">
        <f t="shared" si="8"/>
        <v>1</v>
      </c>
      <c r="H73" s="460">
        <f>G73+'20'!H73</f>
        <v>180</v>
      </c>
      <c r="I73" s="480"/>
      <c r="J73" s="552">
        <f>H73/DAY(B2)</f>
        <v>8.5714285714285712</v>
      </c>
      <c r="K73" s="430"/>
      <c r="L73" s="377"/>
      <c r="N73" s="382"/>
      <c r="O73" s="382"/>
    </row>
    <row r="74" spans="1:15" ht="27.75">
      <c r="A74" s="1609" t="s">
        <v>192</v>
      </c>
      <c r="B74" s="1610"/>
      <c r="C74" s="1611"/>
      <c r="D74" s="523" t="s">
        <v>186</v>
      </c>
      <c r="E74" s="521">
        <f>'20'!F74</f>
        <v>88686</v>
      </c>
      <c r="F74" s="521">
        <v>88687</v>
      </c>
      <c r="G74" s="1333">
        <f t="shared" si="8"/>
        <v>1</v>
      </c>
      <c r="H74" s="460">
        <f>G74+'20'!H74</f>
        <v>21.960000000000036</v>
      </c>
      <c r="I74" s="480"/>
      <c r="J74" s="552">
        <f>H74/DAY(B2)</f>
        <v>1.0457142857142874</v>
      </c>
      <c r="K74" s="431"/>
      <c r="L74" s="377"/>
      <c r="N74" s="382"/>
      <c r="O74" s="382"/>
    </row>
    <row r="75" spans="1:15" ht="27.75">
      <c r="A75" s="1583" t="s">
        <v>193</v>
      </c>
      <c r="B75" s="1584"/>
      <c r="C75" s="1585"/>
      <c r="D75" s="523" t="s">
        <v>186</v>
      </c>
      <c r="E75" s="521">
        <f>'20'!F75</f>
        <v>14618.25</v>
      </c>
      <c r="F75" s="521">
        <v>14756.38</v>
      </c>
      <c r="G75" s="1333">
        <f t="shared" si="8"/>
        <v>138.1299999999992</v>
      </c>
      <c r="H75" s="460">
        <f>G75+'20'!H75</f>
        <v>2087.3799999999992</v>
      </c>
      <c r="I75" s="480"/>
      <c r="J75" s="552">
        <f>H75/DAY(B2)</f>
        <v>99.399047619047579</v>
      </c>
      <c r="K75" s="430"/>
      <c r="L75" s="377"/>
      <c r="N75" s="382"/>
      <c r="O75" s="382"/>
    </row>
    <row r="76" spans="1:15" ht="27.75">
      <c r="A76" s="1583" t="s">
        <v>194</v>
      </c>
      <c r="B76" s="1584"/>
      <c r="C76" s="1585"/>
      <c r="D76" s="523" t="s">
        <v>186</v>
      </c>
      <c r="E76" s="520">
        <f>'20'!F76</f>
        <v>8596.83</v>
      </c>
      <c r="F76" s="647">
        <v>8664.5300000000007</v>
      </c>
      <c r="G76" s="1333">
        <f t="shared" si="8"/>
        <v>67.700000000000728</v>
      </c>
      <c r="H76" s="460">
        <f>G76+'20'!H76</f>
        <v>1458.5300000000007</v>
      </c>
      <c r="I76" s="505"/>
      <c r="J76" s="552">
        <f>H76/DAY(B2)</f>
        <v>69.453809523809554</v>
      </c>
      <c r="K76" s="430"/>
      <c r="L76" s="377"/>
      <c r="N76" s="382"/>
      <c r="O76" s="382"/>
    </row>
    <row r="77" spans="1:15" ht="27.75">
      <c r="A77" s="1534" t="s">
        <v>195</v>
      </c>
      <c r="B77" s="1535"/>
      <c r="C77" s="1536"/>
      <c r="D77" s="523" t="s">
        <v>186</v>
      </c>
      <c r="E77" s="521">
        <f>'20'!F77</f>
        <v>703840</v>
      </c>
      <c r="F77" s="521">
        <v>703890</v>
      </c>
      <c r="G77" s="1333">
        <f t="shared" si="8"/>
        <v>50</v>
      </c>
      <c r="H77" s="460">
        <f>G77+'20'!H77</f>
        <v>1051</v>
      </c>
      <c r="I77" s="505"/>
      <c r="J77" s="552">
        <f>H77/DAY(B2)</f>
        <v>50.047619047619051</v>
      </c>
      <c r="K77" s="430"/>
      <c r="L77" s="377"/>
      <c r="N77" s="382"/>
      <c r="O77" s="382"/>
    </row>
    <row r="78" spans="1:15" ht="27.75">
      <c r="A78" s="1144" t="s">
        <v>196</v>
      </c>
      <c r="B78" s="1117"/>
      <c r="C78" s="1117"/>
      <c r="D78" s="523" t="s">
        <v>186</v>
      </c>
      <c r="E78" s="521">
        <f>'20'!F78</f>
        <v>674552</v>
      </c>
      <c r="F78" s="521">
        <v>674622</v>
      </c>
      <c r="G78" s="1333">
        <f t="shared" si="8"/>
        <v>70</v>
      </c>
      <c r="H78" s="460">
        <f>G78+'20'!H78</f>
        <v>1590</v>
      </c>
      <c r="I78" s="505"/>
      <c r="J78" s="552">
        <f>H78/DAY(B2)</f>
        <v>75.714285714285708</v>
      </c>
      <c r="K78" s="430"/>
      <c r="L78" s="377"/>
      <c r="N78" s="382"/>
      <c r="O78" s="382"/>
    </row>
    <row r="79" spans="1:15" ht="27.75">
      <c r="A79" s="1583" t="s">
        <v>91</v>
      </c>
      <c r="B79" s="1584"/>
      <c r="C79" s="1585"/>
      <c r="D79" s="524" t="s">
        <v>186</v>
      </c>
      <c r="E79" s="521">
        <f>'20'!F79</f>
        <v>833932</v>
      </c>
      <c r="F79" s="521">
        <v>834076</v>
      </c>
      <c r="G79" s="1333">
        <f t="shared" si="8"/>
        <v>144</v>
      </c>
      <c r="H79" s="460">
        <f>G79+'20'!H79</f>
        <v>2054</v>
      </c>
      <c r="I79" s="505"/>
      <c r="J79" s="552">
        <f>H79/DAY(B2)</f>
        <v>97.80952380952381</v>
      </c>
      <c r="K79" s="430"/>
      <c r="L79" s="377"/>
      <c r="N79" s="382"/>
      <c r="O79" s="382"/>
    </row>
    <row r="80" spans="1:15" ht="27.75">
      <c r="A80" s="1583" t="s">
        <v>197</v>
      </c>
      <c r="B80" s="1584"/>
      <c r="C80" s="1585"/>
      <c r="D80" s="524" t="s">
        <v>186</v>
      </c>
      <c r="E80" s="520">
        <f>'20'!F80</f>
        <v>535107</v>
      </c>
      <c r="F80" s="520">
        <v>535477</v>
      </c>
      <c r="G80" s="1333">
        <f t="shared" si="8"/>
        <v>370</v>
      </c>
      <c r="H80" s="460">
        <f>G80+'20'!H80</f>
        <v>4931.4799999999814</v>
      </c>
      <c r="I80" s="505"/>
      <c r="J80" s="552">
        <f>H80/DAY(B2)</f>
        <v>234.83238095238008</v>
      </c>
      <c r="K80" s="430"/>
      <c r="L80" s="377"/>
      <c r="N80" s="382"/>
      <c r="O80" s="382"/>
    </row>
    <row r="81" spans="1:15" ht="27.75">
      <c r="A81" s="1583" t="s">
        <v>198</v>
      </c>
      <c r="B81" s="1584"/>
      <c r="C81" s="1585"/>
      <c r="D81" s="524" t="s">
        <v>186</v>
      </c>
      <c r="E81" s="520">
        <f>'20'!F81</f>
        <v>641422</v>
      </c>
      <c r="F81" s="520">
        <v>641606</v>
      </c>
      <c r="G81" s="1333">
        <f t="shared" si="8"/>
        <v>184</v>
      </c>
      <c r="H81" s="460">
        <f>G81+'20'!H81</f>
        <v>2708</v>
      </c>
      <c r="I81" s="505"/>
      <c r="J81" s="552">
        <f>H81/DAY(B2)</f>
        <v>128.95238095238096</v>
      </c>
      <c r="K81" s="430"/>
      <c r="L81" s="377"/>
      <c r="N81" s="382"/>
      <c r="O81" s="382"/>
    </row>
    <row r="82" spans="1:15" ht="27.75">
      <c r="A82" s="1583" t="s">
        <v>92</v>
      </c>
      <c r="B82" s="1584"/>
      <c r="C82" s="1585"/>
      <c r="D82" s="485" t="s">
        <v>131</v>
      </c>
      <c r="E82" s="522">
        <f>'20'!F82</f>
        <v>108504.35</v>
      </c>
      <c r="F82" s="522">
        <v>108517</v>
      </c>
      <c r="G82" s="1333">
        <f t="shared" si="8"/>
        <v>12.649999999994179</v>
      </c>
      <c r="H82" s="460">
        <f>G82+'20'!H82</f>
        <v>359</v>
      </c>
      <c r="I82" s="486"/>
      <c r="J82" s="552">
        <f>H82/DAY(B2)</f>
        <v>17.095238095238095</v>
      </c>
      <c r="K82" s="430"/>
      <c r="L82" s="377"/>
      <c r="N82" s="382"/>
      <c r="O82" s="382"/>
    </row>
    <row r="83" spans="1:15" ht="27.75">
      <c r="A83" s="1583" t="s">
        <v>199</v>
      </c>
      <c r="B83" s="1584"/>
      <c r="C83" s="1585"/>
      <c r="D83" s="620" t="s">
        <v>131</v>
      </c>
      <c r="E83" s="511">
        <f>'20'!F83</f>
        <v>24672</v>
      </c>
      <c r="F83" s="511">
        <v>25040</v>
      </c>
      <c r="G83" s="1333">
        <f t="shared" si="8"/>
        <v>368</v>
      </c>
      <c r="H83" s="460">
        <f>G83+'20'!H83</f>
        <v>4534</v>
      </c>
      <c r="I83" s="481"/>
      <c r="J83" s="552">
        <f>H83/DAY(B2)</f>
        <v>215.9047619047619</v>
      </c>
      <c r="K83" s="429"/>
      <c r="L83" s="377"/>
      <c r="N83" s="382"/>
      <c r="O83" s="722"/>
    </row>
    <row r="84" spans="1:15">
      <c r="A84" s="1145" t="s">
        <v>200</v>
      </c>
      <c r="B84" s="571"/>
      <c r="C84" s="571"/>
      <c r="D84" s="478" t="s">
        <v>131</v>
      </c>
      <c r="E84" s="627">
        <f>'20'!F84</f>
        <v>515021</v>
      </c>
      <c r="F84" s="627">
        <v>515798</v>
      </c>
      <c r="G84" s="1333">
        <f t="shared" si="8"/>
        <v>777</v>
      </c>
      <c r="H84" s="460">
        <f>G84+'20'!H84</f>
        <v>15504</v>
      </c>
      <c r="I84" s="481"/>
      <c r="J84" s="552">
        <f>H84/DAY(B2)</f>
        <v>738.28571428571433</v>
      </c>
      <c r="K84" s="380"/>
      <c r="L84" s="377"/>
      <c r="N84" s="382"/>
      <c r="O84" s="382"/>
    </row>
    <row r="85" spans="1:15" s="379" customFormat="1">
      <c r="A85" s="605" t="s">
        <v>201</v>
      </c>
      <c r="B85" s="572"/>
      <c r="C85" s="572"/>
      <c r="D85" s="489"/>
      <c r="E85" s="523"/>
      <c r="F85" s="523"/>
      <c r="G85" s="1346">
        <f xml:space="preserve"> SUM(G72:G84)</f>
        <v>2196.4799999999941</v>
      </c>
      <c r="H85" s="460">
        <f>G85+'20'!H85</f>
        <v>40283.870000000003</v>
      </c>
      <c r="I85" s="481"/>
      <c r="J85" s="552">
        <f>H85/DAY(B2)</f>
        <v>1918.2795238095239</v>
      </c>
      <c r="K85" s="380"/>
      <c r="L85" s="378"/>
      <c r="N85" s="777"/>
      <c r="O85" s="722"/>
    </row>
    <row r="86" spans="1:15" s="736" customFormat="1">
      <c r="A86" s="731" t="s">
        <v>93</v>
      </c>
      <c r="B86" s="732"/>
      <c r="C86" s="732"/>
      <c r="D86" s="733" t="s">
        <v>182</v>
      </c>
      <c r="E86" s="648">
        <f>'20'!F86</f>
        <v>461512</v>
      </c>
      <c r="F86" s="648">
        <v>461528</v>
      </c>
      <c r="G86" s="1347">
        <f t="shared" ref="G86:G91" si="9">F86-E86</f>
        <v>16</v>
      </c>
      <c r="H86" s="460">
        <f>G86+'20'!H86</f>
        <v>69.71999999997206</v>
      </c>
      <c r="I86" s="653"/>
      <c r="J86" s="708">
        <f>H86/DAY(B2)</f>
        <v>3.3199999999986693</v>
      </c>
      <c r="K86" s="734"/>
      <c r="L86" s="735"/>
      <c r="N86" s="778"/>
      <c r="O86" s="382"/>
    </row>
    <row r="87" spans="1:15" s="736" customFormat="1">
      <c r="A87" s="731" t="s">
        <v>94</v>
      </c>
      <c r="B87" s="732"/>
      <c r="C87" s="732"/>
      <c r="D87" s="733" t="s">
        <v>182</v>
      </c>
      <c r="E87" s="648">
        <f>'20'!F87</f>
        <v>81787.7</v>
      </c>
      <c r="F87" s="648">
        <v>81818.5</v>
      </c>
      <c r="G87" s="1347">
        <f t="shared" si="9"/>
        <v>30.80000000000291</v>
      </c>
      <c r="H87" s="460">
        <f>G87+'20'!H87</f>
        <v>89.69999999999709</v>
      </c>
      <c r="I87" s="653"/>
      <c r="J87" s="708">
        <f>H87/DAY(B2)</f>
        <v>4.2714285714284328</v>
      </c>
      <c r="K87" s="734"/>
      <c r="L87" s="735"/>
      <c r="N87" s="778"/>
      <c r="O87" s="382"/>
    </row>
    <row r="88" spans="1:15" s="736" customFormat="1">
      <c r="A88" s="731" t="s">
        <v>95</v>
      </c>
      <c r="B88" s="732"/>
      <c r="C88" s="732"/>
      <c r="D88" s="733" t="s">
        <v>182</v>
      </c>
      <c r="E88" s="648">
        <f>'20'!F88</f>
        <v>154260</v>
      </c>
      <c r="F88" s="648">
        <v>154344</v>
      </c>
      <c r="G88" s="1347">
        <f t="shared" si="9"/>
        <v>84</v>
      </c>
      <c r="H88" s="460">
        <f>G88+'20'!H88</f>
        <v>266.33999999999651</v>
      </c>
      <c r="I88" s="653"/>
      <c r="J88" s="708">
        <f>H88/DAY(B2)</f>
        <v>12.682857142856976</v>
      </c>
      <c r="K88" s="734"/>
      <c r="L88" s="735"/>
      <c r="N88" s="778"/>
      <c r="O88" s="382"/>
    </row>
    <row r="89" spans="1:15" s="736" customFormat="1">
      <c r="A89" s="731" t="s">
        <v>203</v>
      </c>
      <c r="B89" s="732"/>
      <c r="C89" s="732"/>
      <c r="D89" s="733" t="s">
        <v>182</v>
      </c>
      <c r="E89" s="648">
        <f>'20'!F89</f>
        <v>65558.5</v>
      </c>
      <c r="F89" s="648">
        <v>65593.2</v>
      </c>
      <c r="G89" s="1347">
        <f t="shared" si="9"/>
        <v>34.69999999999709</v>
      </c>
      <c r="H89" s="460">
        <f>G89+'20'!H89</f>
        <v>81.099999999998545</v>
      </c>
      <c r="I89" s="653"/>
      <c r="J89" s="708">
        <f>H89/DAY(B2)</f>
        <v>3.8619047619046927</v>
      </c>
      <c r="K89" s="734"/>
      <c r="L89" s="735"/>
      <c r="N89" s="778"/>
      <c r="O89" s="382"/>
    </row>
    <row r="90" spans="1:15" s="736" customFormat="1">
      <c r="A90" s="731" t="s">
        <v>203</v>
      </c>
      <c r="B90" s="732"/>
      <c r="C90" s="732"/>
      <c r="D90" s="733" t="s">
        <v>182</v>
      </c>
      <c r="E90" s="648">
        <f>'20'!F90</f>
        <v>3309.8</v>
      </c>
      <c r="F90" s="648">
        <v>3314.8</v>
      </c>
      <c r="G90" s="1347">
        <f t="shared" si="9"/>
        <v>5</v>
      </c>
      <c r="H90" s="460">
        <f>G90+'20'!H90</f>
        <v>7.4000000000000909</v>
      </c>
      <c r="I90" s="653"/>
      <c r="J90" s="708">
        <f>H90/DAY(B2)</f>
        <v>0.35238095238095674</v>
      </c>
      <c r="K90" s="734"/>
      <c r="L90" s="735"/>
      <c r="N90" s="778"/>
      <c r="O90" s="382"/>
    </row>
    <row r="91" spans="1:15" s="736" customFormat="1">
      <c r="A91" s="731" t="s">
        <v>350</v>
      </c>
      <c r="B91" s="732"/>
      <c r="C91" s="732"/>
      <c r="D91" s="733"/>
      <c r="E91" s="648">
        <f>'20'!F91</f>
        <v>28160.45</v>
      </c>
      <c r="F91" s="648">
        <v>28171.439999999999</v>
      </c>
      <c r="G91" s="706">
        <f t="shared" si="9"/>
        <v>10.989999999997963</v>
      </c>
      <c r="H91" s="460">
        <f>G91+'20'!H91</f>
        <v>11.759999999998399</v>
      </c>
      <c r="I91" s="653"/>
      <c r="J91" s="708">
        <f>H91/DAY(B2)</f>
        <v>0.55999999999992378</v>
      </c>
      <c r="K91" s="734"/>
      <c r="L91" s="735"/>
      <c r="N91" s="778"/>
      <c r="O91" s="382"/>
    </row>
    <row r="92" spans="1:15" s="379" customFormat="1">
      <c r="A92" s="606" t="s">
        <v>204</v>
      </c>
      <c r="B92" s="1147"/>
      <c r="C92" s="1147"/>
      <c r="D92" s="472"/>
      <c r="E92" s="472"/>
      <c r="F92" s="472"/>
      <c r="G92" s="1336"/>
      <c r="H92" s="472"/>
      <c r="I92" s="472"/>
      <c r="J92" s="551"/>
      <c r="K92" s="380"/>
      <c r="L92" s="378"/>
      <c r="N92" s="777"/>
      <c r="O92" s="382"/>
    </row>
    <row r="93" spans="1:15" ht="27.75">
      <c r="A93" s="1537" t="s">
        <v>205</v>
      </c>
      <c r="B93" s="1538"/>
      <c r="C93" s="1539"/>
      <c r="D93" s="523" t="s">
        <v>143</v>
      </c>
      <c r="E93" s="484">
        <f>'20'!F93</f>
        <v>246590</v>
      </c>
      <c r="F93" s="484">
        <v>246690</v>
      </c>
      <c r="G93" s="1333">
        <f t="shared" ref="G93:G94" si="10">F93-E93</f>
        <v>100</v>
      </c>
      <c r="H93" s="460">
        <f>G93+'20'!H93</f>
        <v>1202</v>
      </c>
      <c r="I93" s="480"/>
      <c r="J93" s="552">
        <f>H93/DAY(B2)</f>
        <v>57.238095238095241</v>
      </c>
      <c r="K93" s="429"/>
      <c r="L93" s="377"/>
      <c r="N93" s="382"/>
      <c r="O93" s="382"/>
    </row>
    <row r="94" spans="1:15" ht="27.75">
      <c r="A94" s="1537" t="s">
        <v>206</v>
      </c>
      <c r="B94" s="1538"/>
      <c r="C94" s="1539"/>
      <c r="D94" s="523" t="s">
        <v>143</v>
      </c>
      <c r="E94" s="484">
        <f>'20'!F94</f>
        <v>188219</v>
      </c>
      <c r="F94" s="484">
        <v>188422</v>
      </c>
      <c r="G94" s="1333">
        <f t="shared" si="10"/>
        <v>203</v>
      </c>
      <c r="H94" s="460">
        <f>G94+'20'!H94</f>
        <v>2301</v>
      </c>
      <c r="I94" s="480"/>
      <c r="J94" s="552">
        <f>H94/DAY(B2)</f>
        <v>109.57142857142857</v>
      </c>
      <c r="K94" s="380"/>
      <c r="L94" s="377"/>
      <c r="N94" s="382"/>
      <c r="O94" s="382"/>
    </row>
    <row r="95" spans="1:15">
      <c r="A95" s="1531" t="s">
        <v>207</v>
      </c>
      <c r="B95" s="1532"/>
      <c r="C95" s="1533"/>
      <c r="D95" s="523"/>
      <c r="E95" s="484">
        <v>0</v>
      </c>
      <c r="F95" s="484">
        <v>0</v>
      </c>
      <c r="G95" s="1333">
        <f>G93+G94</f>
        <v>303</v>
      </c>
      <c r="H95" s="460">
        <f>G95+'20'!H95</f>
        <v>3427</v>
      </c>
      <c r="I95" s="480"/>
      <c r="J95" s="552">
        <f>H95/DAY(B2)</f>
        <v>163.1904761904762</v>
      </c>
      <c r="K95" s="380"/>
      <c r="L95" s="377"/>
      <c r="N95" s="382"/>
      <c r="O95" s="382"/>
    </row>
    <row r="96" spans="1:15" ht="27.75">
      <c r="A96" s="1537" t="s">
        <v>208</v>
      </c>
      <c r="B96" s="1538"/>
      <c r="C96" s="1539"/>
      <c r="D96" s="523" t="s">
        <v>143</v>
      </c>
      <c r="E96" s="484">
        <f>'20'!F96</f>
        <v>415362</v>
      </c>
      <c r="F96" s="484">
        <v>415432</v>
      </c>
      <c r="G96" s="1333">
        <f t="shared" ref="G96:G101" si="11">F96-E96</f>
        <v>70</v>
      </c>
      <c r="H96" s="460">
        <f>G96+'20'!H96</f>
        <v>1149</v>
      </c>
      <c r="I96" s="480"/>
      <c r="J96" s="552">
        <f>H96/DAY(B2)</f>
        <v>54.714285714285715</v>
      </c>
      <c r="K96" s="380"/>
      <c r="L96" s="377"/>
      <c r="N96" s="382"/>
      <c r="O96" s="382"/>
    </row>
    <row r="97" spans="1:15" ht="27.75">
      <c r="A97" s="1141" t="s">
        <v>209</v>
      </c>
      <c r="B97" s="1142"/>
      <c r="C97" s="1142"/>
      <c r="D97" s="523" t="s">
        <v>143</v>
      </c>
      <c r="E97" s="484">
        <f>'20'!F97</f>
        <v>102953</v>
      </c>
      <c r="F97" s="484">
        <v>102976</v>
      </c>
      <c r="G97" s="1333">
        <f t="shared" si="11"/>
        <v>23</v>
      </c>
      <c r="H97" s="460">
        <f>G97+'20'!H97</f>
        <v>328</v>
      </c>
      <c r="I97" s="480"/>
      <c r="J97" s="552">
        <f>H97/DAY(B2)</f>
        <v>15.619047619047619</v>
      </c>
      <c r="K97" s="427"/>
      <c r="L97" s="377"/>
      <c r="N97" s="382"/>
      <c r="O97" s="382"/>
    </row>
    <row r="98" spans="1:15" ht="27.75">
      <c r="A98" s="1141" t="s">
        <v>210</v>
      </c>
      <c r="B98" s="1142"/>
      <c r="C98" s="1142"/>
      <c r="D98" s="523" t="s">
        <v>143</v>
      </c>
      <c r="E98" s="484">
        <f>'20'!F98</f>
        <v>98424</v>
      </c>
      <c r="F98" s="484">
        <v>98449</v>
      </c>
      <c r="G98" s="1333">
        <f t="shared" si="11"/>
        <v>25</v>
      </c>
      <c r="H98" s="460">
        <f>G98+'20'!H98</f>
        <v>499</v>
      </c>
      <c r="I98" s="480"/>
      <c r="J98" s="552">
        <f>H98/DAY(B2)</f>
        <v>23.761904761904763</v>
      </c>
      <c r="K98" s="432"/>
      <c r="L98" s="377"/>
      <c r="N98" s="382"/>
      <c r="O98" s="382"/>
    </row>
    <row r="99" spans="1:15" ht="27.75">
      <c r="A99" s="1141" t="s">
        <v>211</v>
      </c>
      <c r="B99" s="1142"/>
      <c r="C99" s="1142"/>
      <c r="D99" s="523" t="s">
        <v>143</v>
      </c>
      <c r="E99" s="484">
        <f>'20'!F99</f>
        <v>150051</v>
      </c>
      <c r="F99" s="484">
        <v>150062</v>
      </c>
      <c r="G99" s="1333">
        <f t="shared" si="11"/>
        <v>11</v>
      </c>
      <c r="H99" s="460">
        <f>G99+'20'!H99</f>
        <v>210</v>
      </c>
      <c r="I99" s="480"/>
      <c r="J99" s="552">
        <f>H99/DAY(B2)</f>
        <v>10</v>
      </c>
      <c r="K99" s="380"/>
      <c r="L99" s="377"/>
      <c r="N99" s="382"/>
      <c r="O99" s="382"/>
    </row>
    <row r="100" spans="1:15" ht="27.75">
      <c r="A100" s="1141" t="s">
        <v>212</v>
      </c>
      <c r="B100" s="1142"/>
      <c r="C100" s="1142"/>
      <c r="D100" s="523" t="s">
        <v>143</v>
      </c>
      <c r="E100" s="484">
        <f>'20'!F100</f>
        <v>7596</v>
      </c>
      <c r="F100" s="484">
        <v>7621</v>
      </c>
      <c r="G100" s="1333">
        <f t="shared" si="11"/>
        <v>25</v>
      </c>
      <c r="H100" s="460">
        <f>G100+'20'!H100</f>
        <v>252</v>
      </c>
      <c r="I100" s="480"/>
      <c r="J100" s="552">
        <f>H100/DAY(B2)</f>
        <v>12</v>
      </c>
      <c r="K100" s="380"/>
      <c r="L100" s="377"/>
      <c r="N100" s="382"/>
      <c r="O100" s="382"/>
    </row>
    <row r="101" spans="1:15" ht="27.75">
      <c r="A101" s="1141" t="s">
        <v>213</v>
      </c>
      <c r="B101" s="1142"/>
      <c r="C101" s="1142"/>
      <c r="D101" s="523" t="s">
        <v>143</v>
      </c>
      <c r="E101" s="484">
        <f>'20'!F101</f>
        <v>5574</v>
      </c>
      <c r="F101" s="484">
        <v>5581</v>
      </c>
      <c r="G101" s="1333">
        <f t="shared" si="11"/>
        <v>7</v>
      </c>
      <c r="H101" s="460">
        <f>G101+'20'!H101</f>
        <v>190</v>
      </c>
      <c r="I101" s="480"/>
      <c r="J101" s="552">
        <f>H101/DAY(B2)</f>
        <v>9.0476190476190474</v>
      </c>
      <c r="K101" s="380"/>
      <c r="L101" s="377"/>
      <c r="N101" s="382"/>
      <c r="O101" s="382"/>
    </row>
    <row r="102" spans="1:15">
      <c r="A102" s="1531" t="s">
        <v>215</v>
      </c>
      <c r="B102" s="1532"/>
      <c r="C102" s="1533"/>
      <c r="D102" s="524"/>
      <c r="E102" s="524"/>
      <c r="F102" s="524"/>
      <c r="G102" s="1348">
        <f>SUM(G96:G101)</f>
        <v>161</v>
      </c>
      <c r="H102" s="460">
        <f>G102+'20'!H102</f>
        <v>2628</v>
      </c>
      <c r="I102" s="526"/>
      <c r="J102" s="552">
        <f>H102/DAY(B2)</f>
        <v>125.14285714285714</v>
      </c>
      <c r="K102" s="380"/>
      <c r="L102" s="377"/>
      <c r="N102" s="382"/>
      <c r="O102" s="382"/>
    </row>
    <row r="103" spans="1:15" s="442" customFormat="1" ht="27">
      <c r="A103" s="607" t="s">
        <v>216</v>
      </c>
      <c r="B103" s="608"/>
      <c r="C103" s="608"/>
      <c r="D103" s="621"/>
      <c r="E103" s="528"/>
      <c r="F103" s="528"/>
      <c r="G103" s="1349"/>
      <c r="H103" s="530"/>
      <c r="I103" s="531"/>
      <c r="J103" s="557"/>
      <c r="N103" s="444"/>
      <c r="O103" s="382"/>
    </row>
    <row r="104" spans="1:15" s="442" customFormat="1" ht="27.75">
      <c r="A104" s="1540" t="s">
        <v>217</v>
      </c>
      <c r="B104" s="1541"/>
      <c r="C104" s="573"/>
      <c r="D104" s="622"/>
      <c r="E104" s="532"/>
      <c r="F104" s="532"/>
      <c r="G104" s="1350"/>
      <c r="H104" s="533"/>
      <c r="I104" s="532"/>
      <c r="J104" s="558"/>
      <c r="N104" s="444"/>
      <c r="O104" s="382"/>
    </row>
    <row r="105" spans="1:15" s="442" customFormat="1" ht="27.75">
      <c r="A105" s="1542" t="s">
        <v>218</v>
      </c>
      <c r="B105" s="1543"/>
      <c r="C105" s="1139"/>
      <c r="D105" s="622" t="s">
        <v>143</v>
      </c>
      <c r="E105" s="532">
        <f>'20'!F105</f>
        <v>7637</v>
      </c>
      <c r="F105" s="532">
        <v>7637</v>
      </c>
      <c r="G105" s="1350">
        <f>F105-E105</f>
        <v>0</v>
      </c>
      <c r="H105" s="460">
        <f>G105+'20'!H105</f>
        <v>57</v>
      </c>
      <c r="I105" s="532"/>
      <c r="J105" s="558">
        <f>H105/DAY(B2)</f>
        <v>2.7142857142857144</v>
      </c>
      <c r="N105" s="444"/>
      <c r="O105" s="382"/>
    </row>
    <row r="106" spans="1:15" s="442" customFormat="1" ht="27.75">
      <c r="A106" s="1542" t="s">
        <v>76</v>
      </c>
      <c r="B106" s="1543"/>
      <c r="C106" s="1139"/>
      <c r="D106" s="622" t="s">
        <v>143</v>
      </c>
      <c r="E106" s="534">
        <f>'20'!F106</f>
        <v>36077</v>
      </c>
      <c r="F106" s="534">
        <v>36089</v>
      </c>
      <c r="G106" s="1350">
        <f t="shared" ref="G106:G107" si="12">F106-E106</f>
        <v>12</v>
      </c>
      <c r="H106" s="460">
        <f>G106+'20'!H106</f>
        <v>85</v>
      </c>
      <c r="I106" s="532"/>
      <c r="J106" s="558">
        <f>H106/DAY(B2)</f>
        <v>4.0476190476190474</v>
      </c>
      <c r="N106" s="444"/>
      <c r="O106" s="382"/>
    </row>
    <row r="107" spans="1:15" s="442" customFormat="1" ht="27.75">
      <c r="A107" s="1542" t="s">
        <v>77</v>
      </c>
      <c r="B107" s="1544"/>
      <c r="C107" s="1543"/>
      <c r="D107" s="622" t="s">
        <v>143</v>
      </c>
      <c r="E107" s="532">
        <f>'20'!F107</f>
        <v>19779</v>
      </c>
      <c r="F107" s="532">
        <v>19786</v>
      </c>
      <c r="G107" s="1350">
        <f t="shared" si="12"/>
        <v>7</v>
      </c>
      <c r="H107" s="460">
        <f>G107+'20'!H107</f>
        <v>74</v>
      </c>
      <c r="I107" s="532"/>
      <c r="J107" s="558">
        <f>H107/DAY(B2)</f>
        <v>3.5238095238095237</v>
      </c>
      <c r="N107" s="444"/>
      <c r="O107" s="382"/>
    </row>
    <row r="108" spans="1:15" s="442" customFormat="1" ht="27.75">
      <c r="A108" s="1545" t="s">
        <v>201</v>
      </c>
      <c r="B108" s="1546"/>
      <c r="C108" s="1139"/>
      <c r="D108" s="622"/>
      <c r="E108" s="532">
        <f>'20'!F108</f>
        <v>0</v>
      </c>
      <c r="F108" s="532"/>
      <c r="G108" s="1350">
        <f>SUM(G105:G107)</f>
        <v>19</v>
      </c>
      <c r="H108" s="460">
        <f>G108+'20'!H108</f>
        <v>210</v>
      </c>
      <c r="I108" s="532"/>
      <c r="J108" s="558">
        <f>H108/DAY(B2)</f>
        <v>10</v>
      </c>
      <c r="N108" s="444"/>
      <c r="O108" s="382"/>
    </row>
    <row r="109" spans="1:15" s="442" customFormat="1" ht="27.75">
      <c r="A109" s="1547" t="s">
        <v>78</v>
      </c>
      <c r="B109" s="1548"/>
      <c r="C109" s="1139"/>
      <c r="D109" s="622" t="s">
        <v>143</v>
      </c>
      <c r="E109" s="532">
        <f>'20'!F109</f>
        <v>0</v>
      </c>
      <c r="F109" s="532"/>
      <c r="G109" s="1350"/>
      <c r="H109" s="460"/>
      <c r="I109" s="532"/>
      <c r="J109" s="558"/>
      <c r="N109" s="444"/>
      <c r="O109" s="382"/>
    </row>
    <row r="110" spans="1:15" s="442" customFormat="1" ht="27.75">
      <c r="A110" s="1542" t="s">
        <v>219</v>
      </c>
      <c r="B110" s="1543"/>
      <c r="C110" s="1139"/>
      <c r="D110" s="622" t="s">
        <v>143</v>
      </c>
      <c r="E110" s="532">
        <f>'20'!F110</f>
        <v>64053</v>
      </c>
      <c r="F110" s="532">
        <v>64167</v>
      </c>
      <c r="G110" s="1350">
        <f>F110-E110</f>
        <v>114</v>
      </c>
      <c r="H110" s="460">
        <f>G110+'20'!H110</f>
        <v>429</v>
      </c>
      <c r="I110" s="532"/>
      <c r="J110" s="558">
        <f>H110/DAY(B2)</f>
        <v>20.428571428571427</v>
      </c>
      <c r="N110" s="444"/>
      <c r="O110" s="382"/>
    </row>
    <row r="111" spans="1:15" s="442" customFormat="1" ht="27.75">
      <c r="A111" s="1542" t="s">
        <v>220</v>
      </c>
      <c r="B111" s="1543"/>
      <c r="C111" s="1139"/>
      <c r="D111" s="622" t="s">
        <v>143</v>
      </c>
      <c r="E111" s="532">
        <f>'20'!F111</f>
        <v>32765</v>
      </c>
      <c r="F111" s="532">
        <v>32796</v>
      </c>
      <c r="G111" s="1350">
        <f t="shared" ref="G111:G112" si="13">F111-E111</f>
        <v>31</v>
      </c>
      <c r="H111" s="460">
        <f>G111+'20'!H111</f>
        <v>87</v>
      </c>
      <c r="I111" s="532"/>
      <c r="J111" s="558">
        <f>H111/DAY(B2)</f>
        <v>4.1428571428571432</v>
      </c>
      <c r="N111" s="444"/>
      <c r="O111" s="382"/>
    </row>
    <row r="112" spans="1:15" s="442" customFormat="1" ht="27.75">
      <c r="A112" s="1542" t="s">
        <v>221</v>
      </c>
      <c r="B112" s="1543"/>
      <c r="C112" s="1139"/>
      <c r="D112" s="622" t="s">
        <v>143</v>
      </c>
      <c r="E112" s="532">
        <f>'20'!F112</f>
        <v>4621</v>
      </c>
      <c r="F112" s="532">
        <v>4621</v>
      </c>
      <c r="G112" s="1350">
        <f t="shared" si="13"/>
        <v>0</v>
      </c>
      <c r="H112" s="460">
        <f>G112+'20'!H112</f>
        <v>152</v>
      </c>
      <c r="I112" s="532"/>
      <c r="J112" s="558">
        <f>H112/DAY(B2)</f>
        <v>7.2380952380952381</v>
      </c>
      <c r="N112" s="444"/>
      <c r="O112" s="382"/>
    </row>
    <row r="113" spans="1:15" s="442" customFormat="1" ht="27.75">
      <c r="A113" s="1574" t="s">
        <v>109</v>
      </c>
      <c r="B113" s="1575"/>
      <c r="C113" s="1139"/>
      <c r="D113" s="622"/>
      <c r="E113" s="532">
        <f>'20'!F113</f>
        <v>0</v>
      </c>
      <c r="F113" s="532"/>
      <c r="G113" s="1350">
        <f>SUM(G110:G112)</f>
        <v>145</v>
      </c>
      <c r="H113" s="460">
        <f>G113+'20'!H113</f>
        <v>1238</v>
      </c>
      <c r="I113" s="532"/>
      <c r="J113" s="558">
        <f>H113/DAY(B2)</f>
        <v>58.952380952380949</v>
      </c>
      <c r="N113" s="444"/>
      <c r="O113" s="382"/>
    </row>
    <row r="114" spans="1:15" s="442" customFormat="1" ht="27.75">
      <c r="A114" s="1547" t="s">
        <v>222</v>
      </c>
      <c r="B114" s="1548"/>
      <c r="C114" s="1139"/>
      <c r="D114" s="622"/>
      <c r="E114" s="532">
        <f>'20'!F114</f>
        <v>0</v>
      </c>
      <c r="F114" s="532"/>
      <c r="G114" s="1350"/>
      <c r="H114" s="460"/>
      <c r="I114" s="532"/>
      <c r="J114" s="558">
        <f>H114/DAY(B2)</f>
        <v>0</v>
      </c>
      <c r="N114" s="444"/>
      <c r="O114" s="382"/>
    </row>
    <row r="115" spans="1:15" s="442" customFormat="1" ht="27.75">
      <c r="A115" s="1542" t="s">
        <v>223</v>
      </c>
      <c r="B115" s="1543"/>
      <c r="C115" s="574"/>
      <c r="D115" s="622" t="s">
        <v>143</v>
      </c>
      <c r="E115" s="534">
        <f>'20'!F115</f>
        <v>11778</v>
      </c>
      <c r="F115" s="534">
        <v>11806</v>
      </c>
      <c r="G115" s="1351">
        <f>F115-E115</f>
        <v>28</v>
      </c>
      <c r="H115" s="460">
        <f>G115+'20'!H115</f>
        <v>88</v>
      </c>
      <c r="I115" s="532"/>
      <c r="J115" s="558">
        <f>H115/DAY(B2)</f>
        <v>4.1904761904761907</v>
      </c>
      <c r="N115" s="444"/>
      <c r="O115" s="382"/>
    </row>
    <row r="116" spans="1:15" s="442" customFormat="1" ht="27.75">
      <c r="A116" s="1542" t="s">
        <v>224</v>
      </c>
      <c r="B116" s="1543"/>
      <c r="C116" s="574"/>
      <c r="D116" s="622" t="s">
        <v>143</v>
      </c>
      <c r="E116" s="534">
        <f>'20'!F116</f>
        <v>8465</v>
      </c>
      <c r="F116" s="534">
        <v>8477</v>
      </c>
      <c r="G116" s="1351">
        <f t="shared" ref="G116:G117" si="14">F116-E116</f>
        <v>12</v>
      </c>
      <c r="H116" s="460">
        <f>G116+'20'!H116</f>
        <v>58</v>
      </c>
      <c r="I116" s="532"/>
      <c r="J116" s="558">
        <f>H116/DAY(B2)</f>
        <v>2.7619047619047619</v>
      </c>
      <c r="N116" s="444"/>
      <c r="O116" s="382"/>
    </row>
    <row r="117" spans="1:15" s="442" customFormat="1" ht="27.75">
      <c r="A117" s="1542" t="s">
        <v>225</v>
      </c>
      <c r="B117" s="1543"/>
      <c r="C117" s="574"/>
      <c r="D117" s="622" t="s">
        <v>143</v>
      </c>
      <c r="E117" s="534"/>
      <c r="F117" s="534"/>
      <c r="G117" s="1351">
        <f t="shared" si="14"/>
        <v>0</v>
      </c>
      <c r="H117" s="460">
        <f>G117+'20'!H117</f>
        <v>58</v>
      </c>
      <c r="I117" s="532"/>
      <c r="J117" s="558">
        <f>H117/DAY(B2)</f>
        <v>2.7619047619047619</v>
      </c>
      <c r="N117" s="444"/>
      <c r="O117" s="382"/>
    </row>
    <row r="118" spans="1:15" s="445" customFormat="1" ht="27.75">
      <c r="A118" s="1545" t="s">
        <v>201</v>
      </c>
      <c r="B118" s="1546"/>
      <c r="C118" s="574"/>
      <c r="D118" s="623"/>
      <c r="E118" s="534"/>
      <c r="F118" s="534"/>
      <c r="G118" s="1351">
        <f>SUM(G115:G117)</f>
        <v>40</v>
      </c>
      <c r="H118" s="460">
        <f>G118+'20'!H118</f>
        <v>168</v>
      </c>
      <c r="I118" s="534"/>
      <c r="J118" s="558">
        <f>H118/DAY(B2)</f>
        <v>8</v>
      </c>
      <c r="N118" s="447"/>
      <c r="O118" s="382"/>
    </row>
    <row r="119" spans="1:15" s="446" customFormat="1" ht="27.75">
      <c r="A119" s="1576" t="s">
        <v>226</v>
      </c>
      <c r="B119" s="1577"/>
      <c r="C119" s="1138"/>
      <c r="D119" s="624" t="s">
        <v>143</v>
      </c>
      <c r="E119" s="536"/>
      <c r="F119" s="536">
        <f>SUM(G19+G93)</f>
        <v>161</v>
      </c>
      <c r="G119" s="1351">
        <f>SUM(G19+G93)</f>
        <v>161</v>
      </c>
      <c r="H119" s="460">
        <f>G119+'20'!H119</f>
        <v>660</v>
      </c>
      <c r="I119" s="535"/>
      <c r="J119" s="559">
        <f>H119/DAY(B2)</f>
        <v>31.428571428571427</v>
      </c>
      <c r="N119" s="779"/>
      <c r="O119" s="382"/>
    </row>
    <row r="120" spans="1:15" s="446" customFormat="1" ht="27.75">
      <c r="A120" s="1576" t="s">
        <v>227</v>
      </c>
      <c r="B120" s="1577"/>
      <c r="C120" s="1138"/>
      <c r="D120" s="624" t="s">
        <v>143</v>
      </c>
      <c r="E120" s="536"/>
      <c r="F120" s="536">
        <f>SUM(G96,G97,G98,G100,G101)</f>
        <v>150</v>
      </c>
      <c r="G120" s="1351">
        <f>SUM(G96,G97,G98,G100,G101)</f>
        <v>150</v>
      </c>
      <c r="H120" s="460">
        <f>G120+'20'!H120</f>
        <v>648</v>
      </c>
      <c r="I120" s="535"/>
      <c r="J120" s="559">
        <f>H120/DAY(B2)</f>
        <v>30.857142857142858</v>
      </c>
      <c r="N120" s="779"/>
      <c r="O120" s="382"/>
    </row>
    <row r="121" spans="1:15" s="446" customFormat="1" ht="27.75">
      <c r="A121" s="1576" t="s">
        <v>228</v>
      </c>
      <c r="B121" s="1577"/>
      <c r="C121" s="1138"/>
      <c r="D121" s="624" t="s">
        <v>143</v>
      </c>
      <c r="E121" s="534"/>
      <c r="F121" s="534">
        <f>SUM(G113)</f>
        <v>145</v>
      </c>
      <c r="G121" s="1351">
        <f>SUM(G113)</f>
        <v>145</v>
      </c>
      <c r="H121" s="460">
        <f>G121+'20'!H121</f>
        <v>415</v>
      </c>
      <c r="I121" s="535"/>
      <c r="J121" s="559">
        <f>H121/DAY(B2)</f>
        <v>19.761904761904763</v>
      </c>
      <c r="N121" s="779"/>
      <c r="O121" s="382"/>
    </row>
    <row r="122" spans="1:15" s="442" customFormat="1" ht="27.75">
      <c r="A122" s="1578"/>
      <c r="B122" s="1579"/>
      <c r="C122" s="1139"/>
      <c r="D122" s="560"/>
      <c r="E122" s="560"/>
      <c r="F122" s="560" t="s">
        <v>214</v>
      </c>
      <c r="G122" s="1352"/>
      <c r="H122" s="561">
        <v>0</v>
      </c>
      <c r="I122" s="560"/>
      <c r="J122" s="562"/>
      <c r="N122" s="444"/>
      <c r="O122" s="382"/>
    </row>
    <row r="123" spans="1:15">
      <c r="A123" s="1528" t="s">
        <v>229</v>
      </c>
      <c r="B123" s="1529"/>
      <c r="C123" s="1530"/>
      <c r="D123" s="472"/>
      <c r="E123" s="472"/>
      <c r="F123" s="472"/>
      <c r="G123" s="1336"/>
      <c r="H123" s="483">
        <v>0</v>
      </c>
      <c r="I123" s="483"/>
      <c r="J123" s="563"/>
      <c r="K123" s="380"/>
      <c r="L123" s="377"/>
      <c r="N123" s="382"/>
      <c r="O123" s="382"/>
    </row>
    <row r="124" spans="1:15" ht="27.75">
      <c r="A124" s="1141" t="s">
        <v>230</v>
      </c>
      <c r="B124" s="1142"/>
      <c r="C124" s="1142"/>
      <c r="D124" s="523" t="s">
        <v>140</v>
      </c>
      <c r="E124" s="478">
        <f>'20'!F124</f>
        <v>836889.21</v>
      </c>
      <c r="F124" s="478">
        <v>837160</v>
      </c>
      <c r="G124" s="1333">
        <f t="shared" ref="G124:G128" si="15">F124-E124</f>
        <v>270.79000000003725</v>
      </c>
      <c r="H124" s="460">
        <f>G124+'20'!H124</f>
        <v>4794</v>
      </c>
      <c r="I124" s="526"/>
      <c r="J124" s="552">
        <f>H124/DAY(B2)</f>
        <v>228.28571428571428</v>
      </c>
      <c r="K124" s="380"/>
      <c r="L124" s="377"/>
      <c r="N124" s="382"/>
      <c r="O124" s="382"/>
    </row>
    <row r="125" spans="1:15" ht="27.75">
      <c r="A125" s="1141" t="s">
        <v>231</v>
      </c>
      <c r="B125" s="1142"/>
      <c r="C125" s="1142"/>
      <c r="D125" s="523" t="s">
        <v>140</v>
      </c>
      <c r="E125" s="626">
        <f>'20'!F125</f>
        <v>73583.399999999994</v>
      </c>
      <c r="F125" s="626">
        <v>73583.399999999994</v>
      </c>
      <c r="G125" s="1333">
        <f t="shared" si="15"/>
        <v>0</v>
      </c>
      <c r="H125" s="460">
        <f>G125+'20'!H125</f>
        <v>0</v>
      </c>
      <c r="I125" s="526"/>
      <c r="J125" s="552">
        <f>H125/DAY(B2)</f>
        <v>0</v>
      </c>
      <c r="K125" s="380"/>
      <c r="L125" s="377"/>
      <c r="N125" s="382"/>
      <c r="O125" s="382"/>
    </row>
    <row r="126" spans="1:15" ht="27.75">
      <c r="A126" s="1534" t="s">
        <v>232</v>
      </c>
      <c r="B126" s="1535"/>
      <c r="C126" s="1536"/>
      <c r="D126" s="523" t="s">
        <v>140</v>
      </c>
      <c r="E126" s="478">
        <f>'20'!F126</f>
        <v>147815.85</v>
      </c>
      <c r="F126" s="478">
        <v>147886.95000000001</v>
      </c>
      <c r="G126" s="1333">
        <f t="shared" si="15"/>
        <v>71.100000000005821</v>
      </c>
      <c r="H126" s="460">
        <f>G126+'20'!H126</f>
        <v>1395.9500000000116</v>
      </c>
      <c r="I126" s="526"/>
      <c r="J126" s="552">
        <f>H126/DAY(B2)</f>
        <v>66.473809523810075</v>
      </c>
      <c r="K126" s="380"/>
      <c r="L126" s="377"/>
      <c r="N126" s="382"/>
      <c r="O126" s="382"/>
    </row>
    <row r="127" spans="1:15" ht="27.75">
      <c r="A127" s="609" t="s">
        <v>233</v>
      </c>
      <c r="B127" s="1142"/>
      <c r="C127" s="1142"/>
      <c r="D127" s="523" t="s">
        <v>140</v>
      </c>
      <c r="E127" s="626">
        <f>'20'!F127</f>
        <v>31718.400000000001</v>
      </c>
      <c r="F127" s="626">
        <v>31757</v>
      </c>
      <c r="G127" s="1333">
        <f t="shared" si="15"/>
        <v>38.599999999998545</v>
      </c>
      <c r="H127" s="460">
        <f>G127+'20'!H127</f>
        <v>351</v>
      </c>
      <c r="I127" s="526"/>
      <c r="J127" s="552">
        <f>H127/DAY(B2)</f>
        <v>16.714285714285715</v>
      </c>
      <c r="K127" s="380"/>
      <c r="L127" s="377"/>
      <c r="N127" s="382"/>
      <c r="O127" s="382"/>
    </row>
    <row r="128" spans="1:15" ht="27.75">
      <c r="A128" s="609" t="s">
        <v>234</v>
      </c>
      <c r="B128" s="1142"/>
      <c r="C128" s="1142"/>
      <c r="D128" s="523" t="s">
        <v>140</v>
      </c>
      <c r="E128" s="626">
        <f>'20'!F128</f>
        <v>8982.5</v>
      </c>
      <c r="F128" s="626">
        <v>8983.1</v>
      </c>
      <c r="G128" s="1333">
        <f t="shared" si="15"/>
        <v>0.6000000000003638</v>
      </c>
      <c r="H128" s="460">
        <f>G128+'20'!H128</f>
        <v>11.100000000000364</v>
      </c>
      <c r="I128" s="480"/>
      <c r="J128" s="552">
        <f>H128/DAY(B2)</f>
        <v>0.5285714285714459</v>
      </c>
      <c r="K128" s="380"/>
      <c r="L128" s="377"/>
      <c r="N128" s="382"/>
      <c r="O128" s="382"/>
    </row>
    <row r="129" spans="1:15" s="281" customFormat="1" ht="27.75">
      <c r="A129" s="609" t="s">
        <v>235</v>
      </c>
      <c r="B129" s="1142"/>
      <c r="C129" s="1142"/>
      <c r="D129" s="523"/>
      <c r="E129" s="478"/>
      <c r="F129" s="478"/>
      <c r="G129" s="1333">
        <f>G15-SUM(G124:G128)</f>
        <v>574.79999999985557</v>
      </c>
      <c r="H129" s="460">
        <f>G129+'20'!H129</f>
        <v>2501.8399999998855</v>
      </c>
      <c r="I129" s="480"/>
      <c r="J129" s="552">
        <f>H129/DAY(B2)</f>
        <v>119.13523809523265</v>
      </c>
      <c r="K129" s="364"/>
      <c r="L129" s="292"/>
      <c r="N129" s="365"/>
      <c r="O129" s="382"/>
    </row>
    <row r="130" spans="1:15">
      <c r="A130" s="610" t="s">
        <v>236</v>
      </c>
      <c r="B130" s="458"/>
      <c r="C130" s="458"/>
      <c r="D130" s="471"/>
      <c r="E130" s="471"/>
      <c r="F130" s="471"/>
      <c r="G130" s="1353"/>
      <c r="H130" s="540"/>
      <c r="I130" s="540"/>
      <c r="J130" s="564"/>
      <c r="N130" s="382"/>
      <c r="O130" s="382"/>
    </row>
    <row r="131" spans="1:15" ht="27.75">
      <c r="A131" s="1141" t="s">
        <v>237</v>
      </c>
      <c r="B131" s="1142"/>
      <c r="C131" s="1142"/>
      <c r="D131" s="523" t="s">
        <v>238</v>
      </c>
      <c r="E131" s="484">
        <f>'20'!F131</f>
        <v>0</v>
      </c>
      <c r="F131" s="484">
        <v>0</v>
      </c>
      <c r="G131" s="1333">
        <f t="shared" ref="G131:G141" si="16">F131-E131</f>
        <v>0</v>
      </c>
      <c r="H131" s="460">
        <f>G131+'20'!H131</f>
        <v>0</v>
      </c>
      <c r="I131" s="480"/>
      <c r="J131" s="552">
        <f>H131/DAY(B2)</f>
        <v>0</v>
      </c>
      <c r="N131" s="382"/>
      <c r="O131" s="382"/>
    </row>
    <row r="132" spans="1:15" ht="27.75">
      <c r="A132" s="1141" t="s">
        <v>239</v>
      </c>
      <c r="B132" s="1142"/>
      <c r="C132" s="1142"/>
      <c r="D132" s="523" t="s">
        <v>238</v>
      </c>
      <c r="E132" s="484">
        <f>'20'!F132</f>
        <v>0</v>
      </c>
      <c r="F132" s="484">
        <v>0</v>
      </c>
      <c r="G132" s="1333">
        <f t="shared" si="16"/>
        <v>0</v>
      </c>
      <c r="H132" s="460">
        <f>G132+'20'!H132</f>
        <v>0</v>
      </c>
      <c r="I132" s="480"/>
      <c r="J132" s="552">
        <f>H132/DAY(B2)</f>
        <v>0</v>
      </c>
      <c r="N132" s="382"/>
      <c r="O132" s="382"/>
    </row>
    <row r="133" spans="1:15" ht="27.75">
      <c r="A133" s="1141" t="s">
        <v>240</v>
      </c>
      <c r="B133" s="1142"/>
      <c r="C133" s="1142"/>
      <c r="D133" s="523" t="s">
        <v>238</v>
      </c>
      <c r="E133" s="541">
        <f>'20'!F133</f>
        <v>40311.07</v>
      </c>
      <c r="F133" s="541">
        <v>40335.1</v>
      </c>
      <c r="G133" s="1333">
        <f t="shared" si="16"/>
        <v>24.029999999998836</v>
      </c>
      <c r="H133" s="460">
        <f>G133+'20'!H133</f>
        <v>300</v>
      </c>
      <c r="I133" s="480"/>
      <c r="J133" s="552">
        <f>H133/DAY(B2)</f>
        <v>14.285714285714286</v>
      </c>
      <c r="N133" s="382"/>
      <c r="O133" s="382"/>
    </row>
    <row r="134" spans="1:15" s="441" customFormat="1" ht="27.75">
      <c r="A134" s="1071" t="s">
        <v>241</v>
      </c>
      <c r="B134" s="1072"/>
      <c r="C134" s="1072"/>
      <c r="D134" s="627" t="s">
        <v>238</v>
      </c>
      <c r="E134" s="541">
        <f>'20'!F134</f>
        <v>300</v>
      </c>
      <c r="F134" s="541">
        <v>300</v>
      </c>
      <c r="G134" s="1354">
        <f t="shared" si="16"/>
        <v>0</v>
      </c>
      <c r="H134" s="706">
        <f>G134+'20'!H134</f>
        <v>0</v>
      </c>
      <c r="I134" s="1073">
        <f>G131+G132+G133+G134</f>
        <v>24.029999999998836</v>
      </c>
      <c r="J134" s="708">
        <f>H134/DAY(B2)</f>
        <v>0</v>
      </c>
      <c r="N134" s="714"/>
      <c r="O134" s="714"/>
    </row>
    <row r="135" spans="1:15" ht="27.75">
      <c r="A135" s="1141" t="s">
        <v>242</v>
      </c>
      <c r="B135" s="1142"/>
      <c r="C135" s="1142"/>
      <c r="D135" s="523" t="s">
        <v>238</v>
      </c>
      <c r="E135" s="541">
        <f>'20'!F135</f>
        <v>41818.04</v>
      </c>
      <c r="F135" s="541">
        <v>41826.050000000003</v>
      </c>
      <c r="G135" s="1333">
        <f t="shared" si="16"/>
        <v>8.0100000000020373</v>
      </c>
      <c r="H135" s="460">
        <f>G135+'20'!H135</f>
        <v>96.05000000000291</v>
      </c>
      <c r="I135" s="480"/>
      <c r="J135" s="552">
        <f>H135/DAY(B2)</f>
        <v>4.5738095238096621</v>
      </c>
      <c r="N135" s="382"/>
      <c r="O135" s="382"/>
    </row>
    <row r="136" spans="1:15" ht="27.75">
      <c r="A136" s="1141" t="s">
        <v>243</v>
      </c>
      <c r="B136" s="1142"/>
      <c r="C136" s="1142"/>
      <c r="D136" s="523" t="s">
        <v>238</v>
      </c>
      <c r="E136" s="541">
        <f>'20'!F136</f>
        <v>32874.050000000003</v>
      </c>
      <c r="F136" s="541">
        <v>32874.050000000003</v>
      </c>
      <c r="G136" s="1333">
        <f t="shared" si="16"/>
        <v>0</v>
      </c>
      <c r="H136" s="460">
        <f>G136+'20'!H136</f>
        <v>159.05000000000291</v>
      </c>
      <c r="I136" s="480"/>
      <c r="J136" s="552">
        <f>H136/DAY(B2)</f>
        <v>7.5738095238096621</v>
      </c>
      <c r="N136" s="382"/>
      <c r="O136" s="382"/>
    </row>
    <row r="137" spans="1:15" ht="27.75">
      <c r="A137" s="1141" t="s">
        <v>244</v>
      </c>
      <c r="B137" s="1142"/>
      <c r="C137" s="1142"/>
      <c r="D137" s="523" t="s">
        <v>238</v>
      </c>
      <c r="E137" s="541">
        <f>'20'!F137</f>
        <v>22859.1</v>
      </c>
      <c r="F137" s="541">
        <v>22859.1</v>
      </c>
      <c r="G137" s="1333">
        <f t="shared" si="16"/>
        <v>0</v>
      </c>
      <c r="H137" s="460">
        <f>G137+'20'!H137</f>
        <v>51.859999999996944</v>
      </c>
      <c r="I137" s="480">
        <f>G135+G136+G137</f>
        <v>8.0100000000020373</v>
      </c>
      <c r="J137" s="552">
        <f>H137/DAY(B2)</f>
        <v>2.4695238095236638</v>
      </c>
      <c r="N137" s="382"/>
      <c r="O137" s="382"/>
    </row>
    <row r="138" spans="1:15" ht="27.75">
      <c r="A138" s="1141" t="s">
        <v>245</v>
      </c>
      <c r="B138" s="1142"/>
      <c r="C138" s="1142"/>
      <c r="D138" s="523" t="s">
        <v>238</v>
      </c>
      <c r="E138" s="541">
        <f>'20'!F138</f>
        <v>25071.15</v>
      </c>
      <c r="F138" s="541">
        <v>25081.89</v>
      </c>
      <c r="G138" s="1333">
        <f t="shared" si="16"/>
        <v>10.739999999997963</v>
      </c>
      <c r="H138" s="460">
        <f>G138+'20'!H138</f>
        <v>30.069999999999709</v>
      </c>
      <c r="I138" s="480"/>
      <c r="J138" s="552">
        <f>H138/DAY(B2)</f>
        <v>1.431904761904748</v>
      </c>
      <c r="N138" s="382"/>
      <c r="O138" s="382"/>
    </row>
    <row r="139" spans="1:15" ht="27.75">
      <c r="A139" s="1141" t="s">
        <v>246</v>
      </c>
      <c r="B139" s="1142"/>
      <c r="C139" s="1142"/>
      <c r="D139" s="523" t="s">
        <v>238</v>
      </c>
      <c r="E139" s="541">
        <f>'20'!F139</f>
        <v>70487.08</v>
      </c>
      <c r="F139" s="541">
        <v>70487.08</v>
      </c>
      <c r="G139" s="1333">
        <f t="shared" si="16"/>
        <v>0</v>
      </c>
      <c r="H139" s="460">
        <f>G139+'20'!H139</f>
        <v>75.339999999996508</v>
      </c>
      <c r="I139" s="480">
        <f>G138+G139</f>
        <v>10.739999999997963</v>
      </c>
      <c r="J139" s="552">
        <f>H139/DAY(B2)</f>
        <v>3.5876190476188814</v>
      </c>
      <c r="N139" s="382"/>
      <c r="O139" s="382"/>
    </row>
    <row r="140" spans="1:15" ht="27.75">
      <c r="A140" s="1141" t="s">
        <v>247</v>
      </c>
      <c r="B140" s="1142"/>
      <c r="C140" s="1142"/>
      <c r="D140" s="523" t="s">
        <v>238</v>
      </c>
      <c r="E140" s="484">
        <f>'20'!F140</f>
        <v>2026.02</v>
      </c>
      <c r="F140" s="484">
        <v>2036.18</v>
      </c>
      <c r="G140" s="1333">
        <f t="shared" si="16"/>
        <v>10.160000000000082</v>
      </c>
      <c r="H140" s="460">
        <f>G140+'20'!H140</f>
        <v>181.88000000000011</v>
      </c>
      <c r="I140" s="542"/>
      <c r="J140" s="552">
        <f>H140/DAY(B2)</f>
        <v>8.6609523809523861</v>
      </c>
      <c r="N140" s="382"/>
      <c r="O140" s="382"/>
    </row>
    <row r="141" spans="1:15" ht="27.75">
      <c r="A141" s="1141" t="s">
        <v>248</v>
      </c>
      <c r="B141" s="1142"/>
      <c r="C141" s="1142"/>
      <c r="D141" s="523" t="s">
        <v>238</v>
      </c>
      <c r="E141" s="484">
        <f>'20'!F141</f>
        <v>4636.88</v>
      </c>
      <c r="F141" s="484">
        <v>4636.88</v>
      </c>
      <c r="G141" s="1333">
        <f t="shared" si="16"/>
        <v>0</v>
      </c>
      <c r="H141" s="460">
        <f>G141+'20'!H141</f>
        <v>-0.11999999999989086</v>
      </c>
      <c r="I141" s="542"/>
      <c r="J141" s="552">
        <f>H141/DAY(B2)</f>
        <v>-5.714285714280517E-3</v>
      </c>
      <c r="N141" s="382"/>
      <c r="O141" s="382"/>
    </row>
    <row r="142" spans="1:15">
      <c r="A142" s="1572" t="s">
        <v>249</v>
      </c>
      <c r="B142" s="1573"/>
      <c r="C142" s="1147"/>
      <c r="D142" s="472"/>
      <c r="E142" s="472"/>
      <c r="F142" s="472"/>
      <c r="G142" s="1336"/>
      <c r="H142" s="483"/>
      <c r="I142" s="483"/>
      <c r="J142" s="563"/>
      <c r="K142" s="380"/>
      <c r="L142" s="377"/>
      <c r="N142" s="382"/>
      <c r="O142" s="382"/>
    </row>
    <row r="143" spans="1:15" ht="27.75">
      <c r="A143" s="1537" t="s">
        <v>250</v>
      </c>
      <c r="B143" s="1538"/>
      <c r="C143" s="1539"/>
      <c r="D143" s="523" t="s">
        <v>131</v>
      </c>
      <c r="E143" s="523"/>
      <c r="F143" s="523"/>
      <c r="G143" s="1346">
        <f>G35+G43+G49+G57</f>
        <v>5622.1999999999534</v>
      </c>
      <c r="H143" s="460">
        <f>G143+'20'!H143</f>
        <v>104143.56999999995</v>
      </c>
      <c r="I143" s="480"/>
      <c r="J143" s="552">
        <f>H143/DAY(B2)</f>
        <v>4959.2176190476166</v>
      </c>
      <c r="K143" s="380"/>
      <c r="L143" s="377"/>
      <c r="N143" s="382"/>
      <c r="O143" s="382"/>
    </row>
    <row r="144" spans="1:15" ht="27.75">
      <c r="A144" s="1537" t="s">
        <v>251</v>
      </c>
      <c r="B144" s="1538"/>
      <c r="C144" s="1539"/>
      <c r="D144" s="523" t="s">
        <v>24</v>
      </c>
      <c r="E144" s="511"/>
      <c r="F144" s="511"/>
      <c r="G144" s="1355">
        <f>G143/G7</f>
        <v>0.25725806156402653</v>
      </c>
      <c r="H144" s="460">
        <f>G144+'20'!H144</f>
        <v>5.6075456169350293</v>
      </c>
      <c r="I144" s="544"/>
      <c r="J144" s="552">
        <f>H144/DAY(B2)</f>
        <v>0.26702598175881093</v>
      </c>
      <c r="K144" s="380"/>
      <c r="L144" s="377"/>
      <c r="N144" s="382"/>
      <c r="O144" s="382"/>
    </row>
    <row r="145" spans="1:15" ht="27.75">
      <c r="A145" s="1537" t="s">
        <v>252</v>
      </c>
      <c r="B145" s="1538"/>
      <c r="C145" s="1539"/>
      <c r="D145" s="523" t="s">
        <v>131</v>
      </c>
      <c r="E145" s="455"/>
      <c r="F145" s="455"/>
      <c r="G145" s="1346">
        <f>G41+G42+G55+G56</f>
        <v>6708.1100000000006</v>
      </c>
      <c r="H145" s="460">
        <f>G145+'20'!H145</f>
        <v>116336.20999999999</v>
      </c>
      <c r="I145" s="480"/>
      <c r="J145" s="552">
        <f>H145/DAY(B2)</f>
        <v>5539.8195238095232</v>
      </c>
      <c r="K145" s="380"/>
      <c r="L145" s="377"/>
      <c r="N145" s="382"/>
      <c r="O145" s="382"/>
    </row>
    <row r="146" spans="1:15" ht="27.75">
      <c r="A146" s="1537" t="s">
        <v>253</v>
      </c>
      <c r="B146" s="1538"/>
      <c r="C146" s="1539"/>
      <c r="D146" s="523" t="s">
        <v>24</v>
      </c>
      <c r="E146" s="455"/>
      <c r="F146" s="455"/>
      <c r="G146" s="1355">
        <f>G145/G7</f>
        <v>0.3069466357223643</v>
      </c>
      <c r="H146" s="460">
        <f>G146+'20'!H146</f>
        <v>6.2129302714417785</v>
      </c>
      <c r="I146" s="544"/>
      <c r="J146" s="552">
        <f>H146/DAY(B2)</f>
        <v>0.29585382244960851</v>
      </c>
      <c r="K146" s="380"/>
      <c r="L146" s="377"/>
      <c r="N146" s="382"/>
      <c r="O146" s="382"/>
    </row>
    <row r="147" spans="1:15" ht="27.75">
      <c r="A147" s="1537" t="s">
        <v>254</v>
      </c>
      <c r="B147" s="1538"/>
      <c r="C147" s="1539"/>
      <c r="D147" s="523" t="s">
        <v>131</v>
      </c>
      <c r="E147" s="455"/>
      <c r="F147" s="455"/>
      <c r="G147" s="1346">
        <f>G39+G53</f>
        <v>3562.5200000000186</v>
      </c>
      <c r="H147" s="460">
        <f>G147+'20'!H147</f>
        <v>65960.580000000016</v>
      </c>
      <c r="I147" s="545"/>
      <c r="J147" s="552">
        <f>H147/DAY(B2)</f>
        <v>3140.9800000000009</v>
      </c>
      <c r="K147" s="380"/>
      <c r="L147" s="377"/>
      <c r="N147" s="382"/>
      <c r="O147" s="382"/>
    </row>
    <row r="148" spans="1:15" ht="27.75">
      <c r="A148" s="1537" t="s">
        <v>255</v>
      </c>
      <c r="B148" s="1538"/>
      <c r="C148" s="1539"/>
      <c r="D148" s="523" t="s">
        <v>24</v>
      </c>
      <c r="E148" s="455"/>
      <c r="F148" s="455"/>
      <c r="G148" s="1355">
        <f>G147/G7</f>
        <v>0.16301216418538797</v>
      </c>
      <c r="H148" s="460">
        <f>G148+'20'!H148</f>
        <v>3.5389818726194555</v>
      </c>
      <c r="I148" s="545"/>
      <c r="J148" s="552">
        <f>H148/DAY(B2)</f>
        <v>0.16852294631521217</v>
      </c>
      <c r="N148" s="382"/>
      <c r="O148" s="382"/>
    </row>
    <row r="149" spans="1:15" ht="27.75">
      <c r="A149" s="1537" t="s">
        <v>256</v>
      </c>
      <c r="B149" s="1538"/>
      <c r="C149" s="1539"/>
      <c r="D149" s="523" t="s">
        <v>182</v>
      </c>
      <c r="E149" s="455"/>
      <c r="F149" s="455"/>
      <c r="G149" s="1346">
        <f>G38+G52</f>
        <v>1628.320000000007</v>
      </c>
      <c r="H149" s="460">
        <f>G149+'20'!H149</f>
        <v>27932.819999999949</v>
      </c>
      <c r="I149" s="480"/>
      <c r="J149" s="552">
        <f>H149/DAY(B2)</f>
        <v>1330.1342857142834</v>
      </c>
      <c r="K149" s="381"/>
      <c r="N149" s="382"/>
      <c r="O149" s="382"/>
    </row>
    <row r="150" spans="1:15" ht="27.75">
      <c r="A150" s="1537" t="s">
        <v>257</v>
      </c>
      <c r="B150" s="1538"/>
      <c r="C150" s="1539"/>
      <c r="D150" s="523" t="s">
        <v>24</v>
      </c>
      <c r="E150" s="455"/>
      <c r="F150" s="455"/>
      <c r="G150" s="1355">
        <f>G149/G7</f>
        <v>7.4507923376247912E-2</v>
      </c>
      <c r="H150" s="460">
        <f>G150+'20'!H150</f>
        <v>1.4948174001542747</v>
      </c>
      <c r="I150" s="545"/>
      <c r="J150" s="552">
        <f>H150/DAY(B2)</f>
        <v>7.1181780959727367E-2</v>
      </c>
      <c r="N150" s="382"/>
      <c r="O150" s="382"/>
    </row>
    <row r="151" spans="1:15" ht="27.75">
      <c r="A151" s="1537" t="s">
        <v>258</v>
      </c>
      <c r="B151" s="1538"/>
      <c r="C151" s="1539"/>
      <c r="D151" s="523" t="s">
        <v>182</v>
      </c>
      <c r="E151" s="455"/>
      <c r="F151" s="455"/>
      <c r="G151" s="1346">
        <f>G36+G50</f>
        <v>2232.4799999999523</v>
      </c>
      <c r="H151" s="460">
        <f>G151+'20'!H151</f>
        <v>35845.97999999996</v>
      </c>
      <c r="I151" s="545"/>
      <c r="J151" s="552">
        <f>H151/DAY(B2)</f>
        <v>1706.9514285714267</v>
      </c>
      <c r="N151" s="382"/>
      <c r="O151" s="382"/>
    </row>
    <row r="152" spans="1:15" ht="27.75">
      <c r="A152" s="1537" t="s">
        <v>259</v>
      </c>
      <c r="B152" s="1538"/>
      <c r="C152" s="1539"/>
      <c r="D152" s="523" t="s">
        <v>24</v>
      </c>
      <c r="E152" s="455"/>
      <c r="F152" s="455"/>
      <c r="G152" s="1355">
        <f>G151/G7</f>
        <v>0.10215280091075565</v>
      </c>
      <c r="H152" s="460">
        <f>G152+'20'!H152</f>
        <v>1.9006948792655756</v>
      </c>
      <c r="I152" s="480"/>
      <c r="J152" s="552">
        <f>H152/DAY(B2)</f>
        <v>9.0509279965027403E-2</v>
      </c>
      <c r="N152" s="382"/>
      <c r="O152" s="382"/>
    </row>
    <row r="153" spans="1:15" ht="27.75">
      <c r="A153" s="1537" t="s">
        <v>260</v>
      </c>
      <c r="B153" s="1538"/>
      <c r="C153" s="1539"/>
      <c r="D153" s="523" t="s">
        <v>182</v>
      </c>
      <c r="E153" s="455"/>
      <c r="F153" s="455"/>
      <c r="G153" s="1346">
        <f>G37+G51</f>
        <v>1488.1700000000128</v>
      </c>
      <c r="H153" s="460">
        <f>G153+'20'!H153</f>
        <v>29140.089999999997</v>
      </c>
      <c r="I153" s="480"/>
      <c r="J153" s="552">
        <f>H153/DAY(B2)</f>
        <v>1387.6233333333332</v>
      </c>
      <c r="N153" s="382"/>
      <c r="O153" s="382"/>
    </row>
    <row r="154" spans="1:15" ht="28.5" thickBot="1">
      <c r="A154" s="1569" t="s">
        <v>261</v>
      </c>
      <c r="B154" s="1570"/>
      <c r="C154" s="1571"/>
      <c r="D154" s="625" t="s">
        <v>24</v>
      </c>
      <c r="E154" s="565"/>
      <c r="F154" s="565"/>
      <c r="G154" s="1356">
        <f>G153/G7</f>
        <v>6.8095003642300853E-2</v>
      </c>
      <c r="H154" s="460">
        <f>G154+'20'!H154</f>
        <v>1.5712717349055625</v>
      </c>
      <c r="I154" s="568"/>
      <c r="J154" s="569">
        <f>H154/DAY(B2)</f>
        <v>7.4822463566931549E-2</v>
      </c>
      <c r="N154" s="382"/>
      <c r="O154" s="382"/>
    </row>
    <row r="155" spans="1:15">
      <c r="A155" s="466"/>
      <c r="B155" s="456"/>
      <c r="C155" s="456"/>
      <c r="D155" s="546"/>
      <c r="E155" s="546"/>
      <c r="F155" s="546"/>
      <c r="G155" s="1357"/>
      <c r="H155" s="547"/>
      <c r="I155" s="546"/>
      <c r="J155" s="548"/>
      <c r="O155" s="382"/>
    </row>
    <row r="161" spans="1:12">
      <c r="A161" s="785" t="s">
        <v>262</v>
      </c>
      <c r="B161" s="786"/>
      <c r="C161" s="786"/>
      <c r="D161" s="511" t="s">
        <v>186</v>
      </c>
      <c r="E161" s="659">
        <f>'20'!F161</f>
        <v>40041.760000000002</v>
      </c>
      <c r="F161" s="659">
        <v>40121.879999999997</v>
      </c>
      <c r="G161" s="1333">
        <f t="shared" ref="G161:G164" si="17">F161-E161</f>
        <v>80.119999999995343</v>
      </c>
      <c r="K161" s="376">
        <v>68.829999999999927</v>
      </c>
      <c r="L161" s="376">
        <f t="shared" ref="L161:L172" si="18">G161-K161</f>
        <v>11.289999999995416</v>
      </c>
    </row>
    <row r="162" spans="1:12">
      <c r="A162" s="785" t="s">
        <v>263</v>
      </c>
      <c r="B162" s="786"/>
      <c r="C162" s="786"/>
      <c r="D162" s="511" t="s">
        <v>186</v>
      </c>
      <c r="E162" s="659">
        <f>'20'!F162</f>
        <v>103252.73</v>
      </c>
      <c r="F162" s="659">
        <v>103701.59</v>
      </c>
      <c r="G162" s="1333">
        <f t="shared" si="17"/>
        <v>448.86000000000058</v>
      </c>
      <c r="K162" s="376">
        <v>122.46000000000004</v>
      </c>
      <c r="L162" s="376">
        <f t="shared" si="18"/>
        <v>326.40000000000055</v>
      </c>
    </row>
    <row r="163" spans="1:12">
      <c r="A163" s="785" t="s">
        <v>264</v>
      </c>
      <c r="B163" s="786"/>
      <c r="C163" s="786"/>
      <c r="D163" s="511" t="s">
        <v>186</v>
      </c>
      <c r="E163" s="659">
        <f>'20'!F163</f>
        <v>49146.86</v>
      </c>
      <c r="F163" s="659">
        <v>49379.37</v>
      </c>
      <c r="G163" s="1333">
        <f t="shared" si="17"/>
        <v>232.51000000000204</v>
      </c>
      <c r="K163" s="376">
        <v>139.42000000000007</v>
      </c>
      <c r="L163" s="376">
        <f t="shared" si="18"/>
        <v>93.090000000001965</v>
      </c>
    </row>
    <row r="164" spans="1:12">
      <c r="A164" s="785" t="s">
        <v>265</v>
      </c>
      <c r="B164" s="786"/>
      <c r="C164" s="786"/>
      <c r="D164" s="511" t="s">
        <v>186</v>
      </c>
      <c r="E164" s="659">
        <f>'20'!F164</f>
        <v>6746.63</v>
      </c>
      <c r="F164" s="659">
        <v>6758.52</v>
      </c>
      <c r="G164" s="1333">
        <f t="shared" si="17"/>
        <v>11.890000000000327</v>
      </c>
      <c r="K164" s="376">
        <v>49.659999999999968</v>
      </c>
      <c r="L164" s="376">
        <f t="shared" si="18"/>
        <v>-37.769999999999641</v>
      </c>
    </row>
    <row r="165" spans="1:12">
      <c r="A165" s="787" t="s">
        <v>97</v>
      </c>
      <c r="B165" s="604"/>
      <c r="C165" s="604"/>
      <c r="D165" s="511" t="s">
        <v>186</v>
      </c>
      <c r="E165" s="514">
        <f>E62</f>
        <v>20419.2</v>
      </c>
      <c r="F165" s="514">
        <f>F62</f>
        <v>20419.2</v>
      </c>
      <c r="G165" s="1333">
        <f t="shared" ref="G165:G172" si="19">F165-E165</f>
        <v>0</v>
      </c>
      <c r="K165" s="376">
        <v>0</v>
      </c>
      <c r="L165" s="376">
        <f t="shared" si="18"/>
        <v>0</v>
      </c>
    </row>
    <row r="166" spans="1:12">
      <c r="A166" s="787" t="s">
        <v>187</v>
      </c>
      <c r="B166" s="604"/>
      <c r="C166" s="604"/>
      <c r="D166" s="511" t="s">
        <v>186</v>
      </c>
      <c r="E166" s="514">
        <f t="shared" ref="E166:E172" si="20">E63</f>
        <v>0</v>
      </c>
      <c r="F166" s="514">
        <f t="shared" ref="F166:F172" si="21">F63</f>
        <v>0</v>
      </c>
      <c r="G166" s="1333">
        <f t="shared" si="19"/>
        <v>0</v>
      </c>
      <c r="K166" s="376">
        <v>0</v>
      </c>
      <c r="L166" s="376">
        <f t="shared" si="18"/>
        <v>0</v>
      </c>
    </row>
    <row r="167" spans="1:12" ht="27.75">
      <c r="A167" s="1586" t="s">
        <v>98</v>
      </c>
      <c r="B167" s="1586"/>
      <c r="C167" s="1586"/>
      <c r="D167" s="523" t="s">
        <v>186</v>
      </c>
      <c r="E167" s="514">
        <f t="shared" si="20"/>
        <v>166237.26999999999</v>
      </c>
      <c r="F167" s="514">
        <f t="shared" si="21"/>
        <v>166627.75</v>
      </c>
      <c r="G167" s="1333">
        <f t="shared" si="19"/>
        <v>390.48000000001048</v>
      </c>
      <c r="K167" s="376">
        <v>201.76000000000204</v>
      </c>
      <c r="L167" s="376">
        <f t="shared" si="18"/>
        <v>188.72000000000844</v>
      </c>
    </row>
    <row r="168" spans="1:12" ht="27.75">
      <c r="A168" s="1586" t="s">
        <v>99</v>
      </c>
      <c r="B168" s="1586"/>
      <c r="C168" s="1586"/>
      <c r="D168" s="523" t="s">
        <v>186</v>
      </c>
      <c r="E168" s="514">
        <f t="shared" si="20"/>
        <v>166667.84</v>
      </c>
      <c r="F168" s="514">
        <f t="shared" si="21"/>
        <v>166980.74</v>
      </c>
      <c r="G168" s="1333">
        <f t="shared" si="19"/>
        <v>312.89999999999418</v>
      </c>
      <c r="K168" s="376">
        <v>191.63000000000466</v>
      </c>
      <c r="L168" s="376">
        <f t="shared" si="18"/>
        <v>121.26999999998952</v>
      </c>
    </row>
    <row r="169" spans="1:12" ht="27.75">
      <c r="A169" s="1586" t="s">
        <v>100</v>
      </c>
      <c r="B169" s="1586"/>
      <c r="C169" s="1586"/>
      <c r="D169" s="523" t="s">
        <v>186</v>
      </c>
      <c r="E169" s="514">
        <f t="shared" si="20"/>
        <v>63824.5</v>
      </c>
      <c r="F169" s="514">
        <f t="shared" si="21"/>
        <v>64226.15</v>
      </c>
      <c r="G169" s="1333">
        <f t="shared" si="19"/>
        <v>401.65000000000146</v>
      </c>
      <c r="K169" s="376">
        <v>231.68000000000029</v>
      </c>
      <c r="L169" s="376">
        <f t="shared" si="18"/>
        <v>169.97000000000116</v>
      </c>
    </row>
    <row r="170" spans="1:12" ht="27.75">
      <c r="A170" s="1586" t="s">
        <v>101</v>
      </c>
      <c r="B170" s="1586"/>
      <c r="C170" s="1586"/>
      <c r="D170" s="523" t="s">
        <v>186</v>
      </c>
      <c r="E170" s="514">
        <f t="shared" si="20"/>
        <v>260486.91</v>
      </c>
      <c r="F170" s="514">
        <f t="shared" si="21"/>
        <v>260958</v>
      </c>
      <c r="G170" s="1333">
        <f t="shared" si="19"/>
        <v>471.08999999999651</v>
      </c>
      <c r="K170" s="376">
        <v>344.30000000000291</v>
      </c>
      <c r="L170" s="376">
        <f t="shared" si="18"/>
        <v>126.7899999999936</v>
      </c>
    </row>
    <row r="171" spans="1:12" ht="27.75">
      <c r="A171" s="1586" t="s">
        <v>102</v>
      </c>
      <c r="B171" s="1586"/>
      <c r="C171" s="1586"/>
      <c r="D171" s="523" t="s">
        <v>186</v>
      </c>
      <c r="E171" s="514">
        <f t="shared" si="20"/>
        <v>85321</v>
      </c>
      <c r="F171" s="514">
        <f t="shared" si="21"/>
        <v>85321</v>
      </c>
      <c r="G171" s="1333">
        <f t="shared" si="19"/>
        <v>0</v>
      </c>
      <c r="K171" s="376">
        <v>140.90999999999985</v>
      </c>
      <c r="L171" s="376">
        <f t="shared" si="18"/>
        <v>-140.90999999999985</v>
      </c>
    </row>
    <row r="172" spans="1:12" ht="27.75">
      <c r="A172" s="1586" t="s">
        <v>103</v>
      </c>
      <c r="B172" s="1586"/>
      <c r="C172" s="1586"/>
      <c r="D172" s="523" t="s">
        <v>186</v>
      </c>
      <c r="E172" s="514">
        <f t="shared" si="20"/>
        <v>85116.51</v>
      </c>
      <c r="F172" s="514">
        <f t="shared" si="21"/>
        <v>85351.83</v>
      </c>
      <c r="G172" s="1333">
        <f t="shared" si="19"/>
        <v>235.32000000000698</v>
      </c>
      <c r="K172" s="376">
        <v>57.709999999999127</v>
      </c>
      <c r="L172" s="376">
        <f t="shared" si="18"/>
        <v>177.61000000000786</v>
      </c>
    </row>
    <row r="173" spans="1:12">
      <c r="G173" s="1358">
        <f>SUM(G161:G172)</f>
        <v>2584.8200000000079</v>
      </c>
    </row>
    <row r="174" spans="1:12" ht="27.75">
      <c r="A174" s="1586" t="s">
        <v>347</v>
      </c>
      <c r="B174" s="1586"/>
      <c r="C174" s="1586"/>
      <c r="D174" s="523" t="s">
        <v>186</v>
      </c>
      <c r="E174" s="659">
        <f>'20'!F174</f>
        <v>28160.45</v>
      </c>
      <c r="F174" s="514">
        <v>28171.439999999999</v>
      </c>
      <c r="G174" s="1333">
        <f t="shared" ref="G174:G176" si="22">F174-E174</f>
        <v>10.989999999997963</v>
      </c>
    </row>
    <row r="175" spans="1:12">
      <c r="A175" s="1596" t="s">
        <v>357</v>
      </c>
      <c r="B175" s="1579"/>
      <c r="C175" s="786"/>
      <c r="D175" s="523" t="s">
        <v>186</v>
      </c>
      <c r="E175" s="659">
        <f>'20'!F175</f>
        <v>18956</v>
      </c>
      <c r="F175" s="1501">
        <v>18960.7</v>
      </c>
      <c r="G175" s="1333">
        <f t="shared" si="22"/>
        <v>4.7000000000007276</v>
      </c>
    </row>
    <row r="176" spans="1:12">
      <c r="A176" s="1596" t="s">
        <v>358</v>
      </c>
      <c r="B176" s="1579"/>
      <c r="C176" s="786"/>
      <c r="D176" s="523" t="s">
        <v>186</v>
      </c>
      <c r="E176" s="659">
        <f>'20'!F176</f>
        <v>27586.400000000001</v>
      </c>
      <c r="F176" s="1501">
        <v>27591.3</v>
      </c>
      <c r="G176" s="1333">
        <f t="shared" si="22"/>
        <v>4.8999999999978172</v>
      </c>
    </row>
    <row r="177" spans="6:6" ht="18.75" customHeight="1"/>
    <row r="178" spans="6:6" ht="21" customHeight="1">
      <c r="F178" s="537" t="s">
        <v>275</v>
      </c>
    </row>
    <row r="302" ht="21" customHeight="1"/>
    <row r="303" ht="21" customHeight="1"/>
    <row r="304" ht="21" customHeight="1"/>
    <row r="305" ht="21" customHeight="1"/>
    <row r="306" ht="21" customHeight="1"/>
    <row r="307" ht="21" customHeight="1"/>
    <row r="308" ht="21" customHeight="1"/>
    <row r="309" ht="21" customHeight="1"/>
    <row r="310" ht="21" customHeight="1"/>
    <row r="311" ht="21" customHeight="1"/>
    <row r="312" ht="21" customHeight="1"/>
    <row r="313" ht="21" customHeight="1"/>
    <row r="314" ht="21" customHeight="1"/>
    <row r="315" ht="21" customHeight="1"/>
    <row r="316" ht="21" customHeight="1"/>
    <row r="317" ht="21" customHeight="1"/>
    <row r="318" ht="21" customHeight="1"/>
    <row r="319" ht="21" customHeight="1"/>
    <row r="320" ht="21" customHeight="1"/>
    <row r="321" ht="21" customHeight="1"/>
    <row r="322" ht="21" customHeight="1"/>
    <row r="323" ht="21" customHeight="1"/>
    <row r="324" ht="21" customHeight="1"/>
    <row r="325" ht="21" customHeight="1"/>
    <row r="326" ht="21" customHeight="1"/>
    <row r="327" ht="21" customHeight="1"/>
    <row r="328" ht="21" customHeight="1"/>
    <row r="329" ht="21" customHeight="1"/>
    <row r="330" ht="21" customHeight="1"/>
    <row r="331" ht="21" customHeight="1"/>
    <row r="332" ht="21" customHeight="1"/>
    <row r="333" ht="21" customHeight="1"/>
    <row r="334" ht="21" customHeight="1"/>
    <row r="335" ht="21" customHeight="1"/>
    <row r="336" ht="21" customHeight="1"/>
    <row r="337" ht="21" customHeight="1"/>
    <row r="338" ht="21" customHeight="1"/>
    <row r="339" ht="21" customHeight="1"/>
    <row r="340" ht="21" customHeight="1"/>
    <row r="341" ht="21" customHeight="1"/>
    <row r="342" ht="21" customHeight="1"/>
    <row r="343" ht="21" customHeight="1"/>
    <row r="344" ht="21" customHeight="1"/>
    <row r="345" ht="21" customHeight="1"/>
    <row r="346" ht="21" customHeight="1"/>
    <row r="347" ht="21" customHeight="1"/>
    <row r="348" ht="21" customHeight="1"/>
    <row r="349" ht="21" customHeight="1"/>
    <row r="350" ht="21" customHeight="1"/>
    <row r="351" ht="21" customHeight="1"/>
    <row r="352" ht="21" customHeight="1"/>
    <row r="353" ht="21" customHeight="1"/>
    <row r="354" ht="21" customHeight="1"/>
    <row r="355" ht="21" customHeight="1"/>
    <row r="356" ht="21" customHeight="1"/>
    <row r="357" ht="21" customHeight="1"/>
    <row r="358" ht="21" customHeight="1"/>
    <row r="359" ht="21" customHeight="1"/>
    <row r="360" ht="21" customHeight="1"/>
    <row r="361" ht="21" customHeight="1"/>
    <row r="362" ht="21" customHeight="1"/>
    <row r="363" ht="21" customHeight="1"/>
    <row r="364" ht="21" customHeight="1"/>
    <row r="365" ht="21" customHeight="1"/>
    <row r="366" ht="21" customHeight="1"/>
    <row r="367" ht="21" customHeight="1"/>
    <row r="368" ht="21" customHeight="1"/>
    <row r="369" ht="21" customHeight="1"/>
    <row r="370" ht="21" customHeight="1"/>
    <row r="371" ht="21" customHeight="1"/>
    <row r="372" ht="21" customHeight="1"/>
    <row r="373" ht="21" customHeight="1"/>
    <row r="374" ht="21" customHeight="1"/>
    <row r="375" ht="21" customHeight="1"/>
    <row r="376" ht="21" customHeight="1"/>
    <row r="377" ht="21" customHeight="1"/>
    <row r="378" ht="21" customHeight="1"/>
    <row r="379" ht="21" customHeight="1"/>
    <row r="380" ht="21" customHeight="1"/>
    <row r="381" ht="21" customHeight="1"/>
    <row r="382" ht="21" customHeight="1"/>
    <row r="383" ht="21" customHeight="1"/>
    <row r="384" ht="21" customHeight="1"/>
    <row r="385" ht="21" customHeight="1"/>
    <row r="386" ht="21" customHeight="1"/>
    <row r="387" ht="21" customHeight="1"/>
    <row r="388" ht="21" customHeight="1"/>
    <row r="389" ht="21" customHeight="1"/>
    <row r="390" ht="21" customHeight="1"/>
    <row r="391" ht="21" customHeight="1"/>
    <row r="392" ht="21" customHeight="1"/>
    <row r="393" ht="21" customHeight="1"/>
    <row r="394" ht="21" customHeight="1"/>
    <row r="395" ht="21" customHeight="1"/>
    <row r="396" ht="21" customHeight="1"/>
    <row r="397" ht="21" customHeight="1"/>
    <row r="398" ht="21" customHeight="1"/>
    <row r="399" ht="21" customHeight="1"/>
    <row r="400" ht="21" customHeight="1"/>
    <row r="401" ht="21" customHeight="1"/>
    <row r="402" ht="21" customHeight="1"/>
    <row r="403" ht="21" customHeight="1"/>
    <row r="404" ht="21" customHeight="1"/>
    <row r="405" ht="21" customHeight="1"/>
    <row r="406" ht="21" customHeight="1"/>
    <row r="407" ht="21" customHeight="1"/>
    <row r="408" ht="21" customHeight="1"/>
    <row r="409" ht="21" customHeight="1"/>
    <row r="410" ht="21" customHeight="1"/>
    <row r="411" ht="21" customHeight="1"/>
    <row r="412" ht="21" customHeight="1"/>
    <row r="413" ht="21" customHeight="1"/>
    <row r="414" ht="21" customHeight="1"/>
    <row r="415" ht="21" customHeight="1"/>
    <row r="416" ht="21" customHeight="1"/>
    <row r="417" ht="21" customHeight="1"/>
    <row r="418" ht="21" customHeight="1"/>
    <row r="419" ht="21" customHeight="1"/>
    <row r="420" ht="21" customHeight="1"/>
    <row r="421" ht="21" customHeight="1"/>
    <row r="422" ht="21" customHeight="1"/>
    <row r="423" ht="21" customHeight="1"/>
    <row r="424" ht="21" customHeight="1"/>
    <row r="425" ht="21" customHeight="1"/>
    <row r="426" ht="21" customHeight="1"/>
    <row r="427" ht="21" customHeight="1"/>
    <row r="428" ht="21" customHeight="1"/>
    <row r="429" ht="21" customHeight="1"/>
    <row r="430" ht="21" customHeight="1"/>
    <row r="431" ht="21" customHeight="1"/>
    <row r="432" ht="21" customHeight="1"/>
    <row r="433" ht="21" customHeight="1"/>
    <row r="434" ht="21" customHeight="1"/>
    <row r="435" ht="21" customHeight="1"/>
    <row r="436" ht="21" customHeight="1"/>
    <row r="437" ht="21" customHeight="1"/>
    <row r="438" ht="21" customHeight="1"/>
    <row r="439" ht="21" customHeight="1"/>
    <row r="440" ht="21" customHeight="1"/>
    <row r="441" ht="21" customHeight="1"/>
    <row r="442" ht="21" customHeight="1"/>
    <row r="443" ht="21" customHeight="1"/>
    <row r="444" ht="21" customHeight="1"/>
    <row r="445" ht="21" customHeight="1"/>
    <row r="446" ht="21" customHeight="1"/>
    <row r="447" ht="21" customHeight="1"/>
    <row r="448" ht="21" customHeight="1"/>
    <row r="449" ht="21" customHeight="1"/>
    <row r="450" ht="21" customHeight="1"/>
    <row r="451" ht="21" customHeight="1"/>
    <row r="452" ht="21" customHeight="1"/>
    <row r="453" ht="21" customHeight="1"/>
    <row r="454" ht="21" customHeight="1"/>
    <row r="455" ht="21" customHeight="1"/>
    <row r="456" ht="21" customHeight="1"/>
    <row r="457" ht="21" customHeight="1"/>
    <row r="458" ht="21" customHeight="1"/>
    <row r="459" ht="21" customHeight="1"/>
    <row r="460" ht="21" customHeight="1"/>
    <row r="461" ht="21" customHeight="1"/>
    <row r="462" ht="21" customHeight="1"/>
    <row r="463" ht="21" customHeight="1"/>
    <row r="464" ht="21" customHeight="1"/>
    <row r="465" ht="21" customHeight="1"/>
    <row r="466" ht="21" customHeight="1"/>
    <row r="467" ht="21" customHeight="1"/>
    <row r="468" ht="21" customHeight="1"/>
    <row r="469" ht="21" customHeight="1"/>
    <row r="470" ht="21" customHeight="1"/>
    <row r="471" ht="21" customHeight="1"/>
    <row r="472" ht="21" customHeight="1"/>
    <row r="473" ht="21" customHeight="1"/>
    <row r="474" ht="21" customHeight="1"/>
    <row r="475" ht="21" customHeight="1"/>
    <row r="476" ht="21" customHeight="1"/>
    <row r="477" ht="21" customHeight="1"/>
    <row r="478" ht="21" customHeight="1"/>
    <row r="479" ht="21" customHeight="1"/>
    <row r="480" ht="21" customHeight="1"/>
    <row r="481" ht="21" customHeight="1"/>
    <row r="482" ht="21" customHeight="1"/>
    <row r="483" ht="21" customHeight="1"/>
    <row r="484" ht="21" customHeight="1"/>
    <row r="485" ht="21" customHeight="1"/>
    <row r="486" ht="21" customHeight="1"/>
    <row r="487" ht="21" customHeight="1"/>
    <row r="488" ht="21" customHeight="1"/>
    <row r="489" ht="21" customHeight="1"/>
    <row r="490" ht="21" customHeight="1"/>
    <row r="491" ht="21" customHeight="1"/>
    <row r="492" ht="21" customHeight="1"/>
    <row r="493" ht="21" customHeight="1"/>
    <row r="494" ht="21" customHeight="1"/>
    <row r="495" ht="21" customHeight="1"/>
    <row r="496" ht="21" customHeight="1"/>
    <row r="497" ht="21" customHeight="1"/>
    <row r="498" ht="21" customHeight="1"/>
    <row r="499" ht="21" customHeight="1"/>
    <row r="500" ht="21" customHeight="1"/>
    <row r="501" ht="21" customHeight="1"/>
    <row r="502" ht="21" customHeight="1"/>
    <row r="503" ht="21" customHeight="1"/>
    <row r="504" ht="21" customHeight="1"/>
    <row r="505" ht="21" customHeight="1"/>
    <row r="506" ht="21" customHeight="1"/>
    <row r="507" ht="21" customHeight="1"/>
    <row r="508" ht="21" customHeight="1"/>
    <row r="509" ht="21" customHeight="1"/>
    <row r="510" ht="21" customHeight="1"/>
    <row r="511" ht="21" customHeight="1"/>
    <row r="512" ht="21" customHeight="1"/>
    <row r="513" ht="21" customHeight="1"/>
    <row r="514" ht="21" customHeight="1"/>
    <row r="515" ht="21" customHeight="1"/>
    <row r="516" ht="21" customHeight="1"/>
    <row r="517" ht="21" customHeight="1"/>
    <row r="518" ht="21" customHeight="1"/>
    <row r="519" ht="21" customHeight="1"/>
    <row r="520" ht="21" customHeight="1"/>
    <row r="521" ht="21" customHeight="1"/>
    <row r="522" ht="21" customHeight="1"/>
    <row r="523" ht="21" customHeight="1"/>
    <row r="524" ht="21" customHeight="1"/>
    <row r="525" ht="21" customHeight="1"/>
    <row r="526" ht="21" customHeight="1"/>
    <row r="527" ht="21" customHeight="1"/>
    <row r="528" ht="21" customHeight="1"/>
    <row r="529" ht="21" customHeight="1"/>
    <row r="530" ht="21" customHeight="1"/>
    <row r="531" ht="21" customHeight="1"/>
    <row r="532" ht="21" customHeight="1"/>
    <row r="533" ht="21" customHeight="1"/>
    <row r="534" ht="21" customHeight="1"/>
    <row r="535" ht="21" customHeight="1"/>
    <row r="536" ht="21" customHeight="1"/>
    <row r="537" ht="21" customHeight="1"/>
    <row r="538" ht="21" customHeight="1"/>
    <row r="539" ht="21" customHeight="1"/>
    <row r="540" ht="21" customHeight="1"/>
    <row r="541" ht="21" customHeight="1"/>
    <row r="542" ht="21" customHeight="1"/>
    <row r="543" ht="21" customHeight="1"/>
    <row r="544" ht="21" customHeight="1"/>
    <row r="545" ht="21" customHeight="1"/>
    <row r="546" ht="21" customHeight="1"/>
    <row r="547" ht="21" customHeight="1"/>
    <row r="548" ht="21" customHeight="1"/>
    <row r="549" ht="21" customHeight="1"/>
    <row r="550" ht="21" customHeight="1"/>
    <row r="551" ht="21" customHeight="1"/>
    <row r="552" ht="21" customHeight="1"/>
    <row r="553" ht="21" customHeight="1"/>
    <row r="554" ht="21" customHeight="1"/>
    <row r="555" ht="21" customHeight="1"/>
    <row r="556" ht="21" customHeight="1"/>
    <row r="557" ht="21" customHeight="1"/>
    <row r="558" ht="21" customHeight="1"/>
    <row r="559" ht="21" customHeight="1"/>
    <row r="560" ht="21" customHeight="1"/>
    <row r="561" ht="21" customHeight="1"/>
    <row r="562" ht="21" customHeight="1"/>
    <row r="563" ht="21" customHeight="1"/>
    <row r="564" ht="21" customHeight="1"/>
    <row r="565" ht="21" customHeight="1"/>
    <row r="566" ht="21" customHeight="1"/>
    <row r="567" ht="21" customHeight="1"/>
    <row r="568" ht="21" customHeight="1"/>
    <row r="569" ht="21" customHeight="1"/>
    <row r="570" ht="21" customHeight="1"/>
    <row r="571" ht="21" customHeight="1"/>
    <row r="572" ht="21" customHeight="1"/>
    <row r="573" ht="21" customHeight="1"/>
    <row r="574" ht="21" customHeight="1"/>
    <row r="575" ht="21" customHeight="1"/>
    <row r="576" ht="21" customHeight="1"/>
    <row r="577" ht="21" customHeight="1"/>
    <row r="578" ht="21" customHeight="1"/>
    <row r="579" ht="21" customHeight="1"/>
    <row r="580" ht="21" customHeight="1"/>
    <row r="581" ht="21" customHeight="1"/>
    <row r="582" ht="21" customHeight="1"/>
    <row r="583" ht="21" customHeight="1"/>
    <row r="584" ht="21" customHeight="1"/>
    <row r="585" ht="21" customHeight="1"/>
    <row r="586" ht="21" customHeight="1"/>
    <row r="587" ht="21" customHeight="1"/>
    <row r="588" ht="21" customHeight="1"/>
    <row r="589" ht="21" customHeight="1"/>
    <row r="590" ht="21" customHeight="1"/>
    <row r="591" ht="21" customHeight="1"/>
    <row r="592" ht="21" customHeight="1"/>
    <row r="593" ht="21" customHeight="1"/>
    <row r="594" ht="21" customHeight="1"/>
    <row r="595" ht="21" customHeight="1"/>
    <row r="596" ht="21" customHeight="1"/>
    <row r="597" ht="21" customHeight="1"/>
    <row r="598" ht="21" customHeight="1"/>
    <row r="599" ht="21" customHeight="1"/>
    <row r="600" ht="21" customHeight="1"/>
    <row r="601" ht="21" customHeight="1"/>
    <row r="602" ht="21" customHeight="1"/>
    <row r="603" ht="21" customHeight="1"/>
    <row r="604" ht="21" customHeight="1"/>
    <row r="605" ht="21" customHeight="1"/>
    <row r="606" ht="21" customHeight="1"/>
    <row r="607" ht="21" customHeight="1"/>
    <row r="608" ht="21" customHeight="1"/>
    <row r="609" ht="21" customHeight="1"/>
    <row r="610" ht="21" customHeight="1"/>
    <row r="611" ht="21" customHeight="1"/>
    <row r="612" ht="21" customHeight="1"/>
    <row r="613" ht="21" customHeight="1"/>
    <row r="614" ht="21" customHeight="1"/>
    <row r="615" ht="21" customHeight="1"/>
    <row r="616" ht="21" customHeight="1"/>
    <row r="617" ht="21" customHeight="1"/>
    <row r="618" ht="21" customHeight="1"/>
    <row r="619" ht="21" customHeight="1"/>
    <row r="620" ht="21" customHeight="1"/>
    <row r="621" ht="21" customHeight="1"/>
    <row r="622" ht="21" customHeight="1"/>
    <row r="623" ht="21" customHeight="1"/>
    <row r="624" ht="21" customHeight="1"/>
    <row r="625" ht="21" customHeight="1"/>
    <row r="626" ht="21" customHeight="1"/>
    <row r="627" ht="21" customHeight="1"/>
    <row r="628" ht="21" customHeight="1"/>
    <row r="629" ht="21" customHeight="1"/>
    <row r="630" ht="21" customHeight="1"/>
    <row r="631" ht="21" customHeight="1"/>
    <row r="632" ht="21" customHeight="1"/>
    <row r="633" ht="21" customHeight="1"/>
    <row r="634" ht="21" customHeight="1"/>
    <row r="635" ht="21" customHeight="1"/>
    <row r="636" ht="21" customHeight="1"/>
    <row r="637" ht="21" customHeight="1"/>
    <row r="638" ht="21" customHeight="1"/>
    <row r="639" ht="21" customHeight="1"/>
    <row r="640" ht="21" customHeight="1"/>
    <row r="641" ht="21" customHeight="1"/>
    <row r="642" ht="21" customHeight="1"/>
    <row r="643" ht="21" customHeight="1"/>
    <row r="644" ht="21" customHeight="1"/>
    <row r="645" ht="21" customHeight="1"/>
    <row r="646" ht="21" customHeight="1"/>
    <row r="647" ht="21" customHeight="1"/>
    <row r="648" ht="21" customHeight="1"/>
    <row r="649" ht="21" customHeight="1"/>
    <row r="650" ht="21" customHeight="1"/>
    <row r="651" ht="21" customHeight="1"/>
    <row r="652" ht="21" customHeight="1"/>
    <row r="653" ht="21" customHeight="1"/>
    <row r="654" ht="21" customHeight="1"/>
    <row r="655" ht="21" customHeight="1"/>
    <row r="656" ht="21" customHeight="1"/>
    <row r="657" ht="21" customHeight="1"/>
    <row r="658" ht="21" customHeight="1"/>
    <row r="659" ht="21" customHeight="1"/>
    <row r="660" ht="21" customHeight="1"/>
    <row r="661" ht="21" customHeight="1"/>
    <row r="662" ht="21" customHeight="1"/>
    <row r="663" ht="21" customHeight="1"/>
    <row r="664" ht="21" customHeight="1"/>
    <row r="665" ht="21" customHeight="1"/>
    <row r="666" ht="21" customHeight="1"/>
    <row r="667" ht="21" customHeight="1"/>
    <row r="668" ht="21" customHeight="1"/>
    <row r="669" ht="21" customHeight="1"/>
    <row r="670" ht="21" customHeight="1"/>
    <row r="671" ht="21" customHeight="1"/>
    <row r="672" ht="21" customHeight="1"/>
    <row r="673" ht="21" customHeight="1"/>
    <row r="674" ht="21" customHeight="1"/>
    <row r="675" ht="21" customHeight="1"/>
    <row r="676" ht="21" customHeight="1"/>
    <row r="677" ht="21" customHeight="1"/>
    <row r="678" ht="21" customHeight="1"/>
    <row r="679" ht="21" customHeight="1"/>
    <row r="680" ht="21" customHeight="1"/>
    <row r="681" ht="21" customHeight="1"/>
    <row r="682" ht="21" customHeight="1"/>
    <row r="683" ht="21" customHeight="1"/>
    <row r="684" ht="21" customHeight="1"/>
    <row r="685" ht="21" customHeight="1"/>
    <row r="686" ht="21" customHeight="1"/>
    <row r="687" ht="21" customHeight="1"/>
    <row r="688" ht="21" customHeight="1"/>
    <row r="689" ht="21" customHeight="1"/>
    <row r="690" ht="21" customHeight="1"/>
    <row r="691" ht="21" customHeight="1"/>
    <row r="692" ht="21" customHeight="1"/>
    <row r="693" ht="21" customHeight="1"/>
    <row r="694" ht="21" customHeight="1"/>
    <row r="695" ht="21" customHeight="1"/>
    <row r="696" ht="21" customHeight="1"/>
    <row r="697" ht="21" customHeight="1"/>
    <row r="698" ht="21" customHeight="1"/>
    <row r="699" ht="21" customHeight="1"/>
    <row r="700" ht="21" customHeight="1"/>
    <row r="701" ht="21" customHeight="1"/>
    <row r="702" ht="21" customHeight="1"/>
    <row r="703" ht="21" customHeight="1"/>
    <row r="704" ht="21" customHeight="1"/>
    <row r="705" ht="21" customHeight="1"/>
    <row r="706" ht="21" customHeight="1"/>
    <row r="707" ht="21" customHeight="1"/>
    <row r="708" ht="21" customHeight="1"/>
    <row r="709" ht="21" customHeight="1"/>
    <row r="710" ht="21" customHeight="1"/>
    <row r="711" ht="21" customHeight="1"/>
    <row r="712" ht="21" customHeight="1"/>
    <row r="713" ht="21" customHeight="1"/>
    <row r="714" ht="21" customHeight="1"/>
    <row r="715" ht="21" customHeight="1"/>
    <row r="716" ht="21" customHeight="1"/>
    <row r="717" ht="21" customHeight="1"/>
    <row r="718" ht="21" customHeight="1"/>
    <row r="719" ht="21" customHeight="1"/>
    <row r="720" ht="21" customHeight="1"/>
    <row r="721" ht="21" customHeight="1"/>
    <row r="722" ht="21" customHeight="1"/>
    <row r="723" ht="21" customHeight="1"/>
    <row r="724" ht="21" customHeight="1"/>
    <row r="725" ht="21" customHeight="1"/>
    <row r="726" ht="21" customHeight="1"/>
    <row r="727" ht="21" customHeight="1"/>
    <row r="728" ht="21" customHeight="1"/>
    <row r="729" ht="21" customHeight="1"/>
    <row r="730" ht="21" customHeight="1"/>
    <row r="731" ht="21" customHeight="1"/>
    <row r="732" ht="21" customHeight="1"/>
    <row r="733" ht="21" customHeight="1"/>
    <row r="734" ht="21" customHeight="1"/>
    <row r="735" ht="21" customHeight="1"/>
    <row r="736" ht="21" customHeight="1"/>
    <row r="737" ht="21" customHeight="1"/>
    <row r="738" ht="21" customHeight="1"/>
    <row r="739" ht="21" customHeight="1"/>
    <row r="740" ht="21" customHeight="1"/>
    <row r="741" ht="21" customHeight="1"/>
    <row r="742" ht="21" customHeight="1"/>
    <row r="743" ht="21" customHeight="1"/>
    <row r="744" ht="21" customHeight="1"/>
    <row r="745" ht="21" customHeight="1"/>
    <row r="746" ht="21" customHeight="1"/>
    <row r="747" ht="21" customHeight="1"/>
    <row r="748" ht="21" customHeight="1"/>
    <row r="749" ht="21" customHeight="1"/>
    <row r="750" ht="21" customHeight="1"/>
    <row r="751" ht="21" customHeight="1"/>
    <row r="752" ht="21" customHeight="1"/>
    <row r="753" ht="21" customHeight="1"/>
    <row r="754" ht="21" customHeight="1"/>
    <row r="755" ht="21" customHeight="1"/>
    <row r="756" ht="21" customHeight="1"/>
    <row r="757" ht="21" customHeight="1"/>
    <row r="758" ht="21" customHeight="1"/>
    <row r="759" ht="21" customHeight="1"/>
    <row r="760" ht="21" customHeight="1"/>
    <row r="761" ht="21" customHeight="1"/>
    <row r="762" ht="21" customHeight="1"/>
    <row r="763" ht="21" customHeight="1"/>
    <row r="764" ht="21" customHeight="1"/>
    <row r="765" ht="21" customHeight="1"/>
    <row r="766" ht="21" customHeight="1"/>
    <row r="767" ht="21" customHeight="1"/>
    <row r="768" ht="21" customHeight="1"/>
    <row r="769" ht="21" customHeight="1"/>
    <row r="770" ht="21" customHeight="1"/>
    <row r="771" ht="21" customHeight="1"/>
    <row r="772" ht="21" customHeight="1"/>
    <row r="773" ht="21" customHeight="1"/>
    <row r="774" ht="21" customHeight="1"/>
    <row r="775" ht="21" customHeight="1"/>
    <row r="776" ht="21" customHeight="1"/>
    <row r="777" ht="21" customHeight="1"/>
    <row r="778" ht="21" customHeight="1"/>
    <row r="779" ht="21" customHeight="1"/>
    <row r="780" ht="21" customHeight="1"/>
    <row r="781" ht="21" customHeight="1"/>
    <row r="782" ht="21" customHeight="1"/>
    <row r="783" ht="21" customHeight="1"/>
    <row r="784" ht="21" customHeight="1"/>
    <row r="785" ht="21" customHeight="1"/>
    <row r="786" ht="21" customHeight="1"/>
    <row r="787" ht="21" customHeight="1"/>
    <row r="788" ht="21" customHeight="1"/>
    <row r="789" ht="21" customHeight="1"/>
    <row r="790" ht="21" customHeight="1"/>
    <row r="791" ht="21" customHeight="1"/>
    <row r="792" ht="21" customHeight="1"/>
    <row r="793" ht="21" customHeight="1"/>
    <row r="794" ht="21" customHeight="1"/>
    <row r="795" ht="21" customHeight="1"/>
    <row r="796" ht="21" customHeight="1"/>
    <row r="797" ht="21" customHeight="1"/>
    <row r="798" ht="21" customHeight="1"/>
    <row r="799" ht="21" customHeight="1"/>
    <row r="800" ht="21" customHeight="1"/>
    <row r="801" ht="21" customHeight="1"/>
    <row r="802" ht="21" customHeight="1"/>
    <row r="803" ht="21" customHeight="1"/>
    <row r="804" ht="21" customHeight="1"/>
    <row r="805" ht="21" customHeight="1"/>
    <row r="806" ht="21" customHeight="1"/>
    <row r="807" ht="21" customHeight="1"/>
    <row r="808" ht="21" customHeight="1"/>
    <row r="809" ht="21" customHeight="1"/>
    <row r="810" ht="21" customHeight="1"/>
    <row r="811" ht="21" customHeight="1"/>
    <row r="812" ht="21" customHeight="1"/>
    <row r="813" ht="21" customHeight="1"/>
    <row r="814" ht="21" customHeight="1"/>
    <row r="815" ht="21" customHeight="1"/>
    <row r="816" ht="21" customHeight="1"/>
    <row r="817" ht="21" customHeight="1"/>
    <row r="818" ht="21" customHeight="1"/>
    <row r="819" ht="21" customHeight="1"/>
    <row r="820" ht="21" customHeight="1"/>
    <row r="821" ht="21" customHeight="1"/>
    <row r="822" ht="21" customHeight="1"/>
    <row r="823" ht="21" customHeight="1"/>
    <row r="824" ht="21" customHeight="1"/>
    <row r="825" ht="21" customHeight="1"/>
    <row r="826" ht="21" customHeight="1"/>
    <row r="827" ht="21" customHeight="1"/>
    <row r="828" ht="21" customHeight="1"/>
    <row r="829" ht="21" customHeight="1"/>
    <row r="830" ht="21" customHeight="1"/>
    <row r="831" ht="21" customHeight="1"/>
    <row r="832" ht="21" customHeight="1"/>
    <row r="833" ht="21" customHeight="1"/>
    <row r="834" ht="21" customHeight="1"/>
    <row r="835" ht="21" customHeight="1"/>
    <row r="836" ht="21" customHeight="1"/>
    <row r="837" ht="21" customHeight="1"/>
    <row r="838" ht="21" customHeight="1"/>
    <row r="839" ht="21" customHeight="1"/>
    <row r="840" ht="21" customHeight="1"/>
    <row r="841" ht="21" customHeight="1"/>
    <row r="842" ht="21" customHeight="1"/>
    <row r="843" ht="21" customHeight="1"/>
    <row r="844" ht="21" customHeight="1"/>
    <row r="845" ht="21" customHeight="1"/>
    <row r="846" ht="21" customHeight="1"/>
    <row r="847" ht="21" customHeight="1"/>
    <row r="848" ht="21" customHeight="1"/>
    <row r="849" ht="21" customHeight="1"/>
    <row r="850" ht="21" customHeight="1"/>
    <row r="851" ht="21" customHeight="1"/>
    <row r="852" ht="21" customHeight="1"/>
    <row r="853" ht="21" customHeight="1"/>
    <row r="854" ht="21" customHeight="1"/>
    <row r="855" ht="21" customHeight="1"/>
    <row r="856" ht="21" customHeight="1"/>
    <row r="857" ht="21" customHeight="1"/>
    <row r="858" ht="21" customHeight="1"/>
    <row r="859" ht="21" customHeight="1"/>
    <row r="860" ht="21" customHeight="1"/>
    <row r="861" ht="21" customHeight="1"/>
    <row r="862" ht="21" customHeight="1"/>
    <row r="863" ht="21" customHeight="1"/>
    <row r="864" ht="21" customHeight="1"/>
    <row r="865" ht="21" customHeight="1"/>
    <row r="866" ht="21" customHeight="1"/>
    <row r="867" ht="21" customHeight="1"/>
    <row r="868" ht="21" customHeight="1"/>
    <row r="869" ht="21" customHeight="1"/>
    <row r="870" ht="21" customHeight="1"/>
    <row r="871" ht="21" customHeight="1"/>
    <row r="872" ht="21" customHeight="1"/>
    <row r="873" ht="21" customHeight="1"/>
    <row r="874" ht="21" customHeight="1"/>
    <row r="875" ht="21" customHeight="1"/>
    <row r="876" ht="21" customHeight="1"/>
    <row r="877" ht="21" customHeight="1"/>
    <row r="878" ht="21" customHeight="1"/>
    <row r="879" ht="21" customHeight="1"/>
    <row r="880" ht="21" customHeight="1"/>
    <row r="881" ht="21" customHeight="1"/>
    <row r="882" ht="21" customHeight="1"/>
    <row r="883" ht="21" customHeight="1"/>
    <row r="884" ht="21" customHeight="1"/>
    <row r="885" ht="21" customHeight="1"/>
    <row r="886" ht="21" customHeight="1"/>
    <row r="887" ht="21" customHeight="1"/>
    <row r="888" ht="21" customHeight="1"/>
    <row r="889" ht="21" customHeight="1"/>
    <row r="890" ht="21" customHeight="1"/>
    <row r="891" ht="21" customHeight="1"/>
    <row r="892" ht="21" customHeight="1"/>
    <row r="893" ht="21" customHeight="1"/>
    <row r="894" ht="21" customHeight="1"/>
    <row r="895" ht="21" customHeight="1"/>
    <row r="896" ht="21" customHeight="1"/>
    <row r="897" ht="21" customHeight="1"/>
    <row r="898" ht="21" customHeight="1"/>
    <row r="899" ht="21" customHeight="1"/>
    <row r="900" ht="21" customHeight="1"/>
    <row r="901" ht="21" customHeight="1"/>
    <row r="902" ht="21" customHeight="1"/>
    <row r="903" ht="21" customHeight="1"/>
    <row r="904" ht="21" customHeight="1"/>
    <row r="905" ht="21" customHeight="1"/>
    <row r="906" ht="21" customHeight="1"/>
    <row r="907" ht="21" customHeight="1"/>
    <row r="908" ht="21" customHeight="1"/>
    <row r="909" ht="21" customHeight="1"/>
    <row r="910" ht="21" customHeight="1"/>
    <row r="911" ht="21" customHeight="1"/>
    <row r="912" ht="21" customHeight="1"/>
    <row r="913" ht="21" customHeight="1"/>
    <row r="914" ht="21" customHeight="1"/>
    <row r="915" ht="21" customHeight="1"/>
    <row r="916" ht="21" customHeight="1"/>
    <row r="917" ht="21" customHeight="1"/>
    <row r="918" ht="21" customHeight="1"/>
    <row r="919" ht="21" customHeight="1"/>
    <row r="920" ht="21" customHeight="1"/>
    <row r="921" ht="21" customHeight="1"/>
    <row r="922" ht="21" customHeight="1"/>
    <row r="923" ht="21" customHeight="1"/>
    <row r="924" ht="21" customHeight="1"/>
    <row r="925" ht="21" customHeight="1"/>
    <row r="926" ht="21" customHeight="1"/>
    <row r="927" ht="21" customHeight="1"/>
    <row r="928" ht="21" customHeight="1"/>
    <row r="929" ht="21" customHeight="1"/>
    <row r="930" ht="21" customHeight="1"/>
    <row r="931" ht="21" customHeight="1"/>
    <row r="932" ht="21" customHeight="1"/>
    <row r="933" ht="21" customHeight="1"/>
    <row r="934" ht="21" customHeight="1"/>
    <row r="935" ht="21" customHeight="1"/>
    <row r="936" ht="21" customHeight="1"/>
    <row r="937" ht="21" customHeight="1"/>
    <row r="938" ht="21" customHeight="1"/>
    <row r="939" ht="21" customHeight="1"/>
    <row r="940" ht="21" customHeight="1"/>
    <row r="941" ht="21" customHeight="1"/>
    <row r="942" ht="21" customHeight="1"/>
    <row r="943" ht="21" customHeight="1"/>
    <row r="944" ht="21" customHeight="1"/>
    <row r="945" ht="21" customHeight="1"/>
    <row r="946" ht="21" customHeight="1"/>
    <row r="947" ht="21" customHeight="1"/>
    <row r="948" ht="21" customHeight="1"/>
    <row r="949" ht="21" customHeight="1"/>
    <row r="950" ht="21" customHeight="1"/>
    <row r="951" ht="21" customHeight="1"/>
    <row r="952" ht="21" customHeight="1"/>
    <row r="953" ht="21" customHeight="1"/>
    <row r="954" ht="21" customHeight="1"/>
    <row r="955" ht="21" customHeight="1"/>
    <row r="956" ht="21" customHeight="1"/>
    <row r="957" ht="21" customHeight="1"/>
    <row r="958" ht="21" customHeight="1"/>
    <row r="959" ht="21" customHeight="1"/>
    <row r="960" ht="21" customHeight="1"/>
    <row r="961" ht="21" customHeight="1"/>
    <row r="962" ht="21" customHeight="1"/>
    <row r="963" ht="21" customHeight="1"/>
    <row r="964" ht="21" customHeight="1"/>
    <row r="965" ht="21" customHeight="1"/>
    <row r="966" ht="21" customHeight="1"/>
    <row r="967" ht="21" customHeight="1"/>
    <row r="968" ht="21" customHeight="1"/>
    <row r="969" ht="21" customHeight="1"/>
    <row r="970" ht="21" customHeight="1"/>
    <row r="971" ht="21" customHeight="1"/>
    <row r="972" ht="21" customHeight="1"/>
    <row r="973" ht="21" customHeight="1"/>
    <row r="974" ht="21" customHeight="1"/>
    <row r="975" ht="21" customHeight="1"/>
    <row r="976" ht="21" customHeight="1"/>
    <row r="977" ht="21" customHeight="1"/>
    <row r="978" ht="21" customHeight="1"/>
    <row r="979" ht="21" customHeight="1"/>
    <row r="980" ht="21" customHeight="1"/>
    <row r="981" ht="21" customHeight="1"/>
    <row r="982" ht="21" customHeight="1"/>
    <row r="983" ht="21" customHeight="1"/>
    <row r="984" ht="21" customHeight="1"/>
    <row r="985" ht="21" customHeight="1"/>
    <row r="986" ht="21" customHeight="1"/>
    <row r="987" ht="21" customHeight="1"/>
    <row r="988" ht="21" customHeight="1"/>
    <row r="989" ht="21" customHeight="1"/>
    <row r="990" ht="21" customHeight="1"/>
    <row r="991" ht="21" customHeight="1"/>
    <row r="992" ht="21" customHeight="1"/>
    <row r="993" ht="21" customHeight="1"/>
    <row r="994" ht="21" customHeight="1"/>
    <row r="995" ht="21" customHeight="1"/>
    <row r="996" ht="21" customHeight="1"/>
    <row r="997" ht="21" customHeight="1"/>
    <row r="998" ht="21" customHeight="1"/>
    <row r="999" ht="21" customHeight="1"/>
    <row r="1000" ht="21" customHeight="1"/>
    <row r="1001" ht="21" customHeight="1"/>
    <row r="1002" ht="21" customHeight="1"/>
    <row r="1003" ht="21" customHeight="1"/>
    <row r="1004" ht="21" customHeight="1"/>
    <row r="1005" ht="21" customHeight="1"/>
    <row r="1006" ht="21" customHeight="1"/>
    <row r="1007" ht="21" customHeight="1"/>
    <row r="1008" ht="21" customHeight="1"/>
    <row r="1009" ht="21" customHeight="1"/>
    <row r="1010" ht="21" customHeight="1"/>
    <row r="1011" ht="21" customHeight="1"/>
    <row r="1012" ht="21" customHeight="1"/>
    <row r="1013" ht="21" customHeight="1"/>
    <row r="1014" ht="21" customHeight="1"/>
    <row r="1015" ht="21" customHeight="1"/>
    <row r="1016" ht="21" customHeight="1"/>
    <row r="1017" ht="21" customHeight="1"/>
    <row r="1018" ht="21" customHeight="1"/>
    <row r="1019" ht="21" customHeight="1"/>
    <row r="1020" ht="21" customHeight="1"/>
    <row r="1021" ht="21" customHeight="1"/>
    <row r="1022" ht="21" customHeight="1"/>
    <row r="1023" ht="21" customHeight="1"/>
    <row r="1024" ht="21" customHeight="1"/>
    <row r="1025" ht="21" customHeight="1"/>
    <row r="1026" ht="21" customHeight="1"/>
    <row r="1027" ht="21" customHeight="1"/>
    <row r="1028" ht="21" customHeight="1"/>
    <row r="1029" ht="21" customHeight="1"/>
    <row r="1030" ht="21" customHeight="1"/>
    <row r="1031" ht="21" customHeight="1"/>
    <row r="1032" ht="21" customHeight="1"/>
    <row r="1033" ht="21" customHeight="1"/>
    <row r="1034" ht="21" customHeight="1"/>
    <row r="1035" ht="21" customHeight="1"/>
    <row r="1036" ht="21" customHeight="1"/>
    <row r="1037" ht="21" customHeight="1"/>
    <row r="1038" ht="21" customHeight="1"/>
    <row r="1039" ht="21" customHeight="1"/>
    <row r="1040" ht="21" customHeight="1"/>
    <row r="1041" ht="21" customHeight="1"/>
    <row r="1042" ht="21" customHeight="1"/>
    <row r="1043" ht="21" customHeight="1"/>
    <row r="1044" ht="21" customHeight="1"/>
    <row r="1045" ht="21" customHeight="1"/>
    <row r="1046" ht="21" customHeight="1"/>
    <row r="1047" ht="21" customHeight="1"/>
    <row r="1048" ht="21" customHeight="1"/>
    <row r="1049" ht="21" customHeight="1"/>
    <row r="1050" ht="21" customHeight="1"/>
    <row r="1051" ht="21" customHeight="1"/>
    <row r="1052" ht="21" customHeight="1"/>
    <row r="1053" ht="21" customHeight="1"/>
    <row r="1054" ht="21" customHeight="1"/>
    <row r="1055" ht="21" customHeight="1"/>
    <row r="1056" ht="21" customHeight="1"/>
    <row r="1057" ht="21" customHeight="1"/>
    <row r="1058" ht="21" customHeight="1"/>
    <row r="1059" ht="21" customHeight="1"/>
    <row r="1060" ht="21" customHeight="1"/>
    <row r="1061" ht="21" customHeight="1"/>
    <row r="1062" ht="21" customHeight="1"/>
    <row r="1063" ht="21" customHeight="1"/>
    <row r="1064" ht="21" customHeight="1"/>
    <row r="1065" ht="21" customHeight="1"/>
    <row r="1066" ht="21" customHeight="1"/>
    <row r="1067" ht="21" customHeight="1"/>
    <row r="1068" ht="21" customHeight="1"/>
    <row r="1069" ht="21" customHeight="1"/>
    <row r="1070" ht="21" customHeight="1"/>
    <row r="1071" ht="21" customHeight="1"/>
    <row r="1072" ht="21" customHeight="1"/>
    <row r="1073" ht="21" customHeight="1"/>
    <row r="1074" ht="21" customHeight="1"/>
    <row r="1075" ht="21" customHeight="1"/>
    <row r="1076" ht="21" customHeight="1"/>
    <row r="1077" ht="21" customHeight="1"/>
    <row r="1078" ht="21" customHeight="1"/>
    <row r="1079" ht="21" customHeight="1"/>
    <row r="1080" ht="21" customHeight="1"/>
    <row r="1081" ht="21" customHeight="1"/>
    <row r="1082" ht="21" customHeight="1"/>
    <row r="1083" ht="21" customHeight="1"/>
    <row r="1084" ht="21" customHeight="1"/>
    <row r="1085" ht="21" customHeight="1"/>
    <row r="1086" ht="21" customHeight="1"/>
    <row r="1087" ht="21" customHeight="1"/>
    <row r="1088" ht="21" customHeight="1"/>
    <row r="1089" ht="21" customHeight="1"/>
    <row r="1090" ht="21" customHeight="1"/>
    <row r="1091" ht="21" customHeight="1"/>
    <row r="1092" ht="21" customHeight="1"/>
    <row r="1093" ht="21" customHeight="1"/>
    <row r="1094" ht="21" customHeight="1"/>
    <row r="1095" ht="21" customHeight="1"/>
    <row r="1096" ht="21" customHeight="1"/>
    <row r="1097" ht="21" customHeight="1"/>
    <row r="1098" ht="21" customHeight="1"/>
    <row r="1099" ht="21" customHeight="1"/>
    <row r="1100" ht="21" customHeight="1"/>
    <row r="1101" ht="21" customHeight="1"/>
    <row r="1102" ht="21" customHeight="1"/>
    <row r="1103" ht="21" customHeight="1"/>
    <row r="1104" ht="21" customHeight="1"/>
    <row r="1105" ht="21" customHeight="1"/>
    <row r="1106" ht="21" customHeight="1"/>
    <row r="1107" ht="21" customHeight="1"/>
    <row r="1108" ht="21" customHeight="1"/>
    <row r="1109" ht="21" customHeight="1"/>
    <row r="1110" ht="21" customHeight="1"/>
    <row r="1111" ht="21" customHeight="1"/>
    <row r="1112" ht="21" customHeight="1"/>
    <row r="1113" ht="21" customHeight="1"/>
    <row r="1114" ht="21" customHeight="1"/>
    <row r="1115" ht="21" customHeight="1"/>
    <row r="1116" ht="21" customHeight="1"/>
    <row r="1117" ht="21" customHeight="1"/>
    <row r="1118" ht="21" customHeight="1"/>
    <row r="1119" ht="21" customHeight="1"/>
    <row r="1120" ht="21" customHeight="1"/>
    <row r="1121" ht="21" customHeight="1"/>
    <row r="1122" ht="21" customHeight="1"/>
    <row r="1123" ht="21" customHeight="1"/>
    <row r="1124" ht="21" customHeight="1"/>
    <row r="1125" ht="21" customHeight="1"/>
    <row r="1126" ht="21" customHeight="1"/>
    <row r="1127" ht="21" customHeight="1"/>
    <row r="1128" ht="21" customHeight="1"/>
    <row r="1129" ht="21" customHeight="1"/>
    <row r="1130" ht="21" customHeight="1"/>
    <row r="1131" ht="21" customHeight="1"/>
    <row r="1132" ht="21" customHeight="1"/>
    <row r="1133" ht="21" customHeight="1"/>
    <row r="1134" ht="21" customHeight="1"/>
    <row r="1135" ht="21" customHeight="1"/>
    <row r="1136" ht="21" customHeight="1"/>
    <row r="1137" ht="21" customHeight="1"/>
    <row r="1138" ht="21" customHeight="1"/>
    <row r="1139" ht="21" customHeight="1"/>
    <row r="1140" ht="21" customHeight="1"/>
    <row r="1141" ht="21" customHeight="1"/>
    <row r="1142" ht="21" customHeight="1"/>
    <row r="1143" ht="21" customHeight="1"/>
    <row r="1144" ht="21" customHeight="1"/>
    <row r="1145" ht="21" customHeight="1"/>
    <row r="1146" ht="21" customHeight="1"/>
    <row r="1147" ht="21" customHeight="1"/>
    <row r="1148" ht="21" customHeight="1"/>
    <row r="1149" ht="21" customHeight="1"/>
    <row r="1150" ht="21" customHeight="1"/>
    <row r="1151" ht="21" customHeight="1"/>
    <row r="1152" ht="21" customHeight="1"/>
    <row r="1153" ht="21" customHeight="1"/>
    <row r="1154" ht="21" customHeight="1"/>
    <row r="1155" ht="21" customHeight="1"/>
    <row r="1156" ht="21" customHeight="1"/>
    <row r="1157" ht="21" customHeight="1"/>
    <row r="1158" ht="21" customHeight="1"/>
    <row r="1159" ht="21" customHeight="1"/>
    <row r="1160" ht="21" customHeight="1"/>
    <row r="1161" ht="21" customHeight="1"/>
    <row r="1162" ht="21" customHeight="1"/>
    <row r="1163" ht="21" customHeight="1"/>
    <row r="1164" ht="21" customHeight="1"/>
    <row r="1165" ht="21" customHeight="1"/>
    <row r="1166" ht="21" customHeight="1"/>
    <row r="1167" ht="21" customHeight="1"/>
    <row r="1168" ht="21" customHeight="1"/>
    <row r="1169" ht="21" customHeight="1"/>
    <row r="1170" ht="21" customHeight="1"/>
    <row r="1171" ht="21" customHeight="1"/>
    <row r="1172" ht="21" customHeight="1"/>
    <row r="1173" ht="21" customHeight="1"/>
    <row r="1174" ht="21" customHeight="1"/>
    <row r="1175" ht="21" customHeight="1"/>
    <row r="1176" ht="21" customHeight="1"/>
    <row r="1177" ht="21" customHeight="1"/>
    <row r="1178" ht="21" customHeight="1"/>
    <row r="1179" ht="21" customHeight="1"/>
    <row r="1180" ht="21" customHeight="1"/>
    <row r="1181" ht="21" customHeight="1"/>
    <row r="1182" ht="21" customHeight="1"/>
    <row r="1183" ht="21" customHeight="1"/>
    <row r="1184" ht="21" customHeight="1"/>
    <row r="1185" ht="21" customHeight="1"/>
    <row r="1186" ht="21" customHeight="1"/>
    <row r="1187" ht="21" customHeight="1"/>
    <row r="1188" ht="21" customHeight="1"/>
    <row r="1189" ht="21" customHeight="1"/>
    <row r="1190" ht="21" customHeight="1"/>
    <row r="1191" ht="21" customHeight="1"/>
    <row r="1192" ht="21" customHeight="1"/>
    <row r="1193" ht="21" customHeight="1"/>
    <row r="1194" ht="21" customHeight="1"/>
    <row r="1195" ht="21" customHeight="1"/>
    <row r="1196" ht="21" customHeight="1"/>
    <row r="1197" ht="21" customHeight="1"/>
    <row r="1198" ht="21" customHeight="1"/>
    <row r="1199" ht="21" customHeight="1"/>
    <row r="1200" ht="21" customHeight="1"/>
    <row r="1201" ht="21" customHeight="1"/>
    <row r="1202" ht="21" customHeight="1"/>
    <row r="1203" ht="21" customHeight="1"/>
    <row r="1204" ht="21" customHeight="1"/>
    <row r="1205" ht="21" customHeight="1"/>
    <row r="1206" ht="21" customHeight="1"/>
    <row r="1207" ht="21" customHeight="1"/>
    <row r="1208" ht="21" customHeight="1"/>
    <row r="1209" ht="21" customHeight="1"/>
    <row r="1210" ht="21" customHeight="1"/>
    <row r="1211" ht="21" customHeight="1"/>
    <row r="1212" ht="21" customHeight="1"/>
    <row r="1213" ht="21" customHeight="1"/>
    <row r="1214" ht="21" customHeight="1"/>
    <row r="1215" ht="21" customHeight="1"/>
    <row r="1216" ht="21" customHeight="1"/>
    <row r="1217" ht="21" customHeight="1"/>
    <row r="1218" ht="21" customHeight="1"/>
    <row r="1219" ht="21" customHeight="1"/>
    <row r="1220" ht="21" customHeight="1"/>
    <row r="1221" ht="21" customHeight="1"/>
    <row r="1222" ht="21" customHeight="1"/>
    <row r="1223" ht="21" customHeight="1"/>
    <row r="1224" ht="21" customHeight="1"/>
    <row r="1225" ht="21" customHeight="1"/>
    <row r="1226" ht="21" customHeight="1"/>
    <row r="1227" ht="21" customHeight="1"/>
    <row r="1228" ht="21" customHeight="1"/>
    <row r="1229" ht="21" customHeight="1"/>
    <row r="1230" ht="21" customHeight="1"/>
    <row r="1231" ht="21" customHeight="1"/>
    <row r="1232" ht="21" customHeight="1"/>
    <row r="1233" ht="21" customHeight="1"/>
    <row r="1234" ht="21" customHeight="1"/>
    <row r="1235" ht="21" customHeight="1"/>
    <row r="1236" ht="21" customHeight="1"/>
    <row r="1237" ht="21" customHeight="1"/>
    <row r="1238" ht="21" customHeight="1"/>
    <row r="1239" ht="21" customHeight="1"/>
    <row r="1240" ht="21" customHeight="1"/>
    <row r="1241" ht="21" customHeight="1"/>
    <row r="1242" ht="21" customHeight="1"/>
    <row r="1243" ht="21" customHeight="1"/>
    <row r="1244" ht="21" customHeight="1"/>
    <row r="1245" ht="21" customHeight="1"/>
    <row r="1246" ht="21" customHeight="1"/>
    <row r="1247" ht="21" customHeight="1"/>
    <row r="1248" ht="21" customHeight="1"/>
    <row r="1249" ht="21" customHeight="1"/>
    <row r="1250" ht="21" customHeight="1"/>
    <row r="1251" ht="21" customHeight="1"/>
    <row r="1252" ht="21" customHeight="1"/>
    <row r="1253" ht="21" customHeight="1"/>
    <row r="1254" ht="21" customHeight="1"/>
    <row r="1255" ht="21" customHeight="1"/>
    <row r="1256" ht="21" customHeight="1"/>
    <row r="1257" ht="21" customHeight="1"/>
    <row r="1258" ht="21" customHeight="1"/>
    <row r="1259" ht="21" customHeight="1"/>
    <row r="1260" ht="21" customHeight="1"/>
    <row r="1261" ht="21" customHeight="1"/>
    <row r="1262" ht="21" customHeight="1"/>
    <row r="1263" ht="21" customHeight="1"/>
    <row r="1264" ht="21" customHeight="1"/>
    <row r="1265" ht="21" customHeight="1"/>
    <row r="1266" ht="21" customHeight="1"/>
    <row r="1267" ht="21" customHeight="1"/>
    <row r="1268" ht="21" customHeight="1"/>
    <row r="1269" ht="21" customHeight="1"/>
    <row r="1270" ht="21" customHeight="1"/>
    <row r="1271" ht="21" customHeight="1"/>
    <row r="1272" ht="21" customHeight="1"/>
    <row r="1273" ht="21" customHeight="1"/>
    <row r="1274" ht="21" customHeight="1"/>
    <row r="1275" ht="21" customHeight="1"/>
    <row r="1276" ht="21" customHeight="1"/>
    <row r="1277" ht="21" customHeight="1"/>
    <row r="1278" ht="21" customHeight="1"/>
    <row r="1279" ht="21" customHeight="1"/>
    <row r="1280" ht="21" customHeight="1"/>
    <row r="1281" ht="21" customHeight="1"/>
    <row r="1282" ht="21" customHeight="1"/>
    <row r="1283" ht="21" customHeight="1"/>
    <row r="1284" ht="21" customHeight="1"/>
    <row r="1285" ht="21" customHeight="1"/>
    <row r="1286" ht="21" customHeight="1"/>
    <row r="1287" ht="21" customHeight="1"/>
    <row r="1288" ht="21" customHeight="1"/>
    <row r="1289" ht="21" customHeight="1"/>
    <row r="1290" ht="21" customHeight="1"/>
    <row r="1291" ht="21" customHeight="1"/>
    <row r="1292" ht="21" customHeight="1"/>
    <row r="1293" ht="21" customHeight="1"/>
    <row r="1294" ht="21" customHeight="1"/>
    <row r="1295" ht="21" customHeight="1"/>
    <row r="1296" ht="21" customHeight="1"/>
    <row r="1297" ht="21" customHeight="1"/>
    <row r="1298" ht="21" customHeight="1"/>
    <row r="1299" ht="21" customHeight="1"/>
    <row r="1300" ht="21" customHeight="1"/>
    <row r="1301" ht="21" customHeight="1"/>
    <row r="1302" ht="21" customHeight="1"/>
    <row r="1303" ht="21" customHeight="1"/>
    <row r="1304" ht="21" customHeight="1"/>
    <row r="1305" ht="21" customHeight="1"/>
    <row r="1306" ht="21" customHeight="1"/>
    <row r="1307" ht="21" customHeight="1"/>
    <row r="1308" ht="21" customHeight="1"/>
    <row r="1309" ht="21" customHeight="1"/>
    <row r="1310" ht="21" customHeight="1"/>
    <row r="1311" ht="21" customHeight="1"/>
    <row r="1312" ht="21" customHeight="1"/>
    <row r="1313" ht="21" customHeight="1"/>
    <row r="1314" ht="21" customHeight="1"/>
    <row r="1315" ht="21" customHeight="1"/>
    <row r="1316" ht="21" customHeight="1"/>
    <row r="1317" ht="21" customHeight="1"/>
    <row r="1318" ht="21" customHeight="1"/>
    <row r="1319" ht="21" customHeight="1"/>
    <row r="1320" ht="21" customHeight="1"/>
    <row r="1321" ht="21" customHeight="1"/>
    <row r="1322" ht="21" customHeight="1"/>
    <row r="1323" ht="21" customHeight="1"/>
    <row r="1324" ht="21" customHeight="1"/>
    <row r="1325" ht="21" customHeight="1"/>
    <row r="1326" ht="21" customHeight="1"/>
    <row r="1327" ht="21" customHeight="1"/>
    <row r="1328" ht="21" customHeight="1"/>
    <row r="1329" ht="21" customHeight="1"/>
    <row r="1330" ht="21" customHeight="1"/>
    <row r="1331" ht="21" customHeight="1"/>
    <row r="1332" ht="21" customHeight="1"/>
    <row r="1333" ht="21" customHeight="1"/>
    <row r="1334" ht="21" customHeight="1"/>
    <row r="1335" ht="21" customHeight="1"/>
    <row r="1336" ht="21" customHeight="1"/>
    <row r="1337" ht="21" customHeight="1"/>
    <row r="1338" ht="21" customHeight="1"/>
    <row r="1339" ht="21" customHeight="1"/>
    <row r="1340" ht="21" customHeight="1"/>
    <row r="1341" ht="21" customHeight="1"/>
    <row r="1342" ht="21" customHeight="1"/>
    <row r="1343" ht="21" customHeight="1"/>
    <row r="1344" ht="21" customHeight="1"/>
    <row r="1345" ht="21" customHeight="1"/>
    <row r="1346" ht="21" customHeight="1"/>
    <row r="1347" ht="21" customHeight="1"/>
    <row r="1348" ht="21" customHeight="1"/>
    <row r="1349" ht="21" customHeight="1"/>
    <row r="1350" ht="21" customHeight="1"/>
    <row r="1351" ht="21" customHeight="1"/>
    <row r="1352" ht="21" customHeight="1"/>
    <row r="1353" ht="21" customHeight="1"/>
    <row r="1354" ht="21" customHeight="1"/>
    <row r="1355" ht="21" customHeight="1"/>
    <row r="1356" ht="21" customHeight="1"/>
    <row r="1357" ht="21" customHeight="1"/>
    <row r="1358" ht="21" customHeight="1"/>
    <row r="1359" ht="21" customHeight="1"/>
    <row r="1360" ht="21" customHeight="1"/>
    <row r="1361" ht="21" customHeight="1"/>
    <row r="1362" ht="21" customHeight="1"/>
    <row r="1363" ht="21" customHeight="1"/>
    <row r="1364" ht="21" customHeight="1"/>
    <row r="1365" ht="21" customHeight="1"/>
    <row r="1366" ht="21" customHeight="1"/>
    <row r="1367" ht="21" customHeight="1"/>
    <row r="1368" ht="21" customHeight="1"/>
    <row r="1369" ht="21" customHeight="1"/>
    <row r="1370" ht="21" customHeight="1"/>
    <row r="1371" ht="21" customHeight="1"/>
    <row r="1372" ht="21" customHeight="1"/>
    <row r="1373" ht="21" customHeight="1"/>
    <row r="1374" ht="21" customHeight="1"/>
    <row r="1375" ht="21" customHeight="1"/>
    <row r="1376" ht="21" customHeight="1"/>
    <row r="1377" ht="21" customHeight="1"/>
    <row r="1378" ht="21" customHeight="1"/>
    <row r="1379" ht="21" customHeight="1"/>
    <row r="1380" ht="21" customHeight="1"/>
    <row r="1381" ht="21" customHeight="1"/>
    <row r="1382" ht="21" customHeight="1"/>
    <row r="1383" ht="21" customHeight="1"/>
    <row r="1384" ht="21" customHeight="1"/>
    <row r="1385" ht="21" customHeight="1"/>
    <row r="1386" ht="21" customHeight="1"/>
    <row r="1387" ht="21" customHeight="1"/>
    <row r="1388" ht="21" customHeight="1"/>
    <row r="1389" ht="21" customHeight="1"/>
    <row r="1390" ht="21" customHeight="1"/>
    <row r="1391" ht="21" customHeight="1"/>
    <row r="1392" ht="21" customHeight="1"/>
    <row r="1393" ht="21" customHeight="1"/>
    <row r="1394" ht="21" customHeight="1"/>
    <row r="1395" ht="21" customHeight="1"/>
    <row r="1396" ht="21" customHeight="1"/>
    <row r="1397" ht="21" customHeight="1"/>
    <row r="1398" ht="21" customHeight="1"/>
    <row r="1399" ht="21" customHeight="1"/>
    <row r="1400" ht="21" customHeight="1"/>
    <row r="1401" ht="21" customHeight="1"/>
    <row r="1402" ht="21" customHeight="1"/>
    <row r="1403" ht="21" customHeight="1"/>
    <row r="1404" ht="21" customHeight="1"/>
    <row r="1405" ht="21" customHeight="1"/>
    <row r="1406" ht="21" customHeight="1"/>
    <row r="1407" ht="21" customHeight="1"/>
    <row r="1408" ht="21" customHeight="1"/>
    <row r="1409" ht="21" customHeight="1"/>
    <row r="1410" ht="21" customHeight="1"/>
    <row r="1411" ht="21" customHeight="1"/>
    <row r="1412" ht="21" customHeight="1"/>
    <row r="1413" ht="21" customHeight="1"/>
    <row r="1414" ht="21" customHeight="1"/>
    <row r="1415" ht="21" customHeight="1"/>
    <row r="1416" ht="21" customHeight="1"/>
    <row r="1417" ht="21" customHeight="1"/>
    <row r="1418" ht="21" customHeight="1"/>
    <row r="1419" ht="21" customHeight="1"/>
    <row r="1420" ht="21" customHeight="1"/>
    <row r="1421" ht="21" customHeight="1"/>
    <row r="1422" ht="21" customHeight="1"/>
    <row r="1423" ht="21" customHeight="1"/>
    <row r="1424" ht="21" customHeight="1"/>
    <row r="1425" ht="21" customHeight="1"/>
    <row r="1426" ht="21" customHeight="1"/>
    <row r="1427" ht="21" customHeight="1"/>
    <row r="1428" ht="21" customHeight="1"/>
    <row r="1429" ht="21" customHeight="1"/>
    <row r="1430" ht="21" customHeight="1"/>
    <row r="1431" ht="21" customHeight="1"/>
    <row r="1432" ht="21" customHeight="1"/>
    <row r="1433" ht="21" customHeight="1"/>
    <row r="1434" ht="21" customHeight="1"/>
    <row r="1435" ht="21" customHeight="1"/>
    <row r="1436" ht="21" customHeight="1"/>
    <row r="1437" ht="21" customHeight="1"/>
    <row r="1438" ht="21" customHeight="1"/>
    <row r="1439" ht="21" customHeight="1"/>
    <row r="1440" ht="21" customHeight="1"/>
    <row r="1441" ht="21" customHeight="1"/>
    <row r="1442" ht="21" customHeight="1"/>
    <row r="1443" ht="21" customHeight="1"/>
    <row r="1444" ht="21" customHeight="1"/>
    <row r="1445" ht="21" customHeight="1"/>
    <row r="1446" ht="21" customHeight="1"/>
    <row r="1447" ht="21" customHeight="1"/>
    <row r="1448" ht="21" customHeight="1"/>
    <row r="1449" ht="21" customHeight="1"/>
    <row r="1450" ht="21" customHeight="1"/>
    <row r="1451" ht="21" customHeight="1"/>
    <row r="1452" ht="21" customHeight="1"/>
    <row r="1453" ht="21" customHeight="1"/>
    <row r="1454" ht="21" customHeight="1"/>
    <row r="1455" ht="21" customHeight="1"/>
    <row r="1456" ht="21" customHeight="1"/>
    <row r="1457" ht="21" customHeight="1"/>
    <row r="1458" ht="21" customHeight="1"/>
    <row r="1459" ht="21" customHeight="1"/>
    <row r="1460" ht="21" customHeight="1"/>
    <row r="1461" ht="21" customHeight="1"/>
    <row r="1462" ht="21" customHeight="1"/>
    <row r="1463" ht="21" customHeight="1"/>
    <row r="1464" ht="21" customHeight="1"/>
    <row r="1465" ht="21" customHeight="1"/>
    <row r="1466" ht="21" customHeight="1"/>
    <row r="1467" ht="21" customHeight="1"/>
    <row r="1468" ht="21" customHeight="1"/>
    <row r="1469" ht="21" customHeight="1"/>
    <row r="1470" ht="21" customHeight="1"/>
    <row r="1471" ht="21" customHeight="1"/>
    <row r="1472" ht="21" customHeight="1"/>
    <row r="1473" ht="21" customHeight="1"/>
    <row r="1474" ht="21" customHeight="1"/>
    <row r="1475" ht="21" customHeight="1"/>
    <row r="1476" ht="21" customHeight="1"/>
    <row r="1477" ht="21" customHeight="1"/>
    <row r="1478" ht="21" customHeight="1"/>
    <row r="1479" ht="21" customHeight="1"/>
    <row r="1480" ht="21" customHeight="1"/>
    <row r="1481" ht="21" customHeight="1"/>
    <row r="1482" ht="21" customHeight="1"/>
    <row r="1483" ht="21" customHeight="1"/>
    <row r="1484" ht="21" customHeight="1"/>
    <row r="1485" ht="21" customHeight="1"/>
    <row r="1486" ht="21" customHeight="1"/>
    <row r="1487" ht="21" customHeight="1"/>
    <row r="1488" ht="21" customHeight="1"/>
    <row r="1489" ht="21" customHeight="1"/>
    <row r="1490" ht="21" customHeight="1"/>
    <row r="1491" ht="21" customHeight="1"/>
    <row r="1492" ht="21" customHeight="1"/>
    <row r="1493" ht="21" customHeight="1"/>
    <row r="1494" ht="21" customHeight="1"/>
    <row r="1495" ht="21" customHeight="1"/>
    <row r="1496" ht="21" customHeight="1"/>
    <row r="1497" ht="21" customHeight="1"/>
    <row r="1498" ht="21" customHeight="1"/>
    <row r="1499" ht="21" customHeight="1"/>
    <row r="1500" ht="21" customHeight="1"/>
    <row r="1501" ht="21" customHeight="1"/>
    <row r="1502" ht="21" customHeight="1"/>
    <row r="1503" ht="21" customHeight="1"/>
    <row r="1504" ht="21" customHeight="1"/>
    <row r="1505" ht="21" customHeight="1"/>
    <row r="1506" ht="21" customHeight="1"/>
    <row r="1507" ht="21" customHeight="1"/>
    <row r="1508" ht="21" customHeight="1"/>
    <row r="1509" ht="21" customHeight="1"/>
    <row r="1510" ht="21" customHeight="1"/>
    <row r="1511" ht="21" customHeight="1"/>
    <row r="1512" ht="21" customHeight="1"/>
    <row r="1513" ht="21" customHeight="1"/>
    <row r="1514" ht="21" customHeight="1"/>
    <row r="1515" ht="21" customHeight="1"/>
    <row r="1516" ht="21" customHeight="1"/>
    <row r="1517" ht="21" customHeight="1"/>
    <row r="1518" ht="21" customHeight="1"/>
    <row r="1519" ht="21" customHeight="1"/>
    <row r="1520" ht="21" customHeight="1"/>
    <row r="1521" ht="21" customHeight="1"/>
    <row r="1522" ht="21" customHeight="1"/>
    <row r="1523" ht="21" customHeight="1"/>
    <row r="1524" ht="21" customHeight="1"/>
    <row r="1525" ht="21" customHeight="1"/>
    <row r="1526" ht="21" customHeight="1"/>
    <row r="1527" ht="21" customHeight="1"/>
    <row r="1528" ht="21" customHeight="1"/>
    <row r="1529" ht="21" customHeight="1"/>
    <row r="1530" ht="21" customHeight="1"/>
    <row r="1531" ht="21" customHeight="1"/>
    <row r="1532" ht="21" customHeight="1"/>
    <row r="1533" ht="21" customHeight="1"/>
    <row r="1534" ht="21" customHeight="1"/>
    <row r="1535" ht="21" customHeight="1"/>
    <row r="1536" ht="21" customHeight="1"/>
    <row r="1537" ht="21" customHeight="1"/>
    <row r="1538" ht="21" customHeight="1"/>
    <row r="1539" ht="21" customHeight="1"/>
    <row r="1540" ht="21" customHeight="1"/>
    <row r="1541" ht="21" customHeight="1"/>
    <row r="1542" ht="21" customHeight="1"/>
    <row r="1543" ht="21" customHeight="1"/>
    <row r="1544" ht="21" customHeight="1"/>
    <row r="1545" ht="21" customHeight="1"/>
    <row r="1546" ht="21" customHeight="1"/>
    <row r="1547" ht="21" customHeight="1"/>
    <row r="1548" ht="21" customHeight="1"/>
    <row r="1549" ht="21" customHeight="1"/>
    <row r="1550" ht="21" customHeight="1"/>
    <row r="1551" ht="21" customHeight="1"/>
    <row r="1552" ht="21" customHeight="1"/>
    <row r="1553" ht="21" customHeight="1"/>
    <row r="1554" ht="21" customHeight="1"/>
    <row r="1555" ht="21" customHeight="1"/>
    <row r="1556" ht="21" customHeight="1"/>
    <row r="1557" ht="21" customHeight="1"/>
    <row r="1558" ht="21" customHeight="1"/>
    <row r="1559" ht="21" customHeight="1"/>
    <row r="1560" ht="21" customHeight="1"/>
    <row r="1561" ht="21" customHeight="1"/>
    <row r="1562" ht="21" customHeight="1"/>
    <row r="1563" ht="21" customHeight="1"/>
    <row r="1564" ht="21" customHeight="1"/>
    <row r="1565" ht="21" customHeight="1"/>
    <row r="1566" ht="21" customHeight="1"/>
    <row r="1567" ht="21" customHeight="1"/>
    <row r="1568" ht="21" customHeight="1"/>
    <row r="1569" ht="21" customHeight="1"/>
    <row r="1570" ht="21" customHeight="1"/>
    <row r="1571" ht="21" customHeight="1"/>
    <row r="1572" ht="21" customHeight="1"/>
    <row r="1573" ht="21" customHeight="1"/>
    <row r="1574" ht="21" customHeight="1"/>
    <row r="1575" ht="21" customHeight="1"/>
    <row r="1576" ht="21" customHeight="1"/>
    <row r="1577" ht="21" customHeight="1"/>
    <row r="1578" ht="21" customHeight="1"/>
    <row r="1579" ht="21" customHeight="1"/>
    <row r="1580" ht="21" customHeight="1"/>
    <row r="1581" ht="21" customHeight="1"/>
    <row r="1582" ht="21" customHeight="1"/>
    <row r="1583" ht="21" customHeight="1"/>
    <row r="1584" ht="21" customHeight="1"/>
    <row r="1585" ht="21" customHeight="1"/>
    <row r="1586" ht="21" customHeight="1"/>
    <row r="1587" ht="21" customHeight="1"/>
    <row r="1588" ht="21" customHeight="1"/>
    <row r="1589" ht="21" customHeight="1"/>
    <row r="1590" ht="21" customHeight="1"/>
    <row r="1591" ht="21" customHeight="1"/>
    <row r="1592" ht="21" customHeight="1"/>
    <row r="1593" ht="21" customHeight="1"/>
    <row r="1594" ht="21" customHeight="1"/>
    <row r="1595" ht="21" customHeight="1"/>
    <row r="1596" ht="21" customHeight="1"/>
    <row r="1597" ht="21" customHeight="1"/>
    <row r="1598" ht="21" customHeight="1"/>
    <row r="1599" ht="21" customHeight="1"/>
    <row r="1600" ht="21" customHeight="1"/>
    <row r="1601" ht="21" customHeight="1"/>
    <row r="1602" ht="21" customHeight="1"/>
    <row r="1603" ht="21" customHeight="1"/>
    <row r="1604" ht="21" customHeight="1"/>
    <row r="1605" ht="21" customHeight="1"/>
    <row r="1606" ht="21" customHeight="1"/>
    <row r="1607" ht="21" customHeight="1"/>
    <row r="1608" ht="21" customHeight="1"/>
    <row r="1609" ht="21" customHeight="1"/>
    <row r="1610" ht="21" customHeight="1"/>
    <row r="1611" ht="21" customHeight="1"/>
    <row r="1612" ht="21" customHeight="1"/>
    <row r="1613" ht="21" customHeight="1"/>
    <row r="1614" ht="21" customHeight="1"/>
    <row r="1615" ht="21" customHeight="1"/>
    <row r="1616" ht="21" customHeight="1"/>
    <row r="1617" ht="21" customHeight="1"/>
    <row r="1618" ht="21" customHeight="1"/>
    <row r="1619" ht="21" customHeight="1"/>
    <row r="1620" ht="21" customHeight="1"/>
    <row r="1621" ht="21" customHeight="1"/>
    <row r="1622" ht="21" customHeight="1"/>
    <row r="1623" ht="21" customHeight="1"/>
    <row r="1624" ht="21" customHeight="1"/>
    <row r="1625" ht="21" customHeight="1"/>
    <row r="1626" ht="21" customHeight="1"/>
    <row r="1627" ht="21" customHeight="1"/>
    <row r="1628" ht="21" customHeight="1"/>
    <row r="1629" ht="21" customHeight="1"/>
    <row r="1630" ht="21" customHeight="1"/>
    <row r="1631" ht="21" customHeight="1"/>
    <row r="1632" ht="21" customHeight="1"/>
    <row r="1633" ht="21" customHeight="1"/>
    <row r="1634" ht="21" customHeight="1"/>
    <row r="1635" ht="21" customHeight="1"/>
    <row r="1636" ht="21" customHeight="1"/>
    <row r="1637" ht="21" customHeight="1"/>
    <row r="1638" ht="21" customHeight="1"/>
    <row r="1639" ht="21" customHeight="1"/>
    <row r="1640" ht="21" customHeight="1"/>
    <row r="1641" ht="21" customHeight="1"/>
    <row r="1642" ht="21" customHeight="1"/>
    <row r="1643" ht="21" customHeight="1"/>
    <row r="1644" ht="21" customHeight="1"/>
    <row r="1645" ht="21" customHeight="1"/>
    <row r="1646" ht="21" customHeight="1"/>
    <row r="1647" ht="21" customHeight="1"/>
    <row r="1648" ht="21" customHeight="1"/>
    <row r="1649" ht="21" customHeight="1"/>
    <row r="1650" ht="21" customHeight="1"/>
    <row r="1651" ht="21" customHeight="1"/>
    <row r="1652" ht="21" customHeight="1"/>
    <row r="1653" ht="21" customHeight="1"/>
    <row r="1654" ht="21" customHeight="1"/>
    <row r="1655" ht="21" customHeight="1"/>
    <row r="1656" ht="21" customHeight="1"/>
    <row r="1657" ht="21" customHeight="1"/>
    <row r="1658" ht="21" customHeight="1"/>
    <row r="1659" ht="21" customHeight="1"/>
    <row r="1660" ht="21" customHeight="1"/>
    <row r="1661" ht="21" customHeight="1"/>
    <row r="1662" ht="21" customHeight="1"/>
    <row r="1663" ht="21" customHeight="1"/>
    <row r="1664" ht="21" customHeight="1"/>
    <row r="1665" ht="21" customHeight="1"/>
    <row r="1666" ht="21" customHeight="1"/>
    <row r="1667" ht="21" customHeight="1"/>
    <row r="1668" ht="21" customHeight="1"/>
    <row r="1669" ht="21" customHeight="1"/>
    <row r="1670" ht="21" customHeight="1"/>
    <row r="1671" ht="21" customHeight="1"/>
    <row r="1672" ht="21" customHeight="1"/>
    <row r="1673" ht="21" customHeight="1"/>
    <row r="1674" ht="21" customHeight="1"/>
    <row r="1675" ht="21" customHeight="1"/>
    <row r="1676" ht="21" customHeight="1"/>
    <row r="1677" ht="21" customHeight="1"/>
    <row r="1678" ht="21" customHeight="1"/>
    <row r="1679" ht="21" customHeight="1"/>
    <row r="1680" ht="21" customHeight="1"/>
    <row r="1681" ht="21" customHeight="1"/>
    <row r="1682" ht="21" customHeight="1"/>
    <row r="1683" ht="21" customHeight="1"/>
    <row r="1684" ht="21" customHeight="1"/>
    <row r="1685" ht="21" customHeight="1"/>
    <row r="1686" ht="21" customHeight="1"/>
    <row r="1687" ht="21" customHeight="1"/>
    <row r="1688" ht="21" customHeight="1"/>
    <row r="1689" ht="21" customHeight="1"/>
    <row r="1690" ht="21" customHeight="1"/>
  </sheetData>
  <mergeCells count="77">
    <mergeCell ref="A174:C174"/>
    <mergeCell ref="A172:C172"/>
    <mergeCell ref="A167:C167"/>
    <mergeCell ref="A168:C168"/>
    <mergeCell ref="A169:C169"/>
    <mergeCell ref="A170:C170"/>
    <mergeCell ref="A171:C171"/>
    <mergeCell ref="A119:B119"/>
    <mergeCell ref="A120:B120"/>
    <mergeCell ref="A121:B121"/>
    <mergeCell ref="A122:B122"/>
    <mergeCell ref="A114:B114"/>
    <mergeCell ref="A115:B115"/>
    <mergeCell ref="A116:B116"/>
    <mergeCell ref="A117:B117"/>
    <mergeCell ref="A118:B118"/>
    <mergeCell ref="A109:B109"/>
    <mergeCell ref="A110:B110"/>
    <mergeCell ref="A111:B111"/>
    <mergeCell ref="A112:B112"/>
    <mergeCell ref="A113:B113"/>
    <mergeCell ref="A104:B104"/>
    <mergeCell ref="A105:B105"/>
    <mergeCell ref="A106:B106"/>
    <mergeCell ref="A107:C107"/>
    <mergeCell ref="A108:B108"/>
    <mergeCell ref="A102:C102"/>
    <mergeCell ref="A123:C123"/>
    <mergeCell ref="A142:B142"/>
    <mergeCell ref="A153:C153"/>
    <mergeCell ref="A154:C154"/>
    <mergeCell ref="A126:C126"/>
    <mergeCell ref="A150:C150"/>
    <mergeCell ref="A151:C151"/>
    <mergeCell ref="A152:C152"/>
    <mergeCell ref="A145:C145"/>
    <mergeCell ref="A146:C146"/>
    <mergeCell ref="A147:C147"/>
    <mergeCell ref="A148:C148"/>
    <mergeCell ref="A149:C149"/>
    <mergeCell ref="A143:C143"/>
    <mergeCell ref="A144:C144"/>
    <mergeCell ref="A79:C79"/>
    <mergeCell ref="A80:C80"/>
    <mergeCell ref="A81:C81"/>
    <mergeCell ref="A95:C95"/>
    <mergeCell ref="A96:C96"/>
    <mergeCell ref="A82:C82"/>
    <mergeCell ref="A83:C83"/>
    <mergeCell ref="A93:C93"/>
    <mergeCell ref="A94:C94"/>
    <mergeCell ref="A75:C75"/>
    <mergeCell ref="A71:J71"/>
    <mergeCell ref="A70:C70"/>
    <mergeCell ref="A76:C76"/>
    <mergeCell ref="A77:C77"/>
    <mergeCell ref="A68:C68"/>
    <mergeCell ref="A69:C69"/>
    <mergeCell ref="A72:C72"/>
    <mergeCell ref="A73:C73"/>
    <mergeCell ref="A74:C74"/>
    <mergeCell ref="A175:B175"/>
    <mergeCell ref="A176:B176"/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</mergeCells>
  <pageMargins left="0.22" right="0.17" top="0.14000000000000001" bottom="0.2" header="0.2" footer="0.2"/>
  <pageSetup paperSize="5" scale="20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77"/>
  <sheetViews>
    <sheetView view="pageBreakPreview" topLeftCell="A61" zoomScale="55" zoomScaleNormal="71" zoomScaleSheetLayoutView="55" workbookViewId="0">
      <selection activeCell="H85" sqref="H85"/>
    </sheetView>
  </sheetViews>
  <sheetFormatPr defaultColWidth="22.33203125" defaultRowHeight="29.25"/>
  <cols>
    <col min="1" max="1" width="59.6640625" style="454" bestFit="1" customWidth="1"/>
    <col min="2" max="2" width="30.77734375" style="457" customWidth="1"/>
    <col min="3" max="3" width="15.88671875" style="457" customWidth="1"/>
    <col min="4" max="4" width="13.6640625" style="537" customWidth="1"/>
    <col min="5" max="6" width="30" style="537" customWidth="1"/>
    <col min="7" max="7" width="28.88671875" style="1358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3" width="0" style="376" hidden="1" customWidth="1"/>
    <col min="14" max="14" width="25.109375" style="376" customWidth="1"/>
    <col min="15" max="16384" width="22.33203125" style="376"/>
  </cols>
  <sheetData>
    <row r="1" spans="1:15" ht="33.75">
      <c r="A1" s="1549" t="s">
        <v>116</v>
      </c>
      <c r="B1" s="1550"/>
      <c r="C1" s="1550"/>
      <c r="D1" s="1550"/>
      <c r="E1" s="1550"/>
      <c r="F1" s="1550"/>
      <c r="G1" s="1550"/>
      <c r="H1" s="1550"/>
      <c r="I1" s="1550"/>
      <c r="J1" s="1551"/>
    </row>
    <row r="2" spans="1:15" s="281" customFormat="1" ht="27">
      <c r="A2" s="575" t="s">
        <v>372</v>
      </c>
      <c r="B2" s="1033">
        <v>44369</v>
      </c>
      <c r="C2" s="1365" t="s">
        <v>68</v>
      </c>
      <c r="D2" s="611">
        <v>0.72</v>
      </c>
      <c r="E2" s="461"/>
      <c r="F2" s="461"/>
      <c r="G2" s="1329" t="s">
        <v>117</v>
      </c>
      <c r="H2" s="461" t="s">
        <v>6</v>
      </c>
      <c r="I2" s="461" t="s">
        <v>8</v>
      </c>
      <c r="J2" s="613" t="s">
        <v>118</v>
      </c>
    </row>
    <row r="3" spans="1:15" s="281" customFormat="1" ht="27">
      <c r="A3" s="570"/>
      <c r="B3" s="614"/>
      <c r="C3" s="1365" t="s">
        <v>119</v>
      </c>
      <c r="D3" s="612">
        <v>27</v>
      </c>
      <c r="E3" s="1558" t="s">
        <v>120</v>
      </c>
      <c r="F3" s="1559"/>
      <c r="G3" s="1330">
        <f>'1'!G3</f>
        <v>0</v>
      </c>
      <c r="H3" s="463">
        <f>'1'!H3</f>
        <v>0</v>
      </c>
      <c r="I3" s="463">
        <f>'1'!I3</f>
        <v>0</v>
      </c>
      <c r="J3" s="615">
        <f>'1'!J3</f>
        <v>0</v>
      </c>
      <c r="K3" s="371"/>
      <c r="L3" s="292"/>
    </row>
    <row r="4" spans="1:15" s="281" customFormat="1" ht="27">
      <c r="A4" s="576"/>
      <c r="B4" s="616"/>
      <c r="C4" s="1365" t="s">
        <v>121</v>
      </c>
      <c r="D4" s="611">
        <v>0.84</v>
      </c>
      <c r="E4" s="464"/>
      <c r="F4" s="464"/>
      <c r="G4" s="1330"/>
      <c r="H4" s="464"/>
      <c r="I4" s="465"/>
      <c r="J4" s="615"/>
      <c r="K4" s="372"/>
      <c r="L4" s="292"/>
    </row>
    <row r="5" spans="1:15">
      <c r="A5" s="577" t="s">
        <v>122</v>
      </c>
      <c r="B5" s="459"/>
      <c r="C5" s="459"/>
      <c r="D5" s="511" t="s">
        <v>123</v>
      </c>
      <c r="E5" s="467" t="s">
        <v>124</v>
      </c>
      <c r="F5" s="467" t="s">
        <v>111</v>
      </c>
      <c r="G5" s="1331" t="s">
        <v>125</v>
      </c>
      <c r="H5" s="469" t="s">
        <v>126</v>
      </c>
      <c r="I5" s="470" t="s">
        <v>127</v>
      </c>
      <c r="J5" s="550" t="s">
        <v>128</v>
      </c>
      <c r="K5" s="426"/>
      <c r="L5" s="377"/>
    </row>
    <row r="6" spans="1:15">
      <c r="A6" s="1552" t="s">
        <v>129</v>
      </c>
      <c r="B6" s="1553"/>
      <c r="C6" s="1554"/>
      <c r="D6" s="471"/>
      <c r="E6" s="471"/>
      <c r="F6" s="471"/>
      <c r="G6" s="1332"/>
      <c r="H6" s="472"/>
      <c r="I6" s="472"/>
      <c r="J6" s="551"/>
      <c r="K6" s="427"/>
      <c r="L6" s="377"/>
    </row>
    <row r="7" spans="1:15" ht="30" thickBot="1">
      <c r="A7" s="578" t="s">
        <v>130</v>
      </c>
      <c r="B7" s="579"/>
      <c r="C7" s="579"/>
      <c r="D7" s="523" t="s">
        <v>131</v>
      </c>
      <c r="E7" s="455">
        <f>'21'!F7</f>
        <v>736340.15</v>
      </c>
      <c r="F7" s="455">
        <v>756933.83</v>
      </c>
      <c r="G7" s="1333">
        <f>F7-E7</f>
        <v>20593.679999999935</v>
      </c>
      <c r="H7" s="460">
        <f>G7+'21'!H7</f>
        <v>412521.82999999996</v>
      </c>
      <c r="I7" s="474">
        <f>'1'!I7</f>
        <v>12000</v>
      </c>
      <c r="J7" s="552">
        <f>H7/DAY(B2)</f>
        <v>18750.992272727271</v>
      </c>
      <c r="K7" s="549"/>
      <c r="L7" s="377"/>
      <c r="N7" s="382"/>
      <c r="O7" s="382"/>
    </row>
    <row r="8" spans="1:15" ht="27.75" thickBot="1">
      <c r="A8" s="580" t="s">
        <v>132</v>
      </c>
      <c r="B8" s="581"/>
      <c r="C8" s="582"/>
      <c r="D8" s="617" t="s">
        <v>25</v>
      </c>
      <c r="E8" s="475">
        <f>'21'!F8</f>
        <v>740179.07</v>
      </c>
      <c r="F8" s="475">
        <v>760885.27</v>
      </c>
      <c r="G8" s="1334">
        <f>F8-E8</f>
        <v>20706.20000000007</v>
      </c>
      <c r="H8" s="460">
        <f>G8+'21'!H8</f>
        <v>414375.27</v>
      </c>
      <c r="I8" s="477">
        <f>'1'!I8</f>
        <v>12000</v>
      </c>
      <c r="J8" s="552">
        <f>H8/DAY(B2)</f>
        <v>18835.239545454548</v>
      </c>
      <c r="K8" s="549"/>
      <c r="L8" s="425"/>
      <c r="M8" s="440"/>
      <c r="N8" s="382"/>
      <c r="O8" s="382"/>
    </row>
    <row r="9" spans="1:15">
      <c r="A9" s="583" t="s">
        <v>133</v>
      </c>
      <c r="B9" s="584"/>
      <c r="C9" s="584"/>
      <c r="D9" s="523" t="s">
        <v>131</v>
      </c>
      <c r="E9" s="478">
        <f>'21'!F9</f>
        <v>1853193.5</v>
      </c>
      <c r="F9" s="478">
        <v>1873128.53</v>
      </c>
      <c r="G9" s="1333">
        <f t="shared" ref="G9:G12" si="0">F9-E9</f>
        <v>19935.030000000028</v>
      </c>
      <c r="H9" s="460">
        <f>G9+'21'!H9</f>
        <v>399438.53</v>
      </c>
      <c r="I9" s="479">
        <f>I8-J8</f>
        <v>-6835.2395454545476</v>
      </c>
      <c r="J9" s="552">
        <f>H9/DAY(B2)</f>
        <v>18156.296818181818</v>
      </c>
      <c r="K9" s="428"/>
      <c r="L9" s="377"/>
      <c r="N9" s="382"/>
      <c r="O9" s="382"/>
    </row>
    <row r="10" spans="1:15">
      <c r="A10" s="578" t="s">
        <v>134</v>
      </c>
      <c r="B10" s="579"/>
      <c r="C10" s="579"/>
      <c r="D10" s="523" t="s">
        <v>131</v>
      </c>
      <c r="E10" s="478">
        <f>'21'!F10</f>
        <v>0</v>
      </c>
      <c r="F10" s="478"/>
      <c r="G10" s="1333">
        <f t="shared" si="0"/>
        <v>0</v>
      </c>
      <c r="H10" s="460">
        <f>G10+'21'!H10</f>
        <v>0.71999999999979991</v>
      </c>
      <c r="I10" s="480"/>
      <c r="J10" s="552">
        <f>H10/DAY(B2)</f>
        <v>3.2727272727263633E-2</v>
      </c>
      <c r="K10" s="428"/>
      <c r="L10" s="377"/>
      <c r="N10" s="382"/>
      <c r="O10" s="382"/>
    </row>
    <row r="11" spans="1:15">
      <c r="A11" s="578" t="s">
        <v>135</v>
      </c>
      <c r="B11" s="579"/>
      <c r="C11" s="579"/>
      <c r="D11" s="523" t="s">
        <v>131</v>
      </c>
      <c r="E11" s="478">
        <f>'21'!F11</f>
        <v>37000</v>
      </c>
      <c r="F11" s="455">
        <v>37000</v>
      </c>
      <c r="G11" s="1333">
        <f t="shared" si="0"/>
        <v>0</v>
      </c>
      <c r="H11" s="460">
        <f>G11+'21'!H11</f>
        <v>0</v>
      </c>
      <c r="I11" s="480"/>
      <c r="J11" s="552">
        <f>H11/DAY(B2)</f>
        <v>0</v>
      </c>
      <c r="K11" s="428"/>
      <c r="L11" s="377"/>
      <c r="N11" s="382"/>
      <c r="O11" s="382"/>
    </row>
    <row r="12" spans="1:15">
      <c r="A12" s="578" t="s">
        <v>136</v>
      </c>
      <c r="B12" s="579"/>
      <c r="C12" s="579"/>
      <c r="D12" s="523" t="s">
        <v>131</v>
      </c>
      <c r="E12" s="478">
        <f>'21'!F12</f>
        <v>40010</v>
      </c>
      <c r="F12" s="478">
        <v>40010</v>
      </c>
      <c r="G12" s="1333">
        <f t="shared" si="0"/>
        <v>0</v>
      </c>
      <c r="H12" s="460">
        <f>G12+'21'!H12</f>
        <v>0</v>
      </c>
      <c r="I12" s="480"/>
      <c r="J12" s="552">
        <f>H12/DAY(B2)</f>
        <v>0</v>
      </c>
      <c r="K12" s="428"/>
      <c r="L12" s="377"/>
      <c r="N12" s="382"/>
      <c r="O12" s="382"/>
    </row>
    <row r="13" spans="1:15">
      <c r="A13" s="585" t="s">
        <v>137</v>
      </c>
      <c r="B13" s="586"/>
      <c r="C13" s="586"/>
      <c r="D13" s="523"/>
      <c r="E13" s="455"/>
      <c r="F13" s="455"/>
      <c r="G13" s="1335">
        <f>G9+G10+G11+G12</f>
        <v>19935.030000000028</v>
      </c>
      <c r="H13" s="460">
        <f>G13+'21'!H13</f>
        <v>382914.25</v>
      </c>
      <c r="I13" s="482">
        <f>G7-G13</f>
        <v>658.64999999990687</v>
      </c>
      <c r="J13" s="552">
        <f>H13/DAY(B2)</f>
        <v>17405.19318181818</v>
      </c>
      <c r="K13" s="428"/>
      <c r="L13" s="377"/>
      <c r="N13" s="382"/>
      <c r="O13" s="382"/>
    </row>
    <row r="14" spans="1:15">
      <c r="A14" s="1555" t="s">
        <v>138</v>
      </c>
      <c r="B14" s="1556"/>
      <c r="C14" s="1557"/>
      <c r="D14" s="472"/>
      <c r="E14" s="472"/>
      <c r="F14" s="472"/>
      <c r="G14" s="1336"/>
      <c r="H14" s="472"/>
      <c r="I14" s="472"/>
      <c r="J14" s="551"/>
      <c r="K14" s="429"/>
      <c r="L14" s="377"/>
      <c r="N14" s="382"/>
      <c r="O14" s="382"/>
    </row>
    <row r="15" spans="1:15">
      <c r="A15" s="1363" t="s">
        <v>139</v>
      </c>
      <c r="B15" s="589"/>
      <c r="C15" s="589"/>
      <c r="D15" s="523" t="s">
        <v>140</v>
      </c>
      <c r="E15" s="484">
        <f>'21'!F15</f>
        <v>1697100.89</v>
      </c>
      <c r="F15" s="484">
        <v>1697688.97</v>
      </c>
      <c r="G15" s="1337">
        <f>(F15-E15)</f>
        <v>588.08000000007451</v>
      </c>
      <c r="H15" s="460">
        <f>G15+'21'!H15</f>
        <v>13164.969999999972</v>
      </c>
      <c r="I15" s="474">
        <v>800</v>
      </c>
      <c r="J15" s="552">
        <f>H15/DAY(B2)</f>
        <v>598.40772727272599</v>
      </c>
      <c r="K15" s="428"/>
      <c r="L15" s="377"/>
      <c r="N15" s="382"/>
      <c r="O15" s="722"/>
    </row>
    <row r="16" spans="1:15">
      <c r="A16" s="587"/>
      <c r="B16" s="588"/>
      <c r="C16" s="588"/>
      <c r="D16" s="524"/>
      <c r="E16" s="485"/>
      <c r="F16" s="485"/>
      <c r="G16" s="1333"/>
      <c r="H16" s="486"/>
      <c r="I16" s="487">
        <f>I15-J15</f>
        <v>201.59227272727401</v>
      </c>
      <c r="J16" s="553"/>
      <c r="K16" s="428"/>
      <c r="L16" s="377"/>
      <c r="N16" s="382"/>
      <c r="O16" s="382"/>
    </row>
    <row r="17" spans="1:15">
      <c r="A17" s="1555" t="s">
        <v>141</v>
      </c>
      <c r="B17" s="1556"/>
      <c r="C17" s="1557"/>
      <c r="D17" s="472"/>
      <c r="E17" s="472"/>
      <c r="F17" s="472"/>
      <c r="G17" s="1336"/>
      <c r="H17" s="472"/>
      <c r="I17" s="472"/>
      <c r="J17" s="551"/>
      <c r="K17" s="428"/>
      <c r="L17" s="377"/>
      <c r="N17" s="382"/>
      <c r="O17" s="382"/>
    </row>
    <row r="18" spans="1:15" ht="27.75">
      <c r="A18" s="1537" t="s">
        <v>142</v>
      </c>
      <c r="B18" s="1538"/>
      <c r="C18" s="1539"/>
      <c r="D18" s="523" t="s">
        <v>143</v>
      </c>
      <c r="E18" s="484">
        <f>'21'!F18</f>
        <v>14</v>
      </c>
      <c r="F18" s="484">
        <v>9</v>
      </c>
      <c r="G18" s="1335">
        <f>F18*10</f>
        <v>90</v>
      </c>
      <c r="H18" s="460">
        <f>G18+'21'!H18</f>
        <v>1690</v>
      </c>
      <c r="I18" s="474">
        <f>'1'!I18</f>
        <v>65</v>
      </c>
      <c r="J18" s="552">
        <f>H18/DAY(B2)</f>
        <v>76.818181818181813</v>
      </c>
      <c r="K18" s="428"/>
      <c r="L18" s="377"/>
      <c r="N18" s="382"/>
      <c r="O18" s="382"/>
    </row>
    <row r="19" spans="1:15" ht="27.75">
      <c r="A19" s="1537" t="s">
        <v>70</v>
      </c>
      <c r="B19" s="1538"/>
      <c r="C19" s="1539"/>
      <c r="D19" s="523" t="s">
        <v>143</v>
      </c>
      <c r="E19" s="484">
        <f>'21'!F19</f>
        <v>140931</v>
      </c>
      <c r="F19" s="484">
        <v>140993</v>
      </c>
      <c r="G19" s="1333">
        <f t="shared" ref="G19" si="1">F19-E19</f>
        <v>62</v>
      </c>
      <c r="H19" s="460">
        <f>G19+'21'!H19</f>
        <v>1381</v>
      </c>
      <c r="I19" s="489"/>
      <c r="J19" s="552">
        <f>H19/DAY(B2)</f>
        <v>62.772727272727273</v>
      </c>
      <c r="K19" s="428"/>
      <c r="L19" s="377"/>
      <c r="N19" s="382"/>
      <c r="O19" s="382"/>
    </row>
    <row r="20" spans="1:15">
      <c r="A20" s="585" t="s">
        <v>144</v>
      </c>
      <c r="B20" s="586"/>
      <c r="C20" s="586"/>
      <c r="D20" s="490"/>
      <c r="E20" s="490"/>
      <c r="F20" s="490"/>
      <c r="G20" s="1338">
        <f>G18+G19</f>
        <v>152</v>
      </c>
      <c r="H20" s="460">
        <f>G20+'21'!H20</f>
        <v>3071</v>
      </c>
      <c r="I20" s="492">
        <f>I18-J20</f>
        <v>-74.590909090909093</v>
      </c>
      <c r="J20" s="552">
        <f>H20/DAY(B2)</f>
        <v>139.59090909090909</v>
      </c>
      <c r="K20" s="428"/>
      <c r="L20" s="377"/>
      <c r="N20" s="382"/>
      <c r="O20" s="382"/>
    </row>
    <row r="21" spans="1:15">
      <c r="A21" s="1555" t="s">
        <v>145</v>
      </c>
      <c r="B21" s="1556"/>
      <c r="C21" s="1557"/>
      <c r="D21" s="472"/>
      <c r="E21" s="472"/>
      <c r="F21" s="472"/>
      <c r="G21" s="1336"/>
      <c r="H21" s="472"/>
      <c r="I21" s="472"/>
      <c r="J21" s="551"/>
      <c r="K21" s="428"/>
      <c r="L21" s="377"/>
      <c r="N21" s="382"/>
      <c r="O21" s="382"/>
    </row>
    <row r="22" spans="1:15">
      <c r="A22" s="1363" t="s">
        <v>146</v>
      </c>
      <c r="B22" s="589"/>
      <c r="C22" s="589"/>
      <c r="D22" s="523" t="s">
        <v>147</v>
      </c>
      <c r="E22" s="484">
        <f>'21'!F22</f>
        <v>2970</v>
      </c>
      <c r="F22" s="484">
        <v>2970</v>
      </c>
      <c r="G22" s="1335">
        <f>(F22-E22)</f>
        <v>0</v>
      </c>
      <c r="H22" s="460">
        <f>G22+'21'!H22</f>
        <v>0</v>
      </c>
      <c r="I22" s="480"/>
      <c r="J22" s="552">
        <f>H22/DAY(B2)</f>
        <v>0</v>
      </c>
      <c r="K22" s="428"/>
      <c r="L22" s="377"/>
      <c r="N22" s="382"/>
      <c r="O22" s="382"/>
    </row>
    <row r="23" spans="1:15">
      <c r="A23" s="1363" t="s">
        <v>148</v>
      </c>
      <c r="B23" s="589"/>
      <c r="C23" s="589"/>
      <c r="D23" s="523" t="s">
        <v>147</v>
      </c>
      <c r="E23" s="484">
        <f>'21'!F23</f>
        <v>2000</v>
      </c>
      <c r="F23" s="484">
        <v>2000</v>
      </c>
      <c r="G23" s="1335">
        <v>0</v>
      </c>
      <c r="H23" s="460">
        <f>G23+'21'!H23</f>
        <v>0</v>
      </c>
      <c r="I23" s="480"/>
      <c r="J23" s="552">
        <f>H23/DAY(B2)</f>
        <v>0</v>
      </c>
      <c r="K23" s="428"/>
      <c r="L23" s="377"/>
      <c r="N23" s="382"/>
      <c r="O23" s="382"/>
    </row>
    <row r="24" spans="1:15">
      <c r="A24" s="590" t="s">
        <v>149</v>
      </c>
      <c r="B24" s="591"/>
      <c r="C24" s="591"/>
      <c r="D24" s="511" t="s">
        <v>147</v>
      </c>
      <c r="E24" s="493">
        <f>'21'!F24</f>
        <v>4970</v>
      </c>
      <c r="F24" s="493">
        <v>4970</v>
      </c>
      <c r="G24" s="1335">
        <v>0</v>
      </c>
      <c r="H24" s="460">
        <f>G24+'21'!H24</f>
        <v>0</v>
      </c>
      <c r="I24" s="480"/>
      <c r="J24" s="552">
        <f>H24/DAY(B2)</f>
        <v>0</v>
      </c>
      <c r="K24" s="428"/>
      <c r="L24" s="377"/>
      <c r="N24" s="382"/>
      <c r="O24" s="382"/>
    </row>
    <row r="25" spans="1:15" s="442" customFormat="1" ht="27">
      <c r="A25" s="1560" t="s">
        <v>150</v>
      </c>
      <c r="B25" s="1561"/>
      <c r="C25" s="1562"/>
      <c r="D25" s="471"/>
      <c r="E25" s="471"/>
      <c r="F25" s="471"/>
      <c r="G25" s="1339"/>
      <c r="H25" s="495"/>
      <c r="I25" s="496"/>
      <c r="J25" s="554"/>
      <c r="K25" s="373"/>
      <c r="L25" s="443"/>
      <c r="N25" s="444"/>
      <c r="O25" s="382"/>
    </row>
    <row r="26" spans="1:15" s="442" customFormat="1" ht="27.75">
      <c r="A26" s="592" t="s">
        <v>151</v>
      </c>
      <c r="B26" s="593"/>
      <c r="C26" s="594"/>
      <c r="D26" s="618" t="s">
        <v>152</v>
      </c>
      <c r="E26" s="497"/>
      <c r="F26" s="497"/>
      <c r="G26" s="1340"/>
      <c r="H26" s="460"/>
      <c r="I26" s="499"/>
      <c r="J26" s="552"/>
      <c r="K26" s="374"/>
      <c r="L26" s="443"/>
      <c r="N26" s="444"/>
      <c r="O26" s="382"/>
    </row>
    <row r="27" spans="1:15" s="442" customFormat="1" ht="27.75">
      <c r="A27" s="592" t="s">
        <v>6</v>
      </c>
      <c r="B27" s="593"/>
      <c r="C27" s="594"/>
      <c r="D27" s="619" t="s">
        <v>25</v>
      </c>
      <c r="E27" s="501">
        <f>G8</f>
        <v>20706.20000000007</v>
      </c>
      <c r="F27" s="501">
        <v>9</v>
      </c>
      <c r="G27" s="1341">
        <f>E27*F27</f>
        <v>186355.80000000063</v>
      </c>
      <c r="H27" s="460">
        <f>G27+'21'!H27</f>
        <v>3728540.43</v>
      </c>
      <c r="I27" s="503"/>
      <c r="J27" s="552">
        <f>H27/DAY(B2)</f>
        <v>169479.11045454547</v>
      </c>
      <c r="K27" s="373"/>
      <c r="L27" s="443"/>
      <c r="N27" s="444"/>
      <c r="O27" s="382"/>
    </row>
    <row r="28" spans="1:15" s="442" customFormat="1" ht="27.75">
      <c r="A28" s="592" t="s">
        <v>153</v>
      </c>
      <c r="B28" s="593"/>
      <c r="C28" s="594"/>
      <c r="D28" s="619" t="s">
        <v>154</v>
      </c>
      <c r="E28" s="501">
        <f>G15</f>
        <v>588.08000000007451</v>
      </c>
      <c r="F28" s="501">
        <v>52</v>
      </c>
      <c r="G28" s="1341">
        <f>E28*F28</f>
        <v>30580.160000003874</v>
      </c>
      <c r="H28" s="460">
        <f>G28+'21'!H28</f>
        <v>684578.43999999855</v>
      </c>
      <c r="I28" s="505"/>
      <c r="J28" s="552">
        <f>H28/DAY(B2)</f>
        <v>31117.201818181751</v>
      </c>
      <c r="K28" s="373"/>
      <c r="L28" s="443"/>
      <c r="N28" s="444"/>
      <c r="O28" s="382"/>
    </row>
    <row r="29" spans="1:15" s="442" customFormat="1" ht="27.75">
      <c r="A29" s="592" t="s">
        <v>155</v>
      </c>
      <c r="B29" s="593"/>
      <c r="C29" s="594"/>
      <c r="D29" s="619" t="s">
        <v>156</v>
      </c>
      <c r="E29" s="501">
        <f>G24</f>
        <v>0</v>
      </c>
      <c r="F29" s="501">
        <v>69</v>
      </c>
      <c r="G29" s="1341">
        <f>E29*F29</f>
        <v>0</v>
      </c>
      <c r="H29" s="460">
        <f>G29+'21'!H29</f>
        <v>8280</v>
      </c>
      <c r="I29" s="505"/>
      <c r="J29" s="552">
        <f>H29/DAY(B2)</f>
        <v>376.36363636363637</v>
      </c>
      <c r="K29" s="373"/>
      <c r="L29" s="443"/>
      <c r="N29" s="444"/>
      <c r="O29" s="382"/>
    </row>
    <row r="30" spans="1:15" s="442" customFormat="1" ht="27.75">
      <c r="A30" s="592" t="s">
        <v>157</v>
      </c>
      <c r="B30" s="593"/>
      <c r="C30" s="594"/>
      <c r="D30" s="619" t="s">
        <v>158</v>
      </c>
      <c r="E30" s="501">
        <f>G19</f>
        <v>62</v>
      </c>
      <c r="F30" s="501">
        <v>146</v>
      </c>
      <c r="G30" s="1341">
        <f>E30*F30</f>
        <v>9052</v>
      </c>
      <c r="H30" s="460">
        <f>G30+'21'!H30</f>
        <v>201626</v>
      </c>
      <c r="I30" s="505"/>
      <c r="J30" s="552">
        <f>H30/DAY(B2)</f>
        <v>9164.818181818182</v>
      </c>
      <c r="K30" s="373"/>
      <c r="L30" s="443"/>
      <c r="N30" s="444"/>
      <c r="O30" s="382"/>
    </row>
    <row r="31" spans="1:15" s="442" customFormat="1" ht="27.75">
      <c r="A31" s="592" t="s">
        <v>159</v>
      </c>
      <c r="B31" s="593"/>
      <c r="C31" s="594"/>
      <c r="D31" s="619" t="s">
        <v>143</v>
      </c>
      <c r="E31" s="501">
        <f>G18</f>
        <v>90</v>
      </c>
      <c r="F31" s="501">
        <v>80</v>
      </c>
      <c r="G31" s="1341">
        <f>E31*F31</f>
        <v>7200</v>
      </c>
      <c r="H31" s="460">
        <f>G31+'21'!H31</f>
        <v>135200</v>
      </c>
      <c r="I31" s="505"/>
      <c r="J31" s="552">
        <f>H31/DAY(B2)</f>
        <v>6145.454545454545</v>
      </c>
      <c r="K31" s="373"/>
      <c r="L31" s="443"/>
      <c r="N31" s="444"/>
      <c r="O31" s="382"/>
    </row>
    <row r="32" spans="1:15" s="442" customFormat="1" ht="27.75">
      <c r="A32" s="595" t="s">
        <v>160</v>
      </c>
      <c r="B32" s="596"/>
      <c r="C32" s="597"/>
      <c r="D32" s="507"/>
      <c r="E32" s="507"/>
      <c r="F32" s="507"/>
      <c r="G32" s="1342">
        <f>G27+G28+G29+G30+G31</f>
        <v>233187.9600000045</v>
      </c>
      <c r="H32" s="460">
        <f>G32+'21'!H32</f>
        <v>4758224.8699999992</v>
      </c>
      <c r="I32" s="509"/>
      <c r="J32" s="552">
        <f>H32/DAY(B2)</f>
        <v>216282.94863636361</v>
      </c>
      <c r="K32" s="373"/>
      <c r="L32" s="443"/>
      <c r="N32" s="444"/>
      <c r="O32" s="382"/>
    </row>
    <row r="33" spans="1:15" ht="25.5">
      <c r="A33" s="1563" t="s">
        <v>161</v>
      </c>
      <c r="B33" s="1564"/>
      <c r="C33" s="1564"/>
      <c r="D33" s="1564"/>
      <c r="E33" s="1564"/>
      <c r="F33" s="1564"/>
      <c r="G33" s="1564"/>
      <c r="H33" s="1564"/>
      <c r="I33" s="1564"/>
      <c r="J33" s="1565"/>
      <c r="K33" s="428"/>
      <c r="L33" s="377"/>
      <c r="N33" s="382"/>
      <c r="O33" s="382"/>
    </row>
    <row r="34" spans="1:15">
      <c r="A34" s="598" t="s">
        <v>162</v>
      </c>
      <c r="B34" s="1368"/>
      <c r="C34" s="1368"/>
      <c r="D34" s="472"/>
      <c r="E34" s="471"/>
      <c r="F34" s="471"/>
      <c r="G34" s="1343"/>
      <c r="H34" s="472"/>
      <c r="I34" s="472"/>
      <c r="J34" s="551"/>
      <c r="K34" s="428"/>
      <c r="L34" s="377"/>
      <c r="N34" s="382"/>
      <c r="O34" s="382"/>
    </row>
    <row r="35" spans="1:15">
      <c r="A35" s="578" t="s">
        <v>163</v>
      </c>
      <c r="B35" s="579"/>
      <c r="C35" s="579"/>
      <c r="D35" s="523" t="s">
        <v>131</v>
      </c>
      <c r="E35" s="510">
        <f>'21'!F35</f>
        <v>1003179.1</v>
      </c>
      <c r="F35" s="510">
        <v>1006080</v>
      </c>
      <c r="G35" s="1333">
        <f t="shared" ref="G35:G46" si="2">F35-E35</f>
        <v>2900.9000000000233</v>
      </c>
      <c r="H35" s="460">
        <f>G35+'21'!H35</f>
        <v>55592</v>
      </c>
      <c r="I35" s="455"/>
      <c r="J35" s="552">
        <f>H35/DAY(B2)</f>
        <v>2526.909090909091</v>
      </c>
      <c r="K35" s="428"/>
      <c r="L35" s="377"/>
      <c r="N35" s="382"/>
      <c r="O35" s="628"/>
    </row>
    <row r="36" spans="1:15">
      <c r="A36" s="578" t="s">
        <v>164</v>
      </c>
      <c r="B36" s="579"/>
      <c r="C36" s="579"/>
      <c r="D36" s="523" t="s">
        <v>131</v>
      </c>
      <c r="E36" s="510">
        <f>'21'!F36</f>
        <v>13824.15</v>
      </c>
      <c r="F36" s="510">
        <v>14565.67</v>
      </c>
      <c r="G36" s="1333">
        <f t="shared" si="2"/>
        <v>741.52000000000044</v>
      </c>
      <c r="H36" s="460">
        <f>G36+'21'!H36</f>
        <v>14392.67</v>
      </c>
      <c r="I36" s="455"/>
      <c r="J36" s="552">
        <f>H36/DAY(B2)</f>
        <v>654.21227272727276</v>
      </c>
      <c r="K36" s="428"/>
      <c r="L36" s="377"/>
      <c r="N36" s="382"/>
      <c r="O36" s="628"/>
    </row>
    <row r="37" spans="1:15">
      <c r="A37" s="578" t="s">
        <v>165</v>
      </c>
      <c r="B37" s="579"/>
      <c r="C37" s="579"/>
      <c r="D37" s="523" t="s">
        <v>131</v>
      </c>
      <c r="E37" s="510">
        <f>'21'!F37</f>
        <v>163376.22</v>
      </c>
      <c r="F37" s="510">
        <v>164855.25</v>
      </c>
      <c r="G37" s="1333">
        <f t="shared" si="2"/>
        <v>1479.0299999999988</v>
      </c>
      <c r="H37" s="460">
        <f>G37+'21'!H37</f>
        <v>30619.25</v>
      </c>
      <c r="I37" s="455"/>
      <c r="J37" s="552">
        <f>H37/DAY(B2)</f>
        <v>1391.784090909091</v>
      </c>
      <c r="K37" s="428"/>
      <c r="L37" s="377"/>
      <c r="N37" s="382"/>
      <c r="O37" s="382"/>
    </row>
    <row r="38" spans="1:15">
      <c r="A38" s="578" t="s">
        <v>166</v>
      </c>
      <c r="B38" s="579"/>
      <c r="C38" s="579"/>
      <c r="D38" s="523" t="s">
        <v>131</v>
      </c>
      <c r="E38" s="469">
        <f>'21'!F38</f>
        <v>184337.75</v>
      </c>
      <c r="F38" s="469">
        <v>185915.75</v>
      </c>
      <c r="G38" s="1333">
        <f t="shared" si="2"/>
        <v>1578</v>
      </c>
      <c r="H38" s="460">
        <f>G38+'21'!H38</f>
        <v>29510.75</v>
      </c>
      <c r="I38" s="455"/>
      <c r="J38" s="552">
        <f>H38/DAY(B2)</f>
        <v>1341.3977272727273</v>
      </c>
      <c r="K38" s="428"/>
      <c r="L38" s="377"/>
      <c r="N38" s="382"/>
      <c r="O38" s="382"/>
    </row>
    <row r="39" spans="1:15">
      <c r="A39" s="578" t="s">
        <v>167</v>
      </c>
      <c r="B39" s="579"/>
      <c r="C39" s="579"/>
      <c r="D39" s="523" t="s">
        <v>131</v>
      </c>
      <c r="E39" s="510">
        <f>'21'!F39</f>
        <v>372469.99</v>
      </c>
      <c r="F39" s="510">
        <v>375879.99</v>
      </c>
      <c r="G39" s="1333">
        <f t="shared" si="2"/>
        <v>3410</v>
      </c>
      <c r="H39" s="460">
        <f>G39+'21'!H39</f>
        <v>67706.989999999991</v>
      </c>
      <c r="I39" s="455"/>
      <c r="J39" s="552">
        <f>H39/DAY(B2)</f>
        <v>3077.5904545454541</v>
      </c>
      <c r="K39" s="428"/>
      <c r="L39" s="377"/>
      <c r="N39" s="382"/>
      <c r="O39" s="382"/>
    </row>
    <row r="40" spans="1:15">
      <c r="A40" s="599" t="s">
        <v>168</v>
      </c>
      <c r="B40" s="600"/>
      <c r="C40" s="600"/>
      <c r="D40" s="523" t="s">
        <v>131</v>
      </c>
      <c r="E40" s="510">
        <f>'21'!F40</f>
        <v>3986.96</v>
      </c>
      <c r="F40" s="510">
        <v>4607.82</v>
      </c>
      <c r="G40" s="1333">
        <f t="shared" si="2"/>
        <v>620.85999999999967</v>
      </c>
      <c r="H40" s="460">
        <f>G40+'21'!H40</f>
        <v>3718.8199999999997</v>
      </c>
      <c r="I40" s="455"/>
      <c r="J40" s="552">
        <f>H40/DAY(B2)</f>
        <v>169.03727272727272</v>
      </c>
      <c r="K40" s="429"/>
      <c r="L40" s="377"/>
      <c r="N40" s="382"/>
      <c r="O40" s="382"/>
    </row>
    <row r="41" spans="1:15">
      <c r="A41" s="578" t="s">
        <v>169</v>
      </c>
      <c r="B41" s="579"/>
      <c r="C41" s="579"/>
      <c r="D41" s="523" t="s">
        <v>131</v>
      </c>
      <c r="E41" s="510">
        <f>'21'!F41</f>
        <v>304892.09000000003</v>
      </c>
      <c r="F41" s="510">
        <v>308352.25</v>
      </c>
      <c r="G41" s="1333">
        <f t="shared" si="2"/>
        <v>3460.1599999999744</v>
      </c>
      <c r="H41" s="460">
        <f>G41+'21'!H41</f>
        <v>67874.25</v>
      </c>
      <c r="I41" s="455"/>
      <c r="J41" s="552">
        <f>H41/DAY(B2)</f>
        <v>3085.193181818182</v>
      </c>
      <c r="K41" s="428"/>
      <c r="L41" s="377"/>
      <c r="N41" s="382"/>
      <c r="O41" s="722"/>
    </row>
    <row r="42" spans="1:15">
      <c r="A42" s="578" t="s">
        <v>170</v>
      </c>
      <c r="B42" s="579"/>
      <c r="C42" s="579"/>
      <c r="D42" s="523" t="s">
        <v>131</v>
      </c>
      <c r="E42" s="510">
        <f>'21'!F42</f>
        <v>59210.080000000002</v>
      </c>
      <c r="F42" s="510">
        <v>59210.080000000002</v>
      </c>
      <c r="G42" s="1333">
        <f t="shared" si="2"/>
        <v>0</v>
      </c>
      <c r="H42" s="460">
        <f>G42+'21'!H42</f>
        <v>11.110000000000582</v>
      </c>
      <c r="I42" s="455"/>
      <c r="J42" s="552">
        <f>H42/DAY(B2)</f>
        <v>0.50500000000002643</v>
      </c>
      <c r="K42" s="428"/>
      <c r="L42" s="377"/>
      <c r="N42" s="382"/>
      <c r="O42" s="382"/>
    </row>
    <row r="43" spans="1:15">
      <c r="A43" s="578" t="s">
        <v>171</v>
      </c>
      <c r="B43" s="579"/>
      <c r="C43" s="579"/>
      <c r="D43" s="523" t="s">
        <v>131</v>
      </c>
      <c r="E43" s="510">
        <f>'21'!F43</f>
        <v>1095339.3999999999</v>
      </c>
      <c r="F43" s="510">
        <v>1098241.1000000001</v>
      </c>
      <c r="G43" s="1333">
        <f>F43-E43</f>
        <v>2901.7000000001863</v>
      </c>
      <c r="H43" s="460">
        <f>G43+'21'!H43</f>
        <v>55997.100000000093</v>
      </c>
      <c r="I43" s="455"/>
      <c r="J43" s="552">
        <f>H43/DAY(B2)</f>
        <v>2545.3227272727313</v>
      </c>
      <c r="K43" s="428"/>
      <c r="L43" s="377"/>
      <c r="N43" s="382"/>
      <c r="O43" s="382"/>
    </row>
    <row r="44" spans="1:15">
      <c r="A44" s="578" t="s">
        <v>172</v>
      </c>
      <c r="B44" s="579"/>
      <c r="C44" s="579"/>
      <c r="D44" s="523" t="s">
        <v>131</v>
      </c>
      <c r="E44" s="510">
        <f>'21'!F44</f>
        <v>0</v>
      </c>
      <c r="F44" s="510">
        <v>0</v>
      </c>
      <c r="G44" s="1333">
        <f t="shared" si="2"/>
        <v>0</v>
      </c>
      <c r="H44" s="460">
        <f>G44+'21'!H44</f>
        <v>0</v>
      </c>
      <c r="I44" s="455"/>
      <c r="J44" s="552">
        <f>H44/DAY(B2)</f>
        <v>0</v>
      </c>
      <c r="K44" s="428"/>
      <c r="L44" s="377"/>
      <c r="N44" s="382"/>
      <c r="O44" s="382"/>
    </row>
    <row r="45" spans="1:15">
      <c r="A45" s="578" t="s">
        <v>173</v>
      </c>
      <c r="B45" s="579"/>
      <c r="C45" s="579"/>
      <c r="D45" s="523" t="s">
        <v>131</v>
      </c>
      <c r="E45" s="510">
        <f>'21'!F45</f>
        <v>0</v>
      </c>
      <c r="F45" s="510">
        <v>0</v>
      </c>
      <c r="G45" s="1333">
        <f t="shared" si="2"/>
        <v>0</v>
      </c>
      <c r="H45" s="460">
        <f>G45+'21'!H45</f>
        <v>0</v>
      </c>
      <c r="I45" s="455"/>
      <c r="J45" s="552">
        <f>H45/DAY(B2)</f>
        <v>0</v>
      </c>
      <c r="K45" s="428"/>
      <c r="L45" s="377"/>
      <c r="N45" s="382"/>
      <c r="O45" s="382"/>
    </row>
    <row r="46" spans="1:15">
      <c r="A46" s="578" t="s">
        <v>174</v>
      </c>
      <c r="B46" s="579"/>
      <c r="C46" s="579"/>
      <c r="D46" s="523" t="s">
        <v>131</v>
      </c>
      <c r="E46" s="510">
        <f>'21'!F46</f>
        <v>0</v>
      </c>
      <c r="F46" s="510">
        <v>0</v>
      </c>
      <c r="G46" s="1333">
        <f t="shared" si="2"/>
        <v>0</v>
      </c>
      <c r="H46" s="460">
        <f>G46+'21'!H46</f>
        <v>-5.0000000000011369E-2</v>
      </c>
      <c r="I46" s="455"/>
      <c r="J46" s="552">
        <f>H46/DAY(B2)</f>
        <v>-2.2727272727277896E-3</v>
      </c>
      <c r="K46" s="428"/>
      <c r="L46" s="377"/>
      <c r="N46" s="382"/>
      <c r="O46" s="382"/>
    </row>
    <row r="47" spans="1:15">
      <c r="A47" s="585" t="s">
        <v>175</v>
      </c>
      <c r="B47" s="586"/>
      <c r="C47" s="586"/>
      <c r="D47" s="470"/>
      <c r="E47" s="511"/>
      <c r="F47" s="511"/>
      <c r="G47" s="1335">
        <f>G35+G36+G37+G38+G39+G40+G41+G42+G43+G44+G45+G46</f>
        <v>17092.170000000184</v>
      </c>
      <c r="H47" s="460">
        <f>G47+'21'!H47</f>
        <v>325423.38000000006</v>
      </c>
      <c r="I47" s="455"/>
      <c r="J47" s="552">
        <f>H47/DAY(B2)</f>
        <v>14791.971818181821</v>
      </c>
      <c r="K47" s="428"/>
      <c r="L47" s="377"/>
      <c r="N47" s="382"/>
      <c r="O47" s="382"/>
    </row>
    <row r="48" spans="1:15">
      <c r="A48" s="598" t="s">
        <v>176</v>
      </c>
      <c r="B48" s="1368"/>
      <c r="C48" s="1368"/>
      <c r="D48" s="472"/>
      <c r="E48" s="471"/>
      <c r="F48" s="471"/>
      <c r="G48" s="1343"/>
      <c r="H48" s="472"/>
      <c r="I48" s="472"/>
      <c r="J48" s="551"/>
      <c r="K48" s="428"/>
      <c r="L48" s="377"/>
      <c r="N48" s="382"/>
      <c r="O48" s="382"/>
    </row>
    <row r="49" spans="1:15">
      <c r="A49" s="578" t="s">
        <v>163</v>
      </c>
      <c r="B49" s="601"/>
      <c r="C49" s="601"/>
      <c r="D49" s="523" t="s">
        <v>131</v>
      </c>
      <c r="E49" s="510">
        <f>'21'!F49</f>
        <v>260732.13</v>
      </c>
      <c r="F49" s="510">
        <v>260732.13</v>
      </c>
      <c r="G49" s="1333">
        <f t="shared" ref="G49:G58" si="3">F49-E49</f>
        <v>0</v>
      </c>
      <c r="H49" s="460">
        <f>G49+'21'!H49</f>
        <v>0.13000000000465661</v>
      </c>
      <c r="I49" s="455"/>
      <c r="J49" s="552">
        <f>H49/DAY(B2)</f>
        <v>5.909090909302573E-3</v>
      </c>
      <c r="K49" s="428"/>
      <c r="L49" s="377"/>
      <c r="N49" s="382"/>
      <c r="O49" s="382"/>
    </row>
    <row r="50" spans="1:15">
      <c r="A50" s="578" t="s">
        <v>177</v>
      </c>
      <c r="B50" s="601"/>
      <c r="C50" s="601"/>
      <c r="D50" s="523" t="s">
        <v>131</v>
      </c>
      <c r="E50" s="510">
        <f>'21'!F50</f>
        <v>524730.82999999996</v>
      </c>
      <c r="F50" s="510">
        <v>525794.99</v>
      </c>
      <c r="G50" s="1333">
        <f t="shared" si="3"/>
        <v>1064.1600000000326</v>
      </c>
      <c r="H50" s="460">
        <f>G50+'21'!H50</f>
        <v>22368.989999999991</v>
      </c>
      <c r="I50" s="455"/>
      <c r="J50" s="552">
        <f>H50/DAY(B2)</f>
        <v>1016.7722727272723</v>
      </c>
      <c r="K50" s="428"/>
      <c r="L50" s="377"/>
      <c r="N50" s="382"/>
      <c r="O50" s="382"/>
    </row>
    <row r="51" spans="1:15">
      <c r="A51" s="578" t="s">
        <v>165</v>
      </c>
      <c r="B51" s="601"/>
      <c r="C51" s="601"/>
      <c r="D51" s="523" t="s">
        <v>131</v>
      </c>
      <c r="E51" s="510">
        <f>'21'!F51</f>
        <v>144639.87</v>
      </c>
      <c r="F51" s="510">
        <v>144639.87</v>
      </c>
      <c r="G51" s="1333">
        <f t="shared" si="3"/>
        <v>0</v>
      </c>
      <c r="H51" s="460">
        <f>G51+'21'!H51</f>
        <v>-0.13000000000465661</v>
      </c>
      <c r="I51" s="455"/>
      <c r="J51" s="552">
        <f>H51/DAY(B2)</f>
        <v>-5.909090909302573E-3</v>
      </c>
      <c r="K51" s="428"/>
      <c r="L51" s="377"/>
      <c r="N51" s="382"/>
      <c r="O51" s="382"/>
    </row>
    <row r="52" spans="1:15">
      <c r="A52" s="578" t="s">
        <v>178</v>
      </c>
      <c r="B52" s="601"/>
      <c r="C52" s="601"/>
      <c r="D52" s="523" t="s">
        <v>131</v>
      </c>
      <c r="E52" s="510">
        <f>'21'!F52</f>
        <v>539606.06999999995</v>
      </c>
      <c r="F52" s="510">
        <v>539606.06999999995</v>
      </c>
      <c r="G52" s="1333">
        <f t="shared" si="3"/>
        <v>0</v>
      </c>
      <c r="H52" s="460">
        <f>G52+'21'!H52</f>
        <v>0</v>
      </c>
      <c r="I52" s="455"/>
      <c r="J52" s="552">
        <f>H52/DAY(B2)</f>
        <v>0</v>
      </c>
      <c r="K52" s="428"/>
      <c r="L52" s="377"/>
      <c r="N52" s="382"/>
      <c r="O52" s="722"/>
    </row>
    <row r="53" spans="1:15">
      <c r="A53" s="578" t="s">
        <v>167</v>
      </c>
      <c r="B53" s="601"/>
      <c r="C53" s="601"/>
      <c r="D53" s="523" t="s">
        <v>131</v>
      </c>
      <c r="E53" s="510">
        <f>'21'!F53</f>
        <v>434231.59</v>
      </c>
      <c r="F53" s="510">
        <v>434231.59</v>
      </c>
      <c r="G53" s="1333">
        <f t="shared" si="3"/>
        <v>0</v>
      </c>
      <c r="H53" s="460">
        <f>G53+'21'!H53</f>
        <v>1663.2600000000093</v>
      </c>
      <c r="I53" s="455"/>
      <c r="J53" s="552">
        <f>H53/DAY(B2)</f>
        <v>75.602727272727691</v>
      </c>
      <c r="K53" s="428"/>
      <c r="L53" s="377"/>
      <c r="N53" s="382"/>
      <c r="O53" s="382"/>
    </row>
    <row r="54" spans="1:15">
      <c r="A54" s="578" t="s">
        <v>179</v>
      </c>
      <c r="B54" s="601"/>
      <c r="C54" s="601"/>
      <c r="D54" s="523" t="s">
        <v>131</v>
      </c>
      <c r="E54" s="510">
        <f>'21'!F54</f>
        <v>14967.39</v>
      </c>
      <c r="F54" s="510">
        <v>14967.39</v>
      </c>
      <c r="G54" s="1333">
        <f t="shared" si="3"/>
        <v>0</v>
      </c>
      <c r="H54" s="460">
        <f>G54+'21'!H54</f>
        <v>1138.3899999999994</v>
      </c>
      <c r="I54" s="455"/>
      <c r="J54" s="552">
        <f>H54/DAY(B2)</f>
        <v>51.744999999999976</v>
      </c>
      <c r="K54" s="428"/>
      <c r="L54" s="377"/>
      <c r="N54" s="382"/>
      <c r="O54" s="382"/>
    </row>
    <row r="55" spans="1:15">
      <c r="A55" s="578" t="s">
        <v>180</v>
      </c>
      <c r="B55" s="601"/>
      <c r="C55" s="601"/>
      <c r="D55" s="523" t="s">
        <v>131</v>
      </c>
      <c r="E55" s="510">
        <f>'21'!F55</f>
        <v>88280.54</v>
      </c>
      <c r="F55" s="510">
        <v>90898.63</v>
      </c>
      <c r="G55" s="1333">
        <f t="shared" si="3"/>
        <v>2618.0900000000111</v>
      </c>
      <c r="H55" s="460">
        <f>G55+'21'!H55</f>
        <v>22787.630000000005</v>
      </c>
      <c r="I55" s="455"/>
      <c r="J55" s="552">
        <f>H55/DAY(B2)</f>
        <v>1035.8013636363639</v>
      </c>
      <c r="K55" s="428"/>
      <c r="L55" s="377"/>
      <c r="N55" s="382"/>
      <c r="O55" s="382"/>
    </row>
    <row r="56" spans="1:15" s="441" customFormat="1">
      <c r="A56" s="1104" t="s">
        <v>181</v>
      </c>
      <c r="B56" s="1105"/>
      <c r="C56" s="1105"/>
      <c r="D56" s="627" t="s">
        <v>182</v>
      </c>
      <c r="E56" s="654">
        <f>'21'!F56</f>
        <v>648939.47</v>
      </c>
      <c r="F56" s="654">
        <v>648949.79</v>
      </c>
      <c r="G56" s="1354">
        <f t="shared" si="3"/>
        <v>10.320000000065193</v>
      </c>
      <c r="H56" s="706">
        <f>G56+'21'!H56</f>
        <v>31751.790000000037</v>
      </c>
      <c r="I56" s="707"/>
      <c r="J56" s="708">
        <f>H56/DAY(B2)</f>
        <v>1443.2631818181835</v>
      </c>
      <c r="K56" s="1359"/>
      <c r="L56" s="1107"/>
      <c r="N56" s="714"/>
      <c r="O56" s="714"/>
    </row>
    <row r="57" spans="1:15">
      <c r="A57" s="578" t="s">
        <v>171</v>
      </c>
      <c r="B57" s="601"/>
      <c r="C57" s="601"/>
      <c r="D57" s="523" t="s">
        <v>131</v>
      </c>
      <c r="E57" s="510">
        <f>'21'!F57</f>
        <v>7711</v>
      </c>
      <c r="F57" s="510">
        <v>7711</v>
      </c>
      <c r="G57" s="1333">
        <f t="shared" si="3"/>
        <v>0</v>
      </c>
      <c r="H57" s="460">
        <f>G57+'21'!H57</f>
        <v>0</v>
      </c>
      <c r="I57" s="455"/>
      <c r="J57" s="552">
        <f>H57/DAY(B2)</f>
        <v>0</v>
      </c>
      <c r="K57" s="428"/>
      <c r="L57" s="377"/>
      <c r="N57" s="382"/>
      <c r="O57" s="382"/>
    </row>
    <row r="58" spans="1:15">
      <c r="A58" s="578" t="s">
        <v>183</v>
      </c>
      <c r="B58" s="601"/>
      <c r="C58" s="601"/>
      <c r="D58" s="523" t="s">
        <v>131</v>
      </c>
      <c r="E58" s="510">
        <f>'21'!F58</f>
        <v>52669.21</v>
      </c>
      <c r="F58" s="510">
        <v>52761.38</v>
      </c>
      <c r="G58" s="1333">
        <f t="shared" si="3"/>
        <v>92.169999999998254</v>
      </c>
      <c r="H58" s="460">
        <f>G58+'21'!H58</f>
        <v>2897.1699999999983</v>
      </c>
      <c r="I58" s="455"/>
      <c r="J58" s="552">
        <f>H58/DAY(B2)</f>
        <v>131.68954545454537</v>
      </c>
      <c r="K58" s="428"/>
      <c r="L58" s="377"/>
      <c r="N58" s="382"/>
      <c r="O58" s="382"/>
    </row>
    <row r="59" spans="1:15">
      <c r="A59" s="585" t="s">
        <v>175</v>
      </c>
      <c r="B59" s="586"/>
      <c r="C59" s="586"/>
      <c r="D59" s="511"/>
      <c r="E59" s="511"/>
      <c r="F59" s="511"/>
      <c r="G59" s="1335">
        <f>G49+G50+G51+G52+G53+G54+G55+G56+G57+G58</f>
        <v>3784.7400000001071</v>
      </c>
      <c r="H59" s="460">
        <f>G59+'21'!H59</f>
        <v>82607.299999999988</v>
      </c>
      <c r="I59" s="455">
        <f>G7-G60</f>
        <v>-283.23000000035609</v>
      </c>
      <c r="J59" s="552">
        <f>H59/DAY(B2)</f>
        <v>3754.8772727272722</v>
      </c>
      <c r="K59" s="428"/>
      <c r="L59" s="377"/>
      <c r="N59" s="382"/>
      <c r="O59" s="382"/>
    </row>
    <row r="60" spans="1:15">
      <c r="A60" s="578"/>
      <c r="B60" s="579"/>
      <c r="C60" s="579"/>
      <c r="D60" s="511" t="s">
        <v>184</v>
      </c>
      <c r="E60" s="511"/>
      <c r="F60" s="511"/>
      <c r="G60" s="1335">
        <f>G47+G59</f>
        <v>20876.910000000291</v>
      </c>
      <c r="H60" s="460">
        <f>G60+'21'!H60</f>
        <v>409239.22</v>
      </c>
      <c r="I60" s="455">
        <f>G13-G60</f>
        <v>-941.88000000026295</v>
      </c>
      <c r="J60" s="552">
        <f>H47/DAY(B2)</f>
        <v>14791.971818181821</v>
      </c>
      <c r="K60" s="428"/>
      <c r="L60" s="377"/>
      <c r="N60" s="382"/>
      <c r="O60" s="382"/>
    </row>
    <row r="61" spans="1:15">
      <c r="A61" s="602" t="s">
        <v>185</v>
      </c>
      <c r="B61" s="453"/>
      <c r="C61" s="453"/>
      <c r="D61" s="513"/>
      <c r="E61" s="512"/>
      <c r="F61" s="512"/>
      <c r="G61" s="1344"/>
      <c r="H61" s="513"/>
      <c r="I61" s="513"/>
      <c r="J61" s="555"/>
      <c r="K61" s="428"/>
      <c r="L61" s="377"/>
      <c r="N61" s="382"/>
      <c r="O61" s="382"/>
    </row>
    <row r="62" spans="1:15">
      <c r="A62" s="603" t="s">
        <v>97</v>
      </c>
      <c r="B62" s="604"/>
      <c r="C62" s="604"/>
      <c r="D62" s="511" t="s">
        <v>186</v>
      </c>
      <c r="E62" s="514">
        <f>'21'!F62</f>
        <v>20419.2</v>
      </c>
      <c r="F62" s="514">
        <v>20419.2</v>
      </c>
      <c r="G62" s="1333">
        <f t="shared" ref="G62:G69" si="4">F62-E62</f>
        <v>0</v>
      </c>
      <c r="H62" s="460">
        <f>G62+'21'!H62</f>
        <v>0.20199999999749707</v>
      </c>
      <c r="I62" s="515"/>
      <c r="J62" s="552">
        <f>H62/DAY(B2)</f>
        <v>9.1818181817044115E-3</v>
      </c>
      <c r="K62" s="428"/>
      <c r="L62" s="377"/>
      <c r="N62" s="382"/>
      <c r="O62" s="382"/>
    </row>
    <row r="63" spans="1:15">
      <c r="A63" s="603" t="s">
        <v>187</v>
      </c>
      <c r="B63" s="604"/>
      <c r="C63" s="604"/>
      <c r="D63" s="511" t="s">
        <v>186</v>
      </c>
      <c r="E63" s="514">
        <f>'21'!F63</f>
        <v>0</v>
      </c>
      <c r="F63" s="514">
        <v>0</v>
      </c>
      <c r="G63" s="1333">
        <f t="shared" si="4"/>
        <v>0</v>
      </c>
      <c r="H63" s="460">
        <f>G63+'21'!H63</f>
        <v>0</v>
      </c>
      <c r="I63" s="515"/>
      <c r="J63" s="552">
        <f>H63/DAY(B2)</f>
        <v>0</v>
      </c>
      <c r="K63" s="428"/>
      <c r="L63" s="377"/>
      <c r="N63" s="382"/>
      <c r="O63" s="382"/>
    </row>
    <row r="64" spans="1:15" ht="27.75">
      <c r="A64" s="1534" t="s">
        <v>98</v>
      </c>
      <c r="B64" s="1535"/>
      <c r="C64" s="1536"/>
      <c r="D64" s="523" t="s">
        <v>186</v>
      </c>
      <c r="E64" s="484">
        <f>'21'!F64</f>
        <v>166627.75</v>
      </c>
      <c r="F64" s="484">
        <v>167012.26</v>
      </c>
      <c r="G64" s="1333">
        <f t="shared" si="4"/>
        <v>384.51000000000931</v>
      </c>
      <c r="H64" s="460">
        <f>G64+'21'!H64</f>
        <v>7080.2600000000093</v>
      </c>
      <c r="I64" s="480"/>
      <c r="J64" s="552">
        <f>H64/DAY(B2)</f>
        <v>321.83000000000044</v>
      </c>
      <c r="K64" s="428"/>
      <c r="L64" s="377"/>
      <c r="N64" s="382"/>
      <c r="O64" s="382"/>
    </row>
    <row r="65" spans="1:15" ht="27.75">
      <c r="A65" s="1534" t="s">
        <v>99</v>
      </c>
      <c r="B65" s="1535"/>
      <c r="C65" s="1536"/>
      <c r="D65" s="523" t="s">
        <v>186</v>
      </c>
      <c r="E65" s="484">
        <f>'21'!F65</f>
        <v>166980.74</v>
      </c>
      <c r="F65" s="484">
        <v>167241.76999999999</v>
      </c>
      <c r="G65" s="1333">
        <f t="shared" si="4"/>
        <v>261.02999999999884</v>
      </c>
      <c r="H65" s="460">
        <f>G65+'21'!H65</f>
        <v>6243.7699999999895</v>
      </c>
      <c r="I65" s="489"/>
      <c r="J65" s="552">
        <f>H65/DAY(B2)</f>
        <v>283.80772727272682</v>
      </c>
      <c r="K65" s="428"/>
      <c r="L65" s="377"/>
      <c r="N65" s="382"/>
      <c r="O65" s="382"/>
    </row>
    <row r="66" spans="1:15" ht="27.75">
      <c r="A66" s="1534" t="s">
        <v>100</v>
      </c>
      <c r="B66" s="1535"/>
      <c r="C66" s="1536"/>
      <c r="D66" s="523" t="s">
        <v>186</v>
      </c>
      <c r="E66" s="484">
        <f>'21'!F66</f>
        <v>64226.15</v>
      </c>
      <c r="F66" s="484">
        <v>64618.53</v>
      </c>
      <c r="G66" s="1333">
        <f t="shared" si="4"/>
        <v>392.37999999999738</v>
      </c>
      <c r="H66" s="460">
        <f>G66+'21'!H66</f>
        <v>7813.5299999999988</v>
      </c>
      <c r="I66" s="480"/>
      <c r="J66" s="552">
        <f>H66/DAY(B2)</f>
        <v>355.16045454545451</v>
      </c>
      <c r="K66" s="428"/>
      <c r="L66" s="377"/>
      <c r="N66" s="382"/>
      <c r="O66" s="382"/>
    </row>
    <row r="67" spans="1:15" ht="27.75">
      <c r="A67" s="1534" t="s">
        <v>101</v>
      </c>
      <c r="B67" s="1535"/>
      <c r="C67" s="1536"/>
      <c r="D67" s="523" t="s">
        <v>186</v>
      </c>
      <c r="E67" s="484">
        <f>'21'!F67</f>
        <v>260958</v>
      </c>
      <c r="F67" s="484">
        <v>261392</v>
      </c>
      <c r="G67" s="1333">
        <f t="shared" si="4"/>
        <v>434</v>
      </c>
      <c r="H67" s="460">
        <f>G67+'21'!H67</f>
        <v>9200</v>
      </c>
      <c r="I67" s="489"/>
      <c r="J67" s="552">
        <f>H67/DAY(B2)</f>
        <v>418.18181818181819</v>
      </c>
      <c r="K67" s="429"/>
      <c r="L67" s="377"/>
      <c r="N67" s="382"/>
      <c r="O67" s="382"/>
    </row>
    <row r="68" spans="1:15" ht="27.75">
      <c r="A68" s="1534" t="s">
        <v>102</v>
      </c>
      <c r="B68" s="1535"/>
      <c r="C68" s="1536"/>
      <c r="D68" s="523" t="s">
        <v>186</v>
      </c>
      <c r="E68" s="484">
        <f>'21'!F68</f>
        <v>85321</v>
      </c>
      <c r="F68" s="484">
        <v>85321</v>
      </c>
      <c r="G68" s="1333">
        <f t="shared" si="4"/>
        <v>0</v>
      </c>
      <c r="H68" s="460">
        <f>G68+'21'!H68</f>
        <v>0</v>
      </c>
      <c r="I68" s="516"/>
      <c r="J68" s="552">
        <f>H68/DAY(B2)</f>
        <v>0</v>
      </c>
      <c r="K68" s="430"/>
      <c r="L68" s="377"/>
      <c r="N68" s="382"/>
      <c r="O68" s="382"/>
    </row>
    <row r="69" spans="1:15" ht="27.75">
      <c r="A69" s="1534" t="s">
        <v>103</v>
      </c>
      <c r="B69" s="1535"/>
      <c r="C69" s="1536"/>
      <c r="D69" s="523" t="s">
        <v>186</v>
      </c>
      <c r="E69" s="484">
        <f>'21'!F69</f>
        <v>85351.83</v>
      </c>
      <c r="F69" s="484">
        <v>85602.95</v>
      </c>
      <c r="G69" s="1333">
        <f t="shared" si="4"/>
        <v>251.11999999999534</v>
      </c>
      <c r="H69" s="460">
        <f>G69+'21'!H69</f>
        <v>3853.9499999999971</v>
      </c>
      <c r="I69" s="516"/>
      <c r="J69" s="552">
        <f>H69/DAY(B2)</f>
        <v>175.17954545454532</v>
      </c>
      <c r="K69" s="431"/>
      <c r="L69" s="377"/>
      <c r="N69" s="382"/>
      <c r="O69" s="382"/>
    </row>
    <row r="70" spans="1:15" ht="27.75">
      <c r="A70" s="1566" t="s">
        <v>188</v>
      </c>
      <c r="B70" s="1567"/>
      <c r="C70" s="1568"/>
      <c r="D70" s="523" t="s">
        <v>186</v>
      </c>
      <c r="E70" s="518"/>
      <c r="F70" s="518"/>
      <c r="G70" s="1345"/>
      <c r="H70" s="460">
        <f>G70+'21'!H70</f>
        <v>0</v>
      </c>
      <c r="I70" s="518"/>
      <c r="J70" s="556"/>
      <c r="K70" s="431"/>
      <c r="L70" s="377"/>
      <c r="N70" s="382"/>
      <c r="O70" s="382"/>
    </row>
    <row r="71" spans="1:15" ht="31.5">
      <c r="A71" s="1580" t="s">
        <v>189</v>
      </c>
      <c r="B71" s="1581"/>
      <c r="C71" s="1581"/>
      <c r="D71" s="1581"/>
      <c r="E71" s="1581"/>
      <c r="F71" s="1581"/>
      <c r="G71" s="1581"/>
      <c r="H71" s="1581"/>
      <c r="I71" s="1581"/>
      <c r="J71" s="1582"/>
      <c r="K71" s="430"/>
      <c r="L71" s="377"/>
      <c r="N71" s="382"/>
      <c r="O71" s="382"/>
    </row>
    <row r="72" spans="1:15" ht="27.75">
      <c r="A72" s="1534" t="s">
        <v>190</v>
      </c>
      <c r="B72" s="1535"/>
      <c r="C72" s="1536"/>
      <c r="D72" s="523" t="s">
        <v>186</v>
      </c>
      <c r="E72" s="519">
        <f>'21'!F72</f>
        <v>856117</v>
      </c>
      <c r="F72" s="519">
        <v>856130</v>
      </c>
      <c r="G72" s="1333">
        <f t="shared" ref="G72:G84" si="5">F72-E72</f>
        <v>13</v>
      </c>
      <c r="H72" s="460">
        <f>G72+'21'!H72</f>
        <v>274</v>
      </c>
      <c r="I72" s="480"/>
      <c r="J72" s="552">
        <f>H72/DAY(B2)</f>
        <v>12.454545454545455</v>
      </c>
      <c r="K72" s="431"/>
      <c r="L72" s="377"/>
      <c r="N72" s="382"/>
      <c r="O72" s="382"/>
    </row>
    <row r="73" spans="1:15" ht="27.75">
      <c r="A73" s="1534" t="s">
        <v>191</v>
      </c>
      <c r="B73" s="1535"/>
      <c r="C73" s="1536"/>
      <c r="D73" s="523" t="s">
        <v>186</v>
      </c>
      <c r="E73" s="520">
        <f>'21'!F73</f>
        <v>885961</v>
      </c>
      <c r="F73" s="520">
        <v>885962</v>
      </c>
      <c r="G73" s="1333">
        <f t="shared" si="5"/>
        <v>1</v>
      </c>
      <c r="H73" s="460">
        <f>G73+'21'!H73</f>
        <v>181</v>
      </c>
      <c r="I73" s="480"/>
      <c r="J73" s="552">
        <f>H73/DAY(B2)</f>
        <v>8.2272727272727266</v>
      </c>
      <c r="K73" s="430"/>
      <c r="L73" s="377"/>
      <c r="N73" s="382"/>
      <c r="O73" s="382"/>
    </row>
    <row r="74" spans="1:15" ht="27.75">
      <c r="A74" s="1609" t="s">
        <v>192</v>
      </c>
      <c r="B74" s="1610"/>
      <c r="C74" s="1611"/>
      <c r="D74" s="523" t="s">
        <v>186</v>
      </c>
      <c r="E74" s="521">
        <f>'21'!F74</f>
        <v>88687</v>
      </c>
      <c r="F74" s="521">
        <v>88688</v>
      </c>
      <c r="G74" s="1333">
        <f t="shared" si="5"/>
        <v>1</v>
      </c>
      <c r="H74" s="460">
        <f>G74+'21'!H74</f>
        <v>22.960000000000036</v>
      </c>
      <c r="I74" s="480"/>
      <c r="J74" s="552">
        <f>H74/DAY(B2)</f>
        <v>1.0436363636363652</v>
      </c>
      <c r="K74" s="431"/>
      <c r="L74" s="377"/>
      <c r="N74" s="382"/>
      <c r="O74" s="382"/>
    </row>
    <row r="75" spans="1:15" ht="27.75">
      <c r="A75" s="1583" t="s">
        <v>193</v>
      </c>
      <c r="B75" s="1584"/>
      <c r="C75" s="1585"/>
      <c r="D75" s="523" t="s">
        <v>186</v>
      </c>
      <c r="E75" s="521">
        <f>'21'!F75</f>
        <v>14756.38</v>
      </c>
      <c r="F75" s="521">
        <v>14890.3</v>
      </c>
      <c r="G75" s="1333">
        <f t="shared" si="5"/>
        <v>133.92000000000007</v>
      </c>
      <c r="H75" s="460">
        <f>G75+'21'!H75</f>
        <v>2221.2999999999993</v>
      </c>
      <c r="I75" s="480"/>
      <c r="J75" s="552">
        <f>H75/DAY(B2)</f>
        <v>100.96818181818179</v>
      </c>
      <c r="K75" s="430"/>
      <c r="L75" s="377"/>
      <c r="N75" s="382"/>
      <c r="O75" s="382"/>
    </row>
    <row r="76" spans="1:15" ht="27.75">
      <c r="A76" s="1583" t="s">
        <v>194</v>
      </c>
      <c r="B76" s="1584"/>
      <c r="C76" s="1585"/>
      <c r="D76" s="523" t="s">
        <v>186</v>
      </c>
      <c r="E76" s="520">
        <f>'21'!F76</f>
        <v>8664.5300000000007</v>
      </c>
      <c r="F76" s="647">
        <v>8735.59</v>
      </c>
      <c r="G76" s="1333">
        <f t="shared" si="5"/>
        <v>71.059999999999491</v>
      </c>
      <c r="H76" s="460">
        <f>G76+'21'!H76</f>
        <v>1529.5900000000001</v>
      </c>
      <c r="I76" s="505"/>
      <c r="J76" s="552">
        <f>H76/DAY(B2)</f>
        <v>69.526818181818186</v>
      </c>
      <c r="K76" s="430"/>
      <c r="L76" s="377"/>
      <c r="N76" s="382"/>
      <c r="O76" s="382"/>
    </row>
    <row r="77" spans="1:15" ht="27.75">
      <c r="A77" s="1534" t="s">
        <v>195</v>
      </c>
      <c r="B77" s="1535"/>
      <c r="C77" s="1536"/>
      <c r="D77" s="523" t="s">
        <v>186</v>
      </c>
      <c r="E77" s="521">
        <f>'21'!F77</f>
        <v>703890</v>
      </c>
      <c r="F77" s="521">
        <v>703938</v>
      </c>
      <c r="G77" s="1333">
        <f t="shared" si="5"/>
        <v>48</v>
      </c>
      <c r="H77" s="460">
        <f>G77+'21'!H77</f>
        <v>1099</v>
      </c>
      <c r="I77" s="505"/>
      <c r="J77" s="552">
        <f>H77/DAY(B2)</f>
        <v>49.954545454545453</v>
      </c>
      <c r="K77" s="430"/>
      <c r="L77" s="377"/>
      <c r="N77" s="382"/>
      <c r="O77" s="382"/>
    </row>
    <row r="78" spans="1:15" ht="27.75">
      <c r="A78" s="1366" t="s">
        <v>196</v>
      </c>
      <c r="B78" s="1360"/>
      <c r="C78" s="1360"/>
      <c r="D78" s="523" t="s">
        <v>186</v>
      </c>
      <c r="E78" s="521">
        <f>'21'!F78</f>
        <v>674622</v>
      </c>
      <c r="F78" s="521">
        <v>674672</v>
      </c>
      <c r="G78" s="1333">
        <f t="shared" si="5"/>
        <v>50</v>
      </c>
      <c r="H78" s="460">
        <f>G78+'21'!H78</f>
        <v>1640</v>
      </c>
      <c r="I78" s="505"/>
      <c r="J78" s="552">
        <f>H78/DAY(B2)</f>
        <v>74.545454545454547</v>
      </c>
      <c r="K78" s="430"/>
      <c r="L78" s="377"/>
      <c r="N78" s="382"/>
      <c r="O78" s="382"/>
    </row>
    <row r="79" spans="1:15" ht="27.75">
      <c r="A79" s="1583" t="s">
        <v>91</v>
      </c>
      <c r="B79" s="1584"/>
      <c r="C79" s="1585"/>
      <c r="D79" s="524" t="s">
        <v>186</v>
      </c>
      <c r="E79" s="521">
        <f>'21'!F79</f>
        <v>834076</v>
      </c>
      <c r="F79" s="521">
        <v>834225</v>
      </c>
      <c r="G79" s="1333">
        <f t="shared" si="5"/>
        <v>149</v>
      </c>
      <c r="H79" s="460">
        <f>G79+'21'!H79</f>
        <v>2203</v>
      </c>
      <c r="I79" s="505"/>
      <c r="J79" s="552">
        <f>H79/DAY(B2)</f>
        <v>100.13636363636364</v>
      </c>
      <c r="K79" s="430"/>
      <c r="L79" s="377"/>
      <c r="N79" s="382"/>
      <c r="O79" s="382"/>
    </row>
    <row r="80" spans="1:15" ht="27.75">
      <c r="A80" s="1583" t="s">
        <v>197</v>
      </c>
      <c r="B80" s="1584"/>
      <c r="C80" s="1585"/>
      <c r="D80" s="524" t="s">
        <v>186</v>
      </c>
      <c r="E80" s="520">
        <f>'21'!F80</f>
        <v>535477</v>
      </c>
      <c r="F80" s="520">
        <v>535818</v>
      </c>
      <c r="G80" s="1333">
        <f t="shared" si="5"/>
        <v>341</v>
      </c>
      <c r="H80" s="460">
        <f>G80+'21'!H80</f>
        <v>5272.4799999999814</v>
      </c>
      <c r="I80" s="505"/>
      <c r="J80" s="552">
        <f>H80/DAY(B2)</f>
        <v>239.65818181818096</v>
      </c>
      <c r="K80" s="430"/>
      <c r="L80" s="377"/>
      <c r="N80" s="382"/>
      <c r="O80" s="382"/>
    </row>
    <row r="81" spans="1:15" ht="27.75">
      <c r="A81" s="1583" t="s">
        <v>198</v>
      </c>
      <c r="B81" s="1584"/>
      <c r="C81" s="1585"/>
      <c r="D81" s="524" t="s">
        <v>186</v>
      </c>
      <c r="E81" s="520">
        <f>'21'!F81</f>
        <v>641606</v>
      </c>
      <c r="F81" s="520">
        <v>641810</v>
      </c>
      <c r="G81" s="1333">
        <f t="shared" si="5"/>
        <v>204</v>
      </c>
      <c r="H81" s="460">
        <f>G81+'21'!H81</f>
        <v>2912</v>
      </c>
      <c r="I81" s="505"/>
      <c r="J81" s="552">
        <f>H81/DAY(B2)</f>
        <v>132.36363636363637</v>
      </c>
      <c r="K81" s="430"/>
      <c r="L81" s="377"/>
      <c r="N81" s="382"/>
      <c r="O81" s="382"/>
    </row>
    <row r="82" spans="1:15" ht="27.75">
      <c r="A82" s="1583" t="s">
        <v>92</v>
      </c>
      <c r="B82" s="1584"/>
      <c r="C82" s="1585"/>
      <c r="D82" s="485" t="s">
        <v>131</v>
      </c>
      <c r="E82" s="522">
        <f>'21'!F82</f>
        <v>108517</v>
      </c>
      <c r="F82" s="522">
        <v>108541</v>
      </c>
      <c r="G82" s="1333">
        <f t="shared" si="5"/>
        <v>24</v>
      </c>
      <c r="H82" s="460">
        <f>G82+'21'!H82</f>
        <v>383</v>
      </c>
      <c r="I82" s="486"/>
      <c r="J82" s="552">
        <f>H82/DAY(B2)</f>
        <v>17.40909090909091</v>
      </c>
      <c r="K82" s="430"/>
      <c r="L82" s="377"/>
      <c r="N82" s="382"/>
      <c r="O82" s="382"/>
    </row>
    <row r="83" spans="1:15" ht="27.75">
      <c r="A83" s="1583" t="s">
        <v>199</v>
      </c>
      <c r="B83" s="1584"/>
      <c r="C83" s="1585"/>
      <c r="D83" s="620" t="s">
        <v>131</v>
      </c>
      <c r="E83" s="511">
        <f>'21'!F83</f>
        <v>25040</v>
      </c>
      <c r="F83" s="511">
        <v>25375</v>
      </c>
      <c r="G83" s="1333">
        <f t="shared" si="5"/>
        <v>335</v>
      </c>
      <c r="H83" s="460">
        <f>G83+'21'!H83</f>
        <v>4869</v>
      </c>
      <c r="I83" s="481"/>
      <c r="J83" s="552">
        <f>H83/DAY(B2)</f>
        <v>221.31818181818181</v>
      </c>
      <c r="K83" s="429"/>
      <c r="L83" s="377"/>
      <c r="N83" s="382"/>
      <c r="O83" s="722"/>
    </row>
    <row r="84" spans="1:15">
      <c r="A84" s="1367" t="s">
        <v>200</v>
      </c>
      <c r="B84" s="571"/>
      <c r="C84" s="571"/>
      <c r="D84" s="478" t="s">
        <v>131</v>
      </c>
      <c r="E84" s="627">
        <f>'21'!F84</f>
        <v>515798</v>
      </c>
      <c r="F84" s="627">
        <v>516617</v>
      </c>
      <c r="G84" s="1333">
        <f t="shared" si="5"/>
        <v>819</v>
      </c>
      <c r="H84" s="460">
        <f>G84+'21'!H84</f>
        <v>16323</v>
      </c>
      <c r="I84" s="481"/>
      <c r="J84" s="552">
        <f>H84/DAY(B2)</f>
        <v>741.9545454545455</v>
      </c>
      <c r="K84" s="380"/>
      <c r="L84" s="377"/>
      <c r="N84" s="382"/>
      <c r="O84" s="382"/>
    </row>
    <row r="85" spans="1:15" s="379" customFormat="1">
      <c r="A85" s="605" t="s">
        <v>201</v>
      </c>
      <c r="B85" s="572"/>
      <c r="C85" s="572"/>
      <c r="D85" s="489"/>
      <c r="E85" s="523"/>
      <c r="F85" s="523"/>
      <c r="G85" s="1346">
        <f xml:space="preserve"> SUM(G72:G84)</f>
        <v>2189.9799999999996</v>
      </c>
      <c r="H85" s="460">
        <f>G85+'21'!H85</f>
        <v>42473.850000000006</v>
      </c>
      <c r="I85" s="481"/>
      <c r="J85" s="552">
        <f>H85/DAY(B2)</f>
        <v>1930.6295454545457</v>
      </c>
      <c r="K85" s="380"/>
      <c r="L85" s="378"/>
      <c r="N85" s="777"/>
      <c r="O85" s="722"/>
    </row>
    <row r="86" spans="1:15" s="736" customFormat="1">
      <c r="A86" s="731" t="s">
        <v>93</v>
      </c>
      <c r="B86" s="732"/>
      <c r="C86" s="732"/>
      <c r="D86" s="733" t="s">
        <v>182</v>
      </c>
      <c r="E86" s="648">
        <f>'21'!F86</f>
        <v>461528</v>
      </c>
      <c r="F86" s="648">
        <v>461545.16</v>
      </c>
      <c r="G86" s="1347">
        <f t="shared" ref="G86:G88" si="6">F86-E86</f>
        <v>17.159999999974389</v>
      </c>
      <c r="H86" s="460">
        <f>G86+'21'!H86</f>
        <v>86.879999999946449</v>
      </c>
      <c r="I86" s="653"/>
      <c r="J86" s="708">
        <f>H86/DAY(B2)</f>
        <v>3.9490909090884752</v>
      </c>
      <c r="K86" s="734"/>
      <c r="L86" s="735"/>
      <c r="N86" s="778"/>
      <c r="O86" s="382"/>
    </row>
    <row r="87" spans="1:15" s="736" customFormat="1">
      <c r="A87" s="731" t="s">
        <v>94</v>
      </c>
      <c r="B87" s="732"/>
      <c r="C87" s="732"/>
      <c r="D87" s="733" t="s">
        <v>182</v>
      </c>
      <c r="E87" s="648">
        <f>'21'!F87</f>
        <v>81818.5</v>
      </c>
      <c r="F87" s="648">
        <v>81850.100000000006</v>
      </c>
      <c r="G87" s="1347">
        <f t="shared" si="6"/>
        <v>31.600000000005821</v>
      </c>
      <c r="H87" s="460">
        <f>G87+'21'!H87</f>
        <v>121.30000000000291</v>
      </c>
      <c r="I87" s="653"/>
      <c r="J87" s="708">
        <f>H87/DAY(B2)</f>
        <v>5.513636363636496</v>
      </c>
      <c r="K87" s="734"/>
      <c r="L87" s="735"/>
      <c r="N87" s="778"/>
      <c r="O87" s="382"/>
    </row>
    <row r="88" spans="1:15" s="736" customFormat="1">
      <c r="A88" s="731" t="s">
        <v>95</v>
      </c>
      <c r="B88" s="732"/>
      <c r="C88" s="732"/>
      <c r="D88" s="733" t="s">
        <v>182</v>
      </c>
      <c r="E88" s="648">
        <f>'21'!F88</f>
        <v>154344</v>
      </c>
      <c r="F88" s="648">
        <v>154464</v>
      </c>
      <c r="G88" s="1347">
        <f t="shared" si="6"/>
        <v>120</v>
      </c>
      <c r="H88" s="460">
        <f>G88+'21'!H88</f>
        <v>386.33999999999651</v>
      </c>
      <c r="I88" s="653"/>
      <c r="J88" s="708">
        <f>H88/DAY(B2)</f>
        <v>17.560909090908932</v>
      </c>
      <c r="K88" s="734"/>
      <c r="L88" s="735"/>
      <c r="N88" s="778"/>
      <c r="O88" s="382"/>
    </row>
    <row r="89" spans="1:15" s="736" customFormat="1">
      <c r="A89" s="731" t="s">
        <v>203</v>
      </c>
      <c r="B89" s="732"/>
      <c r="C89" s="732"/>
      <c r="D89" s="733" t="s">
        <v>182</v>
      </c>
      <c r="E89" s="648">
        <f>'21'!F89</f>
        <v>65593.2</v>
      </c>
      <c r="F89" s="648">
        <v>65625</v>
      </c>
      <c r="G89" s="1347">
        <f t="shared" ref="G89:G91" si="7">F89-E89</f>
        <v>31.80000000000291</v>
      </c>
      <c r="H89" s="460">
        <f>G89+'21'!H89</f>
        <v>112.90000000000146</v>
      </c>
      <c r="I89" s="653"/>
      <c r="J89" s="708">
        <f>H89/DAY(B2)</f>
        <v>5.1318181818182476</v>
      </c>
      <c r="K89" s="734"/>
      <c r="L89" s="735"/>
      <c r="N89" s="778"/>
      <c r="O89" s="382"/>
    </row>
    <row r="90" spans="1:15" s="736" customFormat="1">
      <c r="A90" s="731" t="s">
        <v>203</v>
      </c>
      <c r="B90" s="732"/>
      <c r="C90" s="732"/>
      <c r="D90" s="733" t="s">
        <v>182</v>
      </c>
      <c r="E90" s="648">
        <f>'21'!F90</f>
        <v>3314.8</v>
      </c>
      <c r="F90" s="648">
        <v>3319.7</v>
      </c>
      <c r="G90" s="1347">
        <f t="shared" si="7"/>
        <v>4.8999999999996362</v>
      </c>
      <c r="H90" s="460">
        <f>G90+'21'!H90</f>
        <v>12.299999999999727</v>
      </c>
      <c r="I90" s="653"/>
      <c r="J90" s="708">
        <f>H90/DAY(B2)</f>
        <v>0.55909090909089665</v>
      </c>
      <c r="K90" s="734"/>
      <c r="L90" s="735"/>
      <c r="N90" s="778"/>
      <c r="O90" s="382"/>
    </row>
    <row r="91" spans="1:15" s="736" customFormat="1">
      <c r="A91" s="731" t="s">
        <v>350</v>
      </c>
      <c r="B91" s="732"/>
      <c r="C91" s="732"/>
      <c r="D91" s="733"/>
      <c r="E91" s="648">
        <f>'21'!F91</f>
        <v>28171.439999999999</v>
      </c>
      <c r="F91" s="648">
        <v>28182.46</v>
      </c>
      <c r="G91" s="706">
        <f t="shared" si="7"/>
        <v>11.020000000000437</v>
      </c>
      <c r="H91" s="460">
        <f>G91+'21'!H91</f>
        <v>22.779999999998836</v>
      </c>
      <c r="I91" s="653"/>
      <c r="J91" s="708">
        <f>H91/DAY(B2)</f>
        <v>1.0354545454544926</v>
      </c>
      <c r="K91" s="734"/>
      <c r="L91" s="735"/>
      <c r="N91" s="778"/>
      <c r="O91" s="382"/>
    </row>
    <row r="92" spans="1:15" s="379" customFormat="1">
      <c r="A92" s="606" t="s">
        <v>204</v>
      </c>
      <c r="B92" s="1369"/>
      <c r="C92" s="1369"/>
      <c r="D92" s="472"/>
      <c r="E92" s="472"/>
      <c r="F92" s="472"/>
      <c r="G92" s="1336"/>
      <c r="H92" s="472"/>
      <c r="I92" s="472"/>
      <c r="J92" s="551"/>
      <c r="K92" s="380"/>
      <c r="L92" s="378"/>
      <c r="N92" s="777"/>
      <c r="O92" s="382"/>
    </row>
    <row r="93" spans="1:15" ht="27.75">
      <c r="A93" s="1537" t="s">
        <v>205</v>
      </c>
      <c r="B93" s="1538"/>
      <c r="C93" s="1539"/>
      <c r="D93" s="523" t="s">
        <v>143</v>
      </c>
      <c r="E93" s="484">
        <f>'21'!F93</f>
        <v>246690</v>
      </c>
      <c r="F93" s="484">
        <v>246753</v>
      </c>
      <c r="G93" s="1333">
        <f t="shared" ref="G93:G94" si="8">F93-E93</f>
        <v>63</v>
      </c>
      <c r="H93" s="460">
        <f>G93+'21'!H93</f>
        <v>1265</v>
      </c>
      <c r="I93" s="480"/>
      <c r="J93" s="552">
        <f>H93/DAY(B2)</f>
        <v>57.5</v>
      </c>
      <c r="K93" s="429"/>
      <c r="L93" s="377"/>
      <c r="N93" s="382"/>
      <c r="O93" s="382"/>
    </row>
    <row r="94" spans="1:15" ht="27.75">
      <c r="A94" s="1537" t="s">
        <v>206</v>
      </c>
      <c r="B94" s="1538"/>
      <c r="C94" s="1539"/>
      <c r="D94" s="523" t="s">
        <v>143</v>
      </c>
      <c r="E94" s="484">
        <f>'21'!F94</f>
        <v>188422</v>
      </c>
      <c r="F94" s="484">
        <v>188599</v>
      </c>
      <c r="G94" s="1333">
        <f t="shared" si="8"/>
        <v>177</v>
      </c>
      <c r="H94" s="460">
        <f>G94+'21'!H94</f>
        <v>2478</v>
      </c>
      <c r="I94" s="480"/>
      <c r="J94" s="552">
        <f>H94/DAY(B2)</f>
        <v>112.63636363636364</v>
      </c>
      <c r="K94" s="380"/>
      <c r="L94" s="377"/>
      <c r="N94" s="382"/>
      <c r="O94" s="382"/>
    </row>
    <row r="95" spans="1:15">
      <c r="A95" s="1531" t="s">
        <v>207</v>
      </c>
      <c r="B95" s="1532"/>
      <c r="C95" s="1533"/>
      <c r="D95" s="523"/>
      <c r="E95" s="484">
        <f>'21'!F95</f>
        <v>0</v>
      </c>
      <c r="F95" s="484"/>
      <c r="G95" s="1333">
        <f>G93+G94</f>
        <v>240</v>
      </c>
      <c r="H95" s="460">
        <f>G95+'21'!H95</f>
        <v>3667</v>
      </c>
      <c r="I95" s="480"/>
      <c r="J95" s="552">
        <f>H95/DAY(B2)</f>
        <v>166.68181818181819</v>
      </c>
      <c r="K95" s="380"/>
      <c r="L95" s="377"/>
      <c r="N95" s="382"/>
      <c r="O95" s="382"/>
    </row>
    <row r="96" spans="1:15" ht="27.75">
      <c r="A96" s="1537" t="s">
        <v>208</v>
      </c>
      <c r="B96" s="1538"/>
      <c r="C96" s="1539"/>
      <c r="D96" s="523" t="s">
        <v>143</v>
      </c>
      <c r="E96" s="484">
        <f>'21'!F96</f>
        <v>415432</v>
      </c>
      <c r="F96" s="484">
        <v>415490</v>
      </c>
      <c r="G96" s="1333">
        <f t="shared" ref="G96:G101" si="9">F96-E96</f>
        <v>58</v>
      </c>
      <c r="H96" s="460">
        <f>G96+'21'!H96</f>
        <v>1207</v>
      </c>
      <c r="I96" s="480"/>
      <c r="J96" s="552">
        <f>H96/DAY(B2)</f>
        <v>54.863636363636367</v>
      </c>
      <c r="K96" s="380"/>
      <c r="L96" s="377"/>
      <c r="N96" s="382"/>
      <c r="O96" s="382"/>
    </row>
    <row r="97" spans="1:15" ht="27.75">
      <c r="A97" s="1363" t="s">
        <v>209</v>
      </c>
      <c r="B97" s="1364"/>
      <c r="C97" s="1364"/>
      <c r="D97" s="523" t="s">
        <v>143</v>
      </c>
      <c r="E97" s="484">
        <f>'21'!F97</f>
        <v>102976</v>
      </c>
      <c r="F97" s="484">
        <v>102993</v>
      </c>
      <c r="G97" s="1333">
        <f t="shared" si="9"/>
        <v>17</v>
      </c>
      <c r="H97" s="460">
        <f>G97+'21'!H97</f>
        <v>345</v>
      </c>
      <c r="I97" s="480"/>
      <c r="J97" s="552">
        <f>H97/DAY(B2)</f>
        <v>15.681818181818182</v>
      </c>
      <c r="K97" s="427"/>
      <c r="L97" s="377"/>
      <c r="N97" s="382"/>
      <c r="O97" s="382"/>
    </row>
    <row r="98" spans="1:15" ht="27.75">
      <c r="A98" s="1363" t="s">
        <v>210</v>
      </c>
      <c r="B98" s="1364"/>
      <c r="C98" s="1364"/>
      <c r="D98" s="523" t="s">
        <v>143</v>
      </c>
      <c r="E98" s="484">
        <f>'21'!F98</f>
        <v>98449</v>
      </c>
      <c r="F98" s="484">
        <v>98470</v>
      </c>
      <c r="G98" s="1333">
        <f t="shared" si="9"/>
        <v>21</v>
      </c>
      <c r="H98" s="460">
        <f>G98+'21'!H98</f>
        <v>520</v>
      </c>
      <c r="I98" s="480"/>
      <c r="J98" s="552">
        <f>H98/DAY(B2)</f>
        <v>23.636363636363637</v>
      </c>
      <c r="K98" s="432"/>
      <c r="L98" s="377"/>
      <c r="N98" s="382"/>
      <c r="O98" s="382"/>
    </row>
    <row r="99" spans="1:15" ht="27.75">
      <c r="A99" s="1363" t="s">
        <v>211</v>
      </c>
      <c r="B99" s="1364"/>
      <c r="C99" s="1364"/>
      <c r="D99" s="523" t="s">
        <v>143</v>
      </c>
      <c r="E99" s="484">
        <f>'21'!F99</f>
        <v>150062</v>
      </c>
      <c r="F99" s="484">
        <v>150108</v>
      </c>
      <c r="G99" s="1333">
        <f t="shared" si="9"/>
        <v>46</v>
      </c>
      <c r="H99" s="460">
        <f>G99+'21'!H99</f>
        <v>256</v>
      </c>
      <c r="I99" s="480"/>
      <c r="J99" s="552">
        <f>H99/DAY(B2)</f>
        <v>11.636363636363637</v>
      </c>
      <c r="K99" s="380"/>
      <c r="L99" s="377"/>
      <c r="N99" s="382"/>
      <c r="O99" s="382"/>
    </row>
    <row r="100" spans="1:15" ht="27.75">
      <c r="A100" s="1363" t="s">
        <v>212</v>
      </c>
      <c r="B100" s="1364"/>
      <c r="C100" s="1364"/>
      <c r="D100" s="523" t="s">
        <v>143</v>
      </c>
      <c r="E100" s="484">
        <f>'21'!F100</f>
        <v>7621</v>
      </c>
      <c r="F100" s="484">
        <v>7645</v>
      </c>
      <c r="G100" s="1333">
        <f t="shared" si="9"/>
        <v>24</v>
      </c>
      <c r="H100" s="460">
        <f>G100+'21'!H100</f>
        <v>276</v>
      </c>
      <c r="I100" s="480"/>
      <c r="J100" s="552">
        <f>H100/DAY(B2)</f>
        <v>12.545454545454545</v>
      </c>
      <c r="K100" s="380"/>
      <c r="L100" s="377"/>
      <c r="N100" s="382"/>
      <c r="O100" s="382"/>
    </row>
    <row r="101" spans="1:15" ht="27.75">
      <c r="A101" s="1363" t="s">
        <v>213</v>
      </c>
      <c r="B101" s="1364"/>
      <c r="C101" s="1364"/>
      <c r="D101" s="523" t="s">
        <v>143</v>
      </c>
      <c r="E101" s="484">
        <f>'21'!F101</f>
        <v>5581</v>
      </c>
      <c r="F101" s="484">
        <v>5587</v>
      </c>
      <c r="G101" s="1333">
        <f t="shared" si="9"/>
        <v>6</v>
      </c>
      <c r="H101" s="460">
        <f>G101+'21'!H101</f>
        <v>196</v>
      </c>
      <c r="I101" s="480"/>
      <c r="J101" s="552">
        <f>H101/DAY(B2)</f>
        <v>8.9090909090909083</v>
      </c>
      <c r="K101" s="380"/>
      <c r="L101" s="377"/>
      <c r="N101" s="382"/>
      <c r="O101" s="382"/>
    </row>
    <row r="102" spans="1:15">
      <c r="A102" s="1531" t="s">
        <v>215</v>
      </c>
      <c r="B102" s="1532"/>
      <c r="C102" s="1533"/>
      <c r="D102" s="524"/>
      <c r="E102" s="524"/>
      <c r="F102" s="524"/>
      <c r="G102" s="1348">
        <f>SUM(G96:G101)</f>
        <v>172</v>
      </c>
      <c r="H102" s="460">
        <f>G102+'21'!H102</f>
        <v>2800</v>
      </c>
      <c r="I102" s="526"/>
      <c r="J102" s="552">
        <f>H102/DAY(B2)</f>
        <v>127.27272727272727</v>
      </c>
      <c r="K102" s="380"/>
      <c r="L102" s="377"/>
      <c r="N102" s="382"/>
      <c r="O102" s="382"/>
    </row>
    <row r="103" spans="1:15" s="442" customFormat="1" ht="27">
      <c r="A103" s="607" t="s">
        <v>216</v>
      </c>
      <c r="B103" s="608"/>
      <c r="C103" s="608"/>
      <c r="D103" s="621"/>
      <c r="E103" s="528"/>
      <c r="F103" s="528"/>
      <c r="G103" s="1349"/>
      <c r="H103" s="530"/>
      <c r="I103" s="531"/>
      <c r="J103" s="557"/>
      <c r="N103" s="444"/>
      <c r="O103" s="382"/>
    </row>
    <row r="104" spans="1:15" s="442" customFormat="1" ht="27.75">
      <c r="A104" s="1540" t="s">
        <v>217</v>
      </c>
      <c r="B104" s="1541"/>
      <c r="C104" s="573"/>
      <c r="D104" s="622"/>
      <c r="E104" s="532"/>
      <c r="F104" s="532"/>
      <c r="G104" s="1350"/>
      <c r="H104" s="533"/>
      <c r="I104" s="532"/>
      <c r="J104" s="558"/>
      <c r="N104" s="444"/>
      <c r="O104" s="382"/>
    </row>
    <row r="105" spans="1:15" s="442" customFormat="1" ht="27.75">
      <c r="A105" s="1542" t="s">
        <v>218</v>
      </c>
      <c r="B105" s="1543"/>
      <c r="C105" s="1362"/>
      <c r="D105" s="622" t="s">
        <v>143</v>
      </c>
      <c r="E105" s="532">
        <f>'21'!F105</f>
        <v>7637</v>
      </c>
      <c r="F105" s="532">
        <v>7637</v>
      </c>
      <c r="G105" s="1350">
        <f>F105-E105</f>
        <v>0</v>
      </c>
      <c r="H105" s="460">
        <f>SUM(G105+'1'!G76)</f>
        <v>57</v>
      </c>
      <c r="I105" s="532"/>
      <c r="J105" s="558">
        <f>H105/DAY(B2)</f>
        <v>2.5909090909090908</v>
      </c>
      <c r="N105" s="444"/>
      <c r="O105" s="382"/>
    </row>
    <row r="106" spans="1:15" s="442" customFormat="1" ht="27.75">
      <c r="A106" s="1542" t="s">
        <v>76</v>
      </c>
      <c r="B106" s="1543"/>
      <c r="C106" s="1362"/>
      <c r="D106" s="622" t="s">
        <v>143</v>
      </c>
      <c r="E106" s="534">
        <f>'21'!F106</f>
        <v>36089</v>
      </c>
      <c r="F106" s="534">
        <v>36089</v>
      </c>
      <c r="G106" s="1350">
        <f t="shared" ref="G106:G107" si="10">F106-E106</f>
        <v>0</v>
      </c>
      <c r="H106" s="460">
        <f>SUM(G106+'1'!G77)</f>
        <v>49</v>
      </c>
      <c r="I106" s="532"/>
      <c r="J106" s="558">
        <f>H106/DAY(B2)</f>
        <v>2.2272727272727271</v>
      </c>
      <c r="N106" s="444"/>
      <c r="O106" s="382"/>
    </row>
    <row r="107" spans="1:15" s="442" customFormat="1" ht="27.75">
      <c r="A107" s="1542" t="s">
        <v>77</v>
      </c>
      <c r="B107" s="1544"/>
      <c r="C107" s="1543"/>
      <c r="D107" s="622" t="s">
        <v>143</v>
      </c>
      <c r="E107" s="532">
        <f>'21'!F107</f>
        <v>19786</v>
      </c>
      <c r="F107" s="532">
        <v>19789</v>
      </c>
      <c r="G107" s="1350">
        <f t="shared" si="10"/>
        <v>3</v>
      </c>
      <c r="H107" s="460">
        <f>SUM(G107+'1'!G78)</f>
        <v>58</v>
      </c>
      <c r="I107" s="532"/>
      <c r="J107" s="558">
        <f>H107/DAY(B2)</f>
        <v>2.6363636363636362</v>
      </c>
      <c r="N107" s="444"/>
      <c r="O107" s="382"/>
    </row>
    <row r="108" spans="1:15" s="442" customFormat="1" ht="27.75">
      <c r="A108" s="1545" t="s">
        <v>201</v>
      </c>
      <c r="B108" s="1546"/>
      <c r="C108" s="1362"/>
      <c r="D108" s="622"/>
      <c r="E108" s="532">
        <f>'21'!F108</f>
        <v>0</v>
      </c>
      <c r="F108" s="532"/>
      <c r="G108" s="1350">
        <f>SUM(G105:G107)</f>
        <v>3</v>
      </c>
      <c r="H108" s="460">
        <f>SUM(G108+'1'!G79)</f>
        <v>158</v>
      </c>
      <c r="I108" s="532"/>
      <c r="J108" s="558">
        <f>H108/DAY(B2)</f>
        <v>7.1818181818181817</v>
      </c>
      <c r="N108" s="444"/>
      <c r="O108" s="382"/>
    </row>
    <row r="109" spans="1:15" s="442" customFormat="1" ht="27.75">
      <c r="A109" s="1547" t="s">
        <v>78</v>
      </c>
      <c r="B109" s="1548"/>
      <c r="C109" s="1362"/>
      <c r="D109" s="622" t="s">
        <v>143</v>
      </c>
      <c r="E109" s="532">
        <f>'21'!F109</f>
        <v>0</v>
      </c>
      <c r="F109" s="532"/>
      <c r="G109" s="1350"/>
      <c r="H109" s="460"/>
      <c r="I109" s="532"/>
      <c r="J109" s="558"/>
      <c r="N109" s="444"/>
      <c r="O109" s="382"/>
    </row>
    <row r="110" spans="1:15" s="442" customFormat="1" ht="27.75">
      <c r="A110" s="1542" t="s">
        <v>219</v>
      </c>
      <c r="B110" s="1543"/>
      <c r="C110" s="1362"/>
      <c r="D110" s="622" t="s">
        <v>143</v>
      </c>
      <c r="E110" s="532">
        <f>'21'!F110</f>
        <v>64167</v>
      </c>
      <c r="F110" s="532">
        <v>64330</v>
      </c>
      <c r="G110" s="1350">
        <f>F110-E110</f>
        <v>163</v>
      </c>
      <c r="H110" s="460">
        <f>SUM(G110+'1'!G81)</f>
        <v>257</v>
      </c>
      <c r="I110" s="532"/>
      <c r="J110" s="558">
        <f>H110/DAY(B2)</f>
        <v>11.681818181818182</v>
      </c>
      <c r="N110" s="444"/>
      <c r="O110" s="382"/>
    </row>
    <row r="111" spans="1:15" s="442" customFormat="1" ht="27.75">
      <c r="A111" s="1542" t="s">
        <v>220</v>
      </c>
      <c r="B111" s="1543"/>
      <c r="C111" s="1362"/>
      <c r="D111" s="622" t="s">
        <v>143</v>
      </c>
      <c r="E111" s="532">
        <f>'21'!F111</f>
        <v>32796</v>
      </c>
      <c r="F111" s="532">
        <v>32833</v>
      </c>
      <c r="G111" s="1350">
        <f t="shared" ref="G111:G112" si="11">F111-E111</f>
        <v>37</v>
      </c>
      <c r="H111" s="460">
        <f>SUM(G111+'1'!G82)</f>
        <v>48</v>
      </c>
      <c r="I111" s="532"/>
      <c r="J111" s="558">
        <f>H111/DAY(B2)</f>
        <v>2.1818181818181817</v>
      </c>
      <c r="N111" s="444"/>
      <c r="O111" s="382"/>
    </row>
    <row r="112" spans="1:15" s="442" customFormat="1" ht="27.75">
      <c r="A112" s="1542" t="s">
        <v>221</v>
      </c>
      <c r="B112" s="1543"/>
      <c r="C112" s="1362"/>
      <c r="D112" s="622" t="s">
        <v>143</v>
      </c>
      <c r="E112" s="532">
        <f>'21'!F112</f>
        <v>4621</v>
      </c>
      <c r="F112" s="532">
        <v>4621</v>
      </c>
      <c r="G112" s="1350">
        <f t="shared" si="11"/>
        <v>0</v>
      </c>
      <c r="H112" s="460">
        <f>SUM(G112+'1'!G83)</f>
        <v>152</v>
      </c>
      <c r="I112" s="532"/>
      <c r="J112" s="558">
        <f>H112/DAY(B2)</f>
        <v>6.9090909090909092</v>
      </c>
      <c r="N112" s="444"/>
      <c r="O112" s="382"/>
    </row>
    <row r="113" spans="1:15" s="442" customFormat="1" ht="27.75">
      <c r="A113" s="1574" t="s">
        <v>109</v>
      </c>
      <c r="B113" s="1575"/>
      <c r="C113" s="1362"/>
      <c r="D113" s="622"/>
      <c r="E113" s="532">
        <f>'21'!F113</f>
        <v>0</v>
      </c>
      <c r="F113" s="532"/>
      <c r="G113" s="1350">
        <f>SUM(G110:G112)</f>
        <v>200</v>
      </c>
      <c r="H113" s="460">
        <f>SUM(G113+'1'!G84)</f>
        <v>1027</v>
      </c>
      <c r="I113" s="532"/>
      <c r="J113" s="558">
        <f>H113/DAY(B2)</f>
        <v>46.68181818181818</v>
      </c>
      <c r="N113" s="444"/>
      <c r="O113" s="382"/>
    </row>
    <row r="114" spans="1:15" s="442" customFormat="1" ht="27.75">
      <c r="A114" s="1547" t="s">
        <v>222</v>
      </c>
      <c r="B114" s="1548"/>
      <c r="C114" s="1362"/>
      <c r="D114" s="622"/>
      <c r="E114" s="532">
        <f>'21'!F114</f>
        <v>0</v>
      </c>
      <c r="F114" s="532"/>
      <c r="G114" s="1350"/>
      <c r="H114" s="460"/>
      <c r="I114" s="532"/>
      <c r="J114" s="558">
        <f>H114/DAY(B2)</f>
        <v>0</v>
      </c>
      <c r="N114" s="444"/>
      <c r="O114" s="382"/>
    </row>
    <row r="115" spans="1:15" s="442" customFormat="1" ht="27.75">
      <c r="A115" s="1542" t="s">
        <v>223</v>
      </c>
      <c r="B115" s="1543"/>
      <c r="C115" s="574"/>
      <c r="D115" s="622" t="s">
        <v>143</v>
      </c>
      <c r="E115" s="534">
        <f>'21'!F115</f>
        <v>11806</v>
      </c>
      <c r="F115" s="534">
        <v>11834</v>
      </c>
      <c r="G115" s="1351">
        <f>F115-E115</f>
        <v>28</v>
      </c>
      <c r="H115" s="460">
        <f>SUM(G115+'1'!G92)</f>
        <v>28</v>
      </c>
      <c r="I115" s="532"/>
      <c r="J115" s="558">
        <f>H115/DAY(B2)</f>
        <v>1.2727272727272727</v>
      </c>
      <c r="N115" s="444"/>
      <c r="O115" s="382"/>
    </row>
    <row r="116" spans="1:15" s="442" customFormat="1" ht="27.75">
      <c r="A116" s="1542" t="s">
        <v>224</v>
      </c>
      <c r="B116" s="1543"/>
      <c r="C116" s="574"/>
      <c r="D116" s="622" t="s">
        <v>143</v>
      </c>
      <c r="E116" s="534">
        <f>'21'!F116</f>
        <v>8477</v>
      </c>
      <c r="F116" s="534">
        <v>8483</v>
      </c>
      <c r="G116" s="1351">
        <f t="shared" ref="G116:G117" si="12">F116-E116</f>
        <v>6</v>
      </c>
      <c r="H116" s="460">
        <f>SUM(G116+'1'!G93)</f>
        <v>24</v>
      </c>
      <c r="I116" s="532"/>
      <c r="J116" s="558">
        <f>H116/DAY(B2)</f>
        <v>1.0909090909090908</v>
      </c>
      <c r="N116" s="444"/>
      <c r="O116" s="382"/>
    </row>
    <row r="117" spans="1:15" s="442" customFormat="1" ht="27.75">
      <c r="A117" s="1542" t="s">
        <v>225</v>
      </c>
      <c r="B117" s="1543"/>
      <c r="C117" s="574"/>
      <c r="D117" s="622" t="s">
        <v>143</v>
      </c>
      <c r="E117" s="534"/>
      <c r="F117" s="534"/>
      <c r="G117" s="1351">
        <f t="shared" si="12"/>
        <v>0</v>
      </c>
      <c r="H117" s="460">
        <f>SUM(G117+'1'!G94)</f>
        <v>58</v>
      </c>
      <c r="I117" s="532"/>
      <c r="J117" s="558">
        <f>H117/DAY(B2)</f>
        <v>2.6363636363636362</v>
      </c>
      <c r="N117" s="444"/>
      <c r="O117" s="382"/>
    </row>
    <row r="118" spans="1:15" s="445" customFormat="1" ht="27.75">
      <c r="A118" s="1545" t="s">
        <v>201</v>
      </c>
      <c r="B118" s="1546"/>
      <c r="C118" s="574"/>
      <c r="D118" s="623"/>
      <c r="E118" s="534"/>
      <c r="F118" s="534"/>
      <c r="G118" s="1351">
        <f>SUM(G115:G117)</f>
        <v>34</v>
      </c>
      <c r="H118" s="460">
        <f>SUM(G118+'1'!G96)</f>
        <v>74</v>
      </c>
      <c r="I118" s="534"/>
      <c r="J118" s="558">
        <f>H118/DAY(B2)</f>
        <v>3.3636363636363638</v>
      </c>
      <c r="N118" s="447"/>
      <c r="O118" s="382"/>
    </row>
    <row r="119" spans="1:15" s="446" customFormat="1" ht="27.75">
      <c r="A119" s="1576" t="s">
        <v>226</v>
      </c>
      <c r="B119" s="1577"/>
      <c r="C119" s="1361"/>
      <c r="D119" s="624" t="s">
        <v>143</v>
      </c>
      <c r="E119" s="536"/>
      <c r="F119" s="536">
        <f>SUM(G19+G93)</f>
        <v>125</v>
      </c>
      <c r="G119" s="1351">
        <f>SUM(G19+G93)</f>
        <v>125</v>
      </c>
      <c r="H119" s="460">
        <f>SUM(G119+'1'!G97)</f>
        <v>138</v>
      </c>
      <c r="I119" s="535"/>
      <c r="J119" s="559">
        <f>H119/DAY(B2)</f>
        <v>6.2727272727272725</v>
      </c>
      <c r="N119" s="779"/>
      <c r="O119" s="382"/>
    </row>
    <row r="120" spans="1:15" s="446" customFormat="1" ht="27.75">
      <c r="A120" s="1576" t="s">
        <v>227</v>
      </c>
      <c r="B120" s="1577"/>
      <c r="C120" s="1361"/>
      <c r="D120" s="624" t="s">
        <v>143</v>
      </c>
      <c r="E120" s="536"/>
      <c r="F120" s="536">
        <f>SUM(G96,G97,G98,G100,G101)</f>
        <v>126</v>
      </c>
      <c r="G120" s="1351">
        <f>SUM(G96,G97,G98,G100,G101)</f>
        <v>126</v>
      </c>
      <c r="H120" s="460">
        <f>SUM(G120+'1'!G99)</f>
        <v>133</v>
      </c>
      <c r="I120" s="535"/>
      <c r="J120" s="559">
        <f>H120/DAY(B2)</f>
        <v>6.0454545454545459</v>
      </c>
      <c r="N120" s="779"/>
      <c r="O120" s="382"/>
    </row>
    <row r="121" spans="1:15" s="446" customFormat="1" ht="27.75">
      <c r="A121" s="1576" t="s">
        <v>228</v>
      </c>
      <c r="B121" s="1577"/>
      <c r="C121" s="1361"/>
      <c r="D121" s="624" t="s">
        <v>143</v>
      </c>
      <c r="E121" s="534"/>
      <c r="F121" s="534">
        <f>SUM(G113)</f>
        <v>200</v>
      </c>
      <c r="G121" s="1351">
        <f>SUM(G113)</f>
        <v>200</v>
      </c>
      <c r="H121" s="460">
        <f>SUM(G121+'1'!G101)</f>
        <v>204</v>
      </c>
      <c r="I121" s="535"/>
      <c r="J121" s="559">
        <f>H121/DAY(B2)</f>
        <v>9.2727272727272734</v>
      </c>
      <c r="N121" s="779"/>
      <c r="O121" s="382"/>
    </row>
    <row r="122" spans="1:15" s="442" customFormat="1" ht="27.75">
      <c r="A122" s="1578"/>
      <c r="B122" s="1579"/>
      <c r="C122" s="1362"/>
      <c r="D122" s="560"/>
      <c r="E122" s="560"/>
      <c r="F122" s="560" t="s">
        <v>214</v>
      </c>
      <c r="G122" s="1352"/>
      <c r="H122" s="561"/>
      <c r="I122" s="560"/>
      <c r="J122" s="562"/>
      <c r="N122" s="444"/>
      <c r="O122" s="382"/>
    </row>
    <row r="123" spans="1:15">
      <c r="A123" s="1528" t="s">
        <v>229</v>
      </c>
      <c r="B123" s="1529"/>
      <c r="C123" s="1530"/>
      <c r="D123" s="472"/>
      <c r="E123" s="472"/>
      <c r="F123" s="472"/>
      <c r="G123" s="1336"/>
      <c r="H123" s="483"/>
      <c r="I123" s="483"/>
      <c r="J123" s="563"/>
      <c r="K123" s="380"/>
      <c r="L123" s="377"/>
      <c r="N123" s="382"/>
      <c r="O123" s="382"/>
    </row>
    <row r="124" spans="1:15" ht="27.75">
      <c r="A124" s="1363" t="s">
        <v>230</v>
      </c>
      <c r="B124" s="1364"/>
      <c r="C124" s="1364"/>
      <c r="D124" s="523" t="s">
        <v>140</v>
      </c>
      <c r="E124" s="478">
        <f>'21'!F124</f>
        <v>837160</v>
      </c>
      <c r="F124" s="478">
        <v>837424.77</v>
      </c>
      <c r="G124" s="1333">
        <f t="shared" ref="G124:G128" si="13">F124-E124</f>
        <v>264.77000000001863</v>
      </c>
      <c r="H124" s="460">
        <f>G124+'21'!H124</f>
        <v>5058.7700000000186</v>
      </c>
      <c r="I124" s="526"/>
      <c r="J124" s="552">
        <f>H124/DAY(B2)</f>
        <v>229.94409090909176</v>
      </c>
      <c r="K124" s="380"/>
      <c r="L124" s="377"/>
      <c r="N124" s="382"/>
      <c r="O124" s="382"/>
    </row>
    <row r="125" spans="1:15" ht="27.75">
      <c r="A125" s="1363" t="s">
        <v>231</v>
      </c>
      <c r="B125" s="1364"/>
      <c r="C125" s="1364"/>
      <c r="D125" s="523" t="s">
        <v>140</v>
      </c>
      <c r="E125" s="626">
        <f>'21'!F125</f>
        <v>73583.399999999994</v>
      </c>
      <c r="F125" s="626">
        <v>73583.399999999994</v>
      </c>
      <c r="G125" s="1333">
        <f t="shared" si="13"/>
        <v>0</v>
      </c>
      <c r="H125" s="460">
        <f>G125+'21'!H125</f>
        <v>0</v>
      </c>
      <c r="I125" s="526"/>
      <c r="J125" s="552">
        <f>H125/DAY(B2)</f>
        <v>0</v>
      </c>
      <c r="K125" s="380"/>
      <c r="L125" s="377"/>
      <c r="N125" s="382"/>
      <c r="O125" s="382"/>
    </row>
    <row r="126" spans="1:15" ht="27.75">
      <c r="A126" s="1534" t="s">
        <v>232</v>
      </c>
      <c r="B126" s="1535"/>
      <c r="C126" s="1536"/>
      <c r="D126" s="523" t="s">
        <v>140</v>
      </c>
      <c r="E126" s="478">
        <f>'21'!F126</f>
        <v>147886.95000000001</v>
      </c>
      <c r="F126" s="478">
        <v>147963.81</v>
      </c>
      <c r="G126" s="1333">
        <f t="shared" si="13"/>
        <v>76.85999999998603</v>
      </c>
      <c r="H126" s="460">
        <f>G126+'21'!H126</f>
        <v>1472.8099999999977</v>
      </c>
      <c r="I126" s="526"/>
      <c r="J126" s="552">
        <f>H126/DAY(B2)</f>
        <v>66.945909090908984</v>
      </c>
      <c r="K126" s="380"/>
      <c r="L126" s="377"/>
      <c r="N126" s="382"/>
      <c r="O126" s="382"/>
    </row>
    <row r="127" spans="1:15" ht="27.75">
      <c r="A127" s="609" t="s">
        <v>233</v>
      </c>
      <c r="B127" s="1364"/>
      <c r="C127" s="1364"/>
      <c r="D127" s="523" t="s">
        <v>140</v>
      </c>
      <c r="E127" s="626">
        <f>'21'!F127</f>
        <v>31757</v>
      </c>
      <c r="F127" s="626">
        <v>31791.7</v>
      </c>
      <c r="G127" s="1333">
        <f t="shared" si="13"/>
        <v>34.700000000000728</v>
      </c>
      <c r="H127" s="460">
        <f>G127+'21'!H127</f>
        <v>385.70000000000073</v>
      </c>
      <c r="I127" s="526"/>
      <c r="J127" s="552">
        <f>H127/DAY(B2)</f>
        <v>17.531818181818213</v>
      </c>
      <c r="K127" s="380"/>
      <c r="L127" s="377"/>
      <c r="N127" s="382"/>
      <c r="O127" s="382"/>
    </row>
    <row r="128" spans="1:15" ht="27.75">
      <c r="A128" s="609" t="s">
        <v>234</v>
      </c>
      <c r="B128" s="1364"/>
      <c r="C128" s="1364"/>
      <c r="D128" s="523" t="s">
        <v>140</v>
      </c>
      <c r="E128" s="626">
        <f>'21'!F128</f>
        <v>8983.1</v>
      </c>
      <c r="F128" s="626">
        <v>8984.6</v>
      </c>
      <c r="G128" s="1333">
        <f t="shared" si="13"/>
        <v>1.5</v>
      </c>
      <c r="H128" s="460">
        <f>G128+'21'!H128</f>
        <v>12.600000000000364</v>
      </c>
      <c r="I128" s="480"/>
      <c r="J128" s="552">
        <f>H128/DAY(B2)</f>
        <v>0.57272727272728929</v>
      </c>
      <c r="K128" s="380"/>
      <c r="L128" s="377"/>
      <c r="N128" s="382"/>
      <c r="O128" s="382"/>
    </row>
    <row r="129" spans="1:15" s="281" customFormat="1" ht="27.75">
      <c r="A129" s="609" t="s">
        <v>235</v>
      </c>
      <c r="B129" s="1364"/>
      <c r="C129" s="1364"/>
      <c r="D129" s="523"/>
      <c r="E129" s="478"/>
      <c r="F129" s="478"/>
      <c r="G129" s="1333">
        <f>G15-SUM(G124:G128)</f>
        <v>210.25000000006912</v>
      </c>
      <c r="H129" s="460">
        <f>G129+'21'!H129</f>
        <v>2712.0899999999547</v>
      </c>
      <c r="I129" s="480"/>
      <c r="J129" s="552">
        <f>H129/DAY(B2)</f>
        <v>123.27681818181613</v>
      </c>
      <c r="K129" s="364"/>
      <c r="L129" s="292"/>
      <c r="N129" s="365"/>
      <c r="O129" s="382"/>
    </row>
    <row r="130" spans="1:15">
      <c r="A130" s="610" t="s">
        <v>236</v>
      </c>
      <c r="B130" s="458"/>
      <c r="C130" s="458"/>
      <c r="D130" s="471"/>
      <c r="E130" s="471"/>
      <c r="F130" s="471"/>
      <c r="G130" s="1353"/>
      <c r="H130" s="540"/>
      <c r="I130" s="540"/>
      <c r="J130" s="564"/>
      <c r="N130" s="382"/>
      <c r="O130" s="382"/>
    </row>
    <row r="131" spans="1:15" ht="27.75">
      <c r="A131" s="1363" t="s">
        <v>237</v>
      </c>
      <c r="B131" s="1364"/>
      <c r="C131" s="1364"/>
      <c r="D131" s="523" t="s">
        <v>238</v>
      </c>
      <c r="E131" s="484">
        <f>'21'!F131</f>
        <v>0</v>
      </c>
      <c r="F131" s="484">
        <v>0</v>
      </c>
      <c r="G131" s="1333">
        <f t="shared" ref="G131:G141" si="14">F131-E131</f>
        <v>0</v>
      </c>
      <c r="H131" s="460">
        <f>G131+'21'!H131</f>
        <v>0</v>
      </c>
      <c r="I131" s="480"/>
      <c r="J131" s="552">
        <f>H131/DAY(B2)</f>
        <v>0</v>
      </c>
      <c r="N131" s="382"/>
      <c r="O131" s="382"/>
    </row>
    <row r="132" spans="1:15" ht="27.75">
      <c r="A132" s="1363" t="s">
        <v>239</v>
      </c>
      <c r="B132" s="1364"/>
      <c r="C132" s="1364"/>
      <c r="D132" s="523" t="s">
        <v>238</v>
      </c>
      <c r="E132" s="484">
        <f>'21'!F132</f>
        <v>0</v>
      </c>
      <c r="F132" s="484">
        <v>0</v>
      </c>
      <c r="G132" s="1333">
        <f t="shared" si="14"/>
        <v>0</v>
      </c>
      <c r="H132" s="460">
        <f>G132+'21'!H132</f>
        <v>0</v>
      </c>
      <c r="I132" s="480"/>
      <c r="J132" s="552">
        <f>H132/DAY(B2)</f>
        <v>0</v>
      </c>
      <c r="N132" s="382"/>
      <c r="O132" s="382"/>
    </row>
    <row r="133" spans="1:15" ht="27.75">
      <c r="A133" s="1363" t="s">
        <v>240</v>
      </c>
      <c r="B133" s="1364"/>
      <c r="C133" s="1364"/>
      <c r="D133" s="523" t="s">
        <v>238</v>
      </c>
      <c r="E133" s="541">
        <f>'21'!F133</f>
        <v>40335.1</v>
      </c>
      <c r="F133" s="541">
        <v>40352.080000000002</v>
      </c>
      <c r="G133" s="1333">
        <f t="shared" si="14"/>
        <v>16.980000000003201</v>
      </c>
      <c r="H133" s="460">
        <f>G133+'21'!H133</f>
        <v>316.9800000000032</v>
      </c>
      <c r="I133" s="480"/>
      <c r="J133" s="552">
        <f>H133/DAY(B2)</f>
        <v>14.408181818181964</v>
      </c>
      <c r="N133" s="382"/>
      <c r="O133" s="382"/>
    </row>
    <row r="134" spans="1:15" s="441" customFormat="1" ht="27.75">
      <c r="A134" s="1071" t="s">
        <v>241</v>
      </c>
      <c r="B134" s="1072"/>
      <c r="C134" s="1072"/>
      <c r="D134" s="627" t="s">
        <v>238</v>
      </c>
      <c r="E134" s="541">
        <f>'21'!F134</f>
        <v>300</v>
      </c>
      <c r="F134" s="541">
        <v>300</v>
      </c>
      <c r="G134" s="1354">
        <f t="shared" si="14"/>
        <v>0</v>
      </c>
      <c r="H134" s="706">
        <f>G134+'21'!H134</f>
        <v>0</v>
      </c>
      <c r="I134" s="1073">
        <f>G131+G132+G133+G134</f>
        <v>16.980000000003201</v>
      </c>
      <c r="J134" s="708">
        <f>H134/DAY(B2)</f>
        <v>0</v>
      </c>
      <c r="N134" s="714"/>
      <c r="O134" s="714"/>
    </row>
    <row r="135" spans="1:15" ht="27.75">
      <c r="A135" s="1363" t="s">
        <v>242</v>
      </c>
      <c r="B135" s="1364"/>
      <c r="C135" s="1364"/>
      <c r="D135" s="523" t="s">
        <v>238</v>
      </c>
      <c r="E135" s="541">
        <f>'21'!F135</f>
        <v>41826.050000000003</v>
      </c>
      <c r="F135" s="541">
        <v>41839.360000000001</v>
      </c>
      <c r="G135" s="1333">
        <f t="shared" si="14"/>
        <v>13.309999999997672</v>
      </c>
      <c r="H135" s="460">
        <f>G135+'21'!H135</f>
        <v>109.36000000000058</v>
      </c>
      <c r="I135" s="480"/>
      <c r="J135" s="552">
        <f>H135/DAY(B2)</f>
        <v>4.9709090909091174</v>
      </c>
      <c r="N135" s="382"/>
      <c r="O135" s="382"/>
    </row>
    <row r="136" spans="1:15" ht="27.75">
      <c r="A136" s="1363" t="s">
        <v>243</v>
      </c>
      <c r="B136" s="1364"/>
      <c r="C136" s="1364"/>
      <c r="D136" s="523" t="s">
        <v>238</v>
      </c>
      <c r="E136" s="541">
        <f>'21'!F136</f>
        <v>32874.050000000003</v>
      </c>
      <c r="F136" s="541">
        <v>32874.050000000003</v>
      </c>
      <c r="G136" s="1333">
        <f t="shared" si="14"/>
        <v>0</v>
      </c>
      <c r="H136" s="460">
        <f>G136+'21'!H136</f>
        <v>159.05000000000291</v>
      </c>
      <c r="I136" s="480"/>
      <c r="J136" s="552">
        <f>H136/DAY(B2)</f>
        <v>7.2295454545455868</v>
      </c>
      <c r="N136" s="382"/>
      <c r="O136" s="382"/>
    </row>
    <row r="137" spans="1:15" ht="27.75">
      <c r="A137" s="1363" t="s">
        <v>244</v>
      </c>
      <c r="B137" s="1364"/>
      <c r="C137" s="1364"/>
      <c r="D137" s="523" t="s">
        <v>238</v>
      </c>
      <c r="E137" s="541">
        <f>'21'!F137</f>
        <v>22859.1</v>
      </c>
      <c r="F137" s="541">
        <v>22859.1</v>
      </c>
      <c r="G137" s="1333">
        <f t="shared" si="14"/>
        <v>0</v>
      </c>
      <c r="H137" s="460">
        <f>G137+'21'!H137</f>
        <v>51.859999999996944</v>
      </c>
      <c r="I137" s="480">
        <f>G135+G136+G137</f>
        <v>13.309999999997672</v>
      </c>
      <c r="J137" s="552">
        <f>H137/DAY(B2)</f>
        <v>2.3572727272725884</v>
      </c>
      <c r="N137" s="382"/>
      <c r="O137" s="382"/>
    </row>
    <row r="138" spans="1:15" ht="27.75">
      <c r="A138" s="1363" t="s">
        <v>245</v>
      </c>
      <c r="B138" s="1364"/>
      <c r="C138" s="1364"/>
      <c r="D138" s="523" t="s">
        <v>238</v>
      </c>
      <c r="E138" s="541">
        <f>'21'!F138</f>
        <v>25081.89</v>
      </c>
      <c r="F138" s="541">
        <v>25081.89</v>
      </c>
      <c r="G138" s="1333">
        <f t="shared" si="14"/>
        <v>0</v>
      </c>
      <c r="H138" s="460">
        <f>G138+'21'!H138</f>
        <v>30.069999999999709</v>
      </c>
      <c r="I138" s="480"/>
      <c r="J138" s="552">
        <f>H138/DAY(B2)</f>
        <v>1.3668181818181686</v>
      </c>
      <c r="N138" s="382"/>
      <c r="O138" s="382"/>
    </row>
    <row r="139" spans="1:15" ht="27.75">
      <c r="A139" s="1363" t="s">
        <v>246</v>
      </c>
      <c r="B139" s="1364"/>
      <c r="C139" s="1364"/>
      <c r="D139" s="523" t="s">
        <v>238</v>
      </c>
      <c r="E139" s="541">
        <f>'21'!F139</f>
        <v>70487.08</v>
      </c>
      <c r="F139" s="541">
        <v>70496.73</v>
      </c>
      <c r="G139" s="1333">
        <f t="shared" si="14"/>
        <v>9.6499999999941792</v>
      </c>
      <c r="H139" s="460">
        <f>G139+'21'!H139</f>
        <v>84.989999999990687</v>
      </c>
      <c r="I139" s="480">
        <f>G138+G139</f>
        <v>9.6499999999941792</v>
      </c>
      <c r="J139" s="552">
        <f>H139/DAY(B2)</f>
        <v>3.8631818181813951</v>
      </c>
      <c r="N139" s="382"/>
      <c r="O139" s="382"/>
    </row>
    <row r="140" spans="1:15" ht="27.75">
      <c r="A140" s="1363" t="s">
        <v>247</v>
      </c>
      <c r="B140" s="1364"/>
      <c r="C140" s="1364"/>
      <c r="D140" s="523" t="s">
        <v>238</v>
      </c>
      <c r="E140" s="484">
        <f>'21'!F140</f>
        <v>2036.18</v>
      </c>
      <c r="F140" s="484">
        <v>2046.1</v>
      </c>
      <c r="G140" s="1333">
        <f t="shared" si="14"/>
        <v>9.9199999999998454</v>
      </c>
      <c r="H140" s="460">
        <f>G140+'21'!H140</f>
        <v>191.79999999999995</v>
      </c>
      <c r="I140" s="542"/>
      <c r="J140" s="552">
        <f>H140/DAY(B2)</f>
        <v>8.7181818181818169</v>
      </c>
      <c r="N140" s="382"/>
      <c r="O140" s="382"/>
    </row>
    <row r="141" spans="1:15" ht="27.75">
      <c r="A141" s="1363" t="s">
        <v>248</v>
      </c>
      <c r="B141" s="1364"/>
      <c r="C141" s="1364"/>
      <c r="D141" s="523" t="s">
        <v>238</v>
      </c>
      <c r="E141" s="484">
        <f>'21'!F141</f>
        <v>4636.88</v>
      </c>
      <c r="F141" s="484">
        <v>4636.88</v>
      </c>
      <c r="G141" s="1333">
        <f t="shared" si="14"/>
        <v>0</v>
      </c>
      <c r="H141" s="460">
        <f>G141+'21'!H141</f>
        <v>-0.11999999999989086</v>
      </c>
      <c r="I141" s="542"/>
      <c r="J141" s="552">
        <f>H141/DAY(B2)</f>
        <v>-5.4545454545404937E-3</v>
      </c>
      <c r="N141" s="382"/>
      <c r="O141" s="382"/>
    </row>
    <row r="142" spans="1:15">
      <c r="A142" s="1572" t="s">
        <v>249</v>
      </c>
      <c r="B142" s="1573"/>
      <c r="C142" s="1369"/>
      <c r="D142" s="472"/>
      <c r="E142" s="472"/>
      <c r="F142" s="472"/>
      <c r="G142" s="1336"/>
      <c r="H142" s="483"/>
      <c r="I142" s="483"/>
      <c r="J142" s="563"/>
      <c r="K142" s="380"/>
      <c r="L142" s="377"/>
      <c r="N142" s="382"/>
      <c r="O142" s="382"/>
    </row>
    <row r="143" spans="1:15" ht="27.75">
      <c r="A143" s="1537" t="s">
        <v>250</v>
      </c>
      <c r="B143" s="1538"/>
      <c r="C143" s="1539"/>
      <c r="D143" s="523" t="s">
        <v>131</v>
      </c>
      <c r="E143" s="523"/>
      <c r="F143" s="523"/>
      <c r="G143" s="1346">
        <f>G35+G43+G49+G57</f>
        <v>5802.6000000002095</v>
      </c>
      <c r="H143" s="460">
        <f>G143+'21'!H143</f>
        <v>109946.17000000016</v>
      </c>
      <c r="I143" s="480"/>
      <c r="J143" s="552">
        <f>H143/DAY(B2)</f>
        <v>4997.5531818181889</v>
      </c>
      <c r="K143" s="380"/>
      <c r="L143" s="377"/>
      <c r="N143" s="382"/>
      <c r="O143" s="382"/>
    </row>
    <row r="144" spans="1:15" ht="27.75">
      <c r="A144" s="1537" t="s">
        <v>251</v>
      </c>
      <c r="B144" s="1538"/>
      <c r="C144" s="1539"/>
      <c r="D144" s="523" t="s">
        <v>24</v>
      </c>
      <c r="E144" s="511"/>
      <c r="F144" s="511"/>
      <c r="G144" s="1355">
        <f>G143/G7</f>
        <v>0.28176605638235752</v>
      </c>
      <c r="H144" s="460">
        <f>G144+'21'!H144</f>
        <v>5.8893116733173869</v>
      </c>
      <c r="I144" s="544"/>
      <c r="J144" s="552">
        <f>H144/DAY(B2)</f>
        <v>0.26769598515079029</v>
      </c>
      <c r="K144" s="380"/>
      <c r="L144" s="377"/>
      <c r="N144" s="382"/>
      <c r="O144" s="382"/>
    </row>
    <row r="145" spans="1:15" ht="27.75">
      <c r="A145" s="1537" t="s">
        <v>252</v>
      </c>
      <c r="B145" s="1538"/>
      <c r="C145" s="1539"/>
      <c r="D145" s="523" t="s">
        <v>131</v>
      </c>
      <c r="E145" s="455"/>
      <c r="F145" s="455"/>
      <c r="G145" s="1346">
        <f>G41+G42+G55+G56</f>
        <v>6088.5700000000506</v>
      </c>
      <c r="H145" s="460">
        <f>G145+'21'!H145</f>
        <v>122424.78000000004</v>
      </c>
      <c r="I145" s="480"/>
      <c r="J145" s="552">
        <f>H145/DAY(B2)</f>
        <v>5564.7627272727295</v>
      </c>
      <c r="K145" s="380"/>
      <c r="L145" s="377"/>
      <c r="N145" s="382"/>
      <c r="O145" s="382"/>
    </row>
    <row r="146" spans="1:15" ht="27.75">
      <c r="A146" s="1537" t="s">
        <v>253</v>
      </c>
      <c r="B146" s="1538"/>
      <c r="C146" s="1539"/>
      <c r="D146" s="523" t="s">
        <v>24</v>
      </c>
      <c r="E146" s="455"/>
      <c r="F146" s="455"/>
      <c r="G146" s="1355">
        <f>G145/G7</f>
        <v>0.29565235547993707</v>
      </c>
      <c r="H146" s="460">
        <f>G146+'21'!H146</f>
        <v>6.5085826269217151</v>
      </c>
      <c r="I146" s="544"/>
      <c r="J146" s="552">
        <f>H146/DAY(B2)</f>
        <v>0.29584466486007793</v>
      </c>
      <c r="K146" s="380"/>
      <c r="L146" s="377"/>
      <c r="N146" s="382"/>
      <c r="O146" s="382"/>
    </row>
    <row r="147" spans="1:15" ht="27.75">
      <c r="A147" s="1537" t="s">
        <v>254</v>
      </c>
      <c r="B147" s="1538"/>
      <c r="C147" s="1539"/>
      <c r="D147" s="523" t="s">
        <v>131</v>
      </c>
      <c r="E147" s="455"/>
      <c r="F147" s="455"/>
      <c r="G147" s="1346">
        <f>G39+G53</f>
        <v>3410</v>
      </c>
      <c r="H147" s="460">
        <f>G147+'21'!H147</f>
        <v>69370.580000000016</v>
      </c>
      <c r="I147" s="545"/>
      <c r="J147" s="552">
        <f>H147/DAY(B2)</f>
        <v>3153.2081818181828</v>
      </c>
      <c r="K147" s="380"/>
      <c r="L147" s="377"/>
      <c r="N147" s="382"/>
      <c r="O147" s="382"/>
    </row>
    <row r="148" spans="1:15" ht="27.75">
      <c r="A148" s="1537" t="s">
        <v>255</v>
      </c>
      <c r="B148" s="1538"/>
      <c r="C148" s="1539"/>
      <c r="D148" s="523" t="s">
        <v>24</v>
      </c>
      <c r="E148" s="455"/>
      <c r="F148" s="455"/>
      <c r="G148" s="1355">
        <f>G147/G7</f>
        <v>0.16558478135039539</v>
      </c>
      <c r="H148" s="460">
        <f>G148+'21'!H148</f>
        <v>3.704566653969851</v>
      </c>
      <c r="I148" s="545"/>
      <c r="J148" s="552">
        <f>H148/DAY(B2)</f>
        <v>0.16838939336226597</v>
      </c>
      <c r="N148" s="382"/>
      <c r="O148" s="382"/>
    </row>
    <row r="149" spans="1:15" ht="27.75">
      <c r="A149" s="1537" t="s">
        <v>256</v>
      </c>
      <c r="B149" s="1538"/>
      <c r="C149" s="1539"/>
      <c r="D149" s="523" t="s">
        <v>182</v>
      </c>
      <c r="E149" s="455"/>
      <c r="F149" s="455"/>
      <c r="G149" s="1346">
        <f>G38+G52</f>
        <v>1578</v>
      </c>
      <c r="H149" s="460">
        <f>G149+'21'!H149</f>
        <v>29510.819999999949</v>
      </c>
      <c r="I149" s="480"/>
      <c r="J149" s="552">
        <f>H149/DAY(B2)</f>
        <v>1341.4009090909067</v>
      </c>
      <c r="K149" s="381"/>
      <c r="N149" s="382"/>
      <c r="O149" s="382"/>
    </row>
    <row r="150" spans="1:15" ht="27.75">
      <c r="A150" s="1537" t="s">
        <v>257</v>
      </c>
      <c r="B150" s="1538"/>
      <c r="C150" s="1539"/>
      <c r="D150" s="523" t="s">
        <v>24</v>
      </c>
      <c r="E150" s="455"/>
      <c r="F150" s="455"/>
      <c r="G150" s="1355">
        <f>G149/G7</f>
        <v>7.6625450138100862E-2</v>
      </c>
      <c r="H150" s="460">
        <f>G150+'21'!H150</f>
        <v>1.5714428502923756</v>
      </c>
      <c r="I150" s="545"/>
      <c r="J150" s="552">
        <f>H150/DAY(B2)</f>
        <v>7.1429220467835258E-2</v>
      </c>
      <c r="N150" s="382"/>
      <c r="O150" s="382"/>
    </row>
    <row r="151" spans="1:15" ht="27.75">
      <c r="A151" s="1537" t="s">
        <v>258</v>
      </c>
      <c r="B151" s="1538"/>
      <c r="C151" s="1539"/>
      <c r="D151" s="523" t="s">
        <v>182</v>
      </c>
      <c r="E151" s="455"/>
      <c r="F151" s="455"/>
      <c r="G151" s="1346">
        <f>G36+G50</f>
        <v>1805.680000000033</v>
      </c>
      <c r="H151" s="460">
        <f>G151+'21'!H151</f>
        <v>37651.659999999989</v>
      </c>
      <c r="I151" s="545"/>
      <c r="J151" s="552">
        <f>H151/DAY(B2)</f>
        <v>1711.4390909090905</v>
      </c>
      <c r="N151" s="382"/>
      <c r="O151" s="382"/>
    </row>
    <row r="152" spans="1:15" ht="27.75">
      <c r="A152" s="1537" t="s">
        <v>259</v>
      </c>
      <c r="B152" s="1538"/>
      <c r="C152" s="1539"/>
      <c r="D152" s="523" t="s">
        <v>24</v>
      </c>
      <c r="E152" s="455"/>
      <c r="F152" s="455"/>
      <c r="G152" s="1355">
        <f>G151/G7</f>
        <v>8.7681269204923001E-2</v>
      </c>
      <c r="H152" s="460">
        <f>G152+'21'!H152</f>
        <v>1.9883761484704985</v>
      </c>
      <c r="I152" s="480"/>
      <c r="J152" s="552">
        <f>H152/DAY(B2)</f>
        <v>9.03807340213863E-2</v>
      </c>
      <c r="N152" s="382"/>
      <c r="O152" s="382"/>
    </row>
    <row r="153" spans="1:15" ht="27.75">
      <c r="A153" s="1537" t="s">
        <v>260</v>
      </c>
      <c r="B153" s="1538"/>
      <c r="C153" s="1539"/>
      <c r="D153" s="523" t="s">
        <v>182</v>
      </c>
      <c r="E153" s="455"/>
      <c r="F153" s="455"/>
      <c r="G153" s="1346">
        <f>G37+G51</f>
        <v>1479.0299999999988</v>
      </c>
      <c r="H153" s="460">
        <f>G153+'21'!H153</f>
        <v>30619.119999999995</v>
      </c>
      <c r="I153" s="480"/>
      <c r="J153" s="552">
        <f>H153/DAY(B2)</f>
        <v>1391.7781818181816</v>
      </c>
      <c r="N153" s="382"/>
      <c r="O153" s="382"/>
    </row>
    <row r="154" spans="1:15" ht="28.5" thickBot="1">
      <c r="A154" s="1569" t="s">
        <v>261</v>
      </c>
      <c r="B154" s="1570"/>
      <c r="C154" s="1571"/>
      <c r="D154" s="625" t="s">
        <v>24</v>
      </c>
      <c r="E154" s="565"/>
      <c r="F154" s="565"/>
      <c r="G154" s="1356">
        <f>G153/G7</f>
        <v>7.1819606791986845E-2</v>
      </c>
      <c r="H154" s="460">
        <f>G154+'21'!H154</f>
        <v>1.6430913416975494</v>
      </c>
      <c r="I154" s="568"/>
      <c r="J154" s="569">
        <f>H154/DAY(B2)</f>
        <v>7.4685970077161337E-2</v>
      </c>
      <c r="N154" s="382"/>
      <c r="O154" s="382"/>
    </row>
    <row r="155" spans="1:15">
      <c r="A155" s="466"/>
      <c r="B155" s="456"/>
      <c r="C155" s="456"/>
      <c r="D155" s="546"/>
      <c r="E155" s="546"/>
      <c r="F155" s="546"/>
      <c r="G155" s="1357"/>
      <c r="H155" s="547"/>
      <c r="I155" s="546"/>
      <c r="J155" s="548"/>
      <c r="O155" s="382"/>
    </row>
    <row r="161" spans="1:8">
      <c r="A161" s="785" t="s">
        <v>262</v>
      </c>
      <c r="B161" s="786"/>
      <c r="C161" s="786"/>
      <c r="D161" s="511" t="s">
        <v>186</v>
      </c>
      <c r="E161" s="659">
        <f>'21'!F161</f>
        <v>40121.879999999997</v>
      </c>
      <c r="F161" s="659">
        <v>40200.47</v>
      </c>
      <c r="G161" s="1333">
        <f t="shared" ref="G161:G164" si="15">F161-E161</f>
        <v>78.590000000003783</v>
      </c>
      <c r="H161" s="538">
        <v>68.809999999999491</v>
      </c>
    </row>
    <row r="162" spans="1:8">
      <c r="A162" s="785" t="s">
        <v>263</v>
      </c>
      <c r="B162" s="786"/>
      <c r="C162" s="786"/>
      <c r="D162" s="511" t="s">
        <v>186</v>
      </c>
      <c r="E162" s="659">
        <f>'21'!F162</f>
        <v>103701.59</v>
      </c>
      <c r="F162" s="659">
        <v>104144.94</v>
      </c>
      <c r="G162" s="1333">
        <f t="shared" si="15"/>
        <v>443.35000000000582</v>
      </c>
      <c r="H162" s="538">
        <v>128.56999999999994</v>
      </c>
    </row>
    <row r="163" spans="1:8">
      <c r="A163" s="785" t="s">
        <v>264</v>
      </c>
      <c r="B163" s="786"/>
      <c r="C163" s="786"/>
      <c r="D163" s="511" t="s">
        <v>186</v>
      </c>
      <c r="E163" s="659">
        <f>'21'!F163</f>
        <v>49379.37</v>
      </c>
      <c r="F163" s="659">
        <v>49602.1</v>
      </c>
      <c r="G163" s="1333">
        <f t="shared" si="15"/>
        <v>222.72999999999593</v>
      </c>
      <c r="H163" s="538">
        <v>141.49</v>
      </c>
    </row>
    <row r="164" spans="1:8">
      <c r="A164" s="785" t="s">
        <v>265</v>
      </c>
      <c r="B164" s="786"/>
      <c r="C164" s="786"/>
      <c r="D164" s="511" t="s">
        <v>186</v>
      </c>
      <c r="E164" s="659">
        <f>'21'!F164</f>
        <v>6758.52</v>
      </c>
      <c r="F164" s="659">
        <v>6769.2</v>
      </c>
      <c r="G164" s="1333">
        <f t="shared" si="15"/>
        <v>10.679999999999382</v>
      </c>
      <c r="H164" s="538">
        <v>45.430000000000007</v>
      </c>
    </row>
    <row r="165" spans="1:8">
      <c r="A165" s="787" t="s">
        <v>97</v>
      </c>
      <c r="B165" s="604"/>
      <c r="C165" s="604"/>
      <c r="D165" s="511" t="s">
        <v>186</v>
      </c>
      <c r="E165" s="514">
        <f>E62</f>
        <v>20419.2</v>
      </c>
      <c r="F165" s="514">
        <v>20419</v>
      </c>
      <c r="G165" s="1333">
        <v>0</v>
      </c>
      <c r="H165" s="538">
        <v>0</v>
      </c>
    </row>
    <row r="166" spans="1:8">
      <c r="A166" s="787" t="s">
        <v>187</v>
      </c>
      <c r="B166" s="604"/>
      <c r="C166" s="604"/>
      <c r="D166" s="511" t="s">
        <v>186</v>
      </c>
      <c r="E166" s="514">
        <f t="shared" ref="E166:E172" si="16">E63</f>
        <v>0</v>
      </c>
      <c r="F166" s="514">
        <f t="shared" ref="F166:F172" si="17">F63</f>
        <v>0</v>
      </c>
      <c r="G166" s="1333">
        <f t="shared" ref="G166:G172" si="18">F166-E166</f>
        <v>0</v>
      </c>
      <c r="H166" s="538">
        <v>0</v>
      </c>
    </row>
    <row r="167" spans="1:8" ht="27.75">
      <c r="A167" s="1586" t="s">
        <v>98</v>
      </c>
      <c r="B167" s="1586"/>
      <c r="C167" s="1586"/>
      <c r="D167" s="523" t="s">
        <v>186</v>
      </c>
      <c r="E167" s="514">
        <f t="shared" si="16"/>
        <v>166627.75</v>
      </c>
      <c r="F167" s="514">
        <f t="shared" si="17"/>
        <v>167012.26</v>
      </c>
      <c r="G167" s="1333">
        <f t="shared" si="18"/>
        <v>384.51000000000931</v>
      </c>
      <c r="H167" s="538">
        <v>178.5199999999968</v>
      </c>
    </row>
    <row r="168" spans="1:8" ht="27.75">
      <c r="A168" s="1586" t="s">
        <v>99</v>
      </c>
      <c r="B168" s="1586"/>
      <c r="C168" s="1586"/>
      <c r="D168" s="523" t="s">
        <v>186</v>
      </c>
      <c r="E168" s="514">
        <f t="shared" si="16"/>
        <v>166980.74</v>
      </c>
      <c r="F168" s="514">
        <f t="shared" si="17"/>
        <v>167241.76999999999</v>
      </c>
      <c r="G168" s="1333">
        <f t="shared" si="18"/>
        <v>261.02999999999884</v>
      </c>
      <c r="H168" s="538">
        <v>198.38999999999942</v>
      </c>
    </row>
    <row r="169" spans="1:8" ht="27.75">
      <c r="A169" s="1586" t="s">
        <v>100</v>
      </c>
      <c r="B169" s="1586"/>
      <c r="C169" s="1586"/>
      <c r="D169" s="523" t="s">
        <v>186</v>
      </c>
      <c r="E169" s="514">
        <f t="shared" si="16"/>
        <v>64226.15</v>
      </c>
      <c r="F169" s="514">
        <f t="shared" si="17"/>
        <v>64618.53</v>
      </c>
      <c r="G169" s="1333">
        <f t="shared" si="18"/>
        <v>392.37999999999738</v>
      </c>
      <c r="H169" s="538">
        <v>226.35000000000582</v>
      </c>
    </row>
    <row r="170" spans="1:8" ht="27.75">
      <c r="A170" s="1586" t="s">
        <v>101</v>
      </c>
      <c r="B170" s="1586"/>
      <c r="C170" s="1586"/>
      <c r="D170" s="523" t="s">
        <v>186</v>
      </c>
      <c r="E170" s="514">
        <f t="shared" si="16"/>
        <v>260958</v>
      </c>
      <c r="F170" s="514">
        <f t="shared" si="17"/>
        <v>261392</v>
      </c>
      <c r="G170" s="1333">
        <f t="shared" si="18"/>
        <v>434</v>
      </c>
      <c r="H170" s="538">
        <v>312.47000000000116</v>
      </c>
    </row>
    <row r="171" spans="1:8" ht="27.75">
      <c r="A171" s="1586" t="s">
        <v>102</v>
      </c>
      <c r="B171" s="1586"/>
      <c r="C171" s="1586"/>
      <c r="D171" s="523" t="s">
        <v>186</v>
      </c>
      <c r="E171" s="514">
        <f t="shared" si="16"/>
        <v>85321</v>
      </c>
      <c r="F171" s="514">
        <f t="shared" si="17"/>
        <v>85321</v>
      </c>
      <c r="G171" s="1333">
        <f t="shared" si="18"/>
        <v>0</v>
      </c>
      <c r="H171" s="538">
        <v>142.1200000000008</v>
      </c>
    </row>
    <row r="172" spans="1:8" ht="27.75">
      <c r="A172" s="1586" t="s">
        <v>103</v>
      </c>
      <c r="B172" s="1586"/>
      <c r="C172" s="1586"/>
      <c r="D172" s="523" t="s">
        <v>186</v>
      </c>
      <c r="E172" s="514">
        <f t="shared" si="16"/>
        <v>85351.83</v>
      </c>
      <c r="F172" s="514">
        <f t="shared" si="17"/>
        <v>85602.95</v>
      </c>
      <c r="G172" s="1333">
        <f t="shared" si="18"/>
        <v>251.11999999999534</v>
      </c>
      <c r="H172" s="538">
        <v>12.869999999998981</v>
      </c>
    </row>
    <row r="173" spans="1:8" ht="27.75" customHeight="1">
      <c r="G173" s="1358">
        <f>SUM(G161:G172)</f>
        <v>2478.3900000000058</v>
      </c>
    </row>
    <row r="174" spans="1:8" ht="27.75">
      <c r="A174" s="1586" t="s">
        <v>347</v>
      </c>
      <c r="B174" s="1586"/>
      <c r="C174" s="1586"/>
      <c r="D174" s="523" t="s">
        <v>186</v>
      </c>
      <c r="E174" s="659">
        <f>'21'!F174</f>
        <v>28171.439999999999</v>
      </c>
      <c r="F174" s="514">
        <v>28182.46</v>
      </c>
      <c r="G174" s="1333">
        <f t="shared" ref="G174:G177" si="19">F174-E174</f>
        <v>11.020000000000437</v>
      </c>
    </row>
    <row r="175" spans="1:8">
      <c r="A175" s="1596" t="s">
        <v>357</v>
      </c>
      <c r="B175" s="1579"/>
      <c r="C175" s="786"/>
      <c r="D175" s="523" t="s">
        <v>186</v>
      </c>
      <c r="E175" s="659">
        <f>'21'!F175</f>
        <v>18960.7</v>
      </c>
      <c r="F175" s="514">
        <v>18965.8</v>
      </c>
      <c r="G175" s="1333">
        <f t="shared" si="19"/>
        <v>5.0999999999985448</v>
      </c>
    </row>
    <row r="176" spans="1:8">
      <c r="A176" s="1596" t="s">
        <v>358</v>
      </c>
      <c r="B176" s="1579"/>
      <c r="C176" s="786"/>
      <c r="D176" s="523" t="s">
        <v>186</v>
      </c>
      <c r="E176" s="659">
        <f>'21'!F176</f>
        <v>27591.3</v>
      </c>
      <c r="F176" s="514">
        <v>27595.4</v>
      </c>
      <c r="G176" s="1333">
        <f t="shared" si="19"/>
        <v>4.1000000000021828</v>
      </c>
    </row>
    <row r="177" spans="1:7">
      <c r="A177" s="1596" t="s">
        <v>357</v>
      </c>
      <c r="B177" s="1579"/>
      <c r="D177" s="523" t="s">
        <v>186</v>
      </c>
      <c r="E177" s="659">
        <v>70163.8</v>
      </c>
      <c r="F177" s="1501">
        <v>70187.7</v>
      </c>
      <c r="G177" s="1333">
        <f t="shared" si="19"/>
        <v>23.899999999994179</v>
      </c>
    </row>
  </sheetData>
  <mergeCells count="78">
    <mergeCell ref="A174:C174"/>
    <mergeCell ref="A172:C172"/>
    <mergeCell ref="A167:C167"/>
    <mergeCell ref="A168:C168"/>
    <mergeCell ref="A169:C169"/>
    <mergeCell ref="A170:C170"/>
    <mergeCell ref="A171:C171"/>
    <mergeCell ref="A122:B122"/>
    <mergeCell ref="A117:B117"/>
    <mergeCell ref="A118:B118"/>
    <mergeCell ref="A119:B119"/>
    <mergeCell ref="A120:B120"/>
    <mergeCell ref="A121:B121"/>
    <mergeCell ref="A112:B112"/>
    <mergeCell ref="A113:B113"/>
    <mergeCell ref="A114:B114"/>
    <mergeCell ref="A115:B115"/>
    <mergeCell ref="A116:B116"/>
    <mergeCell ref="A153:C153"/>
    <mergeCell ref="A154:C154"/>
    <mergeCell ref="A143:C143"/>
    <mergeCell ref="A144:C144"/>
    <mergeCell ref="A150:C150"/>
    <mergeCell ref="A151:C151"/>
    <mergeCell ref="A152:C152"/>
    <mergeCell ref="A145:C145"/>
    <mergeCell ref="A146:C146"/>
    <mergeCell ref="A147:C147"/>
    <mergeCell ref="A148:C148"/>
    <mergeCell ref="A149:C149"/>
    <mergeCell ref="A126:C126"/>
    <mergeCell ref="A102:C102"/>
    <mergeCell ref="A123:C123"/>
    <mergeCell ref="A142:B142"/>
    <mergeCell ref="A93:C93"/>
    <mergeCell ref="A94:C94"/>
    <mergeCell ref="A95:C95"/>
    <mergeCell ref="A96:C96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:J1"/>
    <mergeCell ref="A6:C6"/>
    <mergeCell ref="A14:C14"/>
    <mergeCell ref="A17:C17"/>
    <mergeCell ref="E3:F3"/>
    <mergeCell ref="A83:C83"/>
    <mergeCell ref="A18:C18"/>
    <mergeCell ref="A19:C19"/>
    <mergeCell ref="A21:C21"/>
    <mergeCell ref="A33:J33"/>
    <mergeCell ref="A25:C25"/>
    <mergeCell ref="A74:C74"/>
    <mergeCell ref="A75:C75"/>
    <mergeCell ref="A76:C76"/>
    <mergeCell ref="A77:C77"/>
    <mergeCell ref="A79:C79"/>
    <mergeCell ref="A177:B177"/>
    <mergeCell ref="A175:B175"/>
    <mergeCell ref="A176:B176"/>
    <mergeCell ref="A64:C64"/>
    <mergeCell ref="A65:C65"/>
    <mergeCell ref="A66:C66"/>
    <mergeCell ref="A67:C67"/>
    <mergeCell ref="A68:C68"/>
    <mergeCell ref="A69:C69"/>
    <mergeCell ref="A72:C72"/>
    <mergeCell ref="A73:C73"/>
    <mergeCell ref="A71:J71"/>
    <mergeCell ref="A70:C70"/>
    <mergeCell ref="A80:C80"/>
    <mergeCell ref="A81:C81"/>
    <mergeCell ref="A82:C82"/>
  </mergeCells>
  <pageMargins left="0.22" right="0.17" top="0.14000000000000001" bottom="0.2" header="0.2" footer="0.2"/>
  <pageSetup paperSize="5" scale="20" orientation="portrait" r:id="rId1"/>
  <colBreaks count="1" manualBreakCount="1">
    <brk id="10" max="1048575" man="1"/>
  </colBreaks>
</worksheet>
</file>

<file path=xl/worksheets/sheet2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77"/>
  <sheetViews>
    <sheetView view="pageBreakPreview" zoomScale="70" zoomScaleNormal="80" zoomScaleSheetLayoutView="70" workbookViewId="0">
      <selection activeCell="F11" sqref="F11"/>
    </sheetView>
  </sheetViews>
  <sheetFormatPr defaultColWidth="22.33203125" defaultRowHeight="20.25"/>
  <cols>
    <col min="1" max="1" width="51.21875" style="1005" customWidth="1"/>
    <col min="2" max="2" width="24.88671875" style="1005" customWidth="1"/>
    <col min="3" max="3" width="15.88671875" style="1005" customWidth="1"/>
    <col min="4" max="4" width="13.6640625" style="1005" customWidth="1"/>
    <col min="5" max="5" width="32.109375" style="1005" customWidth="1"/>
    <col min="6" max="6" width="30" style="1005" customWidth="1"/>
    <col min="7" max="7" width="20.33203125" style="1005" customWidth="1"/>
    <col min="8" max="8" width="39.21875" style="1006" customWidth="1"/>
    <col min="9" max="9" width="11.21875" style="1005" bestFit="1" customWidth="1"/>
    <col min="10" max="10" width="24" style="1007" customWidth="1"/>
    <col min="11" max="11" width="43.21875" style="806" hidden="1" customWidth="1"/>
    <col min="12" max="13" width="0" style="806" hidden="1" customWidth="1"/>
    <col min="14" max="14" width="25.109375" style="1008" customWidth="1"/>
    <col min="15" max="15" width="6.77734375" style="806" bestFit="1" customWidth="1"/>
    <col min="16" max="16384" width="22.33203125" style="806"/>
  </cols>
  <sheetData>
    <row r="1" spans="1:15" ht="22.5">
      <c r="A1" s="1615" t="s">
        <v>116</v>
      </c>
      <c r="B1" s="1616"/>
      <c r="C1" s="1616"/>
      <c r="D1" s="1616"/>
      <c r="E1" s="1616"/>
      <c r="F1" s="1616"/>
      <c r="G1" s="1616"/>
      <c r="H1" s="1616"/>
      <c r="I1" s="1616"/>
      <c r="J1" s="1617"/>
      <c r="K1" s="806">
        <v>10002.799999999999</v>
      </c>
    </row>
    <row r="2" spans="1:15">
      <c r="A2" s="807" t="s">
        <v>373</v>
      </c>
      <c r="B2" s="1078">
        <v>44370</v>
      </c>
      <c r="C2" s="808" t="s">
        <v>68</v>
      </c>
      <c r="D2" s="809">
        <v>0.52</v>
      </c>
      <c r="E2" s="810"/>
      <c r="F2" s="810"/>
      <c r="G2" s="810" t="s">
        <v>117</v>
      </c>
      <c r="H2" s="810" t="s">
        <v>6</v>
      </c>
      <c r="I2" s="810" t="s">
        <v>8</v>
      </c>
      <c r="J2" s="811" t="s">
        <v>118</v>
      </c>
    </row>
    <row r="3" spans="1:15">
      <c r="A3" s="812"/>
      <c r="B3" s="813"/>
      <c r="C3" s="808" t="s">
        <v>119</v>
      </c>
      <c r="D3" s="814">
        <v>30</v>
      </c>
      <c r="E3" s="1624" t="s">
        <v>120</v>
      </c>
      <c r="F3" s="1625"/>
      <c r="G3" s="815">
        <f>'1'!G3</f>
        <v>0</v>
      </c>
      <c r="H3" s="816">
        <f>'1'!H3</f>
        <v>0</v>
      </c>
      <c r="I3" s="816">
        <f>'1'!I3</f>
        <v>0</v>
      </c>
      <c r="J3" s="817">
        <f>'1'!J3</f>
        <v>0</v>
      </c>
      <c r="K3" s="818"/>
      <c r="L3" s="819"/>
    </row>
    <row r="4" spans="1:15">
      <c r="A4" s="820"/>
      <c r="B4" s="821"/>
      <c r="C4" s="808" t="s">
        <v>121</v>
      </c>
      <c r="D4" s="809">
        <v>0.78</v>
      </c>
      <c r="E4" s="822"/>
      <c r="F4" s="822"/>
      <c r="G4" s="822"/>
      <c r="H4" s="822"/>
      <c r="I4" s="823"/>
      <c r="J4" s="817"/>
      <c r="K4" s="824"/>
      <c r="L4" s="819"/>
    </row>
    <row r="5" spans="1:15">
      <c r="A5" s="825" t="s">
        <v>122</v>
      </c>
      <c r="B5" s="826"/>
      <c r="C5" s="826"/>
      <c r="D5" s="826" t="s">
        <v>123</v>
      </c>
      <c r="E5" s="827" t="s">
        <v>124</v>
      </c>
      <c r="F5" s="827" t="s">
        <v>111</v>
      </c>
      <c r="G5" s="828" t="s">
        <v>125</v>
      </c>
      <c r="H5" s="829" t="s">
        <v>126</v>
      </c>
      <c r="I5" s="830" t="s">
        <v>127</v>
      </c>
      <c r="J5" s="831" t="s">
        <v>128</v>
      </c>
      <c r="K5" s="832"/>
      <c r="L5" s="819"/>
    </row>
    <row r="6" spans="1:15">
      <c r="A6" s="1618" t="s">
        <v>129</v>
      </c>
      <c r="B6" s="1619"/>
      <c r="C6" s="1620"/>
      <c r="D6" s="833"/>
      <c r="E6" s="833"/>
      <c r="F6" s="833"/>
      <c r="G6" s="833"/>
      <c r="H6" s="834"/>
      <c r="I6" s="834"/>
      <c r="J6" s="835"/>
      <c r="K6" s="836"/>
      <c r="L6" s="819"/>
    </row>
    <row r="7" spans="1:15" ht="21" thickBot="1">
      <c r="A7" s="837" t="s">
        <v>130</v>
      </c>
      <c r="B7" s="838"/>
      <c r="C7" s="838"/>
      <c r="D7" s="839" t="s">
        <v>131</v>
      </c>
      <c r="E7" s="840">
        <f>'22'!F7</f>
        <v>756933.83</v>
      </c>
      <c r="F7" s="840">
        <v>776437.67</v>
      </c>
      <c r="G7" s="841">
        <f>F7-E7</f>
        <v>19503.840000000084</v>
      </c>
      <c r="H7" s="842">
        <f>G7+'22'!H7</f>
        <v>432025.67000000004</v>
      </c>
      <c r="I7" s="843">
        <f>'1'!I7</f>
        <v>12000</v>
      </c>
      <c r="J7" s="844">
        <f>H7/DAY(B2)</f>
        <v>18783.724782608697</v>
      </c>
      <c r="K7" s="845"/>
      <c r="L7" s="819"/>
      <c r="O7" s="846"/>
    </row>
    <row r="8" spans="1:15" ht="21" thickBot="1">
      <c r="A8" s="847" t="s">
        <v>132</v>
      </c>
      <c r="B8" s="848"/>
      <c r="C8" s="849"/>
      <c r="D8" s="850" t="s">
        <v>25</v>
      </c>
      <c r="E8" s="840">
        <f>'22'!F8</f>
        <v>760885.27</v>
      </c>
      <c r="F8" s="851">
        <v>780476.87</v>
      </c>
      <c r="G8" s="852">
        <f>F8-E8</f>
        <v>19591.599999999977</v>
      </c>
      <c r="H8" s="842">
        <f>G8+'22'!H8</f>
        <v>433966.87</v>
      </c>
      <c r="I8" s="853">
        <f>'1'!I8</f>
        <v>12000</v>
      </c>
      <c r="J8" s="844">
        <f>H8/DAY(B2)</f>
        <v>18868.124782608695</v>
      </c>
      <c r="K8" s="845"/>
      <c r="L8" s="854"/>
      <c r="M8" s="855"/>
      <c r="O8" s="846"/>
    </row>
    <row r="9" spans="1:15">
      <c r="A9" s="856" t="s">
        <v>133</v>
      </c>
      <c r="B9" s="857"/>
      <c r="C9" s="857"/>
      <c r="D9" s="839" t="s">
        <v>131</v>
      </c>
      <c r="E9" s="840">
        <f>'22'!F9</f>
        <v>1873128.53</v>
      </c>
      <c r="F9" s="858">
        <v>1892007.7</v>
      </c>
      <c r="G9" s="841">
        <f t="shared" ref="G9:G12" si="0">F9-E9</f>
        <v>18879.169999999925</v>
      </c>
      <c r="H9" s="842">
        <f>G9+'22'!H9</f>
        <v>418317.69999999995</v>
      </c>
      <c r="I9" s="859">
        <f>I8-J8</f>
        <v>-6868.1247826086947</v>
      </c>
      <c r="J9" s="844">
        <f>H9/DAY(B2)</f>
        <v>18187.726086956518</v>
      </c>
      <c r="K9" s="860"/>
      <c r="L9" s="819"/>
      <c r="O9" s="846"/>
    </row>
    <row r="10" spans="1:15">
      <c r="A10" s="837" t="s">
        <v>134</v>
      </c>
      <c r="B10" s="838"/>
      <c r="C10" s="838"/>
      <c r="D10" s="839" t="s">
        <v>131</v>
      </c>
      <c r="E10" s="840">
        <f>'22'!F10</f>
        <v>0</v>
      </c>
      <c r="F10" s="858">
        <v>0</v>
      </c>
      <c r="G10" s="841">
        <f t="shared" si="0"/>
        <v>0</v>
      </c>
      <c r="H10" s="842">
        <f>G10+'22'!H10</f>
        <v>0.71999999999979991</v>
      </c>
      <c r="I10" s="861"/>
      <c r="J10" s="844">
        <f>H10/DAY(B2)</f>
        <v>3.1304347826078258E-2</v>
      </c>
      <c r="K10" s="860"/>
      <c r="L10" s="819"/>
      <c r="O10" s="846"/>
    </row>
    <row r="11" spans="1:15">
      <c r="A11" s="837" t="s">
        <v>135</v>
      </c>
      <c r="B11" s="838"/>
      <c r="C11" s="838"/>
      <c r="D11" s="839" t="s">
        <v>131</v>
      </c>
      <c r="E11" s="840">
        <f>'22'!F11</f>
        <v>37000</v>
      </c>
      <c r="F11" s="840">
        <v>37000</v>
      </c>
      <c r="G11" s="841">
        <f t="shared" si="0"/>
        <v>0</v>
      </c>
      <c r="H11" s="842">
        <f>G11+'22'!H11</f>
        <v>0</v>
      </c>
      <c r="I11" s="861"/>
      <c r="J11" s="844">
        <f>H11/DAY(B2)</f>
        <v>0</v>
      </c>
      <c r="K11" s="860"/>
      <c r="L11" s="819"/>
      <c r="O11" s="846"/>
    </row>
    <row r="12" spans="1:15">
      <c r="A12" s="837" t="s">
        <v>136</v>
      </c>
      <c r="B12" s="838"/>
      <c r="C12" s="838"/>
      <c r="D12" s="839" t="s">
        <v>131</v>
      </c>
      <c r="E12" s="840">
        <f>'22'!F12</f>
        <v>40010</v>
      </c>
      <c r="F12" s="858">
        <v>40010</v>
      </c>
      <c r="G12" s="841">
        <f t="shared" si="0"/>
        <v>0</v>
      </c>
      <c r="H12" s="842">
        <f>G12+'22'!H12</f>
        <v>0</v>
      </c>
      <c r="I12" s="861"/>
      <c r="J12" s="844">
        <f>H12/DAY(B2)</f>
        <v>0</v>
      </c>
      <c r="K12" s="860"/>
      <c r="L12" s="819"/>
      <c r="O12" s="846"/>
    </row>
    <row r="13" spans="1:15">
      <c r="A13" s="862" t="s">
        <v>137</v>
      </c>
      <c r="B13" s="863"/>
      <c r="C13" s="863"/>
      <c r="D13" s="839"/>
      <c r="E13" s="840"/>
      <c r="F13" s="840"/>
      <c r="G13" s="864">
        <f>G9+G10+G11+G12</f>
        <v>18879.169999999925</v>
      </c>
      <c r="H13" s="842">
        <f>G13+'22'!H13</f>
        <v>401793.41999999993</v>
      </c>
      <c r="I13" s="865">
        <f>G7-G13</f>
        <v>624.67000000015832</v>
      </c>
      <c r="J13" s="844">
        <f>H13/DAY(B2)</f>
        <v>17469.279130434781</v>
      </c>
      <c r="K13" s="860"/>
      <c r="L13" s="819"/>
      <c r="O13" s="846"/>
    </row>
    <row r="14" spans="1:15">
      <c r="A14" s="1621" t="s">
        <v>138</v>
      </c>
      <c r="B14" s="1622"/>
      <c r="C14" s="1623"/>
      <c r="D14" s="834"/>
      <c r="E14" s="834"/>
      <c r="F14" s="834"/>
      <c r="G14" s="866"/>
      <c r="H14" s="834"/>
      <c r="I14" s="834"/>
      <c r="J14" s="835"/>
      <c r="K14" s="867"/>
      <c r="L14" s="819"/>
      <c r="O14" s="846"/>
    </row>
    <row r="15" spans="1:15">
      <c r="A15" s="868" t="s">
        <v>139</v>
      </c>
      <c r="B15" s="869"/>
      <c r="C15" s="869"/>
      <c r="D15" s="839" t="s">
        <v>140</v>
      </c>
      <c r="E15" s="840">
        <f>'22'!F15</f>
        <v>1697688.97</v>
      </c>
      <c r="F15" s="1273">
        <v>1698273.35</v>
      </c>
      <c r="G15" s="1017">
        <f>(F15-E15)</f>
        <v>584.38000000012107</v>
      </c>
      <c r="H15" s="842">
        <f>G15+'22'!H15</f>
        <v>13749.350000000093</v>
      </c>
      <c r="I15" s="843">
        <f>'1'!I15</f>
        <v>800</v>
      </c>
      <c r="J15" s="844">
        <f>H15/DAY(B2)</f>
        <v>597.79782608696053</v>
      </c>
      <c r="K15" s="860"/>
      <c r="L15" s="819"/>
      <c r="O15" s="846"/>
    </row>
    <row r="16" spans="1:15">
      <c r="A16" s="871"/>
      <c r="B16" s="872"/>
      <c r="C16" s="872"/>
      <c r="D16" s="873"/>
      <c r="E16" s="874"/>
      <c r="F16" s="874"/>
      <c r="G16" s="841"/>
      <c r="H16" s="875"/>
      <c r="I16" s="876">
        <f>I15-J15</f>
        <v>202.20217391303947</v>
      </c>
      <c r="J16" s="877"/>
      <c r="K16" s="860"/>
      <c r="L16" s="819"/>
      <c r="O16" s="846"/>
    </row>
    <row r="17" spans="1:15">
      <c r="A17" s="1621" t="s">
        <v>141</v>
      </c>
      <c r="B17" s="1622"/>
      <c r="C17" s="1623"/>
      <c r="D17" s="834"/>
      <c r="E17" s="834"/>
      <c r="F17" s="834"/>
      <c r="G17" s="878"/>
      <c r="H17" s="834"/>
      <c r="I17" s="834"/>
      <c r="J17" s="835"/>
      <c r="K17" s="860"/>
      <c r="L17" s="819"/>
      <c r="O17" s="846"/>
    </row>
    <row r="18" spans="1:15">
      <c r="A18" s="1626" t="s">
        <v>142</v>
      </c>
      <c r="B18" s="1627"/>
      <c r="C18" s="1628"/>
      <c r="D18" s="839" t="s">
        <v>143</v>
      </c>
      <c r="E18" s="840">
        <f>'22'!F18</f>
        <v>9</v>
      </c>
      <c r="F18" s="870">
        <v>4</v>
      </c>
      <c r="G18" s="864">
        <f>F18*10</f>
        <v>40</v>
      </c>
      <c r="H18" s="842">
        <f>G18+'22'!H18</f>
        <v>1730</v>
      </c>
      <c r="I18" s="843">
        <f>'1'!I18</f>
        <v>65</v>
      </c>
      <c r="J18" s="844">
        <f>H18/DAY(B2)</f>
        <v>75.217391304347828</v>
      </c>
      <c r="K18" s="860"/>
      <c r="L18" s="819"/>
      <c r="O18" s="846"/>
    </row>
    <row r="19" spans="1:15">
      <c r="A19" s="1626" t="s">
        <v>70</v>
      </c>
      <c r="B19" s="1627"/>
      <c r="C19" s="1628"/>
      <c r="D19" s="839" t="s">
        <v>143</v>
      </c>
      <c r="E19" s="840">
        <f>'22'!F19</f>
        <v>140993</v>
      </c>
      <c r="F19" s="870">
        <v>141054</v>
      </c>
      <c r="G19" s="841">
        <f t="shared" ref="G19" si="1">F19-E19</f>
        <v>61</v>
      </c>
      <c r="H19" s="842">
        <f>G19+'22'!H19</f>
        <v>1442</v>
      </c>
      <c r="I19" s="843">
        <f>'1'!I19</f>
        <v>0</v>
      </c>
      <c r="J19" s="844">
        <f>H19/DAY(B2)</f>
        <v>62.695652173913047</v>
      </c>
      <c r="K19" s="860"/>
      <c r="L19" s="819"/>
      <c r="N19" s="1008">
        <v>126171</v>
      </c>
      <c r="O19" s="846"/>
    </row>
    <row r="20" spans="1:15">
      <c r="A20" s="862" t="s">
        <v>144</v>
      </c>
      <c r="B20" s="863"/>
      <c r="C20" s="863"/>
      <c r="D20" s="880"/>
      <c r="E20" s="880"/>
      <c r="F20" s="880"/>
      <c r="G20" s="881">
        <f>G18+G19</f>
        <v>101</v>
      </c>
      <c r="H20" s="842">
        <f>G20+'22'!H20</f>
        <v>3172</v>
      </c>
      <c r="I20" s="882">
        <f>I18-J20</f>
        <v>-72.913043478260875</v>
      </c>
      <c r="J20" s="844">
        <f>H20/DAY(B2)</f>
        <v>137.91304347826087</v>
      </c>
      <c r="K20" s="860"/>
      <c r="L20" s="819"/>
      <c r="N20" s="1008">
        <f>N19-F19</f>
        <v>-14883</v>
      </c>
      <c r="O20" s="846"/>
    </row>
    <row r="21" spans="1:15">
      <c r="A21" s="1621" t="s">
        <v>145</v>
      </c>
      <c r="B21" s="1622"/>
      <c r="C21" s="1623"/>
      <c r="D21" s="834"/>
      <c r="E21" s="834"/>
      <c r="F21" s="834"/>
      <c r="G21" s="866"/>
      <c r="H21" s="834"/>
      <c r="I21" s="834"/>
      <c r="J21" s="835"/>
      <c r="K21" s="860"/>
      <c r="L21" s="819"/>
      <c r="O21" s="846"/>
    </row>
    <row r="22" spans="1:15">
      <c r="A22" s="868" t="s">
        <v>146</v>
      </c>
      <c r="B22" s="869"/>
      <c r="C22" s="869"/>
      <c r="D22" s="839" t="s">
        <v>147</v>
      </c>
      <c r="E22" s="870">
        <v>2970</v>
      </c>
      <c r="F22" s="870">
        <v>2970</v>
      </c>
      <c r="G22" s="864">
        <f t="shared" ref="G22" si="2">(F22-E22)</f>
        <v>0</v>
      </c>
      <c r="H22" s="842">
        <f>G22+'22'!H22</f>
        <v>0</v>
      </c>
      <c r="I22" s="861"/>
      <c r="J22" s="844">
        <f>H22/DAY(B2)</f>
        <v>0</v>
      </c>
      <c r="K22" s="860"/>
      <c r="L22" s="819"/>
      <c r="O22" s="846"/>
    </row>
    <row r="23" spans="1:15">
      <c r="A23" s="868" t="s">
        <v>148</v>
      </c>
      <c r="B23" s="869"/>
      <c r="C23" s="869"/>
      <c r="D23" s="839" t="s">
        <v>147</v>
      </c>
      <c r="E23" s="870">
        <v>2000</v>
      </c>
      <c r="F23" s="870">
        <v>2000</v>
      </c>
      <c r="G23" s="864">
        <v>0</v>
      </c>
      <c r="H23" s="842">
        <f>G23+'22'!H23</f>
        <v>0</v>
      </c>
      <c r="I23" s="861"/>
      <c r="J23" s="844">
        <f>H23/DAY(B2)</f>
        <v>0</v>
      </c>
      <c r="K23" s="860"/>
      <c r="L23" s="819"/>
      <c r="O23" s="846"/>
    </row>
    <row r="24" spans="1:15">
      <c r="A24" s="883" t="s">
        <v>149</v>
      </c>
      <c r="B24" s="884"/>
      <c r="C24" s="884"/>
      <c r="D24" s="826" t="s">
        <v>147</v>
      </c>
      <c r="E24" s="870">
        <v>4970</v>
      </c>
      <c r="F24" s="885">
        <v>4970</v>
      </c>
      <c r="G24" s="864">
        <v>0</v>
      </c>
      <c r="H24" s="842">
        <f>G24+'22'!H24</f>
        <v>0</v>
      </c>
      <c r="I24" s="861"/>
      <c r="J24" s="844">
        <f>H24/DAY(B2)</f>
        <v>0</v>
      </c>
      <c r="K24" s="860"/>
      <c r="L24" s="819"/>
      <c r="O24" s="846"/>
    </row>
    <row r="25" spans="1:15" s="891" customFormat="1">
      <c r="A25" s="1618" t="s">
        <v>150</v>
      </c>
      <c r="B25" s="1619"/>
      <c r="C25" s="1620"/>
      <c r="D25" s="833"/>
      <c r="E25" s="833"/>
      <c r="F25" s="833"/>
      <c r="G25" s="886"/>
      <c r="H25" s="887"/>
      <c r="I25" s="888"/>
      <c r="J25" s="889"/>
      <c r="K25" s="860"/>
      <c r="L25" s="890"/>
      <c r="N25" s="1009"/>
      <c r="O25" s="846"/>
    </row>
    <row r="26" spans="1:15" s="891" customFormat="1">
      <c r="A26" s="892" t="s">
        <v>151</v>
      </c>
      <c r="B26" s="893"/>
      <c r="C26" s="894"/>
      <c r="D26" s="895" t="s">
        <v>152</v>
      </c>
      <c r="E26" s="896"/>
      <c r="F26" s="896"/>
      <c r="G26" s="897"/>
      <c r="H26" s="842"/>
      <c r="I26" s="898"/>
      <c r="J26" s="844"/>
      <c r="K26" s="867"/>
      <c r="L26" s="890"/>
      <c r="N26" s="1009"/>
      <c r="O26" s="846"/>
    </row>
    <row r="27" spans="1:15" s="891" customFormat="1">
      <c r="A27" s="892" t="s">
        <v>6</v>
      </c>
      <c r="B27" s="893"/>
      <c r="C27" s="894"/>
      <c r="D27" s="899" t="s">
        <v>25</v>
      </c>
      <c r="E27" s="900">
        <f>G8</f>
        <v>19591.599999999977</v>
      </c>
      <c r="F27" s="901">
        <v>9</v>
      </c>
      <c r="G27" s="902">
        <f>E27*F27</f>
        <v>176324.39999999979</v>
      </c>
      <c r="H27" s="842">
        <f>G27+'22'!H27</f>
        <v>3904864.83</v>
      </c>
      <c r="I27" s="903"/>
      <c r="J27" s="844">
        <f>H27/DAY(B2)</f>
        <v>169776.73173913042</v>
      </c>
      <c r="K27" s="860"/>
      <c r="L27" s="890"/>
      <c r="N27" s="1009"/>
      <c r="O27" s="846"/>
    </row>
    <row r="28" spans="1:15" s="891" customFormat="1">
      <c r="A28" s="892" t="s">
        <v>153</v>
      </c>
      <c r="B28" s="893"/>
      <c r="C28" s="894"/>
      <c r="D28" s="899" t="s">
        <v>154</v>
      </c>
      <c r="E28" s="900">
        <f>G15</f>
        <v>584.38000000012107</v>
      </c>
      <c r="F28" s="901">
        <v>52</v>
      </c>
      <c r="G28" s="902">
        <f>E28*F28</f>
        <v>30387.760000006296</v>
      </c>
      <c r="H28" s="842">
        <f>G28+'22'!H28</f>
        <v>714966.20000000484</v>
      </c>
      <c r="I28" s="904"/>
      <c r="J28" s="844">
        <f>H28/DAY(B2)</f>
        <v>31085.486956521949</v>
      </c>
      <c r="K28" s="860"/>
      <c r="L28" s="890"/>
      <c r="N28" s="1009"/>
      <c r="O28" s="846"/>
    </row>
    <row r="29" spans="1:15" s="891" customFormat="1">
      <c r="A29" s="892" t="s">
        <v>155</v>
      </c>
      <c r="B29" s="893"/>
      <c r="C29" s="894"/>
      <c r="D29" s="899" t="s">
        <v>156</v>
      </c>
      <c r="E29" s="900">
        <f>G24</f>
        <v>0</v>
      </c>
      <c r="F29" s="901">
        <v>69</v>
      </c>
      <c r="G29" s="902">
        <f>E29*F29</f>
        <v>0</v>
      </c>
      <c r="H29" s="842">
        <f>G29+'22'!H29</f>
        <v>8280</v>
      </c>
      <c r="I29" s="904"/>
      <c r="J29" s="844">
        <f>H29/DAY(B2)</f>
        <v>360</v>
      </c>
      <c r="K29" s="860"/>
      <c r="L29" s="890"/>
      <c r="N29" s="1009"/>
      <c r="O29" s="846"/>
    </row>
    <row r="30" spans="1:15" s="891" customFormat="1">
      <c r="A30" s="892" t="s">
        <v>157</v>
      </c>
      <c r="B30" s="893"/>
      <c r="C30" s="894"/>
      <c r="D30" s="899" t="s">
        <v>158</v>
      </c>
      <c r="E30" s="900">
        <f>G19</f>
        <v>61</v>
      </c>
      <c r="F30" s="901">
        <v>146</v>
      </c>
      <c r="G30" s="902">
        <f>E30*F30</f>
        <v>8906</v>
      </c>
      <c r="H30" s="842">
        <f>G30+'22'!H30</f>
        <v>210532</v>
      </c>
      <c r="I30" s="904"/>
      <c r="J30" s="844">
        <f>H30/DAY(B2)</f>
        <v>9153.565217391304</v>
      </c>
      <c r="K30" s="860"/>
      <c r="L30" s="890"/>
      <c r="N30" s="1009"/>
      <c r="O30" s="846"/>
    </row>
    <row r="31" spans="1:15" s="891" customFormat="1">
      <c r="A31" s="892" t="s">
        <v>159</v>
      </c>
      <c r="B31" s="893"/>
      <c r="C31" s="894"/>
      <c r="D31" s="899" t="s">
        <v>143</v>
      </c>
      <c r="E31" s="900">
        <f>G18</f>
        <v>40</v>
      </c>
      <c r="F31" s="901">
        <v>80</v>
      </c>
      <c r="G31" s="902">
        <f>E31*F31</f>
        <v>3200</v>
      </c>
      <c r="H31" s="842">
        <f>G31+'22'!H31</f>
        <v>138400</v>
      </c>
      <c r="I31" s="904"/>
      <c r="J31" s="844"/>
      <c r="K31" s="860"/>
      <c r="L31" s="890"/>
      <c r="N31" s="1009"/>
      <c r="O31" s="846"/>
    </row>
    <row r="32" spans="1:15" s="891" customFormat="1">
      <c r="A32" s="905" t="s">
        <v>160</v>
      </c>
      <c r="B32" s="906"/>
      <c r="C32" s="907"/>
      <c r="D32" s="908"/>
      <c r="E32" s="908"/>
      <c r="F32" s="908"/>
      <c r="G32" s="909">
        <f>G27+G28+G29+G30+G31</f>
        <v>218818.16000000609</v>
      </c>
      <c r="H32" s="842">
        <f>G32+'22'!H32</f>
        <v>4977043.0300000049</v>
      </c>
      <c r="I32" s="910"/>
      <c r="J32" s="844">
        <f>H32/DAY(B2)</f>
        <v>216393.17521739152</v>
      </c>
      <c r="K32" s="860"/>
      <c r="L32" s="890"/>
      <c r="N32" s="1009"/>
      <c r="O32" s="846"/>
    </row>
    <row r="33" spans="1:15" ht="18.75">
      <c r="A33" s="1629" t="s">
        <v>161</v>
      </c>
      <c r="B33" s="1630"/>
      <c r="C33" s="1630"/>
      <c r="D33" s="1630"/>
      <c r="E33" s="1630"/>
      <c r="F33" s="1630"/>
      <c r="G33" s="1630"/>
      <c r="H33" s="1630"/>
      <c r="I33" s="1630"/>
      <c r="J33" s="1631"/>
      <c r="K33" s="860"/>
      <c r="L33" s="819"/>
      <c r="O33" s="846"/>
    </row>
    <row r="34" spans="1:15">
      <c r="A34" s="911" t="s">
        <v>162</v>
      </c>
      <c r="B34" s="912"/>
      <c r="C34" s="912"/>
      <c r="D34" s="834"/>
      <c r="E34" s="833"/>
      <c r="F34" s="833"/>
      <c r="G34" s="834"/>
      <c r="H34" s="834"/>
      <c r="I34" s="834"/>
      <c r="J34" s="835"/>
      <c r="K34" s="860"/>
      <c r="L34" s="819"/>
      <c r="O34" s="846"/>
    </row>
    <row r="35" spans="1:15">
      <c r="A35" s="837" t="s">
        <v>163</v>
      </c>
      <c r="B35" s="838"/>
      <c r="C35" s="838"/>
      <c r="D35" s="839" t="s">
        <v>131</v>
      </c>
      <c r="E35" s="840">
        <f>'22'!F35</f>
        <v>1006080</v>
      </c>
      <c r="F35" s="913">
        <v>1008757.5</v>
      </c>
      <c r="G35" s="841">
        <f t="shared" ref="G35:G46" si="3">F35-E35</f>
        <v>2677.5</v>
      </c>
      <c r="H35" s="842">
        <f>G35+'22'!H35</f>
        <v>58269.5</v>
      </c>
      <c r="I35" s="840"/>
      <c r="J35" s="844">
        <f>H35/DAY(B2)</f>
        <v>2533.4565217391305</v>
      </c>
      <c r="K35" s="860"/>
      <c r="L35" s="819"/>
      <c r="O35" s="846"/>
    </row>
    <row r="36" spans="1:15">
      <c r="A36" s="837" t="s">
        <v>164</v>
      </c>
      <c r="B36" s="838"/>
      <c r="C36" s="838"/>
      <c r="D36" s="839" t="s">
        <v>131</v>
      </c>
      <c r="E36" s="840">
        <f>'22'!F36</f>
        <v>14565.67</v>
      </c>
      <c r="F36" s="913">
        <v>15227.98</v>
      </c>
      <c r="G36" s="841">
        <f t="shared" si="3"/>
        <v>662.30999999999949</v>
      </c>
      <c r="H36" s="842">
        <f>G36+'22'!H36</f>
        <v>15054.98</v>
      </c>
      <c r="I36" s="840"/>
      <c r="J36" s="844">
        <f>H36/DAY(B2)</f>
        <v>654.56434782608699</v>
      </c>
      <c r="K36" s="860"/>
      <c r="L36" s="819"/>
      <c r="O36" s="846"/>
    </row>
    <row r="37" spans="1:15">
      <c r="A37" s="837" t="s">
        <v>165</v>
      </c>
      <c r="B37" s="838"/>
      <c r="C37" s="838"/>
      <c r="D37" s="839" t="s">
        <v>131</v>
      </c>
      <c r="E37" s="840">
        <f>'22'!F37</f>
        <v>164855.25</v>
      </c>
      <c r="F37" s="913">
        <v>166269.59</v>
      </c>
      <c r="G37" s="841">
        <f t="shared" si="3"/>
        <v>1414.3399999999965</v>
      </c>
      <c r="H37" s="842">
        <f>G37+'22'!H37</f>
        <v>32033.589999999997</v>
      </c>
      <c r="I37" s="840"/>
      <c r="J37" s="844">
        <f>H37/DAY(B2)</f>
        <v>1392.7647826086954</v>
      </c>
      <c r="K37" s="860"/>
      <c r="L37" s="819"/>
      <c r="O37" s="846"/>
    </row>
    <row r="38" spans="1:15">
      <c r="A38" s="837" t="s">
        <v>166</v>
      </c>
      <c r="B38" s="838"/>
      <c r="C38" s="838"/>
      <c r="D38" s="839" t="s">
        <v>131</v>
      </c>
      <c r="E38" s="840">
        <f>'22'!F38</f>
        <v>185915.75</v>
      </c>
      <c r="F38" s="829">
        <v>187269.97</v>
      </c>
      <c r="G38" s="841">
        <f t="shared" si="3"/>
        <v>1354.2200000000012</v>
      </c>
      <c r="H38" s="842">
        <f>G38+'22'!H38</f>
        <v>30864.97</v>
      </c>
      <c r="I38" s="840"/>
      <c r="J38" s="844">
        <f>H38/DAY(B2)</f>
        <v>1341.9552173913044</v>
      </c>
      <c r="K38" s="860"/>
      <c r="L38" s="819"/>
      <c r="O38" s="846"/>
    </row>
    <row r="39" spans="1:15">
      <c r="A39" s="837" t="s">
        <v>167</v>
      </c>
      <c r="B39" s="838"/>
      <c r="C39" s="838"/>
      <c r="D39" s="839" t="s">
        <v>131</v>
      </c>
      <c r="E39" s="840">
        <f>'22'!F39</f>
        <v>375879.99</v>
      </c>
      <c r="F39" s="913">
        <v>379312.95</v>
      </c>
      <c r="G39" s="841">
        <f t="shared" si="3"/>
        <v>3432.960000000021</v>
      </c>
      <c r="H39" s="842">
        <f>G39+'22'!H39</f>
        <v>71139.950000000012</v>
      </c>
      <c r="I39" s="840"/>
      <c r="J39" s="844">
        <f>H39/DAY(B2)</f>
        <v>3093.0413043478266</v>
      </c>
      <c r="K39" s="860"/>
      <c r="L39" s="819"/>
      <c r="O39" s="846"/>
    </row>
    <row r="40" spans="1:15">
      <c r="A40" s="914" t="s">
        <v>168</v>
      </c>
      <c r="B40" s="915"/>
      <c r="C40" s="915"/>
      <c r="D40" s="839" t="s">
        <v>131</v>
      </c>
      <c r="E40" s="840">
        <f>'22'!F40</f>
        <v>4607.82</v>
      </c>
      <c r="F40" s="913">
        <v>4932.5</v>
      </c>
      <c r="G40" s="841">
        <f t="shared" si="3"/>
        <v>324.68000000000029</v>
      </c>
      <c r="H40" s="842">
        <f>G40+'22'!H40</f>
        <v>4043.5</v>
      </c>
      <c r="I40" s="840"/>
      <c r="J40" s="844">
        <f>H40/DAY(B2)</f>
        <v>175.80434782608697</v>
      </c>
      <c r="K40" s="867"/>
      <c r="L40" s="819"/>
      <c r="O40" s="846"/>
    </row>
    <row r="41" spans="1:15">
      <c r="A41" s="837" t="s">
        <v>169</v>
      </c>
      <c r="B41" s="838"/>
      <c r="C41" s="838"/>
      <c r="D41" s="839" t="s">
        <v>131</v>
      </c>
      <c r="E41" s="840">
        <f>'22'!F41</f>
        <v>308352.25</v>
      </c>
      <c r="F41" s="913">
        <v>309426.43</v>
      </c>
      <c r="G41" s="841">
        <f t="shared" si="3"/>
        <v>1074.179999999993</v>
      </c>
      <c r="H41" s="842">
        <f>G41+'22'!H41</f>
        <v>68948.429999999993</v>
      </c>
      <c r="I41" s="840"/>
      <c r="J41" s="844">
        <f>H41/DAY(B2)</f>
        <v>2997.7578260869564</v>
      </c>
      <c r="K41" s="860"/>
      <c r="L41" s="819"/>
      <c r="O41" s="846"/>
    </row>
    <row r="42" spans="1:15">
      <c r="A42" s="837" t="s">
        <v>170</v>
      </c>
      <c r="B42" s="838"/>
      <c r="C42" s="838"/>
      <c r="D42" s="839" t="s">
        <v>131</v>
      </c>
      <c r="E42" s="840">
        <f>'22'!F42</f>
        <v>59210.080000000002</v>
      </c>
      <c r="F42" s="913">
        <v>59210.080000000002</v>
      </c>
      <c r="G42" s="841">
        <f t="shared" si="3"/>
        <v>0</v>
      </c>
      <c r="H42" s="842">
        <f>G42+'22'!H42</f>
        <v>11.110000000000582</v>
      </c>
      <c r="I42" s="840"/>
      <c r="J42" s="844">
        <f>H42/DAY(B2)</f>
        <v>0.48304347826089489</v>
      </c>
      <c r="K42" s="860"/>
      <c r="L42" s="819"/>
      <c r="O42" s="846"/>
    </row>
    <row r="43" spans="1:15">
      <c r="A43" s="837" t="s">
        <v>171</v>
      </c>
      <c r="B43" s="838"/>
      <c r="C43" s="838"/>
      <c r="D43" s="839" t="s">
        <v>131</v>
      </c>
      <c r="E43" s="840">
        <f>'22'!F43</f>
        <v>1098241.1000000001</v>
      </c>
      <c r="F43" s="913">
        <v>1100983.7</v>
      </c>
      <c r="G43" s="841">
        <f t="shared" si="3"/>
        <v>2742.5999999998603</v>
      </c>
      <c r="H43" s="842">
        <f>G43+'22'!H43</f>
        <v>58739.699999999953</v>
      </c>
      <c r="I43" s="840"/>
      <c r="J43" s="844">
        <f>H43/DAY(B2)</f>
        <v>2553.8999999999978</v>
      </c>
      <c r="K43" s="860"/>
      <c r="L43" s="819"/>
      <c r="O43" s="846"/>
    </row>
    <row r="44" spans="1:15">
      <c r="A44" s="837" t="s">
        <v>172</v>
      </c>
      <c r="B44" s="838"/>
      <c r="C44" s="838"/>
      <c r="D44" s="839" t="s">
        <v>131</v>
      </c>
      <c r="E44" s="840">
        <f>'22'!F44</f>
        <v>0</v>
      </c>
      <c r="F44" s="913">
        <v>0</v>
      </c>
      <c r="G44" s="841">
        <f t="shared" si="3"/>
        <v>0</v>
      </c>
      <c r="H44" s="842">
        <f>G44+'22'!H44</f>
        <v>0</v>
      </c>
      <c r="I44" s="840"/>
      <c r="J44" s="844">
        <f>H44/DAY(B2)</f>
        <v>0</v>
      </c>
      <c r="K44" s="860"/>
      <c r="L44" s="819"/>
      <c r="O44" s="846"/>
    </row>
    <row r="45" spans="1:15">
      <c r="A45" s="837" t="s">
        <v>173</v>
      </c>
      <c r="B45" s="838"/>
      <c r="C45" s="838"/>
      <c r="D45" s="839" t="s">
        <v>131</v>
      </c>
      <c r="E45" s="840">
        <f>'22'!F45</f>
        <v>0</v>
      </c>
      <c r="F45" s="913">
        <v>0</v>
      </c>
      <c r="G45" s="841">
        <f t="shared" si="3"/>
        <v>0</v>
      </c>
      <c r="H45" s="842">
        <f>G45+'22'!H45</f>
        <v>0</v>
      </c>
      <c r="I45" s="840"/>
      <c r="J45" s="844">
        <f>H45/DAY(B2)</f>
        <v>0</v>
      </c>
      <c r="K45" s="860"/>
      <c r="L45" s="819"/>
      <c r="O45" s="846"/>
    </row>
    <row r="46" spans="1:15">
      <c r="A46" s="837" t="s">
        <v>174</v>
      </c>
      <c r="B46" s="838"/>
      <c r="C46" s="838"/>
      <c r="D46" s="839" t="s">
        <v>131</v>
      </c>
      <c r="E46" s="840">
        <f>'22'!F46</f>
        <v>0</v>
      </c>
      <c r="F46" s="913">
        <v>0</v>
      </c>
      <c r="G46" s="841">
        <f t="shared" si="3"/>
        <v>0</v>
      </c>
      <c r="H46" s="842">
        <f>G46+'22'!H46</f>
        <v>-5.0000000000011369E-2</v>
      </c>
      <c r="I46" s="840"/>
      <c r="J46" s="844">
        <f>H46/DAY(B2)</f>
        <v>-2.1739130434787553E-3</v>
      </c>
      <c r="K46" s="860"/>
      <c r="L46" s="819"/>
      <c r="O46" s="846"/>
    </row>
    <row r="47" spans="1:15">
      <c r="A47" s="862" t="s">
        <v>175</v>
      </c>
      <c r="B47" s="863"/>
      <c r="C47" s="863"/>
      <c r="D47" s="830"/>
      <c r="E47" s="826"/>
      <c r="F47" s="826"/>
      <c r="G47" s="864">
        <f>G35+G36+G37+G38+G39+G40+G41+G42+G43+G44+G45+G46</f>
        <v>13682.789999999872</v>
      </c>
      <c r="H47" s="842">
        <f>G47+'22'!H47</f>
        <v>339106.16999999993</v>
      </c>
      <c r="I47" s="840"/>
      <c r="J47" s="844">
        <f>H47/DAY(B2)</f>
        <v>14743.746521739127</v>
      </c>
      <c r="K47" s="860"/>
      <c r="L47" s="819"/>
      <c r="N47" s="1010"/>
      <c r="O47" s="846"/>
    </row>
    <row r="48" spans="1:15">
      <c r="A48" s="911" t="s">
        <v>176</v>
      </c>
      <c r="B48" s="912"/>
      <c r="C48" s="912"/>
      <c r="D48" s="834"/>
      <c r="E48" s="833"/>
      <c r="F48" s="833"/>
      <c r="G48" s="834"/>
      <c r="H48" s="834"/>
      <c r="I48" s="834"/>
      <c r="J48" s="835"/>
      <c r="K48" s="860"/>
      <c r="L48" s="819"/>
      <c r="O48" s="846"/>
    </row>
    <row r="49" spans="1:15">
      <c r="A49" s="837" t="s">
        <v>163</v>
      </c>
      <c r="B49" s="916"/>
      <c r="C49" s="916"/>
      <c r="D49" s="839" t="s">
        <v>131</v>
      </c>
      <c r="E49" s="840">
        <f>'22'!F49</f>
        <v>260732.13</v>
      </c>
      <c r="F49" s="913">
        <v>260732.12</v>
      </c>
      <c r="G49" s="841">
        <f t="shared" ref="G49:G58" si="4">F49-E49</f>
        <v>-1.0000000009313226E-2</v>
      </c>
      <c r="H49" s="842">
        <f>G49+'22'!H49</f>
        <v>0.11999999999534339</v>
      </c>
      <c r="I49" s="840"/>
      <c r="J49" s="844">
        <f>H49/DAY(B2)</f>
        <v>5.2173913041453643E-3</v>
      </c>
      <c r="K49" s="860"/>
      <c r="L49" s="819"/>
      <c r="O49" s="846"/>
    </row>
    <row r="50" spans="1:15">
      <c r="A50" s="837" t="s">
        <v>177</v>
      </c>
      <c r="B50" s="916"/>
      <c r="C50" s="916"/>
      <c r="D50" s="839" t="s">
        <v>131</v>
      </c>
      <c r="E50" s="840">
        <f>'22'!F50</f>
        <v>525794.99</v>
      </c>
      <c r="F50" s="1457">
        <v>526784.39</v>
      </c>
      <c r="G50" s="841">
        <f t="shared" si="4"/>
        <v>989.40000000002328</v>
      </c>
      <c r="H50" s="842">
        <f>G50+'22'!H50</f>
        <v>23358.390000000014</v>
      </c>
      <c r="I50" s="840"/>
      <c r="J50" s="844">
        <f>H50/DAY(B2)</f>
        <v>1015.5821739130441</v>
      </c>
      <c r="K50" s="860"/>
      <c r="L50" s="819"/>
      <c r="O50" s="846"/>
    </row>
    <row r="51" spans="1:15">
      <c r="A51" s="837" t="s">
        <v>165</v>
      </c>
      <c r="B51" s="916"/>
      <c r="C51" s="916"/>
      <c r="D51" s="839" t="s">
        <v>131</v>
      </c>
      <c r="E51" s="840">
        <f>'22'!F51</f>
        <v>144639.87</v>
      </c>
      <c r="F51" s="913">
        <v>144639.87</v>
      </c>
      <c r="G51" s="841">
        <f t="shared" si="4"/>
        <v>0</v>
      </c>
      <c r="H51" s="842">
        <f>G51+'22'!H51</f>
        <v>-0.13000000000465661</v>
      </c>
      <c r="I51" s="840"/>
      <c r="J51" s="844">
        <f>H51/DAY(B2)</f>
        <v>-5.6521739132459397E-3</v>
      </c>
      <c r="K51" s="860"/>
      <c r="L51" s="819"/>
      <c r="O51" s="846"/>
    </row>
    <row r="52" spans="1:15">
      <c r="A52" s="837" t="s">
        <v>178</v>
      </c>
      <c r="B52" s="916"/>
      <c r="C52" s="916"/>
      <c r="D52" s="839" t="s">
        <v>131</v>
      </c>
      <c r="E52" s="840">
        <f>'22'!F52</f>
        <v>539606.06999999995</v>
      </c>
      <c r="F52" s="913">
        <v>539606.06999999995</v>
      </c>
      <c r="G52" s="841">
        <f t="shared" si="4"/>
        <v>0</v>
      </c>
      <c r="H52" s="842">
        <f>G52+'22'!H52</f>
        <v>0</v>
      </c>
      <c r="I52" s="840"/>
      <c r="J52" s="844">
        <f>H52/DAY(B2)</f>
        <v>0</v>
      </c>
      <c r="K52" s="860"/>
      <c r="L52" s="819"/>
      <c r="O52" s="846"/>
    </row>
    <row r="53" spans="1:15">
      <c r="A53" s="837" t="s">
        <v>167</v>
      </c>
      <c r="B53" s="916"/>
      <c r="C53" s="916"/>
      <c r="D53" s="839" t="s">
        <v>131</v>
      </c>
      <c r="E53" s="840">
        <f>'22'!F53</f>
        <v>434231.59</v>
      </c>
      <c r="F53" s="913">
        <v>434231.59</v>
      </c>
      <c r="G53" s="841">
        <f t="shared" si="4"/>
        <v>0</v>
      </c>
      <c r="H53" s="842">
        <f>G53+'22'!H53</f>
        <v>1663.2600000000093</v>
      </c>
      <c r="I53" s="840"/>
      <c r="J53" s="844">
        <f>H53/DAY(B2)</f>
        <v>72.315652173913449</v>
      </c>
      <c r="K53" s="860"/>
      <c r="L53" s="819"/>
      <c r="O53" s="846"/>
    </row>
    <row r="54" spans="1:15">
      <c r="A54" s="837" t="s">
        <v>179</v>
      </c>
      <c r="B54" s="916"/>
      <c r="C54" s="916"/>
      <c r="D54" s="839" t="s">
        <v>131</v>
      </c>
      <c r="E54" s="840">
        <f>'22'!F54</f>
        <v>14967.39</v>
      </c>
      <c r="F54" s="913">
        <v>14967.41</v>
      </c>
      <c r="G54" s="841">
        <f t="shared" si="4"/>
        <v>2.0000000000436557E-2</v>
      </c>
      <c r="H54" s="842">
        <f>G54+'22'!H54</f>
        <v>1138.4099999999999</v>
      </c>
      <c r="I54" s="840"/>
      <c r="J54" s="844">
        <f>H54/DAY(B2)</f>
        <v>49.496086956521729</v>
      </c>
      <c r="K54" s="860"/>
      <c r="L54" s="819"/>
      <c r="O54" s="846"/>
    </row>
    <row r="55" spans="1:15">
      <c r="A55" s="837" t="s">
        <v>180</v>
      </c>
      <c r="B55" s="916"/>
      <c r="C55" s="916"/>
      <c r="D55" s="839" t="s">
        <v>131</v>
      </c>
      <c r="E55" s="840">
        <f>'22'!F55</f>
        <v>90898.63</v>
      </c>
      <c r="F55" s="913">
        <v>95646.2</v>
      </c>
      <c r="G55" s="841">
        <f t="shared" si="4"/>
        <v>4747.5699999999924</v>
      </c>
      <c r="H55" s="842">
        <f>G55+'22'!H55</f>
        <v>27535.199999999997</v>
      </c>
      <c r="I55" s="840"/>
      <c r="J55" s="844">
        <f>H55/DAY(B2)</f>
        <v>1197.1826086956521</v>
      </c>
      <c r="K55" s="860"/>
      <c r="L55" s="819"/>
      <c r="O55" s="846"/>
    </row>
    <row r="56" spans="1:15">
      <c r="A56" s="837" t="s">
        <v>181</v>
      </c>
      <c r="B56" s="916"/>
      <c r="C56" s="916"/>
      <c r="D56" s="839" t="s">
        <v>182</v>
      </c>
      <c r="E56" s="840">
        <f>'22'!F56</f>
        <v>648949.79</v>
      </c>
      <c r="F56" s="913">
        <v>648959.99</v>
      </c>
      <c r="G56" s="841">
        <f t="shared" si="4"/>
        <v>10.199999999953434</v>
      </c>
      <c r="H56" s="842">
        <f>G56+'22'!H56</f>
        <v>31761.989999999991</v>
      </c>
      <c r="I56" s="840"/>
      <c r="J56" s="844">
        <f>H56/DAY(B2)</f>
        <v>1380.9560869565214</v>
      </c>
      <c r="K56" s="836"/>
      <c r="L56" s="819"/>
      <c r="O56" s="846"/>
    </row>
    <row r="57" spans="1:15">
      <c r="A57" s="837" t="s">
        <v>171</v>
      </c>
      <c r="B57" s="916"/>
      <c r="C57" s="916"/>
      <c r="D57" s="839" t="s">
        <v>131</v>
      </c>
      <c r="E57" s="840">
        <f>'22'!F57</f>
        <v>7711</v>
      </c>
      <c r="F57" s="913">
        <v>7711</v>
      </c>
      <c r="G57" s="841">
        <f t="shared" si="4"/>
        <v>0</v>
      </c>
      <c r="H57" s="842">
        <f>G57+'22'!H57</f>
        <v>0</v>
      </c>
      <c r="I57" s="840"/>
      <c r="J57" s="844">
        <f>H57/DAY(B2)</f>
        <v>0</v>
      </c>
      <c r="K57" s="860"/>
      <c r="L57" s="819"/>
      <c r="O57" s="846"/>
    </row>
    <row r="58" spans="1:15">
      <c r="A58" s="837" t="s">
        <v>183</v>
      </c>
      <c r="B58" s="916"/>
      <c r="C58" s="916"/>
      <c r="D58" s="839" t="s">
        <v>131</v>
      </c>
      <c r="E58" s="840">
        <f>'22'!F58</f>
        <v>52761.38</v>
      </c>
      <c r="F58" s="913">
        <v>52843.42</v>
      </c>
      <c r="G58" s="841">
        <f t="shared" si="4"/>
        <v>82.040000000000873</v>
      </c>
      <c r="H58" s="842">
        <f>G58+'22'!H58</f>
        <v>2979.2099999999991</v>
      </c>
      <c r="I58" s="840"/>
      <c r="J58" s="844">
        <f>H58/DAY(B2)</f>
        <v>129.53086956521736</v>
      </c>
      <c r="K58" s="860"/>
      <c r="L58" s="819"/>
      <c r="O58" s="846"/>
    </row>
    <row r="59" spans="1:15">
      <c r="A59" s="862" t="s">
        <v>175</v>
      </c>
      <c r="B59" s="863"/>
      <c r="C59" s="863"/>
      <c r="D59" s="826"/>
      <c r="E59" s="826"/>
      <c r="F59" s="826"/>
      <c r="G59" s="864">
        <f>G49+G50+G51+G52+G53+G54+G55+G56+G57+G58</f>
        <v>5829.2199999999611</v>
      </c>
      <c r="H59" s="842">
        <f>G59+'22'!H59</f>
        <v>88436.519999999946</v>
      </c>
      <c r="I59" s="840">
        <f>G7-G60</f>
        <v>-8.1699999997508712</v>
      </c>
      <c r="J59" s="844">
        <f>H59/DAY(B2)</f>
        <v>3845.0660869565195</v>
      </c>
      <c r="K59" s="860"/>
      <c r="L59" s="819"/>
      <c r="O59" s="846"/>
    </row>
    <row r="60" spans="1:15">
      <c r="A60" s="837"/>
      <c r="B60" s="838"/>
      <c r="C60" s="838"/>
      <c r="D60" s="826" t="s">
        <v>184</v>
      </c>
      <c r="E60" s="826"/>
      <c r="F60" s="826"/>
      <c r="G60" s="864">
        <f>G47+G59</f>
        <v>19512.009999999835</v>
      </c>
      <c r="H60" s="842">
        <f>G60+'22'!H60</f>
        <v>428751.22999999981</v>
      </c>
      <c r="I60" s="840">
        <f>G13-G60</f>
        <v>-632.8399999999092</v>
      </c>
      <c r="J60" s="844">
        <f>H60/DAY(B2)</f>
        <v>18641.357826086947</v>
      </c>
      <c r="K60" s="860"/>
      <c r="L60" s="819"/>
      <c r="O60" s="846"/>
    </row>
    <row r="61" spans="1:15">
      <c r="A61" s="917" t="s">
        <v>185</v>
      </c>
      <c r="B61" s="918"/>
      <c r="C61" s="918"/>
      <c r="D61" s="918"/>
      <c r="E61" s="919"/>
      <c r="F61" s="919"/>
      <c r="G61" s="918"/>
      <c r="H61" s="918"/>
      <c r="I61" s="918"/>
      <c r="J61" s="920"/>
      <c r="K61" s="860"/>
      <c r="L61" s="819"/>
      <c r="O61" s="846"/>
    </row>
    <row r="62" spans="1:15">
      <c r="A62" s="921" t="s">
        <v>97</v>
      </c>
      <c r="B62" s="922"/>
      <c r="C62" s="922"/>
      <c r="D62" s="826" t="s">
        <v>186</v>
      </c>
      <c r="E62" s="840">
        <f>'22'!F62</f>
        <v>20419.2</v>
      </c>
      <c r="F62" s="923">
        <v>20419</v>
      </c>
      <c r="G62" s="841">
        <f t="shared" ref="G62:G69" si="5">F62-E62</f>
        <v>-0.2000000000007276</v>
      </c>
      <c r="H62" s="842">
        <f>G62+'22'!H62</f>
        <v>1.9999999967694748E-3</v>
      </c>
      <c r="I62" s="924"/>
      <c r="J62" s="844">
        <f>H62/DAY(B2)</f>
        <v>8.6956521598672822E-5</v>
      </c>
      <c r="K62" s="860"/>
      <c r="L62" s="819"/>
      <c r="O62" s="846"/>
    </row>
    <row r="63" spans="1:15">
      <c r="A63" s="921" t="s">
        <v>187</v>
      </c>
      <c r="B63" s="922"/>
      <c r="C63" s="922"/>
      <c r="D63" s="826" t="s">
        <v>186</v>
      </c>
      <c r="E63" s="840">
        <f>'22'!F63</f>
        <v>0</v>
      </c>
      <c r="F63" s="923">
        <v>0</v>
      </c>
      <c r="G63" s="841">
        <f t="shared" si="5"/>
        <v>0</v>
      </c>
      <c r="H63" s="842">
        <f>G63+'22'!H63</f>
        <v>0</v>
      </c>
      <c r="I63" s="924"/>
      <c r="J63" s="844">
        <f>H63/DAY(B2)</f>
        <v>0</v>
      </c>
      <c r="K63" s="860"/>
      <c r="L63" s="819"/>
      <c r="O63" s="846"/>
    </row>
    <row r="64" spans="1:15">
      <c r="A64" s="1632" t="s">
        <v>98</v>
      </c>
      <c r="B64" s="1633"/>
      <c r="C64" s="1634"/>
      <c r="D64" s="839" t="s">
        <v>186</v>
      </c>
      <c r="E64" s="840">
        <f>'22'!F64</f>
        <v>167012.26</v>
      </c>
      <c r="F64" s="870">
        <v>167394.59</v>
      </c>
      <c r="G64" s="841">
        <f t="shared" si="5"/>
        <v>382.32999999998719</v>
      </c>
      <c r="H64" s="842">
        <f>G64+'22'!H64</f>
        <v>7462.5899999999965</v>
      </c>
      <c r="I64" s="861"/>
      <c r="J64" s="844">
        <f>H64/DAY(B2)</f>
        <v>324.46043478260856</v>
      </c>
      <c r="K64" s="860"/>
      <c r="L64" s="819"/>
      <c r="O64" s="846"/>
    </row>
    <row r="65" spans="1:15">
      <c r="A65" s="1632" t="s">
        <v>99</v>
      </c>
      <c r="B65" s="1633"/>
      <c r="C65" s="1634"/>
      <c r="D65" s="839" t="s">
        <v>186</v>
      </c>
      <c r="E65" s="840">
        <f>'22'!F65</f>
        <v>167241.76999999999</v>
      </c>
      <c r="F65" s="870">
        <v>167531.19</v>
      </c>
      <c r="G65" s="841">
        <f t="shared" si="5"/>
        <v>289.42000000001281</v>
      </c>
      <c r="H65" s="842">
        <f>G65+'22'!H65</f>
        <v>6533.1900000000023</v>
      </c>
      <c r="I65" s="879"/>
      <c r="J65" s="844">
        <f>H65/DAY(B2)</f>
        <v>284.0517391304349</v>
      </c>
      <c r="K65" s="860"/>
      <c r="L65" s="819"/>
      <c r="O65" s="846"/>
    </row>
    <row r="66" spans="1:15">
      <c r="A66" s="1632" t="s">
        <v>100</v>
      </c>
      <c r="B66" s="1633"/>
      <c r="C66" s="1634"/>
      <c r="D66" s="839" t="s">
        <v>186</v>
      </c>
      <c r="E66" s="840">
        <f>'22'!F66</f>
        <v>64618.53</v>
      </c>
      <c r="F66" s="870">
        <v>65006.65</v>
      </c>
      <c r="G66" s="841">
        <f t="shared" si="5"/>
        <v>388.12000000000262</v>
      </c>
      <c r="H66" s="842">
        <f>G66+'22'!H66</f>
        <v>8201.6500000000015</v>
      </c>
      <c r="I66" s="861"/>
      <c r="J66" s="844">
        <f>H66/DAY(B2)</f>
        <v>356.59347826086963</v>
      </c>
      <c r="K66" s="860"/>
      <c r="L66" s="819"/>
      <c r="O66" s="846"/>
    </row>
    <row r="67" spans="1:15">
      <c r="A67" s="1632" t="s">
        <v>101</v>
      </c>
      <c r="B67" s="1633"/>
      <c r="C67" s="1634"/>
      <c r="D67" s="839" t="s">
        <v>186</v>
      </c>
      <c r="E67" s="840">
        <f>'22'!F67</f>
        <v>261392</v>
      </c>
      <c r="F67" s="870">
        <v>261813.67</v>
      </c>
      <c r="G67" s="841">
        <f t="shared" si="5"/>
        <v>421.67000000001281</v>
      </c>
      <c r="H67" s="842">
        <f>G67+'22'!H67</f>
        <v>9621.6700000000128</v>
      </c>
      <c r="I67" s="879"/>
      <c r="J67" s="844">
        <f>H67/DAY(B2)</f>
        <v>418.33347826087009</v>
      </c>
      <c r="K67" s="867"/>
      <c r="L67" s="819"/>
      <c r="O67" s="846"/>
    </row>
    <row r="68" spans="1:15">
      <c r="A68" s="1632" t="s">
        <v>102</v>
      </c>
      <c r="B68" s="1633"/>
      <c r="C68" s="1634"/>
      <c r="D68" s="839" t="s">
        <v>186</v>
      </c>
      <c r="E68" s="840">
        <f>'22'!F68</f>
        <v>85321</v>
      </c>
      <c r="F68" s="870">
        <v>85321</v>
      </c>
      <c r="G68" s="841">
        <f t="shared" si="5"/>
        <v>0</v>
      </c>
      <c r="H68" s="842">
        <f>G68+'22'!H68</f>
        <v>0</v>
      </c>
      <c r="I68" s="925"/>
      <c r="J68" s="844">
        <f>H68/DAY(B2)</f>
        <v>0</v>
      </c>
      <c r="K68" s="926"/>
      <c r="L68" s="819"/>
      <c r="O68" s="846"/>
    </row>
    <row r="69" spans="1:15">
      <c r="A69" s="1632" t="s">
        <v>103</v>
      </c>
      <c r="B69" s="1633"/>
      <c r="C69" s="1634"/>
      <c r="D69" s="839" t="s">
        <v>186</v>
      </c>
      <c r="E69" s="840">
        <f>'22'!F69</f>
        <v>85602.95</v>
      </c>
      <c r="F69" s="870">
        <v>85863.75</v>
      </c>
      <c r="G69" s="841">
        <f t="shared" si="5"/>
        <v>260.80000000000291</v>
      </c>
      <c r="H69" s="842">
        <f>G69+'22'!H69</f>
        <v>4114.75</v>
      </c>
      <c r="I69" s="925"/>
      <c r="J69" s="844">
        <f>H69/DAY(B2)</f>
        <v>178.90217391304347</v>
      </c>
      <c r="K69" s="927"/>
      <c r="L69" s="819"/>
      <c r="O69" s="846"/>
    </row>
    <row r="70" spans="1:15">
      <c r="A70" s="1641" t="s">
        <v>188</v>
      </c>
      <c r="B70" s="1642"/>
      <c r="C70" s="1643"/>
      <c r="D70" s="839" t="s">
        <v>186</v>
      </c>
      <c r="E70" s="928"/>
      <c r="F70" s="929"/>
      <c r="G70" s="929"/>
      <c r="H70" s="842">
        <f>G70+'13'!H70</f>
        <v>0</v>
      </c>
      <c r="I70" s="929"/>
      <c r="J70" s="930"/>
      <c r="K70" s="927"/>
      <c r="L70" s="819"/>
      <c r="O70" s="846"/>
    </row>
    <row r="71" spans="1:15" ht="22.5">
      <c r="A71" s="1638" t="s">
        <v>189</v>
      </c>
      <c r="B71" s="1639"/>
      <c r="C71" s="1639"/>
      <c r="D71" s="1639"/>
      <c r="E71" s="1639"/>
      <c r="F71" s="1639"/>
      <c r="G71" s="1639"/>
      <c r="H71" s="1639"/>
      <c r="I71" s="1639"/>
      <c r="J71" s="1640"/>
      <c r="K71" s="926"/>
      <c r="L71" s="819"/>
      <c r="O71" s="846"/>
    </row>
    <row r="72" spans="1:15">
      <c r="A72" s="1632" t="s">
        <v>190</v>
      </c>
      <c r="B72" s="1633"/>
      <c r="C72" s="1634"/>
      <c r="D72" s="839" t="s">
        <v>186</v>
      </c>
      <c r="E72" s="840">
        <f>'22'!F72</f>
        <v>856130</v>
      </c>
      <c r="F72" s="931">
        <v>856143</v>
      </c>
      <c r="G72" s="841">
        <f t="shared" ref="G72:G84" si="6">F72-E72</f>
        <v>13</v>
      </c>
      <c r="H72" s="842">
        <f>G72+'22'!H72</f>
        <v>287</v>
      </c>
      <c r="I72" s="861"/>
      <c r="J72" s="844">
        <f>H72/DAY(B2)</f>
        <v>12.478260869565217</v>
      </c>
      <c r="K72" s="927"/>
      <c r="L72" s="819"/>
      <c r="O72" s="846"/>
    </row>
    <row r="73" spans="1:15">
      <c r="A73" s="1632" t="s">
        <v>191</v>
      </c>
      <c r="B73" s="1633"/>
      <c r="C73" s="1634"/>
      <c r="D73" s="839" t="s">
        <v>186</v>
      </c>
      <c r="E73" s="840">
        <f>'22'!F73</f>
        <v>885962</v>
      </c>
      <c r="F73" s="932">
        <v>885964</v>
      </c>
      <c r="G73" s="841">
        <f t="shared" si="6"/>
        <v>2</v>
      </c>
      <c r="H73" s="842">
        <f>G73+'22'!H73</f>
        <v>183</v>
      </c>
      <c r="I73" s="861"/>
      <c r="J73" s="844">
        <f>H73/DAY(B2)</f>
        <v>7.9565217391304346</v>
      </c>
      <c r="K73" s="926"/>
      <c r="L73" s="819"/>
      <c r="O73" s="846"/>
    </row>
    <row r="74" spans="1:15">
      <c r="A74" s="1632" t="s">
        <v>192</v>
      </c>
      <c r="B74" s="1633"/>
      <c r="C74" s="1634"/>
      <c r="D74" s="839" t="s">
        <v>186</v>
      </c>
      <c r="E74" s="840">
        <f>'22'!F74</f>
        <v>88688</v>
      </c>
      <c r="F74" s="933">
        <v>88689</v>
      </c>
      <c r="G74" s="841">
        <f t="shared" si="6"/>
        <v>1</v>
      </c>
      <c r="H74" s="842">
        <f>G74+'22'!H74</f>
        <v>23.960000000000036</v>
      </c>
      <c r="I74" s="861"/>
      <c r="J74" s="844">
        <f>H74/DAY(B2)</f>
        <v>1.0417391304347843</v>
      </c>
      <c r="K74" s="927"/>
      <c r="L74" s="819"/>
      <c r="O74" s="846"/>
    </row>
    <row r="75" spans="1:15">
      <c r="A75" s="1635" t="s">
        <v>193</v>
      </c>
      <c r="B75" s="1636"/>
      <c r="C75" s="1637"/>
      <c r="D75" s="839" t="s">
        <v>186</v>
      </c>
      <c r="E75" s="840">
        <f>'22'!F75</f>
        <v>14890.3</v>
      </c>
      <c r="F75" s="933">
        <v>15045.3</v>
      </c>
      <c r="G75" s="841">
        <f t="shared" si="6"/>
        <v>155</v>
      </c>
      <c r="H75" s="842">
        <f>G75+'22'!H75</f>
        <v>2376.2999999999993</v>
      </c>
      <c r="I75" s="861"/>
      <c r="J75" s="844">
        <f>H75/DAY(B2)</f>
        <v>103.31739130434779</v>
      </c>
      <c r="K75" s="926"/>
      <c r="L75" s="819"/>
      <c r="O75" s="846"/>
    </row>
    <row r="76" spans="1:15">
      <c r="A76" s="1635" t="s">
        <v>194</v>
      </c>
      <c r="B76" s="1636"/>
      <c r="C76" s="1637"/>
      <c r="D76" s="839" t="s">
        <v>186</v>
      </c>
      <c r="E76" s="840">
        <f>'22'!F76</f>
        <v>8735.59</v>
      </c>
      <c r="F76" s="932">
        <v>8803.7900000000009</v>
      </c>
      <c r="G76" s="841">
        <f t="shared" si="6"/>
        <v>68.200000000000728</v>
      </c>
      <c r="H76" s="842">
        <f>G76+'22'!H76</f>
        <v>1597.7900000000009</v>
      </c>
      <c r="I76" s="904"/>
      <c r="J76" s="844">
        <f>H76/DAY(B2)</f>
        <v>69.469130434782642</v>
      </c>
      <c r="K76" s="926"/>
      <c r="L76" s="819"/>
      <c r="O76" s="846"/>
    </row>
    <row r="77" spans="1:15">
      <c r="A77" s="1632" t="s">
        <v>195</v>
      </c>
      <c r="B77" s="1633"/>
      <c r="C77" s="1634"/>
      <c r="D77" s="839" t="s">
        <v>186</v>
      </c>
      <c r="E77" s="840">
        <f>'22'!F77</f>
        <v>703938</v>
      </c>
      <c r="F77" s="932">
        <v>703989</v>
      </c>
      <c r="G77" s="841">
        <f t="shared" si="6"/>
        <v>51</v>
      </c>
      <c r="H77" s="842">
        <f>G77+'22'!H77</f>
        <v>1150</v>
      </c>
      <c r="I77" s="904"/>
      <c r="J77" s="844">
        <f>H77/DAY(B2)</f>
        <v>50</v>
      </c>
      <c r="K77" s="926"/>
      <c r="L77" s="819"/>
      <c r="O77" s="846"/>
    </row>
    <row r="78" spans="1:15">
      <c r="A78" s="934" t="s">
        <v>196</v>
      </c>
      <c r="B78" s="1137"/>
      <c r="C78" s="1137"/>
      <c r="D78" s="839" t="s">
        <v>186</v>
      </c>
      <c r="E78" s="840">
        <f>'22'!F78</f>
        <v>674672</v>
      </c>
      <c r="F78" s="933">
        <v>674738</v>
      </c>
      <c r="G78" s="841">
        <f t="shared" si="6"/>
        <v>66</v>
      </c>
      <c r="H78" s="842">
        <f>G78+'22'!H78</f>
        <v>1706</v>
      </c>
      <c r="I78" s="904"/>
      <c r="J78" s="844">
        <f>H78/DAY(B2)</f>
        <v>74.173913043478265</v>
      </c>
      <c r="K78" s="926"/>
      <c r="L78" s="819"/>
      <c r="O78" s="846"/>
    </row>
    <row r="79" spans="1:15">
      <c r="A79" s="1635" t="s">
        <v>91</v>
      </c>
      <c r="B79" s="1636"/>
      <c r="C79" s="1637"/>
      <c r="D79" s="873" t="s">
        <v>186</v>
      </c>
      <c r="E79" s="840">
        <f>'22'!F79</f>
        <v>834225</v>
      </c>
      <c r="F79" s="1232">
        <v>834376</v>
      </c>
      <c r="G79" s="841">
        <f t="shared" si="6"/>
        <v>151</v>
      </c>
      <c r="H79" s="842">
        <f>G79+'22'!H79</f>
        <v>2354</v>
      </c>
      <c r="I79" s="904"/>
      <c r="J79" s="844">
        <f>H79/DAY(B2)</f>
        <v>102.34782608695652</v>
      </c>
      <c r="K79" s="926"/>
      <c r="L79" s="819"/>
      <c r="O79" s="846"/>
    </row>
    <row r="80" spans="1:15">
      <c r="A80" s="1635" t="s">
        <v>197</v>
      </c>
      <c r="B80" s="1636"/>
      <c r="C80" s="1637"/>
      <c r="D80" s="873" t="s">
        <v>186</v>
      </c>
      <c r="E80" s="840">
        <f>'22'!F80</f>
        <v>535818</v>
      </c>
      <c r="F80" s="932">
        <v>536209.31999999995</v>
      </c>
      <c r="G80" s="841">
        <f t="shared" si="6"/>
        <v>391.31999999994878</v>
      </c>
      <c r="H80" s="842">
        <f>G80+'22'!H80</f>
        <v>5663.7999999999302</v>
      </c>
      <c r="I80" s="904"/>
      <c r="J80" s="844">
        <f>H80/DAY(B2)</f>
        <v>246.25217391304045</v>
      </c>
      <c r="K80" s="926"/>
      <c r="L80" s="819"/>
      <c r="O80" s="846"/>
    </row>
    <row r="81" spans="1:15">
      <c r="A81" s="1635" t="s">
        <v>198</v>
      </c>
      <c r="B81" s="1636"/>
      <c r="C81" s="1637"/>
      <c r="D81" s="873" t="s">
        <v>186</v>
      </c>
      <c r="E81" s="840">
        <f>'22'!F81</f>
        <v>641810</v>
      </c>
      <c r="F81" s="932">
        <v>641985.64</v>
      </c>
      <c r="G81" s="841">
        <f t="shared" si="6"/>
        <v>175.64000000001397</v>
      </c>
      <c r="H81" s="842">
        <f>G81+'22'!H81</f>
        <v>3087.640000000014</v>
      </c>
      <c r="I81" s="904"/>
      <c r="J81" s="844">
        <f>H81/DAY(B2)</f>
        <v>134.24521739130495</v>
      </c>
      <c r="K81" s="926"/>
      <c r="L81" s="819"/>
      <c r="O81" s="846"/>
    </row>
    <row r="82" spans="1:15">
      <c r="A82" s="1635" t="s">
        <v>92</v>
      </c>
      <c r="B82" s="1636"/>
      <c r="C82" s="1637"/>
      <c r="D82" s="874" t="s">
        <v>131</v>
      </c>
      <c r="E82" s="840">
        <f>'22'!F82</f>
        <v>108541</v>
      </c>
      <c r="F82" s="935">
        <v>108553.72</v>
      </c>
      <c r="G82" s="841">
        <f t="shared" si="6"/>
        <v>12.720000000001164</v>
      </c>
      <c r="H82" s="842">
        <f>G82+'22'!H82</f>
        <v>395.72000000000116</v>
      </c>
      <c r="I82" s="875"/>
      <c r="J82" s="844">
        <f>H82/DAY(B2)</f>
        <v>17.205217391304398</v>
      </c>
      <c r="K82" s="926"/>
      <c r="L82" s="819"/>
      <c r="O82" s="846"/>
    </row>
    <row r="83" spans="1:15">
      <c r="A83" s="1635" t="s">
        <v>199</v>
      </c>
      <c r="B83" s="1636"/>
      <c r="C83" s="1637"/>
      <c r="D83" s="936" t="s">
        <v>131</v>
      </c>
      <c r="E83" s="840">
        <f>'22'!F83</f>
        <v>25375</v>
      </c>
      <c r="F83" s="1274">
        <v>25513</v>
      </c>
      <c r="G83" s="841">
        <f t="shared" si="6"/>
        <v>138</v>
      </c>
      <c r="H83" s="842">
        <f>G83+'22'!H83</f>
        <v>5007</v>
      </c>
      <c r="I83" s="864"/>
      <c r="J83" s="844">
        <f>H83/DAY(B2)</f>
        <v>217.69565217391303</v>
      </c>
      <c r="K83" s="867"/>
      <c r="L83" s="819"/>
      <c r="O83" s="846"/>
    </row>
    <row r="84" spans="1:15">
      <c r="A84" s="937" t="s">
        <v>200</v>
      </c>
      <c r="B84" s="938"/>
      <c r="C84" s="938"/>
      <c r="D84" s="858" t="s">
        <v>131</v>
      </c>
      <c r="E84" s="840">
        <f>'22'!F84</f>
        <v>516617</v>
      </c>
      <c r="F84" s="939">
        <v>517399</v>
      </c>
      <c r="G84" s="841">
        <f t="shared" si="6"/>
        <v>782</v>
      </c>
      <c r="H84" s="842">
        <f>G84+'22'!H84</f>
        <v>17105</v>
      </c>
      <c r="I84" s="864"/>
      <c r="J84" s="844">
        <f>H84/DAY(B2)</f>
        <v>743.695652173913</v>
      </c>
      <c r="K84" s="940"/>
      <c r="L84" s="819"/>
      <c r="O84" s="846"/>
    </row>
    <row r="85" spans="1:15" s="944" customFormat="1">
      <c r="A85" s="941" t="s">
        <v>201</v>
      </c>
      <c r="B85" s="942"/>
      <c r="C85" s="942"/>
      <c r="D85" s="879"/>
      <c r="E85" s="840"/>
      <c r="F85" s="839"/>
      <c r="G85" s="842">
        <f xml:space="preserve"> SUM(G72:G84)</f>
        <v>2006.8799999999646</v>
      </c>
      <c r="H85" s="842">
        <f>G85+'22'!H85</f>
        <v>44480.729999999967</v>
      </c>
      <c r="I85" s="864"/>
      <c r="J85" s="844">
        <f>H85/DAY(B2)</f>
        <v>1933.9447826086941</v>
      </c>
      <c r="K85" s="940"/>
      <c r="L85" s="943"/>
      <c r="N85" s="1011"/>
      <c r="O85" s="846"/>
    </row>
    <row r="86" spans="1:15" s="954" customFormat="1">
      <c r="A86" s="945" t="s">
        <v>93</v>
      </c>
      <c r="B86" s="946"/>
      <c r="C86" s="946"/>
      <c r="D86" s="947" t="s">
        <v>182</v>
      </c>
      <c r="E86" s="840">
        <f>'22'!F86</f>
        <v>461545.16</v>
      </c>
      <c r="F86" s="948">
        <v>461570.64</v>
      </c>
      <c r="G86" s="949">
        <f t="shared" ref="G86:G88" si="7">F86-E86</f>
        <v>25.480000000039581</v>
      </c>
      <c r="H86" s="842">
        <f>G86+'22'!H86</f>
        <v>112.35999999998603</v>
      </c>
      <c r="I86" s="950"/>
      <c r="J86" s="951">
        <f>H86/DAY(B2)</f>
        <v>4.8852173913037404</v>
      </c>
      <c r="K86" s="952"/>
      <c r="L86" s="953"/>
      <c r="N86" s="1012"/>
      <c r="O86" s="846"/>
    </row>
    <row r="87" spans="1:15" s="954" customFormat="1">
      <c r="A87" s="945" t="s">
        <v>94</v>
      </c>
      <c r="B87" s="946"/>
      <c r="C87" s="946"/>
      <c r="D87" s="947" t="s">
        <v>182</v>
      </c>
      <c r="E87" s="840">
        <f>'22'!F87</f>
        <v>81850.100000000006</v>
      </c>
      <c r="F87" s="948">
        <v>81883</v>
      </c>
      <c r="G87" s="949">
        <f t="shared" si="7"/>
        <v>32.899999999994179</v>
      </c>
      <c r="H87" s="842">
        <f>G87+'22'!H87</f>
        <v>154.19999999999709</v>
      </c>
      <c r="I87" s="950"/>
      <c r="J87" s="951">
        <f>H87/DAY(B2)</f>
        <v>6.7043478260868303</v>
      </c>
      <c r="K87" s="952"/>
      <c r="L87" s="953"/>
      <c r="N87" s="1012"/>
      <c r="O87" s="846"/>
    </row>
    <row r="88" spans="1:15" s="954" customFormat="1">
      <c r="A88" s="945" t="s">
        <v>95</v>
      </c>
      <c r="B88" s="946"/>
      <c r="C88" s="946"/>
      <c r="D88" s="947" t="s">
        <v>182</v>
      </c>
      <c r="E88" s="840">
        <f>'22'!F88</f>
        <v>154464</v>
      </c>
      <c r="F88" s="948">
        <v>154545</v>
      </c>
      <c r="G88" s="949">
        <f t="shared" si="7"/>
        <v>81</v>
      </c>
      <c r="H88" s="842">
        <f>G88+'22'!H88</f>
        <v>467.33999999999651</v>
      </c>
      <c r="I88" s="950"/>
      <c r="J88" s="951">
        <f>H88/DAY(B2)</f>
        <v>20.319130434782458</v>
      </c>
      <c r="K88" s="952"/>
      <c r="L88" s="953"/>
      <c r="N88" s="1012"/>
      <c r="O88" s="846"/>
    </row>
    <row r="89" spans="1:15" s="954" customFormat="1">
      <c r="A89" s="945" t="s">
        <v>203</v>
      </c>
      <c r="B89" s="946"/>
      <c r="C89" s="946"/>
      <c r="D89" s="947" t="s">
        <v>182</v>
      </c>
      <c r="E89" s="840">
        <f>'22'!F89</f>
        <v>65625</v>
      </c>
      <c r="F89" s="948">
        <v>65647.399999999994</v>
      </c>
      <c r="G89" s="949">
        <f t="shared" ref="G89:G91" si="8">F89-E89</f>
        <v>22.399999999994179</v>
      </c>
      <c r="H89" s="842">
        <f>G89+'22'!H89</f>
        <v>135.29999999999563</v>
      </c>
      <c r="I89" s="950"/>
      <c r="J89" s="951">
        <f>H89/DAY(B2)</f>
        <v>5.8826086956519843</v>
      </c>
      <c r="K89" s="952"/>
      <c r="L89" s="953"/>
      <c r="N89" s="1013"/>
      <c r="O89" s="846"/>
    </row>
    <row r="90" spans="1:15" s="954" customFormat="1">
      <c r="A90" s="945" t="s">
        <v>203</v>
      </c>
      <c r="B90" s="946"/>
      <c r="C90" s="946"/>
      <c r="D90" s="947" t="s">
        <v>182</v>
      </c>
      <c r="E90" s="840">
        <f>'22'!F90</f>
        <v>3319.7</v>
      </c>
      <c r="F90" s="948">
        <v>3323.7</v>
      </c>
      <c r="G90" s="949">
        <f t="shared" si="8"/>
        <v>4</v>
      </c>
      <c r="H90" s="842">
        <f>G90+'22'!H90</f>
        <v>16.299999999999727</v>
      </c>
      <c r="I90" s="950"/>
      <c r="J90" s="951">
        <f>H90/DAY(B2)</f>
        <v>0.70869565217390118</v>
      </c>
      <c r="K90" s="952"/>
      <c r="L90" s="953"/>
      <c r="N90" s="1013"/>
      <c r="O90" s="846"/>
    </row>
    <row r="91" spans="1:15" s="736" customFormat="1" ht="24.75" customHeight="1">
      <c r="A91" s="945" t="s">
        <v>350</v>
      </c>
      <c r="B91" s="732"/>
      <c r="C91" s="732"/>
      <c r="D91" s="947" t="s">
        <v>182</v>
      </c>
      <c r="E91" s="840">
        <f>'22'!F91</f>
        <v>28182.46</v>
      </c>
      <c r="F91" s="948">
        <v>28192.77</v>
      </c>
      <c r="G91" s="949">
        <f t="shared" si="8"/>
        <v>10.31000000000131</v>
      </c>
      <c r="H91" s="842">
        <f>G91+'22'!H91</f>
        <v>33.090000000000146</v>
      </c>
      <c r="I91" s="653"/>
      <c r="J91" s="951">
        <f>H91/DAY(B2)</f>
        <v>1.4386956521739194</v>
      </c>
      <c r="K91" s="734"/>
      <c r="L91" s="735"/>
      <c r="N91" s="778"/>
      <c r="O91" s="382"/>
    </row>
    <row r="92" spans="1:15" s="944" customFormat="1">
      <c r="A92" s="955" t="s">
        <v>204</v>
      </c>
      <c r="B92" s="834"/>
      <c r="C92" s="834"/>
      <c r="D92" s="834"/>
      <c r="E92" s="834"/>
      <c r="F92" s="834"/>
      <c r="G92" s="878"/>
      <c r="H92" s="834"/>
      <c r="I92" s="834"/>
      <c r="J92" s="835"/>
      <c r="K92" s="940"/>
      <c r="L92" s="943"/>
      <c r="N92" s="1011"/>
      <c r="O92" s="846"/>
    </row>
    <row r="93" spans="1:15">
      <c r="A93" s="1626" t="s">
        <v>205</v>
      </c>
      <c r="B93" s="1627"/>
      <c r="C93" s="1628"/>
      <c r="D93" s="839" t="s">
        <v>143</v>
      </c>
      <c r="E93" s="840">
        <f>'22'!F93</f>
        <v>246753</v>
      </c>
      <c r="F93" s="870">
        <v>246785</v>
      </c>
      <c r="G93" s="841">
        <f t="shared" ref="G93:G94" si="9">F93-E93</f>
        <v>32</v>
      </c>
      <c r="H93" s="842">
        <f>G93+'22'!H93</f>
        <v>1297</v>
      </c>
      <c r="I93" s="861"/>
      <c r="J93" s="844">
        <f>H93/DAY(B2)</f>
        <v>56.391304347826086</v>
      </c>
      <c r="K93" s="867"/>
      <c r="L93" s="819"/>
      <c r="O93" s="846"/>
    </row>
    <row r="94" spans="1:15">
      <c r="A94" s="1626" t="s">
        <v>206</v>
      </c>
      <c r="B94" s="1627"/>
      <c r="C94" s="1628"/>
      <c r="D94" s="839" t="s">
        <v>143</v>
      </c>
      <c r="E94" s="840">
        <f>'22'!F94</f>
        <v>188599</v>
      </c>
      <c r="F94" s="1273">
        <v>188705</v>
      </c>
      <c r="G94" s="841">
        <f t="shared" si="9"/>
        <v>106</v>
      </c>
      <c r="H94" s="842">
        <f>G94+'22'!H94</f>
        <v>2584</v>
      </c>
      <c r="I94" s="861"/>
      <c r="J94" s="844">
        <f>H94/DAY(B2)</f>
        <v>112.34782608695652</v>
      </c>
      <c r="K94" s="940"/>
      <c r="L94" s="819"/>
      <c r="O94" s="846"/>
    </row>
    <row r="95" spans="1:15">
      <c r="A95" s="1644" t="s">
        <v>207</v>
      </c>
      <c r="B95" s="1645"/>
      <c r="C95" s="1646"/>
      <c r="D95" s="839"/>
      <c r="E95" s="840">
        <f>'22'!F95</f>
        <v>0</v>
      </c>
      <c r="F95" s="870"/>
      <c r="G95" s="841">
        <f>G93+G94</f>
        <v>138</v>
      </c>
      <c r="H95" s="842">
        <f>G95+'22'!H95</f>
        <v>3805</v>
      </c>
      <c r="I95" s="861"/>
      <c r="J95" s="844">
        <f>H95/DAY(B2)</f>
        <v>165.43478260869566</v>
      </c>
      <c r="K95" s="940"/>
      <c r="L95" s="819"/>
      <c r="O95" s="846"/>
    </row>
    <row r="96" spans="1:15">
      <c r="A96" s="1626" t="s">
        <v>208</v>
      </c>
      <c r="B96" s="1627"/>
      <c r="C96" s="1628"/>
      <c r="D96" s="839" t="s">
        <v>143</v>
      </c>
      <c r="E96" s="840">
        <f>'22'!F96</f>
        <v>415490</v>
      </c>
      <c r="F96" s="870">
        <v>415533</v>
      </c>
      <c r="G96" s="841">
        <f t="shared" ref="G96:G101" si="10">F96-E96</f>
        <v>43</v>
      </c>
      <c r="H96" s="842">
        <f>G96+'22'!H96</f>
        <v>1250</v>
      </c>
      <c r="I96" s="861"/>
      <c r="J96" s="844">
        <f>H96/DAY(B2)</f>
        <v>54.347826086956523</v>
      </c>
      <c r="K96" s="940"/>
      <c r="L96" s="819"/>
      <c r="O96" s="846"/>
    </row>
    <row r="97" spans="1:15">
      <c r="A97" s="868" t="s">
        <v>209</v>
      </c>
      <c r="B97" s="869"/>
      <c r="C97" s="869"/>
      <c r="D97" s="839" t="s">
        <v>143</v>
      </c>
      <c r="E97" s="840">
        <f>'22'!F97</f>
        <v>102993</v>
      </c>
      <c r="F97" s="870">
        <v>103010</v>
      </c>
      <c r="G97" s="841">
        <f t="shared" si="10"/>
        <v>17</v>
      </c>
      <c r="H97" s="842">
        <f>G97+'22'!H97</f>
        <v>362</v>
      </c>
      <c r="I97" s="861"/>
      <c r="J97" s="844">
        <f>H97/DAY(B2)</f>
        <v>15.739130434782609</v>
      </c>
      <c r="K97" s="836"/>
      <c r="L97" s="819"/>
      <c r="O97" s="846"/>
    </row>
    <row r="98" spans="1:15">
      <c r="A98" s="868" t="s">
        <v>210</v>
      </c>
      <c r="B98" s="869"/>
      <c r="C98" s="869"/>
      <c r="D98" s="839" t="s">
        <v>143</v>
      </c>
      <c r="E98" s="840">
        <f>'22'!F98</f>
        <v>98470</v>
      </c>
      <c r="F98" s="870">
        <v>98492</v>
      </c>
      <c r="G98" s="841">
        <f t="shared" si="10"/>
        <v>22</v>
      </c>
      <c r="H98" s="842">
        <f>G98+'22'!H98</f>
        <v>542</v>
      </c>
      <c r="I98" s="861"/>
      <c r="J98" s="844">
        <f>H98/DAY(B2)</f>
        <v>23.565217391304348</v>
      </c>
      <c r="K98" s="956"/>
      <c r="L98" s="819"/>
      <c r="O98" s="846"/>
    </row>
    <row r="99" spans="1:15">
      <c r="A99" s="868" t="s">
        <v>211</v>
      </c>
      <c r="B99" s="869"/>
      <c r="C99" s="869"/>
      <c r="D99" s="839" t="s">
        <v>143</v>
      </c>
      <c r="E99" s="840">
        <f>'22'!F99</f>
        <v>150108</v>
      </c>
      <c r="F99" s="870">
        <v>150163</v>
      </c>
      <c r="G99" s="841">
        <f t="shared" si="10"/>
        <v>55</v>
      </c>
      <c r="H99" s="842">
        <f>G99+'22'!H99</f>
        <v>311</v>
      </c>
      <c r="I99" s="861"/>
      <c r="J99" s="844">
        <f>H99/DAY(B2)</f>
        <v>13.521739130434783</v>
      </c>
      <c r="K99" s="940"/>
      <c r="L99" s="819"/>
      <c r="O99" s="846"/>
    </row>
    <row r="100" spans="1:15">
      <c r="A100" s="868" t="s">
        <v>212</v>
      </c>
      <c r="B100" s="869"/>
      <c r="C100" s="869"/>
      <c r="D100" s="839" t="s">
        <v>143</v>
      </c>
      <c r="E100" s="840">
        <f>'22'!F100</f>
        <v>7645</v>
      </c>
      <c r="F100" s="870">
        <v>7654</v>
      </c>
      <c r="G100" s="841">
        <f t="shared" si="10"/>
        <v>9</v>
      </c>
      <c r="H100" s="842">
        <f>G100+'22'!H100</f>
        <v>285</v>
      </c>
      <c r="I100" s="861"/>
      <c r="J100" s="844">
        <f>H100/DAY(B2)</f>
        <v>12.391304347826088</v>
      </c>
      <c r="K100" s="940"/>
      <c r="L100" s="819"/>
      <c r="O100" s="846"/>
    </row>
    <row r="101" spans="1:15">
      <c r="A101" s="868" t="s">
        <v>213</v>
      </c>
      <c r="B101" s="869"/>
      <c r="C101" s="869"/>
      <c r="D101" s="839" t="s">
        <v>143</v>
      </c>
      <c r="E101" s="840">
        <f>'22'!F101</f>
        <v>5587</v>
      </c>
      <c r="F101" s="870">
        <v>5592</v>
      </c>
      <c r="G101" s="841">
        <f t="shared" si="10"/>
        <v>5</v>
      </c>
      <c r="H101" s="842">
        <f>G101+'22'!H101</f>
        <v>201</v>
      </c>
      <c r="I101" s="861"/>
      <c r="J101" s="844">
        <f>H101/DAY(B2)</f>
        <v>8.7391304347826093</v>
      </c>
      <c r="K101" s="940"/>
      <c r="L101" s="819"/>
      <c r="O101" s="846"/>
    </row>
    <row r="102" spans="1:15">
      <c r="A102" s="1644" t="s">
        <v>215</v>
      </c>
      <c r="B102" s="1645"/>
      <c r="C102" s="1646"/>
      <c r="D102" s="873"/>
      <c r="E102" s="873"/>
      <c r="F102" s="873"/>
      <c r="G102" s="957">
        <f>SUM(G96:G101)</f>
        <v>151</v>
      </c>
      <c r="H102" s="842">
        <f>G102+'22'!H102</f>
        <v>2951</v>
      </c>
      <c r="I102" s="958"/>
      <c r="J102" s="844">
        <f>H102/DAY(B2)</f>
        <v>128.30434782608697</v>
      </c>
      <c r="K102" s="940"/>
      <c r="L102" s="819"/>
      <c r="O102" s="846"/>
    </row>
    <row r="103" spans="1:15" s="891" customFormat="1">
      <c r="A103" s="959" t="s">
        <v>216</v>
      </c>
      <c r="B103" s="960"/>
      <c r="C103" s="960"/>
      <c r="D103" s="961"/>
      <c r="E103" s="962"/>
      <c r="F103" s="963"/>
      <c r="G103" s="964"/>
      <c r="H103" s="965"/>
      <c r="I103" s="966"/>
      <c r="J103" s="967"/>
      <c r="N103" s="1009"/>
      <c r="O103" s="846"/>
    </row>
    <row r="104" spans="1:15" s="891" customFormat="1">
      <c r="A104" s="1655" t="s">
        <v>217</v>
      </c>
      <c r="B104" s="1656"/>
      <c r="C104" s="968"/>
      <c r="D104" s="969"/>
      <c r="E104" s="970"/>
      <c r="F104" s="970"/>
      <c r="G104" s="970"/>
      <c r="H104" s="971"/>
      <c r="I104" s="970"/>
      <c r="J104" s="972"/>
      <c r="N104" s="1009"/>
      <c r="O104" s="846"/>
    </row>
    <row r="105" spans="1:15" s="891" customFormat="1">
      <c r="A105" s="1657" t="s">
        <v>218</v>
      </c>
      <c r="B105" s="1658"/>
      <c r="C105" s="973"/>
      <c r="D105" s="969" t="s">
        <v>143</v>
      </c>
      <c r="E105" s="970">
        <f>'22'!F105</f>
        <v>7637</v>
      </c>
      <c r="F105" s="970">
        <v>7637</v>
      </c>
      <c r="G105" s="970">
        <f>F105-E105</f>
        <v>0</v>
      </c>
      <c r="H105" s="971">
        <f>SUM(G105+'1'!G76)</f>
        <v>57</v>
      </c>
      <c r="I105" s="970"/>
      <c r="J105" s="972">
        <f>H105/DAY(B2)</f>
        <v>2.4782608695652173</v>
      </c>
      <c r="N105" s="1009"/>
      <c r="O105" s="846"/>
    </row>
    <row r="106" spans="1:15" s="891" customFormat="1">
      <c r="A106" s="1657" t="s">
        <v>76</v>
      </c>
      <c r="B106" s="1658"/>
      <c r="C106" s="973"/>
      <c r="D106" s="969" t="s">
        <v>143</v>
      </c>
      <c r="E106" s="970">
        <f>'22'!F106</f>
        <v>36089</v>
      </c>
      <c r="F106" s="1275">
        <v>36091</v>
      </c>
      <c r="G106" s="970">
        <f t="shared" ref="G106:G107" si="11">F106-E106</f>
        <v>2</v>
      </c>
      <c r="H106" s="971">
        <f>SUM(G106+'1'!G77)</f>
        <v>51</v>
      </c>
      <c r="I106" s="970"/>
      <c r="J106" s="972">
        <f>H106/DAY(B2)</f>
        <v>2.2173913043478262</v>
      </c>
      <c r="N106" s="1009"/>
      <c r="O106" s="846"/>
    </row>
    <row r="107" spans="1:15" s="891" customFormat="1">
      <c r="A107" s="1657" t="s">
        <v>77</v>
      </c>
      <c r="B107" s="1659"/>
      <c r="C107" s="1658"/>
      <c r="D107" s="969" t="s">
        <v>143</v>
      </c>
      <c r="E107" s="970">
        <f>'22'!F107</f>
        <v>19789</v>
      </c>
      <c r="F107" s="970">
        <v>19792</v>
      </c>
      <c r="G107" s="970">
        <f t="shared" si="11"/>
        <v>3</v>
      </c>
      <c r="H107" s="971">
        <f>SUM(G107+'1'!G78)</f>
        <v>58</v>
      </c>
      <c r="I107" s="970"/>
      <c r="J107" s="972">
        <f>H107/DAY(B2)</f>
        <v>2.5217391304347827</v>
      </c>
      <c r="N107" s="1009"/>
      <c r="O107" s="846"/>
    </row>
    <row r="108" spans="1:15" s="891" customFormat="1">
      <c r="A108" s="1660" t="s">
        <v>201</v>
      </c>
      <c r="B108" s="1661"/>
      <c r="C108" s="973"/>
      <c r="D108" s="969"/>
      <c r="E108" s="970">
        <f>'22'!F108</f>
        <v>0</v>
      </c>
      <c r="F108" s="970"/>
      <c r="G108" s="970">
        <f>SUM(G105:G107)</f>
        <v>5</v>
      </c>
      <c r="H108" s="971">
        <f>SUM(G108+'1'!G79)</f>
        <v>160</v>
      </c>
      <c r="I108" s="970"/>
      <c r="J108" s="972">
        <f>H108/DAY(B2)</f>
        <v>6.9565217391304346</v>
      </c>
      <c r="N108" s="1009"/>
      <c r="O108" s="846"/>
    </row>
    <row r="109" spans="1:15" s="891" customFormat="1">
      <c r="A109" s="1662" t="s">
        <v>78</v>
      </c>
      <c r="B109" s="1663"/>
      <c r="C109" s="973"/>
      <c r="D109" s="969" t="s">
        <v>143</v>
      </c>
      <c r="E109" s="970">
        <f>'22'!F109</f>
        <v>0</v>
      </c>
      <c r="F109" s="970"/>
      <c r="G109" s="970"/>
      <c r="H109" s="971"/>
      <c r="I109" s="970"/>
      <c r="J109" s="972"/>
      <c r="N109" s="1009"/>
      <c r="O109" s="846"/>
    </row>
    <row r="110" spans="1:15" s="891" customFormat="1">
      <c r="A110" s="1657" t="s">
        <v>219</v>
      </c>
      <c r="B110" s="1658"/>
      <c r="C110" s="973"/>
      <c r="D110" s="969" t="s">
        <v>143</v>
      </c>
      <c r="E110" s="970">
        <f>'22'!F110</f>
        <v>64330</v>
      </c>
      <c r="F110" s="970">
        <v>64386</v>
      </c>
      <c r="G110" s="970">
        <f>F110-E110</f>
        <v>56</v>
      </c>
      <c r="H110" s="971">
        <f>SUM(G110+'1'!G81)</f>
        <v>150</v>
      </c>
      <c r="I110" s="970"/>
      <c r="J110" s="972">
        <f>H110/DAY(B2)</f>
        <v>6.5217391304347823</v>
      </c>
      <c r="N110" s="1009"/>
      <c r="O110" s="846"/>
    </row>
    <row r="111" spans="1:15" s="891" customFormat="1">
      <c r="A111" s="1657" t="s">
        <v>220</v>
      </c>
      <c r="B111" s="1658"/>
      <c r="C111" s="973"/>
      <c r="D111" s="969" t="s">
        <v>143</v>
      </c>
      <c r="E111" s="970">
        <f>'22'!F111</f>
        <v>32833</v>
      </c>
      <c r="F111" s="1275">
        <v>32852</v>
      </c>
      <c r="G111" s="970">
        <f t="shared" ref="G111:G112" si="12">F111-E111</f>
        <v>19</v>
      </c>
      <c r="H111" s="971">
        <f>SUM(G111+'1'!G82)</f>
        <v>30</v>
      </c>
      <c r="I111" s="970"/>
      <c r="J111" s="972">
        <f>H111/DAY(B2)</f>
        <v>1.3043478260869565</v>
      </c>
      <c r="N111" s="1009"/>
      <c r="O111" s="846"/>
    </row>
    <row r="112" spans="1:15" s="891" customFormat="1">
      <c r="A112" s="1657" t="s">
        <v>221</v>
      </c>
      <c r="B112" s="1658"/>
      <c r="C112" s="973"/>
      <c r="D112" s="969" t="s">
        <v>143</v>
      </c>
      <c r="E112" s="970">
        <f>'22'!F112</f>
        <v>4621</v>
      </c>
      <c r="F112" s="1275">
        <v>4621</v>
      </c>
      <c r="G112" s="970">
        <f t="shared" si="12"/>
        <v>0</v>
      </c>
      <c r="H112" s="971">
        <f>SUM(G112+'1'!G83)</f>
        <v>152</v>
      </c>
      <c r="I112" s="970"/>
      <c r="J112" s="972">
        <f>H112/DAY(B2)</f>
        <v>6.6086956521739131</v>
      </c>
      <c r="N112" s="1009"/>
      <c r="O112" s="846"/>
    </row>
    <row r="113" spans="1:15" s="891" customFormat="1">
      <c r="A113" s="1664" t="s">
        <v>109</v>
      </c>
      <c r="B113" s="1665"/>
      <c r="C113" s="973"/>
      <c r="D113" s="969"/>
      <c r="E113" s="970">
        <f>'22'!F113</f>
        <v>0</v>
      </c>
      <c r="F113" s="970"/>
      <c r="G113" s="970">
        <f>SUM(G110:G112)</f>
        <v>75</v>
      </c>
      <c r="H113" s="971">
        <f>SUM(G113+'1'!G84)</f>
        <v>902</v>
      </c>
      <c r="I113" s="970"/>
      <c r="J113" s="972">
        <f>H113/DAY(B2)</f>
        <v>39.217391304347828</v>
      </c>
      <c r="N113" s="1009"/>
      <c r="O113" s="846"/>
    </row>
    <row r="114" spans="1:15" s="891" customFormat="1">
      <c r="A114" s="1662" t="s">
        <v>222</v>
      </c>
      <c r="B114" s="1663"/>
      <c r="C114" s="973"/>
      <c r="D114" s="969"/>
      <c r="E114" s="970">
        <f>'22'!F114</f>
        <v>0</v>
      </c>
      <c r="F114" s="970"/>
      <c r="G114" s="970"/>
      <c r="H114" s="971"/>
      <c r="I114" s="970"/>
      <c r="J114" s="972">
        <f>H114/DAY(B2)</f>
        <v>0</v>
      </c>
      <c r="N114" s="1009"/>
      <c r="O114" s="846"/>
    </row>
    <row r="115" spans="1:15" s="891" customFormat="1">
      <c r="A115" s="1657" t="s">
        <v>223</v>
      </c>
      <c r="B115" s="1658"/>
      <c r="C115" s="975"/>
      <c r="D115" s="969" t="s">
        <v>143</v>
      </c>
      <c r="E115" s="970">
        <f>'22'!F115</f>
        <v>11834</v>
      </c>
      <c r="F115" s="974">
        <v>11847</v>
      </c>
      <c r="G115" s="974">
        <f>F115-E115</f>
        <v>13</v>
      </c>
      <c r="H115" s="971">
        <f>SUM(G115+'1'!G92)</f>
        <v>13</v>
      </c>
      <c r="I115" s="970"/>
      <c r="J115" s="972">
        <f>H115/DAY(B2)</f>
        <v>0.56521739130434778</v>
      </c>
      <c r="N115" s="1009"/>
      <c r="O115" s="846"/>
    </row>
    <row r="116" spans="1:15" s="891" customFormat="1">
      <c r="A116" s="1657" t="s">
        <v>224</v>
      </c>
      <c r="B116" s="1658"/>
      <c r="C116" s="975"/>
      <c r="D116" s="969" t="s">
        <v>143</v>
      </c>
      <c r="E116" s="970">
        <f>'22'!F116</f>
        <v>8483</v>
      </c>
      <c r="F116" s="974">
        <v>8488</v>
      </c>
      <c r="G116" s="974">
        <f t="shared" ref="G116:G117" si="13">F116-E116</f>
        <v>5</v>
      </c>
      <c r="H116" s="971">
        <f>SUM(G116+'1'!G93)</f>
        <v>23</v>
      </c>
      <c r="I116" s="970"/>
      <c r="J116" s="972">
        <f>H116/DAY(B2)</f>
        <v>1</v>
      </c>
      <c r="N116" s="1009"/>
      <c r="O116" s="846"/>
    </row>
    <row r="117" spans="1:15" s="891" customFormat="1">
      <c r="A117" s="1657" t="s">
        <v>225</v>
      </c>
      <c r="B117" s="1658"/>
      <c r="C117" s="975"/>
      <c r="D117" s="969" t="s">
        <v>143</v>
      </c>
      <c r="E117" s="974"/>
      <c r="F117" s="974"/>
      <c r="G117" s="974">
        <f t="shared" si="13"/>
        <v>0</v>
      </c>
      <c r="H117" s="971">
        <f>SUM(G117+'1'!G94)</f>
        <v>58</v>
      </c>
      <c r="I117" s="970"/>
      <c r="J117" s="972">
        <f>H117/DAY(B2)</f>
        <v>2.5217391304347827</v>
      </c>
      <c r="N117" s="1009"/>
      <c r="O117" s="846"/>
    </row>
    <row r="118" spans="1:15" s="977" customFormat="1">
      <c r="A118" s="1660" t="s">
        <v>201</v>
      </c>
      <c r="B118" s="1661"/>
      <c r="C118" s="975"/>
      <c r="D118" s="976"/>
      <c r="E118" s="974"/>
      <c r="F118" s="974"/>
      <c r="G118" s="974">
        <f>SUM(G115:G117)</f>
        <v>18</v>
      </c>
      <c r="H118" s="971">
        <f>SUM(G118+'1'!G96)</f>
        <v>58</v>
      </c>
      <c r="I118" s="974"/>
      <c r="J118" s="972">
        <f>H118/DAY(B2)</f>
        <v>2.5217391304347827</v>
      </c>
      <c r="N118" s="1014"/>
      <c r="O118" s="846"/>
    </row>
    <row r="119" spans="1:15" s="769" customFormat="1">
      <c r="A119" s="1666" t="s">
        <v>226</v>
      </c>
      <c r="B119" s="1667"/>
      <c r="C119" s="978"/>
      <c r="D119" s="979" t="s">
        <v>143</v>
      </c>
      <c r="E119" s="980"/>
      <c r="F119" s="981"/>
      <c r="G119" s="981">
        <f>SUM(G19+G93)</f>
        <v>93</v>
      </c>
      <c r="H119" s="971">
        <f>SUM(G119+'1'!G97)</f>
        <v>106</v>
      </c>
      <c r="I119" s="980"/>
      <c r="J119" s="982">
        <f>H119/DAY(B2)</f>
        <v>4.6086956521739131</v>
      </c>
      <c r="N119" s="1015" t="s">
        <v>214</v>
      </c>
      <c r="O119" s="846"/>
    </row>
    <row r="120" spans="1:15" s="769" customFormat="1">
      <c r="A120" s="1666" t="s">
        <v>227</v>
      </c>
      <c r="B120" s="1667"/>
      <c r="C120" s="978"/>
      <c r="D120" s="979" t="s">
        <v>143</v>
      </c>
      <c r="E120" s="980"/>
      <c r="F120" s="981"/>
      <c r="G120" s="981">
        <f>SUM(G96,G97,G98,G100,G101)</f>
        <v>96</v>
      </c>
      <c r="H120" s="971">
        <f>SUM(G120+'1'!G99)</f>
        <v>103</v>
      </c>
      <c r="I120" s="980"/>
      <c r="J120" s="982">
        <f>H120/DAY(B2)</f>
        <v>4.4782608695652177</v>
      </c>
      <c r="N120" s="1015"/>
      <c r="O120" s="846"/>
    </row>
    <row r="121" spans="1:15" s="769" customFormat="1">
      <c r="A121" s="1666" t="s">
        <v>228</v>
      </c>
      <c r="B121" s="1667"/>
      <c r="C121" s="978"/>
      <c r="D121" s="979" t="s">
        <v>143</v>
      </c>
      <c r="E121" s="980"/>
      <c r="F121" s="974"/>
      <c r="G121" s="974">
        <f>SUM(G113)</f>
        <v>75</v>
      </c>
      <c r="H121" s="971">
        <f>SUM(G121+'1'!G101)</f>
        <v>79</v>
      </c>
      <c r="I121" s="980"/>
      <c r="J121" s="982">
        <f>H121/DAY(B2)</f>
        <v>3.4347826086956523</v>
      </c>
      <c r="N121" s="1015"/>
      <c r="O121" s="846"/>
    </row>
    <row r="122" spans="1:15" s="891" customFormat="1">
      <c r="A122" s="1668"/>
      <c r="B122" s="1614"/>
      <c r="C122" s="973"/>
      <c r="D122" s="968"/>
      <c r="E122" s="968"/>
      <c r="F122" s="968"/>
      <c r="G122" s="968"/>
      <c r="H122" s="983"/>
      <c r="I122" s="968"/>
      <c r="J122" s="984"/>
      <c r="N122" s="1009"/>
      <c r="O122" s="846"/>
    </row>
    <row r="123" spans="1:15">
      <c r="A123" s="1647" t="s">
        <v>229</v>
      </c>
      <c r="B123" s="1648"/>
      <c r="C123" s="1649"/>
      <c r="D123" s="834"/>
      <c r="E123" s="834"/>
      <c r="F123" s="834"/>
      <c r="G123" s="866"/>
      <c r="H123" s="866"/>
      <c r="I123" s="866"/>
      <c r="J123" s="985"/>
      <c r="K123" s="940"/>
      <c r="L123" s="819"/>
      <c r="O123" s="846"/>
    </row>
    <row r="124" spans="1:15">
      <c r="A124" s="868" t="s">
        <v>230</v>
      </c>
      <c r="B124" s="869"/>
      <c r="C124" s="869"/>
      <c r="D124" s="839" t="s">
        <v>140</v>
      </c>
      <c r="E124" s="840">
        <f>'22'!F124</f>
        <v>837424.77</v>
      </c>
      <c r="F124" s="874">
        <v>837708.15</v>
      </c>
      <c r="G124" s="841">
        <f>F124-E124</f>
        <v>283.38000000000466</v>
      </c>
      <c r="H124" s="842">
        <f>G124+'22'!H124</f>
        <v>5342.1500000000233</v>
      </c>
      <c r="I124" s="958"/>
      <c r="J124" s="844">
        <f>H124/DAY(B2)</f>
        <v>232.26739130434885</v>
      </c>
      <c r="K124" s="940"/>
      <c r="L124" s="819"/>
      <c r="O124" s="846"/>
    </row>
    <row r="125" spans="1:15">
      <c r="A125" s="868" t="s">
        <v>231</v>
      </c>
      <c r="B125" s="869"/>
      <c r="C125" s="869"/>
      <c r="D125" s="839" t="s">
        <v>140</v>
      </c>
      <c r="E125" s="840">
        <f>'22'!F125</f>
        <v>73583.399999999994</v>
      </c>
      <c r="F125" s="874">
        <v>73583.399999999994</v>
      </c>
      <c r="G125" s="841">
        <f t="shared" ref="G125:G128" si="14">F125-E125</f>
        <v>0</v>
      </c>
      <c r="H125" s="842">
        <f>G125+'22'!H125</f>
        <v>0</v>
      </c>
      <c r="I125" s="958"/>
      <c r="J125" s="844">
        <f>H125/DAY(B2)</f>
        <v>0</v>
      </c>
      <c r="K125" s="940"/>
      <c r="L125" s="819"/>
      <c r="O125" s="846"/>
    </row>
    <row r="126" spans="1:15">
      <c r="A126" s="1632" t="s">
        <v>232</v>
      </c>
      <c r="B126" s="1633"/>
      <c r="C126" s="1634"/>
      <c r="D126" s="839" t="s">
        <v>140</v>
      </c>
      <c r="E126" s="840">
        <f>'22'!F126</f>
        <v>147963.81</v>
      </c>
      <c r="F126" s="874">
        <v>148052.42000000001</v>
      </c>
      <c r="G126" s="841">
        <f t="shared" si="14"/>
        <v>88.610000000015134</v>
      </c>
      <c r="H126" s="842">
        <f>G126+'22'!H126</f>
        <v>1561.4200000000128</v>
      </c>
      <c r="I126" s="958"/>
      <c r="J126" s="844">
        <f>H126/DAY(B2)</f>
        <v>67.887826086957077</v>
      </c>
      <c r="K126" s="940"/>
      <c r="L126" s="819"/>
      <c r="O126" s="846"/>
    </row>
    <row r="127" spans="1:15">
      <c r="A127" s="987" t="s">
        <v>233</v>
      </c>
      <c r="B127" s="869"/>
      <c r="C127" s="869"/>
      <c r="D127" s="839" t="s">
        <v>140</v>
      </c>
      <c r="E127" s="840">
        <f>'22'!F127</f>
        <v>31791.7</v>
      </c>
      <c r="F127" s="874">
        <v>31828.2</v>
      </c>
      <c r="G127" s="841">
        <f t="shared" si="14"/>
        <v>36.5</v>
      </c>
      <c r="H127" s="842">
        <f>G127+'22'!H127</f>
        <v>422.20000000000073</v>
      </c>
      <c r="I127" s="958"/>
      <c r="J127" s="844">
        <f>H127/DAY(B2)</f>
        <v>18.356521739130468</v>
      </c>
      <c r="K127" s="940"/>
      <c r="L127" s="819"/>
      <c r="O127" s="846"/>
    </row>
    <row r="128" spans="1:15">
      <c r="A128" s="987" t="s">
        <v>234</v>
      </c>
      <c r="B128" s="869"/>
      <c r="C128" s="869"/>
      <c r="D128" s="839" t="s">
        <v>140</v>
      </c>
      <c r="E128" s="840">
        <f>'22'!F128</f>
        <v>8984.6</v>
      </c>
      <c r="F128" s="874">
        <v>8987.1</v>
      </c>
      <c r="G128" s="841">
        <f t="shared" si="14"/>
        <v>2.5</v>
      </c>
      <c r="H128" s="842">
        <f>G128+'22'!H128</f>
        <v>15.100000000000364</v>
      </c>
      <c r="I128" s="861"/>
      <c r="J128" s="844">
        <f>H128/DAY(B2)</f>
        <v>0.65652173913045064</v>
      </c>
      <c r="K128" s="940"/>
      <c r="L128" s="819"/>
      <c r="O128" s="846"/>
    </row>
    <row r="129" spans="1:15">
      <c r="A129" s="987" t="s">
        <v>235</v>
      </c>
      <c r="B129" s="869"/>
      <c r="C129" s="869"/>
      <c r="D129" s="839"/>
      <c r="E129" s="840"/>
      <c r="F129" s="858"/>
      <c r="G129" s="841">
        <f>G15-SUM(G124:G128)</f>
        <v>173.39000000010128</v>
      </c>
      <c r="H129" s="842">
        <f>G129+'22'!H129</f>
        <v>2885.480000000056</v>
      </c>
      <c r="I129" s="861"/>
      <c r="J129" s="844">
        <f>H129/DAY(B2)</f>
        <v>125.45565217391548</v>
      </c>
      <c r="K129" s="940"/>
      <c r="L129" s="819"/>
      <c r="O129" s="846"/>
    </row>
    <row r="130" spans="1:15">
      <c r="A130" s="988" t="s">
        <v>236</v>
      </c>
      <c r="B130" s="833"/>
      <c r="C130" s="833"/>
      <c r="D130" s="833"/>
      <c r="E130" s="833"/>
      <c r="F130" s="833"/>
      <c r="G130" s="989"/>
      <c r="H130" s="989"/>
      <c r="I130" s="989"/>
      <c r="J130" s="990"/>
      <c r="O130" s="846"/>
    </row>
    <row r="131" spans="1:15">
      <c r="A131" s="868" t="s">
        <v>237</v>
      </c>
      <c r="B131" s="869"/>
      <c r="C131" s="869"/>
      <c r="D131" s="839" t="s">
        <v>238</v>
      </c>
      <c r="E131" s="840">
        <f>'22'!F131</f>
        <v>0</v>
      </c>
      <c r="F131" s="870">
        <v>0</v>
      </c>
      <c r="G131" s="841">
        <f t="shared" ref="G131:G141" si="15">F131-E131</f>
        <v>0</v>
      </c>
      <c r="H131" s="842">
        <f>G131+'22'!H131</f>
        <v>0</v>
      </c>
      <c r="I131" s="861"/>
      <c r="J131" s="844">
        <f>H131/DAY(B2)</f>
        <v>0</v>
      </c>
      <c r="O131" s="846"/>
    </row>
    <row r="132" spans="1:15">
      <c r="A132" s="868" t="s">
        <v>239</v>
      </c>
      <c r="B132" s="869"/>
      <c r="C132" s="869"/>
      <c r="D132" s="839" t="s">
        <v>238</v>
      </c>
      <c r="E132" s="840">
        <f>'22'!F132</f>
        <v>0</v>
      </c>
      <c r="F132" s="870">
        <v>0</v>
      </c>
      <c r="G132" s="841">
        <f t="shared" si="15"/>
        <v>0</v>
      </c>
      <c r="H132" s="842">
        <f>G132+'22'!H132</f>
        <v>0</v>
      </c>
      <c r="I132" s="861"/>
      <c r="J132" s="844">
        <f>H132/DAY(B2)</f>
        <v>0</v>
      </c>
      <c r="O132" s="846"/>
    </row>
    <row r="133" spans="1:15">
      <c r="A133" s="868" t="s">
        <v>240</v>
      </c>
      <c r="B133" s="869"/>
      <c r="C133" s="869"/>
      <c r="D133" s="839" t="s">
        <v>238</v>
      </c>
      <c r="E133" s="840">
        <f>'22'!F133</f>
        <v>40352.080000000002</v>
      </c>
      <c r="F133" s="991">
        <v>40357.51</v>
      </c>
      <c r="G133" s="841">
        <f t="shared" si="15"/>
        <v>5.430000000000291</v>
      </c>
      <c r="H133" s="842">
        <f>G133+'22'!H133</f>
        <v>322.41000000000349</v>
      </c>
      <c r="I133" s="861"/>
      <c r="J133" s="844">
        <f>H133/DAY(B2)</f>
        <v>14.017826086956674</v>
      </c>
      <c r="O133" s="846"/>
    </row>
    <row r="134" spans="1:15">
      <c r="A134" s="868" t="s">
        <v>241</v>
      </c>
      <c r="B134" s="869"/>
      <c r="C134" s="869"/>
      <c r="D134" s="839" t="s">
        <v>238</v>
      </c>
      <c r="E134" s="840">
        <f>'22'!F134</f>
        <v>300</v>
      </c>
      <c r="F134" s="991">
        <v>300</v>
      </c>
      <c r="G134" s="841">
        <f t="shared" si="15"/>
        <v>0</v>
      </c>
      <c r="H134" s="842">
        <f>G134+'22'!H134</f>
        <v>0</v>
      </c>
      <c r="I134" s="861">
        <f>G131+G132+G133+G134</f>
        <v>5.430000000000291</v>
      </c>
      <c r="J134" s="844">
        <f>H134/DAY(B2)</f>
        <v>0</v>
      </c>
      <c r="O134" s="846"/>
    </row>
    <row r="135" spans="1:15">
      <c r="A135" s="868" t="s">
        <v>242</v>
      </c>
      <c r="B135" s="869"/>
      <c r="C135" s="869"/>
      <c r="D135" s="839" t="s">
        <v>238</v>
      </c>
      <c r="E135" s="840">
        <f>'22'!F135</f>
        <v>41839.360000000001</v>
      </c>
      <c r="F135" s="991">
        <v>41863.440000000002</v>
      </c>
      <c r="G135" s="841">
        <f t="shared" si="15"/>
        <v>24.080000000001746</v>
      </c>
      <c r="H135" s="842">
        <v>24</v>
      </c>
      <c r="I135" s="861"/>
      <c r="J135" s="844">
        <f>H135/DAY(B2)</f>
        <v>1.0434782608695652</v>
      </c>
      <c r="O135" s="846"/>
    </row>
    <row r="136" spans="1:15">
      <c r="A136" s="868" t="s">
        <v>243</v>
      </c>
      <c r="B136" s="869"/>
      <c r="C136" s="869"/>
      <c r="D136" s="839" t="s">
        <v>238</v>
      </c>
      <c r="E136" s="840">
        <f>'22'!F136</f>
        <v>32874.050000000003</v>
      </c>
      <c r="F136" s="991">
        <v>32874.050000000003</v>
      </c>
      <c r="G136" s="841">
        <f t="shared" si="15"/>
        <v>0</v>
      </c>
      <c r="H136" s="842">
        <v>13</v>
      </c>
      <c r="I136" s="861"/>
      <c r="J136" s="844">
        <f>H136/DAY(B2)</f>
        <v>0.56521739130434778</v>
      </c>
      <c r="O136" s="846"/>
    </row>
    <row r="137" spans="1:15">
      <c r="A137" s="868" t="s">
        <v>244</v>
      </c>
      <c r="B137" s="869"/>
      <c r="C137" s="869"/>
      <c r="D137" s="839" t="s">
        <v>238</v>
      </c>
      <c r="E137" s="840">
        <f>'22'!F137</f>
        <v>22859.1</v>
      </c>
      <c r="F137" s="991">
        <v>22861.040000000001</v>
      </c>
      <c r="G137" s="841">
        <f t="shared" si="15"/>
        <v>1.9400000000023283</v>
      </c>
      <c r="H137" s="842">
        <f>G137+'22'!H137</f>
        <v>53.799999999999272</v>
      </c>
      <c r="I137" s="861">
        <f>G135+G136+G137</f>
        <v>26.020000000004075</v>
      </c>
      <c r="J137" s="844">
        <f>H137/DAY(B2)</f>
        <v>2.339130434782577</v>
      </c>
      <c r="O137" s="846"/>
    </row>
    <row r="138" spans="1:15">
      <c r="A138" s="868" t="s">
        <v>245</v>
      </c>
      <c r="B138" s="869"/>
      <c r="C138" s="869"/>
      <c r="D138" s="839" t="s">
        <v>238</v>
      </c>
      <c r="E138" s="840">
        <f>'22'!F138</f>
        <v>25081.89</v>
      </c>
      <c r="F138" s="991">
        <v>25081.89</v>
      </c>
      <c r="G138" s="841">
        <f t="shared" si="15"/>
        <v>0</v>
      </c>
      <c r="H138" s="842">
        <v>8</v>
      </c>
      <c r="I138" s="861"/>
      <c r="J138" s="844">
        <f>H138/DAY(B2)</f>
        <v>0.34782608695652173</v>
      </c>
      <c r="O138" s="846"/>
    </row>
    <row r="139" spans="1:15">
      <c r="A139" s="868" t="s">
        <v>246</v>
      </c>
      <c r="B139" s="869"/>
      <c r="C139" s="869"/>
      <c r="D139" s="839" t="s">
        <v>238</v>
      </c>
      <c r="E139" s="840">
        <f>'22'!F139</f>
        <v>70496.73</v>
      </c>
      <c r="F139" s="991">
        <v>70496.73</v>
      </c>
      <c r="G139" s="841">
        <f t="shared" si="15"/>
        <v>0</v>
      </c>
      <c r="H139" s="842">
        <v>15</v>
      </c>
      <c r="I139" s="861">
        <f>G138+G139</f>
        <v>0</v>
      </c>
      <c r="J139" s="844">
        <f>H139/DAY(B2)</f>
        <v>0.65217391304347827</v>
      </c>
      <c r="O139" s="846"/>
    </row>
    <row r="140" spans="1:15">
      <c r="A140" s="868" t="s">
        <v>247</v>
      </c>
      <c r="B140" s="869"/>
      <c r="C140" s="869"/>
      <c r="D140" s="839" t="s">
        <v>238</v>
      </c>
      <c r="E140" s="840">
        <f>'22'!F140</f>
        <v>2046.1</v>
      </c>
      <c r="F140" s="870">
        <v>2056.92</v>
      </c>
      <c r="G140" s="841">
        <f t="shared" si="15"/>
        <v>10.820000000000164</v>
      </c>
      <c r="H140" s="842">
        <f>G140+'22'!H140</f>
        <v>202.62000000000012</v>
      </c>
      <c r="I140" s="992"/>
      <c r="J140" s="844">
        <f>H140/DAY(B2)</f>
        <v>8.8095652173913095</v>
      </c>
      <c r="O140" s="846"/>
    </row>
    <row r="141" spans="1:15">
      <c r="A141" s="868" t="s">
        <v>248</v>
      </c>
      <c r="B141" s="869"/>
      <c r="C141" s="869"/>
      <c r="D141" s="839" t="s">
        <v>238</v>
      </c>
      <c r="E141" s="840">
        <f>'22'!F141</f>
        <v>4636.88</v>
      </c>
      <c r="F141" s="870">
        <v>4636.88</v>
      </c>
      <c r="G141" s="841">
        <f t="shared" si="15"/>
        <v>0</v>
      </c>
      <c r="H141" s="842">
        <f>G141+'22'!H141</f>
        <v>-0.11999999999989086</v>
      </c>
      <c r="I141" s="992"/>
      <c r="J141" s="844">
        <f>H141/DAY(B2)</f>
        <v>-5.2173913043430812E-3</v>
      </c>
      <c r="O141" s="846"/>
    </row>
    <row r="142" spans="1:15">
      <c r="A142" s="1650" t="s">
        <v>249</v>
      </c>
      <c r="B142" s="1651"/>
      <c r="C142" s="834"/>
      <c r="D142" s="834"/>
      <c r="E142" s="834"/>
      <c r="F142" s="834"/>
      <c r="G142" s="866"/>
      <c r="H142" s="866"/>
      <c r="I142" s="866"/>
      <c r="J142" s="985"/>
      <c r="K142" s="940"/>
      <c r="L142" s="819"/>
      <c r="O142" s="846"/>
    </row>
    <row r="143" spans="1:15">
      <c r="A143" s="1626" t="s">
        <v>250</v>
      </c>
      <c r="B143" s="1627"/>
      <c r="C143" s="1628"/>
      <c r="D143" s="839" t="s">
        <v>131</v>
      </c>
      <c r="E143" s="839"/>
      <c r="F143" s="839"/>
      <c r="G143" s="842">
        <f>G35+G43+G49+G57</f>
        <v>5420.089999999851</v>
      </c>
      <c r="H143" s="842">
        <f>G143+'22'!H143</f>
        <v>115366.26000000001</v>
      </c>
      <c r="I143" s="861"/>
      <c r="J143" s="844">
        <f>H143/DAY(B2)</f>
        <v>5015.9243478260878</v>
      </c>
      <c r="K143" s="940"/>
      <c r="L143" s="819"/>
      <c r="O143" s="846"/>
    </row>
    <row r="144" spans="1:15">
      <c r="A144" s="1626" t="s">
        <v>251</v>
      </c>
      <c r="B144" s="1627"/>
      <c r="C144" s="1628"/>
      <c r="D144" s="839" t="s">
        <v>24</v>
      </c>
      <c r="E144" s="826"/>
      <c r="F144" s="826"/>
      <c r="G144" s="993">
        <f>G143/G7</f>
        <v>0.27789860868422978</v>
      </c>
      <c r="H144" s="842">
        <f>G144+'22'!H144</f>
        <v>6.1672102820016166</v>
      </c>
      <c r="I144" s="994"/>
      <c r="J144" s="844">
        <f>H144/DAY(B2)</f>
        <v>0.26813957747833117</v>
      </c>
      <c r="K144" s="940"/>
      <c r="L144" s="819"/>
      <c r="O144" s="846"/>
    </row>
    <row r="145" spans="1:15">
      <c r="A145" s="1626" t="s">
        <v>252</v>
      </c>
      <c r="B145" s="1627"/>
      <c r="C145" s="1628"/>
      <c r="D145" s="839" t="s">
        <v>131</v>
      </c>
      <c r="E145" s="840"/>
      <c r="F145" s="840"/>
      <c r="G145" s="842">
        <f>G41+G42+G55+G56</f>
        <v>5831.9499999999389</v>
      </c>
      <c r="H145" s="842">
        <f>G145+'22'!H145</f>
        <v>128256.72999999998</v>
      </c>
      <c r="I145" s="861"/>
      <c r="J145" s="844">
        <f>H145/DAY(B2)</f>
        <v>5576.3795652173903</v>
      </c>
      <c r="K145" s="940"/>
      <c r="L145" s="819"/>
      <c r="O145" s="846"/>
    </row>
    <row r="146" spans="1:15">
      <c r="A146" s="1626" t="s">
        <v>253</v>
      </c>
      <c r="B146" s="1627"/>
      <c r="C146" s="1628"/>
      <c r="D146" s="839" t="s">
        <v>24</v>
      </c>
      <c r="E146" s="840"/>
      <c r="F146" s="840"/>
      <c r="G146" s="993">
        <f>G145/G7</f>
        <v>0.29901547592678746</v>
      </c>
      <c r="H146" s="842">
        <f>G146+'22'!H146</f>
        <v>6.8075981028485026</v>
      </c>
      <c r="I146" s="994"/>
      <c r="J146" s="844">
        <f>H146/DAY(B2)</f>
        <v>0.29598252621080445</v>
      </c>
      <c r="K146" s="940"/>
      <c r="L146" s="819"/>
      <c r="O146" s="846"/>
    </row>
    <row r="147" spans="1:15">
      <c r="A147" s="1626" t="s">
        <v>254</v>
      </c>
      <c r="B147" s="1627"/>
      <c r="C147" s="1628"/>
      <c r="D147" s="839" t="s">
        <v>131</v>
      </c>
      <c r="E147" s="840"/>
      <c r="F147" s="840"/>
      <c r="G147" s="842">
        <f>G39+G53</f>
        <v>3432.960000000021</v>
      </c>
      <c r="H147" s="842">
        <f>G147+'22'!H147</f>
        <v>72803.540000000037</v>
      </c>
      <c r="I147" s="995"/>
      <c r="J147" s="844">
        <f>H147/DAY(B2)</f>
        <v>3165.3713043478278</v>
      </c>
      <c r="K147" s="940"/>
      <c r="L147" s="819"/>
      <c r="O147" s="846"/>
    </row>
    <row r="148" spans="1:15">
      <c r="A148" s="1626" t="s">
        <v>255</v>
      </c>
      <c r="B148" s="1627"/>
      <c r="C148" s="1628"/>
      <c r="D148" s="839" t="s">
        <v>24</v>
      </c>
      <c r="E148" s="840"/>
      <c r="F148" s="840"/>
      <c r="G148" s="993">
        <f>G147/G7</f>
        <v>0.17601456943863394</v>
      </c>
      <c r="H148" s="842">
        <f>G148+'22'!H148</f>
        <v>3.8805812234084849</v>
      </c>
      <c r="I148" s="995"/>
      <c r="J148" s="844">
        <f>H148/DAY(B2)</f>
        <v>0.16872092275689066</v>
      </c>
      <c r="O148" s="846"/>
    </row>
    <row r="149" spans="1:15">
      <c r="A149" s="1626" t="s">
        <v>256</v>
      </c>
      <c r="B149" s="1627"/>
      <c r="C149" s="1628"/>
      <c r="D149" s="839" t="s">
        <v>182</v>
      </c>
      <c r="E149" s="840"/>
      <c r="F149" s="840"/>
      <c r="G149" s="842">
        <f>G38+G52</f>
        <v>1354.2200000000012</v>
      </c>
      <c r="H149" s="842">
        <f>G149+'22'!H149</f>
        <v>30865.03999999995</v>
      </c>
      <c r="I149" s="861"/>
      <c r="J149" s="844">
        <f>H149/DAY(B2)</f>
        <v>1341.958260869563</v>
      </c>
      <c r="K149" s="996"/>
      <c r="O149" s="846"/>
    </row>
    <row r="150" spans="1:15">
      <c r="A150" s="1626" t="s">
        <v>257</v>
      </c>
      <c r="B150" s="1627"/>
      <c r="C150" s="1628"/>
      <c r="D150" s="839" t="s">
        <v>24</v>
      </c>
      <c r="E150" s="840"/>
      <c r="F150" s="840"/>
      <c r="G150" s="993">
        <f>G149/G7</f>
        <v>6.9433506427451996E-2</v>
      </c>
      <c r="H150" s="842">
        <f>G150+'22'!H150</f>
        <v>1.6408763567198277</v>
      </c>
      <c r="I150" s="995"/>
      <c r="J150" s="844">
        <f>H150/DAY(B2)</f>
        <v>7.1342450292166418E-2</v>
      </c>
      <c r="O150" s="846"/>
    </row>
    <row r="151" spans="1:15">
      <c r="A151" s="1626" t="s">
        <v>258</v>
      </c>
      <c r="B151" s="1627"/>
      <c r="C151" s="1628"/>
      <c r="D151" s="839" t="s">
        <v>182</v>
      </c>
      <c r="E151" s="840"/>
      <c r="F151" s="840"/>
      <c r="G151" s="842">
        <f>G36+G50</f>
        <v>1651.7100000000228</v>
      </c>
      <c r="H151" s="842">
        <f>G151+'22'!H151</f>
        <v>39303.37000000001</v>
      </c>
      <c r="I151" s="995"/>
      <c r="J151" s="844">
        <f>H151/DAY(B2)</f>
        <v>1708.842173913044</v>
      </c>
      <c r="O151" s="846"/>
    </row>
    <row r="152" spans="1:15">
      <c r="A152" s="1626" t="s">
        <v>259</v>
      </c>
      <c r="B152" s="1627"/>
      <c r="C152" s="1628"/>
      <c r="D152" s="839" t="s">
        <v>24</v>
      </c>
      <c r="E152" s="840"/>
      <c r="F152" s="840"/>
      <c r="G152" s="993">
        <f>G151/G7</f>
        <v>8.4686400216573546E-2</v>
      </c>
      <c r="H152" s="842">
        <f>G152+'22'!H152</f>
        <v>2.073062548687072</v>
      </c>
      <c r="I152" s="861"/>
      <c r="J152" s="844">
        <f>H152/DAY(B2)</f>
        <v>9.0133154290742257E-2</v>
      </c>
      <c r="O152" s="846"/>
    </row>
    <row r="153" spans="1:15">
      <c r="A153" s="1626" t="s">
        <v>260</v>
      </c>
      <c r="B153" s="1627"/>
      <c r="C153" s="1628"/>
      <c r="D153" s="839" t="s">
        <v>182</v>
      </c>
      <c r="E153" s="840"/>
      <c r="F153" s="840"/>
      <c r="G153" s="842">
        <f>G37+G51</f>
        <v>1414.3399999999965</v>
      </c>
      <c r="H153" s="842">
        <f>G153+'22'!H153</f>
        <v>32033.459999999992</v>
      </c>
      <c r="I153" s="861"/>
      <c r="J153" s="844">
        <f>H153/DAY(B2)</f>
        <v>1392.7591304347823</v>
      </c>
      <c r="O153" s="846"/>
    </row>
    <row r="154" spans="1:15" ht="21" thickBot="1">
      <c r="A154" s="1652" t="s">
        <v>261</v>
      </c>
      <c r="B154" s="1653"/>
      <c r="C154" s="1654"/>
      <c r="D154" s="997" t="s">
        <v>24</v>
      </c>
      <c r="E154" s="998"/>
      <c r="F154" s="998"/>
      <c r="G154" s="999">
        <f>G153/G7</f>
        <v>7.2515976341068752E-2</v>
      </c>
      <c r="H154" s="842">
        <f>G154+'22'!H154</f>
        <v>1.7156073180386182</v>
      </c>
      <c r="I154" s="1000"/>
      <c r="J154" s="1001">
        <f>H154/DAY(B2)</f>
        <v>7.459162252341818E-2</v>
      </c>
      <c r="O154" s="846"/>
    </row>
    <row r="155" spans="1:15">
      <c r="A155" s="1002"/>
      <c r="B155" s="1002"/>
      <c r="C155" s="1002"/>
      <c r="D155" s="1002"/>
      <c r="E155" s="1002"/>
      <c r="F155" s="1002"/>
      <c r="G155" s="1002"/>
      <c r="H155" s="1003"/>
      <c r="I155" s="1002"/>
      <c r="J155" s="1004"/>
      <c r="O155" s="846"/>
    </row>
    <row r="161" spans="1:10">
      <c r="A161" s="992" t="s">
        <v>262</v>
      </c>
      <c r="B161" s="992"/>
      <c r="C161" s="992"/>
      <c r="D161" s="826" t="s">
        <v>186</v>
      </c>
      <c r="E161" s="840">
        <f>'22'!F161</f>
        <v>40200.47</v>
      </c>
      <c r="F161" s="1016">
        <v>40281.089999999997</v>
      </c>
      <c r="G161" s="841">
        <f t="shared" ref="G161:G164" si="16">F161-E161</f>
        <v>80.619999999995343</v>
      </c>
    </row>
    <row r="162" spans="1:10" ht="21.75" customHeight="1">
      <c r="A162" s="992" t="s">
        <v>263</v>
      </c>
      <c r="B162" s="992"/>
      <c r="C162" s="992"/>
      <c r="D162" s="826" t="s">
        <v>186</v>
      </c>
      <c r="E162" s="840">
        <f>'22'!F162</f>
        <v>104144.94</v>
      </c>
      <c r="F162" s="1016">
        <v>104593.05</v>
      </c>
      <c r="G162" s="841">
        <f t="shared" si="16"/>
        <v>448.11000000000058</v>
      </c>
    </row>
    <row r="163" spans="1:10" ht="21.75" customHeight="1">
      <c r="A163" s="992" t="s">
        <v>264</v>
      </c>
      <c r="B163" s="992"/>
      <c r="C163" s="992"/>
      <c r="D163" s="826" t="s">
        <v>186</v>
      </c>
      <c r="E163" s="840">
        <f>'22'!F163</f>
        <v>49602.1</v>
      </c>
      <c r="F163" s="1016">
        <v>49805.67</v>
      </c>
      <c r="G163" s="841">
        <f t="shared" si="16"/>
        <v>203.56999999999971</v>
      </c>
    </row>
    <row r="164" spans="1:10" ht="21.75" customHeight="1">
      <c r="A164" s="992" t="s">
        <v>265</v>
      </c>
      <c r="B164" s="992"/>
      <c r="C164" s="992"/>
      <c r="D164" s="826" t="s">
        <v>186</v>
      </c>
      <c r="E164" s="840">
        <f>'22'!F164</f>
        <v>6769.2</v>
      </c>
      <c r="F164" s="1016">
        <v>6780.12</v>
      </c>
      <c r="G164" s="841">
        <f t="shared" si="16"/>
        <v>10.920000000000073</v>
      </c>
    </row>
    <row r="165" spans="1:10" ht="21.75" customHeight="1">
      <c r="A165" s="922" t="s">
        <v>97</v>
      </c>
      <c r="B165" s="922"/>
      <c r="C165" s="922"/>
      <c r="D165" s="826" t="s">
        <v>186</v>
      </c>
      <c r="E165" s="923">
        <f>E62</f>
        <v>20419.2</v>
      </c>
      <c r="F165" s="923">
        <f>F62</f>
        <v>20419</v>
      </c>
      <c r="G165" s="841">
        <f t="shared" ref="G165:G172" si="17">F165-E165</f>
        <v>-0.2000000000007276</v>
      </c>
      <c r="J165" s="1074"/>
    </row>
    <row r="166" spans="1:10" ht="21.75" customHeight="1">
      <c r="A166" s="922" t="s">
        <v>187</v>
      </c>
      <c r="B166" s="922"/>
      <c r="C166" s="922"/>
      <c r="D166" s="826" t="s">
        <v>186</v>
      </c>
      <c r="E166" s="923">
        <f t="shared" ref="E166:E172" si="18">E63</f>
        <v>0</v>
      </c>
      <c r="F166" s="923">
        <f t="shared" ref="F166:F172" si="19">F63</f>
        <v>0</v>
      </c>
      <c r="G166" s="841">
        <f t="shared" si="17"/>
        <v>0</v>
      </c>
    </row>
    <row r="167" spans="1:10" ht="21.75" customHeight="1">
      <c r="A167" s="1612" t="s">
        <v>98</v>
      </c>
      <c r="B167" s="1612"/>
      <c r="C167" s="1612"/>
      <c r="D167" s="839" t="s">
        <v>186</v>
      </c>
      <c r="E167" s="923">
        <f t="shared" si="18"/>
        <v>167012.26</v>
      </c>
      <c r="F167" s="923">
        <f t="shared" si="19"/>
        <v>167394.59</v>
      </c>
      <c r="G167" s="841">
        <f t="shared" si="17"/>
        <v>382.32999999998719</v>
      </c>
    </row>
    <row r="168" spans="1:10" ht="21.75" customHeight="1">
      <c r="A168" s="1612" t="s">
        <v>99</v>
      </c>
      <c r="B168" s="1612"/>
      <c r="C168" s="1612"/>
      <c r="D168" s="839" t="s">
        <v>186</v>
      </c>
      <c r="E168" s="923">
        <f t="shared" si="18"/>
        <v>167241.76999999999</v>
      </c>
      <c r="F168" s="923">
        <f t="shared" si="19"/>
        <v>167531.19</v>
      </c>
      <c r="G168" s="841">
        <f t="shared" si="17"/>
        <v>289.42000000001281</v>
      </c>
    </row>
    <row r="169" spans="1:10" ht="21.75" customHeight="1">
      <c r="A169" s="1612" t="s">
        <v>100</v>
      </c>
      <c r="B169" s="1612"/>
      <c r="C169" s="1612"/>
      <c r="D169" s="839" t="s">
        <v>186</v>
      </c>
      <c r="E169" s="923">
        <f t="shared" si="18"/>
        <v>64618.53</v>
      </c>
      <c r="F169" s="923">
        <f t="shared" si="19"/>
        <v>65006.65</v>
      </c>
      <c r="G169" s="841">
        <f t="shared" si="17"/>
        <v>388.12000000000262</v>
      </c>
    </row>
    <row r="170" spans="1:10">
      <c r="A170" s="1612" t="s">
        <v>101</v>
      </c>
      <c r="B170" s="1612"/>
      <c r="C170" s="1612"/>
      <c r="D170" s="839" t="s">
        <v>186</v>
      </c>
      <c r="E170" s="923">
        <f t="shared" si="18"/>
        <v>261392</v>
      </c>
      <c r="F170" s="923">
        <f t="shared" si="19"/>
        <v>261813.67</v>
      </c>
      <c r="G170" s="841">
        <f t="shared" si="17"/>
        <v>421.67000000001281</v>
      </c>
    </row>
    <row r="171" spans="1:10" ht="24" customHeight="1">
      <c r="A171" s="1612" t="s">
        <v>102</v>
      </c>
      <c r="B171" s="1612"/>
      <c r="C171" s="1612"/>
      <c r="D171" s="839" t="s">
        <v>186</v>
      </c>
      <c r="E171" s="923">
        <f t="shared" si="18"/>
        <v>85321</v>
      </c>
      <c r="F171" s="923">
        <f t="shared" si="19"/>
        <v>85321</v>
      </c>
      <c r="G171" s="841">
        <f t="shared" si="17"/>
        <v>0</v>
      </c>
      <c r="J171" s="1075"/>
    </row>
    <row r="172" spans="1:10">
      <c r="A172" s="1612" t="s">
        <v>103</v>
      </c>
      <c r="B172" s="1612"/>
      <c r="C172" s="1612"/>
      <c r="D172" s="839" t="s">
        <v>186</v>
      </c>
      <c r="E172" s="923">
        <f t="shared" si="18"/>
        <v>85602.95</v>
      </c>
      <c r="F172" s="923">
        <f t="shared" si="19"/>
        <v>85863.75</v>
      </c>
      <c r="G172" s="841">
        <f t="shared" si="17"/>
        <v>260.80000000000291</v>
      </c>
    </row>
    <row r="173" spans="1:10">
      <c r="G173" s="1007">
        <f>SUM(G161:G172)</f>
        <v>2485.3600000000133</v>
      </c>
    </row>
    <row r="174" spans="1:10">
      <c r="A174" s="1612" t="s">
        <v>347</v>
      </c>
      <c r="B174" s="1612"/>
      <c r="C174" s="1612"/>
      <c r="D174" s="839" t="s">
        <v>186</v>
      </c>
      <c r="E174" s="840">
        <f>'22'!F174</f>
        <v>28182.46</v>
      </c>
      <c r="F174" s="970">
        <v>28192.77</v>
      </c>
      <c r="G174" s="841">
        <f t="shared" ref="G174:G177" si="20">F174-E174</f>
        <v>10.31000000000131</v>
      </c>
      <c r="J174" s="1076"/>
    </row>
    <row r="175" spans="1:10">
      <c r="A175" s="1613" t="s">
        <v>357</v>
      </c>
      <c r="B175" s="1614"/>
      <c r="C175" s="992"/>
      <c r="D175" s="839" t="s">
        <v>186</v>
      </c>
      <c r="E175" s="840">
        <f>'22'!F175</f>
        <v>18965.8</v>
      </c>
      <c r="F175" s="970">
        <v>18970.8</v>
      </c>
      <c r="G175" s="841">
        <f t="shared" si="20"/>
        <v>5</v>
      </c>
    </row>
    <row r="176" spans="1:10">
      <c r="A176" s="1613" t="s">
        <v>358</v>
      </c>
      <c r="B176" s="1614"/>
      <c r="D176" s="839" t="s">
        <v>186</v>
      </c>
      <c r="E176" s="840">
        <f>'22'!F176</f>
        <v>27595.4</v>
      </c>
      <c r="F176" s="970">
        <v>27599.7</v>
      </c>
      <c r="G176" s="841">
        <f t="shared" si="20"/>
        <v>4.2999999999992724</v>
      </c>
    </row>
    <row r="177" spans="1:7" ht="18.75" customHeight="1">
      <c r="A177" s="1613" t="s">
        <v>357</v>
      </c>
      <c r="B177" s="1614"/>
      <c r="D177" s="839" t="s">
        <v>186</v>
      </c>
      <c r="E177" s="840">
        <f>'22'!F177</f>
        <v>70187.7</v>
      </c>
      <c r="F177" s="970">
        <v>70210</v>
      </c>
      <c r="G177" s="841">
        <f t="shared" si="20"/>
        <v>22.30000000000291</v>
      </c>
    </row>
  </sheetData>
  <mergeCells count="78">
    <mergeCell ref="A172:C172"/>
    <mergeCell ref="A167:C167"/>
    <mergeCell ref="A168:C168"/>
    <mergeCell ref="A169:C169"/>
    <mergeCell ref="A170:C170"/>
    <mergeCell ref="A171:C171"/>
    <mergeCell ref="A119:B119"/>
    <mergeCell ref="A120:B120"/>
    <mergeCell ref="A121:B121"/>
    <mergeCell ref="A122:B122"/>
    <mergeCell ref="A114:B114"/>
    <mergeCell ref="A115:B115"/>
    <mergeCell ref="A116:B116"/>
    <mergeCell ref="A117:B117"/>
    <mergeCell ref="A118:B118"/>
    <mergeCell ref="A109:B109"/>
    <mergeCell ref="A110:B110"/>
    <mergeCell ref="A111:B111"/>
    <mergeCell ref="A112:B112"/>
    <mergeCell ref="A113:B113"/>
    <mergeCell ref="A104:B104"/>
    <mergeCell ref="A105:B105"/>
    <mergeCell ref="A106:B106"/>
    <mergeCell ref="A107:C107"/>
    <mergeCell ref="A108:B108"/>
    <mergeCell ref="A102:C102"/>
    <mergeCell ref="A123:C123"/>
    <mergeCell ref="A142:B142"/>
    <mergeCell ref="A153:C153"/>
    <mergeCell ref="A154:C154"/>
    <mergeCell ref="A126:C126"/>
    <mergeCell ref="A150:C150"/>
    <mergeCell ref="A151:C151"/>
    <mergeCell ref="A152:C152"/>
    <mergeCell ref="A144:C144"/>
    <mergeCell ref="A145:C145"/>
    <mergeCell ref="A146:C146"/>
    <mergeCell ref="A147:C147"/>
    <mergeCell ref="A148:C148"/>
    <mergeCell ref="A143:C143"/>
    <mergeCell ref="A149:C149"/>
    <mergeCell ref="A95:C95"/>
    <mergeCell ref="A96:C96"/>
    <mergeCell ref="A82:C82"/>
    <mergeCell ref="A83:C83"/>
    <mergeCell ref="A93:C93"/>
    <mergeCell ref="A94:C94"/>
    <mergeCell ref="A76:C76"/>
    <mergeCell ref="A77:C77"/>
    <mergeCell ref="A79:C79"/>
    <mergeCell ref="A80:C80"/>
    <mergeCell ref="A81:C81"/>
    <mergeCell ref="A73:C73"/>
    <mergeCell ref="A74:C74"/>
    <mergeCell ref="A75:C75"/>
    <mergeCell ref="A71:J71"/>
    <mergeCell ref="A70:C70"/>
    <mergeCell ref="A66:C66"/>
    <mergeCell ref="A67:C67"/>
    <mergeCell ref="A68:C68"/>
    <mergeCell ref="A69:C69"/>
    <mergeCell ref="A72:C72"/>
    <mergeCell ref="A174:C174"/>
    <mergeCell ref="A176:B176"/>
    <mergeCell ref="A177:B177"/>
    <mergeCell ref="A175:B175"/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</mergeCells>
  <pageMargins left="0.22" right="0.17" top="0.14000000000000001" bottom="0.2" header="0.2" footer="0.2"/>
  <pageSetup paperSize="5" scale="28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77"/>
  <sheetViews>
    <sheetView view="pageBreakPreview" topLeftCell="A160" zoomScale="68" zoomScaleNormal="44" zoomScaleSheetLayoutView="68" workbookViewId="0">
      <selection activeCell="H187" sqref="H187"/>
    </sheetView>
  </sheetViews>
  <sheetFormatPr defaultColWidth="22.33203125" defaultRowHeight="20.25"/>
  <cols>
    <col min="1" max="1" width="51.21875" style="1005" customWidth="1"/>
    <col min="2" max="2" width="24.88671875" style="1005" customWidth="1"/>
    <col min="3" max="3" width="12.44140625" style="1005" customWidth="1"/>
    <col min="4" max="4" width="13.6640625" style="1005" customWidth="1"/>
    <col min="5" max="5" width="28.109375" style="1005" customWidth="1"/>
    <col min="6" max="6" width="23.77734375" style="1005" customWidth="1"/>
    <col min="7" max="7" width="17.88671875" style="1005" customWidth="1"/>
    <col min="8" max="8" width="39.21875" style="1006" customWidth="1"/>
    <col min="9" max="9" width="15.77734375" style="1005" customWidth="1"/>
    <col min="10" max="10" width="24" style="1007" customWidth="1"/>
    <col min="11" max="11" width="43.21875" style="806" hidden="1" customWidth="1"/>
    <col min="12" max="13" width="0" style="806" hidden="1" customWidth="1"/>
    <col min="14" max="14" width="25.109375" style="1008" customWidth="1"/>
    <col min="15" max="15" width="6.77734375" style="806" bestFit="1" customWidth="1"/>
    <col min="16" max="16384" width="22.33203125" style="806"/>
  </cols>
  <sheetData>
    <row r="1" spans="1:15" ht="22.5">
      <c r="A1" s="1615" t="s">
        <v>116</v>
      </c>
      <c r="B1" s="1616"/>
      <c r="C1" s="1616"/>
      <c r="D1" s="1616"/>
      <c r="E1" s="1616"/>
      <c r="F1" s="1616"/>
      <c r="G1" s="1616"/>
      <c r="H1" s="1616"/>
      <c r="I1" s="1616"/>
      <c r="J1" s="1617"/>
    </row>
    <row r="2" spans="1:15">
      <c r="A2" s="807" t="s">
        <v>374</v>
      </c>
      <c r="B2" s="1078">
        <v>44006</v>
      </c>
      <c r="C2" s="808" t="s">
        <v>68</v>
      </c>
      <c r="D2" s="809">
        <v>0.57999999999999996</v>
      </c>
      <c r="E2" s="810"/>
      <c r="F2" s="810"/>
      <c r="G2" s="810" t="s">
        <v>117</v>
      </c>
      <c r="H2" s="810" t="s">
        <v>6</v>
      </c>
      <c r="I2" s="810" t="s">
        <v>8</v>
      </c>
      <c r="J2" s="811" t="s">
        <v>118</v>
      </c>
    </row>
    <row r="3" spans="1:15">
      <c r="A3" s="812"/>
      <c r="B3" s="813"/>
      <c r="C3" s="808" t="s">
        <v>119</v>
      </c>
      <c r="D3" s="814">
        <v>28</v>
      </c>
      <c r="E3" s="1624" t="s">
        <v>120</v>
      </c>
      <c r="F3" s="1625"/>
      <c r="G3" s="815">
        <f>'1'!G3</f>
        <v>0</v>
      </c>
      <c r="H3" s="816">
        <f>'1'!H3</f>
        <v>0</v>
      </c>
      <c r="I3" s="816">
        <f>'1'!I3</f>
        <v>0</v>
      </c>
      <c r="J3" s="817">
        <f>'1'!J3</f>
        <v>0</v>
      </c>
      <c r="K3" s="818"/>
      <c r="L3" s="819"/>
    </row>
    <row r="4" spans="1:15">
      <c r="A4" s="820"/>
      <c r="B4" s="821"/>
      <c r="C4" s="808" t="s">
        <v>121</v>
      </c>
      <c r="D4" s="809">
        <v>0.8</v>
      </c>
      <c r="E4" s="822"/>
      <c r="F4" s="822"/>
      <c r="G4" s="822"/>
      <c r="H4" s="822"/>
      <c r="I4" s="823"/>
      <c r="J4" s="817"/>
      <c r="K4" s="824"/>
      <c r="L4" s="819"/>
    </row>
    <row r="5" spans="1:15">
      <c r="A5" s="825" t="s">
        <v>122</v>
      </c>
      <c r="B5" s="826"/>
      <c r="C5" s="826"/>
      <c r="D5" s="826" t="s">
        <v>123</v>
      </c>
      <c r="E5" s="827" t="s">
        <v>124</v>
      </c>
      <c r="F5" s="827" t="s">
        <v>111</v>
      </c>
      <c r="G5" s="828" t="s">
        <v>125</v>
      </c>
      <c r="H5" s="829" t="s">
        <v>126</v>
      </c>
      <c r="I5" s="830" t="s">
        <v>127</v>
      </c>
      <c r="J5" s="831" t="s">
        <v>128</v>
      </c>
      <c r="K5" s="832"/>
      <c r="L5" s="819"/>
    </row>
    <row r="6" spans="1:15">
      <c r="A6" s="1618" t="s">
        <v>129</v>
      </c>
      <c r="B6" s="1619"/>
      <c r="C6" s="1620"/>
      <c r="D6" s="833"/>
      <c r="E6" s="833"/>
      <c r="F6" s="833"/>
      <c r="G6" s="833"/>
      <c r="H6" s="834"/>
      <c r="I6" s="834"/>
      <c r="J6" s="835"/>
      <c r="K6" s="836"/>
      <c r="L6" s="819"/>
    </row>
    <row r="7" spans="1:15" ht="21" thickBot="1">
      <c r="A7" s="837" t="s">
        <v>130</v>
      </c>
      <c r="B7" s="838"/>
      <c r="C7" s="838"/>
      <c r="D7" s="839" t="s">
        <v>131</v>
      </c>
      <c r="E7" s="840">
        <f>'23'!F7</f>
        <v>776437.67</v>
      </c>
      <c r="F7" s="840">
        <v>798549</v>
      </c>
      <c r="G7" s="841">
        <f>F7-E7</f>
        <v>22111.329999999958</v>
      </c>
      <c r="H7" s="842">
        <f>G7+'23'!H7</f>
        <v>454137</v>
      </c>
      <c r="I7" s="843">
        <f>'1'!I7</f>
        <v>12000</v>
      </c>
      <c r="J7" s="844">
        <f>H7/DAY(B2)</f>
        <v>18922.375</v>
      </c>
      <c r="K7" s="845"/>
      <c r="L7" s="819"/>
      <c r="O7" s="846"/>
    </row>
    <row r="8" spans="1:15" ht="21" thickBot="1">
      <c r="A8" s="847" t="s">
        <v>132</v>
      </c>
      <c r="B8" s="848"/>
      <c r="C8" s="849"/>
      <c r="D8" s="850" t="s">
        <v>25</v>
      </c>
      <c r="E8" s="840">
        <f>'23'!F8</f>
        <v>780476.87</v>
      </c>
      <c r="F8" s="851">
        <v>802674</v>
      </c>
      <c r="G8" s="852">
        <f>F8-E8</f>
        <v>22197.130000000005</v>
      </c>
      <c r="H8" s="842">
        <f>G8+'23'!H8</f>
        <v>456164</v>
      </c>
      <c r="I8" s="853">
        <f>'1'!I8</f>
        <v>12000</v>
      </c>
      <c r="J8" s="844">
        <f>H8/DAY(B2)</f>
        <v>19006.833333333332</v>
      </c>
      <c r="K8" s="845"/>
      <c r="L8" s="854"/>
      <c r="M8" s="855"/>
      <c r="O8" s="846"/>
    </row>
    <row r="9" spans="1:15">
      <c r="A9" s="856" t="s">
        <v>133</v>
      </c>
      <c r="B9" s="857"/>
      <c r="C9" s="857"/>
      <c r="D9" s="839" t="s">
        <v>131</v>
      </c>
      <c r="E9" s="840">
        <f>'23'!F9</f>
        <v>1892007.7</v>
      </c>
      <c r="F9" s="858">
        <v>1913408</v>
      </c>
      <c r="G9" s="841">
        <f t="shared" ref="G9:G12" si="0">F9-E9</f>
        <v>21400.300000000047</v>
      </c>
      <c r="H9" s="842">
        <f>G9+'23'!H9</f>
        <v>439718</v>
      </c>
      <c r="I9" s="859">
        <f>I8-J8</f>
        <v>-7006.8333333333321</v>
      </c>
      <c r="J9" s="844">
        <f>H9/DAY(B2)</f>
        <v>18321.583333333332</v>
      </c>
      <c r="K9" s="860"/>
      <c r="L9" s="819"/>
      <c r="O9" s="846"/>
    </row>
    <row r="10" spans="1:15">
      <c r="A10" s="837" t="s">
        <v>134</v>
      </c>
      <c r="B10" s="838"/>
      <c r="C10" s="838"/>
      <c r="D10" s="839" t="s">
        <v>131</v>
      </c>
      <c r="E10" s="840">
        <f>'23'!F10</f>
        <v>0</v>
      </c>
      <c r="F10" s="858">
        <v>0</v>
      </c>
      <c r="G10" s="841">
        <f t="shared" si="0"/>
        <v>0</v>
      </c>
      <c r="H10" s="842">
        <f>G10+'23'!H10</f>
        <v>0.71999999999979991</v>
      </c>
      <c r="I10" s="861"/>
      <c r="J10" s="844">
        <f>H10/DAY(B2)</f>
        <v>2.9999999999991662E-2</v>
      </c>
      <c r="K10" s="860"/>
      <c r="L10" s="819"/>
      <c r="M10" s="806" t="s">
        <v>276</v>
      </c>
      <c r="O10" s="846"/>
    </row>
    <row r="11" spans="1:15">
      <c r="A11" s="837" t="s">
        <v>135</v>
      </c>
      <c r="B11" s="838"/>
      <c r="C11" s="838"/>
      <c r="D11" s="839" t="s">
        <v>131</v>
      </c>
      <c r="E11" s="840">
        <f>'5'!E11</f>
        <v>37000</v>
      </c>
      <c r="F11" s="840">
        <v>37000</v>
      </c>
      <c r="G11" s="841">
        <f t="shared" si="0"/>
        <v>0</v>
      </c>
      <c r="H11" s="842">
        <f>G11+'23'!H11</f>
        <v>0</v>
      </c>
      <c r="I11" s="861"/>
      <c r="J11" s="844">
        <f>H11/DAY(B2)</f>
        <v>0</v>
      </c>
      <c r="K11" s="860"/>
      <c r="L11" s="819"/>
      <c r="O11" s="846"/>
    </row>
    <row r="12" spans="1:15">
      <c r="A12" s="837" t="s">
        <v>136</v>
      </c>
      <c r="B12" s="838"/>
      <c r="C12" s="838"/>
      <c r="D12" s="839" t="s">
        <v>131</v>
      </c>
      <c r="E12" s="840">
        <f>'5'!E12</f>
        <v>40010</v>
      </c>
      <c r="F12" s="858">
        <v>40010</v>
      </c>
      <c r="G12" s="841">
        <f t="shared" si="0"/>
        <v>0</v>
      </c>
      <c r="H12" s="842">
        <f>G12+'23'!H12</f>
        <v>0</v>
      </c>
      <c r="I12" s="861"/>
      <c r="J12" s="844">
        <f>H12/DAY(B2)</f>
        <v>0</v>
      </c>
      <c r="K12" s="860"/>
      <c r="L12" s="819"/>
      <c r="O12" s="846"/>
    </row>
    <row r="13" spans="1:15">
      <c r="A13" s="862" t="s">
        <v>137</v>
      </c>
      <c r="B13" s="863"/>
      <c r="C13" s="863"/>
      <c r="D13" s="839"/>
      <c r="E13" s="840"/>
      <c r="F13" s="840"/>
      <c r="G13" s="864">
        <f>G9+G10+G11+G12</f>
        <v>21400.300000000047</v>
      </c>
      <c r="H13" s="842">
        <f>G13+'23'!H13</f>
        <v>423193.72</v>
      </c>
      <c r="I13" s="865">
        <f>G7-G13</f>
        <v>711.02999999991152</v>
      </c>
      <c r="J13" s="844">
        <f>H13/DAY(B2)</f>
        <v>17633.071666666667</v>
      </c>
      <c r="K13" s="860"/>
      <c r="L13" s="819"/>
      <c r="O13" s="846"/>
    </row>
    <row r="14" spans="1:15">
      <c r="A14" s="1621" t="s">
        <v>138</v>
      </c>
      <c r="B14" s="1622"/>
      <c r="C14" s="1623"/>
      <c r="D14" s="834"/>
      <c r="E14" s="834"/>
      <c r="F14" s="834"/>
      <c r="G14" s="866"/>
      <c r="H14" s="834"/>
      <c r="I14" s="834"/>
      <c r="J14" s="835"/>
      <c r="K14" s="867"/>
      <c r="L14" s="819"/>
      <c r="O14" s="846"/>
    </row>
    <row r="15" spans="1:15">
      <c r="A15" s="868" t="s">
        <v>139</v>
      </c>
      <c r="B15" s="869"/>
      <c r="C15" s="869"/>
      <c r="D15" s="839" t="s">
        <v>140</v>
      </c>
      <c r="E15" s="840">
        <f>'23'!F15</f>
        <v>1698273.35</v>
      </c>
      <c r="F15" s="870">
        <v>1699218</v>
      </c>
      <c r="G15" s="1017">
        <f>(F15-E15)</f>
        <v>944.64999999990687</v>
      </c>
      <c r="H15" s="842">
        <f>G15+'23'!H15</f>
        <v>14694</v>
      </c>
      <c r="I15" s="843">
        <f>'1'!I15</f>
        <v>800</v>
      </c>
      <c r="J15" s="844">
        <f>H15/DAY(B2)</f>
        <v>612.25</v>
      </c>
      <c r="K15" s="860"/>
      <c r="L15" s="819"/>
      <c r="O15" s="846"/>
    </row>
    <row r="16" spans="1:15">
      <c r="A16" s="871"/>
      <c r="B16" s="872"/>
      <c r="C16" s="872"/>
      <c r="D16" s="873"/>
      <c r="E16" s="874"/>
      <c r="F16" s="874"/>
      <c r="G16" s="841"/>
      <c r="H16" s="875"/>
      <c r="I16" s="876">
        <f>I15-J15</f>
        <v>187.75</v>
      </c>
      <c r="J16" s="877"/>
      <c r="K16" s="860"/>
      <c r="L16" s="819"/>
      <c r="N16" s="1010"/>
      <c r="O16" s="846"/>
    </row>
    <row r="17" spans="1:15">
      <c r="A17" s="1621" t="s">
        <v>141</v>
      </c>
      <c r="B17" s="1622"/>
      <c r="C17" s="1623"/>
      <c r="D17" s="834"/>
      <c r="E17" s="834"/>
      <c r="F17" s="834"/>
      <c r="G17" s="878"/>
      <c r="H17" s="834">
        <f>G17+'22'!H17</f>
        <v>0</v>
      </c>
      <c r="I17" s="834"/>
      <c r="J17" s="835"/>
      <c r="K17" s="860"/>
      <c r="L17" s="819"/>
      <c r="O17" s="846"/>
    </row>
    <row r="18" spans="1:15">
      <c r="A18" s="1626" t="s">
        <v>142</v>
      </c>
      <c r="B18" s="1627"/>
      <c r="C18" s="1628"/>
      <c r="D18" s="839" t="s">
        <v>143</v>
      </c>
      <c r="E18" s="840">
        <f>'23'!F18</f>
        <v>4</v>
      </c>
      <c r="F18" s="870">
        <v>10</v>
      </c>
      <c r="G18" s="864">
        <f>F18*10</f>
        <v>100</v>
      </c>
      <c r="H18" s="842">
        <f>G18+'23'!H18</f>
        <v>1830</v>
      </c>
      <c r="I18" s="843">
        <f>'1'!I18</f>
        <v>65</v>
      </c>
      <c r="J18" s="844">
        <f>H18/DAY(B2)</f>
        <v>76.25</v>
      </c>
      <c r="K18" s="860"/>
      <c r="L18" s="819"/>
      <c r="O18" s="846"/>
    </row>
    <row r="19" spans="1:15">
      <c r="A19" s="1626" t="s">
        <v>70</v>
      </c>
      <c r="B19" s="1627"/>
      <c r="C19" s="1628"/>
      <c r="D19" s="839" t="s">
        <v>143</v>
      </c>
      <c r="E19" s="840">
        <f>'23'!F19</f>
        <v>141054</v>
      </c>
      <c r="F19" s="870">
        <v>141118</v>
      </c>
      <c r="G19" s="841">
        <f t="shared" ref="G19" si="1">F19-E19</f>
        <v>64</v>
      </c>
      <c r="H19" s="842">
        <f>G19+'23'!H19</f>
        <v>1506</v>
      </c>
      <c r="I19" s="879"/>
      <c r="J19" s="844">
        <f>H19/DAY(B2)</f>
        <v>62.75</v>
      </c>
      <c r="K19" s="860"/>
      <c r="L19" s="819"/>
      <c r="O19" s="846"/>
    </row>
    <row r="20" spans="1:15">
      <c r="A20" s="862" t="s">
        <v>144</v>
      </c>
      <c r="B20" s="863"/>
      <c r="C20" s="863"/>
      <c r="D20" s="880"/>
      <c r="E20" s="880"/>
      <c r="F20" s="880"/>
      <c r="G20" s="841">
        <f>SUM(G18:G19)</f>
        <v>164</v>
      </c>
      <c r="H20" s="842">
        <f>G20+'23'!H20</f>
        <v>3336</v>
      </c>
      <c r="I20" s="882">
        <f>I18-J20</f>
        <v>-74</v>
      </c>
      <c r="J20" s="844">
        <f>H20/DAY(B2)</f>
        <v>139</v>
      </c>
      <c r="K20" s="860"/>
      <c r="L20" s="819"/>
      <c r="O20" s="846"/>
    </row>
    <row r="21" spans="1:15">
      <c r="A21" s="1621" t="s">
        <v>145</v>
      </c>
      <c r="B21" s="1622"/>
      <c r="C21" s="1623"/>
      <c r="D21" s="834"/>
      <c r="E21" s="834"/>
      <c r="F21" s="834"/>
      <c r="G21" s="866"/>
      <c r="H21" s="834"/>
      <c r="I21" s="834"/>
      <c r="J21" s="835"/>
      <c r="K21" s="860"/>
      <c r="L21" s="819"/>
      <c r="O21" s="846"/>
    </row>
    <row r="22" spans="1:15">
      <c r="A22" s="868" t="s">
        <v>146</v>
      </c>
      <c r="B22" s="869"/>
      <c r="C22" s="869"/>
      <c r="D22" s="839" t="s">
        <v>147</v>
      </c>
      <c r="E22" s="870">
        <f>'23'!F22</f>
        <v>2970</v>
      </c>
      <c r="F22" s="870">
        <v>2970</v>
      </c>
      <c r="G22" s="864">
        <f t="shared" ref="G22:G23" si="2">(F22-E22)</f>
        <v>0</v>
      </c>
      <c r="H22" s="842">
        <f>G22+'23'!H22</f>
        <v>0</v>
      </c>
      <c r="I22" s="861"/>
      <c r="J22" s="844">
        <f>H22/DAY(B2)</f>
        <v>0</v>
      </c>
      <c r="K22" s="860"/>
      <c r="L22" s="819"/>
      <c r="O22" s="846"/>
    </row>
    <row r="23" spans="1:15">
      <c r="A23" s="868" t="s">
        <v>148</v>
      </c>
      <c r="B23" s="869"/>
      <c r="C23" s="869"/>
      <c r="D23" s="839" t="s">
        <v>147</v>
      </c>
      <c r="E23" s="870">
        <f>'23'!F23</f>
        <v>2000</v>
      </c>
      <c r="F23" s="870">
        <v>2000</v>
      </c>
      <c r="G23" s="864">
        <f t="shared" si="2"/>
        <v>0</v>
      </c>
      <c r="H23" s="842">
        <f>G23+'23'!H23</f>
        <v>0</v>
      </c>
      <c r="I23" s="861"/>
      <c r="J23" s="844">
        <f>H23/DAY(B2)</f>
        <v>0</v>
      </c>
      <c r="K23" s="860"/>
      <c r="L23" s="819"/>
      <c r="O23" s="846"/>
    </row>
    <row r="24" spans="1:15">
      <c r="A24" s="883" t="s">
        <v>149</v>
      </c>
      <c r="B24" s="884"/>
      <c r="C24" s="884"/>
      <c r="D24" s="826" t="s">
        <v>147</v>
      </c>
      <c r="E24" s="870">
        <f>'23'!F24</f>
        <v>4970</v>
      </c>
      <c r="F24" s="885">
        <v>4970</v>
      </c>
      <c r="G24" s="864">
        <f>SUM(G22:G23)</f>
        <v>0</v>
      </c>
      <c r="H24" s="842">
        <f>G24+'23'!H24</f>
        <v>0</v>
      </c>
      <c r="I24" s="861"/>
      <c r="J24" s="844">
        <f>H24/DAY(B2)</f>
        <v>0</v>
      </c>
      <c r="K24" s="860"/>
      <c r="L24" s="819"/>
      <c r="O24" s="846"/>
    </row>
    <row r="25" spans="1:15" s="891" customFormat="1">
      <c r="A25" s="1618" t="s">
        <v>150</v>
      </c>
      <c r="B25" s="1619"/>
      <c r="C25" s="1620"/>
      <c r="D25" s="833"/>
      <c r="E25" s="833"/>
      <c r="F25" s="833"/>
      <c r="G25" s="886"/>
      <c r="H25" s="887"/>
      <c r="I25" s="888"/>
      <c r="J25" s="889"/>
      <c r="K25" s="860"/>
      <c r="L25" s="890"/>
      <c r="N25" s="1009"/>
      <c r="O25" s="846"/>
    </row>
    <row r="26" spans="1:15" s="891" customFormat="1">
      <c r="A26" s="892" t="s">
        <v>151</v>
      </c>
      <c r="B26" s="893"/>
      <c r="C26" s="894"/>
      <c r="D26" s="895" t="s">
        <v>152</v>
      </c>
      <c r="E26" s="896"/>
      <c r="F26" s="896"/>
      <c r="G26" s="897"/>
      <c r="H26" s="842"/>
      <c r="I26" s="898"/>
      <c r="J26" s="844"/>
      <c r="K26" s="867"/>
      <c r="L26" s="890"/>
      <c r="N26" s="1009"/>
      <c r="O26" s="846"/>
    </row>
    <row r="27" spans="1:15" s="891" customFormat="1" ht="22.5">
      <c r="A27" s="892" t="s">
        <v>6</v>
      </c>
      <c r="B27" s="893"/>
      <c r="C27" s="894"/>
      <c r="D27" s="899" t="s">
        <v>25</v>
      </c>
      <c r="E27" s="900">
        <f>G8</f>
        <v>22197.130000000005</v>
      </c>
      <c r="F27" s="501">
        <v>9</v>
      </c>
      <c r="G27" s="902">
        <f>E27*F27</f>
        <v>199774.17000000004</v>
      </c>
      <c r="H27" s="842">
        <f>G27+'23'!H27</f>
        <v>4104639</v>
      </c>
      <c r="I27" s="903"/>
      <c r="J27" s="844">
        <f>H27/DAY(B2)</f>
        <v>171026.625</v>
      </c>
      <c r="K27" s="860"/>
      <c r="L27" s="890"/>
      <c r="N27" s="1009"/>
      <c r="O27" s="846"/>
    </row>
    <row r="28" spans="1:15" s="891" customFormat="1" ht="22.5">
      <c r="A28" s="892" t="s">
        <v>153</v>
      </c>
      <c r="B28" s="893"/>
      <c r="C28" s="894"/>
      <c r="D28" s="899" t="s">
        <v>154</v>
      </c>
      <c r="E28" s="900">
        <f>G15</f>
        <v>944.64999999990687</v>
      </c>
      <c r="F28" s="501">
        <v>52</v>
      </c>
      <c r="G28" s="902">
        <f t="shared" ref="G28:G31" si="3">E28*F28</f>
        <v>49121.799999995157</v>
      </c>
      <c r="H28" s="842">
        <f>G28+'23'!H28</f>
        <v>764088</v>
      </c>
      <c r="I28" s="904"/>
      <c r="J28" s="844">
        <f>H28/DAY(B2)</f>
        <v>31837</v>
      </c>
      <c r="K28" s="860"/>
      <c r="L28" s="890"/>
      <c r="N28" s="1009"/>
      <c r="O28" s="846"/>
    </row>
    <row r="29" spans="1:15" s="891" customFormat="1">
      <c r="A29" s="892" t="s">
        <v>155</v>
      </c>
      <c r="B29" s="893"/>
      <c r="C29" s="894"/>
      <c r="D29" s="899" t="s">
        <v>156</v>
      </c>
      <c r="E29" s="900">
        <f>G24</f>
        <v>0</v>
      </c>
      <c r="F29" s="901">
        <v>69</v>
      </c>
      <c r="G29" s="902">
        <f t="shared" si="3"/>
        <v>0</v>
      </c>
      <c r="H29" s="842">
        <f>G29+'23'!H29</f>
        <v>8280</v>
      </c>
      <c r="I29" s="904"/>
      <c r="J29" s="844">
        <f>H29/DAY(B2)</f>
        <v>345</v>
      </c>
      <c r="K29" s="860"/>
      <c r="L29" s="890"/>
      <c r="N29" s="1009"/>
      <c r="O29" s="846"/>
    </row>
    <row r="30" spans="1:15" s="891" customFormat="1">
      <c r="A30" s="892" t="s">
        <v>157</v>
      </c>
      <c r="B30" s="893"/>
      <c r="C30" s="894"/>
      <c r="D30" s="899" t="s">
        <v>158</v>
      </c>
      <c r="E30" s="900">
        <f>G19</f>
        <v>64</v>
      </c>
      <c r="F30" s="901">
        <v>146</v>
      </c>
      <c r="G30" s="902">
        <f t="shared" si="3"/>
        <v>9344</v>
      </c>
      <c r="H30" s="842">
        <f>G30+'23'!H30</f>
        <v>219876</v>
      </c>
      <c r="I30" s="904"/>
      <c r="J30" s="844">
        <f>H30/DAY(B2)</f>
        <v>9161.5</v>
      </c>
      <c r="K30" s="860"/>
      <c r="L30" s="890"/>
      <c r="N30" s="1009"/>
      <c r="O30" s="846"/>
    </row>
    <row r="31" spans="1:15" s="891" customFormat="1">
      <c r="A31" s="892" t="s">
        <v>159</v>
      </c>
      <c r="B31" s="893"/>
      <c r="C31" s="894"/>
      <c r="D31" s="899" t="s">
        <v>143</v>
      </c>
      <c r="E31" s="900">
        <f>G18</f>
        <v>100</v>
      </c>
      <c r="F31" s="901">
        <v>80</v>
      </c>
      <c r="G31" s="902">
        <f t="shared" si="3"/>
        <v>8000</v>
      </c>
      <c r="H31" s="842">
        <f>G31+'23'!H31</f>
        <v>146400</v>
      </c>
      <c r="I31" s="904"/>
      <c r="J31" s="844"/>
      <c r="K31" s="860"/>
      <c r="L31" s="890"/>
      <c r="N31" s="1009"/>
      <c r="O31" s="846"/>
    </row>
    <row r="32" spans="1:15" s="891" customFormat="1">
      <c r="A32" s="905" t="s">
        <v>160</v>
      </c>
      <c r="B32" s="906"/>
      <c r="C32" s="907"/>
      <c r="D32" s="908"/>
      <c r="E32" s="908"/>
      <c r="F32" s="908"/>
      <c r="G32" s="909">
        <f>G27+G28+G29+G30+G31</f>
        <v>266239.9699999952</v>
      </c>
      <c r="H32" s="842">
        <f>G32+'23'!H32</f>
        <v>5243283</v>
      </c>
      <c r="I32" s="910"/>
      <c r="J32" s="844">
        <f>H32/DAY(B2)</f>
        <v>218470.125</v>
      </c>
      <c r="K32" s="860"/>
      <c r="L32" s="890"/>
      <c r="N32" s="1009"/>
      <c r="O32" s="846"/>
    </row>
    <row r="33" spans="1:15" ht="18.75">
      <c r="A33" s="1629" t="s">
        <v>161</v>
      </c>
      <c r="B33" s="1630"/>
      <c r="C33" s="1630"/>
      <c r="D33" s="1630"/>
      <c r="E33" s="1630"/>
      <c r="F33" s="1630"/>
      <c r="G33" s="1630"/>
      <c r="H33" s="1630"/>
      <c r="I33" s="1630"/>
      <c r="J33" s="1631"/>
      <c r="K33" s="860"/>
      <c r="L33" s="819"/>
      <c r="O33" s="846"/>
    </row>
    <row r="34" spans="1:15">
      <c r="A34" s="911" t="s">
        <v>162</v>
      </c>
      <c r="B34" s="912"/>
      <c r="C34" s="912"/>
      <c r="D34" s="834"/>
      <c r="E34" s="833"/>
      <c r="F34" s="833"/>
      <c r="G34" s="834"/>
      <c r="H34" s="834"/>
      <c r="I34" s="834"/>
      <c r="J34" s="835"/>
      <c r="K34" s="860"/>
      <c r="L34" s="819"/>
      <c r="O34" s="846"/>
    </row>
    <row r="35" spans="1:15">
      <c r="A35" s="837" t="s">
        <v>163</v>
      </c>
      <c r="B35" s="838"/>
      <c r="C35" s="838"/>
      <c r="D35" s="839" t="s">
        <v>131</v>
      </c>
      <c r="E35" s="840">
        <f>'23'!F35</f>
        <v>1008757.5</v>
      </c>
      <c r="F35" s="913">
        <v>1011558</v>
      </c>
      <c r="G35" s="841">
        <f t="shared" ref="G35:G46" si="4">F35-E35</f>
        <v>2800.5</v>
      </c>
      <c r="H35" s="842">
        <f>G35+'23'!H35</f>
        <v>61070</v>
      </c>
      <c r="I35" s="840"/>
      <c r="J35" s="844">
        <f>H35/DAY(B2)</f>
        <v>2544.5833333333335</v>
      </c>
      <c r="K35" s="860"/>
      <c r="L35" s="819"/>
      <c r="O35" s="846"/>
    </row>
    <row r="36" spans="1:15">
      <c r="A36" s="837" t="s">
        <v>164</v>
      </c>
      <c r="B36" s="838"/>
      <c r="C36" s="838"/>
      <c r="D36" s="839" t="s">
        <v>131</v>
      </c>
      <c r="E36" s="840">
        <f>'23'!F36</f>
        <v>15227.98</v>
      </c>
      <c r="F36" s="913">
        <v>16401</v>
      </c>
      <c r="G36" s="841">
        <f t="shared" si="4"/>
        <v>1173.0200000000004</v>
      </c>
      <c r="H36" s="842">
        <f>G36+'23'!H36</f>
        <v>16228</v>
      </c>
      <c r="I36" s="840"/>
      <c r="J36" s="844">
        <f>H36/DAY(B2)</f>
        <v>676.16666666666663</v>
      </c>
      <c r="K36" s="860"/>
      <c r="L36" s="819"/>
      <c r="O36" s="846"/>
    </row>
    <row r="37" spans="1:15">
      <c r="A37" s="837" t="s">
        <v>165</v>
      </c>
      <c r="B37" s="838"/>
      <c r="C37" s="838"/>
      <c r="D37" s="839" t="s">
        <v>131</v>
      </c>
      <c r="E37" s="840">
        <f>'23'!F37</f>
        <v>166269.59</v>
      </c>
      <c r="F37" s="913">
        <v>167756</v>
      </c>
      <c r="G37" s="841">
        <f t="shared" si="4"/>
        <v>1486.4100000000035</v>
      </c>
      <c r="H37" s="842">
        <f>G37+'23'!H37</f>
        <v>33520</v>
      </c>
      <c r="I37" s="840"/>
      <c r="J37" s="844">
        <f>H37/DAY(B2)</f>
        <v>1396.6666666666667</v>
      </c>
      <c r="K37" s="860"/>
      <c r="L37" s="819"/>
      <c r="O37" s="846"/>
    </row>
    <row r="38" spans="1:15">
      <c r="A38" s="837" t="s">
        <v>166</v>
      </c>
      <c r="B38" s="838"/>
      <c r="C38" s="838"/>
      <c r="D38" s="839" t="s">
        <v>131</v>
      </c>
      <c r="E38" s="840">
        <f>'23'!F38</f>
        <v>187269.97</v>
      </c>
      <c r="F38" s="829">
        <v>188798</v>
      </c>
      <c r="G38" s="841">
        <f t="shared" si="4"/>
        <v>1528.0299999999988</v>
      </c>
      <c r="H38" s="842">
        <f>G38+'23'!H38</f>
        <v>32393</v>
      </c>
      <c r="I38" s="840"/>
      <c r="J38" s="844">
        <f>H38/DAY(B2)</f>
        <v>1349.7083333333333</v>
      </c>
      <c r="K38" s="860"/>
      <c r="L38" s="819"/>
      <c r="O38" s="846"/>
    </row>
    <row r="39" spans="1:15">
      <c r="A39" s="837" t="s">
        <v>167</v>
      </c>
      <c r="B39" s="838"/>
      <c r="C39" s="838"/>
      <c r="D39" s="839" t="s">
        <v>131</v>
      </c>
      <c r="E39" s="840">
        <f>'23'!F39</f>
        <v>379312.95</v>
      </c>
      <c r="F39" s="913">
        <v>382827</v>
      </c>
      <c r="G39" s="841">
        <f t="shared" si="4"/>
        <v>3514.0499999999884</v>
      </c>
      <c r="H39" s="842">
        <f>G39+'23'!H39</f>
        <v>74654</v>
      </c>
      <c r="I39" s="840"/>
      <c r="J39" s="844">
        <f>H39/DAY(B2)</f>
        <v>3110.5833333333335</v>
      </c>
      <c r="K39" s="860"/>
      <c r="L39" s="819"/>
      <c r="N39" s="1008">
        <f>20*38.64</f>
        <v>772.8</v>
      </c>
      <c r="O39" s="846"/>
    </row>
    <row r="40" spans="1:15">
      <c r="A40" s="914" t="s">
        <v>168</v>
      </c>
      <c r="B40" s="915"/>
      <c r="C40" s="915"/>
      <c r="D40" s="839" t="s">
        <v>131</v>
      </c>
      <c r="E40" s="840">
        <f>'23'!F40</f>
        <v>4932.5</v>
      </c>
      <c r="F40" s="913">
        <v>5453</v>
      </c>
      <c r="G40" s="841">
        <f t="shared" si="4"/>
        <v>520.5</v>
      </c>
      <c r="H40" s="842">
        <f>G40+'23'!H40</f>
        <v>4564</v>
      </c>
      <c r="I40" s="840"/>
      <c r="J40" s="844">
        <f>H40/DAY(B2)</f>
        <v>190.16666666666666</v>
      </c>
      <c r="K40" s="867"/>
      <c r="L40" s="819"/>
      <c r="O40" s="846"/>
    </row>
    <row r="41" spans="1:15">
      <c r="A41" s="837" t="s">
        <v>169</v>
      </c>
      <c r="B41" s="838"/>
      <c r="C41" s="838"/>
      <c r="D41" s="839" t="s">
        <v>131</v>
      </c>
      <c r="E41" s="840">
        <f>'23'!F41</f>
        <v>309426.43</v>
      </c>
      <c r="F41" s="913">
        <v>310992</v>
      </c>
      <c r="G41" s="841">
        <f t="shared" si="4"/>
        <v>1565.570000000007</v>
      </c>
      <c r="H41" s="842">
        <f>G41+'23'!H41</f>
        <v>70514</v>
      </c>
      <c r="I41" s="840"/>
      <c r="J41" s="844">
        <f>H41/DAY(B2)</f>
        <v>2938.0833333333335</v>
      </c>
      <c r="K41" s="860"/>
      <c r="L41" s="819"/>
      <c r="O41" s="846"/>
    </row>
    <row r="42" spans="1:15">
      <c r="A42" s="837" t="s">
        <v>170</v>
      </c>
      <c r="B42" s="838"/>
      <c r="C42" s="838"/>
      <c r="D42" s="839" t="s">
        <v>131</v>
      </c>
      <c r="E42" s="840">
        <f>'23'!F42</f>
        <v>59210.080000000002</v>
      </c>
      <c r="F42" s="913">
        <v>59210</v>
      </c>
      <c r="G42" s="841">
        <f t="shared" si="4"/>
        <v>-8.000000000174623E-2</v>
      </c>
      <c r="H42" s="842">
        <f>G42+'23'!H42</f>
        <v>11.029999999998836</v>
      </c>
      <c r="I42" s="840"/>
      <c r="J42" s="844">
        <f>H42/DAY(B2)</f>
        <v>0.45958333333328483</v>
      </c>
      <c r="K42" s="860"/>
      <c r="L42" s="819"/>
      <c r="O42" s="846"/>
    </row>
    <row r="43" spans="1:15">
      <c r="A43" s="837" t="s">
        <v>171</v>
      </c>
      <c r="B43" s="838"/>
      <c r="C43" s="838"/>
      <c r="D43" s="839" t="s">
        <v>131</v>
      </c>
      <c r="E43" s="840">
        <f>'23'!F43</f>
        <v>1100983.7</v>
      </c>
      <c r="F43" s="913">
        <v>1103903</v>
      </c>
      <c r="G43" s="841">
        <f t="shared" si="4"/>
        <v>2919.3000000000466</v>
      </c>
      <c r="H43" s="842">
        <f>G43+'23'!H43</f>
        <v>61659</v>
      </c>
      <c r="I43" s="840"/>
      <c r="J43" s="844">
        <f>H43/DAY(B2)</f>
        <v>2569.125</v>
      </c>
      <c r="K43" s="860"/>
      <c r="L43" s="819"/>
      <c r="O43" s="846"/>
    </row>
    <row r="44" spans="1:15">
      <c r="A44" s="837" t="s">
        <v>172</v>
      </c>
      <c r="B44" s="838"/>
      <c r="C44" s="838"/>
      <c r="D44" s="839" t="s">
        <v>131</v>
      </c>
      <c r="E44" s="840">
        <f>'23'!F44</f>
        <v>0</v>
      </c>
      <c r="F44" s="913">
        <v>0</v>
      </c>
      <c r="G44" s="841">
        <f t="shared" si="4"/>
        <v>0</v>
      </c>
      <c r="H44" s="842">
        <f>G44+'23'!H44</f>
        <v>0</v>
      </c>
      <c r="I44" s="840"/>
      <c r="J44" s="844">
        <f>H44/DAY(B2)</f>
        <v>0</v>
      </c>
      <c r="K44" s="860"/>
      <c r="L44" s="819"/>
      <c r="O44" s="846"/>
    </row>
    <row r="45" spans="1:15">
      <c r="A45" s="837" t="s">
        <v>173</v>
      </c>
      <c r="B45" s="838"/>
      <c r="C45" s="838"/>
      <c r="D45" s="839" t="s">
        <v>131</v>
      </c>
      <c r="E45" s="840">
        <f>'23'!F45</f>
        <v>0</v>
      </c>
      <c r="F45" s="913">
        <v>0</v>
      </c>
      <c r="G45" s="841">
        <f t="shared" si="4"/>
        <v>0</v>
      </c>
      <c r="H45" s="842">
        <f>G45+'23'!H45</f>
        <v>0</v>
      </c>
      <c r="I45" s="840"/>
      <c r="J45" s="844">
        <f>H45/DAY(B2)</f>
        <v>0</v>
      </c>
      <c r="K45" s="860"/>
      <c r="L45" s="819"/>
      <c r="O45" s="846"/>
    </row>
    <row r="46" spans="1:15">
      <c r="A46" s="837" t="s">
        <v>174</v>
      </c>
      <c r="B46" s="838"/>
      <c r="C46" s="838"/>
      <c r="D46" s="839" t="s">
        <v>131</v>
      </c>
      <c r="E46" s="840">
        <f>'23'!F46</f>
        <v>0</v>
      </c>
      <c r="F46" s="913">
        <v>0</v>
      </c>
      <c r="G46" s="841">
        <f t="shared" si="4"/>
        <v>0</v>
      </c>
      <c r="H46" s="842">
        <f>G46+'23'!H46</f>
        <v>-5.0000000000011369E-2</v>
      </c>
      <c r="I46" s="840"/>
      <c r="J46" s="844">
        <f>H46/DAY(B2)</f>
        <v>-2.0833333333338069E-3</v>
      </c>
      <c r="K46" s="860"/>
      <c r="L46" s="819"/>
      <c r="O46" s="846"/>
    </row>
    <row r="47" spans="1:15">
      <c r="A47" s="862" t="s">
        <v>175</v>
      </c>
      <c r="B47" s="863"/>
      <c r="C47" s="863"/>
      <c r="D47" s="830"/>
      <c r="E47" s="826"/>
      <c r="F47" s="826"/>
      <c r="G47" s="864">
        <f>G35+G36+G37+G38+G39+G40+G41+G42+G43+G44+G45+G46</f>
        <v>15507.300000000043</v>
      </c>
      <c r="H47" s="842">
        <f>G47+'23'!H47</f>
        <v>354613.47</v>
      </c>
      <c r="I47" s="840"/>
      <c r="J47" s="844">
        <f>H47/DAY(B2)</f>
        <v>14775.561249999999</v>
      </c>
      <c r="K47" s="860"/>
      <c r="L47" s="819"/>
      <c r="N47" s="1010"/>
      <c r="O47" s="846"/>
    </row>
    <row r="48" spans="1:15">
      <c r="A48" s="911" t="s">
        <v>176</v>
      </c>
      <c r="B48" s="912"/>
      <c r="C48" s="912"/>
      <c r="D48" s="834"/>
      <c r="E48" s="833"/>
      <c r="F48" s="833"/>
      <c r="G48" s="834"/>
      <c r="H48" s="834"/>
      <c r="I48" s="834"/>
      <c r="J48" s="835"/>
      <c r="K48" s="860"/>
      <c r="L48" s="819"/>
      <c r="O48" s="846"/>
    </row>
    <row r="49" spans="1:15">
      <c r="A49" s="837" t="s">
        <v>163</v>
      </c>
      <c r="B49" s="916"/>
      <c r="C49" s="916"/>
      <c r="D49" s="839" t="s">
        <v>131</v>
      </c>
      <c r="E49" s="840">
        <f>'23'!F49</f>
        <v>260732.12</v>
      </c>
      <c r="F49" s="913">
        <v>260732.12</v>
      </c>
      <c r="G49" s="841">
        <f t="shared" ref="G49:G58" si="5">F49-E49</f>
        <v>0</v>
      </c>
      <c r="H49" s="842">
        <f>G49+'23'!H49</f>
        <v>0.11999999999534339</v>
      </c>
      <c r="I49" s="840"/>
      <c r="J49" s="844">
        <f>H49/DAY(B2)</f>
        <v>4.9999999998059748E-3</v>
      </c>
      <c r="K49" s="860"/>
      <c r="L49" s="819"/>
      <c r="O49" s="846"/>
    </row>
    <row r="50" spans="1:15">
      <c r="A50" s="837" t="s">
        <v>177</v>
      </c>
      <c r="B50" s="916"/>
      <c r="C50" s="916"/>
      <c r="D50" s="839" t="s">
        <v>131</v>
      </c>
      <c r="E50" s="840">
        <f>'23'!F50</f>
        <v>526784.39</v>
      </c>
      <c r="F50" s="913">
        <v>528305</v>
      </c>
      <c r="G50" s="841">
        <f t="shared" si="5"/>
        <v>1520.609999999986</v>
      </c>
      <c r="H50" s="842">
        <f>G50+'23'!H50</f>
        <v>24879</v>
      </c>
      <c r="I50" s="840"/>
      <c r="J50" s="844">
        <f>H50/DAY(B2)</f>
        <v>1036.625</v>
      </c>
      <c r="K50" s="860"/>
      <c r="L50" s="819"/>
      <c r="O50" s="846"/>
    </row>
    <row r="51" spans="1:15">
      <c r="A51" s="837" t="s">
        <v>165</v>
      </c>
      <c r="B51" s="916"/>
      <c r="C51" s="916"/>
      <c r="D51" s="839" t="s">
        <v>131</v>
      </c>
      <c r="E51" s="840">
        <f>'23'!F51</f>
        <v>144639.87</v>
      </c>
      <c r="F51" s="913">
        <v>144640</v>
      </c>
      <c r="G51" s="841">
        <f t="shared" si="5"/>
        <v>0.13000000000465661</v>
      </c>
      <c r="H51" s="842">
        <f>G51+'23'!H51</f>
        <v>0</v>
      </c>
      <c r="I51" s="840"/>
      <c r="J51" s="844">
        <f>H51/DAY(B2)</f>
        <v>0</v>
      </c>
      <c r="K51" s="860"/>
      <c r="L51" s="819"/>
      <c r="O51" s="846"/>
    </row>
    <row r="52" spans="1:15">
      <c r="A52" s="837" t="s">
        <v>178</v>
      </c>
      <c r="B52" s="916"/>
      <c r="C52" s="916"/>
      <c r="D52" s="839" t="s">
        <v>131</v>
      </c>
      <c r="E52" s="840">
        <f>'23'!F52</f>
        <v>539606.06999999995</v>
      </c>
      <c r="F52" s="913">
        <v>539606</v>
      </c>
      <c r="G52" s="841">
        <f t="shared" si="5"/>
        <v>-6.9999999948777258E-2</v>
      </c>
      <c r="H52" s="842">
        <f>G52+'23'!H52</f>
        <v>-6.9999999948777258E-2</v>
      </c>
      <c r="I52" s="840"/>
      <c r="J52" s="844">
        <f>H52/DAY(B2)</f>
        <v>-2.9166666645323858E-3</v>
      </c>
      <c r="K52" s="860"/>
      <c r="L52" s="819"/>
      <c r="O52" s="846"/>
    </row>
    <row r="53" spans="1:15">
      <c r="A53" s="837" t="s">
        <v>167</v>
      </c>
      <c r="B53" s="916"/>
      <c r="C53" s="916"/>
      <c r="D53" s="839" t="s">
        <v>131</v>
      </c>
      <c r="E53" s="840">
        <f>'23'!F53</f>
        <v>434231.59</v>
      </c>
      <c r="F53" s="913">
        <v>434232</v>
      </c>
      <c r="G53" s="841">
        <f t="shared" si="5"/>
        <v>0.40999999997438863</v>
      </c>
      <c r="H53" s="842">
        <f>G53+'23'!H53</f>
        <v>1663.6699999999837</v>
      </c>
      <c r="I53" s="840"/>
      <c r="J53" s="844">
        <f>H53/DAY(B2)</f>
        <v>69.319583333332659</v>
      </c>
      <c r="K53" s="860"/>
      <c r="L53" s="819"/>
      <c r="O53" s="846"/>
    </row>
    <row r="54" spans="1:15">
      <c r="A54" s="837" t="s">
        <v>179</v>
      </c>
      <c r="B54" s="916"/>
      <c r="C54" s="916"/>
      <c r="D54" s="839" t="s">
        <v>131</v>
      </c>
      <c r="E54" s="840">
        <f>'23'!F54</f>
        <v>14967.41</v>
      </c>
      <c r="F54" s="913">
        <v>14967</v>
      </c>
      <c r="G54" s="841">
        <f t="shared" si="5"/>
        <v>-0.40999999999985448</v>
      </c>
      <c r="H54" s="842">
        <f>G54+'23'!H54</f>
        <v>1138</v>
      </c>
      <c r="I54" s="840"/>
      <c r="J54" s="844">
        <f>H54/DAY(B2)</f>
        <v>47.416666666666664</v>
      </c>
      <c r="K54" s="860"/>
      <c r="L54" s="819"/>
      <c r="O54" s="846"/>
    </row>
    <row r="55" spans="1:15">
      <c r="A55" s="837" t="s">
        <v>180</v>
      </c>
      <c r="B55" s="916"/>
      <c r="C55" s="916"/>
      <c r="D55" s="839" t="s">
        <v>131</v>
      </c>
      <c r="E55" s="840">
        <f>'23'!F55</f>
        <v>95646.2</v>
      </c>
      <c r="F55" s="913">
        <v>100640</v>
      </c>
      <c r="G55" s="841">
        <f t="shared" si="5"/>
        <v>4993.8000000000029</v>
      </c>
      <c r="H55" s="842">
        <f>G55+'23'!H55</f>
        <v>32529</v>
      </c>
      <c r="I55" s="840"/>
      <c r="J55" s="844">
        <f>H55/DAY(B2)</f>
        <v>1355.375</v>
      </c>
      <c r="K55" s="860"/>
      <c r="L55" s="819"/>
      <c r="O55" s="846"/>
    </row>
    <row r="56" spans="1:15">
      <c r="A56" s="837" t="s">
        <v>181</v>
      </c>
      <c r="B56" s="916"/>
      <c r="C56" s="916"/>
      <c r="D56" s="839" t="s">
        <v>182</v>
      </c>
      <c r="E56" s="840">
        <f>'23'!F56</f>
        <v>648959.99</v>
      </c>
      <c r="F56" s="913">
        <v>648960</v>
      </c>
      <c r="G56" s="841">
        <f t="shared" si="5"/>
        <v>1.0000000009313226E-2</v>
      </c>
      <c r="H56" s="842">
        <f>G56+'23'!H56</f>
        <v>31762</v>
      </c>
      <c r="I56" s="840"/>
      <c r="J56" s="844">
        <f>H56/DAY(B2)</f>
        <v>1323.4166666666667</v>
      </c>
      <c r="K56" s="836"/>
      <c r="L56" s="819"/>
      <c r="O56" s="846"/>
    </row>
    <row r="57" spans="1:15">
      <c r="A57" s="837" t="s">
        <v>171</v>
      </c>
      <c r="B57" s="916"/>
      <c r="C57" s="916"/>
      <c r="D57" s="839" t="s">
        <v>131</v>
      </c>
      <c r="E57" s="840">
        <f>'23'!F57</f>
        <v>7711</v>
      </c>
      <c r="F57" s="913">
        <v>7711</v>
      </c>
      <c r="G57" s="841">
        <f t="shared" si="5"/>
        <v>0</v>
      </c>
      <c r="H57" s="842">
        <f>G57+'23'!H57</f>
        <v>0</v>
      </c>
      <c r="I57" s="840"/>
      <c r="J57" s="844">
        <f>H57/DAY(B2)</f>
        <v>0</v>
      </c>
      <c r="K57" s="860"/>
      <c r="L57" s="819"/>
      <c r="O57" s="846"/>
    </row>
    <row r="58" spans="1:15">
      <c r="A58" s="837" t="s">
        <v>183</v>
      </c>
      <c r="B58" s="916"/>
      <c r="C58" s="916"/>
      <c r="D58" s="839" t="s">
        <v>131</v>
      </c>
      <c r="E58" s="840">
        <f>'23'!F58</f>
        <v>52843.42</v>
      </c>
      <c r="F58" s="913">
        <v>53064</v>
      </c>
      <c r="G58" s="841">
        <f t="shared" si="5"/>
        <v>220.58000000000175</v>
      </c>
      <c r="H58" s="842">
        <f>G58+'23'!H58</f>
        <v>3199.7900000000009</v>
      </c>
      <c r="I58" s="840"/>
      <c r="J58" s="844">
        <f>H58/DAY(B2)</f>
        <v>133.32458333333338</v>
      </c>
      <c r="K58" s="860"/>
      <c r="L58" s="819"/>
      <c r="O58" s="846"/>
    </row>
    <row r="59" spans="1:15">
      <c r="A59" s="862" t="s">
        <v>175</v>
      </c>
      <c r="B59" s="863"/>
      <c r="C59" s="863"/>
      <c r="D59" s="826"/>
      <c r="E59" s="826"/>
      <c r="F59" s="826"/>
      <c r="G59" s="864">
        <f>G49+G50+G51+G52+G53+G54+G55+G56+G57+G58</f>
        <v>6735.0600000000304</v>
      </c>
      <c r="H59" s="842">
        <f>G59+'23'!H59</f>
        <v>95171.579999999973</v>
      </c>
      <c r="I59" s="840">
        <f>G7-G60</f>
        <v>-131.03000000011525</v>
      </c>
      <c r="J59" s="844">
        <f>H59/DAY(B2)</f>
        <v>3965.4824999999987</v>
      </c>
      <c r="K59" s="860"/>
      <c r="L59" s="819"/>
      <c r="O59" s="846"/>
    </row>
    <row r="60" spans="1:15">
      <c r="A60" s="837"/>
      <c r="B60" s="838"/>
      <c r="C60" s="838"/>
      <c r="D60" s="826" t="s">
        <v>184</v>
      </c>
      <c r="E60" s="826"/>
      <c r="F60" s="826"/>
      <c r="G60" s="864">
        <f>G47+G59</f>
        <v>22242.360000000073</v>
      </c>
      <c r="H60" s="842">
        <f>G60+'23'!H60</f>
        <v>450993.58999999985</v>
      </c>
      <c r="I60" s="840">
        <f>G13-G60</f>
        <v>-842.06000000002678</v>
      </c>
      <c r="J60" s="844">
        <f>H60/DAY(B2)</f>
        <v>18791.399583333328</v>
      </c>
      <c r="K60" s="860"/>
      <c r="L60" s="819"/>
      <c r="O60" s="846"/>
    </row>
    <row r="61" spans="1:15">
      <c r="A61" s="917" t="s">
        <v>185</v>
      </c>
      <c r="B61" s="918"/>
      <c r="C61" s="918"/>
      <c r="D61" s="918"/>
      <c r="E61" s="919"/>
      <c r="F61" s="919"/>
      <c r="G61" s="918"/>
      <c r="H61" s="918"/>
      <c r="I61" s="918"/>
      <c r="J61" s="920"/>
      <c r="K61" s="860"/>
      <c r="L61" s="819"/>
      <c r="O61" s="846"/>
    </row>
    <row r="62" spans="1:15">
      <c r="A62" s="921" t="s">
        <v>97</v>
      </c>
      <c r="B62" s="922"/>
      <c r="C62" s="922"/>
      <c r="D62" s="826" t="s">
        <v>186</v>
      </c>
      <c r="E62" s="840">
        <f>'23'!F62</f>
        <v>20419</v>
      </c>
      <c r="F62" s="923">
        <v>20419</v>
      </c>
      <c r="G62" s="841">
        <f t="shared" ref="G62:G69" si="6">F62-E62</f>
        <v>0</v>
      </c>
      <c r="H62" s="842">
        <f>G62+'23'!H62</f>
        <v>1.9999999967694748E-3</v>
      </c>
      <c r="I62" s="924"/>
      <c r="J62" s="844">
        <f>H62/DAY(B2)</f>
        <v>8.3333333198728113E-5</v>
      </c>
      <c r="K62" s="860"/>
      <c r="L62" s="819"/>
      <c r="O62" s="846"/>
    </row>
    <row r="63" spans="1:15">
      <c r="A63" s="921" t="s">
        <v>187</v>
      </c>
      <c r="B63" s="922"/>
      <c r="C63" s="922"/>
      <c r="D63" s="826" t="s">
        <v>186</v>
      </c>
      <c r="E63" s="840">
        <f>'23'!F63</f>
        <v>0</v>
      </c>
      <c r="F63" s="923">
        <v>0</v>
      </c>
      <c r="G63" s="841">
        <f t="shared" si="6"/>
        <v>0</v>
      </c>
      <c r="H63" s="842">
        <f>G63+'23'!H63</f>
        <v>0</v>
      </c>
      <c r="I63" s="924"/>
      <c r="J63" s="844">
        <f>H63/DAY(B2)</f>
        <v>0</v>
      </c>
      <c r="K63" s="860"/>
      <c r="L63" s="819"/>
      <c r="O63" s="846"/>
    </row>
    <row r="64" spans="1:15">
      <c r="A64" s="1632" t="s">
        <v>98</v>
      </c>
      <c r="B64" s="1633"/>
      <c r="C64" s="1634"/>
      <c r="D64" s="839" t="s">
        <v>186</v>
      </c>
      <c r="E64" s="840">
        <f>'23'!F64</f>
        <v>167394.59</v>
      </c>
      <c r="F64" s="870">
        <v>167799</v>
      </c>
      <c r="G64" s="841">
        <f t="shared" si="6"/>
        <v>404.41000000000349</v>
      </c>
      <c r="H64" s="842">
        <f>G64+'23'!H64</f>
        <v>7867</v>
      </c>
      <c r="I64" s="861"/>
      <c r="J64" s="844">
        <f>H64/DAY(B2)</f>
        <v>327.79166666666669</v>
      </c>
      <c r="K64" s="860"/>
      <c r="L64" s="819"/>
      <c r="O64" s="846"/>
    </row>
    <row r="65" spans="1:15">
      <c r="A65" s="1632" t="s">
        <v>99</v>
      </c>
      <c r="B65" s="1633"/>
      <c r="C65" s="1634"/>
      <c r="D65" s="839" t="s">
        <v>186</v>
      </c>
      <c r="E65" s="840">
        <f>'23'!F65</f>
        <v>167531.19</v>
      </c>
      <c r="F65" s="870">
        <v>167848</v>
      </c>
      <c r="G65" s="841">
        <f t="shared" si="6"/>
        <v>316.80999999999767</v>
      </c>
      <c r="H65" s="842">
        <f>G65+'23'!H65</f>
        <v>6850</v>
      </c>
      <c r="I65" s="879"/>
      <c r="J65" s="844">
        <f>H65/DAY(B2)</f>
        <v>285.41666666666669</v>
      </c>
      <c r="K65" s="860"/>
      <c r="L65" s="819"/>
      <c r="O65" s="846"/>
    </row>
    <row r="66" spans="1:15">
      <c r="A66" s="1632" t="s">
        <v>100</v>
      </c>
      <c r="B66" s="1633"/>
      <c r="C66" s="1634"/>
      <c r="D66" s="839" t="s">
        <v>186</v>
      </c>
      <c r="E66" s="840">
        <f>'23'!F66</f>
        <v>65006.65</v>
      </c>
      <c r="F66" s="870">
        <v>65414</v>
      </c>
      <c r="G66" s="841">
        <f t="shared" si="6"/>
        <v>407.34999999999854</v>
      </c>
      <c r="H66" s="842">
        <f>G66+'23'!H66</f>
        <v>8609</v>
      </c>
      <c r="I66" s="861"/>
      <c r="J66" s="844">
        <f>H66/DAY(B2)</f>
        <v>358.70833333333331</v>
      </c>
      <c r="K66" s="860"/>
      <c r="L66" s="819"/>
      <c r="O66" s="846"/>
    </row>
    <row r="67" spans="1:15">
      <c r="A67" s="1632" t="s">
        <v>101</v>
      </c>
      <c r="B67" s="1633"/>
      <c r="C67" s="1634"/>
      <c r="D67" s="839" t="s">
        <v>186</v>
      </c>
      <c r="E67" s="840">
        <f>'23'!F67</f>
        <v>261813.67</v>
      </c>
      <c r="F67" s="870">
        <v>262246</v>
      </c>
      <c r="G67" s="841">
        <f t="shared" si="6"/>
        <v>432.32999999998719</v>
      </c>
      <c r="H67" s="842">
        <f>G67+'23'!H67</f>
        <v>10054</v>
      </c>
      <c r="I67" s="879"/>
      <c r="J67" s="844">
        <f>H67/DAY(B2)</f>
        <v>418.91666666666669</v>
      </c>
      <c r="K67" s="867"/>
      <c r="L67" s="819"/>
      <c r="O67" s="846"/>
    </row>
    <row r="68" spans="1:15">
      <c r="A68" s="1632" t="s">
        <v>102</v>
      </c>
      <c r="B68" s="1633"/>
      <c r="C68" s="1634"/>
      <c r="D68" s="839" t="s">
        <v>186</v>
      </c>
      <c r="E68" s="840">
        <f>'23'!F68</f>
        <v>85321</v>
      </c>
      <c r="F68" s="870">
        <v>85321</v>
      </c>
      <c r="G68" s="841">
        <f t="shared" si="6"/>
        <v>0</v>
      </c>
      <c r="H68" s="842">
        <f>G68+'23'!H68</f>
        <v>0</v>
      </c>
      <c r="I68" s="925"/>
      <c r="J68" s="844">
        <f>H68/DAY(B2)</f>
        <v>0</v>
      </c>
      <c r="K68" s="926"/>
      <c r="L68" s="819"/>
      <c r="O68" s="846"/>
    </row>
    <row r="69" spans="1:15">
      <c r="A69" s="1632" t="s">
        <v>103</v>
      </c>
      <c r="B69" s="1633"/>
      <c r="C69" s="1634"/>
      <c r="D69" s="839" t="s">
        <v>186</v>
      </c>
      <c r="E69" s="840">
        <f>'23'!F69</f>
        <v>85863.75</v>
      </c>
      <c r="F69" s="870">
        <v>86101</v>
      </c>
      <c r="G69" s="841">
        <f t="shared" si="6"/>
        <v>237.25</v>
      </c>
      <c r="H69" s="842">
        <f>G69+'23'!H69</f>
        <v>4352</v>
      </c>
      <c r="I69" s="925"/>
      <c r="J69" s="844">
        <f>H69/DAY(B2)</f>
        <v>181.33333333333334</v>
      </c>
      <c r="K69" s="927"/>
      <c r="L69" s="819"/>
      <c r="O69" s="846"/>
    </row>
    <row r="70" spans="1:15">
      <c r="A70" s="1641" t="s">
        <v>188</v>
      </c>
      <c r="B70" s="1642"/>
      <c r="C70" s="1643"/>
      <c r="D70" s="839" t="s">
        <v>186</v>
      </c>
      <c r="E70" s="928"/>
      <c r="F70" s="929"/>
      <c r="G70" s="929"/>
      <c r="H70" s="842">
        <f>G70+'23'!H70</f>
        <v>0</v>
      </c>
      <c r="I70" s="929"/>
      <c r="J70" s="930"/>
      <c r="K70" s="927"/>
      <c r="L70" s="819"/>
      <c r="O70" s="846"/>
    </row>
    <row r="71" spans="1:15" ht="22.5">
      <c r="A71" s="1638" t="s">
        <v>189</v>
      </c>
      <c r="B71" s="1639"/>
      <c r="C71" s="1639"/>
      <c r="D71" s="1639"/>
      <c r="E71" s="1639"/>
      <c r="F71" s="1639"/>
      <c r="G71" s="1639"/>
      <c r="H71" s="1639"/>
      <c r="I71" s="1639"/>
      <c r="J71" s="1640"/>
      <c r="K71" s="926"/>
      <c r="L71" s="819"/>
      <c r="O71" s="846"/>
    </row>
    <row r="72" spans="1:15">
      <c r="A72" s="1632" t="s">
        <v>190</v>
      </c>
      <c r="B72" s="1633"/>
      <c r="C72" s="1634"/>
      <c r="D72" s="839" t="s">
        <v>186</v>
      </c>
      <c r="E72" s="840">
        <f>'23'!F72</f>
        <v>856143</v>
      </c>
      <c r="F72" s="931">
        <v>856157</v>
      </c>
      <c r="G72" s="841">
        <f t="shared" ref="G72:G91" si="7">F72-E72</f>
        <v>14</v>
      </c>
      <c r="H72" s="842">
        <f>G72+'23'!H72</f>
        <v>301</v>
      </c>
      <c r="I72" s="861"/>
      <c r="J72" s="844">
        <f>H72/DAY(B2)</f>
        <v>12.541666666666666</v>
      </c>
      <c r="K72" s="927"/>
      <c r="L72" s="819"/>
      <c r="O72" s="846"/>
    </row>
    <row r="73" spans="1:15">
      <c r="A73" s="1632" t="s">
        <v>191</v>
      </c>
      <c r="B73" s="1633"/>
      <c r="C73" s="1634"/>
      <c r="D73" s="839" t="s">
        <v>186</v>
      </c>
      <c r="E73" s="840">
        <f>'23'!F73</f>
        <v>885964</v>
      </c>
      <c r="F73" s="932">
        <v>885965</v>
      </c>
      <c r="G73" s="841">
        <f t="shared" si="7"/>
        <v>1</v>
      </c>
      <c r="H73" s="842">
        <f>G73+'23'!H73</f>
        <v>184</v>
      </c>
      <c r="I73" s="861"/>
      <c r="J73" s="844">
        <f>H73/DAY(B2)</f>
        <v>7.666666666666667</v>
      </c>
      <c r="K73" s="926"/>
      <c r="L73" s="819"/>
      <c r="O73" s="846"/>
    </row>
    <row r="74" spans="1:15">
      <c r="A74" s="1632" t="s">
        <v>192</v>
      </c>
      <c r="B74" s="1633"/>
      <c r="C74" s="1634"/>
      <c r="D74" s="839" t="s">
        <v>186</v>
      </c>
      <c r="E74" s="840">
        <f>'23'!F74</f>
        <v>88689</v>
      </c>
      <c r="F74" s="933">
        <v>88689</v>
      </c>
      <c r="G74" s="841">
        <f t="shared" si="7"/>
        <v>0</v>
      </c>
      <c r="H74" s="842">
        <f>G74+'23'!H74</f>
        <v>23.960000000000036</v>
      </c>
      <c r="I74" s="861"/>
      <c r="J74" s="844">
        <f>H74/DAY(B2)</f>
        <v>0.99833333333333485</v>
      </c>
      <c r="K74" s="927"/>
      <c r="L74" s="819"/>
      <c r="O74" s="846"/>
    </row>
    <row r="75" spans="1:15">
      <c r="A75" s="1635" t="s">
        <v>193</v>
      </c>
      <c r="B75" s="1636"/>
      <c r="C75" s="1637"/>
      <c r="D75" s="839" t="s">
        <v>186</v>
      </c>
      <c r="E75" s="840">
        <f>'23'!F75</f>
        <v>15045.3</v>
      </c>
      <c r="F75" s="933">
        <v>15203</v>
      </c>
      <c r="G75" s="841">
        <f t="shared" si="7"/>
        <v>157.70000000000073</v>
      </c>
      <c r="H75" s="842">
        <f>G75+'23'!H75</f>
        <v>2534</v>
      </c>
      <c r="I75" s="861"/>
      <c r="J75" s="844">
        <f>H75/DAY(B2)</f>
        <v>105.58333333333333</v>
      </c>
      <c r="K75" s="926"/>
      <c r="L75" s="819"/>
      <c r="O75" s="846"/>
    </row>
    <row r="76" spans="1:15">
      <c r="A76" s="1635" t="s">
        <v>194</v>
      </c>
      <c r="B76" s="1636"/>
      <c r="C76" s="1637"/>
      <c r="D76" s="839" t="s">
        <v>186</v>
      </c>
      <c r="E76" s="840">
        <f>'23'!F76</f>
        <v>8803.7900000000009</v>
      </c>
      <c r="F76" s="932">
        <v>8873</v>
      </c>
      <c r="G76" s="841">
        <f t="shared" si="7"/>
        <v>69.209999999999127</v>
      </c>
      <c r="H76" s="842">
        <f>G76+'23'!H76</f>
        <v>1667</v>
      </c>
      <c r="I76" s="904"/>
      <c r="J76" s="844">
        <f>H76/DAY(B2)</f>
        <v>69.458333333333329</v>
      </c>
      <c r="K76" s="926"/>
      <c r="L76" s="819"/>
      <c r="O76" s="846"/>
    </row>
    <row r="77" spans="1:15">
      <c r="A77" s="1632" t="s">
        <v>195</v>
      </c>
      <c r="B77" s="1633"/>
      <c r="C77" s="1634"/>
      <c r="D77" s="839" t="s">
        <v>186</v>
      </c>
      <c r="E77" s="840">
        <f>'23'!F77</f>
        <v>703989</v>
      </c>
      <c r="F77" s="932">
        <v>704034</v>
      </c>
      <c r="G77" s="841">
        <f t="shared" si="7"/>
        <v>45</v>
      </c>
      <c r="H77" s="842">
        <f>G77+'23'!H77</f>
        <v>1195</v>
      </c>
      <c r="I77" s="904"/>
      <c r="J77" s="844">
        <f>H77/DAY(B2)</f>
        <v>49.791666666666664</v>
      </c>
      <c r="K77" s="926"/>
      <c r="L77" s="819"/>
      <c r="O77" s="846"/>
    </row>
    <row r="78" spans="1:15">
      <c r="A78" s="934" t="s">
        <v>196</v>
      </c>
      <c r="B78" s="1137"/>
      <c r="C78" s="1137"/>
      <c r="D78" s="839" t="s">
        <v>186</v>
      </c>
      <c r="E78" s="840">
        <f>'23'!F78</f>
        <v>674738</v>
      </c>
      <c r="F78" s="933">
        <v>674814</v>
      </c>
      <c r="G78" s="841">
        <f t="shared" si="7"/>
        <v>76</v>
      </c>
      <c r="H78" s="842">
        <f>G78+'23'!H78</f>
        <v>1782</v>
      </c>
      <c r="I78" s="904"/>
      <c r="J78" s="844">
        <f>H78/DAY(B2)</f>
        <v>74.25</v>
      </c>
      <c r="K78" s="926"/>
      <c r="L78" s="819"/>
      <c r="O78" s="846"/>
    </row>
    <row r="79" spans="1:15">
      <c r="A79" s="1635" t="s">
        <v>91</v>
      </c>
      <c r="B79" s="1636"/>
      <c r="C79" s="1637"/>
      <c r="D79" s="873" t="s">
        <v>186</v>
      </c>
      <c r="E79" s="840">
        <f>'23'!F79</f>
        <v>834376</v>
      </c>
      <c r="F79" s="933">
        <v>834544</v>
      </c>
      <c r="G79" s="841">
        <f t="shared" si="7"/>
        <v>168</v>
      </c>
      <c r="H79" s="842">
        <f>G79+'23'!H79</f>
        <v>2522</v>
      </c>
      <c r="I79" s="904"/>
      <c r="J79" s="844">
        <f>H79/DAY(B2)</f>
        <v>105.08333333333333</v>
      </c>
      <c r="K79" s="926"/>
      <c r="L79" s="819"/>
      <c r="O79" s="846"/>
    </row>
    <row r="80" spans="1:15">
      <c r="A80" s="1635" t="s">
        <v>197</v>
      </c>
      <c r="B80" s="1636"/>
      <c r="C80" s="1637"/>
      <c r="D80" s="873" t="s">
        <v>186</v>
      </c>
      <c r="E80" s="840">
        <f>'23'!F80</f>
        <v>536209.31999999995</v>
      </c>
      <c r="F80" s="1232">
        <v>536609</v>
      </c>
      <c r="G80" s="841">
        <f t="shared" si="7"/>
        <v>399.68000000005122</v>
      </c>
      <c r="H80" s="842">
        <f>G80+'23'!H80</f>
        <v>6063.4799999999814</v>
      </c>
      <c r="I80" s="904"/>
      <c r="J80" s="844">
        <f>H80/DAY(B2)</f>
        <v>252.64499999999921</v>
      </c>
      <c r="K80" s="926"/>
      <c r="L80" s="819"/>
      <c r="O80" s="846"/>
    </row>
    <row r="81" spans="1:15">
      <c r="A81" s="1635" t="s">
        <v>198</v>
      </c>
      <c r="B81" s="1636"/>
      <c r="C81" s="1637"/>
      <c r="D81" s="873" t="s">
        <v>186</v>
      </c>
      <c r="E81" s="840">
        <f>'23'!F81</f>
        <v>641985.64</v>
      </c>
      <c r="F81" s="932">
        <v>642171</v>
      </c>
      <c r="G81" s="841">
        <f t="shared" si="7"/>
        <v>185.35999999998603</v>
      </c>
      <c r="H81" s="842">
        <f>G81+'23'!H81</f>
        <v>3273</v>
      </c>
      <c r="I81" s="904"/>
      <c r="J81" s="844">
        <f>H81/DAY(B2)</f>
        <v>136.375</v>
      </c>
      <c r="K81" s="926"/>
      <c r="L81" s="819"/>
      <c r="O81" s="846"/>
    </row>
    <row r="82" spans="1:15">
      <c r="A82" s="1635" t="s">
        <v>92</v>
      </c>
      <c r="B82" s="1636"/>
      <c r="C82" s="1637"/>
      <c r="D82" s="874" t="s">
        <v>131</v>
      </c>
      <c r="E82" s="840">
        <f>'23'!F82</f>
        <v>108553.72</v>
      </c>
      <c r="F82" s="935">
        <v>108568</v>
      </c>
      <c r="G82" s="841">
        <f t="shared" si="7"/>
        <v>14.279999999998836</v>
      </c>
      <c r="H82" s="842">
        <f>G82+'23'!H82</f>
        <v>410</v>
      </c>
      <c r="I82" s="875"/>
      <c r="J82" s="844">
        <f>H82/DAY(B2)</f>
        <v>17.083333333333332</v>
      </c>
      <c r="K82" s="926"/>
      <c r="L82" s="819"/>
      <c r="O82" s="846"/>
    </row>
    <row r="83" spans="1:15">
      <c r="A83" s="1635" t="s">
        <v>199</v>
      </c>
      <c r="B83" s="1636"/>
      <c r="C83" s="1637"/>
      <c r="D83" s="936" t="s">
        <v>131</v>
      </c>
      <c r="E83" s="840">
        <f>'23'!F83</f>
        <v>25513</v>
      </c>
      <c r="F83" s="826">
        <v>25772</v>
      </c>
      <c r="G83" s="841">
        <f>F83-E83</f>
        <v>259</v>
      </c>
      <c r="H83" s="842">
        <f>G83+'23'!H83</f>
        <v>5266</v>
      </c>
      <c r="I83" s="864"/>
      <c r="J83" s="844">
        <f>H83/DAY(B2)</f>
        <v>219.41666666666666</v>
      </c>
      <c r="K83" s="867"/>
      <c r="L83" s="819"/>
      <c r="O83" s="846"/>
    </row>
    <row r="84" spans="1:15">
      <c r="A84" s="937" t="s">
        <v>200</v>
      </c>
      <c r="B84" s="938"/>
      <c r="C84" s="938"/>
      <c r="D84" s="858" t="s">
        <v>131</v>
      </c>
      <c r="E84" s="840">
        <f>'23'!F84</f>
        <v>517399</v>
      </c>
      <c r="F84" s="939">
        <v>518149</v>
      </c>
      <c r="G84" s="841">
        <f t="shared" si="7"/>
        <v>750</v>
      </c>
      <c r="H84" s="842">
        <f>G84+'23'!H84</f>
        <v>17855</v>
      </c>
      <c r="I84" s="864"/>
      <c r="J84" s="844">
        <f>H84/DAY(B2)</f>
        <v>743.95833333333337</v>
      </c>
      <c r="K84" s="940"/>
      <c r="L84" s="819"/>
      <c r="O84" s="846"/>
    </row>
    <row r="85" spans="1:15" s="944" customFormat="1">
      <c r="A85" s="941" t="s">
        <v>201</v>
      </c>
      <c r="B85" s="942"/>
      <c r="C85" s="942"/>
      <c r="D85" s="879"/>
      <c r="E85" s="840">
        <f>'23'!F85</f>
        <v>0</v>
      </c>
      <c r="F85" s="839"/>
      <c r="G85" s="842">
        <f xml:space="preserve"> SUM(G72:G84)</f>
        <v>2139.2300000000359</v>
      </c>
      <c r="H85" s="842">
        <f>G85+'23'!H85</f>
        <v>46619.960000000006</v>
      </c>
      <c r="I85" s="864"/>
      <c r="J85" s="844">
        <f>H85/DAY(B2)</f>
        <v>1942.4983333333337</v>
      </c>
      <c r="K85" s="940"/>
      <c r="L85" s="943"/>
      <c r="N85" s="1011"/>
      <c r="O85" s="846"/>
    </row>
    <row r="86" spans="1:15" s="954" customFormat="1">
      <c r="A86" s="945" t="s">
        <v>93</v>
      </c>
      <c r="B86" s="946"/>
      <c r="C86" s="946"/>
      <c r="D86" s="947" t="s">
        <v>182</v>
      </c>
      <c r="E86" s="840">
        <f>'23'!F86</f>
        <v>461570.64</v>
      </c>
      <c r="F86" s="948">
        <v>461610</v>
      </c>
      <c r="G86" s="949">
        <f t="shared" si="7"/>
        <v>39.35999999998603</v>
      </c>
      <c r="H86" s="949">
        <f t="shared" ref="H86:H88" si="8">G86</f>
        <v>39.35999999998603</v>
      </c>
      <c r="I86" s="950"/>
      <c r="J86" s="951">
        <f>H86/DAY(B2)</f>
        <v>1.6399999999994179</v>
      </c>
      <c r="K86" s="952"/>
      <c r="L86" s="953"/>
      <c r="N86" s="1012"/>
      <c r="O86" s="846"/>
    </row>
    <row r="87" spans="1:15" s="954" customFormat="1">
      <c r="A87" s="945" t="s">
        <v>94</v>
      </c>
      <c r="B87" s="946"/>
      <c r="C87" s="946"/>
      <c r="D87" s="947" t="s">
        <v>182</v>
      </c>
      <c r="E87" s="840">
        <f>'23'!F87</f>
        <v>81883</v>
      </c>
      <c r="F87" s="948">
        <v>81914</v>
      </c>
      <c r="G87" s="949">
        <f t="shared" si="7"/>
        <v>31</v>
      </c>
      <c r="H87" s="949">
        <f t="shared" si="8"/>
        <v>31</v>
      </c>
      <c r="I87" s="950"/>
      <c r="J87" s="951">
        <f>H87/DAY(B2)</f>
        <v>1.2916666666666667</v>
      </c>
      <c r="K87" s="952"/>
      <c r="L87" s="953"/>
      <c r="N87" s="1012"/>
      <c r="O87" s="846"/>
    </row>
    <row r="88" spans="1:15" s="954" customFormat="1">
      <c r="A88" s="945" t="s">
        <v>95</v>
      </c>
      <c r="B88" s="946"/>
      <c r="C88" s="946"/>
      <c r="D88" s="947" t="s">
        <v>182</v>
      </c>
      <c r="E88" s="840">
        <f>'23'!F88</f>
        <v>154545</v>
      </c>
      <c r="F88" s="948">
        <v>154692</v>
      </c>
      <c r="G88" s="949">
        <f t="shared" si="7"/>
        <v>147</v>
      </c>
      <c r="H88" s="949">
        <f t="shared" si="8"/>
        <v>147</v>
      </c>
      <c r="I88" s="950"/>
      <c r="J88" s="951">
        <f>H88/DAY(B2)</f>
        <v>6.125</v>
      </c>
      <c r="K88" s="952"/>
      <c r="L88" s="953"/>
      <c r="N88" s="1012"/>
      <c r="O88" s="846"/>
    </row>
    <row r="89" spans="1:15" s="954" customFormat="1">
      <c r="A89" s="945" t="s">
        <v>203</v>
      </c>
      <c r="B89" s="946"/>
      <c r="C89" s="946"/>
      <c r="D89" s="947" t="s">
        <v>182</v>
      </c>
      <c r="E89" s="840">
        <f>'23'!F89</f>
        <v>65647.399999999994</v>
      </c>
      <c r="F89" s="948">
        <v>65676</v>
      </c>
      <c r="G89" s="949">
        <f t="shared" si="7"/>
        <v>28.600000000005821</v>
      </c>
      <c r="H89" s="949">
        <f>G89</f>
        <v>28.600000000005821</v>
      </c>
      <c r="I89" s="950"/>
      <c r="J89" s="951">
        <f>H89/DAY(B2)</f>
        <v>1.1916666666669091</v>
      </c>
      <c r="K89" s="952"/>
      <c r="L89" s="953"/>
      <c r="N89" s="1013"/>
      <c r="O89" s="846"/>
    </row>
    <row r="90" spans="1:15" s="954" customFormat="1">
      <c r="A90" s="945" t="s">
        <v>203</v>
      </c>
      <c r="B90" s="946"/>
      <c r="C90" s="946"/>
      <c r="D90" s="947" t="s">
        <v>182</v>
      </c>
      <c r="E90" s="840">
        <f>'23'!F90</f>
        <v>3323.7</v>
      </c>
      <c r="F90" s="948">
        <v>3328</v>
      </c>
      <c r="G90" s="949">
        <f t="shared" si="7"/>
        <v>4.3000000000001819</v>
      </c>
      <c r="H90" s="949">
        <f>G90</f>
        <v>4.3000000000001819</v>
      </c>
      <c r="I90" s="950"/>
      <c r="J90" s="951">
        <f>H90/DAY(B2)</f>
        <v>0.17916666666667425</v>
      </c>
      <c r="K90" s="952"/>
      <c r="L90" s="953"/>
      <c r="N90" s="1013"/>
      <c r="O90" s="846"/>
    </row>
    <row r="91" spans="1:15" s="736" customFormat="1" ht="29.25">
      <c r="A91" s="731" t="s">
        <v>350</v>
      </c>
      <c r="B91" s="732"/>
      <c r="C91" s="732"/>
      <c r="D91" s="733" t="s">
        <v>131</v>
      </c>
      <c r="E91" s="840">
        <f>'23'!F91</f>
        <v>28192.77</v>
      </c>
      <c r="F91" s="948">
        <v>28203</v>
      </c>
      <c r="G91" s="706">
        <f t="shared" si="7"/>
        <v>10.229999999999563</v>
      </c>
      <c r="H91" s="706">
        <f>G91</f>
        <v>10.229999999999563</v>
      </c>
      <c r="I91" s="653"/>
      <c r="J91" s="708"/>
      <c r="K91" s="734"/>
      <c r="L91" s="735"/>
      <c r="N91" s="778"/>
      <c r="O91" s="382"/>
    </row>
    <row r="92" spans="1:15" s="944" customFormat="1">
      <c r="A92" s="955" t="s">
        <v>204</v>
      </c>
      <c r="B92" s="834"/>
      <c r="C92" s="834"/>
      <c r="D92" s="834"/>
      <c r="E92" s="834"/>
      <c r="F92" s="834"/>
      <c r="G92" s="878"/>
      <c r="H92" s="834"/>
      <c r="I92" s="834"/>
      <c r="J92" s="835"/>
      <c r="K92" s="940"/>
      <c r="L92" s="943"/>
      <c r="N92" s="1011"/>
      <c r="O92" s="846"/>
    </row>
    <row r="93" spans="1:15">
      <c r="A93" s="1626" t="s">
        <v>205</v>
      </c>
      <c r="B93" s="1627"/>
      <c r="C93" s="1628"/>
      <c r="D93" s="839" t="s">
        <v>143</v>
      </c>
      <c r="E93" s="840">
        <f>'23'!F93</f>
        <v>246785</v>
      </c>
      <c r="F93" s="870">
        <v>246860</v>
      </c>
      <c r="G93" s="841">
        <f t="shared" ref="G93:G94" si="9">F93-E93</f>
        <v>75</v>
      </c>
      <c r="H93" s="842">
        <f>G93+'23'!H93</f>
        <v>1372</v>
      </c>
      <c r="I93" s="861"/>
      <c r="J93" s="844">
        <f>H93/DAY(B2)</f>
        <v>57.166666666666664</v>
      </c>
      <c r="K93" s="867"/>
      <c r="L93" s="819"/>
      <c r="O93" s="846"/>
    </row>
    <row r="94" spans="1:15">
      <c r="A94" s="1626" t="s">
        <v>206</v>
      </c>
      <c r="B94" s="1627"/>
      <c r="C94" s="1628"/>
      <c r="D94" s="839" t="s">
        <v>143</v>
      </c>
      <c r="E94" s="840">
        <f>'23'!F94</f>
        <v>188705</v>
      </c>
      <c r="F94" s="870">
        <v>188804</v>
      </c>
      <c r="G94" s="841">
        <f t="shared" si="9"/>
        <v>99</v>
      </c>
      <c r="H94" s="842">
        <f>G94+'23'!H94</f>
        <v>2683</v>
      </c>
      <c r="I94" s="861"/>
      <c r="J94" s="844">
        <f>H94/DAY(B2)</f>
        <v>111.79166666666667</v>
      </c>
      <c r="K94" s="940"/>
      <c r="L94" s="819"/>
      <c r="O94" s="846"/>
    </row>
    <row r="95" spans="1:15">
      <c r="A95" s="1644" t="s">
        <v>207</v>
      </c>
      <c r="B95" s="1645"/>
      <c r="C95" s="1646"/>
      <c r="D95" s="839"/>
      <c r="E95" s="840">
        <f>'23'!F95</f>
        <v>0</v>
      </c>
      <c r="F95" s="870"/>
      <c r="G95" s="841">
        <f>G93+G94</f>
        <v>174</v>
      </c>
      <c r="H95" s="842">
        <f>G95+'23'!H95</f>
        <v>3979</v>
      </c>
      <c r="I95" s="861"/>
      <c r="J95" s="844">
        <f>H95/DAY(B2)</f>
        <v>165.79166666666666</v>
      </c>
      <c r="K95" s="940"/>
      <c r="L95" s="819"/>
      <c r="O95" s="846"/>
    </row>
    <row r="96" spans="1:15">
      <c r="A96" s="1626" t="s">
        <v>208</v>
      </c>
      <c r="B96" s="1627"/>
      <c r="C96" s="1628"/>
      <c r="D96" s="839" t="s">
        <v>143</v>
      </c>
      <c r="E96" s="840">
        <f>'23'!F96</f>
        <v>415533</v>
      </c>
      <c r="F96" s="870">
        <v>415606</v>
      </c>
      <c r="G96" s="841">
        <f t="shared" ref="G96:G101" si="10">F96-E96</f>
        <v>73</v>
      </c>
      <c r="H96" s="842">
        <f>G96+'23'!H96</f>
        <v>1323</v>
      </c>
      <c r="I96" s="861"/>
      <c r="J96" s="844">
        <f>H96/DAY(B2)</f>
        <v>55.125</v>
      </c>
      <c r="K96" s="940"/>
      <c r="L96" s="819"/>
      <c r="O96" s="846"/>
    </row>
    <row r="97" spans="1:15">
      <c r="A97" s="868" t="s">
        <v>209</v>
      </c>
      <c r="B97" s="869"/>
      <c r="C97" s="869"/>
      <c r="D97" s="839" t="s">
        <v>143</v>
      </c>
      <c r="E97" s="840">
        <f>'23'!F97</f>
        <v>103010</v>
      </c>
      <c r="F97" s="870">
        <v>103029</v>
      </c>
      <c r="G97" s="841">
        <f t="shared" si="10"/>
        <v>19</v>
      </c>
      <c r="H97" s="842">
        <f>G97+'23'!H97</f>
        <v>381</v>
      </c>
      <c r="I97" s="861"/>
      <c r="J97" s="844">
        <f>H97/DAY(B2)</f>
        <v>15.875</v>
      </c>
      <c r="K97" s="836"/>
      <c r="L97" s="819"/>
      <c r="O97" s="846"/>
    </row>
    <row r="98" spans="1:15">
      <c r="A98" s="868" t="s">
        <v>210</v>
      </c>
      <c r="B98" s="869"/>
      <c r="C98" s="869"/>
      <c r="D98" s="839" t="s">
        <v>143</v>
      </c>
      <c r="E98" s="840">
        <f>'23'!F98</f>
        <v>98492</v>
      </c>
      <c r="F98" s="870">
        <v>98512</v>
      </c>
      <c r="G98" s="841">
        <f t="shared" si="10"/>
        <v>20</v>
      </c>
      <c r="H98" s="842">
        <f>G98+'23'!H98</f>
        <v>562</v>
      </c>
      <c r="I98" s="861"/>
      <c r="J98" s="844">
        <f>H98/DAY(B2)</f>
        <v>23.416666666666668</v>
      </c>
      <c r="K98" s="956"/>
      <c r="L98" s="819"/>
      <c r="O98" s="846"/>
    </row>
    <row r="99" spans="1:15">
      <c r="A99" s="868" t="s">
        <v>211</v>
      </c>
      <c r="B99" s="869"/>
      <c r="C99" s="869"/>
      <c r="D99" s="839" t="s">
        <v>143</v>
      </c>
      <c r="E99" s="840">
        <f>'23'!F99</f>
        <v>150163</v>
      </c>
      <c r="F99" s="870">
        <v>150186</v>
      </c>
      <c r="G99" s="841">
        <f t="shared" si="10"/>
        <v>23</v>
      </c>
      <c r="H99" s="842">
        <f>G99+'23'!H99</f>
        <v>334</v>
      </c>
      <c r="I99" s="861"/>
      <c r="J99" s="844">
        <f>H99/DAY(B2)</f>
        <v>13.916666666666666</v>
      </c>
      <c r="K99" s="940"/>
      <c r="L99" s="819"/>
      <c r="O99" s="846"/>
    </row>
    <row r="100" spans="1:15">
      <c r="A100" s="868" t="s">
        <v>212</v>
      </c>
      <c r="B100" s="869"/>
      <c r="C100" s="869"/>
      <c r="D100" s="839" t="s">
        <v>143</v>
      </c>
      <c r="E100" s="840">
        <f>'23'!F100</f>
        <v>7654</v>
      </c>
      <c r="F100" s="870">
        <v>7662</v>
      </c>
      <c r="G100" s="841">
        <f t="shared" si="10"/>
        <v>8</v>
      </c>
      <c r="H100" s="842">
        <f>G100+'23'!H100</f>
        <v>293</v>
      </c>
      <c r="I100" s="861"/>
      <c r="J100" s="844">
        <f>H100/DAY(B2)</f>
        <v>12.208333333333334</v>
      </c>
      <c r="K100" s="940"/>
      <c r="L100" s="819"/>
      <c r="O100" s="846"/>
    </row>
    <row r="101" spans="1:15">
      <c r="A101" s="868" t="s">
        <v>213</v>
      </c>
      <c r="B101" s="869"/>
      <c r="C101" s="869"/>
      <c r="D101" s="839" t="s">
        <v>143</v>
      </c>
      <c r="E101" s="840">
        <f>'23'!F101</f>
        <v>5592</v>
      </c>
      <c r="F101" s="870">
        <v>5598</v>
      </c>
      <c r="G101" s="841">
        <f t="shared" si="10"/>
        <v>6</v>
      </c>
      <c r="H101" s="842">
        <f>G101+'23'!H101</f>
        <v>207</v>
      </c>
      <c r="I101" s="861"/>
      <c r="J101" s="844">
        <f>H101/DAY(B2)</f>
        <v>8.625</v>
      </c>
      <c r="K101" s="940"/>
      <c r="L101" s="819"/>
      <c r="O101" s="846"/>
    </row>
    <row r="102" spans="1:15">
      <c r="A102" s="1644" t="s">
        <v>215</v>
      </c>
      <c r="B102" s="1645"/>
      <c r="C102" s="1646"/>
      <c r="D102" s="873"/>
      <c r="E102" s="873"/>
      <c r="F102" s="873"/>
      <c r="G102" s="957">
        <f>SUM(G96:G101)</f>
        <v>149</v>
      </c>
      <c r="H102" s="842">
        <f>G102+'23'!H102</f>
        <v>3100</v>
      </c>
      <c r="I102" s="958"/>
      <c r="J102" s="844">
        <f>H102/DAY(B2)</f>
        <v>129.16666666666666</v>
      </c>
      <c r="K102" s="940"/>
      <c r="L102" s="819"/>
      <c r="O102" s="846"/>
    </row>
    <row r="103" spans="1:15" s="891" customFormat="1">
      <c r="A103" s="959" t="s">
        <v>216</v>
      </c>
      <c r="B103" s="960"/>
      <c r="C103" s="960"/>
      <c r="D103" s="961"/>
      <c r="E103" s="962"/>
      <c r="F103" s="963"/>
      <c r="G103" s="964"/>
      <c r="H103" s="965"/>
      <c r="I103" s="966"/>
      <c r="J103" s="967"/>
      <c r="N103" s="1009"/>
      <c r="O103" s="846"/>
    </row>
    <row r="104" spans="1:15" s="891" customFormat="1">
      <c r="A104" s="1655" t="s">
        <v>217</v>
      </c>
      <c r="B104" s="1656"/>
      <c r="C104" s="968"/>
      <c r="D104" s="969"/>
      <c r="E104" s="970"/>
      <c r="F104" s="970"/>
      <c r="G104" s="970"/>
      <c r="H104" s="971"/>
      <c r="I104" s="970"/>
      <c r="J104" s="972"/>
      <c r="N104" s="1009"/>
      <c r="O104" s="846"/>
    </row>
    <row r="105" spans="1:15" s="891" customFormat="1">
      <c r="A105" s="1657" t="s">
        <v>218</v>
      </c>
      <c r="B105" s="1658"/>
      <c r="C105" s="973"/>
      <c r="D105" s="969" t="s">
        <v>143</v>
      </c>
      <c r="E105" s="970">
        <f>'23'!F105</f>
        <v>7637</v>
      </c>
      <c r="F105" s="970">
        <v>7637</v>
      </c>
      <c r="G105" s="970">
        <f>F105-E105</f>
        <v>0</v>
      </c>
      <c r="H105" s="971">
        <f>SUM(G105+'1'!G76)</f>
        <v>57</v>
      </c>
      <c r="I105" s="970"/>
      <c r="J105" s="972">
        <f>H105/DAY(B2)</f>
        <v>2.375</v>
      </c>
      <c r="N105" s="1009"/>
      <c r="O105" s="846"/>
    </row>
    <row r="106" spans="1:15" s="891" customFormat="1">
      <c r="A106" s="1657" t="s">
        <v>76</v>
      </c>
      <c r="B106" s="1658"/>
      <c r="C106" s="973"/>
      <c r="D106" s="969" t="s">
        <v>143</v>
      </c>
      <c r="E106" s="970">
        <f>'23'!F106</f>
        <v>36091</v>
      </c>
      <c r="F106" s="974">
        <v>36116</v>
      </c>
      <c r="G106" s="970">
        <f t="shared" ref="G106:G107" si="11">F106-E106</f>
        <v>25</v>
      </c>
      <c r="H106" s="971">
        <f>SUM(G106+'1'!G77)</f>
        <v>74</v>
      </c>
      <c r="I106" s="970"/>
      <c r="J106" s="972">
        <f>H106/DAY(B2)</f>
        <v>3.0833333333333335</v>
      </c>
      <c r="N106" s="1009"/>
      <c r="O106" s="846"/>
    </row>
    <row r="107" spans="1:15" s="891" customFormat="1">
      <c r="A107" s="1657" t="s">
        <v>77</v>
      </c>
      <c r="B107" s="1659"/>
      <c r="C107" s="1658"/>
      <c r="D107" s="969" t="s">
        <v>143</v>
      </c>
      <c r="E107" s="970">
        <f>'23'!F107</f>
        <v>19792</v>
      </c>
      <c r="F107" s="970">
        <v>19795</v>
      </c>
      <c r="G107" s="970">
        <f t="shared" si="11"/>
        <v>3</v>
      </c>
      <c r="H107" s="971">
        <f>SUM(G107+'1'!G78)</f>
        <v>58</v>
      </c>
      <c r="I107" s="970"/>
      <c r="J107" s="972">
        <f>H107/DAY(B2)</f>
        <v>2.4166666666666665</v>
      </c>
      <c r="N107" s="1009"/>
      <c r="O107" s="846"/>
    </row>
    <row r="108" spans="1:15" s="891" customFormat="1">
      <c r="A108" s="1660" t="s">
        <v>201</v>
      </c>
      <c r="B108" s="1661"/>
      <c r="C108" s="973"/>
      <c r="D108" s="969"/>
      <c r="E108" s="970"/>
      <c r="F108" s="970"/>
      <c r="G108" s="970">
        <f>SUM(G105:G107)</f>
        <v>28</v>
      </c>
      <c r="H108" s="971">
        <f>SUM(G108+'1'!G79)</f>
        <v>183</v>
      </c>
      <c r="I108" s="970"/>
      <c r="J108" s="972">
        <f>H108/DAY(B2)</f>
        <v>7.625</v>
      </c>
      <c r="N108" s="1009"/>
      <c r="O108" s="846"/>
    </row>
    <row r="109" spans="1:15" s="891" customFormat="1">
      <c r="A109" s="1662" t="s">
        <v>78</v>
      </c>
      <c r="B109" s="1663"/>
      <c r="C109" s="973"/>
      <c r="D109" s="969" t="s">
        <v>143</v>
      </c>
      <c r="E109" s="970">
        <f>'23'!F109</f>
        <v>0</v>
      </c>
      <c r="F109" s="970"/>
      <c r="G109" s="970"/>
      <c r="H109" s="971"/>
      <c r="I109" s="970"/>
      <c r="J109" s="972"/>
      <c r="N109" s="1009"/>
      <c r="O109" s="846"/>
    </row>
    <row r="110" spans="1:15" s="891" customFormat="1">
      <c r="A110" s="1657" t="s">
        <v>219</v>
      </c>
      <c r="B110" s="1658"/>
      <c r="C110" s="973"/>
      <c r="D110" s="969" t="s">
        <v>143</v>
      </c>
      <c r="E110" s="970">
        <f>'23'!F110</f>
        <v>64386</v>
      </c>
      <c r="F110" s="970">
        <v>64441</v>
      </c>
      <c r="G110" s="970">
        <f>F110-E110</f>
        <v>55</v>
      </c>
      <c r="H110" s="971">
        <f>SUM(G110+'1'!G81)</f>
        <v>149</v>
      </c>
      <c r="I110" s="970"/>
      <c r="J110" s="972">
        <f>H110/DAY(B2)</f>
        <v>6.208333333333333</v>
      </c>
      <c r="N110" s="1009"/>
      <c r="O110" s="846"/>
    </row>
    <row r="111" spans="1:15" s="891" customFormat="1">
      <c r="A111" s="1657" t="s">
        <v>220</v>
      </c>
      <c r="B111" s="1658"/>
      <c r="C111" s="973"/>
      <c r="D111" s="969" t="s">
        <v>143</v>
      </c>
      <c r="E111" s="970">
        <f>'23'!F111</f>
        <v>32852</v>
      </c>
      <c r="F111" s="970">
        <v>32909</v>
      </c>
      <c r="G111" s="970">
        <f t="shared" ref="G111:G112" si="12">F111-E111</f>
        <v>57</v>
      </c>
      <c r="H111" s="971">
        <f>SUM(G111+'1'!G82)</f>
        <v>68</v>
      </c>
      <c r="I111" s="970"/>
      <c r="J111" s="972">
        <f>H111/DAY(B2)</f>
        <v>2.8333333333333335</v>
      </c>
      <c r="N111" s="1009"/>
      <c r="O111" s="846"/>
    </row>
    <row r="112" spans="1:15" s="891" customFormat="1">
      <c r="A112" s="1657" t="s">
        <v>221</v>
      </c>
      <c r="B112" s="1658"/>
      <c r="C112" s="973"/>
      <c r="D112" s="969" t="s">
        <v>143</v>
      </c>
      <c r="E112" s="970">
        <f>'23'!F112</f>
        <v>4621</v>
      </c>
      <c r="F112" s="970">
        <v>4621</v>
      </c>
      <c r="G112" s="970">
        <f t="shared" si="12"/>
        <v>0</v>
      </c>
      <c r="H112" s="971">
        <f>SUM(G112+'1'!G83)</f>
        <v>152</v>
      </c>
      <c r="I112" s="970"/>
      <c r="J112" s="972">
        <f>H112/DAY(B2)</f>
        <v>6.333333333333333</v>
      </c>
      <c r="N112" s="1009"/>
      <c r="O112" s="846"/>
    </row>
    <row r="113" spans="1:15" s="891" customFormat="1">
      <c r="A113" s="1664" t="s">
        <v>109</v>
      </c>
      <c r="B113" s="1665"/>
      <c r="C113" s="973"/>
      <c r="D113" s="969"/>
      <c r="E113" s="970">
        <f>'23'!F113</f>
        <v>0</v>
      </c>
      <c r="F113" s="970"/>
      <c r="G113" s="970">
        <f>SUM(G110:G112)</f>
        <v>112</v>
      </c>
      <c r="H113" s="971">
        <f>SUM(G113+'1'!G84)</f>
        <v>939</v>
      </c>
      <c r="I113" s="970"/>
      <c r="J113" s="972">
        <f>H113/DAY(B2)</f>
        <v>39.125</v>
      </c>
      <c r="N113" s="1009"/>
      <c r="O113" s="846"/>
    </row>
    <row r="114" spans="1:15" s="891" customFormat="1">
      <c r="A114" s="1662" t="s">
        <v>222</v>
      </c>
      <c r="B114" s="1663"/>
      <c r="C114" s="973"/>
      <c r="D114" s="969"/>
      <c r="E114" s="970"/>
      <c r="F114" s="970"/>
      <c r="G114" s="970"/>
      <c r="H114" s="971"/>
      <c r="I114" s="970"/>
      <c r="J114" s="972">
        <f>H114/DAY(B2)</f>
        <v>0</v>
      </c>
      <c r="N114" s="1009"/>
      <c r="O114" s="846"/>
    </row>
    <row r="115" spans="1:15" s="891" customFormat="1">
      <c r="A115" s="1657" t="s">
        <v>223</v>
      </c>
      <c r="B115" s="1658"/>
      <c r="C115" s="975"/>
      <c r="D115" s="969" t="s">
        <v>143</v>
      </c>
      <c r="E115" s="970">
        <f>'23'!F115</f>
        <v>11847</v>
      </c>
      <c r="F115" s="974">
        <v>11857</v>
      </c>
      <c r="G115" s="974">
        <f>F115-E115</f>
        <v>10</v>
      </c>
      <c r="H115" s="971">
        <f>SUM(G115+'1'!G92)</f>
        <v>10</v>
      </c>
      <c r="I115" s="970"/>
      <c r="J115" s="972">
        <f>H115/DAY(B2)</f>
        <v>0.41666666666666669</v>
      </c>
      <c r="N115" s="1009"/>
      <c r="O115" s="846"/>
    </row>
    <row r="116" spans="1:15" s="891" customFormat="1">
      <c r="A116" s="1657" t="s">
        <v>224</v>
      </c>
      <c r="B116" s="1658"/>
      <c r="C116" s="975"/>
      <c r="D116" s="969" t="s">
        <v>143</v>
      </c>
      <c r="E116" s="970">
        <f>'23'!F116</f>
        <v>8488</v>
      </c>
      <c r="F116" s="974">
        <v>8494</v>
      </c>
      <c r="G116" s="974">
        <f t="shared" ref="G116:G117" si="13">F116-E116</f>
        <v>6</v>
      </c>
      <c r="H116" s="971">
        <f>SUM(G116+'1'!G93)</f>
        <v>24</v>
      </c>
      <c r="I116" s="970"/>
      <c r="J116" s="972">
        <f>H116/DAY(B2)</f>
        <v>1</v>
      </c>
      <c r="N116" s="1009"/>
      <c r="O116" s="846"/>
    </row>
    <row r="117" spans="1:15" s="891" customFormat="1">
      <c r="A117" s="1657" t="s">
        <v>225</v>
      </c>
      <c r="B117" s="1658"/>
      <c r="C117" s="975"/>
      <c r="D117" s="969" t="s">
        <v>143</v>
      </c>
      <c r="E117" s="974"/>
      <c r="F117" s="974"/>
      <c r="G117" s="974">
        <f t="shared" si="13"/>
        <v>0</v>
      </c>
      <c r="H117" s="971">
        <f>SUM(G117+'1'!G94)</f>
        <v>58</v>
      </c>
      <c r="I117" s="970"/>
      <c r="J117" s="972">
        <f>H117/DAY(B2)</f>
        <v>2.4166666666666665</v>
      </c>
      <c r="N117" s="1009"/>
      <c r="O117" s="846"/>
    </row>
    <row r="118" spans="1:15" s="977" customFormat="1">
      <c r="A118" s="1660" t="s">
        <v>201</v>
      </c>
      <c r="B118" s="1661"/>
      <c r="C118" s="975"/>
      <c r="D118" s="976"/>
      <c r="E118" s="974"/>
      <c r="F118" s="974"/>
      <c r="G118" s="974">
        <f>SUM(G115:G117)</f>
        <v>16</v>
      </c>
      <c r="H118" s="971">
        <f>SUM(G118+'1'!G96)</f>
        <v>56</v>
      </c>
      <c r="I118" s="974"/>
      <c r="J118" s="972">
        <f>H118/DAY(B2)</f>
        <v>2.3333333333333335</v>
      </c>
      <c r="N118" s="1014"/>
      <c r="O118" s="846"/>
    </row>
    <row r="119" spans="1:15" s="769" customFormat="1">
      <c r="A119" s="1666" t="s">
        <v>226</v>
      </c>
      <c r="B119" s="1667"/>
      <c r="C119" s="978"/>
      <c r="D119" s="979" t="s">
        <v>143</v>
      </c>
      <c r="E119" s="980"/>
      <c r="F119" s="981"/>
      <c r="G119" s="981">
        <f>SUM(G19+G93)</f>
        <v>139</v>
      </c>
      <c r="H119" s="971">
        <f>SUM(G119+'1'!G97)</f>
        <v>152</v>
      </c>
      <c r="I119" s="980"/>
      <c r="J119" s="982">
        <f>H119/DAY(B2)</f>
        <v>6.333333333333333</v>
      </c>
      <c r="N119" s="1015"/>
      <c r="O119" s="846"/>
    </row>
    <row r="120" spans="1:15" s="769" customFormat="1">
      <c r="A120" s="1666" t="s">
        <v>227</v>
      </c>
      <c r="B120" s="1667"/>
      <c r="C120" s="978"/>
      <c r="D120" s="979" t="s">
        <v>143</v>
      </c>
      <c r="E120" s="980"/>
      <c r="F120" s="981"/>
      <c r="G120" s="981">
        <f>SUM(G96,G97,G98,G100,G101)</f>
        <v>126</v>
      </c>
      <c r="H120" s="971">
        <f>SUM(G120+'1'!G99)</f>
        <v>133</v>
      </c>
      <c r="I120" s="980"/>
      <c r="J120" s="982">
        <f>H120/DAY(B2)</f>
        <v>5.541666666666667</v>
      </c>
      <c r="N120" s="1015"/>
      <c r="O120" s="846"/>
    </row>
    <row r="121" spans="1:15" s="769" customFormat="1">
      <c r="A121" s="1666" t="s">
        <v>228</v>
      </c>
      <c r="B121" s="1667"/>
      <c r="C121" s="978"/>
      <c r="D121" s="979" t="s">
        <v>143</v>
      </c>
      <c r="E121" s="980"/>
      <c r="F121" s="974"/>
      <c r="G121" s="974">
        <f>SUM(G113)</f>
        <v>112</v>
      </c>
      <c r="H121" s="971">
        <f>SUM(G121+'1'!G101)</f>
        <v>116</v>
      </c>
      <c r="I121" s="980"/>
      <c r="J121" s="982">
        <f>H121/DAY(B2)</f>
        <v>4.833333333333333</v>
      </c>
      <c r="N121" s="1015"/>
      <c r="O121" s="846"/>
    </row>
    <row r="122" spans="1:15" s="891" customFormat="1">
      <c r="A122" s="1668"/>
      <c r="B122" s="1614"/>
      <c r="C122" s="973"/>
      <c r="D122" s="968"/>
      <c r="E122" s="968"/>
      <c r="F122" s="968"/>
      <c r="G122" s="968"/>
      <c r="H122" s="983"/>
      <c r="I122" s="968"/>
      <c r="J122" s="984"/>
      <c r="N122" s="1009"/>
      <c r="O122" s="846"/>
    </row>
    <row r="123" spans="1:15">
      <c r="A123" s="1647" t="s">
        <v>229</v>
      </c>
      <c r="B123" s="1648"/>
      <c r="C123" s="1649"/>
      <c r="D123" s="834"/>
      <c r="E123" s="834"/>
      <c r="F123" s="834"/>
      <c r="G123" s="866"/>
      <c r="H123" s="866"/>
      <c r="I123" s="866"/>
      <c r="J123" s="985"/>
      <c r="K123" s="940"/>
      <c r="L123" s="819"/>
      <c r="O123" s="846"/>
    </row>
    <row r="124" spans="1:15">
      <c r="A124" s="868" t="s">
        <v>230</v>
      </c>
      <c r="B124" s="869"/>
      <c r="C124" s="869"/>
      <c r="D124" s="839" t="s">
        <v>140</v>
      </c>
      <c r="E124" s="840">
        <f>'23'!F124</f>
        <v>837708.15</v>
      </c>
      <c r="F124" s="858">
        <v>837997</v>
      </c>
      <c r="G124" s="841">
        <f t="shared" ref="G124:G128" si="14">F124-E124</f>
        <v>288.84999999997672</v>
      </c>
      <c r="H124" s="842">
        <f>G124+'23'!H124</f>
        <v>5631</v>
      </c>
      <c r="I124" s="958"/>
      <c r="J124" s="844">
        <f>H124/DAY(B2)</f>
        <v>234.625</v>
      </c>
      <c r="K124" s="940"/>
      <c r="L124" s="819"/>
      <c r="O124" s="846"/>
    </row>
    <row r="125" spans="1:15">
      <c r="A125" s="868" t="s">
        <v>231</v>
      </c>
      <c r="B125" s="869"/>
      <c r="C125" s="869"/>
      <c r="D125" s="839" t="s">
        <v>140</v>
      </c>
      <c r="E125" s="840">
        <f>'23'!F125</f>
        <v>73583.399999999994</v>
      </c>
      <c r="F125" s="986">
        <v>73583</v>
      </c>
      <c r="G125" s="841">
        <f t="shared" si="14"/>
        <v>-0.39999999999417923</v>
      </c>
      <c r="H125" s="842">
        <f>G125+'23'!H125</f>
        <v>-0.39999999999417923</v>
      </c>
      <c r="I125" s="958"/>
      <c r="J125" s="844">
        <f>H125/DAY(B2)</f>
        <v>-1.6666666666424135E-2</v>
      </c>
      <c r="K125" s="940"/>
      <c r="L125" s="819"/>
      <c r="O125" s="846"/>
    </row>
    <row r="126" spans="1:15">
      <c r="A126" s="1632" t="s">
        <v>232</v>
      </c>
      <c r="B126" s="1633"/>
      <c r="C126" s="1634"/>
      <c r="D126" s="839" t="s">
        <v>140</v>
      </c>
      <c r="E126" s="840">
        <f>'23'!F126</f>
        <v>148052.42000000001</v>
      </c>
      <c r="F126" s="858">
        <v>148126</v>
      </c>
      <c r="G126" s="841">
        <f t="shared" si="14"/>
        <v>73.579999999987194</v>
      </c>
      <c r="H126" s="842">
        <f>G126+'23'!H126</f>
        <v>1635</v>
      </c>
      <c r="I126" s="958"/>
      <c r="J126" s="844">
        <f>H126/DAY(B2)</f>
        <v>68.125</v>
      </c>
      <c r="K126" s="940"/>
      <c r="L126" s="819"/>
      <c r="O126" s="846"/>
    </row>
    <row r="127" spans="1:15">
      <c r="A127" s="987" t="s">
        <v>233</v>
      </c>
      <c r="B127" s="869"/>
      <c r="C127" s="869"/>
      <c r="D127" s="839" t="s">
        <v>140</v>
      </c>
      <c r="E127" s="840">
        <f>'23'!F127</f>
        <v>31828.2</v>
      </c>
      <c r="F127" s="986">
        <v>31863</v>
      </c>
      <c r="G127" s="841">
        <f t="shared" si="14"/>
        <v>34.799999999999272</v>
      </c>
      <c r="H127" s="842">
        <f>G127+'23'!H127</f>
        <v>457</v>
      </c>
      <c r="I127" s="958"/>
      <c r="J127" s="844">
        <f>H127/DAY(B2)</f>
        <v>19.041666666666668</v>
      </c>
      <c r="K127" s="940"/>
      <c r="L127" s="819"/>
      <c r="O127" s="846"/>
    </row>
    <row r="128" spans="1:15">
      <c r="A128" s="987" t="s">
        <v>234</v>
      </c>
      <c r="B128" s="869"/>
      <c r="C128" s="869"/>
      <c r="D128" s="839" t="s">
        <v>140</v>
      </c>
      <c r="E128" s="840">
        <f>'23'!F128</f>
        <v>8987.1</v>
      </c>
      <c r="F128" s="986">
        <v>8990</v>
      </c>
      <c r="G128" s="841">
        <f t="shared" si="14"/>
        <v>2.8999999999996362</v>
      </c>
      <c r="H128" s="842">
        <f>G128+'23'!H128</f>
        <v>18</v>
      </c>
      <c r="I128" s="861"/>
      <c r="J128" s="844">
        <f>H128/DAY(B2)</f>
        <v>0.75</v>
      </c>
      <c r="K128" s="940"/>
      <c r="L128" s="819"/>
      <c r="O128" s="846"/>
    </row>
    <row r="129" spans="1:15">
      <c r="A129" s="987" t="s">
        <v>235</v>
      </c>
      <c r="B129" s="869"/>
      <c r="C129" s="869"/>
      <c r="D129" s="839"/>
      <c r="E129" s="840"/>
      <c r="F129" s="858"/>
      <c r="G129" s="841">
        <f>G15-SUM(G124:G128)</f>
        <v>544.91999999993823</v>
      </c>
      <c r="H129" s="842">
        <f>G129+'23'!H129</f>
        <v>3430.3999999999942</v>
      </c>
      <c r="I129" s="861"/>
      <c r="J129" s="844">
        <f>H129/DAY(B2)</f>
        <v>142.93333333333308</v>
      </c>
      <c r="K129" s="940"/>
      <c r="L129" s="819"/>
      <c r="O129" s="846"/>
    </row>
    <row r="130" spans="1:15">
      <c r="A130" s="988" t="s">
        <v>236</v>
      </c>
      <c r="B130" s="833"/>
      <c r="C130" s="833"/>
      <c r="D130" s="833"/>
      <c r="E130" s="833"/>
      <c r="F130" s="833"/>
      <c r="G130" s="989"/>
      <c r="H130" s="989"/>
      <c r="I130" s="989"/>
      <c r="J130" s="990"/>
      <c r="O130" s="846"/>
    </row>
    <row r="131" spans="1:15">
      <c r="A131" s="868" t="s">
        <v>237</v>
      </c>
      <c r="B131" s="869"/>
      <c r="C131" s="869"/>
      <c r="D131" s="839" t="s">
        <v>238</v>
      </c>
      <c r="E131" s="840">
        <f>'23'!F131</f>
        <v>0</v>
      </c>
      <c r="F131" s="870">
        <v>0</v>
      </c>
      <c r="G131" s="841">
        <f t="shared" ref="G131:G141" si="15">F131-E131</f>
        <v>0</v>
      </c>
      <c r="H131" s="842">
        <f>G131+'23'!H131</f>
        <v>0</v>
      </c>
      <c r="I131" s="861"/>
      <c r="J131" s="844">
        <f>H131/DAY(B2)</f>
        <v>0</v>
      </c>
      <c r="O131" s="846"/>
    </row>
    <row r="132" spans="1:15">
      <c r="A132" s="868" t="s">
        <v>239</v>
      </c>
      <c r="B132" s="869"/>
      <c r="C132" s="869"/>
      <c r="D132" s="839" t="s">
        <v>238</v>
      </c>
      <c r="E132" s="840">
        <f>'23'!F132</f>
        <v>0</v>
      </c>
      <c r="F132" s="870">
        <v>0</v>
      </c>
      <c r="G132" s="841">
        <f t="shared" si="15"/>
        <v>0</v>
      </c>
      <c r="H132" s="842">
        <f>G132+'23'!H132</f>
        <v>0</v>
      </c>
      <c r="I132" s="861"/>
      <c r="J132" s="844">
        <f>H132/DAY(B2)</f>
        <v>0</v>
      </c>
      <c r="O132" s="846"/>
    </row>
    <row r="133" spans="1:15">
      <c r="A133" s="868" t="s">
        <v>240</v>
      </c>
      <c r="B133" s="869"/>
      <c r="C133" s="869"/>
      <c r="D133" s="839" t="s">
        <v>238</v>
      </c>
      <c r="E133" s="1458">
        <f>'23'!F133</f>
        <v>40357.51</v>
      </c>
      <c r="F133" s="991">
        <v>40365</v>
      </c>
      <c r="G133" s="950">
        <f t="shared" si="15"/>
        <v>7.4899999999979627</v>
      </c>
      <c r="H133" s="842">
        <f>G133+'23'!H133</f>
        <v>329.90000000000146</v>
      </c>
      <c r="I133" s="861"/>
      <c r="J133" s="844">
        <f>H133/DAY(B2)</f>
        <v>13.745833333333394</v>
      </c>
      <c r="O133" s="846"/>
    </row>
    <row r="134" spans="1:15">
      <c r="A134" s="868" t="s">
        <v>241</v>
      </c>
      <c r="B134" s="869"/>
      <c r="C134" s="869"/>
      <c r="D134" s="839" t="s">
        <v>238</v>
      </c>
      <c r="E134" s="1458">
        <f>'23'!F134</f>
        <v>300</v>
      </c>
      <c r="F134" s="991">
        <v>300</v>
      </c>
      <c r="G134" s="950">
        <f t="shared" si="15"/>
        <v>0</v>
      </c>
      <c r="H134" s="842">
        <f>G134+'23'!H134</f>
        <v>0</v>
      </c>
      <c r="I134" s="861">
        <f>G131+G132+G133+G134</f>
        <v>7.4899999999979627</v>
      </c>
      <c r="J134" s="844">
        <f>H134/DAY(B2)</f>
        <v>0</v>
      </c>
      <c r="O134" s="846"/>
    </row>
    <row r="135" spans="1:15">
      <c r="A135" s="868" t="s">
        <v>242</v>
      </c>
      <c r="B135" s="869"/>
      <c r="C135" s="869"/>
      <c r="D135" s="839" t="s">
        <v>238</v>
      </c>
      <c r="E135" s="1458">
        <f>'23'!F135</f>
        <v>41863.440000000002</v>
      </c>
      <c r="F135" s="991">
        <v>41887</v>
      </c>
      <c r="G135" s="950">
        <f t="shared" si="15"/>
        <v>23.559999999997672</v>
      </c>
      <c r="H135" s="842">
        <f>G135+'23'!H135</f>
        <v>47.559999999997672</v>
      </c>
      <c r="I135" s="861"/>
      <c r="J135" s="844">
        <f>H135/DAY(B2)</f>
        <v>1.9816666666665697</v>
      </c>
      <c r="O135" s="846"/>
    </row>
    <row r="136" spans="1:15">
      <c r="A136" s="868" t="s">
        <v>243</v>
      </c>
      <c r="B136" s="869"/>
      <c r="C136" s="869"/>
      <c r="D136" s="839" t="s">
        <v>238</v>
      </c>
      <c r="E136" s="1458">
        <f>'23'!F136</f>
        <v>32874.050000000003</v>
      </c>
      <c r="F136" s="991">
        <v>32874</v>
      </c>
      <c r="G136" s="950">
        <f t="shared" si="15"/>
        <v>-5.0000000002910383E-2</v>
      </c>
      <c r="H136" s="842">
        <f>G136+'23'!H136</f>
        <v>12.94999999999709</v>
      </c>
      <c r="I136" s="861"/>
      <c r="J136" s="844">
        <f>H136/DAY(B2)</f>
        <v>0.53958333333321207</v>
      </c>
      <c r="O136" s="846"/>
    </row>
    <row r="137" spans="1:15">
      <c r="A137" s="868" t="s">
        <v>244</v>
      </c>
      <c r="B137" s="869"/>
      <c r="C137" s="869"/>
      <c r="D137" s="839" t="s">
        <v>238</v>
      </c>
      <c r="E137" s="1458">
        <f>'23'!F137</f>
        <v>22861.040000000001</v>
      </c>
      <c r="F137" s="991">
        <v>22861</v>
      </c>
      <c r="G137" s="950">
        <f t="shared" si="15"/>
        <v>-4.0000000000873115E-2</v>
      </c>
      <c r="H137" s="842">
        <f>G137+'23'!H137</f>
        <v>53.759999999998399</v>
      </c>
      <c r="I137" s="861">
        <f>G135+G136+G137</f>
        <v>23.469999999993888</v>
      </c>
      <c r="J137" s="844">
        <f>H137/DAY(B2)</f>
        <v>2.2399999999999332</v>
      </c>
      <c r="O137" s="846"/>
    </row>
    <row r="138" spans="1:15">
      <c r="A138" s="868" t="s">
        <v>245</v>
      </c>
      <c r="B138" s="869"/>
      <c r="C138" s="869"/>
      <c r="D138" s="839" t="s">
        <v>238</v>
      </c>
      <c r="E138" s="840">
        <f>'23'!F138</f>
        <v>25081.89</v>
      </c>
      <c r="F138" s="991">
        <v>25091.39</v>
      </c>
      <c r="G138" s="841">
        <f t="shared" si="15"/>
        <v>9.5</v>
      </c>
      <c r="H138" s="842">
        <f>G138+'23'!H138</f>
        <v>17.5</v>
      </c>
      <c r="I138" s="861"/>
      <c r="J138" s="844">
        <f>H138/DAY(B2)</f>
        <v>0.72916666666666663</v>
      </c>
      <c r="O138" s="846"/>
    </row>
    <row r="139" spans="1:15">
      <c r="A139" s="868" t="s">
        <v>246</v>
      </c>
      <c r="B139" s="869"/>
      <c r="C139" s="869"/>
      <c r="D139" s="839" t="s">
        <v>238</v>
      </c>
      <c r="E139" s="840">
        <f>'23'!F139</f>
        <v>70496.73</v>
      </c>
      <c r="F139" s="991">
        <v>70497.78</v>
      </c>
      <c r="G139" s="841">
        <f t="shared" si="15"/>
        <v>1.0500000000029104</v>
      </c>
      <c r="H139" s="842">
        <f>G139+'23'!H139</f>
        <v>16.05000000000291</v>
      </c>
      <c r="I139" s="861">
        <f>G138+G139</f>
        <v>10.55000000000291</v>
      </c>
      <c r="J139" s="844">
        <f>H139/DAY(B2)</f>
        <v>0.6687500000001213</v>
      </c>
      <c r="O139" s="846"/>
    </row>
    <row r="140" spans="1:15">
      <c r="A140" s="868" t="s">
        <v>247</v>
      </c>
      <c r="B140" s="869"/>
      <c r="C140" s="869"/>
      <c r="D140" s="839" t="s">
        <v>238</v>
      </c>
      <c r="E140" s="840">
        <f>'23'!F140</f>
        <v>2056.92</v>
      </c>
      <c r="F140" s="870">
        <v>2067.64</v>
      </c>
      <c r="G140" s="841">
        <f t="shared" si="15"/>
        <v>10.7199999999998</v>
      </c>
      <c r="H140" s="842">
        <f>G140+'23'!H140</f>
        <v>213.33999999999992</v>
      </c>
      <c r="I140" s="992"/>
      <c r="J140" s="844">
        <f>H140/DAY(B2)</f>
        <v>8.8891666666666627</v>
      </c>
      <c r="O140" s="846"/>
    </row>
    <row r="141" spans="1:15">
      <c r="A141" s="868" t="s">
        <v>248</v>
      </c>
      <c r="B141" s="869"/>
      <c r="C141" s="869"/>
      <c r="D141" s="839" t="s">
        <v>238</v>
      </c>
      <c r="E141" s="840">
        <f>'23'!F141</f>
        <v>4636.88</v>
      </c>
      <c r="F141" s="870">
        <v>4636.88</v>
      </c>
      <c r="G141" s="841">
        <f t="shared" si="15"/>
        <v>0</v>
      </c>
      <c r="H141" s="842">
        <f>G141+'23'!H141</f>
        <v>-0.11999999999989086</v>
      </c>
      <c r="I141" s="992"/>
      <c r="J141" s="844">
        <f>H141/DAY(B2)</f>
        <v>-4.9999999999954525E-3</v>
      </c>
      <c r="O141" s="846"/>
    </row>
    <row r="142" spans="1:15">
      <c r="A142" s="1650" t="s">
        <v>249</v>
      </c>
      <c r="B142" s="1651"/>
      <c r="C142" s="834"/>
      <c r="D142" s="834"/>
      <c r="E142" s="834"/>
      <c r="F142" s="834"/>
      <c r="G142" s="866"/>
      <c r="H142" s="866"/>
      <c r="I142" s="866"/>
      <c r="J142" s="985"/>
      <c r="K142" s="940"/>
      <c r="L142" s="819"/>
      <c r="O142" s="846"/>
    </row>
    <row r="143" spans="1:15">
      <c r="A143" s="1626" t="s">
        <v>250</v>
      </c>
      <c r="B143" s="1627"/>
      <c r="C143" s="1628"/>
      <c r="D143" s="839" t="s">
        <v>131</v>
      </c>
      <c r="E143" s="839"/>
      <c r="F143" s="839"/>
      <c r="G143" s="842">
        <f>G35+G43+G49+G57</f>
        <v>5719.8000000000466</v>
      </c>
      <c r="H143" s="842">
        <f>G143+'23'!H143</f>
        <v>121086.06000000006</v>
      </c>
      <c r="I143" s="861"/>
      <c r="J143" s="844">
        <f>H143/DAY(B2)</f>
        <v>5045.2525000000023</v>
      </c>
      <c r="K143" s="940"/>
      <c r="L143" s="819"/>
      <c r="O143" s="846"/>
    </row>
    <row r="144" spans="1:15">
      <c r="A144" s="1626" t="s">
        <v>251</v>
      </c>
      <c r="B144" s="1627"/>
      <c r="C144" s="1628"/>
      <c r="D144" s="839" t="s">
        <v>24</v>
      </c>
      <c r="E144" s="826"/>
      <c r="F144" s="826"/>
      <c r="G144" s="993">
        <f>G143/G7</f>
        <v>0.2586818612901195</v>
      </c>
      <c r="H144" s="842">
        <f>G144+'23'!H144</f>
        <v>6.425892143291736</v>
      </c>
      <c r="I144" s="994"/>
      <c r="J144" s="844">
        <f>H144/DAY(B2)</f>
        <v>0.26774550597048902</v>
      </c>
      <c r="K144" s="940"/>
      <c r="L144" s="819"/>
      <c r="O144" s="846"/>
    </row>
    <row r="145" spans="1:15">
      <c r="A145" s="1626" t="s">
        <v>252</v>
      </c>
      <c r="B145" s="1627"/>
      <c r="C145" s="1628"/>
      <c r="D145" s="839" t="s">
        <v>131</v>
      </c>
      <c r="E145" s="840"/>
      <c r="F145" s="840"/>
      <c r="G145" s="842">
        <f>G41+G42+G55+G56</f>
        <v>6559.3000000000175</v>
      </c>
      <c r="H145" s="842">
        <f>G145+'23'!H145</f>
        <v>134816.03</v>
      </c>
      <c r="I145" s="861"/>
      <c r="J145" s="844">
        <f>H145/DAY(B2)</f>
        <v>5617.3345833333333</v>
      </c>
      <c r="K145" s="940"/>
      <c r="L145" s="819"/>
      <c r="O145" s="846"/>
    </row>
    <row r="146" spans="1:15">
      <c r="A146" s="1626" t="s">
        <v>253</v>
      </c>
      <c r="B146" s="1627"/>
      <c r="C146" s="1628"/>
      <c r="D146" s="839" t="s">
        <v>24</v>
      </c>
      <c r="E146" s="840"/>
      <c r="F146" s="840"/>
      <c r="G146" s="993">
        <f>G145/G7</f>
        <v>0.29664882211970195</v>
      </c>
      <c r="H146" s="842">
        <f>G146+'23'!H146</f>
        <v>7.104246924968205</v>
      </c>
      <c r="I146" s="994"/>
      <c r="J146" s="844">
        <f>H146/DAY(B2)</f>
        <v>0.29601028854034189</v>
      </c>
      <c r="K146" s="940"/>
      <c r="L146" s="819"/>
      <c r="O146" s="846"/>
    </row>
    <row r="147" spans="1:15">
      <c r="A147" s="1626" t="s">
        <v>254</v>
      </c>
      <c r="B147" s="1627"/>
      <c r="C147" s="1628"/>
      <c r="D147" s="839" t="s">
        <v>131</v>
      </c>
      <c r="E147" s="840"/>
      <c r="F147" s="840"/>
      <c r="G147" s="842">
        <f>G39+G53</f>
        <v>3514.4599999999627</v>
      </c>
      <c r="H147" s="842">
        <f>G147+'23'!H147</f>
        <v>76318</v>
      </c>
      <c r="I147" s="995"/>
      <c r="J147" s="844">
        <f>H147/DAY(B2)</f>
        <v>3179.9166666666665</v>
      </c>
      <c r="K147" s="940"/>
      <c r="L147" s="819"/>
      <c r="O147" s="846"/>
    </row>
    <row r="148" spans="1:15">
      <c r="A148" s="1626" t="s">
        <v>255</v>
      </c>
      <c r="B148" s="1627"/>
      <c r="C148" s="1628"/>
      <c r="D148" s="839" t="s">
        <v>24</v>
      </c>
      <c r="E148" s="840"/>
      <c r="F148" s="840"/>
      <c r="G148" s="993">
        <f>G147/G7</f>
        <v>0.15894385367139693</v>
      </c>
      <c r="H148" s="842">
        <f>G148+'23'!H148</f>
        <v>4.0395250770798814</v>
      </c>
      <c r="I148" s="995"/>
      <c r="J148" s="844">
        <f>H148/DAY(B2)</f>
        <v>0.16831354487832839</v>
      </c>
      <c r="O148" s="846"/>
    </row>
    <row r="149" spans="1:15">
      <c r="A149" s="1626" t="s">
        <v>256</v>
      </c>
      <c r="B149" s="1627"/>
      <c r="C149" s="1628"/>
      <c r="D149" s="839" t="s">
        <v>182</v>
      </c>
      <c r="E149" s="840"/>
      <c r="F149" s="840"/>
      <c r="G149" s="842">
        <f>G38+G52</f>
        <v>1527.9600000000501</v>
      </c>
      <c r="H149" s="842">
        <f>G149+'23'!H149</f>
        <v>32393</v>
      </c>
      <c r="I149" s="861"/>
      <c r="J149" s="844">
        <f>H149/DAY(B2)</f>
        <v>1349.7083333333333</v>
      </c>
      <c r="K149" s="996"/>
      <c r="O149" s="846"/>
    </row>
    <row r="150" spans="1:15">
      <c r="A150" s="1626" t="s">
        <v>257</v>
      </c>
      <c r="B150" s="1627"/>
      <c r="C150" s="1628"/>
      <c r="D150" s="839" t="s">
        <v>24</v>
      </c>
      <c r="E150" s="840"/>
      <c r="F150" s="840"/>
      <c r="G150" s="993">
        <f>G149/G7</f>
        <v>6.9103034507650735E-2</v>
      </c>
      <c r="H150" s="842">
        <f>G150+'23'!H150</f>
        <v>1.7099793912274783</v>
      </c>
      <c r="I150" s="995"/>
      <c r="J150" s="844">
        <f>H150/DAY(B2)</f>
        <v>7.124914130114493E-2</v>
      </c>
      <c r="O150" s="846"/>
    </row>
    <row r="151" spans="1:15">
      <c r="A151" s="1626" t="s">
        <v>258</v>
      </c>
      <c r="B151" s="1627"/>
      <c r="C151" s="1628"/>
      <c r="D151" s="839" t="s">
        <v>182</v>
      </c>
      <c r="E151" s="840"/>
      <c r="F151" s="840"/>
      <c r="G151" s="842">
        <f>G36+G50</f>
        <v>2693.6299999999865</v>
      </c>
      <c r="H151" s="842">
        <f>G151+'23'!H151</f>
        <v>41997</v>
      </c>
      <c r="I151" s="995"/>
      <c r="J151" s="844">
        <f>H151/DAY(B2)</f>
        <v>1749.875</v>
      </c>
      <c r="O151" s="846"/>
    </row>
    <row r="152" spans="1:15">
      <c r="A152" s="1626" t="s">
        <v>259</v>
      </c>
      <c r="B152" s="1627"/>
      <c r="C152" s="1628"/>
      <c r="D152" s="839" t="s">
        <v>24</v>
      </c>
      <c r="E152" s="840"/>
      <c r="F152" s="840"/>
      <c r="G152" s="993">
        <f>G151/G7</f>
        <v>0.12182125634233633</v>
      </c>
      <c r="H152" s="842">
        <f>G152+'23'!H152</f>
        <v>2.1948838050294084</v>
      </c>
      <c r="I152" s="861"/>
      <c r="J152" s="844">
        <f>H152/DAY(B2)</f>
        <v>9.1453491876225354E-2</v>
      </c>
      <c r="O152" s="846"/>
    </row>
    <row r="153" spans="1:15">
      <c r="A153" s="1626" t="s">
        <v>260</v>
      </c>
      <c r="B153" s="1627"/>
      <c r="C153" s="1628"/>
      <c r="D153" s="839" t="s">
        <v>182</v>
      </c>
      <c r="E153" s="840"/>
      <c r="F153" s="840"/>
      <c r="G153" s="842">
        <f>G37+G51</f>
        <v>1486.5400000000081</v>
      </c>
      <c r="H153" s="842">
        <f>G153+'23'!H153</f>
        <v>33520</v>
      </c>
      <c r="I153" s="861"/>
      <c r="J153" s="844">
        <f>H153/DAY(B2)</f>
        <v>1396.6666666666667</v>
      </c>
      <c r="O153" s="846"/>
    </row>
    <row r="154" spans="1:15" ht="21" thickBot="1">
      <c r="A154" s="1652" t="s">
        <v>261</v>
      </c>
      <c r="B154" s="1653"/>
      <c r="C154" s="1654"/>
      <c r="D154" s="997" t="s">
        <v>24</v>
      </c>
      <c r="E154" s="998"/>
      <c r="F154" s="998"/>
      <c r="G154" s="999">
        <f>G153/G7</f>
        <v>6.7229786720202314E-2</v>
      </c>
      <c r="H154" s="842">
        <f>G154+'23'!H154</f>
        <v>1.7828371047588205</v>
      </c>
      <c r="I154" s="1000"/>
      <c r="J154" s="1001">
        <f>H154/DAY(B2)</f>
        <v>7.4284879364950859E-2</v>
      </c>
      <c r="O154" s="846"/>
    </row>
    <row r="155" spans="1:15">
      <c r="A155" s="1002"/>
      <c r="B155" s="1002"/>
      <c r="C155" s="1002"/>
      <c r="D155" s="1002"/>
      <c r="E155" s="1002"/>
      <c r="F155" s="1002"/>
      <c r="G155" s="1002"/>
      <c r="H155" s="1003"/>
      <c r="I155" s="1002"/>
      <c r="J155" s="1004"/>
      <c r="O155" s="846"/>
    </row>
    <row r="161" spans="1:7">
      <c r="A161" s="992" t="s">
        <v>262</v>
      </c>
      <c r="B161" s="992"/>
      <c r="C161" s="992"/>
      <c r="D161" s="826" t="s">
        <v>186</v>
      </c>
      <c r="E161" s="840">
        <f>'23'!F161</f>
        <v>40281.089999999997</v>
      </c>
      <c r="F161" s="1016">
        <v>40362</v>
      </c>
      <c r="G161" s="841">
        <f t="shared" ref="G161:G164" si="16">F161-E161</f>
        <v>80.910000000003492</v>
      </c>
    </row>
    <row r="162" spans="1:7" ht="21.75" customHeight="1">
      <c r="A162" s="992" t="s">
        <v>263</v>
      </c>
      <c r="B162" s="992"/>
      <c r="C162" s="992"/>
      <c r="D162" s="826" t="s">
        <v>186</v>
      </c>
      <c r="E162" s="840">
        <f>'23'!F162</f>
        <v>104593.05</v>
      </c>
      <c r="F162" s="1016">
        <v>105052</v>
      </c>
      <c r="G162" s="841">
        <f t="shared" si="16"/>
        <v>458.94999999999709</v>
      </c>
    </row>
    <row r="163" spans="1:7" ht="21.75" customHeight="1">
      <c r="A163" s="992" t="s">
        <v>264</v>
      </c>
      <c r="B163" s="992"/>
      <c r="C163" s="992"/>
      <c r="D163" s="826" t="s">
        <v>186</v>
      </c>
      <c r="E163" s="840">
        <f>'23'!F163</f>
        <v>49805.67</v>
      </c>
      <c r="F163" s="1016">
        <v>49999</v>
      </c>
      <c r="G163" s="841">
        <f t="shared" si="16"/>
        <v>193.33000000000175</v>
      </c>
    </row>
    <row r="164" spans="1:7" ht="21.75" customHeight="1">
      <c r="A164" s="992" t="s">
        <v>265</v>
      </c>
      <c r="B164" s="992"/>
      <c r="C164" s="992"/>
      <c r="D164" s="826" t="s">
        <v>186</v>
      </c>
      <c r="E164" s="840">
        <f>'23'!F164</f>
        <v>6780.12</v>
      </c>
      <c r="F164" s="1016">
        <v>6792</v>
      </c>
      <c r="G164" s="841">
        <f t="shared" si="16"/>
        <v>11.880000000000109</v>
      </c>
    </row>
    <row r="165" spans="1:7" ht="21.75" customHeight="1">
      <c r="A165" s="922" t="s">
        <v>97</v>
      </c>
      <c r="B165" s="922"/>
      <c r="C165" s="922"/>
      <c r="D165" s="826" t="s">
        <v>186</v>
      </c>
      <c r="E165" s="923">
        <f>E62</f>
        <v>20419</v>
      </c>
      <c r="F165" s="923">
        <f>F62</f>
        <v>20419</v>
      </c>
      <c r="G165" s="841">
        <f t="shared" ref="G165:G172" si="17">F165-E165</f>
        <v>0</v>
      </c>
    </row>
    <row r="166" spans="1:7" ht="21.75" customHeight="1">
      <c r="A166" s="922" t="s">
        <v>187</v>
      </c>
      <c r="B166" s="922"/>
      <c r="C166" s="922"/>
      <c r="D166" s="826" t="s">
        <v>186</v>
      </c>
      <c r="E166" s="923">
        <f t="shared" ref="E166:E172" si="18">E63</f>
        <v>0</v>
      </c>
      <c r="F166" s="923">
        <f t="shared" ref="F166:F172" si="19">F63</f>
        <v>0</v>
      </c>
      <c r="G166" s="841">
        <f t="shared" si="17"/>
        <v>0</v>
      </c>
    </row>
    <row r="167" spans="1:7" ht="21.75" customHeight="1">
      <c r="A167" s="1612" t="s">
        <v>98</v>
      </c>
      <c r="B167" s="1612"/>
      <c r="C167" s="1612"/>
      <c r="D167" s="839" t="s">
        <v>186</v>
      </c>
      <c r="E167" s="923">
        <f t="shared" si="18"/>
        <v>167394.59</v>
      </c>
      <c r="F167" s="923">
        <f t="shared" si="19"/>
        <v>167799</v>
      </c>
      <c r="G167" s="841">
        <f t="shared" si="17"/>
        <v>404.41000000000349</v>
      </c>
    </row>
    <row r="168" spans="1:7" ht="21.75" customHeight="1">
      <c r="A168" s="1612" t="s">
        <v>99</v>
      </c>
      <c r="B168" s="1612"/>
      <c r="C168" s="1612"/>
      <c r="D168" s="839" t="s">
        <v>186</v>
      </c>
      <c r="E168" s="923">
        <f t="shared" si="18"/>
        <v>167531.19</v>
      </c>
      <c r="F168" s="923">
        <f t="shared" si="19"/>
        <v>167848</v>
      </c>
      <c r="G168" s="841">
        <f t="shared" si="17"/>
        <v>316.80999999999767</v>
      </c>
    </row>
    <row r="169" spans="1:7" ht="21.75" customHeight="1">
      <c r="A169" s="1612" t="s">
        <v>100</v>
      </c>
      <c r="B169" s="1612"/>
      <c r="C169" s="1612"/>
      <c r="D169" s="839" t="s">
        <v>186</v>
      </c>
      <c r="E169" s="923">
        <f t="shared" si="18"/>
        <v>65006.65</v>
      </c>
      <c r="F169" s="923">
        <f t="shared" si="19"/>
        <v>65414</v>
      </c>
      <c r="G169" s="841">
        <f t="shared" si="17"/>
        <v>407.34999999999854</v>
      </c>
    </row>
    <row r="170" spans="1:7">
      <c r="A170" s="1612" t="s">
        <v>101</v>
      </c>
      <c r="B170" s="1612"/>
      <c r="C170" s="1612"/>
      <c r="D170" s="839" t="s">
        <v>186</v>
      </c>
      <c r="E170" s="923">
        <f t="shared" si="18"/>
        <v>261813.67</v>
      </c>
      <c r="F170" s="923">
        <f t="shared" si="19"/>
        <v>262246</v>
      </c>
      <c r="G170" s="841">
        <f t="shared" si="17"/>
        <v>432.32999999998719</v>
      </c>
    </row>
    <row r="171" spans="1:7" ht="24" customHeight="1">
      <c r="A171" s="1612" t="s">
        <v>102</v>
      </c>
      <c r="B171" s="1612"/>
      <c r="C171" s="1612"/>
      <c r="D171" s="839" t="s">
        <v>186</v>
      </c>
      <c r="E171" s="923">
        <f t="shared" si="18"/>
        <v>85321</v>
      </c>
      <c r="F171" s="923">
        <f t="shared" si="19"/>
        <v>85321</v>
      </c>
      <c r="G171" s="841">
        <f t="shared" si="17"/>
        <v>0</v>
      </c>
    </row>
    <row r="172" spans="1:7">
      <c r="A172" s="1612" t="s">
        <v>103</v>
      </c>
      <c r="B172" s="1612"/>
      <c r="C172" s="1612"/>
      <c r="D172" s="839" t="s">
        <v>186</v>
      </c>
      <c r="E172" s="923">
        <f t="shared" si="18"/>
        <v>85863.75</v>
      </c>
      <c r="F172" s="923">
        <f t="shared" si="19"/>
        <v>86101</v>
      </c>
      <c r="G172" s="841">
        <f t="shared" si="17"/>
        <v>237.25</v>
      </c>
    </row>
    <row r="173" spans="1:7" ht="29.25">
      <c r="A173" s="1596"/>
      <c r="B173" s="1579"/>
      <c r="C173" s="786"/>
      <c r="D173" s="523"/>
      <c r="G173" s="1007">
        <f>SUM(G161:G172)</f>
        <v>2543.2199999999893</v>
      </c>
    </row>
    <row r="174" spans="1:7">
      <c r="A174" s="1612" t="s">
        <v>347</v>
      </c>
      <c r="B174" s="1612"/>
      <c r="C174" s="1612"/>
      <c r="D174" s="839" t="s">
        <v>186</v>
      </c>
      <c r="E174" s="970">
        <v>28192.77</v>
      </c>
      <c r="F174" s="970">
        <v>28203</v>
      </c>
      <c r="G174" s="841">
        <f t="shared" ref="G174:G177" si="20">F174-E174</f>
        <v>10.229999999999563</v>
      </c>
    </row>
    <row r="175" spans="1:7">
      <c r="A175" s="1613" t="s">
        <v>357</v>
      </c>
      <c r="B175" s="1614"/>
      <c r="C175" s="992"/>
      <c r="D175" s="839" t="s">
        <v>186</v>
      </c>
      <c r="E175" s="970">
        <v>18970.8</v>
      </c>
      <c r="F175" s="970">
        <v>18975</v>
      </c>
      <c r="G175" s="841">
        <f t="shared" si="20"/>
        <v>4.2000000000007276</v>
      </c>
    </row>
    <row r="176" spans="1:7">
      <c r="A176" s="1613" t="s">
        <v>358</v>
      </c>
      <c r="B176" s="1614"/>
      <c r="D176" s="839" t="s">
        <v>186</v>
      </c>
      <c r="E176" s="970">
        <v>27599.7</v>
      </c>
      <c r="F176" s="970">
        <v>27605</v>
      </c>
      <c r="G176" s="841">
        <f t="shared" si="20"/>
        <v>5.2999999999992724</v>
      </c>
    </row>
    <row r="177" spans="1:7" ht="18.75" customHeight="1">
      <c r="A177" s="1613" t="s">
        <v>357</v>
      </c>
      <c r="B177" s="1614"/>
      <c r="D177" s="839" t="s">
        <v>186</v>
      </c>
      <c r="E177" s="970">
        <v>70210</v>
      </c>
      <c r="F177" s="970">
        <v>70231</v>
      </c>
      <c r="G177" s="841">
        <f t="shared" si="20"/>
        <v>21</v>
      </c>
    </row>
  </sheetData>
  <mergeCells count="79">
    <mergeCell ref="A172:C172"/>
    <mergeCell ref="A167:C167"/>
    <mergeCell ref="A168:C168"/>
    <mergeCell ref="A169:C169"/>
    <mergeCell ref="A170:C170"/>
    <mergeCell ref="A171:C171"/>
    <mergeCell ref="A119:B119"/>
    <mergeCell ref="A120:B120"/>
    <mergeCell ref="A121:B121"/>
    <mergeCell ref="A122:B122"/>
    <mergeCell ref="A114:B114"/>
    <mergeCell ref="A115:B115"/>
    <mergeCell ref="A116:B116"/>
    <mergeCell ref="A117:B117"/>
    <mergeCell ref="A118:B118"/>
    <mergeCell ref="A109:B109"/>
    <mergeCell ref="A110:B110"/>
    <mergeCell ref="A111:B111"/>
    <mergeCell ref="A112:B112"/>
    <mergeCell ref="A113:B113"/>
    <mergeCell ref="A104:B104"/>
    <mergeCell ref="A105:B105"/>
    <mergeCell ref="A106:B106"/>
    <mergeCell ref="A107:C107"/>
    <mergeCell ref="A108:B108"/>
    <mergeCell ref="A102:C102"/>
    <mergeCell ref="A123:C123"/>
    <mergeCell ref="A142:B142"/>
    <mergeCell ref="A153:C153"/>
    <mergeCell ref="A154:C154"/>
    <mergeCell ref="A126:C126"/>
    <mergeCell ref="A150:C150"/>
    <mergeCell ref="A151:C151"/>
    <mergeCell ref="A152:C152"/>
    <mergeCell ref="A145:C145"/>
    <mergeCell ref="A146:C146"/>
    <mergeCell ref="A147:C147"/>
    <mergeCell ref="A148:C148"/>
    <mergeCell ref="A149:C149"/>
    <mergeCell ref="A143:C143"/>
    <mergeCell ref="A144:C144"/>
    <mergeCell ref="A95:C95"/>
    <mergeCell ref="A96:C96"/>
    <mergeCell ref="A82:C82"/>
    <mergeCell ref="A83:C83"/>
    <mergeCell ref="A93:C93"/>
    <mergeCell ref="A94:C94"/>
    <mergeCell ref="A76:C76"/>
    <mergeCell ref="A77:C77"/>
    <mergeCell ref="A79:C79"/>
    <mergeCell ref="A80:C80"/>
    <mergeCell ref="A81:C81"/>
    <mergeCell ref="A69:C69"/>
    <mergeCell ref="A72:C72"/>
    <mergeCell ref="A73:C73"/>
    <mergeCell ref="A74:C74"/>
    <mergeCell ref="A75:C75"/>
    <mergeCell ref="A71:J71"/>
    <mergeCell ref="A70:C70"/>
    <mergeCell ref="A64:C64"/>
    <mergeCell ref="A65:C65"/>
    <mergeCell ref="A66:C66"/>
    <mergeCell ref="A67:C67"/>
    <mergeCell ref="A68:C68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  <mergeCell ref="A174:C174"/>
    <mergeCell ref="A175:B175"/>
    <mergeCell ref="A176:B176"/>
    <mergeCell ref="A177:B177"/>
    <mergeCell ref="A173:B173"/>
  </mergeCells>
  <pageMargins left="0.22" right="0.17" top="0.14000000000000001" bottom="0.2" header="0.2" footer="0.2"/>
  <pageSetup paperSize="5" scale="28" orientation="portrait" r:id="rId1"/>
  <colBreaks count="1" manualBreakCount="1">
    <brk id="10" max="1048575" man="1"/>
  </colBreaks>
</worksheet>
</file>

<file path=xl/worksheets/sheet3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177"/>
  <sheetViews>
    <sheetView view="pageBreakPreview" topLeftCell="A166" zoomScale="70" zoomScaleNormal="49" zoomScaleSheetLayoutView="70" workbookViewId="0">
      <selection activeCell="F177" sqref="F177"/>
    </sheetView>
  </sheetViews>
  <sheetFormatPr defaultColWidth="22.33203125" defaultRowHeight="20.25"/>
  <cols>
    <col min="1" max="1" width="51.21875" style="1005" customWidth="1"/>
    <col min="2" max="2" width="24.88671875" style="1005" customWidth="1"/>
    <col min="3" max="3" width="12.44140625" style="1005" customWidth="1"/>
    <col min="4" max="4" width="13.6640625" style="1005" customWidth="1"/>
    <col min="5" max="5" width="28.109375" style="1005" customWidth="1"/>
    <col min="6" max="6" width="23.77734375" style="1497" customWidth="1"/>
    <col min="7" max="7" width="18.44140625" style="1005" customWidth="1"/>
    <col min="8" max="8" width="39.21875" style="1006" customWidth="1"/>
    <col min="9" max="9" width="12" style="1005" bestFit="1" customWidth="1"/>
    <col min="10" max="10" width="24" style="1007" customWidth="1"/>
    <col min="11" max="11" width="43.21875" style="806" hidden="1" customWidth="1"/>
    <col min="12" max="13" width="0" style="806" hidden="1" customWidth="1"/>
    <col min="14" max="14" width="25.109375" style="1008" customWidth="1"/>
    <col min="15" max="15" width="8" style="806" bestFit="1" customWidth="1"/>
    <col min="16" max="16384" width="22.33203125" style="806"/>
  </cols>
  <sheetData>
    <row r="1" spans="1:15" ht="22.5">
      <c r="A1" s="1615" t="s">
        <v>214</v>
      </c>
      <c r="B1" s="1616"/>
      <c r="C1" s="1616"/>
      <c r="D1" s="1616"/>
      <c r="E1" s="1616"/>
      <c r="F1" s="1616"/>
      <c r="G1" s="1616"/>
      <c r="H1" s="1616"/>
      <c r="I1" s="1616"/>
      <c r="J1" s="1617"/>
    </row>
    <row r="2" spans="1:15">
      <c r="A2" s="807" t="s">
        <v>346</v>
      </c>
      <c r="B2" s="1078">
        <v>44007</v>
      </c>
      <c r="C2" s="808" t="s">
        <v>68</v>
      </c>
      <c r="D2" s="1021">
        <v>0.88</v>
      </c>
      <c r="E2" s="810"/>
      <c r="F2" s="1481"/>
      <c r="G2" s="810" t="s">
        <v>117</v>
      </c>
      <c r="H2" s="810" t="s">
        <v>6</v>
      </c>
      <c r="I2" s="810" t="s">
        <v>8</v>
      </c>
      <c r="J2" s="811" t="s">
        <v>118</v>
      </c>
    </row>
    <row r="3" spans="1:15">
      <c r="A3" s="812"/>
      <c r="B3" s="813"/>
      <c r="C3" s="808" t="s">
        <v>119</v>
      </c>
      <c r="D3" s="808">
        <v>28</v>
      </c>
      <c r="E3" s="1624" t="s">
        <v>120</v>
      </c>
      <c r="F3" s="1625"/>
      <c r="G3" s="815">
        <f>'1'!G3</f>
        <v>0</v>
      </c>
      <c r="H3" s="816">
        <f>'1'!H3</f>
        <v>0</v>
      </c>
      <c r="I3" s="816">
        <f>'1'!I3</f>
        <v>0</v>
      </c>
      <c r="J3" s="817">
        <f>'1'!J3</f>
        <v>0</v>
      </c>
      <c r="K3" s="818"/>
      <c r="L3" s="819"/>
    </row>
    <row r="4" spans="1:15">
      <c r="A4" s="820"/>
      <c r="B4" s="821"/>
      <c r="C4" s="808" t="s">
        <v>121</v>
      </c>
      <c r="D4" s="1021">
        <v>0.8</v>
      </c>
      <c r="E4" s="822"/>
      <c r="F4" s="1458"/>
      <c r="G4" s="822"/>
      <c r="H4" s="822"/>
      <c r="I4" s="823"/>
      <c r="J4" s="817"/>
      <c r="K4" s="824"/>
      <c r="L4" s="819"/>
    </row>
    <row r="5" spans="1:15">
      <c r="A5" s="825" t="s">
        <v>122</v>
      </c>
      <c r="B5" s="826"/>
      <c r="C5" s="826"/>
      <c r="D5" s="826" t="s">
        <v>123</v>
      </c>
      <c r="E5" s="827" t="s">
        <v>124</v>
      </c>
      <c r="F5" s="1482" t="s">
        <v>111</v>
      </c>
      <c r="G5" s="828" t="s">
        <v>125</v>
      </c>
      <c r="H5" s="829" t="s">
        <v>126</v>
      </c>
      <c r="I5" s="830" t="s">
        <v>127</v>
      </c>
      <c r="J5" s="831" t="s">
        <v>128</v>
      </c>
      <c r="K5" s="832"/>
      <c r="L5" s="819"/>
    </row>
    <row r="6" spans="1:15">
      <c r="A6" s="1618" t="s">
        <v>129</v>
      </c>
      <c r="B6" s="1619"/>
      <c r="C6" s="1620"/>
      <c r="D6" s="833"/>
      <c r="E6" s="833"/>
      <c r="F6" s="1481"/>
      <c r="G6" s="833"/>
      <c r="H6" s="834"/>
      <c r="I6" s="834"/>
      <c r="J6" s="835"/>
      <c r="K6" s="836"/>
      <c r="L6" s="819"/>
    </row>
    <row r="7" spans="1:15" ht="21" thickBot="1">
      <c r="A7" s="837" t="s">
        <v>130</v>
      </c>
      <c r="B7" s="838"/>
      <c r="C7" s="838"/>
      <c r="D7" s="839" t="s">
        <v>131</v>
      </c>
      <c r="E7" s="840">
        <f>'24'!F7</f>
        <v>798549</v>
      </c>
      <c r="F7" s="1458">
        <v>817869</v>
      </c>
      <c r="G7" s="841">
        <f>F7-E7</f>
        <v>19320</v>
      </c>
      <c r="H7" s="842">
        <f>G7+'24'!H7</f>
        <v>473457</v>
      </c>
      <c r="I7" s="843">
        <f>'1'!I7</f>
        <v>12000</v>
      </c>
      <c r="J7" s="844">
        <f>H7/DAY(B2)</f>
        <v>18938.28</v>
      </c>
      <c r="K7" s="845"/>
      <c r="L7" s="819"/>
      <c r="N7" s="1019">
        <f>G7/G8</f>
        <v>0.99551708146545059</v>
      </c>
      <c r="O7" s="846"/>
    </row>
    <row r="8" spans="1:15" ht="21" thickBot="1">
      <c r="A8" s="847" t="s">
        <v>132</v>
      </c>
      <c r="B8" s="848"/>
      <c r="C8" s="849"/>
      <c r="D8" s="850" t="s">
        <v>25</v>
      </c>
      <c r="E8" s="840">
        <f>'24'!F8</f>
        <v>802674</v>
      </c>
      <c r="F8" s="1483">
        <v>822081</v>
      </c>
      <c r="G8" s="852">
        <f>F8-E8</f>
        <v>19407</v>
      </c>
      <c r="H8" s="842">
        <f>G8+'24'!H8</f>
        <v>475571</v>
      </c>
      <c r="I8" s="853">
        <f>'1'!I8</f>
        <v>12000</v>
      </c>
      <c r="J8" s="844">
        <f>H8/DAY(B2)</f>
        <v>19022.84</v>
      </c>
      <c r="K8" s="845">
        <v>1375467</v>
      </c>
      <c r="L8" s="854">
        <v>1667461</v>
      </c>
      <c r="M8" s="855"/>
      <c r="O8" s="846"/>
    </row>
    <row r="9" spans="1:15">
      <c r="A9" s="856" t="s">
        <v>133</v>
      </c>
      <c r="B9" s="857"/>
      <c r="C9" s="857"/>
      <c r="D9" s="839" t="s">
        <v>131</v>
      </c>
      <c r="E9" s="840">
        <f>'24'!F9</f>
        <v>1913408</v>
      </c>
      <c r="F9" s="1484">
        <v>1932109</v>
      </c>
      <c r="G9" s="841">
        <f t="shared" ref="G9:G12" si="0">F9-E9</f>
        <v>18701</v>
      </c>
      <c r="H9" s="842">
        <f>G9+'24'!H9</f>
        <v>458419</v>
      </c>
      <c r="I9" s="859">
        <f>I8-J8</f>
        <v>-7022.84</v>
      </c>
      <c r="J9" s="844">
        <f>H9/DAY(B2)</f>
        <v>18336.759999999998</v>
      </c>
      <c r="K9" s="860"/>
      <c r="L9" s="819"/>
      <c r="O9" s="846"/>
    </row>
    <row r="10" spans="1:15">
      <c r="A10" s="837" t="s">
        <v>134</v>
      </c>
      <c r="B10" s="838"/>
      <c r="C10" s="838"/>
      <c r="D10" s="839" t="s">
        <v>131</v>
      </c>
      <c r="E10" s="840">
        <f>'24'!F10</f>
        <v>0</v>
      </c>
      <c r="F10" s="1484">
        <v>0</v>
      </c>
      <c r="G10" s="841">
        <f t="shared" si="0"/>
        <v>0</v>
      </c>
      <c r="H10" s="842">
        <f>G10+'24'!H10</f>
        <v>0.71999999999979991</v>
      </c>
      <c r="I10" s="861"/>
      <c r="J10" s="844">
        <f>H10/DAY(B2)</f>
        <v>2.8799999999991995E-2</v>
      </c>
      <c r="K10" s="860"/>
      <c r="L10" s="819">
        <f>L8-K8</f>
        <v>291994</v>
      </c>
      <c r="O10" s="846"/>
    </row>
    <row r="11" spans="1:15">
      <c r="A11" s="837" t="s">
        <v>135</v>
      </c>
      <c r="B11" s="838"/>
      <c r="C11" s="838"/>
      <c r="D11" s="839" t="s">
        <v>131</v>
      </c>
      <c r="E11" s="840">
        <f>'5'!E11</f>
        <v>37000</v>
      </c>
      <c r="F11" s="1458">
        <v>37000</v>
      </c>
      <c r="G11" s="841">
        <f t="shared" si="0"/>
        <v>0</v>
      </c>
      <c r="H11" s="842">
        <f>G11+'24'!H11</f>
        <v>0</v>
      </c>
      <c r="I11" s="861"/>
      <c r="J11" s="844">
        <f>H11/DAY(B2)</f>
        <v>0</v>
      </c>
      <c r="K11" s="860"/>
      <c r="L11" s="819"/>
      <c r="N11" s="1020">
        <f>G7*N7</f>
        <v>19233.390013912507</v>
      </c>
      <c r="O11" s="846"/>
    </row>
    <row r="12" spans="1:15">
      <c r="A12" s="837" t="s">
        <v>136</v>
      </c>
      <c r="B12" s="838"/>
      <c r="C12" s="838"/>
      <c r="D12" s="839" t="s">
        <v>131</v>
      </c>
      <c r="E12" s="840">
        <f>'5'!E12</f>
        <v>40010</v>
      </c>
      <c r="F12" s="1484">
        <v>40010</v>
      </c>
      <c r="G12" s="841">
        <f t="shared" si="0"/>
        <v>0</v>
      </c>
      <c r="H12" s="842">
        <f>G12+'24'!H12</f>
        <v>0</v>
      </c>
      <c r="I12" s="861"/>
      <c r="J12" s="844">
        <f>H12/DAY(B2)</f>
        <v>0</v>
      </c>
      <c r="K12" s="860"/>
      <c r="L12" s="819"/>
      <c r="O12" s="846"/>
    </row>
    <row r="13" spans="1:15">
      <c r="A13" s="862" t="s">
        <v>137</v>
      </c>
      <c r="B13" s="863"/>
      <c r="C13" s="863"/>
      <c r="D13" s="839"/>
      <c r="E13" s="840"/>
      <c r="F13" s="1458"/>
      <c r="G13" s="864">
        <f>G9+G10+G11+G12</f>
        <v>18701</v>
      </c>
      <c r="H13" s="842">
        <f>G13+'24'!H13</f>
        <v>441894.72</v>
      </c>
      <c r="I13" s="865">
        <f>G7-G13</f>
        <v>619</v>
      </c>
      <c r="J13" s="844">
        <f>H13/DAY(B2)</f>
        <v>17675.788799999998</v>
      </c>
      <c r="K13" s="860"/>
      <c r="L13" s="819">
        <f>L10-H7</f>
        <v>-181463</v>
      </c>
      <c r="O13" s="846"/>
    </row>
    <row r="14" spans="1:15">
      <c r="A14" s="1621" t="s">
        <v>138</v>
      </c>
      <c r="B14" s="1622"/>
      <c r="C14" s="1623"/>
      <c r="D14" s="834"/>
      <c r="E14" s="834"/>
      <c r="F14" s="939"/>
      <c r="G14" s="866"/>
      <c r="H14" s="834"/>
      <c r="I14" s="834"/>
      <c r="J14" s="835"/>
      <c r="K14" s="867"/>
      <c r="L14" s="819"/>
      <c r="O14" s="846"/>
    </row>
    <row r="15" spans="1:15">
      <c r="A15" s="868" t="s">
        <v>139</v>
      </c>
      <c r="B15" s="869"/>
      <c r="C15" s="869"/>
      <c r="D15" s="839" t="s">
        <v>140</v>
      </c>
      <c r="E15" s="840">
        <f>'24'!F15</f>
        <v>1699218</v>
      </c>
      <c r="F15" s="991">
        <v>1699964</v>
      </c>
      <c r="G15" s="1017">
        <f>(F15-E15)</f>
        <v>746</v>
      </c>
      <c r="H15" s="842">
        <f>G15+'24'!H15</f>
        <v>15440</v>
      </c>
      <c r="I15" s="843">
        <f>'1'!I15</f>
        <v>800</v>
      </c>
      <c r="J15" s="844">
        <f>H15/DAY(B2)</f>
        <v>617.6</v>
      </c>
      <c r="K15" s="860"/>
      <c r="L15" s="819"/>
      <c r="O15" s="846"/>
    </row>
    <row r="16" spans="1:15">
      <c r="A16" s="871"/>
      <c r="B16" s="872"/>
      <c r="C16" s="872"/>
      <c r="D16" s="873"/>
      <c r="E16" s="874"/>
      <c r="F16" s="1484"/>
      <c r="G16" s="841"/>
      <c r="H16" s="875"/>
      <c r="I16" s="876">
        <f>I15-J15</f>
        <v>182.39999999999998</v>
      </c>
      <c r="J16" s="877"/>
      <c r="K16" s="860"/>
      <c r="L16" s="819"/>
      <c r="O16" s="846">
        <f>580-990</f>
        <v>-410</v>
      </c>
    </row>
    <row r="17" spans="1:15">
      <c r="A17" s="1621" t="s">
        <v>141</v>
      </c>
      <c r="B17" s="1622"/>
      <c r="C17" s="1623"/>
      <c r="D17" s="834"/>
      <c r="E17" s="834"/>
      <c r="F17" s="939"/>
      <c r="G17" s="878"/>
      <c r="H17" s="834"/>
      <c r="I17" s="834"/>
      <c r="J17" s="835"/>
      <c r="K17" s="860"/>
      <c r="L17" s="819"/>
      <c r="O17" s="1375">
        <f>O16*3</f>
        <v>-1230</v>
      </c>
    </row>
    <row r="18" spans="1:15">
      <c r="A18" s="1626" t="s">
        <v>142</v>
      </c>
      <c r="B18" s="1627"/>
      <c r="C18" s="1628"/>
      <c r="D18" s="839" t="s">
        <v>143</v>
      </c>
      <c r="E18" s="840">
        <f>'24'!F18</f>
        <v>10</v>
      </c>
      <c r="F18" s="991">
        <v>11</v>
      </c>
      <c r="G18" s="864">
        <f>F18*10</f>
        <v>110</v>
      </c>
      <c r="H18" s="842">
        <f>G18+'24'!H18</f>
        <v>1940</v>
      </c>
      <c r="I18" s="843">
        <f>'1'!I18</f>
        <v>65</v>
      </c>
      <c r="J18" s="844">
        <f>H18/DAY(B2)</f>
        <v>77.599999999999994</v>
      </c>
      <c r="K18" s="860"/>
      <c r="L18" s="819"/>
      <c r="O18" s="846"/>
    </row>
    <row r="19" spans="1:15">
      <c r="A19" s="1626" t="s">
        <v>70</v>
      </c>
      <c r="B19" s="1627"/>
      <c r="C19" s="1628"/>
      <c r="D19" s="839" t="s">
        <v>143</v>
      </c>
      <c r="E19" s="840">
        <f>'24'!F19</f>
        <v>141118</v>
      </c>
      <c r="F19" s="991">
        <v>141178</v>
      </c>
      <c r="G19" s="841">
        <f t="shared" ref="G19" si="1">F19-E19</f>
        <v>60</v>
      </c>
      <c r="H19" s="842">
        <f>G19+'24'!H19</f>
        <v>1566</v>
      </c>
      <c r="I19" s="879"/>
      <c r="J19" s="844">
        <f>H19/DAY(B2)</f>
        <v>62.64</v>
      </c>
      <c r="K19" s="860"/>
      <c r="L19" s="819"/>
      <c r="O19" s="846"/>
    </row>
    <row r="20" spans="1:15">
      <c r="A20" s="862" t="s">
        <v>144</v>
      </c>
      <c r="B20" s="863"/>
      <c r="C20" s="863"/>
      <c r="D20" s="880"/>
      <c r="E20" s="880"/>
      <c r="F20" s="1485"/>
      <c r="G20" s="881">
        <f>G18+G19</f>
        <v>170</v>
      </c>
      <c r="H20" s="842">
        <f>G20+'24'!H20</f>
        <v>3506</v>
      </c>
      <c r="I20" s="882">
        <f>I18-J20</f>
        <v>-75.240000000000009</v>
      </c>
      <c r="J20" s="844">
        <f>H20/DAY(B2)</f>
        <v>140.24</v>
      </c>
      <c r="K20" s="860"/>
      <c r="L20" s="819"/>
      <c r="O20" s="846"/>
    </row>
    <row r="21" spans="1:15">
      <c r="A21" s="1621" t="s">
        <v>145</v>
      </c>
      <c r="B21" s="1622"/>
      <c r="C21" s="1623"/>
      <c r="D21" s="834"/>
      <c r="E21" s="834"/>
      <c r="F21" s="939"/>
      <c r="G21" s="866"/>
      <c r="H21" s="834"/>
      <c r="I21" s="834"/>
      <c r="J21" s="835"/>
      <c r="K21" s="860"/>
      <c r="L21" s="819"/>
      <c r="O21" s="846"/>
    </row>
    <row r="22" spans="1:15">
      <c r="A22" s="868" t="s">
        <v>146</v>
      </c>
      <c r="B22" s="869"/>
      <c r="C22" s="869"/>
      <c r="D22" s="839" t="s">
        <v>147</v>
      </c>
      <c r="E22" s="1373">
        <v>2970</v>
      </c>
      <c r="F22" s="991">
        <v>2970</v>
      </c>
      <c r="G22" s="1374">
        <f t="shared" ref="G22" si="2">(F22-E22)</f>
        <v>0</v>
      </c>
      <c r="H22" s="842">
        <f>G22+'24'!H22</f>
        <v>0</v>
      </c>
      <c r="I22" s="861"/>
      <c r="J22" s="844">
        <f>H22/DAY(B2)</f>
        <v>0</v>
      </c>
      <c r="K22" s="860"/>
      <c r="L22" s="819"/>
      <c r="O22" s="846"/>
    </row>
    <row r="23" spans="1:15">
      <c r="A23" s="868" t="s">
        <v>148</v>
      </c>
      <c r="B23" s="869"/>
      <c r="C23" s="869"/>
      <c r="D23" s="839" t="s">
        <v>147</v>
      </c>
      <c r="E23" s="870">
        <f>'24'!F23</f>
        <v>2000</v>
      </c>
      <c r="F23" s="991">
        <v>2000</v>
      </c>
      <c r="G23" s="864">
        <v>0</v>
      </c>
      <c r="H23" s="842">
        <f>G23+'24'!H23</f>
        <v>0</v>
      </c>
      <c r="I23" s="861"/>
      <c r="J23" s="844">
        <f>H23/DAY(B2)</f>
        <v>0</v>
      </c>
      <c r="K23" s="860"/>
      <c r="L23" s="819"/>
      <c r="O23" s="846"/>
    </row>
    <row r="24" spans="1:15">
      <c r="A24" s="883" t="s">
        <v>149</v>
      </c>
      <c r="B24" s="884"/>
      <c r="C24" s="884"/>
      <c r="D24" s="826" t="s">
        <v>147</v>
      </c>
      <c r="E24" s="870">
        <f>'24'!F24</f>
        <v>4970</v>
      </c>
      <c r="F24" s="1486">
        <v>4970</v>
      </c>
      <c r="G24" s="864">
        <v>0</v>
      </c>
      <c r="H24" s="842">
        <f>G24+'24'!H24</f>
        <v>0</v>
      </c>
      <c r="I24" s="861"/>
      <c r="J24" s="844">
        <f>H24/DAY(B2)</f>
        <v>0</v>
      </c>
      <c r="K24" s="860"/>
      <c r="L24" s="819"/>
      <c r="O24" s="846"/>
    </row>
    <row r="25" spans="1:15" s="891" customFormat="1">
      <c r="A25" s="1618" t="s">
        <v>150</v>
      </c>
      <c r="B25" s="1619"/>
      <c r="C25" s="1620"/>
      <c r="D25" s="833"/>
      <c r="E25" s="833"/>
      <c r="F25" s="1481"/>
      <c r="G25" s="886"/>
      <c r="H25" s="887"/>
      <c r="I25" s="888"/>
      <c r="J25" s="889"/>
      <c r="K25" s="860"/>
      <c r="L25" s="890"/>
      <c r="N25" s="1009"/>
      <c r="O25" s="846"/>
    </row>
    <row r="26" spans="1:15" s="891" customFormat="1">
      <c r="A26" s="892" t="s">
        <v>151</v>
      </c>
      <c r="B26" s="893"/>
      <c r="C26" s="894"/>
      <c r="D26" s="895" t="s">
        <v>152</v>
      </c>
      <c r="E26" s="896"/>
      <c r="F26" s="1487"/>
      <c r="G26" s="897"/>
      <c r="H26" s="842"/>
      <c r="I26" s="898"/>
      <c r="J26" s="844"/>
      <c r="K26" s="867"/>
      <c r="L26" s="890"/>
      <c r="N26" s="1009"/>
      <c r="O26" s="846"/>
    </row>
    <row r="27" spans="1:15" s="891" customFormat="1" ht="22.5">
      <c r="A27" s="892" t="s">
        <v>6</v>
      </c>
      <c r="B27" s="893"/>
      <c r="C27" s="894"/>
      <c r="D27" s="899" t="s">
        <v>25</v>
      </c>
      <c r="E27" s="900">
        <f>G8</f>
        <v>19407</v>
      </c>
      <c r="F27" s="1414">
        <v>9</v>
      </c>
      <c r="G27" s="902">
        <f>E27*F27</f>
        <v>174663</v>
      </c>
      <c r="H27" s="842">
        <f>G27+'24'!H27</f>
        <v>4279302</v>
      </c>
      <c r="I27" s="903"/>
      <c r="J27" s="844">
        <f>H27/DAY(B2)</f>
        <v>171172.08</v>
      </c>
      <c r="K27" s="860"/>
      <c r="L27" s="890"/>
      <c r="N27" s="1009"/>
      <c r="O27" s="846"/>
    </row>
    <row r="28" spans="1:15" s="891" customFormat="1" ht="22.5">
      <c r="A28" s="892" t="s">
        <v>153</v>
      </c>
      <c r="B28" s="893"/>
      <c r="C28" s="894"/>
      <c r="D28" s="899" t="s">
        <v>154</v>
      </c>
      <c r="E28" s="900">
        <f>G15</f>
        <v>746</v>
      </c>
      <c r="F28" s="501">
        <v>52</v>
      </c>
      <c r="G28" s="902">
        <f>E28*F28</f>
        <v>38792</v>
      </c>
      <c r="H28" s="842">
        <f>G28+'24'!H28</f>
        <v>802880</v>
      </c>
      <c r="I28" s="904"/>
      <c r="J28" s="844">
        <f>H28/DAY(B2)</f>
        <v>32115.200000000001</v>
      </c>
      <c r="K28" s="860"/>
      <c r="L28" s="890"/>
      <c r="N28" s="1009"/>
      <c r="O28" s="846"/>
    </row>
    <row r="29" spans="1:15" s="891" customFormat="1">
      <c r="A29" s="892" t="s">
        <v>155</v>
      </c>
      <c r="B29" s="893"/>
      <c r="C29" s="894"/>
      <c r="D29" s="899" t="s">
        <v>156</v>
      </c>
      <c r="E29" s="900">
        <f>G24</f>
        <v>0</v>
      </c>
      <c r="F29" s="1488">
        <v>69</v>
      </c>
      <c r="G29" s="902">
        <f>E29*F29</f>
        <v>0</v>
      </c>
      <c r="H29" s="842">
        <f>G29+'24'!H29</f>
        <v>8280</v>
      </c>
      <c r="I29" s="904"/>
      <c r="J29" s="844">
        <f>H29/DAY(B2)</f>
        <v>331.2</v>
      </c>
      <c r="K29" s="860"/>
      <c r="L29" s="890"/>
      <c r="N29" s="1009"/>
      <c r="O29" s="846"/>
    </row>
    <row r="30" spans="1:15" s="891" customFormat="1">
      <c r="A30" s="892" t="s">
        <v>157</v>
      </c>
      <c r="B30" s="893"/>
      <c r="C30" s="894"/>
      <c r="D30" s="899" t="s">
        <v>158</v>
      </c>
      <c r="E30" s="900">
        <f>G19</f>
        <v>60</v>
      </c>
      <c r="F30" s="1488">
        <v>146</v>
      </c>
      <c r="G30" s="902">
        <f>E30*F30</f>
        <v>8760</v>
      </c>
      <c r="H30" s="842">
        <f>G30+'24'!H30</f>
        <v>228636</v>
      </c>
      <c r="I30" s="904"/>
      <c r="J30" s="844">
        <f>H30/DAY(B2)</f>
        <v>9145.44</v>
      </c>
      <c r="K30" s="860"/>
      <c r="L30" s="890"/>
      <c r="N30" s="1009"/>
      <c r="O30" s="846"/>
    </row>
    <row r="31" spans="1:15" s="891" customFormat="1">
      <c r="A31" s="892" t="s">
        <v>159</v>
      </c>
      <c r="B31" s="893"/>
      <c r="C31" s="894"/>
      <c r="D31" s="899" t="s">
        <v>143</v>
      </c>
      <c r="E31" s="900">
        <f>G18</f>
        <v>110</v>
      </c>
      <c r="F31" s="1488">
        <v>80</v>
      </c>
      <c r="G31" s="902">
        <f>E31*F31</f>
        <v>8800</v>
      </c>
      <c r="H31" s="842">
        <f>G31+'24'!H31</f>
        <v>155200</v>
      </c>
      <c r="I31" s="904"/>
      <c r="J31" s="844"/>
      <c r="K31" s="860"/>
      <c r="L31" s="890"/>
      <c r="N31" s="1009"/>
      <c r="O31" s="846"/>
    </row>
    <row r="32" spans="1:15" s="891" customFormat="1">
      <c r="A32" s="905" t="s">
        <v>160</v>
      </c>
      <c r="B32" s="906"/>
      <c r="C32" s="907"/>
      <c r="D32" s="908"/>
      <c r="E32" s="908"/>
      <c r="F32" s="1485"/>
      <c r="G32" s="909">
        <f>G27+G28+G29+G30+G31</f>
        <v>231015</v>
      </c>
      <c r="H32" s="842">
        <f>G32+'24'!H32</f>
        <v>5474298</v>
      </c>
      <c r="I32" s="910"/>
      <c r="J32" s="844">
        <f>H32/DAY(B2)</f>
        <v>218971.92</v>
      </c>
      <c r="K32" s="860"/>
      <c r="L32" s="890"/>
      <c r="N32" s="1009"/>
      <c r="O32" s="846">
        <f>340*3</f>
        <v>1020</v>
      </c>
    </row>
    <row r="33" spans="1:15" ht="18.75">
      <c r="A33" s="1629" t="s">
        <v>161</v>
      </c>
      <c r="B33" s="1630"/>
      <c r="C33" s="1630"/>
      <c r="D33" s="1630"/>
      <c r="E33" s="1630"/>
      <c r="F33" s="1630"/>
      <c r="G33" s="1630"/>
      <c r="H33" s="1630"/>
      <c r="I33" s="1630"/>
      <c r="J33" s="1631"/>
      <c r="K33" s="860"/>
      <c r="L33" s="819"/>
      <c r="O33" s="846">
        <f>O32/3</f>
        <v>340</v>
      </c>
    </row>
    <row r="34" spans="1:15">
      <c r="A34" s="911" t="s">
        <v>162</v>
      </c>
      <c r="B34" s="912"/>
      <c r="C34" s="912"/>
      <c r="D34" s="834"/>
      <c r="E34" s="833"/>
      <c r="F34" s="1481"/>
      <c r="G34" s="834"/>
      <c r="H34" s="834"/>
      <c r="I34" s="834"/>
      <c r="J34" s="835"/>
      <c r="K34" s="860"/>
      <c r="L34" s="819"/>
      <c r="O34" s="846"/>
    </row>
    <row r="35" spans="1:15">
      <c r="A35" s="837" t="s">
        <v>163</v>
      </c>
      <c r="B35" s="838"/>
      <c r="C35" s="838"/>
      <c r="D35" s="839" t="s">
        <v>131</v>
      </c>
      <c r="E35" s="840">
        <f>'24'!F35</f>
        <v>1011558</v>
      </c>
      <c r="F35" s="1459">
        <v>1014277</v>
      </c>
      <c r="G35" s="841">
        <f t="shared" ref="G35:G46" si="3">F35-E35</f>
        <v>2719</v>
      </c>
      <c r="H35" s="842">
        <f>G35+'24'!H35</f>
        <v>63789</v>
      </c>
      <c r="I35" s="840"/>
      <c r="J35" s="844">
        <f>H35/DAY(B2)</f>
        <v>2551.56</v>
      </c>
      <c r="K35" s="860"/>
      <c r="L35" s="819"/>
      <c r="O35" s="846"/>
    </row>
    <row r="36" spans="1:15">
      <c r="A36" s="837" t="s">
        <v>164</v>
      </c>
      <c r="B36" s="838"/>
      <c r="C36" s="838"/>
      <c r="D36" s="839" t="s">
        <v>131</v>
      </c>
      <c r="E36" s="840">
        <f>'24'!F36</f>
        <v>16401</v>
      </c>
      <c r="F36" s="1459">
        <v>17043</v>
      </c>
      <c r="G36" s="841">
        <f t="shared" si="3"/>
        <v>642</v>
      </c>
      <c r="H36" s="842">
        <f>G36+'24'!H36</f>
        <v>16870</v>
      </c>
      <c r="I36" s="840"/>
      <c r="J36" s="844">
        <f>H36/DAY(B2)</f>
        <v>674.8</v>
      </c>
      <c r="K36" s="860"/>
      <c r="L36" s="819"/>
      <c r="O36" s="846"/>
    </row>
    <row r="37" spans="1:15">
      <c r="A37" s="837" t="s">
        <v>165</v>
      </c>
      <c r="B37" s="838"/>
      <c r="C37" s="838"/>
      <c r="D37" s="839" t="s">
        <v>131</v>
      </c>
      <c r="E37" s="840">
        <f>'24'!F37</f>
        <v>167756</v>
      </c>
      <c r="F37" s="1459">
        <v>169274</v>
      </c>
      <c r="G37" s="841">
        <f t="shared" si="3"/>
        <v>1518</v>
      </c>
      <c r="H37" s="842">
        <f>G37+'24'!H37</f>
        <v>35038</v>
      </c>
      <c r="I37" s="840"/>
      <c r="J37" s="844">
        <f>H37/DAY(B2)</f>
        <v>1401.52</v>
      </c>
      <c r="K37" s="860"/>
      <c r="L37" s="819"/>
      <c r="O37" s="846"/>
    </row>
    <row r="38" spans="1:15">
      <c r="A38" s="837" t="s">
        <v>166</v>
      </c>
      <c r="B38" s="838"/>
      <c r="C38" s="838"/>
      <c r="D38" s="839" t="s">
        <v>131</v>
      </c>
      <c r="E38" s="840">
        <f>'24'!F38</f>
        <v>188798</v>
      </c>
      <c r="F38" s="1482">
        <v>190335</v>
      </c>
      <c r="G38" s="841">
        <f t="shared" si="3"/>
        <v>1537</v>
      </c>
      <c r="H38" s="842">
        <f>G38+'24'!H38</f>
        <v>33930</v>
      </c>
      <c r="I38" s="840"/>
      <c r="J38" s="844">
        <f>H38/DAY(B2)</f>
        <v>1357.2</v>
      </c>
      <c r="K38" s="860"/>
      <c r="L38" s="819"/>
      <c r="O38" s="846"/>
    </row>
    <row r="39" spans="1:15">
      <c r="A39" s="837" t="s">
        <v>167</v>
      </c>
      <c r="B39" s="838"/>
      <c r="C39" s="838"/>
      <c r="D39" s="839" t="s">
        <v>131</v>
      </c>
      <c r="E39" s="840">
        <f>'24'!F39</f>
        <v>382827</v>
      </c>
      <c r="F39" s="1459">
        <v>386482</v>
      </c>
      <c r="G39" s="841">
        <f t="shared" si="3"/>
        <v>3655</v>
      </c>
      <c r="H39" s="842">
        <f>G39+'24'!H39</f>
        <v>78309</v>
      </c>
      <c r="I39" s="840"/>
      <c r="J39" s="844">
        <f>H39/DAY(B2)</f>
        <v>3132.36</v>
      </c>
      <c r="K39" s="860"/>
      <c r="L39" s="819"/>
      <c r="O39" s="846"/>
    </row>
    <row r="40" spans="1:15">
      <c r="A40" s="914" t="s">
        <v>168</v>
      </c>
      <c r="B40" s="915"/>
      <c r="C40" s="915"/>
      <c r="D40" s="839" t="s">
        <v>131</v>
      </c>
      <c r="E40" s="840">
        <f>'24'!F40</f>
        <v>5453</v>
      </c>
      <c r="F40" s="1459">
        <v>5453</v>
      </c>
      <c r="G40" s="841">
        <f t="shared" si="3"/>
        <v>0</v>
      </c>
      <c r="H40" s="842">
        <f>G40+'24'!H40</f>
        <v>4564</v>
      </c>
      <c r="I40" s="840"/>
      <c r="J40" s="844">
        <f>H40/DAY(B2)</f>
        <v>182.56</v>
      </c>
      <c r="K40" s="867"/>
      <c r="L40" s="819"/>
      <c r="O40" s="846"/>
    </row>
    <row r="41" spans="1:15">
      <c r="A41" s="837" t="s">
        <v>169</v>
      </c>
      <c r="B41" s="838"/>
      <c r="C41" s="838"/>
      <c r="D41" s="839" t="s">
        <v>131</v>
      </c>
      <c r="E41" s="840">
        <f>'24'!F41</f>
        <v>310992</v>
      </c>
      <c r="F41" s="1459">
        <v>310992</v>
      </c>
      <c r="G41" s="841">
        <f t="shared" si="3"/>
        <v>0</v>
      </c>
      <c r="H41" s="842">
        <f>G41+'24'!H41</f>
        <v>70514</v>
      </c>
      <c r="I41" s="840"/>
      <c r="J41" s="844">
        <f>H41/DAY(B2)</f>
        <v>2820.56</v>
      </c>
      <c r="K41" s="860"/>
      <c r="L41" s="819"/>
      <c r="O41" s="846"/>
    </row>
    <row r="42" spans="1:15">
      <c r="A42" s="837" t="s">
        <v>170</v>
      </c>
      <c r="B42" s="838"/>
      <c r="C42" s="838"/>
      <c r="D42" s="839" t="s">
        <v>131</v>
      </c>
      <c r="E42" s="840">
        <f>'24'!F42</f>
        <v>59210</v>
      </c>
      <c r="F42" s="1459">
        <v>59210</v>
      </c>
      <c r="G42" s="841">
        <f t="shared" si="3"/>
        <v>0</v>
      </c>
      <c r="H42" s="842">
        <f>G42+'24'!H42</f>
        <v>11.029999999998836</v>
      </c>
      <c r="I42" s="840"/>
      <c r="J42" s="844">
        <f>H42/DAY(B2)</f>
        <v>0.44119999999995341</v>
      </c>
      <c r="K42" s="860"/>
      <c r="L42" s="819"/>
      <c r="O42" s="846"/>
    </row>
    <row r="43" spans="1:15">
      <c r="A43" s="837" t="s">
        <v>171</v>
      </c>
      <c r="B43" s="838"/>
      <c r="C43" s="838"/>
      <c r="D43" s="839" t="s">
        <v>131</v>
      </c>
      <c r="E43" s="840">
        <f>'24'!F43</f>
        <v>1103903</v>
      </c>
      <c r="F43" s="1459">
        <v>1106552</v>
      </c>
      <c r="G43" s="841">
        <f t="shared" si="3"/>
        <v>2649</v>
      </c>
      <c r="H43" s="842">
        <f>G43+'24'!H43</f>
        <v>64308</v>
      </c>
      <c r="I43" s="840"/>
      <c r="J43" s="844">
        <f>H43/DAY(B2)</f>
        <v>2572.3200000000002</v>
      </c>
      <c r="K43" s="860"/>
      <c r="L43" s="819"/>
      <c r="O43" s="846"/>
    </row>
    <row r="44" spans="1:15">
      <c r="A44" s="837" t="s">
        <v>172</v>
      </c>
      <c r="B44" s="838"/>
      <c r="C44" s="838"/>
      <c r="D44" s="839" t="s">
        <v>131</v>
      </c>
      <c r="E44" s="840">
        <f>'24'!F44</f>
        <v>0</v>
      </c>
      <c r="F44" s="1459">
        <v>0</v>
      </c>
      <c r="G44" s="841">
        <f t="shared" si="3"/>
        <v>0</v>
      </c>
      <c r="H44" s="842">
        <f>G44+'24'!H44</f>
        <v>0</v>
      </c>
      <c r="I44" s="840"/>
      <c r="J44" s="844">
        <f>H44/DAY(B2)</f>
        <v>0</v>
      </c>
      <c r="K44" s="860"/>
      <c r="L44" s="819"/>
      <c r="O44" s="846"/>
    </row>
    <row r="45" spans="1:15">
      <c r="A45" s="837" t="s">
        <v>173</v>
      </c>
      <c r="B45" s="838"/>
      <c r="C45" s="838"/>
      <c r="D45" s="839" t="s">
        <v>131</v>
      </c>
      <c r="E45" s="840">
        <f>'24'!F45</f>
        <v>0</v>
      </c>
      <c r="F45" s="1459">
        <v>0</v>
      </c>
      <c r="G45" s="841">
        <f t="shared" si="3"/>
        <v>0</v>
      </c>
      <c r="H45" s="842">
        <f>G45+'24'!H45</f>
        <v>0</v>
      </c>
      <c r="I45" s="840"/>
      <c r="J45" s="844">
        <f>H45/DAY(B2)</f>
        <v>0</v>
      </c>
      <c r="K45" s="860"/>
      <c r="L45" s="819"/>
      <c r="O45" s="846"/>
    </row>
    <row r="46" spans="1:15">
      <c r="A46" s="837" t="s">
        <v>174</v>
      </c>
      <c r="B46" s="838"/>
      <c r="C46" s="838"/>
      <c r="D46" s="839" t="s">
        <v>131</v>
      </c>
      <c r="E46" s="840">
        <f>'24'!F46</f>
        <v>0</v>
      </c>
      <c r="F46" s="1459">
        <v>0</v>
      </c>
      <c r="G46" s="841">
        <f t="shared" si="3"/>
        <v>0</v>
      </c>
      <c r="H46" s="842">
        <f>G46+'24'!H46</f>
        <v>-5.0000000000011369E-2</v>
      </c>
      <c r="I46" s="840"/>
      <c r="J46" s="844">
        <f>H46/DAY(B2)</f>
        <v>-2.0000000000004545E-3</v>
      </c>
      <c r="K46" s="860"/>
      <c r="L46" s="819"/>
      <c r="O46" s="846"/>
    </row>
    <row r="47" spans="1:15">
      <c r="A47" s="862" t="s">
        <v>175</v>
      </c>
      <c r="B47" s="863"/>
      <c r="C47" s="863"/>
      <c r="D47" s="830"/>
      <c r="E47" s="826"/>
      <c r="F47" s="1481"/>
      <c r="G47" s="864">
        <f>G35+G36+G37+G38+G39+G40+G41+G42+G43+G44+G45+G46</f>
        <v>12720</v>
      </c>
      <c r="H47" s="842">
        <f>G47+'24'!H47</f>
        <v>367333.47</v>
      </c>
      <c r="I47" s="840"/>
      <c r="J47" s="844">
        <f>H47/DAY(B2)</f>
        <v>14693.3388</v>
      </c>
      <c r="K47" s="860"/>
      <c r="L47" s="819"/>
      <c r="N47" s="1010"/>
      <c r="O47" s="846"/>
    </row>
    <row r="48" spans="1:15">
      <c r="A48" s="911" t="s">
        <v>176</v>
      </c>
      <c r="B48" s="912"/>
      <c r="C48" s="912"/>
      <c r="D48" s="834"/>
      <c r="E48" s="833"/>
      <c r="F48" s="1481"/>
      <c r="G48" s="834"/>
      <c r="H48" s="834"/>
      <c r="I48" s="834"/>
      <c r="J48" s="835"/>
      <c r="K48" s="860"/>
      <c r="L48" s="819"/>
      <c r="O48" s="846"/>
    </row>
    <row r="49" spans="1:15">
      <c r="A49" s="837" t="s">
        <v>163</v>
      </c>
      <c r="B49" s="916"/>
      <c r="C49" s="916"/>
      <c r="D49" s="839" t="s">
        <v>131</v>
      </c>
      <c r="E49" s="1458">
        <f>'24'!F49</f>
        <v>260732.12</v>
      </c>
      <c r="F49" s="1459">
        <v>260732.13</v>
      </c>
      <c r="G49" s="1017">
        <f t="shared" ref="G49:G58" si="4">F49-E49</f>
        <v>1.0000000009313226E-2</v>
      </c>
      <c r="H49" s="842">
        <f>G49+'24'!H49</f>
        <v>0.13000000000465661</v>
      </c>
      <c r="I49" s="840"/>
      <c r="J49" s="844">
        <f>H49/DAY(B2)</f>
        <v>5.2000000001862648E-3</v>
      </c>
      <c r="K49" s="860"/>
      <c r="L49" s="819"/>
      <c r="O49" s="846"/>
    </row>
    <row r="50" spans="1:15">
      <c r="A50" s="837" t="s">
        <v>177</v>
      </c>
      <c r="B50" s="916"/>
      <c r="C50" s="916"/>
      <c r="D50" s="839" t="s">
        <v>131</v>
      </c>
      <c r="E50" s="840">
        <f>'24'!F50</f>
        <v>528305</v>
      </c>
      <c r="F50" s="1459">
        <v>529337</v>
      </c>
      <c r="G50" s="841">
        <f t="shared" si="4"/>
        <v>1032</v>
      </c>
      <c r="H50" s="842">
        <f>G50+'24'!H50</f>
        <v>25911</v>
      </c>
      <c r="I50" s="840"/>
      <c r="J50" s="844">
        <f>H50/DAY(B2)</f>
        <v>1036.44</v>
      </c>
      <c r="K50" s="860"/>
      <c r="L50" s="819"/>
      <c r="O50" s="846"/>
    </row>
    <row r="51" spans="1:15">
      <c r="A51" s="837" t="s">
        <v>165</v>
      </c>
      <c r="B51" s="916"/>
      <c r="C51" s="916"/>
      <c r="D51" s="839" t="s">
        <v>131</v>
      </c>
      <c r="E51" s="840">
        <f>'24'!F51</f>
        <v>144640</v>
      </c>
      <c r="F51" s="1459">
        <v>144639.87</v>
      </c>
      <c r="G51" s="841">
        <f t="shared" si="4"/>
        <v>-0.13000000000465661</v>
      </c>
      <c r="H51" s="842">
        <f>G51+'24'!H51</f>
        <v>-0.13000000000465661</v>
      </c>
      <c r="I51" s="840"/>
      <c r="J51" s="844">
        <f>H51/DAY(B2)</f>
        <v>-5.2000000001862648E-3</v>
      </c>
      <c r="K51" s="860"/>
      <c r="L51" s="819"/>
      <c r="O51" s="846"/>
    </row>
    <row r="52" spans="1:15">
      <c r="A52" s="837" t="s">
        <v>178</v>
      </c>
      <c r="B52" s="916"/>
      <c r="C52" s="916"/>
      <c r="D52" s="839" t="s">
        <v>131</v>
      </c>
      <c r="E52" s="840">
        <f>'24'!F52</f>
        <v>539606</v>
      </c>
      <c r="F52" s="1459">
        <v>539606.06999999995</v>
      </c>
      <c r="G52" s="841">
        <f t="shared" si="4"/>
        <v>6.9999999948777258E-2</v>
      </c>
      <c r="H52" s="842">
        <f>G52+'24'!H52</f>
        <v>0</v>
      </c>
      <c r="I52" s="840"/>
      <c r="J52" s="844">
        <f>H52/DAY(B2)</f>
        <v>0</v>
      </c>
      <c r="K52" s="860"/>
      <c r="L52" s="819"/>
      <c r="O52" s="846"/>
    </row>
    <row r="53" spans="1:15">
      <c r="A53" s="837" t="s">
        <v>167</v>
      </c>
      <c r="B53" s="916"/>
      <c r="C53" s="916"/>
      <c r="D53" s="839" t="s">
        <v>131</v>
      </c>
      <c r="E53" s="840">
        <f>'24'!F53</f>
        <v>434232</v>
      </c>
      <c r="F53" s="1459">
        <v>434232</v>
      </c>
      <c r="G53" s="841">
        <f t="shared" si="4"/>
        <v>0</v>
      </c>
      <c r="H53" s="842">
        <f>G53+'24'!H53</f>
        <v>1663.6699999999837</v>
      </c>
      <c r="I53" s="840"/>
      <c r="J53" s="844">
        <f>H53/DAY(B2)</f>
        <v>66.546799999999351</v>
      </c>
      <c r="K53" s="860"/>
      <c r="L53" s="819"/>
      <c r="O53" s="846"/>
    </row>
    <row r="54" spans="1:15">
      <c r="A54" s="837" t="s">
        <v>179</v>
      </c>
      <c r="B54" s="916"/>
      <c r="C54" s="916"/>
      <c r="D54" s="839" t="s">
        <v>131</v>
      </c>
      <c r="E54" s="840">
        <f>'24'!F54</f>
        <v>14967</v>
      </c>
      <c r="F54" s="1459">
        <v>14967</v>
      </c>
      <c r="G54" s="841">
        <f t="shared" si="4"/>
        <v>0</v>
      </c>
      <c r="H54" s="842">
        <f>G54+'24'!H54</f>
        <v>1138</v>
      </c>
      <c r="I54" s="840"/>
      <c r="J54" s="844">
        <f>H54/DAY(B2)</f>
        <v>45.52</v>
      </c>
      <c r="K54" s="860"/>
      <c r="L54" s="819"/>
      <c r="O54" s="846"/>
    </row>
    <row r="55" spans="1:15">
      <c r="A55" s="837" t="s">
        <v>180</v>
      </c>
      <c r="B55" s="916"/>
      <c r="C55" s="916"/>
      <c r="D55" s="839" t="s">
        <v>131</v>
      </c>
      <c r="E55" s="840">
        <f>'24'!F55</f>
        <v>100640</v>
      </c>
      <c r="F55" s="1459">
        <v>105727</v>
      </c>
      <c r="G55" s="841">
        <f t="shared" si="4"/>
        <v>5087</v>
      </c>
      <c r="H55" s="842">
        <f>G55+'24'!H55</f>
        <v>37616</v>
      </c>
      <c r="I55" s="840"/>
      <c r="J55" s="844">
        <f>H55/DAY(B2)</f>
        <v>1504.64</v>
      </c>
      <c r="K55" s="860"/>
      <c r="L55" s="819"/>
      <c r="O55" s="846"/>
    </row>
    <row r="56" spans="1:15">
      <c r="A56" s="837" t="s">
        <v>181</v>
      </c>
      <c r="B56" s="916"/>
      <c r="C56" s="916"/>
      <c r="D56" s="839" t="s">
        <v>182</v>
      </c>
      <c r="E56" s="840">
        <f>'24'!F56</f>
        <v>648960</v>
      </c>
      <c r="F56" s="1459">
        <v>648960</v>
      </c>
      <c r="G56" s="841">
        <f t="shared" si="4"/>
        <v>0</v>
      </c>
      <c r="H56" s="842">
        <f>G56+'24'!H56</f>
        <v>31762</v>
      </c>
      <c r="I56" s="840"/>
      <c r="J56" s="844">
        <f>H56/DAY(B2)</f>
        <v>1270.48</v>
      </c>
      <c r="K56" s="836"/>
      <c r="L56" s="819"/>
      <c r="O56" s="846"/>
    </row>
    <row r="57" spans="1:15">
      <c r="A57" s="837" t="s">
        <v>171</v>
      </c>
      <c r="B57" s="916"/>
      <c r="C57" s="916"/>
      <c r="D57" s="839" t="s">
        <v>131</v>
      </c>
      <c r="E57" s="840">
        <f>'24'!F57</f>
        <v>7711</v>
      </c>
      <c r="F57" s="1459">
        <v>7711</v>
      </c>
      <c r="G57" s="841">
        <f t="shared" si="4"/>
        <v>0</v>
      </c>
      <c r="H57" s="842">
        <f>G57+'24'!H57</f>
        <v>0</v>
      </c>
      <c r="I57" s="840"/>
      <c r="J57" s="844">
        <f>H57/DAY(B2)</f>
        <v>0</v>
      </c>
      <c r="K57" s="860"/>
      <c r="L57" s="819"/>
      <c r="O57" s="846"/>
    </row>
    <row r="58" spans="1:15">
      <c r="A58" s="837" t="s">
        <v>183</v>
      </c>
      <c r="B58" s="916"/>
      <c r="C58" s="916"/>
      <c r="D58" s="839" t="s">
        <v>131</v>
      </c>
      <c r="E58" s="840">
        <f>'24'!F58</f>
        <v>53064</v>
      </c>
      <c r="F58" s="1459">
        <v>53197</v>
      </c>
      <c r="G58" s="841">
        <f t="shared" si="4"/>
        <v>133</v>
      </c>
      <c r="H58" s="842">
        <f>G58+'24'!H58</f>
        <v>3332.7900000000009</v>
      </c>
      <c r="I58" s="840"/>
      <c r="J58" s="844">
        <f>H58/DAY(B2)</f>
        <v>133.31160000000003</v>
      </c>
      <c r="K58" s="860"/>
      <c r="L58" s="819"/>
      <c r="O58" s="846"/>
    </row>
    <row r="59" spans="1:15">
      <c r="A59" s="862" t="s">
        <v>175</v>
      </c>
      <c r="B59" s="863"/>
      <c r="C59" s="863"/>
      <c r="D59" s="826"/>
      <c r="E59" s="826"/>
      <c r="F59" s="1481"/>
      <c r="G59" s="864">
        <f>G49+G50+G51+G52+G53+G54+G55+G56+G57+G58</f>
        <v>6251.9499999999534</v>
      </c>
      <c r="H59" s="842">
        <f>G59+'24'!H59</f>
        <v>101423.52999999993</v>
      </c>
      <c r="I59" s="840">
        <f>G7-G60</f>
        <v>348.05000000004657</v>
      </c>
      <c r="J59" s="844">
        <f>H59/DAY(B2)</f>
        <v>4056.941199999997</v>
      </c>
      <c r="K59" s="860"/>
      <c r="L59" s="819"/>
      <c r="O59" s="846"/>
    </row>
    <row r="60" spans="1:15">
      <c r="A60" s="837"/>
      <c r="B60" s="838"/>
      <c r="C60" s="838"/>
      <c r="D60" s="826" t="s">
        <v>184</v>
      </c>
      <c r="E60" s="826"/>
      <c r="F60" s="1481"/>
      <c r="G60" s="864">
        <f>G47+G59</f>
        <v>18971.949999999953</v>
      </c>
      <c r="H60" s="842">
        <f>G60+'24'!H60</f>
        <v>469965.5399999998</v>
      </c>
      <c r="I60" s="840">
        <f>G13-G60</f>
        <v>-270.94999999995343</v>
      </c>
      <c r="J60" s="844">
        <f>H60/DAY(B2)</f>
        <v>18798.621599999991</v>
      </c>
      <c r="K60" s="860"/>
      <c r="L60" s="819"/>
      <c r="O60" s="846"/>
    </row>
    <row r="61" spans="1:15">
      <c r="A61" s="917" t="s">
        <v>185</v>
      </c>
      <c r="B61" s="918"/>
      <c r="C61" s="918"/>
      <c r="D61" s="918"/>
      <c r="E61" s="919"/>
      <c r="F61" s="1489"/>
      <c r="G61" s="918"/>
      <c r="H61" s="918"/>
      <c r="I61" s="918"/>
      <c r="J61" s="920"/>
      <c r="K61" s="860"/>
      <c r="L61" s="819"/>
      <c r="O61" s="846"/>
    </row>
    <row r="62" spans="1:15">
      <c r="A62" s="921" t="s">
        <v>97</v>
      </c>
      <c r="B62" s="922"/>
      <c r="C62" s="922"/>
      <c r="D62" s="826" t="s">
        <v>186</v>
      </c>
      <c r="E62" s="840">
        <f>'24'!F62</f>
        <v>20419</v>
      </c>
      <c r="F62" s="1490">
        <v>20419</v>
      </c>
      <c r="G62" s="841">
        <f t="shared" ref="G62:G69" si="5">F62-E62</f>
        <v>0</v>
      </c>
      <c r="H62" s="842">
        <f>G62+'24'!H62</f>
        <v>1.9999999967694748E-3</v>
      </c>
      <c r="I62" s="924"/>
      <c r="J62" s="844">
        <f>H62/DAY(B2)</f>
        <v>7.9999999870778991E-5</v>
      </c>
      <c r="K62" s="860"/>
      <c r="L62" s="819"/>
      <c r="O62" s="846"/>
    </row>
    <row r="63" spans="1:15">
      <c r="A63" s="921" t="s">
        <v>187</v>
      </c>
      <c r="B63" s="922"/>
      <c r="C63" s="922"/>
      <c r="D63" s="826" t="s">
        <v>186</v>
      </c>
      <c r="E63" s="840">
        <f>'24'!F63</f>
        <v>0</v>
      </c>
      <c r="F63" s="1490">
        <v>0</v>
      </c>
      <c r="G63" s="841">
        <f t="shared" si="5"/>
        <v>0</v>
      </c>
      <c r="H63" s="842">
        <f>G63+'24'!H63</f>
        <v>0</v>
      </c>
      <c r="I63" s="924"/>
      <c r="J63" s="844">
        <f>H63/DAY(B2)</f>
        <v>0</v>
      </c>
      <c r="K63" s="860"/>
      <c r="L63" s="819"/>
      <c r="O63" s="846"/>
    </row>
    <row r="64" spans="1:15">
      <c r="A64" s="1632" t="s">
        <v>98</v>
      </c>
      <c r="B64" s="1633"/>
      <c r="C64" s="1634"/>
      <c r="D64" s="839" t="s">
        <v>186</v>
      </c>
      <c r="E64" s="840">
        <f>'24'!F64</f>
        <v>167799</v>
      </c>
      <c r="F64" s="991">
        <v>168211</v>
      </c>
      <c r="G64" s="841">
        <f t="shared" si="5"/>
        <v>412</v>
      </c>
      <c r="H64" s="842">
        <f>G64+'24'!H64</f>
        <v>8279</v>
      </c>
      <c r="I64" s="861"/>
      <c r="J64" s="844">
        <f>H64/DAY(B2)</f>
        <v>331.16</v>
      </c>
      <c r="K64" s="860"/>
      <c r="L64" s="819"/>
      <c r="O64" s="846"/>
    </row>
    <row r="65" spans="1:15">
      <c r="A65" s="1632" t="s">
        <v>99</v>
      </c>
      <c r="B65" s="1633"/>
      <c r="C65" s="1634"/>
      <c r="D65" s="839" t="s">
        <v>186</v>
      </c>
      <c r="E65" s="840">
        <f>'24'!F65</f>
        <v>167848</v>
      </c>
      <c r="F65" s="991">
        <v>168247</v>
      </c>
      <c r="G65" s="841">
        <f t="shared" si="5"/>
        <v>399</v>
      </c>
      <c r="H65" s="842">
        <f>G65+'24'!H65</f>
        <v>7249</v>
      </c>
      <c r="I65" s="879"/>
      <c r="J65" s="844">
        <f>H65/DAY(B2)</f>
        <v>289.95999999999998</v>
      </c>
      <c r="K65" s="860"/>
      <c r="L65" s="819"/>
      <c r="O65" s="846"/>
    </row>
    <row r="66" spans="1:15">
      <c r="A66" s="1632" t="s">
        <v>100</v>
      </c>
      <c r="B66" s="1633"/>
      <c r="C66" s="1634"/>
      <c r="D66" s="839" t="s">
        <v>186</v>
      </c>
      <c r="E66" s="840">
        <f>'24'!F66</f>
        <v>65414</v>
      </c>
      <c r="F66" s="991">
        <v>65832</v>
      </c>
      <c r="G66" s="841">
        <f t="shared" si="5"/>
        <v>418</v>
      </c>
      <c r="H66" s="842">
        <f>G66+'24'!H66</f>
        <v>9027</v>
      </c>
      <c r="I66" s="861"/>
      <c r="J66" s="844">
        <f>H66/DAY(B2)</f>
        <v>361.08</v>
      </c>
      <c r="K66" s="860"/>
      <c r="L66" s="819"/>
      <c r="O66" s="846"/>
    </row>
    <row r="67" spans="1:15">
      <c r="A67" s="1632" t="s">
        <v>101</v>
      </c>
      <c r="B67" s="1633"/>
      <c r="C67" s="1634"/>
      <c r="D67" s="839" t="s">
        <v>186</v>
      </c>
      <c r="E67" s="840">
        <f>'24'!F67</f>
        <v>262246</v>
      </c>
      <c r="F67" s="991">
        <v>262704</v>
      </c>
      <c r="G67" s="841">
        <f t="shared" si="5"/>
        <v>458</v>
      </c>
      <c r="H67" s="842">
        <f>G67+'24'!H67</f>
        <v>10512</v>
      </c>
      <c r="I67" s="879"/>
      <c r="J67" s="844">
        <f>H67/DAY(B2)</f>
        <v>420.48</v>
      </c>
      <c r="K67" s="867"/>
      <c r="L67" s="819"/>
      <c r="O67" s="846"/>
    </row>
    <row r="68" spans="1:15">
      <c r="A68" s="1632" t="s">
        <v>102</v>
      </c>
      <c r="B68" s="1633"/>
      <c r="C68" s="1634"/>
      <c r="D68" s="839" t="s">
        <v>186</v>
      </c>
      <c r="E68" s="840">
        <f>'24'!F68</f>
        <v>85321</v>
      </c>
      <c r="F68" s="991">
        <v>85321</v>
      </c>
      <c r="G68" s="841">
        <f t="shared" si="5"/>
        <v>0</v>
      </c>
      <c r="H68" s="842">
        <f>G68+'24'!H68</f>
        <v>0</v>
      </c>
      <c r="I68" s="925"/>
      <c r="J68" s="844">
        <f>H68/DAY(B2)</f>
        <v>0</v>
      </c>
      <c r="K68" s="926"/>
      <c r="L68" s="819"/>
      <c r="O68" s="846"/>
    </row>
    <row r="69" spans="1:15">
      <c r="A69" s="1632" t="s">
        <v>103</v>
      </c>
      <c r="B69" s="1633"/>
      <c r="C69" s="1634"/>
      <c r="D69" s="839" t="s">
        <v>186</v>
      </c>
      <c r="E69" s="840">
        <f>'24'!F69</f>
        <v>86101</v>
      </c>
      <c r="F69" s="991">
        <v>86292</v>
      </c>
      <c r="G69" s="841">
        <f t="shared" si="5"/>
        <v>191</v>
      </c>
      <c r="H69" s="842">
        <f>G69+'24'!H69</f>
        <v>4543</v>
      </c>
      <c r="I69" s="925"/>
      <c r="J69" s="844">
        <f>H69/DAY(B2)</f>
        <v>181.72</v>
      </c>
      <c r="K69" s="927"/>
      <c r="L69" s="819"/>
      <c r="O69" s="846"/>
    </row>
    <row r="70" spans="1:15">
      <c r="A70" s="1641" t="s">
        <v>188</v>
      </c>
      <c r="B70" s="1642"/>
      <c r="C70" s="1643"/>
      <c r="D70" s="839" t="s">
        <v>186</v>
      </c>
      <c r="E70" s="928"/>
      <c r="F70" s="1491"/>
      <c r="G70" s="929"/>
      <c r="H70" s="842">
        <f>G70+'13'!H70</f>
        <v>0</v>
      </c>
      <c r="I70" s="929"/>
      <c r="J70" s="930"/>
      <c r="K70" s="927"/>
      <c r="L70" s="819"/>
      <c r="O70" s="846"/>
    </row>
    <row r="71" spans="1:15" ht="22.5">
      <c r="A71" s="1638" t="s">
        <v>189</v>
      </c>
      <c r="B71" s="1639"/>
      <c r="C71" s="1639"/>
      <c r="D71" s="1639"/>
      <c r="E71" s="1639"/>
      <c r="F71" s="1639"/>
      <c r="G71" s="1639"/>
      <c r="H71" s="1639"/>
      <c r="I71" s="1639"/>
      <c r="J71" s="1640"/>
      <c r="K71" s="926"/>
      <c r="L71" s="819"/>
      <c r="O71" s="846"/>
    </row>
    <row r="72" spans="1:15">
      <c r="A72" s="1632" t="s">
        <v>190</v>
      </c>
      <c r="B72" s="1633"/>
      <c r="C72" s="1634"/>
      <c r="D72" s="839" t="s">
        <v>186</v>
      </c>
      <c r="E72" s="840">
        <f>'24'!F72</f>
        <v>856157</v>
      </c>
      <c r="F72" s="932">
        <v>856169</v>
      </c>
      <c r="G72" s="841">
        <f t="shared" ref="G72:G84" si="6">F72-E72</f>
        <v>12</v>
      </c>
      <c r="H72" s="842">
        <f>G72+'24'!H72</f>
        <v>313</v>
      </c>
      <c r="I72" s="861"/>
      <c r="J72" s="844">
        <f>H72/DAY(B2)</f>
        <v>12.52</v>
      </c>
      <c r="K72" s="927"/>
      <c r="L72" s="819"/>
      <c r="O72" s="846"/>
    </row>
    <row r="73" spans="1:15">
      <c r="A73" s="1632" t="s">
        <v>191</v>
      </c>
      <c r="B73" s="1633"/>
      <c r="C73" s="1634"/>
      <c r="D73" s="839" t="s">
        <v>186</v>
      </c>
      <c r="E73" s="840">
        <f>'24'!F73</f>
        <v>885965</v>
      </c>
      <c r="F73" s="932">
        <v>885966</v>
      </c>
      <c r="G73" s="841">
        <f t="shared" si="6"/>
        <v>1</v>
      </c>
      <c r="H73" s="842">
        <f>G73+'24'!H73</f>
        <v>185</v>
      </c>
      <c r="I73" s="861"/>
      <c r="J73" s="844">
        <f>H73/DAY(B2)</f>
        <v>7.4</v>
      </c>
      <c r="K73" s="926"/>
      <c r="L73" s="819"/>
      <c r="O73" s="846"/>
    </row>
    <row r="74" spans="1:15">
      <c r="A74" s="1632" t="s">
        <v>192</v>
      </c>
      <c r="B74" s="1633"/>
      <c r="C74" s="1634"/>
      <c r="D74" s="839" t="s">
        <v>186</v>
      </c>
      <c r="E74" s="840">
        <f>'24'!F74</f>
        <v>88689</v>
      </c>
      <c r="F74" s="932">
        <v>88689</v>
      </c>
      <c r="G74" s="841">
        <f t="shared" si="6"/>
        <v>0</v>
      </c>
      <c r="H74" s="842">
        <f>G74+'24'!H74</f>
        <v>23.960000000000036</v>
      </c>
      <c r="I74" s="861"/>
      <c r="J74" s="844">
        <f>H74/DAY(B2)</f>
        <v>0.95840000000000147</v>
      </c>
      <c r="K74" s="927"/>
      <c r="L74" s="819"/>
      <c r="O74" s="846"/>
    </row>
    <row r="75" spans="1:15">
      <c r="A75" s="1635" t="s">
        <v>193</v>
      </c>
      <c r="B75" s="1636"/>
      <c r="C75" s="1637"/>
      <c r="D75" s="839" t="s">
        <v>186</v>
      </c>
      <c r="E75" s="840">
        <f>'24'!F75</f>
        <v>15203</v>
      </c>
      <c r="F75" s="932">
        <v>15352</v>
      </c>
      <c r="G75" s="841">
        <f t="shared" si="6"/>
        <v>149</v>
      </c>
      <c r="H75" s="842">
        <f>G75+'24'!H75</f>
        <v>2683</v>
      </c>
      <c r="I75" s="861"/>
      <c r="J75" s="844">
        <f>H75/DAY(B2)</f>
        <v>107.32</v>
      </c>
      <c r="K75" s="926"/>
      <c r="L75" s="819"/>
      <c r="O75" s="846"/>
    </row>
    <row r="76" spans="1:15">
      <c r="A76" s="1635" t="s">
        <v>194</v>
      </c>
      <c r="B76" s="1636"/>
      <c r="C76" s="1637"/>
      <c r="D76" s="839" t="s">
        <v>186</v>
      </c>
      <c r="E76" s="840">
        <f>'24'!F76</f>
        <v>8873</v>
      </c>
      <c r="F76" s="932">
        <v>8947</v>
      </c>
      <c r="G76" s="841">
        <f t="shared" si="6"/>
        <v>74</v>
      </c>
      <c r="H76" s="842">
        <f>G76+'24'!H76</f>
        <v>1741</v>
      </c>
      <c r="I76" s="904"/>
      <c r="J76" s="844">
        <f>H76/DAY(B2)</f>
        <v>69.64</v>
      </c>
      <c r="K76" s="926"/>
      <c r="L76" s="819"/>
      <c r="O76" s="846"/>
    </row>
    <row r="77" spans="1:15">
      <c r="A77" s="1632" t="s">
        <v>195</v>
      </c>
      <c r="B77" s="1633"/>
      <c r="C77" s="1634"/>
      <c r="D77" s="839" t="s">
        <v>186</v>
      </c>
      <c r="E77" s="840">
        <f>'24'!F77</f>
        <v>704034</v>
      </c>
      <c r="F77" s="932">
        <v>704088</v>
      </c>
      <c r="G77" s="841">
        <f t="shared" si="6"/>
        <v>54</v>
      </c>
      <c r="H77" s="842">
        <f>G77+'24'!H77</f>
        <v>1249</v>
      </c>
      <c r="I77" s="904"/>
      <c r="J77" s="844">
        <f>H77/DAY(B2)</f>
        <v>49.96</v>
      </c>
      <c r="K77" s="926"/>
      <c r="L77" s="819"/>
      <c r="O77" s="846"/>
    </row>
    <row r="78" spans="1:15">
      <c r="A78" s="934" t="s">
        <v>196</v>
      </c>
      <c r="B78" s="1137"/>
      <c r="C78" s="1137"/>
      <c r="D78" s="839" t="s">
        <v>186</v>
      </c>
      <c r="E78" s="840">
        <f>'24'!F78</f>
        <v>674814</v>
      </c>
      <c r="F78" s="932">
        <v>674898</v>
      </c>
      <c r="G78" s="841">
        <f t="shared" si="6"/>
        <v>84</v>
      </c>
      <c r="H78" s="842">
        <f>G78+'24'!H78</f>
        <v>1866</v>
      </c>
      <c r="I78" s="904"/>
      <c r="J78" s="844">
        <f>H78/DAY(B2)</f>
        <v>74.64</v>
      </c>
      <c r="K78" s="926"/>
      <c r="L78" s="819"/>
      <c r="O78" s="846"/>
    </row>
    <row r="79" spans="1:15">
      <c r="A79" s="1635" t="s">
        <v>91</v>
      </c>
      <c r="B79" s="1636"/>
      <c r="C79" s="1637"/>
      <c r="D79" s="873" t="s">
        <v>186</v>
      </c>
      <c r="E79" s="840">
        <f>'24'!F79</f>
        <v>834544</v>
      </c>
      <c r="F79" s="932">
        <v>834684</v>
      </c>
      <c r="G79" s="841">
        <f t="shared" si="6"/>
        <v>140</v>
      </c>
      <c r="H79" s="842">
        <f>G79+'24'!H79</f>
        <v>2662</v>
      </c>
      <c r="I79" s="904"/>
      <c r="J79" s="844">
        <f>H79/DAY(B2)</f>
        <v>106.48</v>
      </c>
      <c r="K79" s="926"/>
      <c r="L79" s="819"/>
      <c r="O79" s="846"/>
    </row>
    <row r="80" spans="1:15">
      <c r="A80" s="1635" t="s">
        <v>197</v>
      </c>
      <c r="B80" s="1636"/>
      <c r="C80" s="1637"/>
      <c r="D80" s="873" t="s">
        <v>186</v>
      </c>
      <c r="E80" s="840">
        <f>'24'!F80</f>
        <v>536609</v>
      </c>
      <c r="F80" s="932">
        <v>537015</v>
      </c>
      <c r="G80" s="841">
        <f t="shared" si="6"/>
        <v>406</v>
      </c>
      <c r="H80" s="842">
        <f>G80+'24'!H80</f>
        <v>6469.4799999999814</v>
      </c>
      <c r="I80" s="904"/>
      <c r="J80" s="844">
        <f>H80/DAY(B2)</f>
        <v>258.77919999999926</v>
      </c>
      <c r="K80" s="926"/>
      <c r="L80" s="819"/>
      <c r="O80" s="846"/>
    </row>
    <row r="81" spans="1:15">
      <c r="A81" s="1635" t="s">
        <v>198</v>
      </c>
      <c r="B81" s="1636"/>
      <c r="C81" s="1637"/>
      <c r="D81" s="873" t="s">
        <v>186</v>
      </c>
      <c r="E81" s="840">
        <f>'24'!F81</f>
        <v>642171</v>
      </c>
      <c r="F81" s="932">
        <v>642289</v>
      </c>
      <c r="G81" s="841">
        <f t="shared" si="6"/>
        <v>118</v>
      </c>
      <c r="H81" s="842">
        <f>G81+'24'!H81</f>
        <v>3391</v>
      </c>
      <c r="I81" s="904"/>
      <c r="J81" s="844">
        <f>H81/DAY(B2)</f>
        <v>135.63999999999999</v>
      </c>
      <c r="K81" s="926"/>
      <c r="L81" s="819"/>
      <c r="O81" s="846"/>
    </row>
    <row r="82" spans="1:15">
      <c r="A82" s="1635" t="s">
        <v>92</v>
      </c>
      <c r="B82" s="1636"/>
      <c r="C82" s="1637"/>
      <c r="D82" s="874" t="s">
        <v>131</v>
      </c>
      <c r="E82" s="840">
        <f>'24'!F82</f>
        <v>108568</v>
      </c>
      <c r="F82" s="991">
        <v>108594</v>
      </c>
      <c r="G82" s="841">
        <f t="shared" si="6"/>
        <v>26</v>
      </c>
      <c r="H82" s="842">
        <f>G82+'24'!H82</f>
        <v>436</v>
      </c>
      <c r="I82" s="875"/>
      <c r="J82" s="844">
        <f>H82/DAY(B2)</f>
        <v>17.440000000000001</v>
      </c>
      <c r="K82" s="926"/>
      <c r="L82" s="819"/>
      <c r="N82" s="1008">
        <f>371*0.99</f>
        <v>367.29</v>
      </c>
      <c r="O82" s="846"/>
    </row>
    <row r="83" spans="1:15">
      <c r="A83" s="1635" t="s">
        <v>199</v>
      </c>
      <c r="B83" s="1636"/>
      <c r="C83" s="1637"/>
      <c r="D83" s="936" t="s">
        <v>131</v>
      </c>
      <c r="E83" s="840">
        <f>'24'!F83</f>
        <v>25772</v>
      </c>
      <c r="F83" s="1481">
        <v>25943</v>
      </c>
      <c r="G83" s="841">
        <f t="shared" si="6"/>
        <v>171</v>
      </c>
      <c r="H83" s="842">
        <f>G83+'24'!H83</f>
        <v>5437</v>
      </c>
      <c r="I83" s="864"/>
      <c r="J83" s="844">
        <f>H83/DAY(B2)</f>
        <v>217.48</v>
      </c>
      <c r="K83" s="867"/>
      <c r="L83" s="819"/>
      <c r="O83" s="846"/>
    </row>
    <row r="84" spans="1:15">
      <c r="A84" s="937" t="s">
        <v>200</v>
      </c>
      <c r="B84" s="938"/>
      <c r="C84" s="938"/>
      <c r="D84" s="858" t="s">
        <v>131</v>
      </c>
      <c r="E84" s="840">
        <f>'24'!F84</f>
        <v>518149</v>
      </c>
      <c r="F84" s="939">
        <v>518881</v>
      </c>
      <c r="G84" s="841">
        <f t="shared" si="6"/>
        <v>732</v>
      </c>
      <c r="H84" s="842">
        <f>G84+'24'!H84</f>
        <v>18587</v>
      </c>
      <c r="I84" s="864"/>
      <c r="J84" s="844">
        <f>H84/DAY(B2)</f>
        <v>743.48</v>
      </c>
      <c r="K84" s="940"/>
      <c r="L84" s="819"/>
      <c r="O84" s="846"/>
    </row>
    <row r="85" spans="1:15" s="944" customFormat="1">
      <c r="A85" s="941" t="s">
        <v>201</v>
      </c>
      <c r="B85" s="942"/>
      <c r="C85" s="942"/>
      <c r="D85" s="879"/>
      <c r="E85" s="840"/>
      <c r="F85" s="939"/>
      <c r="G85" s="842">
        <f xml:space="preserve"> SUM(G72:G84)</f>
        <v>1967</v>
      </c>
      <c r="H85" s="842">
        <f>G85+'24'!H85</f>
        <v>48586.960000000006</v>
      </c>
      <c r="I85" s="864"/>
      <c r="J85" s="844">
        <f>H85/DAY(B2)</f>
        <v>1943.4784000000002</v>
      </c>
      <c r="K85" s="940"/>
      <c r="L85" s="943"/>
      <c r="N85" s="1011"/>
      <c r="O85" s="846"/>
    </row>
    <row r="86" spans="1:15" s="954" customFormat="1">
      <c r="A86" s="945" t="s">
        <v>93</v>
      </c>
      <c r="B86" s="946"/>
      <c r="C86" s="946"/>
      <c r="D86" s="947" t="s">
        <v>182</v>
      </c>
      <c r="E86" s="840">
        <f>'24'!F86</f>
        <v>461610</v>
      </c>
      <c r="F86" s="948">
        <v>461639</v>
      </c>
      <c r="G86" s="949">
        <f t="shared" ref="G86:G91" si="7">F86-E86</f>
        <v>29</v>
      </c>
      <c r="H86" s="949">
        <f t="shared" ref="H86:H88" si="8">G86</f>
        <v>29</v>
      </c>
      <c r="I86" s="950"/>
      <c r="J86" s="951">
        <f>H86/DAY(B2)</f>
        <v>1.1599999999999999</v>
      </c>
      <c r="K86" s="952"/>
      <c r="L86" s="953"/>
      <c r="N86" s="1012">
        <f>G86/0.995</f>
        <v>29.145728643216081</v>
      </c>
      <c r="O86" s="846"/>
    </row>
    <row r="87" spans="1:15" s="954" customFormat="1">
      <c r="A87" s="945" t="s">
        <v>94</v>
      </c>
      <c r="B87" s="946"/>
      <c r="C87" s="946"/>
      <c r="D87" s="947" t="s">
        <v>182</v>
      </c>
      <c r="E87" s="840">
        <f>'24'!F87</f>
        <v>81914</v>
      </c>
      <c r="F87" s="948">
        <v>81950</v>
      </c>
      <c r="G87" s="949">
        <f t="shared" si="7"/>
        <v>36</v>
      </c>
      <c r="H87" s="949">
        <f t="shared" si="8"/>
        <v>36</v>
      </c>
      <c r="I87" s="950"/>
      <c r="J87" s="951">
        <f>H87/DAY(B2)</f>
        <v>1.44</v>
      </c>
      <c r="K87" s="952"/>
      <c r="L87" s="953"/>
      <c r="N87" s="1012"/>
      <c r="O87" s="846"/>
    </row>
    <row r="88" spans="1:15" s="954" customFormat="1">
      <c r="A88" s="945" t="s">
        <v>95</v>
      </c>
      <c r="B88" s="946"/>
      <c r="C88" s="946"/>
      <c r="D88" s="947" t="s">
        <v>182</v>
      </c>
      <c r="E88" s="840">
        <f>'24'!F88</f>
        <v>154692</v>
      </c>
      <c r="F88" s="948">
        <v>154823</v>
      </c>
      <c r="G88" s="949">
        <f t="shared" si="7"/>
        <v>131</v>
      </c>
      <c r="H88" s="949">
        <f t="shared" si="8"/>
        <v>131</v>
      </c>
      <c r="I88" s="950"/>
      <c r="J88" s="951">
        <f>H88/DAY(B2)</f>
        <v>5.24</v>
      </c>
      <c r="K88" s="952"/>
      <c r="L88" s="953"/>
      <c r="N88" s="1012"/>
      <c r="O88" s="846"/>
    </row>
    <row r="89" spans="1:15" s="954" customFormat="1">
      <c r="A89" s="945" t="s">
        <v>203</v>
      </c>
      <c r="B89" s="946"/>
      <c r="C89" s="946"/>
      <c r="D89" s="947" t="s">
        <v>182</v>
      </c>
      <c r="E89" s="840">
        <f>'24'!F89</f>
        <v>65676</v>
      </c>
      <c r="F89" s="948">
        <v>65732</v>
      </c>
      <c r="G89" s="949">
        <f t="shared" si="7"/>
        <v>56</v>
      </c>
      <c r="H89" s="949">
        <f>G89</f>
        <v>56</v>
      </c>
      <c r="I89" s="950"/>
      <c r="J89" s="951">
        <f>H89/DAY(B2)</f>
        <v>2.2400000000000002</v>
      </c>
      <c r="K89" s="952"/>
      <c r="L89" s="953"/>
      <c r="N89" s="1018">
        <f>204/205</f>
        <v>0.99512195121951219</v>
      </c>
      <c r="O89" s="846"/>
    </row>
    <row r="90" spans="1:15" s="954" customFormat="1">
      <c r="A90" s="945" t="s">
        <v>203</v>
      </c>
      <c r="B90" s="946"/>
      <c r="C90" s="946"/>
      <c r="D90" s="947" t="s">
        <v>182</v>
      </c>
      <c r="E90" s="840">
        <f>'24'!F90</f>
        <v>3328</v>
      </c>
      <c r="F90" s="948">
        <v>3332</v>
      </c>
      <c r="G90" s="949">
        <f t="shared" si="7"/>
        <v>4</v>
      </c>
      <c r="H90" s="949">
        <f>G90</f>
        <v>4</v>
      </c>
      <c r="I90" s="950"/>
      <c r="J90" s="951">
        <f>H90/DAY(B2)</f>
        <v>0.16</v>
      </c>
      <c r="K90" s="952"/>
      <c r="L90" s="953"/>
      <c r="N90" s="1013"/>
      <c r="O90" s="846"/>
    </row>
    <row r="91" spans="1:15" s="1478" customFormat="1">
      <c r="A91" s="1472" t="s">
        <v>350</v>
      </c>
      <c r="B91" s="1473"/>
      <c r="C91" s="1473"/>
      <c r="D91" s="1474"/>
      <c r="E91" s="876">
        <f>'24'!F91</f>
        <v>28203</v>
      </c>
      <c r="F91" s="948">
        <v>28212</v>
      </c>
      <c r="G91" s="859">
        <f t="shared" si="7"/>
        <v>9</v>
      </c>
      <c r="H91" s="859">
        <f>G91</f>
        <v>9</v>
      </c>
      <c r="I91" s="1017"/>
      <c r="J91" s="1475"/>
      <c r="K91" s="1476"/>
      <c r="L91" s="1477"/>
      <c r="N91" s="1479"/>
      <c r="O91" s="1480"/>
    </row>
    <row r="92" spans="1:15" s="944" customFormat="1">
      <c r="A92" s="955" t="s">
        <v>204</v>
      </c>
      <c r="B92" s="834"/>
      <c r="C92" s="834"/>
      <c r="D92" s="834"/>
      <c r="E92" s="834"/>
      <c r="F92" s="939"/>
      <c r="G92" s="878"/>
      <c r="H92" s="834"/>
      <c r="I92" s="834"/>
      <c r="J92" s="835"/>
      <c r="K92" s="940"/>
      <c r="L92" s="943"/>
      <c r="N92" s="1011"/>
      <c r="O92" s="846"/>
    </row>
    <row r="93" spans="1:15">
      <c r="A93" s="1626" t="s">
        <v>205</v>
      </c>
      <c r="B93" s="1627"/>
      <c r="C93" s="1628"/>
      <c r="D93" s="839" t="s">
        <v>143</v>
      </c>
      <c r="E93" s="840">
        <f>'24'!F93</f>
        <v>246860</v>
      </c>
      <c r="F93" s="991">
        <v>246939</v>
      </c>
      <c r="G93" s="841">
        <f t="shared" ref="G93:G94" si="9">F93-E93</f>
        <v>79</v>
      </c>
      <c r="H93" s="842">
        <f>G93+'24'!H93</f>
        <v>1451</v>
      </c>
      <c r="I93" s="861"/>
      <c r="J93" s="844">
        <f>H93/DAY(B2)</f>
        <v>58.04</v>
      </c>
      <c r="K93" s="867"/>
      <c r="L93" s="819"/>
      <c r="O93" s="846"/>
    </row>
    <row r="94" spans="1:15">
      <c r="A94" s="1626" t="s">
        <v>206</v>
      </c>
      <c r="B94" s="1627"/>
      <c r="C94" s="1628"/>
      <c r="D94" s="839" t="s">
        <v>143</v>
      </c>
      <c r="E94" s="840">
        <f>'24'!F94</f>
        <v>188804</v>
      </c>
      <c r="F94" s="991">
        <v>188895</v>
      </c>
      <c r="G94" s="841">
        <f t="shared" si="9"/>
        <v>91</v>
      </c>
      <c r="H94" s="842">
        <f>G94+'24'!H94</f>
        <v>2774</v>
      </c>
      <c r="I94" s="861"/>
      <c r="J94" s="844">
        <f>H94/DAY(B2)</f>
        <v>110.96</v>
      </c>
      <c r="K94" s="940"/>
      <c r="L94" s="819"/>
      <c r="O94" s="846"/>
    </row>
    <row r="95" spans="1:15">
      <c r="A95" s="1644" t="s">
        <v>207</v>
      </c>
      <c r="B95" s="1645"/>
      <c r="C95" s="1646"/>
      <c r="D95" s="839"/>
      <c r="E95" s="840">
        <f>'24'!F95</f>
        <v>0</v>
      </c>
      <c r="F95" s="991"/>
      <c r="G95" s="841">
        <f>G93+G94</f>
        <v>170</v>
      </c>
      <c r="H95" s="842">
        <f>G95+'24'!H95</f>
        <v>4149</v>
      </c>
      <c r="I95" s="861"/>
      <c r="J95" s="844">
        <f>H95/DAY(B2)</f>
        <v>165.96</v>
      </c>
      <c r="K95" s="940"/>
      <c r="L95" s="819"/>
      <c r="O95" s="846"/>
    </row>
    <row r="96" spans="1:15">
      <c r="A96" s="1626" t="s">
        <v>208</v>
      </c>
      <c r="B96" s="1627"/>
      <c r="C96" s="1628"/>
      <c r="D96" s="839" t="s">
        <v>143</v>
      </c>
      <c r="E96" s="840">
        <f>'24'!F96</f>
        <v>415606</v>
      </c>
      <c r="F96" s="991">
        <v>415676</v>
      </c>
      <c r="G96" s="841">
        <f t="shared" ref="G96:G101" si="10">F96-E96</f>
        <v>70</v>
      </c>
      <c r="H96" s="842">
        <f>G96+'24'!H96</f>
        <v>1393</v>
      </c>
      <c r="I96" s="861"/>
      <c r="J96" s="844">
        <f>H96/DAY(B2)</f>
        <v>55.72</v>
      </c>
      <c r="K96" s="940"/>
      <c r="L96" s="819"/>
      <c r="O96" s="846"/>
    </row>
    <row r="97" spans="1:15">
      <c r="A97" s="868" t="s">
        <v>209</v>
      </c>
      <c r="B97" s="869"/>
      <c r="C97" s="869"/>
      <c r="D97" s="839" t="s">
        <v>143</v>
      </c>
      <c r="E97" s="840">
        <f>'24'!F97</f>
        <v>103029</v>
      </c>
      <c r="F97" s="991">
        <v>103050</v>
      </c>
      <c r="G97" s="841">
        <f t="shared" si="10"/>
        <v>21</v>
      </c>
      <c r="H97" s="842">
        <f>G97+'24'!H97</f>
        <v>402</v>
      </c>
      <c r="I97" s="861"/>
      <c r="J97" s="844">
        <f>H97/DAY(B2)</f>
        <v>16.079999999999998</v>
      </c>
      <c r="K97" s="836"/>
      <c r="L97" s="819"/>
      <c r="O97" s="846"/>
    </row>
    <row r="98" spans="1:15">
      <c r="A98" s="868" t="s">
        <v>210</v>
      </c>
      <c r="B98" s="869"/>
      <c r="C98" s="869"/>
      <c r="D98" s="839" t="s">
        <v>143</v>
      </c>
      <c r="E98" s="840">
        <f>'24'!F98</f>
        <v>98512</v>
      </c>
      <c r="F98" s="991">
        <v>98531</v>
      </c>
      <c r="G98" s="841">
        <f t="shared" si="10"/>
        <v>19</v>
      </c>
      <c r="H98" s="842">
        <f>G98+'24'!H98</f>
        <v>581</v>
      </c>
      <c r="I98" s="861"/>
      <c r="J98" s="844">
        <f>H98/DAY(B2)</f>
        <v>23.24</v>
      </c>
      <c r="K98" s="956"/>
      <c r="L98" s="819"/>
      <c r="O98" s="846"/>
    </row>
    <row r="99" spans="1:15">
      <c r="A99" s="868" t="s">
        <v>211</v>
      </c>
      <c r="B99" s="869"/>
      <c r="C99" s="869"/>
      <c r="D99" s="839" t="s">
        <v>143</v>
      </c>
      <c r="E99" s="840">
        <f>'24'!F99</f>
        <v>150186</v>
      </c>
      <c r="F99" s="991">
        <v>150214</v>
      </c>
      <c r="G99" s="841">
        <f t="shared" si="10"/>
        <v>28</v>
      </c>
      <c r="H99" s="842">
        <f>G99+'24'!H99</f>
        <v>362</v>
      </c>
      <c r="I99" s="861"/>
      <c r="J99" s="844">
        <f>H99/DAY(B2)</f>
        <v>14.48</v>
      </c>
      <c r="K99" s="940"/>
      <c r="L99" s="819"/>
      <c r="O99" s="846"/>
    </row>
    <row r="100" spans="1:15">
      <c r="A100" s="868" t="s">
        <v>212</v>
      </c>
      <c r="B100" s="869"/>
      <c r="C100" s="869"/>
      <c r="D100" s="839" t="s">
        <v>143</v>
      </c>
      <c r="E100" s="840">
        <f>'24'!F100</f>
        <v>7662</v>
      </c>
      <c r="F100" s="991">
        <v>7687</v>
      </c>
      <c r="G100" s="841">
        <f t="shared" si="10"/>
        <v>25</v>
      </c>
      <c r="H100" s="842">
        <f>G100+'24'!H100</f>
        <v>318</v>
      </c>
      <c r="I100" s="861"/>
      <c r="J100" s="844">
        <f>H100/DAY(B2)</f>
        <v>12.72</v>
      </c>
      <c r="K100" s="940"/>
      <c r="L100" s="819"/>
      <c r="O100" s="846"/>
    </row>
    <row r="101" spans="1:15">
      <c r="A101" s="868" t="s">
        <v>213</v>
      </c>
      <c r="B101" s="869"/>
      <c r="C101" s="869"/>
      <c r="D101" s="839" t="s">
        <v>143</v>
      </c>
      <c r="E101" s="840">
        <f>'24'!F101</f>
        <v>5598</v>
      </c>
      <c r="F101" s="991">
        <v>5604</v>
      </c>
      <c r="G101" s="841">
        <f t="shared" si="10"/>
        <v>6</v>
      </c>
      <c r="H101" s="842">
        <f>G101+'24'!H101</f>
        <v>213</v>
      </c>
      <c r="I101" s="861"/>
      <c r="J101" s="844">
        <f>H101/DAY(B2)</f>
        <v>8.52</v>
      </c>
      <c r="K101" s="940"/>
      <c r="L101" s="819"/>
      <c r="O101" s="846"/>
    </row>
    <row r="102" spans="1:15">
      <c r="A102" s="1644" t="s">
        <v>215</v>
      </c>
      <c r="B102" s="1645"/>
      <c r="C102" s="1646"/>
      <c r="D102" s="873"/>
      <c r="E102" s="873"/>
      <c r="F102" s="939"/>
      <c r="G102" s="957">
        <f>SUM(G96:G101)</f>
        <v>169</v>
      </c>
      <c r="H102" s="842">
        <f>G102+'24'!H102</f>
        <v>3269</v>
      </c>
      <c r="I102" s="958"/>
      <c r="J102" s="844">
        <f>H102/DAY(B2)</f>
        <v>130.76</v>
      </c>
      <c r="K102" s="940"/>
      <c r="L102" s="819"/>
      <c r="O102" s="846"/>
    </row>
    <row r="103" spans="1:15" s="891" customFormat="1">
      <c r="A103" s="959" t="s">
        <v>216</v>
      </c>
      <c r="B103" s="960"/>
      <c r="C103" s="960"/>
      <c r="D103" s="961"/>
      <c r="E103" s="962"/>
      <c r="F103" s="1492"/>
      <c r="G103" s="964"/>
      <c r="H103" s="965"/>
      <c r="I103" s="966"/>
      <c r="J103" s="967"/>
      <c r="N103" s="1009"/>
      <c r="O103" s="846"/>
    </row>
    <row r="104" spans="1:15" s="891" customFormat="1">
      <c r="A104" s="1655" t="s">
        <v>217</v>
      </c>
      <c r="B104" s="1656"/>
      <c r="C104" s="968"/>
      <c r="D104" s="969"/>
      <c r="E104" s="970"/>
      <c r="F104" s="974"/>
      <c r="G104" s="970"/>
      <c r="H104" s="971"/>
      <c r="I104" s="970"/>
      <c r="J104" s="972"/>
      <c r="N104" s="1009"/>
      <c r="O104" s="846"/>
    </row>
    <row r="105" spans="1:15" s="891" customFormat="1">
      <c r="A105" s="1657" t="s">
        <v>218</v>
      </c>
      <c r="B105" s="1658"/>
      <c r="C105" s="973"/>
      <c r="D105" s="969" t="s">
        <v>143</v>
      </c>
      <c r="E105" s="970">
        <f>'24'!F105</f>
        <v>7637</v>
      </c>
      <c r="F105" s="974">
        <v>7637</v>
      </c>
      <c r="G105" s="970">
        <f>F105-E105</f>
        <v>0</v>
      </c>
      <c r="H105" s="971">
        <f>SUM(G105+'1'!G76)</f>
        <v>57</v>
      </c>
      <c r="I105" s="970"/>
      <c r="J105" s="972">
        <f>H105/DAY(B2)</f>
        <v>2.2799999999999998</v>
      </c>
      <c r="N105" s="1009"/>
      <c r="O105" s="846"/>
    </row>
    <row r="106" spans="1:15" s="891" customFormat="1">
      <c r="A106" s="1657" t="s">
        <v>76</v>
      </c>
      <c r="B106" s="1658"/>
      <c r="C106" s="973"/>
      <c r="D106" s="969" t="s">
        <v>143</v>
      </c>
      <c r="E106" s="970">
        <f>'24'!F106</f>
        <v>36116</v>
      </c>
      <c r="F106" s="974">
        <v>36121</v>
      </c>
      <c r="G106" s="970">
        <f t="shared" ref="G106:G107" si="11">F106-E106</f>
        <v>5</v>
      </c>
      <c r="H106" s="971">
        <f>SUM(G106+'1'!G77)</f>
        <v>54</v>
      </c>
      <c r="I106" s="970"/>
      <c r="J106" s="972">
        <f>H106/DAY(B2)</f>
        <v>2.16</v>
      </c>
      <c r="N106" s="1009"/>
      <c r="O106" s="846"/>
    </row>
    <row r="107" spans="1:15" s="891" customFormat="1">
      <c r="A107" s="1657" t="s">
        <v>77</v>
      </c>
      <c r="B107" s="1659"/>
      <c r="C107" s="1658"/>
      <c r="D107" s="969" t="s">
        <v>143</v>
      </c>
      <c r="E107" s="970">
        <f>'24'!F107</f>
        <v>19795</v>
      </c>
      <c r="F107" s="974">
        <v>19800</v>
      </c>
      <c r="G107" s="970">
        <f t="shared" si="11"/>
        <v>5</v>
      </c>
      <c r="H107" s="971">
        <f>SUM(G107+'1'!G78)</f>
        <v>60</v>
      </c>
      <c r="I107" s="970"/>
      <c r="J107" s="972">
        <f>H107/DAY(B2)</f>
        <v>2.4</v>
      </c>
      <c r="N107" s="1009"/>
      <c r="O107" s="846"/>
    </row>
    <row r="108" spans="1:15" s="891" customFormat="1">
      <c r="A108" s="1660" t="s">
        <v>201</v>
      </c>
      <c r="B108" s="1661"/>
      <c r="C108" s="973"/>
      <c r="D108" s="969"/>
      <c r="E108" s="970">
        <f>'24'!F108</f>
        <v>0</v>
      </c>
      <c r="F108" s="974"/>
      <c r="G108" s="970">
        <f>SUM(G105:G107)</f>
        <v>10</v>
      </c>
      <c r="H108" s="971">
        <f>SUM(G108+'1'!G79)</f>
        <v>165</v>
      </c>
      <c r="I108" s="970"/>
      <c r="J108" s="972">
        <f>H108/DAY(B2)</f>
        <v>6.6</v>
      </c>
      <c r="N108" s="1009"/>
      <c r="O108" s="846"/>
    </row>
    <row r="109" spans="1:15" s="891" customFormat="1">
      <c r="A109" s="1662" t="s">
        <v>78</v>
      </c>
      <c r="B109" s="1663"/>
      <c r="C109" s="973"/>
      <c r="D109" s="969" t="s">
        <v>143</v>
      </c>
      <c r="E109" s="970">
        <f>'24'!F109</f>
        <v>0</v>
      </c>
      <c r="F109" s="974"/>
      <c r="G109" s="970"/>
      <c r="H109" s="971"/>
      <c r="I109" s="970"/>
      <c r="J109" s="972"/>
      <c r="N109" s="1009"/>
      <c r="O109" s="846"/>
    </row>
    <row r="110" spans="1:15" s="891" customFormat="1">
      <c r="A110" s="1657" t="s">
        <v>219</v>
      </c>
      <c r="B110" s="1658"/>
      <c r="C110" s="973"/>
      <c r="D110" s="969" t="s">
        <v>143</v>
      </c>
      <c r="E110" s="970">
        <f>'24'!F110</f>
        <v>64441</v>
      </c>
      <c r="F110" s="974">
        <v>64486</v>
      </c>
      <c r="G110" s="970">
        <f>F110-E110</f>
        <v>45</v>
      </c>
      <c r="H110" s="971">
        <f>SUM(G110+'1'!G81)</f>
        <v>139</v>
      </c>
      <c r="I110" s="970"/>
      <c r="J110" s="972">
        <f>H110/DAY(B2)</f>
        <v>5.56</v>
      </c>
      <c r="N110" s="1009"/>
      <c r="O110" s="846"/>
    </row>
    <row r="111" spans="1:15" s="891" customFormat="1">
      <c r="A111" s="1657" t="s">
        <v>220</v>
      </c>
      <c r="B111" s="1658"/>
      <c r="C111" s="973"/>
      <c r="D111" s="969" t="s">
        <v>143</v>
      </c>
      <c r="E111" s="970">
        <f>'24'!F111</f>
        <v>32909</v>
      </c>
      <c r="F111" s="974">
        <v>32925</v>
      </c>
      <c r="G111" s="970">
        <f t="shared" ref="G111:G112" si="12">F111-E111</f>
        <v>16</v>
      </c>
      <c r="H111" s="971">
        <f>SUM(G111+'1'!G82)</f>
        <v>27</v>
      </c>
      <c r="I111" s="970"/>
      <c r="J111" s="972">
        <f>H111/DAY(B2)</f>
        <v>1.08</v>
      </c>
      <c r="N111" s="1009"/>
      <c r="O111" s="846"/>
    </row>
    <row r="112" spans="1:15" s="891" customFormat="1">
      <c r="A112" s="1657" t="s">
        <v>221</v>
      </c>
      <c r="B112" s="1658"/>
      <c r="C112" s="973"/>
      <c r="D112" s="969" t="s">
        <v>143</v>
      </c>
      <c r="E112" s="970">
        <f>'24'!F112</f>
        <v>4621</v>
      </c>
      <c r="F112" s="974">
        <v>4621</v>
      </c>
      <c r="G112" s="970">
        <f t="shared" si="12"/>
        <v>0</v>
      </c>
      <c r="H112" s="971">
        <f>SUM(G112+'1'!G83)</f>
        <v>152</v>
      </c>
      <c r="I112" s="970"/>
      <c r="J112" s="972">
        <f>H112/DAY(B2)</f>
        <v>6.08</v>
      </c>
      <c r="N112" s="1009"/>
      <c r="O112" s="846"/>
    </row>
    <row r="113" spans="1:15" s="891" customFormat="1">
      <c r="A113" s="1664" t="s">
        <v>109</v>
      </c>
      <c r="B113" s="1665"/>
      <c r="C113" s="973"/>
      <c r="D113" s="969"/>
      <c r="E113" s="970">
        <f>'24'!F113</f>
        <v>0</v>
      </c>
      <c r="F113" s="974"/>
      <c r="G113" s="970">
        <f>SUM(G110:G112)</f>
        <v>61</v>
      </c>
      <c r="H113" s="971">
        <f>SUM(G113+'1'!G84)</f>
        <v>888</v>
      </c>
      <c r="I113" s="970"/>
      <c r="J113" s="972">
        <f>H113/DAY(B2)</f>
        <v>35.520000000000003</v>
      </c>
      <c r="N113" s="1009"/>
      <c r="O113" s="846"/>
    </row>
    <row r="114" spans="1:15" s="891" customFormat="1">
      <c r="A114" s="1662" t="s">
        <v>222</v>
      </c>
      <c r="B114" s="1663"/>
      <c r="C114" s="973"/>
      <c r="D114" s="969"/>
      <c r="E114" s="970">
        <f>'24'!F114</f>
        <v>0</v>
      </c>
      <c r="F114" s="974"/>
      <c r="G114" s="970"/>
      <c r="H114" s="971"/>
      <c r="I114" s="970"/>
      <c r="J114" s="972">
        <f>H114/DAY(B2)</f>
        <v>0</v>
      </c>
      <c r="N114" s="1009"/>
      <c r="O114" s="846"/>
    </row>
    <row r="115" spans="1:15" s="891" customFormat="1">
      <c r="A115" s="1657" t="s">
        <v>223</v>
      </c>
      <c r="B115" s="1658"/>
      <c r="C115" s="975"/>
      <c r="D115" s="969" t="s">
        <v>143</v>
      </c>
      <c r="E115" s="970">
        <f>'24'!F115</f>
        <v>11857</v>
      </c>
      <c r="F115" s="974">
        <v>11886</v>
      </c>
      <c r="G115" s="974">
        <f>F115-E115</f>
        <v>29</v>
      </c>
      <c r="H115" s="971">
        <f>SUM(G115+'1'!G92)</f>
        <v>29</v>
      </c>
      <c r="I115" s="970"/>
      <c r="J115" s="972">
        <f>H115/DAY(B2)</f>
        <v>1.1599999999999999</v>
      </c>
      <c r="N115" s="1009"/>
      <c r="O115" s="846"/>
    </row>
    <row r="116" spans="1:15" s="891" customFormat="1">
      <c r="A116" s="1657" t="s">
        <v>224</v>
      </c>
      <c r="B116" s="1658"/>
      <c r="C116" s="975"/>
      <c r="D116" s="969" t="s">
        <v>143</v>
      </c>
      <c r="E116" s="970">
        <f>'24'!F116</f>
        <v>8494</v>
      </c>
      <c r="F116" s="974">
        <v>8498</v>
      </c>
      <c r="G116" s="974">
        <f t="shared" ref="G116:G117" si="13">F116-E116</f>
        <v>4</v>
      </c>
      <c r="H116" s="971">
        <f>SUM(G116+'1'!G93)</f>
        <v>22</v>
      </c>
      <c r="I116" s="970"/>
      <c r="J116" s="972">
        <f>H116/DAY(B2)</f>
        <v>0.88</v>
      </c>
      <c r="N116" s="1009"/>
      <c r="O116" s="846"/>
    </row>
    <row r="117" spans="1:15" s="891" customFormat="1">
      <c r="A117" s="1657" t="s">
        <v>225</v>
      </c>
      <c r="B117" s="1658"/>
      <c r="C117" s="975"/>
      <c r="D117" s="969" t="s">
        <v>143</v>
      </c>
      <c r="E117" s="974"/>
      <c r="F117" s="974"/>
      <c r="G117" s="974">
        <f t="shared" si="13"/>
        <v>0</v>
      </c>
      <c r="H117" s="971">
        <f>SUM(G117+'1'!G94)</f>
        <v>58</v>
      </c>
      <c r="I117" s="970"/>
      <c r="J117" s="972">
        <f>H117/DAY(B2)</f>
        <v>2.3199999999999998</v>
      </c>
      <c r="N117" s="1009"/>
      <c r="O117" s="846"/>
    </row>
    <row r="118" spans="1:15" s="977" customFormat="1">
      <c r="A118" s="1660" t="s">
        <v>201</v>
      </c>
      <c r="B118" s="1661"/>
      <c r="C118" s="975"/>
      <c r="D118" s="976"/>
      <c r="E118" s="974"/>
      <c r="F118" s="974"/>
      <c r="G118" s="974">
        <f>SUM(G115:G117)</f>
        <v>33</v>
      </c>
      <c r="H118" s="971">
        <f>SUM(G118+'1'!G96)</f>
        <v>73</v>
      </c>
      <c r="I118" s="974"/>
      <c r="J118" s="972">
        <f>H118/DAY(B2)</f>
        <v>2.92</v>
      </c>
      <c r="N118" s="1014"/>
      <c r="O118" s="846"/>
    </row>
    <row r="119" spans="1:15" s="769" customFormat="1">
      <c r="A119" s="1666" t="s">
        <v>226</v>
      </c>
      <c r="B119" s="1667"/>
      <c r="C119" s="978"/>
      <c r="D119" s="979" t="s">
        <v>143</v>
      </c>
      <c r="E119" s="980"/>
      <c r="F119" s="981"/>
      <c r="G119" s="981">
        <f>SUM(G19+G93)</f>
        <v>139</v>
      </c>
      <c r="H119" s="971">
        <f>SUM(G119+'1'!G97)</f>
        <v>152</v>
      </c>
      <c r="I119" s="980"/>
      <c r="J119" s="982">
        <f>H119/DAY(B2)</f>
        <v>6.08</v>
      </c>
      <c r="N119" s="1015"/>
      <c r="O119" s="846"/>
    </row>
    <row r="120" spans="1:15" s="769" customFormat="1">
      <c r="A120" s="1666" t="s">
        <v>227</v>
      </c>
      <c r="B120" s="1667"/>
      <c r="C120" s="978"/>
      <c r="D120" s="979" t="s">
        <v>143</v>
      </c>
      <c r="E120" s="980"/>
      <c r="F120" s="981"/>
      <c r="G120" s="981">
        <f>SUM(G96,G97,G98,G100,G101)</f>
        <v>141</v>
      </c>
      <c r="H120" s="971">
        <f>SUM(G120+'1'!G99)</f>
        <v>148</v>
      </c>
      <c r="I120" s="980"/>
      <c r="J120" s="982">
        <f>H120/DAY(B2)</f>
        <v>5.92</v>
      </c>
      <c r="N120" s="1015"/>
      <c r="O120" s="846"/>
    </row>
    <row r="121" spans="1:15" s="769" customFormat="1">
      <c r="A121" s="1666" t="s">
        <v>228</v>
      </c>
      <c r="B121" s="1667"/>
      <c r="C121" s="978"/>
      <c r="D121" s="979" t="s">
        <v>143</v>
      </c>
      <c r="E121" s="980"/>
      <c r="F121" s="974"/>
      <c r="G121" s="974">
        <f>SUM(G113)</f>
        <v>61</v>
      </c>
      <c r="H121" s="971">
        <f>SUM(G121+'1'!G101)</f>
        <v>65</v>
      </c>
      <c r="I121" s="980"/>
      <c r="J121" s="982">
        <f>H121/DAY(B2)</f>
        <v>2.6</v>
      </c>
      <c r="N121" s="1015"/>
      <c r="O121" s="846"/>
    </row>
    <row r="122" spans="1:15" s="891" customFormat="1">
      <c r="A122" s="1668"/>
      <c r="B122" s="1614"/>
      <c r="C122" s="973"/>
      <c r="D122" s="968"/>
      <c r="E122" s="968"/>
      <c r="F122" s="1493"/>
      <c r="G122" s="968"/>
      <c r="H122" s="983"/>
      <c r="I122" s="968"/>
      <c r="J122" s="984"/>
      <c r="N122" s="1009"/>
      <c r="O122" s="846"/>
    </row>
    <row r="123" spans="1:15">
      <c r="A123" s="1647" t="s">
        <v>229</v>
      </c>
      <c r="B123" s="1648"/>
      <c r="C123" s="1649"/>
      <c r="D123" s="834"/>
      <c r="E123" s="834"/>
      <c r="F123" s="939"/>
      <c r="G123" s="866"/>
      <c r="H123" s="866"/>
      <c r="I123" s="866"/>
      <c r="J123" s="985"/>
      <c r="K123" s="940"/>
      <c r="L123" s="819"/>
      <c r="O123" s="846"/>
    </row>
    <row r="124" spans="1:15">
      <c r="A124" s="868" t="s">
        <v>230</v>
      </c>
      <c r="B124" s="869"/>
      <c r="C124" s="869"/>
      <c r="D124" s="839" t="s">
        <v>140</v>
      </c>
      <c r="E124" s="840">
        <f>'24'!F124</f>
        <v>837997</v>
      </c>
      <c r="F124" s="1484">
        <v>838262</v>
      </c>
      <c r="G124" s="841">
        <f t="shared" ref="G124:G128" si="14">F124-E124</f>
        <v>265</v>
      </c>
      <c r="H124" s="842">
        <f>G124+'24'!H124</f>
        <v>5896</v>
      </c>
      <c r="I124" s="958"/>
      <c r="J124" s="844">
        <f>H124/DAY(B2)</f>
        <v>235.84</v>
      </c>
      <c r="K124" s="940"/>
      <c r="L124" s="819"/>
      <c r="O124" s="846"/>
    </row>
    <row r="125" spans="1:15">
      <c r="A125" s="868" t="s">
        <v>231</v>
      </c>
      <c r="B125" s="869"/>
      <c r="C125" s="869"/>
      <c r="D125" s="839" t="s">
        <v>140</v>
      </c>
      <c r="E125" s="840">
        <f>'24'!F125</f>
        <v>73583</v>
      </c>
      <c r="F125" s="1484">
        <v>73583</v>
      </c>
      <c r="G125" s="841">
        <f t="shared" si="14"/>
        <v>0</v>
      </c>
      <c r="H125" s="842">
        <f>G125+'24'!H125</f>
        <v>-0.39999999999417923</v>
      </c>
      <c r="I125" s="958"/>
      <c r="J125" s="844">
        <f>H125/DAY(B2)</f>
        <v>-1.5999999999767169E-2</v>
      </c>
      <c r="K125" s="940"/>
      <c r="L125" s="819"/>
      <c r="O125" s="846"/>
    </row>
    <row r="126" spans="1:15">
      <c r="A126" s="1632" t="s">
        <v>232</v>
      </c>
      <c r="B126" s="1633"/>
      <c r="C126" s="1634"/>
      <c r="D126" s="839" t="s">
        <v>140</v>
      </c>
      <c r="E126" s="840">
        <f>'24'!F126</f>
        <v>148126</v>
      </c>
      <c r="F126" s="1484">
        <v>148196</v>
      </c>
      <c r="G126" s="841">
        <f t="shared" si="14"/>
        <v>70</v>
      </c>
      <c r="H126" s="842">
        <f>G126+'24'!H126</f>
        <v>1705</v>
      </c>
      <c r="I126" s="958"/>
      <c r="J126" s="844">
        <f>H126/DAY(B2)</f>
        <v>68.2</v>
      </c>
      <c r="K126" s="940"/>
      <c r="L126" s="819"/>
      <c r="O126" s="846"/>
    </row>
    <row r="127" spans="1:15">
      <c r="A127" s="987" t="s">
        <v>233</v>
      </c>
      <c r="B127" s="869"/>
      <c r="C127" s="869"/>
      <c r="D127" s="839" t="s">
        <v>140</v>
      </c>
      <c r="E127" s="840">
        <f>'24'!F127</f>
        <v>31863</v>
      </c>
      <c r="F127" s="1484">
        <v>31902</v>
      </c>
      <c r="G127" s="841">
        <f t="shared" si="14"/>
        <v>39</v>
      </c>
      <c r="H127" s="842">
        <f>G127+'24'!H127</f>
        <v>496</v>
      </c>
      <c r="I127" s="958"/>
      <c r="J127" s="844">
        <f>H127/DAY(B2)</f>
        <v>19.84</v>
      </c>
      <c r="K127" s="940"/>
      <c r="L127" s="819"/>
      <c r="O127" s="846"/>
    </row>
    <row r="128" spans="1:15">
      <c r="A128" s="987" t="s">
        <v>234</v>
      </c>
      <c r="B128" s="869"/>
      <c r="C128" s="869"/>
      <c r="D128" s="839" t="s">
        <v>140</v>
      </c>
      <c r="E128" s="840">
        <f>'24'!F128</f>
        <v>8990</v>
      </c>
      <c r="F128" s="1484">
        <v>8990</v>
      </c>
      <c r="G128" s="841">
        <f t="shared" si="14"/>
        <v>0</v>
      </c>
      <c r="H128" s="842">
        <f>G128+'24'!H128</f>
        <v>18</v>
      </c>
      <c r="I128" s="861"/>
      <c r="J128" s="844">
        <f>H128/DAY(B2)</f>
        <v>0.72</v>
      </c>
      <c r="K128" s="940"/>
      <c r="L128" s="819"/>
      <c r="O128" s="846"/>
    </row>
    <row r="129" spans="1:16">
      <c r="A129" s="987" t="s">
        <v>235</v>
      </c>
      <c r="B129" s="869"/>
      <c r="C129" s="869"/>
      <c r="D129" s="839"/>
      <c r="E129" s="840"/>
      <c r="F129" s="1484"/>
      <c r="G129" s="841">
        <f>G15-SUM(G124:G128)</f>
        <v>372</v>
      </c>
      <c r="H129" s="842">
        <f>G129+'24'!H129</f>
        <v>3802.3999999999942</v>
      </c>
      <c r="I129" s="861"/>
      <c r="J129" s="844">
        <f>H129/DAY(B2)</f>
        <v>152.09599999999978</v>
      </c>
      <c r="K129" s="940"/>
      <c r="L129" s="819"/>
      <c r="O129" s="846"/>
    </row>
    <row r="130" spans="1:16">
      <c r="A130" s="988" t="s">
        <v>236</v>
      </c>
      <c r="B130" s="833"/>
      <c r="C130" s="833"/>
      <c r="D130" s="833"/>
      <c r="E130" s="833"/>
      <c r="F130" s="1481"/>
      <c r="G130" s="989"/>
      <c r="H130" s="989"/>
      <c r="I130" s="989"/>
      <c r="J130" s="990"/>
      <c r="O130" s="846"/>
    </row>
    <row r="131" spans="1:16">
      <c r="A131" s="868" t="s">
        <v>237</v>
      </c>
      <c r="B131" s="869"/>
      <c r="C131" s="869"/>
      <c r="D131" s="839" t="s">
        <v>238</v>
      </c>
      <c r="E131" s="840">
        <f>'24'!F131</f>
        <v>0</v>
      </c>
      <c r="F131" s="991">
        <v>0</v>
      </c>
      <c r="G131" s="841">
        <f t="shared" ref="G131:G141" si="15">F131-E131</f>
        <v>0</v>
      </c>
      <c r="H131" s="842">
        <f>G131+'24'!H131</f>
        <v>0</v>
      </c>
      <c r="I131" s="861"/>
      <c r="J131" s="844">
        <f>H131/DAY(B2)</f>
        <v>0</v>
      </c>
      <c r="O131" s="846"/>
    </row>
    <row r="132" spans="1:16">
      <c r="A132" s="868" t="s">
        <v>239</v>
      </c>
      <c r="B132" s="869"/>
      <c r="C132" s="869"/>
      <c r="D132" s="839" t="s">
        <v>238</v>
      </c>
      <c r="E132" s="840">
        <f>'24'!F132</f>
        <v>0</v>
      </c>
      <c r="F132" s="991">
        <v>0</v>
      </c>
      <c r="G132" s="841">
        <f t="shared" si="15"/>
        <v>0</v>
      </c>
      <c r="H132" s="842">
        <f>G132+'24'!H132</f>
        <v>0</v>
      </c>
      <c r="I132" s="861"/>
      <c r="J132" s="844">
        <f>H132/DAY(B2)</f>
        <v>0</v>
      </c>
      <c r="O132" s="846"/>
    </row>
    <row r="133" spans="1:16">
      <c r="A133" s="868" t="s">
        <v>240</v>
      </c>
      <c r="B133" s="869"/>
      <c r="C133" s="869"/>
      <c r="D133" s="839" t="s">
        <v>238</v>
      </c>
      <c r="E133" s="840">
        <f>'24'!F133</f>
        <v>40365</v>
      </c>
      <c r="F133" s="991">
        <v>40365</v>
      </c>
      <c r="G133" s="841">
        <f t="shared" si="15"/>
        <v>0</v>
      </c>
      <c r="H133" s="842">
        <f>G133+'24'!H133</f>
        <v>329.90000000000146</v>
      </c>
      <c r="I133" s="861"/>
      <c r="J133" s="844">
        <f>H133/DAY(B2)</f>
        <v>13.196000000000058</v>
      </c>
      <c r="O133" s="846"/>
      <c r="P133" s="806">
        <f>49-24</f>
        <v>25</v>
      </c>
    </row>
    <row r="134" spans="1:16">
      <c r="A134" s="868" t="s">
        <v>241</v>
      </c>
      <c r="B134" s="869"/>
      <c r="C134" s="869"/>
      <c r="D134" s="839" t="s">
        <v>238</v>
      </c>
      <c r="E134" s="840">
        <f>'24'!F134</f>
        <v>300</v>
      </c>
      <c r="F134" s="991">
        <v>300</v>
      </c>
      <c r="G134" s="841">
        <f t="shared" si="15"/>
        <v>0</v>
      </c>
      <c r="H134" s="842">
        <f>G134+'24'!H134</f>
        <v>0</v>
      </c>
      <c r="I134" s="861">
        <f>G131+G132+G133+G134</f>
        <v>0</v>
      </c>
      <c r="J134" s="844">
        <f>H134/DAY(B2)</f>
        <v>0</v>
      </c>
      <c r="O134" s="846"/>
    </row>
    <row r="135" spans="1:16">
      <c r="A135" s="868" t="s">
        <v>242</v>
      </c>
      <c r="B135" s="869"/>
      <c r="C135" s="869"/>
      <c r="D135" s="839" t="s">
        <v>238</v>
      </c>
      <c r="E135" s="840">
        <f>'24'!F135</f>
        <v>41887</v>
      </c>
      <c r="F135" s="991">
        <v>41911.449999999997</v>
      </c>
      <c r="G135" s="841">
        <f t="shared" si="15"/>
        <v>24.44999999999709</v>
      </c>
      <c r="H135" s="842">
        <f>G135+'24'!H135</f>
        <v>72.009999999994761</v>
      </c>
      <c r="I135" s="861"/>
      <c r="J135" s="844">
        <f>H135/DAY(B2)</f>
        <v>2.8803999999997902</v>
      </c>
      <c r="O135" s="846"/>
    </row>
    <row r="136" spans="1:16">
      <c r="A136" s="868" t="s">
        <v>243</v>
      </c>
      <c r="B136" s="869"/>
      <c r="C136" s="869"/>
      <c r="D136" s="839" t="s">
        <v>238</v>
      </c>
      <c r="E136" s="840">
        <f>'24'!F136</f>
        <v>32874</v>
      </c>
      <c r="F136" s="991">
        <v>32874</v>
      </c>
      <c r="G136" s="841">
        <f t="shared" si="15"/>
        <v>0</v>
      </c>
      <c r="H136" s="842">
        <f>G136+'24'!H136</f>
        <v>12.94999999999709</v>
      </c>
      <c r="I136" s="861"/>
      <c r="J136" s="844">
        <f>H136/DAY(B2)</f>
        <v>0.51799999999988355</v>
      </c>
      <c r="O136" s="846"/>
    </row>
    <row r="137" spans="1:16">
      <c r="A137" s="868" t="s">
        <v>244</v>
      </c>
      <c r="B137" s="869"/>
      <c r="C137" s="869"/>
      <c r="D137" s="839" t="s">
        <v>238</v>
      </c>
      <c r="E137" s="840">
        <f>'24'!F137</f>
        <v>22861</v>
      </c>
      <c r="F137" s="991">
        <v>22865.54</v>
      </c>
      <c r="G137" s="841">
        <f t="shared" si="15"/>
        <v>4.5400000000008731</v>
      </c>
      <c r="H137" s="842">
        <f>G137+'24'!H137</f>
        <v>58.299999999999272</v>
      </c>
      <c r="I137" s="861">
        <f>G135+G136+G137</f>
        <v>28.989999999997963</v>
      </c>
      <c r="J137" s="844">
        <f>H137/DAY(B2)</f>
        <v>2.331999999999971</v>
      </c>
      <c r="O137" s="846"/>
    </row>
    <row r="138" spans="1:16">
      <c r="A138" s="868" t="s">
        <v>245</v>
      </c>
      <c r="B138" s="869"/>
      <c r="C138" s="869"/>
      <c r="D138" s="839" t="s">
        <v>238</v>
      </c>
      <c r="E138" s="840">
        <f>'24'!F138</f>
        <v>25091.39</v>
      </c>
      <c r="F138" s="991">
        <v>25091</v>
      </c>
      <c r="G138" s="841">
        <f t="shared" si="15"/>
        <v>-0.38999999999941792</v>
      </c>
      <c r="H138" s="842">
        <f>G138+'24'!H138</f>
        <v>17.110000000000582</v>
      </c>
      <c r="I138" s="861"/>
      <c r="J138" s="844">
        <f>H138/DAY(B2)</f>
        <v>0.68440000000002332</v>
      </c>
      <c r="O138" s="846"/>
    </row>
    <row r="139" spans="1:16">
      <c r="A139" s="868" t="s">
        <v>246</v>
      </c>
      <c r="B139" s="869"/>
      <c r="C139" s="869"/>
      <c r="D139" s="839" t="s">
        <v>238</v>
      </c>
      <c r="E139" s="840">
        <f>'24'!F139</f>
        <v>70497.78</v>
      </c>
      <c r="F139" s="991">
        <v>70503.92</v>
      </c>
      <c r="G139" s="841">
        <f t="shared" si="15"/>
        <v>6.1399999999994179</v>
      </c>
      <c r="H139" s="842">
        <f>G139+'24'!H139</f>
        <v>22.190000000002328</v>
      </c>
      <c r="I139" s="861">
        <f>G138+G139</f>
        <v>5.75</v>
      </c>
      <c r="J139" s="844">
        <f>H139/DAY(B2)</f>
        <v>0.88760000000009309</v>
      </c>
      <c r="O139" s="846"/>
    </row>
    <row r="140" spans="1:16">
      <c r="A140" s="868" t="s">
        <v>247</v>
      </c>
      <c r="B140" s="869"/>
      <c r="C140" s="869"/>
      <c r="D140" s="839" t="s">
        <v>238</v>
      </c>
      <c r="E140" s="840">
        <f>'24'!F140</f>
        <v>2067.64</v>
      </c>
      <c r="F140" s="991">
        <v>2077</v>
      </c>
      <c r="G140" s="841">
        <f t="shared" si="15"/>
        <v>9.3600000000001273</v>
      </c>
      <c r="H140" s="842">
        <f>G140+'24'!H140</f>
        <v>222.70000000000005</v>
      </c>
      <c r="I140" s="992"/>
      <c r="J140" s="844">
        <f>H140/DAY(B2)</f>
        <v>8.9080000000000013</v>
      </c>
      <c r="O140" s="846"/>
    </row>
    <row r="141" spans="1:16">
      <c r="A141" s="868" t="s">
        <v>248</v>
      </c>
      <c r="B141" s="869"/>
      <c r="C141" s="869"/>
      <c r="D141" s="839" t="s">
        <v>238</v>
      </c>
      <c r="E141" s="840">
        <f>'24'!F141</f>
        <v>4636.88</v>
      </c>
      <c r="F141" s="991">
        <v>4636.88</v>
      </c>
      <c r="G141" s="841">
        <f t="shared" si="15"/>
        <v>0</v>
      </c>
      <c r="H141" s="842">
        <f>G141+'24'!H141</f>
        <v>-0.11999999999989086</v>
      </c>
      <c r="I141" s="992"/>
      <c r="J141" s="844">
        <f>H141/DAY(B2)</f>
        <v>-4.7999999999956341E-3</v>
      </c>
      <c r="O141" s="846"/>
    </row>
    <row r="142" spans="1:16">
      <c r="A142" s="1650" t="s">
        <v>249</v>
      </c>
      <c r="B142" s="1651"/>
      <c r="C142" s="834"/>
      <c r="D142" s="834"/>
      <c r="E142" s="834"/>
      <c r="F142" s="939"/>
      <c r="G142" s="866"/>
      <c r="H142" s="866"/>
      <c r="I142" s="866"/>
      <c r="J142" s="985"/>
      <c r="K142" s="940"/>
      <c r="L142" s="819"/>
      <c r="O142" s="846"/>
    </row>
    <row r="143" spans="1:16">
      <c r="A143" s="1626" t="s">
        <v>250</v>
      </c>
      <c r="B143" s="1627"/>
      <c r="C143" s="1628"/>
      <c r="D143" s="839" t="s">
        <v>131</v>
      </c>
      <c r="E143" s="839"/>
      <c r="F143" s="939"/>
      <c r="G143" s="842">
        <f>G35+G43+G49+G57</f>
        <v>5368.0100000000093</v>
      </c>
      <c r="H143" s="842">
        <f>G143+'24'!H143</f>
        <v>126454.07000000007</v>
      </c>
      <c r="I143" s="861"/>
      <c r="J143" s="844">
        <f>H143/DAY(B2)</f>
        <v>5058.1628000000028</v>
      </c>
      <c r="K143" s="940"/>
      <c r="L143" s="819"/>
      <c r="O143" s="846"/>
    </row>
    <row r="144" spans="1:16">
      <c r="A144" s="1626" t="s">
        <v>251</v>
      </c>
      <c r="B144" s="1627"/>
      <c r="C144" s="1628"/>
      <c r="D144" s="839" t="s">
        <v>24</v>
      </c>
      <c r="E144" s="826"/>
      <c r="F144" s="1481"/>
      <c r="G144" s="993">
        <f>G143/G7</f>
        <v>0.27784730848861333</v>
      </c>
      <c r="H144" s="842">
        <f>G144+'24'!H144</f>
        <v>6.7037394517803497</v>
      </c>
      <c r="I144" s="994"/>
      <c r="J144" s="844">
        <f>H144/DAY(B2)</f>
        <v>0.26814957807121398</v>
      </c>
      <c r="K144" s="940"/>
      <c r="L144" s="819"/>
      <c r="O144" s="846"/>
    </row>
    <row r="145" spans="1:15">
      <c r="A145" s="1626" t="s">
        <v>252</v>
      </c>
      <c r="B145" s="1627"/>
      <c r="C145" s="1628"/>
      <c r="D145" s="839" t="s">
        <v>131</v>
      </c>
      <c r="E145" s="840"/>
      <c r="F145" s="1458"/>
      <c r="G145" s="842">
        <f>G41+G42+G55+G56</f>
        <v>5087</v>
      </c>
      <c r="H145" s="842">
        <f>G145+'24'!H145</f>
        <v>139903.03</v>
      </c>
      <c r="I145" s="861"/>
      <c r="J145" s="844">
        <f>H145/DAY(B2)</f>
        <v>5596.1211999999996</v>
      </c>
      <c r="K145" s="940"/>
      <c r="L145" s="819"/>
      <c r="O145" s="846"/>
    </row>
    <row r="146" spans="1:15">
      <c r="A146" s="1626" t="s">
        <v>253</v>
      </c>
      <c r="B146" s="1627"/>
      <c r="C146" s="1628"/>
      <c r="D146" s="839" t="s">
        <v>24</v>
      </c>
      <c r="E146" s="840"/>
      <c r="F146" s="1458"/>
      <c r="G146" s="993">
        <f>G145/G7</f>
        <v>0.26330227743271223</v>
      </c>
      <c r="H146" s="842">
        <f>G146+'24'!H146</f>
        <v>7.3675492024009168</v>
      </c>
      <c r="I146" s="994"/>
      <c r="J146" s="844">
        <f>H146/DAY(B2)</f>
        <v>0.29470196809603666</v>
      </c>
      <c r="K146" s="940"/>
      <c r="L146" s="819"/>
      <c r="O146" s="846"/>
    </row>
    <row r="147" spans="1:15">
      <c r="A147" s="1626" t="s">
        <v>254</v>
      </c>
      <c r="B147" s="1627"/>
      <c r="C147" s="1628"/>
      <c r="D147" s="839" t="s">
        <v>131</v>
      </c>
      <c r="E147" s="840"/>
      <c r="F147" s="1458"/>
      <c r="G147" s="842">
        <f>G39+G53</f>
        <v>3655</v>
      </c>
      <c r="H147" s="842">
        <f>G147+'24'!H147</f>
        <v>79973</v>
      </c>
      <c r="I147" s="995"/>
      <c r="J147" s="844">
        <f>H147/DAY(B2)</f>
        <v>3198.92</v>
      </c>
      <c r="K147" s="940"/>
      <c r="L147" s="819"/>
      <c r="O147" s="846"/>
    </row>
    <row r="148" spans="1:15">
      <c r="A148" s="1626" t="s">
        <v>255</v>
      </c>
      <c r="B148" s="1627"/>
      <c r="C148" s="1628"/>
      <c r="D148" s="839" t="s">
        <v>24</v>
      </c>
      <c r="E148" s="840"/>
      <c r="F148" s="1458"/>
      <c r="G148" s="993">
        <f>G147/G7</f>
        <v>0.18918219461697722</v>
      </c>
      <c r="H148" s="842">
        <f>G148+'24'!H148</f>
        <v>4.2287072716968588</v>
      </c>
      <c r="I148" s="995"/>
      <c r="J148" s="844">
        <f>H148/DAY(B2)</f>
        <v>0.16914829086787436</v>
      </c>
      <c r="O148" s="846"/>
    </row>
    <row r="149" spans="1:15">
      <c r="A149" s="1626" t="s">
        <v>256</v>
      </c>
      <c r="B149" s="1627"/>
      <c r="C149" s="1628"/>
      <c r="D149" s="839" t="s">
        <v>182</v>
      </c>
      <c r="E149" s="840"/>
      <c r="F149" s="1458"/>
      <c r="G149" s="842">
        <f>G38+G52</f>
        <v>1537.0699999999488</v>
      </c>
      <c r="H149" s="842">
        <f>G149+'24'!H149</f>
        <v>33930.069999999949</v>
      </c>
      <c r="I149" s="861"/>
      <c r="J149" s="844">
        <f>H149/DAY(B2)</f>
        <v>1357.202799999998</v>
      </c>
      <c r="K149" s="996"/>
      <c r="O149" s="846"/>
    </row>
    <row r="150" spans="1:15">
      <c r="A150" s="1626" t="s">
        <v>257</v>
      </c>
      <c r="B150" s="1627"/>
      <c r="C150" s="1628"/>
      <c r="D150" s="839" t="s">
        <v>24</v>
      </c>
      <c r="E150" s="840"/>
      <c r="F150" s="1458"/>
      <c r="G150" s="993">
        <f>G149/G7</f>
        <v>7.9558488612833794E-2</v>
      </c>
      <c r="H150" s="842">
        <f>G150+'24'!H150</f>
        <v>1.7895378798403121</v>
      </c>
      <c r="I150" s="995"/>
      <c r="J150" s="844">
        <f>H150/DAY(B2)</f>
        <v>7.1581515193612485E-2</v>
      </c>
      <c r="O150" s="846"/>
    </row>
    <row r="151" spans="1:15">
      <c r="A151" s="1626" t="s">
        <v>258</v>
      </c>
      <c r="B151" s="1627"/>
      <c r="C151" s="1628"/>
      <c r="D151" s="839" t="s">
        <v>182</v>
      </c>
      <c r="E151" s="840"/>
      <c r="F151" s="1458"/>
      <c r="G151" s="842">
        <f>G36+G50</f>
        <v>1674</v>
      </c>
      <c r="H151" s="842">
        <f>G151+'24'!H151</f>
        <v>43671</v>
      </c>
      <c r="I151" s="995"/>
      <c r="J151" s="844">
        <f>H151/DAY(B2)</f>
        <v>1746.84</v>
      </c>
      <c r="O151" s="846"/>
    </row>
    <row r="152" spans="1:15">
      <c r="A152" s="1626" t="s">
        <v>259</v>
      </c>
      <c r="B152" s="1627"/>
      <c r="C152" s="1628"/>
      <c r="D152" s="839" t="s">
        <v>24</v>
      </c>
      <c r="E152" s="840"/>
      <c r="F152" s="1458"/>
      <c r="G152" s="993">
        <f>G151/G7</f>
        <v>8.664596273291926E-2</v>
      </c>
      <c r="H152" s="842">
        <f>G152+'24'!H152</f>
        <v>2.2815297677623279</v>
      </c>
      <c r="I152" s="861"/>
      <c r="J152" s="844">
        <f>H152/DAY(B2)</f>
        <v>9.1261190710493115E-2</v>
      </c>
      <c r="O152" s="846"/>
    </row>
    <row r="153" spans="1:15">
      <c r="A153" s="1626" t="s">
        <v>260</v>
      </c>
      <c r="B153" s="1627"/>
      <c r="C153" s="1628"/>
      <c r="D153" s="839" t="s">
        <v>182</v>
      </c>
      <c r="E153" s="840"/>
      <c r="F153" s="1458"/>
      <c r="G153" s="842">
        <f>G37+G51</f>
        <v>1517.8699999999953</v>
      </c>
      <c r="H153" s="842">
        <f>G153+'24'!H153</f>
        <v>35037.869999999995</v>
      </c>
      <c r="I153" s="861"/>
      <c r="J153" s="844">
        <f>H153/DAY(B2)</f>
        <v>1401.5147999999999</v>
      </c>
      <c r="O153" s="846"/>
    </row>
    <row r="154" spans="1:15" ht="21" thickBot="1">
      <c r="A154" s="1652" t="s">
        <v>261</v>
      </c>
      <c r="B154" s="1653"/>
      <c r="C154" s="1654"/>
      <c r="D154" s="997" t="s">
        <v>24</v>
      </c>
      <c r="E154" s="998"/>
      <c r="F154" s="1494"/>
      <c r="G154" s="999">
        <f>G153/G7</f>
        <v>7.8564699792960421E-2</v>
      </c>
      <c r="H154" s="842">
        <f>G154+'24'!H154</f>
        <v>1.8614018045517808</v>
      </c>
      <c r="I154" s="1000"/>
      <c r="J154" s="1001">
        <f>H154/DAY(B2)</f>
        <v>7.4456072182071231E-2</v>
      </c>
      <c r="O154" s="846"/>
    </row>
    <row r="155" spans="1:15">
      <c r="A155" s="1002"/>
      <c r="B155" s="1002"/>
      <c r="C155" s="1002"/>
      <c r="D155" s="1002"/>
      <c r="E155" s="1002"/>
      <c r="F155" s="1495"/>
      <c r="G155" s="1002"/>
      <c r="H155" s="1003"/>
      <c r="I155" s="1002"/>
      <c r="J155" s="1004"/>
      <c r="O155" s="846"/>
    </row>
    <row r="161" spans="1:7">
      <c r="A161" s="992" t="s">
        <v>262</v>
      </c>
      <c r="B161" s="992"/>
      <c r="C161" s="992"/>
      <c r="D161" s="826" t="s">
        <v>186</v>
      </c>
      <c r="E161" s="840">
        <f>'24'!F161</f>
        <v>40362</v>
      </c>
      <c r="F161" s="1496">
        <v>40442</v>
      </c>
      <c r="G161" s="841">
        <f t="shared" ref="G161:G164" si="16">F161-E161</f>
        <v>80</v>
      </c>
    </row>
    <row r="162" spans="1:7" ht="21.75" customHeight="1">
      <c r="A162" s="992" t="s">
        <v>263</v>
      </c>
      <c r="B162" s="992"/>
      <c r="C162" s="992"/>
      <c r="D162" s="826" t="s">
        <v>186</v>
      </c>
      <c r="E162" s="840">
        <f>'24'!F162</f>
        <v>105052</v>
      </c>
      <c r="F162" s="1496">
        <v>105500</v>
      </c>
      <c r="G162" s="841">
        <f t="shared" si="16"/>
        <v>448</v>
      </c>
    </row>
    <row r="163" spans="1:7" ht="21.75" customHeight="1">
      <c r="A163" s="992" t="s">
        <v>264</v>
      </c>
      <c r="B163" s="992"/>
      <c r="C163" s="992"/>
      <c r="D163" s="826" t="s">
        <v>186</v>
      </c>
      <c r="E163" s="840">
        <f>'24'!F163</f>
        <v>49999</v>
      </c>
      <c r="F163" s="1496">
        <v>60193</v>
      </c>
      <c r="G163" s="841">
        <f t="shared" si="16"/>
        <v>10194</v>
      </c>
    </row>
    <row r="164" spans="1:7" ht="21.75" customHeight="1">
      <c r="A164" s="992" t="s">
        <v>265</v>
      </c>
      <c r="B164" s="992"/>
      <c r="C164" s="992"/>
      <c r="D164" s="826" t="s">
        <v>186</v>
      </c>
      <c r="E164" s="840">
        <f>'24'!F164</f>
        <v>6792</v>
      </c>
      <c r="F164" s="1496">
        <v>6803</v>
      </c>
      <c r="G164" s="841">
        <f t="shared" si="16"/>
        <v>11</v>
      </c>
    </row>
    <row r="165" spans="1:7" ht="21.75" customHeight="1">
      <c r="A165" s="922" t="s">
        <v>97</v>
      </c>
      <c r="B165" s="922"/>
      <c r="C165" s="922"/>
      <c r="D165" s="826" t="s">
        <v>186</v>
      </c>
      <c r="E165" s="923">
        <f>E62</f>
        <v>20419</v>
      </c>
      <c r="F165" s="1490">
        <f>F62</f>
        <v>20419</v>
      </c>
      <c r="G165" s="841">
        <f t="shared" ref="G165:G172" si="17">F165-E165</f>
        <v>0</v>
      </c>
    </row>
    <row r="166" spans="1:7" ht="21.75" customHeight="1">
      <c r="A166" s="922" t="s">
        <v>187</v>
      </c>
      <c r="B166" s="922"/>
      <c r="C166" s="922"/>
      <c r="D166" s="826" t="s">
        <v>186</v>
      </c>
      <c r="E166" s="923">
        <f t="shared" ref="E166:E172" si="18">E63</f>
        <v>0</v>
      </c>
      <c r="F166" s="1490">
        <f t="shared" ref="F166:F172" si="19">F63</f>
        <v>0</v>
      </c>
      <c r="G166" s="841">
        <f t="shared" si="17"/>
        <v>0</v>
      </c>
    </row>
    <row r="167" spans="1:7" ht="21.75" customHeight="1">
      <c r="A167" s="1612" t="s">
        <v>98</v>
      </c>
      <c r="B167" s="1612"/>
      <c r="C167" s="1612"/>
      <c r="D167" s="839" t="s">
        <v>186</v>
      </c>
      <c r="E167" s="923">
        <f t="shared" si="18"/>
        <v>167799</v>
      </c>
      <c r="F167" s="1490">
        <f t="shared" si="19"/>
        <v>168211</v>
      </c>
      <c r="G167" s="841">
        <f t="shared" si="17"/>
        <v>412</v>
      </c>
    </row>
    <row r="168" spans="1:7" ht="21.75" customHeight="1">
      <c r="A168" s="1612" t="s">
        <v>99</v>
      </c>
      <c r="B168" s="1612"/>
      <c r="C168" s="1612"/>
      <c r="D168" s="839" t="s">
        <v>186</v>
      </c>
      <c r="E168" s="923">
        <f t="shared" si="18"/>
        <v>167848</v>
      </c>
      <c r="F168" s="1490">
        <f t="shared" si="19"/>
        <v>168247</v>
      </c>
      <c r="G168" s="841">
        <f t="shared" si="17"/>
        <v>399</v>
      </c>
    </row>
    <row r="169" spans="1:7" ht="21.75" customHeight="1">
      <c r="A169" s="1612" t="s">
        <v>100</v>
      </c>
      <c r="B169" s="1612"/>
      <c r="C169" s="1612"/>
      <c r="D169" s="839" t="s">
        <v>186</v>
      </c>
      <c r="E169" s="923">
        <f t="shared" si="18"/>
        <v>65414</v>
      </c>
      <c r="F169" s="1490">
        <f t="shared" si="19"/>
        <v>65832</v>
      </c>
      <c r="G169" s="841">
        <f t="shared" si="17"/>
        <v>418</v>
      </c>
    </row>
    <row r="170" spans="1:7">
      <c r="A170" s="1612" t="s">
        <v>101</v>
      </c>
      <c r="B170" s="1612"/>
      <c r="C170" s="1612"/>
      <c r="D170" s="839" t="s">
        <v>186</v>
      </c>
      <c r="E170" s="923">
        <f t="shared" si="18"/>
        <v>262246</v>
      </c>
      <c r="F170" s="1490">
        <f t="shared" si="19"/>
        <v>262704</v>
      </c>
      <c r="G170" s="841">
        <f t="shared" si="17"/>
        <v>458</v>
      </c>
    </row>
    <row r="171" spans="1:7" ht="24" customHeight="1">
      <c r="A171" s="1612" t="s">
        <v>102</v>
      </c>
      <c r="B171" s="1612"/>
      <c r="C171" s="1612"/>
      <c r="D171" s="839" t="s">
        <v>186</v>
      </c>
      <c r="E171" s="923">
        <f t="shared" si="18"/>
        <v>85321</v>
      </c>
      <c r="F171" s="1490">
        <f t="shared" si="19"/>
        <v>85321</v>
      </c>
      <c r="G171" s="841">
        <f t="shared" si="17"/>
        <v>0</v>
      </c>
    </row>
    <row r="172" spans="1:7">
      <c r="A172" s="1612" t="s">
        <v>103</v>
      </c>
      <c r="B172" s="1612"/>
      <c r="C172" s="1612"/>
      <c r="D172" s="839" t="s">
        <v>186</v>
      </c>
      <c r="E172" s="923">
        <f t="shared" si="18"/>
        <v>86101</v>
      </c>
      <c r="F172" s="1490">
        <f t="shared" si="19"/>
        <v>86292</v>
      </c>
      <c r="G172" s="841">
        <f t="shared" si="17"/>
        <v>191</v>
      </c>
    </row>
    <row r="173" spans="1:7" ht="29.25">
      <c r="A173" s="1596"/>
      <c r="B173" s="1579"/>
      <c r="C173" s="786"/>
      <c r="D173" s="523"/>
      <c r="G173" s="1007">
        <f>SUM(G161:G172)</f>
        <v>12611</v>
      </c>
    </row>
    <row r="174" spans="1:7">
      <c r="A174" s="1612" t="s">
        <v>347</v>
      </c>
      <c r="B174" s="1612"/>
      <c r="C174" s="1612"/>
      <c r="D174" s="839" t="s">
        <v>186</v>
      </c>
      <c r="E174" s="970">
        <v>28203</v>
      </c>
      <c r="F174" s="970">
        <v>28212</v>
      </c>
      <c r="G174" s="841">
        <f t="shared" ref="G174:G177" si="20">F174-E174</f>
        <v>9</v>
      </c>
    </row>
    <row r="175" spans="1:7">
      <c r="A175" s="1613" t="s">
        <v>357</v>
      </c>
      <c r="B175" s="1614"/>
      <c r="C175" s="992"/>
      <c r="D175" s="839" t="s">
        <v>186</v>
      </c>
      <c r="E175" s="970">
        <v>18975</v>
      </c>
      <c r="F175" s="970">
        <v>18979</v>
      </c>
      <c r="G175" s="841">
        <f t="shared" si="20"/>
        <v>4</v>
      </c>
    </row>
    <row r="176" spans="1:7">
      <c r="A176" s="1613" t="s">
        <v>358</v>
      </c>
      <c r="B176" s="1614"/>
      <c r="D176" s="839" t="s">
        <v>186</v>
      </c>
      <c r="E176" s="970">
        <v>27605</v>
      </c>
      <c r="F176" s="1275">
        <v>27608</v>
      </c>
      <c r="G176" s="841">
        <f t="shared" si="20"/>
        <v>3</v>
      </c>
    </row>
    <row r="177" spans="1:10" ht="18.75" customHeight="1">
      <c r="A177" s="1613" t="s">
        <v>357</v>
      </c>
      <c r="B177" s="1614"/>
      <c r="D177" s="839" t="s">
        <v>186</v>
      </c>
      <c r="E177" s="970">
        <v>70231</v>
      </c>
      <c r="F177" s="970">
        <v>70253</v>
      </c>
      <c r="G177" s="841">
        <f t="shared" si="20"/>
        <v>22</v>
      </c>
      <c r="J177" s="1008"/>
    </row>
  </sheetData>
  <mergeCells count="79">
    <mergeCell ref="A172:C172"/>
    <mergeCell ref="A167:C167"/>
    <mergeCell ref="A168:C168"/>
    <mergeCell ref="A169:C169"/>
    <mergeCell ref="A170:C170"/>
    <mergeCell ref="A171:C171"/>
    <mergeCell ref="A120:B120"/>
    <mergeCell ref="A121:B121"/>
    <mergeCell ref="A122:B122"/>
    <mergeCell ref="A115:B115"/>
    <mergeCell ref="A116:B116"/>
    <mergeCell ref="A117:B117"/>
    <mergeCell ref="A118:B118"/>
    <mergeCell ref="A119:B119"/>
    <mergeCell ref="A153:C153"/>
    <mergeCell ref="A154:C154"/>
    <mergeCell ref="A149:C149"/>
    <mergeCell ref="A150:C150"/>
    <mergeCell ref="A151:C151"/>
    <mergeCell ref="A152:C152"/>
    <mergeCell ref="A144:C144"/>
    <mergeCell ref="A145:C145"/>
    <mergeCell ref="A146:C146"/>
    <mergeCell ref="A147:C147"/>
    <mergeCell ref="A148:C148"/>
    <mergeCell ref="A143:C143"/>
    <mergeCell ref="A126:C126"/>
    <mergeCell ref="A102:C102"/>
    <mergeCell ref="A123:C123"/>
    <mergeCell ref="A142:B142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12:B112"/>
    <mergeCell ref="A113:B113"/>
    <mergeCell ref="A114:B114"/>
    <mergeCell ref="A79:C79"/>
    <mergeCell ref="A80:C80"/>
    <mergeCell ref="A94:C94"/>
    <mergeCell ref="A95:C95"/>
    <mergeCell ref="A96:C96"/>
    <mergeCell ref="A81:C81"/>
    <mergeCell ref="A82:C82"/>
    <mergeCell ref="A83:C83"/>
    <mergeCell ref="A93:C93"/>
    <mergeCell ref="A70:C70"/>
    <mergeCell ref="A64:C64"/>
    <mergeCell ref="A65:C65"/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176:B176"/>
    <mergeCell ref="A177:B177"/>
    <mergeCell ref="A173:B173"/>
    <mergeCell ref="A66:C66"/>
    <mergeCell ref="A67:C67"/>
    <mergeCell ref="A68:C68"/>
    <mergeCell ref="A174:C174"/>
    <mergeCell ref="A175:B175"/>
    <mergeCell ref="A75:C75"/>
    <mergeCell ref="A76:C76"/>
    <mergeCell ref="A77:C77"/>
    <mergeCell ref="A69:C69"/>
    <mergeCell ref="A72:C72"/>
    <mergeCell ref="A73:C73"/>
    <mergeCell ref="A74:C74"/>
    <mergeCell ref="A71:J71"/>
  </mergeCells>
  <pageMargins left="0.22" right="0.17" top="0.14000000000000001" bottom="0.2" header="0.2" footer="0.2"/>
  <pageSetup paperSize="5" scale="28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79"/>
  <sheetViews>
    <sheetView view="pageBreakPreview" topLeftCell="A166" zoomScale="70" zoomScaleSheetLayoutView="70" workbookViewId="0">
      <selection activeCell="G80" sqref="G80"/>
    </sheetView>
  </sheetViews>
  <sheetFormatPr defaultColWidth="22.33203125" defaultRowHeight="20.25"/>
  <cols>
    <col min="1" max="1" width="51.21875" style="1005" customWidth="1"/>
    <col min="2" max="2" width="24.88671875" style="1005" customWidth="1"/>
    <col min="3" max="3" width="12.44140625" style="1005" customWidth="1"/>
    <col min="4" max="4" width="13.6640625" style="1005" customWidth="1"/>
    <col min="5" max="5" width="28.109375" style="1005" customWidth="1"/>
    <col min="6" max="6" width="23.77734375" style="1005" customWidth="1"/>
    <col min="7" max="7" width="19.88671875" style="1005" customWidth="1"/>
    <col min="8" max="8" width="39.21875" style="1006" customWidth="1"/>
    <col min="9" max="9" width="12" style="1005" bestFit="1" customWidth="1"/>
    <col min="10" max="10" width="24" style="1007" customWidth="1"/>
    <col min="11" max="11" width="43.21875" style="806" hidden="1" customWidth="1"/>
    <col min="12" max="13" width="0" style="806" hidden="1" customWidth="1"/>
    <col min="14" max="14" width="25.109375" style="1008" customWidth="1"/>
    <col min="15" max="15" width="6.77734375" style="806" bestFit="1" customWidth="1"/>
    <col min="16" max="16384" width="22.33203125" style="806"/>
  </cols>
  <sheetData>
    <row r="1" spans="1:15" ht="20.100000000000001" customHeight="1">
      <c r="A1" s="1615" t="s">
        <v>116</v>
      </c>
      <c r="B1" s="1616"/>
      <c r="C1" s="1616"/>
      <c r="D1" s="1616"/>
      <c r="E1" s="1616"/>
      <c r="F1" s="1616"/>
      <c r="G1" s="1616"/>
      <c r="H1" s="1616"/>
      <c r="I1" s="1616"/>
      <c r="J1" s="1617"/>
    </row>
    <row r="2" spans="1:15" ht="30.75" customHeight="1">
      <c r="A2" s="807" t="s">
        <v>375</v>
      </c>
      <c r="B2" s="1078">
        <v>44008</v>
      </c>
      <c r="C2" s="808" t="s">
        <v>68</v>
      </c>
      <c r="D2" s="1021">
        <v>1</v>
      </c>
      <c r="E2" s="810"/>
      <c r="F2" s="810"/>
      <c r="G2" s="810" t="s">
        <v>117</v>
      </c>
      <c r="H2" s="810" t="s">
        <v>6</v>
      </c>
      <c r="I2" s="810" t="s">
        <v>8</v>
      </c>
      <c r="J2" s="811" t="s">
        <v>118</v>
      </c>
    </row>
    <row r="3" spans="1:15" ht="20.100000000000001" customHeight="1">
      <c r="A3" s="812"/>
      <c r="B3" s="813"/>
      <c r="C3" s="808" t="s">
        <v>119</v>
      </c>
      <c r="D3" s="808">
        <v>28</v>
      </c>
      <c r="E3" s="1624" t="s">
        <v>120</v>
      </c>
      <c r="F3" s="1625"/>
      <c r="G3" s="815"/>
      <c r="H3" s="816"/>
      <c r="I3" s="816"/>
      <c r="J3" s="817"/>
      <c r="K3" s="818"/>
      <c r="L3" s="819"/>
    </row>
    <row r="4" spans="1:15" ht="20.100000000000001" customHeight="1">
      <c r="A4" s="820"/>
      <c r="B4" s="821"/>
      <c r="C4" s="808" t="s">
        <v>121</v>
      </c>
      <c r="D4" s="1021">
        <v>0.78</v>
      </c>
      <c r="E4" s="822"/>
      <c r="F4" s="822"/>
      <c r="G4" s="822"/>
      <c r="H4" s="822"/>
      <c r="I4" s="823"/>
      <c r="J4" s="817"/>
      <c r="K4" s="824"/>
      <c r="L4" s="819"/>
    </row>
    <row r="5" spans="1:15" ht="22.5" customHeight="1">
      <c r="A5" s="825" t="s">
        <v>122</v>
      </c>
      <c r="B5" s="826"/>
      <c r="C5" s="826"/>
      <c r="D5" s="826" t="s">
        <v>123</v>
      </c>
      <c r="E5" s="827" t="s">
        <v>124</v>
      </c>
      <c r="F5" s="827" t="s">
        <v>111</v>
      </c>
      <c r="G5" s="828" t="s">
        <v>125</v>
      </c>
      <c r="H5" s="829" t="s">
        <v>126</v>
      </c>
      <c r="I5" s="830" t="s">
        <v>127</v>
      </c>
      <c r="J5" s="831" t="s">
        <v>128</v>
      </c>
      <c r="K5" s="832"/>
      <c r="L5" s="819"/>
    </row>
    <row r="6" spans="1:15" ht="20.100000000000001" customHeight="1">
      <c r="A6" s="1618" t="s">
        <v>129</v>
      </c>
      <c r="B6" s="1619"/>
      <c r="C6" s="1620"/>
      <c r="D6" s="833"/>
      <c r="E6" s="833"/>
      <c r="F6" s="833"/>
      <c r="G6" s="833"/>
      <c r="H6" s="834"/>
      <c r="I6" s="834"/>
      <c r="J6" s="835"/>
      <c r="K6" s="836"/>
      <c r="L6" s="819"/>
    </row>
    <row r="7" spans="1:15" ht="25.5" customHeight="1" thickBot="1">
      <c r="A7" s="837" t="s">
        <v>130</v>
      </c>
      <c r="B7" s="838"/>
      <c r="C7" s="838"/>
      <c r="D7" s="839" t="s">
        <v>131</v>
      </c>
      <c r="E7" s="840">
        <f>'25'!F7</f>
        <v>817869</v>
      </c>
      <c r="F7" s="840">
        <v>840512</v>
      </c>
      <c r="G7" s="841">
        <f>F7-E7</f>
        <v>22643</v>
      </c>
      <c r="H7" s="842">
        <f>G7+'25'!H7</f>
        <v>496100</v>
      </c>
      <c r="I7" s="843">
        <f>'1'!I7</f>
        <v>12000</v>
      </c>
      <c r="J7" s="844">
        <f>H7/DAY(B2)</f>
        <v>19080.76923076923</v>
      </c>
      <c r="K7" s="845"/>
      <c r="L7" s="819"/>
      <c r="N7" s="1019"/>
      <c r="O7" s="846"/>
    </row>
    <row r="8" spans="1:15" ht="20.100000000000001" customHeight="1" thickBot="1">
      <c r="A8" s="847" t="s">
        <v>132</v>
      </c>
      <c r="B8" s="848"/>
      <c r="C8" s="849"/>
      <c r="D8" s="850" t="s">
        <v>25</v>
      </c>
      <c r="E8" s="840">
        <f>'25'!F8</f>
        <v>822081</v>
      </c>
      <c r="F8" s="851">
        <v>844841</v>
      </c>
      <c r="G8" s="852">
        <f>F8-E8</f>
        <v>22760</v>
      </c>
      <c r="H8" s="842">
        <f>G8+'25'!H8</f>
        <v>498331</v>
      </c>
      <c r="I8" s="853">
        <f>'1'!I8</f>
        <v>12000</v>
      </c>
      <c r="J8" s="844">
        <f>H8/DAY(B2)</f>
        <v>19166.576923076922</v>
      </c>
      <c r="K8" s="845"/>
      <c r="L8" s="854"/>
      <c r="M8" s="855"/>
      <c r="O8" s="846"/>
    </row>
    <row r="9" spans="1:15" ht="20.100000000000001" customHeight="1">
      <c r="A9" s="856" t="s">
        <v>133</v>
      </c>
      <c r="B9" s="857"/>
      <c r="C9" s="857"/>
      <c r="D9" s="839" t="s">
        <v>131</v>
      </c>
      <c r="E9" s="840">
        <f>'25'!F9</f>
        <v>1932109</v>
      </c>
      <c r="F9" s="858">
        <v>1954030</v>
      </c>
      <c r="G9" s="841">
        <f>F9-E9</f>
        <v>21921</v>
      </c>
      <c r="H9" s="842">
        <f>G9+'25'!H9</f>
        <v>480340</v>
      </c>
      <c r="I9" s="859">
        <f>I8-J8</f>
        <v>-7166.576923076922</v>
      </c>
      <c r="J9" s="844">
        <f>H9/DAY(B2)</f>
        <v>18474.615384615383</v>
      </c>
      <c r="K9" s="860"/>
      <c r="L9" s="819"/>
      <c r="O9" s="846"/>
    </row>
    <row r="10" spans="1:15" ht="20.100000000000001" customHeight="1">
      <c r="A10" s="837" t="s">
        <v>134</v>
      </c>
      <c r="B10" s="838"/>
      <c r="C10" s="838"/>
      <c r="D10" s="839" t="s">
        <v>131</v>
      </c>
      <c r="E10" s="840">
        <f>'25'!F10</f>
        <v>0</v>
      </c>
      <c r="F10" s="858"/>
      <c r="G10" s="841">
        <f t="shared" ref="G10:G12" si="0">F10-E10</f>
        <v>0</v>
      </c>
      <c r="H10" s="842">
        <f>G10+'25'!H10</f>
        <v>0.71999999999979991</v>
      </c>
      <c r="I10" s="861"/>
      <c r="J10" s="844">
        <f>H10/DAY(B2)</f>
        <v>2.7692307692299998E-2</v>
      </c>
      <c r="K10" s="860"/>
      <c r="L10" s="819"/>
      <c r="O10" s="846"/>
    </row>
    <row r="11" spans="1:15" ht="20.100000000000001" customHeight="1">
      <c r="A11" s="837" t="s">
        <v>135</v>
      </c>
      <c r="B11" s="838"/>
      <c r="C11" s="838"/>
      <c r="D11" s="839" t="s">
        <v>131</v>
      </c>
      <c r="E11" s="840">
        <f>'5'!E11</f>
        <v>37000</v>
      </c>
      <c r="F11" s="840">
        <v>37000</v>
      </c>
      <c r="G11" s="841">
        <f t="shared" si="0"/>
        <v>0</v>
      </c>
      <c r="H11" s="842">
        <f>G11+'25'!H11</f>
        <v>0</v>
      </c>
      <c r="I11" s="861"/>
      <c r="J11" s="844">
        <f>H11/DAY(B2)</f>
        <v>0</v>
      </c>
      <c r="K11" s="860"/>
      <c r="L11" s="819">
        <v>1375467</v>
      </c>
      <c r="N11" s="1020"/>
      <c r="O11" s="846"/>
    </row>
    <row r="12" spans="1:15" ht="20.100000000000001" customHeight="1">
      <c r="A12" s="837" t="s">
        <v>136</v>
      </c>
      <c r="B12" s="838"/>
      <c r="C12" s="838"/>
      <c r="D12" s="839" t="s">
        <v>131</v>
      </c>
      <c r="E12" s="840">
        <f>'5'!E12</f>
        <v>40010</v>
      </c>
      <c r="F12" s="858">
        <v>40010</v>
      </c>
      <c r="G12" s="841">
        <f t="shared" si="0"/>
        <v>0</v>
      </c>
      <c r="H12" s="842">
        <f>G12+'25'!H12</f>
        <v>0</v>
      </c>
      <c r="I12" s="861"/>
      <c r="J12" s="844">
        <f>H12/DAY(B2)</f>
        <v>0</v>
      </c>
      <c r="K12" s="860"/>
      <c r="L12" s="819"/>
      <c r="O12" s="846"/>
    </row>
    <row r="13" spans="1:15" ht="20.100000000000001" customHeight="1">
      <c r="A13" s="862" t="s">
        <v>137</v>
      </c>
      <c r="B13" s="863"/>
      <c r="C13" s="863"/>
      <c r="D13" s="839"/>
      <c r="E13" s="840"/>
      <c r="F13" s="840"/>
      <c r="G13" s="864">
        <f>G9+G10+G11+G12</f>
        <v>21921</v>
      </c>
      <c r="H13" s="842">
        <f>G13+'25'!H13</f>
        <v>463815.72</v>
      </c>
      <c r="I13" s="865">
        <f>G7-G13</f>
        <v>722</v>
      </c>
      <c r="J13" s="844">
        <f>H13/DAY(B2)</f>
        <v>17839.066153846154</v>
      </c>
      <c r="K13" s="860"/>
      <c r="L13" s="819"/>
      <c r="O13" s="846"/>
    </row>
    <row r="14" spans="1:15" ht="28.5" customHeight="1">
      <c r="A14" s="1621" t="s">
        <v>138</v>
      </c>
      <c r="B14" s="1622"/>
      <c r="C14" s="1623"/>
      <c r="D14" s="834"/>
      <c r="E14" s="834"/>
      <c r="F14" s="834"/>
      <c r="G14" s="866"/>
      <c r="H14" s="834"/>
      <c r="I14" s="834"/>
      <c r="J14" s="835"/>
      <c r="K14" s="867"/>
      <c r="L14" s="819">
        <v>1679344</v>
      </c>
      <c r="O14" s="846"/>
    </row>
    <row r="15" spans="1:15">
      <c r="A15" s="868" t="s">
        <v>139</v>
      </c>
      <c r="B15" s="869"/>
      <c r="C15" s="869"/>
      <c r="D15" s="839" t="s">
        <v>140</v>
      </c>
      <c r="E15" s="840">
        <f>'25'!F15</f>
        <v>1699964</v>
      </c>
      <c r="F15" s="870">
        <v>1700889</v>
      </c>
      <c r="G15" s="1017">
        <f>(F15-E15)</f>
        <v>925</v>
      </c>
      <c r="H15" s="842">
        <f>G15+'25'!H15</f>
        <v>16365</v>
      </c>
      <c r="I15" s="843">
        <f>'1'!I15</f>
        <v>800</v>
      </c>
      <c r="J15" s="844">
        <f>H15/DAY(B2)</f>
        <v>629.42307692307691</v>
      </c>
      <c r="K15" s="860"/>
      <c r="L15" s="819"/>
      <c r="O15" s="846"/>
    </row>
    <row r="16" spans="1:15" ht="20.100000000000001" customHeight="1">
      <c r="A16" s="871"/>
      <c r="B16" s="872"/>
      <c r="C16" s="872"/>
      <c r="D16" s="873"/>
      <c r="E16" s="874"/>
      <c r="F16" s="874"/>
      <c r="G16" s="841"/>
      <c r="H16" s="875"/>
      <c r="I16" s="876">
        <f>I15-J15</f>
        <v>170.57692307692309</v>
      </c>
      <c r="J16" s="877"/>
      <c r="K16" s="860"/>
      <c r="L16" s="819">
        <f>L14-L11</f>
        <v>303877</v>
      </c>
      <c r="O16" s="846"/>
    </row>
    <row r="17" spans="1:15" ht="20.100000000000001" customHeight="1">
      <c r="A17" s="1621" t="s">
        <v>141</v>
      </c>
      <c r="B17" s="1622"/>
      <c r="C17" s="1623"/>
      <c r="D17" s="834"/>
      <c r="E17" s="834"/>
      <c r="F17" s="834"/>
      <c r="G17" s="878"/>
      <c r="H17" s="834"/>
      <c r="I17" s="834"/>
      <c r="J17" s="835"/>
      <c r="K17" s="860"/>
      <c r="L17" s="819"/>
      <c r="O17" s="846"/>
    </row>
    <row r="18" spans="1:15" ht="20.100000000000001" customHeight="1">
      <c r="A18" s="1626" t="s">
        <v>142</v>
      </c>
      <c r="B18" s="1627"/>
      <c r="C18" s="1628"/>
      <c r="D18" s="839" t="s">
        <v>143</v>
      </c>
      <c r="E18" s="840">
        <f>'25'!F18</f>
        <v>11</v>
      </c>
      <c r="F18" s="870">
        <v>15</v>
      </c>
      <c r="G18" s="864">
        <f>F18*10</f>
        <v>150</v>
      </c>
      <c r="H18" s="842">
        <f>G18+'25'!H18</f>
        <v>2090</v>
      </c>
      <c r="I18" s="843">
        <f>'1'!I18</f>
        <v>65</v>
      </c>
      <c r="J18" s="844">
        <f>H18/DAY(B2)</f>
        <v>80.384615384615387</v>
      </c>
      <c r="K18" s="860"/>
      <c r="L18" s="819"/>
      <c r="O18" s="846"/>
    </row>
    <row r="19" spans="1:15" ht="20.100000000000001" customHeight="1">
      <c r="A19" s="1626" t="s">
        <v>70</v>
      </c>
      <c r="B19" s="1627"/>
      <c r="C19" s="1628"/>
      <c r="D19" s="839" t="s">
        <v>143</v>
      </c>
      <c r="E19" s="840">
        <f>'25'!F19</f>
        <v>141178</v>
      </c>
      <c r="F19" s="870">
        <v>141243</v>
      </c>
      <c r="G19" s="841">
        <f t="shared" ref="G19" si="1">F19-E19</f>
        <v>65</v>
      </c>
      <c r="H19" s="842">
        <f>G19+'25'!H19</f>
        <v>1631</v>
      </c>
      <c r="I19" s="879"/>
      <c r="J19" s="844">
        <f>H19/DAY(B2)</f>
        <v>62.730769230769234</v>
      </c>
      <c r="K19" s="860"/>
      <c r="L19" s="819">
        <f>L16/26</f>
        <v>11687.576923076924</v>
      </c>
      <c r="O19" s="846"/>
    </row>
    <row r="20" spans="1:15" ht="20.100000000000001" customHeight="1">
      <c r="A20" s="862" t="s">
        <v>144</v>
      </c>
      <c r="B20" s="863"/>
      <c r="C20" s="863"/>
      <c r="D20" s="880"/>
      <c r="E20" s="880"/>
      <c r="F20" s="880"/>
      <c r="G20" s="881">
        <f>G18+G19</f>
        <v>215</v>
      </c>
      <c r="H20" s="842">
        <f>G20+'25'!H20</f>
        <v>3721</v>
      </c>
      <c r="I20" s="882">
        <f>I18-J20</f>
        <v>-78.115384615384613</v>
      </c>
      <c r="J20" s="844">
        <f>H20/DAY(B2)</f>
        <v>143.11538461538461</v>
      </c>
      <c r="K20" s="860"/>
      <c r="L20" s="819"/>
      <c r="O20" s="846"/>
    </row>
    <row r="21" spans="1:15" ht="20.100000000000001" customHeight="1">
      <c r="A21" s="1621" t="s">
        <v>145</v>
      </c>
      <c r="B21" s="1622"/>
      <c r="C21" s="1623"/>
      <c r="D21" s="834"/>
      <c r="E21" s="834"/>
      <c r="F21" s="834"/>
      <c r="G21" s="866"/>
      <c r="H21" s="834"/>
      <c r="I21" s="834"/>
      <c r="J21" s="835"/>
      <c r="K21" s="860"/>
      <c r="L21" s="819" t="e">
        <f>#REF!/G11</f>
        <v>#REF!</v>
      </c>
      <c r="O21" s="846"/>
    </row>
    <row r="22" spans="1:15" ht="20.100000000000001" customHeight="1">
      <c r="A22" s="868" t="s">
        <v>146</v>
      </c>
      <c r="B22" s="869"/>
      <c r="C22" s="869"/>
      <c r="D22" s="839" t="s">
        <v>147</v>
      </c>
      <c r="E22" s="870">
        <f>'25'!F22</f>
        <v>2970</v>
      </c>
      <c r="F22" s="870">
        <v>2970</v>
      </c>
      <c r="G22" s="864">
        <f t="shared" ref="G22:G23" si="2">E22-F22</f>
        <v>0</v>
      </c>
      <c r="H22" s="842">
        <f>G22+'25'!H22</f>
        <v>0</v>
      </c>
      <c r="I22" s="861"/>
      <c r="J22" s="844">
        <f>H22/DAY(B2)</f>
        <v>0</v>
      </c>
      <c r="K22" s="860"/>
      <c r="L22" s="819"/>
      <c r="O22" s="846"/>
    </row>
    <row r="23" spans="1:15" ht="20.100000000000001" customHeight="1">
      <c r="A23" s="868" t="s">
        <v>148</v>
      </c>
      <c r="B23" s="869"/>
      <c r="C23" s="869"/>
      <c r="D23" s="839" t="s">
        <v>147</v>
      </c>
      <c r="E23" s="870">
        <f>'25'!F23</f>
        <v>2000</v>
      </c>
      <c r="F23" s="870">
        <v>2000</v>
      </c>
      <c r="G23" s="864">
        <f t="shared" si="2"/>
        <v>0</v>
      </c>
      <c r="H23" s="842">
        <f>G23+'25'!H23</f>
        <v>0</v>
      </c>
      <c r="I23" s="861"/>
      <c r="J23" s="844">
        <f>H23/DAY(B2)</f>
        <v>0</v>
      </c>
      <c r="K23" s="860"/>
      <c r="L23" s="819"/>
      <c r="O23" s="846"/>
    </row>
    <row r="24" spans="1:15" ht="20.100000000000001" customHeight="1">
      <c r="A24" s="883" t="s">
        <v>149</v>
      </c>
      <c r="B24" s="884"/>
      <c r="C24" s="884"/>
      <c r="D24" s="826" t="s">
        <v>147</v>
      </c>
      <c r="E24" s="870">
        <f>'25'!F24</f>
        <v>4970</v>
      </c>
      <c r="F24" s="885">
        <v>4970</v>
      </c>
      <c r="G24" s="864">
        <f>E24-F24</f>
        <v>0</v>
      </c>
      <c r="H24" s="842">
        <f>G24+'25'!H24</f>
        <v>0</v>
      </c>
      <c r="I24" s="861"/>
      <c r="J24" s="844">
        <f>H24/DAY(B2)</f>
        <v>0</v>
      </c>
      <c r="K24" s="860"/>
      <c r="L24" s="819"/>
      <c r="O24" s="846"/>
    </row>
    <row r="25" spans="1:15" s="891" customFormat="1" ht="18.75" customHeight="1">
      <c r="A25" s="1618" t="s">
        <v>150</v>
      </c>
      <c r="B25" s="1619"/>
      <c r="C25" s="1620"/>
      <c r="D25" s="833"/>
      <c r="E25" s="833"/>
      <c r="F25" s="833"/>
      <c r="G25" s="886"/>
      <c r="H25" s="887"/>
      <c r="I25" s="888"/>
      <c r="J25" s="889"/>
      <c r="K25" s="860"/>
      <c r="L25" s="890"/>
      <c r="N25" s="1009"/>
      <c r="O25" s="846"/>
    </row>
    <row r="26" spans="1:15" s="891" customFormat="1" ht="18.75" customHeight="1">
      <c r="A26" s="892" t="s">
        <v>151</v>
      </c>
      <c r="B26" s="893"/>
      <c r="C26" s="894"/>
      <c r="D26" s="895" t="s">
        <v>152</v>
      </c>
      <c r="E26" s="896"/>
      <c r="F26" s="896"/>
      <c r="G26" s="897"/>
      <c r="H26" s="842"/>
      <c r="I26" s="898"/>
      <c r="J26" s="844"/>
      <c r="K26" s="867"/>
      <c r="L26" s="890"/>
      <c r="N26" s="1009"/>
      <c r="O26" s="846"/>
    </row>
    <row r="27" spans="1:15" s="891" customFormat="1" ht="18.75" customHeight="1">
      <c r="A27" s="892" t="s">
        <v>6</v>
      </c>
      <c r="B27" s="893"/>
      <c r="C27" s="894"/>
      <c r="D27" s="899" t="s">
        <v>25</v>
      </c>
      <c r="E27" s="900">
        <f>G8</f>
        <v>22760</v>
      </c>
      <c r="F27" s="501">
        <v>9</v>
      </c>
      <c r="G27" s="902">
        <f>E27*F27</f>
        <v>204840</v>
      </c>
      <c r="H27" s="842">
        <f>G27+'25'!H27</f>
        <v>4484142</v>
      </c>
      <c r="I27" s="903"/>
      <c r="J27" s="844">
        <f>H27/DAY(B2)</f>
        <v>172467</v>
      </c>
      <c r="K27" s="860"/>
      <c r="L27" s="890"/>
      <c r="N27" s="1009"/>
      <c r="O27" s="846"/>
    </row>
    <row r="28" spans="1:15" s="891" customFormat="1" ht="18.75" customHeight="1">
      <c r="A28" s="892" t="s">
        <v>153</v>
      </c>
      <c r="B28" s="893"/>
      <c r="C28" s="894"/>
      <c r="D28" s="899" t="s">
        <v>154</v>
      </c>
      <c r="E28" s="900">
        <f>G15</f>
        <v>925</v>
      </c>
      <c r="F28" s="501">
        <v>52</v>
      </c>
      <c r="G28" s="902">
        <f>E28*F28</f>
        <v>48100</v>
      </c>
      <c r="H28" s="842">
        <f>G28+'25'!H28</f>
        <v>850980</v>
      </c>
      <c r="I28" s="904"/>
      <c r="J28" s="844">
        <f>H28/DAY(B2)</f>
        <v>32730</v>
      </c>
      <c r="K28" s="860"/>
      <c r="L28" s="890"/>
      <c r="N28" s="1009"/>
      <c r="O28" s="846"/>
    </row>
    <row r="29" spans="1:15" s="891" customFormat="1" ht="18.75" customHeight="1">
      <c r="A29" s="892" t="s">
        <v>155</v>
      </c>
      <c r="B29" s="893"/>
      <c r="C29" s="894"/>
      <c r="D29" s="899" t="s">
        <v>156</v>
      </c>
      <c r="E29" s="900">
        <f>G16</f>
        <v>0</v>
      </c>
      <c r="F29" s="901">
        <v>69</v>
      </c>
      <c r="G29" s="902">
        <f>E29*F29</f>
        <v>0</v>
      </c>
      <c r="H29" s="842">
        <f>G29+'25'!H29</f>
        <v>8280</v>
      </c>
      <c r="I29" s="904"/>
      <c r="J29" s="844">
        <f>H29/DAY(B2)</f>
        <v>318.46153846153845</v>
      </c>
      <c r="K29" s="860"/>
      <c r="L29" s="890"/>
      <c r="N29" s="1009"/>
      <c r="O29" s="846"/>
    </row>
    <row r="30" spans="1:15" s="891" customFormat="1" ht="18.75" customHeight="1">
      <c r="A30" s="892" t="s">
        <v>157</v>
      </c>
      <c r="B30" s="893"/>
      <c r="C30" s="894"/>
      <c r="D30" s="899" t="s">
        <v>158</v>
      </c>
      <c r="E30" s="900">
        <f>G19</f>
        <v>65</v>
      </c>
      <c r="F30" s="901">
        <v>146</v>
      </c>
      <c r="G30" s="902">
        <f>E30*F30</f>
        <v>9490</v>
      </c>
      <c r="H30" s="842">
        <f>G30+'25'!H30</f>
        <v>238126</v>
      </c>
      <c r="I30" s="904"/>
      <c r="J30" s="844">
        <f>H30/DAY(B2)</f>
        <v>9158.6923076923085</v>
      </c>
      <c r="K30" s="860"/>
      <c r="L30" s="890"/>
      <c r="N30" s="1009"/>
      <c r="O30" s="846"/>
    </row>
    <row r="31" spans="1:15" s="891" customFormat="1" ht="18.75" customHeight="1">
      <c r="A31" s="892" t="s">
        <v>159</v>
      </c>
      <c r="B31" s="893"/>
      <c r="C31" s="894"/>
      <c r="D31" s="899" t="s">
        <v>143</v>
      </c>
      <c r="E31" s="900">
        <f>G18</f>
        <v>150</v>
      </c>
      <c r="F31" s="901">
        <v>80</v>
      </c>
      <c r="G31" s="902">
        <f>E31*F31</f>
        <v>12000</v>
      </c>
      <c r="H31" s="842">
        <f>G31+'25'!H31</f>
        <v>167200</v>
      </c>
      <c r="I31" s="904"/>
      <c r="J31" s="844"/>
      <c r="K31" s="860"/>
      <c r="L31" s="890"/>
      <c r="N31" s="1009"/>
      <c r="O31" s="846"/>
    </row>
    <row r="32" spans="1:15" s="891" customFormat="1" ht="18.75" customHeight="1">
      <c r="A32" s="905" t="s">
        <v>160</v>
      </c>
      <c r="B32" s="906"/>
      <c r="C32" s="907"/>
      <c r="D32" s="908"/>
      <c r="E32" s="908"/>
      <c r="F32" s="908"/>
      <c r="G32" s="909">
        <f>G27+G28+G29+G30+G31</f>
        <v>274430</v>
      </c>
      <c r="H32" s="842">
        <f>G32+'25'!H32</f>
        <v>5748728</v>
      </c>
      <c r="I32" s="910"/>
      <c r="J32" s="844">
        <f>H32/DAY(B2)</f>
        <v>221104.92307692306</v>
      </c>
      <c r="K32" s="860"/>
      <c r="L32" s="890"/>
      <c r="N32" s="1009"/>
      <c r="O32" s="846"/>
    </row>
    <row r="33" spans="1:15" ht="20.100000000000001" customHeight="1">
      <c r="A33" s="1629" t="s">
        <v>161</v>
      </c>
      <c r="B33" s="1630"/>
      <c r="C33" s="1630"/>
      <c r="D33" s="1630"/>
      <c r="E33" s="1630"/>
      <c r="F33" s="1630"/>
      <c r="G33" s="1630"/>
      <c r="H33" s="1630"/>
      <c r="I33" s="1630"/>
      <c r="J33" s="1631"/>
      <c r="K33" s="860"/>
      <c r="L33" s="819"/>
      <c r="O33" s="846"/>
    </row>
    <row r="34" spans="1:15" ht="20.100000000000001" customHeight="1">
      <c r="A34" s="911" t="s">
        <v>162</v>
      </c>
      <c r="B34" s="912"/>
      <c r="C34" s="912"/>
      <c r="D34" s="834"/>
      <c r="E34" s="833"/>
      <c r="F34" s="833"/>
      <c r="G34" s="834"/>
      <c r="H34" s="834"/>
      <c r="I34" s="834"/>
      <c r="J34" s="835"/>
      <c r="K34" s="860"/>
      <c r="L34" s="819"/>
      <c r="O34" s="846"/>
    </row>
    <row r="35" spans="1:15" ht="20.100000000000001" customHeight="1">
      <c r="A35" s="837" t="s">
        <v>163</v>
      </c>
      <c r="B35" s="838"/>
      <c r="C35" s="838"/>
      <c r="D35" s="839" t="s">
        <v>131</v>
      </c>
      <c r="E35" s="840">
        <f>'25'!F35</f>
        <v>1014277</v>
      </c>
      <c r="F35" s="913">
        <v>1017307</v>
      </c>
      <c r="G35" s="841">
        <f t="shared" ref="G35:G46" si="3">F35-E35</f>
        <v>3030</v>
      </c>
      <c r="H35" s="842">
        <f>G35+'25'!H35</f>
        <v>66819</v>
      </c>
      <c r="I35" s="840"/>
      <c r="J35" s="844">
        <f>H35/DAY(B2)</f>
        <v>2569.9615384615386</v>
      </c>
      <c r="K35" s="860"/>
      <c r="L35" s="819"/>
      <c r="O35" s="846"/>
    </row>
    <row r="36" spans="1:15" ht="20.100000000000001" customHeight="1">
      <c r="A36" s="837" t="s">
        <v>164</v>
      </c>
      <c r="B36" s="838"/>
      <c r="C36" s="838"/>
      <c r="D36" s="839" t="s">
        <v>131</v>
      </c>
      <c r="E36" s="840">
        <f>'25'!F36</f>
        <v>17043</v>
      </c>
      <c r="F36" s="913">
        <v>18002</v>
      </c>
      <c r="G36" s="841">
        <f t="shared" si="3"/>
        <v>959</v>
      </c>
      <c r="H36" s="842">
        <f>G36+'25'!H36</f>
        <v>17829</v>
      </c>
      <c r="I36" s="840"/>
      <c r="J36" s="844">
        <f>H36/DAY(B2)</f>
        <v>685.73076923076928</v>
      </c>
      <c r="K36" s="860"/>
      <c r="L36" s="819"/>
      <c r="O36" s="846"/>
    </row>
    <row r="37" spans="1:15" ht="20.100000000000001" customHeight="1">
      <c r="A37" s="837" t="s">
        <v>165</v>
      </c>
      <c r="B37" s="838"/>
      <c r="C37" s="838"/>
      <c r="D37" s="839" t="s">
        <v>131</v>
      </c>
      <c r="E37" s="840">
        <f>'25'!F37</f>
        <v>169274</v>
      </c>
      <c r="F37" s="913">
        <v>170795</v>
      </c>
      <c r="G37" s="841">
        <f t="shared" si="3"/>
        <v>1521</v>
      </c>
      <c r="H37" s="842">
        <f>G37+'25'!H37</f>
        <v>36559</v>
      </c>
      <c r="I37" s="840"/>
      <c r="J37" s="844">
        <f>H37/DAY(B2)</f>
        <v>1406.1153846153845</v>
      </c>
      <c r="K37" s="860"/>
      <c r="L37" s="819"/>
      <c r="O37" s="846"/>
    </row>
    <row r="38" spans="1:15" ht="20.100000000000001" customHeight="1">
      <c r="A38" s="837" t="s">
        <v>166</v>
      </c>
      <c r="B38" s="838"/>
      <c r="C38" s="838"/>
      <c r="D38" s="839" t="s">
        <v>131</v>
      </c>
      <c r="E38" s="840">
        <f>'25'!F38</f>
        <v>190335</v>
      </c>
      <c r="F38" s="829">
        <v>192122</v>
      </c>
      <c r="G38" s="841">
        <f t="shared" si="3"/>
        <v>1787</v>
      </c>
      <c r="H38" s="842">
        <f>G38+'25'!H38</f>
        <v>35717</v>
      </c>
      <c r="I38" s="840"/>
      <c r="J38" s="844">
        <f>H38/DAY(B2)</f>
        <v>1373.7307692307693</v>
      </c>
      <c r="K38" s="860"/>
      <c r="L38" s="819"/>
      <c r="O38" s="846"/>
    </row>
    <row r="39" spans="1:15" ht="20.100000000000001" customHeight="1">
      <c r="A39" s="837" t="s">
        <v>167</v>
      </c>
      <c r="B39" s="838"/>
      <c r="C39" s="838"/>
      <c r="D39" s="839" t="s">
        <v>131</v>
      </c>
      <c r="E39" s="840">
        <f>'25'!F39</f>
        <v>386482</v>
      </c>
      <c r="F39" s="913">
        <v>390160</v>
      </c>
      <c r="G39" s="841">
        <f t="shared" si="3"/>
        <v>3678</v>
      </c>
      <c r="H39" s="842">
        <f>G39+'25'!H39</f>
        <v>81987</v>
      </c>
      <c r="I39" s="840"/>
      <c r="J39" s="844">
        <f>H39/DAY(B2)</f>
        <v>3153.3461538461538</v>
      </c>
      <c r="K39" s="860"/>
      <c r="L39" s="819"/>
      <c r="O39" s="846"/>
    </row>
    <row r="40" spans="1:15" ht="20.100000000000001" customHeight="1">
      <c r="A40" s="914" t="s">
        <v>168</v>
      </c>
      <c r="B40" s="915"/>
      <c r="C40" s="915"/>
      <c r="D40" s="839" t="s">
        <v>131</v>
      </c>
      <c r="E40" s="840">
        <f>'25'!F40</f>
        <v>5453</v>
      </c>
      <c r="F40" s="913">
        <v>5734</v>
      </c>
      <c r="G40" s="841">
        <f t="shared" si="3"/>
        <v>281</v>
      </c>
      <c r="H40" s="842">
        <f>G40+'25'!H40</f>
        <v>4845</v>
      </c>
      <c r="I40" s="840"/>
      <c r="J40" s="844">
        <f>H40/DAY(B2)</f>
        <v>186.34615384615384</v>
      </c>
      <c r="K40" s="867"/>
      <c r="L40" s="819"/>
      <c r="O40" s="846"/>
    </row>
    <row r="41" spans="1:15" ht="20.100000000000001" customHeight="1">
      <c r="A41" s="837" t="s">
        <v>169</v>
      </c>
      <c r="B41" s="838"/>
      <c r="C41" s="838"/>
      <c r="D41" s="839" t="s">
        <v>131</v>
      </c>
      <c r="E41" s="840">
        <f>'25'!F41</f>
        <v>310992</v>
      </c>
      <c r="F41" s="913">
        <v>313882</v>
      </c>
      <c r="G41" s="841">
        <f t="shared" si="3"/>
        <v>2890</v>
      </c>
      <c r="H41" s="842">
        <f>G41+'25'!H41</f>
        <v>73404</v>
      </c>
      <c r="I41" s="840"/>
      <c r="J41" s="844">
        <f>H41/DAY(B2)</f>
        <v>2823.2307692307691</v>
      </c>
      <c r="K41" s="860"/>
      <c r="L41" s="819"/>
      <c r="O41" s="846"/>
    </row>
    <row r="42" spans="1:15" ht="20.100000000000001" customHeight="1">
      <c r="A42" s="837" t="s">
        <v>170</v>
      </c>
      <c r="B42" s="838"/>
      <c r="C42" s="838"/>
      <c r="D42" s="839" t="s">
        <v>131</v>
      </c>
      <c r="E42" s="840">
        <f>'25'!F42</f>
        <v>59210</v>
      </c>
      <c r="F42" s="913">
        <v>59210</v>
      </c>
      <c r="G42" s="841">
        <f t="shared" si="3"/>
        <v>0</v>
      </c>
      <c r="H42" s="842">
        <f>G42+'25'!H42</f>
        <v>11.029999999998836</v>
      </c>
      <c r="I42" s="840"/>
      <c r="J42" s="844">
        <f>H42/DAY(B2)</f>
        <v>0.42423076923072445</v>
      </c>
      <c r="K42" s="860"/>
      <c r="L42" s="819"/>
      <c r="N42" s="1010">
        <f>3450-G42</f>
        <v>3450</v>
      </c>
      <c r="O42" s="846"/>
    </row>
    <row r="43" spans="1:15" ht="20.100000000000001" customHeight="1">
      <c r="A43" s="837" t="s">
        <v>171</v>
      </c>
      <c r="B43" s="838"/>
      <c r="C43" s="838"/>
      <c r="D43" s="839" t="s">
        <v>131</v>
      </c>
      <c r="E43" s="840">
        <f>'25'!F43</f>
        <v>1106552</v>
      </c>
      <c r="F43" s="913">
        <v>1109510</v>
      </c>
      <c r="G43" s="841">
        <f t="shared" si="3"/>
        <v>2958</v>
      </c>
      <c r="H43" s="842">
        <f>G43+'25'!H43</f>
        <v>67266</v>
      </c>
      <c r="I43" s="840"/>
      <c r="J43" s="844">
        <f>H43/DAY(B2)</f>
        <v>2587.1538461538462</v>
      </c>
      <c r="K43" s="860"/>
      <c r="L43" s="819"/>
      <c r="O43" s="846"/>
    </row>
    <row r="44" spans="1:15" ht="20.100000000000001" customHeight="1">
      <c r="A44" s="837" t="s">
        <v>172</v>
      </c>
      <c r="B44" s="838"/>
      <c r="C44" s="838"/>
      <c r="D44" s="839" t="s">
        <v>131</v>
      </c>
      <c r="E44" s="840">
        <f>'25'!F44</f>
        <v>0</v>
      </c>
      <c r="F44" s="913">
        <v>0</v>
      </c>
      <c r="G44" s="841">
        <f t="shared" si="3"/>
        <v>0</v>
      </c>
      <c r="H44" s="842">
        <f>G44+'25'!H44</f>
        <v>0</v>
      </c>
      <c r="I44" s="840"/>
      <c r="J44" s="844">
        <f>H44/DAY(B2)</f>
        <v>0</v>
      </c>
      <c r="K44" s="860"/>
      <c r="L44" s="819"/>
      <c r="O44" s="846"/>
    </row>
    <row r="45" spans="1:15" ht="20.100000000000001" customHeight="1">
      <c r="A45" s="837" t="s">
        <v>173</v>
      </c>
      <c r="B45" s="838"/>
      <c r="C45" s="838"/>
      <c r="D45" s="839" t="s">
        <v>131</v>
      </c>
      <c r="E45" s="840">
        <f>'25'!F45</f>
        <v>0</v>
      </c>
      <c r="F45" s="913">
        <v>0</v>
      </c>
      <c r="G45" s="841">
        <f t="shared" si="3"/>
        <v>0</v>
      </c>
      <c r="H45" s="842">
        <f>G45+'25'!H45</f>
        <v>0</v>
      </c>
      <c r="I45" s="840"/>
      <c r="J45" s="844">
        <f>H45/DAY(B2)</f>
        <v>0</v>
      </c>
      <c r="K45" s="860"/>
      <c r="L45" s="819"/>
      <c r="O45" s="846"/>
    </row>
    <row r="46" spans="1:15" ht="20.100000000000001" customHeight="1">
      <c r="A46" s="837" t="s">
        <v>174</v>
      </c>
      <c r="B46" s="838"/>
      <c r="C46" s="838"/>
      <c r="D46" s="839" t="s">
        <v>131</v>
      </c>
      <c r="E46" s="840">
        <f>'25'!F46</f>
        <v>0</v>
      </c>
      <c r="F46" s="913">
        <v>0</v>
      </c>
      <c r="G46" s="841">
        <f t="shared" si="3"/>
        <v>0</v>
      </c>
      <c r="H46" s="842">
        <f>G46+'25'!H46</f>
        <v>-5.0000000000011369E-2</v>
      </c>
      <c r="I46" s="840"/>
      <c r="J46" s="844">
        <f>H46/DAY(B2)</f>
        <v>-1.9230769230773603E-3</v>
      </c>
      <c r="K46" s="860"/>
      <c r="L46" s="819"/>
      <c r="O46" s="846"/>
    </row>
    <row r="47" spans="1:15" ht="20.100000000000001" customHeight="1">
      <c r="A47" s="862" t="s">
        <v>175</v>
      </c>
      <c r="B47" s="863"/>
      <c r="C47" s="863"/>
      <c r="D47" s="830"/>
      <c r="E47" s="826"/>
      <c r="F47" s="826"/>
      <c r="G47" s="864">
        <f>G35+G36+G37+G38+G39+G40+G41+G42+G43+G44+G45+G46</f>
        <v>17104</v>
      </c>
      <c r="H47" s="842">
        <f>G47+'25'!H47</f>
        <v>384437.47</v>
      </c>
      <c r="I47" s="840"/>
      <c r="J47" s="844">
        <f>H47/DAY(B2)</f>
        <v>14786.056538461537</v>
      </c>
      <c r="K47" s="860"/>
      <c r="L47" s="819"/>
      <c r="N47" s="1010"/>
      <c r="O47" s="846"/>
    </row>
    <row r="48" spans="1:15" ht="20.100000000000001" customHeight="1">
      <c r="A48" s="911" t="s">
        <v>176</v>
      </c>
      <c r="B48" s="912"/>
      <c r="C48" s="912"/>
      <c r="D48" s="834"/>
      <c r="E48" s="833"/>
      <c r="F48" s="833"/>
      <c r="G48" s="834"/>
      <c r="H48" s="834"/>
      <c r="I48" s="834"/>
      <c r="J48" s="835"/>
      <c r="K48" s="860"/>
      <c r="L48" s="819"/>
      <c r="O48" s="846"/>
    </row>
    <row r="49" spans="1:15" ht="20.100000000000001" customHeight="1">
      <c r="A49" s="837" t="s">
        <v>163</v>
      </c>
      <c r="B49" s="916"/>
      <c r="C49" s="916"/>
      <c r="D49" s="839" t="s">
        <v>131</v>
      </c>
      <c r="E49" s="840">
        <f>'25'!F49</f>
        <v>260732.13</v>
      </c>
      <c r="F49" s="913">
        <v>260732</v>
      </c>
      <c r="G49" s="841">
        <f t="shared" ref="G49:G58" si="4">F49-E49</f>
        <v>-0.13000000000465661</v>
      </c>
      <c r="H49" s="842">
        <f>G49+'25'!H49</f>
        <v>0</v>
      </c>
      <c r="I49" s="840"/>
      <c r="J49" s="844">
        <f>H49/DAY(B2)</f>
        <v>0</v>
      </c>
      <c r="K49" s="860"/>
      <c r="L49" s="819"/>
      <c r="O49" s="846"/>
    </row>
    <row r="50" spans="1:15" ht="20.100000000000001" customHeight="1">
      <c r="A50" s="837" t="s">
        <v>177</v>
      </c>
      <c r="B50" s="916"/>
      <c r="C50" s="916"/>
      <c r="D50" s="839" t="s">
        <v>131</v>
      </c>
      <c r="E50" s="840">
        <f>'25'!F50</f>
        <v>529337</v>
      </c>
      <c r="F50" s="913">
        <v>530470</v>
      </c>
      <c r="G50" s="841">
        <f t="shared" si="4"/>
        <v>1133</v>
      </c>
      <c r="H50" s="842">
        <f>G50+'25'!H50</f>
        <v>27044</v>
      </c>
      <c r="I50" s="840"/>
      <c r="J50" s="844">
        <f>H50/DAY(B2)</f>
        <v>1040.1538461538462</v>
      </c>
      <c r="K50" s="860"/>
      <c r="L50" s="819"/>
      <c r="O50" s="846"/>
    </row>
    <row r="51" spans="1:15" ht="20.100000000000001" customHeight="1">
      <c r="A51" s="837" t="s">
        <v>165</v>
      </c>
      <c r="B51" s="916"/>
      <c r="C51" s="916"/>
      <c r="D51" s="839" t="s">
        <v>131</v>
      </c>
      <c r="E51" s="840">
        <f>'25'!F51</f>
        <v>144639.87</v>
      </c>
      <c r="F51" s="913">
        <v>144639.87</v>
      </c>
      <c r="G51" s="841">
        <f t="shared" si="4"/>
        <v>0</v>
      </c>
      <c r="H51" s="842">
        <f>G51+'25'!H51</f>
        <v>-0.13000000000465661</v>
      </c>
      <c r="I51" s="840"/>
      <c r="J51" s="844">
        <f>H51/DAY(B2)</f>
        <v>-5.0000000001791008E-3</v>
      </c>
      <c r="K51" s="860"/>
      <c r="L51" s="819"/>
      <c r="O51" s="846"/>
    </row>
    <row r="52" spans="1:15" ht="20.100000000000001" customHeight="1">
      <c r="A52" s="837" t="s">
        <v>178</v>
      </c>
      <c r="B52" s="916"/>
      <c r="C52" s="916"/>
      <c r="D52" s="839" t="s">
        <v>131</v>
      </c>
      <c r="E52" s="840">
        <f>'25'!F52</f>
        <v>539606.06999999995</v>
      </c>
      <c r="F52" s="913">
        <v>539606.06999999995</v>
      </c>
      <c r="G52" s="841">
        <f t="shared" si="4"/>
        <v>0</v>
      </c>
      <c r="H52" s="842">
        <f>G52+'25'!H52</f>
        <v>0</v>
      </c>
      <c r="I52" s="840"/>
      <c r="J52" s="844">
        <f>H52/DAY(B2)</f>
        <v>0</v>
      </c>
      <c r="K52" s="860"/>
      <c r="L52" s="819"/>
      <c r="O52" s="846"/>
    </row>
    <row r="53" spans="1:15" ht="20.100000000000001" customHeight="1">
      <c r="A53" s="837" t="s">
        <v>167</v>
      </c>
      <c r="B53" s="916"/>
      <c r="C53" s="916"/>
      <c r="D53" s="839" t="s">
        <v>131</v>
      </c>
      <c r="E53" s="840">
        <f>'25'!F53</f>
        <v>434232</v>
      </c>
      <c r="F53" s="913">
        <v>434232</v>
      </c>
      <c r="G53" s="841">
        <f t="shared" si="4"/>
        <v>0</v>
      </c>
      <c r="H53" s="842">
        <f>G53+'25'!H53</f>
        <v>1663.6699999999837</v>
      </c>
      <c r="I53" s="840"/>
      <c r="J53" s="844">
        <f>H53/DAY(B2)</f>
        <v>63.987307692307063</v>
      </c>
      <c r="K53" s="860"/>
      <c r="L53" s="819"/>
      <c r="O53" s="846"/>
    </row>
    <row r="54" spans="1:15" ht="20.100000000000001" customHeight="1">
      <c r="A54" s="837" t="s">
        <v>179</v>
      </c>
      <c r="B54" s="916"/>
      <c r="C54" s="916"/>
      <c r="D54" s="839" t="s">
        <v>131</v>
      </c>
      <c r="E54" s="840">
        <f>'25'!F54</f>
        <v>14967</v>
      </c>
      <c r="F54" s="913">
        <v>14967</v>
      </c>
      <c r="G54" s="841">
        <f t="shared" si="4"/>
        <v>0</v>
      </c>
      <c r="H54" s="842">
        <f>G54+'25'!H54</f>
        <v>1138</v>
      </c>
      <c r="I54" s="840"/>
      <c r="J54" s="844">
        <f>H54/DAY(B2)</f>
        <v>43.769230769230766</v>
      </c>
      <c r="K54" s="860"/>
      <c r="L54" s="819"/>
      <c r="O54" s="846"/>
    </row>
    <row r="55" spans="1:15" ht="20.100000000000001" customHeight="1">
      <c r="A55" s="837" t="s">
        <v>180</v>
      </c>
      <c r="B55" s="916"/>
      <c r="C55" s="916"/>
      <c r="D55" s="839" t="s">
        <v>131</v>
      </c>
      <c r="E55" s="840">
        <f>'25'!F55</f>
        <v>105727</v>
      </c>
      <c r="F55" s="913">
        <v>109786</v>
      </c>
      <c r="G55" s="841">
        <f t="shared" si="4"/>
        <v>4059</v>
      </c>
      <c r="H55" s="842">
        <f>G55+'25'!H55</f>
        <v>41675</v>
      </c>
      <c r="I55" s="840"/>
      <c r="J55" s="844">
        <f>H55/DAY(B2)</f>
        <v>1602.8846153846155</v>
      </c>
      <c r="K55" s="860"/>
      <c r="L55" s="819"/>
      <c r="O55" s="846"/>
    </row>
    <row r="56" spans="1:15" ht="20.100000000000001" customHeight="1">
      <c r="A56" s="837" t="s">
        <v>181</v>
      </c>
      <c r="B56" s="916"/>
      <c r="C56" s="916"/>
      <c r="D56" s="839" t="s">
        <v>182</v>
      </c>
      <c r="E56" s="840">
        <f>'25'!F56</f>
        <v>648960</v>
      </c>
      <c r="F56" s="913">
        <v>648960</v>
      </c>
      <c r="G56" s="841">
        <f t="shared" si="4"/>
        <v>0</v>
      </c>
      <c r="H56" s="842">
        <f>G56+'25'!H56</f>
        <v>31762</v>
      </c>
      <c r="I56" s="840"/>
      <c r="J56" s="844">
        <f>H56/DAY(B2)</f>
        <v>1221.6153846153845</v>
      </c>
      <c r="K56" s="836"/>
      <c r="L56" s="819"/>
      <c r="O56" s="846"/>
    </row>
    <row r="57" spans="1:15" ht="20.100000000000001" customHeight="1">
      <c r="A57" s="837" t="s">
        <v>171</v>
      </c>
      <c r="B57" s="916"/>
      <c r="C57" s="916"/>
      <c r="D57" s="839" t="s">
        <v>131</v>
      </c>
      <c r="E57" s="840">
        <f>'25'!F57</f>
        <v>7711</v>
      </c>
      <c r="F57" s="913">
        <v>7711</v>
      </c>
      <c r="G57" s="841">
        <f t="shared" si="4"/>
        <v>0</v>
      </c>
      <c r="H57" s="842">
        <f>G57+'25'!H57</f>
        <v>0</v>
      </c>
      <c r="I57" s="840"/>
      <c r="J57" s="844">
        <f>H57/DAY(B2)</f>
        <v>0</v>
      </c>
      <c r="K57" s="860"/>
      <c r="L57" s="819"/>
      <c r="O57" s="846"/>
    </row>
    <row r="58" spans="1:15" ht="20.100000000000001" customHeight="1">
      <c r="A58" s="837" t="s">
        <v>183</v>
      </c>
      <c r="B58" s="916"/>
      <c r="C58" s="916"/>
      <c r="D58" s="839" t="s">
        <v>131</v>
      </c>
      <c r="E58" s="840">
        <f>'25'!F58</f>
        <v>53197</v>
      </c>
      <c r="F58" s="913">
        <v>53449</v>
      </c>
      <c r="G58" s="841">
        <f t="shared" si="4"/>
        <v>252</v>
      </c>
      <c r="H58" s="842">
        <f>G58+'25'!H58</f>
        <v>3584.7900000000009</v>
      </c>
      <c r="I58" s="840"/>
      <c r="J58" s="844">
        <f>H58/DAY(B2)</f>
        <v>137.8765384615385</v>
      </c>
      <c r="K58" s="860"/>
      <c r="L58" s="819"/>
      <c r="O58" s="846"/>
    </row>
    <row r="59" spans="1:15" ht="20.100000000000001" customHeight="1">
      <c r="A59" s="862" t="s">
        <v>175</v>
      </c>
      <c r="B59" s="863"/>
      <c r="C59" s="863"/>
      <c r="D59" s="826"/>
      <c r="E59" s="826"/>
      <c r="F59" s="826"/>
      <c r="G59" s="864">
        <f>G49+G50+G51+G52+G53+G54+G55+G56+G57+G58</f>
        <v>5443.8699999999953</v>
      </c>
      <c r="H59" s="842">
        <f>G59+'25'!H59</f>
        <v>106867.39999999992</v>
      </c>
      <c r="I59" s="840">
        <f>G7-G60</f>
        <v>95.130000000004657</v>
      </c>
      <c r="J59" s="844">
        <f>H59/DAY(B2)</f>
        <v>4110.2846153846122</v>
      </c>
      <c r="K59" s="860"/>
      <c r="L59" s="819"/>
      <c r="O59" s="846"/>
    </row>
    <row r="60" spans="1:15" ht="20.100000000000001" customHeight="1">
      <c r="A60" s="837"/>
      <c r="B60" s="838"/>
      <c r="C60" s="838"/>
      <c r="D60" s="826" t="s">
        <v>184</v>
      </c>
      <c r="E60" s="826"/>
      <c r="F60" s="826"/>
      <c r="G60" s="864">
        <f>G47+G59</f>
        <v>22547.869999999995</v>
      </c>
      <c r="H60" s="842">
        <f>G60+'25'!H60</f>
        <v>492513.4099999998</v>
      </c>
      <c r="I60" s="840">
        <f>G13-G60</f>
        <v>-626.86999999999534</v>
      </c>
      <c r="J60" s="844">
        <f>H60/DAY(B2)</f>
        <v>18942.823461538454</v>
      </c>
      <c r="K60" s="860"/>
      <c r="L60" s="819"/>
      <c r="O60" s="846"/>
    </row>
    <row r="61" spans="1:15" ht="20.100000000000001" customHeight="1">
      <c r="A61" s="917" t="s">
        <v>185</v>
      </c>
      <c r="B61" s="918"/>
      <c r="C61" s="918"/>
      <c r="D61" s="918"/>
      <c r="E61" s="919"/>
      <c r="F61" s="919"/>
      <c r="G61" s="918"/>
      <c r="H61" s="918"/>
      <c r="I61" s="918"/>
      <c r="J61" s="920"/>
      <c r="K61" s="860"/>
      <c r="L61" s="819"/>
      <c r="O61" s="846"/>
    </row>
    <row r="62" spans="1:15" ht="20.100000000000001" customHeight="1">
      <c r="A62" s="921" t="s">
        <v>97</v>
      </c>
      <c r="B62" s="922"/>
      <c r="C62" s="922"/>
      <c r="D62" s="826" t="s">
        <v>186</v>
      </c>
      <c r="E62" s="840">
        <f>'25'!F62</f>
        <v>20419</v>
      </c>
      <c r="F62" s="923">
        <v>20419</v>
      </c>
      <c r="G62" s="841">
        <f t="shared" ref="G62:G69" si="5">F62-E62</f>
        <v>0</v>
      </c>
      <c r="H62" s="842">
        <f>G62+'25'!H62</f>
        <v>1.9999999967694748E-3</v>
      </c>
      <c r="I62" s="924"/>
      <c r="J62" s="844">
        <f>H62/DAY(B2)</f>
        <v>7.6923076798825961E-5</v>
      </c>
      <c r="K62" s="860"/>
      <c r="L62" s="819"/>
      <c r="O62" s="846"/>
    </row>
    <row r="63" spans="1:15" ht="20.100000000000001" customHeight="1">
      <c r="A63" s="921" t="s">
        <v>187</v>
      </c>
      <c r="B63" s="922"/>
      <c r="C63" s="922"/>
      <c r="D63" s="826" t="s">
        <v>186</v>
      </c>
      <c r="E63" s="840">
        <f>'25'!F63</f>
        <v>0</v>
      </c>
      <c r="F63" s="923">
        <v>0</v>
      </c>
      <c r="G63" s="841">
        <f t="shared" si="5"/>
        <v>0</v>
      </c>
      <c r="H63" s="842">
        <f>G63+'25'!H63</f>
        <v>0</v>
      </c>
      <c r="I63" s="924"/>
      <c r="J63" s="844">
        <f>H63/DAY(B2)</f>
        <v>0</v>
      </c>
      <c r="K63" s="860"/>
      <c r="L63" s="819"/>
      <c r="O63" s="846"/>
    </row>
    <row r="64" spans="1:15" ht="20.100000000000001" customHeight="1">
      <c r="A64" s="1632" t="s">
        <v>98</v>
      </c>
      <c r="B64" s="1633"/>
      <c r="C64" s="1634"/>
      <c r="D64" s="839" t="s">
        <v>186</v>
      </c>
      <c r="E64" s="840">
        <f>'25'!F64</f>
        <v>168211</v>
      </c>
      <c r="F64" s="870">
        <v>168532</v>
      </c>
      <c r="G64" s="841">
        <f t="shared" si="5"/>
        <v>321</v>
      </c>
      <c r="H64" s="842">
        <f>G64+'25'!H64</f>
        <v>8600</v>
      </c>
      <c r="I64" s="861"/>
      <c r="J64" s="844">
        <f>H64/DAY(B2)</f>
        <v>330.76923076923077</v>
      </c>
      <c r="K64" s="860"/>
      <c r="L64" s="819"/>
      <c r="O64" s="846"/>
    </row>
    <row r="65" spans="1:15" ht="20.100000000000001" customHeight="1">
      <c r="A65" s="1632" t="s">
        <v>99</v>
      </c>
      <c r="B65" s="1633"/>
      <c r="C65" s="1634"/>
      <c r="D65" s="839" t="s">
        <v>186</v>
      </c>
      <c r="E65" s="840">
        <f>'25'!F65</f>
        <v>168247</v>
      </c>
      <c r="F65" s="870">
        <v>168685</v>
      </c>
      <c r="G65" s="841">
        <f t="shared" si="5"/>
        <v>438</v>
      </c>
      <c r="H65" s="842">
        <f>G65+'25'!H65</f>
        <v>7687</v>
      </c>
      <c r="I65" s="879"/>
      <c r="J65" s="844">
        <f>H65/DAY(B2)</f>
        <v>295.65384615384613</v>
      </c>
      <c r="K65" s="860"/>
      <c r="L65" s="819"/>
      <c r="O65" s="846"/>
    </row>
    <row r="66" spans="1:15" ht="20.100000000000001" customHeight="1">
      <c r="A66" s="1632" t="s">
        <v>100</v>
      </c>
      <c r="B66" s="1633"/>
      <c r="C66" s="1634"/>
      <c r="D66" s="839" t="s">
        <v>186</v>
      </c>
      <c r="E66" s="840">
        <f>'25'!F66</f>
        <v>65832</v>
      </c>
      <c r="F66" s="870">
        <v>66280</v>
      </c>
      <c r="G66" s="841">
        <f t="shared" si="5"/>
        <v>448</v>
      </c>
      <c r="H66" s="842">
        <f>G66+'25'!H66</f>
        <v>9475</v>
      </c>
      <c r="I66" s="861"/>
      <c r="J66" s="844">
        <f>H66/DAY(B2)</f>
        <v>364.42307692307691</v>
      </c>
      <c r="K66" s="860"/>
      <c r="L66" s="819"/>
      <c r="O66" s="846"/>
    </row>
    <row r="67" spans="1:15" ht="20.100000000000001" customHeight="1">
      <c r="A67" s="1632" t="s">
        <v>101</v>
      </c>
      <c r="B67" s="1633"/>
      <c r="C67" s="1634"/>
      <c r="D67" s="839" t="s">
        <v>186</v>
      </c>
      <c r="E67" s="840">
        <f>'25'!F67</f>
        <v>262704</v>
      </c>
      <c r="F67" s="870">
        <v>263178</v>
      </c>
      <c r="G67" s="841">
        <f t="shared" si="5"/>
        <v>474</v>
      </c>
      <c r="H67" s="842">
        <f>G67+'25'!H67</f>
        <v>10986</v>
      </c>
      <c r="I67" s="879"/>
      <c r="J67" s="844">
        <f>H67/DAY(B2)</f>
        <v>422.53846153846155</v>
      </c>
      <c r="K67" s="867"/>
      <c r="L67" s="819"/>
      <c r="O67" s="846"/>
    </row>
    <row r="68" spans="1:15" ht="20.100000000000001" customHeight="1">
      <c r="A68" s="1632" t="s">
        <v>102</v>
      </c>
      <c r="B68" s="1633"/>
      <c r="C68" s="1634"/>
      <c r="D68" s="839" t="s">
        <v>186</v>
      </c>
      <c r="E68" s="840">
        <f>'25'!F68</f>
        <v>85321</v>
      </c>
      <c r="F68" s="870">
        <v>85321</v>
      </c>
      <c r="G68" s="841">
        <f t="shared" si="5"/>
        <v>0</v>
      </c>
      <c r="H68" s="842">
        <f>G68+'25'!H68</f>
        <v>0</v>
      </c>
      <c r="I68" s="925"/>
      <c r="J68" s="844">
        <f>H68/DAY(B2)</f>
        <v>0</v>
      </c>
      <c r="K68" s="926"/>
      <c r="L68" s="819"/>
      <c r="O68" s="846"/>
    </row>
    <row r="69" spans="1:15" ht="20.100000000000001" customHeight="1">
      <c r="A69" s="1632" t="s">
        <v>103</v>
      </c>
      <c r="B69" s="1633"/>
      <c r="C69" s="1634"/>
      <c r="D69" s="839" t="s">
        <v>186</v>
      </c>
      <c r="E69" s="840">
        <f>'25'!F69</f>
        <v>86292</v>
      </c>
      <c r="F69" s="870">
        <v>86501</v>
      </c>
      <c r="G69" s="841">
        <f t="shared" si="5"/>
        <v>209</v>
      </c>
      <c r="H69" s="842">
        <f>G69+'25'!H69</f>
        <v>4752</v>
      </c>
      <c r="I69" s="925"/>
      <c r="J69" s="844">
        <f>H69/DAY(B2)</f>
        <v>182.76923076923077</v>
      </c>
      <c r="K69" s="927"/>
      <c r="L69" s="819"/>
      <c r="O69" s="846"/>
    </row>
    <row r="70" spans="1:15" ht="20.100000000000001" customHeight="1">
      <c r="A70" s="1641" t="s">
        <v>188</v>
      </c>
      <c r="B70" s="1642"/>
      <c r="C70" s="1643"/>
      <c r="D70" s="839" t="s">
        <v>186</v>
      </c>
      <c r="E70" s="928"/>
      <c r="F70" s="929"/>
      <c r="G70" s="929"/>
      <c r="H70" s="842">
        <f>G70+'13'!H70</f>
        <v>0</v>
      </c>
      <c r="I70" s="929"/>
      <c r="J70" s="930"/>
      <c r="K70" s="927"/>
      <c r="L70" s="819"/>
      <c r="O70" s="846"/>
    </row>
    <row r="71" spans="1:15" ht="20.100000000000001" customHeight="1">
      <c r="A71" s="1638" t="s">
        <v>189</v>
      </c>
      <c r="B71" s="1639"/>
      <c r="C71" s="1639"/>
      <c r="D71" s="1639"/>
      <c r="E71" s="1639"/>
      <c r="F71" s="1639"/>
      <c r="G71" s="1639"/>
      <c r="H71" s="1639"/>
      <c r="I71" s="1639"/>
      <c r="J71" s="1640"/>
      <c r="K71" s="926"/>
      <c r="L71" s="819"/>
      <c r="O71" s="846"/>
    </row>
    <row r="72" spans="1:15" ht="20.100000000000001" customHeight="1">
      <c r="A72" s="1632" t="s">
        <v>190</v>
      </c>
      <c r="B72" s="1633"/>
      <c r="C72" s="1634"/>
      <c r="D72" s="839" t="s">
        <v>186</v>
      </c>
      <c r="E72" s="840">
        <f>'25'!F72</f>
        <v>856169</v>
      </c>
      <c r="F72" s="931">
        <v>856180</v>
      </c>
      <c r="G72" s="841">
        <f t="shared" ref="G72:G84" si="6">F72-E72</f>
        <v>11</v>
      </c>
      <c r="H72" s="842">
        <f>G72+'25'!H72</f>
        <v>324</v>
      </c>
      <c r="I72" s="861"/>
      <c r="J72" s="844">
        <f>H72/DAY(B2)</f>
        <v>12.461538461538462</v>
      </c>
      <c r="K72" s="927"/>
      <c r="L72" s="819"/>
      <c r="O72" s="846"/>
    </row>
    <row r="73" spans="1:15" ht="20.100000000000001" customHeight="1">
      <c r="A73" s="1632" t="s">
        <v>191</v>
      </c>
      <c r="B73" s="1633"/>
      <c r="C73" s="1634"/>
      <c r="D73" s="839" t="s">
        <v>186</v>
      </c>
      <c r="E73" s="840">
        <f>'25'!F73</f>
        <v>885966</v>
      </c>
      <c r="F73" s="931">
        <v>885967</v>
      </c>
      <c r="G73" s="841">
        <f t="shared" si="6"/>
        <v>1</v>
      </c>
      <c r="H73" s="842">
        <f>G73+'25'!H73</f>
        <v>186</v>
      </c>
      <c r="I73" s="861"/>
      <c r="J73" s="844">
        <f>H73/DAY(B2)</f>
        <v>7.1538461538461542</v>
      </c>
      <c r="K73" s="926"/>
      <c r="L73" s="819"/>
      <c r="O73" s="846"/>
    </row>
    <row r="74" spans="1:15" ht="20.100000000000001" customHeight="1">
      <c r="A74" s="1632" t="s">
        <v>192</v>
      </c>
      <c r="B74" s="1633"/>
      <c r="C74" s="1634"/>
      <c r="D74" s="839" t="s">
        <v>186</v>
      </c>
      <c r="E74" s="840">
        <f>'25'!F74</f>
        <v>88689</v>
      </c>
      <c r="F74" s="933">
        <v>88689</v>
      </c>
      <c r="G74" s="841">
        <f t="shared" si="6"/>
        <v>0</v>
      </c>
      <c r="H74" s="842">
        <f>G74+'25'!H74</f>
        <v>23.960000000000036</v>
      </c>
      <c r="I74" s="861"/>
      <c r="J74" s="844">
        <f>H74/DAY(B2)</f>
        <v>0.92153846153846297</v>
      </c>
      <c r="K74" s="927"/>
      <c r="L74" s="819"/>
      <c r="O74" s="846"/>
    </row>
    <row r="75" spans="1:15" ht="20.100000000000001" customHeight="1">
      <c r="A75" s="1635" t="s">
        <v>193</v>
      </c>
      <c r="B75" s="1636"/>
      <c r="C75" s="1637"/>
      <c r="D75" s="839" t="s">
        <v>186</v>
      </c>
      <c r="E75" s="840">
        <f>'25'!F75</f>
        <v>15352</v>
      </c>
      <c r="F75" s="933">
        <v>15537</v>
      </c>
      <c r="G75" s="841">
        <f t="shared" si="6"/>
        <v>185</v>
      </c>
      <c r="H75" s="842">
        <f>G75+'25'!H75</f>
        <v>2868</v>
      </c>
      <c r="I75" s="861"/>
      <c r="J75" s="844">
        <f>H75/DAY(B2)</f>
        <v>110.30769230769231</v>
      </c>
      <c r="K75" s="926"/>
      <c r="L75" s="819"/>
      <c r="O75" s="846"/>
    </row>
    <row r="76" spans="1:15" ht="20.100000000000001" customHeight="1">
      <c r="A76" s="1635" t="s">
        <v>194</v>
      </c>
      <c r="B76" s="1636"/>
      <c r="C76" s="1637"/>
      <c r="D76" s="839" t="s">
        <v>186</v>
      </c>
      <c r="E76" s="840">
        <f>'25'!F76</f>
        <v>8947</v>
      </c>
      <c r="F76" s="932">
        <v>9028</v>
      </c>
      <c r="G76" s="841">
        <f t="shared" si="6"/>
        <v>81</v>
      </c>
      <c r="H76" s="842">
        <f>G76+'25'!H76</f>
        <v>1822</v>
      </c>
      <c r="I76" s="904"/>
      <c r="J76" s="844">
        <f>H76/DAY(B2)</f>
        <v>70.07692307692308</v>
      </c>
      <c r="K76" s="926"/>
      <c r="L76" s="819"/>
      <c r="O76" s="846"/>
    </row>
    <row r="77" spans="1:15" ht="20.100000000000001" customHeight="1">
      <c r="A77" s="1632" t="s">
        <v>195</v>
      </c>
      <c r="B77" s="1633"/>
      <c r="C77" s="1634"/>
      <c r="D77" s="839" t="s">
        <v>186</v>
      </c>
      <c r="E77" s="840">
        <f>'25'!F77</f>
        <v>704088</v>
      </c>
      <c r="F77" s="931">
        <v>704148</v>
      </c>
      <c r="G77" s="841">
        <f t="shared" si="6"/>
        <v>60</v>
      </c>
      <c r="H77" s="842">
        <f>G77+'25'!H77</f>
        <v>1309</v>
      </c>
      <c r="I77" s="904"/>
      <c r="J77" s="844">
        <f>H77/DAY(B2)</f>
        <v>50.346153846153847</v>
      </c>
      <c r="K77" s="926"/>
      <c r="L77" s="819"/>
      <c r="O77" s="846"/>
    </row>
    <row r="78" spans="1:15" ht="18.75" customHeight="1">
      <c r="A78" s="934" t="s">
        <v>196</v>
      </c>
      <c r="B78" s="1137"/>
      <c r="C78" s="1137"/>
      <c r="D78" s="839" t="s">
        <v>186</v>
      </c>
      <c r="E78" s="840">
        <f>'25'!F78</f>
        <v>674898</v>
      </c>
      <c r="F78" s="931">
        <v>675015</v>
      </c>
      <c r="G78" s="841">
        <f t="shared" si="6"/>
        <v>117</v>
      </c>
      <c r="H78" s="842">
        <f>G78+'25'!H78</f>
        <v>1983</v>
      </c>
      <c r="I78" s="904"/>
      <c r="J78" s="844">
        <f>H78/DAY(B2)</f>
        <v>76.269230769230774</v>
      </c>
      <c r="K78" s="926"/>
      <c r="L78" s="819"/>
      <c r="O78" s="846"/>
    </row>
    <row r="79" spans="1:15" ht="20.100000000000001" customHeight="1">
      <c r="A79" s="1635" t="s">
        <v>91</v>
      </c>
      <c r="B79" s="1636"/>
      <c r="C79" s="1637"/>
      <c r="D79" s="873" t="s">
        <v>186</v>
      </c>
      <c r="E79" s="840">
        <f>'25'!F79</f>
        <v>834684</v>
      </c>
      <c r="F79" s="933">
        <v>834834</v>
      </c>
      <c r="G79" s="841">
        <f t="shared" si="6"/>
        <v>150</v>
      </c>
      <c r="H79" s="842">
        <f>G79+'25'!H79</f>
        <v>2812</v>
      </c>
      <c r="I79" s="904"/>
      <c r="J79" s="844">
        <f>H79/DAY(B2)</f>
        <v>108.15384615384616</v>
      </c>
      <c r="K79" s="926"/>
      <c r="L79" s="819"/>
      <c r="O79" s="846"/>
    </row>
    <row r="80" spans="1:15" ht="20.100000000000001" customHeight="1">
      <c r="A80" s="1635" t="s">
        <v>197</v>
      </c>
      <c r="B80" s="1636"/>
      <c r="C80" s="1637"/>
      <c r="D80" s="873" t="s">
        <v>186</v>
      </c>
      <c r="E80" s="840">
        <f>'25'!F80</f>
        <v>537015</v>
      </c>
      <c r="F80" s="931">
        <v>537443</v>
      </c>
      <c r="G80" s="841">
        <f t="shared" si="6"/>
        <v>428</v>
      </c>
      <c r="H80" s="842">
        <f>G80+'25'!H80</f>
        <v>6897.4799999999814</v>
      </c>
      <c r="I80" s="904"/>
      <c r="J80" s="844">
        <f>H80/DAY(B2)</f>
        <v>265.2876923076916</v>
      </c>
      <c r="K80" s="926"/>
      <c r="L80" s="819"/>
      <c r="O80" s="846"/>
    </row>
    <row r="81" spans="1:15" ht="20.100000000000001" customHeight="1">
      <c r="A81" s="1635" t="s">
        <v>198</v>
      </c>
      <c r="B81" s="1636"/>
      <c r="C81" s="1637"/>
      <c r="D81" s="873" t="s">
        <v>186</v>
      </c>
      <c r="E81" s="840">
        <f>'25'!F81</f>
        <v>642289</v>
      </c>
      <c r="F81" s="932">
        <v>642446</v>
      </c>
      <c r="G81" s="841">
        <f t="shared" si="6"/>
        <v>157</v>
      </c>
      <c r="H81" s="842">
        <f>G81+'25'!H81</f>
        <v>3548</v>
      </c>
      <c r="I81" s="904"/>
      <c r="J81" s="844">
        <f>H81/DAY(B2)</f>
        <v>136.46153846153845</v>
      </c>
      <c r="K81" s="926"/>
      <c r="L81" s="819"/>
      <c r="O81" s="846"/>
    </row>
    <row r="82" spans="1:15" ht="20.100000000000001" customHeight="1">
      <c r="A82" s="1635" t="s">
        <v>92</v>
      </c>
      <c r="B82" s="1636"/>
      <c r="C82" s="1637"/>
      <c r="D82" s="874" t="s">
        <v>131</v>
      </c>
      <c r="E82" s="840">
        <f>'25'!F82</f>
        <v>108594</v>
      </c>
      <c r="F82" s="935">
        <v>108608</v>
      </c>
      <c r="G82" s="841">
        <f t="shared" si="6"/>
        <v>14</v>
      </c>
      <c r="H82" s="842">
        <f>G82+'25'!H82</f>
        <v>450</v>
      </c>
      <c r="I82" s="875"/>
      <c r="J82" s="844">
        <f>H82/DAY(B2)</f>
        <v>17.307692307692307</v>
      </c>
      <c r="K82" s="926"/>
      <c r="L82" s="819"/>
      <c r="O82" s="846"/>
    </row>
    <row r="83" spans="1:15" ht="20.100000000000001" customHeight="1">
      <c r="A83" s="1635" t="s">
        <v>199</v>
      </c>
      <c r="B83" s="1636"/>
      <c r="C83" s="1637"/>
      <c r="D83" s="936" t="s">
        <v>131</v>
      </c>
      <c r="E83" s="840">
        <f>'25'!F83</f>
        <v>25943</v>
      </c>
      <c r="F83" s="826">
        <v>26315</v>
      </c>
      <c r="G83" s="841">
        <f t="shared" si="6"/>
        <v>372</v>
      </c>
      <c r="H83" s="842">
        <f>G83+'25'!H83</f>
        <v>5809</v>
      </c>
      <c r="I83" s="864"/>
      <c r="J83" s="844">
        <f>H83/DAY(B2)</f>
        <v>223.42307692307693</v>
      </c>
      <c r="K83" s="867"/>
      <c r="L83" s="819"/>
      <c r="O83" s="846"/>
    </row>
    <row r="84" spans="1:15" ht="20.100000000000001" customHeight="1">
      <c r="A84" s="937" t="s">
        <v>200</v>
      </c>
      <c r="B84" s="938"/>
      <c r="C84" s="938"/>
      <c r="D84" s="858" t="s">
        <v>131</v>
      </c>
      <c r="E84" s="840">
        <f>'25'!F84</f>
        <v>518881</v>
      </c>
      <c r="F84" s="939">
        <v>519753</v>
      </c>
      <c r="G84" s="841">
        <f t="shared" si="6"/>
        <v>872</v>
      </c>
      <c r="H84" s="842">
        <f>G84+'25'!H84</f>
        <v>19459</v>
      </c>
      <c r="I84" s="864"/>
      <c r="J84" s="844">
        <f>H84/DAY(B2)</f>
        <v>748.42307692307691</v>
      </c>
      <c r="K84" s="940"/>
      <c r="L84" s="819"/>
      <c r="O84" s="846"/>
    </row>
    <row r="85" spans="1:15" s="944" customFormat="1" ht="20.100000000000001" customHeight="1">
      <c r="A85" s="941" t="s">
        <v>201</v>
      </c>
      <c r="B85" s="942"/>
      <c r="C85" s="942"/>
      <c r="D85" s="879"/>
      <c r="E85" s="840">
        <f>'25'!F85</f>
        <v>0</v>
      </c>
      <c r="F85" s="839"/>
      <c r="G85" s="842">
        <f xml:space="preserve"> SUM(G72:G84)</f>
        <v>2448</v>
      </c>
      <c r="H85" s="842">
        <f>G85+'25'!H85</f>
        <v>51034.960000000006</v>
      </c>
      <c r="I85" s="864"/>
      <c r="J85" s="844">
        <f>H85/DAY(B2)</f>
        <v>1962.8830769230772</v>
      </c>
      <c r="K85" s="940"/>
      <c r="L85" s="943"/>
      <c r="N85" s="1011"/>
      <c r="O85" s="846"/>
    </row>
    <row r="86" spans="1:15" s="954" customFormat="1">
      <c r="A86" s="945" t="s">
        <v>93</v>
      </c>
      <c r="B86" s="946"/>
      <c r="C86" s="946"/>
      <c r="D86" s="947" t="s">
        <v>182</v>
      </c>
      <c r="E86" s="840">
        <f>'25'!F86</f>
        <v>461639</v>
      </c>
      <c r="F86" s="948">
        <v>461666</v>
      </c>
      <c r="G86" s="949">
        <f t="shared" ref="G86:G91" si="7">F86-E86</f>
        <v>27</v>
      </c>
      <c r="H86" s="949">
        <f t="shared" ref="H86:H88" si="8">G86</f>
        <v>27</v>
      </c>
      <c r="I86" s="950"/>
      <c r="J86" s="951">
        <f>H86/DAY(B2)</f>
        <v>1.0384615384615385</v>
      </c>
      <c r="K86" s="952"/>
      <c r="L86" s="953"/>
      <c r="N86" s="1012"/>
      <c r="O86" s="846"/>
    </row>
    <row r="87" spans="1:15" s="954" customFormat="1">
      <c r="A87" s="945" t="s">
        <v>94</v>
      </c>
      <c r="B87" s="946"/>
      <c r="C87" s="946"/>
      <c r="D87" s="947" t="s">
        <v>182</v>
      </c>
      <c r="E87" s="840">
        <f>'25'!F87</f>
        <v>81950</v>
      </c>
      <c r="F87" s="1283">
        <v>81967</v>
      </c>
      <c r="G87" s="949">
        <f t="shared" si="7"/>
        <v>17</v>
      </c>
      <c r="H87" s="949">
        <f t="shared" si="8"/>
        <v>17</v>
      </c>
      <c r="I87" s="950"/>
      <c r="J87" s="951">
        <f>H87/DAY(B2)</f>
        <v>0.65384615384615385</v>
      </c>
      <c r="K87" s="952"/>
      <c r="L87" s="953"/>
      <c r="N87" s="1012"/>
      <c r="O87" s="846"/>
    </row>
    <row r="88" spans="1:15" s="954" customFormat="1">
      <c r="A88" s="945" t="s">
        <v>95</v>
      </c>
      <c r="B88" s="946"/>
      <c r="C88" s="946"/>
      <c r="D88" s="947" t="s">
        <v>182</v>
      </c>
      <c r="E88" s="840">
        <f>'25'!F88</f>
        <v>154823</v>
      </c>
      <c r="F88" s="948">
        <v>154949</v>
      </c>
      <c r="G88" s="949">
        <f t="shared" si="7"/>
        <v>126</v>
      </c>
      <c r="H88" s="949">
        <f t="shared" si="8"/>
        <v>126</v>
      </c>
      <c r="I88" s="950"/>
      <c r="J88" s="951">
        <f>H88/DAY(B2)</f>
        <v>4.8461538461538458</v>
      </c>
      <c r="K88" s="952"/>
      <c r="L88" s="953"/>
      <c r="N88" s="1012"/>
      <c r="O88" s="846"/>
    </row>
    <row r="89" spans="1:15" s="954" customFormat="1">
      <c r="A89" s="945" t="s">
        <v>203</v>
      </c>
      <c r="B89" s="946"/>
      <c r="C89" s="946"/>
      <c r="D89" s="947" t="s">
        <v>182</v>
      </c>
      <c r="E89" s="840">
        <f>'25'!F89</f>
        <v>65732</v>
      </c>
      <c r="F89" s="948">
        <v>65748</v>
      </c>
      <c r="G89" s="949">
        <f t="shared" si="7"/>
        <v>16</v>
      </c>
      <c r="H89" s="949">
        <f>G89</f>
        <v>16</v>
      </c>
      <c r="I89" s="950"/>
      <c r="J89" s="951">
        <f>H89/DAY(B2)</f>
        <v>0.61538461538461542</v>
      </c>
      <c r="K89" s="952"/>
      <c r="L89" s="953"/>
      <c r="N89" s="1018"/>
      <c r="O89" s="846"/>
    </row>
    <row r="90" spans="1:15" s="954" customFormat="1">
      <c r="A90" s="945" t="s">
        <v>203</v>
      </c>
      <c r="B90" s="946"/>
      <c r="C90" s="946"/>
      <c r="D90" s="947" t="s">
        <v>182</v>
      </c>
      <c r="E90" s="840">
        <f>'25'!F90</f>
        <v>3332</v>
      </c>
      <c r="F90" s="948">
        <v>3333</v>
      </c>
      <c r="G90" s="949">
        <f t="shared" si="7"/>
        <v>1</v>
      </c>
      <c r="H90" s="949">
        <f>G90</f>
        <v>1</v>
      </c>
      <c r="I90" s="950"/>
      <c r="J90" s="951">
        <f>H90/DAY(B2)</f>
        <v>3.8461538461538464E-2</v>
      </c>
      <c r="K90" s="952"/>
      <c r="L90" s="953"/>
      <c r="N90" s="1013"/>
      <c r="O90" s="846"/>
    </row>
    <row r="91" spans="1:15" s="736" customFormat="1" ht="29.25">
      <c r="A91" s="731" t="s">
        <v>350</v>
      </c>
      <c r="B91" s="732"/>
      <c r="C91" s="732"/>
      <c r="D91" s="733"/>
      <c r="E91" s="840">
        <f>'25'!F91</f>
        <v>28212</v>
      </c>
      <c r="F91" s="948">
        <v>28215</v>
      </c>
      <c r="G91" s="706">
        <f t="shared" si="7"/>
        <v>3</v>
      </c>
      <c r="H91" s="706">
        <f>G91</f>
        <v>3</v>
      </c>
      <c r="I91" s="653"/>
      <c r="J91" s="708"/>
      <c r="K91" s="734"/>
      <c r="L91" s="735"/>
      <c r="N91" s="778"/>
      <c r="O91" s="382"/>
    </row>
    <row r="92" spans="1:15" s="944" customFormat="1" ht="20.100000000000001" customHeight="1">
      <c r="A92" s="955" t="s">
        <v>204</v>
      </c>
      <c r="B92" s="834"/>
      <c r="C92" s="834"/>
      <c r="D92" s="834"/>
      <c r="E92" s="834"/>
      <c r="F92" s="834"/>
      <c r="G92" s="878"/>
      <c r="H92" s="834"/>
      <c r="I92" s="834"/>
      <c r="J92" s="835"/>
      <c r="K92" s="940"/>
      <c r="L92" s="943"/>
      <c r="N92" s="1011"/>
      <c r="O92" s="846"/>
    </row>
    <row r="93" spans="1:15" ht="20.100000000000001" customHeight="1">
      <c r="A93" s="1626" t="s">
        <v>205</v>
      </c>
      <c r="B93" s="1627"/>
      <c r="C93" s="1628"/>
      <c r="D93" s="839" t="s">
        <v>143</v>
      </c>
      <c r="E93" s="840">
        <f>'25'!F93</f>
        <v>246939</v>
      </c>
      <c r="F93" s="870">
        <v>247056</v>
      </c>
      <c r="G93" s="841">
        <f t="shared" ref="G93:G94" si="9">F93-E93</f>
        <v>117</v>
      </c>
      <c r="H93" s="842">
        <f>G93+'25'!H93</f>
        <v>1568</v>
      </c>
      <c r="I93" s="861"/>
      <c r="J93" s="844">
        <f>H93/DAY(B2)</f>
        <v>60.307692307692307</v>
      </c>
      <c r="K93" s="867"/>
      <c r="L93" s="819"/>
      <c r="O93" s="846"/>
    </row>
    <row r="94" spans="1:15" ht="20.100000000000001" customHeight="1">
      <c r="A94" s="1626" t="s">
        <v>206</v>
      </c>
      <c r="B94" s="1627"/>
      <c r="C94" s="1628"/>
      <c r="D94" s="839" t="s">
        <v>143</v>
      </c>
      <c r="E94" s="840">
        <f>'25'!F94</f>
        <v>188895</v>
      </c>
      <c r="F94" s="870">
        <v>189022</v>
      </c>
      <c r="G94" s="841">
        <f t="shared" si="9"/>
        <v>127</v>
      </c>
      <c r="H94" s="842">
        <f>G94+'25'!H94</f>
        <v>2901</v>
      </c>
      <c r="I94" s="861"/>
      <c r="J94" s="844">
        <f>H94/DAY(B2)</f>
        <v>111.57692307692308</v>
      </c>
      <c r="K94" s="940"/>
      <c r="L94" s="819"/>
      <c r="O94" s="846"/>
    </row>
    <row r="95" spans="1:15" ht="20.100000000000001" customHeight="1">
      <c r="A95" s="1644" t="s">
        <v>207</v>
      </c>
      <c r="B95" s="1645"/>
      <c r="C95" s="1646"/>
      <c r="D95" s="839"/>
      <c r="E95" s="840">
        <f>'25'!F95</f>
        <v>0</v>
      </c>
      <c r="F95" s="870"/>
      <c r="G95" s="841">
        <f>G93+G94</f>
        <v>244</v>
      </c>
      <c r="H95" s="842">
        <f>G95+'25'!H95</f>
        <v>4393</v>
      </c>
      <c r="I95" s="861"/>
      <c r="J95" s="844">
        <f>H95/DAY(B2)</f>
        <v>168.96153846153845</v>
      </c>
      <c r="K95" s="940"/>
      <c r="L95" s="819"/>
      <c r="O95" s="846"/>
    </row>
    <row r="96" spans="1:15" ht="20.100000000000001" customHeight="1">
      <c r="A96" s="1626" t="s">
        <v>208</v>
      </c>
      <c r="B96" s="1627"/>
      <c r="C96" s="1628"/>
      <c r="D96" s="839" t="s">
        <v>143</v>
      </c>
      <c r="E96" s="840">
        <f>'25'!F96</f>
        <v>415676</v>
      </c>
      <c r="F96" s="870">
        <v>415755</v>
      </c>
      <c r="G96" s="841">
        <f t="shared" ref="G96:G101" si="10">F96-E96</f>
        <v>79</v>
      </c>
      <c r="H96" s="842">
        <f>G96+'25'!H96</f>
        <v>1472</v>
      </c>
      <c r="I96" s="861"/>
      <c r="J96" s="844">
        <f>H96/DAY(B2)</f>
        <v>56.615384615384613</v>
      </c>
      <c r="K96" s="940"/>
      <c r="L96" s="819"/>
      <c r="O96" s="846"/>
    </row>
    <row r="97" spans="1:15" ht="20.100000000000001" customHeight="1">
      <c r="A97" s="868" t="s">
        <v>209</v>
      </c>
      <c r="B97" s="869"/>
      <c r="C97" s="869"/>
      <c r="D97" s="839" t="s">
        <v>143</v>
      </c>
      <c r="E97" s="840">
        <f>'25'!F97</f>
        <v>103050</v>
      </c>
      <c r="F97" s="870">
        <v>103079</v>
      </c>
      <c r="G97" s="841">
        <f t="shared" si="10"/>
        <v>29</v>
      </c>
      <c r="H97" s="842">
        <f>G97+'25'!H97</f>
        <v>431</v>
      </c>
      <c r="I97" s="861"/>
      <c r="J97" s="844">
        <f>H97/DAY(B2)</f>
        <v>16.576923076923077</v>
      </c>
      <c r="K97" s="836"/>
      <c r="L97" s="819"/>
      <c r="O97" s="846"/>
    </row>
    <row r="98" spans="1:15" ht="20.100000000000001" customHeight="1">
      <c r="A98" s="868" t="s">
        <v>210</v>
      </c>
      <c r="B98" s="869"/>
      <c r="C98" s="869"/>
      <c r="D98" s="839" t="s">
        <v>143</v>
      </c>
      <c r="E98" s="840">
        <f>'25'!F98</f>
        <v>98531</v>
      </c>
      <c r="F98" s="870">
        <v>98565</v>
      </c>
      <c r="G98" s="841">
        <f t="shared" si="10"/>
        <v>34</v>
      </c>
      <c r="H98" s="842">
        <f>G98+'25'!H98</f>
        <v>615</v>
      </c>
      <c r="I98" s="861"/>
      <c r="J98" s="844">
        <f>H98/DAY(B2)</f>
        <v>23.653846153846153</v>
      </c>
      <c r="K98" s="956"/>
      <c r="L98" s="819"/>
      <c r="O98" s="846"/>
    </row>
    <row r="99" spans="1:15" ht="20.100000000000001" customHeight="1">
      <c r="A99" s="868" t="s">
        <v>211</v>
      </c>
      <c r="B99" s="869"/>
      <c r="C99" s="869"/>
      <c r="D99" s="839" t="s">
        <v>143</v>
      </c>
      <c r="E99" s="840">
        <f>'25'!F99</f>
        <v>150214</v>
      </c>
      <c r="F99" s="870">
        <v>150277</v>
      </c>
      <c r="G99" s="841">
        <f t="shared" si="10"/>
        <v>63</v>
      </c>
      <c r="H99" s="842">
        <f>G99+'25'!H99</f>
        <v>425</v>
      </c>
      <c r="I99" s="861"/>
      <c r="J99" s="844">
        <f>H99/DAY(B2)</f>
        <v>16.346153846153847</v>
      </c>
      <c r="K99" s="940"/>
      <c r="L99" s="819"/>
      <c r="O99" s="846"/>
    </row>
    <row r="100" spans="1:15" ht="20.100000000000001" customHeight="1">
      <c r="A100" s="868" t="s">
        <v>212</v>
      </c>
      <c r="B100" s="869"/>
      <c r="C100" s="869"/>
      <c r="D100" s="839" t="s">
        <v>143</v>
      </c>
      <c r="E100" s="840">
        <f>'25'!F100</f>
        <v>7687</v>
      </c>
      <c r="F100" s="870">
        <v>7714</v>
      </c>
      <c r="G100" s="841">
        <f t="shared" si="10"/>
        <v>27</v>
      </c>
      <c r="H100" s="842">
        <f>G100+'25'!H100</f>
        <v>345</v>
      </c>
      <c r="I100" s="861"/>
      <c r="J100" s="844">
        <f>H100/DAY(B2)</f>
        <v>13.26923076923077</v>
      </c>
      <c r="K100" s="940"/>
      <c r="L100" s="819"/>
      <c r="O100" s="846"/>
    </row>
    <row r="101" spans="1:15" ht="20.100000000000001" customHeight="1">
      <c r="A101" s="868" t="s">
        <v>213</v>
      </c>
      <c r="B101" s="869"/>
      <c r="C101" s="869"/>
      <c r="D101" s="839" t="s">
        <v>143</v>
      </c>
      <c r="E101" s="840">
        <f>'25'!F101</f>
        <v>5604</v>
      </c>
      <c r="F101" s="870">
        <v>5616</v>
      </c>
      <c r="G101" s="841">
        <f t="shared" si="10"/>
        <v>12</v>
      </c>
      <c r="H101" s="842">
        <f>G101+'25'!H101</f>
        <v>225</v>
      </c>
      <c r="I101" s="861"/>
      <c r="J101" s="844">
        <f>H101/DAY(B2)</f>
        <v>8.6538461538461533</v>
      </c>
      <c r="K101" s="940"/>
      <c r="L101" s="819"/>
      <c r="O101" s="846"/>
    </row>
    <row r="102" spans="1:15" ht="20.100000000000001" customHeight="1">
      <c r="A102" s="1644" t="s">
        <v>215</v>
      </c>
      <c r="B102" s="1645"/>
      <c r="C102" s="1646"/>
      <c r="D102" s="873"/>
      <c r="E102" s="873"/>
      <c r="F102" s="873"/>
      <c r="G102" s="957">
        <f>SUM(G96:G101)</f>
        <v>244</v>
      </c>
      <c r="H102" s="842">
        <f>G102+'25'!H102</f>
        <v>3513</v>
      </c>
      <c r="I102" s="958"/>
      <c r="J102" s="844">
        <f>H102/DAY(B2)</f>
        <v>135.11538461538461</v>
      </c>
      <c r="K102" s="940"/>
      <c r="L102" s="819"/>
      <c r="O102" s="846"/>
    </row>
    <row r="103" spans="1:15" s="891" customFormat="1" ht="25.5" customHeight="1">
      <c r="A103" s="959" t="s">
        <v>216</v>
      </c>
      <c r="B103" s="960"/>
      <c r="C103" s="960"/>
      <c r="D103" s="961"/>
      <c r="E103" s="962"/>
      <c r="F103" s="963"/>
      <c r="G103" s="964"/>
      <c r="H103" s="965"/>
      <c r="I103" s="966"/>
      <c r="J103" s="967"/>
      <c r="N103" s="1009"/>
      <c r="O103" s="846"/>
    </row>
    <row r="104" spans="1:15" s="891" customFormat="1" ht="21.75" customHeight="1">
      <c r="A104" s="1655" t="s">
        <v>217</v>
      </c>
      <c r="B104" s="1656"/>
      <c r="C104" s="968"/>
      <c r="D104" s="969"/>
      <c r="E104" s="970"/>
      <c r="F104" s="970"/>
      <c r="G104" s="970"/>
      <c r="H104" s="971"/>
      <c r="I104" s="970"/>
      <c r="J104" s="972"/>
      <c r="N104" s="1009"/>
      <c r="O104" s="846"/>
    </row>
    <row r="105" spans="1:15" s="891" customFormat="1" ht="21.75" customHeight="1">
      <c r="A105" s="1657" t="s">
        <v>218</v>
      </c>
      <c r="B105" s="1658"/>
      <c r="C105" s="973"/>
      <c r="D105" s="969" t="s">
        <v>143</v>
      </c>
      <c r="E105" s="970">
        <f>'25'!F105</f>
        <v>7637</v>
      </c>
      <c r="F105" s="970">
        <v>7637</v>
      </c>
      <c r="G105" s="970">
        <f>F105-E105</f>
        <v>0</v>
      </c>
      <c r="H105" s="971">
        <f>SUM(G105+'1'!G76)</f>
        <v>57</v>
      </c>
      <c r="I105" s="970"/>
      <c r="J105" s="972">
        <f>H105/DAY(B2)</f>
        <v>2.1923076923076925</v>
      </c>
      <c r="N105" s="1009"/>
      <c r="O105" s="846"/>
    </row>
    <row r="106" spans="1:15" s="891" customFormat="1" ht="21.75" customHeight="1">
      <c r="A106" s="1657" t="s">
        <v>76</v>
      </c>
      <c r="B106" s="1658"/>
      <c r="C106" s="973"/>
      <c r="D106" s="969" t="s">
        <v>143</v>
      </c>
      <c r="E106" s="970">
        <f>'25'!F106</f>
        <v>36121</v>
      </c>
      <c r="F106" s="974">
        <v>36137</v>
      </c>
      <c r="G106" s="970">
        <f t="shared" ref="G106:G107" si="11">F106-E106</f>
        <v>16</v>
      </c>
      <c r="H106" s="971">
        <f>SUM(G106+'1'!G77)</f>
        <v>65</v>
      </c>
      <c r="I106" s="970"/>
      <c r="J106" s="972">
        <f>H106/DAY(B2)</f>
        <v>2.5</v>
      </c>
      <c r="N106" s="1009"/>
      <c r="O106" s="846"/>
    </row>
    <row r="107" spans="1:15" s="891" customFormat="1" ht="21.75" customHeight="1">
      <c r="A107" s="1657" t="s">
        <v>77</v>
      </c>
      <c r="B107" s="1659"/>
      <c r="C107" s="1658"/>
      <c r="D107" s="969" t="s">
        <v>143</v>
      </c>
      <c r="E107" s="970">
        <f>'25'!F107</f>
        <v>19800</v>
      </c>
      <c r="F107" s="970">
        <v>19805</v>
      </c>
      <c r="G107" s="970">
        <f t="shared" si="11"/>
        <v>5</v>
      </c>
      <c r="H107" s="971">
        <f>SUM(G107+'1'!G78)</f>
        <v>60</v>
      </c>
      <c r="I107" s="970"/>
      <c r="J107" s="972">
        <f>H107/DAY(B2)</f>
        <v>2.3076923076923075</v>
      </c>
      <c r="N107" s="1009"/>
      <c r="O107" s="846"/>
    </row>
    <row r="108" spans="1:15" s="891" customFormat="1" ht="21.75" customHeight="1">
      <c r="A108" s="1660" t="s">
        <v>201</v>
      </c>
      <c r="B108" s="1661"/>
      <c r="C108" s="973"/>
      <c r="D108" s="969"/>
      <c r="E108" s="970">
        <f>'25'!F108</f>
        <v>0</v>
      </c>
      <c r="F108" s="970"/>
      <c r="G108" s="970">
        <f>SUM(G105:G107)</f>
        <v>21</v>
      </c>
      <c r="H108" s="971">
        <f>SUM(G108+'1'!G79)</f>
        <v>176</v>
      </c>
      <c r="I108" s="970"/>
      <c r="J108" s="972">
        <f>H108/DAY(B2)</f>
        <v>6.7692307692307692</v>
      </c>
      <c r="N108" s="1009"/>
      <c r="O108" s="846"/>
    </row>
    <row r="109" spans="1:15" s="891" customFormat="1" ht="21.75" customHeight="1">
      <c r="A109" s="1662" t="s">
        <v>78</v>
      </c>
      <c r="B109" s="1663"/>
      <c r="C109" s="973"/>
      <c r="D109" s="969" t="s">
        <v>143</v>
      </c>
      <c r="E109" s="970">
        <f>'25'!F109</f>
        <v>0</v>
      </c>
      <c r="F109" s="970"/>
      <c r="G109" s="970"/>
      <c r="H109" s="971"/>
      <c r="I109" s="970"/>
      <c r="J109" s="972"/>
      <c r="N109" s="1009"/>
      <c r="O109" s="846"/>
    </row>
    <row r="110" spans="1:15" s="891" customFormat="1" ht="21.75" customHeight="1">
      <c r="A110" s="1657" t="s">
        <v>219</v>
      </c>
      <c r="B110" s="1658"/>
      <c r="C110" s="973"/>
      <c r="D110" s="969" t="s">
        <v>143</v>
      </c>
      <c r="E110" s="970">
        <f>'25'!F110</f>
        <v>64486</v>
      </c>
      <c r="F110" s="970">
        <v>64540</v>
      </c>
      <c r="G110" s="970">
        <f>F110-E110</f>
        <v>54</v>
      </c>
      <c r="H110" s="971">
        <f>SUM(G110+'1'!G81)</f>
        <v>148</v>
      </c>
      <c r="I110" s="970"/>
      <c r="J110" s="972">
        <f>H110/DAY(B2)</f>
        <v>5.6923076923076925</v>
      </c>
      <c r="N110" s="1009"/>
      <c r="O110" s="846"/>
    </row>
    <row r="111" spans="1:15" s="891" customFormat="1" ht="21.75" customHeight="1">
      <c r="A111" s="1657" t="s">
        <v>220</v>
      </c>
      <c r="B111" s="1658"/>
      <c r="C111" s="973"/>
      <c r="D111" s="969" t="s">
        <v>143</v>
      </c>
      <c r="E111" s="970">
        <f>'25'!F111</f>
        <v>32925</v>
      </c>
      <c r="F111" s="970">
        <v>32996</v>
      </c>
      <c r="G111" s="970">
        <f t="shared" ref="G111:G112" si="12">F111-E111</f>
        <v>71</v>
      </c>
      <c r="H111" s="971">
        <f>SUM(G111+'1'!G82)</f>
        <v>82</v>
      </c>
      <c r="I111" s="970"/>
      <c r="J111" s="972">
        <f>H111/DAY(B2)</f>
        <v>3.1538461538461537</v>
      </c>
      <c r="N111" s="1009"/>
      <c r="O111" s="846"/>
    </row>
    <row r="112" spans="1:15" s="891" customFormat="1" ht="21.75" customHeight="1">
      <c r="A112" s="1657" t="s">
        <v>221</v>
      </c>
      <c r="B112" s="1658"/>
      <c r="C112" s="973"/>
      <c r="D112" s="969" t="s">
        <v>143</v>
      </c>
      <c r="E112" s="970">
        <f>'25'!F112</f>
        <v>4621</v>
      </c>
      <c r="F112" s="970">
        <v>4621</v>
      </c>
      <c r="G112" s="970">
        <f t="shared" si="12"/>
        <v>0</v>
      </c>
      <c r="H112" s="971">
        <f>SUM(G112+'1'!G83)</f>
        <v>152</v>
      </c>
      <c r="I112" s="970"/>
      <c r="J112" s="972">
        <f>H112/DAY(B2)</f>
        <v>5.8461538461538458</v>
      </c>
      <c r="N112" s="1009"/>
      <c r="O112" s="846"/>
    </row>
    <row r="113" spans="1:15" s="891" customFormat="1" ht="21.75" customHeight="1">
      <c r="A113" s="1664" t="s">
        <v>109</v>
      </c>
      <c r="B113" s="1665"/>
      <c r="C113" s="973"/>
      <c r="D113" s="969"/>
      <c r="E113" s="970">
        <f>'25'!F113</f>
        <v>0</v>
      </c>
      <c r="F113" s="970"/>
      <c r="G113" s="970">
        <f>SUM(G110:G112)</f>
        <v>125</v>
      </c>
      <c r="H113" s="971">
        <f>SUM(G113+'1'!G84)</f>
        <v>952</v>
      </c>
      <c r="I113" s="970"/>
      <c r="J113" s="972">
        <f>H113/DAY(B2)</f>
        <v>36.615384615384613</v>
      </c>
      <c r="N113" s="1009"/>
      <c r="O113" s="846"/>
    </row>
    <row r="114" spans="1:15" s="891" customFormat="1" ht="21.75" customHeight="1">
      <c r="A114" s="1662" t="s">
        <v>222</v>
      </c>
      <c r="B114" s="1663"/>
      <c r="C114" s="973"/>
      <c r="D114" s="969"/>
      <c r="E114" s="970">
        <f>'25'!F114</f>
        <v>0</v>
      </c>
      <c r="F114" s="970"/>
      <c r="G114" s="970"/>
      <c r="H114" s="971"/>
      <c r="I114" s="970"/>
      <c r="J114" s="972">
        <f>H114/DAY(B2)</f>
        <v>0</v>
      </c>
      <c r="N114" s="1009"/>
      <c r="O114" s="846"/>
    </row>
    <row r="115" spans="1:15" s="891" customFormat="1" ht="21.75" customHeight="1">
      <c r="A115" s="1657" t="s">
        <v>223</v>
      </c>
      <c r="B115" s="1658"/>
      <c r="C115" s="975"/>
      <c r="D115" s="969" t="s">
        <v>143</v>
      </c>
      <c r="E115" s="970">
        <f>'25'!F115</f>
        <v>11886</v>
      </c>
      <c r="F115" s="974">
        <v>11916</v>
      </c>
      <c r="G115" s="974">
        <f>F115-E115</f>
        <v>30</v>
      </c>
      <c r="H115" s="971">
        <f>SUM(G115+'1'!G92)</f>
        <v>30</v>
      </c>
      <c r="I115" s="970"/>
      <c r="J115" s="972">
        <f>H115/DAY(B2)</f>
        <v>1.1538461538461537</v>
      </c>
      <c r="N115" s="1009"/>
      <c r="O115" s="846"/>
    </row>
    <row r="116" spans="1:15" s="891" customFormat="1" ht="21.75" customHeight="1">
      <c r="A116" s="1657" t="s">
        <v>224</v>
      </c>
      <c r="B116" s="1658"/>
      <c r="C116" s="975"/>
      <c r="D116" s="969" t="s">
        <v>143</v>
      </c>
      <c r="E116" s="970">
        <f>'25'!F116</f>
        <v>8498</v>
      </c>
      <c r="F116" s="974">
        <v>8507</v>
      </c>
      <c r="G116" s="974">
        <f t="shared" ref="G116:G117" si="13">F116-E116</f>
        <v>9</v>
      </c>
      <c r="H116" s="971">
        <f>SUM(G116+'1'!G93)</f>
        <v>27</v>
      </c>
      <c r="I116" s="970"/>
      <c r="J116" s="972">
        <f>H116/DAY(B2)</f>
        <v>1.0384615384615385</v>
      </c>
      <c r="N116" s="1009"/>
      <c r="O116" s="846"/>
    </row>
    <row r="117" spans="1:15" s="891" customFormat="1" ht="21.75" customHeight="1">
      <c r="A117" s="1657" t="s">
        <v>225</v>
      </c>
      <c r="B117" s="1658"/>
      <c r="C117" s="975"/>
      <c r="D117" s="969" t="s">
        <v>143</v>
      </c>
      <c r="E117" s="974"/>
      <c r="F117" s="974"/>
      <c r="G117" s="974">
        <f t="shared" si="13"/>
        <v>0</v>
      </c>
      <c r="H117" s="971">
        <f>SUM(G117+'1'!G94)</f>
        <v>58</v>
      </c>
      <c r="I117" s="970"/>
      <c r="J117" s="972">
        <f>H117/DAY(B2)</f>
        <v>2.2307692307692308</v>
      </c>
      <c r="N117" s="1009"/>
      <c r="O117" s="846"/>
    </row>
    <row r="118" spans="1:15" s="977" customFormat="1">
      <c r="A118" s="1660" t="s">
        <v>201</v>
      </c>
      <c r="B118" s="1661"/>
      <c r="C118" s="975"/>
      <c r="D118" s="976"/>
      <c r="E118" s="974"/>
      <c r="F118" s="974"/>
      <c r="G118" s="974">
        <f>SUM(G115:G117)</f>
        <v>39</v>
      </c>
      <c r="H118" s="971">
        <f>SUM(G118+'1'!G96)</f>
        <v>79</v>
      </c>
      <c r="I118" s="974"/>
      <c r="J118" s="972">
        <f>H118/DAY(B2)</f>
        <v>3.0384615384615383</v>
      </c>
      <c r="N118" s="1014"/>
      <c r="O118" s="846"/>
    </row>
    <row r="119" spans="1:15" s="769" customFormat="1">
      <c r="A119" s="1666" t="s">
        <v>226</v>
      </c>
      <c r="B119" s="1667"/>
      <c r="C119" s="978"/>
      <c r="D119" s="979" t="s">
        <v>143</v>
      </c>
      <c r="E119" s="980"/>
      <c r="F119" s="981"/>
      <c r="G119" s="981">
        <f>SUM(G19+G93)</f>
        <v>182</v>
      </c>
      <c r="H119" s="971">
        <f>SUM(G119+'1'!G97)</f>
        <v>195</v>
      </c>
      <c r="I119" s="980"/>
      <c r="J119" s="982">
        <f>H119/DAY(B2)</f>
        <v>7.5</v>
      </c>
      <c r="N119" s="1015"/>
      <c r="O119" s="846"/>
    </row>
    <row r="120" spans="1:15" s="769" customFormat="1">
      <c r="A120" s="1666" t="s">
        <v>227</v>
      </c>
      <c r="B120" s="1667"/>
      <c r="C120" s="978"/>
      <c r="D120" s="979" t="s">
        <v>143</v>
      </c>
      <c r="E120" s="980"/>
      <c r="F120" s="981"/>
      <c r="G120" s="981">
        <f>SUM(G96,G97,G98,G100,G101)</f>
        <v>181</v>
      </c>
      <c r="H120" s="971">
        <f>SUM(G120+'1'!G99)</f>
        <v>188</v>
      </c>
      <c r="I120" s="980"/>
      <c r="J120" s="982">
        <f>H120/DAY(B2)</f>
        <v>7.2307692307692308</v>
      </c>
      <c r="N120" s="1015"/>
      <c r="O120" s="846"/>
    </row>
    <row r="121" spans="1:15" s="769" customFormat="1">
      <c r="A121" s="1666" t="s">
        <v>228</v>
      </c>
      <c r="B121" s="1667"/>
      <c r="C121" s="978"/>
      <c r="D121" s="979" t="s">
        <v>143</v>
      </c>
      <c r="E121" s="980"/>
      <c r="F121" s="974"/>
      <c r="G121" s="974">
        <f>SUM(G113)</f>
        <v>125</v>
      </c>
      <c r="H121" s="971">
        <f>SUM(G121+'1'!G101)</f>
        <v>129</v>
      </c>
      <c r="I121" s="980"/>
      <c r="J121" s="982">
        <f>H121/DAY(B2)</f>
        <v>4.9615384615384617</v>
      </c>
      <c r="N121" s="1015"/>
      <c r="O121" s="846"/>
    </row>
    <row r="122" spans="1:15" s="891" customFormat="1" ht="18.75" customHeight="1">
      <c r="A122" s="1668"/>
      <c r="B122" s="1614"/>
      <c r="C122" s="973"/>
      <c r="D122" s="968"/>
      <c r="E122" s="968"/>
      <c r="F122" s="968"/>
      <c r="G122" s="968"/>
      <c r="H122" s="983"/>
      <c r="I122" s="968"/>
      <c r="J122" s="984"/>
      <c r="N122" s="1009"/>
      <c r="O122" s="846"/>
    </row>
    <row r="123" spans="1:15" ht="20.100000000000001" customHeight="1">
      <c r="A123" s="1647" t="s">
        <v>229</v>
      </c>
      <c r="B123" s="1648"/>
      <c r="C123" s="1649"/>
      <c r="D123" s="834"/>
      <c r="E123" s="834"/>
      <c r="F123" s="834"/>
      <c r="G123" s="866"/>
      <c r="H123" s="866"/>
      <c r="I123" s="866"/>
      <c r="J123" s="985"/>
      <c r="K123" s="940"/>
      <c r="L123" s="819"/>
      <c r="O123" s="846"/>
    </row>
    <row r="124" spans="1:15" ht="22.5" customHeight="1">
      <c r="A124" s="868" t="s">
        <v>230</v>
      </c>
      <c r="B124" s="869"/>
      <c r="C124" s="869"/>
      <c r="D124" s="839" t="s">
        <v>140</v>
      </c>
      <c r="E124" s="840">
        <f>'25'!F124</f>
        <v>838262</v>
      </c>
      <c r="F124" s="858">
        <v>838568</v>
      </c>
      <c r="G124" s="841">
        <f t="shared" ref="G124:G128" si="14">F124-E124</f>
        <v>306</v>
      </c>
      <c r="H124" s="842">
        <f>G124+'25'!H124</f>
        <v>6202</v>
      </c>
      <c r="I124" s="958"/>
      <c r="J124" s="844">
        <f>H124/DAY(B2)</f>
        <v>238.53846153846155</v>
      </c>
      <c r="K124" s="940"/>
      <c r="L124" s="819"/>
      <c r="O124" s="846"/>
    </row>
    <row r="125" spans="1:15" ht="22.5" customHeight="1">
      <c r="A125" s="868" t="s">
        <v>231</v>
      </c>
      <c r="B125" s="869"/>
      <c r="C125" s="869"/>
      <c r="D125" s="839" t="s">
        <v>140</v>
      </c>
      <c r="E125" s="840">
        <f>'25'!F125</f>
        <v>73583</v>
      </c>
      <c r="F125" s="986">
        <v>73583.399999999994</v>
      </c>
      <c r="G125" s="841">
        <f t="shared" si="14"/>
        <v>0.39999999999417923</v>
      </c>
      <c r="H125" s="842">
        <f>G125+'25'!H125</f>
        <v>0</v>
      </c>
      <c r="I125" s="958"/>
      <c r="J125" s="844">
        <f>H125/DAY(B2)</f>
        <v>0</v>
      </c>
      <c r="K125" s="940"/>
      <c r="L125" s="819"/>
      <c r="O125" s="846"/>
    </row>
    <row r="126" spans="1:15" ht="22.5" customHeight="1">
      <c r="A126" s="1632" t="s">
        <v>232</v>
      </c>
      <c r="B126" s="1633"/>
      <c r="C126" s="1634"/>
      <c r="D126" s="839" t="s">
        <v>140</v>
      </c>
      <c r="E126" s="840">
        <f>'25'!F126</f>
        <v>148196</v>
      </c>
      <c r="F126" s="858">
        <v>148299</v>
      </c>
      <c r="G126" s="841">
        <f t="shared" si="14"/>
        <v>103</v>
      </c>
      <c r="H126" s="842">
        <f>G126+'25'!H126</f>
        <v>1808</v>
      </c>
      <c r="I126" s="958"/>
      <c r="J126" s="844">
        <f>H126/DAY(B2)</f>
        <v>69.538461538461533</v>
      </c>
      <c r="K126" s="940"/>
      <c r="L126" s="819"/>
      <c r="O126" s="846"/>
    </row>
    <row r="127" spans="1:15" ht="20.100000000000001" customHeight="1">
      <c r="A127" s="987" t="s">
        <v>233</v>
      </c>
      <c r="B127" s="869"/>
      <c r="C127" s="869"/>
      <c r="D127" s="839" t="s">
        <v>140</v>
      </c>
      <c r="E127" s="840">
        <f>'25'!F127</f>
        <v>31902</v>
      </c>
      <c r="F127" s="986">
        <v>31939</v>
      </c>
      <c r="G127" s="841">
        <f t="shared" si="14"/>
        <v>37</v>
      </c>
      <c r="H127" s="842">
        <f>G127+'25'!H127</f>
        <v>533</v>
      </c>
      <c r="I127" s="958"/>
      <c r="J127" s="844">
        <f>H127/DAY(B2)</f>
        <v>20.5</v>
      </c>
      <c r="K127" s="940"/>
      <c r="L127" s="819"/>
      <c r="O127" s="846"/>
    </row>
    <row r="128" spans="1:15" ht="20.100000000000001" customHeight="1">
      <c r="A128" s="987" t="s">
        <v>234</v>
      </c>
      <c r="B128" s="869"/>
      <c r="C128" s="869"/>
      <c r="D128" s="839" t="s">
        <v>140</v>
      </c>
      <c r="E128" s="840">
        <f>'25'!F128</f>
        <v>8990</v>
      </c>
      <c r="F128" s="986">
        <v>8999</v>
      </c>
      <c r="G128" s="841">
        <f t="shared" si="14"/>
        <v>9</v>
      </c>
      <c r="H128" s="842">
        <f>G128+'25'!H128</f>
        <v>27</v>
      </c>
      <c r="I128" s="861"/>
      <c r="J128" s="844">
        <f>H128/DAY(B2)</f>
        <v>1.0384615384615385</v>
      </c>
      <c r="K128" s="940"/>
      <c r="L128" s="819"/>
      <c r="O128" s="846"/>
    </row>
    <row r="129" spans="1:15" ht="21.75" customHeight="1">
      <c r="A129" s="987" t="s">
        <v>235</v>
      </c>
      <c r="B129" s="869"/>
      <c r="C129" s="869"/>
      <c r="D129" s="839"/>
      <c r="E129" s="840"/>
      <c r="F129" s="858"/>
      <c r="G129" s="841">
        <f>G15-SUM(G124:G128)</f>
        <v>469.60000000000582</v>
      </c>
      <c r="H129" s="842">
        <f>G129+'25'!H129</f>
        <v>4272</v>
      </c>
      <c r="I129" s="861"/>
      <c r="J129" s="844">
        <f>H129/DAY(B2)</f>
        <v>164.30769230769232</v>
      </c>
      <c r="K129" s="940"/>
      <c r="L129" s="819"/>
      <c r="O129" s="846"/>
    </row>
    <row r="130" spans="1:15">
      <c r="A130" s="988" t="s">
        <v>236</v>
      </c>
      <c r="B130" s="833"/>
      <c r="C130" s="833"/>
      <c r="D130" s="833"/>
      <c r="E130" s="833"/>
      <c r="F130" s="833"/>
      <c r="G130" s="989"/>
      <c r="H130" s="989"/>
      <c r="I130" s="989"/>
      <c r="J130" s="990"/>
      <c r="O130" s="846"/>
    </row>
    <row r="131" spans="1:15">
      <c r="A131" s="868" t="s">
        <v>237</v>
      </c>
      <c r="B131" s="869"/>
      <c r="C131" s="869"/>
      <c r="D131" s="839" t="s">
        <v>238</v>
      </c>
      <c r="E131" s="840">
        <f>'25'!F131</f>
        <v>0</v>
      </c>
      <c r="F131" s="870">
        <v>0</v>
      </c>
      <c r="G131" s="841">
        <f t="shared" ref="G131:G141" si="15">F131-E131</f>
        <v>0</v>
      </c>
      <c r="H131" s="842">
        <f>G131+'25'!H131</f>
        <v>0</v>
      </c>
      <c r="I131" s="861"/>
      <c r="J131" s="844">
        <f>H131/DAY(B2)</f>
        <v>0</v>
      </c>
      <c r="O131" s="846"/>
    </row>
    <row r="132" spans="1:15">
      <c r="A132" s="868" t="s">
        <v>239</v>
      </c>
      <c r="B132" s="869"/>
      <c r="C132" s="869"/>
      <c r="D132" s="839" t="s">
        <v>238</v>
      </c>
      <c r="E132" s="840">
        <f>'25'!F132</f>
        <v>0</v>
      </c>
      <c r="F132" s="870">
        <v>0</v>
      </c>
      <c r="G132" s="841">
        <f t="shared" si="15"/>
        <v>0</v>
      </c>
      <c r="H132" s="842">
        <f>G132+'25'!H132</f>
        <v>0</v>
      </c>
      <c r="I132" s="861"/>
      <c r="J132" s="844">
        <f>H132/DAY(B2)</f>
        <v>0</v>
      </c>
      <c r="O132" s="846"/>
    </row>
    <row r="133" spans="1:15">
      <c r="A133" s="868" t="s">
        <v>240</v>
      </c>
      <c r="B133" s="869"/>
      <c r="C133" s="869"/>
      <c r="D133" s="839" t="s">
        <v>238</v>
      </c>
      <c r="E133" s="840">
        <f>'25'!F133</f>
        <v>40365</v>
      </c>
      <c r="F133" s="991">
        <v>40379</v>
      </c>
      <c r="G133" s="841">
        <f t="shared" si="15"/>
        <v>14</v>
      </c>
      <c r="H133" s="842">
        <f>G133+'25'!H133</f>
        <v>343.90000000000146</v>
      </c>
      <c r="I133" s="861"/>
      <c r="J133" s="844">
        <f>H133/DAY(B2)</f>
        <v>13.226923076923132</v>
      </c>
      <c r="O133" s="846"/>
    </row>
    <row r="134" spans="1:15">
      <c r="A134" s="868" t="s">
        <v>241</v>
      </c>
      <c r="B134" s="869"/>
      <c r="C134" s="869"/>
      <c r="D134" s="839" t="s">
        <v>238</v>
      </c>
      <c r="E134" s="840">
        <f>'25'!F134</f>
        <v>300</v>
      </c>
      <c r="F134" s="991">
        <v>300</v>
      </c>
      <c r="G134" s="841">
        <f t="shared" si="15"/>
        <v>0</v>
      </c>
      <c r="H134" s="842">
        <f>G134+'25'!H134</f>
        <v>0</v>
      </c>
      <c r="I134" s="861">
        <f>G131+G132+G133+G134</f>
        <v>14</v>
      </c>
      <c r="J134" s="844">
        <f>H134/DAY(B2)</f>
        <v>0</v>
      </c>
      <c r="O134" s="846"/>
    </row>
    <row r="135" spans="1:15">
      <c r="A135" s="868" t="s">
        <v>242</v>
      </c>
      <c r="B135" s="869"/>
      <c r="C135" s="869"/>
      <c r="D135" s="839" t="s">
        <v>238</v>
      </c>
      <c r="E135" s="840">
        <f>'25'!F135</f>
        <v>41911.449999999997</v>
      </c>
      <c r="F135" s="991">
        <v>41932.410000000003</v>
      </c>
      <c r="G135" s="841">
        <f t="shared" si="15"/>
        <v>20.960000000006403</v>
      </c>
      <c r="H135" s="842">
        <f>G135+'25'!H135</f>
        <v>92.970000000001164</v>
      </c>
      <c r="I135" s="861"/>
      <c r="J135" s="844">
        <f>H135/DAY(B2)</f>
        <v>3.5757692307692754</v>
      </c>
      <c r="O135" s="846"/>
    </row>
    <row r="136" spans="1:15">
      <c r="A136" s="868" t="s">
        <v>243</v>
      </c>
      <c r="B136" s="869"/>
      <c r="C136" s="869"/>
      <c r="D136" s="839" t="s">
        <v>238</v>
      </c>
      <c r="E136" s="840">
        <f>'25'!F136</f>
        <v>32874</v>
      </c>
      <c r="F136" s="991">
        <v>32874</v>
      </c>
      <c r="G136" s="841">
        <f t="shared" si="15"/>
        <v>0</v>
      </c>
      <c r="H136" s="842">
        <f>G136+'25'!H136</f>
        <v>12.94999999999709</v>
      </c>
      <c r="I136" s="861"/>
      <c r="J136" s="844">
        <f>H136/DAY(B2)</f>
        <v>0.49807692307681112</v>
      </c>
      <c r="O136" s="846"/>
    </row>
    <row r="137" spans="1:15">
      <c r="A137" s="868" t="s">
        <v>244</v>
      </c>
      <c r="B137" s="869"/>
      <c r="C137" s="869"/>
      <c r="D137" s="839" t="s">
        <v>238</v>
      </c>
      <c r="E137" s="840">
        <f>'25'!F137</f>
        <v>22865.54</v>
      </c>
      <c r="F137" s="991">
        <v>22873.99</v>
      </c>
      <c r="G137" s="841">
        <f t="shared" si="15"/>
        <v>8.4500000000007276</v>
      </c>
      <c r="H137" s="842">
        <f>G137+'25'!H137</f>
        <v>66.75</v>
      </c>
      <c r="I137" s="861">
        <f>G135+G136+G137</f>
        <v>29.41000000000713</v>
      </c>
      <c r="J137" s="844">
        <f>H137/DAY(B2)</f>
        <v>2.5673076923076925</v>
      </c>
      <c r="O137" s="846"/>
    </row>
    <row r="138" spans="1:15">
      <c r="A138" s="868" t="s">
        <v>245</v>
      </c>
      <c r="B138" s="869"/>
      <c r="C138" s="869"/>
      <c r="D138" s="839" t="s">
        <v>238</v>
      </c>
      <c r="E138" s="840">
        <f>'25'!F138</f>
        <v>25091</v>
      </c>
      <c r="F138" s="991">
        <v>25091</v>
      </c>
      <c r="G138" s="841">
        <f t="shared" si="15"/>
        <v>0</v>
      </c>
      <c r="H138" s="842">
        <f>G138+'25'!H138</f>
        <v>17.110000000000582</v>
      </c>
      <c r="I138" s="861"/>
      <c r="J138" s="844">
        <f>H138/DAY(B2)</f>
        <v>0.65807692307694543</v>
      </c>
      <c r="O138" s="846"/>
    </row>
    <row r="139" spans="1:15">
      <c r="A139" s="868" t="s">
        <v>246</v>
      </c>
      <c r="B139" s="869"/>
      <c r="C139" s="869"/>
      <c r="D139" s="839" t="s">
        <v>238</v>
      </c>
      <c r="E139" s="840">
        <f>'25'!F139</f>
        <v>70503.92</v>
      </c>
      <c r="F139" s="991">
        <v>70503.92</v>
      </c>
      <c r="G139" s="841">
        <f t="shared" si="15"/>
        <v>0</v>
      </c>
      <c r="H139" s="842">
        <f>G139+'25'!H139</f>
        <v>22.190000000002328</v>
      </c>
      <c r="I139" s="861">
        <f>G138+G139</f>
        <v>0</v>
      </c>
      <c r="J139" s="844">
        <f>H139/DAY(B2)</f>
        <v>0.85346153846162798</v>
      </c>
      <c r="O139" s="846"/>
    </row>
    <row r="140" spans="1:15">
      <c r="A140" s="868" t="s">
        <v>247</v>
      </c>
      <c r="B140" s="869"/>
      <c r="C140" s="869"/>
      <c r="D140" s="839" t="s">
        <v>238</v>
      </c>
      <c r="E140" s="840">
        <f>'25'!F140</f>
        <v>2077</v>
      </c>
      <c r="F140" s="870">
        <v>2088.5</v>
      </c>
      <c r="G140" s="841">
        <f t="shared" si="15"/>
        <v>11.5</v>
      </c>
      <c r="H140" s="842">
        <f>G140+'25'!H140</f>
        <v>234.20000000000005</v>
      </c>
      <c r="I140" s="992"/>
      <c r="J140" s="844">
        <f>H140/DAY(B2)</f>
        <v>9.0076923076923094</v>
      </c>
      <c r="O140" s="846"/>
    </row>
    <row r="141" spans="1:15">
      <c r="A141" s="868" t="s">
        <v>248</v>
      </c>
      <c r="B141" s="869"/>
      <c r="C141" s="869"/>
      <c r="D141" s="839" t="s">
        <v>238</v>
      </c>
      <c r="E141" s="840">
        <f>'25'!F141</f>
        <v>4636.88</v>
      </c>
      <c r="F141" s="870">
        <v>4636.88</v>
      </c>
      <c r="G141" s="841">
        <f t="shared" si="15"/>
        <v>0</v>
      </c>
      <c r="H141" s="842">
        <f>G141+'25'!H141</f>
        <v>-0.11999999999989086</v>
      </c>
      <c r="I141" s="992"/>
      <c r="J141" s="844">
        <f>H141/DAY(B2)</f>
        <v>-4.6153846153804178E-3</v>
      </c>
      <c r="O141" s="846"/>
    </row>
    <row r="142" spans="1:15">
      <c r="A142" s="1650" t="s">
        <v>249</v>
      </c>
      <c r="B142" s="1651"/>
      <c r="C142" s="834"/>
      <c r="D142" s="834"/>
      <c r="E142" s="834"/>
      <c r="F142" s="834"/>
      <c r="G142" s="866"/>
      <c r="H142" s="866"/>
      <c r="I142" s="866"/>
      <c r="J142" s="985"/>
      <c r="K142" s="940"/>
      <c r="L142" s="819"/>
      <c r="O142" s="846"/>
    </row>
    <row r="143" spans="1:15">
      <c r="A143" s="1626" t="s">
        <v>250</v>
      </c>
      <c r="B143" s="1627"/>
      <c r="C143" s="1628"/>
      <c r="D143" s="839" t="s">
        <v>131</v>
      </c>
      <c r="E143" s="839"/>
      <c r="F143" s="839"/>
      <c r="G143" s="842">
        <f>G35+G43+G49+G57</f>
        <v>5987.8699999999953</v>
      </c>
      <c r="H143" s="842">
        <f>G143+'25'!H143</f>
        <v>132441.94000000006</v>
      </c>
      <c r="I143" s="861"/>
      <c r="J143" s="844">
        <f>H143/DAY(B2)</f>
        <v>5093.9207692307718</v>
      </c>
      <c r="K143" s="940"/>
      <c r="L143" s="819"/>
      <c r="O143" s="846"/>
    </row>
    <row r="144" spans="1:15">
      <c r="A144" s="1626" t="s">
        <v>251</v>
      </c>
      <c r="B144" s="1627"/>
      <c r="C144" s="1628"/>
      <c r="D144" s="839" t="s">
        <v>24</v>
      </c>
      <c r="E144" s="826"/>
      <c r="F144" s="830"/>
      <c r="G144" s="993">
        <f>G143/G7</f>
        <v>0.26444684891577952</v>
      </c>
      <c r="H144" s="842">
        <f>G144+'25'!H144</f>
        <v>6.9681863006961295</v>
      </c>
      <c r="I144" s="994"/>
      <c r="J144" s="844">
        <f>H144/DAY(B2)</f>
        <v>0.26800716541138958</v>
      </c>
      <c r="K144" s="940"/>
      <c r="L144" s="819"/>
      <c r="O144" s="846"/>
    </row>
    <row r="145" spans="1:15">
      <c r="A145" s="1626" t="s">
        <v>252</v>
      </c>
      <c r="B145" s="1627"/>
      <c r="C145" s="1628"/>
      <c r="D145" s="839" t="s">
        <v>131</v>
      </c>
      <c r="E145" s="840"/>
      <c r="F145" s="840"/>
      <c r="G145" s="842">
        <f>G41+G42+G55+G56</f>
        <v>6949</v>
      </c>
      <c r="H145" s="842">
        <f>G145+'25'!H145</f>
        <v>146852.03</v>
      </c>
      <c r="I145" s="861"/>
      <c r="J145" s="844">
        <f>H145/DAY(B2)</f>
        <v>5648.1549999999997</v>
      </c>
      <c r="K145" s="940"/>
      <c r="L145" s="819"/>
      <c r="O145" s="846"/>
    </row>
    <row r="146" spans="1:15" ht="20.100000000000001" customHeight="1">
      <c r="A146" s="1626" t="s">
        <v>253</v>
      </c>
      <c r="B146" s="1627"/>
      <c r="C146" s="1628"/>
      <c r="D146" s="839" t="s">
        <v>24</v>
      </c>
      <c r="E146" s="840"/>
      <c r="F146" s="840"/>
      <c r="G146" s="993">
        <f>G145/G7</f>
        <v>0.30689396281411474</v>
      </c>
      <c r="H146" s="842">
        <f>G146+'25'!H146</f>
        <v>7.6744431652150311</v>
      </c>
      <c r="I146" s="994"/>
      <c r="J146" s="844">
        <f>H146/DAY(B2)</f>
        <v>0.29517089096980886</v>
      </c>
      <c r="K146" s="940"/>
      <c r="L146" s="819"/>
      <c r="O146" s="846"/>
    </row>
    <row r="147" spans="1:15" ht="20.100000000000001" customHeight="1">
      <c r="A147" s="1626" t="s">
        <v>254</v>
      </c>
      <c r="B147" s="1627"/>
      <c r="C147" s="1628"/>
      <c r="D147" s="839" t="s">
        <v>131</v>
      </c>
      <c r="E147" s="840"/>
      <c r="F147" s="840"/>
      <c r="G147" s="842">
        <f>G39+G53</f>
        <v>3678</v>
      </c>
      <c r="H147" s="842">
        <f>G147+'25'!H147</f>
        <v>83651</v>
      </c>
      <c r="I147" s="995"/>
      <c r="J147" s="844">
        <f>H147/DAY(B2)</f>
        <v>3217.3461538461538</v>
      </c>
      <c r="K147" s="940"/>
      <c r="L147" s="819"/>
      <c r="O147" s="846"/>
    </row>
    <row r="148" spans="1:15" ht="20.100000000000001" customHeight="1">
      <c r="A148" s="1626" t="s">
        <v>255</v>
      </c>
      <c r="B148" s="1627"/>
      <c r="C148" s="1628"/>
      <c r="D148" s="839" t="s">
        <v>24</v>
      </c>
      <c r="E148" s="840"/>
      <c r="F148" s="840"/>
      <c r="G148" s="993">
        <f>G147/G7</f>
        <v>0.16243430640816145</v>
      </c>
      <c r="H148" s="842">
        <f>G148+'25'!H148</f>
        <v>4.39114157810502</v>
      </c>
      <c r="I148" s="995"/>
      <c r="J148" s="844">
        <f>H148/DAY(B2)</f>
        <v>0.16889006069634693</v>
      </c>
      <c r="O148" s="846"/>
    </row>
    <row r="149" spans="1:15" ht="20.100000000000001" customHeight="1">
      <c r="A149" s="1626" t="s">
        <v>256</v>
      </c>
      <c r="B149" s="1627"/>
      <c r="C149" s="1628"/>
      <c r="D149" s="839" t="s">
        <v>182</v>
      </c>
      <c r="E149" s="840"/>
      <c r="F149" s="840"/>
      <c r="G149" s="842">
        <f>G38+G52</f>
        <v>1787</v>
      </c>
      <c r="H149" s="842">
        <f>G149+'25'!H149</f>
        <v>35717.069999999949</v>
      </c>
      <c r="I149" s="861"/>
      <c r="J149" s="844">
        <f>H149/DAY(B2)</f>
        <v>1373.7334615384596</v>
      </c>
      <c r="K149" s="996"/>
      <c r="O149" s="846"/>
    </row>
    <row r="150" spans="1:15" ht="20.100000000000001" customHeight="1">
      <c r="A150" s="1626" t="s">
        <v>257</v>
      </c>
      <c r="B150" s="1627"/>
      <c r="C150" s="1628"/>
      <c r="D150" s="839" t="s">
        <v>24</v>
      </c>
      <c r="E150" s="840"/>
      <c r="F150" s="840"/>
      <c r="G150" s="993">
        <f>G149/G7</f>
        <v>7.8920637724683121E-2</v>
      </c>
      <c r="H150" s="842">
        <f>G150+'25'!H150</f>
        <v>1.8684585175649953</v>
      </c>
      <c r="I150" s="995"/>
      <c r="J150" s="844">
        <f>H150/DAY(B2)</f>
        <v>7.1863789137115205E-2</v>
      </c>
      <c r="O150" s="846"/>
    </row>
    <row r="151" spans="1:15" ht="20.100000000000001" customHeight="1">
      <c r="A151" s="1626" t="s">
        <v>258</v>
      </c>
      <c r="B151" s="1627"/>
      <c r="C151" s="1628"/>
      <c r="D151" s="839" t="s">
        <v>182</v>
      </c>
      <c r="E151" s="840"/>
      <c r="F151" s="840"/>
      <c r="G151" s="842">
        <f>G36+G50</f>
        <v>2092</v>
      </c>
      <c r="H151" s="842">
        <f>G151+'25'!H151</f>
        <v>45763</v>
      </c>
      <c r="I151" s="995"/>
      <c r="J151" s="844">
        <f>H151/DAY(B2)</f>
        <v>1760.1153846153845</v>
      </c>
      <c r="O151" s="846"/>
    </row>
    <row r="152" spans="1:15" ht="20.100000000000001" customHeight="1">
      <c r="A152" s="1626" t="s">
        <v>259</v>
      </c>
      <c r="B152" s="1627"/>
      <c r="C152" s="1628"/>
      <c r="D152" s="839" t="s">
        <v>24</v>
      </c>
      <c r="E152" s="840"/>
      <c r="F152" s="840"/>
      <c r="G152" s="993">
        <f>G151/G7</f>
        <v>9.2390584286534475E-2</v>
      </c>
      <c r="H152" s="842">
        <f>G152+'25'!H152</f>
        <v>2.3739203520488625</v>
      </c>
      <c r="I152" s="861"/>
      <c r="J152" s="844">
        <f>H152/DAY(B2)</f>
        <v>9.1304628924956249E-2</v>
      </c>
      <c r="O152" s="846"/>
    </row>
    <row r="153" spans="1:15" ht="20.100000000000001" customHeight="1">
      <c r="A153" s="1626" t="s">
        <v>260</v>
      </c>
      <c r="B153" s="1627"/>
      <c r="C153" s="1628"/>
      <c r="D153" s="839" t="s">
        <v>182</v>
      </c>
      <c r="E153" s="840"/>
      <c r="F153" s="840"/>
      <c r="G153" s="842">
        <f>G37+G51</f>
        <v>1521</v>
      </c>
      <c r="H153" s="842">
        <f>G153+'25'!H153</f>
        <v>36558.869999999995</v>
      </c>
      <c r="I153" s="861"/>
      <c r="J153" s="844">
        <f>H153/DAY(B2)</f>
        <v>1406.1103846153844</v>
      </c>
      <c r="O153" s="846"/>
    </row>
    <row r="154" spans="1:15" ht="20.100000000000001" customHeight="1" thickBot="1">
      <c r="A154" s="1652" t="s">
        <v>261</v>
      </c>
      <c r="B154" s="1653"/>
      <c r="C154" s="1654"/>
      <c r="D154" s="997" t="s">
        <v>24</v>
      </c>
      <c r="E154" s="998"/>
      <c r="F154" s="998"/>
      <c r="G154" s="999">
        <f>G153/G7</f>
        <v>6.7173077772379991E-2</v>
      </c>
      <c r="H154" s="842">
        <f>G154+'25'!H154</f>
        <v>1.9285748823241609</v>
      </c>
      <c r="I154" s="1000"/>
      <c r="J154" s="1001">
        <f>H154/DAY(B2)</f>
        <v>7.4175957012467722E-2</v>
      </c>
      <c r="O154" s="846"/>
    </row>
    <row r="155" spans="1:15" ht="44.25" customHeight="1">
      <c r="A155" s="1002"/>
      <c r="B155" s="1002"/>
      <c r="C155" s="1002"/>
      <c r="D155" s="1002"/>
      <c r="E155" s="1002"/>
      <c r="F155" s="1002"/>
      <c r="G155" s="1002"/>
      <c r="H155" s="1003"/>
      <c r="I155" s="1002"/>
      <c r="J155" s="1004"/>
      <c r="O155" s="846"/>
    </row>
    <row r="156" spans="1:15" ht="21.75" customHeight="1"/>
    <row r="157" spans="1:15" ht="21.75" customHeight="1"/>
    <row r="158" spans="1:15" ht="21.75" customHeight="1"/>
    <row r="159" spans="1:15" ht="21.75" customHeight="1"/>
    <row r="160" spans="1:15" ht="21.75" customHeight="1"/>
    <row r="161" spans="1:7" ht="21.75" customHeight="1">
      <c r="A161" s="992" t="s">
        <v>262</v>
      </c>
      <c r="B161" s="992"/>
      <c r="C161" s="992"/>
      <c r="D161" s="826" t="s">
        <v>186</v>
      </c>
      <c r="E161" s="840">
        <f>'25'!F161</f>
        <v>40442</v>
      </c>
      <c r="F161" s="1016">
        <v>40522</v>
      </c>
      <c r="G161" s="841">
        <f t="shared" ref="G161:G164" si="16">F161-E161</f>
        <v>80</v>
      </c>
    </row>
    <row r="162" spans="1:7" ht="21.75" customHeight="1">
      <c r="A162" s="992" t="s">
        <v>263</v>
      </c>
      <c r="B162" s="992"/>
      <c r="C162" s="992"/>
      <c r="D162" s="826" t="s">
        <v>186</v>
      </c>
      <c r="E162" s="840">
        <f>'25'!F162</f>
        <v>105500</v>
      </c>
      <c r="F162" s="1016">
        <v>105953</v>
      </c>
      <c r="G162" s="841">
        <f t="shared" si="16"/>
        <v>453</v>
      </c>
    </row>
    <row r="163" spans="1:7" ht="21.75" customHeight="1">
      <c r="A163" s="992" t="s">
        <v>264</v>
      </c>
      <c r="B163" s="992"/>
      <c r="C163" s="992"/>
      <c r="D163" s="826" t="s">
        <v>186</v>
      </c>
      <c r="E163" s="840">
        <f>'25'!F163</f>
        <v>60193</v>
      </c>
      <c r="F163" s="1016">
        <v>60403</v>
      </c>
      <c r="G163" s="841">
        <f t="shared" si="16"/>
        <v>210</v>
      </c>
    </row>
    <row r="164" spans="1:7" ht="21.75" customHeight="1">
      <c r="A164" s="992" t="s">
        <v>265</v>
      </c>
      <c r="B164" s="992"/>
      <c r="C164" s="992"/>
      <c r="D164" s="826" t="s">
        <v>186</v>
      </c>
      <c r="E164" s="840">
        <f>'25'!F164</f>
        <v>6803</v>
      </c>
      <c r="F164" s="1016">
        <v>6810</v>
      </c>
      <c r="G164" s="841">
        <f t="shared" si="16"/>
        <v>7</v>
      </c>
    </row>
    <row r="165" spans="1:7" ht="21.75" customHeight="1">
      <c r="A165" s="922" t="s">
        <v>97</v>
      </c>
      <c r="B165" s="922"/>
      <c r="C165" s="922"/>
      <c r="D165" s="826" t="s">
        <v>186</v>
      </c>
      <c r="E165" s="923">
        <f>E62</f>
        <v>20419</v>
      </c>
      <c r="F165" s="923">
        <f>F62</f>
        <v>20419</v>
      </c>
      <c r="G165" s="841">
        <f t="shared" ref="G165:G172" si="17">F165-E165</f>
        <v>0</v>
      </c>
    </row>
    <row r="166" spans="1:7" ht="21.75" customHeight="1">
      <c r="A166" s="922" t="s">
        <v>187</v>
      </c>
      <c r="B166" s="922"/>
      <c r="C166" s="922"/>
      <c r="D166" s="826" t="s">
        <v>186</v>
      </c>
      <c r="E166" s="923">
        <f t="shared" ref="E166:E172" si="18">E63</f>
        <v>0</v>
      </c>
      <c r="F166" s="923">
        <f t="shared" ref="F166:F172" si="19">F63</f>
        <v>0</v>
      </c>
      <c r="G166" s="841">
        <f t="shared" si="17"/>
        <v>0</v>
      </c>
    </row>
    <row r="167" spans="1:7" ht="21.75" customHeight="1">
      <c r="A167" s="1612" t="s">
        <v>98</v>
      </c>
      <c r="B167" s="1612"/>
      <c r="C167" s="1612"/>
      <c r="D167" s="839" t="s">
        <v>186</v>
      </c>
      <c r="E167" s="923">
        <f t="shared" si="18"/>
        <v>168211</v>
      </c>
      <c r="F167" s="923">
        <f t="shared" si="19"/>
        <v>168532</v>
      </c>
      <c r="G167" s="841">
        <f t="shared" si="17"/>
        <v>321</v>
      </c>
    </row>
    <row r="168" spans="1:7" ht="21.75" customHeight="1">
      <c r="A168" s="1612" t="s">
        <v>99</v>
      </c>
      <c r="B168" s="1612"/>
      <c r="C168" s="1612"/>
      <c r="D168" s="839" t="s">
        <v>186</v>
      </c>
      <c r="E168" s="923">
        <f t="shared" si="18"/>
        <v>168247</v>
      </c>
      <c r="F168" s="923">
        <f t="shared" si="19"/>
        <v>168685</v>
      </c>
      <c r="G168" s="841">
        <f t="shared" si="17"/>
        <v>438</v>
      </c>
    </row>
    <row r="169" spans="1:7" ht="21.75" customHeight="1">
      <c r="A169" s="1612" t="s">
        <v>100</v>
      </c>
      <c r="B169" s="1612"/>
      <c r="C169" s="1612"/>
      <c r="D169" s="839" t="s">
        <v>186</v>
      </c>
      <c r="E169" s="923">
        <f t="shared" si="18"/>
        <v>65832</v>
      </c>
      <c r="F169" s="923">
        <f t="shared" si="19"/>
        <v>66280</v>
      </c>
      <c r="G169" s="841">
        <f t="shared" si="17"/>
        <v>448</v>
      </c>
    </row>
    <row r="170" spans="1:7" ht="21.75" customHeight="1">
      <c r="A170" s="1612" t="s">
        <v>101</v>
      </c>
      <c r="B170" s="1612"/>
      <c r="C170" s="1612"/>
      <c r="D170" s="839" t="s">
        <v>186</v>
      </c>
      <c r="E170" s="923">
        <f t="shared" si="18"/>
        <v>262704</v>
      </c>
      <c r="F170" s="923">
        <f t="shared" si="19"/>
        <v>263178</v>
      </c>
      <c r="G170" s="841">
        <f t="shared" si="17"/>
        <v>474</v>
      </c>
    </row>
    <row r="171" spans="1:7" ht="24" customHeight="1">
      <c r="A171" s="1612" t="s">
        <v>102</v>
      </c>
      <c r="B171" s="1612"/>
      <c r="C171" s="1612"/>
      <c r="D171" s="839" t="s">
        <v>186</v>
      </c>
      <c r="E171" s="923">
        <f t="shared" si="18"/>
        <v>85321</v>
      </c>
      <c r="F171" s="923">
        <f t="shared" si="19"/>
        <v>85321</v>
      </c>
      <c r="G171" s="841">
        <f t="shared" si="17"/>
        <v>0</v>
      </c>
    </row>
    <row r="172" spans="1:7">
      <c r="A172" s="1612" t="s">
        <v>103</v>
      </c>
      <c r="B172" s="1612"/>
      <c r="C172" s="1612"/>
      <c r="D172" s="839" t="s">
        <v>186</v>
      </c>
      <c r="E172" s="923">
        <f t="shared" si="18"/>
        <v>86292</v>
      </c>
      <c r="F172" s="923">
        <f t="shared" si="19"/>
        <v>86501</v>
      </c>
      <c r="G172" s="841">
        <f t="shared" si="17"/>
        <v>209</v>
      </c>
    </row>
    <row r="173" spans="1:7">
      <c r="G173" s="1007">
        <f>SUM(G161:G172)</f>
        <v>2640</v>
      </c>
    </row>
    <row r="174" spans="1:7">
      <c r="A174" s="1612" t="s">
        <v>347</v>
      </c>
      <c r="B174" s="1612"/>
      <c r="C174" s="1612"/>
      <c r="D174" s="839" t="s">
        <v>186</v>
      </c>
      <c r="E174" s="970">
        <v>28212</v>
      </c>
      <c r="F174" s="970">
        <v>28215</v>
      </c>
      <c r="G174" s="841">
        <f t="shared" ref="G174:G177" si="20">F174-E174</f>
        <v>3</v>
      </c>
    </row>
    <row r="175" spans="1:7">
      <c r="A175" s="1613" t="s">
        <v>357</v>
      </c>
      <c r="B175" s="1614"/>
      <c r="C175" s="992"/>
      <c r="D175" s="839" t="s">
        <v>186</v>
      </c>
      <c r="E175" s="970">
        <v>18979</v>
      </c>
      <c r="F175" s="970">
        <v>18984</v>
      </c>
      <c r="G175" s="841">
        <f t="shared" si="20"/>
        <v>5</v>
      </c>
    </row>
    <row r="176" spans="1:7">
      <c r="A176" s="1613" t="s">
        <v>358</v>
      </c>
      <c r="B176" s="1614"/>
      <c r="D176" s="839" t="s">
        <v>186</v>
      </c>
      <c r="E176" s="1275">
        <v>27608</v>
      </c>
      <c r="F176" s="1275">
        <v>27612</v>
      </c>
      <c r="G176" s="841">
        <f t="shared" si="20"/>
        <v>4</v>
      </c>
    </row>
    <row r="177" spans="1:10" ht="18.75" customHeight="1">
      <c r="A177" s="1613" t="s">
        <v>357</v>
      </c>
      <c r="B177" s="1614"/>
      <c r="D177" s="839" t="s">
        <v>186</v>
      </c>
      <c r="E177" s="970">
        <v>70253</v>
      </c>
      <c r="F177" s="970">
        <v>70278</v>
      </c>
      <c r="G177" s="841">
        <f t="shared" si="20"/>
        <v>25</v>
      </c>
      <c r="J177" s="1008"/>
    </row>
    <row r="178" spans="1:10">
      <c r="F178" s="1497"/>
    </row>
    <row r="179" spans="1:10">
      <c r="F179" s="1497"/>
    </row>
  </sheetData>
  <mergeCells count="78">
    <mergeCell ref="A174:C174"/>
    <mergeCell ref="A176:B176"/>
    <mergeCell ref="A177:B177"/>
    <mergeCell ref="A172:C172"/>
    <mergeCell ref="A167:C167"/>
    <mergeCell ref="A168:C168"/>
    <mergeCell ref="A169:C169"/>
    <mergeCell ref="A170:C170"/>
    <mergeCell ref="A171:C171"/>
    <mergeCell ref="A175:B175"/>
    <mergeCell ref="A119:B119"/>
    <mergeCell ref="A120:B120"/>
    <mergeCell ref="A121:B121"/>
    <mergeCell ref="A122:B122"/>
    <mergeCell ref="A114:B114"/>
    <mergeCell ref="A115:B115"/>
    <mergeCell ref="A116:B116"/>
    <mergeCell ref="A117:B117"/>
    <mergeCell ref="A118:B118"/>
    <mergeCell ref="A109:B109"/>
    <mergeCell ref="A110:B110"/>
    <mergeCell ref="A111:B111"/>
    <mergeCell ref="A112:B112"/>
    <mergeCell ref="A113:B113"/>
    <mergeCell ref="A104:B104"/>
    <mergeCell ref="A105:B105"/>
    <mergeCell ref="A106:B106"/>
    <mergeCell ref="A107:C107"/>
    <mergeCell ref="A108:B108"/>
    <mergeCell ref="A102:C102"/>
    <mergeCell ref="A123:C123"/>
    <mergeCell ref="A142:B142"/>
    <mergeCell ref="A153:C153"/>
    <mergeCell ref="A154:C154"/>
    <mergeCell ref="A126:C126"/>
    <mergeCell ref="A150:C150"/>
    <mergeCell ref="A151:C151"/>
    <mergeCell ref="A152:C152"/>
    <mergeCell ref="A145:C145"/>
    <mergeCell ref="A146:C146"/>
    <mergeCell ref="A147:C147"/>
    <mergeCell ref="A148:C148"/>
    <mergeCell ref="A149:C149"/>
    <mergeCell ref="A143:C143"/>
    <mergeCell ref="A144:C144"/>
    <mergeCell ref="A79:C79"/>
    <mergeCell ref="A80:C80"/>
    <mergeCell ref="A81:C81"/>
    <mergeCell ref="A95:C95"/>
    <mergeCell ref="A96:C96"/>
    <mergeCell ref="A82:C82"/>
    <mergeCell ref="A83:C83"/>
    <mergeCell ref="A93:C93"/>
    <mergeCell ref="A94:C94"/>
    <mergeCell ref="A75:C75"/>
    <mergeCell ref="A71:J71"/>
    <mergeCell ref="A70:C70"/>
    <mergeCell ref="A76:C76"/>
    <mergeCell ref="A77:C77"/>
    <mergeCell ref="A68:C68"/>
    <mergeCell ref="A69:C69"/>
    <mergeCell ref="A72:C72"/>
    <mergeCell ref="A73:C73"/>
    <mergeCell ref="A74:C74"/>
    <mergeCell ref="A1:J1"/>
    <mergeCell ref="A6:C6"/>
    <mergeCell ref="A14:C14"/>
    <mergeCell ref="A17:C17"/>
    <mergeCell ref="E3:F3"/>
    <mergeCell ref="A64:C64"/>
    <mergeCell ref="A65:C65"/>
    <mergeCell ref="A66:C66"/>
    <mergeCell ref="A67:C67"/>
    <mergeCell ref="A18:C18"/>
    <mergeCell ref="A19:C19"/>
    <mergeCell ref="A21:C21"/>
    <mergeCell ref="A33:J33"/>
    <mergeCell ref="A25:C25"/>
  </mergeCells>
  <pageMargins left="0.22" right="0.17" top="0.14000000000000001" bottom="0.2" header="0.2" footer="0.2"/>
  <pageSetup paperSize="5" scale="27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>
  <sheetPr>
    <tabColor rgb="FF00B050"/>
    <pageSetUpPr fitToPage="1"/>
  </sheetPr>
  <dimension ref="A1:O177"/>
  <sheetViews>
    <sheetView view="pageBreakPreview" topLeftCell="A166" zoomScale="55" zoomScaleSheetLayoutView="55" workbookViewId="0">
      <selection activeCell="G177" sqref="G177"/>
    </sheetView>
  </sheetViews>
  <sheetFormatPr defaultColWidth="22.33203125" defaultRowHeight="29.25"/>
  <cols>
    <col min="1" max="1" width="51.21875" style="454" customWidth="1"/>
    <col min="2" max="2" width="24.88671875" style="457" customWidth="1"/>
    <col min="3" max="3" width="15.88671875" style="457" customWidth="1"/>
    <col min="4" max="4" width="13.6640625" style="537" customWidth="1"/>
    <col min="5" max="5" width="30" style="537" customWidth="1"/>
    <col min="6" max="6" width="30" style="664" customWidth="1"/>
    <col min="7" max="7" width="28.88671875" style="537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2" width="0" style="376" hidden="1" customWidth="1"/>
    <col min="13" max="13" width="4.44140625" style="376" customWidth="1"/>
    <col min="14" max="14" width="25.5546875" style="376" customWidth="1"/>
    <col min="15" max="16384" width="22.33203125" style="376"/>
  </cols>
  <sheetData>
    <row r="1" spans="1:14" ht="33.75">
      <c r="A1" s="1549" t="s">
        <v>116</v>
      </c>
      <c r="B1" s="1550"/>
      <c r="C1" s="1550"/>
      <c r="D1" s="1550"/>
      <c r="E1" s="1550"/>
      <c r="F1" s="1550"/>
      <c r="G1" s="1550"/>
      <c r="H1" s="1550"/>
      <c r="I1" s="1550"/>
      <c r="J1" s="1551"/>
    </row>
    <row r="2" spans="1:14" s="281" customFormat="1" ht="27">
      <c r="A2" s="575" t="s">
        <v>353</v>
      </c>
      <c r="B2" s="1113">
        <v>44009</v>
      </c>
      <c r="C2" s="1143" t="s">
        <v>68</v>
      </c>
      <c r="D2" s="611">
        <v>0.67</v>
      </c>
      <c r="E2" s="461"/>
      <c r="F2" s="461"/>
      <c r="G2" s="461" t="s">
        <v>117</v>
      </c>
      <c r="H2" s="461" t="s">
        <v>6</v>
      </c>
      <c r="I2" s="461" t="s">
        <v>8</v>
      </c>
      <c r="J2" s="613" t="s">
        <v>118</v>
      </c>
    </row>
    <row r="3" spans="1:14" s="281" customFormat="1" ht="27">
      <c r="A3" s="570"/>
      <c r="B3" s="614"/>
      <c r="C3" s="1143" t="s">
        <v>119</v>
      </c>
      <c r="D3" s="612">
        <v>29</v>
      </c>
      <c r="E3" s="1558" t="s">
        <v>120</v>
      </c>
      <c r="F3" s="1559"/>
      <c r="G3" s="462"/>
      <c r="H3" s="463"/>
      <c r="I3" s="463"/>
      <c r="J3" s="615"/>
      <c r="K3" s="371"/>
      <c r="L3" s="292"/>
    </row>
    <row r="4" spans="1:14" s="281" customFormat="1" ht="27">
      <c r="A4" s="576"/>
      <c r="B4" s="616"/>
      <c r="C4" s="1143" t="s">
        <v>121</v>
      </c>
      <c r="D4" s="611">
        <v>0.79</v>
      </c>
      <c r="E4" s="464"/>
      <c r="F4" s="464"/>
      <c r="G4" s="464"/>
      <c r="H4" s="464"/>
      <c r="I4" s="465"/>
      <c r="J4" s="615"/>
      <c r="K4" s="372"/>
      <c r="L4" s="292"/>
    </row>
    <row r="5" spans="1:14">
      <c r="A5" s="577" t="s">
        <v>122</v>
      </c>
      <c r="B5" s="459"/>
      <c r="C5" s="459"/>
      <c r="D5" s="511" t="s">
        <v>123</v>
      </c>
      <c r="E5" s="467" t="s">
        <v>124</v>
      </c>
      <c r="F5" s="467" t="s">
        <v>111</v>
      </c>
      <c r="G5" s="468" t="s">
        <v>125</v>
      </c>
      <c r="H5" s="469" t="s">
        <v>126</v>
      </c>
      <c r="I5" s="470" t="s">
        <v>127</v>
      </c>
      <c r="J5" s="550" t="s">
        <v>128</v>
      </c>
      <c r="K5" s="426"/>
      <c r="L5" s="377"/>
    </row>
    <row r="6" spans="1:14">
      <c r="A6" s="1552" t="s">
        <v>129</v>
      </c>
      <c r="B6" s="1553"/>
      <c r="C6" s="1554"/>
      <c r="D6" s="471"/>
      <c r="E6" s="471"/>
      <c r="F6" s="471"/>
      <c r="G6" s="471"/>
      <c r="H6" s="472"/>
      <c r="I6" s="472"/>
      <c r="J6" s="551"/>
      <c r="K6" s="427"/>
      <c r="L6" s="377"/>
    </row>
    <row r="7" spans="1:14" ht="30" thickBot="1">
      <c r="A7" s="677" t="s">
        <v>130</v>
      </c>
      <c r="B7" s="678"/>
      <c r="C7" s="678"/>
      <c r="D7" s="638" t="s">
        <v>131</v>
      </c>
      <c r="E7" s="633">
        <f>'26'!F7</f>
        <v>840512</v>
      </c>
      <c r="F7" s="455">
        <v>862402</v>
      </c>
      <c r="G7" s="679">
        <f>F7-E7</f>
        <v>21890</v>
      </c>
      <c r="H7" s="680">
        <f>G7+'26'!H7</f>
        <v>517990</v>
      </c>
      <c r="I7" s="681">
        <f>'1'!I7</f>
        <v>12000</v>
      </c>
      <c r="J7" s="682">
        <f>H7/DAY(B2)</f>
        <v>19184.814814814814</v>
      </c>
      <c r="K7" s="549"/>
      <c r="L7" s="377">
        <v>1375467</v>
      </c>
      <c r="M7" s="376">
        <v>1691553</v>
      </c>
      <c r="N7" s="382">
        <f>M7-L7</f>
        <v>316086</v>
      </c>
    </row>
    <row r="8" spans="1:14" ht="27.75" thickBot="1">
      <c r="A8" s="683" t="s">
        <v>132</v>
      </c>
      <c r="B8" s="684"/>
      <c r="C8" s="685"/>
      <c r="D8" s="686" t="s">
        <v>25</v>
      </c>
      <c r="E8" s="633">
        <f>'26'!F8</f>
        <v>844841</v>
      </c>
      <c r="F8" s="455">
        <v>866842</v>
      </c>
      <c r="G8" s="690">
        <f>F8-E8</f>
        <v>22001</v>
      </c>
      <c r="H8" s="680">
        <f>G8+'26'!H8</f>
        <v>520332</v>
      </c>
      <c r="I8" s="687">
        <f>'1'!I8</f>
        <v>12000</v>
      </c>
      <c r="J8" s="682">
        <f>H8/DAY(B2)</f>
        <v>19271.555555555555</v>
      </c>
      <c r="K8" s="549"/>
      <c r="L8" s="425"/>
      <c r="M8" s="440"/>
      <c r="N8" s="704"/>
    </row>
    <row r="9" spans="1:14">
      <c r="A9" s="688" t="s">
        <v>133</v>
      </c>
      <c r="B9" s="689"/>
      <c r="C9" s="689"/>
      <c r="D9" s="638" t="s">
        <v>131</v>
      </c>
      <c r="E9" s="635">
        <f>'26'!F9</f>
        <v>1954030</v>
      </c>
      <c r="F9" s="478">
        <v>1975218</v>
      </c>
      <c r="G9" s="703">
        <f t="shared" ref="G9:G12" si="0">F9-E9</f>
        <v>21188</v>
      </c>
      <c r="H9" s="680">
        <f>G9+'26'!H9</f>
        <v>501528</v>
      </c>
      <c r="I9" s="691">
        <f>I8-J8</f>
        <v>-7271.5555555555547</v>
      </c>
      <c r="J9" s="682">
        <f>H9/DAY(B2)</f>
        <v>18575.111111111109</v>
      </c>
      <c r="K9" s="428"/>
      <c r="L9" s="377"/>
      <c r="N9" s="382"/>
    </row>
    <row r="10" spans="1:14">
      <c r="A10" s="677" t="s">
        <v>134</v>
      </c>
      <c r="B10" s="678"/>
      <c r="C10" s="678"/>
      <c r="D10" s="638" t="s">
        <v>131</v>
      </c>
      <c r="E10" s="635">
        <f>'26'!F10</f>
        <v>0</v>
      </c>
      <c r="F10" s="478">
        <v>0</v>
      </c>
      <c r="G10" s="690">
        <f t="shared" si="0"/>
        <v>0</v>
      </c>
      <c r="H10" s="680">
        <f>G10+'26'!H10</f>
        <v>0.71999999999979991</v>
      </c>
      <c r="I10" s="692"/>
      <c r="J10" s="682">
        <f>H10/DAY(B2)</f>
        <v>2.6666666666659258E-2</v>
      </c>
      <c r="K10" s="428"/>
      <c r="L10" s="377"/>
      <c r="N10" s="382"/>
    </row>
    <row r="11" spans="1:14">
      <c r="A11" s="677" t="s">
        <v>135</v>
      </c>
      <c r="B11" s="678"/>
      <c r="C11" s="678"/>
      <c r="D11" s="638" t="s">
        <v>131</v>
      </c>
      <c r="E11" s="633">
        <f>'5'!E11</f>
        <v>37000</v>
      </c>
      <c r="F11" s="455">
        <v>37000</v>
      </c>
      <c r="G11" s="690">
        <f t="shared" si="0"/>
        <v>0</v>
      </c>
      <c r="H11" s="680">
        <f>G11+'26'!H11</f>
        <v>0</v>
      </c>
      <c r="I11" s="692"/>
      <c r="J11" s="682">
        <f>H11/DAY(B2)</f>
        <v>0</v>
      </c>
      <c r="K11" s="428"/>
      <c r="L11" s="377"/>
      <c r="N11" s="382"/>
    </row>
    <row r="12" spans="1:14">
      <c r="A12" s="677" t="s">
        <v>136</v>
      </c>
      <c r="B12" s="678"/>
      <c r="C12" s="678"/>
      <c r="D12" s="638" t="s">
        <v>131</v>
      </c>
      <c r="E12" s="635">
        <f>'5'!E12</f>
        <v>40010</v>
      </c>
      <c r="F12" s="478">
        <v>40010</v>
      </c>
      <c r="G12" s="690">
        <f t="shared" si="0"/>
        <v>0</v>
      </c>
      <c r="H12" s="680">
        <f>G12+'26'!H12</f>
        <v>0</v>
      </c>
      <c r="I12" s="692"/>
      <c r="J12" s="682">
        <f>H12/DAY(B2)</f>
        <v>0</v>
      </c>
      <c r="K12" s="428"/>
      <c r="L12" s="377"/>
      <c r="N12" s="382"/>
    </row>
    <row r="13" spans="1:14">
      <c r="A13" s="693" t="s">
        <v>137</v>
      </c>
      <c r="B13" s="694"/>
      <c r="C13" s="694"/>
      <c r="D13" s="638"/>
      <c r="E13" s="633"/>
      <c r="F13" s="455"/>
      <c r="G13" s="695">
        <f>G9+G10+G11+G12</f>
        <v>21188</v>
      </c>
      <c r="H13" s="680">
        <f>G13+'26'!H13</f>
        <v>485003.72</v>
      </c>
      <c r="I13" s="696">
        <f>G7-G13</f>
        <v>702</v>
      </c>
      <c r="J13" s="682">
        <f>H13/DAY(B2)</f>
        <v>17963.100740740741</v>
      </c>
      <c r="K13" s="428"/>
      <c r="L13" s="377"/>
      <c r="N13" s="382"/>
    </row>
    <row r="14" spans="1:14">
      <c r="A14" s="1555" t="s">
        <v>138</v>
      </c>
      <c r="B14" s="1556"/>
      <c r="C14" s="1557"/>
      <c r="D14" s="472"/>
      <c r="E14" s="472"/>
      <c r="F14" s="472"/>
      <c r="G14" s="483"/>
      <c r="H14" s="472"/>
      <c r="I14" s="472"/>
      <c r="J14" s="551"/>
      <c r="K14" s="429"/>
      <c r="L14" s="377"/>
      <c r="N14" s="382"/>
    </row>
    <row r="15" spans="1:14">
      <c r="A15" s="666" t="s">
        <v>139</v>
      </c>
      <c r="B15" s="667"/>
      <c r="C15" s="667"/>
      <c r="D15" s="668" t="s">
        <v>140</v>
      </c>
      <c r="E15" s="669">
        <f>'26'!F15</f>
        <v>1700889</v>
      </c>
      <c r="F15" s="626">
        <v>1701693</v>
      </c>
      <c r="G15" s="665">
        <f>(F15-E15)</f>
        <v>804</v>
      </c>
      <c r="H15" s="671">
        <f>G15+'26'!H15</f>
        <v>17169</v>
      </c>
      <c r="I15" s="672">
        <v>800</v>
      </c>
      <c r="J15" s="1284">
        <f>H15/DAY(B2)</f>
        <v>635.88888888888891</v>
      </c>
      <c r="K15" s="428"/>
      <c r="L15" s="377"/>
      <c r="N15" s="382"/>
    </row>
    <row r="16" spans="1:14">
      <c r="A16" s="674"/>
      <c r="B16" s="675"/>
      <c r="C16" s="675"/>
      <c r="D16" s="668"/>
      <c r="E16" s="669"/>
      <c r="F16" s="701"/>
      <c r="G16" s="670"/>
      <c r="H16" s="671"/>
      <c r="I16" s="676">
        <f>I15-J15</f>
        <v>164.11111111111109</v>
      </c>
      <c r="J16" s="673"/>
      <c r="K16" s="428"/>
      <c r="L16" s="377"/>
      <c r="N16" s="382"/>
    </row>
    <row r="17" spans="1:14">
      <c r="A17" s="1555" t="s">
        <v>141</v>
      </c>
      <c r="B17" s="1556"/>
      <c r="C17" s="1557"/>
      <c r="D17" s="472"/>
      <c r="E17" s="472"/>
      <c r="F17" s="472"/>
      <c r="G17" s="488"/>
      <c r="H17" s="472"/>
      <c r="I17" s="472"/>
      <c r="J17" s="551"/>
      <c r="K17" s="428"/>
      <c r="L17" s="377"/>
      <c r="N17" s="382"/>
    </row>
    <row r="18" spans="1:14" ht="27.75">
      <c r="A18" s="1590" t="s">
        <v>142</v>
      </c>
      <c r="B18" s="1591"/>
      <c r="C18" s="1592"/>
      <c r="D18" s="638" t="s">
        <v>143</v>
      </c>
      <c r="E18" s="635">
        <f>'26'!F18</f>
        <v>15</v>
      </c>
      <c r="F18" s="478">
        <v>18</v>
      </c>
      <c r="G18" s="695">
        <f>F18*10</f>
        <v>180</v>
      </c>
      <c r="H18" s="680">
        <f>G18+'26'!H18</f>
        <v>2270</v>
      </c>
      <c r="I18" s="681">
        <f>'1'!I18</f>
        <v>65</v>
      </c>
      <c r="J18" s="682">
        <f>H18/DAY(B2)</f>
        <v>84.074074074074076</v>
      </c>
      <c r="K18" s="428"/>
      <c r="L18" s="377"/>
      <c r="N18" s="382"/>
    </row>
    <row r="19" spans="1:14" ht="27.75">
      <c r="A19" s="1590" t="s">
        <v>70</v>
      </c>
      <c r="B19" s="1591"/>
      <c r="C19" s="1592"/>
      <c r="D19" s="638" t="s">
        <v>143</v>
      </c>
      <c r="E19" s="635">
        <f>'26'!F19</f>
        <v>141243</v>
      </c>
      <c r="F19" s="478">
        <v>141304</v>
      </c>
      <c r="G19" s="690">
        <f t="shared" ref="G19" si="1">F19-E19</f>
        <v>61</v>
      </c>
      <c r="H19" s="680">
        <f>G19+'26'!H19</f>
        <v>1692</v>
      </c>
      <c r="I19" s="697"/>
      <c r="J19" s="682">
        <f>H19/DAY(B2)</f>
        <v>62.666666666666664</v>
      </c>
      <c r="K19" s="428"/>
      <c r="L19" s="377"/>
      <c r="N19" s="382"/>
    </row>
    <row r="20" spans="1:14">
      <c r="A20" s="693" t="s">
        <v>144</v>
      </c>
      <c r="B20" s="694"/>
      <c r="C20" s="694"/>
      <c r="D20" s="638"/>
      <c r="E20" s="638"/>
      <c r="F20" s="523"/>
      <c r="G20" s="698">
        <f>G18+G19</f>
        <v>241</v>
      </c>
      <c r="H20" s="680">
        <f>G20+'26'!H20</f>
        <v>3962</v>
      </c>
      <c r="I20" s="699">
        <f>I18-J20</f>
        <v>-81.740740740740733</v>
      </c>
      <c r="J20" s="682">
        <f>H20/DAY(B2)</f>
        <v>146.74074074074073</v>
      </c>
      <c r="K20" s="428"/>
      <c r="L20" s="377"/>
      <c r="N20" s="382"/>
    </row>
    <row r="21" spans="1:14">
      <c r="A21" s="1555" t="s">
        <v>145</v>
      </c>
      <c r="B21" s="1556"/>
      <c r="C21" s="1557"/>
      <c r="D21" s="472"/>
      <c r="E21" s="472"/>
      <c r="F21" s="472"/>
      <c r="G21" s="483"/>
      <c r="H21" s="472"/>
      <c r="I21" s="472"/>
      <c r="J21" s="551"/>
      <c r="K21" s="428"/>
      <c r="L21" s="377"/>
      <c r="N21" s="382"/>
    </row>
    <row r="22" spans="1:14">
      <c r="A22" s="1141" t="s">
        <v>146</v>
      </c>
      <c r="B22" s="589"/>
      <c r="C22" s="589"/>
      <c r="D22" s="523" t="s">
        <v>147</v>
      </c>
      <c r="E22" s="484">
        <f>'26'!F22</f>
        <v>2970</v>
      </c>
      <c r="F22" s="478">
        <v>2970</v>
      </c>
      <c r="G22" s="481">
        <f t="shared" ref="G22" si="2">(F22-E22)</f>
        <v>0</v>
      </c>
      <c r="H22" s="460">
        <f>G22+'26'!H22</f>
        <v>0</v>
      </c>
      <c r="I22" s="480"/>
      <c r="J22" s="552">
        <f>H22/DAY(B2)</f>
        <v>0</v>
      </c>
      <c r="K22" s="428"/>
      <c r="L22" s="377"/>
      <c r="N22" s="382"/>
    </row>
    <row r="23" spans="1:14">
      <c r="A23" s="1141" t="s">
        <v>148</v>
      </c>
      <c r="B23" s="589"/>
      <c r="C23" s="589"/>
      <c r="D23" s="523" t="s">
        <v>147</v>
      </c>
      <c r="E23" s="484">
        <f>'26'!F23</f>
        <v>2000</v>
      </c>
      <c r="F23" s="478">
        <v>2000</v>
      </c>
      <c r="G23" s="481">
        <v>0</v>
      </c>
      <c r="H23" s="460">
        <f>G23+'26'!H23</f>
        <v>0</v>
      </c>
      <c r="I23" s="480"/>
      <c r="J23" s="552">
        <f>H23/DAY(B2)</f>
        <v>0</v>
      </c>
      <c r="K23" s="428"/>
      <c r="L23" s="377"/>
      <c r="N23" s="382"/>
    </row>
    <row r="24" spans="1:14">
      <c r="A24" s="590" t="s">
        <v>149</v>
      </c>
      <c r="B24" s="591"/>
      <c r="C24" s="591"/>
      <c r="D24" s="511" t="s">
        <v>147</v>
      </c>
      <c r="E24" s="485">
        <f>SUM(E22:E23)</f>
        <v>4970</v>
      </c>
      <c r="F24" s="485">
        <f>SUM(F22:F23)</f>
        <v>4970</v>
      </c>
      <c r="G24" s="481">
        <v>0</v>
      </c>
      <c r="H24" s="460">
        <f>G24+'26'!H24</f>
        <v>0</v>
      </c>
      <c r="I24" s="480"/>
      <c r="J24" s="552">
        <f>H24/DAY(B2)</f>
        <v>0</v>
      </c>
      <c r="K24" s="428"/>
      <c r="L24" s="377"/>
      <c r="N24" s="382"/>
    </row>
    <row r="25" spans="1:14" s="442" customFormat="1" ht="27">
      <c r="A25" s="1560" t="s">
        <v>150</v>
      </c>
      <c r="B25" s="1561"/>
      <c r="C25" s="1562"/>
      <c r="D25" s="471"/>
      <c r="E25" s="471"/>
      <c r="F25" s="471"/>
      <c r="G25" s="494"/>
      <c r="H25" s="495"/>
      <c r="I25" s="496"/>
      <c r="J25" s="554"/>
      <c r="K25" s="373"/>
      <c r="L25" s="443"/>
      <c r="N25" s="382"/>
    </row>
    <row r="26" spans="1:14" s="442" customFormat="1" ht="27.75">
      <c r="A26" s="592" t="s">
        <v>151</v>
      </c>
      <c r="B26" s="593"/>
      <c r="C26" s="594"/>
      <c r="D26" s="618" t="s">
        <v>152</v>
      </c>
      <c r="E26" s="497"/>
      <c r="F26" s="455"/>
      <c r="G26" s="498"/>
      <c r="H26" s="460"/>
      <c r="I26" s="499"/>
      <c r="J26" s="552"/>
      <c r="K26" s="374"/>
      <c r="L26" s="443"/>
      <c r="N26" s="382"/>
    </row>
    <row r="27" spans="1:14" s="442" customFormat="1" ht="27.75">
      <c r="A27" s="592" t="s">
        <v>6</v>
      </c>
      <c r="B27" s="593"/>
      <c r="C27" s="594"/>
      <c r="D27" s="619" t="s">
        <v>25</v>
      </c>
      <c r="E27" s="700">
        <f>G8</f>
        <v>22001</v>
      </c>
      <c r="F27" s="501">
        <v>9</v>
      </c>
      <c r="G27" s="502">
        <f>E27*F27</f>
        <v>198009</v>
      </c>
      <c r="H27" s="460">
        <f>G27+'26'!H27</f>
        <v>4682151</v>
      </c>
      <c r="I27" s="503"/>
      <c r="J27" s="552">
        <f>H27/DAY(B2)</f>
        <v>173413</v>
      </c>
      <c r="K27" s="373"/>
      <c r="L27" s="443"/>
      <c r="N27" s="382"/>
    </row>
    <row r="28" spans="1:14" s="442" customFormat="1" ht="27.75">
      <c r="A28" s="592" t="s">
        <v>153</v>
      </c>
      <c r="B28" s="593"/>
      <c r="C28" s="594"/>
      <c r="D28" s="619" t="s">
        <v>154</v>
      </c>
      <c r="E28" s="700">
        <f>G15</f>
        <v>804</v>
      </c>
      <c r="F28" s="501">
        <v>52</v>
      </c>
      <c r="G28" s="502">
        <f>E28*F28</f>
        <v>41808</v>
      </c>
      <c r="H28" s="460">
        <f>G28+'26'!H28</f>
        <v>892788</v>
      </c>
      <c r="I28" s="505"/>
      <c r="J28" s="552">
        <f>H28/DAY(B2)</f>
        <v>33066.222222222219</v>
      </c>
      <c r="K28" s="373"/>
      <c r="L28" s="443"/>
      <c r="N28" s="382"/>
    </row>
    <row r="29" spans="1:14" s="442" customFormat="1" ht="27.75">
      <c r="A29" s="592" t="s">
        <v>155</v>
      </c>
      <c r="B29" s="593"/>
      <c r="C29" s="594"/>
      <c r="D29" s="619" t="s">
        <v>156</v>
      </c>
      <c r="E29" s="700">
        <f>G24</f>
        <v>0</v>
      </c>
      <c r="F29" s="501">
        <v>69</v>
      </c>
      <c r="G29" s="502">
        <f>E29*F29</f>
        <v>0</v>
      </c>
      <c r="H29" s="460">
        <f>G29+'26'!H29</f>
        <v>8280</v>
      </c>
      <c r="I29" s="505"/>
      <c r="J29" s="552">
        <f>H29/DAY(B2)</f>
        <v>306.66666666666669</v>
      </c>
      <c r="K29" s="373"/>
      <c r="L29" s="443"/>
      <c r="N29" s="382"/>
    </row>
    <row r="30" spans="1:14" s="442" customFormat="1" ht="27.75">
      <c r="A30" s="592" t="s">
        <v>157</v>
      </c>
      <c r="B30" s="593"/>
      <c r="C30" s="594"/>
      <c r="D30" s="619" t="s">
        <v>158</v>
      </c>
      <c r="E30" s="700">
        <f>G19</f>
        <v>61</v>
      </c>
      <c r="F30" s="501">
        <v>146</v>
      </c>
      <c r="G30" s="502">
        <f>E30*F30</f>
        <v>8906</v>
      </c>
      <c r="H30" s="460">
        <f>G30+'26'!H30</f>
        <v>247032</v>
      </c>
      <c r="I30" s="505"/>
      <c r="J30" s="552">
        <f>H30/DAY(B2)</f>
        <v>9149.3333333333339</v>
      </c>
      <c r="K30" s="373"/>
      <c r="L30" s="443"/>
      <c r="N30" s="382"/>
    </row>
    <row r="31" spans="1:14" s="442" customFormat="1" ht="27.75">
      <c r="A31" s="592" t="s">
        <v>159</v>
      </c>
      <c r="B31" s="593"/>
      <c r="C31" s="594"/>
      <c r="D31" s="619" t="s">
        <v>143</v>
      </c>
      <c r="E31" s="700">
        <f>G18</f>
        <v>180</v>
      </c>
      <c r="F31" s="501">
        <v>80</v>
      </c>
      <c r="G31" s="502">
        <f>E31*F31</f>
        <v>14400</v>
      </c>
      <c r="H31" s="460">
        <f>G31+'26'!H31</f>
        <v>181600</v>
      </c>
      <c r="I31" s="505"/>
      <c r="J31" s="552"/>
      <c r="K31" s="373"/>
      <c r="L31" s="443"/>
      <c r="N31" s="382"/>
    </row>
    <row r="32" spans="1:14" s="442" customFormat="1" ht="27.75">
      <c r="A32" s="595" t="s">
        <v>160</v>
      </c>
      <c r="B32" s="596"/>
      <c r="C32" s="597"/>
      <c r="D32" s="507"/>
      <c r="E32" s="507"/>
      <c r="F32" s="524"/>
      <c r="G32" s="508">
        <f>G27+G28+G29+G30+G31</f>
        <v>263123</v>
      </c>
      <c r="H32" s="460">
        <f>G32+'26'!H32</f>
        <v>6011851</v>
      </c>
      <c r="I32" s="509"/>
      <c r="J32" s="552">
        <f>H32/DAY(B2)</f>
        <v>222661.14814814815</v>
      </c>
      <c r="K32" s="373"/>
      <c r="L32" s="443"/>
      <c r="N32" s="382"/>
    </row>
    <row r="33" spans="1:14" ht="25.5">
      <c r="A33" s="1563" t="s">
        <v>161</v>
      </c>
      <c r="B33" s="1564"/>
      <c r="C33" s="1564"/>
      <c r="D33" s="1564"/>
      <c r="E33" s="1564"/>
      <c r="F33" s="1564"/>
      <c r="G33" s="1564"/>
      <c r="H33" s="1564"/>
      <c r="I33" s="1564"/>
      <c r="J33" s="1565"/>
      <c r="K33" s="428"/>
      <c r="L33" s="377"/>
      <c r="N33" s="382"/>
    </row>
    <row r="34" spans="1:14">
      <c r="A34" s="598" t="s">
        <v>162</v>
      </c>
      <c r="B34" s="1146"/>
      <c r="C34" s="1146"/>
      <c r="D34" s="472"/>
      <c r="E34" s="471"/>
      <c r="F34" s="471"/>
      <c r="G34" s="472"/>
      <c r="H34" s="472"/>
      <c r="I34" s="472"/>
      <c r="J34" s="551"/>
      <c r="K34" s="428"/>
      <c r="L34" s="377"/>
      <c r="N34" s="382"/>
    </row>
    <row r="35" spans="1:14">
      <c r="A35" s="578" t="s">
        <v>163</v>
      </c>
      <c r="B35" s="579"/>
      <c r="C35" s="579"/>
      <c r="D35" s="523" t="s">
        <v>131</v>
      </c>
      <c r="E35" s="510">
        <f>'26'!F35</f>
        <v>1017307</v>
      </c>
      <c r="F35" s="510">
        <v>1020369</v>
      </c>
      <c r="G35" s="473">
        <f t="shared" ref="G35:G46" si="3">F35-E35</f>
        <v>3062</v>
      </c>
      <c r="H35" s="460">
        <f>G35+'26'!H35</f>
        <v>69881</v>
      </c>
      <c r="I35" s="455"/>
      <c r="J35" s="552">
        <f>H35/DAY(B2)</f>
        <v>2588.1851851851852</v>
      </c>
      <c r="K35" s="428"/>
      <c r="L35" s="377"/>
      <c r="N35" s="382"/>
    </row>
    <row r="36" spans="1:14">
      <c r="A36" s="578" t="s">
        <v>164</v>
      </c>
      <c r="B36" s="579"/>
      <c r="C36" s="579"/>
      <c r="D36" s="523" t="s">
        <v>131</v>
      </c>
      <c r="E36" s="510">
        <f>'26'!F36</f>
        <v>18002</v>
      </c>
      <c r="F36" s="510">
        <v>18589</v>
      </c>
      <c r="G36" s="473">
        <f t="shared" si="3"/>
        <v>587</v>
      </c>
      <c r="H36" s="460">
        <f>G36+'26'!H36</f>
        <v>18416</v>
      </c>
      <c r="I36" s="455"/>
      <c r="J36" s="552">
        <f>H36/DAY(B2)</f>
        <v>682.07407407407402</v>
      </c>
      <c r="K36" s="428"/>
      <c r="L36" s="377"/>
      <c r="N36" s="628"/>
    </row>
    <row r="37" spans="1:14">
      <c r="A37" s="578" t="s">
        <v>165</v>
      </c>
      <c r="B37" s="579"/>
      <c r="C37" s="579"/>
      <c r="D37" s="523" t="s">
        <v>131</v>
      </c>
      <c r="E37" s="510">
        <f>'26'!F37</f>
        <v>170795</v>
      </c>
      <c r="F37" s="510">
        <v>172287</v>
      </c>
      <c r="G37" s="473">
        <f t="shared" si="3"/>
        <v>1492</v>
      </c>
      <c r="H37" s="460">
        <f>G37+'26'!H37</f>
        <v>38051</v>
      </c>
      <c r="I37" s="455"/>
      <c r="J37" s="552">
        <f>H37/DAY(B2)</f>
        <v>1409.2962962962963</v>
      </c>
      <c r="K37" s="428"/>
      <c r="L37" s="377"/>
      <c r="N37" s="629"/>
    </row>
    <row r="38" spans="1:14">
      <c r="A38" s="578" t="s">
        <v>166</v>
      </c>
      <c r="B38" s="579"/>
      <c r="C38" s="579"/>
      <c r="D38" s="523" t="s">
        <v>131</v>
      </c>
      <c r="E38" s="510">
        <f>'26'!F38</f>
        <v>192122</v>
      </c>
      <c r="F38" s="469">
        <v>193835</v>
      </c>
      <c r="G38" s="473">
        <f t="shared" si="3"/>
        <v>1713</v>
      </c>
      <c r="H38" s="460">
        <f>G38+'26'!H38</f>
        <v>37430</v>
      </c>
      <c r="I38" s="455"/>
      <c r="J38" s="552">
        <f>H38/DAY(B2)</f>
        <v>1386.2962962962963</v>
      </c>
      <c r="K38" s="428"/>
      <c r="L38" s="377"/>
      <c r="N38" s="382"/>
    </row>
    <row r="39" spans="1:14">
      <c r="A39" s="578" t="s">
        <v>167</v>
      </c>
      <c r="B39" s="579"/>
      <c r="C39" s="579"/>
      <c r="D39" s="523" t="s">
        <v>131</v>
      </c>
      <c r="E39" s="510">
        <f>'26'!F39</f>
        <v>390160</v>
      </c>
      <c r="F39" s="510">
        <v>393875</v>
      </c>
      <c r="G39" s="473">
        <f t="shared" si="3"/>
        <v>3715</v>
      </c>
      <c r="H39" s="460">
        <f>G39+'26'!H39</f>
        <v>85702</v>
      </c>
      <c r="I39" s="455"/>
      <c r="J39" s="552">
        <f>H39/DAY(B2)</f>
        <v>3174.1481481481483</v>
      </c>
      <c r="K39" s="428"/>
      <c r="L39" s="377"/>
      <c r="N39" s="382"/>
    </row>
    <row r="40" spans="1:14">
      <c r="A40" s="599" t="s">
        <v>168</v>
      </c>
      <c r="B40" s="600"/>
      <c r="C40" s="600"/>
      <c r="D40" s="523" t="s">
        <v>131</v>
      </c>
      <c r="E40" s="510">
        <f>'26'!F40</f>
        <v>5734</v>
      </c>
      <c r="F40" s="510">
        <v>6114</v>
      </c>
      <c r="G40" s="473">
        <f t="shared" si="3"/>
        <v>380</v>
      </c>
      <c r="H40" s="460">
        <f>G40+'26'!H40</f>
        <v>5225</v>
      </c>
      <c r="I40" s="455"/>
      <c r="J40" s="552">
        <f>H40/DAY(B2)</f>
        <v>193.5185185185185</v>
      </c>
      <c r="K40" s="429"/>
      <c r="L40" s="377"/>
      <c r="N40" s="382"/>
    </row>
    <row r="41" spans="1:14">
      <c r="A41" s="578" t="s">
        <v>169</v>
      </c>
      <c r="B41" s="579"/>
      <c r="C41" s="579"/>
      <c r="D41" s="523" t="s">
        <v>131</v>
      </c>
      <c r="E41" s="510">
        <f>'26'!F41</f>
        <v>313882</v>
      </c>
      <c r="F41" s="510">
        <v>318653</v>
      </c>
      <c r="G41" s="473">
        <f t="shared" si="3"/>
        <v>4771</v>
      </c>
      <c r="H41" s="460">
        <f>G41+'26'!H41</f>
        <v>78175</v>
      </c>
      <c r="I41" s="455"/>
      <c r="J41" s="552">
        <f>H41/DAY(B2)</f>
        <v>2895.3703703703704</v>
      </c>
      <c r="K41" s="428"/>
      <c r="L41" s="377"/>
      <c r="N41" s="382"/>
    </row>
    <row r="42" spans="1:14">
      <c r="A42" s="578" t="s">
        <v>170</v>
      </c>
      <c r="B42" s="579"/>
      <c r="C42" s="579"/>
      <c r="D42" s="523" t="s">
        <v>131</v>
      </c>
      <c r="E42" s="510">
        <f>'26'!F42</f>
        <v>59210</v>
      </c>
      <c r="F42" s="510">
        <v>59210</v>
      </c>
      <c r="G42" s="473">
        <f t="shared" si="3"/>
        <v>0</v>
      </c>
      <c r="H42" s="460">
        <f>G42+'26'!H42</f>
        <v>11.029999999998836</v>
      </c>
      <c r="I42" s="455"/>
      <c r="J42" s="552">
        <f>H42/DAY(B2)</f>
        <v>0.40851851851847543</v>
      </c>
      <c r="K42" s="428"/>
      <c r="L42" s="377"/>
      <c r="N42" s="382"/>
    </row>
    <row r="43" spans="1:14">
      <c r="A43" s="578" t="s">
        <v>171</v>
      </c>
      <c r="B43" s="579"/>
      <c r="C43" s="579"/>
      <c r="D43" s="523" t="s">
        <v>131</v>
      </c>
      <c r="E43" s="510">
        <f>'26'!F43</f>
        <v>1109510</v>
      </c>
      <c r="F43" s="510">
        <v>1112567</v>
      </c>
      <c r="G43" s="473">
        <f t="shared" si="3"/>
        <v>3057</v>
      </c>
      <c r="H43" s="460">
        <f>G43+'26'!H43</f>
        <v>70323</v>
      </c>
      <c r="I43" s="455"/>
      <c r="J43" s="552">
        <f>H43/DAY(B2)</f>
        <v>2604.5555555555557</v>
      </c>
      <c r="K43" s="428"/>
      <c r="L43" s="377"/>
      <c r="N43" s="382"/>
    </row>
    <row r="44" spans="1:14">
      <c r="A44" s="578" t="s">
        <v>172</v>
      </c>
      <c r="B44" s="579"/>
      <c r="C44" s="579"/>
      <c r="D44" s="523" t="s">
        <v>131</v>
      </c>
      <c r="E44" s="510">
        <f>'26'!F44</f>
        <v>0</v>
      </c>
      <c r="F44" s="510">
        <v>0</v>
      </c>
      <c r="G44" s="473">
        <f t="shared" si="3"/>
        <v>0</v>
      </c>
      <c r="H44" s="460">
        <f>G44+'26'!H44</f>
        <v>0</v>
      </c>
      <c r="I44" s="455"/>
      <c r="J44" s="552">
        <f>H44/DAY(B2)</f>
        <v>0</v>
      </c>
      <c r="K44" s="428"/>
      <c r="L44" s="377"/>
      <c r="N44" s="382"/>
    </row>
    <row r="45" spans="1:14">
      <c r="A45" s="578" t="s">
        <v>173</v>
      </c>
      <c r="B45" s="579"/>
      <c r="C45" s="579"/>
      <c r="D45" s="523" t="s">
        <v>131</v>
      </c>
      <c r="E45" s="510">
        <f>'26'!F45</f>
        <v>0</v>
      </c>
      <c r="F45" s="510">
        <v>0</v>
      </c>
      <c r="G45" s="473">
        <f t="shared" si="3"/>
        <v>0</v>
      </c>
      <c r="H45" s="460">
        <f>G45+'26'!H45</f>
        <v>0</v>
      </c>
      <c r="I45" s="455"/>
      <c r="J45" s="552">
        <f>H45/DAY(B2)</f>
        <v>0</v>
      </c>
      <c r="K45" s="428"/>
      <c r="L45" s="377"/>
      <c r="N45" s="382"/>
    </row>
    <row r="46" spans="1:14">
      <c r="A46" s="578" t="s">
        <v>174</v>
      </c>
      <c r="B46" s="579"/>
      <c r="C46" s="579"/>
      <c r="D46" s="523" t="s">
        <v>131</v>
      </c>
      <c r="E46" s="510">
        <f>'26'!F46</f>
        <v>0</v>
      </c>
      <c r="F46" s="510">
        <v>0</v>
      </c>
      <c r="G46" s="473">
        <f t="shared" si="3"/>
        <v>0</v>
      </c>
      <c r="H46" s="460">
        <f>G46+'26'!H46</f>
        <v>-5.0000000000011369E-2</v>
      </c>
      <c r="I46" s="455"/>
      <c r="J46" s="552">
        <f>H46/DAY(B2)</f>
        <v>-1.8518518518522728E-3</v>
      </c>
      <c r="K46" s="428"/>
      <c r="L46" s="377"/>
      <c r="N46" s="382"/>
    </row>
    <row r="47" spans="1:14">
      <c r="A47" s="585" t="s">
        <v>175</v>
      </c>
      <c r="B47" s="586"/>
      <c r="C47" s="586"/>
      <c r="D47" s="470"/>
      <c r="E47" s="511"/>
      <c r="F47" s="511"/>
      <c r="G47" s="481">
        <f>G35+G36+G37+G38+G39+G40+G41+G42+G43+G44+G45+G46</f>
        <v>18777</v>
      </c>
      <c r="H47" s="460">
        <f>G47+'26'!H47</f>
        <v>403214.47</v>
      </c>
      <c r="I47" s="455"/>
      <c r="J47" s="552">
        <f>H47/DAY(B2)</f>
        <v>14933.869259259258</v>
      </c>
      <c r="K47" s="428"/>
      <c r="L47" s="377"/>
      <c r="N47" s="382"/>
    </row>
    <row r="48" spans="1:14">
      <c r="A48" s="598" t="s">
        <v>176</v>
      </c>
      <c r="B48" s="1146"/>
      <c r="C48" s="1146"/>
      <c r="D48" s="472"/>
      <c r="E48" s="471"/>
      <c r="F48" s="471"/>
      <c r="G48" s="472"/>
      <c r="H48" s="472"/>
      <c r="I48" s="472"/>
      <c r="J48" s="551"/>
      <c r="K48" s="428"/>
      <c r="L48" s="377"/>
      <c r="N48" s="382"/>
    </row>
    <row r="49" spans="1:14">
      <c r="A49" s="578" t="s">
        <v>163</v>
      </c>
      <c r="B49" s="601"/>
      <c r="C49" s="601"/>
      <c r="D49" s="523" t="s">
        <v>131</v>
      </c>
      <c r="E49" s="510">
        <f>'26'!F49</f>
        <v>260732</v>
      </c>
      <c r="F49" s="510">
        <v>260732.13</v>
      </c>
      <c r="G49" s="473">
        <f t="shared" ref="G49:G58" si="4">F49-E49</f>
        <v>0.13000000000465661</v>
      </c>
      <c r="H49" s="460">
        <f>G49+'26'!H49</f>
        <v>0.13000000000465661</v>
      </c>
      <c r="I49" s="455"/>
      <c r="J49" s="552">
        <f>H49/DAY(B2)</f>
        <v>4.8148148149872822E-3</v>
      </c>
      <c r="K49" s="428"/>
      <c r="L49" s="377"/>
      <c r="N49" s="382"/>
    </row>
    <row r="50" spans="1:14">
      <c r="A50" s="578" t="s">
        <v>177</v>
      </c>
      <c r="B50" s="601"/>
      <c r="C50" s="601"/>
      <c r="D50" s="523" t="s">
        <v>131</v>
      </c>
      <c r="E50" s="510">
        <f>'26'!F50</f>
        <v>530470</v>
      </c>
      <c r="F50" s="510">
        <v>531769</v>
      </c>
      <c r="G50" s="473">
        <f t="shared" si="4"/>
        <v>1299</v>
      </c>
      <c r="H50" s="460">
        <f>G50+'26'!H50</f>
        <v>28343</v>
      </c>
      <c r="I50" s="455"/>
      <c r="J50" s="552">
        <f>H50/DAY(B2)</f>
        <v>1049.7407407407406</v>
      </c>
      <c r="K50" s="428"/>
      <c r="L50" s="377"/>
      <c r="N50" s="382"/>
    </row>
    <row r="51" spans="1:14">
      <c r="A51" s="578" t="s">
        <v>165</v>
      </c>
      <c r="B51" s="601"/>
      <c r="C51" s="601"/>
      <c r="D51" s="523" t="s">
        <v>131</v>
      </c>
      <c r="E51" s="510">
        <f>'26'!F51</f>
        <v>144639.87</v>
      </c>
      <c r="F51" s="510">
        <v>144640</v>
      </c>
      <c r="G51" s="473">
        <f t="shared" si="4"/>
        <v>0.13000000000465661</v>
      </c>
      <c r="H51" s="460">
        <f>G51+'26'!H51</f>
        <v>0</v>
      </c>
      <c r="I51" s="455"/>
      <c r="J51" s="552">
        <f>H51/DAY(B2)</f>
        <v>0</v>
      </c>
      <c r="K51" s="428"/>
      <c r="L51" s="377"/>
      <c r="N51" s="382"/>
    </row>
    <row r="52" spans="1:14">
      <c r="A52" s="578" t="s">
        <v>178</v>
      </c>
      <c r="B52" s="601"/>
      <c r="C52" s="601"/>
      <c r="D52" s="523" t="s">
        <v>131</v>
      </c>
      <c r="E52" s="510">
        <f>'26'!F52</f>
        <v>539606.06999999995</v>
      </c>
      <c r="F52" s="510">
        <v>539606</v>
      </c>
      <c r="G52" s="473">
        <f t="shared" si="4"/>
        <v>-6.9999999948777258E-2</v>
      </c>
      <c r="H52" s="460">
        <f>G52+'26'!H52</f>
        <v>-6.9999999948777258E-2</v>
      </c>
      <c r="I52" s="455"/>
      <c r="J52" s="552">
        <f>H52/DAY(B2)</f>
        <v>-2.5925925906954538E-3</v>
      </c>
      <c r="K52" s="428"/>
      <c r="L52" s="377"/>
      <c r="N52" s="382"/>
    </row>
    <row r="53" spans="1:14">
      <c r="A53" s="578" t="s">
        <v>167</v>
      </c>
      <c r="B53" s="601"/>
      <c r="C53" s="601"/>
      <c r="D53" s="523" t="s">
        <v>131</v>
      </c>
      <c r="E53" s="510">
        <f>'26'!F53</f>
        <v>434232</v>
      </c>
      <c r="F53" s="510">
        <v>434232</v>
      </c>
      <c r="G53" s="473">
        <f t="shared" si="4"/>
        <v>0</v>
      </c>
      <c r="H53" s="460">
        <f>G53+'26'!H53</f>
        <v>1663.6699999999837</v>
      </c>
      <c r="I53" s="455"/>
      <c r="J53" s="552">
        <f>H53/DAY(B2)</f>
        <v>61.617407407406802</v>
      </c>
      <c r="K53" s="428"/>
      <c r="L53" s="377"/>
      <c r="N53" s="382"/>
    </row>
    <row r="54" spans="1:14">
      <c r="A54" s="578" t="s">
        <v>179</v>
      </c>
      <c r="B54" s="601"/>
      <c r="C54" s="601"/>
      <c r="D54" s="523" t="s">
        <v>131</v>
      </c>
      <c r="E54" s="510">
        <f>'26'!F54</f>
        <v>14967</v>
      </c>
      <c r="F54" s="510">
        <v>14967</v>
      </c>
      <c r="G54" s="473">
        <f t="shared" si="4"/>
        <v>0</v>
      </c>
      <c r="H54" s="460">
        <f>G54+'26'!H54</f>
        <v>1138</v>
      </c>
      <c r="I54" s="455"/>
      <c r="J54" s="552">
        <f>H54/DAY(B2)</f>
        <v>42.148148148148145</v>
      </c>
      <c r="K54" s="428"/>
      <c r="L54" s="377"/>
      <c r="N54" s="382"/>
    </row>
    <row r="55" spans="1:14">
      <c r="A55" s="578" t="s">
        <v>180</v>
      </c>
      <c r="B55" s="601"/>
      <c r="C55" s="601"/>
      <c r="D55" s="523" t="s">
        <v>131</v>
      </c>
      <c r="E55" s="510">
        <f>'26'!F55</f>
        <v>109786</v>
      </c>
      <c r="F55" s="654">
        <v>111460</v>
      </c>
      <c r="G55" s="473">
        <f t="shared" si="4"/>
        <v>1674</v>
      </c>
      <c r="H55" s="706">
        <f>G55+'26'!H55</f>
        <v>43349</v>
      </c>
      <c r="I55" s="707"/>
      <c r="J55" s="708">
        <f>H55/DAY(B2)</f>
        <v>1605.5185185185185</v>
      </c>
      <c r="K55" s="428"/>
      <c r="L55" s="377"/>
      <c r="N55" s="382"/>
    </row>
    <row r="56" spans="1:14">
      <c r="A56" s="578" t="s">
        <v>181</v>
      </c>
      <c r="B56" s="601"/>
      <c r="C56" s="601"/>
      <c r="D56" s="523" t="s">
        <v>182</v>
      </c>
      <c r="E56" s="510">
        <f>'26'!F56</f>
        <v>648960</v>
      </c>
      <c r="F56" s="654">
        <v>648960</v>
      </c>
      <c r="G56" s="473">
        <f t="shared" si="4"/>
        <v>0</v>
      </c>
      <c r="H56" s="460">
        <f>G56+'26'!H56</f>
        <v>31762</v>
      </c>
      <c r="I56" s="455"/>
      <c r="J56" s="552">
        <f>H56/DAY(B2)</f>
        <v>1176.3703703703704</v>
      </c>
      <c r="K56" s="427"/>
      <c r="L56" s="377"/>
      <c r="N56" s="382"/>
    </row>
    <row r="57" spans="1:14">
      <c r="A57" s="578" t="s">
        <v>171</v>
      </c>
      <c r="B57" s="601"/>
      <c r="C57" s="601"/>
      <c r="D57" s="523" t="s">
        <v>131</v>
      </c>
      <c r="E57" s="510">
        <f>'26'!F57</f>
        <v>7711</v>
      </c>
      <c r="F57" s="510">
        <v>7711</v>
      </c>
      <c r="G57" s="473">
        <f t="shared" si="4"/>
        <v>0</v>
      </c>
      <c r="H57" s="460">
        <f>G57+'26'!H57</f>
        <v>0</v>
      </c>
      <c r="I57" s="455"/>
      <c r="J57" s="552">
        <f>H57/DAY(B2)</f>
        <v>0</v>
      </c>
      <c r="K57" s="428"/>
      <c r="L57" s="377"/>
      <c r="N57" s="382"/>
    </row>
    <row r="58" spans="1:14">
      <c r="A58" s="578" t="s">
        <v>183</v>
      </c>
      <c r="B58" s="601"/>
      <c r="C58" s="601"/>
      <c r="D58" s="523" t="s">
        <v>131</v>
      </c>
      <c r="E58" s="510">
        <f>'26'!F58</f>
        <v>53449</v>
      </c>
      <c r="F58" s="654">
        <v>53590</v>
      </c>
      <c r="G58" s="473">
        <f t="shared" si="4"/>
        <v>141</v>
      </c>
      <c r="H58" s="460">
        <f>G58+'26'!H58</f>
        <v>3725.7900000000009</v>
      </c>
      <c r="I58" s="455"/>
      <c r="J58" s="552">
        <f>H58/DAY(B2)</f>
        <v>137.99222222222227</v>
      </c>
      <c r="K58" s="428"/>
      <c r="L58" s="377"/>
      <c r="N58" s="382"/>
    </row>
    <row r="59" spans="1:14">
      <c r="A59" s="585" t="s">
        <v>175</v>
      </c>
      <c r="B59" s="586"/>
      <c r="C59" s="586"/>
      <c r="D59" s="511"/>
      <c r="E59" s="511"/>
      <c r="F59" s="511"/>
      <c r="G59" s="481">
        <f>G49+G50+G51+G52+G53+G54+G55+G56+G57+G58</f>
        <v>3114.1900000000605</v>
      </c>
      <c r="H59" s="460">
        <f>G59+'26'!H59</f>
        <v>109981.58999999998</v>
      </c>
      <c r="I59" s="455">
        <f>G7-G60</f>
        <v>-1.190000000060536</v>
      </c>
      <c r="J59" s="552">
        <f>H59/DAY(B2)</f>
        <v>4073.3922222222213</v>
      </c>
      <c r="K59" s="428"/>
      <c r="L59" s="377"/>
      <c r="N59" s="382"/>
    </row>
    <row r="60" spans="1:14">
      <c r="A60" s="578"/>
      <c r="B60" s="579"/>
      <c r="C60" s="579"/>
      <c r="D60" s="511" t="s">
        <v>184</v>
      </c>
      <c r="E60" s="511"/>
      <c r="F60" s="511"/>
      <c r="G60" s="481">
        <f>G47+G59</f>
        <v>21891.190000000061</v>
      </c>
      <c r="H60" s="460">
        <f>G60+'26'!H60</f>
        <v>514404.59999999986</v>
      </c>
      <c r="I60" s="455">
        <f>G13-G60</f>
        <v>-703.19000000006054</v>
      </c>
      <c r="J60" s="552">
        <f>H60/DAY(B2)</f>
        <v>19052.022222222218</v>
      </c>
      <c r="K60" s="428"/>
      <c r="L60" s="377"/>
      <c r="N60" s="382"/>
    </row>
    <row r="61" spans="1:14">
      <c r="A61" s="602" t="s">
        <v>185</v>
      </c>
      <c r="B61" s="453"/>
      <c r="C61" s="453"/>
      <c r="D61" s="513"/>
      <c r="E61" s="512"/>
      <c r="F61" s="512"/>
      <c r="G61" s="513"/>
      <c r="H61" s="513"/>
      <c r="I61" s="513"/>
      <c r="J61" s="555"/>
      <c r="K61" s="428"/>
      <c r="L61" s="377"/>
      <c r="N61" s="382"/>
    </row>
    <row r="62" spans="1:14">
      <c r="A62" s="603" t="s">
        <v>97</v>
      </c>
      <c r="B62" s="604"/>
      <c r="C62" s="604"/>
      <c r="D62" s="511" t="s">
        <v>186</v>
      </c>
      <c r="E62" s="514">
        <f>'26'!F62</f>
        <v>20419</v>
      </c>
      <c r="F62" s="514">
        <v>20419</v>
      </c>
      <c r="G62" s="473">
        <f t="shared" ref="G62:G69" si="5">F62-E62</f>
        <v>0</v>
      </c>
      <c r="H62" s="460">
        <f>G62+'26'!H62</f>
        <v>1.9999999967694748E-3</v>
      </c>
      <c r="I62" s="515"/>
      <c r="J62" s="552">
        <f>H62/DAY(B2)</f>
        <v>7.4074073954424991E-5</v>
      </c>
      <c r="K62" s="428"/>
      <c r="L62" s="377"/>
      <c r="N62" s="382"/>
    </row>
    <row r="63" spans="1:14">
      <c r="A63" s="603" t="s">
        <v>187</v>
      </c>
      <c r="B63" s="604"/>
      <c r="C63" s="604"/>
      <c r="D63" s="511" t="s">
        <v>186</v>
      </c>
      <c r="E63" s="514">
        <f>'26'!F63</f>
        <v>0</v>
      </c>
      <c r="F63" s="514">
        <v>0</v>
      </c>
      <c r="G63" s="473">
        <f t="shared" si="5"/>
        <v>0</v>
      </c>
      <c r="H63" s="460">
        <f>G63+'26'!H63</f>
        <v>0</v>
      </c>
      <c r="I63" s="515"/>
      <c r="J63" s="552">
        <f>H63/DAY(B2)</f>
        <v>0</v>
      </c>
      <c r="K63" s="428"/>
      <c r="L63" s="377"/>
      <c r="N63" s="382"/>
    </row>
    <row r="64" spans="1:14" ht="27.75">
      <c r="A64" s="1534" t="s">
        <v>98</v>
      </c>
      <c r="B64" s="1535"/>
      <c r="C64" s="1536"/>
      <c r="D64" s="523" t="s">
        <v>186</v>
      </c>
      <c r="E64" s="514">
        <f>'26'!F64</f>
        <v>168532</v>
      </c>
      <c r="F64" s="478">
        <v>168917</v>
      </c>
      <c r="G64" s="473">
        <f t="shared" si="5"/>
        <v>385</v>
      </c>
      <c r="H64" s="460">
        <f>G64+'26'!H64</f>
        <v>8985</v>
      </c>
      <c r="I64" s="480"/>
      <c r="J64" s="552">
        <f>H64/DAY(B2)</f>
        <v>332.77777777777777</v>
      </c>
      <c r="K64" s="428"/>
      <c r="L64" s="377"/>
      <c r="N64" s="382"/>
    </row>
    <row r="65" spans="1:14" ht="27.75">
      <c r="A65" s="1534" t="s">
        <v>99</v>
      </c>
      <c r="B65" s="1535"/>
      <c r="C65" s="1536"/>
      <c r="D65" s="523" t="s">
        <v>186</v>
      </c>
      <c r="E65" s="514">
        <f>'26'!F65</f>
        <v>168685</v>
      </c>
      <c r="F65" s="485">
        <v>169043</v>
      </c>
      <c r="G65" s="473">
        <f t="shared" si="5"/>
        <v>358</v>
      </c>
      <c r="H65" s="460">
        <f>G65+'26'!H65</f>
        <v>8045</v>
      </c>
      <c r="I65" s="489"/>
      <c r="J65" s="552">
        <f>H65/DAY(B2)</f>
        <v>297.96296296296299</v>
      </c>
      <c r="K65" s="428"/>
      <c r="L65" s="377"/>
      <c r="N65" s="382"/>
    </row>
    <row r="66" spans="1:14" ht="27.75">
      <c r="A66" s="1534" t="s">
        <v>100</v>
      </c>
      <c r="B66" s="1535"/>
      <c r="C66" s="1536"/>
      <c r="D66" s="523" t="s">
        <v>186</v>
      </c>
      <c r="E66" s="514">
        <f>'26'!F66</f>
        <v>66280</v>
      </c>
      <c r="F66" s="485">
        <v>66654</v>
      </c>
      <c r="G66" s="473">
        <f t="shared" si="5"/>
        <v>374</v>
      </c>
      <c r="H66" s="460">
        <f>G66+'26'!H66</f>
        <v>9849</v>
      </c>
      <c r="I66" s="480"/>
      <c r="J66" s="552">
        <f>H66/DAY(B2)</f>
        <v>364.77777777777777</v>
      </c>
      <c r="K66" s="428"/>
      <c r="L66" s="377"/>
      <c r="N66" s="382"/>
    </row>
    <row r="67" spans="1:14" ht="27.75">
      <c r="A67" s="1534" t="s">
        <v>101</v>
      </c>
      <c r="B67" s="1535"/>
      <c r="C67" s="1536"/>
      <c r="D67" s="523" t="s">
        <v>186</v>
      </c>
      <c r="E67" s="514">
        <f>'26'!F67</f>
        <v>263178</v>
      </c>
      <c r="F67" s="478">
        <v>263648</v>
      </c>
      <c r="G67" s="473">
        <f t="shared" si="5"/>
        <v>470</v>
      </c>
      <c r="H67" s="460">
        <f>G67+'26'!H67</f>
        <v>11456</v>
      </c>
      <c r="I67" s="489"/>
      <c r="J67" s="552">
        <f>H67/DAY(B2)</f>
        <v>424.2962962962963</v>
      </c>
      <c r="K67" s="429"/>
      <c r="L67" s="377"/>
      <c r="N67" s="382"/>
    </row>
    <row r="68" spans="1:14" ht="27.75">
      <c r="A68" s="1534" t="s">
        <v>102</v>
      </c>
      <c r="B68" s="1535"/>
      <c r="C68" s="1536"/>
      <c r="D68" s="523" t="s">
        <v>186</v>
      </c>
      <c r="E68" s="514">
        <f>'26'!F68</f>
        <v>85321</v>
      </c>
      <c r="F68" s="478">
        <v>85321</v>
      </c>
      <c r="G68" s="473">
        <f t="shared" si="5"/>
        <v>0</v>
      </c>
      <c r="H68" s="460">
        <f>G68+'26'!H68</f>
        <v>0</v>
      </c>
      <c r="I68" s="516"/>
      <c r="J68" s="552">
        <f>H68/DAY(B2)</f>
        <v>0</v>
      </c>
      <c r="K68" s="430"/>
      <c r="L68" s="377"/>
      <c r="N68" s="382"/>
    </row>
    <row r="69" spans="1:14" ht="27.75">
      <c r="A69" s="1534" t="s">
        <v>103</v>
      </c>
      <c r="B69" s="1535"/>
      <c r="C69" s="1536"/>
      <c r="D69" s="523" t="s">
        <v>186</v>
      </c>
      <c r="E69" s="514">
        <f>'26'!F69</f>
        <v>86501</v>
      </c>
      <c r="F69" s="478">
        <v>86824</v>
      </c>
      <c r="G69" s="473">
        <f t="shared" si="5"/>
        <v>323</v>
      </c>
      <c r="H69" s="460">
        <f>G69+'26'!H69</f>
        <v>5075</v>
      </c>
      <c r="I69" s="516"/>
      <c r="J69" s="552">
        <f>H69/DAY(B2)</f>
        <v>187.96296296296296</v>
      </c>
      <c r="K69" s="431"/>
      <c r="L69" s="377"/>
      <c r="N69" s="382"/>
    </row>
    <row r="70" spans="1:14" ht="27.75">
      <c r="A70" s="1566" t="s">
        <v>188</v>
      </c>
      <c r="B70" s="1567"/>
      <c r="C70" s="1568"/>
      <c r="D70" s="523" t="s">
        <v>186</v>
      </c>
      <c r="E70" s="518"/>
      <c r="F70" s="518"/>
      <c r="G70" s="518"/>
      <c r="H70" s="460">
        <f>G70+'13'!H70</f>
        <v>0</v>
      </c>
      <c r="I70" s="518"/>
      <c r="J70" s="556"/>
      <c r="K70" s="431"/>
      <c r="L70" s="377"/>
      <c r="N70" s="382"/>
    </row>
    <row r="71" spans="1:14" ht="31.5">
      <c r="A71" s="1580" t="s">
        <v>189</v>
      </c>
      <c r="B71" s="1581"/>
      <c r="C71" s="1581"/>
      <c r="D71" s="1581"/>
      <c r="E71" s="1581"/>
      <c r="F71" s="1581"/>
      <c r="G71" s="1581"/>
      <c r="H71" s="1581"/>
      <c r="I71" s="1581"/>
      <c r="J71" s="1582"/>
      <c r="K71" s="430"/>
      <c r="L71" s="377"/>
      <c r="N71" s="382"/>
    </row>
    <row r="72" spans="1:14" ht="27.75">
      <c r="A72" s="1534" t="s">
        <v>190</v>
      </c>
      <c r="B72" s="1535"/>
      <c r="C72" s="1536"/>
      <c r="D72" s="523" t="s">
        <v>186</v>
      </c>
      <c r="E72" s="519">
        <f>'26'!F72</f>
        <v>856180</v>
      </c>
      <c r="F72" s="655">
        <v>856191</v>
      </c>
      <c r="G72" s="473">
        <f t="shared" ref="G72:G84" si="6">F72-E72</f>
        <v>11</v>
      </c>
      <c r="H72" s="460">
        <f>G72+'26'!H72</f>
        <v>335</v>
      </c>
      <c r="I72" s="480"/>
      <c r="J72" s="552">
        <f>H72/DAY(B2)</f>
        <v>12.407407407407407</v>
      </c>
      <c r="K72" s="431"/>
      <c r="L72" s="377"/>
      <c r="N72" s="382"/>
    </row>
    <row r="73" spans="1:14" ht="27.75">
      <c r="A73" s="1534" t="s">
        <v>191</v>
      </c>
      <c r="B73" s="1535"/>
      <c r="C73" s="1536"/>
      <c r="D73" s="523" t="s">
        <v>186</v>
      </c>
      <c r="E73" s="519">
        <f>'26'!F73</f>
        <v>885967</v>
      </c>
      <c r="F73" s="656">
        <v>885968</v>
      </c>
      <c r="G73" s="653">
        <f t="shared" si="6"/>
        <v>1</v>
      </c>
      <c r="H73" s="460">
        <f>G73+'26'!H73</f>
        <v>187</v>
      </c>
      <c r="I73" s="480"/>
      <c r="J73" s="552">
        <f>H73/DAY(B2)</f>
        <v>6.9259259259259256</v>
      </c>
      <c r="K73" s="430"/>
      <c r="L73" s="377"/>
      <c r="N73" s="382"/>
    </row>
    <row r="74" spans="1:14" ht="27.75">
      <c r="A74" s="1534" t="s">
        <v>192</v>
      </c>
      <c r="B74" s="1535"/>
      <c r="C74" s="1536"/>
      <c r="D74" s="523" t="s">
        <v>186</v>
      </c>
      <c r="E74" s="519">
        <f>'26'!F74</f>
        <v>88689</v>
      </c>
      <c r="F74" s="656">
        <v>88689</v>
      </c>
      <c r="G74" s="473">
        <f t="shared" si="6"/>
        <v>0</v>
      </c>
      <c r="H74" s="460">
        <f>G74+'26'!H74</f>
        <v>23.960000000000036</v>
      </c>
      <c r="I74" s="480"/>
      <c r="J74" s="552">
        <f>H74/DAY(B2)</f>
        <v>0.88740740740740875</v>
      </c>
      <c r="K74" s="431"/>
      <c r="L74" s="377"/>
      <c r="N74" s="382"/>
    </row>
    <row r="75" spans="1:14" ht="27.75">
      <c r="A75" s="1583" t="s">
        <v>193</v>
      </c>
      <c r="B75" s="1584"/>
      <c r="C75" s="1585"/>
      <c r="D75" s="523" t="s">
        <v>186</v>
      </c>
      <c r="E75" s="519">
        <f>'26'!F75</f>
        <v>15537</v>
      </c>
      <c r="F75" s="655">
        <v>15677</v>
      </c>
      <c r="G75" s="473">
        <f t="shared" si="6"/>
        <v>140</v>
      </c>
      <c r="H75" s="460">
        <f>G75+'26'!H75</f>
        <v>3008</v>
      </c>
      <c r="I75" s="480"/>
      <c r="J75" s="552">
        <f>H75/DAY(B2)</f>
        <v>111.4074074074074</v>
      </c>
      <c r="K75" s="430"/>
      <c r="L75" s="377"/>
      <c r="N75" s="382"/>
    </row>
    <row r="76" spans="1:14" ht="27.75">
      <c r="A76" s="1583" t="s">
        <v>194</v>
      </c>
      <c r="B76" s="1584"/>
      <c r="C76" s="1585"/>
      <c r="D76" s="523" t="s">
        <v>186</v>
      </c>
      <c r="E76" s="519">
        <f>'26'!F76</f>
        <v>9028</v>
      </c>
      <c r="F76" s="656">
        <v>9105</v>
      </c>
      <c r="G76" s="473">
        <f t="shared" si="6"/>
        <v>77</v>
      </c>
      <c r="H76" s="460">
        <f>G76+'26'!H76</f>
        <v>1899</v>
      </c>
      <c r="I76" s="505"/>
      <c r="J76" s="552">
        <f>H76/DAY(B2)</f>
        <v>70.333333333333329</v>
      </c>
      <c r="K76" s="430"/>
      <c r="L76" s="377"/>
      <c r="N76" s="382"/>
    </row>
    <row r="77" spans="1:14" ht="27.75">
      <c r="A77" s="1534" t="s">
        <v>195</v>
      </c>
      <c r="B77" s="1535"/>
      <c r="C77" s="1536"/>
      <c r="D77" s="523" t="s">
        <v>186</v>
      </c>
      <c r="E77" s="519">
        <f>'26'!F77</f>
        <v>704148</v>
      </c>
      <c r="F77" s="656">
        <v>704205</v>
      </c>
      <c r="G77" s="653">
        <f t="shared" si="6"/>
        <v>57</v>
      </c>
      <c r="H77" s="460">
        <f>G77+'26'!H77</f>
        <v>1366</v>
      </c>
      <c r="I77" s="505"/>
      <c r="J77" s="552">
        <f>H77/DAY(B2)</f>
        <v>50.592592592592595</v>
      </c>
      <c r="K77" s="430"/>
      <c r="L77" s="377"/>
      <c r="N77" s="382"/>
    </row>
    <row r="78" spans="1:14" ht="27.75">
      <c r="A78" s="1144" t="s">
        <v>196</v>
      </c>
      <c r="B78" s="1117"/>
      <c r="C78" s="1117"/>
      <c r="D78" s="523" t="s">
        <v>186</v>
      </c>
      <c r="E78" s="519">
        <f>'26'!F78</f>
        <v>675015</v>
      </c>
      <c r="F78" s="655">
        <v>675167</v>
      </c>
      <c r="G78" s="473">
        <f t="shared" si="6"/>
        <v>152</v>
      </c>
      <c r="H78" s="460">
        <f>G78+'26'!H78</f>
        <v>2135</v>
      </c>
      <c r="I78" s="505"/>
      <c r="J78" s="552">
        <f>H78/DAY(B2)</f>
        <v>79.074074074074076</v>
      </c>
      <c r="K78" s="430"/>
      <c r="L78" s="377"/>
      <c r="N78" s="382"/>
    </row>
    <row r="79" spans="1:14" ht="27.75">
      <c r="A79" s="1583" t="s">
        <v>91</v>
      </c>
      <c r="B79" s="1584"/>
      <c r="C79" s="1585"/>
      <c r="D79" s="524" t="s">
        <v>186</v>
      </c>
      <c r="E79" s="519">
        <f>'26'!F79</f>
        <v>834834</v>
      </c>
      <c r="F79" s="1312">
        <v>834973</v>
      </c>
      <c r="G79" s="473">
        <f t="shared" si="6"/>
        <v>139</v>
      </c>
      <c r="H79" s="460">
        <f>G79+'26'!H79</f>
        <v>2951</v>
      </c>
      <c r="I79" s="505"/>
      <c r="J79" s="552">
        <f>H79/DAY(B2)</f>
        <v>109.29629629629629</v>
      </c>
      <c r="K79" s="430"/>
      <c r="L79" s="377"/>
      <c r="N79" s="382"/>
    </row>
    <row r="80" spans="1:14" ht="27.75">
      <c r="A80" s="1583" t="s">
        <v>197</v>
      </c>
      <c r="B80" s="1584"/>
      <c r="C80" s="1585"/>
      <c r="D80" s="524" t="s">
        <v>186</v>
      </c>
      <c r="E80" s="519">
        <f>'26'!F80</f>
        <v>537443</v>
      </c>
      <c r="F80" s="656">
        <v>537903</v>
      </c>
      <c r="G80" s="473">
        <f t="shared" si="6"/>
        <v>460</v>
      </c>
      <c r="H80" s="460">
        <f>G80+'26'!H80</f>
        <v>7357.4799999999814</v>
      </c>
      <c r="I80" s="505"/>
      <c r="J80" s="552">
        <f>H80/DAY(B2)</f>
        <v>272.49925925925857</v>
      </c>
      <c r="K80" s="430"/>
      <c r="L80" s="377"/>
      <c r="N80" s="382"/>
    </row>
    <row r="81" spans="1:15" ht="27.75">
      <c r="A81" s="1583" t="s">
        <v>198</v>
      </c>
      <c r="B81" s="1584"/>
      <c r="C81" s="1585"/>
      <c r="D81" s="524" t="s">
        <v>186</v>
      </c>
      <c r="E81" s="519">
        <f>'26'!F81</f>
        <v>642446</v>
      </c>
      <c r="F81" s="656">
        <v>642577</v>
      </c>
      <c r="G81" s="473">
        <f t="shared" si="6"/>
        <v>131</v>
      </c>
      <c r="H81" s="460">
        <f>G81+'26'!H81</f>
        <v>3679</v>
      </c>
      <c r="I81" s="505"/>
      <c r="J81" s="552">
        <f>H81/DAY(B2)</f>
        <v>136.25925925925927</v>
      </c>
      <c r="K81" s="430"/>
      <c r="L81" s="377"/>
      <c r="N81" s="382"/>
    </row>
    <row r="82" spans="1:15" ht="27.75">
      <c r="A82" s="1583" t="s">
        <v>92</v>
      </c>
      <c r="B82" s="1584"/>
      <c r="C82" s="1585"/>
      <c r="D82" s="485" t="s">
        <v>131</v>
      </c>
      <c r="E82" s="519">
        <f>'26'!F82</f>
        <v>108608</v>
      </c>
      <c r="F82" s="652">
        <v>108633</v>
      </c>
      <c r="G82" s="473">
        <f t="shared" si="6"/>
        <v>25</v>
      </c>
      <c r="H82" s="460">
        <f>G82+'26'!H82</f>
        <v>475</v>
      </c>
      <c r="I82" s="486"/>
      <c r="J82" s="552">
        <f>H82/DAY(B2)</f>
        <v>17.592592592592592</v>
      </c>
      <c r="K82" s="430"/>
      <c r="L82" s="377"/>
      <c r="N82" s="382"/>
    </row>
    <row r="83" spans="1:15" ht="27.75">
      <c r="A83" s="1583" t="s">
        <v>199</v>
      </c>
      <c r="B83" s="1584"/>
      <c r="C83" s="1585"/>
      <c r="D83" s="620" t="s">
        <v>131</v>
      </c>
      <c r="E83" s="519">
        <f>'26'!F83</f>
        <v>26315</v>
      </c>
      <c r="F83" s="1313">
        <v>26634</v>
      </c>
      <c r="G83" s="473">
        <f t="shared" si="6"/>
        <v>319</v>
      </c>
      <c r="H83" s="460">
        <f>G83+'26'!H83</f>
        <v>6128</v>
      </c>
      <c r="I83" s="481"/>
      <c r="J83" s="552">
        <f>H83/DAY(B2)</f>
        <v>226.96296296296296</v>
      </c>
      <c r="K83" s="429"/>
      <c r="L83" s="377"/>
      <c r="N83" s="382"/>
    </row>
    <row r="84" spans="1:15">
      <c r="A84" s="1145" t="s">
        <v>200</v>
      </c>
      <c r="B84" s="571"/>
      <c r="C84" s="571"/>
      <c r="D84" s="478" t="s">
        <v>131</v>
      </c>
      <c r="E84" s="519">
        <f>'26'!F84</f>
        <v>519753</v>
      </c>
      <c r="F84" s="524">
        <v>520637</v>
      </c>
      <c r="G84" s="473">
        <f t="shared" si="6"/>
        <v>884</v>
      </c>
      <c r="H84" s="460">
        <f>G84+'26'!H84</f>
        <v>20343</v>
      </c>
      <c r="I84" s="481"/>
      <c r="J84" s="552">
        <f>H84/DAY(B2)</f>
        <v>753.44444444444446</v>
      </c>
      <c r="K84" s="380"/>
      <c r="L84" s="377"/>
      <c r="N84" s="382"/>
    </row>
    <row r="85" spans="1:15" s="379" customFormat="1">
      <c r="A85" s="605" t="s">
        <v>201</v>
      </c>
      <c r="B85" s="572"/>
      <c r="C85" s="572"/>
      <c r="D85" s="489"/>
      <c r="E85" s="627">
        <f>'26'!F85</f>
        <v>0</v>
      </c>
      <c r="F85" s="523">
        <v>0</v>
      </c>
      <c r="G85" s="460">
        <f xml:space="preserve"> SUM(G72:G84)</f>
        <v>2396</v>
      </c>
      <c r="H85" s="460">
        <f>G85+'26'!H85</f>
        <v>53430.960000000006</v>
      </c>
      <c r="I85" s="481"/>
      <c r="J85" s="552">
        <f>H85/DAY(B2)</f>
        <v>1978.9244444444446</v>
      </c>
      <c r="K85" s="380"/>
      <c r="L85" s="378"/>
      <c r="N85" s="382"/>
    </row>
    <row r="86" spans="1:15" s="736" customFormat="1">
      <c r="A86" s="731" t="s">
        <v>93</v>
      </c>
      <c r="B86" s="732"/>
      <c r="C86" s="732"/>
      <c r="D86" s="733" t="s">
        <v>182</v>
      </c>
      <c r="E86" s="627">
        <f>'26'!F86</f>
        <v>461666</v>
      </c>
      <c r="F86" s="648">
        <v>461705</v>
      </c>
      <c r="G86" s="706">
        <f>F86-E86</f>
        <v>39</v>
      </c>
      <c r="H86" s="706">
        <f t="shared" ref="H86:H88" si="7">G86</f>
        <v>39</v>
      </c>
      <c r="I86" s="653"/>
      <c r="J86" s="708">
        <f>H86/DAY(B2)</f>
        <v>1.4444444444444444</v>
      </c>
      <c r="K86" s="734"/>
      <c r="L86" s="735"/>
      <c r="O86" s="714"/>
    </row>
    <row r="87" spans="1:15" s="736" customFormat="1">
      <c r="A87" s="731" t="s">
        <v>94</v>
      </c>
      <c r="B87" s="732"/>
      <c r="C87" s="732"/>
      <c r="D87" s="733" t="s">
        <v>182</v>
      </c>
      <c r="E87" s="627">
        <f>'26'!F87</f>
        <v>81967</v>
      </c>
      <c r="F87" s="648">
        <v>81978</v>
      </c>
      <c r="G87" s="706">
        <f t="shared" ref="G87:G91" si="8">F87-E87</f>
        <v>11</v>
      </c>
      <c r="H87" s="706">
        <f t="shared" si="7"/>
        <v>11</v>
      </c>
      <c r="I87" s="653"/>
      <c r="J87" s="708">
        <f>H87/DAY(B2)</f>
        <v>0.40740740740740738</v>
      </c>
      <c r="K87" s="734"/>
      <c r="L87" s="735"/>
      <c r="O87" s="714"/>
    </row>
    <row r="88" spans="1:15" s="736" customFormat="1">
      <c r="A88" s="731" t="s">
        <v>95</v>
      </c>
      <c r="B88" s="732"/>
      <c r="C88" s="732"/>
      <c r="D88" s="733" t="s">
        <v>182</v>
      </c>
      <c r="E88" s="627">
        <f>'26'!F88</f>
        <v>154949</v>
      </c>
      <c r="F88" s="648">
        <v>154983</v>
      </c>
      <c r="G88" s="706">
        <f t="shared" si="8"/>
        <v>34</v>
      </c>
      <c r="H88" s="706">
        <f t="shared" si="7"/>
        <v>34</v>
      </c>
      <c r="I88" s="653"/>
      <c r="J88" s="708">
        <f>H88/DAY(B2)</f>
        <v>1.2592592592592593</v>
      </c>
      <c r="K88" s="734"/>
      <c r="L88" s="735"/>
      <c r="O88" s="714"/>
    </row>
    <row r="89" spans="1:15" s="736" customFormat="1">
      <c r="A89" s="731" t="s">
        <v>203</v>
      </c>
      <c r="B89" s="732"/>
      <c r="C89" s="732"/>
      <c r="D89" s="733" t="s">
        <v>182</v>
      </c>
      <c r="E89" s="627">
        <f>'26'!F89</f>
        <v>65748</v>
      </c>
      <c r="F89" s="648">
        <v>65763</v>
      </c>
      <c r="G89" s="706">
        <f t="shared" si="8"/>
        <v>15</v>
      </c>
      <c r="H89" s="706">
        <f>G89</f>
        <v>15</v>
      </c>
      <c r="I89" s="653"/>
      <c r="J89" s="708">
        <f>H89/DAY(B2)</f>
        <v>0.55555555555555558</v>
      </c>
      <c r="K89" s="734"/>
      <c r="L89" s="735"/>
      <c r="N89" s="778"/>
      <c r="O89" s="382"/>
    </row>
    <row r="90" spans="1:15" s="736" customFormat="1">
      <c r="A90" s="731" t="s">
        <v>203</v>
      </c>
      <c r="B90" s="732"/>
      <c r="C90" s="732"/>
      <c r="D90" s="733" t="s">
        <v>182</v>
      </c>
      <c r="E90" s="627">
        <f>'26'!F90</f>
        <v>3333</v>
      </c>
      <c r="F90" s="648">
        <v>3334</v>
      </c>
      <c r="G90" s="706">
        <f t="shared" si="8"/>
        <v>1</v>
      </c>
      <c r="H90" s="706">
        <f>G90</f>
        <v>1</v>
      </c>
      <c r="I90" s="653"/>
      <c r="J90" s="708">
        <f>H90/DAY(B2)</f>
        <v>3.7037037037037035E-2</v>
      </c>
      <c r="K90" s="734"/>
      <c r="L90" s="735"/>
      <c r="N90" s="778"/>
      <c r="O90" s="382"/>
    </row>
    <row r="91" spans="1:15" s="736" customFormat="1">
      <c r="A91" s="731" t="s">
        <v>350</v>
      </c>
      <c r="B91" s="732"/>
      <c r="C91" s="732"/>
      <c r="D91" s="733" t="s">
        <v>131</v>
      </c>
      <c r="E91" s="627">
        <f>'26'!F91</f>
        <v>28215</v>
      </c>
      <c r="F91" s="648">
        <v>28218</v>
      </c>
      <c r="G91" s="706">
        <f t="shared" si="8"/>
        <v>3</v>
      </c>
      <c r="H91" s="706">
        <f>G91</f>
        <v>3</v>
      </c>
      <c r="I91" s="653"/>
      <c r="J91" s="708"/>
      <c r="K91" s="734"/>
      <c r="L91" s="735"/>
      <c r="N91" s="778"/>
      <c r="O91" s="382"/>
    </row>
    <row r="92" spans="1:15" s="379" customFormat="1">
      <c r="A92" s="606" t="s">
        <v>204</v>
      </c>
      <c r="B92" s="1147"/>
      <c r="C92" s="1147"/>
      <c r="D92" s="472"/>
      <c r="E92" s="472"/>
      <c r="F92" s="472"/>
      <c r="G92" s="488"/>
      <c r="H92" s="472"/>
      <c r="I92" s="472"/>
      <c r="J92" s="551"/>
      <c r="K92" s="380"/>
      <c r="L92" s="378"/>
      <c r="N92" s="382"/>
    </row>
    <row r="93" spans="1:15" ht="27.75">
      <c r="A93" s="1537" t="s">
        <v>205</v>
      </c>
      <c r="B93" s="1538"/>
      <c r="C93" s="1539"/>
      <c r="D93" s="523" t="s">
        <v>143</v>
      </c>
      <c r="E93" s="484">
        <f>'26'!F93</f>
        <v>247056</v>
      </c>
      <c r="F93" s="478">
        <v>247186</v>
      </c>
      <c r="G93" s="473">
        <f t="shared" ref="G93:G94" si="9">F93-E93</f>
        <v>130</v>
      </c>
      <c r="H93" s="460">
        <f>G93+'26'!H93</f>
        <v>1698</v>
      </c>
      <c r="I93" s="480"/>
      <c r="J93" s="552">
        <f>H93/DAY(B2)</f>
        <v>62.888888888888886</v>
      </c>
      <c r="K93" s="429"/>
      <c r="L93" s="377"/>
      <c r="N93" s="382"/>
    </row>
    <row r="94" spans="1:15" ht="27.75">
      <c r="A94" s="1537" t="s">
        <v>206</v>
      </c>
      <c r="B94" s="1538"/>
      <c r="C94" s="1539"/>
      <c r="D94" s="523" t="s">
        <v>143</v>
      </c>
      <c r="E94" s="484">
        <f>'26'!F94</f>
        <v>189022</v>
      </c>
      <c r="F94" s="626">
        <v>189136</v>
      </c>
      <c r="G94" s="473">
        <f t="shared" si="9"/>
        <v>114</v>
      </c>
      <c r="H94" s="460">
        <f>G94+'26'!H94</f>
        <v>3015</v>
      </c>
      <c r="I94" s="480"/>
      <c r="J94" s="552">
        <f>H94/DAY(B2)</f>
        <v>111.66666666666667</v>
      </c>
      <c r="K94" s="380"/>
      <c r="L94" s="377"/>
      <c r="N94" s="382"/>
    </row>
    <row r="95" spans="1:15">
      <c r="A95" s="1531" t="s">
        <v>207</v>
      </c>
      <c r="B95" s="1532"/>
      <c r="C95" s="1533"/>
      <c r="D95" s="523"/>
      <c r="E95" s="484">
        <f>'26'!F95</f>
        <v>0</v>
      </c>
      <c r="F95" s="478"/>
      <c r="G95" s="473">
        <f>G93+G94</f>
        <v>244</v>
      </c>
      <c r="H95" s="460">
        <f>G95+'26'!H95</f>
        <v>4637</v>
      </c>
      <c r="I95" s="480"/>
      <c r="J95" s="552">
        <f>H95/DAY(B2)</f>
        <v>171.74074074074073</v>
      </c>
      <c r="K95" s="380"/>
      <c r="L95" s="377"/>
      <c r="N95" s="382"/>
    </row>
    <row r="96" spans="1:15" ht="27.75">
      <c r="A96" s="1537" t="s">
        <v>208</v>
      </c>
      <c r="B96" s="1538"/>
      <c r="C96" s="1539"/>
      <c r="D96" s="523" t="s">
        <v>143</v>
      </c>
      <c r="E96" s="484">
        <f>'26'!F96</f>
        <v>415755</v>
      </c>
      <c r="F96" s="478">
        <v>415828</v>
      </c>
      <c r="G96" s="473">
        <f t="shared" ref="G96:G101" si="10">F96-E96</f>
        <v>73</v>
      </c>
      <c r="H96" s="460">
        <f>G96+'26'!H96</f>
        <v>1545</v>
      </c>
      <c r="I96" s="480"/>
      <c r="J96" s="552">
        <f>H96/DAY(B2)</f>
        <v>57.222222222222221</v>
      </c>
      <c r="K96" s="380"/>
      <c r="L96" s="377"/>
      <c r="N96" s="382"/>
    </row>
    <row r="97" spans="1:14" ht="27.75">
      <c r="A97" s="1141" t="s">
        <v>209</v>
      </c>
      <c r="B97" s="1142"/>
      <c r="C97" s="1142"/>
      <c r="D97" s="523" t="s">
        <v>143</v>
      </c>
      <c r="E97" s="484">
        <f>'26'!F97</f>
        <v>103079</v>
      </c>
      <c r="F97" s="478">
        <v>103114</v>
      </c>
      <c r="G97" s="473">
        <f t="shared" si="10"/>
        <v>35</v>
      </c>
      <c r="H97" s="460">
        <f>G97+'26'!H97</f>
        <v>466</v>
      </c>
      <c r="I97" s="480"/>
      <c r="J97" s="552">
        <f>H97/DAY(B2)</f>
        <v>17.25925925925926</v>
      </c>
      <c r="K97" s="427"/>
      <c r="L97" s="377"/>
      <c r="N97" s="382"/>
    </row>
    <row r="98" spans="1:14" ht="27.75">
      <c r="A98" s="1141" t="s">
        <v>210</v>
      </c>
      <c r="B98" s="1142"/>
      <c r="C98" s="1142"/>
      <c r="D98" s="523" t="s">
        <v>143</v>
      </c>
      <c r="E98" s="484">
        <f>'26'!F98</f>
        <v>98565</v>
      </c>
      <c r="F98" s="478">
        <v>98601</v>
      </c>
      <c r="G98" s="473">
        <f t="shared" si="10"/>
        <v>36</v>
      </c>
      <c r="H98" s="460">
        <f>G98+'26'!H98</f>
        <v>651</v>
      </c>
      <c r="I98" s="480"/>
      <c r="J98" s="552">
        <f>H98/DAY(B2)</f>
        <v>24.111111111111111</v>
      </c>
      <c r="K98" s="432"/>
      <c r="L98" s="377"/>
      <c r="N98" s="805"/>
    </row>
    <row r="99" spans="1:14" ht="27.75">
      <c r="A99" s="1141" t="s">
        <v>211</v>
      </c>
      <c r="B99" s="1142"/>
      <c r="C99" s="1142"/>
      <c r="D99" s="523" t="s">
        <v>143</v>
      </c>
      <c r="E99" s="484">
        <f>'26'!F99</f>
        <v>150277</v>
      </c>
      <c r="F99" s="478">
        <v>150314</v>
      </c>
      <c r="G99" s="473">
        <f t="shared" si="10"/>
        <v>37</v>
      </c>
      <c r="H99" s="460">
        <f>G99+'26'!H99</f>
        <v>462</v>
      </c>
      <c r="I99" s="480"/>
      <c r="J99" s="552">
        <f>H99/DAY(B2)</f>
        <v>17.111111111111111</v>
      </c>
      <c r="K99" s="380"/>
      <c r="L99" s="377"/>
      <c r="N99" s="1030"/>
    </row>
    <row r="100" spans="1:14" ht="27.75">
      <c r="A100" s="1141" t="s">
        <v>212</v>
      </c>
      <c r="B100" s="1142"/>
      <c r="C100" s="1142"/>
      <c r="D100" s="523" t="s">
        <v>143</v>
      </c>
      <c r="E100" s="484">
        <f>'26'!F100</f>
        <v>7714</v>
      </c>
      <c r="F100" s="478">
        <v>7740</v>
      </c>
      <c r="G100" s="473">
        <f t="shared" si="10"/>
        <v>26</v>
      </c>
      <c r="H100" s="460">
        <f>G100+'26'!H100</f>
        <v>371</v>
      </c>
      <c r="I100" s="480"/>
      <c r="J100" s="552">
        <f>H100/DAY(B2)</f>
        <v>13.74074074074074</v>
      </c>
      <c r="K100" s="380"/>
      <c r="L100" s="377"/>
      <c r="N100" s="805"/>
    </row>
    <row r="101" spans="1:14" ht="27.75">
      <c r="A101" s="1141" t="s">
        <v>213</v>
      </c>
      <c r="B101" s="1142"/>
      <c r="C101" s="1142"/>
      <c r="D101" s="523" t="s">
        <v>143</v>
      </c>
      <c r="E101" s="484">
        <f>'26'!F101</f>
        <v>5616</v>
      </c>
      <c r="F101" s="478">
        <v>5633</v>
      </c>
      <c r="G101" s="473">
        <f t="shared" si="10"/>
        <v>17</v>
      </c>
      <c r="H101" s="460">
        <f>G101+'26'!H101</f>
        <v>242</v>
      </c>
      <c r="I101" s="480"/>
      <c r="J101" s="552">
        <f>H101/DAY(B2)</f>
        <v>8.9629629629629637</v>
      </c>
      <c r="K101" s="380"/>
      <c r="L101" s="377"/>
      <c r="N101" s="805"/>
    </row>
    <row r="102" spans="1:14">
      <c r="A102" s="1531" t="s">
        <v>215</v>
      </c>
      <c r="B102" s="1532"/>
      <c r="C102" s="1533"/>
      <c r="D102" s="524"/>
      <c r="E102" s="524"/>
      <c r="F102" s="524"/>
      <c r="G102" s="525">
        <f>SUM(G96:G101)</f>
        <v>224</v>
      </c>
      <c r="H102" s="460">
        <f>G102+'26'!H102</f>
        <v>3737</v>
      </c>
      <c r="I102" s="526"/>
      <c r="J102" s="552">
        <f>H102/DAY(B2)</f>
        <v>138.40740740740742</v>
      </c>
      <c r="K102" s="380"/>
      <c r="L102" s="377"/>
      <c r="N102" s="805"/>
    </row>
    <row r="103" spans="1:14" s="442" customFormat="1" ht="27">
      <c r="A103" s="607" t="s">
        <v>216</v>
      </c>
      <c r="B103" s="608"/>
      <c r="C103" s="608"/>
      <c r="D103" s="621"/>
      <c r="E103" s="528"/>
      <c r="F103" s="658"/>
      <c r="G103" s="529"/>
      <c r="H103" s="530"/>
      <c r="I103" s="531"/>
      <c r="J103" s="557"/>
      <c r="N103" s="382"/>
    </row>
    <row r="104" spans="1:14" s="442" customFormat="1" ht="27.75">
      <c r="A104" s="1540" t="s">
        <v>217</v>
      </c>
      <c r="B104" s="1541"/>
      <c r="C104" s="573"/>
      <c r="D104" s="622"/>
      <c r="E104" s="532"/>
      <c r="F104" s="659"/>
      <c r="G104" s="532"/>
      <c r="H104" s="533"/>
      <c r="I104" s="532"/>
      <c r="J104" s="558"/>
      <c r="N104" s="382"/>
    </row>
    <row r="105" spans="1:14" s="442" customFormat="1" ht="27.75">
      <c r="A105" s="1542" t="s">
        <v>218</v>
      </c>
      <c r="B105" s="1543"/>
      <c r="C105" s="1140"/>
      <c r="D105" s="622" t="s">
        <v>143</v>
      </c>
      <c r="E105" s="532">
        <f>'26'!F105</f>
        <v>7637</v>
      </c>
      <c r="F105" s="659">
        <v>7637</v>
      </c>
      <c r="G105" s="532">
        <f>F105-E105</f>
        <v>0</v>
      </c>
      <c r="H105" s="533">
        <f>SUM(G105+'1'!G76)</f>
        <v>57</v>
      </c>
      <c r="I105" s="532"/>
      <c r="J105" s="558">
        <f>H105/DAY(B2)</f>
        <v>2.1111111111111112</v>
      </c>
      <c r="N105" s="382"/>
    </row>
    <row r="106" spans="1:14" s="442" customFormat="1" ht="27.75">
      <c r="A106" s="1542" t="s">
        <v>76</v>
      </c>
      <c r="B106" s="1543"/>
      <c r="C106" s="1140"/>
      <c r="D106" s="622" t="s">
        <v>143</v>
      </c>
      <c r="E106" s="532">
        <f>'26'!F106</f>
        <v>36137</v>
      </c>
      <c r="F106" s="784">
        <v>36143</v>
      </c>
      <c r="G106" s="532">
        <f t="shared" ref="G106:G107" si="11">F106-E106</f>
        <v>6</v>
      </c>
      <c r="H106" s="533">
        <f>SUM(G106+'1'!G77)</f>
        <v>55</v>
      </c>
      <c r="I106" s="532"/>
      <c r="J106" s="558">
        <f>H106/DAY(B2)</f>
        <v>2.0370370370370372</v>
      </c>
      <c r="N106" s="382"/>
    </row>
    <row r="107" spans="1:14" s="442" customFormat="1" ht="27.75">
      <c r="A107" s="1542" t="s">
        <v>77</v>
      </c>
      <c r="B107" s="1544"/>
      <c r="C107" s="1543"/>
      <c r="D107" s="622" t="s">
        <v>143</v>
      </c>
      <c r="E107" s="532">
        <f>'26'!F107</f>
        <v>19805</v>
      </c>
      <c r="F107" s="660">
        <v>19810</v>
      </c>
      <c r="G107" s="532">
        <f t="shared" si="11"/>
        <v>5</v>
      </c>
      <c r="H107" s="533">
        <f>SUM(G107+'1'!G78)</f>
        <v>60</v>
      </c>
      <c r="I107" s="532"/>
      <c r="J107" s="558">
        <f>H107/DAY(B2)</f>
        <v>2.2222222222222223</v>
      </c>
      <c r="N107" s="382"/>
    </row>
    <row r="108" spans="1:14" s="442" customFormat="1" ht="27.75">
      <c r="A108" s="1545" t="s">
        <v>201</v>
      </c>
      <c r="B108" s="1546"/>
      <c r="C108" s="1140"/>
      <c r="D108" s="622"/>
      <c r="E108" s="532">
        <f>'26'!F108</f>
        <v>0</v>
      </c>
      <c r="F108" s="660"/>
      <c r="G108" s="532">
        <f>SUM(G105:G107)</f>
        <v>11</v>
      </c>
      <c r="H108" s="533">
        <f>SUM(G108+'1'!G79)</f>
        <v>166</v>
      </c>
      <c r="I108" s="532"/>
      <c r="J108" s="558">
        <f>H108/DAY(B2)</f>
        <v>6.1481481481481479</v>
      </c>
      <c r="N108" s="382"/>
    </row>
    <row r="109" spans="1:14" s="442" customFormat="1" ht="27.75">
      <c r="A109" s="1547" t="s">
        <v>78</v>
      </c>
      <c r="B109" s="1548"/>
      <c r="C109" s="1140"/>
      <c r="D109" s="622" t="s">
        <v>143</v>
      </c>
      <c r="E109" s="532">
        <f>'26'!F109</f>
        <v>0</v>
      </c>
      <c r="F109" s="660"/>
      <c r="G109" s="532"/>
      <c r="H109" s="533"/>
      <c r="I109" s="532"/>
      <c r="J109" s="558"/>
      <c r="N109" s="382"/>
    </row>
    <row r="110" spans="1:14" s="442" customFormat="1" ht="27.75">
      <c r="A110" s="1542" t="s">
        <v>219</v>
      </c>
      <c r="B110" s="1543"/>
      <c r="C110" s="1140"/>
      <c r="D110" s="622" t="s">
        <v>143</v>
      </c>
      <c r="E110" s="532">
        <f>'26'!F110</f>
        <v>64540</v>
      </c>
      <c r="F110" s="804">
        <v>64608</v>
      </c>
      <c r="G110" s="532">
        <f>F110-E110</f>
        <v>68</v>
      </c>
      <c r="H110" s="533">
        <f>SUM(G110+'1'!G81)</f>
        <v>162</v>
      </c>
      <c r="I110" s="532"/>
      <c r="J110" s="558">
        <f>H110/DAY(B2)</f>
        <v>6</v>
      </c>
      <c r="N110" s="382"/>
    </row>
    <row r="111" spans="1:14" s="442" customFormat="1" ht="27.75">
      <c r="A111" s="1542" t="s">
        <v>220</v>
      </c>
      <c r="B111" s="1543"/>
      <c r="C111" s="1140"/>
      <c r="D111" s="622" t="s">
        <v>143</v>
      </c>
      <c r="E111" s="532">
        <f>'26'!F111</f>
        <v>32996</v>
      </c>
      <c r="F111" s="784">
        <v>33046</v>
      </c>
      <c r="G111" s="532">
        <f t="shared" ref="G111:G112" si="12">F111-E111</f>
        <v>50</v>
      </c>
      <c r="H111" s="533">
        <f>SUM(G111+'1'!G82)</f>
        <v>61</v>
      </c>
      <c r="I111" s="532"/>
      <c r="J111" s="558">
        <f>H111/DAY(B2)</f>
        <v>2.2592592592592591</v>
      </c>
      <c r="N111" s="382"/>
    </row>
    <row r="112" spans="1:14" s="442" customFormat="1" ht="27.75">
      <c r="A112" s="1542" t="s">
        <v>221</v>
      </c>
      <c r="B112" s="1543"/>
      <c r="C112" s="1140"/>
      <c r="D112" s="622" t="s">
        <v>143</v>
      </c>
      <c r="E112" s="532">
        <f>'26'!F112</f>
        <v>4621</v>
      </c>
      <c r="F112" s="784">
        <v>4621</v>
      </c>
      <c r="G112" s="534">
        <f t="shared" si="12"/>
        <v>0</v>
      </c>
      <c r="H112" s="533">
        <f>SUM(G112+'1'!G83)</f>
        <v>152</v>
      </c>
      <c r="I112" s="532"/>
      <c r="J112" s="558">
        <f>H112/DAY(B2)</f>
        <v>5.6296296296296298</v>
      </c>
      <c r="N112" s="382"/>
    </row>
    <row r="113" spans="1:14" s="442" customFormat="1" ht="27.75">
      <c r="A113" s="1545" t="s">
        <v>109</v>
      </c>
      <c r="B113" s="1546"/>
      <c r="C113" s="1140"/>
      <c r="D113" s="622"/>
      <c r="E113" s="532">
        <f>'26'!F113</f>
        <v>0</v>
      </c>
      <c r="F113" s="660"/>
      <c r="G113" s="532">
        <f>SUM(G110:G112)</f>
        <v>118</v>
      </c>
      <c r="H113" s="533">
        <f>SUM(G113+'1'!G84)</f>
        <v>945</v>
      </c>
      <c r="I113" s="532"/>
      <c r="J113" s="558">
        <f>H113/DAY(B2)</f>
        <v>35</v>
      </c>
      <c r="N113" s="382"/>
    </row>
    <row r="114" spans="1:14" s="442" customFormat="1" ht="27.75">
      <c r="A114" s="1547" t="s">
        <v>222</v>
      </c>
      <c r="B114" s="1548"/>
      <c r="C114" s="1140"/>
      <c r="D114" s="622"/>
      <c r="E114" s="532">
        <f>'26'!F114</f>
        <v>0</v>
      </c>
      <c r="F114" s="660"/>
      <c r="G114" s="532"/>
      <c r="H114" s="533"/>
      <c r="I114" s="532"/>
      <c r="J114" s="558">
        <f>H114/DAY(B2)</f>
        <v>0</v>
      </c>
      <c r="N114" s="382"/>
    </row>
    <row r="115" spans="1:14" s="442" customFormat="1" ht="27.75">
      <c r="A115" s="1542" t="s">
        <v>223</v>
      </c>
      <c r="B115" s="1543"/>
      <c r="C115" s="574"/>
      <c r="D115" s="622" t="s">
        <v>143</v>
      </c>
      <c r="E115" s="532">
        <f>'26'!F115</f>
        <v>11916</v>
      </c>
      <c r="F115" s="660">
        <v>11947</v>
      </c>
      <c r="G115" s="534">
        <f>F115-E115</f>
        <v>31</v>
      </c>
      <c r="H115" s="533">
        <f>SUM(G115+'1'!G92)</f>
        <v>31</v>
      </c>
      <c r="I115" s="532"/>
      <c r="J115" s="558">
        <f>H115/DAY(B2)</f>
        <v>1.1481481481481481</v>
      </c>
      <c r="N115" s="382"/>
    </row>
    <row r="116" spans="1:14" s="442" customFormat="1" ht="27.75">
      <c r="A116" s="1542" t="s">
        <v>224</v>
      </c>
      <c r="B116" s="1543"/>
      <c r="C116" s="574"/>
      <c r="D116" s="622" t="s">
        <v>143</v>
      </c>
      <c r="E116" s="532">
        <f>'26'!F116</f>
        <v>8507</v>
      </c>
      <c r="F116" s="660">
        <v>8520</v>
      </c>
      <c r="G116" s="534">
        <f t="shared" ref="G116:G117" si="13">F116-E116</f>
        <v>13</v>
      </c>
      <c r="H116" s="533">
        <f>SUM(G116+'1'!G93)</f>
        <v>31</v>
      </c>
      <c r="I116" s="532"/>
      <c r="J116" s="558">
        <f>H116/DAY(B2)</f>
        <v>1.1481481481481481</v>
      </c>
      <c r="N116" s="382"/>
    </row>
    <row r="117" spans="1:14" s="442" customFormat="1" ht="27.75">
      <c r="A117" s="1542" t="s">
        <v>225</v>
      </c>
      <c r="B117" s="1543"/>
      <c r="C117" s="574"/>
      <c r="D117" s="622" t="s">
        <v>143</v>
      </c>
      <c r="E117" s="534"/>
      <c r="F117" s="660"/>
      <c r="G117" s="534">
        <f t="shared" si="13"/>
        <v>0</v>
      </c>
      <c r="H117" s="533">
        <f>SUM(G117+'1'!G94)</f>
        <v>58</v>
      </c>
      <c r="I117" s="532"/>
      <c r="J117" s="558">
        <f>H117/DAY(B2)</f>
        <v>2.1481481481481484</v>
      </c>
      <c r="N117" s="382"/>
    </row>
    <row r="118" spans="1:14" s="445" customFormat="1" ht="27.75">
      <c r="A118" s="1545" t="s">
        <v>201</v>
      </c>
      <c r="B118" s="1546"/>
      <c r="C118" s="574"/>
      <c r="D118" s="623"/>
      <c r="E118" s="534"/>
      <c r="F118" s="660"/>
      <c r="G118" s="534">
        <f>SUM(G115:G117)</f>
        <v>44</v>
      </c>
      <c r="H118" s="533">
        <f>SUM(G118+'1'!G96)</f>
        <v>84</v>
      </c>
      <c r="I118" s="534"/>
      <c r="J118" s="558">
        <f>H118/DAY(B2)</f>
        <v>3.1111111111111112</v>
      </c>
      <c r="N118" s="382"/>
    </row>
    <row r="119" spans="1:14" s="446" customFormat="1" ht="27.75">
      <c r="A119" s="1576" t="s">
        <v>226</v>
      </c>
      <c r="B119" s="1577"/>
      <c r="C119" s="1138"/>
      <c r="D119" s="624" t="s">
        <v>143</v>
      </c>
      <c r="E119" s="536"/>
      <c r="F119" s="661"/>
      <c r="G119" s="536">
        <f>SUM(G19+G93)</f>
        <v>191</v>
      </c>
      <c r="H119" s="533">
        <f>SUM(G119+'1'!G97)</f>
        <v>204</v>
      </c>
      <c r="I119" s="535"/>
      <c r="J119" s="559">
        <f>H119/DAY(B2)</f>
        <v>7.5555555555555554</v>
      </c>
      <c r="N119" s="382"/>
    </row>
    <row r="120" spans="1:14" s="446" customFormat="1" ht="27.75">
      <c r="A120" s="1576" t="s">
        <v>227</v>
      </c>
      <c r="B120" s="1577"/>
      <c r="C120" s="1138"/>
      <c r="D120" s="624" t="s">
        <v>143</v>
      </c>
      <c r="E120" s="536"/>
      <c r="F120" s="661"/>
      <c r="G120" s="536">
        <f>SUM(G96,G97,G98,G100,G101)</f>
        <v>187</v>
      </c>
      <c r="H120" s="533">
        <f>SUM(G120+'1'!G99)</f>
        <v>194</v>
      </c>
      <c r="I120" s="535"/>
      <c r="J120" s="559">
        <f>H120/DAY(B2)</f>
        <v>7.1851851851851851</v>
      </c>
      <c r="N120" s="382"/>
    </row>
    <row r="121" spans="1:14" s="446" customFormat="1" ht="27.75">
      <c r="A121" s="1576" t="s">
        <v>228</v>
      </c>
      <c r="B121" s="1577"/>
      <c r="C121" s="1138"/>
      <c r="D121" s="624" t="s">
        <v>143</v>
      </c>
      <c r="E121" s="534"/>
      <c r="F121" s="660"/>
      <c r="G121" s="534">
        <f>SUM(G113)</f>
        <v>118</v>
      </c>
      <c r="H121" s="533">
        <f>SUM(G121+'1'!G101)</f>
        <v>122</v>
      </c>
      <c r="I121" s="535"/>
      <c r="J121" s="559">
        <f>H121/DAY(B2)</f>
        <v>4.5185185185185182</v>
      </c>
      <c r="N121" s="382"/>
    </row>
    <row r="122" spans="1:14" s="442" customFormat="1" ht="27.75">
      <c r="A122" s="1578"/>
      <c r="B122" s="1579"/>
      <c r="C122" s="1139"/>
      <c r="D122" s="560"/>
      <c r="E122" s="560"/>
      <c r="F122" s="662"/>
      <c r="G122" s="560"/>
      <c r="H122" s="561"/>
      <c r="I122" s="560"/>
      <c r="J122" s="562"/>
      <c r="N122" s="382"/>
    </row>
    <row r="123" spans="1:14">
      <c r="A123" s="1528" t="s">
        <v>229</v>
      </c>
      <c r="B123" s="1529"/>
      <c r="C123" s="1530"/>
      <c r="D123" s="472"/>
      <c r="E123" s="472"/>
      <c r="F123" s="472"/>
      <c r="G123" s="483"/>
      <c r="H123" s="483"/>
      <c r="I123" s="483"/>
      <c r="J123" s="563"/>
      <c r="K123" s="380"/>
      <c r="L123" s="377"/>
      <c r="N123" s="382"/>
    </row>
    <row r="124" spans="1:14" ht="27.75">
      <c r="A124" s="1141" t="s">
        <v>230</v>
      </c>
      <c r="B124" s="1142"/>
      <c r="C124" s="1142"/>
      <c r="D124" s="523" t="s">
        <v>140</v>
      </c>
      <c r="E124" s="478">
        <f>'26'!F124</f>
        <v>838568</v>
      </c>
      <c r="F124" s="478">
        <v>838862</v>
      </c>
      <c r="G124" s="473">
        <f t="shared" ref="G124:G128" si="14">F124-E124</f>
        <v>294</v>
      </c>
      <c r="H124" s="460">
        <f>G124+'26'!H124</f>
        <v>6496</v>
      </c>
      <c r="I124" s="526">
        <f>G124/5</f>
        <v>58.8</v>
      </c>
      <c r="J124" s="552">
        <f>H124/DAY(B2)</f>
        <v>240.59259259259258</v>
      </c>
      <c r="K124" s="380"/>
      <c r="L124" s="377"/>
      <c r="N124" s="382"/>
    </row>
    <row r="125" spans="1:14" ht="27.75">
      <c r="A125" s="1141" t="s">
        <v>231</v>
      </c>
      <c r="B125" s="1142"/>
      <c r="C125" s="1142"/>
      <c r="D125" s="523" t="s">
        <v>140</v>
      </c>
      <c r="E125" s="478">
        <f>'26'!F125</f>
        <v>73583.399999999994</v>
      </c>
      <c r="F125" s="626">
        <v>73583.399999999994</v>
      </c>
      <c r="G125" s="473">
        <f t="shared" si="14"/>
        <v>0</v>
      </c>
      <c r="H125" s="460">
        <f>G125+'26'!H125</f>
        <v>0</v>
      </c>
      <c r="I125" s="526"/>
      <c r="J125" s="552">
        <f>H125/DAY(B2)</f>
        <v>0</v>
      </c>
      <c r="K125" s="380"/>
      <c r="L125" s="377"/>
      <c r="N125" s="382"/>
    </row>
    <row r="126" spans="1:14" ht="27.75">
      <c r="A126" s="1534" t="s">
        <v>232</v>
      </c>
      <c r="B126" s="1535"/>
      <c r="C126" s="1536"/>
      <c r="D126" s="523" t="s">
        <v>140</v>
      </c>
      <c r="E126" s="478">
        <f>'26'!F126</f>
        <v>148299</v>
      </c>
      <c r="F126" s="626">
        <v>148391</v>
      </c>
      <c r="G126" s="473">
        <f t="shared" si="14"/>
        <v>92</v>
      </c>
      <c r="H126" s="460">
        <f>G126+'26'!H126</f>
        <v>1900</v>
      </c>
      <c r="I126" s="526"/>
      <c r="J126" s="552">
        <f>H126/DAY(B2)</f>
        <v>70.370370370370367</v>
      </c>
      <c r="K126" s="380"/>
      <c r="L126" s="377"/>
      <c r="N126" s="382"/>
    </row>
    <row r="127" spans="1:14" ht="27.75">
      <c r="A127" s="609" t="s">
        <v>233</v>
      </c>
      <c r="B127" s="1142"/>
      <c r="C127" s="1142"/>
      <c r="D127" s="523" t="s">
        <v>140</v>
      </c>
      <c r="E127" s="478">
        <f>'26'!F127</f>
        <v>31939</v>
      </c>
      <c r="F127" s="626">
        <v>31981</v>
      </c>
      <c r="G127" s="473">
        <f t="shared" si="14"/>
        <v>42</v>
      </c>
      <c r="H127" s="460">
        <f>G127+'26'!H127</f>
        <v>575</v>
      </c>
      <c r="I127" s="526"/>
      <c r="J127" s="552">
        <f>H127/DAY(B2)</f>
        <v>21.296296296296298</v>
      </c>
      <c r="K127" s="380"/>
      <c r="L127" s="377"/>
      <c r="N127" s="382"/>
    </row>
    <row r="128" spans="1:14" ht="27.75">
      <c r="A128" s="609" t="s">
        <v>234</v>
      </c>
      <c r="B128" s="1142"/>
      <c r="C128" s="1142"/>
      <c r="D128" s="523" t="s">
        <v>140</v>
      </c>
      <c r="E128" s="478">
        <f>'26'!F128</f>
        <v>8999</v>
      </c>
      <c r="F128" s="626">
        <v>9006</v>
      </c>
      <c r="G128" s="473">
        <f t="shared" si="14"/>
        <v>7</v>
      </c>
      <c r="H128" s="460">
        <f>G128+'26'!H128</f>
        <v>34</v>
      </c>
      <c r="I128" s="480"/>
      <c r="J128" s="552">
        <f>H128/DAY(B2)</f>
        <v>1.2592592592592593</v>
      </c>
      <c r="K128" s="380"/>
      <c r="L128" s="377"/>
      <c r="N128" s="382"/>
    </row>
    <row r="129" spans="1:14" s="281" customFormat="1" ht="27.75">
      <c r="A129" s="609" t="s">
        <v>235</v>
      </c>
      <c r="B129" s="1142"/>
      <c r="C129" s="1142"/>
      <c r="D129" s="523"/>
      <c r="E129" s="478"/>
      <c r="F129" s="478"/>
      <c r="G129" s="473">
        <f>G15-SUM(G124:G128)</f>
        <v>369</v>
      </c>
      <c r="H129" s="460">
        <f>G129+'26'!H129</f>
        <v>4641</v>
      </c>
      <c r="I129" s="480"/>
      <c r="J129" s="552">
        <f>H129/DAY(B2)</f>
        <v>171.88888888888889</v>
      </c>
      <c r="K129" s="364"/>
      <c r="L129" s="292"/>
      <c r="N129" s="382"/>
    </row>
    <row r="130" spans="1:14">
      <c r="A130" s="610" t="s">
        <v>236</v>
      </c>
      <c r="B130" s="458"/>
      <c r="C130" s="458"/>
      <c r="D130" s="471"/>
      <c r="E130" s="471"/>
      <c r="F130" s="471"/>
      <c r="G130" s="540"/>
      <c r="H130" s="540"/>
      <c r="I130" s="540"/>
      <c r="J130" s="564"/>
      <c r="N130" s="382"/>
    </row>
    <row r="131" spans="1:14" ht="27.75">
      <c r="A131" s="1141" t="s">
        <v>237</v>
      </c>
      <c r="B131" s="1142"/>
      <c r="C131" s="1142"/>
      <c r="D131" s="523" t="s">
        <v>238</v>
      </c>
      <c r="E131" s="484">
        <f>'26'!F131</f>
        <v>0</v>
      </c>
      <c r="F131" s="478" t="s">
        <v>214</v>
      </c>
      <c r="G131" s="473" t="e">
        <f t="shared" ref="G131:G141" si="15">F131-E131</f>
        <v>#VALUE!</v>
      </c>
      <c r="H131" s="460" t="e">
        <f>G131+'26'!H131</f>
        <v>#VALUE!</v>
      </c>
      <c r="I131" s="480"/>
      <c r="J131" s="552" t="e">
        <f>H131/DAY(B2)</f>
        <v>#VALUE!</v>
      </c>
      <c r="N131" s="382"/>
    </row>
    <row r="132" spans="1:14" ht="27.75">
      <c r="A132" s="1141" t="s">
        <v>239</v>
      </c>
      <c r="B132" s="1142"/>
      <c r="C132" s="1142"/>
      <c r="D132" s="523" t="s">
        <v>238</v>
      </c>
      <c r="E132" s="484">
        <f>'26'!F132</f>
        <v>0</v>
      </c>
      <c r="F132" s="478">
        <v>0</v>
      </c>
      <c r="G132" s="473">
        <f t="shared" si="15"/>
        <v>0</v>
      </c>
      <c r="H132" s="460">
        <f>G132+'26'!H132</f>
        <v>0</v>
      </c>
      <c r="I132" s="480"/>
      <c r="J132" s="552">
        <f>H132/DAY(B2)</f>
        <v>0</v>
      </c>
      <c r="N132" s="382"/>
    </row>
    <row r="133" spans="1:14" ht="27.75">
      <c r="A133" s="1141" t="s">
        <v>240</v>
      </c>
      <c r="B133" s="1142"/>
      <c r="C133" s="1142"/>
      <c r="D133" s="523" t="s">
        <v>238</v>
      </c>
      <c r="E133" s="484">
        <f>'26'!F133</f>
        <v>40379</v>
      </c>
      <c r="F133" s="485">
        <v>40403</v>
      </c>
      <c r="G133" s="473">
        <f t="shared" si="15"/>
        <v>24</v>
      </c>
      <c r="H133" s="460">
        <f>G133+'26'!H133</f>
        <v>367.90000000000146</v>
      </c>
      <c r="I133" s="480"/>
      <c r="J133" s="552">
        <f>H133/DAY(B2)</f>
        <v>13.62592592592598</v>
      </c>
      <c r="N133" s="382"/>
    </row>
    <row r="134" spans="1:14" ht="27.75">
      <c r="A134" s="1141" t="s">
        <v>241</v>
      </c>
      <c r="B134" s="1142"/>
      <c r="C134" s="1142"/>
      <c r="D134" s="523" t="s">
        <v>238</v>
      </c>
      <c r="E134" s="484">
        <f>'26'!F134</f>
        <v>300</v>
      </c>
      <c r="F134" s="652">
        <v>300</v>
      </c>
      <c r="G134" s="473">
        <f t="shared" si="15"/>
        <v>0</v>
      </c>
      <c r="H134" s="460">
        <f>G134+'26'!H134</f>
        <v>0</v>
      </c>
      <c r="I134" s="480" t="e">
        <f>G131+G132+G133+G134</f>
        <v>#VALUE!</v>
      </c>
      <c r="J134" s="552">
        <f>H134/DAY(B2)</f>
        <v>0</v>
      </c>
      <c r="N134" s="382"/>
    </row>
    <row r="135" spans="1:14" ht="27.75">
      <c r="A135" s="1141" t="s">
        <v>242</v>
      </c>
      <c r="B135" s="1142"/>
      <c r="C135" s="1142"/>
      <c r="D135" s="523" t="s">
        <v>238</v>
      </c>
      <c r="E135" s="484">
        <f>'26'!F135</f>
        <v>41932.410000000003</v>
      </c>
      <c r="F135" s="485">
        <v>41943.17</v>
      </c>
      <c r="G135" s="473">
        <f t="shared" si="15"/>
        <v>10.759999999994761</v>
      </c>
      <c r="H135" s="460">
        <f>G135+'26'!H135</f>
        <v>103.72999999999593</v>
      </c>
      <c r="I135" s="480"/>
      <c r="J135" s="552">
        <f>H135/DAY(B2)</f>
        <v>3.8418518518517009</v>
      </c>
      <c r="N135" s="382"/>
    </row>
    <row r="136" spans="1:14" ht="27.75">
      <c r="A136" s="1141" t="s">
        <v>243</v>
      </c>
      <c r="B136" s="1142"/>
      <c r="C136" s="1142"/>
      <c r="D136" s="523" t="s">
        <v>238</v>
      </c>
      <c r="E136" s="484">
        <f>'26'!F136</f>
        <v>32874</v>
      </c>
      <c r="F136" s="485">
        <v>32874</v>
      </c>
      <c r="G136" s="473">
        <f t="shared" si="15"/>
        <v>0</v>
      </c>
      <c r="H136" s="460">
        <f>G136+'26'!H136</f>
        <v>12.94999999999709</v>
      </c>
      <c r="I136" s="480"/>
      <c r="J136" s="552">
        <f>H136/DAY(B2)</f>
        <v>0.47962962962952183</v>
      </c>
      <c r="N136" s="382"/>
    </row>
    <row r="137" spans="1:14" ht="27.75">
      <c r="A137" s="1141" t="s">
        <v>244</v>
      </c>
      <c r="B137" s="1142"/>
      <c r="C137" s="1142"/>
      <c r="D137" s="523" t="s">
        <v>238</v>
      </c>
      <c r="E137" s="484">
        <f>'26'!F137</f>
        <v>22873.99</v>
      </c>
      <c r="F137" s="485">
        <v>22878.47</v>
      </c>
      <c r="G137" s="473">
        <f t="shared" si="15"/>
        <v>4.4799999999995634</v>
      </c>
      <c r="H137" s="460">
        <f>G137+'26'!H137</f>
        <v>71.229999999999563</v>
      </c>
      <c r="I137" s="480">
        <f>G135+G136+G137</f>
        <v>15.239999999994325</v>
      </c>
      <c r="J137" s="552">
        <f>H137/DAY(B2)</f>
        <v>2.6381481481481321</v>
      </c>
      <c r="N137" s="382"/>
    </row>
    <row r="138" spans="1:14" ht="27.75">
      <c r="A138" s="1141" t="s">
        <v>245</v>
      </c>
      <c r="B138" s="1142"/>
      <c r="C138" s="1142"/>
      <c r="D138" s="523" t="s">
        <v>238</v>
      </c>
      <c r="E138" s="484">
        <f>'26'!F138</f>
        <v>25091</v>
      </c>
      <c r="F138" s="652">
        <v>25091.39</v>
      </c>
      <c r="G138" s="473">
        <f t="shared" si="15"/>
        <v>0.38999999999941792</v>
      </c>
      <c r="H138" s="460">
        <f>G138+'26'!H138</f>
        <v>17.5</v>
      </c>
      <c r="I138" s="480"/>
      <c r="J138" s="552">
        <f>H138/DAY(B2)</f>
        <v>0.64814814814814814</v>
      </c>
      <c r="N138" s="382"/>
    </row>
    <row r="139" spans="1:14" ht="27.75">
      <c r="A139" s="1141" t="s">
        <v>246</v>
      </c>
      <c r="B139" s="1142"/>
      <c r="C139" s="1142"/>
      <c r="D139" s="523" t="s">
        <v>238</v>
      </c>
      <c r="E139" s="484">
        <f>'26'!F139</f>
        <v>70503.92</v>
      </c>
      <c r="F139" s="485">
        <v>70509</v>
      </c>
      <c r="G139" s="473">
        <f t="shared" si="15"/>
        <v>5.0800000000017462</v>
      </c>
      <c r="H139" s="460">
        <f>G139+'26'!H139</f>
        <v>27.270000000004075</v>
      </c>
      <c r="I139" s="480">
        <f>G138+G139</f>
        <v>5.4700000000011642</v>
      </c>
      <c r="J139" s="552">
        <f>H139/DAY(B2)</f>
        <v>1.010000000000151</v>
      </c>
      <c r="N139" s="382"/>
    </row>
    <row r="140" spans="1:14" ht="27.75">
      <c r="A140" s="1141" t="s">
        <v>247</v>
      </c>
      <c r="B140" s="1142"/>
      <c r="C140" s="1142"/>
      <c r="D140" s="523" t="s">
        <v>238</v>
      </c>
      <c r="E140" s="484">
        <f>'26'!F140</f>
        <v>2088.5</v>
      </c>
      <c r="F140" s="485">
        <v>2099</v>
      </c>
      <c r="G140" s="473">
        <f t="shared" si="15"/>
        <v>10.5</v>
      </c>
      <c r="H140" s="460">
        <f>G140+'26'!H140</f>
        <v>244.70000000000005</v>
      </c>
      <c r="I140" s="542"/>
      <c r="J140" s="552">
        <f>H140/DAY(B2)</f>
        <v>9.0629629629629651</v>
      </c>
      <c r="N140" s="382"/>
    </row>
    <row r="141" spans="1:14" ht="27.75">
      <c r="A141" s="1141" t="s">
        <v>248</v>
      </c>
      <c r="B141" s="1142"/>
      <c r="C141" s="1142"/>
      <c r="D141" s="523" t="s">
        <v>238</v>
      </c>
      <c r="E141" s="484">
        <f>'26'!F141</f>
        <v>4636.88</v>
      </c>
      <c r="F141" s="478">
        <v>4636.88</v>
      </c>
      <c r="G141" s="473">
        <f t="shared" si="15"/>
        <v>0</v>
      </c>
      <c r="H141" s="460">
        <f>G141+'26'!H141</f>
        <v>-0.11999999999989086</v>
      </c>
      <c r="I141" s="542"/>
      <c r="J141" s="552">
        <f>H141/DAY(B2)</f>
        <v>-4.4444444444404025E-3</v>
      </c>
      <c r="N141" s="382"/>
    </row>
    <row r="142" spans="1:14">
      <c r="A142" s="1572" t="s">
        <v>249</v>
      </c>
      <c r="B142" s="1573"/>
      <c r="C142" s="1147"/>
      <c r="D142" s="472"/>
      <c r="E142" s="472"/>
      <c r="F142" s="472" t="s">
        <v>214</v>
      </c>
      <c r="G142" s="483"/>
      <c r="H142" s="483"/>
      <c r="I142" s="483"/>
      <c r="J142" s="563"/>
      <c r="K142" s="380"/>
      <c r="L142" s="377"/>
      <c r="N142" s="382"/>
    </row>
    <row r="143" spans="1:14" ht="27.75">
      <c r="A143" s="1537" t="s">
        <v>250</v>
      </c>
      <c r="B143" s="1538"/>
      <c r="C143" s="1539"/>
      <c r="D143" s="523" t="s">
        <v>131</v>
      </c>
      <c r="E143" s="523"/>
      <c r="F143" s="523"/>
      <c r="G143" s="460">
        <f>G35+G43+G49+G57</f>
        <v>6119.1300000000047</v>
      </c>
      <c r="H143" s="460">
        <f>G143+'26'!H143</f>
        <v>138561.07000000007</v>
      </c>
      <c r="I143" s="480"/>
      <c r="J143" s="552">
        <f>H143/DAY(B2)</f>
        <v>5131.8914814814843</v>
      </c>
      <c r="K143" s="380"/>
      <c r="L143" s="377"/>
      <c r="N143" s="382"/>
    </row>
    <row r="144" spans="1:14" ht="27.75">
      <c r="A144" s="1537" t="s">
        <v>251</v>
      </c>
      <c r="B144" s="1538"/>
      <c r="C144" s="1539"/>
      <c r="D144" s="523" t="s">
        <v>24</v>
      </c>
      <c r="E144" s="511"/>
      <c r="F144" s="511"/>
      <c r="G144" s="543">
        <f>G143/G7</f>
        <v>0.27953997259022406</v>
      </c>
      <c r="H144" s="460">
        <f>G144+'26'!H144</f>
        <v>7.2477262732863537</v>
      </c>
      <c r="I144" s="544"/>
      <c r="J144" s="552">
        <f>H144/DAY(B2)</f>
        <v>0.26843430641801308</v>
      </c>
      <c r="K144" s="380"/>
      <c r="L144" s="377"/>
      <c r="N144" s="382"/>
    </row>
    <row r="145" spans="1:14" ht="27.75">
      <c r="A145" s="1537" t="s">
        <v>252</v>
      </c>
      <c r="B145" s="1538"/>
      <c r="C145" s="1539"/>
      <c r="D145" s="523" t="s">
        <v>131</v>
      </c>
      <c r="E145" s="455"/>
      <c r="F145" s="455"/>
      <c r="G145" s="460">
        <f>G41+G42+G55+G56</f>
        <v>6445</v>
      </c>
      <c r="H145" s="460">
        <f>G145+'26'!H145</f>
        <v>153297.03</v>
      </c>
      <c r="I145" s="480"/>
      <c r="J145" s="552">
        <f>H145/DAY(B2)</f>
        <v>5677.6677777777777</v>
      </c>
      <c r="K145" s="380"/>
      <c r="L145" s="377"/>
      <c r="N145" s="382"/>
    </row>
    <row r="146" spans="1:14" ht="27.75">
      <c r="A146" s="1537" t="s">
        <v>253</v>
      </c>
      <c r="B146" s="1538"/>
      <c r="C146" s="1539"/>
      <c r="D146" s="523" t="s">
        <v>24</v>
      </c>
      <c r="E146" s="455"/>
      <c r="F146" s="455"/>
      <c r="G146" s="543">
        <f>G145/G7</f>
        <v>0.29442667884878942</v>
      </c>
      <c r="H146" s="460">
        <f>G146+'26'!H146</f>
        <v>7.9688698440638204</v>
      </c>
      <c r="I146" s="544"/>
      <c r="J146" s="552">
        <f>H146/DAY(B2)</f>
        <v>0.29514332755791928</v>
      </c>
      <c r="K146" s="380"/>
      <c r="L146" s="377"/>
      <c r="N146" s="382"/>
    </row>
    <row r="147" spans="1:14" ht="27.75">
      <c r="A147" s="1537" t="s">
        <v>254</v>
      </c>
      <c r="B147" s="1538"/>
      <c r="C147" s="1539"/>
      <c r="D147" s="523" t="s">
        <v>131</v>
      </c>
      <c r="E147" s="455"/>
      <c r="F147" s="455"/>
      <c r="G147" s="460">
        <f>G39+G53</f>
        <v>3715</v>
      </c>
      <c r="H147" s="460">
        <f>G147+'26'!H147</f>
        <v>87366</v>
      </c>
      <c r="I147" s="545"/>
      <c r="J147" s="552">
        <f>H147/DAY(B2)</f>
        <v>3235.7777777777778</v>
      </c>
      <c r="K147" s="380"/>
      <c r="L147" s="377"/>
      <c r="N147" s="382"/>
    </row>
    <row r="148" spans="1:14" ht="27.75">
      <c r="A148" s="1537" t="s">
        <v>255</v>
      </c>
      <c r="B148" s="1538"/>
      <c r="C148" s="1539"/>
      <c r="D148" s="523" t="s">
        <v>24</v>
      </c>
      <c r="E148" s="455"/>
      <c r="F148" s="455"/>
      <c r="G148" s="543">
        <f>G147/G7</f>
        <v>0.16971219735038831</v>
      </c>
      <c r="H148" s="460">
        <f>G148+'26'!H148</f>
        <v>4.5608537754554082</v>
      </c>
      <c r="I148" s="545"/>
      <c r="J148" s="552">
        <f>H148/DAY(B2)</f>
        <v>0.16892051020205215</v>
      </c>
      <c r="N148" s="382"/>
    </row>
    <row r="149" spans="1:14" ht="27.75">
      <c r="A149" s="1537" t="s">
        <v>256</v>
      </c>
      <c r="B149" s="1538"/>
      <c r="C149" s="1539"/>
      <c r="D149" s="523" t="s">
        <v>182</v>
      </c>
      <c r="E149" s="455"/>
      <c r="F149" s="455"/>
      <c r="G149" s="460">
        <f>G38+G52</f>
        <v>1712.9300000000512</v>
      </c>
      <c r="H149" s="460">
        <f>G149+'26'!H149</f>
        <v>37430</v>
      </c>
      <c r="I149" s="480"/>
      <c r="J149" s="552">
        <f>H149/DAY(B2)</f>
        <v>1386.2962962962963</v>
      </c>
      <c r="K149" s="381"/>
      <c r="N149" s="382"/>
    </row>
    <row r="150" spans="1:14" ht="27.75">
      <c r="A150" s="1537" t="s">
        <v>257</v>
      </c>
      <c r="B150" s="1538"/>
      <c r="C150" s="1539"/>
      <c r="D150" s="523" t="s">
        <v>24</v>
      </c>
      <c r="E150" s="455"/>
      <c r="F150" s="455"/>
      <c r="G150" s="543">
        <f>G149/G7</f>
        <v>7.8251713111011936E-2</v>
      </c>
      <c r="H150" s="460">
        <f>G150+'26'!H150</f>
        <v>1.9467102306760071</v>
      </c>
      <c r="I150" s="545"/>
      <c r="J150" s="552">
        <f>H150/DAY(B2)</f>
        <v>7.2100378913926191E-2</v>
      </c>
      <c r="N150" s="382"/>
    </row>
    <row r="151" spans="1:14" ht="27.75">
      <c r="A151" s="1537" t="s">
        <v>258</v>
      </c>
      <c r="B151" s="1538"/>
      <c r="C151" s="1539"/>
      <c r="D151" s="523" t="s">
        <v>182</v>
      </c>
      <c r="E151" s="455"/>
      <c r="F151" s="455"/>
      <c r="G151" s="460">
        <f>G36+G50</f>
        <v>1886</v>
      </c>
      <c r="H151" s="460">
        <f>G151+'26'!H151</f>
        <v>47649</v>
      </c>
      <c r="I151" s="545"/>
      <c r="J151" s="552">
        <f>H151/DAY(B2)</f>
        <v>1764.7777777777778</v>
      </c>
      <c r="N151" s="382"/>
    </row>
    <row r="152" spans="1:14" ht="27.75">
      <c r="A152" s="1537" t="s">
        <v>259</v>
      </c>
      <c r="B152" s="1538"/>
      <c r="C152" s="1539"/>
      <c r="D152" s="523" t="s">
        <v>24</v>
      </c>
      <c r="E152" s="455"/>
      <c r="F152" s="455"/>
      <c r="G152" s="543">
        <f>G151/G7</f>
        <v>8.6158063042485147E-2</v>
      </c>
      <c r="H152" s="460">
        <f>G152+'26'!H152</f>
        <v>2.4600784150913477</v>
      </c>
      <c r="I152" s="480"/>
      <c r="J152" s="552">
        <f>H152/DAY(B2)</f>
        <v>9.1114015373753618E-2</v>
      </c>
      <c r="N152" s="382"/>
    </row>
    <row r="153" spans="1:14" ht="27.75">
      <c r="A153" s="1537" t="s">
        <v>260</v>
      </c>
      <c r="B153" s="1538"/>
      <c r="C153" s="1539"/>
      <c r="D153" s="523" t="s">
        <v>182</v>
      </c>
      <c r="E153" s="455"/>
      <c r="F153" s="455"/>
      <c r="G153" s="460">
        <f>G37+G51</f>
        <v>1492.1300000000047</v>
      </c>
      <c r="H153" s="460">
        <f>G153+'26'!H153</f>
        <v>38051</v>
      </c>
      <c r="I153" s="480"/>
      <c r="J153" s="552">
        <f>H153/DAY(B2)</f>
        <v>1409.2962962962963</v>
      </c>
      <c r="N153" s="382"/>
    </row>
    <row r="154" spans="1:14" ht="28.5" thickBot="1">
      <c r="A154" s="1569" t="s">
        <v>261</v>
      </c>
      <c r="B154" s="1570"/>
      <c r="C154" s="1571"/>
      <c r="D154" s="625" t="s">
        <v>24</v>
      </c>
      <c r="E154" s="565"/>
      <c r="F154" s="565"/>
      <c r="G154" s="566">
        <f>G153/G7</f>
        <v>6.8164915486523744E-2</v>
      </c>
      <c r="H154" s="460">
        <f>G154+'26'!H154</f>
        <v>1.9967397978106847</v>
      </c>
      <c r="I154" s="568"/>
      <c r="J154" s="569">
        <f>H154/DAY(B2)</f>
        <v>7.395332584484017E-2</v>
      </c>
      <c r="N154" s="382"/>
    </row>
    <row r="155" spans="1:14">
      <c r="A155" s="466"/>
      <c r="B155" s="456"/>
      <c r="C155" s="456"/>
      <c r="D155" s="546"/>
      <c r="E155" s="546"/>
      <c r="F155" s="663"/>
      <c r="G155" s="546"/>
      <c r="H155" s="547"/>
      <c r="I155" s="546"/>
      <c r="J155" s="548"/>
      <c r="N155" s="382"/>
    </row>
    <row r="161" spans="1:14">
      <c r="A161" s="785" t="s">
        <v>262</v>
      </c>
      <c r="B161" s="786"/>
      <c r="C161" s="786"/>
      <c r="D161" s="511" t="s">
        <v>186</v>
      </c>
      <c r="E161" s="541">
        <f>'26'!F161</f>
        <v>40522</v>
      </c>
      <c r="F161" s="659">
        <v>40600</v>
      </c>
      <c r="G161" s="473">
        <f t="shared" ref="G161:G164" si="16">F161-E161</f>
        <v>78</v>
      </c>
    </row>
    <row r="162" spans="1:14">
      <c r="A162" s="785" t="s">
        <v>263</v>
      </c>
      <c r="B162" s="786"/>
      <c r="C162" s="786"/>
      <c r="D162" s="511" t="s">
        <v>186</v>
      </c>
      <c r="E162" s="541">
        <f>'26'!F162</f>
        <v>105953</v>
      </c>
      <c r="F162" s="659">
        <v>106382</v>
      </c>
      <c r="G162" s="473">
        <f t="shared" si="16"/>
        <v>429</v>
      </c>
    </row>
    <row r="163" spans="1:14">
      <c r="A163" s="785" t="s">
        <v>264</v>
      </c>
      <c r="B163" s="786"/>
      <c r="C163" s="786"/>
      <c r="D163" s="511" t="s">
        <v>186</v>
      </c>
      <c r="E163" s="541">
        <f>'26'!F163</f>
        <v>60403</v>
      </c>
      <c r="F163" s="659">
        <v>60608</v>
      </c>
      <c r="G163" s="473">
        <f t="shared" si="16"/>
        <v>205</v>
      </c>
    </row>
    <row r="164" spans="1:14">
      <c r="A164" s="785" t="s">
        <v>265</v>
      </c>
      <c r="B164" s="786"/>
      <c r="C164" s="786"/>
      <c r="D164" s="511" t="s">
        <v>186</v>
      </c>
      <c r="E164" s="541">
        <f>'26'!F164</f>
        <v>6810</v>
      </c>
      <c r="F164" s="659">
        <v>6820</v>
      </c>
      <c r="G164" s="473">
        <f t="shared" si="16"/>
        <v>10</v>
      </c>
    </row>
    <row r="165" spans="1:14">
      <c r="A165" s="787" t="s">
        <v>97</v>
      </c>
      <c r="B165" s="604"/>
      <c r="C165" s="604"/>
      <c r="D165" s="511" t="s">
        <v>186</v>
      </c>
      <c r="E165" s="514">
        <f>E62</f>
        <v>20419</v>
      </c>
      <c r="F165" s="514">
        <f>F62</f>
        <v>20419</v>
      </c>
      <c r="G165" s="473">
        <f t="shared" ref="G165:G172" si="17">F165-E165</f>
        <v>0</v>
      </c>
    </row>
    <row r="166" spans="1:14">
      <c r="A166" s="787" t="s">
        <v>187</v>
      </c>
      <c r="B166" s="604"/>
      <c r="C166" s="604"/>
      <c r="D166" s="511" t="s">
        <v>186</v>
      </c>
      <c r="E166" s="514">
        <f t="shared" ref="E166:E172" si="18">E63</f>
        <v>0</v>
      </c>
      <c r="F166" s="514">
        <f t="shared" ref="F166:F172" si="19">F63</f>
        <v>0</v>
      </c>
      <c r="G166" s="473">
        <f t="shared" si="17"/>
        <v>0</v>
      </c>
    </row>
    <row r="167" spans="1:14" ht="27.75">
      <c r="A167" s="1586" t="s">
        <v>98</v>
      </c>
      <c r="B167" s="1586"/>
      <c r="C167" s="1586"/>
      <c r="D167" s="523" t="s">
        <v>186</v>
      </c>
      <c r="E167" s="514">
        <f t="shared" si="18"/>
        <v>168532</v>
      </c>
      <c r="F167" s="514">
        <f t="shared" si="19"/>
        <v>168917</v>
      </c>
      <c r="G167" s="473">
        <f t="shared" si="17"/>
        <v>385</v>
      </c>
    </row>
    <row r="168" spans="1:14" ht="27.75">
      <c r="A168" s="1586" t="s">
        <v>99</v>
      </c>
      <c r="B168" s="1586"/>
      <c r="C168" s="1586"/>
      <c r="D168" s="523" t="s">
        <v>186</v>
      </c>
      <c r="E168" s="514">
        <f t="shared" si="18"/>
        <v>168685</v>
      </c>
      <c r="F168" s="514">
        <f t="shared" si="19"/>
        <v>169043</v>
      </c>
      <c r="G168" s="473">
        <f t="shared" si="17"/>
        <v>358</v>
      </c>
    </row>
    <row r="169" spans="1:14" ht="27.75">
      <c r="A169" s="1586" t="s">
        <v>100</v>
      </c>
      <c r="B169" s="1586"/>
      <c r="C169" s="1586"/>
      <c r="D169" s="523" t="s">
        <v>186</v>
      </c>
      <c r="E169" s="514">
        <f t="shared" si="18"/>
        <v>66280</v>
      </c>
      <c r="F169" s="514">
        <f t="shared" si="19"/>
        <v>66654</v>
      </c>
      <c r="G169" s="473">
        <f t="shared" si="17"/>
        <v>374</v>
      </c>
    </row>
    <row r="170" spans="1:14" ht="27.75">
      <c r="A170" s="1586" t="s">
        <v>101</v>
      </c>
      <c r="B170" s="1586"/>
      <c r="C170" s="1586"/>
      <c r="D170" s="523" t="s">
        <v>186</v>
      </c>
      <c r="E170" s="514">
        <f t="shared" si="18"/>
        <v>263178</v>
      </c>
      <c r="F170" s="514">
        <f t="shared" si="19"/>
        <v>263648</v>
      </c>
      <c r="G170" s="473">
        <f t="shared" si="17"/>
        <v>470</v>
      </c>
    </row>
    <row r="171" spans="1:14" ht="27.75">
      <c r="A171" s="1586" t="s">
        <v>102</v>
      </c>
      <c r="B171" s="1586"/>
      <c r="C171" s="1586"/>
      <c r="D171" s="523" t="s">
        <v>186</v>
      </c>
      <c r="E171" s="514">
        <f t="shared" si="18"/>
        <v>85321</v>
      </c>
      <c r="F171" s="514">
        <f t="shared" si="19"/>
        <v>85321</v>
      </c>
      <c r="G171" s="473">
        <f t="shared" si="17"/>
        <v>0</v>
      </c>
    </row>
    <row r="172" spans="1:14" ht="27.75">
      <c r="A172" s="1586" t="s">
        <v>103</v>
      </c>
      <c r="B172" s="1586"/>
      <c r="C172" s="1586"/>
      <c r="D172" s="523" t="s">
        <v>186</v>
      </c>
      <c r="E172" s="514">
        <f t="shared" si="18"/>
        <v>86501</v>
      </c>
      <c r="F172" s="514">
        <f t="shared" si="19"/>
        <v>86824</v>
      </c>
      <c r="G172" s="473">
        <f t="shared" si="17"/>
        <v>323</v>
      </c>
    </row>
    <row r="173" spans="1:14">
      <c r="G173" s="539">
        <f>SUM(G161:G172)</f>
        <v>2632</v>
      </c>
    </row>
    <row r="174" spans="1:14" s="806" customFormat="1" ht="27">
      <c r="A174" s="1586" t="s">
        <v>347</v>
      </c>
      <c r="B174" s="1586"/>
      <c r="C174" s="1586"/>
      <c r="D174" s="1502" t="s">
        <v>186</v>
      </c>
      <c r="E174" s="1503">
        <v>28215</v>
      </c>
      <c r="F174" s="1503">
        <v>28218</v>
      </c>
      <c r="G174" s="1504">
        <f t="shared" ref="G174:G177" si="20">F174-E174</f>
        <v>3</v>
      </c>
      <c r="H174" s="1505"/>
      <c r="I174" s="454"/>
      <c r="J174" s="1506"/>
      <c r="N174" s="1008"/>
    </row>
    <row r="175" spans="1:14" s="806" customFormat="1" ht="27">
      <c r="A175" s="1596" t="s">
        <v>357</v>
      </c>
      <c r="B175" s="1579"/>
      <c r="C175" s="785"/>
      <c r="D175" s="1502" t="s">
        <v>186</v>
      </c>
      <c r="E175" s="1503">
        <v>18984</v>
      </c>
      <c r="F175" s="1503">
        <v>18988</v>
      </c>
      <c r="G175" s="1504">
        <f t="shared" si="20"/>
        <v>4</v>
      </c>
      <c r="H175" s="1505"/>
      <c r="I175" s="454"/>
      <c r="J175" s="1506"/>
      <c r="N175" s="1008"/>
    </row>
    <row r="176" spans="1:14" s="806" customFormat="1" ht="27">
      <c r="A176" s="1596" t="s">
        <v>358</v>
      </c>
      <c r="B176" s="1579"/>
      <c r="C176" s="454"/>
      <c r="D176" s="1502" t="s">
        <v>186</v>
      </c>
      <c r="E176" s="1507">
        <v>27612</v>
      </c>
      <c r="F176" s="1507">
        <v>27616</v>
      </c>
      <c r="G176" s="1504">
        <f t="shared" si="20"/>
        <v>4</v>
      </c>
      <c r="H176" s="1505"/>
      <c r="I176" s="454"/>
      <c r="J176" s="1506"/>
      <c r="N176" s="1008"/>
    </row>
    <row r="177" spans="1:14" s="281" customFormat="1" ht="22.5" customHeight="1">
      <c r="A177" s="1596" t="s">
        <v>357</v>
      </c>
      <c r="B177" s="1579"/>
      <c r="C177" s="454"/>
      <c r="D177" s="1502" t="s">
        <v>186</v>
      </c>
      <c r="E177" s="1503">
        <v>70278</v>
      </c>
      <c r="F177" s="1503">
        <v>70305</v>
      </c>
      <c r="G177" s="1504">
        <f t="shared" si="20"/>
        <v>27</v>
      </c>
      <c r="H177" s="1505"/>
      <c r="I177" s="454"/>
      <c r="J177" s="1508"/>
      <c r="N177" s="1508"/>
    </row>
  </sheetData>
  <mergeCells count="78">
    <mergeCell ref="A172:C172"/>
    <mergeCell ref="A167:C167"/>
    <mergeCell ref="A168:C168"/>
    <mergeCell ref="A169:C169"/>
    <mergeCell ref="A170:C170"/>
    <mergeCell ref="A171:C171"/>
    <mergeCell ref="A120:B120"/>
    <mergeCell ref="A121:B121"/>
    <mergeCell ref="A122:B122"/>
    <mergeCell ref="A115:B115"/>
    <mergeCell ref="A116:B116"/>
    <mergeCell ref="A117:B117"/>
    <mergeCell ref="A118:B118"/>
    <mergeCell ref="A119:B119"/>
    <mergeCell ref="A153:C153"/>
    <mergeCell ref="A154:C154"/>
    <mergeCell ref="A144:C144"/>
    <mergeCell ref="A150:C150"/>
    <mergeCell ref="A151:C151"/>
    <mergeCell ref="A152:C152"/>
    <mergeCell ref="A145:C145"/>
    <mergeCell ref="A146:C146"/>
    <mergeCell ref="A147:C147"/>
    <mergeCell ref="A148:C148"/>
    <mergeCell ref="A149:C149"/>
    <mergeCell ref="A143:C143"/>
    <mergeCell ref="A126:C126"/>
    <mergeCell ref="A102:C102"/>
    <mergeCell ref="A123:C123"/>
    <mergeCell ref="A142:B142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12:B112"/>
    <mergeCell ref="A113:B113"/>
    <mergeCell ref="A114:B114"/>
    <mergeCell ref="A79:C79"/>
    <mergeCell ref="A80:C80"/>
    <mergeCell ref="A94:C94"/>
    <mergeCell ref="A95:C95"/>
    <mergeCell ref="A96:C96"/>
    <mergeCell ref="A81:C81"/>
    <mergeCell ref="A82:C82"/>
    <mergeCell ref="A83:C83"/>
    <mergeCell ref="A93:C93"/>
    <mergeCell ref="A1:J1"/>
    <mergeCell ref="A6:C6"/>
    <mergeCell ref="A14:C14"/>
    <mergeCell ref="A17:C17"/>
    <mergeCell ref="E3:F3"/>
    <mergeCell ref="A76:C76"/>
    <mergeCell ref="A77:C77"/>
    <mergeCell ref="A18:C18"/>
    <mergeCell ref="A19:C19"/>
    <mergeCell ref="A21:C21"/>
    <mergeCell ref="A33:J33"/>
    <mergeCell ref="A25:C25"/>
    <mergeCell ref="A174:C174"/>
    <mergeCell ref="A176:B176"/>
    <mergeCell ref="A177:B177"/>
    <mergeCell ref="A175:B175"/>
    <mergeCell ref="A64:C64"/>
    <mergeCell ref="A65:C65"/>
    <mergeCell ref="A66:C66"/>
    <mergeCell ref="A67:C67"/>
    <mergeCell ref="A68:C68"/>
    <mergeCell ref="A69:C69"/>
    <mergeCell ref="A72:C72"/>
    <mergeCell ref="A73:C73"/>
    <mergeCell ref="A74:C74"/>
    <mergeCell ref="A71:J71"/>
    <mergeCell ref="A70:C70"/>
    <mergeCell ref="A75:C75"/>
  </mergeCells>
  <pageMargins left="0.23622047244094491" right="0.15748031496062992" top="0.15748031496062992" bottom="0.19685039370078741" header="0.19685039370078741" footer="0.19685039370078741"/>
  <pageSetup paperSize="5" scale="20" orientation="portrait" r:id="rId1"/>
  <legacyDrawing r:id="rId2"/>
</worksheet>
</file>

<file path=xl/worksheets/sheet3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Q175"/>
  <sheetViews>
    <sheetView view="pageBreakPreview" topLeftCell="A67" zoomScale="55" zoomScaleNormal="80" zoomScaleSheetLayoutView="55" workbookViewId="0">
      <selection activeCell="A174" sqref="A174:D175"/>
    </sheetView>
  </sheetViews>
  <sheetFormatPr defaultColWidth="22.33203125" defaultRowHeight="29.25"/>
  <cols>
    <col min="1" max="1" width="51.21875" style="454" customWidth="1"/>
    <col min="2" max="2" width="25.88671875" style="457" customWidth="1"/>
    <col min="3" max="3" width="15.88671875" style="457" customWidth="1"/>
    <col min="4" max="4" width="13.6640625" style="537" customWidth="1"/>
    <col min="5" max="5" width="30" style="539" customWidth="1"/>
    <col min="6" max="6" width="30" style="756" customWidth="1"/>
    <col min="7" max="7" width="28.88671875" style="537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3" width="0" style="376" hidden="1" customWidth="1"/>
    <col min="14" max="14" width="25.5546875" style="1102" customWidth="1"/>
    <col min="15" max="17" width="22.33203125" style="770"/>
    <col min="18" max="16384" width="22.33203125" style="376"/>
  </cols>
  <sheetData>
    <row r="1" spans="1:17" ht="33.75">
      <c r="A1" s="1549" t="s">
        <v>116</v>
      </c>
      <c r="B1" s="1550"/>
      <c r="C1" s="1550"/>
      <c r="D1" s="1550"/>
      <c r="E1" s="1550"/>
      <c r="F1" s="1550"/>
      <c r="G1" s="1550"/>
      <c r="H1" s="1550"/>
      <c r="I1" s="1550"/>
      <c r="J1" s="1551"/>
    </row>
    <row r="2" spans="1:17" s="281" customFormat="1" ht="27">
      <c r="A2" s="575" t="s">
        <v>354</v>
      </c>
      <c r="B2" s="1376">
        <v>44344</v>
      </c>
      <c r="C2" s="1143" t="s">
        <v>68</v>
      </c>
      <c r="D2" s="611">
        <v>0.71</v>
      </c>
      <c r="E2" s="737"/>
      <c r="F2" s="737"/>
      <c r="G2" s="461" t="s">
        <v>117</v>
      </c>
      <c r="H2" s="461" t="s">
        <v>6</v>
      </c>
      <c r="I2" s="461" t="s">
        <v>8</v>
      </c>
      <c r="J2" s="613" t="s">
        <v>118</v>
      </c>
      <c r="N2" s="1102"/>
      <c r="O2" s="770"/>
      <c r="P2" s="770"/>
      <c r="Q2" s="770"/>
    </row>
    <row r="3" spans="1:17" s="281" customFormat="1" ht="27">
      <c r="A3" s="570"/>
      <c r="B3" s="614"/>
      <c r="C3" s="1143" t="s">
        <v>119</v>
      </c>
      <c r="D3" s="612">
        <v>30</v>
      </c>
      <c r="E3" s="1558" t="s">
        <v>120</v>
      </c>
      <c r="F3" s="1559"/>
      <c r="G3" s="462"/>
      <c r="H3" s="463"/>
      <c r="I3" s="463"/>
      <c r="J3" s="615"/>
      <c r="K3" s="371"/>
      <c r="L3" s="292"/>
      <c r="N3" s="1102"/>
      <c r="O3" s="770"/>
      <c r="P3" s="770"/>
      <c r="Q3" s="770"/>
    </row>
    <row r="4" spans="1:17" s="281" customFormat="1" ht="27">
      <c r="A4" s="576"/>
      <c r="B4" s="616"/>
      <c r="C4" s="1143" t="s">
        <v>121</v>
      </c>
      <c r="D4" s="611">
        <v>0.78</v>
      </c>
      <c r="E4" s="463"/>
      <c r="F4" s="463"/>
      <c r="G4" s="464"/>
      <c r="H4" s="464"/>
      <c r="I4" s="465"/>
      <c r="J4" s="615"/>
      <c r="K4" s="372"/>
      <c r="L4" s="292"/>
      <c r="N4" s="1102"/>
      <c r="O4" s="770"/>
      <c r="P4" s="772"/>
      <c r="Q4" s="770"/>
    </row>
    <row r="5" spans="1:17">
      <c r="A5" s="577" t="s">
        <v>122</v>
      </c>
      <c r="B5" s="459"/>
      <c r="C5" s="459"/>
      <c r="D5" s="511" t="s">
        <v>123</v>
      </c>
      <c r="E5" s="514" t="s">
        <v>124</v>
      </c>
      <c r="F5" s="514" t="s">
        <v>111</v>
      </c>
      <c r="G5" s="468" t="s">
        <v>125</v>
      </c>
      <c r="H5" s="469" t="s">
        <v>126</v>
      </c>
      <c r="I5" s="470" t="s">
        <v>127</v>
      </c>
      <c r="J5" s="550" t="s">
        <v>128</v>
      </c>
      <c r="K5" s="426"/>
      <c r="L5" s="377"/>
      <c r="P5" s="772"/>
    </row>
    <row r="6" spans="1:17">
      <c r="A6" s="1552" t="s">
        <v>129</v>
      </c>
      <c r="B6" s="1553"/>
      <c r="C6" s="1554"/>
      <c r="D6" s="471"/>
      <c r="E6" s="495"/>
      <c r="F6" s="495"/>
      <c r="G6" s="471"/>
      <c r="H6" s="472"/>
      <c r="I6" s="472"/>
      <c r="J6" s="551"/>
      <c r="K6" s="427"/>
      <c r="L6" s="377"/>
      <c r="M6" s="376">
        <v>1691553</v>
      </c>
    </row>
    <row r="7" spans="1:17" ht="30" thickBot="1">
      <c r="A7" s="677" t="s">
        <v>130</v>
      </c>
      <c r="B7" s="678"/>
      <c r="C7" s="678"/>
      <c r="D7" s="638" t="s">
        <v>131</v>
      </c>
      <c r="E7" s="680">
        <f>'27'!F7</f>
        <v>862402</v>
      </c>
      <c r="F7" s="460">
        <f>E7+17000</f>
        <v>879402</v>
      </c>
      <c r="G7" s="679">
        <f>F7-E7</f>
        <v>17000</v>
      </c>
      <c r="H7" s="680">
        <f>G7+'27'!H7</f>
        <v>534990</v>
      </c>
      <c r="I7" s="681">
        <f>'1'!I7</f>
        <v>12000</v>
      </c>
      <c r="J7" s="682">
        <f>H7/DAY(B2)</f>
        <v>19106.785714285714</v>
      </c>
      <c r="K7" s="549"/>
      <c r="L7" s="377"/>
      <c r="N7" s="1103"/>
    </row>
    <row r="8" spans="1:17" ht="27.75" thickBot="1">
      <c r="A8" s="683" t="s">
        <v>132</v>
      </c>
      <c r="B8" s="684"/>
      <c r="C8" s="685"/>
      <c r="D8" s="686" t="s">
        <v>25</v>
      </c>
      <c r="E8" s="680">
        <f>'27'!F8</f>
        <v>866842</v>
      </c>
      <c r="F8" s="460">
        <f>E8+17150</f>
        <v>883992</v>
      </c>
      <c r="G8" s="690">
        <f>F8-E8</f>
        <v>17150</v>
      </c>
      <c r="H8" s="680">
        <f>G8+'27'!H8</f>
        <v>537482</v>
      </c>
      <c r="I8" s="687">
        <f>'1'!I8</f>
        <v>12000</v>
      </c>
      <c r="J8" s="682">
        <f>H8/DAY(B2)</f>
        <v>19195.785714285714</v>
      </c>
      <c r="K8" s="549"/>
      <c r="L8" s="425">
        <v>1375467</v>
      </c>
      <c r="M8" s="440">
        <v>1703438</v>
      </c>
      <c r="N8" s="1103"/>
    </row>
    <row r="9" spans="1:17">
      <c r="A9" s="688" t="s">
        <v>133</v>
      </c>
      <c r="B9" s="689"/>
      <c r="C9" s="689"/>
      <c r="D9" s="638" t="s">
        <v>131</v>
      </c>
      <c r="E9" s="680">
        <f>'27'!F9</f>
        <v>1975218</v>
      </c>
      <c r="F9" s="738">
        <f>E9+16950</f>
        <v>1992168</v>
      </c>
      <c r="G9" s="703">
        <f t="shared" ref="G9:G12" si="0">F9-E9</f>
        <v>16950</v>
      </c>
      <c r="H9" s="680">
        <f>G9+'27'!H9</f>
        <v>518478</v>
      </c>
      <c r="I9" s="691">
        <f>I8-J8</f>
        <v>-7195.7857142857138</v>
      </c>
      <c r="J9" s="682">
        <f>H9/DAY(B2)</f>
        <v>18517.071428571428</v>
      </c>
      <c r="K9" s="428"/>
      <c r="L9" s="377"/>
      <c r="N9" s="1103"/>
    </row>
    <row r="10" spans="1:17">
      <c r="A10" s="677" t="s">
        <v>134</v>
      </c>
      <c r="B10" s="678"/>
      <c r="C10" s="678"/>
      <c r="D10" s="638" t="s">
        <v>131</v>
      </c>
      <c r="E10" s="680">
        <f>'27'!F10</f>
        <v>0</v>
      </c>
      <c r="F10" s="738"/>
      <c r="G10" s="690">
        <f t="shared" si="0"/>
        <v>0</v>
      </c>
      <c r="H10" s="680">
        <f>G10+'27'!H10</f>
        <v>0.71999999999979991</v>
      </c>
      <c r="I10" s="692"/>
      <c r="J10" s="682">
        <f>H10/DAY(B2)</f>
        <v>2.5714285714278567E-2</v>
      </c>
      <c r="K10" s="428"/>
      <c r="L10" s="377"/>
      <c r="M10" s="376">
        <f>170</f>
        <v>170</v>
      </c>
      <c r="N10" s="1103"/>
    </row>
    <row r="11" spans="1:17">
      <c r="A11" s="677" t="s">
        <v>135</v>
      </c>
      <c r="B11" s="678"/>
      <c r="C11" s="678"/>
      <c r="D11" s="638" t="s">
        <v>131</v>
      </c>
      <c r="E11" s="680">
        <f>'5'!E11</f>
        <v>37000</v>
      </c>
      <c r="F11" s="460">
        <v>37000</v>
      </c>
      <c r="G11" s="690">
        <f t="shared" si="0"/>
        <v>0</v>
      </c>
      <c r="H11" s="680">
        <f>G11+'27'!H11</f>
        <v>0</v>
      </c>
      <c r="I11" s="692"/>
      <c r="J11" s="682">
        <f>H11/DAY(B2)</f>
        <v>0</v>
      </c>
      <c r="K11" s="428"/>
      <c r="L11" s="377"/>
      <c r="N11" s="1103"/>
    </row>
    <row r="12" spans="1:17">
      <c r="A12" s="677" t="s">
        <v>136</v>
      </c>
      <c r="B12" s="678"/>
      <c r="C12" s="678"/>
      <c r="D12" s="638" t="s">
        <v>131</v>
      </c>
      <c r="E12" s="680">
        <f>'5'!E12</f>
        <v>40010</v>
      </c>
      <c r="F12" s="738">
        <v>40010</v>
      </c>
      <c r="G12" s="690">
        <f t="shared" si="0"/>
        <v>0</v>
      </c>
      <c r="H12" s="680">
        <f>G12+'27'!H12</f>
        <v>0</v>
      </c>
      <c r="I12" s="692"/>
      <c r="J12" s="682">
        <f>H12/DAY(B2)</f>
        <v>0</v>
      </c>
      <c r="K12" s="428"/>
      <c r="L12" s="377"/>
      <c r="N12" s="1103"/>
    </row>
    <row r="13" spans="1:17">
      <c r="A13" s="693" t="s">
        <v>137</v>
      </c>
      <c r="B13" s="694"/>
      <c r="C13" s="694"/>
      <c r="D13" s="638"/>
      <c r="E13" s="680"/>
      <c r="F13" s="460"/>
      <c r="G13" s="695">
        <f>G9+G10+G11+G12</f>
        <v>16950</v>
      </c>
      <c r="H13" s="680">
        <f>G13+'27'!H13</f>
        <v>501953.72</v>
      </c>
      <c r="I13" s="696">
        <f>G7-G13</f>
        <v>50</v>
      </c>
      <c r="J13" s="682">
        <f>H13/DAY(B2)</f>
        <v>17926.91857142857</v>
      </c>
      <c r="K13" s="428"/>
      <c r="L13" s="377"/>
      <c r="N13" s="1103"/>
    </row>
    <row r="14" spans="1:17">
      <c r="A14" s="1555" t="s">
        <v>138</v>
      </c>
      <c r="B14" s="1556"/>
      <c r="C14" s="1557"/>
      <c r="D14" s="472"/>
      <c r="E14" s="739"/>
      <c r="F14" s="739"/>
      <c r="G14" s="483"/>
      <c r="H14" s="472"/>
      <c r="I14" s="472"/>
      <c r="J14" s="551"/>
      <c r="K14" s="429"/>
      <c r="L14" s="377"/>
      <c r="N14" s="1103"/>
    </row>
    <row r="15" spans="1:17">
      <c r="A15" s="666" t="s">
        <v>139</v>
      </c>
      <c r="B15" s="667"/>
      <c r="C15" s="667"/>
      <c r="D15" s="668" t="s">
        <v>140</v>
      </c>
      <c r="E15" s="757">
        <f>'27'!F15</f>
        <v>1701693</v>
      </c>
      <c r="F15" s="740">
        <f>E15+550</f>
        <v>1702243</v>
      </c>
      <c r="G15" s="665">
        <f>(F15-E15)</f>
        <v>550</v>
      </c>
      <c r="H15" s="1088">
        <f>G15+'27'!H15</f>
        <v>17719</v>
      </c>
      <c r="I15" s="1089">
        <v>800</v>
      </c>
      <c r="J15" s="1090">
        <f>H15/DAY(B2)</f>
        <v>632.82142857142856</v>
      </c>
      <c r="K15" s="428"/>
      <c r="L15" s="377"/>
      <c r="N15" s="1103"/>
    </row>
    <row r="16" spans="1:17">
      <c r="A16" s="674"/>
      <c r="B16" s="675"/>
      <c r="C16" s="675"/>
      <c r="D16" s="668"/>
      <c r="E16" s="757"/>
      <c r="F16" s="740"/>
      <c r="G16" s="670"/>
      <c r="H16" s="1088"/>
      <c r="I16" s="1091">
        <f>I15-J15</f>
        <v>167.17857142857144</v>
      </c>
      <c r="J16" s="1090"/>
      <c r="K16" s="428"/>
      <c r="L16" s="377"/>
      <c r="N16" s="1103"/>
    </row>
    <row r="17" spans="1:17">
      <c r="A17" s="1555" t="s">
        <v>141</v>
      </c>
      <c r="B17" s="1556"/>
      <c r="C17" s="1557"/>
      <c r="D17" s="472"/>
      <c r="E17" s="739"/>
      <c r="F17" s="739"/>
      <c r="G17" s="488"/>
      <c r="H17" s="472"/>
      <c r="I17" s="472"/>
      <c r="J17" s="551"/>
      <c r="K17" s="428"/>
      <c r="L17" s="377"/>
      <c r="N17" s="1103"/>
    </row>
    <row r="18" spans="1:17" ht="27.75">
      <c r="A18" s="1590" t="s">
        <v>142</v>
      </c>
      <c r="B18" s="1591"/>
      <c r="C18" s="1592"/>
      <c r="D18" s="638" t="s">
        <v>143</v>
      </c>
      <c r="E18" s="758">
        <f>'27'!F18</f>
        <v>18</v>
      </c>
      <c r="F18" s="738">
        <v>4</v>
      </c>
      <c r="G18" s="695">
        <f>F18*10</f>
        <v>40</v>
      </c>
      <c r="H18" s="680">
        <f>G18+'27'!H18</f>
        <v>2310</v>
      </c>
      <c r="I18" s="681">
        <f>'1'!I18</f>
        <v>65</v>
      </c>
      <c r="J18" s="682">
        <f>H18/DAY(B2)</f>
        <v>82.5</v>
      </c>
      <c r="K18" s="428"/>
      <c r="L18" s="377"/>
      <c r="N18" s="1103"/>
    </row>
    <row r="19" spans="1:17" ht="27.75">
      <c r="A19" s="1590" t="s">
        <v>70</v>
      </c>
      <c r="B19" s="1591"/>
      <c r="C19" s="1592"/>
      <c r="D19" s="638" t="s">
        <v>143</v>
      </c>
      <c r="E19" s="758">
        <f>'27'!F19</f>
        <v>141304</v>
      </c>
      <c r="F19" s="738">
        <v>139436</v>
      </c>
      <c r="G19" s="690">
        <f t="shared" ref="G19" si="1">F19-E19</f>
        <v>-1868</v>
      </c>
      <c r="H19" s="680">
        <f>G19+'27'!H19</f>
        <v>-176</v>
      </c>
      <c r="I19" s="697"/>
      <c r="J19" s="682">
        <f>H19/DAY(B2)</f>
        <v>-6.2857142857142856</v>
      </c>
      <c r="K19" s="428"/>
      <c r="L19" s="377"/>
      <c r="N19" s="1103"/>
    </row>
    <row r="20" spans="1:17">
      <c r="A20" s="693" t="s">
        <v>144</v>
      </c>
      <c r="B20" s="694"/>
      <c r="C20" s="694"/>
      <c r="D20" s="638"/>
      <c r="E20" s="680"/>
      <c r="F20" s="460"/>
      <c r="G20" s="698">
        <f>G18+G19</f>
        <v>-1828</v>
      </c>
      <c r="H20" s="680">
        <f>G20+'27'!H20</f>
        <v>2134</v>
      </c>
      <c r="I20" s="699">
        <f>I18-J20</f>
        <v>-11.214285714285708</v>
      </c>
      <c r="J20" s="682">
        <f>H20/DAY(B2)</f>
        <v>76.214285714285708</v>
      </c>
      <c r="K20" s="428"/>
      <c r="L20" s="377"/>
      <c r="N20" s="1103"/>
    </row>
    <row r="21" spans="1:17">
      <c r="A21" s="1555" t="s">
        <v>145</v>
      </c>
      <c r="B21" s="1556"/>
      <c r="C21" s="1557"/>
      <c r="D21" s="472"/>
      <c r="E21" s="739"/>
      <c r="F21" s="739"/>
      <c r="G21" s="483"/>
      <c r="H21" s="472"/>
      <c r="I21" s="472"/>
      <c r="J21" s="551"/>
      <c r="K21" s="428"/>
      <c r="L21" s="377"/>
      <c r="N21" s="1103"/>
    </row>
    <row r="22" spans="1:17">
      <c r="A22" s="1141" t="s">
        <v>146</v>
      </c>
      <c r="B22" s="589"/>
      <c r="C22" s="589"/>
      <c r="D22" s="523" t="s">
        <v>147</v>
      </c>
      <c r="E22" s="759">
        <f>'27'!F22</f>
        <v>2970</v>
      </c>
      <c r="F22" s="738">
        <v>2970</v>
      </c>
      <c r="G22" s="481">
        <f t="shared" ref="G22" si="2">(F22-E22)</f>
        <v>0</v>
      </c>
      <c r="H22" s="460">
        <f>G22+'27'!H22</f>
        <v>0</v>
      </c>
      <c r="I22" s="480"/>
      <c r="J22" s="552">
        <f>H22/DAY(B2)</f>
        <v>0</v>
      </c>
      <c r="K22" s="428"/>
      <c r="L22" s="377"/>
      <c r="N22" s="1103"/>
    </row>
    <row r="23" spans="1:17">
      <c r="A23" s="1141" t="s">
        <v>148</v>
      </c>
      <c r="B23" s="589"/>
      <c r="C23" s="589"/>
      <c r="D23" s="523" t="s">
        <v>147</v>
      </c>
      <c r="E23" s="759">
        <f>'27'!F23</f>
        <v>2000</v>
      </c>
      <c r="F23" s="738">
        <v>2000</v>
      </c>
      <c r="G23" s="481">
        <v>0</v>
      </c>
      <c r="H23" s="460">
        <f>G23+'27'!H23</f>
        <v>0</v>
      </c>
      <c r="I23" s="480"/>
      <c r="J23" s="552">
        <f>H23/DAY(B2)</f>
        <v>0</v>
      </c>
      <c r="K23" s="428"/>
      <c r="L23" s="377"/>
      <c r="N23" s="1103"/>
    </row>
    <row r="24" spans="1:17">
      <c r="A24" s="590" t="s">
        <v>149</v>
      </c>
      <c r="B24" s="591"/>
      <c r="C24" s="591"/>
      <c r="D24" s="511" t="s">
        <v>147</v>
      </c>
      <c r="E24" s="760">
        <f>'27'!F24</f>
        <v>4970</v>
      </c>
      <c r="F24" s="760">
        <f>SUM(F22:F23)</f>
        <v>4970</v>
      </c>
      <c r="G24" s="481">
        <v>0</v>
      </c>
      <c r="H24" s="460">
        <f>G24+'27'!H24</f>
        <v>0</v>
      </c>
      <c r="I24" s="480"/>
      <c r="J24" s="552">
        <f>H24/DAY(B2)</f>
        <v>0</v>
      </c>
      <c r="K24" s="428"/>
      <c r="L24" s="377"/>
      <c r="N24" s="1103"/>
    </row>
    <row r="25" spans="1:17" s="442" customFormat="1" ht="27">
      <c r="A25" s="1560" t="s">
        <v>150</v>
      </c>
      <c r="B25" s="1561"/>
      <c r="C25" s="1562"/>
      <c r="D25" s="471"/>
      <c r="E25" s="495"/>
      <c r="F25" s="495"/>
      <c r="G25" s="494"/>
      <c r="H25" s="495"/>
      <c r="I25" s="496"/>
      <c r="J25" s="554"/>
      <c r="K25" s="373"/>
      <c r="L25" s="443"/>
      <c r="N25" s="1103"/>
      <c r="O25" s="770"/>
      <c r="P25" s="770"/>
      <c r="Q25" s="770"/>
    </row>
    <row r="26" spans="1:17" s="442" customFormat="1" ht="27">
      <c r="A26" s="592" t="s">
        <v>151</v>
      </c>
      <c r="B26" s="593"/>
      <c r="C26" s="594"/>
      <c r="D26" s="618" t="s">
        <v>152</v>
      </c>
      <c r="E26" s="761"/>
      <c r="F26" s="460"/>
      <c r="G26" s="498"/>
      <c r="H26" s="460"/>
      <c r="I26" s="499"/>
      <c r="J26" s="552"/>
      <c r="K26" s="374"/>
      <c r="L26" s="443"/>
      <c r="N26" s="1103"/>
      <c r="O26" s="770"/>
      <c r="P26" s="770"/>
      <c r="Q26" s="770"/>
    </row>
    <row r="27" spans="1:17" s="442" customFormat="1" ht="27">
      <c r="A27" s="592" t="s">
        <v>6</v>
      </c>
      <c r="B27" s="593"/>
      <c r="C27" s="594"/>
      <c r="D27" s="619" t="s">
        <v>25</v>
      </c>
      <c r="E27" s="700">
        <f>G8</f>
        <v>17150</v>
      </c>
      <c r="F27" s="501">
        <v>9</v>
      </c>
      <c r="G27" s="502">
        <f>E27*F27</f>
        <v>154350</v>
      </c>
      <c r="H27" s="460">
        <f>G27+'27'!H27</f>
        <v>4836501</v>
      </c>
      <c r="I27" s="503"/>
      <c r="J27" s="552">
        <f>H27/DAY(B2)</f>
        <v>172732.17857142858</v>
      </c>
      <c r="K27" s="373"/>
      <c r="L27" s="443"/>
      <c r="N27" s="1103"/>
      <c r="O27" s="770"/>
      <c r="P27" s="770"/>
      <c r="Q27" s="770"/>
    </row>
    <row r="28" spans="1:17" s="442" customFormat="1" ht="27">
      <c r="A28" s="592" t="s">
        <v>153</v>
      </c>
      <c r="B28" s="593"/>
      <c r="C28" s="594"/>
      <c r="D28" s="619" t="s">
        <v>154</v>
      </c>
      <c r="E28" s="700">
        <f>G15</f>
        <v>550</v>
      </c>
      <c r="F28" s="501">
        <v>52</v>
      </c>
      <c r="G28" s="502">
        <f>E28*F28</f>
        <v>28600</v>
      </c>
      <c r="H28" s="460">
        <f>G28+'27'!H28</f>
        <v>921388</v>
      </c>
      <c r="I28" s="505"/>
      <c r="J28" s="552">
        <f>H28/DAY(B2)</f>
        <v>32906.714285714283</v>
      </c>
      <c r="K28" s="373"/>
      <c r="L28" s="443"/>
      <c r="N28" s="1103"/>
      <c r="O28" s="770"/>
      <c r="P28" s="770"/>
      <c r="Q28" s="770"/>
    </row>
    <row r="29" spans="1:17" s="442" customFormat="1" ht="27">
      <c r="A29" s="592" t="s">
        <v>155</v>
      </c>
      <c r="B29" s="593"/>
      <c r="C29" s="594"/>
      <c r="D29" s="619" t="s">
        <v>156</v>
      </c>
      <c r="E29" s="700">
        <f>G24</f>
        <v>0</v>
      </c>
      <c r="F29" s="700">
        <v>69</v>
      </c>
      <c r="G29" s="502">
        <f>E29*F29</f>
        <v>0</v>
      </c>
      <c r="H29" s="460">
        <f>G29+'27'!H29</f>
        <v>8280</v>
      </c>
      <c r="I29" s="505"/>
      <c r="J29" s="552">
        <f>H29/DAY(B2)</f>
        <v>295.71428571428572</v>
      </c>
      <c r="K29" s="373"/>
      <c r="L29" s="443"/>
      <c r="N29" s="1103"/>
      <c r="O29" s="770"/>
      <c r="P29" s="770"/>
      <c r="Q29" s="770"/>
    </row>
    <row r="30" spans="1:17" s="442" customFormat="1" ht="27">
      <c r="A30" s="592" t="s">
        <v>157</v>
      </c>
      <c r="B30" s="593"/>
      <c r="C30" s="594"/>
      <c r="D30" s="619" t="s">
        <v>158</v>
      </c>
      <c r="E30" s="700">
        <f>G19</f>
        <v>-1868</v>
      </c>
      <c r="F30" s="700">
        <v>146</v>
      </c>
      <c r="G30" s="502">
        <f>E30*F30</f>
        <v>-272728</v>
      </c>
      <c r="H30" s="460">
        <f>G30+'27'!H30</f>
        <v>-25696</v>
      </c>
      <c r="I30" s="505"/>
      <c r="J30" s="552">
        <f>H30/DAY(B2)</f>
        <v>-917.71428571428567</v>
      </c>
      <c r="K30" s="373"/>
      <c r="L30" s="443"/>
      <c r="N30" s="1103"/>
      <c r="O30" s="770"/>
      <c r="P30" s="770"/>
      <c r="Q30" s="770"/>
    </row>
    <row r="31" spans="1:17" s="442" customFormat="1" ht="27">
      <c r="A31" s="592" t="s">
        <v>159</v>
      </c>
      <c r="B31" s="593"/>
      <c r="C31" s="594"/>
      <c r="D31" s="619" t="s">
        <v>143</v>
      </c>
      <c r="E31" s="700">
        <f>G18</f>
        <v>40</v>
      </c>
      <c r="F31" s="700">
        <v>80</v>
      </c>
      <c r="G31" s="502">
        <f>E31*F31</f>
        <v>3200</v>
      </c>
      <c r="H31" s="460">
        <f>G31+'27'!H31</f>
        <v>184800</v>
      </c>
      <c r="I31" s="505"/>
      <c r="J31" s="552"/>
      <c r="K31" s="373"/>
      <c r="L31" s="443"/>
      <c r="N31" s="1103"/>
      <c r="O31" s="770"/>
      <c r="P31" s="770"/>
      <c r="Q31" s="770"/>
    </row>
    <row r="32" spans="1:17" s="442" customFormat="1" ht="27">
      <c r="A32" s="595" t="s">
        <v>160</v>
      </c>
      <c r="B32" s="596"/>
      <c r="C32" s="597"/>
      <c r="D32" s="507"/>
      <c r="E32" s="762"/>
      <c r="F32" s="486"/>
      <c r="G32" s="508">
        <f>G27+G28+G29+G30+G31</f>
        <v>-86578</v>
      </c>
      <c r="H32" s="460">
        <f>G32+'27'!H32</f>
        <v>5925273</v>
      </c>
      <c r="I32" s="509"/>
      <c r="J32" s="552">
        <f>H32/DAY(B2)</f>
        <v>211616.89285714287</v>
      </c>
      <c r="K32" s="373"/>
      <c r="L32" s="443"/>
      <c r="N32" s="1103"/>
      <c r="O32" s="770"/>
      <c r="P32" s="770"/>
      <c r="Q32" s="770"/>
    </row>
    <row r="33" spans="1:14" ht="25.5">
      <c r="A33" s="1563" t="s">
        <v>161</v>
      </c>
      <c r="B33" s="1564"/>
      <c r="C33" s="1564"/>
      <c r="D33" s="1564"/>
      <c r="E33" s="1564"/>
      <c r="F33" s="1564"/>
      <c r="G33" s="1564"/>
      <c r="H33" s="1564"/>
      <c r="I33" s="1564"/>
      <c r="J33" s="1565"/>
      <c r="K33" s="428"/>
      <c r="L33" s="377"/>
      <c r="N33" s="1103"/>
    </row>
    <row r="34" spans="1:14">
      <c r="A34" s="598" t="s">
        <v>162</v>
      </c>
      <c r="B34" s="1146"/>
      <c r="C34" s="1146"/>
      <c r="D34" s="472"/>
      <c r="E34" s="495"/>
      <c r="F34" s="495"/>
      <c r="G34" s="472"/>
      <c r="H34" s="472"/>
      <c r="I34" s="472"/>
      <c r="J34" s="551"/>
      <c r="K34" s="428"/>
      <c r="L34" s="377"/>
      <c r="N34" s="1103"/>
    </row>
    <row r="35" spans="1:14">
      <c r="A35" s="578" t="s">
        <v>163</v>
      </c>
      <c r="B35" s="579"/>
      <c r="C35" s="579"/>
      <c r="D35" s="523" t="s">
        <v>131</v>
      </c>
      <c r="E35" s="742">
        <f>'27'!F35</f>
        <v>1020369</v>
      </c>
      <c r="F35" s="742">
        <v>943358</v>
      </c>
      <c r="G35" s="473">
        <f t="shared" ref="G35:G46" si="3">F35-E35</f>
        <v>-77011</v>
      </c>
      <c r="H35" s="460">
        <f>G35+'27'!H35</f>
        <v>-7130</v>
      </c>
      <c r="I35" s="455"/>
      <c r="J35" s="552">
        <f>H35/DAY(B2)</f>
        <v>-254.64285714285714</v>
      </c>
      <c r="K35" s="428"/>
      <c r="L35" s="377"/>
      <c r="N35" s="1103"/>
    </row>
    <row r="36" spans="1:14">
      <c r="A36" s="578" t="s">
        <v>164</v>
      </c>
      <c r="B36" s="579"/>
      <c r="C36" s="579"/>
      <c r="D36" s="523" t="s">
        <v>131</v>
      </c>
      <c r="E36" s="742">
        <f>'27'!F36</f>
        <v>18589</v>
      </c>
      <c r="F36" s="742">
        <v>347065</v>
      </c>
      <c r="G36" s="473">
        <f t="shared" si="3"/>
        <v>328476</v>
      </c>
      <c r="H36" s="460">
        <f>G36+'27'!H36</f>
        <v>346892</v>
      </c>
      <c r="I36" s="455"/>
      <c r="J36" s="552">
        <f>H36/DAY(B2)</f>
        <v>12389</v>
      </c>
      <c r="K36" s="428"/>
      <c r="L36" s="377"/>
      <c r="N36" s="1103"/>
    </row>
    <row r="37" spans="1:14">
      <c r="A37" s="578" t="s">
        <v>165</v>
      </c>
      <c r="B37" s="579"/>
      <c r="C37" s="579"/>
      <c r="D37" s="523" t="s">
        <v>131</v>
      </c>
      <c r="E37" s="742">
        <f>'27'!F37</f>
        <v>172287</v>
      </c>
      <c r="F37" s="742">
        <v>130320</v>
      </c>
      <c r="G37" s="473">
        <f t="shared" si="3"/>
        <v>-41967</v>
      </c>
      <c r="H37" s="460">
        <f>G37+'27'!H37</f>
        <v>-3916</v>
      </c>
      <c r="I37" s="455"/>
      <c r="J37" s="552">
        <f>H37/DAY(B2)</f>
        <v>-139.85714285714286</v>
      </c>
      <c r="K37" s="428"/>
      <c r="L37" s="377"/>
      <c r="N37" s="1103"/>
    </row>
    <row r="38" spans="1:14">
      <c r="A38" s="578" t="s">
        <v>166</v>
      </c>
      <c r="B38" s="579"/>
      <c r="C38" s="579"/>
      <c r="D38" s="523" t="s">
        <v>131</v>
      </c>
      <c r="E38" s="742">
        <f>'27'!F38</f>
        <v>193835</v>
      </c>
      <c r="F38" s="470">
        <v>152607</v>
      </c>
      <c r="G38" s="473">
        <f t="shared" si="3"/>
        <v>-41228</v>
      </c>
      <c r="H38" s="460">
        <f>G38+'27'!H38</f>
        <v>-3798</v>
      </c>
      <c r="I38" s="455"/>
      <c r="J38" s="552">
        <f>H38/DAY(B2)</f>
        <v>-135.64285714285714</v>
      </c>
      <c r="K38" s="428"/>
      <c r="L38" s="377"/>
      <c r="N38" s="1103"/>
    </row>
    <row r="39" spans="1:14">
      <c r="A39" s="578" t="s">
        <v>167</v>
      </c>
      <c r="B39" s="579"/>
      <c r="C39" s="579"/>
      <c r="D39" s="523" t="s">
        <v>131</v>
      </c>
      <c r="E39" s="742">
        <f>'27'!F39</f>
        <v>393875</v>
      </c>
      <c r="F39" s="742">
        <v>301259</v>
      </c>
      <c r="G39" s="473">
        <f>F39-E39</f>
        <v>-92616</v>
      </c>
      <c r="H39" s="460">
        <f>G39+'27'!H39</f>
        <v>-6914</v>
      </c>
      <c r="I39" s="455"/>
      <c r="J39" s="552">
        <f>H39/DAY(B2)</f>
        <v>-246.92857142857142</v>
      </c>
      <c r="K39" s="428"/>
      <c r="L39" s="377"/>
      <c r="N39" s="1103"/>
    </row>
    <row r="40" spans="1:14">
      <c r="A40" s="599" t="s">
        <v>168</v>
      </c>
      <c r="B40" s="600"/>
      <c r="C40" s="600"/>
      <c r="D40" s="523" t="s">
        <v>131</v>
      </c>
      <c r="E40" s="742">
        <f>'27'!F40</f>
        <v>6114</v>
      </c>
      <c r="F40" s="742">
        <v>889</v>
      </c>
      <c r="G40" s="473">
        <f t="shared" si="3"/>
        <v>-5225</v>
      </c>
      <c r="H40" s="460">
        <f>G40+'27'!H40</f>
        <v>0</v>
      </c>
      <c r="I40" s="455"/>
      <c r="J40" s="552">
        <f>H40/DAY(B2)</f>
        <v>0</v>
      </c>
      <c r="K40" s="429"/>
      <c r="L40" s="377"/>
      <c r="N40" s="1103"/>
    </row>
    <row r="41" spans="1:14">
      <c r="A41" s="578" t="s">
        <v>169</v>
      </c>
      <c r="B41" s="579"/>
      <c r="C41" s="579"/>
      <c r="D41" s="523" t="s">
        <v>131</v>
      </c>
      <c r="E41" s="742">
        <f>'27'!F41</f>
        <v>318653</v>
      </c>
      <c r="F41" s="742">
        <v>240478</v>
      </c>
      <c r="G41" s="473">
        <f t="shared" si="3"/>
        <v>-78175</v>
      </c>
      <c r="H41" s="460">
        <f>G41+'27'!H41</f>
        <v>0</v>
      </c>
      <c r="I41" s="455"/>
      <c r="J41" s="552">
        <f>H41/DAY(B2)</f>
        <v>0</v>
      </c>
      <c r="K41" s="428"/>
      <c r="L41" s="377"/>
      <c r="N41" s="1103"/>
    </row>
    <row r="42" spans="1:14">
      <c r="A42" s="578" t="s">
        <v>170</v>
      </c>
      <c r="B42" s="579"/>
      <c r="C42" s="579"/>
      <c r="D42" s="523" t="s">
        <v>131</v>
      </c>
      <c r="E42" s="742">
        <f>'27'!F42</f>
        <v>59210</v>
      </c>
      <c r="F42" s="742">
        <v>59199</v>
      </c>
      <c r="G42" s="473">
        <f t="shared" si="3"/>
        <v>-11</v>
      </c>
      <c r="H42" s="460">
        <f>G42+'27'!H42</f>
        <v>2.9999999998835847E-2</v>
      </c>
      <c r="I42" s="455"/>
      <c r="J42" s="552">
        <f>H42/DAY(B2)</f>
        <v>1.0714285713869945E-3</v>
      </c>
      <c r="K42" s="428"/>
      <c r="L42" s="377"/>
      <c r="N42" s="1103"/>
    </row>
    <row r="43" spans="1:14">
      <c r="A43" s="578" t="s">
        <v>171</v>
      </c>
      <c r="B43" s="579"/>
      <c r="C43" s="579"/>
      <c r="D43" s="523" t="s">
        <v>131</v>
      </c>
      <c r="E43" s="742">
        <f>'27'!F43</f>
        <v>1112567</v>
      </c>
      <c r="F43" s="742">
        <v>1035334</v>
      </c>
      <c r="G43" s="473">
        <f t="shared" si="3"/>
        <v>-77233</v>
      </c>
      <c r="H43" s="460">
        <f>G43+'27'!H43</f>
        <v>-6910</v>
      </c>
      <c r="I43" s="455"/>
      <c r="J43" s="552">
        <f>H43/DAY(B2)</f>
        <v>-246.78571428571428</v>
      </c>
      <c r="K43" s="428"/>
      <c r="L43" s="377"/>
      <c r="N43" s="1103"/>
    </row>
    <row r="44" spans="1:14">
      <c r="A44" s="578" t="s">
        <v>172</v>
      </c>
      <c r="B44" s="579"/>
      <c r="C44" s="579"/>
      <c r="D44" s="523" t="s">
        <v>131</v>
      </c>
      <c r="E44" s="742">
        <f>'27'!F44</f>
        <v>0</v>
      </c>
      <c r="F44" s="742">
        <v>0</v>
      </c>
      <c r="G44" s="473">
        <f t="shared" si="3"/>
        <v>0</v>
      </c>
      <c r="H44" s="460">
        <f>G44+'27'!H44</f>
        <v>0</v>
      </c>
      <c r="I44" s="455"/>
      <c r="J44" s="552">
        <f>H44/DAY(B2)</f>
        <v>0</v>
      </c>
      <c r="K44" s="428"/>
      <c r="L44" s="377"/>
      <c r="N44" s="1103"/>
    </row>
    <row r="45" spans="1:14">
      <c r="A45" s="578" t="s">
        <v>173</v>
      </c>
      <c r="B45" s="579"/>
      <c r="C45" s="579"/>
      <c r="D45" s="523" t="s">
        <v>131</v>
      </c>
      <c r="E45" s="742">
        <f>'27'!F45</f>
        <v>0</v>
      </c>
      <c r="F45" s="742">
        <v>614</v>
      </c>
      <c r="G45" s="473">
        <f t="shared" si="3"/>
        <v>614</v>
      </c>
      <c r="H45" s="460">
        <f>G45+'27'!H45</f>
        <v>614</v>
      </c>
      <c r="I45" s="455"/>
      <c r="J45" s="552">
        <f>H45/DAY(B2)</f>
        <v>21.928571428571427</v>
      </c>
      <c r="K45" s="428"/>
      <c r="L45" s="377"/>
      <c r="N45" s="1103"/>
    </row>
    <row r="46" spans="1:14">
      <c r="A46" s="578" t="s">
        <v>174</v>
      </c>
      <c r="B46" s="579"/>
      <c r="C46" s="579"/>
      <c r="D46" s="523" t="s">
        <v>131</v>
      </c>
      <c r="E46" s="742">
        <f>'27'!F46</f>
        <v>0</v>
      </c>
      <c r="F46" s="742">
        <v>187</v>
      </c>
      <c r="G46" s="473">
        <f t="shared" si="3"/>
        <v>187</v>
      </c>
      <c r="H46" s="460">
        <f>G46+'27'!H46</f>
        <v>186.95</v>
      </c>
      <c r="I46" s="455"/>
      <c r="J46" s="552">
        <f>H46/DAY(B2)</f>
        <v>6.6767857142857139</v>
      </c>
      <c r="K46" s="428"/>
      <c r="L46" s="377"/>
      <c r="N46" s="1103"/>
    </row>
    <row r="47" spans="1:14">
      <c r="A47" s="585" t="s">
        <v>175</v>
      </c>
      <c r="B47" s="586"/>
      <c r="C47" s="586"/>
      <c r="D47" s="470"/>
      <c r="E47" s="470"/>
      <c r="F47" s="470"/>
      <c r="G47" s="481">
        <f>G35+G36+G37+G38+G39+G40+G41+G42+G43+G44+G45+G46</f>
        <v>-84189</v>
      </c>
      <c r="H47" s="460">
        <f>G47+'27'!H47</f>
        <v>319025.46999999997</v>
      </c>
      <c r="I47" s="455"/>
      <c r="J47" s="552">
        <f>H47/DAY(B2)</f>
        <v>11393.766785714284</v>
      </c>
      <c r="K47" s="428"/>
      <c r="L47" s="377"/>
      <c r="N47" s="1103"/>
    </row>
    <row r="48" spans="1:14">
      <c r="A48" s="598" t="s">
        <v>176</v>
      </c>
      <c r="B48" s="1146"/>
      <c r="C48" s="1146"/>
      <c r="D48" s="472"/>
      <c r="E48" s="495"/>
      <c r="F48" s="495"/>
      <c r="G48" s="472"/>
      <c r="H48" s="472"/>
      <c r="I48" s="472"/>
      <c r="J48" s="551"/>
      <c r="K48" s="428"/>
      <c r="L48" s="377"/>
      <c r="N48" s="1103"/>
    </row>
    <row r="49" spans="1:14">
      <c r="A49" s="578" t="s">
        <v>163</v>
      </c>
      <c r="B49" s="601"/>
      <c r="C49" s="601"/>
      <c r="D49" s="523" t="s">
        <v>131</v>
      </c>
      <c r="E49" s="742">
        <f>'27'!F49</f>
        <v>260732.13</v>
      </c>
      <c r="F49" s="742">
        <v>260732.13</v>
      </c>
      <c r="G49" s="473">
        <f t="shared" ref="G49:G58" si="4">F49-E49</f>
        <v>0</v>
      </c>
      <c r="H49" s="460">
        <f>G49+'27'!H49</f>
        <v>0.13000000000465661</v>
      </c>
      <c r="I49" s="455"/>
      <c r="J49" s="552">
        <f>H49/DAY(B2)</f>
        <v>4.6428571430234501E-3</v>
      </c>
      <c r="K49" s="428"/>
      <c r="L49" s="377"/>
      <c r="N49" s="1103"/>
    </row>
    <row r="50" spans="1:14">
      <c r="A50" s="578" t="s">
        <v>177</v>
      </c>
      <c r="B50" s="601"/>
      <c r="C50" s="601"/>
      <c r="D50" s="523" t="s">
        <v>131</v>
      </c>
      <c r="E50" s="742">
        <f>'27'!F50</f>
        <v>531769</v>
      </c>
      <c r="F50" s="742">
        <v>499860</v>
      </c>
      <c r="G50" s="473">
        <f t="shared" si="4"/>
        <v>-31909</v>
      </c>
      <c r="H50" s="460">
        <f>G50+'27'!H50</f>
        <v>-3566</v>
      </c>
      <c r="I50" s="455"/>
      <c r="J50" s="552">
        <f>H50/DAY(B2)</f>
        <v>-127.35714285714286</v>
      </c>
      <c r="K50" s="428"/>
      <c r="L50" s="377"/>
      <c r="N50" s="1103"/>
    </row>
    <row r="51" spans="1:14">
      <c r="A51" s="578" t="s">
        <v>165</v>
      </c>
      <c r="B51" s="601"/>
      <c r="C51" s="601"/>
      <c r="D51" s="523" t="s">
        <v>131</v>
      </c>
      <c r="E51" s="742">
        <f>'27'!F51</f>
        <v>144640</v>
      </c>
      <c r="F51" s="742">
        <v>144640</v>
      </c>
      <c r="G51" s="473">
        <f t="shared" si="4"/>
        <v>0</v>
      </c>
      <c r="H51" s="460">
        <f>G51+'27'!H51</f>
        <v>0</v>
      </c>
      <c r="I51" s="455"/>
      <c r="J51" s="552">
        <f>H51/DAY(B2)</f>
        <v>0</v>
      </c>
      <c r="K51" s="428"/>
      <c r="L51" s="377"/>
      <c r="N51" s="1103"/>
    </row>
    <row r="52" spans="1:14">
      <c r="A52" s="578" t="s">
        <v>178</v>
      </c>
      <c r="B52" s="601"/>
      <c r="C52" s="601"/>
      <c r="D52" s="523" t="s">
        <v>131</v>
      </c>
      <c r="E52" s="742">
        <f>'27'!F52</f>
        <v>539606</v>
      </c>
      <c r="F52" s="742">
        <v>539606.06999999995</v>
      </c>
      <c r="G52" s="473">
        <f t="shared" si="4"/>
        <v>6.9999999948777258E-2</v>
      </c>
      <c r="H52" s="460">
        <f>G52+'27'!H52</f>
        <v>0</v>
      </c>
      <c r="I52" s="455"/>
      <c r="J52" s="552">
        <f>H52/DAY(B2)</f>
        <v>0</v>
      </c>
      <c r="K52" s="428"/>
      <c r="L52" s="377"/>
      <c r="N52" s="1103"/>
    </row>
    <row r="53" spans="1:14">
      <c r="A53" s="578" t="s">
        <v>167</v>
      </c>
      <c r="B53" s="601"/>
      <c r="C53" s="601"/>
      <c r="D53" s="523" t="s">
        <v>131</v>
      </c>
      <c r="E53" s="742">
        <f>'27'!F53</f>
        <v>434232</v>
      </c>
      <c r="F53" s="742">
        <v>430926</v>
      </c>
      <c r="G53" s="473">
        <f t="shared" si="4"/>
        <v>-3306</v>
      </c>
      <c r="H53" s="460">
        <f>G53+'27'!H53</f>
        <v>-1642.3300000000163</v>
      </c>
      <c r="I53" s="455"/>
      <c r="J53" s="552">
        <f>H53/DAY(B2)</f>
        <v>-58.654642857143436</v>
      </c>
      <c r="K53" s="428"/>
      <c r="L53" s="377"/>
      <c r="N53" s="1103"/>
    </row>
    <row r="54" spans="1:14">
      <c r="A54" s="578" t="s">
        <v>179</v>
      </c>
      <c r="B54" s="601"/>
      <c r="C54" s="601"/>
      <c r="D54" s="523" t="s">
        <v>131</v>
      </c>
      <c r="E54" s="742">
        <f>'27'!F54</f>
        <v>14967</v>
      </c>
      <c r="F54" s="742">
        <v>13516</v>
      </c>
      <c r="G54" s="473">
        <f t="shared" si="4"/>
        <v>-1451</v>
      </c>
      <c r="H54" s="460">
        <f>G54+'27'!H54</f>
        <v>-313</v>
      </c>
      <c r="I54" s="455"/>
      <c r="J54" s="552">
        <f>H54/DAY(B2)</f>
        <v>-11.178571428571429</v>
      </c>
      <c r="K54" s="428"/>
      <c r="L54" s="377"/>
      <c r="N54" s="1103"/>
    </row>
    <row r="55" spans="1:14">
      <c r="A55" s="578" t="s">
        <v>180</v>
      </c>
      <c r="B55" s="601"/>
      <c r="C55" s="601"/>
      <c r="D55" s="523" t="s">
        <v>131</v>
      </c>
      <c r="E55" s="742">
        <f>'27'!F55</f>
        <v>111460</v>
      </c>
      <c r="F55" s="743">
        <v>68111</v>
      </c>
      <c r="G55" s="653">
        <f t="shared" si="4"/>
        <v>-43349</v>
      </c>
      <c r="H55" s="706">
        <f>G55+'27'!H55</f>
        <v>0</v>
      </c>
      <c r="I55" s="707"/>
      <c r="J55" s="708">
        <f>H55/DAY(B2)</f>
        <v>0</v>
      </c>
      <c r="K55" s="428"/>
      <c r="L55" s="377"/>
      <c r="N55" s="1103"/>
    </row>
    <row r="56" spans="1:14">
      <c r="A56" s="578" t="s">
        <v>181</v>
      </c>
      <c r="B56" s="601"/>
      <c r="C56" s="601"/>
      <c r="D56" s="523" t="s">
        <v>182</v>
      </c>
      <c r="E56" s="742">
        <f>'27'!F56</f>
        <v>648960</v>
      </c>
      <c r="F56" s="743">
        <v>601191</v>
      </c>
      <c r="G56" s="473">
        <f t="shared" si="4"/>
        <v>-47769</v>
      </c>
      <c r="H56" s="460">
        <f>G56+'27'!H56</f>
        <v>-16007</v>
      </c>
      <c r="I56" s="455"/>
      <c r="J56" s="552">
        <f>H56/DAY(B2)</f>
        <v>-571.67857142857144</v>
      </c>
      <c r="K56" s="427"/>
      <c r="L56" s="377"/>
      <c r="N56" s="1103"/>
    </row>
    <row r="57" spans="1:14">
      <c r="A57" s="578" t="s">
        <v>171</v>
      </c>
      <c r="B57" s="601"/>
      <c r="C57" s="601"/>
      <c r="D57" s="523" t="s">
        <v>131</v>
      </c>
      <c r="E57" s="742">
        <f>'27'!F57</f>
        <v>7711</v>
      </c>
      <c r="F57" s="742">
        <v>7711.33</v>
      </c>
      <c r="G57" s="473">
        <f t="shared" si="4"/>
        <v>0.32999999999992724</v>
      </c>
      <c r="H57" s="460">
        <f>G57+'27'!H57</f>
        <v>0.32999999999992724</v>
      </c>
      <c r="I57" s="455"/>
      <c r="J57" s="552">
        <f>H57/DAY(B2)</f>
        <v>1.1785714285711688E-2</v>
      </c>
      <c r="K57" s="428"/>
      <c r="L57" s="377"/>
      <c r="N57" s="1103"/>
    </row>
    <row r="58" spans="1:14">
      <c r="A58" s="578" t="s">
        <v>183</v>
      </c>
      <c r="B58" s="601"/>
      <c r="C58" s="601"/>
      <c r="D58" s="523" t="s">
        <v>131</v>
      </c>
      <c r="E58" s="742">
        <f>'27'!F58</f>
        <v>53590</v>
      </c>
      <c r="F58" s="1233">
        <v>49264</v>
      </c>
      <c r="G58" s="473">
        <f t="shared" si="4"/>
        <v>-4326</v>
      </c>
      <c r="H58" s="460">
        <f>G58+'27'!H58</f>
        <v>-600.20999999999913</v>
      </c>
      <c r="I58" s="455"/>
      <c r="J58" s="552">
        <f>H58/DAY(B2)</f>
        <v>-21.436071428571399</v>
      </c>
      <c r="K58" s="428"/>
      <c r="L58" s="377"/>
      <c r="N58" s="1103"/>
    </row>
    <row r="59" spans="1:14">
      <c r="A59" s="585" t="s">
        <v>175</v>
      </c>
      <c r="B59" s="586"/>
      <c r="C59" s="586"/>
      <c r="D59" s="511"/>
      <c r="E59" s="470"/>
      <c r="F59" s="470"/>
      <c r="G59" s="481">
        <f>G49+G50+G51+G52+G53+G54+G55+G56+G57+G58</f>
        <v>-132109.60000000003</v>
      </c>
      <c r="H59" s="460">
        <f>G59+'27'!H59</f>
        <v>-22128.010000000053</v>
      </c>
      <c r="I59" s="455">
        <f>G7-G60</f>
        <v>233298.60000000003</v>
      </c>
      <c r="J59" s="552">
        <f>H59/DAY(B2)</f>
        <v>-790.28607142857334</v>
      </c>
      <c r="K59" s="428"/>
      <c r="L59" s="377"/>
      <c r="N59" s="1103"/>
    </row>
    <row r="60" spans="1:14">
      <c r="A60" s="578"/>
      <c r="B60" s="579"/>
      <c r="C60" s="579"/>
      <c r="D60" s="511" t="s">
        <v>184</v>
      </c>
      <c r="E60" s="470"/>
      <c r="F60" s="470"/>
      <c r="G60" s="481">
        <f>G47+G59</f>
        <v>-216298.60000000003</v>
      </c>
      <c r="H60" s="460">
        <f>G60+'27'!H60</f>
        <v>298105.99999999983</v>
      </c>
      <c r="I60" s="455">
        <f>G13-G60</f>
        <v>233248.60000000003</v>
      </c>
      <c r="J60" s="552">
        <f>H60/DAY(B2)</f>
        <v>10646.642857142851</v>
      </c>
      <c r="K60" s="428"/>
      <c r="L60" s="377"/>
      <c r="N60" s="1103"/>
    </row>
    <row r="61" spans="1:14">
      <c r="A61" s="602" t="s">
        <v>185</v>
      </c>
      <c r="B61" s="453"/>
      <c r="C61" s="453"/>
      <c r="D61" s="513"/>
      <c r="E61" s="744"/>
      <c r="F61" s="744"/>
      <c r="G61" s="513"/>
      <c r="H61" s="513"/>
      <c r="I61" s="513"/>
      <c r="J61" s="555"/>
      <c r="K61" s="428"/>
      <c r="L61" s="377"/>
      <c r="N61" s="1103"/>
    </row>
    <row r="62" spans="1:14">
      <c r="A62" s="603" t="s">
        <v>97</v>
      </c>
      <c r="B62" s="604"/>
      <c r="C62" s="604"/>
      <c r="D62" s="511" t="s">
        <v>186</v>
      </c>
      <c r="E62" s="514">
        <f>'27'!F62</f>
        <v>20419</v>
      </c>
      <c r="F62" s="514">
        <v>20419</v>
      </c>
      <c r="G62" s="473">
        <f t="shared" ref="G62:G69" si="5">F62-E62</f>
        <v>0</v>
      </c>
      <c r="H62" s="460">
        <f>G62+'27'!H62</f>
        <v>1.9999999967694748E-3</v>
      </c>
      <c r="I62" s="515"/>
      <c r="J62" s="552">
        <f>H62/DAY(B2)</f>
        <v>7.1428571313195531E-5</v>
      </c>
      <c r="K62" s="428"/>
      <c r="L62" s="377"/>
      <c r="N62" s="1103"/>
    </row>
    <row r="63" spans="1:14">
      <c r="A63" s="603" t="s">
        <v>187</v>
      </c>
      <c r="B63" s="604"/>
      <c r="C63" s="604"/>
      <c r="D63" s="511" t="s">
        <v>186</v>
      </c>
      <c r="E63" s="514">
        <f>'27'!F63</f>
        <v>0</v>
      </c>
      <c r="F63" s="514">
        <v>2464</v>
      </c>
      <c r="G63" s="473">
        <f t="shared" si="5"/>
        <v>2464</v>
      </c>
      <c r="H63" s="460">
        <f>G63+'27'!H63</f>
        <v>2464</v>
      </c>
      <c r="I63" s="515"/>
      <c r="J63" s="552">
        <f>H63/DAY(B2)</f>
        <v>88</v>
      </c>
      <c r="K63" s="428"/>
      <c r="L63" s="377"/>
      <c r="N63" s="1103"/>
    </row>
    <row r="64" spans="1:14" ht="27.75">
      <c r="A64" s="1534" t="s">
        <v>98</v>
      </c>
      <c r="B64" s="1535"/>
      <c r="C64" s="1536"/>
      <c r="D64" s="523" t="s">
        <v>186</v>
      </c>
      <c r="E64" s="514">
        <f>'27'!F64</f>
        <v>168917</v>
      </c>
      <c r="F64" s="738">
        <v>159360</v>
      </c>
      <c r="G64" s="473">
        <f t="shared" si="5"/>
        <v>-9557</v>
      </c>
      <c r="H64" s="460">
        <f>G64+'27'!H64</f>
        <v>-572</v>
      </c>
      <c r="I64" s="480"/>
      <c r="J64" s="552">
        <f>H64/DAY(B2)</f>
        <v>-20.428571428571427</v>
      </c>
      <c r="K64" s="428"/>
      <c r="L64" s="377"/>
      <c r="N64" s="1103"/>
    </row>
    <row r="65" spans="1:14" ht="27.75">
      <c r="A65" s="1534" t="s">
        <v>99</v>
      </c>
      <c r="B65" s="1535"/>
      <c r="C65" s="1536"/>
      <c r="D65" s="523" t="s">
        <v>186</v>
      </c>
      <c r="E65" s="514">
        <f>'27'!F65</f>
        <v>169043</v>
      </c>
      <c r="F65" s="745">
        <v>160348</v>
      </c>
      <c r="G65" s="473">
        <f t="shared" si="5"/>
        <v>-8695</v>
      </c>
      <c r="H65" s="460">
        <f>G65+'27'!H65</f>
        <v>-650</v>
      </c>
      <c r="I65" s="489"/>
      <c r="J65" s="552">
        <f>H65/DAY(B2)</f>
        <v>-23.214285714285715</v>
      </c>
      <c r="K65" s="428"/>
      <c r="L65" s="377"/>
      <c r="N65" s="1103"/>
    </row>
    <row r="66" spans="1:14" ht="27.75">
      <c r="A66" s="1534" t="s">
        <v>100</v>
      </c>
      <c r="B66" s="1535"/>
      <c r="C66" s="1536"/>
      <c r="D66" s="523" t="s">
        <v>186</v>
      </c>
      <c r="E66" s="514">
        <f>'27'!F66</f>
        <v>66654</v>
      </c>
      <c r="F66" s="738">
        <v>55940</v>
      </c>
      <c r="G66" s="473">
        <f t="shared" si="5"/>
        <v>-10714</v>
      </c>
      <c r="H66" s="460">
        <f>G66+'27'!H66</f>
        <v>-865</v>
      </c>
      <c r="I66" s="480"/>
      <c r="J66" s="552">
        <f>H66/DAY(B2)</f>
        <v>-30.892857142857142</v>
      </c>
      <c r="K66" s="428"/>
      <c r="L66" s="377"/>
      <c r="N66" s="1103"/>
    </row>
    <row r="67" spans="1:14" ht="27.75">
      <c r="A67" s="1534" t="s">
        <v>101</v>
      </c>
      <c r="B67" s="1535"/>
      <c r="C67" s="1536"/>
      <c r="D67" s="523" t="s">
        <v>186</v>
      </c>
      <c r="E67" s="514">
        <f>'27'!F67</f>
        <v>263648</v>
      </c>
      <c r="F67" s="738">
        <v>250705</v>
      </c>
      <c r="G67" s="473">
        <f t="shared" si="5"/>
        <v>-12943</v>
      </c>
      <c r="H67" s="460">
        <f>G67+'27'!H67</f>
        <v>-1487</v>
      </c>
      <c r="I67" s="489"/>
      <c r="J67" s="552">
        <f>H67/DAY(B2)</f>
        <v>-53.107142857142854</v>
      </c>
      <c r="K67" s="429"/>
      <c r="L67" s="377"/>
      <c r="N67" s="1103"/>
    </row>
    <row r="68" spans="1:14" ht="27.75">
      <c r="A68" s="1534" t="s">
        <v>102</v>
      </c>
      <c r="B68" s="1535"/>
      <c r="C68" s="1536"/>
      <c r="D68" s="523" t="s">
        <v>186</v>
      </c>
      <c r="E68" s="514">
        <f>'27'!F68</f>
        <v>85321</v>
      </c>
      <c r="F68" s="738">
        <v>85321</v>
      </c>
      <c r="G68" s="473">
        <f t="shared" si="5"/>
        <v>0</v>
      </c>
      <c r="H68" s="460">
        <f>G68+'27'!H68</f>
        <v>0</v>
      </c>
      <c r="I68" s="516"/>
      <c r="J68" s="552">
        <f>H68/DAY(B2)</f>
        <v>0</v>
      </c>
      <c r="K68" s="430"/>
      <c r="L68" s="377"/>
      <c r="N68" s="1103"/>
    </row>
    <row r="69" spans="1:14" ht="27.75">
      <c r="A69" s="1534" t="s">
        <v>103</v>
      </c>
      <c r="B69" s="1535"/>
      <c r="C69" s="1536"/>
      <c r="D69" s="523" t="s">
        <v>186</v>
      </c>
      <c r="E69" s="514">
        <f>'27'!F69</f>
        <v>86824</v>
      </c>
      <c r="F69" s="738">
        <v>81418</v>
      </c>
      <c r="G69" s="473">
        <f t="shared" si="5"/>
        <v>-5406</v>
      </c>
      <c r="H69" s="460">
        <f>G69+'27'!H69</f>
        <v>-331</v>
      </c>
      <c r="I69" s="516"/>
      <c r="J69" s="552">
        <f>H69/DAY(B2)</f>
        <v>-11.821428571428571</v>
      </c>
      <c r="K69" s="431"/>
      <c r="L69" s="377"/>
      <c r="N69" s="1103"/>
    </row>
    <row r="70" spans="1:14" ht="27.75">
      <c r="A70" s="1566" t="s">
        <v>188</v>
      </c>
      <c r="B70" s="1567"/>
      <c r="C70" s="1568"/>
      <c r="D70" s="523" t="s">
        <v>186</v>
      </c>
      <c r="E70" s="746"/>
      <c r="F70" s="746"/>
      <c r="G70" s="518"/>
      <c r="H70" s="460">
        <f>G70+'13'!H70</f>
        <v>0</v>
      </c>
      <c r="I70" s="518"/>
      <c r="J70" s="556"/>
      <c r="K70" s="431"/>
      <c r="L70" s="377"/>
      <c r="N70" s="1103"/>
    </row>
    <row r="71" spans="1:14" ht="31.5">
      <c r="A71" s="1580" t="s">
        <v>189</v>
      </c>
      <c r="B71" s="1581"/>
      <c r="C71" s="1581"/>
      <c r="D71" s="1581"/>
      <c r="E71" s="1581"/>
      <c r="F71" s="1581"/>
      <c r="G71" s="1581"/>
      <c r="H71" s="1581"/>
      <c r="I71" s="1581"/>
      <c r="J71" s="1582"/>
      <c r="K71" s="430"/>
      <c r="L71" s="377"/>
      <c r="N71" s="1103"/>
    </row>
    <row r="72" spans="1:14" ht="27.75">
      <c r="A72" s="1534" t="s">
        <v>190</v>
      </c>
      <c r="B72" s="1535"/>
      <c r="C72" s="1536"/>
      <c r="D72" s="523" t="s">
        <v>186</v>
      </c>
      <c r="E72" s="763">
        <f>'27'!F72</f>
        <v>856191</v>
      </c>
      <c r="F72" s="747">
        <v>855806</v>
      </c>
      <c r="G72" s="473">
        <f t="shared" ref="G72:G84" si="6">F72-E72</f>
        <v>-385</v>
      </c>
      <c r="H72" s="460">
        <f>G72+'27'!H72</f>
        <v>-50</v>
      </c>
      <c r="I72" s="480"/>
      <c r="J72" s="552">
        <f>H72/DAY(B2)</f>
        <v>-1.7857142857142858</v>
      </c>
      <c r="K72" s="431"/>
      <c r="L72" s="377"/>
      <c r="N72" s="1103"/>
    </row>
    <row r="73" spans="1:14" ht="27.75">
      <c r="A73" s="1534" t="s">
        <v>191</v>
      </c>
      <c r="B73" s="1535"/>
      <c r="C73" s="1536"/>
      <c r="D73" s="523" t="s">
        <v>186</v>
      </c>
      <c r="E73" s="763">
        <f>'27'!F73</f>
        <v>885968</v>
      </c>
      <c r="F73" s="748">
        <v>885934</v>
      </c>
      <c r="G73" s="653">
        <f t="shared" si="6"/>
        <v>-34</v>
      </c>
      <c r="H73" s="460">
        <f>G73+'27'!H73</f>
        <v>153</v>
      </c>
      <c r="I73" s="480"/>
      <c r="J73" s="552">
        <f>H73/DAY(B2)</f>
        <v>5.4642857142857144</v>
      </c>
      <c r="K73" s="430"/>
      <c r="L73" s="377"/>
      <c r="N73" s="1103"/>
    </row>
    <row r="74" spans="1:14" ht="27.75">
      <c r="A74" s="1534" t="s">
        <v>192</v>
      </c>
      <c r="B74" s="1535"/>
      <c r="C74" s="1536"/>
      <c r="D74" s="523" t="s">
        <v>186</v>
      </c>
      <c r="E74" s="763">
        <f>'27'!F74</f>
        <v>88689</v>
      </c>
      <c r="F74" s="748">
        <v>2566</v>
      </c>
      <c r="G74" s="473">
        <f t="shared" si="6"/>
        <v>-86123</v>
      </c>
      <c r="H74" s="460">
        <f>G74+'27'!H74</f>
        <v>-86099.04</v>
      </c>
      <c r="I74" s="480"/>
      <c r="J74" s="552">
        <f>H74/DAY(B2)</f>
        <v>-3074.9657142857141</v>
      </c>
      <c r="K74" s="431"/>
      <c r="L74" s="377"/>
      <c r="N74" s="1103"/>
    </row>
    <row r="75" spans="1:14" ht="27.75">
      <c r="A75" s="1583" t="s">
        <v>193</v>
      </c>
      <c r="B75" s="1584"/>
      <c r="C75" s="1585"/>
      <c r="D75" s="523" t="s">
        <v>186</v>
      </c>
      <c r="E75" s="763">
        <f>'27'!F75</f>
        <v>15677</v>
      </c>
      <c r="F75" s="748">
        <v>12505</v>
      </c>
      <c r="G75" s="473">
        <f t="shared" si="6"/>
        <v>-3172</v>
      </c>
      <c r="H75" s="460">
        <f>G75+'27'!H75</f>
        <v>-164</v>
      </c>
      <c r="I75" s="480"/>
      <c r="J75" s="552">
        <f>H75/DAY(B2)</f>
        <v>-5.8571428571428568</v>
      </c>
      <c r="K75" s="430"/>
      <c r="L75" s="377"/>
      <c r="N75" s="1103"/>
    </row>
    <row r="76" spans="1:14" ht="27.75">
      <c r="A76" s="1583" t="s">
        <v>194</v>
      </c>
      <c r="B76" s="1584"/>
      <c r="C76" s="1585"/>
      <c r="D76" s="523" t="s">
        <v>186</v>
      </c>
      <c r="E76" s="763">
        <f>'27'!F76</f>
        <v>9105</v>
      </c>
      <c r="F76" s="748">
        <v>7250</v>
      </c>
      <c r="G76" s="473">
        <f t="shared" si="6"/>
        <v>-1855</v>
      </c>
      <c r="H76" s="460">
        <f>G76+'27'!H76</f>
        <v>44</v>
      </c>
      <c r="I76" s="505"/>
      <c r="J76" s="552">
        <f>H76/DAY(B2)</f>
        <v>1.5714285714285714</v>
      </c>
      <c r="K76" s="430"/>
      <c r="L76" s="377"/>
      <c r="N76" s="1103"/>
    </row>
    <row r="77" spans="1:14" ht="27.75">
      <c r="A77" s="1534" t="s">
        <v>195</v>
      </c>
      <c r="B77" s="1535"/>
      <c r="C77" s="1536"/>
      <c r="D77" s="523" t="s">
        <v>186</v>
      </c>
      <c r="E77" s="763">
        <f>'27'!F77</f>
        <v>704205</v>
      </c>
      <c r="F77" s="748">
        <v>702712</v>
      </c>
      <c r="G77" s="653">
        <f t="shared" si="6"/>
        <v>-1493</v>
      </c>
      <c r="H77" s="460">
        <f>G77+'27'!H77</f>
        <v>-127</v>
      </c>
      <c r="I77" s="505"/>
      <c r="J77" s="552">
        <f>H77/DAY(B2)</f>
        <v>-4.5357142857142856</v>
      </c>
      <c r="K77" s="430"/>
      <c r="L77" s="377"/>
      <c r="N77" s="1103"/>
    </row>
    <row r="78" spans="1:14" ht="27.75">
      <c r="A78" s="1144" t="s">
        <v>196</v>
      </c>
      <c r="B78" s="1117"/>
      <c r="C78" s="1117"/>
      <c r="D78" s="523" t="s">
        <v>186</v>
      </c>
      <c r="E78" s="763">
        <f>'27'!F78</f>
        <v>675167</v>
      </c>
      <c r="F78" s="748">
        <v>672565</v>
      </c>
      <c r="G78" s="653">
        <f t="shared" si="6"/>
        <v>-2602</v>
      </c>
      <c r="H78" s="460">
        <f>G78+'27'!H78</f>
        <v>-467</v>
      </c>
      <c r="I78" s="505"/>
      <c r="J78" s="552">
        <f>H78/DAY(B2)</f>
        <v>-16.678571428571427</v>
      </c>
      <c r="K78" s="430"/>
      <c r="L78" s="377"/>
      <c r="N78" s="1103"/>
    </row>
    <row r="79" spans="1:14" ht="27.75">
      <c r="A79" s="1583" t="s">
        <v>91</v>
      </c>
      <c r="B79" s="1584"/>
      <c r="C79" s="1585"/>
      <c r="D79" s="524" t="s">
        <v>186</v>
      </c>
      <c r="E79" s="763">
        <f>'27'!F79</f>
        <v>834973</v>
      </c>
      <c r="F79" s="749">
        <v>830553</v>
      </c>
      <c r="G79" s="473">
        <f t="shared" si="6"/>
        <v>-4420</v>
      </c>
      <c r="H79" s="460">
        <f>G79+'27'!H79</f>
        <v>-1469</v>
      </c>
      <c r="I79" s="505"/>
      <c r="J79" s="552">
        <f>H79/DAY(B2)</f>
        <v>-52.464285714285715</v>
      </c>
      <c r="K79" s="430"/>
      <c r="L79" s="377"/>
      <c r="N79" s="1103"/>
    </row>
    <row r="80" spans="1:14" ht="27.75">
      <c r="A80" s="1583" t="s">
        <v>197</v>
      </c>
      <c r="B80" s="1584"/>
      <c r="C80" s="1585"/>
      <c r="D80" s="524" t="s">
        <v>186</v>
      </c>
      <c r="E80" s="763">
        <f>'27'!F80</f>
        <v>537903</v>
      </c>
      <c r="F80" s="748">
        <v>526526</v>
      </c>
      <c r="G80" s="473">
        <f t="shared" si="6"/>
        <v>-11377</v>
      </c>
      <c r="H80" s="460">
        <f>G80+'27'!H80</f>
        <v>-4019.5200000000186</v>
      </c>
      <c r="I80" s="505"/>
      <c r="J80" s="552">
        <f>H80/DAY(B2)</f>
        <v>-143.55428571428638</v>
      </c>
      <c r="K80" s="430"/>
      <c r="L80" s="377"/>
      <c r="N80" s="1103"/>
    </row>
    <row r="81" spans="1:17" ht="27.75">
      <c r="A81" s="1583" t="s">
        <v>198</v>
      </c>
      <c r="B81" s="1584"/>
      <c r="C81" s="1585"/>
      <c r="D81" s="524" t="s">
        <v>186</v>
      </c>
      <c r="E81" s="763">
        <f>'27'!F81</f>
        <v>642577</v>
      </c>
      <c r="F81" s="748">
        <v>638625</v>
      </c>
      <c r="G81" s="473">
        <f t="shared" si="6"/>
        <v>-3952</v>
      </c>
      <c r="H81" s="460">
        <f>G81+'27'!H81</f>
        <v>-273</v>
      </c>
      <c r="I81" s="505"/>
      <c r="J81" s="552">
        <f>H81/DAY(B2)</f>
        <v>-9.75</v>
      </c>
      <c r="K81" s="430"/>
      <c r="L81" s="377"/>
      <c r="N81" s="1103"/>
    </row>
    <row r="82" spans="1:17" ht="27.75">
      <c r="A82" s="1583" t="s">
        <v>92</v>
      </c>
      <c r="B82" s="1584"/>
      <c r="C82" s="1585"/>
      <c r="D82" s="485" t="s">
        <v>131</v>
      </c>
      <c r="E82" s="763">
        <f>'27'!F82</f>
        <v>108633</v>
      </c>
      <c r="F82" s="745">
        <v>108112</v>
      </c>
      <c r="G82" s="473">
        <f t="shared" si="6"/>
        <v>-521</v>
      </c>
      <c r="H82" s="460">
        <f>G82+'27'!H82</f>
        <v>-46</v>
      </c>
      <c r="I82" s="486"/>
      <c r="J82" s="552">
        <f>H82/DAY(B2)</f>
        <v>-1.6428571428571428</v>
      </c>
      <c r="K82" s="430"/>
      <c r="L82" s="377"/>
      <c r="N82" s="1103"/>
    </row>
    <row r="83" spans="1:17" ht="27.75">
      <c r="A83" s="1583" t="s">
        <v>199</v>
      </c>
      <c r="B83" s="1584"/>
      <c r="C83" s="1585"/>
      <c r="D83" s="620" t="s">
        <v>131</v>
      </c>
      <c r="E83" s="763">
        <f>'27'!F83</f>
        <v>26634</v>
      </c>
      <c r="F83" s="470">
        <v>19920</v>
      </c>
      <c r="G83" s="473">
        <f t="shared" si="6"/>
        <v>-6714</v>
      </c>
      <c r="H83" s="460">
        <f>G83+'27'!H83</f>
        <v>-586</v>
      </c>
      <c r="I83" s="481"/>
      <c r="J83" s="552">
        <f>H83/DAY(B2)</f>
        <v>-20.928571428571427</v>
      </c>
      <c r="K83" s="429"/>
      <c r="L83" s="377"/>
      <c r="N83" s="1103"/>
    </row>
    <row r="84" spans="1:17">
      <c r="A84" s="1145" t="s">
        <v>200</v>
      </c>
      <c r="B84" s="571"/>
      <c r="C84" s="571"/>
      <c r="D84" s="478" t="s">
        <v>131</v>
      </c>
      <c r="E84" s="763">
        <f>'27'!F84</f>
        <v>520637</v>
      </c>
      <c r="F84" s="706">
        <v>497815</v>
      </c>
      <c r="G84" s="473">
        <f t="shared" si="6"/>
        <v>-22822</v>
      </c>
      <c r="H84" s="460">
        <f>G84+'27'!H84</f>
        <v>-2479</v>
      </c>
      <c r="I84" s="481"/>
      <c r="J84" s="552">
        <f>H84/DAY(B2)</f>
        <v>-88.535714285714292</v>
      </c>
      <c r="K84" s="380"/>
      <c r="L84" s="377"/>
      <c r="N84" s="1103"/>
    </row>
    <row r="85" spans="1:17" s="379" customFormat="1">
      <c r="A85" s="605" t="s">
        <v>201</v>
      </c>
      <c r="B85" s="572"/>
      <c r="C85" s="572"/>
      <c r="D85" s="489"/>
      <c r="E85" s="706">
        <f>'27'!F85</f>
        <v>0</v>
      </c>
      <c r="F85" s="460"/>
      <c r="G85" s="460">
        <f xml:space="preserve"> SUM(G72:G84)</f>
        <v>-145470</v>
      </c>
      <c r="H85" s="460">
        <f>G85+'27'!H85</f>
        <v>-92039.039999999994</v>
      </c>
      <c r="I85" s="481"/>
      <c r="J85" s="552">
        <f>H85/DAY(B2)</f>
        <v>-3287.1085714285714</v>
      </c>
      <c r="K85" s="380"/>
      <c r="L85" s="378"/>
      <c r="N85" s="1103"/>
      <c r="O85" s="770"/>
      <c r="P85" s="770"/>
      <c r="Q85" s="770"/>
    </row>
    <row r="86" spans="1:17" s="736" customFormat="1">
      <c r="A86" s="731" t="s">
        <v>93</v>
      </c>
      <c r="B86" s="732"/>
      <c r="C86" s="732"/>
      <c r="D86" s="733" t="s">
        <v>182</v>
      </c>
      <c r="E86" s="706">
        <f>'27'!F86</f>
        <v>461705</v>
      </c>
      <c r="F86" s="750">
        <v>460836</v>
      </c>
      <c r="G86" s="706">
        <f t="shared" ref="G86:G88" si="7">F86-E86</f>
        <v>-869</v>
      </c>
      <c r="H86" s="706">
        <f t="shared" ref="H86:H88" si="8">G86</f>
        <v>-869</v>
      </c>
      <c r="I86" s="653"/>
      <c r="J86" s="708">
        <f>H86/DAY(B2)</f>
        <v>-31.035714285714285</v>
      </c>
      <c r="K86" s="734"/>
      <c r="L86" s="735"/>
      <c r="N86" s="1103"/>
      <c r="O86" s="770"/>
      <c r="P86" s="770"/>
      <c r="Q86" s="771"/>
    </row>
    <row r="87" spans="1:17" s="736" customFormat="1">
      <c r="A87" s="731" t="s">
        <v>94</v>
      </c>
      <c r="B87" s="732"/>
      <c r="C87" s="732"/>
      <c r="D87" s="733" t="s">
        <v>182</v>
      </c>
      <c r="E87" s="706">
        <f>'27'!F87</f>
        <v>81978</v>
      </c>
      <c r="F87" s="750">
        <v>81325</v>
      </c>
      <c r="G87" s="706">
        <f t="shared" si="7"/>
        <v>-653</v>
      </c>
      <c r="H87" s="706">
        <f t="shared" si="8"/>
        <v>-653</v>
      </c>
      <c r="I87" s="653"/>
      <c r="J87" s="708">
        <f>H87/DAY(B2)</f>
        <v>-23.321428571428573</v>
      </c>
      <c r="K87" s="734"/>
      <c r="L87" s="735"/>
      <c r="N87" s="1103"/>
      <c r="O87" s="770"/>
      <c r="P87" s="770"/>
      <c r="Q87" s="771"/>
    </row>
    <row r="88" spans="1:17" s="736" customFormat="1">
      <c r="A88" s="731" t="s">
        <v>95</v>
      </c>
      <c r="B88" s="732"/>
      <c r="C88" s="732"/>
      <c r="D88" s="733" t="s">
        <v>182</v>
      </c>
      <c r="E88" s="706">
        <f>'27'!F88</f>
        <v>154983</v>
      </c>
      <c r="F88" s="750">
        <v>152923</v>
      </c>
      <c r="G88" s="706">
        <f t="shared" si="7"/>
        <v>-2060</v>
      </c>
      <c r="H88" s="706">
        <f t="shared" si="8"/>
        <v>-2060</v>
      </c>
      <c r="I88" s="653"/>
      <c r="J88" s="708">
        <f>H88/DAY(B2)</f>
        <v>-73.571428571428569</v>
      </c>
      <c r="K88" s="734"/>
      <c r="L88" s="735"/>
      <c r="N88" s="1103"/>
      <c r="O88" s="770"/>
      <c r="P88" s="770"/>
      <c r="Q88" s="771"/>
    </row>
    <row r="89" spans="1:17" s="736" customFormat="1">
      <c r="A89" s="731" t="s">
        <v>203</v>
      </c>
      <c r="B89" s="732"/>
      <c r="C89" s="732"/>
      <c r="D89" s="733" t="s">
        <v>182</v>
      </c>
      <c r="E89" s="706">
        <f>'27'!F89</f>
        <v>65763</v>
      </c>
      <c r="F89" s="750">
        <v>65142</v>
      </c>
      <c r="G89" s="706">
        <f t="shared" ref="G89:G91" si="9">F89-E89</f>
        <v>-621</v>
      </c>
      <c r="H89" s="706">
        <f t="shared" ref="H89:H91" si="10">G89</f>
        <v>-621</v>
      </c>
      <c r="I89" s="653"/>
      <c r="J89" s="708">
        <f>H89/DAY(B2)</f>
        <v>-22.178571428571427</v>
      </c>
      <c r="K89" s="734"/>
      <c r="L89" s="735"/>
      <c r="N89" s="1103"/>
      <c r="O89" s="382"/>
    </row>
    <row r="90" spans="1:17" s="736" customFormat="1">
      <c r="A90" s="731" t="s">
        <v>203</v>
      </c>
      <c r="B90" s="732"/>
      <c r="C90" s="732"/>
      <c r="D90" s="733" t="s">
        <v>182</v>
      </c>
      <c r="E90" s="706">
        <f>'27'!F90</f>
        <v>3334</v>
      </c>
      <c r="F90" s="750">
        <v>3274</v>
      </c>
      <c r="G90" s="706">
        <f t="shared" si="9"/>
        <v>-60</v>
      </c>
      <c r="H90" s="706">
        <f t="shared" si="10"/>
        <v>-60</v>
      </c>
      <c r="I90" s="653"/>
      <c r="J90" s="708">
        <f>H90/DAY(B2)</f>
        <v>-2.1428571428571428</v>
      </c>
      <c r="K90" s="734"/>
      <c r="L90" s="735"/>
      <c r="N90" s="1103"/>
      <c r="O90" s="382"/>
    </row>
    <row r="91" spans="1:17" s="736" customFormat="1">
      <c r="A91" s="731" t="s">
        <v>350</v>
      </c>
      <c r="B91" s="732"/>
      <c r="C91" s="732"/>
      <c r="D91" s="733"/>
      <c r="E91" s="706">
        <f>'27'!F91</f>
        <v>28218</v>
      </c>
      <c r="F91" s="648">
        <v>28010</v>
      </c>
      <c r="G91" s="706">
        <f t="shared" si="9"/>
        <v>-208</v>
      </c>
      <c r="H91" s="706">
        <f t="shared" si="10"/>
        <v>-208</v>
      </c>
      <c r="I91" s="653"/>
      <c r="J91" s="708"/>
      <c r="K91" s="734"/>
      <c r="L91" s="735"/>
      <c r="N91" s="778"/>
      <c r="O91" s="382"/>
    </row>
    <row r="92" spans="1:17" s="379" customFormat="1">
      <c r="A92" s="606" t="s">
        <v>204</v>
      </c>
      <c r="B92" s="1147"/>
      <c r="C92" s="1147"/>
      <c r="D92" s="472"/>
      <c r="E92" s="739"/>
      <c r="F92" s="739" t="s">
        <v>355</v>
      </c>
      <c r="G92" s="488"/>
      <c r="H92" s="472"/>
      <c r="I92" s="472"/>
      <c r="J92" s="551"/>
      <c r="K92" s="380"/>
      <c r="L92" s="378"/>
      <c r="N92" s="1103"/>
      <c r="O92" s="770"/>
      <c r="P92" s="770"/>
      <c r="Q92" s="770"/>
    </row>
    <row r="93" spans="1:17" ht="27.75">
      <c r="A93" s="1537" t="s">
        <v>205</v>
      </c>
      <c r="B93" s="1538"/>
      <c r="C93" s="1539"/>
      <c r="D93" s="523" t="s">
        <v>143</v>
      </c>
      <c r="E93" s="759">
        <f>'27'!F93</f>
        <v>247186</v>
      </c>
      <c r="F93" s="738">
        <v>245339</v>
      </c>
      <c r="G93" s="473">
        <f t="shared" ref="G93:G94" si="11">F93-E93</f>
        <v>-1847</v>
      </c>
      <c r="H93" s="460">
        <f>G93+'27'!H93</f>
        <v>-149</v>
      </c>
      <c r="I93" s="480"/>
      <c r="J93" s="552">
        <f>H93/DAY(B2)</f>
        <v>-5.3214285714285712</v>
      </c>
      <c r="K93" s="429"/>
      <c r="L93" s="377"/>
      <c r="N93" s="1103"/>
    </row>
    <row r="94" spans="1:17" ht="27.75">
      <c r="A94" s="1537" t="s">
        <v>206</v>
      </c>
      <c r="B94" s="1538"/>
      <c r="C94" s="1539"/>
      <c r="D94" s="523" t="s">
        <v>143</v>
      </c>
      <c r="E94" s="759">
        <f>'27'!F94</f>
        <v>189136</v>
      </c>
      <c r="F94" s="738">
        <v>185862</v>
      </c>
      <c r="G94" s="473">
        <f t="shared" si="11"/>
        <v>-3274</v>
      </c>
      <c r="H94" s="460">
        <f>G94+'27'!H94</f>
        <v>-259</v>
      </c>
      <c r="I94" s="480"/>
      <c r="J94" s="552">
        <f>H94/DAY(B2)</f>
        <v>-9.25</v>
      </c>
      <c r="K94" s="380"/>
      <c r="L94" s="377"/>
      <c r="N94" s="1103"/>
    </row>
    <row r="95" spans="1:17">
      <c r="A95" s="1531" t="s">
        <v>207</v>
      </c>
      <c r="B95" s="1532"/>
      <c r="C95" s="1533"/>
      <c r="D95" s="523"/>
      <c r="E95" s="759">
        <f>'27'!F95</f>
        <v>0</v>
      </c>
      <c r="F95" s="738"/>
      <c r="G95" s="473">
        <f>G93+G94</f>
        <v>-5121</v>
      </c>
      <c r="H95" s="460">
        <f>G95+'27'!H95</f>
        <v>-484</v>
      </c>
      <c r="I95" s="480"/>
      <c r="J95" s="552">
        <f>H95/DAY(B2)</f>
        <v>-17.285714285714285</v>
      </c>
      <c r="K95" s="380"/>
      <c r="L95" s="377"/>
      <c r="N95" s="1103"/>
    </row>
    <row r="96" spans="1:17" ht="27.75">
      <c r="A96" s="1537" t="s">
        <v>208</v>
      </c>
      <c r="B96" s="1538"/>
      <c r="C96" s="1539"/>
      <c r="D96" s="523" t="s">
        <v>143</v>
      </c>
      <c r="E96" s="759">
        <f>'27'!F96</f>
        <v>415828</v>
      </c>
      <c r="F96" s="738">
        <v>414145</v>
      </c>
      <c r="G96" s="473">
        <f t="shared" ref="G96:G101" si="12">F96-E96</f>
        <v>-1683</v>
      </c>
      <c r="H96" s="460">
        <f>G96+'27'!H96</f>
        <v>-138</v>
      </c>
      <c r="I96" s="480"/>
      <c r="J96" s="552">
        <f>H96/DAY(B2)</f>
        <v>-4.9285714285714288</v>
      </c>
      <c r="K96" s="380"/>
      <c r="L96" s="377"/>
      <c r="N96" s="1103"/>
    </row>
    <row r="97" spans="1:17" ht="27.75">
      <c r="A97" s="1141" t="s">
        <v>209</v>
      </c>
      <c r="B97" s="1142"/>
      <c r="C97" s="1142"/>
      <c r="D97" s="523" t="s">
        <v>143</v>
      </c>
      <c r="E97" s="759">
        <f>'27'!F97</f>
        <v>103114</v>
      </c>
      <c r="F97" s="738">
        <v>102614</v>
      </c>
      <c r="G97" s="473">
        <f t="shared" si="12"/>
        <v>-500</v>
      </c>
      <c r="H97" s="460">
        <f>G97+'27'!H97</f>
        <v>-34</v>
      </c>
      <c r="I97" s="480"/>
      <c r="J97" s="552">
        <f>H97/DAY(B2)</f>
        <v>-1.2142857142857142</v>
      </c>
      <c r="K97" s="427"/>
      <c r="L97" s="377"/>
      <c r="N97" s="1103"/>
    </row>
    <row r="98" spans="1:17" ht="27.75">
      <c r="A98" s="1141" t="s">
        <v>210</v>
      </c>
      <c r="B98" s="1142"/>
      <c r="C98" s="1142"/>
      <c r="D98" s="523" t="s">
        <v>143</v>
      </c>
      <c r="E98" s="759">
        <f>'27'!F98</f>
        <v>98601</v>
      </c>
      <c r="F98" s="738">
        <v>97862</v>
      </c>
      <c r="G98" s="473">
        <f t="shared" si="12"/>
        <v>-739</v>
      </c>
      <c r="H98" s="460">
        <f>G98+'27'!H98</f>
        <v>-88</v>
      </c>
      <c r="I98" s="480"/>
      <c r="J98" s="552">
        <f>H98/DAY(B2)</f>
        <v>-3.1428571428571428</v>
      </c>
      <c r="K98" s="432"/>
      <c r="L98" s="377"/>
      <c r="N98" s="1103"/>
    </row>
    <row r="99" spans="1:17" ht="27.75">
      <c r="A99" s="1141" t="s">
        <v>211</v>
      </c>
      <c r="B99" s="1142"/>
      <c r="C99" s="1142"/>
      <c r="D99" s="523" t="s">
        <v>143</v>
      </c>
      <c r="E99" s="759">
        <f>'27'!F99</f>
        <v>150314</v>
      </c>
      <c r="F99" s="738">
        <v>149842</v>
      </c>
      <c r="G99" s="473">
        <f t="shared" si="12"/>
        <v>-472</v>
      </c>
      <c r="H99" s="460">
        <f>G99+'27'!H99</f>
        <v>-10</v>
      </c>
      <c r="I99" s="480"/>
      <c r="J99" s="552">
        <f>H99/DAY(B2)</f>
        <v>-0.35714285714285715</v>
      </c>
      <c r="K99" s="380"/>
      <c r="L99" s="377"/>
      <c r="N99" s="1103"/>
    </row>
    <row r="100" spans="1:17" ht="27.75">
      <c r="A100" s="1141" t="s">
        <v>212</v>
      </c>
      <c r="B100" s="1142"/>
      <c r="C100" s="1142"/>
      <c r="D100" s="523" t="s">
        <v>143</v>
      </c>
      <c r="E100" s="759">
        <f>'27'!F100</f>
        <v>7740</v>
      </c>
      <c r="F100" s="738">
        <v>7351</v>
      </c>
      <c r="G100" s="473">
        <f t="shared" si="12"/>
        <v>-389</v>
      </c>
      <c r="H100" s="460">
        <f>G100+'27'!H100</f>
        <v>-18</v>
      </c>
      <c r="I100" s="480"/>
      <c r="J100" s="552">
        <f>H100/DAY(B2)</f>
        <v>-0.6428571428571429</v>
      </c>
      <c r="K100" s="380"/>
      <c r="L100" s="377"/>
      <c r="N100" s="1103"/>
    </row>
    <row r="101" spans="1:17" ht="27.75">
      <c r="A101" s="1141" t="s">
        <v>213</v>
      </c>
      <c r="B101" s="1142"/>
      <c r="C101" s="1142"/>
      <c r="D101" s="523" t="s">
        <v>143</v>
      </c>
      <c r="E101" s="759">
        <f>'27'!F101</f>
        <v>5633</v>
      </c>
      <c r="F101" s="738">
        <v>5360</v>
      </c>
      <c r="G101" s="473">
        <f t="shared" si="12"/>
        <v>-273</v>
      </c>
      <c r="H101" s="460">
        <f>G101+'27'!H101</f>
        <v>-31</v>
      </c>
      <c r="I101" s="480"/>
      <c r="J101" s="552">
        <f>H101/DAY(B2)</f>
        <v>-1.1071428571428572</v>
      </c>
      <c r="K101" s="380"/>
      <c r="L101" s="377"/>
      <c r="N101" s="1103"/>
    </row>
    <row r="102" spans="1:17">
      <c r="A102" s="1531" t="s">
        <v>215</v>
      </c>
      <c r="B102" s="1532"/>
      <c r="C102" s="1533"/>
      <c r="D102" s="524"/>
      <c r="E102" s="486"/>
      <c r="F102" s="486"/>
      <c r="G102" s="525">
        <f>SUM(G96:G101)</f>
        <v>-4056</v>
      </c>
      <c r="H102" s="460">
        <f>G102+'27'!H102</f>
        <v>-319</v>
      </c>
      <c r="I102" s="526"/>
      <c r="J102" s="552">
        <f>H102/DAY(B2)</f>
        <v>-11.392857142857142</v>
      </c>
      <c r="K102" s="380"/>
      <c r="L102" s="377"/>
      <c r="N102" s="1103"/>
    </row>
    <row r="103" spans="1:17" s="442" customFormat="1" ht="27">
      <c r="A103" s="607" t="s">
        <v>216</v>
      </c>
      <c r="B103" s="608"/>
      <c r="C103" s="608"/>
      <c r="D103" s="621"/>
      <c r="E103" s="765"/>
      <c r="F103" s="751"/>
      <c r="G103" s="529"/>
      <c r="H103" s="530"/>
      <c r="I103" s="531"/>
      <c r="J103" s="557"/>
      <c r="N103" s="1103"/>
      <c r="O103" s="770"/>
      <c r="P103" s="770"/>
      <c r="Q103" s="770"/>
    </row>
    <row r="104" spans="1:17" s="442" customFormat="1" ht="27">
      <c r="A104" s="1540" t="s">
        <v>217</v>
      </c>
      <c r="B104" s="1541"/>
      <c r="C104" s="573"/>
      <c r="D104" s="622"/>
      <c r="E104" s="533"/>
      <c r="F104" s="752"/>
      <c r="G104" s="532"/>
      <c r="H104" s="533"/>
      <c r="I104" s="532"/>
      <c r="J104" s="558"/>
      <c r="N104" s="1103"/>
      <c r="O104" s="770"/>
      <c r="P104" s="770"/>
      <c r="Q104" s="770"/>
    </row>
    <row r="105" spans="1:17" s="442" customFormat="1" ht="27">
      <c r="A105" s="1542" t="s">
        <v>218</v>
      </c>
      <c r="B105" s="1543"/>
      <c r="C105" s="1140"/>
      <c r="D105" s="622" t="s">
        <v>143</v>
      </c>
      <c r="E105" s="533">
        <f>'27'!F105</f>
        <v>7637</v>
      </c>
      <c r="F105" s="752">
        <v>7484</v>
      </c>
      <c r="G105" s="532">
        <f>F105-E105</f>
        <v>-153</v>
      </c>
      <c r="H105" s="533">
        <f>SUM(G105+'1'!G76)</f>
        <v>-96</v>
      </c>
      <c r="I105" s="532"/>
      <c r="J105" s="558">
        <f>H105/DAY(B2)</f>
        <v>-3.4285714285714284</v>
      </c>
      <c r="N105" s="1103"/>
      <c r="O105" s="770"/>
      <c r="P105" s="770"/>
      <c r="Q105" s="770"/>
    </row>
    <row r="106" spans="1:17" s="442" customFormat="1" ht="27">
      <c r="A106" s="1542" t="s">
        <v>76</v>
      </c>
      <c r="B106" s="1543"/>
      <c r="C106" s="1140"/>
      <c r="D106" s="622" t="s">
        <v>143</v>
      </c>
      <c r="E106" s="533">
        <f>'27'!F106</f>
        <v>36143</v>
      </c>
      <c r="F106" s="661">
        <v>35938</v>
      </c>
      <c r="G106" s="532">
        <f t="shared" ref="G106" si="13">F106-E106</f>
        <v>-205</v>
      </c>
      <c r="H106" s="533">
        <f>SUM(G106+'1'!G77)</f>
        <v>-156</v>
      </c>
      <c r="I106" s="532"/>
      <c r="J106" s="558">
        <f>H106/DAY(B2)</f>
        <v>-5.5714285714285712</v>
      </c>
      <c r="N106" s="1103"/>
      <c r="O106" s="770"/>
      <c r="P106" s="770"/>
      <c r="Q106" s="770"/>
    </row>
    <row r="107" spans="1:17" s="442" customFormat="1" ht="27">
      <c r="A107" s="1542" t="s">
        <v>77</v>
      </c>
      <c r="B107" s="1544"/>
      <c r="C107" s="1543"/>
      <c r="D107" s="622" t="s">
        <v>143</v>
      </c>
      <c r="E107" s="533">
        <f>'27'!F107</f>
        <v>19810</v>
      </c>
      <c r="F107" s="661">
        <v>19699</v>
      </c>
      <c r="G107" s="532">
        <f>F107-E107</f>
        <v>-111</v>
      </c>
      <c r="H107" s="533">
        <f>SUM(G107+'1'!G78)</f>
        <v>-56</v>
      </c>
      <c r="I107" s="532"/>
      <c r="J107" s="558">
        <f>H107/DAY(B2)</f>
        <v>-2</v>
      </c>
      <c r="N107" s="1103"/>
      <c r="O107" s="770"/>
      <c r="P107" s="770"/>
      <c r="Q107" s="770"/>
    </row>
    <row r="108" spans="1:17" s="442" customFormat="1" ht="27">
      <c r="A108" s="1545" t="s">
        <v>201</v>
      </c>
      <c r="B108" s="1546"/>
      <c r="C108" s="1140"/>
      <c r="D108" s="622"/>
      <c r="E108" s="533">
        <f>'27'!F108</f>
        <v>0</v>
      </c>
      <c r="F108" s="661"/>
      <c r="G108" s="532">
        <f>SUM(G105:G107)</f>
        <v>-469</v>
      </c>
      <c r="H108" s="533">
        <f>SUM(G108+'1'!G79)</f>
        <v>-314</v>
      </c>
      <c r="I108" s="532"/>
      <c r="J108" s="558">
        <f>H108/DAY(B2)</f>
        <v>-11.214285714285714</v>
      </c>
      <c r="N108" s="1103"/>
      <c r="O108" s="770"/>
      <c r="P108" s="770"/>
      <c r="Q108" s="770"/>
    </row>
    <row r="109" spans="1:17" s="442" customFormat="1" ht="27">
      <c r="A109" s="1547" t="s">
        <v>78</v>
      </c>
      <c r="B109" s="1548"/>
      <c r="C109" s="1140"/>
      <c r="D109" s="622" t="s">
        <v>143</v>
      </c>
      <c r="E109" s="533">
        <f>'27'!F109</f>
        <v>0</v>
      </c>
      <c r="F109" s="661"/>
      <c r="G109" s="532"/>
      <c r="H109" s="533"/>
      <c r="I109" s="532"/>
      <c r="J109" s="558"/>
      <c r="N109" s="1103"/>
      <c r="O109" s="770"/>
      <c r="P109" s="770"/>
      <c r="Q109" s="770"/>
    </row>
    <row r="110" spans="1:17" s="442" customFormat="1" ht="27">
      <c r="A110" s="1542" t="s">
        <v>219</v>
      </c>
      <c r="B110" s="1543"/>
      <c r="C110" s="1140"/>
      <c r="D110" s="622" t="s">
        <v>143</v>
      </c>
      <c r="E110" s="533">
        <f>'27'!F110</f>
        <v>64608</v>
      </c>
      <c r="F110" s="661">
        <v>62645</v>
      </c>
      <c r="G110" s="532">
        <f>F110-E110</f>
        <v>-1963</v>
      </c>
      <c r="H110" s="533">
        <f>SUM(G110+'1'!G81)</f>
        <v>-1869</v>
      </c>
      <c r="I110" s="532"/>
      <c r="J110" s="558">
        <f>H110/DAY(B2)</f>
        <v>-66.75</v>
      </c>
      <c r="N110" s="1103"/>
      <c r="O110" s="770"/>
      <c r="P110" s="770"/>
      <c r="Q110" s="770"/>
    </row>
    <row r="111" spans="1:17" s="442" customFormat="1" ht="27">
      <c r="A111" s="1542" t="s">
        <v>220</v>
      </c>
      <c r="B111" s="1543"/>
      <c r="C111" s="1140"/>
      <c r="D111" s="622" t="s">
        <v>143</v>
      </c>
      <c r="E111" s="533">
        <f>'27'!F111</f>
        <v>33046</v>
      </c>
      <c r="F111" s="661">
        <v>32542</v>
      </c>
      <c r="G111" s="532">
        <f t="shared" ref="G111:G112" si="14">F111-E111</f>
        <v>-504</v>
      </c>
      <c r="H111" s="533">
        <f>SUM(G111+'1'!G82)</f>
        <v>-493</v>
      </c>
      <c r="I111" s="532"/>
      <c r="J111" s="558">
        <f>H111/DAY(B2)</f>
        <v>-17.607142857142858</v>
      </c>
      <c r="N111" s="1103"/>
      <c r="O111" s="770"/>
      <c r="P111" s="770"/>
      <c r="Q111" s="770"/>
    </row>
    <row r="112" spans="1:17" s="442" customFormat="1" ht="27">
      <c r="A112" s="1542" t="s">
        <v>221</v>
      </c>
      <c r="B112" s="1543"/>
      <c r="C112" s="1140"/>
      <c r="D112" s="622" t="s">
        <v>143</v>
      </c>
      <c r="E112" s="533">
        <f>'27'!F112</f>
        <v>4621</v>
      </c>
      <c r="F112" s="661">
        <v>4559</v>
      </c>
      <c r="G112" s="534">
        <f t="shared" si="14"/>
        <v>-62</v>
      </c>
      <c r="H112" s="533">
        <f>SUM(G112+'1'!G83)</f>
        <v>90</v>
      </c>
      <c r="I112" s="532"/>
      <c r="J112" s="558">
        <f>H112/DAY(B2)</f>
        <v>3.2142857142857144</v>
      </c>
      <c r="N112" s="1103"/>
      <c r="O112" s="770"/>
      <c r="P112" s="770"/>
      <c r="Q112" s="770"/>
    </row>
    <row r="113" spans="1:17" s="442" customFormat="1" ht="27">
      <c r="A113" s="1545" t="s">
        <v>109</v>
      </c>
      <c r="B113" s="1546"/>
      <c r="C113" s="1140"/>
      <c r="D113" s="622"/>
      <c r="E113" s="533">
        <f>'27'!F113</f>
        <v>0</v>
      </c>
      <c r="F113" s="661"/>
      <c r="G113" s="532">
        <f>SUM(G110:G112)</f>
        <v>-2529</v>
      </c>
      <c r="H113" s="533">
        <f>SUM(G113+'1'!G84)</f>
        <v>-1702</v>
      </c>
      <c r="I113" s="532"/>
      <c r="J113" s="558">
        <f>H113/DAY(B2)</f>
        <v>-60.785714285714285</v>
      </c>
      <c r="N113" s="1103"/>
      <c r="O113" s="770"/>
      <c r="P113" s="770"/>
      <c r="Q113" s="770"/>
    </row>
    <row r="114" spans="1:17" s="442" customFormat="1" ht="27">
      <c r="A114" s="1547" t="s">
        <v>222</v>
      </c>
      <c r="B114" s="1548"/>
      <c r="C114" s="1140"/>
      <c r="D114" s="622"/>
      <c r="E114" s="533">
        <f>'27'!F114</f>
        <v>0</v>
      </c>
      <c r="F114" s="661"/>
      <c r="G114" s="532"/>
      <c r="H114" s="533"/>
      <c r="I114" s="532"/>
      <c r="J114" s="558">
        <f>H114/DAY(B2)</f>
        <v>0</v>
      </c>
      <c r="N114" s="1103"/>
      <c r="O114" s="770"/>
      <c r="P114" s="770"/>
      <c r="Q114" s="770"/>
    </row>
    <row r="115" spans="1:17" s="442" customFormat="1" ht="27">
      <c r="A115" s="1542" t="s">
        <v>223</v>
      </c>
      <c r="B115" s="1543"/>
      <c r="C115" s="574"/>
      <c r="D115" s="622" t="s">
        <v>143</v>
      </c>
      <c r="E115" s="533">
        <f>'27'!F115</f>
        <v>11947</v>
      </c>
      <c r="F115" s="661">
        <v>11473</v>
      </c>
      <c r="G115" s="534">
        <f>F115-E115</f>
        <v>-474</v>
      </c>
      <c r="H115" s="533">
        <f>SUM(G115+'1'!G92)</f>
        <v>-474</v>
      </c>
      <c r="I115" s="532"/>
      <c r="J115" s="558">
        <f>H115/DAY(B2)</f>
        <v>-16.928571428571427</v>
      </c>
      <c r="N115" s="1103"/>
      <c r="O115" s="770"/>
      <c r="P115" s="770"/>
      <c r="Q115" s="770"/>
    </row>
    <row r="116" spans="1:17" s="442" customFormat="1" ht="27">
      <c r="A116" s="1542" t="s">
        <v>224</v>
      </c>
      <c r="B116" s="1543"/>
      <c r="C116" s="574"/>
      <c r="D116" s="622" t="s">
        <v>143</v>
      </c>
      <c r="E116" s="533">
        <f>'27'!F116</f>
        <v>8520</v>
      </c>
      <c r="F116" s="661">
        <v>8289</v>
      </c>
      <c r="G116" s="534">
        <f t="shared" ref="G116:G117" si="15">F116-E116</f>
        <v>-231</v>
      </c>
      <c r="H116" s="533">
        <f>SUM(G116+'1'!G93)</f>
        <v>-213</v>
      </c>
      <c r="I116" s="532"/>
      <c r="J116" s="558">
        <f>H116/DAY(B2)</f>
        <v>-7.6071428571428568</v>
      </c>
      <c r="N116" s="1103"/>
      <c r="O116" s="770"/>
      <c r="P116" s="770"/>
      <c r="Q116" s="770"/>
    </row>
    <row r="117" spans="1:17" s="442" customFormat="1" ht="27">
      <c r="A117" s="1542" t="s">
        <v>225</v>
      </c>
      <c r="B117" s="1543"/>
      <c r="C117" s="574"/>
      <c r="D117" s="622" t="s">
        <v>143</v>
      </c>
      <c r="E117" s="536"/>
      <c r="F117" s="661"/>
      <c r="G117" s="534">
        <f t="shared" si="15"/>
        <v>0</v>
      </c>
      <c r="H117" s="533">
        <f>SUM(G117+'1'!G94)</f>
        <v>58</v>
      </c>
      <c r="I117" s="532"/>
      <c r="J117" s="558">
        <f>H117/DAY(B2)</f>
        <v>2.0714285714285716</v>
      </c>
      <c r="N117" s="1103"/>
      <c r="O117" s="770"/>
      <c r="P117" s="770"/>
      <c r="Q117" s="770"/>
    </row>
    <row r="118" spans="1:17" s="445" customFormat="1" ht="27">
      <c r="A118" s="1545" t="s">
        <v>201</v>
      </c>
      <c r="B118" s="1546"/>
      <c r="C118" s="574"/>
      <c r="D118" s="623"/>
      <c r="E118" s="536"/>
      <c r="F118" s="661"/>
      <c r="G118" s="534">
        <f>SUM(G115:G117)</f>
        <v>-705</v>
      </c>
      <c r="H118" s="533">
        <f>SUM(G118+'1'!G96)</f>
        <v>-665</v>
      </c>
      <c r="I118" s="534"/>
      <c r="J118" s="558">
        <f>H118/DAY(B2)</f>
        <v>-23.75</v>
      </c>
      <c r="N118" s="1103"/>
      <c r="O118" s="770"/>
      <c r="P118" s="770"/>
      <c r="Q118" s="771"/>
    </row>
    <row r="119" spans="1:17" s="446" customFormat="1" ht="27">
      <c r="A119" s="1576" t="s">
        <v>226</v>
      </c>
      <c r="B119" s="1577"/>
      <c r="C119" s="1138"/>
      <c r="D119" s="624" t="s">
        <v>143</v>
      </c>
      <c r="E119" s="536"/>
      <c r="F119" s="661"/>
      <c r="G119" s="536">
        <f>SUM(G19+G93)</f>
        <v>-3715</v>
      </c>
      <c r="H119" s="533">
        <f>SUM(G119+'1'!G97)</f>
        <v>-3702</v>
      </c>
      <c r="I119" s="535"/>
      <c r="J119" s="559">
        <f>H119/DAY(B2)</f>
        <v>-132.21428571428572</v>
      </c>
      <c r="N119" s="1103"/>
      <c r="O119" s="770"/>
      <c r="P119" s="770"/>
      <c r="Q119" s="771"/>
    </row>
    <row r="120" spans="1:17" s="446" customFormat="1" ht="27">
      <c r="A120" s="1576" t="s">
        <v>227</v>
      </c>
      <c r="B120" s="1577"/>
      <c r="C120" s="1138"/>
      <c r="D120" s="624" t="s">
        <v>143</v>
      </c>
      <c r="E120" s="536"/>
      <c r="F120" s="661"/>
      <c r="G120" s="536">
        <f>SUM(G96,G97,G98,G100,G101)</f>
        <v>-3584</v>
      </c>
      <c r="H120" s="533">
        <f>SUM(G120+'1'!G99)</f>
        <v>-3577</v>
      </c>
      <c r="I120" s="535"/>
      <c r="J120" s="559">
        <f>H120/DAY(B2)</f>
        <v>-127.75</v>
      </c>
      <c r="N120" s="1103"/>
      <c r="O120" s="770"/>
      <c r="P120" s="770"/>
      <c r="Q120" s="771"/>
    </row>
    <row r="121" spans="1:17" s="446" customFormat="1" ht="27">
      <c r="A121" s="1576" t="s">
        <v>228</v>
      </c>
      <c r="B121" s="1577"/>
      <c r="C121" s="1138"/>
      <c r="D121" s="624" t="s">
        <v>143</v>
      </c>
      <c r="E121" s="536"/>
      <c r="F121" s="661"/>
      <c r="G121" s="534">
        <f>SUM(G113)</f>
        <v>-2529</v>
      </c>
      <c r="H121" s="533">
        <f>SUM(G121+'1'!G101)</f>
        <v>-2525</v>
      </c>
      <c r="I121" s="535"/>
      <c r="J121" s="559">
        <f>H121/DAY(B2)</f>
        <v>-90.178571428571431</v>
      </c>
      <c r="N121" s="1103"/>
      <c r="O121" s="770"/>
      <c r="P121" s="770"/>
      <c r="Q121" s="771"/>
    </row>
    <row r="122" spans="1:17" s="442" customFormat="1" ht="27">
      <c r="A122" s="1578"/>
      <c r="B122" s="1579"/>
      <c r="C122" s="1139"/>
      <c r="D122" s="560"/>
      <c r="E122" s="766"/>
      <c r="F122" s="753"/>
      <c r="G122" s="560"/>
      <c r="H122" s="561"/>
      <c r="I122" s="560"/>
      <c r="J122" s="562"/>
      <c r="N122" s="1103"/>
      <c r="O122" s="770"/>
      <c r="P122" s="770"/>
      <c r="Q122" s="770"/>
    </row>
    <row r="123" spans="1:17">
      <c r="A123" s="1528" t="s">
        <v>229</v>
      </c>
      <c r="B123" s="1529"/>
      <c r="C123" s="1530"/>
      <c r="D123" s="472"/>
      <c r="E123" s="739"/>
      <c r="F123" s="739"/>
      <c r="G123" s="483"/>
      <c r="H123" s="483"/>
      <c r="I123" s="483"/>
      <c r="J123" s="563"/>
      <c r="K123" s="380"/>
      <c r="L123" s="377"/>
      <c r="N123" s="1103"/>
    </row>
    <row r="124" spans="1:17" ht="27.75">
      <c r="A124" s="1141" t="s">
        <v>230</v>
      </c>
      <c r="B124" s="1142"/>
      <c r="C124" s="1142"/>
      <c r="D124" s="523" t="s">
        <v>140</v>
      </c>
      <c r="E124" s="738">
        <f>'27'!F124</f>
        <v>838862</v>
      </c>
      <c r="F124" s="738">
        <v>831775</v>
      </c>
      <c r="G124" s="473">
        <f t="shared" ref="G124:G128" si="16">F124-E124</f>
        <v>-7087</v>
      </c>
      <c r="H124" s="460">
        <f>G124+'27'!H124</f>
        <v>-591</v>
      </c>
      <c r="I124" s="526"/>
      <c r="J124" s="552">
        <f>H124/DAY(B2)</f>
        <v>-21.107142857142858</v>
      </c>
      <c r="K124" s="380"/>
      <c r="L124" s="377"/>
      <c r="N124" s="1103"/>
    </row>
    <row r="125" spans="1:17" ht="27.75">
      <c r="A125" s="1141" t="s">
        <v>231</v>
      </c>
      <c r="B125" s="1142"/>
      <c r="C125" s="1142"/>
      <c r="D125" s="523" t="s">
        <v>140</v>
      </c>
      <c r="E125" s="738">
        <f>'27'!F125</f>
        <v>73583.399999999994</v>
      </c>
      <c r="F125" s="754">
        <v>73583.399999999994</v>
      </c>
      <c r="G125" s="473">
        <f t="shared" si="16"/>
        <v>0</v>
      </c>
      <c r="H125" s="460">
        <f>G125+'27'!H125</f>
        <v>0</v>
      </c>
      <c r="I125" s="526"/>
      <c r="J125" s="552">
        <f>H125/DAY(B2)</f>
        <v>0</v>
      </c>
      <c r="K125" s="380"/>
      <c r="L125" s="377"/>
      <c r="N125" s="1103"/>
    </row>
    <row r="126" spans="1:17" ht="27.75">
      <c r="A126" s="1534" t="s">
        <v>232</v>
      </c>
      <c r="B126" s="1535"/>
      <c r="C126" s="1536"/>
      <c r="D126" s="523" t="s">
        <v>140</v>
      </c>
      <c r="E126" s="738">
        <f>'27'!F126</f>
        <v>148391</v>
      </c>
      <c r="F126" s="738">
        <v>146302</v>
      </c>
      <c r="G126" s="473">
        <f t="shared" si="16"/>
        <v>-2089</v>
      </c>
      <c r="H126" s="460">
        <f>G126+'27'!H126</f>
        <v>-189</v>
      </c>
      <c r="I126" s="526"/>
      <c r="J126" s="552">
        <f>H126/DAY(B2)</f>
        <v>-6.75</v>
      </c>
      <c r="K126" s="380"/>
      <c r="L126" s="377"/>
      <c r="N126" s="1103"/>
    </row>
    <row r="127" spans="1:17" ht="27.75">
      <c r="A127" s="609" t="s">
        <v>233</v>
      </c>
      <c r="B127" s="1142"/>
      <c r="C127" s="1142"/>
      <c r="D127" s="523" t="s">
        <v>140</v>
      </c>
      <c r="E127" s="738">
        <f>'27'!F127</f>
        <v>31981</v>
      </c>
      <c r="F127" s="754">
        <v>31404</v>
      </c>
      <c r="G127" s="473">
        <f t="shared" si="16"/>
        <v>-577</v>
      </c>
      <c r="H127" s="460">
        <f>G127+'27'!H127</f>
        <v>-2</v>
      </c>
      <c r="I127" s="526"/>
      <c r="J127" s="552">
        <f>H127/DAY(B2)</f>
        <v>-7.1428571428571425E-2</v>
      </c>
      <c r="K127" s="380"/>
      <c r="L127" s="377"/>
      <c r="N127" s="1103"/>
    </row>
    <row r="128" spans="1:17" ht="27.75">
      <c r="A128" s="609" t="s">
        <v>234</v>
      </c>
      <c r="B128" s="1142"/>
      <c r="C128" s="1142"/>
      <c r="D128" s="523" t="s">
        <v>140</v>
      </c>
      <c r="E128" s="738">
        <f>'27'!F128</f>
        <v>9006</v>
      </c>
      <c r="F128" s="754">
        <v>8971</v>
      </c>
      <c r="G128" s="473">
        <f t="shared" si="16"/>
        <v>-35</v>
      </c>
      <c r="H128" s="460">
        <f>G128+'27'!H128</f>
        <v>-1</v>
      </c>
      <c r="I128" s="480"/>
      <c r="J128" s="552">
        <f>H128/DAY(B2)</f>
        <v>-3.5714285714285712E-2</v>
      </c>
      <c r="K128" s="380"/>
      <c r="L128" s="377"/>
      <c r="N128" s="1103"/>
    </row>
    <row r="129" spans="1:17" s="281" customFormat="1" ht="27">
      <c r="A129" s="609" t="s">
        <v>235</v>
      </c>
      <c r="B129" s="1142"/>
      <c r="C129" s="1142"/>
      <c r="D129" s="523"/>
      <c r="E129" s="738"/>
      <c r="F129" s="738"/>
      <c r="G129" s="473">
        <f>G15-SUM(G124:G128)</f>
        <v>10338</v>
      </c>
      <c r="H129" s="460"/>
      <c r="I129" s="480"/>
      <c r="J129" s="552"/>
      <c r="K129" s="364"/>
      <c r="L129" s="292"/>
      <c r="N129" s="1103"/>
      <c r="O129" s="770"/>
      <c r="P129" s="770"/>
      <c r="Q129" s="770"/>
    </row>
    <row r="130" spans="1:17">
      <c r="A130" s="610" t="s">
        <v>236</v>
      </c>
      <c r="B130" s="458"/>
      <c r="C130" s="458"/>
      <c r="D130" s="471"/>
      <c r="E130" s="495"/>
      <c r="F130" s="495"/>
      <c r="G130" s="540"/>
      <c r="H130" s="540"/>
      <c r="I130" s="540"/>
      <c r="J130" s="564"/>
    </row>
    <row r="131" spans="1:17" ht="27.75">
      <c r="A131" s="1141" t="s">
        <v>237</v>
      </c>
      <c r="B131" s="1142"/>
      <c r="C131" s="1142"/>
      <c r="D131" s="523" t="s">
        <v>238</v>
      </c>
      <c r="E131" s="759" t="str">
        <f>'27'!F131</f>
        <v xml:space="preserve"> </v>
      </c>
      <c r="F131" s="738"/>
      <c r="G131" s="473" t="e">
        <f t="shared" ref="G131:G141" si="17">F131-E131</f>
        <v>#VALUE!</v>
      </c>
      <c r="H131" s="460" t="e">
        <f>G131+'27'!H131</f>
        <v>#VALUE!</v>
      </c>
      <c r="I131" s="480"/>
      <c r="J131" s="552" t="e">
        <f>H131/DAY(B2)</f>
        <v>#VALUE!</v>
      </c>
    </row>
    <row r="132" spans="1:17" ht="27.75">
      <c r="A132" s="1141" t="s">
        <v>239</v>
      </c>
      <c r="B132" s="1142"/>
      <c r="C132" s="1142"/>
      <c r="D132" s="523" t="s">
        <v>238</v>
      </c>
      <c r="E132" s="759">
        <f>'27'!F132</f>
        <v>0</v>
      </c>
      <c r="F132" s="738"/>
      <c r="G132" s="473">
        <f t="shared" si="17"/>
        <v>0</v>
      </c>
      <c r="H132" s="460">
        <f>G132+'27'!H132</f>
        <v>0</v>
      </c>
      <c r="I132" s="480"/>
      <c r="J132" s="552">
        <f>H132/DAY(B2)</f>
        <v>0</v>
      </c>
    </row>
    <row r="133" spans="1:17" ht="27.75">
      <c r="A133" s="1141" t="s">
        <v>240</v>
      </c>
      <c r="B133" s="1142"/>
      <c r="C133" s="1142"/>
      <c r="D133" s="523" t="s">
        <v>238</v>
      </c>
      <c r="E133" s="768">
        <f>'27'!F133</f>
        <v>40403</v>
      </c>
      <c r="F133" s="754">
        <v>40059</v>
      </c>
      <c r="G133" s="473">
        <f t="shared" si="17"/>
        <v>-344</v>
      </c>
      <c r="H133" s="460">
        <f>G133+'27'!H133</f>
        <v>23.900000000001455</v>
      </c>
      <c r="I133" s="480"/>
      <c r="J133" s="552">
        <f>H133/DAY(B2)</f>
        <v>0.85357142857148049</v>
      </c>
    </row>
    <row r="134" spans="1:17" ht="27.75">
      <c r="A134" s="1141" t="s">
        <v>241</v>
      </c>
      <c r="B134" s="1142"/>
      <c r="C134" s="1142"/>
      <c r="D134" s="523" t="s">
        <v>238</v>
      </c>
      <c r="E134" s="768">
        <f>'27'!F134</f>
        <v>300</v>
      </c>
      <c r="F134" s="754">
        <v>300</v>
      </c>
      <c r="G134" s="473">
        <f t="shared" si="17"/>
        <v>0</v>
      </c>
      <c r="H134" s="460">
        <f>G134+'27'!H134</f>
        <v>0</v>
      </c>
      <c r="I134" s="480" t="e">
        <f>G131+G132+G133+G134</f>
        <v>#VALUE!</v>
      </c>
      <c r="J134" s="552">
        <f>H134/DAY(B2)</f>
        <v>0</v>
      </c>
    </row>
    <row r="135" spans="1:17" ht="27.75">
      <c r="A135" s="1141" t="s">
        <v>242</v>
      </c>
      <c r="B135" s="1142"/>
      <c r="C135" s="1142"/>
      <c r="D135" s="523" t="s">
        <v>238</v>
      </c>
      <c r="E135" s="768">
        <f>'27'!F135</f>
        <v>41943.17</v>
      </c>
      <c r="F135" s="754">
        <v>41730</v>
      </c>
      <c r="G135" s="473">
        <f t="shared" si="17"/>
        <v>-213.16999999999825</v>
      </c>
      <c r="H135" s="460">
        <f>G135+'27'!H135</f>
        <v>-109.44000000000233</v>
      </c>
      <c r="I135" s="480"/>
      <c r="J135" s="552">
        <f>H135/DAY(B2)</f>
        <v>-3.9085714285715119</v>
      </c>
      <c r="O135" s="770">
        <f>9-24</f>
        <v>-15</v>
      </c>
    </row>
    <row r="136" spans="1:17" ht="27.75">
      <c r="A136" s="1141" t="s">
        <v>243</v>
      </c>
      <c r="B136" s="1142"/>
      <c r="C136" s="1142"/>
      <c r="D136" s="523" t="s">
        <v>238</v>
      </c>
      <c r="E136" s="767">
        <f>'27'!F136</f>
        <v>32874</v>
      </c>
      <c r="F136" s="745">
        <v>32643.16</v>
      </c>
      <c r="G136" s="473">
        <f t="shared" si="17"/>
        <v>-230.84000000000015</v>
      </c>
      <c r="H136" s="460">
        <f>G136+'27'!H136</f>
        <v>-217.89000000000306</v>
      </c>
      <c r="I136" s="480"/>
      <c r="J136" s="552">
        <f>H136/DAY(B2)</f>
        <v>-7.7817857142858236</v>
      </c>
    </row>
    <row r="137" spans="1:17" ht="27.75">
      <c r="A137" s="1141" t="s">
        <v>244</v>
      </c>
      <c r="B137" s="1142"/>
      <c r="C137" s="1142"/>
      <c r="D137" s="523" t="s">
        <v>238</v>
      </c>
      <c r="E137" s="767">
        <f>'27'!F137</f>
        <v>22878.47</v>
      </c>
      <c r="F137" s="745">
        <v>22799</v>
      </c>
      <c r="G137" s="473">
        <f t="shared" si="17"/>
        <v>-79.470000000001164</v>
      </c>
      <c r="H137" s="460">
        <f>G137+'27'!H137</f>
        <v>-8.2400000000016007</v>
      </c>
      <c r="I137" s="480">
        <f>G135+G136+G137</f>
        <v>-523.47999999999956</v>
      </c>
      <c r="J137" s="552">
        <f>H137/DAY(B2)</f>
        <v>-0.29428571428577144</v>
      </c>
    </row>
    <row r="138" spans="1:17" ht="27.75">
      <c r="A138" s="1141" t="s">
        <v>245</v>
      </c>
      <c r="B138" s="1142"/>
      <c r="C138" s="1142"/>
      <c r="D138" s="523" t="s">
        <v>238</v>
      </c>
      <c r="E138" s="767">
        <f>'27'!F138</f>
        <v>25091.39</v>
      </c>
      <c r="F138" s="745">
        <v>25051.82</v>
      </c>
      <c r="G138" s="473">
        <f t="shared" si="17"/>
        <v>-39.569999999999709</v>
      </c>
      <c r="H138" s="460">
        <f>G138+'27'!H138</f>
        <v>-22.069999999999709</v>
      </c>
      <c r="I138" s="480"/>
      <c r="J138" s="552">
        <f>H138/DAY(B2)</f>
        <v>-0.78821428571427532</v>
      </c>
    </row>
    <row r="139" spans="1:17" ht="27.75">
      <c r="A139" s="1141" t="s">
        <v>246</v>
      </c>
      <c r="B139" s="1142"/>
      <c r="C139" s="1142"/>
      <c r="D139" s="523" t="s">
        <v>238</v>
      </c>
      <c r="E139" s="767">
        <f>'27'!F139</f>
        <v>70509</v>
      </c>
      <c r="F139" s="745">
        <v>70402</v>
      </c>
      <c r="G139" s="473">
        <f t="shared" si="17"/>
        <v>-107</v>
      </c>
      <c r="H139" s="460">
        <f>G139+'27'!H139</f>
        <v>-79.729999999995925</v>
      </c>
      <c r="I139" s="480">
        <f>G138+G139</f>
        <v>-146.56999999999971</v>
      </c>
      <c r="J139" s="552">
        <f>H139/DAY(B2)</f>
        <v>-2.8474999999998545</v>
      </c>
    </row>
    <row r="140" spans="1:17" ht="27.75">
      <c r="A140" s="1141" t="s">
        <v>247</v>
      </c>
      <c r="B140" s="1142"/>
      <c r="C140" s="1142"/>
      <c r="D140" s="523" t="s">
        <v>238</v>
      </c>
      <c r="E140" s="768">
        <f>'27'!F140</f>
        <v>2099</v>
      </c>
      <c r="F140" s="754">
        <v>1832</v>
      </c>
      <c r="G140" s="473">
        <f t="shared" si="17"/>
        <v>-267</v>
      </c>
      <c r="H140" s="460">
        <f>G140+'27'!H140</f>
        <v>-22.299999999999955</v>
      </c>
      <c r="I140" s="542"/>
      <c r="J140" s="552">
        <f>H140/DAY(B2)</f>
        <v>-0.79642857142856982</v>
      </c>
    </row>
    <row r="141" spans="1:17" ht="27.75">
      <c r="A141" s="1141" t="s">
        <v>248</v>
      </c>
      <c r="B141" s="1142"/>
      <c r="C141" s="1142"/>
      <c r="D141" s="523" t="s">
        <v>238</v>
      </c>
      <c r="E141" s="767">
        <f>'27'!F141</f>
        <v>4636.88</v>
      </c>
      <c r="F141" s="738">
        <v>4636.88</v>
      </c>
      <c r="G141" s="473">
        <f t="shared" si="17"/>
        <v>0</v>
      </c>
      <c r="H141" s="460">
        <f>G141+'27'!H141</f>
        <v>-0.11999999999989086</v>
      </c>
      <c r="I141" s="542"/>
      <c r="J141" s="552">
        <f>H141/DAY(B2)</f>
        <v>-4.285714285710388E-3</v>
      </c>
    </row>
    <row r="142" spans="1:17">
      <c r="A142" s="1572" t="s">
        <v>249</v>
      </c>
      <c r="B142" s="1573"/>
      <c r="C142" s="1147"/>
      <c r="D142" s="472"/>
      <c r="E142" s="739"/>
      <c r="F142" s="739"/>
      <c r="G142" s="483"/>
      <c r="H142" s="483"/>
      <c r="I142" s="483"/>
      <c r="J142" s="563"/>
      <c r="K142" s="380"/>
      <c r="L142" s="377"/>
    </row>
    <row r="143" spans="1:17" ht="27.75">
      <c r="A143" s="1537" t="s">
        <v>250</v>
      </c>
      <c r="B143" s="1538"/>
      <c r="C143" s="1539"/>
      <c r="D143" s="523" t="s">
        <v>131</v>
      </c>
      <c r="E143" s="460"/>
      <c r="F143" s="460"/>
      <c r="G143" s="460">
        <f>G35+G43+G49+G57</f>
        <v>-154243.67000000001</v>
      </c>
      <c r="H143" s="460">
        <f>G143+'27'!H143</f>
        <v>-15682.599999999948</v>
      </c>
      <c r="I143" s="480"/>
      <c r="J143" s="552">
        <f>H143/DAY(B2)</f>
        <v>-560.09285714285522</v>
      </c>
      <c r="K143" s="380"/>
      <c r="L143" s="377"/>
    </row>
    <row r="144" spans="1:17" ht="27.75">
      <c r="A144" s="1537" t="s">
        <v>251</v>
      </c>
      <c r="B144" s="1538"/>
      <c r="C144" s="1539"/>
      <c r="D144" s="523" t="s">
        <v>24</v>
      </c>
      <c r="E144" s="470"/>
      <c r="F144" s="470"/>
      <c r="G144" s="543">
        <f>G143/G7</f>
        <v>-9.0731570588235293</v>
      </c>
      <c r="H144" s="460">
        <f>G144+'27'!H144</f>
        <v>-1.8254307855371756</v>
      </c>
      <c r="I144" s="544"/>
      <c r="J144" s="552">
        <f>H144/DAY(B2)</f>
        <v>-6.5193956626327695E-2</v>
      </c>
      <c r="K144" s="380"/>
      <c r="L144" s="377"/>
    </row>
    <row r="145" spans="1:12" ht="27.75">
      <c r="A145" s="1537" t="s">
        <v>252</v>
      </c>
      <c r="B145" s="1538"/>
      <c r="C145" s="1539"/>
      <c r="D145" s="523" t="s">
        <v>131</v>
      </c>
      <c r="E145" s="460"/>
      <c r="F145" s="460"/>
      <c r="G145" s="460">
        <f>G41+G42+G55+G56</f>
        <v>-169304</v>
      </c>
      <c r="H145" s="460">
        <f>G145+'27'!H145</f>
        <v>-16006.970000000001</v>
      </c>
      <c r="I145" s="480"/>
      <c r="J145" s="552">
        <f>H145/DAY(B2)</f>
        <v>-571.67750000000001</v>
      </c>
      <c r="K145" s="380"/>
      <c r="L145" s="377"/>
    </row>
    <row r="146" spans="1:12" ht="27.75">
      <c r="A146" s="1537" t="s">
        <v>253</v>
      </c>
      <c r="B146" s="1538"/>
      <c r="C146" s="1539"/>
      <c r="D146" s="523" t="s">
        <v>24</v>
      </c>
      <c r="E146" s="460"/>
      <c r="F146" s="460"/>
      <c r="G146" s="543">
        <f>G145/G7</f>
        <v>-9.9590588235294124</v>
      </c>
      <c r="H146" s="460">
        <f>G146+'27'!H146</f>
        <v>-1.990188979465592</v>
      </c>
      <c r="I146" s="544"/>
      <c r="J146" s="552">
        <f>H146/DAY(B2)</f>
        <v>-7.1078177838056852E-2</v>
      </c>
      <c r="K146" s="380"/>
      <c r="L146" s="377"/>
    </row>
    <row r="147" spans="1:12" ht="27.75">
      <c r="A147" s="1537" t="s">
        <v>254</v>
      </c>
      <c r="B147" s="1538"/>
      <c r="C147" s="1539"/>
      <c r="D147" s="523" t="s">
        <v>131</v>
      </c>
      <c r="E147" s="460"/>
      <c r="F147" s="460"/>
      <c r="G147" s="460">
        <f>G39+G53</f>
        <v>-95922</v>
      </c>
      <c r="H147" s="460">
        <f>G147+'27'!H147</f>
        <v>-8556</v>
      </c>
      <c r="I147" s="545"/>
      <c r="J147" s="552">
        <f>H147/DAY(B2)</f>
        <v>-305.57142857142856</v>
      </c>
      <c r="K147" s="380"/>
      <c r="L147" s="377"/>
    </row>
    <row r="148" spans="1:12" ht="27.75">
      <c r="A148" s="1537" t="s">
        <v>255</v>
      </c>
      <c r="B148" s="1538"/>
      <c r="C148" s="1539"/>
      <c r="D148" s="523" t="s">
        <v>24</v>
      </c>
      <c r="E148" s="460"/>
      <c r="F148" s="460"/>
      <c r="G148" s="543">
        <f>G147/G7</f>
        <v>-5.6424705882352937</v>
      </c>
      <c r="H148" s="460">
        <f>G148+'27'!H148</f>
        <v>-1.0816168127798855</v>
      </c>
      <c r="I148" s="545"/>
      <c r="J148" s="552">
        <f>H148/DAY(B2)</f>
        <v>-3.8629171884995914E-2</v>
      </c>
    </row>
    <row r="149" spans="1:12" ht="27.75">
      <c r="A149" s="1537" t="s">
        <v>256</v>
      </c>
      <c r="B149" s="1538"/>
      <c r="C149" s="1539"/>
      <c r="D149" s="523" t="s">
        <v>182</v>
      </c>
      <c r="E149" s="460"/>
      <c r="F149" s="460"/>
      <c r="G149" s="460">
        <f>G38+G52</f>
        <v>-41227.930000000051</v>
      </c>
      <c r="H149" s="460">
        <f>G149+'27'!H149</f>
        <v>-3797.9300000000512</v>
      </c>
      <c r="I149" s="480"/>
      <c r="J149" s="552">
        <f>H149/DAY(B2)</f>
        <v>-135.64035714285896</v>
      </c>
      <c r="K149" s="381"/>
    </row>
    <row r="150" spans="1:12" ht="27.75">
      <c r="A150" s="1537" t="s">
        <v>257</v>
      </c>
      <c r="B150" s="1538"/>
      <c r="C150" s="1539"/>
      <c r="D150" s="523" t="s">
        <v>24</v>
      </c>
      <c r="E150" s="460"/>
      <c r="F150" s="460"/>
      <c r="G150" s="543">
        <f>G149/G7</f>
        <v>-2.4251723529411793</v>
      </c>
      <c r="H150" s="460">
        <f>G150+'27'!H150</f>
        <v>-0.47846212226517215</v>
      </c>
      <c r="I150" s="545"/>
      <c r="J150" s="552">
        <f>H150/DAY(B2)</f>
        <v>-1.7087932938041863E-2</v>
      </c>
    </row>
    <row r="151" spans="1:12" ht="27.75">
      <c r="A151" s="1537" t="s">
        <v>258</v>
      </c>
      <c r="B151" s="1538"/>
      <c r="C151" s="1539"/>
      <c r="D151" s="523" t="s">
        <v>182</v>
      </c>
      <c r="E151" s="460"/>
      <c r="F151" s="460"/>
      <c r="G151" s="460">
        <f>G36+G50</f>
        <v>296567</v>
      </c>
      <c r="H151" s="460">
        <f>G151+'27'!H151</f>
        <v>344216</v>
      </c>
      <c r="I151" s="545"/>
      <c r="J151" s="552">
        <f>H151/DAY(B2)</f>
        <v>12293.428571428571</v>
      </c>
    </row>
    <row r="152" spans="1:12" ht="27.75">
      <c r="A152" s="1537" t="s">
        <v>259</v>
      </c>
      <c r="B152" s="1538"/>
      <c r="C152" s="1539"/>
      <c r="D152" s="523" t="s">
        <v>24</v>
      </c>
      <c r="E152" s="460"/>
      <c r="F152" s="460"/>
      <c r="G152" s="543">
        <f>G151/G7</f>
        <v>17.445117647058822</v>
      </c>
      <c r="H152" s="460">
        <f>G152+'27'!H152</f>
        <v>19.905196062150171</v>
      </c>
      <c r="I152" s="480"/>
      <c r="J152" s="552">
        <f>H152/DAY(B2)</f>
        <v>0.7108998593625061</v>
      </c>
    </row>
    <row r="153" spans="1:12" ht="27.75">
      <c r="A153" s="1537" t="s">
        <v>260</v>
      </c>
      <c r="B153" s="1538"/>
      <c r="C153" s="1539"/>
      <c r="D153" s="523" t="s">
        <v>182</v>
      </c>
      <c r="E153" s="460"/>
      <c r="F153" s="460"/>
      <c r="G153" s="460">
        <f>G37+G51</f>
        <v>-41967</v>
      </c>
      <c r="H153" s="460">
        <f>G153+'27'!H153</f>
        <v>-3916</v>
      </c>
      <c r="I153" s="480"/>
      <c r="J153" s="552">
        <f>H153/DAY(B2)</f>
        <v>-139.85714285714286</v>
      </c>
    </row>
    <row r="154" spans="1:12" ht="28.5" thickBot="1">
      <c r="A154" s="1569" t="s">
        <v>261</v>
      </c>
      <c r="B154" s="1570"/>
      <c r="C154" s="1571"/>
      <c r="D154" s="625" t="s">
        <v>24</v>
      </c>
      <c r="E154" s="567"/>
      <c r="F154" s="567"/>
      <c r="G154" s="566">
        <f>G153/G7</f>
        <v>-2.4686470588235294</v>
      </c>
      <c r="H154" s="460">
        <f>G154+'27'!H154</f>
        <v>-0.47190726101284475</v>
      </c>
      <c r="I154" s="568"/>
      <c r="J154" s="569">
        <f>H154/DAY(B2)</f>
        <v>-1.685383075045874E-2</v>
      </c>
    </row>
    <row r="155" spans="1:12">
      <c r="A155" s="466"/>
      <c r="B155" s="456"/>
      <c r="C155" s="456"/>
      <c r="D155" s="546"/>
      <c r="E155" s="548"/>
      <c r="F155" s="755"/>
      <c r="G155" s="546"/>
      <c r="H155" s="547"/>
      <c r="I155" s="546"/>
      <c r="J155" s="548"/>
    </row>
    <row r="161" spans="1:7">
      <c r="A161" s="785" t="s">
        <v>262</v>
      </c>
      <c r="B161" s="786"/>
      <c r="C161" s="786"/>
      <c r="D161" s="511" t="s">
        <v>186</v>
      </c>
      <c r="E161" s="767">
        <f>'27'!F161</f>
        <v>40600</v>
      </c>
      <c r="F161" s="659">
        <v>38185</v>
      </c>
      <c r="G161" s="473">
        <f t="shared" ref="G161:G164" si="18">F161-E161</f>
        <v>-2415</v>
      </c>
    </row>
    <row r="162" spans="1:7">
      <c r="A162" s="785" t="s">
        <v>263</v>
      </c>
      <c r="B162" s="786"/>
      <c r="C162" s="786"/>
      <c r="D162" s="511" t="s">
        <v>186</v>
      </c>
      <c r="E162" s="767">
        <f>'27'!F162</f>
        <v>106382</v>
      </c>
      <c r="F162" s="659">
        <v>93616</v>
      </c>
      <c r="G162" s="473">
        <f t="shared" si="18"/>
        <v>-12766</v>
      </c>
    </row>
    <row r="163" spans="1:7">
      <c r="A163" s="785" t="s">
        <v>264</v>
      </c>
      <c r="B163" s="786"/>
      <c r="C163" s="786"/>
      <c r="D163" s="511" t="s">
        <v>186</v>
      </c>
      <c r="E163" s="767">
        <f>'27'!F163</f>
        <v>60608</v>
      </c>
      <c r="F163" s="659">
        <v>44322</v>
      </c>
      <c r="G163" s="473">
        <f t="shared" si="18"/>
        <v>-16286</v>
      </c>
    </row>
    <row r="164" spans="1:7">
      <c r="A164" s="785" t="s">
        <v>265</v>
      </c>
      <c r="B164" s="786"/>
      <c r="C164" s="786"/>
      <c r="D164" s="511" t="s">
        <v>186</v>
      </c>
      <c r="E164" s="767">
        <f>'27'!F164</f>
        <v>6820</v>
      </c>
      <c r="F164" s="659">
        <v>6542</v>
      </c>
      <c r="G164" s="473">
        <f t="shared" si="18"/>
        <v>-278</v>
      </c>
    </row>
    <row r="165" spans="1:7">
      <c r="A165" s="787" t="s">
        <v>97</v>
      </c>
      <c r="B165" s="604"/>
      <c r="C165" s="604"/>
      <c r="D165" s="511" t="s">
        <v>186</v>
      </c>
      <c r="E165" s="514">
        <f>E62</f>
        <v>20419</v>
      </c>
      <c r="F165" s="514">
        <f>F62</f>
        <v>20419</v>
      </c>
      <c r="G165" s="473">
        <f t="shared" ref="G165:G172" si="19">F165-E165</f>
        <v>0</v>
      </c>
    </row>
    <row r="166" spans="1:7">
      <c r="A166" s="787" t="s">
        <v>187</v>
      </c>
      <c r="B166" s="604"/>
      <c r="C166" s="604"/>
      <c r="D166" s="511" t="s">
        <v>186</v>
      </c>
      <c r="E166" s="514">
        <f t="shared" ref="E166:E172" si="20">E63</f>
        <v>0</v>
      </c>
      <c r="F166" s="514">
        <f t="shared" ref="F166:F172" si="21">F63</f>
        <v>2464</v>
      </c>
      <c r="G166" s="473">
        <f t="shared" si="19"/>
        <v>2464</v>
      </c>
    </row>
    <row r="167" spans="1:7" ht="27.75">
      <c r="A167" s="1586" t="s">
        <v>98</v>
      </c>
      <c r="B167" s="1586"/>
      <c r="C167" s="1586"/>
      <c r="D167" s="523" t="s">
        <v>186</v>
      </c>
      <c r="E167" s="514">
        <f t="shared" si="20"/>
        <v>168917</v>
      </c>
      <c r="F167" s="514">
        <f t="shared" si="21"/>
        <v>159360</v>
      </c>
      <c r="G167" s="473">
        <f t="shared" si="19"/>
        <v>-9557</v>
      </c>
    </row>
    <row r="168" spans="1:7" ht="27.75">
      <c r="A168" s="1586" t="s">
        <v>99</v>
      </c>
      <c r="B168" s="1586"/>
      <c r="C168" s="1586"/>
      <c r="D168" s="523" t="s">
        <v>186</v>
      </c>
      <c r="E168" s="514">
        <f t="shared" si="20"/>
        <v>169043</v>
      </c>
      <c r="F168" s="514">
        <f t="shared" si="21"/>
        <v>160348</v>
      </c>
      <c r="G168" s="473">
        <f t="shared" si="19"/>
        <v>-8695</v>
      </c>
    </row>
    <row r="169" spans="1:7" ht="27.75">
      <c r="A169" s="1586" t="s">
        <v>100</v>
      </c>
      <c r="B169" s="1586"/>
      <c r="C169" s="1586"/>
      <c r="D169" s="523" t="s">
        <v>186</v>
      </c>
      <c r="E169" s="514">
        <f t="shared" si="20"/>
        <v>66654</v>
      </c>
      <c r="F169" s="514">
        <f t="shared" si="21"/>
        <v>55940</v>
      </c>
      <c r="G169" s="473">
        <f t="shared" si="19"/>
        <v>-10714</v>
      </c>
    </row>
    <row r="170" spans="1:7" ht="27.75">
      <c r="A170" s="1586" t="s">
        <v>101</v>
      </c>
      <c r="B170" s="1586"/>
      <c r="C170" s="1586"/>
      <c r="D170" s="523" t="s">
        <v>186</v>
      </c>
      <c r="E170" s="514">
        <f t="shared" si="20"/>
        <v>263648</v>
      </c>
      <c r="F170" s="514">
        <f t="shared" si="21"/>
        <v>250705</v>
      </c>
      <c r="G170" s="473">
        <f t="shared" si="19"/>
        <v>-12943</v>
      </c>
    </row>
    <row r="171" spans="1:7" ht="27.75">
      <c r="A171" s="1586" t="s">
        <v>102</v>
      </c>
      <c r="B171" s="1586"/>
      <c r="C171" s="1586"/>
      <c r="D171" s="523" t="s">
        <v>186</v>
      </c>
      <c r="E171" s="514">
        <f t="shared" si="20"/>
        <v>85321</v>
      </c>
      <c r="F171" s="514">
        <f t="shared" si="21"/>
        <v>85321</v>
      </c>
      <c r="G171" s="473">
        <f t="shared" si="19"/>
        <v>0</v>
      </c>
    </row>
    <row r="172" spans="1:7" ht="27.75">
      <c r="A172" s="1586" t="s">
        <v>103</v>
      </c>
      <c r="B172" s="1586"/>
      <c r="C172" s="1586"/>
      <c r="D172" s="523" t="s">
        <v>186</v>
      </c>
      <c r="E172" s="514">
        <f t="shared" si="20"/>
        <v>86824</v>
      </c>
      <c r="F172" s="514">
        <f t="shared" si="21"/>
        <v>81418</v>
      </c>
      <c r="G172" s="473">
        <f t="shared" si="19"/>
        <v>-5406</v>
      </c>
    </row>
    <row r="173" spans="1:7">
      <c r="G173" s="539">
        <f>SUM(G161:G172)</f>
        <v>-76596</v>
      </c>
    </row>
    <row r="174" spans="1:7">
      <c r="A174" s="1596" t="s">
        <v>357</v>
      </c>
      <c r="B174" s="1579"/>
      <c r="C174" s="786"/>
      <c r="D174" s="523" t="s">
        <v>186</v>
      </c>
    </row>
    <row r="175" spans="1:7">
      <c r="A175" s="1596" t="s">
        <v>358</v>
      </c>
      <c r="B175" s="1579"/>
      <c r="C175" s="786"/>
      <c r="D175" s="523" t="s">
        <v>186</v>
      </c>
    </row>
  </sheetData>
  <mergeCells count="76">
    <mergeCell ref="A172:C172"/>
    <mergeCell ref="A167:C167"/>
    <mergeCell ref="A168:C168"/>
    <mergeCell ref="A169:C169"/>
    <mergeCell ref="A170:C170"/>
    <mergeCell ref="A171:C171"/>
    <mergeCell ref="A120:B120"/>
    <mergeCell ref="A121:B121"/>
    <mergeCell ref="A122:B122"/>
    <mergeCell ref="A115:B115"/>
    <mergeCell ref="A116:B116"/>
    <mergeCell ref="A117:B117"/>
    <mergeCell ref="A118:B118"/>
    <mergeCell ref="A119:B119"/>
    <mergeCell ref="A153:C153"/>
    <mergeCell ref="A154:C154"/>
    <mergeCell ref="A149:C149"/>
    <mergeCell ref="A150:C150"/>
    <mergeCell ref="A151:C151"/>
    <mergeCell ref="A152:C152"/>
    <mergeCell ref="A144:C144"/>
    <mergeCell ref="A145:C145"/>
    <mergeCell ref="A146:C146"/>
    <mergeCell ref="A147:C147"/>
    <mergeCell ref="A148:C148"/>
    <mergeCell ref="A143:C143"/>
    <mergeCell ref="A126:C126"/>
    <mergeCell ref="A102:C102"/>
    <mergeCell ref="A123:C123"/>
    <mergeCell ref="A142:B142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12:B112"/>
    <mergeCell ref="A113:B113"/>
    <mergeCell ref="A114:B114"/>
    <mergeCell ref="A79:C79"/>
    <mergeCell ref="A80:C80"/>
    <mergeCell ref="A94:C94"/>
    <mergeCell ref="A95:C95"/>
    <mergeCell ref="A96:C96"/>
    <mergeCell ref="A81:C81"/>
    <mergeCell ref="A82:C82"/>
    <mergeCell ref="A83:C83"/>
    <mergeCell ref="A93:C93"/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174:B174"/>
    <mergeCell ref="A175:B175"/>
    <mergeCell ref="A64:C64"/>
    <mergeCell ref="A65:C65"/>
    <mergeCell ref="A66:C66"/>
    <mergeCell ref="A67:C67"/>
    <mergeCell ref="A68:C68"/>
    <mergeCell ref="A69:C69"/>
    <mergeCell ref="A72:C72"/>
    <mergeCell ref="A73:C73"/>
    <mergeCell ref="A74:C74"/>
    <mergeCell ref="A71:J71"/>
    <mergeCell ref="A70:C70"/>
    <mergeCell ref="A75:C75"/>
    <mergeCell ref="A76:C76"/>
    <mergeCell ref="A77:C77"/>
  </mergeCells>
  <pageMargins left="0.22" right="0.17" top="0.14000000000000001" bottom="0.2" header="0.2" footer="0.2"/>
  <pageSetup paperSize="5" scale="21" orientation="portrait" r:id="rId1"/>
  <colBreaks count="1" manualBreakCount="1">
    <brk id="10" max="1048575" man="1"/>
  </colBreaks>
</worksheet>
</file>

<file path=xl/worksheets/sheet3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B175"/>
  <sheetViews>
    <sheetView view="pageBreakPreview" topLeftCell="A148" zoomScale="55" zoomScaleNormal="78" zoomScaleSheetLayoutView="55" workbookViewId="0">
      <selection activeCell="A174" sqref="A174:D175"/>
    </sheetView>
  </sheetViews>
  <sheetFormatPr defaultColWidth="22.33203125" defaultRowHeight="29.25"/>
  <cols>
    <col min="1" max="1" width="51.21875" style="454" customWidth="1"/>
    <col min="2" max="2" width="24.88671875" style="457" customWidth="1"/>
    <col min="3" max="3" width="15.88671875" style="457" customWidth="1"/>
    <col min="4" max="4" width="13.6640625" style="537" customWidth="1"/>
    <col min="5" max="5" width="30" style="539" customWidth="1"/>
    <col min="6" max="6" width="30" style="756" customWidth="1"/>
    <col min="7" max="7" width="28.88671875" style="537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3" width="0" style="376" hidden="1" customWidth="1"/>
    <col min="14" max="15" width="22.33203125" style="770"/>
    <col min="16" max="16384" width="22.33203125" style="376"/>
  </cols>
  <sheetData>
    <row r="1" spans="1:54" ht="33.75">
      <c r="A1" s="1549" t="s">
        <v>116</v>
      </c>
      <c r="B1" s="1550"/>
      <c r="C1" s="1550"/>
      <c r="D1" s="1550"/>
      <c r="E1" s="1550"/>
      <c r="F1" s="1550"/>
      <c r="G1" s="1550"/>
      <c r="H1" s="1550"/>
      <c r="I1" s="1550"/>
      <c r="J1" s="1551"/>
    </row>
    <row r="2" spans="1:54" s="281" customFormat="1" ht="27">
      <c r="A2" s="575" t="s">
        <v>346</v>
      </c>
      <c r="B2" s="1033">
        <v>44345</v>
      </c>
      <c r="C2" s="1143" t="s">
        <v>68</v>
      </c>
      <c r="D2" s="611">
        <v>0.98</v>
      </c>
      <c r="E2" s="737"/>
      <c r="F2" s="737"/>
      <c r="G2" s="461" t="s">
        <v>117</v>
      </c>
      <c r="H2" s="461" t="s">
        <v>6</v>
      </c>
      <c r="I2" s="461" t="s">
        <v>8</v>
      </c>
      <c r="J2" s="613" t="s">
        <v>118</v>
      </c>
      <c r="N2" s="770"/>
      <c r="O2" s="770"/>
    </row>
    <row r="3" spans="1:54" s="281" customFormat="1" ht="27">
      <c r="A3" s="570"/>
      <c r="B3" s="614"/>
      <c r="C3" s="1143" t="s">
        <v>119</v>
      </c>
      <c r="D3" s="612">
        <v>30</v>
      </c>
      <c r="E3" s="1558" t="s">
        <v>120</v>
      </c>
      <c r="F3" s="1559"/>
      <c r="G3" s="462"/>
      <c r="H3" s="463"/>
      <c r="I3" s="463"/>
      <c r="J3" s="615"/>
      <c r="K3" s="371"/>
      <c r="L3" s="292"/>
      <c r="N3" s="770"/>
      <c r="O3" s="770"/>
    </row>
    <row r="4" spans="1:54" s="281" customFormat="1" ht="27">
      <c r="A4" s="576"/>
      <c r="B4" s="616"/>
      <c r="C4" s="1143" t="s">
        <v>121</v>
      </c>
      <c r="D4" s="611">
        <v>0.78</v>
      </c>
      <c r="E4" s="463"/>
      <c r="F4" s="463"/>
      <c r="G4" s="464"/>
      <c r="H4" s="464"/>
      <c r="I4" s="465"/>
      <c r="J4" s="615"/>
      <c r="K4" s="372"/>
      <c r="L4" s="292"/>
      <c r="N4" s="772"/>
      <c r="O4" s="770"/>
    </row>
    <row r="5" spans="1:54">
      <c r="A5" s="577" t="s">
        <v>122</v>
      </c>
      <c r="B5" s="459"/>
      <c r="C5" s="459"/>
      <c r="D5" s="511" t="s">
        <v>123</v>
      </c>
      <c r="E5" s="514" t="s">
        <v>124</v>
      </c>
      <c r="F5" s="514" t="s">
        <v>111</v>
      </c>
      <c r="G5" s="468" t="s">
        <v>125</v>
      </c>
      <c r="H5" s="469" t="s">
        <v>126</v>
      </c>
      <c r="I5" s="470" t="s">
        <v>127</v>
      </c>
      <c r="J5" s="550" t="s">
        <v>128</v>
      </c>
      <c r="K5" s="426"/>
      <c r="L5" s="377"/>
      <c r="N5" s="772"/>
    </row>
    <row r="6" spans="1:54">
      <c r="A6" s="1552" t="s">
        <v>129</v>
      </c>
      <c r="B6" s="1553"/>
      <c r="C6" s="1554"/>
      <c r="D6" s="471"/>
      <c r="E6" s="495"/>
      <c r="F6" s="495"/>
      <c r="G6" s="471"/>
      <c r="H6" s="472"/>
      <c r="I6" s="472"/>
      <c r="J6" s="551"/>
      <c r="K6" s="427"/>
      <c r="L6" s="377"/>
    </row>
    <row r="7" spans="1:54" ht="30" thickBot="1">
      <c r="A7" s="677" t="s">
        <v>130</v>
      </c>
      <c r="B7" s="678"/>
      <c r="C7" s="678"/>
      <c r="D7" s="638" t="s">
        <v>131</v>
      </c>
      <c r="E7" s="680">
        <f>'28'!F7</f>
        <v>879402</v>
      </c>
      <c r="F7" s="460">
        <f>E7+17000</f>
        <v>896402</v>
      </c>
      <c r="G7" s="679">
        <f>F7-E7</f>
        <v>17000</v>
      </c>
      <c r="H7" s="680">
        <f>G7+'28'!H7</f>
        <v>551990</v>
      </c>
      <c r="I7" s="681">
        <f>'1'!I7</f>
        <v>12000</v>
      </c>
      <c r="J7" s="682">
        <f>H7/DAY(B2)</f>
        <v>19034.137931034482</v>
      </c>
      <c r="K7" s="549">
        <v>1703438</v>
      </c>
      <c r="L7" s="377">
        <v>1715917</v>
      </c>
      <c r="O7" s="773"/>
    </row>
    <row r="8" spans="1:54" ht="27.75" thickBot="1">
      <c r="A8" s="683" t="s">
        <v>132</v>
      </c>
      <c r="B8" s="684"/>
      <c r="C8" s="685"/>
      <c r="D8" s="686" t="s">
        <v>25</v>
      </c>
      <c r="E8" s="680">
        <f>'28'!F8</f>
        <v>883992</v>
      </c>
      <c r="F8" s="460">
        <f>E8+17150</f>
        <v>901142</v>
      </c>
      <c r="G8" s="690">
        <f>F8-E8</f>
        <v>17150</v>
      </c>
      <c r="H8" s="680">
        <f>G8+'28'!H8</f>
        <v>554632</v>
      </c>
      <c r="I8" s="687"/>
      <c r="J8" s="682">
        <f>H8/DAY(B2)</f>
        <v>19125.241379310344</v>
      </c>
      <c r="K8" s="549">
        <v>1375467</v>
      </c>
      <c r="L8" s="425"/>
      <c r="M8" s="440"/>
      <c r="O8" s="773"/>
    </row>
    <row r="9" spans="1:54">
      <c r="A9" s="688" t="s">
        <v>133</v>
      </c>
      <c r="B9" s="689"/>
      <c r="C9" s="689"/>
      <c r="D9" s="638" t="s">
        <v>131</v>
      </c>
      <c r="E9" s="680">
        <f>'28'!F9</f>
        <v>1992168</v>
      </c>
      <c r="F9" s="738">
        <f>E9+16950</f>
        <v>2009118</v>
      </c>
      <c r="G9" s="703">
        <f t="shared" ref="G9:G12" si="0">F9-E9</f>
        <v>16950</v>
      </c>
      <c r="H9" s="680">
        <f>G9+'28'!H9</f>
        <v>535428</v>
      </c>
      <c r="I9" s="691">
        <f>I7-J7</f>
        <v>-7034.1379310344819</v>
      </c>
      <c r="J9" s="682">
        <f>H9/DAY(B2)</f>
        <v>18463.03448275862</v>
      </c>
      <c r="K9" s="428"/>
      <c r="L9" s="377"/>
      <c r="O9" s="773"/>
    </row>
    <row r="10" spans="1:54">
      <c r="A10" s="677" t="s">
        <v>134</v>
      </c>
      <c r="B10" s="678"/>
      <c r="C10" s="678"/>
      <c r="D10" s="638" t="s">
        <v>131</v>
      </c>
      <c r="E10" s="680">
        <f>'28'!F10</f>
        <v>0</v>
      </c>
      <c r="F10" s="738"/>
      <c r="G10" s="690">
        <f t="shared" si="0"/>
        <v>0</v>
      </c>
      <c r="H10" s="680">
        <f>G10+'28'!H10</f>
        <v>0.71999999999979991</v>
      </c>
      <c r="I10" s="692"/>
      <c r="J10" s="682">
        <f>H10/DAY(B2)</f>
        <v>2.4827586206889653E-2</v>
      </c>
      <c r="K10" s="428"/>
      <c r="L10" s="377"/>
      <c r="BB10" s="376">
        <v>0</v>
      </c>
    </row>
    <row r="11" spans="1:54">
      <c r="A11" s="677" t="s">
        <v>135</v>
      </c>
      <c r="B11" s="678"/>
      <c r="C11" s="678"/>
      <c r="D11" s="638" t="s">
        <v>131</v>
      </c>
      <c r="E11" s="680">
        <f>'5'!E11</f>
        <v>37000</v>
      </c>
      <c r="F11" s="460">
        <v>37000</v>
      </c>
      <c r="G11" s="690">
        <f t="shared" si="0"/>
        <v>0</v>
      </c>
      <c r="H11" s="680">
        <f>G11+'28'!H11</f>
        <v>0</v>
      </c>
      <c r="I11" s="692"/>
      <c r="J11" s="682">
        <f>H11/DAY(B2)</f>
        <v>0</v>
      </c>
      <c r="K11" s="428"/>
      <c r="L11" s="377"/>
    </row>
    <row r="12" spans="1:54">
      <c r="A12" s="677" t="s">
        <v>136</v>
      </c>
      <c r="B12" s="678"/>
      <c r="C12" s="678"/>
      <c r="D12" s="1098" t="s">
        <v>131</v>
      </c>
      <c r="E12" s="1092">
        <f>'5'!E12</f>
        <v>40010</v>
      </c>
      <c r="F12" s="738">
        <v>40010</v>
      </c>
      <c r="G12" s="690">
        <f t="shared" si="0"/>
        <v>0</v>
      </c>
      <c r="H12" s="680">
        <f>G12+'28'!H12</f>
        <v>0</v>
      </c>
      <c r="I12" s="692"/>
      <c r="J12" s="682">
        <f>H12/DAY(B2)</f>
        <v>0</v>
      </c>
      <c r="K12" s="428"/>
      <c r="L12" s="377"/>
    </row>
    <row r="13" spans="1:54">
      <c r="A13" s="693" t="s">
        <v>137</v>
      </c>
      <c r="B13" s="694"/>
      <c r="C13" s="694"/>
      <c r="D13" s="1098"/>
      <c r="E13" s="1092"/>
      <c r="F13" s="460"/>
      <c r="G13" s="695">
        <f>G9+G10+G11+G12</f>
        <v>16950</v>
      </c>
      <c r="H13" s="1092">
        <f>G13+'28'!H13</f>
        <v>518903.72</v>
      </c>
      <c r="I13" s="1093">
        <f>G7-G13</f>
        <v>50</v>
      </c>
      <c r="J13" s="1094">
        <f>H13/DAY(B2)</f>
        <v>17893.231724137931</v>
      </c>
      <c r="K13" s="428"/>
      <c r="L13" s="377"/>
    </row>
    <row r="14" spans="1:54">
      <c r="A14" s="1555" t="s">
        <v>138</v>
      </c>
      <c r="B14" s="1556"/>
      <c r="C14" s="1557"/>
      <c r="D14" s="1095"/>
      <c r="E14" s="1099"/>
      <c r="F14" s="739"/>
      <c r="G14" s="483"/>
      <c r="H14" s="1095"/>
      <c r="I14" s="1095"/>
      <c r="J14" s="1096"/>
      <c r="K14" s="429"/>
      <c r="L14" s="377"/>
    </row>
    <row r="15" spans="1:54">
      <c r="A15" s="666" t="s">
        <v>139</v>
      </c>
      <c r="B15" s="667"/>
      <c r="C15" s="667"/>
      <c r="D15" s="1100" t="s">
        <v>140</v>
      </c>
      <c r="E15" s="1101">
        <f>'28'!F15</f>
        <v>1702243</v>
      </c>
      <c r="F15" s="740">
        <f>E15+550</f>
        <v>1702793</v>
      </c>
      <c r="G15" s="665">
        <f>(F15-E15)</f>
        <v>550</v>
      </c>
      <c r="H15" s="1088">
        <f>G15+'28'!H15</f>
        <v>18269</v>
      </c>
      <c r="I15" s="1089">
        <f>'1'!I15</f>
        <v>800</v>
      </c>
      <c r="J15" s="1090">
        <f>H15/DAY(B2)</f>
        <v>629.9655172413793</v>
      </c>
      <c r="K15" s="428"/>
      <c r="L15" s="377"/>
    </row>
    <row r="16" spans="1:54">
      <c r="A16" s="674"/>
      <c r="B16" s="675"/>
      <c r="C16" s="675"/>
      <c r="D16" s="1100"/>
      <c r="E16" s="1101"/>
      <c r="F16" s="740"/>
      <c r="G16" s="670"/>
      <c r="H16" s="1088"/>
      <c r="I16" s="1091">
        <f>I15-J15</f>
        <v>170.0344827586207</v>
      </c>
      <c r="J16" s="1090"/>
      <c r="K16" s="428"/>
      <c r="L16" s="377"/>
    </row>
    <row r="17" spans="1:15">
      <c r="A17" s="1555" t="s">
        <v>141</v>
      </c>
      <c r="B17" s="1556"/>
      <c r="C17" s="1557"/>
      <c r="D17" s="1095"/>
      <c r="E17" s="1099"/>
      <c r="F17" s="739"/>
      <c r="G17" s="488"/>
      <c r="H17" s="1095"/>
      <c r="I17" s="1095"/>
      <c r="J17" s="1096"/>
      <c r="K17" s="428"/>
      <c r="L17" s="377"/>
    </row>
    <row r="18" spans="1:15" ht="27.75">
      <c r="A18" s="1590" t="s">
        <v>142</v>
      </c>
      <c r="B18" s="1591"/>
      <c r="C18" s="1592"/>
      <c r="D18" s="638" t="s">
        <v>143</v>
      </c>
      <c r="E18" s="758">
        <f>'28'!F18</f>
        <v>4</v>
      </c>
      <c r="F18" s="738">
        <v>6</v>
      </c>
      <c r="G18" s="695">
        <f>F18*10</f>
        <v>60</v>
      </c>
      <c r="H18" s="1092">
        <f>G18+'28'!H18</f>
        <v>2370</v>
      </c>
      <c r="I18" s="1097">
        <f>'1'!I18</f>
        <v>65</v>
      </c>
      <c r="J18" s="1094">
        <f>H18/DAY(B2)</f>
        <v>81.724137931034477</v>
      </c>
      <c r="K18" s="428"/>
      <c r="L18" s="377"/>
    </row>
    <row r="19" spans="1:15" ht="27.75">
      <c r="A19" s="1590" t="s">
        <v>70</v>
      </c>
      <c r="B19" s="1591"/>
      <c r="C19" s="1592"/>
      <c r="D19" s="638" t="s">
        <v>143</v>
      </c>
      <c r="E19" s="758">
        <f>'28'!F19</f>
        <v>139436</v>
      </c>
      <c r="F19" s="738">
        <v>139493</v>
      </c>
      <c r="G19" s="690">
        <f t="shared" ref="G19" si="1">F19-E19</f>
        <v>57</v>
      </c>
      <c r="H19" s="680">
        <f>G19+'28'!H19</f>
        <v>-119</v>
      </c>
      <c r="I19" s="697"/>
      <c r="J19" s="682">
        <f>H19/DAY(B2)</f>
        <v>-4.1034482758620694</v>
      </c>
      <c r="K19" s="428"/>
      <c r="L19" s="377"/>
    </row>
    <row r="20" spans="1:15">
      <c r="A20" s="693" t="s">
        <v>144</v>
      </c>
      <c r="B20" s="694"/>
      <c r="C20" s="694"/>
      <c r="D20" s="638"/>
      <c r="E20" s="680"/>
      <c r="F20" s="460"/>
      <c r="G20" s="698">
        <f>G18+G19</f>
        <v>117</v>
      </c>
      <c r="H20" s="680">
        <f>G20+'28'!H20</f>
        <v>2251</v>
      </c>
      <c r="I20" s="699">
        <f>I18-J20</f>
        <v>-12.620689655172413</v>
      </c>
      <c r="J20" s="682">
        <f>H20/DAY(B2)</f>
        <v>77.620689655172413</v>
      </c>
      <c r="K20" s="428"/>
      <c r="L20" s="377"/>
    </row>
    <row r="21" spans="1:15">
      <c r="A21" s="1555" t="s">
        <v>145</v>
      </c>
      <c r="B21" s="1556"/>
      <c r="C21" s="1557"/>
      <c r="D21" s="472"/>
      <c r="E21" s="739"/>
      <c r="F21" s="739"/>
      <c r="G21" s="483"/>
      <c r="H21" s="472"/>
      <c r="I21" s="472"/>
      <c r="J21" s="551"/>
      <c r="K21" s="428"/>
      <c r="L21" s="377"/>
    </row>
    <row r="22" spans="1:15">
      <c r="A22" s="1141" t="s">
        <v>146</v>
      </c>
      <c r="B22" s="589"/>
      <c r="C22" s="589"/>
      <c r="D22" s="523" t="s">
        <v>147</v>
      </c>
      <c r="E22" s="759">
        <f>'28'!F22</f>
        <v>2970</v>
      </c>
      <c r="F22" s="738">
        <v>2970</v>
      </c>
      <c r="G22" s="481">
        <f t="shared" ref="G22" si="2">(F22-E22)</f>
        <v>0</v>
      </c>
      <c r="H22" s="460">
        <f>G22+'28'!H22</f>
        <v>0</v>
      </c>
      <c r="I22" s="480"/>
      <c r="J22" s="552">
        <f>H22/DAY(B2)</f>
        <v>0</v>
      </c>
      <c r="K22" s="428"/>
      <c r="L22" s="377"/>
    </row>
    <row r="23" spans="1:15">
      <c r="A23" s="1141" t="s">
        <v>148</v>
      </c>
      <c r="B23" s="589"/>
      <c r="C23" s="589"/>
      <c r="D23" s="523" t="s">
        <v>147</v>
      </c>
      <c r="E23" s="759">
        <f>'28'!F23</f>
        <v>2000</v>
      </c>
      <c r="F23" s="738">
        <v>2000</v>
      </c>
      <c r="G23" s="481">
        <v>0</v>
      </c>
      <c r="H23" s="460">
        <f>G23+'28'!H23</f>
        <v>0</v>
      </c>
      <c r="I23" s="480"/>
      <c r="J23" s="552">
        <f>H23/DAY(B2)</f>
        <v>0</v>
      </c>
      <c r="K23" s="428"/>
      <c r="L23" s="377"/>
    </row>
    <row r="24" spans="1:15">
      <c r="A24" s="590" t="s">
        <v>149</v>
      </c>
      <c r="B24" s="591"/>
      <c r="C24" s="591"/>
      <c r="D24" s="511" t="s">
        <v>147</v>
      </c>
      <c r="E24" s="760">
        <f>'28'!F24</f>
        <v>4970</v>
      </c>
      <c r="F24" s="741">
        <v>4970</v>
      </c>
      <c r="G24" s="481">
        <v>0</v>
      </c>
      <c r="H24" s="460">
        <f>G24+'28'!H24</f>
        <v>0</v>
      </c>
      <c r="I24" s="480"/>
      <c r="J24" s="552">
        <f>H24/DAY(B2)</f>
        <v>0</v>
      </c>
      <c r="K24" s="428"/>
      <c r="L24" s="377"/>
    </row>
    <row r="25" spans="1:15" s="442" customFormat="1" ht="27">
      <c r="A25" s="1560" t="s">
        <v>150</v>
      </c>
      <c r="B25" s="1561"/>
      <c r="C25" s="1562"/>
      <c r="D25" s="471"/>
      <c r="E25" s="495"/>
      <c r="F25" s="495"/>
      <c r="G25" s="494"/>
      <c r="H25" s="495"/>
      <c r="I25" s="496"/>
      <c r="J25" s="554"/>
      <c r="K25" s="373"/>
      <c r="L25" s="443"/>
      <c r="N25" s="770"/>
      <c r="O25" s="770"/>
    </row>
    <row r="26" spans="1:15" s="442" customFormat="1" ht="27">
      <c r="A26" s="592" t="s">
        <v>151</v>
      </c>
      <c r="B26" s="593"/>
      <c r="C26" s="594"/>
      <c r="D26" s="618" t="s">
        <v>152</v>
      </c>
      <c r="E26" s="761"/>
      <c r="F26" s="460"/>
      <c r="G26" s="498"/>
      <c r="H26" s="460"/>
      <c r="I26" s="499"/>
      <c r="J26" s="552"/>
      <c r="K26" s="374"/>
      <c r="L26" s="443"/>
      <c r="N26" s="770"/>
      <c r="O26" s="770"/>
    </row>
    <row r="27" spans="1:15" s="442" customFormat="1" ht="27">
      <c r="A27" s="592" t="s">
        <v>6</v>
      </c>
      <c r="B27" s="593"/>
      <c r="C27" s="594"/>
      <c r="D27" s="619" t="s">
        <v>25</v>
      </c>
      <c r="E27" s="700">
        <f>G8</f>
        <v>17150</v>
      </c>
      <c r="F27" s="501">
        <v>9</v>
      </c>
      <c r="G27" s="502">
        <f>E27*F27</f>
        <v>154350</v>
      </c>
      <c r="H27" s="460">
        <f>G27+'28'!H27</f>
        <v>4990851</v>
      </c>
      <c r="I27" s="503"/>
      <c r="J27" s="552">
        <f>H27/DAY(B2)</f>
        <v>172098.31034482759</v>
      </c>
      <c r="K27" s="373"/>
      <c r="L27" s="443"/>
      <c r="N27" s="770"/>
      <c r="O27" s="770"/>
    </row>
    <row r="28" spans="1:15" s="442" customFormat="1" ht="27">
      <c r="A28" s="592" t="s">
        <v>153</v>
      </c>
      <c r="B28" s="593"/>
      <c r="C28" s="594"/>
      <c r="D28" s="619" t="s">
        <v>154</v>
      </c>
      <c r="E28" s="700">
        <f>G15</f>
        <v>550</v>
      </c>
      <c r="F28" s="501">
        <v>52</v>
      </c>
      <c r="G28" s="502">
        <f>E28*F28</f>
        <v>28600</v>
      </c>
      <c r="H28" s="460">
        <f>G28+'28'!H28</f>
        <v>949988</v>
      </c>
      <c r="I28" s="505"/>
      <c r="J28" s="552">
        <f>H28/DAY(B2)</f>
        <v>32758.206896551725</v>
      </c>
      <c r="K28" s="373"/>
      <c r="L28" s="443"/>
      <c r="N28" s="770"/>
      <c r="O28" s="770"/>
    </row>
    <row r="29" spans="1:15" s="442" customFormat="1" ht="27">
      <c r="A29" s="592" t="s">
        <v>155</v>
      </c>
      <c r="B29" s="593"/>
      <c r="C29" s="594"/>
      <c r="D29" s="619" t="s">
        <v>156</v>
      </c>
      <c r="E29" s="700">
        <f>G24</f>
        <v>0</v>
      </c>
      <c r="F29" s="700">
        <v>69</v>
      </c>
      <c r="G29" s="502">
        <f>E29*F29</f>
        <v>0</v>
      </c>
      <c r="H29" s="460">
        <f>G29+'28'!H29</f>
        <v>8280</v>
      </c>
      <c r="I29" s="505"/>
      <c r="J29" s="552">
        <f>H29/DAY(B2)</f>
        <v>285.51724137931035</v>
      </c>
      <c r="K29" s="373"/>
      <c r="L29" s="443"/>
      <c r="N29" s="770"/>
      <c r="O29" s="770"/>
    </row>
    <row r="30" spans="1:15" s="442" customFormat="1" ht="27">
      <c r="A30" s="592" t="s">
        <v>157</v>
      </c>
      <c r="B30" s="593"/>
      <c r="C30" s="594"/>
      <c r="D30" s="619" t="s">
        <v>158</v>
      </c>
      <c r="E30" s="700">
        <f>G19</f>
        <v>57</v>
      </c>
      <c r="F30" s="700">
        <v>146</v>
      </c>
      <c r="G30" s="502">
        <f>E30*F30</f>
        <v>8322</v>
      </c>
      <c r="H30" s="460">
        <f>G30+'28'!H30</f>
        <v>-17374</v>
      </c>
      <c r="I30" s="505"/>
      <c r="J30" s="552">
        <f>H30/DAY(B2)</f>
        <v>-599.10344827586209</v>
      </c>
      <c r="K30" s="373"/>
      <c r="L30" s="443"/>
      <c r="N30" s="770"/>
      <c r="O30" s="770"/>
    </row>
    <row r="31" spans="1:15" s="442" customFormat="1" ht="27">
      <c r="A31" s="592" t="s">
        <v>159</v>
      </c>
      <c r="B31" s="593"/>
      <c r="C31" s="594"/>
      <c r="D31" s="619" t="s">
        <v>143</v>
      </c>
      <c r="E31" s="700">
        <f>G18</f>
        <v>60</v>
      </c>
      <c r="F31" s="700">
        <v>80</v>
      </c>
      <c r="G31" s="502">
        <f>E31*F31</f>
        <v>4800</v>
      </c>
      <c r="H31" s="460">
        <f>G31+'28'!H31</f>
        <v>189600</v>
      </c>
      <c r="I31" s="505"/>
      <c r="J31" s="552"/>
      <c r="K31" s="373"/>
      <c r="L31" s="443"/>
      <c r="N31" s="770"/>
      <c r="O31" s="770"/>
    </row>
    <row r="32" spans="1:15" s="442" customFormat="1" ht="27">
      <c r="A32" s="595" t="s">
        <v>160</v>
      </c>
      <c r="B32" s="596"/>
      <c r="C32" s="597"/>
      <c r="D32" s="507"/>
      <c r="E32" s="762"/>
      <c r="F32" s="486"/>
      <c r="G32" s="508">
        <f>G27+G28+G29+G30+G31</f>
        <v>196072</v>
      </c>
      <c r="H32" s="460">
        <f>G32+'28'!H32</f>
        <v>6121345</v>
      </c>
      <c r="I32" s="509"/>
      <c r="J32" s="552">
        <f>H32/DAY(B2)</f>
        <v>211080.86206896551</v>
      </c>
      <c r="K32" s="373"/>
      <c r="L32" s="443"/>
      <c r="N32" s="770"/>
      <c r="O32" s="770"/>
    </row>
    <row r="33" spans="1:15" ht="25.5">
      <c r="A33" s="1563" t="s">
        <v>161</v>
      </c>
      <c r="B33" s="1564"/>
      <c r="C33" s="1564"/>
      <c r="D33" s="1564"/>
      <c r="E33" s="1564"/>
      <c r="F33" s="1564"/>
      <c r="G33" s="1564"/>
      <c r="H33" s="1564"/>
      <c r="I33" s="1564"/>
      <c r="J33" s="1565"/>
      <c r="K33" s="428"/>
      <c r="L33" s="377"/>
    </row>
    <row r="34" spans="1:15">
      <c r="A34" s="598" t="s">
        <v>162</v>
      </c>
      <c r="B34" s="1146"/>
      <c r="C34" s="1146"/>
      <c r="D34" s="472"/>
      <c r="E34" s="495"/>
      <c r="F34" s="495"/>
      <c r="G34" s="472"/>
      <c r="H34" s="472"/>
      <c r="I34" s="472"/>
      <c r="J34" s="551"/>
      <c r="K34" s="428"/>
      <c r="L34" s="377"/>
    </row>
    <row r="35" spans="1:15">
      <c r="A35" s="578" t="s">
        <v>163</v>
      </c>
      <c r="B35" s="579"/>
      <c r="C35" s="579"/>
      <c r="D35" s="523" t="s">
        <v>131</v>
      </c>
      <c r="E35" s="742">
        <f>'28'!F35</f>
        <v>943358</v>
      </c>
      <c r="F35" s="742">
        <v>945766</v>
      </c>
      <c r="G35" s="473">
        <f t="shared" ref="G35:G46" si="3">F35-E35</f>
        <v>2408</v>
      </c>
      <c r="H35" s="460">
        <f>G35+'28'!H35</f>
        <v>-4722</v>
      </c>
      <c r="I35" s="455"/>
      <c r="J35" s="552">
        <f>H35/DAY(B2)</f>
        <v>-162.82758620689654</v>
      </c>
      <c r="K35" s="428"/>
      <c r="L35" s="377"/>
    </row>
    <row r="36" spans="1:15">
      <c r="A36" s="578" t="s">
        <v>164</v>
      </c>
      <c r="B36" s="579"/>
      <c r="C36" s="579"/>
      <c r="D36" s="523" t="s">
        <v>131</v>
      </c>
      <c r="E36" s="742">
        <f>'28'!F36</f>
        <v>347065</v>
      </c>
      <c r="F36" s="742">
        <v>347065</v>
      </c>
      <c r="G36" s="473">
        <f t="shared" si="3"/>
        <v>0</v>
      </c>
      <c r="H36" s="460">
        <f>G36+'28'!H36</f>
        <v>346892</v>
      </c>
      <c r="I36" s="455"/>
      <c r="J36" s="552">
        <f>H36/DAY(B2)</f>
        <v>11961.793103448275</v>
      </c>
      <c r="K36" s="428"/>
      <c r="L36" s="377"/>
    </row>
    <row r="37" spans="1:15" s="441" customFormat="1">
      <c r="A37" s="1104" t="s">
        <v>165</v>
      </c>
      <c r="B37" s="1108"/>
      <c r="C37" s="1108"/>
      <c r="D37" s="627" t="s">
        <v>131</v>
      </c>
      <c r="E37" s="743">
        <f>'28'!F37</f>
        <v>130320</v>
      </c>
      <c r="F37" s="743">
        <v>131674</v>
      </c>
      <c r="G37" s="653">
        <f t="shared" si="3"/>
        <v>1354</v>
      </c>
      <c r="H37" s="706">
        <f>G37+'28'!H37</f>
        <v>-2562</v>
      </c>
      <c r="I37" s="707"/>
      <c r="J37" s="708">
        <f>H37/DAY(B2)</f>
        <v>-88.34482758620689</v>
      </c>
      <c r="K37" s="1106"/>
      <c r="L37" s="1107"/>
      <c r="N37" s="771"/>
      <c r="O37" s="771"/>
    </row>
    <row r="38" spans="1:15" s="441" customFormat="1">
      <c r="A38" s="1104" t="s">
        <v>166</v>
      </c>
      <c r="B38" s="1108"/>
      <c r="C38" s="1108"/>
      <c r="D38" s="627" t="s">
        <v>131</v>
      </c>
      <c r="E38" s="743">
        <f>'28'!F38</f>
        <v>152607</v>
      </c>
      <c r="F38" s="1109">
        <v>153825</v>
      </c>
      <c r="G38" s="653">
        <f t="shared" si="3"/>
        <v>1218</v>
      </c>
      <c r="H38" s="706">
        <f>G38+'28'!H38</f>
        <v>-2580</v>
      </c>
      <c r="I38" s="707"/>
      <c r="J38" s="708">
        <f>H38/DAY(B2)</f>
        <v>-88.965517241379317</v>
      </c>
      <c r="K38" s="1106"/>
      <c r="L38" s="1107"/>
      <c r="N38" s="771"/>
      <c r="O38" s="771"/>
    </row>
    <row r="39" spans="1:15" s="441" customFormat="1">
      <c r="A39" s="1104" t="s">
        <v>167</v>
      </c>
      <c r="B39" s="1108"/>
      <c r="C39" s="1108"/>
      <c r="D39" s="627" t="s">
        <v>131</v>
      </c>
      <c r="E39" s="743">
        <f>'28'!F39</f>
        <v>301259</v>
      </c>
      <c r="F39" s="743">
        <v>303589</v>
      </c>
      <c r="G39" s="653">
        <f t="shared" si="3"/>
        <v>2330</v>
      </c>
      <c r="H39" s="706">
        <f>G39+'28'!H39</f>
        <v>-4584</v>
      </c>
      <c r="I39" s="707"/>
      <c r="J39" s="708">
        <f>H39/DAY(B2)</f>
        <v>-158.06896551724137</v>
      </c>
      <c r="K39" s="1106"/>
      <c r="L39" s="1107"/>
      <c r="N39" s="771"/>
      <c r="O39" s="771"/>
    </row>
    <row r="40" spans="1:15" s="441" customFormat="1">
      <c r="A40" s="1110" t="s">
        <v>168</v>
      </c>
      <c r="B40" s="1111"/>
      <c r="C40" s="1111"/>
      <c r="D40" s="627" t="s">
        <v>131</v>
      </c>
      <c r="E40" s="743">
        <f>'28'!F40</f>
        <v>889</v>
      </c>
      <c r="F40" s="743">
        <v>889</v>
      </c>
      <c r="G40" s="653">
        <f t="shared" si="3"/>
        <v>0</v>
      </c>
      <c r="H40" s="706">
        <f>G40+'28'!H40</f>
        <v>0</v>
      </c>
      <c r="I40" s="707"/>
      <c r="J40" s="708">
        <f>H40/DAY(B2)</f>
        <v>0</v>
      </c>
      <c r="K40" s="1112"/>
      <c r="L40" s="1107"/>
      <c r="N40" s="771"/>
      <c r="O40" s="771"/>
    </row>
    <row r="41" spans="1:15" s="441" customFormat="1">
      <c r="A41" s="1104" t="s">
        <v>169</v>
      </c>
      <c r="B41" s="1108"/>
      <c r="C41" s="1108"/>
      <c r="D41" s="627" t="s">
        <v>131</v>
      </c>
      <c r="E41" s="743">
        <f>'28'!F41</f>
        <v>240478</v>
      </c>
      <c r="F41" s="743">
        <v>240478</v>
      </c>
      <c r="G41" s="653">
        <f>F41-E41</f>
        <v>0</v>
      </c>
      <c r="H41" s="706">
        <f>G41+'28'!H41</f>
        <v>0</v>
      </c>
      <c r="I41" s="707"/>
      <c r="J41" s="708">
        <f>H41/DAY(B2)</f>
        <v>0</v>
      </c>
      <c r="K41" s="1106"/>
      <c r="L41" s="1107"/>
      <c r="N41" s="771"/>
      <c r="O41" s="771"/>
    </row>
    <row r="42" spans="1:15">
      <c r="A42" s="578" t="s">
        <v>170</v>
      </c>
      <c r="B42" s="579"/>
      <c r="C42" s="579"/>
      <c r="D42" s="523" t="s">
        <v>131</v>
      </c>
      <c r="E42" s="742">
        <f>'28'!F42</f>
        <v>59199</v>
      </c>
      <c r="F42" s="742">
        <v>59199</v>
      </c>
      <c r="G42" s="473">
        <f t="shared" si="3"/>
        <v>0</v>
      </c>
      <c r="H42" s="460">
        <f>G42+'28'!H42</f>
        <v>2.9999999998835847E-2</v>
      </c>
      <c r="I42" s="455"/>
      <c r="J42" s="552">
        <f>H42/DAY(B2)</f>
        <v>1.0344827585805464E-3</v>
      </c>
      <c r="K42" s="428"/>
      <c r="L42" s="377"/>
    </row>
    <row r="43" spans="1:15">
      <c r="A43" s="578" t="s">
        <v>171</v>
      </c>
      <c r="B43" s="579"/>
      <c r="C43" s="579"/>
      <c r="D43" s="523" t="s">
        <v>131</v>
      </c>
      <c r="E43" s="742">
        <f>'28'!F43</f>
        <v>1035334</v>
      </c>
      <c r="F43" s="742">
        <v>1037660</v>
      </c>
      <c r="G43" s="473">
        <f t="shared" si="3"/>
        <v>2326</v>
      </c>
      <c r="H43" s="460">
        <f>G43+'28'!H43</f>
        <v>-4584</v>
      </c>
      <c r="I43" s="455"/>
      <c r="J43" s="552">
        <f>H43/DAY(B2)</f>
        <v>-158.06896551724137</v>
      </c>
      <c r="K43" s="428"/>
      <c r="L43" s="377"/>
    </row>
    <row r="44" spans="1:15">
      <c r="A44" s="578" t="s">
        <v>172</v>
      </c>
      <c r="B44" s="579"/>
      <c r="C44" s="579"/>
      <c r="D44" s="523" t="s">
        <v>131</v>
      </c>
      <c r="E44" s="742">
        <f>'28'!F44</f>
        <v>0</v>
      </c>
      <c r="F44" s="742">
        <v>0</v>
      </c>
      <c r="G44" s="473">
        <f t="shared" si="3"/>
        <v>0</v>
      </c>
      <c r="H44" s="460">
        <f>G44+'28'!H44</f>
        <v>0</v>
      </c>
      <c r="I44" s="455"/>
      <c r="J44" s="552">
        <f>H44/DAY(B2)</f>
        <v>0</v>
      </c>
      <c r="K44" s="428"/>
      <c r="L44" s="377"/>
    </row>
    <row r="45" spans="1:15">
      <c r="A45" s="578" t="s">
        <v>173</v>
      </c>
      <c r="B45" s="579"/>
      <c r="C45" s="579"/>
      <c r="D45" s="523" t="s">
        <v>131</v>
      </c>
      <c r="E45" s="742">
        <f>'28'!F45</f>
        <v>614</v>
      </c>
      <c r="F45" s="742">
        <v>614</v>
      </c>
      <c r="G45" s="473">
        <f t="shared" si="3"/>
        <v>0</v>
      </c>
      <c r="H45" s="460">
        <f>G45+'28'!H45</f>
        <v>614</v>
      </c>
      <c r="I45" s="455"/>
      <c r="J45" s="552">
        <f>H45/DAY(B2)</f>
        <v>21.172413793103448</v>
      </c>
      <c r="K45" s="428"/>
      <c r="L45" s="377"/>
    </row>
    <row r="46" spans="1:15">
      <c r="A46" s="578" t="s">
        <v>174</v>
      </c>
      <c r="B46" s="579"/>
      <c r="C46" s="579"/>
      <c r="D46" s="523" t="s">
        <v>131</v>
      </c>
      <c r="E46" s="742">
        <f>'28'!F46</f>
        <v>187</v>
      </c>
      <c r="F46" s="742">
        <v>187</v>
      </c>
      <c r="G46" s="473">
        <f t="shared" si="3"/>
        <v>0</v>
      </c>
      <c r="H46" s="460">
        <f>G46+'28'!H46</f>
        <v>186.95</v>
      </c>
      <c r="I46" s="455"/>
      <c r="J46" s="552">
        <f>H46/DAY(B2)</f>
        <v>6.4465517241379304</v>
      </c>
      <c r="K46" s="428"/>
      <c r="L46" s="377"/>
    </row>
    <row r="47" spans="1:15">
      <c r="A47" s="585" t="s">
        <v>175</v>
      </c>
      <c r="B47" s="586"/>
      <c r="C47" s="586"/>
      <c r="D47" s="470"/>
      <c r="E47" s="470"/>
      <c r="F47" s="470"/>
      <c r="G47" s="481">
        <f>G35+G36+G37+G38+G39+G40+G41+G42+G43+G44+G45+G46</f>
        <v>9636</v>
      </c>
      <c r="H47" s="460">
        <f>G47+'28'!H47</f>
        <v>328661.46999999997</v>
      </c>
      <c r="I47" s="455"/>
      <c r="J47" s="552">
        <f>H47/DAY(B2)</f>
        <v>11333.154137931033</v>
      </c>
      <c r="K47" s="428"/>
      <c r="L47" s="377"/>
    </row>
    <row r="48" spans="1:15">
      <c r="A48" s="598" t="s">
        <v>176</v>
      </c>
      <c r="B48" s="1146"/>
      <c r="C48" s="1146"/>
      <c r="D48" s="472"/>
      <c r="E48" s="495"/>
      <c r="F48" s="495"/>
      <c r="G48" s="472"/>
      <c r="H48" s="472"/>
      <c r="I48" s="472"/>
      <c r="J48" s="551"/>
      <c r="K48" s="428"/>
      <c r="L48" s="377"/>
    </row>
    <row r="49" spans="1:15" s="441" customFormat="1">
      <c r="A49" s="1104" t="s">
        <v>163</v>
      </c>
      <c r="B49" s="1105"/>
      <c r="C49" s="1105"/>
      <c r="D49" s="627" t="s">
        <v>131</v>
      </c>
      <c r="E49" s="743">
        <f>'28'!F49</f>
        <v>260732.13</v>
      </c>
      <c r="F49" s="743">
        <v>260732.13</v>
      </c>
      <c r="G49" s="653">
        <f t="shared" ref="G49:G58" si="4">F49-E49</f>
        <v>0</v>
      </c>
      <c r="H49" s="706">
        <f>G49+'28'!H49</f>
        <v>0.13000000000465661</v>
      </c>
      <c r="I49" s="707"/>
      <c r="J49" s="708">
        <f>H49/DAY(B2)</f>
        <v>4.4827586208502279E-3</v>
      </c>
      <c r="K49" s="1106"/>
      <c r="L49" s="1107"/>
      <c r="N49" s="771"/>
      <c r="O49" s="771"/>
    </row>
    <row r="50" spans="1:15" s="441" customFormat="1">
      <c r="A50" s="1104" t="s">
        <v>177</v>
      </c>
      <c r="B50" s="1105" t="s">
        <v>277</v>
      </c>
      <c r="C50" s="1105"/>
      <c r="D50" s="627" t="s">
        <v>131</v>
      </c>
      <c r="E50" s="743">
        <f>'28'!F50</f>
        <v>499860</v>
      </c>
      <c r="F50" s="743">
        <v>500726</v>
      </c>
      <c r="G50" s="653">
        <f t="shared" si="4"/>
        <v>866</v>
      </c>
      <c r="H50" s="706">
        <f>G50+'28'!H50</f>
        <v>-2700</v>
      </c>
      <c r="I50" s="707"/>
      <c r="J50" s="708">
        <f>H50/DAY(B2)</f>
        <v>-93.103448275862064</v>
      </c>
      <c r="K50" s="1106"/>
      <c r="L50" s="1107"/>
      <c r="N50" s="771"/>
      <c r="O50" s="771"/>
    </row>
    <row r="51" spans="1:15" s="441" customFormat="1">
      <c r="A51" s="1104" t="s">
        <v>165</v>
      </c>
      <c r="B51" s="1105"/>
      <c r="C51" s="1105"/>
      <c r="D51" s="627" t="s">
        <v>131</v>
      </c>
      <c r="E51" s="743">
        <f>'28'!F51</f>
        <v>144640</v>
      </c>
      <c r="F51" s="743">
        <v>144639.87</v>
      </c>
      <c r="G51" s="653">
        <f t="shared" si="4"/>
        <v>-0.13000000000465661</v>
      </c>
      <c r="H51" s="706">
        <f>G51+'28'!H51</f>
        <v>-0.13000000000465661</v>
      </c>
      <c r="I51" s="707"/>
      <c r="J51" s="708">
        <f>H51/DAY(B2)</f>
        <v>-4.4827586208502279E-3</v>
      </c>
      <c r="K51" s="1106"/>
      <c r="L51" s="1107"/>
      <c r="N51" s="771"/>
      <c r="O51" s="771"/>
    </row>
    <row r="52" spans="1:15" s="441" customFormat="1">
      <c r="A52" s="1104" t="s">
        <v>178</v>
      </c>
      <c r="B52" s="1105"/>
      <c r="C52" s="1105"/>
      <c r="D52" s="627" t="s">
        <v>131</v>
      </c>
      <c r="E52" s="743">
        <f>'28'!F52</f>
        <v>539606.06999999995</v>
      </c>
      <c r="F52" s="743">
        <v>539606.06999999995</v>
      </c>
      <c r="G52" s="653">
        <f t="shared" si="4"/>
        <v>0</v>
      </c>
      <c r="H52" s="706">
        <f>G52+'28'!H52</f>
        <v>0</v>
      </c>
      <c r="I52" s="707"/>
      <c r="J52" s="708">
        <f>H52/DAY(B2)</f>
        <v>0</v>
      </c>
      <c r="K52" s="1106"/>
      <c r="L52" s="1107"/>
      <c r="N52" s="771"/>
      <c r="O52" s="771"/>
    </row>
    <row r="53" spans="1:15" s="441" customFormat="1">
      <c r="A53" s="1104" t="s">
        <v>167</v>
      </c>
      <c r="B53" s="1105"/>
      <c r="C53" s="1105"/>
      <c r="D53" s="627" t="s">
        <v>131</v>
      </c>
      <c r="E53" s="743">
        <f>'28'!F53</f>
        <v>430926</v>
      </c>
      <c r="F53" s="743">
        <v>431514</v>
      </c>
      <c r="G53" s="653">
        <f t="shared" si="4"/>
        <v>588</v>
      </c>
      <c r="H53" s="706">
        <f>G53+'28'!H53</f>
        <v>-1054.3300000000163</v>
      </c>
      <c r="I53" s="707"/>
      <c r="J53" s="708">
        <f>H53/DAY(B2)</f>
        <v>-36.356206896552287</v>
      </c>
      <c r="K53" s="1106"/>
      <c r="L53" s="1107"/>
      <c r="N53" s="771"/>
      <c r="O53" s="771"/>
    </row>
    <row r="54" spans="1:15">
      <c r="A54" s="578" t="s">
        <v>179</v>
      </c>
      <c r="B54" s="601"/>
      <c r="C54" s="601"/>
      <c r="D54" s="523" t="s">
        <v>131</v>
      </c>
      <c r="E54" s="743">
        <f>'28'!F54</f>
        <v>13516</v>
      </c>
      <c r="F54" s="742">
        <v>13596</v>
      </c>
      <c r="G54" s="473">
        <f t="shared" si="4"/>
        <v>80</v>
      </c>
      <c r="H54" s="460">
        <f>G54+'28'!H54</f>
        <v>-233</v>
      </c>
      <c r="I54" s="455"/>
      <c r="J54" s="552">
        <f>H54/DAY(B2)</f>
        <v>-8.0344827586206904</v>
      </c>
      <c r="K54" s="428"/>
      <c r="L54" s="377"/>
    </row>
    <row r="55" spans="1:15">
      <c r="A55" s="578" t="s">
        <v>180</v>
      </c>
      <c r="B55" s="601"/>
      <c r="C55" s="601"/>
      <c r="D55" s="523" t="s">
        <v>131</v>
      </c>
      <c r="E55" s="743">
        <f>'28'!F55</f>
        <v>68111</v>
      </c>
      <c r="F55" s="743">
        <v>68111</v>
      </c>
      <c r="G55" s="653">
        <f t="shared" si="4"/>
        <v>0</v>
      </c>
      <c r="H55" s="706">
        <f>G55+'28'!H55</f>
        <v>0</v>
      </c>
      <c r="I55" s="707"/>
      <c r="J55" s="708">
        <f>H55/DAY(B2)</f>
        <v>0</v>
      </c>
      <c r="K55" s="428"/>
      <c r="L55" s="377"/>
    </row>
    <row r="56" spans="1:15">
      <c r="A56" s="578" t="s">
        <v>181</v>
      </c>
      <c r="B56" s="601"/>
      <c r="C56" s="601"/>
      <c r="D56" s="523" t="s">
        <v>182</v>
      </c>
      <c r="E56" s="743">
        <f>'28'!F56</f>
        <v>601191</v>
      </c>
      <c r="F56" s="743">
        <v>606023</v>
      </c>
      <c r="G56" s="473">
        <f t="shared" si="4"/>
        <v>4832</v>
      </c>
      <c r="H56" s="460">
        <f>G56+'28'!H56</f>
        <v>-11175</v>
      </c>
      <c r="I56" s="455"/>
      <c r="J56" s="552">
        <f>H56/DAY(B2)</f>
        <v>-385.34482758620692</v>
      </c>
      <c r="K56" s="427"/>
      <c r="L56" s="377"/>
    </row>
    <row r="57" spans="1:15">
      <c r="A57" s="578" t="s">
        <v>171</v>
      </c>
      <c r="B57" s="601"/>
      <c r="C57" s="601"/>
      <c r="D57" s="523" t="s">
        <v>131</v>
      </c>
      <c r="E57" s="743">
        <f>'28'!F57</f>
        <v>7711.33</v>
      </c>
      <c r="F57" s="742">
        <v>7711</v>
      </c>
      <c r="G57" s="473">
        <f t="shared" si="4"/>
        <v>-0.32999999999992724</v>
      </c>
      <c r="H57" s="460">
        <f>G57+'28'!H57</f>
        <v>0</v>
      </c>
      <c r="I57" s="455"/>
      <c r="J57" s="552">
        <f>H57/DAY(B2)</f>
        <v>0</v>
      </c>
      <c r="K57" s="428"/>
      <c r="L57" s="377"/>
    </row>
    <row r="58" spans="1:15">
      <c r="A58" s="578" t="s">
        <v>183</v>
      </c>
      <c r="B58" s="601"/>
      <c r="C58" s="601"/>
      <c r="D58" s="523" t="s">
        <v>131</v>
      </c>
      <c r="E58" s="743">
        <f>'28'!F58</f>
        <v>49264</v>
      </c>
      <c r="F58" s="743">
        <v>49264</v>
      </c>
      <c r="G58" s="473">
        <f t="shared" si="4"/>
        <v>0</v>
      </c>
      <c r="H58" s="460">
        <f>G58+'28'!H58</f>
        <v>-600.20999999999913</v>
      </c>
      <c r="I58" s="455"/>
      <c r="J58" s="552">
        <f>H58/DAY(B2)</f>
        <v>-20.696896551724109</v>
      </c>
      <c r="K58" s="428"/>
      <c r="L58" s="377"/>
    </row>
    <row r="59" spans="1:15">
      <c r="A59" s="585">
        <v>1</v>
      </c>
      <c r="B59" s="586"/>
      <c r="C59" s="586"/>
      <c r="D59" s="511"/>
      <c r="E59" s="470"/>
      <c r="F59" s="470"/>
      <c r="G59" s="481">
        <f>G49+G50+G51+G52+G53+G54+G55+G56+G57+G58</f>
        <v>6365.5399999999954</v>
      </c>
      <c r="H59" s="460">
        <f>G59+'28'!H59</f>
        <v>-15762.470000000058</v>
      </c>
      <c r="I59" s="455">
        <f>G7-G60</f>
        <v>998.46000000000458</v>
      </c>
      <c r="J59" s="552">
        <f>H59/DAY(B2)</f>
        <v>-543.53344827586409</v>
      </c>
      <c r="K59" s="428"/>
      <c r="L59" s="377"/>
      <c r="O59" s="770">
        <f>159+122+341+154</f>
        <v>776</v>
      </c>
    </row>
    <row r="60" spans="1:15">
      <c r="A60" s="578"/>
      <c r="B60" s="579"/>
      <c r="C60" s="579"/>
      <c r="D60" s="511" t="s">
        <v>184</v>
      </c>
      <c r="E60" s="470"/>
      <c r="F60" s="470"/>
      <c r="G60" s="481">
        <f>G47+G59</f>
        <v>16001.539999999995</v>
      </c>
      <c r="H60" s="460">
        <f>G60+'28'!H60</f>
        <v>314107.5399999998</v>
      </c>
      <c r="I60" s="455">
        <f>G13-G60</f>
        <v>948.46000000000458</v>
      </c>
      <c r="J60" s="552">
        <f>H60/DAY(B2)</f>
        <v>10831.294482758614</v>
      </c>
      <c r="K60" s="428"/>
      <c r="L60" s="377"/>
    </row>
    <row r="61" spans="1:15">
      <c r="A61" s="602" t="s">
        <v>185</v>
      </c>
      <c r="B61" s="453"/>
      <c r="C61" s="453"/>
      <c r="D61" s="513"/>
      <c r="E61" s="744"/>
      <c r="F61" s="744"/>
      <c r="G61" s="513"/>
      <c r="H61" s="513"/>
      <c r="I61" s="513"/>
      <c r="J61" s="555"/>
      <c r="K61" s="428"/>
      <c r="L61" s="377"/>
    </row>
    <row r="62" spans="1:15">
      <c r="A62" s="603" t="s">
        <v>97</v>
      </c>
      <c r="B62" s="604"/>
      <c r="C62" s="604"/>
      <c r="D62" s="511" t="s">
        <v>186</v>
      </c>
      <c r="E62" s="514">
        <f>'28'!F62</f>
        <v>20419</v>
      </c>
      <c r="F62" s="514">
        <v>20419</v>
      </c>
      <c r="G62" s="473">
        <f t="shared" ref="G62:G69" si="5">F62-E62</f>
        <v>0</v>
      </c>
      <c r="H62" s="460">
        <f>G62+'28'!H62</f>
        <v>1.9999999967694748E-3</v>
      </c>
      <c r="I62" s="515"/>
      <c r="J62" s="552">
        <f>H62/DAY(B2)</f>
        <v>6.896551712998189E-5</v>
      </c>
      <c r="K62" s="428"/>
      <c r="L62" s="377"/>
    </row>
    <row r="63" spans="1:15">
      <c r="A63" s="603" t="s">
        <v>187</v>
      </c>
      <c r="B63" s="604"/>
      <c r="C63" s="604"/>
      <c r="D63" s="511" t="s">
        <v>186</v>
      </c>
      <c r="E63" s="514">
        <f>'28'!F63</f>
        <v>2464</v>
      </c>
      <c r="F63" s="514">
        <v>2468</v>
      </c>
      <c r="G63" s="473">
        <f t="shared" si="5"/>
        <v>4</v>
      </c>
      <c r="H63" s="460">
        <f>G63+'28'!H63</f>
        <v>2468</v>
      </c>
      <c r="I63" s="515"/>
      <c r="J63" s="552">
        <f>H63/DAY(B2)</f>
        <v>85.103448275862064</v>
      </c>
      <c r="K63" s="428"/>
      <c r="L63" s="377"/>
    </row>
    <row r="64" spans="1:15" ht="27.75">
      <c r="A64" s="1534" t="s">
        <v>98</v>
      </c>
      <c r="B64" s="1535"/>
      <c r="C64" s="1536"/>
      <c r="D64" s="523" t="s">
        <v>186</v>
      </c>
      <c r="E64" s="514">
        <f>'28'!F64</f>
        <v>159360</v>
      </c>
      <c r="F64" s="738">
        <v>159553</v>
      </c>
      <c r="G64" s="473">
        <f t="shared" si="5"/>
        <v>193</v>
      </c>
      <c r="H64" s="460">
        <f>G64+'28'!H64</f>
        <v>-379</v>
      </c>
      <c r="I64" s="480"/>
      <c r="J64" s="552">
        <f>H64/DAY(B2)</f>
        <v>-13.068965517241379</v>
      </c>
      <c r="K64" s="428"/>
      <c r="L64" s="377"/>
    </row>
    <row r="65" spans="1:12" ht="27.75">
      <c r="A65" s="1534" t="s">
        <v>99</v>
      </c>
      <c r="B65" s="1535"/>
      <c r="C65" s="1536"/>
      <c r="D65" s="523" t="s">
        <v>186</v>
      </c>
      <c r="E65" s="514">
        <f>'28'!F65</f>
        <v>160348</v>
      </c>
      <c r="F65" s="745">
        <v>160561</v>
      </c>
      <c r="G65" s="473">
        <f t="shared" si="5"/>
        <v>213</v>
      </c>
      <c r="H65" s="460">
        <f>G65+'28'!H65</f>
        <v>-437</v>
      </c>
      <c r="I65" s="489"/>
      <c r="J65" s="552">
        <f>H65/DAY(B2)</f>
        <v>-15.068965517241379</v>
      </c>
      <c r="K65" s="428"/>
      <c r="L65" s="377"/>
    </row>
    <row r="66" spans="1:12" ht="27.75">
      <c r="A66" s="1534" t="s">
        <v>100</v>
      </c>
      <c r="B66" s="1535"/>
      <c r="C66" s="1536"/>
      <c r="D66" s="523" t="s">
        <v>186</v>
      </c>
      <c r="E66" s="514">
        <f>'28'!F66</f>
        <v>55940</v>
      </c>
      <c r="F66" s="738">
        <v>56221</v>
      </c>
      <c r="G66" s="473">
        <f t="shared" si="5"/>
        <v>281</v>
      </c>
      <c r="H66" s="460">
        <f>G66+'28'!H66</f>
        <v>-584</v>
      </c>
      <c r="I66" s="480"/>
      <c r="J66" s="552">
        <f>H66/DAY(B2)</f>
        <v>-20.137931034482758</v>
      </c>
      <c r="K66" s="428"/>
      <c r="L66" s="377"/>
    </row>
    <row r="67" spans="1:12" ht="27.75">
      <c r="A67" s="1534" t="s">
        <v>101</v>
      </c>
      <c r="B67" s="1535"/>
      <c r="C67" s="1536"/>
      <c r="D67" s="523" t="s">
        <v>186</v>
      </c>
      <c r="E67" s="514">
        <f>'28'!F67</f>
        <v>250705</v>
      </c>
      <c r="F67" s="738">
        <v>251244</v>
      </c>
      <c r="G67" s="473">
        <f t="shared" si="5"/>
        <v>539</v>
      </c>
      <c r="H67" s="460">
        <f>G67+'28'!H67</f>
        <v>-948</v>
      </c>
      <c r="I67" s="489"/>
      <c r="J67" s="552">
        <f>H67/DAY(B2)</f>
        <v>-32.689655172413794</v>
      </c>
      <c r="K67" s="429"/>
      <c r="L67" s="377"/>
    </row>
    <row r="68" spans="1:12" ht="27.75">
      <c r="A68" s="1534" t="s">
        <v>102</v>
      </c>
      <c r="B68" s="1535"/>
      <c r="C68" s="1536"/>
      <c r="D68" s="523" t="s">
        <v>186</v>
      </c>
      <c r="E68" s="514">
        <f>'28'!F68</f>
        <v>85321</v>
      </c>
      <c r="F68" s="738">
        <v>85321</v>
      </c>
      <c r="G68" s="473">
        <f t="shared" si="5"/>
        <v>0</v>
      </c>
      <c r="H68" s="460">
        <f>G68+'28'!H68</f>
        <v>0</v>
      </c>
      <c r="I68" s="516"/>
      <c r="J68" s="552">
        <f>H68/DAY(B2)</f>
        <v>0</v>
      </c>
      <c r="K68" s="430"/>
      <c r="L68" s="377"/>
    </row>
    <row r="69" spans="1:12" ht="27.75">
      <c r="A69" s="1534" t="s">
        <v>103</v>
      </c>
      <c r="B69" s="1535"/>
      <c r="C69" s="1536"/>
      <c r="D69" s="523" t="s">
        <v>186</v>
      </c>
      <c r="E69" s="514">
        <f>'28'!F69</f>
        <v>81418</v>
      </c>
      <c r="F69" s="738">
        <v>81507</v>
      </c>
      <c r="G69" s="473">
        <f t="shared" si="5"/>
        <v>89</v>
      </c>
      <c r="H69" s="460">
        <f>G69+'28'!H69</f>
        <v>-242</v>
      </c>
      <c r="I69" s="516"/>
      <c r="J69" s="552">
        <f>H69/DAY(B2)</f>
        <v>-8.3448275862068968</v>
      </c>
      <c r="K69" s="431"/>
      <c r="L69" s="377"/>
    </row>
    <row r="70" spans="1:12" ht="27.75">
      <c r="A70" s="1566" t="s">
        <v>188</v>
      </c>
      <c r="B70" s="1567"/>
      <c r="C70" s="1568"/>
      <c r="D70" s="523" t="s">
        <v>186</v>
      </c>
      <c r="E70" s="746"/>
      <c r="F70" s="746"/>
      <c r="G70" s="518"/>
      <c r="H70" s="460">
        <f>G70+'13'!H70</f>
        <v>0</v>
      </c>
      <c r="I70" s="518"/>
      <c r="J70" s="556"/>
      <c r="K70" s="431"/>
      <c r="L70" s="377"/>
    </row>
    <row r="71" spans="1:12" ht="31.5">
      <c r="A71" s="1580" t="s">
        <v>189</v>
      </c>
      <c r="B71" s="1581"/>
      <c r="C71" s="1581"/>
      <c r="D71" s="1581"/>
      <c r="E71" s="1581"/>
      <c r="F71" s="1581"/>
      <c r="G71" s="1581"/>
      <c r="H71" s="1581"/>
      <c r="I71" s="1581"/>
      <c r="J71" s="1582"/>
      <c r="K71" s="430"/>
      <c r="L71" s="377"/>
    </row>
    <row r="72" spans="1:12" ht="27.75">
      <c r="A72" s="1534" t="s">
        <v>190</v>
      </c>
      <c r="B72" s="1535"/>
      <c r="C72" s="1536"/>
      <c r="D72" s="523" t="s">
        <v>186</v>
      </c>
      <c r="E72" s="763">
        <f>'28'!F72</f>
        <v>855806</v>
      </c>
      <c r="F72" s="747">
        <v>855817</v>
      </c>
      <c r="G72" s="473">
        <f t="shared" ref="G72:G84" si="6">F72-E72</f>
        <v>11</v>
      </c>
      <c r="H72" s="460">
        <f>G72+'28'!H72</f>
        <v>-39</v>
      </c>
      <c r="I72" s="480"/>
      <c r="J72" s="552">
        <f>H72/DAY(B2)</f>
        <v>-1.3448275862068966</v>
      </c>
      <c r="K72" s="431"/>
      <c r="L72" s="377"/>
    </row>
    <row r="73" spans="1:12" ht="27.75">
      <c r="A73" s="1534" t="s">
        <v>191</v>
      </c>
      <c r="B73" s="1535"/>
      <c r="C73" s="1536"/>
      <c r="D73" s="523" t="s">
        <v>186</v>
      </c>
      <c r="E73" s="763">
        <f>'28'!F73</f>
        <v>885934</v>
      </c>
      <c r="F73" s="748">
        <v>885935</v>
      </c>
      <c r="G73" s="653">
        <f>F73-E73</f>
        <v>1</v>
      </c>
      <c r="H73" s="460">
        <f>G73+'28'!H73</f>
        <v>154</v>
      </c>
      <c r="I73" s="480"/>
      <c r="J73" s="552">
        <f>H73/DAY(B2)</f>
        <v>5.3103448275862073</v>
      </c>
      <c r="K73" s="430"/>
      <c r="L73" s="377"/>
    </row>
    <row r="74" spans="1:12" ht="27.75">
      <c r="A74" s="1534" t="s">
        <v>192</v>
      </c>
      <c r="B74" s="1535"/>
      <c r="C74" s="1536"/>
      <c r="D74" s="523" t="s">
        <v>186</v>
      </c>
      <c r="E74" s="763">
        <f>'28'!F74</f>
        <v>2566</v>
      </c>
      <c r="F74" s="748">
        <v>2573</v>
      </c>
      <c r="G74" s="473">
        <f t="shared" si="6"/>
        <v>7</v>
      </c>
      <c r="H74" s="460">
        <f>G74+'28'!H74</f>
        <v>-86092.04</v>
      </c>
      <c r="I74" s="480"/>
      <c r="J74" s="552">
        <f>H74/DAY(B2)</f>
        <v>-2968.6910344827584</v>
      </c>
      <c r="K74" s="431"/>
      <c r="L74" s="377"/>
    </row>
    <row r="75" spans="1:12" ht="27.75">
      <c r="A75" s="1583" t="s">
        <v>193</v>
      </c>
      <c r="B75" s="1584"/>
      <c r="C75" s="1585"/>
      <c r="D75" s="523" t="s">
        <v>186</v>
      </c>
      <c r="E75" s="763">
        <f>'28'!F75</f>
        <v>12505</v>
      </c>
      <c r="F75" s="748">
        <v>12561</v>
      </c>
      <c r="G75" s="473">
        <f t="shared" si="6"/>
        <v>56</v>
      </c>
      <c r="H75" s="460">
        <f>G75+'28'!H75</f>
        <v>-108</v>
      </c>
      <c r="I75" s="480"/>
      <c r="J75" s="552">
        <f>H75/DAY(B2)</f>
        <v>-3.7241379310344827</v>
      </c>
      <c r="K75" s="430"/>
      <c r="L75" s="377"/>
    </row>
    <row r="76" spans="1:12" ht="27.75">
      <c r="A76" s="1583" t="s">
        <v>194</v>
      </c>
      <c r="B76" s="1584"/>
      <c r="C76" s="1585"/>
      <c r="D76" s="523" t="s">
        <v>186</v>
      </c>
      <c r="E76" s="763">
        <f>'28'!F76</f>
        <v>7250</v>
      </c>
      <c r="F76" s="748">
        <v>7308</v>
      </c>
      <c r="G76" s="473">
        <f t="shared" si="6"/>
        <v>58</v>
      </c>
      <c r="H76" s="460">
        <f>G76+'28'!H76</f>
        <v>102</v>
      </c>
      <c r="I76" s="505"/>
      <c r="J76" s="552">
        <f>H76/DAY(B2)</f>
        <v>3.5172413793103448</v>
      </c>
      <c r="K76" s="430"/>
      <c r="L76" s="377"/>
    </row>
    <row r="77" spans="1:12" ht="27.75">
      <c r="A77" s="1534" t="s">
        <v>195</v>
      </c>
      <c r="B77" s="1535"/>
      <c r="C77" s="1536"/>
      <c r="D77" s="523" t="s">
        <v>186</v>
      </c>
      <c r="E77" s="763">
        <f>'28'!F77</f>
        <v>702712</v>
      </c>
      <c r="F77" s="748">
        <v>702750</v>
      </c>
      <c r="G77" s="653">
        <f t="shared" si="6"/>
        <v>38</v>
      </c>
      <c r="H77" s="460">
        <f>G77+'28'!H77</f>
        <v>-89</v>
      </c>
      <c r="I77" s="505"/>
      <c r="J77" s="552">
        <f>H77/DAY(B2)</f>
        <v>-3.0689655172413794</v>
      </c>
      <c r="K77" s="430"/>
      <c r="L77" s="377"/>
    </row>
    <row r="78" spans="1:12" ht="27.75">
      <c r="A78" s="1144" t="s">
        <v>196</v>
      </c>
      <c r="B78" s="1117"/>
      <c r="C78" s="1117"/>
      <c r="D78" s="523" t="s">
        <v>186</v>
      </c>
      <c r="E78" s="763">
        <f>'28'!F78</f>
        <v>672565</v>
      </c>
      <c r="F78" s="748">
        <v>672760</v>
      </c>
      <c r="G78" s="653">
        <f t="shared" si="6"/>
        <v>195</v>
      </c>
      <c r="H78" s="460">
        <f>G78+'28'!H78</f>
        <v>-272</v>
      </c>
      <c r="I78" s="505"/>
      <c r="J78" s="552">
        <f>H78/DAY(B2)</f>
        <v>-9.3793103448275854</v>
      </c>
      <c r="K78" s="430"/>
      <c r="L78" s="377"/>
    </row>
    <row r="79" spans="1:12" ht="27.75">
      <c r="A79" s="1583" t="s">
        <v>91</v>
      </c>
      <c r="B79" s="1584"/>
      <c r="C79" s="1585"/>
      <c r="D79" s="524" t="s">
        <v>186</v>
      </c>
      <c r="E79" s="763">
        <f>'28'!F79</f>
        <v>830553</v>
      </c>
      <c r="F79" s="749">
        <v>830691</v>
      </c>
      <c r="G79" s="473">
        <f t="shared" si="6"/>
        <v>138</v>
      </c>
      <c r="H79" s="460">
        <f>G79+'28'!H79</f>
        <v>-1331</v>
      </c>
      <c r="I79" s="505"/>
      <c r="J79" s="552">
        <f>H79/DAY(B2)</f>
        <v>-45.896551724137929</v>
      </c>
      <c r="K79" s="430"/>
      <c r="L79" s="377"/>
    </row>
    <row r="80" spans="1:12" ht="27.75">
      <c r="A80" s="1583" t="s">
        <v>197</v>
      </c>
      <c r="B80" s="1584"/>
      <c r="C80" s="1585"/>
      <c r="D80" s="524" t="s">
        <v>186</v>
      </c>
      <c r="E80" s="763">
        <f>'28'!F80</f>
        <v>526526</v>
      </c>
      <c r="F80" s="748">
        <v>526918</v>
      </c>
      <c r="G80" s="473">
        <f t="shared" si="6"/>
        <v>392</v>
      </c>
      <c r="H80" s="460">
        <f>G80+'28'!H80</f>
        <v>-3627.5200000000186</v>
      </c>
      <c r="I80" s="505"/>
      <c r="J80" s="552">
        <f>H80/DAY(B2)</f>
        <v>-125.08689655172478</v>
      </c>
      <c r="K80" s="430"/>
      <c r="L80" s="377"/>
    </row>
    <row r="81" spans="1:15" ht="27.75">
      <c r="A81" s="1583" t="s">
        <v>198</v>
      </c>
      <c r="B81" s="1584"/>
      <c r="C81" s="1585"/>
      <c r="D81" s="524" t="s">
        <v>186</v>
      </c>
      <c r="E81" s="763">
        <f>'28'!F81</f>
        <v>638625</v>
      </c>
      <c r="F81" s="748">
        <v>638711</v>
      </c>
      <c r="G81" s="473">
        <f t="shared" si="6"/>
        <v>86</v>
      </c>
      <c r="H81" s="460">
        <f>G81+'28'!H81</f>
        <v>-187</v>
      </c>
      <c r="I81" s="505"/>
      <c r="J81" s="552">
        <f>H81/DAY(B2)</f>
        <v>-6.4482758620689653</v>
      </c>
      <c r="K81" s="430"/>
      <c r="L81" s="377"/>
    </row>
    <row r="82" spans="1:15" ht="27.75">
      <c r="A82" s="1583" t="s">
        <v>92</v>
      </c>
      <c r="B82" s="1584"/>
      <c r="C82" s="1585"/>
      <c r="D82" s="485" t="s">
        <v>131</v>
      </c>
      <c r="E82" s="763">
        <f>'28'!F82</f>
        <v>108112</v>
      </c>
      <c r="F82" s="745">
        <v>108123</v>
      </c>
      <c r="G82" s="473">
        <f t="shared" si="6"/>
        <v>11</v>
      </c>
      <c r="H82" s="460">
        <f>G82+'28'!H82</f>
        <v>-35</v>
      </c>
      <c r="I82" s="486"/>
      <c r="J82" s="552">
        <f>H82/DAY(B2)</f>
        <v>-1.2068965517241379</v>
      </c>
      <c r="K82" s="430"/>
      <c r="L82" s="377"/>
    </row>
    <row r="83" spans="1:15" ht="27.75">
      <c r="A83" s="1583" t="s">
        <v>199</v>
      </c>
      <c r="B83" s="1584"/>
      <c r="C83" s="1585"/>
      <c r="D83" s="620" t="s">
        <v>131</v>
      </c>
      <c r="E83" s="763">
        <f>'28'!F83</f>
        <v>19920</v>
      </c>
      <c r="F83" s="470">
        <v>20089</v>
      </c>
      <c r="G83" s="473">
        <f t="shared" si="6"/>
        <v>169</v>
      </c>
      <c r="H83" s="460">
        <f>G83+'28'!H83</f>
        <v>-417</v>
      </c>
      <c r="I83" s="481"/>
      <c r="J83" s="552">
        <f>H83/DAY(B2)</f>
        <v>-14.379310344827585</v>
      </c>
      <c r="K83" s="429"/>
      <c r="L83" s="377"/>
    </row>
    <row r="84" spans="1:15">
      <c r="A84" s="1145" t="s">
        <v>200</v>
      </c>
      <c r="B84" s="571"/>
      <c r="C84" s="571"/>
      <c r="D84" s="478" t="s">
        <v>131</v>
      </c>
      <c r="E84" s="763">
        <f>'28'!F84</f>
        <v>497815</v>
      </c>
      <c r="F84" s="706">
        <v>498687</v>
      </c>
      <c r="G84" s="473">
        <f t="shared" si="6"/>
        <v>872</v>
      </c>
      <c r="H84" s="460">
        <f>G84+'28'!H84</f>
        <v>-1607</v>
      </c>
      <c r="I84" s="481"/>
      <c r="J84" s="552">
        <f>H84/DAY(B2)</f>
        <v>-55.413793103448278</v>
      </c>
      <c r="K84" s="380"/>
      <c r="L84" s="377"/>
    </row>
    <row r="85" spans="1:15" s="379" customFormat="1">
      <c r="A85" s="605" t="s">
        <v>201</v>
      </c>
      <c r="B85" s="572"/>
      <c r="C85" s="572"/>
      <c r="D85" s="489"/>
      <c r="E85" s="706">
        <f>'28'!F85</f>
        <v>0</v>
      </c>
      <c r="F85" s="460"/>
      <c r="G85" s="460">
        <f xml:space="preserve"> SUM(G72:G84)</f>
        <v>2034</v>
      </c>
      <c r="H85" s="460">
        <f>G85+'28'!H85</f>
        <v>-90005.04</v>
      </c>
      <c r="I85" s="481"/>
      <c r="J85" s="552">
        <f>H85/DAY(B2)</f>
        <v>-3103.622068965517</v>
      </c>
      <c r="K85" s="380"/>
      <c r="L85" s="378"/>
      <c r="N85" s="770"/>
      <c r="O85" s="770"/>
    </row>
    <row r="86" spans="1:15" s="736" customFormat="1">
      <c r="A86" s="731" t="s">
        <v>93</v>
      </c>
      <c r="B86" s="732"/>
      <c r="C86" s="732"/>
      <c r="D86" s="733" t="s">
        <v>182</v>
      </c>
      <c r="E86" s="706">
        <f>'28'!F86</f>
        <v>460836</v>
      </c>
      <c r="F86" s="750">
        <v>460871</v>
      </c>
      <c r="G86" s="706">
        <f t="shared" ref="G86:G91" si="7">F86-E86</f>
        <v>35</v>
      </c>
      <c r="H86" s="706">
        <f t="shared" ref="H86:H88" si="8">G86</f>
        <v>35</v>
      </c>
      <c r="I86" s="653"/>
      <c r="J86" s="708">
        <f>H86/DAY(B2)</f>
        <v>1.2068965517241379</v>
      </c>
      <c r="K86" s="734"/>
      <c r="L86" s="735"/>
      <c r="N86" s="771"/>
      <c r="O86" s="771"/>
    </row>
    <row r="87" spans="1:15" s="736" customFormat="1">
      <c r="A87" s="731" t="s">
        <v>94</v>
      </c>
      <c r="B87" s="732"/>
      <c r="C87" s="732"/>
      <c r="D87" s="733" t="s">
        <v>182</v>
      </c>
      <c r="E87" s="706">
        <f>'28'!F87</f>
        <v>81325</v>
      </c>
      <c r="F87" s="750">
        <v>81340</v>
      </c>
      <c r="G87" s="706">
        <f t="shared" si="7"/>
        <v>15</v>
      </c>
      <c r="H87" s="706">
        <f t="shared" si="8"/>
        <v>15</v>
      </c>
      <c r="I87" s="653"/>
      <c r="J87" s="708">
        <f>H87/DAY(B2)</f>
        <v>0.51724137931034486</v>
      </c>
      <c r="K87" s="734"/>
      <c r="L87" s="735"/>
      <c r="N87" s="771"/>
      <c r="O87" s="771"/>
    </row>
    <row r="88" spans="1:15" s="736" customFormat="1">
      <c r="A88" s="731" t="s">
        <v>95</v>
      </c>
      <c r="B88" s="732"/>
      <c r="C88" s="732"/>
      <c r="D88" s="733" t="s">
        <v>182</v>
      </c>
      <c r="E88" s="706">
        <f>'28'!F88</f>
        <v>152923</v>
      </c>
      <c r="F88" s="750">
        <v>152946</v>
      </c>
      <c r="G88" s="706">
        <f t="shared" si="7"/>
        <v>23</v>
      </c>
      <c r="H88" s="706">
        <f t="shared" si="8"/>
        <v>23</v>
      </c>
      <c r="I88" s="653"/>
      <c r="J88" s="708">
        <f>H88/DAY(B2)</f>
        <v>0.7931034482758621</v>
      </c>
      <c r="K88" s="734"/>
      <c r="L88" s="735"/>
      <c r="N88" s="771">
        <f>122+359</f>
        <v>481</v>
      </c>
      <c r="O88" s="771"/>
    </row>
    <row r="89" spans="1:15" s="736" customFormat="1">
      <c r="A89" s="731" t="s">
        <v>203</v>
      </c>
      <c r="B89" s="732"/>
      <c r="C89" s="732"/>
      <c r="D89" s="733" t="s">
        <v>182</v>
      </c>
      <c r="E89" s="706">
        <f>'28'!F89</f>
        <v>65142</v>
      </c>
      <c r="F89" s="648">
        <v>65153</v>
      </c>
      <c r="G89" s="706">
        <f t="shared" si="7"/>
        <v>11</v>
      </c>
      <c r="H89" s="706">
        <f>G89</f>
        <v>11</v>
      </c>
      <c r="I89" s="653"/>
      <c r="J89" s="708">
        <f>H89/DAY(B2)</f>
        <v>0.37931034482758619</v>
      </c>
      <c r="K89" s="734"/>
      <c r="L89" s="735"/>
    </row>
    <row r="90" spans="1:15" s="736" customFormat="1">
      <c r="A90" s="731" t="s">
        <v>203</v>
      </c>
      <c r="B90" s="732"/>
      <c r="C90" s="732"/>
      <c r="D90" s="733" t="s">
        <v>182</v>
      </c>
      <c r="E90" s="706">
        <f>'28'!F90</f>
        <v>3274</v>
      </c>
      <c r="F90" s="648">
        <v>3274</v>
      </c>
      <c r="G90" s="706">
        <f t="shared" si="7"/>
        <v>0</v>
      </c>
      <c r="H90" s="706">
        <f>G90</f>
        <v>0</v>
      </c>
      <c r="I90" s="653"/>
      <c r="J90" s="708">
        <f>H90/DAY(B2)</f>
        <v>0</v>
      </c>
      <c r="K90" s="734"/>
      <c r="L90" s="735"/>
    </row>
    <row r="91" spans="1:15" s="736" customFormat="1">
      <c r="A91" s="731" t="s">
        <v>350</v>
      </c>
      <c r="B91" s="732"/>
      <c r="C91" s="732"/>
      <c r="D91" s="733"/>
      <c r="E91" s="706">
        <f>'28'!F91</f>
        <v>28010</v>
      </c>
      <c r="F91" s="648">
        <v>28014</v>
      </c>
      <c r="G91" s="706">
        <f t="shared" si="7"/>
        <v>4</v>
      </c>
      <c r="H91" s="706">
        <f>G91</f>
        <v>4</v>
      </c>
      <c r="I91" s="653"/>
      <c r="J91" s="708"/>
      <c r="K91" s="734"/>
      <c r="L91" s="735"/>
      <c r="N91" s="778"/>
      <c r="O91" s="382"/>
    </row>
    <row r="92" spans="1:15" s="379" customFormat="1">
      <c r="A92" s="606" t="s">
        <v>204</v>
      </c>
      <c r="B92" s="1147"/>
      <c r="C92" s="1147"/>
      <c r="D92" s="472"/>
      <c r="E92" s="739"/>
      <c r="F92" s="739"/>
      <c r="G92" s="488"/>
      <c r="H92" s="472"/>
      <c r="I92" s="472"/>
      <c r="J92" s="551"/>
      <c r="K92" s="380"/>
      <c r="L92" s="378"/>
      <c r="N92" s="770"/>
      <c r="O92" s="770"/>
    </row>
    <row r="93" spans="1:15" ht="27.75">
      <c r="A93" s="1537" t="s">
        <v>205</v>
      </c>
      <c r="B93" s="1538"/>
      <c r="C93" s="1539"/>
      <c r="D93" s="523" t="s">
        <v>143</v>
      </c>
      <c r="E93" s="759">
        <f>'28'!F93</f>
        <v>245339</v>
      </c>
      <c r="F93" s="738">
        <v>245378</v>
      </c>
      <c r="G93" s="473">
        <f>F93-E93</f>
        <v>39</v>
      </c>
      <c r="H93" s="460">
        <f>G93+'28'!H93</f>
        <v>-110</v>
      </c>
      <c r="I93" s="480"/>
      <c r="J93" s="552">
        <f>H93/DAY(B2)</f>
        <v>-3.7931034482758621</v>
      </c>
      <c r="K93" s="429"/>
      <c r="L93" s="377"/>
    </row>
    <row r="94" spans="1:15" ht="27.75">
      <c r="A94" s="1537" t="s">
        <v>206</v>
      </c>
      <c r="B94" s="1538"/>
      <c r="C94" s="1539"/>
      <c r="D94" s="523" t="s">
        <v>143</v>
      </c>
      <c r="E94" s="759">
        <f>'28'!F94</f>
        <v>185862</v>
      </c>
      <c r="F94" s="738">
        <v>185930</v>
      </c>
      <c r="G94" s="473">
        <f>F94-E94</f>
        <v>68</v>
      </c>
      <c r="H94" s="460">
        <f>G94+'28'!H94</f>
        <v>-191</v>
      </c>
      <c r="I94" s="480"/>
      <c r="J94" s="552">
        <f>H94/DAY(B2)</f>
        <v>-6.5862068965517242</v>
      </c>
      <c r="K94" s="380"/>
      <c r="L94" s="377"/>
    </row>
    <row r="95" spans="1:15">
      <c r="A95" s="1531" t="s">
        <v>207</v>
      </c>
      <c r="B95" s="1532"/>
      <c r="C95" s="1533"/>
      <c r="D95" s="523"/>
      <c r="E95" s="759"/>
      <c r="F95" s="738">
        <v>3</v>
      </c>
      <c r="G95" s="473">
        <f>G93+G94</f>
        <v>107</v>
      </c>
      <c r="H95" s="460">
        <f>G95+'28'!H95</f>
        <v>-377</v>
      </c>
      <c r="I95" s="480"/>
      <c r="J95" s="552">
        <f>H95/DAY(B2)</f>
        <v>-13</v>
      </c>
      <c r="K95" s="380"/>
      <c r="L95" s="377"/>
    </row>
    <row r="96" spans="1:15" ht="27.75">
      <c r="A96" s="1537" t="s">
        <v>208</v>
      </c>
      <c r="B96" s="1538"/>
      <c r="C96" s="1539"/>
      <c r="D96" s="523" t="s">
        <v>143</v>
      </c>
      <c r="E96" s="759">
        <f>'28'!F96</f>
        <v>414145</v>
      </c>
      <c r="F96" s="738">
        <v>414191</v>
      </c>
      <c r="G96" s="473">
        <f t="shared" ref="G96:G101" si="9">F96-E96</f>
        <v>46</v>
      </c>
      <c r="H96" s="460">
        <f>G96+'28'!H96</f>
        <v>-92</v>
      </c>
      <c r="I96" s="480"/>
      <c r="J96" s="552">
        <f>H96/DAY(B2)</f>
        <v>-3.1724137931034484</v>
      </c>
      <c r="K96" s="380"/>
      <c r="L96" s="377"/>
    </row>
    <row r="97" spans="1:15" ht="27.75">
      <c r="A97" s="1141" t="s">
        <v>209</v>
      </c>
      <c r="B97" s="1142"/>
      <c r="C97" s="1142"/>
      <c r="D97" s="523" t="s">
        <v>143</v>
      </c>
      <c r="E97" s="759">
        <f>'28'!F97</f>
        <v>102614</v>
      </c>
      <c r="F97" s="738">
        <v>102623</v>
      </c>
      <c r="G97" s="473">
        <f t="shared" si="9"/>
        <v>9</v>
      </c>
      <c r="H97" s="460">
        <f>G97+'28'!H97</f>
        <v>-25</v>
      </c>
      <c r="I97" s="480"/>
      <c r="J97" s="552">
        <f>H97/DAY(B2)</f>
        <v>-0.86206896551724133</v>
      </c>
      <c r="K97" s="427"/>
      <c r="L97" s="377"/>
    </row>
    <row r="98" spans="1:15" ht="27.75">
      <c r="A98" s="1141" t="s">
        <v>210</v>
      </c>
      <c r="B98" s="1142"/>
      <c r="C98" s="1142"/>
      <c r="D98" s="523" t="s">
        <v>143</v>
      </c>
      <c r="E98" s="759">
        <f>'28'!F98</f>
        <v>97862</v>
      </c>
      <c r="F98" s="738">
        <v>97897</v>
      </c>
      <c r="G98" s="473">
        <f t="shared" si="9"/>
        <v>35</v>
      </c>
      <c r="H98" s="460">
        <f>G98+'28'!H98</f>
        <v>-53</v>
      </c>
      <c r="I98" s="480"/>
      <c r="J98" s="552">
        <f>H98/DAY(B2)</f>
        <v>-1.8275862068965518</v>
      </c>
      <c r="K98" s="432"/>
      <c r="L98" s="377"/>
    </row>
    <row r="99" spans="1:15" ht="27.75">
      <c r="A99" s="1141" t="s">
        <v>211</v>
      </c>
      <c r="B99" s="1142"/>
      <c r="C99" s="1142"/>
      <c r="D99" s="523" t="s">
        <v>143</v>
      </c>
      <c r="E99" s="759">
        <f>'28'!F99</f>
        <v>149842</v>
      </c>
      <c r="F99" s="738">
        <v>149846</v>
      </c>
      <c r="G99" s="473">
        <f t="shared" si="9"/>
        <v>4</v>
      </c>
      <c r="H99" s="460">
        <f>G99+'28'!H99</f>
        <v>-6</v>
      </c>
      <c r="I99" s="480"/>
      <c r="J99" s="552">
        <f>H99/DAY(B2)</f>
        <v>-0.20689655172413793</v>
      </c>
      <c r="K99" s="380"/>
      <c r="L99" s="377"/>
    </row>
    <row r="100" spans="1:15" ht="27.75">
      <c r="A100" s="1141" t="s">
        <v>212</v>
      </c>
      <c r="B100" s="1142"/>
      <c r="C100" s="1142"/>
      <c r="D100" s="523" t="s">
        <v>143</v>
      </c>
      <c r="E100" s="759">
        <f>'28'!F100</f>
        <v>7351</v>
      </c>
      <c r="F100" s="738">
        <v>7356</v>
      </c>
      <c r="G100" s="473">
        <f t="shared" si="9"/>
        <v>5</v>
      </c>
      <c r="H100" s="460">
        <f>G100+'28'!H100</f>
        <v>-13</v>
      </c>
      <c r="I100" s="480"/>
      <c r="J100" s="552">
        <f>H100/DAY(B2)</f>
        <v>-0.44827586206896552</v>
      </c>
      <c r="K100" s="380"/>
      <c r="L100" s="377"/>
    </row>
    <row r="101" spans="1:15" ht="27.75">
      <c r="A101" s="1141" t="s">
        <v>213</v>
      </c>
      <c r="B101" s="1142"/>
      <c r="C101" s="1142"/>
      <c r="D101" s="523" t="s">
        <v>143</v>
      </c>
      <c r="E101" s="759">
        <f>'28'!F101</f>
        <v>5360</v>
      </c>
      <c r="F101" s="738">
        <v>5372</v>
      </c>
      <c r="G101" s="473">
        <f t="shared" si="9"/>
        <v>12</v>
      </c>
      <c r="H101" s="460">
        <f>G101+'28'!H101</f>
        <v>-19</v>
      </c>
      <c r="I101" s="480"/>
      <c r="J101" s="552">
        <f>H101/DAY(B2)</f>
        <v>-0.65517241379310343</v>
      </c>
      <c r="K101" s="380"/>
      <c r="L101" s="377"/>
    </row>
    <row r="102" spans="1:15">
      <c r="A102" s="1531" t="s">
        <v>215</v>
      </c>
      <c r="B102" s="1532"/>
      <c r="C102" s="1533"/>
      <c r="D102" s="524"/>
      <c r="E102" s="486"/>
      <c r="F102" s="486"/>
      <c r="G102" s="525">
        <f>SUM(G96:G101)</f>
        <v>111</v>
      </c>
      <c r="H102" s="460">
        <f>G102+'28'!H102</f>
        <v>-208</v>
      </c>
      <c r="I102" s="526"/>
      <c r="J102" s="552">
        <f>H102/DAY(B2)</f>
        <v>-7.1724137931034484</v>
      </c>
      <c r="K102" s="380"/>
      <c r="L102" s="377"/>
    </row>
    <row r="103" spans="1:15" s="442" customFormat="1" ht="27">
      <c r="A103" s="607" t="s">
        <v>216</v>
      </c>
      <c r="B103" s="608"/>
      <c r="C103" s="608"/>
      <c r="D103" s="621"/>
      <c r="E103" s="765"/>
      <c r="F103" s="751"/>
      <c r="G103" s="529"/>
      <c r="H103" s="530"/>
      <c r="I103" s="531"/>
      <c r="J103" s="557"/>
      <c r="N103" s="770"/>
      <c r="O103" s="770"/>
    </row>
    <row r="104" spans="1:15" s="442" customFormat="1" ht="27">
      <c r="A104" s="1540" t="s">
        <v>217</v>
      </c>
      <c r="B104" s="1541"/>
      <c r="C104" s="573"/>
      <c r="D104" s="622"/>
      <c r="E104" s="533"/>
      <c r="F104" s="752"/>
      <c r="G104" s="532"/>
      <c r="H104" s="533"/>
      <c r="I104" s="532"/>
      <c r="J104" s="558"/>
      <c r="N104" s="770"/>
      <c r="O104" s="770"/>
    </row>
    <row r="105" spans="1:15" s="442" customFormat="1" ht="27">
      <c r="A105" s="1542" t="s">
        <v>218</v>
      </c>
      <c r="B105" s="1543"/>
      <c r="C105" s="1140"/>
      <c r="D105" s="622" t="s">
        <v>143</v>
      </c>
      <c r="E105" s="533">
        <f>'28'!F105</f>
        <v>7484</v>
      </c>
      <c r="F105" s="752">
        <v>7484</v>
      </c>
      <c r="G105" s="532">
        <f>F105-E105</f>
        <v>0</v>
      </c>
      <c r="H105" s="533">
        <f>SUM(G105+'1'!G76)</f>
        <v>57</v>
      </c>
      <c r="I105" s="532"/>
      <c r="J105" s="558">
        <f>H105/DAY(B2)</f>
        <v>1.9655172413793103</v>
      </c>
      <c r="N105" s="770"/>
      <c r="O105" s="770"/>
    </row>
    <row r="106" spans="1:15" s="442" customFormat="1" ht="27">
      <c r="A106" s="1542" t="s">
        <v>76</v>
      </c>
      <c r="B106" s="1543"/>
      <c r="C106" s="1140"/>
      <c r="D106" s="622" t="s">
        <v>143</v>
      </c>
      <c r="E106" s="533">
        <f>'28'!F106</f>
        <v>35938</v>
      </c>
      <c r="F106" s="661">
        <v>35938</v>
      </c>
      <c r="G106" s="532">
        <f t="shared" ref="G106:G107" si="10">F106-E106</f>
        <v>0</v>
      </c>
      <c r="H106" s="533">
        <f>SUM(G106+'1'!G77)</f>
        <v>49</v>
      </c>
      <c r="I106" s="532"/>
      <c r="J106" s="558">
        <f>H106/DAY(B2)</f>
        <v>1.6896551724137931</v>
      </c>
      <c r="N106" s="770"/>
      <c r="O106" s="770"/>
    </row>
    <row r="107" spans="1:15" s="442" customFormat="1" ht="27">
      <c r="A107" s="1542" t="s">
        <v>77</v>
      </c>
      <c r="B107" s="1544"/>
      <c r="C107" s="1543"/>
      <c r="D107" s="622" t="s">
        <v>143</v>
      </c>
      <c r="E107" s="533">
        <f>'28'!F107</f>
        <v>19699</v>
      </c>
      <c r="F107" s="661">
        <v>19699</v>
      </c>
      <c r="G107" s="532">
        <f t="shared" si="10"/>
        <v>0</v>
      </c>
      <c r="H107" s="533">
        <f>SUM(G107+'1'!G78)</f>
        <v>55</v>
      </c>
      <c r="I107" s="532"/>
      <c r="J107" s="558">
        <f>H107/DAY(B2)</f>
        <v>1.896551724137931</v>
      </c>
      <c r="N107" s="770"/>
      <c r="O107" s="770"/>
    </row>
    <row r="108" spans="1:15" s="442" customFormat="1" ht="27">
      <c r="A108" s="1545" t="s">
        <v>201</v>
      </c>
      <c r="B108" s="1546"/>
      <c r="C108" s="1140"/>
      <c r="D108" s="622"/>
      <c r="E108" s="533">
        <f>'28'!F108</f>
        <v>0</v>
      </c>
      <c r="F108" s="661"/>
      <c r="G108" s="532">
        <f>SUM(G105:G107)</f>
        <v>0</v>
      </c>
      <c r="H108" s="533">
        <f>SUM(G108+'1'!G79)</f>
        <v>155</v>
      </c>
      <c r="I108" s="532"/>
      <c r="J108" s="558">
        <f>H108/DAY(B2)</f>
        <v>5.3448275862068968</v>
      </c>
      <c r="N108" s="770"/>
      <c r="O108" s="770"/>
    </row>
    <row r="109" spans="1:15" s="442" customFormat="1" ht="27">
      <c r="A109" s="1547" t="s">
        <v>78</v>
      </c>
      <c r="B109" s="1548"/>
      <c r="C109" s="1140"/>
      <c r="D109" s="622" t="s">
        <v>143</v>
      </c>
      <c r="E109" s="533">
        <f>'28'!F109</f>
        <v>0</v>
      </c>
      <c r="F109" s="661"/>
      <c r="G109" s="532"/>
      <c r="H109" s="533"/>
      <c r="I109" s="532"/>
      <c r="J109" s="558"/>
      <c r="N109" s="770"/>
      <c r="O109" s="770"/>
    </row>
    <row r="110" spans="1:15" s="442" customFormat="1" ht="27">
      <c r="A110" s="1542" t="s">
        <v>219</v>
      </c>
      <c r="B110" s="1543"/>
      <c r="C110" s="1140"/>
      <c r="D110" s="622" t="s">
        <v>143</v>
      </c>
      <c r="E110" s="533">
        <f>'28'!F110</f>
        <v>62645</v>
      </c>
      <c r="F110" s="661">
        <v>62711</v>
      </c>
      <c r="G110" s="532">
        <f>F110-E110</f>
        <v>66</v>
      </c>
      <c r="H110" s="533">
        <f>SUM(G110+'1'!G81)</f>
        <v>160</v>
      </c>
      <c r="I110" s="532"/>
      <c r="J110" s="558">
        <f>H110/DAY(B2)</f>
        <v>5.5172413793103452</v>
      </c>
      <c r="N110" s="770"/>
      <c r="O110" s="770"/>
    </row>
    <row r="111" spans="1:15" s="442" customFormat="1" ht="27">
      <c r="A111" s="1542" t="s">
        <v>220</v>
      </c>
      <c r="B111" s="1543"/>
      <c r="C111" s="1140"/>
      <c r="D111" s="622" t="s">
        <v>143</v>
      </c>
      <c r="E111" s="533">
        <f>'28'!F111</f>
        <v>32542</v>
      </c>
      <c r="F111" s="661">
        <v>32560</v>
      </c>
      <c r="G111" s="532">
        <f t="shared" ref="G111:G112" si="11">F111-E111</f>
        <v>18</v>
      </c>
      <c r="H111" s="533">
        <f>SUM(G111+'1'!G82)</f>
        <v>29</v>
      </c>
      <c r="I111" s="532"/>
      <c r="J111" s="558">
        <f>H111/DAY(B2)</f>
        <v>1</v>
      </c>
      <c r="N111" s="770"/>
      <c r="O111" s="770"/>
    </row>
    <row r="112" spans="1:15" s="442" customFormat="1" ht="27">
      <c r="A112" s="1542" t="s">
        <v>221</v>
      </c>
      <c r="B112" s="1543"/>
      <c r="C112" s="1140"/>
      <c r="D112" s="622" t="s">
        <v>143</v>
      </c>
      <c r="E112" s="533">
        <f>'28'!F112</f>
        <v>4559</v>
      </c>
      <c r="F112" s="661">
        <v>4576</v>
      </c>
      <c r="G112" s="534">
        <f t="shared" si="11"/>
        <v>17</v>
      </c>
      <c r="H112" s="533">
        <f>SUM(G112+'1'!G83)</f>
        <v>169</v>
      </c>
      <c r="I112" s="532"/>
      <c r="J112" s="558">
        <f>H112/DAY(B2)</f>
        <v>5.8275862068965516</v>
      </c>
      <c r="N112" s="770"/>
      <c r="O112" s="770"/>
    </row>
    <row r="113" spans="1:15" s="442" customFormat="1" ht="27">
      <c r="A113" s="1545" t="s">
        <v>109</v>
      </c>
      <c r="B113" s="1546"/>
      <c r="C113" s="1140"/>
      <c r="D113" s="622"/>
      <c r="E113" s="533">
        <f>'28'!F113</f>
        <v>0</v>
      </c>
      <c r="F113" s="661"/>
      <c r="G113" s="532">
        <f>SUM(G110:G112)</f>
        <v>101</v>
      </c>
      <c r="H113" s="533">
        <f>SUM(G113+'1'!G84)</f>
        <v>928</v>
      </c>
      <c r="I113" s="532"/>
      <c r="J113" s="558">
        <f>H113/DAY(B2)</f>
        <v>32</v>
      </c>
      <c r="N113" s="770"/>
      <c r="O113" s="770"/>
    </row>
    <row r="114" spans="1:15" s="442" customFormat="1" ht="27">
      <c r="A114" s="1547" t="s">
        <v>222</v>
      </c>
      <c r="B114" s="1548"/>
      <c r="C114" s="1140"/>
      <c r="D114" s="622"/>
      <c r="E114" s="533">
        <f>'28'!F114</f>
        <v>0</v>
      </c>
      <c r="F114" s="661"/>
      <c r="G114" s="532"/>
      <c r="H114" s="533"/>
      <c r="I114" s="532"/>
      <c r="J114" s="558">
        <f>H114/DAY(B2)</f>
        <v>0</v>
      </c>
      <c r="N114" s="770"/>
      <c r="O114" s="770"/>
    </row>
    <row r="115" spans="1:15" s="442" customFormat="1" ht="27">
      <c r="A115" s="1542" t="s">
        <v>223</v>
      </c>
      <c r="B115" s="1543"/>
      <c r="C115" s="574"/>
      <c r="D115" s="622" t="s">
        <v>143</v>
      </c>
      <c r="E115" s="533">
        <f>'28'!F115</f>
        <v>11473</v>
      </c>
      <c r="F115" s="661">
        <v>11480</v>
      </c>
      <c r="G115" s="534">
        <f>F115-E115</f>
        <v>7</v>
      </c>
      <c r="H115" s="533">
        <f>SUM(G115+'1'!G92)</f>
        <v>7</v>
      </c>
      <c r="I115" s="532"/>
      <c r="J115" s="558">
        <f>H115/DAY(B2)</f>
        <v>0.2413793103448276</v>
      </c>
      <c r="N115" s="770"/>
      <c r="O115" s="770"/>
    </row>
    <row r="116" spans="1:15" s="442" customFormat="1" ht="27">
      <c r="A116" s="1542" t="s">
        <v>224</v>
      </c>
      <c r="B116" s="1543"/>
      <c r="C116" s="574"/>
      <c r="D116" s="622" t="s">
        <v>143</v>
      </c>
      <c r="E116" s="533">
        <f>'28'!F116</f>
        <v>8289</v>
      </c>
      <c r="F116" s="661">
        <v>8295</v>
      </c>
      <c r="G116" s="534">
        <f t="shared" ref="G116:G117" si="12">F116-E116</f>
        <v>6</v>
      </c>
      <c r="H116" s="533">
        <f>SUM(G116+'1'!G93)</f>
        <v>24</v>
      </c>
      <c r="I116" s="532"/>
      <c r="J116" s="558">
        <f>H116/DAY(B2)</f>
        <v>0.82758620689655171</v>
      </c>
      <c r="N116" s="770"/>
      <c r="O116" s="770"/>
    </row>
    <row r="117" spans="1:15" s="442" customFormat="1" ht="27">
      <c r="A117" s="1542" t="s">
        <v>225</v>
      </c>
      <c r="B117" s="1543"/>
      <c r="C117" s="574"/>
      <c r="D117" s="622" t="s">
        <v>143</v>
      </c>
      <c r="E117" s="536"/>
      <c r="F117" s="661"/>
      <c r="G117" s="534">
        <f t="shared" si="12"/>
        <v>0</v>
      </c>
      <c r="H117" s="533">
        <f>SUM(G117+'1'!G94)</f>
        <v>58</v>
      </c>
      <c r="I117" s="532"/>
      <c r="J117" s="558">
        <f>H117/DAY(B2)</f>
        <v>2</v>
      </c>
      <c r="N117" s="770"/>
      <c r="O117" s="770"/>
    </row>
    <row r="118" spans="1:15" s="445" customFormat="1" ht="27">
      <c r="A118" s="1545" t="s">
        <v>201</v>
      </c>
      <c r="B118" s="1546"/>
      <c r="C118" s="574"/>
      <c r="D118" s="623"/>
      <c r="E118" s="536"/>
      <c r="F118" s="661"/>
      <c r="G118" s="534">
        <f>SUM(G115:G117)</f>
        <v>13</v>
      </c>
      <c r="H118" s="533">
        <f>SUM(G118+'1'!G96)</f>
        <v>53</v>
      </c>
      <c r="I118" s="534"/>
      <c r="J118" s="558">
        <f>H118/DAY(B2)</f>
        <v>1.8275862068965518</v>
      </c>
      <c r="N118" s="770"/>
      <c r="O118" s="771"/>
    </row>
    <row r="119" spans="1:15" s="446" customFormat="1" ht="27">
      <c r="A119" s="1576" t="s">
        <v>226</v>
      </c>
      <c r="B119" s="1577"/>
      <c r="C119" s="1138"/>
      <c r="D119" s="624" t="s">
        <v>143</v>
      </c>
      <c r="E119" s="536"/>
      <c r="F119" s="661"/>
      <c r="G119" s="536">
        <f>SUM(G19+G93)</f>
        <v>96</v>
      </c>
      <c r="H119" s="533">
        <f>SUM(G119+'1'!G97)</f>
        <v>109</v>
      </c>
      <c r="I119" s="535"/>
      <c r="J119" s="559">
        <f>H119/DAY(B2)</f>
        <v>3.7586206896551726</v>
      </c>
      <c r="N119" s="770"/>
      <c r="O119" s="771"/>
    </row>
    <row r="120" spans="1:15" s="446" customFormat="1" ht="27">
      <c r="A120" s="1576" t="s">
        <v>227</v>
      </c>
      <c r="B120" s="1577"/>
      <c r="C120" s="1138"/>
      <c r="D120" s="624" t="s">
        <v>143</v>
      </c>
      <c r="E120" s="536"/>
      <c r="F120" s="661"/>
      <c r="G120" s="536">
        <f>SUM(G96,G97,G98,G100,G101)</f>
        <v>107</v>
      </c>
      <c r="H120" s="533">
        <f>SUM(G120+'1'!G99)</f>
        <v>114</v>
      </c>
      <c r="I120" s="535"/>
      <c r="J120" s="559">
        <f>H120/DAY(B2)</f>
        <v>3.9310344827586206</v>
      </c>
      <c r="N120" s="770"/>
      <c r="O120" s="771"/>
    </row>
    <row r="121" spans="1:15" s="446" customFormat="1" ht="27">
      <c r="A121" s="1576" t="s">
        <v>228</v>
      </c>
      <c r="B121" s="1577"/>
      <c r="C121" s="1138"/>
      <c r="D121" s="624" t="s">
        <v>143</v>
      </c>
      <c r="E121" s="536"/>
      <c r="F121" s="661"/>
      <c r="G121" s="534">
        <f>SUM(G113)</f>
        <v>101</v>
      </c>
      <c r="H121" s="533">
        <f>SUM(G121+'1'!G101)</f>
        <v>105</v>
      </c>
      <c r="I121" s="535"/>
      <c r="J121" s="559">
        <f>H121/DAY(B2)</f>
        <v>3.6206896551724137</v>
      </c>
      <c r="N121" s="770"/>
      <c r="O121" s="771"/>
    </row>
    <row r="122" spans="1:15" s="442" customFormat="1" ht="27">
      <c r="A122" s="1578"/>
      <c r="B122" s="1579"/>
      <c r="C122" s="1139"/>
      <c r="D122" s="560"/>
      <c r="E122" s="766"/>
      <c r="F122" s="753"/>
      <c r="G122" s="560"/>
      <c r="H122" s="561"/>
      <c r="I122" s="560"/>
      <c r="J122" s="562"/>
      <c r="N122" s="770"/>
      <c r="O122" s="770"/>
    </row>
    <row r="123" spans="1:15">
      <c r="A123" s="1528" t="s">
        <v>229</v>
      </c>
      <c r="B123" s="1529"/>
      <c r="C123" s="1530"/>
      <c r="D123" s="472"/>
      <c r="E123" s="739"/>
      <c r="F123" s="739"/>
      <c r="G123" s="483"/>
      <c r="H123" s="483"/>
      <c r="I123" s="483"/>
      <c r="J123" s="563"/>
      <c r="K123" s="380"/>
      <c r="L123" s="377"/>
    </row>
    <row r="124" spans="1:15" ht="27.75">
      <c r="A124" s="1141" t="s">
        <v>230</v>
      </c>
      <c r="B124" s="1142"/>
      <c r="C124" s="1142"/>
      <c r="D124" s="523" t="s">
        <v>140</v>
      </c>
      <c r="E124" s="738">
        <f>'28'!F124</f>
        <v>831775</v>
      </c>
      <c r="F124" s="738">
        <v>831972</v>
      </c>
      <c r="G124" s="473">
        <f t="shared" ref="G124:G128" si="13">F124-E124</f>
        <v>197</v>
      </c>
      <c r="H124" s="460">
        <f>G124+'28'!H124</f>
        <v>-394</v>
      </c>
      <c r="I124" s="526"/>
      <c r="J124" s="552">
        <f>H124/DAY(B2)</f>
        <v>-13.586206896551724</v>
      </c>
      <c r="K124" s="380"/>
      <c r="L124" s="377"/>
    </row>
    <row r="125" spans="1:15" ht="27.75">
      <c r="A125" s="1141" t="s">
        <v>231</v>
      </c>
      <c r="B125" s="1142"/>
      <c r="C125" s="1142"/>
      <c r="D125" s="523" t="s">
        <v>140</v>
      </c>
      <c r="E125" s="738">
        <f>'28'!F125</f>
        <v>73583.399999999994</v>
      </c>
      <c r="F125" s="754">
        <v>73583</v>
      </c>
      <c r="G125" s="473">
        <f t="shared" si="13"/>
        <v>-0.39999999999417923</v>
      </c>
      <c r="H125" s="460">
        <f>G125+'28'!H125</f>
        <v>-0.39999999999417923</v>
      </c>
      <c r="I125" s="526"/>
      <c r="J125" s="552">
        <f>H125/DAY(B2)</f>
        <v>-1.3793103448075146E-2</v>
      </c>
      <c r="K125" s="380"/>
      <c r="L125" s="377"/>
    </row>
    <row r="126" spans="1:15" ht="27.75">
      <c r="A126" s="1534" t="s">
        <v>232</v>
      </c>
      <c r="B126" s="1535"/>
      <c r="C126" s="1536"/>
      <c r="D126" s="523" t="s">
        <v>140</v>
      </c>
      <c r="E126" s="738">
        <f>'28'!F126</f>
        <v>146302</v>
      </c>
      <c r="F126" s="738">
        <v>146368</v>
      </c>
      <c r="G126" s="473">
        <f t="shared" si="13"/>
        <v>66</v>
      </c>
      <c r="H126" s="460">
        <f>G126+'28'!H126</f>
        <v>-123</v>
      </c>
      <c r="I126" s="526"/>
      <c r="J126" s="552">
        <f>H126/DAY(B2)</f>
        <v>-4.2413793103448274</v>
      </c>
      <c r="K126" s="380"/>
      <c r="L126" s="377"/>
    </row>
    <row r="127" spans="1:15" ht="27.75">
      <c r="A127" s="609" t="s">
        <v>233</v>
      </c>
      <c r="B127" s="1142"/>
      <c r="C127" s="1142"/>
      <c r="D127" s="523" t="s">
        <v>140</v>
      </c>
      <c r="E127" s="738">
        <f>'28'!F127</f>
        <v>31404</v>
      </c>
      <c r="F127" s="754">
        <v>31404</v>
      </c>
      <c r="G127" s="473">
        <f t="shared" si="13"/>
        <v>0</v>
      </c>
      <c r="H127" s="460">
        <f>G127+'28'!H127</f>
        <v>-2</v>
      </c>
      <c r="I127" s="526"/>
      <c r="J127" s="552">
        <f>H127/DAY(B2)</f>
        <v>-6.8965517241379309E-2</v>
      </c>
      <c r="K127" s="380"/>
      <c r="L127" s="377"/>
    </row>
    <row r="128" spans="1:15" ht="27.75">
      <c r="A128" s="609" t="s">
        <v>234</v>
      </c>
      <c r="B128" s="1142"/>
      <c r="C128" s="1142"/>
      <c r="D128" s="523" t="s">
        <v>140</v>
      </c>
      <c r="E128" s="738">
        <f>'28'!F128</f>
        <v>8971</v>
      </c>
      <c r="F128" s="754">
        <v>8971</v>
      </c>
      <c r="G128" s="473">
        <f t="shared" si="13"/>
        <v>0</v>
      </c>
      <c r="H128" s="460">
        <f>G128+'28'!H128</f>
        <v>-1</v>
      </c>
      <c r="I128" s="480"/>
      <c r="J128" s="552">
        <f>H128/DAY(B2)</f>
        <v>-3.4482758620689655E-2</v>
      </c>
      <c r="K128" s="380"/>
      <c r="L128" s="377"/>
    </row>
    <row r="129" spans="1:15" s="281" customFormat="1" ht="27">
      <c r="A129" s="609" t="s">
        <v>235</v>
      </c>
      <c r="B129" s="1142"/>
      <c r="C129" s="1142"/>
      <c r="D129" s="523"/>
      <c r="E129" s="738"/>
      <c r="F129" s="738"/>
      <c r="G129" s="473">
        <f>G15-SUM(G124:G128)</f>
        <v>287.39999999999418</v>
      </c>
      <c r="H129" s="460"/>
      <c r="I129" s="480"/>
      <c r="J129" s="552"/>
      <c r="K129" s="364"/>
      <c r="L129" s="292"/>
      <c r="N129" s="770"/>
      <c r="O129" s="770"/>
    </row>
    <row r="130" spans="1:15">
      <c r="A130" s="610" t="s">
        <v>236</v>
      </c>
      <c r="B130" s="458"/>
      <c r="C130" s="458"/>
      <c r="D130" s="471"/>
      <c r="E130" s="495"/>
      <c r="F130" s="495"/>
      <c r="G130" s="540"/>
      <c r="H130" s="540"/>
      <c r="I130" s="540"/>
      <c r="J130" s="564"/>
    </row>
    <row r="131" spans="1:15" ht="27.75">
      <c r="A131" s="1141" t="s">
        <v>237</v>
      </c>
      <c r="B131" s="1142"/>
      <c r="C131" s="1142"/>
      <c r="D131" s="523" t="s">
        <v>238</v>
      </c>
      <c r="E131" s="759">
        <f>'28'!F131</f>
        <v>0</v>
      </c>
      <c r="F131" s="738"/>
      <c r="G131" s="473">
        <f t="shared" ref="G131:G141" si="14">F131-E131</f>
        <v>0</v>
      </c>
      <c r="H131" s="460" t="e">
        <f>G131+'28'!H131</f>
        <v>#VALUE!</v>
      </c>
      <c r="I131" s="480"/>
      <c r="J131" s="552" t="e">
        <f>H131/DAY(B2)</f>
        <v>#VALUE!</v>
      </c>
    </row>
    <row r="132" spans="1:15" ht="27.75">
      <c r="A132" s="1141" t="s">
        <v>239</v>
      </c>
      <c r="B132" s="1142"/>
      <c r="C132" s="1142"/>
      <c r="D132" s="523" t="s">
        <v>238</v>
      </c>
      <c r="E132" s="759">
        <f>'28'!F132</f>
        <v>0</v>
      </c>
      <c r="F132" s="738"/>
      <c r="G132" s="473">
        <f t="shared" si="14"/>
        <v>0</v>
      </c>
      <c r="H132" s="460">
        <f>G132+'28'!H132</f>
        <v>0</v>
      </c>
      <c r="I132" s="480"/>
      <c r="J132" s="552">
        <f>H132/DAY(B2)</f>
        <v>0</v>
      </c>
    </row>
    <row r="133" spans="1:15" ht="27.75">
      <c r="A133" s="1141" t="s">
        <v>240</v>
      </c>
      <c r="B133" s="1142"/>
      <c r="C133" s="1142"/>
      <c r="D133" s="523" t="s">
        <v>238</v>
      </c>
      <c r="E133" s="768">
        <f>'28'!F133</f>
        <v>40059</v>
      </c>
      <c r="F133" s="754">
        <v>40059</v>
      </c>
      <c r="G133" s="473">
        <f t="shared" si="14"/>
        <v>0</v>
      </c>
      <c r="H133" s="460">
        <f>G133+'28'!H133</f>
        <v>23.900000000001455</v>
      </c>
      <c r="I133" s="480"/>
      <c r="J133" s="552">
        <f>H133/DAY(B2)</f>
        <v>0.82413793103453292</v>
      </c>
    </row>
    <row r="134" spans="1:15" ht="27.75">
      <c r="A134" s="1141" t="s">
        <v>241</v>
      </c>
      <c r="B134" s="1142"/>
      <c r="C134" s="1142"/>
      <c r="D134" s="523" t="s">
        <v>238</v>
      </c>
      <c r="E134" s="768">
        <f>'28'!F134</f>
        <v>300</v>
      </c>
      <c r="F134" s="754">
        <v>300</v>
      </c>
      <c r="G134" s="473">
        <f t="shared" si="14"/>
        <v>0</v>
      </c>
      <c r="H134" s="460">
        <f>G134+'28'!H134</f>
        <v>0</v>
      </c>
      <c r="I134" s="480">
        <f>G131+G132+G133+G134</f>
        <v>0</v>
      </c>
      <c r="J134" s="552">
        <f>H134/DAY(B2)</f>
        <v>0</v>
      </c>
    </row>
    <row r="135" spans="1:15" ht="27.75">
      <c r="A135" s="1141" t="s">
        <v>242</v>
      </c>
      <c r="B135" s="1142"/>
      <c r="C135" s="1142"/>
      <c r="D135" s="523" t="s">
        <v>238</v>
      </c>
      <c r="E135" s="768">
        <f>'28'!F135</f>
        <v>41730</v>
      </c>
      <c r="F135" s="754">
        <v>41730</v>
      </c>
      <c r="G135" s="473">
        <f t="shared" si="14"/>
        <v>0</v>
      </c>
      <c r="H135" s="460">
        <f>G135+'28'!H135</f>
        <v>-109.44000000000233</v>
      </c>
      <c r="I135" s="480"/>
      <c r="J135" s="552">
        <f>H135/DAY(B2)</f>
        <v>-3.7737931034483561</v>
      </c>
    </row>
    <row r="136" spans="1:15" ht="27.75">
      <c r="A136" s="1141" t="s">
        <v>243</v>
      </c>
      <c r="B136" s="1142"/>
      <c r="C136" s="1142"/>
      <c r="D136" s="523" t="s">
        <v>238</v>
      </c>
      <c r="E136" s="764">
        <f>'28'!F136</f>
        <v>32643.16</v>
      </c>
      <c r="F136" s="741">
        <v>32667.24</v>
      </c>
      <c r="G136" s="473">
        <f t="shared" si="14"/>
        <v>24.080000000001746</v>
      </c>
      <c r="H136" s="460">
        <f>G136+'28'!H136</f>
        <v>-193.81000000000131</v>
      </c>
      <c r="I136" s="480"/>
      <c r="J136" s="552">
        <f>H136/DAY(B2)</f>
        <v>-6.6831034482759071</v>
      </c>
    </row>
    <row r="137" spans="1:15" ht="27.75">
      <c r="A137" s="1141" t="s">
        <v>244</v>
      </c>
      <c r="B137" s="1142"/>
      <c r="C137" s="1142"/>
      <c r="D137" s="523" t="s">
        <v>238</v>
      </c>
      <c r="E137" s="767">
        <f>'28'!F137</f>
        <v>22799</v>
      </c>
      <c r="F137" s="745">
        <v>22799</v>
      </c>
      <c r="G137" s="473">
        <f t="shared" si="14"/>
        <v>0</v>
      </c>
      <c r="H137" s="460">
        <f>G137+'28'!H137</f>
        <v>-8.2400000000016007</v>
      </c>
      <c r="I137" s="480">
        <f>G135+G136+G137</f>
        <v>24.080000000001746</v>
      </c>
      <c r="J137" s="552">
        <f>H137/DAY(B2)</f>
        <v>-0.28413793103453794</v>
      </c>
    </row>
    <row r="138" spans="1:15" ht="27.75">
      <c r="A138" s="1141" t="s">
        <v>245</v>
      </c>
      <c r="B138" s="1142"/>
      <c r="C138" s="1142"/>
      <c r="D138" s="523" t="s">
        <v>238</v>
      </c>
      <c r="E138" s="767">
        <f>'28'!F138</f>
        <v>25051.82</v>
      </c>
      <c r="F138" s="745">
        <v>25052</v>
      </c>
      <c r="G138" s="473">
        <f t="shared" si="14"/>
        <v>0.18000000000029104</v>
      </c>
      <c r="H138" s="460">
        <f>G138+'28'!H138</f>
        <v>-21.889999999999418</v>
      </c>
      <c r="I138" s="480"/>
      <c r="J138" s="552">
        <f>H138/DAY(B2)</f>
        <v>-0.75482758620687651</v>
      </c>
    </row>
    <row r="139" spans="1:15" ht="27.75">
      <c r="A139" s="1141" t="s">
        <v>246</v>
      </c>
      <c r="B139" s="1142"/>
      <c r="C139" s="1142"/>
      <c r="D139" s="523" t="s">
        <v>238</v>
      </c>
      <c r="E139" s="767">
        <f>'28'!F139</f>
        <v>70402</v>
      </c>
      <c r="F139" s="745">
        <v>70402</v>
      </c>
      <c r="G139" s="473">
        <f t="shared" si="14"/>
        <v>0</v>
      </c>
      <c r="H139" s="460">
        <f>G139+'28'!H139</f>
        <v>-79.729999999995925</v>
      </c>
      <c r="I139" s="480">
        <f>G138+G139</f>
        <v>0.18000000000029104</v>
      </c>
      <c r="J139" s="552">
        <f>H139/DAY(B2)</f>
        <v>-2.7493103448274456</v>
      </c>
    </row>
    <row r="140" spans="1:15" ht="27.75">
      <c r="A140" s="1141" t="s">
        <v>247</v>
      </c>
      <c r="B140" s="1142"/>
      <c r="C140" s="1142"/>
      <c r="D140" s="523" t="s">
        <v>238</v>
      </c>
      <c r="E140" s="768">
        <f>'28'!F140</f>
        <v>1832</v>
      </c>
      <c r="F140" s="754">
        <v>1839.44</v>
      </c>
      <c r="G140" s="473">
        <f t="shared" si="14"/>
        <v>7.4400000000000546</v>
      </c>
      <c r="H140" s="460">
        <f>G140+'28'!H140</f>
        <v>-14.8599999999999</v>
      </c>
      <c r="I140" s="542"/>
      <c r="J140" s="552">
        <f>H140/DAY(B2)</f>
        <v>-0.51241379310344481</v>
      </c>
    </row>
    <row r="141" spans="1:15" ht="27.75">
      <c r="A141" s="1141" t="s">
        <v>248</v>
      </c>
      <c r="B141" s="1142"/>
      <c r="C141" s="1142"/>
      <c r="D141" s="523" t="s">
        <v>238</v>
      </c>
      <c r="E141" s="767">
        <f>'28'!F141</f>
        <v>4636.88</v>
      </c>
      <c r="F141" s="738">
        <v>4637</v>
      </c>
      <c r="G141" s="473">
        <f t="shared" si="14"/>
        <v>0.11999999999989086</v>
      </c>
      <c r="H141" s="460">
        <f>G141+'28'!H141</f>
        <v>0</v>
      </c>
      <c r="I141" s="542"/>
      <c r="J141" s="552">
        <f>H141/DAY(B2)</f>
        <v>0</v>
      </c>
    </row>
    <row r="142" spans="1:15">
      <c r="A142" s="1572" t="s">
        <v>249</v>
      </c>
      <c r="B142" s="1573"/>
      <c r="C142" s="1147"/>
      <c r="D142" s="472"/>
      <c r="E142" s="739"/>
      <c r="F142" s="739"/>
      <c r="G142" s="483"/>
      <c r="H142" s="483"/>
      <c r="I142" s="483"/>
      <c r="J142" s="563"/>
      <c r="K142" s="380"/>
      <c r="L142" s="377"/>
    </row>
    <row r="143" spans="1:15" ht="27.75">
      <c r="A143" s="1537" t="s">
        <v>250</v>
      </c>
      <c r="B143" s="1538"/>
      <c r="C143" s="1539"/>
      <c r="D143" s="523" t="s">
        <v>131</v>
      </c>
      <c r="E143" s="460"/>
      <c r="F143" s="460"/>
      <c r="G143" s="460">
        <f>G35+G43+G49+G57</f>
        <v>4733.67</v>
      </c>
      <c r="H143" s="460">
        <f>G143+'28'!H143</f>
        <v>-10948.929999999948</v>
      </c>
      <c r="I143" s="480"/>
      <c r="J143" s="552">
        <f>H143/DAY(B2)</f>
        <v>-377.54931034482576</v>
      </c>
      <c r="K143" s="380"/>
      <c r="L143" s="377"/>
    </row>
    <row r="144" spans="1:15" ht="27.75">
      <c r="A144" s="1537" t="s">
        <v>251</v>
      </c>
      <c r="B144" s="1538"/>
      <c r="C144" s="1539"/>
      <c r="D144" s="523" t="s">
        <v>24</v>
      </c>
      <c r="E144" s="470"/>
      <c r="F144" s="470"/>
      <c r="G144" s="543">
        <f>G143/G7</f>
        <v>0.27845117647058826</v>
      </c>
      <c r="H144" s="460">
        <f>G144+'28'!H144</f>
        <v>-1.5469796090665873</v>
      </c>
      <c r="I144" s="544"/>
      <c r="J144" s="552">
        <f>H144/DAY(B2)</f>
        <v>-5.3344124450571975E-2</v>
      </c>
      <c r="K144" s="380"/>
      <c r="L144" s="377"/>
    </row>
    <row r="145" spans="1:12" ht="27.75">
      <c r="A145" s="1537" t="s">
        <v>252</v>
      </c>
      <c r="B145" s="1538"/>
      <c r="C145" s="1539"/>
      <c r="D145" s="523" t="s">
        <v>131</v>
      </c>
      <c r="E145" s="460"/>
      <c r="F145" s="460"/>
      <c r="G145" s="460">
        <f>G41+G42+G55+G56</f>
        <v>4832</v>
      </c>
      <c r="H145" s="460">
        <f>G145+'28'!H145</f>
        <v>-11174.970000000001</v>
      </c>
      <c r="I145" s="480"/>
      <c r="J145" s="552">
        <f>H145/DAY(B2)</f>
        <v>-385.34379310344832</v>
      </c>
      <c r="K145" s="380"/>
      <c r="L145" s="377"/>
    </row>
    <row r="146" spans="1:12" ht="27.75">
      <c r="A146" s="1537" t="s">
        <v>253</v>
      </c>
      <c r="B146" s="1538"/>
      <c r="C146" s="1539"/>
      <c r="D146" s="523" t="s">
        <v>24</v>
      </c>
      <c r="E146" s="460"/>
      <c r="F146" s="460"/>
      <c r="G146" s="543">
        <f>G145/G7</f>
        <v>0.28423529411764709</v>
      </c>
      <c r="H146" s="460">
        <f>G146+'28'!H146</f>
        <v>-1.7059536853479449</v>
      </c>
      <c r="I146" s="544"/>
      <c r="J146" s="552">
        <f>H146/DAY(B2)</f>
        <v>-5.8825989149929134E-2</v>
      </c>
      <c r="K146" s="380"/>
      <c r="L146" s="377"/>
    </row>
    <row r="147" spans="1:12" ht="27.75">
      <c r="A147" s="1537" t="s">
        <v>254</v>
      </c>
      <c r="B147" s="1538"/>
      <c r="C147" s="1539"/>
      <c r="D147" s="523" t="s">
        <v>131</v>
      </c>
      <c r="E147" s="460"/>
      <c r="F147" s="460"/>
      <c r="G147" s="460">
        <f>G39+G53</f>
        <v>2918</v>
      </c>
      <c r="H147" s="460">
        <f>G147+'28'!H147</f>
        <v>-5638</v>
      </c>
      <c r="I147" s="545"/>
      <c r="J147" s="552">
        <f>H147/DAY(B2)</f>
        <v>-194.41379310344828</v>
      </c>
      <c r="K147" s="380"/>
      <c r="L147" s="377"/>
    </row>
    <row r="148" spans="1:12" ht="27.75">
      <c r="A148" s="1537" t="s">
        <v>255</v>
      </c>
      <c r="B148" s="1538"/>
      <c r="C148" s="1539"/>
      <c r="D148" s="523" t="s">
        <v>24</v>
      </c>
      <c r="E148" s="460"/>
      <c r="F148" s="460"/>
      <c r="G148" s="543">
        <f>G147/G7</f>
        <v>0.1716470588235294</v>
      </c>
      <c r="H148" s="460">
        <f>G148+'28'!H148</f>
        <v>-0.90996975395635615</v>
      </c>
      <c r="I148" s="545"/>
      <c r="J148" s="552">
        <f>H148/DAY(B2)</f>
        <v>-3.1378267377805386E-2</v>
      </c>
    </row>
    <row r="149" spans="1:12" ht="27.75">
      <c r="A149" s="1537" t="s">
        <v>256</v>
      </c>
      <c r="B149" s="1538"/>
      <c r="C149" s="1539"/>
      <c r="D149" s="523" t="s">
        <v>182</v>
      </c>
      <c r="E149" s="460"/>
      <c r="F149" s="460"/>
      <c r="G149" s="460">
        <f>G38+G52</f>
        <v>1218</v>
      </c>
      <c r="H149" s="460">
        <f>G149+'28'!H149</f>
        <v>-2579.9300000000512</v>
      </c>
      <c r="I149" s="480"/>
      <c r="J149" s="552">
        <f>H149/DAY(B2)</f>
        <v>-88.963103448277622</v>
      </c>
      <c r="K149" s="381"/>
    </row>
    <row r="150" spans="1:12" ht="27.75">
      <c r="A150" s="1537" t="s">
        <v>257</v>
      </c>
      <c r="B150" s="1538"/>
      <c r="C150" s="1539"/>
      <c r="D150" s="523" t="s">
        <v>24</v>
      </c>
      <c r="E150" s="460"/>
      <c r="F150" s="460"/>
      <c r="G150" s="543">
        <f>G149/G7</f>
        <v>7.1647058823529411E-2</v>
      </c>
      <c r="H150" s="460">
        <f>G150+'28'!H150</f>
        <v>-0.40681506344164275</v>
      </c>
      <c r="I150" s="545"/>
      <c r="J150" s="552">
        <f>H150/DAY(B2)</f>
        <v>-1.4028105635918716E-2</v>
      </c>
    </row>
    <row r="151" spans="1:12" ht="27.75">
      <c r="A151" s="1537" t="s">
        <v>258</v>
      </c>
      <c r="B151" s="1538"/>
      <c r="C151" s="1539"/>
      <c r="D151" s="523" t="s">
        <v>182</v>
      </c>
      <c r="E151" s="460"/>
      <c r="F151" s="460"/>
      <c r="G151" s="460">
        <f>G36+G50</f>
        <v>866</v>
      </c>
      <c r="H151" s="460">
        <f>G151+'28'!H151</f>
        <v>345082</v>
      </c>
      <c r="I151" s="545"/>
      <c r="J151" s="552">
        <f>H151/DAY(B2)</f>
        <v>11899.379310344828</v>
      </c>
    </row>
    <row r="152" spans="1:12" ht="27.75">
      <c r="A152" s="1537" t="s">
        <v>259</v>
      </c>
      <c r="B152" s="1538"/>
      <c r="C152" s="1539"/>
      <c r="D152" s="523" t="s">
        <v>24</v>
      </c>
      <c r="E152" s="460"/>
      <c r="F152" s="460"/>
      <c r="G152" s="543">
        <f>G151/G7</f>
        <v>5.0941176470588233E-2</v>
      </c>
      <c r="H152" s="460">
        <f>G152+'28'!H152</f>
        <v>19.956137238620759</v>
      </c>
      <c r="I152" s="480"/>
      <c r="J152" s="552">
        <f>H152/DAY(B2)</f>
        <v>0.68814266340071584</v>
      </c>
    </row>
    <row r="153" spans="1:12" ht="27.75">
      <c r="A153" s="1537" t="s">
        <v>260</v>
      </c>
      <c r="B153" s="1538"/>
      <c r="C153" s="1539"/>
      <c r="D153" s="523" t="s">
        <v>182</v>
      </c>
      <c r="E153" s="460"/>
      <c r="F153" s="460"/>
      <c r="G153" s="460">
        <f>G37+G51</f>
        <v>1353.8699999999953</v>
      </c>
      <c r="H153" s="460">
        <f>G153+'28'!H153</f>
        <v>-2562.1300000000047</v>
      </c>
      <c r="I153" s="480"/>
      <c r="J153" s="552">
        <f>H153/DAY(B2)</f>
        <v>-88.349310344827742</v>
      </c>
    </row>
    <row r="154" spans="1:12" ht="28.5" thickBot="1">
      <c r="A154" s="1569" t="s">
        <v>261</v>
      </c>
      <c r="B154" s="1570"/>
      <c r="C154" s="1571"/>
      <c r="D154" s="625" t="s">
        <v>24</v>
      </c>
      <c r="E154" s="567"/>
      <c r="F154" s="567"/>
      <c r="G154" s="566">
        <f>G153/G7</f>
        <v>7.9639411764705612E-2</v>
      </c>
      <c r="H154" s="460">
        <f>G154+'28'!H154</f>
        <v>-0.39226784924813912</v>
      </c>
      <c r="I154" s="568"/>
      <c r="J154" s="569">
        <f>H154/DAY(B2)</f>
        <v>-1.3526477560280659E-2</v>
      </c>
    </row>
    <row r="155" spans="1:12">
      <c r="A155" s="466"/>
      <c r="B155" s="456"/>
      <c r="C155" s="456"/>
      <c r="D155" s="546"/>
      <c r="E155" s="548"/>
      <c r="F155" s="755"/>
      <c r="G155" s="546"/>
      <c r="H155" s="547"/>
      <c r="I155" s="546"/>
      <c r="J155" s="548"/>
    </row>
    <row r="161" spans="1:7">
      <c r="A161" s="795" t="s">
        <v>262</v>
      </c>
      <c r="B161" s="796"/>
      <c r="C161" s="796"/>
      <c r="D161" s="620" t="s">
        <v>186</v>
      </c>
      <c r="E161" s="764">
        <f>'28'!F161</f>
        <v>38185</v>
      </c>
      <c r="F161" s="804">
        <v>38267</v>
      </c>
      <c r="G161" s="473">
        <f t="shared" ref="G161:G164" si="15">F161-E161</f>
        <v>82</v>
      </c>
    </row>
    <row r="162" spans="1:7">
      <c r="A162" s="795" t="s">
        <v>263</v>
      </c>
      <c r="B162" s="796"/>
      <c r="C162" s="796"/>
      <c r="D162" s="620" t="s">
        <v>186</v>
      </c>
      <c r="E162" s="764">
        <f>'28'!F162</f>
        <v>93616</v>
      </c>
      <c r="F162" s="804">
        <v>94011</v>
      </c>
      <c r="G162" s="473">
        <f t="shared" si="15"/>
        <v>395</v>
      </c>
    </row>
    <row r="163" spans="1:7">
      <c r="A163" s="795" t="s">
        <v>264</v>
      </c>
      <c r="B163" s="796"/>
      <c r="C163" s="796"/>
      <c r="D163" s="620" t="s">
        <v>186</v>
      </c>
      <c r="E163" s="764">
        <f>'28'!F163</f>
        <v>44322</v>
      </c>
      <c r="F163" s="804">
        <v>44527</v>
      </c>
      <c r="G163" s="473">
        <f t="shared" si="15"/>
        <v>205</v>
      </c>
    </row>
    <row r="164" spans="1:7">
      <c r="A164" s="795" t="s">
        <v>265</v>
      </c>
      <c r="B164" s="796"/>
      <c r="C164" s="796"/>
      <c r="D164" s="620" t="s">
        <v>186</v>
      </c>
      <c r="E164" s="764">
        <f>'28'!F164</f>
        <v>6542</v>
      </c>
      <c r="F164" s="804">
        <v>6549</v>
      </c>
      <c r="G164" s="473">
        <f t="shared" si="15"/>
        <v>7</v>
      </c>
    </row>
    <row r="165" spans="1:7">
      <c r="A165" s="797" t="s">
        <v>97</v>
      </c>
      <c r="B165" s="798"/>
      <c r="C165" s="798"/>
      <c r="D165" s="620" t="s">
        <v>186</v>
      </c>
      <c r="E165" s="514">
        <f>E62</f>
        <v>20419</v>
      </c>
      <c r="F165" s="514">
        <f>F62</f>
        <v>20419</v>
      </c>
      <c r="G165" s="473">
        <f t="shared" ref="G165:G172" si="16">F165-E165</f>
        <v>0</v>
      </c>
    </row>
    <row r="166" spans="1:7">
      <c r="A166" s="797" t="s">
        <v>187</v>
      </c>
      <c r="B166" s="798"/>
      <c r="C166" s="798"/>
      <c r="D166" s="620" t="s">
        <v>186</v>
      </c>
      <c r="E166" s="514">
        <f t="shared" ref="E166:E172" si="17">E63</f>
        <v>2464</v>
      </c>
      <c r="F166" s="514">
        <f t="shared" ref="F166:F172" si="18">F63</f>
        <v>2468</v>
      </c>
      <c r="G166" s="473">
        <f t="shared" si="16"/>
        <v>4</v>
      </c>
    </row>
    <row r="167" spans="1:7" ht="27.75">
      <c r="A167" s="1599" t="s">
        <v>98</v>
      </c>
      <c r="B167" s="1599"/>
      <c r="C167" s="1599"/>
      <c r="D167" s="524" t="s">
        <v>186</v>
      </c>
      <c r="E167" s="514">
        <f t="shared" si="17"/>
        <v>159360</v>
      </c>
      <c r="F167" s="514">
        <f t="shared" si="18"/>
        <v>159553</v>
      </c>
      <c r="G167" s="473">
        <f t="shared" si="16"/>
        <v>193</v>
      </c>
    </row>
    <row r="168" spans="1:7" ht="27.75">
      <c r="A168" s="1599" t="s">
        <v>99</v>
      </c>
      <c r="B168" s="1599"/>
      <c r="C168" s="1599"/>
      <c r="D168" s="524" t="s">
        <v>186</v>
      </c>
      <c r="E168" s="514">
        <f t="shared" si="17"/>
        <v>160348</v>
      </c>
      <c r="F168" s="514">
        <f t="shared" si="18"/>
        <v>160561</v>
      </c>
      <c r="G168" s="473">
        <f t="shared" si="16"/>
        <v>213</v>
      </c>
    </row>
    <row r="169" spans="1:7" ht="27.75">
      <c r="A169" s="1599" t="s">
        <v>100</v>
      </c>
      <c r="B169" s="1599"/>
      <c r="C169" s="1599"/>
      <c r="D169" s="524" t="s">
        <v>186</v>
      </c>
      <c r="E169" s="514">
        <f t="shared" si="17"/>
        <v>55940</v>
      </c>
      <c r="F169" s="514">
        <f t="shared" si="18"/>
        <v>56221</v>
      </c>
      <c r="G169" s="473">
        <f t="shared" si="16"/>
        <v>281</v>
      </c>
    </row>
    <row r="170" spans="1:7" ht="27.75">
      <c r="A170" s="1599" t="s">
        <v>101</v>
      </c>
      <c r="B170" s="1599"/>
      <c r="C170" s="1599"/>
      <c r="D170" s="524" t="s">
        <v>186</v>
      </c>
      <c r="E170" s="514">
        <f t="shared" si="17"/>
        <v>250705</v>
      </c>
      <c r="F170" s="514">
        <f t="shared" si="18"/>
        <v>251244</v>
      </c>
      <c r="G170" s="473">
        <f t="shared" si="16"/>
        <v>539</v>
      </c>
    </row>
    <row r="171" spans="1:7" ht="27.75">
      <c r="A171" s="1599" t="s">
        <v>102</v>
      </c>
      <c r="B171" s="1599"/>
      <c r="C171" s="1599"/>
      <c r="D171" s="524" t="s">
        <v>186</v>
      </c>
      <c r="E171" s="514">
        <f t="shared" si="17"/>
        <v>85321</v>
      </c>
      <c r="F171" s="514">
        <f t="shared" si="18"/>
        <v>85321</v>
      </c>
      <c r="G171" s="473">
        <f t="shared" si="16"/>
        <v>0</v>
      </c>
    </row>
    <row r="172" spans="1:7" ht="27.75">
      <c r="A172" s="1599" t="s">
        <v>103</v>
      </c>
      <c r="B172" s="1599"/>
      <c r="C172" s="1599"/>
      <c r="D172" s="524" t="s">
        <v>186</v>
      </c>
      <c r="E172" s="514">
        <f t="shared" si="17"/>
        <v>81418</v>
      </c>
      <c r="F172" s="514">
        <f t="shared" si="18"/>
        <v>81507</v>
      </c>
      <c r="G172" s="473">
        <f t="shared" si="16"/>
        <v>89</v>
      </c>
    </row>
    <row r="173" spans="1:7">
      <c r="A173" s="799"/>
      <c r="B173" s="800"/>
      <c r="C173" s="800"/>
      <c r="D173" s="801"/>
      <c r="E173" s="803"/>
      <c r="F173" s="1031"/>
      <c r="G173" s="803">
        <f>SUM(G161:G172)</f>
        <v>2008</v>
      </c>
    </row>
    <row r="174" spans="1:7">
      <c r="A174" s="1596" t="s">
        <v>357</v>
      </c>
      <c r="B174" s="1579"/>
      <c r="C174" s="786"/>
      <c r="D174" s="523" t="s">
        <v>186</v>
      </c>
    </row>
    <row r="175" spans="1:7">
      <c r="A175" s="1596" t="s">
        <v>358</v>
      </c>
      <c r="B175" s="1579"/>
      <c r="C175" s="786"/>
      <c r="D175" s="523" t="s">
        <v>186</v>
      </c>
    </row>
  </sheetData>
  <mergeCells count="76">
    <mergeCell ref="A172:C172"/>
    <mergeCell ref="A167:C167"/>
    <mergeCell ref="A168:C168"/>
    <mergeCell ref="A169:C169"/>
    <mergeCell ref="A170:C170"/>
    <mergeCell ref="A171:C171"/>
    <mergeCell ref="A119:B119"/>
    <mergeCell ref="A120:B120"/>
    <mergeCell ref="A121:B121"/>
    <mergeCell ref="A122:B122"/>
    <mergeCell ref="A114:B114"/>
    <mergeCell ref="A115:B115"/>
    <mergeCell ref="A116:B116"/>
    <mergeCell ref="A117:B117"/>
    <mergeCell ref="A118:B118"/>
    <mergeCell ref="A109:B109"/>
    <mergeCell ref="A110:B110"/>
    <mergeCell ref="A111:B111"/>
    <mergeCell ref="A112:B112"/>
    <mergeCell ref="A113:B113"/>
    <mergeCell ref="A104:B104"/>
    <mergeCell ref="A105:B105"/>
    <mergeCell ref="A106:B106"/>
    <mergeCell ref="A107:C107"/>
    <mergeCell ref="A108:B108"/>
    <mergeCell ref="A102:C102"/>
    <mergeCell ref="A123:C123"/>
    <mergeCell ref="A142:B142"/>
    <mergeCell ref="A153:C153"/>
    <mergeCell ref="A154:C154"/>
    <mergeCell ref="A126:C126"/>
    <mergeCell ref="A150:C150"/>
    <mergeCell ref="A151:C151"/>
    <mergeCell ref="A152:C152"/>
    <mergeCell ref="A145:C145"/>
    <mergeCell ref="A146:C146"/>
    <mergeCell ref="A147:C147"/>
    <mergeCell ref="A148:C148"/>
    <mergeCell ref="A149:C149"/>
    <mergeCell ref="A143:C143"/>
    <mergeCell ref="A144:C144"/>
    <mergeCell ref="A79:C79"/>
    <mergeCell ref="A80:C80"/>
    <mergeCell ref="A81:C81"/>
    <mergeCell ref="A95:C95"/>
    <mergeCell ref="A96:C96"/>
    <mergeCell ref="A82:C82"/>
    <mergeCell ref="A83:C83"/>
    <mergeCell ref="A93:C93"/>
    <mergeCell ref="A94:C94"/>
    <mergeCell ref="A75:C75"/>
    <mergeCell ref="A71:J71"/>
    <mergeCell ref="A70:C70"/>
    <mergeCell ref="A76:C76"/>
    <mergeCell ref="A77:C77"/>
    <mergeCell ref="A68:C68"/>
    <mergeCell ref="A69:C69"/>
    <mergeCell ref="A72:C72"/>
    <mergeCell ref="A73:C73"/>
    <mergeCell ref="A74:C74"/>
    <mergeCell ref="A174:B174"/>
    <mergeCell ref="A175:B175"/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</mergeCells>
  <pageMargins left="0.22" right="0.17" top="0.14000000000000001" bottom="0.2" header="0.2" footer="0.2"/>
  <pageSetup paperSize="5" scale="21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>
  <dimension ref="A1:O174"/>
  <sheetViews>
    <sheetView view="pageBreakPreview" topLeftCell="A142" zoomScale="60" zoomScaleNormal="55" workbookViewId="0">
      <selection activeCell="A173" sqref="A173:D174"/>
    </sheetView>
  </sheetViews>
  <sheetFormatPr defaultColWidth="22.33203125" defaultRowHeight="21.95" customHeight="1"/>
  <cols>
    <col min="1" max="1" width="51.21875" style="454" customWidth="1"/>
    <col min="2" max="2" width="24.88671875" style="457" customWidth="1"/>
    <col min="3" max="3" width="15.88671875" style="457" customWidth="1"/>
    <col min="4" max="4" width="13.6640625" style="537" customWidth="1"/>
    <col min="5" max="5" width="32.109375" style="537" customWidth="1"/>
    <col min="6" max="6" width="30" style="537" customWidth="1"/>
    <col min="7" max="7" width="28.88671875" style="537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3" width="0" style="376" hidden="1" customWidth="1"/>
    <col min="14" max="14" width="22.33203125" style="376"/>
    <col min="15" max="15" width="22.33203125" style="377"/>
    <col min="16" max="16384" width="22.33203125" style="376"/>
  </cols>
  <sheetData>
    <row r="1" spans="1:15" ht="33.75">
      <c r="A1" s="1549" t="s">
        <v>116</v>
      </c>
      <c r="B1" s="1550"/>
      <c r="C1" s="1550"/>
      <c r="D1" s="1550"/>
      <c r="E1" s="1550"/>
      <c r="F1" s="1550"/>
      <c r="G1" s="1550"/>
      <c r="H1" s="1550"/>
      <c r="I1" s="1550"/>
      <c r="J1" s="1551"/>
    </row>
    <row r="2" spans="1:15" s="281" customFormat="1" ht="27">
      <c r="A2" s="575" t="s">
        <v>339</v>
      </c>
      <c r="B2" s="1113">
        <v>43981</v>
      </c>
      <c r="C2" s="1143" t="s">
        <v>68</v>
      </c>
      <c r="D2" s="611">
        <v>0.62</v>
      </c>
      <c r="E2" s="461"/>
      <c r="F2" s="461"/>
      <c r="G2" s="461" t="s">
        <v>117</v>
      </c>
      <c r="H2" s="461" t="s">
        <v>6</v>
      </c>
      <c r="I2" s="461" t="s">
        <v>8</v>
      </c>
      <c r="J2" s="613" t="s">
        <v>118</v>
      </c>
      <c r="O2" s="292"/>
    </row>
    <row r="3" spans="1:15" s="281" customFormat="1" ht="27">
      <c r="A3" s="570"/>
      <c r="B3" s="614"/>
      <c r="C3" s="1143" t="s">
        <v>119</v>
      </c>
      <c r="D3" s="612">
        <v>29</v>
      </c>
      <c r="E3" s="1695" t="s">
        <v>120</v>
      </c>
      <c r="F3" s="1695"/>
      <c r="G3" s="462"/>
      <c r="H3" s="463"/>
      <c r="I3" s="463"/>
      <c r="J3" s="615"/>
      <c r="K3" s="371"/>
      <c r="L3" s="292"/>
      <c r="O3" s="1023"/>
    </row>
    <row r="4" spans="1:15" s="281" customFormat="1" ht="27">
      <c r="A4" s="576"/>
      <c r="B4" s="616"/>
      <c r="C4" s="1143" t="s">
        <v>121</v>
      </c>
      <c r="D4" s="611">
        <v>0.8</v>
      </c>
      <c r="E4" s="464"/>
      <c r="F4" s="464"/>
      <c r="G4" s="464"/>
      <c r="H4" s="464"/>
      <c r="I4" s="465"/>
      <c r="J4" s="615"/>
      <c r="K4" s="372"/>
      <c r="L4" s="292"/>
      <c r="O4" s="292"/>
    </row>
    <row r="5" spans="1:15" ht="21.95" customHeight="1">
      <c r="A5" s="577" t="s">
        <v>122</v>
      </c>
      <c r="B5" s="459"/>
      <c r="C5" s="459"/>
      <c r="D5" s="511" t="s">
        <v>123</v>
      </c>
      <c r="E5" s="467" t="s">
        <v>124</v>
      </c>
      <c r="F5" s="467"/>
      <c r="G5" s="468" t="s">
        <v>125</v>
      </c>
      <c r="H5" s="469" t="s">
        <v>126</v>
      </c>
      <c r="I5" s="470" t="s">
        <v>127</v>
      </c>
      <c r="J5" s="550" t="s">
        <v>128</v>
      </c>
      <c r="K5" s="426"/>
      <c r="L5" s="377"/>
    </row>
    <row r="6" spans="1:15" ht="21.95" customHeight="1">
      <c r="A6" s="1696" t="s">
        <v>129</v>
      </c>
      <c r="B6" s="1697"/>
      <c r="C6" s="1697"/>
      <c r="D6" s="471"/>
      <c r="E6" s="471"/>
      <c r="F6" s="471"/>
      <c r="G6" s="471"/>
      <c r="H6" s="472"/>
      <c r="I6" s="472"/>
      <c r="J6" s="551"/>
      <c r="K6" s="427"/>
      <c r="L6" s="377"/>
      <c r="O6" s="1024"/>
    </row>
    <row r="7" spans="1:15" ht="21.95" customHeight="1" thickBot="1">
      <c r="A7" s="578" t="s">
        <v>130</v>
      </c>
      <c r="B7" s="579"/>
      <c r="C7" s="579"/>
      <c r="D7" s="523" t="s">
        <v>131</v>
      </c>
      <c r="E7" s="455">
        <f>'29'!F7</f>
        <v>896402</v>
      </c>
      <c r="F7" s="455">
        <f>E7+17000</f>
        <v>913402</v>
      </c>
      <c r="G7" s="774">
        <f>F7-E7</f>
        <v>17000</v>
      </c>
      <c r="H7" s="460">
        <f>G7+'29'!H7</f>
        <v>568990</v>
      </c>
      <c r="I7" s="474">
        <f>'1'!I7</f>
        <v>12000</v>
      </c>
      <c r="J7" s="552">
        <f>H7/DAY(B2)</f>
        <v>18966.333333333332</v>
      </c>
      <c r="K7" s="549">
        <v>1375467</v>
      </c>
      <c r="L7" s="377"/>
      <c r="N7" s="440">
        <f>F7-'1'!E7</f>
        <v>568990</v>
      </c>
      <c r="O7" s="805"/>
    </row>
    <row r="8" spans="1:15" ht="21.95" customHeight="1" thickBot="1">
      <c r="A8" s="580" t="s">
        <v>132</v>
      </c>
      <c r="B8" s="581"/>
      <c r="C8" s="582"/>
      <c r="D8" s="617" t="s">
        <v>25</v>
      </c>
      <c r="E8" s="455">
        <f>'29'!F8</f>
        <v>901142</v>
      </c>
      <c r="F8" s="455">
        <f>E8+17150</f>
        <v>918292</v>
      </c>
      <c r="G8" s="476">
        <f>F8-E8</f>
        <v>17150</v>
      </c>
      <c r="H8" s="460">
        <f>G8+'29'!H8</f>
        <v>571782</v>
      </c>
      <c r="I8" s="477"/>
      <c r="J8" s="552">
        <f>H8/DAY(B2)</f>
        <v>19059.400000000001</v>
      </c>
      <c r="K8" s="549">
        <v>1715917</v>
      </c>
      <c r="L8" s="425">
        <v>1728480</v>
      </c>
      <c r="M8" s="440">
        <f>L8-K8</f>
        <v>12563</v>
      </c>
      <c r="N8" s="440">
        <f>F8-'1'!E8</f>
        <v>571782</v>
      </c>
      <c r="O8" s="805"/>
    </row>
    <row r="9" spans="1:15" ht="21.95" customHeight="1">
      <c r="A9" s="583" t="s">
        <v>133</v>
      </c>
      <c r="B9" s="584"/>
      <c r="C9" s="584"/>
      <c r="D9" s="523" t="s">
        <v>131</v>
      </c>
      <c r="E9" s="455">
        <f>'29'!F9</f>
        <v>2009118</v>
      </c>
      <c r="F9" s="478">
        <f>E9+16950</f>
        <v>2026068</v>
      </c>
      <c r="G9" s="473">
        <f t="shared" ref="G9:G12" si="0">F9-E9</f>
        <v>16950</v>
      </c>
      <c r="H9" s="460">
        <f>G9+'29'!H9</f>
        <v>552378</v>
      </c>
      <c r="I9" s="479">
        <f>I7-J7</f>
        <v>-6966.3333333333321</v>
      </c>
      <c r="J9" s="552">
        <f>H9/DAY(B2)</f>
        <v>18412.599999999999</v>
      </c>
      <c r="K9" s="428">
        <f>K8-100</f>
        <v>1715817</v>
      </c>
      <c r="L9" s="377"/>
      <c r="N9" s="440">
        <f>F9-'1'!E9</f>
        <v>552378</v>
      </c>
      <c r="O9" s="805"/>
    </row>
    <row r="10" spans="1:15" ht="21.95" customHeight="1">
      <c r="A10" s="578" t="s">
        <v>134</v>
      </c>
      <c r="B10" s="579"/>
      <c r="C10" s="579"/>
      <c r="D10" s="523" t="s">
        <v>131</v>
      </c>
      <c r="E10" s="455">
        <f>'29'!F10</f>
        <v>0</v>
      </c>
      <c r="F10" s="478"/>
      <c r="G10" s="473">
        <f t="shared" si="0"/>
        <v>0</v>
      </c>
      <c r="H10" s="460">
        <f>G10+'29'!H10</f>
        <v>0.71999999999979991</v>
      </c>
      <c r="I10" s="480"/>
      <c r="J10" s="552">
        <f>H10/DAY(B2)</f>
        <v>2.3999999999993329E-2</v>
      </c>
      <c r="K10" s="428"/>
      <c r="L10" s="377"/>
      <c r="N10" s="440">
        <f>F10-'1'!E10</f>
        <v>-2322.58</v>
      </c>
      <c r="O10" s="805"/>
    </row>
    <row r="11" spans="1:15" ht="21.95" customHeight="1">
      <c r="A11" s="578" t="s">
        <v>135</v>
      </c>
      <c r="B11" s="579"/>
      <c r="C11" s="579"/>
      <c r="D11" s="523" t="s">
        <v>131</v>
      </c>
      <c r="E11" s="455">
        <f>'29'!F11</f>
        <v>37000</v>
      </c>
      <c r="F11" s="455">
        <v>37000</v>
      </c>
      <c r="G11" s="473">
        <f t="shared" si="0"/>
        <v>0</v>
      </c>
      <c r="H11" s="460">
        <f>G11+'29'!H11</f>
        <v>0</v>
      </c>
      <c r="I11" s="480"/>
      <c r="J11" s="552">
        <f>H11/DAY(B2)</f>
        <v>0</v>
      </c>
      <c r="K11" s="428"/>
      <c r="L11" s="377"/>
      <c r="N11" s="440">
        <f>F11-'1'!E11</f>
        <v>0</v>
      </c>
      <c r="O11" s="805"/>
    </row>
    <row r="12" spans="1:15" ht="21.95" customHeight="1">
      <c r="A12" s="578" t="s">
        <v>136</v>
      </c>
      <c r="B12" s="579"/>
      <c r="C12" s="579"/>
      <c r="D12" s="523" t="s">
        <v>131</v>
      </c>
      <c r="E12" s="455">
        <f>'29'!F12</f>
        <v>40010</v>
      </c>
      <c r="F12" s="478">
        <v>40010</v>
      </c>
      <c r="G12" s="473">
        <f t="shared" si="0"/>
        <v>0</v>
      </c>
      <c r="H12" s="460">
        <f>G12+'29'!H12</f>
        <v>0</v>
      </c>
      <c r="I12" s="480"/>
      <c r="J12" s="552">
        <f>H12/DAY(B2)</f>
        <v>0</v>
      </c>
      <c r="K12" s="428"/>
      <c r="L12" s="377"/>
      <c r="N12" s="440">
        <f>F12-'1'!E12</f>
        <v>0</v>
      </c>
      <c r="O12" s="805"/>
    </row>
    <row r="13" spans="1:15" ht="21.95" customHeight="1">
      <c r="A13" s="585" t="s">
        <v>137</v>
      </c>
      <c r="B13" s="586"/>
      <c r="C13" s="586"/>
      <c r="D13" s="523"/>
      <c r="E13" s="455"/>
      <c r="F13" s="455"/>
      <c r="G13" s="481">
        <f>G9+G10+G11+G12</f>
        <v>16950</v>
      </c>
      <c r="H13" s="460">
        <f>G13+'29'!H13</f>
        <v>535853.72</v>
      </c>
      <c r="I13" s="482">
        <f>G7-G13</f>
        <v>50</v>
      </c>
      <c r="J13" s="552">
        <f>H13/DAY(B2)</f>
        <v>17861.790666666664</v>
      </c>
      <c r="K13" s="428"/>
      <c r="L13" s="377"/>
      <c r="N13" s="440">
        <f>F13-'1'!E13</f>
        <v>0</v>
      </c>
      <c r="O13" s="805"/>
    </row>
    <row r="14" spans="1:15" ht="29.25">
      <c r="A14" s="1689" t="s">
        <v>138</v>
      </c>
      <c r="B14" s="1690"/>
      <c r="C14" s="1690"/>
      <c r="D14" s="472"/>
      <c r="E14" s="472"/>
      <c r="F14" s="472"/>
      <c r="G14" s="483"/>
      <c r="H14" s="472"/>
      <c r="I14" s="472"/>
      <c r="J14" s="551"/>
      <c r="K14" s="429"/>
      <c r="L14" s="377"/>
      <c r="N14" s="440">
        <f>F14-'1'!E14</f>
        <v>0</v>
      </c>
      <c r="O14" s="805"/>
    </row>
    <row r="15" spans="1:15" ht="21.95" customHeight="1">
      <c r="A15" s="1141" t="s">
        <v>139</v>
      </c>
      <c r="B15" s="589"/>
      <c r="C15" s="589"/>
      <c r="D15" s="523" t="s">
        <v>140</v>
      </c>
      <c r="E15" s="455">
        <f>'29'!F15</f>
        <v>1702793</v>
      </c>
      <c r="F15" s="522">
        <f>E15+550</f>
        <v>1703343</v>
      </c>
      <c r="G15" s="774">
        <f>(F15-E15)</f>
        <v>550</v>
      </c>
      <c r="H15" s="460">
        <f>G15+'29'!H15</f>
        <v>18819</v>
      </c>
      <c r="I15" s="474">
        <f>'1'!I15</f>
        <v>800</v>
      </c>
      <c r="J15" s="552">
        <f>H15/DAY(B2)</f>
        <v>627.29999999999995</v>
      </c>
      <c r="K15" s="428"/>
      <c r="L15" s="377"/>
      <c r="N15" s="440">
        <f>F15-'1'!E15</f>
        <v>18819</v>
      </c>
      <c r="O15" s="805"/>
    </row>
    <row r="16" spans="1:15" ht="21.95" customHeight="1">
      <c r="A16" s="587"/>
      <c r="B16" s="588"/>
      <c r="C16" s="588"/>
      <c r="D16" s="524"/>
      <c r="E16" s="485"/>
      <c r="F16" s="485"/>
      <c r="G16" s="473"/>
      <c r="H16" s="486"/>
      <c r="I16" s="487">
        <f>I15-J15</f>
        <v>172.70000000000005</v>
      </c>
      <c r="J16" s="553"/>
      <c r="K16" s="428"/>
      <c r="L16" s="377"/>
      <c r="N16" s="440">
        <f>F16-'1'!E16</f>
        <v>0</v>
      </c>
      <c r="O16" s="805"/>
    </row>
    <row r="17" spans="1:15" ht="29.25">
      <c r="A17" s="1689" t="s">
        <v>141</v>
      </c>
      <c r="B17" s="1690"/>
      <c r="C17" s="1690"/>
      <c r="D17" s="472"/>
      <c r="E17" s="472"/>
      <c r="F17" s="472"/>
      <c r="G17" s="488"/>
      <c r="H17" s="472"/>
      <c r="I17" s="472"/>
      <c r="J17" s="551"/>
      <c r="K17" s="428"/>
      <c r="L17" s="377"/>
      <c r="N17" s="440">
        <f>F17-'1'!E17</f>
        <v>0</v>
      </c>
      <c r="O17" s="805"/>
    </row>
    <row r="18" spans="1:15" ht="27.75">
      <c r="A18" s="1671" t="s">
        <v>142</v>
      </c>
      <c r="B18" s="1672"/>
      <c r="C18" s="1672"/>
      <c r="D18" s="523" t="s">
        <v>143</v>
      </c>
      <c r="E18" s="455">
        <f>'29'!F18</f>
        <v>6</v>
      </c>
      <c r="F18" s="484">
        <v>8</v>
      </c>
      <c r="G18" s="481">
        <f>F18*10</f>
        <v>80</v>
      </c>
      <c r="H18" s="460">
        <f>G18+'29'!H18</f>
        <v>2450</v>
      </c>
      <c r="I18" s="474">
        <f>'1'!I18</f>
        <v>65</v>
      </c>
      <c r="J18" s="552">
        <f>H18/DAY(B2)</f>
        <v>81.666666666666671</v>
      </c>
      <c r="K18" s="428"/>
      <c r="L18" s="377"/>
      <c r="N18" s="440">
        <f>F18-'1'!E18</f>
        <v>2</v>
      </c>
      <c r="O18" s="805"/>
    </row>
    <row r="19" spans="1:15" ht="27.75">
      <c r="A19" s="1671" t="s">
        <v>70</v>
      </c>
      <c r="B19" s="1672"/>
      <c r="C19" s="1672"/>
      <c r="D19" s="523" t="s">
        <v>143</v>
      </c>
      <c r="E19" s="455">
        <f>'29'!F19</f>
        <v>139493</v>
      </c>
      <c r="F19" s="484">
        <v>139551</v>
      </c>
      <c r="G19" s="473">
        <f t="shared" ref="G19" si="1">F19-E19</f>
        <v>58</v>
      </c>
      <c r="H19" s="460">
        <f>G19+'29'!H19</f>
        <v>-61</v>
      </c>
      <c r="I19" s="489"/>
      <c r="J19" s="552">
        <f>H19/DAY(B2)</f>
        <v>-2.0333333333333332</v>
      </c>
      <c r="K19" s="428"/>
      <c r="L19" s="377"/>
      <c r="N19" s="440">
        <f>F19-'1'!E19</f>
        <v>-61</v>
      </c>
      <c r="O19" s="805"/>
    </row>
    <row r="20" spans="1:15" ht="21.95" customHeight="1">
      <c r="A20" s="585" t="s">
        <v>144</v>
      </c>
      <c r="B20" s="586"/>
      <c r="C20" s="586"/>
      <c r="D20" s="490"/>
      <c r="E20" s="490"/>
      <c r="F20" s="490"/>
      <c r="G20" s="1022">
        <f>G18+G19</f>
        <v>138</v>
      </c>
      <c r="H20" s="460">
        <f>G20+'29'!H20</f>
        <v>2389</v>
      </c>
      <c r="I20" s="492">
        <f>I18-J20</f>
        <v>-14.63333333333334</v>
      </c>
      <c r="J20" s="552">
        <f>H20/DAY(B2)</f>
        <v>79.63333333333334</v>
      </c>
      <c r="K20" s="428"/>
      <c r="L20" s="377"/>
      <c r="N20" s="440">
        <f>F20-'1'!E20</f>
        <v>0</v>
      </c>
      <c r="O20" s="805"/>
    </row>
    <row r="21" spans="1:15" ht="29.25">
      <c r="A21" s="1689" t="s">
        <v>145</v>
      </c>
      <c r="B21" s="1690"/>
      <c r="C21" s="1690"/>
      <c r="D21" s="472"/>
      <c r="E21" s="472"/>
      <c r="F21" s="472"/>
      <c r="G21" s="483"/>
      <c r="H21" s="472"/>
      <c r="I21" s="472"/>
      <c r="J21" s="551"/>
      <c r="K21" s="428"/>
      <c r="L21" s="377"/>
      <c r="N21" s="440">
        <f>F21-'1'!E21</f>
        <v>0</v>
      </c>
      <c r="O21" s="805"/>
    </row>
    <row r="22" spans="1:15" ht="21.95" customHeight="1">
      <c r="A22" s="1141" t="s">
        <v>146</v>
      </c>
      <c r="B22" s="589"/>
      <c r="C22" s="589"/>
      <c r="D22" s="523" t="s">
        <v>147</v>
      </c>
      <c r="E22" s="738">
        <v>2970</v>
      </c>
      <c r="F22" s="484">
        <v>2970</v>
      </c>
      <c r="G22" s="481">
        <f t="shared" ref="G22" si="2">(F22-E22)</f>
        <v>0</v>
      </c>
      <c r="H22" s="460">
        <f>G22+'29'!H22</f>
        <v>0</v>
      </c>
      <c r="I22" s="480"/>
      <c r="J22" s="552">
        <f>H22/DAY(B2)</f>
        <v>0</v>
      </c>
      <c r="K22" s="428"/>
      <c r="L22" s="377"/>
      <c r="N22" s="440">
        <f>F22-'1'!E22</f>
        <v>0</v>
      </c>
      <c r="O22" s="805"/>
    </row>
    <row r="23" spans="1:15" ht="21.95" customHeight="1">
      <c r="A23" s="1141" t="s">
        <v>148</v>
      </c>
      <c r="B23" s="589"/>
      <c r="C23" s="589"/>
      <c r="D23" s="523" t="s">
        <v>147</v>
      </c>
      <c r="E23" s="738">
        <v>2000</v>
      </c>
      <c r="F23" s="484">
        <v>2000</v>
      </c>
      <c r="G23" s="481">
        <v>0</v>
      </c>
      <c r="H23" s="460">
        <f>G23+'29'!H23</f>
        <v>0</v>
      </c>
      <c r="I23" s="480"/>
      <c r="J23" s="552">
        <f>H23/DAY(B2)</f>
        <v>0</v>
      </c>
      <c r="K23" s="428"/>
      <c r="L23" s="377"/>
      <c r="N23" s="440">
        <f>F23-'1'!E23</f>
        <v>0</v>
      </c>
      <c r="O23" s="805"/>
    </row>
    <row r="24" spans="1:15" ht="21.95" customHeight="1">
      <c r="A24" s="590" t="s">
        <v>149</v>
      </c>
      <c r="B24" s="591"/>
      <c r="C24" s="591"/>
      <c r="D24" s="511" t="s">
        <v>147</v>
      </c>
      <c r="E24" s="741">
        <v>4970</v>
      </c>
      <c r="F24" s="493">
        <v>4970</v>
      </c>
      <c r="G24" s="481">
        <v>0</v>
      </c>
      <c r="H24" s="460">
        <f>G24+'29'!H24</f>
        <v>0</v>
      </c>
      <c r="I24" s="480"/>
      <c r="J24" s="552">
        <f>H24/DAY(B2)</f>
        <v>0</v>
      </c>
      <c r="K24" s="428"/>
      <c r="L24" s="377"/>
      <c r="N24" s="440">
        <f>F24-'1'!E24</f>
        <v>0</v>
      </c>
      <c r="O24" s="805"/>
    </row>
    <row r="25" spans="1:15" s="442" customFormat="1" ht="27">
      <c r="A25" s="1560" t="s">
        <v>150</v>
      </c>
      <c r="B25" s="1561"/>
      <c r="C25" s="1562"/>
      <c r="D25" s="471"/>
      <c r="E25" s="471"/>
      <c r="F25" s="471"/>
      <c r="G25" s="494"/>
      <c r="H25" s="495"/>
      <c r="I25" s="496"/>
      <c r="J25" s="554"/>
      <c r="K25" s="373"/>
      <c r="L25" s="443"/>
      <c r="N25" s="440">
        <f>F25-'1'!E25</f>
        <v>0</v>
      </c>
      <c r="O25" s="805"/>
    </row>
    <row r="26" spans="1:15" s="442" customFormat="1" ht="27.75">
      <c r="A26" s="592" t="s">
        <v>151</v>
      </c>
      <c r="B26" s="593"/>
      <c r="C26" s="594"/>
      <c r="D26" s="618" t="s">
        <v>152</v>
      </c>
      <c r="E26" s="497"/>
      <c r="F26" s="497"/>
      <c r="G26" s="498"/>
      <c r="H26" s="460"/>
      <c r="I26" s="499"/>
      <c r="J26" s="552"/>
      <c r="K26" s="374"/>
      <c r="L26" s="443"/>
      <c r="N26" s="440">
        <f>F26-'1'!E26</f>
        <v>0</v>
      </c>
      <c r="O26" s="805"/>
    </row>
    <row r="27" spans="1:15" s="442" customFormat="1" ht="27.75">
      <c r="A27" s="592" t="s">
        <v>6</v>
      </c>
      <c r="B27" s="593"/>
      <c r="C27" s="594"/>
      <c r="D27" s="619" t="s">
        <v>25</v>
      </c>
      <c r="E27" s="500">
        <f>G8</f>
        <v>17150</v>
      </c>
      <c r="F27" s="501">
        <v>9</v>
      </c>
      <c r="G27" s="1025">
        <f>E27*F27</f>
        <v>154350</v>
      </c>
      <c r="H27" s="460">
        <f>G27+'29'!H27</f>
        <v>5145201</v>
      </c>
      <c r="I27" s="503"/>
      <c r="J27" s="552">
        <f>H27/DAY(B2)</f>
        <v>171506.7</v>
      </c>
      <c r="K27" s="373"/>
      <c r="L27" s="443"/>
      <c r="N27" s="440"/>
      <c r="O27" s="805"/>
    </row>
    <row r="28" spans="1:15" s="442" customFormat="1" ht="27.75">
      <c r="A28" s="592" t="s">
        <v>153</v>
      </c>
      <c r="B28" s="593"/>
      <c r="C28" s="594"/>
      <c r="D28" s="619" t="s">
        <v>154</v>
      </c>
      <c r="E28" s="504">
        <f>G15</f>
        <v>550</v>
      </c>
      <c r="F28" s="501">
        <v>52</v>
      </c>
      <c r="G28" s="1025">
        <f>E28*F28</f>
        <v>28600</v>
      </c>
      <c r="H28" s="460">
        <f>G28+'29'!H28</f>
        <v>978588</v>
      </c>
      <c r="I28" s="505"/>
      <c r="J28" s="552">
        <f>H28/DAY(B2)</f>
        <v>32619.599999999999</v>
      </c>
      <c r="K28" s="373"/>
      <c r="L28" s="443"/>
      <c r="N28" s="440"/>
      <c r="O28" s="805"/>
    </row>
    <row r="29" spans="1:15" s="442" customFormat="1" ht="27.75">
      <c r="A29" s="592" t="s">
        <v>155</v>
      </c>
      <c r="B29" s="593"/>
      <c r="C29" s="594"/>
      <c r="D29" s="619" t="s">
        <v>156</v>
      </c>
      <c r="E29" s="506">
        <f>G24</f>
        <v>0</v>
      </c>
      <c r="F29" s="501">
        <v>69</v>
      </c>
      <c r="G29" s="1025">
        <f>E29*F29</f>
        <v>0</v>
      </c>
      <c r="H29" s="460">
        <f>G29+'29'!H29</f>
        <v>8280</v>
      </c>
      <c r="I29" s="505"/>
      <c r="J29" s="552">
        <f>H29/DAY(B2)</f>
        <v>276</v>
      </c>
      <c r="K29" s="373"/>
      <c r="L29" s="443"/>
      <c r="N29" s="440"/>
      <c r="O29" s="805"/>
    </row>
    <row r="30" spans="1:15" s="442" customFormat="1" ht="27.75">
      <c r="A30" s="592" t="s">
        <v>157</v>
      </c>
      <c r="B30" s="593"/>
      <c r="C30" s="594"/>
      <c r="D30" s="619" t="s">
        <v>158</v>
      </c>
      <c r="E30" s="506">
        <f>G19</f>
        <v>58</v>
      </c>
      <c r="F30" s="501">
        <v>146</v>
      </c>
      <c r="G30" s="1025">
        <f>E30*F30</f>
        <v>8468</v>
      </c>
      <c r="H30" s="460">
        <f>G30+'29'!H30</f>
        <v>-8906</v>
      </c>
      <c r="I30" s="505"/>
      <c r="J30" s="552">
        <f>H30/DAY(B2)</f>
        <v>-296.86666666666667</v>
      </c>
      <c r="K30" s="373"/>
      <c r="L30" s="443"/>
      <c r="N30" s="440"/>
      <c r="O30" s="805"/>
    </row>
    <row r="31" spans="1:15" s="442" customFormat="1" ht="27.75">
      <c r="A31" s="592" t="s">
        <v>159</v>
      </c>
      <c r="B31" s="593"/>
      <c r="C31" s="594"/>
      <c r="D31" s="619" t="s">
        <v>143</v>
      </c>
      <c r="E31" s="506">
        <f>G18</f>
        <v>80</v>
      </c>
      <c r="F31" s="501">
        <v>80</v>
      </c>
      <c r="G31" s="1025">
        <f>E31*F31</f>
        <v>6400</v>
      </c>
      <c r="H31" s="460">
        <f>G31+'29'!H31</f>
        <v>196000</v>
      </c>
      <c r="I31" s="505"/>
      <c r="J31" s="552">
        <f>H31/DAY(B2)</f>
        <v>6533.333333333333</v>
      </c>
      <c r="K31" s="373"/>
      <c r="L31" s="443"/>
      <c r="N31" s="440"/>
      <c r="O31" s="805"/>
    </row>
    <row r="32" spans="1:15" s="442" customFormat="1" ht="27.75">
      <c r="A32" s="595" t="s">
        <v>160</v>
      </c>
      <c r="B32" s="596"/>
      <c r="C32" s="597"/>
      <c r="D32" s="507"/>
      <c r="E32" s="507"/>
      <c r="F32" s="507"/>
      <c r="G32" s="508">
        <f>G27+G28+G29+G30+G31</f>
        <v>197818</v>
      </c>
      <c r="H32" s="460">
        <f>G32+'29'!H32</f>
        <v>6319163</v>
      </c>
      <c r="I32" s="509"/>
      <c r="J32" s="552">
        <f>H32/DAY(B2)</f>
        <v>210638.76666666666</v>
      </c>
      <c r="K32" s="373"/>
      <c r="L32" s="443"/>
      <c r="N32" s="440"/>
      <c r="O32" s="805"/>
    </row>
    <row r="33" spans="1:15" ht="25.5">
      <c r="A33" s="1691" t="s">
        <v>161</v>
      </c>
      <c r="B33" s="1692"/>
      <c r="C33" s="1692"/>
      <c r="D33" s="1692"/>
      <c r="E33" s="1692"/>
      <c r="F33" s="1692"/>
      <c r="G33" s="1692"/>
      <c r="H33" s="1692"/>
      <c r="I33" s="1692"/>
      <c r="J33" s="1693"/>
      <c r="K33" s="428"/>
      <c r="L33" s="377"/>
      <c r="N33" s="440"/>
      <c r="O33" s="805"/>
    </row>
    <row r="34" spans="1:15" ht="21.95" customHeight="1">
      <c r="A34" s="598" t="s">
        <v>162</v>
      </c>
      <c r="B34" s="1146"/>
      <c r="C34" s="1146"/>
      <c r="D34" s="472"/>
      <c r="E34" s="471"/>
      <c r="F34" s="471"/>
      <c r="G34" s="472"/>
      <c r="H34" s="472"/>
      <c r="I34" s="472"/>
      <c r="J34" s="551"/>
      <c r="K34" s="428"/>
      <c r="L34" s="377"/>
      <c r="N34" s="440"/>
      <c r="O34" s="805"/>
    </row>
    <row r="35" spans="1:15" ht="21.95" customHeight="1">
      <c r="A35" s="578" t="s">
        <v>163</v>
      </c>
      <c r="B35" s="579"/>
      <c r="C35" s="579"/>
      <c r="D35" s="523" t="s">
        <v>131</v>
      </c>
      <c r="E35" s="455">
        <f>'29'!F35</f>
        <v>945766</v>
      </c>
      <c r="F35" s="510">
        <v>948143</v>
      </c>
      <c r="G35" s="473">
        <f t="shared" ref="G35:G46" si="3">F35-E35</f>
        <v>2377</v>
      </c>
      <c r="H35" s="460">
        <f>G35+'29'!H35</f>
        <v>-2345</v>
      </c>
      <c r="I35" s="455"/>
      <c r="J35" s="552">
        <f>H35/DAY(B2)</f>
        <v>-78.166666666666671</v>
      </c>
      <c r="K35" s="428"/>
      <c r="L35" s="377"/>
      <c r="N35" s="440">
        <f>F35-'1'!E35</f>
        <v>-2345</v>
      </c>
      <c r="O35" s="805"/>
    </row>
    <row r="36" spans="1:15" ht="21.95" customHeight="1">
      <c r="A36" s="578" t="s">
        <v>164</v>
      </c>
      <c r="B36" s="579"/>
      <c r="C36" s="579"/>
      <c r="D36" s="523" t="s">
        <v>131</v>
      </c>
      <c r="E36" s="455">
        <f>'29'!F36</f>
        <v>347065</v>
      </c>
      <c r="F36" s="510">
        <v>347065</v>
      </c>
      <c r="G36" s="473">
        <f t="shared" si="3"/>
        <v>0</v>
      </c>
      <c r="H36" s="460">
        <v>0</v>
      </c>
      <c r="I36" s="455"/>
      <c r="J36" s="552">
        <f>H36/DAY(B2)</f>
        <v>0</v>
      </c>
      <c r="K36" s="428"/>
      <c r="L36" s="377"/>
      <c r="N36" s="440">
        <f>F36-'1'!E36</f>
        <v>346892</v>
      </c>
      <c r="O36" s="805"/>
    </row>
    <row r="37" spans="1:15" ht="21.95" customHeight="1">
      <c r="A37" s="578" t="s">
        <v>165</v>
      </c>
      <c r="B37" s="579"/>
      <c r="C37" s="579"/>
      <c r="D37" s="523" t="s">
        <v>131</v>
      </c>
      <c r="E37" s="455">
        <f>'29'!F37</f>
        <v>131674</v>
      </c>
      <c r="F37" s="510">
        <v>132976</v>
      </c>
      <c r="G37" s="473">
        <f t="shared" si="3"/>
        <v>1302</v>
      </c>
      <c r="H37" s="460">
        <f>G37+'29'!H37</f>
        <v>-1260</v>
      </c>
      <c r="I37" s="455"/>
      <c r="J37" s="552">
        <f>H37/DAY(B2)</f>
        <v>-42</v>
      </c>
      <c r="K37" s="428"/>
      <c r="L37" s="377"/>
      <c r="N37" s="440">
        <f>F37-'1'!E37</f>
        <v>-1260</v>
      </c>
      <c r="O37" s="805"/>
    </row>
    <row r="38" spans="1:15" ht="21.95" customHeight="1">
      <c r="A38" s="578" t="s">
        <v>166</v>
      </c>
      <c r="B38" s="579"/>
      <c r="C38" s="579"/>
      <c r="D38" s="523" t="s">
        <v>131</v>
      </c>
      <c r="E38" s="455">
        <f>'29'!F38</f>
        <v>153825</v>
      </c>
      <c r="F38" s="469">
        <v>155156</v>
      </c>
      <c r="G38" s="473">
        <f t="shared" si="3"/>
        <v>1331</v>
      </c>
      <c r="H38" s="460">
        <f>G38+'29'!H38</f>
        <v>-1249</v>
      </c>
      <c r="I38" s="455"/>
      <c r="J38" s="552">
        <f>H38/DAY(B2)</f>
        <v>-41.633333333333333</v>
      </c>
      <c r="K38" s="428"/>
      <c r="L38" s="377"/>
      <c r="N38" s="440"/>
      <c r="O38" s="805"/>
    </row>
    <row r="39" spans="1:15" ht="21.95" customHeight="1">
      <c r="A39" s="578" t="s">
        <v>167</v>
      </c>
      <c r="B39" s="579"/>
      <c r="C39" s="579"/>
      <c r="D39" s="523" t="s">
        <v>131</v>
      </c>
      <c r="E39" s="455">
        <f>'29'!F39</f>
        <v>303589</v>
      </c>
      <c r="F39" s="510">
        <v>305998</v>
      </c>
      <c r="G39" s="473">
        <f t="shared" si="3"/>
        <v>2409</v>
      </c>
      <c r="H39" s="460">
        <f>G39+'29'!H39</f>
        <v>-2175</v>
      </c>
      <c r="I39" s="455"/>
      <c r="J39" s="552">
        <f>H39/DAY(B2)</f>
        <v>-72.5</v>
      </c>
      <c r="K39" s="428"/>
      <c r="L39" s="377"/>
      <c r="N39" s="440">
        <f>F39-'1'!E39</f>
        <v>-2175</v>
      </c>
      <c r="O39" s="805"/>
    </row>
    <row r="40" spans="1:15" ht="21.95" customHeight="1">
      <c r="A40" s="599" t="s">
        <v>168</v>
      </c>
      <c r="B40" s="600"/>
      <c r="C40" s="600"/>
      <c r="D40" s="523" t="s">
        <v>131</v>
      </c>
      <c r="E40" s="455">
        <f>'29'!F40</f>
        <v>889</v>
      </c>
      <c r="F40" s="510">
        <v>889</v>
      </c>
      <c r="G40" s="473">
        <f t="shared" si="3"/>
        <v>0</v>
      </c>
      <c r="H40" s="460">
        <f>G40+'29'!H40</f>
        <v>0</v>
      </c>
      <c r="I40" s="455"/>
      <c r="J40" s="552">
        <f>H40/DAY(B2)</f>
        <v>0</v>
      </c>
      <c r="K40" s="429"/>
      <c r="L40" s="377"/>
      <c r="N40" s="440">
        <f>F40-'1'!E40</f>
        <v>0</v>
      </c>
      <c r="O40" s="805"/>
    </row>
    <row r="41" spans="1:15" ht="21.95" customHeight="1">
      <c r="A41" s="578" t="s">
        <v>169</v>
      </c>
      <c r="B41" s="579"/>
      <c r="C41" s="579"/>
      <c r="D41" s="523" t="s">
        <v>131</v>
      </c>
      <c r="E41" s="455">
        <f>'29'!F41</f>
        <v>240478</v>
      </c>
      <c r="F41" s="510">
        <v>240478</v>
      </c>
      <c r="G41" s="473">
        <f t="shared" si="3"/>
        <v>0</v>
      </c>
      <c r="H41" s="460">
        <f>G41+'29'!H41</f>
        <v>0</v>
      </c>
      <c r="I41" s="455"/>
      <c r="J41" s="552">
        <f>H41/DAY(B2)</f>
        <v>0</v>
      </c>
      <c r="K41" s="428"/>
      <c r="L41" s="377"/>
      <c r="N41" s="440">
        <f>F41-'1'!E41</f>
        <v>0</v>
      </c>
      <c r="O41" s="805"/>
    </row>
    <row r="42" spans="1:15" ht="21.95" customHeight="1">
      <c r="A42" s="578" t="s">
        <v>170</v>
      </c>
      <c r="B42" s="579"/>
      <c r="C42" s="579"/>
      <c r="D42" s="523" t="s">
        <v>131</v>
      </c>
      <c r="E42" s="455">
        <f>'29'!F42</f>
        <v>59199</v>
      </c>
      <c r="F42" s="510">
        <v>59199</v>
      </c>
      <c r="G42" s="473">
        <f t="shared" si="3"/>
        <v>0</v>
      </c>
      <c r="H42" s="460">
        <f>G42+'29'!H42</f>
        <v>2.9999999998835847E-2</v>
      </c>
      <c r="I42" s="455"/>
      <c r="J42" s="552">
        <f>H42/DAY(B2)</f>
        <v>9.9999999996119491E-4</v>
      </c>
      <c r="K42" s="428"/>
      <c r="L42" s="377"/>
      <c r="N42" s="440">
        <f>F42-'1'!E42</f>
        <v>-1</v>
      </c>
      <c r="O42" s="805"/>
    </row>
    <row r="43" spans="1:15" ht="21.95" customHeight="1">
      <c r="A43" s="578" t="s">
        <v>171</v>
      </c>
      <c r="B43" s="579"/>
      <c r="C43" s="579"/>
      <c r="D43" s="523" t="s">
        <v>131</v>
      </c>
      <c r="E43" s="455">
        <f>'29'!F43</f>
        <v>1037660</v>
      </c>
      <c r="F43" s="510">
        <v>1039967</v>
      </c>
      <c r="G43" s="473">
        <f t="shared" si="3"/>
        <v>2307</v>
      </c>
      <c r="H43" s="460">
        <f>G43+'29'!H43</f>
        <v>-2277</v>
      </c>
      <c r="I43" s="455"/>
      <c r="J43" s="552">
        <f>H43/DAY(B2)</f>
        <v>-75.900000000000006</v>
      </c>
      <c r="K43" s="428"/>
      <c r="L43" s="377"/>
      <c r="N43" s="440">
        <f>F43-'1'!E43</f>
        <v>-2277</v>
      </c>
      <c r="O43" s="805"/>
    </row>
    <row r="44" spans="1:15" ht="21.95" customHeight="1">
      <c r="A44" s="578" t="s">
        <v>172</v>
      </c>
      <c r="B44" s="579"/>
      <c r="C44" s="579"/>
      <c r="D44" s="523" t="s">
        <v>131</v>
      </c>
      <c r="E44" s="455">
        <f>'29'!F44</f>
        <v>0</v>
      </c>
      <c r="F44" s="510">
        <v>0</v>
      </c>
      <c r="G44" s="473">
        <f t="shared" si="3"/>
        <v>0</v>
      </c>
      <c r="H44" s="460">
        <f>G44+'29'!H44</f>
        <v>0</v>
      </c>
      <c r="I44" s="455"/>
      <c r="J44" s="552">
        <f>H44/DAY(B2)</f>
        <v>0</v>
      </c>
      <c r="K44" s="428"/>
      <c r="L44" s="377"/>
      <c r="N44" s="440">
        <f>F44-'1'!E44</f>
        <v>0</v>
      </c>
      <c r="O44" s="805"/>
    </row>
    <row r="45" spans="1:15" ht="21.95" customHeight="1">
      <c r="A45" s="578" t="s">
        <v>173</v>
      </c>
      <c r="B45" s="579"/>
      <c r="C45" s="579"/>
      <c r="D45" s="523" t="s">
        <v>131</v>
      </c>
      <c r="E45" s="455">
        <f>'29'!F45</f>
        <v>614</v>
      </c>
      <c r="F45" s="510">
        <v>614</v>
      </c>
      <c r="G45" s="473">
        <f t="shared" si="3"/>
        <v>0</v>
      </c>
      <c r="H45" s="460">
        <f>G45+'29'!H45</f>
        <v>614</v>
      </c>
      <c r="I45" s="455"/>
      <c r="J45" s="552">
        <f>H45/DAY(B2)</f>
        <v>20.466666666666665</v>
      </c>
      <c r="K45" s="428"/>
      <c r="L45" s="377"/>
      <c r="N45" s="440">
        <f>F45-'1'!E45</f>
        <v>0</v>
      </c>
      <c r="O45" s="805"/>
    </row>
    <row r="46" spans="1:15" ht="21.95" customHeight="1">
      <c r="A46" s="578" t="s">
        <v>174</v>
      </c>
      <c r="B46" s="579"/>
      <c r="C46" s="579"/>
      <c r="D46" s="523" t="s">
        <v>131</v>
      </c>
      <c r="E46" s="455">
        <f>'29'!F46</f>
        <v>187</v>
      </c>
      <c r="F46" s="510">
        <v>187</v>
      </c>
      <c r="G46" s="473">
        <f t="shared" si="3"/>
        <v>0</v>
      </c>
      <c r="H46" s="460">
        <f>G46+'29'!H46</f>
        <v>186.95</v>
      </c>
      <c r="I46" s="455"/>
      <c r="J46" s="552">
        <f>H46/DAY(B2)</f>
        <v>6.2316666666666665</v>
      </c>
      <c r="K46" s="428"/>
      <c r="L46" s="377"/>
      <c r="N46" s="440">
        <f>F46-'1'!E46</f>
        <v>0</v>
      </c>
      <c r="O46" s="805"/>
    </row>
    <row r="47" spans="1:15" ht="21.95" customHeight="1">
      <c r="A47" s="585" t="s">
        <v>175</v>
      </c>
      <c r="B47" s="586"/>
      <c r="C47" s="586"/>
      <c r="D47" s="470"/>
      <c r="E47" s="511"/>
      <c r="F47" s="511"/>
      <c r="G47" s="481">
        <f>G35+G36+G37+G38+G39+G40+G41+G42+G43+G44+G45+G46</f>
        <v>9726</v>
      </c>
      <c r="H47" s="460">
        <f>G47+'29'!H47</f>
        <v>338387.47</v>
      </c>
      <c r="I47" s="455"/>
      <c r="J47" s="552">
        <f>H47/DAY(B2)</f>
        <v>11279.582333333332</v>
      </c>
      <c r="K47" s="428"/>
      <c r="L47" s="377"/>
      <c r="N47" s="440">
        <f>F47-'1'!E47</f>
        <v>0</v>
      </c>
      <c r="O47" s="805"/>
    </row>
    <row r="48" spans="1:15" ht="29.25">
      <c r="A48" s="598" t="s">
        <v>176</v>
      </c>
      <c r="B48" s="1146"/>
      <c r="C48" s="1146"/>
      <c r="D48" s="472"/>
      <c r="E48" s="471"/>
      <c r="F48" s="471"/>
      <c r="G48" s="472"/>
      <c r="H48" s="472"/>
      <c r="I48" s="472"/>
      <c r="J48" s="551"/>
      <c r="K48" s="428"/>
      <c r="L48" s="377"/>
      <c r="O48" s="805"/>
    </row>
    <row r="49" spans="1:15" ht="29.25">
      <c r="A49" s="578" t="s">
        <v>163</v>
      </c>
      <c r="B49" s="601"/>
      <c r="C49" s="601"/>
      <c r="D49" s="523" t="s">
        <v>131</v>
      </c>
      <c r="E49" s="455">
        <f>'29'!F49</f>
        <v>260732.13</v>
      </c>
      <c r="F49" s="510">
        <v>260732.13</v>
      </c>
      <c r="G49" s="473">
        <f t="shared" ref="G49:G58" si="4">F49-E49</f>
        <v>0</v>
      </c>
      <c r="H49" s="460">
        <f>G49+'29'!H49</f>
        <v>0.13000000000465661</v>
      </c>
      <c r="I49" s="455"/>
      <c r="J49" s="552">
        <f>H49/DAY(B2)</f>
        <v>4.3333333334885536E-3</v>
      </c>
      <c r="K49" s="428"/>
      <c r="L49" s="377"/>
      <c r="O49" s="805"/>
    </row>
    <row r="50" spans="1:15" ht="29.25">
      <c r="A50" s="578" t="s">
        <v>177</v>
      </c>
      <c r="B50" s="601"/>
      <c r="C50" s="601"/>
      <c r="D50" s="523" t="s">
        <v>131</v>
      </c>
      <c r="E50" s="455">
        <f>'29'!F50</f>
        <v>500726</v>
      </c>
      <c r="F50" s="510">
        <v>501652</v>
      </c>
      <c r="G50" s="473">
        <f t="shared" si="4"/>
        <v>926</v>
      </c>
      <c r="H50" s="460">
        <f>G50+'29'!H50</f>
        <v>-1774</v>
      </c>
      <c r="I50" s="455"/>
      <c r="J50" s="552">
        <f>H50/DAY(B2)</f>
        <v>-59.133333333333333</v>
      </c>
      <c r="K50" s="428"/>
      <c r="L50" s="377"/>
      <c r="O50" s="805"/>
    </row>
    <row r="51" spans="1:15" ht="29.25">
      <c r="A51" s="578" t="s">
        <v>165</v>
      </c>
      <c r="B51" s="601"/>
      <c r="C51" s="601"/>
      <c r="D51" s="523" t="s">
        <v>131</v>
      </c>
      <c r="E51" s="455">
        <f>'29'!F51</f>
        <v>144639.87</v>
      </c>
      <c r="F51" s="510">
        <v>144640</v>
      </c>
      <c r="G51" s="473">
        <f t="shared" si="4"/>
        <v>0.13000000000465661</v>
      </c>
      <c r="H51" s="460">
        <f>G51+'29'!H51</f>
        <v>0</v>
      </c>
      <c r="I51" s="455"/>
      <c r="J51" s="552">
        <f>H51/DAY(B2)</f>
        <v>0</v>
      </c>
      <c r="K51" s="428"/>
      <c r="L51" s="377"/>
      <c r="O51" s="805"/>
    </row>
    <row r="52" spans="1:15" ht="29.25">
      <c r="A52" s="578" t="s">
        <v>178</v>
      </c>
      <c r="B52" s="601"/>
      <c r="C52" s="601"/>
      <c r="D52" s="523" t="s">
        <v>131</v>
      </c>
      <c r="E52" s="455">
        <f>'29'!F52</f>
        <v>539606.06999999995</v>
      </c>
      <c r="F52" s="510">
        <v>539606</v>
      </c>
      <c r="G52" s="473">
        <f t="shared" si="4"/>
        <v>-6.9999999948777258E-2</v>
      </c>
      <c r="H52" s="460">
        <f>G52+'29'!H52</f>
        <v>-6.9999999948777258E-2</v>
      </c>
      <c r="I52" s="455"/>
      <c r="J52" s="552">
        <f>H52/DAY(B2)</f>
        <v>-2.3333333316259085E-3</v>
      </c>
      <c r="K52" s="428"/>
      <c r="L52" s="377"/>
      <c r="O52" s="805"/>
    </row>
    <row r="53" spans="1:15" ht="29.25">
      <c r="A53" s="578" t="s">
        <v>167</v>
      </c>
      <c r="B53" s="601"/>
      <c r="C53" s="601"/>
      <c r="D53" s="523" t="s">
        <v>131</v>
      </c>
      <c r="E53" s="455">
        <f>'29'!F53</f>
        <v>431514</v>
      </c>
      <c r="F53" s="510">
        <v>432059</v>
      </c>
      <c r="G53" s="473">
        <f t="shared" si="4"/>
        <v>545</v>
      </c>
      <c r="H53" s="460">
        <f>G53+'29'!H53</f>
        <v>-509.3300000000163</v>
      </c>
      <c r="I53" s="455"/>
      <c r="J53" s="552">
        <f>H53/DAY(B2)</f>
        <v>-16.977666666667211</v>
      </c>
      <c r="K53" s="428"/>
      <c r="L53" s="377"/>
      <c r="O53" s="805"/>
    </row>
    <row r="54" spans="1:15" ht="29.25">
      <c r="A54" s="578" t="s">
        <v>179</v>
      </c>
      <c r="B54" s="601"/>
      <c r="C54" s="601"/>
      <c r="D54" s="523" t="s">
        <v>131</v>
      </c>
      <c r="E54" s="455">
        <f>'29'!F54</f>
        <v>13596</v>
      </c>
      <c r="F54" s="510">
        <v>13678</v>
      </c>
      <c r="G54" s="473">
        <f t="shared" si="4"/>
        <v>82</v>
      </c>
      <c r="H54" s="460">
        <f>G54+'29'!H54</f>
        <v>-151</v>
      </c>
      <c r="I54" s="455"/>
      <c r="J54" s="552">
        <f>H54/DAY(B2)</f>
        <v>-5.0333333333333332</v>
      </c>
      <c r="K54" s="428"/>
      <c r="L54" s="377"/>
      <c r="O54" s="805"/>
    </row>
    <row r="55" spans="1:15" ht="29.25">
      <c r="A55" s="578" t="s">
        <v>180</v>
      </c>
      <c r="B55" s="601"/>
      <c r="C55" s="601"/>
      <c r="D55" s="523" t="s">
        <v>131</v>
      </c>
      <c r="E55" s="455">
        <f>'29'!F55</f>
        <v>68111</v>
      </c>
      <c r="F55" s="1057">
        <v>68111</v>
      </c>
      <c r="G55" s="473">
        <f t="shared" si="4"/>
        <v>0</v>
      </c>
      <c r="H55" s="460">
        <f>G55+'29'!H55</f>
        <v>0</v>
      </c>
      <c r="I55" s="455"/>
      <c r="J55" s="552">
        <f>H55/DAY(B2)</f>
        <v>0</v>
      </c>
      <c r="K55" s="428"/>
      <c r="L55" s="377"/>
      <c r="O55" s="805"/>
    </row>
    <row r="56" spans="1:15" ht="29.25">
      <c r="A56" s="578" t="s">
        <v>181</v>
      </c>
      <c r="B56" s="601"/>
      <c r="C56" s="601"/>
      <c r="D56" s="523" t="s">
        <v>182</v>
      </c>
      <c r="E56" s="455">
        <f>'29'!F56</f>
        <v>606023</v>
      </c>
      <c r="F56" s="510">
        <v>611596</v>
      </c>
      <c r="G56" s="473">
        <f t="shared" si="4"/>
        <v>5573</v>
      </c>
      <c r="H56" s="460">
        <f>G56+'29'!H56</f>
        <v>-5602</v>
      </c>
      <c r="I56" s="455"/>
      <c r="J56" s="552">
        <f>H56/DAY(B2)</f>
        <v>-186.73333333333332</v>
      </c>
      <c r="K56" s="427"/>
      <c r="L56" s="377"/>
      <c r="O56" s="805"/>
    </row>
    <row r="57" spans="1:15" ht="29.25">
      <c r="A57" s="578" t="s">
        <v>171</v>
      </c>
      <c r="B57" s="601"/>
      <c r="C57" s="601"/>
      <c r="D57" s="523" t="s">
        <v>131</v>
      </c>
      <c r="E57" s="455">
        <f>'29'!F57</f>
        <v>7711</v>
      </c>
      <c r="F57" s="510">
        <v>7711</v>
      </c>
      <c r="G57" s="473">
        <f t="shared" si="4"/>
        <v>0</v>
      </c>
      <c r="H57" s="460">
        <f>G57+'29'!H57</f>
        <v>0</v>
      </c>
      <c r="I57" s="455"/>
      <c r="J57" s="552">
        <f>H57/DAY(B2)</f>
        <v>0</v>
      </c>
      <c r="K57" s="428"/>
      <c r="L57" s="377"/>
      <c r="O57" s="805"/>
    </row>
    <row r="58" spans="1:15" ht="29.25">
      <c r="A58" s="578" t="s">
        <v>183</v>
      </c>
      <c r="B58" s="601"/>
      <c r="C58" s="601"/>
      <c r="D58" s="523" t="s">
        <v>131</v>
      </c>
      <c r="E58" s="455">
        <f>'29'!F58</f>
        <v>49264</v>
      </c>
      <c r="F58" s="510">
        <v>49355</v>
      </c>
      <c r="G58" s="473">
        <f t="shared" si="4"/>
        <v>91</v>
      </c>
      <c r="H58" s="460">
        <f>G58+'29'!H58</f>
        <v>-509.20999999999913</v>
      </c>
      <c r="I58" s="455"/>
      <c r="J58" s="552">
        <f>H58/DAY(B2)</f>
        <v>-16.973666666666638</v>
      </c>
      <c r="K58" s="428"/>
      <c r="L58" s="377"/>
      <c r="O58" s="805"/>
    </row>
    <row r="59" spans="1:15" ht="29.25">
      <c r="A59" s="585" t="s">
        <v>175</v>
      </c>
      <c r="B59" s="586"/>
      <c r="C59" s="586"/>
      <c r="D59" s="511"/>
      <c r="E59" s="511"/>
      <c r="F59" s="511"/>
      <c r="G59" s="481">
        <f>G49+G50+G51+G52+G53+G54+G55+G56+G57+G58</f>
        <v>7217.0600000000559</v>
      </c>
      <c r="H59" s="460">
        <f>G59+'29'!H59</f>
        <v>-8545.4100000000017</v>
      </c>
      <c r="I59" s="455">
        <f>G7-G60</f>
        <v>56.939999999944121</v>
      </c>
      <c r="J59" s="552">
        <f>H59/DAY(B2)</f>
        <v>-284.84700000000004</v>
      </c>
      <c r="K59" s="428"/>
      <c r="L59" s="377"/>
      <c r="O59" s="805"/>
    </row>
    <row r="60" spans="1:15" ht="29.25">
      <c r="A60" s="578"/>
      <c r="B60" s="579"/>
      <c r="C60" s="579"/>
      <c r="D60" s="511" t="s">
        <v>184</v>
      </c>
      <c r="E60" s="511"/>
      <c r="F60" s="511"/>
      <c r="G60" s="481">
        <f>G47+G59</f>
        <v>16943.060000000056</v>
      </c>
      <c r="H60" s="460">
        <f>G60+'29'!H60</f>
        <v>331050.59999999986</v>
      </c>
      <c r="I60" s="455">
        <f>G13-G60</f>
        <v>6.9399999999441206</v>
      </c>
      <c r="J60" s="552">
        <f>H60/DAY(B2)</f>
        <v>11035.019999999995</v>
      </c>
      <c r="K60" s="428"/>
      <c r="L60" s="377"/>
      <c r="O60" s="805"/>
    </row>
    <row r="61" spans="1:15" ht="29.25">
      <c r="A61" s="602" t="s">
        <v>185</v>
      </c>
      <c r="B61" s="453"/>
      <c r="C61" s="453"/>
      <c r="D61" s="513"/>
      <c r="E61" s="512"/>
      <c r="F61" s="512"/>
      <c r="G61" s="513"/>
      <c r="H61" s="513"/>
      <c r="I61" s="513"/>
      <c r="J61" s="555"/>
      <c r="K61" s="428"/>
      <c r="L61" s="377"/>
      <c r="O61" s="805"/>
    </row>
    <row r="62" spans="1:15" ht="29.25">
      <c r="A62" s="603" t="s">
        <v>97</v>
      </c>
      <c r="B62" s="604"/>
      <c r="C62" s="604"/>
      <c r="D62" s="511" t="s">
        <v>186</v>
      </c>
      <c r="E62" s="455">
        <f>'29'!F62</f>
        <v>20419</v>
      </c>
      <c r="F62" s="514">
        <v>20419</v>
      </c>
      <c r="G62" s="473">
        <f t="shared" ref="G62:G69" si="5">F62-E62</f>
        <v>0</v>
      </c>
      <c r="H62" s="460">
        <f>G62+'29'!H62</f>
        <v>1.9999999967694748E-3</v>
      </c>
      <c r="I62" s="515"/>
      <c r="J62" s="552">
        <f>H62/DAY(B2)</f>
        <v>6.666666655898249E-5</v>
      </c>
      <c r="K62" s="428"/>
      <c r="L62" s="377"/>
      <c r="O62" s="805"/>
    </row>
    <row r="63" spans="1:15" ht="29.25">
      <c r="A63" s="603" t="s">
        <v>187</v>
      </c>
      <c r="B63" s="604"/>
      <c r="C63" s="604"/>
      <c r="D63" s="511" t="s">
        <v>186</v>
      </c>
      <c r="E63" s="455">
        <f>'29'!F63</f>
        <v>2468</v>
      </c>
      <c r="F63" s="514">
        <v>2472</v>
      </c>
      <c r="G63" s="473">
        <f t="shared" si="5"/>
        <v>4</v>
      </c>
      <c r="H63" s="460">
        <f>G63+'29'!H63</f>
        <v>2472</v>
      </c>
      <c r="I63" s="515"/>
      <c r="J63" s="552">
        <f>H63/DAY(B2)</f>
        <v>82.4</v>
      </c>
      <c r="K63" s="428"/>
      <c r="L63" s="377"/>
      <c r="O63" s="805"/>
    </row>
    <row r="64" spans="1:15" ht="27.75">
      <c r="A64" s="1677" t="s">
        <v>98</v>
      </c>
      <c r="B64" s="1586"/>
      <c r="C64" s="1586"/>
      <c r="D64" s="523" t="s">
        <v>186</v>
      </c>
      <c r="E64" s="455">
        <f>'29'!F64</f>
        <v>159553</v>
      </c>
      <c r="F64" s="484">
        <v>159745</v>
      </c>
      <c r="G64" s="473">
        <f t="shared" si="5"/>
        <v>192</v>
      </c>
      <c r="H64" s="460">
        <f>G64+'29'!H64</f>
        <v>-187</v>
      </c>
      <c r="I64" s="480"/>
      <c r="J64" s="552">
        <f>H64/DAY(B2)</f>
        <v>-6.2333333333333334</v>
      </c>
      <c r="K64" s="428"/>
      <c r="L64" s="377"/>
      <c r="O64" s="805"/>
    </row>
    <row r="65" spans="1:15" ht="27.75">
      <c r="A65" s="1677" t="s">
        <v>99</v>
      </c>
      <c r="B65" s="1586"/>
      <c r="C65" s="1586"/>
      <c r="D65" s="523" t="s">
        <v>186</v>
      </c>
      <c r="E65" s="455">
        <f>'29'!F65</f>
        <v>160561</v>
      </c>
      <c r="F65" s="484">
        <v>160777</v>
      </c>
      <c r="G65" s="473">
        <f t="shared" si="5"/>
        <v>216</v>
      </c>
      <c r="H65" s="460">
        <f>G65+'29'!H65</f>
        <v>-221</v>
      </c>
      <c r="I65" s="489"/>
      <c r="J65" s="552">
        <f>H65/DAY(B2)</f>
        <v>-7.3666666666666663</v>
      </c>
      <c r="K65" s="428"/>
      <c r="L65" s="377"/>
      <c r="O65" s="805"/>
    </row>
    <row r="66" spans="1:15" ht="27.75">
      <c r="A66" s="1677" t="s">
        <v>100</v>
      </c>
      <c r="B66" s="1586"/>
      <c r="C66" s="1586"/>
      <c r="D66" s="523" t="s">
        <v>186</v>
      </c>
      <c r="E66" s="455">
        <f>'29'!F66</f>
        <v>56221</v>
      </c>
      <c r="F66" s="484">
        <v>56522</v>
      </c>
      <c r="G66" s="473">
        <f t="shared" si="5"/>
        <v>301</v>
      </c>
      <c r="H66" s="460">
        <f>G66+'29'!H66</f>
        <v>-283</v>
      </c>
      <c r="I66" s="480"/>
      <c r="J66" s="552">
        <f>H66/DAY(B2)</f>
        <v>-9.4333333333333336</v>
      </c>
      <c r="K66" s="428"/>
      <c r="L66" s="377"/>
      <c r="O66" s="805"/>
    </row>
    <row r="67" spans="1:15" ht="27.75">
      <c r="A67" s="1677" t="s">
        <v>101</v>
      </c>
      <c r="B67" s="1586"/>
      <c r="C67" s="1586"/>
      <c r="D67" s="523" t="s">
        <v>186</v>
      </c>
      <c r="E67" s="455">
        <f>'29'!F67</f>
        <v>251244</v>
      </c>
      <c r="F67" s="484">
        <v>251770</v>
      </c>
      <c r="G67" s="473">
        <f t="shared" si="5"/>
        <v>526</v>
      </c>
      <c r="H67" s="460">
        <f>G67+'29'!H67</f>
        <v>-422</v>
      </c>
      <c r="I67" s="489"/>
      <c r="J67" s="552">
        <f>H67/DAY(B2)</f>
        <v>-14.066666666666666</v>
      </c>
      <c r="K67" s="429"/>
      <c r="L67" s="377"/>
      <c r="O67" s="805"/>
    </row>
    <row r="68" spans="1:15" ht="27.75">
      <c r="A68" s="1677" t="s">
        <v>102</v>
      </c>
      <c r="B68" s="1586"/>
      <c r="C68" s="1586"/>
      <c r="D68" s="523" t="s">
        <v>186</v>
      </c>
      <c r="E68" s="455">
        <f>'29'!F68</f>
        <v>85321</v>
      </c>
      <c r="F68" s="484">
        <v>85321</v>
      </c>
      <c r="G68" s="473">
        <f t="shared" si="5"/>
        <v>0</v>
      </c>
      <c r="H68" s="460">
        <f>G68+'29'!H68</f>
        <v>0</v>
      </c>
      <c r="I68" s="516"/>
      <c r="J68" s="552">
        <f>H68/DAY(B2)</f>
        <v>0</v>
      </c>
      <c r="K68" s="430"/>
      <c r="L68" s="377"/>
      <c r="O68" s="805"/>
    </row>
    <row r="69" spans="1:15" ht="27.75">
      <c r="A69" s="1677" t="s">
        <v>103</v>
      </c>
      <c r="B69" s="1586"/>
      <c r="C69" s="1586"/>
      <c r="D69" s="523" t="s">
        <v>186</v>
      </c>
      <c r="E69" s="455">
        <f>'29'!F69</f>
        <v>81507</v>
      </c>
      <c r="F69" s="484">
        <v>81645</v>
      </c>
      <c r="G69" s="473">
        <f t="shared" si="5"/>
        <v>138</v>
      </c>
      <c r="H69" s="460">
        <f>G69+'29'!H69</f>
        <v>-104</v>
      </c>
      <c r="I69" s="516"/>
      <c r="J69" s="552">
        <f>H69/DAY(B2)</f>
        <v>-3.4666666666666668</v>
      </c>
      <c r="K69" s="431"/>
      <c r="L69" s="377"/>
      <c r="O69" s="805"/>
    </row>
    <row r="70" spans="1:15" ht="27.75">
      <c r="A70" s="1694" t="s">
        <v>188</v>
      </c>
      <c r="B70" s="1599"/>
      <c r="C70" s="1599"/>
      <c r="D70" s="523" t="s">
        <v>186</v>
      </c>
      <c r="E70" s="517"/>
      <c r="F70" s="518"/>
      <c r="G70" s="518"/>
      <c r="H70" s="460">
        <f>G70+'29'!H70</f>
        <v>0</v>
      </c>
      <c r="I70" s="518"/>
      <c r="J70" s="556"/>
      <c r="K70" s="431"/>
      <c r="L70" s="377"/>
      <c r="O70" s="805"/>
    </row>
    <row r="71" spans="1:15" ht="31.5">
      <c r="A71" s="1686" t="s">
        <v>189</v>
      </c>
      <c r="B71" s="1687"/>
      <c r="C71" s="1687"/>
      <c r="D71" s="1687"/>
      <c r="E71" s="1687"/>
      <c r="F71" s="1687"/>
      <c r="G71" s="1687"/>
      <c r="H71" s="1687"/>
      <c r="I71" s="1687"/>
      <c r="J71" s="1688"/>
      <c r="K71" s="430"/>
      <c r="L71" s="377"/>
      <c r="O71" s="805"/>
    </row>
    <row r="72" spans="1:15" ht="27.75">
      <c r="A72" s="1677" t="s">
        <v>190</v>
      </c>
      <c r="B72" s="1586"/>
      <c r="C72" s="1586"/>
      <c r="D72" s="523" t="s">
        <v>186</v>
      </c>
      <c r="E72" s="455">
        <f>'29'!F72</f>
        <v>855817</v>
      </c>
      <c r="F72" s="519">
        <v>855831</v>
      </c>
      <c r="G72" s="473">
        <f t="shared" ref="G72:G84" si="6">F72-E72</f>
        <v>14</v>
      </c>
      <c r="H72" s="460">
        <f>G72+'29'!H72</f>
        <v>-25</v>
      </c>
      <c r="I72" s="480"/>
      <c r="J72" s="552">
        <f>H72/DAY(B2)</f>
        <v>-0.83333333333333337</v>
      </c>
      <c r="K72" s="431"/>
      <c r="L72" s="377"/>
      <c r="O72" s="805"/>
    </row>
    <row r="73" spans="1:15" ht="27.75">
      <c r="A73" s="1677" t="s">
        <v>191</v>
      </c>
      <c r="B73" s="1586"/>
      <c r="C73" s="1586"/>
      <c r="D73" s="523" t="s">
        <v>186</v>
      </c>
      <c r="E73" s="455">
        <f>'29'!F73</f>
        <v>885935</v>
      </c>
      <c r="F73" s="520">
        <v>885936</v>
      </c>
      <c r="G73" s="473">
        <f t="shared" si="6"/>
        <v>1</v>
      </c>
      <c r="H73" s="460">
        <f>G73+'29'!H73</f>
        <v>155</v>
      </c>
      <c r="I73" s="480"/>
      <c r="J73" s="552">
        <f>H73/DAY(B2)</f>
        <v>5.166666666666667</v>
      </c>
      <c r="K73" s="430"/>
      <c r="L73" s="377"/>
      <c r="O73" s="805"/>
    </row>
    <row r="74" spans="1:15" ht="27.75">
      <c r="A74" s="1677" t="s">
        <v>192</v>
      </c>
      <c r="B74" s="1586"/>
      <c r="C74" s="1586"/>
      <c r="D74" s="523" t="s">
        <v>186</v>
      </c>
      <c r="E74" s="455">
        <f>'29'!F74</f>
        <v>2573</v>
      </c>
      <c r="F74" s="521">
        <v>2579</v>
      </c>
      <c r="G74" s="473">
        <f t="shared" si="6"/>
        <v>6</v>
      </c>
      <c r="H74" s="460">
        <f>G74+'29'!H74</f>
        <v>-86086.04</v>
      </c>
      <c r="I74" s="480"/>
      <c r="J74" s="552">
        <f>H74/DAY(B2)</f>
        <v>-2869.5346666666665</v>
      </c>
      <c r="K74" s="431"/>
      <c r="L74" s="377"/>
      <c r="O74" s="805"/>
    </row>
    <row r="75" spans="1:15" ht="27.75">
      <c r="A75" s="1684" t="s">
        <v>193</v>
      </c>
      <c r="B75" s="1685"/>
      <c r="C75" s="1685"/>
      <c r="D75" s="523" t="s">
        <v>186</v>
      </c>
      <c r="E75" s="455">
        <f>'29'!F75</f>
        <v>12561</v>
      </c>
      <c r="F75" s="521">
        <v>12615</v>
      </c>
      <c r="G75" s="473">
        <f t="shared" si="6"/>
        <v>54</v>
      </c>
      <c r="H75" s="460">
        <f>G75+'29'!H75</f>
        <v>-54</v>
      </c>
      <c r="I75" s="480"/>
      <c r="J75" s="552">
        <f>H75/DAY(B2)</f>
        <v>-1.8</v>
      </c>
      <c r="K75" s="430"/>
      <c r="L75" s="377"/>
      <c r="O75" s="805"/>
    </row>
    <row r="76" spans="1:15" ht="27.75">
      <c r="A76" s="1684" t="s">
        <v>194</v>
      </c>
      <c r="B76" s="1685"/>
      <c r="C76" s="1685"/>
      <c r="D76" s="523" t="s">
        <v>186</v>
      </c>
      <c r="E76" s="455">
        <f>'29'!F76</f>
        <v>7308</v>
      </c>
      <c r="F76" s="520">
        <v>7363</v>
      </c>
      <c r="G76" s="473">
        <f t="shared" si="6"/>
        <v>55</v>
      </c>
      <c r="H76" s="460">
        <f>G76+'29'!H76</f>
        <v>157</v>
      </c>
      <c r="I76" s="505"/>
      <c r="J76" s="552">
        <f>H76/DAY(B2)</f>
        <v>5.2333333333333334</v>
      </c>
      <c r="K76" s="430"/>
      <c r="L76" s="377"/>
      <c r="O76" s="805"/>
    </row>
    <row r="77" spans="1:15" ht="27.75">
      <c r="A77" s="1677" t="s">
        <v>195</v>
      </c>
      <c r="B77" s="1586"/>
      <c r="C77" s="1586"/>
      <c r="D77" s="523" t="s">
        <v>186</v>
      </c>
      <c r="E77" s="455">
        <f>'29'!F77</f>
        <v>702750</v>
      </c>
      <c r="F77" s="521">
        <v>702791</v>
      </c>
      <c r="G77" s="473">
        <f t="shared" si="6"/>
        <v>41</v>
      </c>
      <c r="H77" s="460">
        <f>G77+'29'!H77</f>
        <v>-48</v>
      </c>
      <c r="I77" s="505"/>
      <c r="J77" s="552">
        <f>H77/DAY(B2)</f>
        <v>-1.6</v>
      </c>
      <c r="K77" s="430"/>
      <c r="L77" s="377"/>
      <c r="O77" s="805"/>
    </row>
    <row r="78" spans="1:15" ht="27.75">
      <c r="A78" s="1144" t="s">
        <v>196</v>
      </c>
      <c r="B78" s="1117"/>
      <c r="C78" s="1117"/>
      <c r="D78" s="523" t="s">
        <v>186</v>
      </c>
      <c r="E78" s="455">
        <f>'29'!F78</f>
        <v>672760</v>
      </c>
      <c r="F78" s="521">
        <v>672954</v>
      </c>
      <c r="G78" s="473">
        <f t="shared" si="6"/>
        <v>194</v>
      </c>
      <c r="H78" s="460">
        <f>G78+'29'!H78</f>
        <v>-78</v>
      </c>
      <c r="I78" s="505"/>
      <c r="J78" s="552">
        <f>H78/DAY(B2)</f>
        <v>-2.6</v>
      </c>
      <c r="K78" s="430"/>
      <c r="L78" s="377"/>
      <c r="O78" s="805"/>
    </row>
    <row r="79" spans="1:15" ht="27.75">
      <c r="A79" s="1684" t="s">
        <v>91</v>
      </c>
      <c r="B79" s="1685"/>
      <c r="C79" s="1685"/>
      <c r="D79" s="524" t="s">
        <v>186</v>
      </c>
      <c r="E79" s="455">
        <f>'29'!F79</f>
        <v>830691</v>
      </c>
      <c r="F79" s="521">
        <v>830852</v>
      </c>
      <c r="G79" s="473">
        <f t="shared" si="6"/>
        <v>161</v>
      </c>
      <c r="H79" s="460">
        <f>G79+'29'!H79</f>
        <v>-1170</v>
      </c>
      <c r="I79" s="505"/>
      <c r="J79" s="552">
        <f>H79/DAY(B2)</f>
        <v>-39</v>
      </c>
      <c r="K79" s="430"/>
      <c r="L79" s="377"/>
      <c r="O79" s="805"/>
    </row>
    <row r="80" spans="1:15" ht="27.75">
      <c r="A80" s="1684" t="s">
        <v>197</v>
      </c>
      <c r="B80" s="1685"/>
      <c r="C80" s="1685"/>
      <c r="D80" s="524" t="s">
        <v>186</v>
      </c>
      <c r="E80" s="455">
        <f>'29'!F80</f>
        <v>526918</v>
      </c>
      <c r="F80" s="520">
        <v>527299</v>
      </c>
      <c r="G80" s="473">
        <f t="shared" si="6"/>
        <v>381</v>
      </c>
      <c r="H80" s="460">
        <f>G80+'29'!H80</f>
        <v>-3246.5200000000186</v>
      </c>
      <c r="I80" s="505"/>
      <c r="J80" s="552">
        <f>H80/DAY(B2)</f>
        <v>-108.21733333333395</v>
      </c>
      <c r="K80" s="430"/>
      <c r="L80" s="377"/>
      <c r="O80" s="805"/>
    </row>
    <row r="81" spans="1:15" ht="27.75">
      <c r="A81" s="1684" t="s">
        <v>198</v>
      </c>
      <c r="B81" s="1685"/>
      <c r="C81" s="1685"/>
      <c r="D81" s="524" t="s">
        <v>186</v>
      </c>
      <c r="E81" s="455">
        <f>'29'!F81</f>
        <v>638711</v>
      </c>
      <c r="F81" s="520">
        <v>638809</v>
      </c>
      <c r="G81" s="473">
        <f t="shared" si="6"/>
        <v>98</v>
      </c>
      <c r="H81" s="460">
        <f>G81+'29'!H81</f>
        <v>-89</v>
      </c>
      <c r="I81" s="505"/>
      <c r="J81" s="552">
        <f>H81/DAY(B2)</f>
        <v>-2.9666666666666668</v>
      </c>
      <c r="K81" s="430"/>
      <c r="L81" s="377"/>
      <c r="O81" s="805"/>
    </row>
    <row r="82" spans="1:15" ht="27.75">
      <c r="A82" s="1684" t="s">
        <v>92</v>
      </c>
      <c r="B82" s="1685"/>
      <c r="C82" s="1685"/>
      <c r="D82" s="485" t="s">
        <v>131</v>
      </c>
      <c r="E82" s="455">
        <f>'29'!F82</f>
        <v>108123</v>
      </c>
      <c r="F82" s="522">
        <v>108146</v>
      </c>
      <c r="G82" s="473">
        <f t="shared" si="6"/>
        <v>23</v>
      </c>
      <c r="H82" s="460">
        <f>G82+'29'!H82</f>
        <v>-12</v>
      </c>
      <c r="I82" s="486"/>
      <c r="J82" s="552">
        <f>H82/DAY(B2)</f>
        <v>-0.4</v>
      </c>
      <c r="K82" s="430"/>
      <c r="L82" s="377"/>
      <c r="O82" s="805"/>
    </row>
    <row r="83" spans="1:15" ht="27.75">
      <c r="A83" s="1684" t="s">
        <v>199</v>
      </c>
      <c r="B83" s="1685"/>
      <c r="C83" s="1685"/>
      <c r="D83" s="620" t="s">
        <v>131</v>
      </c>
      <c r="E83" s="455">
        <f>'29'!F83</f>
        <v>20089</v>
      </c>
      <c r="F83" s="511">
        <v>20313</v>
      </c>
      <c r="G83" s="473">
        <f t="shared" si="6"/>
        <v>224</v>
      </c>
      <c r="H83" s="460">
        <f>G83+'29'!H83</f>
        <v>-193</v>
      </c>
      <c r="I83" s="481"/>
      <c r="J83" s="552">
        <f>H83/DAY(B2)</f>
        <v>-6.4333333333333336</v>
      </c>
      <c r="K83" s="429"/>
      <c r="L83" s="377"/>
      <c r="O83" s="805"/>
    </row>
    <row r="84" spans="1:15" ht="29.25">
      <c r="A84" s="1145" t="s">
        <v>200</v>
      </c>
      <c r="B84" s="571"/>
      <c r="C84" s="571"/>
      <c r="D84" s="478" t="s">
        <v>131</v>
      </c>
      <c r="E84" s="455">
        <f>'29'!F84</f>
        <v>498687</v>
      </c>
      <c r="F84" s="523">
        <v>499489</v>
      </c>
      <c r="G84" s="473">
        <f t="shared" si="6"/>
        <v>802</v>
      </c>
      <c r="H84" s="460">
        <f>G84+'29'!H84</f>
        <v>-805</v>
      </c>
      <c r="I84" s="481"/>
      <c r="J84" s="552">
        <f>H84/DAY(B2)</f>
        <v>-26.833333333333332</v>
      </c>
      <c r="K84" s="380"/>
      <c r="L84" s="377"/>
      <c r="O84" s="805"/>
    </row>
    <row r="85" spans="1:15" s="379" customFormat="1" ht="21.95" customHeight="1">
      <c r="A85" s="605" t="s">
        <v>201</v>
      </c>
      <c r="B85" s="572"/>
      <c r="C85" s="572"/>
      <c r="D85" s="489"/>
      <c r="E85" s="455">
        <f>'29'!F85</f>
        <v>0</v>
      </c>
      <c r="F85" s="523"/>
      <c r="G85" s="460">
        <f xml:space="preserve"> SUM(G72:G84)</f>
        <v>2054</v>
      </c>
      <c r="H85" s="460">
        <f>G85+'29'!H85</f>
        <v>-87951.039999999994</v>
      </c>
      <c r="I85" s="481"/>
      <c r="J85" s="552">
        <f>H85/DAY(B2)</f>
        <v>-2931.701333333333</v>
      </c>
      <c r="K85" s="380"/>
      <c r="L85" s="378"/>
      <c r="O85" s="805"/>
    </row>
    <row r="86" spans="1:15" s="736" customFormat="1" ht="29.25">
      <c r="A86" s="731" t="s">
        <v>93</v>
      </c>
      <c r="B86" s="732"/>
      <c r="C86" s="732"/>
      <c r="D86" s="733" t="s">
        <v>182</v>
      </c>
      <c r="E86" s="455">
        <f>'29'!F86</f>
        <v>460871</v>
      </c>
      <c r="F86" s="648">
        <v>460907</v>
      </c>
      <c r="G86" s="706">
        <f t="shared" ref="G86:G91" si="7">F86-E86</f>
        <v>36</v>
      </c>
      <c r="H86" s="460">
        <f>G86+'29'!H86</f>
        <v>71</v>
      </c>
      <c r="I86" s="653"/>
      <c r="J86" s="708">
        <f>H86/DAY(B2)</f>
        <v>2.3666666666666667</v>
      </c>
      <c r="K86" s="734"/>
      <c r="L86" s="735"/>
      <c r="O86" s="805"/>
    </row>
    <row r="87" spans="1:15" s="736" customFormat="1" ht="27.75" customHeight="1">
      <c r="A87" s="731" t="s">
        <v>94</v>
      </c>
      <c r="B87" s="732"/>
      <c r="C87" s="732"/>
      <c r="D87" s="733" t="s">
        <v>182</v>
      </c>
      <c r="E87" s="455">
        <f>'29'!F87</f>
        <v>81340</v>
      </c>
      <c r="F87" s="648">
        <v>81352</v>
      </c>
      <c r="G87" s="706">
        <f t="shared" si="7"/>
        <v>12</v>
      </c>
      <c r="H87" s="460">
        <f>G87+'29'!H87</f>
        <v>27</v>
      </c>
      <c r="I87" s="653"/>
      <c r="J87" s="708">
        <f>H87/DAY(B2)</f>
        <v>0.9</v>
      </c>
      <c r="K87" s="734"/>
      <c r="L87" s="735"/>
      <c r="O87" s="805"/>
    </row>
    <row r="88" spans="1:15" s="736" customFormat="1" ht="29.25">
      <c r="A88" s="731" t="s">
        <v>95</v>
      </c>
      <c r="B88" s="732"/>
      <c r="C88" s="732"/>
      <c r="D88" s="733" t="s">
        <v>182</v>
      </c>
      <c r="E88" s="455">
        <f>'29'!F88</f>
        <v>152946</v>
      </c>
      <c r="F88" s="648">
        <v>152970</v>
      </c>
      <c r="G88" s="706">
        <f t="shared" si="7"/>
        <v>24</v>
      </c>
      <c r="H88" s="460">
        <f>G88+'29'!H88</f>
        <v>47</v>
      </c>
      <c r="I88" s="653"/>
      <c r="J88" s="708">
        <f>H88/DAY(B2)</f>
        <v>1.5666666666666667</v>
      </c>
      <c r="K88" s="734"/>
      <c r="L88" s="735"/>
      <c r="O88" s="805"/>
    </row>
    <row r="89" spans="1:15" s="736" customFormat="1" ht="29.25">
      <c r="A89" s="731" t="s">
        <v>203</v>
      </c>
      <c r="B89" s="732"/>
      <c r="C89" s="732"/>
      <c r="D89" s="733" t="s">
        <v>182</v>
      </c>
      <c r="E89" s="455">
        <f>'29'!F89</f>
        <v>65153</v>
      </c>
      <c r="F89" s="648">
        <v>65164</v>
      </c>
      <c r="G89" s="706">
        <f t="shared" si="7"/>
        <v>11</v>
      </c>
      <c r="H89" s="460">
        <f>G89+'29'!H89</f>
        <v>22</v>
      </c>
      <c r="I89" s="653"/>
      <c r="J89" s="708">
        <f>H89/DAY(B2)</f>
        <v>0.73333333333333328</v>
      </c>
      <c r="K89" s="734"/>
      <c r="L89" s="735"/>
      <c r="N89" s="778"/>
      <c r="O89" s="805"/>
    </row>
    <row r="90" spans="1:15" s="736" customFormat="1" ht="29.25">
      <c r="A90" s="731" t="s">
        <v>203</v>
      </c>
      <c r="B90" s="732"/>
      <c r="C90" s="732"/>
      <c r="D90" s="733" t="s">
        <v>182</v>
      </c>
      <c r="E90" s="455">
        <f>'29'!F90</f>
        <v>3274</v>
      </c>
      <c r="F90" s="648">
        <v>3274</v>
      </c>
      <c r="G90" s="706">
        <f t="shared" si="7"/>
        <v>0</v>
      </c>
      <c r="H90" s="460">
        <f>G90+'29'!H90</f>
        <v>0</v>
      </c>
      <c r="I90" s="653"/>
      <c r="J90" s="708">
        <f>H90/DAY(B2)</f>
        <v>0</v>
      </c>
      <c r="K90" s="734"/>
      <c r="L90" s="735"/>
      <c r="N90" s="778"/>
      <c r="O90" s="805"/>
    </row>
    <row r="91" spans="1:15" s="736" customFormat="1" ht="29.25">
      <c r="A91" s="731" t="s">
        <v>350</v>
      </c>
      <c r="B91" s="732"/>
      <c r="C91" s="732"/>
      <c r="D91" s="733"/>
      <c r="E91" s="455">
        <f>'29'!F91</f>
        <v>28014</v>
      </c>
      <c r="F91" s="648">
        <v>28016</v>
      </c>
      <c r="G91" s="706">
        <f t="shared" si="7"/>
        <v>2</v>
      </c>
      <c r="H91" s="706"/>
      <c r="I91" s="653"/>
      <c r="J91" s="708"/>
      <c r="K91" s="734"/>
      <c r="L91" s="735"/>
      <c r="N91" s="778"/>
      <c r="O91" s="382"/>
    </row>
    <row r="92" spans="1:15" s="379" customFormat="1" ht="29.25">
      <c r="A92" s="606" t="s">
        <v>204</v>
      </c>
      <c r="B92" s="1147"/>
      <c r="C92" s="1147"/>
      <c r="D92" s="472"/>
      <c r="E92" s="472"/>
      <c r="F92" s="472"/>
      <c r="G92" s="488"/>
      <c r="H92" s="472"/>
      <c r="I92" s="472"/>
      <c r="J92" s="551"/>
      <c r="K92" s="380"/>
      <c r="L92" s="378"/>
      <c r="O92" s="805"/>
    </row>
    <row r="93" spans="1:15" ht="27.75">
      <c r="A93" s="1671" t="s">
        <v>205</v>
      </c>
      <c r="B93" s="1672"/>
      <c r="C93" s="1672"/>
      <c r="D93" s="523" t="s">
        <v>143</v>
      </c>
      <c r="E93" s="455">
        <f>'29'!F93</f>
        <v>245378</v>
      </c>
      <c r="F93" s="484">
        <v>245378</v>
      </c>
      <c r="G93" s="473">
        <f t="shared" ref="G93:G94" si="8">F93-E93</f>
        <v>0</v>
      </c>
      <c r="H93" s="460">
        <f>G93+'29'!H93</f>
        <v>-110</v>
      </c>
      <c r="I93" s="480"/>
      <c r="J93" s="552">
        <f>H93/DAY(B2)</f>
        <v>-3.6666666666666665</v>
      </c>
      <c r="K93" s="429"/>
      <c r="L93" s="377"/>
      <c r="O93" s="805"/>
    </row>
    <row r="94" spans="1:15" ht="27.75">
      <c r="A94" s="1671" t="s">
        <v>206</v>
      </c>
      <c r="B94" s="1672"/>
      <c r="C94" s="1672"/>
      <c r="D94" s="523" t="s">
        <v>143</v>
      </c>
      <c r="E94" s="455">
        <f>'29'!F94</f>
        <v>185930</v>
      </c>
      <c r="F94" s="484">
        <v>186042</v>
      </c>
      <c r="G94" s="473">
        <f t="shared" si="8"/>
        <v>112</v>
      </c>
      <c r="H94" s="460">
        <f>G94+'29'!H94</f>
        <v>-79</v>
      </c>
      <c r="I94" s="480"/>
      <c r="J94" s="552">
        <f>H94/DAY(B2)</f>
        <v>-2.6333333333333333</v>
      </c>
      <c r="K94" s="380"/>
      <c r="L94" s="377"/>
      <c r="O94" s="805"/>
    </row>
    <row r="95" spans="1:15" ht="29.25">
      <c r="A95" s="1673" t="s">
        <v>207</v>
      </c>
      <c r="B95" s="1674"/>
      <c r="C95" s="1674"/>
      <c r="D95" s="523"/>
      <c r="E95" s="455"/>
      <c r="F95" s="484"/>
      <c r="G95" s="473">
        <f>G93+G94</f>
        <v>112</v>
      </c>
      <c r="H95" s="460">
        <f>G95+'29'!H95</f>
        <v>-265</v>
      </c>
      <c r="I95" s="480"/>
      <c r="J95" s="552">
        <f>H95/DAY(B2)</f>
        <v>-8.8333333333333339</v>
      </c>
      <c r="K95" s="380"/>
      <c r="L95" s="377"/>
      <c r="O95" s="805"/>
    </row>
    <row r="96" spans="1:15" ht="27.75">
      <c r="A96" s="1671" t="s">
        <v>208</v>
      </c>
      <c r="B96" s="1672"/>
      <c r="C96" s="1672"/>
      <c r="D96" s="523" t="s">
        <v>143</v>
      </c>
      <c r="E96" s="455">
        <f>'29'!F96</f>
        <v>414191</v>
      </c>
      <c r="F96" s="484">
        <v>414229</v>
      </c>
      <c r="G96" s="473">
        <f t="shared" ref="G96:G100" si="9">F96-E96</f>
        <v>38</v>
      </c>
      <c r="H96" s="460">
        <f>G96+'29'!H96</f>
        <v>-54</v>
      </c>
      <c r="I96" s="480"/>
      <c r="J96" s="552">
        <f>H96/DAY(B2)</f>
        <v>-1.8</v>
      </c>
      <c r="K96" s="380"/>
      <c r="L96" s="377"/>
      <c r="O96" s="805"/>
    </row>
    <row r="97" spans="1:15" ht="27.75">
      <c r="A97" s="1141" t="s">
        <v>209</v>
      </c>
      <c r="B97" s="1142"/>
      <c r="C97" s="1142"/>
      <c r="D97" s="523" t="s">
        <v>143</v>
      </c>
      <c r="E97" s="455">
        <f>'29'!F97</f>
        <v>102623</v>
      </c>
      <c r="F97" s="484">
        <v>102636</v>
      </c>
      <c r="G97" s="473">
        <f t="shared" si="9"/>
        <v>13</v>
      </c>
      <c r="H97" s="460">
        <f>G97+'29'!H97</f>
        <v>-12</v>
      </c>
      <c r="I97" s="480"/>
      <c r="J97" s="552">
        <f>H97/DAY(B2)</f>
        <v>-0.4</v>
      </c>
      <c r="K97" s="427"/>
      <c r="L97" s="377"/>
      <c r="O97" s="805"/>
    </row>
    <row r="98" spans="1:15" ht="27.75">
      <c r="A98" s="1141" t="s">
        <v>210</v>
      </c>
      <c r="B98" s="1142"/>
      <c r="C98" s="1142"/>
      <c r="D98" s="523" t="s">
        <v>143</v>
      </c>
      <c r="E98" s="455">
        <f>'29'!F98</f>
        <v>97897</v>
      </c>
      <c r="F98" s="484">
        <v>97931</v>
      </c>
      <c r="G98" s="473">
        <f t="shared" si="9"/>
        <v>34</v>
      </c>
      <c r="H98" s="460">
        <f>G98+'29'!H98</f>
        <v>-19</v>
      </c>
      <c r="I98" s="480"/>
      <c r="J98" s="552">
        <f>H98/DAY(B2)</f>
        <v>-0.6333333333333333</v>
      </c>
      <c r="K98" s="432"/>
      <c r="L98" s="377"/>
      <c r="O98" s="805"/>
    </row>
    <row r="99" spans="1:15" ht="27.75">
      <c r="A99" s="1141" t="s">
        <v>211</v>
      </c>
      <c r="B99" s="1142"/>
      <c r="C99" s="1142"/>
      <c r="D99" s="523" t="s">
        <v>143</v>
      </c>
      <c r="E99" s="455">
        <f>'29'!F99</f>
        <v>149846</v>
      </c>
      <c r="F99" s="484">
        <v>149848</v>
      </c>
      <c r="G99" s="473">
        <f t="shared" si="9"/>
        <v>2</v>
      </c>
      <c r="H99" s="460">
        <f>G99+'29'!H99</f>
        <v>-4</v>
      </c>
      <c r="I99" s="480"/>
      <c r="J99" s="552">
        <f>H99/DAY(B2)</f>
        <v>-0.13333333333333333</v>
      </c>
      <c r="K99" s="380"/>
      <c r="L99" s="377"/>
      <c r="O99" s="805"/>
    </row>
    <row r="100" spans="1:15" ht="27.75">
      <c r="A100" s="1141" t="s">
        <v>212</v>
      </c>
      <c r="B100" s="1142"/>
      <c r="C100" s="1142"/>
      <c r="D100" s="523" t="s">
        <v>143</v>
      </c>
      <c r="E100" s="455">
        <f>'29'!F100</f>
        <v>7356</v>
      </c>
      <c r="F100" s="484">
        <v>7363</v>
      </c>
      <c r="G100" s="473">
        <f t="shared" si="9"/>
        <v>7</v>
      </c>
      <c r="H100" s="460">
        <f>G100+'29'!H100</f>
        <v>-6</v>
      </c>
      <c r="I100" s="480"/>
      <c r="J100" s="552">
        <f>H100/DAY(B2)</f>
        <v>-0.2</v>
      </c>
      <c r="K100" s="380"/>
      <c r="L100" s="377"/>
      <c r="O100" s="805"/>
    </row>
    <row r="101" spans="1:15" ht="27.75">
      <c r="A101" s="1141" t="s">
        <v>213</v>
      </c>
      <c r="B101" s="1142"/>
      <c r="C101" s="1142"/>
      <c r="D101" s="523" t="s">
        <v>143</v>
      </c>
      <c r="E101" s="455">
        <f>'29'!F101</f>
        <v>5372</v>
      </c>
      <c r="F101" s="484">
        <v>5383</v>
      </c>
      <c r="G101" s="473">
        <f>F101-E101</f>
        <v>11</v>
      </c>
      <c r="H101" s="460">
        <f>G101+'29'!H101</f>
        <v>-8</v>
      </c>
      <c r="I101" s="480"/>
      <c r="J101" s="552">
        <f>H101/DAY(B2)</f>
        <v>-0.26666666666666666</v>
      </c>
      <c r="K101" s="380"/>
      <c r="L101" s="377"/>
      <c r="O101" s="805"/>
    </row>
    <row r="102" spans="1:15" ht="29.25">
      <c r="A102" s="1673" t="s">
        <v>215</v>
      </c>
      <c r="B102" s="1674"/>
      <c r="C102" s="1674"/>
      <c r="D102" s="524"/>
      <c r="E102" s="524"/>
      <c r="F102" s="524"/>
      <c r="G102" s="525">
        <f>SUM(G96:G101)</f>
        <v>105</v>
      </c>
      <c r="H102" s="460">
        <f>G102+'29'!H102</f>
        <v>-103</v>
      </c>
      <c r="I102" s="526"/>
      <c r="J102" s="552">
        <f>H102/DAY(B2)</f>
        <v>-3.4333333333333331</v>
      </c>
      <c r="K102" s="380"/>
      <c r="L102" s="377"/>
      <c r="O102" s="805"/>
    </row>
    <row r="103" spans="1:15" s="442" customFormat="1" ht="27">
      <c r="A103" s="607" t="s">
        <v>216</v>
      </c>
      <c r="B103" s="608"/>
      <c r="C103" s="608"/>
      <c r="D103" s="621"/>
      <c r="E103" s="527"/>
      <c r="F103" s="528"/>
      <c r="G103" s="529"/>
      <c r="H103" s="530"/>
      <c r="I103" s="531"/>
      <c r="J103" s="557"/>
      <c r="O103" s="805"/>
    </row>
    <row r="104" spans="1:15" s="442" customFormat="1" ht="27.75">
      <c r="A104" s="1680" t="s">
        <v>217</v>
      </c>
      <c r="B104" s="1681"/>
      <c r="C104" s="573"/>
      <c r="D104" s="622"/>
      <c r="E104" s="532"/>
      <c r="F104" s="532"/>
      <c r="G104" s="532"/>
      <c r="H104" s="533"/>
      <c r="I104" s="532"/>
      <c r="J104" s="558"/>
      <c r="O104" s="805"/>
    </row>
    <row r="105" spans="1:15" s="442" customFormat="1" ht="27.75">
      <c r="A105" s="1682" t="s">
        <v>218</v>
      </c>
      <c r="B105" s="1683"/>
      <c r="C105" s="1139"/>
      <c r="D105" s="622" t="s">
        <v>143</v>
      </c>
      <c r="E105" s="532">
        <f>'29'!F105</f>
        <v>7484</v>
      </c>
      <c r="F105" s="532">
        <v>7484</v>
      </c>
      <c r="G105" s="532">
        <f>F105-E105</f>
        <v>0</v>
      </c>
      <c r="H105" s="460">
        <f>G105+'29'!H105</f>
        <v>57</v>
      </c>
      <c r="I105" s="532"/>
      <c r="J105" s="558">
        <f>H105/DAY(B2)</f>
        <v>1.9</v>
      </c>
      <c r="O105" s="805"/>
    </row>
    <row r="106" spans="1:15" s="442" customFormat="1" ht="27.75">
      <c r="A106" s="1682" t="s">
        <v>76</v>
      </c>
      <c r="B106" s="1683"/>
      <c r="C106" s="1139"/>
      <c r="D106" s="622" t="s">
        <v>143</v>
      </c>
      <c r="E106" s="532">
        <f>'29'!F106</f>
        <v>35938</v>
      </c>
      <c r="F106" s="534">
        <v>35938</v>
      </c>
      <c r="G106" s="532">
        <f t="shared" ref="G106:G107" si="10">F106-E106</f>
        <v>0</v>
      </c>
      <c r="H106" s="460">
        <f>G106+'29'!H106</f>
        <v>49</v>
      </c>
      <c r="I106" s="532"/>
      <c r="J106" s="558">
        <f>H106/DAY(B2)</f>
        <v>1.6333333333333333</v>
      </c>
      <c r="O106" s="805"/>
    </row>
    <row r="107" spans="1:15" s="442" customFormat="1" ht="27.75">
      <c r="A107" s="1682" t="s">
        <v>77</v>
      </c>
      <c r="B107" s="1683"/>
      <c r="C107" s="1683"/>
      <c r="D107" s="622" t="s">
        <v>143</v>
      </c>
      <c r="E107" s="532">
        <f>'29'!F107</f>
        <v>19699</v>
      </c>
      <c r="F107" s="532">
        <v>19702</v>
      </c>
      <c r="G107" s="532">
        <f t="shared" si="10"/>
        <v>3</v>
      </c>
      <c r="H107" s="460">
        <f>G107+'29'!H107</f>
        <v>58</v>
      </c>
      <c r="I107" s="532"/>
      <c r="J107" s="558">
        <f>H107/DAY(B2)</f>
        <v>1.9333333333333333</v>
      </c>
      <c r="O107" s="805"/>
    </row>
    <row r="108" spans="1:15" s="442" customFormat="1" ht="27.75">
      <c r="A108" s="1698" t="s">
        <v>201</v>
      </c>
      <c r="B108" s="1699"/>
      <c r="C108" s="1139"/>
      <c r="D108" s="622"/>
      <c r="E108" s="532"/>
      <c r="F108" s="532"/>
      <c r="G108" s="532">
        <f>SUM(G105:G107)</f>
        <v>3</v>
      </c>
      <c r="H108" s="460">
        <f>G108+'29'!H108</f>
        <v>158</v>
      </c>
      <c r="I108" s="532"/>
      <c r="J108" s="558">
        <f>H108/DAY(B2)</f>
        <v>5.2666666666666666</v>
      </c>
      <c r="O108" s="805"/>
    </row>
    <row r="109" spans="1:15" s="442" customFormat="1" ht="27.75">
      <c r="A109" s="1700" t="s">
        <v>78</v>
      </c>
      <c r="B109" s="1701"/>
      <c r="C109" s="1139"/>
      <c r="D109" s="622" t="s">
        <v>143</v>
      </c>
      <c r="E109" s="532"/>
      <c r="F109" s="532"/>
      <c r="G109" s="532"/>
      <c r="H109" s="533"/>
      <c r="I109" s="532"/>
      <c r="J109" s="558"/>
      <c r="O109" s="805"/>
    </row>
    <row r="110" spans="1:15" s="442" customFormat="1" ht="27.75">
      <c r="A110" s="1682" t="s">
        <v>219</v>
      </c>
      <c r="B110" s="1683"/>
      <c r="C110" s="1139"/>
      <c r="D110" s="622" t="s">
        <v>143</v>
      </c>
      <c r="E110" s="532">
        <f>'29'!F110</f>
        <v>62711</v>
      </c>
      <c r="F110" s="532">
        <v>62770</v>
      </c>
      <c r="G110" s="532">
        <f>F110-E110</f>
        <v>59</v>
      </c>
      <c r="H110" s="460">
        <f>G110+'29'!H110</f>
        <v>219</v>
      </c>
      <c r="I110" s="532"/>
      <c r="J110" s="558">
        <f>H110/DAY(B2)</f>
        <v>7.3</v>
      </c>
      <c r="O110" s="805"/>
    </row>
    <row r="111" spans="1:15" s="442" customFormat="1" ht="27.75">
      <c r="A111" s="1682" t="s">
        <v>220</v>
      </c>
      <c r="B111" s="1683"/>
      <c r="C111" s="1139"/>
      <c r="D111" s="622" t="s">
        <v>143</v>
      </c>
      <c r="E111" s="532">
        <f>'29'!F111</f>
        <v>32560</v>
      </c>
      <c r="F111" s="532">
        <v>32578</v>
      </c>
      <c r="G111" s="532">
        <f t="shared" ref="G111:G112" si="11">F111-E111</f>
        <v>18</v>
      </c>
      <c r="H111" s="460">
        <f>G111+'29'!H111</f>
        <v>47</v>
      </c>
      <c r="I111" s="532"/>
      <c r="J111" s="558">
        <f>H111/DAY(B2)</f>
        <v>1.5666666666666667</v>
      </c>
      <c r="O111" s="805"/>
    </row>
    <row r="112" spans="1:15" s="442" customFormat="1" ht="27.75">
      <c r="A112" s="1682" t="s">
        <v>221</v>
      </c>
      <c r="B112" s="1683"/>
      <c r="C112" s="1139"/>
      <c r="D112" s="622" t="s">
        <v>143</v>
      </c>
      <c r="E112" s="532">
        <f>'29'!F112</f>
        <v>4576</v>
      </c>
      <c r="F112" s="532">
        <v>4576</v>
      </c>
      <c r="G112" s="532">
        <f t="shared" si="11"/>
        <v>0</v>
      </c>
      <c r="H112" s="460">
        <f>G112+'29'!H112</f>
        <v>169</v>
      </c>
      <c r="I112" s="532"/>
      <c r="J112" s="558">
        <f>H112/DAY(B2)</f>
        <v>5.6333333333333337</v>
      </c>
      <c r="O112" s="805"/>
    </row>
    <row r="113" spans="1:15" s="442" customFormat="1" ht="27.75">
      <c r="A113" s="1702" t="s">
        <v>109</v>
      </c>
      <c r="B113" s="1703"/>
      <c r="C113" s="1139"/>
      <c r="D113" s="622"/>
      <c r="E113" s="532"/>
      <c r="F113" s="532"/>
      <c r="G113" s="532">
        <f>SUM(G110:G112)</f>
        <v>77</v>
      </c>
      <c r="H113" s="460">
        <f>G113+'29'!H113</f>
        <v>1005</v>
      </c>
      <c r="I113" s="532"/>
      <c r="J113" s="558">
        <f>H113/DAY(B2)</f>
        <v>33.5</v>
      </c>
      <c r="O113" s="805"/>
    </row>
    <row r="114" spans="1:15" s="442" customFormat="1" ht="27.75">
      <c r="A114" s="1700" t="s">
        <v>222</v>
      </c>
      <c r="B114" s="1701"/>
      <c r="C114" s="1139"/>
      <c r="D114" s="622"/>
      <c r="E114" s="532"/>
      <c r="F114" s="532"/>
      <c r="G114" s="532"/>
      <c r="H114" s="533"/>
      <c r="I114" s="532"/>
      <c r="J114" s="558">
        <f>H114/DAY(B2)</f>
        <v>0</v>
      </c>
      <c r="O114" s="805"/>
    </row>
    <row r="115" spans="1:15" s="442" customFormat="1" ht="27.75">
      <c r="A115" s="1682" t="s">
        <v>223</v>
      </c>
      <c r="B115" s="1683"/>
      <c r="C115" s="574"/>
      <c r="D115" s="622" t="s">
        <v>143</v>
      </c>
      <c r="E115" s="532">
        <f>'29'!F115</f>
        <v>11480</v>
      </c>
      <c r="F115" s="534">
        <v>11489</v>
      </c>
      <c r="G115" s="534">
        <f>F115-E115</f>
        <v>9</v>
      </c>
      <c r="H115" s="460">
        <f>G115+'29'!H115</f>
        <v>16</v>
      </c>
      <c r="I115" s="532"/>
      <c r="J115" s="558">
        <f>H115/DAY(B2)</f>
        <v>0.53333333333333333</v>
      </c>
      <c r="O115" s="805"/>
    </row>
    <row r="116" spans="1:15" s="442" customFormat="1" ht="27.75">
      <c r="A116" s="1682" t="s">
        <v>224</v>
      </c>
      <c r="B116" s="1683"/>
      <c r="C116" s="574"/>
      <c r="D116" s="622" t="s">
        <v>143</v>
      </c>
      <c r="E116" s="532">
        <f>'29'!F116</f>
        <v>8295</v>
      </c>
      <c r="F116" s="534">
        <v>8306</v>
      </c>
      <c r="G116" s="534">
        <f t="shared" ref="G116:G117" si="12">F116-E116</f>
        <v>11</v>
      </c>
      <c r="H116" s="460">
        <f>G116+'29'!H116</f>
        <v>35</v>
      </c>
      <c r="I116" s="532"/>
      <c r="J116" s="558">
        <f>H116/DAY(B2)</f>
        <v>1.1666666666666667</v>
      </c>
      <c r="O116" s="805"/>
    </row>
    <row r="117" spans="1:15" s="442" customFormat="1" ht="27.75">
      <c r="A117" s="1682" t="s">
        <v>225</v>
      </c>
      <c r="B117" s="1683"/>
      <c r="C117" s="574"/>
      <c r="D117" s="622" t="s">
        <v>143</v>
      </c>
      <c r="E117" s="534"/>
      <c r="F117" s="534"/>
      <c r="G117" s="534">
        <f t="shared" si="12"/>
        <v>0</v>
      </c>
      <c r="H117" s="460">
        <f>G117+'29'!H117</f>
        <v>58</v>
      </c>
      <c r="I117" s="532"/>
      <c r="J117" s="558">
        <f>H117/DAY(B2)</f>
        <v>1.9333333333333333</v>
      </c>
      <c r="O117" s="805"/>
    </row>
    <row r="118" spans="1:15" s="445" customFormat="1" ht="27.75">
      <c r="A118" s="1698" t="s">
        <v>201</v>
      </c>
      <c r="B118" s="1699"/>
      <c r="C118" s="574"/>
      <c r="D118" s="623"/>
      <c r="E118" s="534"/>
      <c r="F118" s="534"/>
      <c r="G118" s="534">
        <f>SUM(G115:G117)</f>
        <v>20</v>
      </c>
      <c r="H118" s="460">
        <f>G118+'29'!H118</f>
        <v>73</v>
      </c>
      <c r="I118" s="534"/>
      <c r="J118" s="558">
        <f>H118/DAY(B2)</f>
        <v>2.4333333333333331</v>
      </c>
      <c r="O118" s="805"/>
    </row>
    <row r="119" spans="1:15" s="446" customFormat="1" ht="27.75">
      <c r="A119" s="1704" t="s">
        <v>226</v>
      </c>
      <c r="B119" s="1705"/>
      <c r="C119" s="1138"/>
      <c r="D119" s="624" t="s">
        <v>143</v>
      </c>
      <c r="E119" s="535"/>
      <c r="F119" s="536"/>
      <c r="G119" s="536">
        <f>SUM(G19+G93)</f>
        <v>58</v>
      </c>
      <c r="H119" s="460">
        <f>G119+'29'!H119</f>
        <v>167</v>
      </c>
      <c r="I119" s="535"/>
      <c r="J119" s="559">
        <f>H119/DAY(B2)</f>
        <v>5.5666666666666664</v>
      </c>
      <c r="O119" s="805"/>
    </row>
    <row r="120" spans="1:15" s="446" customFormat="1" ht="27.75">
      <c r="A120" s="1704" t="s">
        <v>227</v>
      </c>
      <c r="B120" s="1705"/>
      <c r="C120" s="1138"/>
      <c r="D120" s="624" t="s">
        <v>143</v>
      </c>
      <c r="E120" s="535"/>
      <c r="F120" s="536"/>
      <c r="G120" s="536">
        <f>SUM(G96,G97,G98,G100,G101)</f>
        <v>103</v>
      </c>
      <c r="H120" s="460">
        <f>G120+'29'!H120</f>
        <v>217</v>
      </c>
      <c r="I120" s="535"/>
      <c r="J120" s="559">
        <f>H120/DAY(B2)</f>
        <v>7.2333333333333334</v>
      </c>
      <c r="O120" s="805"/>
    </row>
    <row r="121" spans="1:15" s="446" customFormat="1" ht="27.75">
      <c r="A121" s="1704" t="s">
        <v>228</v>
      </c>
      <c r="B121" s="1705"/>
      <c r="C121" s="1138"/>
      <c r="D121" s="624" t="s">
        <v>143</v>
      </c>
      <c r="E121" s="535"/>
      <c r="F121" s="534"/>
      <c r="G121" s="534">
        <f>SUM(G113)</f>
        <v>77</v>
      </c>
      <c r="H121" s="460">
        <f>G121+'29'!H121</f>
        <v>182</v>
      </c>
      <c r="I121" s="535"/>
      <c r="J121" s="559">
        <f>H121/DAY(B2)</f>
        <v>6.0666666666666664</v>
      </c>
      <c r="O121" s="805"/>
    </row>
    <row r="122" spans="1:15" s="442" customFormat="1" ht="27.75">
      <c r="A122" s="1706"/>
      <c r="B122" s="1707"/>
      <c r="C122" s="1139"/>
      <c r="D122" s="560"/>
      <c r="E122" s="560"/>
      <c r="F122" s="560"/>
      <c r="G122" s="560"/>
      <c r="H122" s="561"/>
      <c r="I122" s="560"/>
      <c r="J122" s="562"/>
      <c r="O122" s="805"/>
    </row>
    <row r="123" spans="1:15" ht="29.25">
      <c r="A123" s="1675" t="s">
        <v>229</v>
      </c>
      <c r="B123" s="1676"/>
      <c r="C123" s="1676"/>
      <c r="D123" s="472"/>
      <c r="E123" s="472"/>
      <c r="F123" s="472"/>
      <c r="G123" s="483"/>
      <c r="H123" s="483"/>
      <c r="I123" s="483"/>
      <c r="J123" s="563"/>
      <c r="K123" s="380"/>
      <c r="L123" s="377"/>
      <c r="O123" s="805"/>
    </row>
    <row r="124" spans="1:15" ht="21.95" customHeight="1">
      <c r="A124" s="1141" t="s">
        <v>230</v>
      </c>
      <c r="B124" s="1142"/>
      <c r="C124" s="1142"/>
      <c r="D124" s="523" t="s">
        <v>140</v>
      </c>
      <c r="E124" s="455">
        <f>'29'!F124</f>
        <v>831972</v>
      </c>
      <c r="F124" s="478">
        <v>832189</v>
      </c>
      <c r="G124" s="473">
        <f t="shared" ref="G124:G128" si="13">F124-E124</f>
        <v>217</v>
      </c>
      <c r="H124" s="460">
        <f>G124+'29'!H124</f>
        <v>-177</v>
      </c>
      <c r="I124" s="526"/>
      <c r="J124" s="552">
        <f>H124/DAY(B2)</f>
        <v>-5.9</v>
      </c>
      <c r="K124" s="380"/>
      <c r="L124" s="377"/>
      <c r="O124" s="805"/>
    </row>
    <row r="125" spans="1:15" ht="21.95" customHeight="1">
      <c r="A125" s="1141" t="s">
        <v>231</v>
      </c>
      <c r="B125" s="1142"/>
      <c r="C125" s="1142"/>
      <c r="D125" s="523" t="s">
        <v>140</v>
      </c>
      <c r="E125" s="455">
        <f>'29'!F125</f>
        <v>73583</v>
      </c>
      <c r="F125" s="478">
        <v>73583.399999999994</v>
      </c>
      <c r="G125" s="473">
        <f t="shared" si="13"/>
        <v>0.39999999999417923</v>
      </c>
      <c r="H125" s="460">
        <f>G125+'29'!H125</f>
        <v>0</v>
      </c>
      <c r="I125" s="526"/>
      <c r="J125" s="552">
        <f>H125/DAY(B2)</f>
        <v>0</v>
      </c>
      <c r="K125" s="380"/>
      <c r="L125" s="377"/>
      <c r="O125" s="805"/>
    </row>
    <row r="126" spans="1:15" ht="21.95" customHeight="1">
      <c r="A126" s="1677" t="s">
        <v>232</v>
      </c>
      <c r="B126" s="1586"/>
      <c r="C126" s="1586"/>
      <c r="D126" s="523" t="s">
        <v>140</v>
      </c>
      <c r="E126" s="455">
        <f>'29'!F126</f>
        <v>146368</v>
      </c>
      <c r="F126" s="478">
        <v>146433</v>
      </c>
      <c r="G126" s="473">
        <f t="shared" si="13"/>
        <v>65</v>
      </c>
      <c r="H126" s="460">
        <f>G126+'29'!H126</f>
        <v>-58</v>
      </c>
      <c r="I126" s="526"/>
      <c r="J126" s="552">
        <f>H126/DAY(B2)</f>
        <v>-1.9333333333333333</v>
      </c>
      <c r="K126" s="380"/>
      <c r="L126" s="377"/>
      <c r="O126" s="805"/>
    </row>
    <row r="127" spans="1:15" ht="21.95" customHeight="1">
      <c r="A127" s="609" t="s">
        <v>233</v>
      </c>
      <c r="B127" s="1142"/>
      <c r="C127" s="1142"/>
      <c r="D127" s="523" t="s">
        <v>140</v>
      </c>
      <c r="E127" s="455">
        <f>'29'!F127</f>
        <v>31404</v>
      </c>
      <c r="F127" s="478">
        <v>31404</v>
      </c>
      <c r="G127" s="473">
        <f t="shared" si="13"/>
        <v>0</v>
      </c>
      <c r="H127" s="460">
        <f>G127+'29'!H127</f>
        <v>-2</v>
      </c>
      <c r="I127" s="526"/>
      <c r="J127" s="552">
        <f>H127/DAY(B2)</f>
        <v>-6.6666666666666666E-2</v>
      </c>
      <c r="K127" s="380"/>
      <c r="L127" s="377"/>
      <c r="O127" s="805"/>
    </row>
    <row r="128" spans="1:15" ht="21.95" customHeight="1">
      <c r="A128" s="609" t="s">
        <v>234</v>
      </c>
      <c r="B128" s="1142"/>
      <c r="C128" s="1142"/>
      <c r="D128" s="523" t="s">
        <v>140</v>
      </c>
      <c r="E128" s="455">
        <f>'29'!F128</f>
        <v>8971</v>
      </c>
      <c r="F128" s="478">
        <v>8971</v>
      </c>
      <c r="G128" s="473">
        <f t="shared" si="13"/>
        <v>0</v>
      </c>
      <c r="H128" s="460">
        <f>G128+'29'!H128</f>
        <v>-1</v>
      </c>
      <c r="I128" s="480"/>
      <c r="J128" s="552">
        <f>H128/DAY(B2)</f>
        <v>-3.3333333333333333E-2</v>
      </c>
      <c r="K128" s="380"/>
      <c r="L128" s="377"/>
      <c r="O128" s="805"/>
    </row>
    <row r="129" spans="1:15" s="281" customFormat="1" ht="21.75" customHeight="1">
      <c r="A129" s="609" t="s">
        <v>235</v>
      </c>
      <c r="B129" s="1142"/>
      <c r="C129" s="1142"/>
      <c r="D129" s="523"/>
      <c r="E129" s="455"/>
      <c r="F129" s="478"/>
      <c r="G129" s="473">
        <f>G15-SUM(G124:G128)</f>
        <v>267.60000000000582</v>
      </c>
      <c r="H129" s="460"/>
      <c r="I129" s="480"/>
      <c r="J129" s="552"/>
      <c r="K129" s="364"/>
      <c r="L129" s="292"/>
      <c r="O129" s="805"/>
    </row>
    <row r="130" spans="1:15" ht="29.25">
      <c r="A130" s="610" t="s">
        <v>236</v>
      </c>
      <c r="B130" s="458"/>
      <c r="C130" s="458"/>
      <c r="D130" s="471"/>
      <c r="E130" s="471"/>
      <c r="F130" s="471"/>
      <c r="G130" s="540"/>
      <c r="H130" s="540"/>
      <c r="I130" s="540"/>
      <c r="J130" s="564"/>
      <c r="O130" s="805"/>
    </row>
    <row r="131" spans="1:15" ht="27.75">
      <c r="A131" s="1141" t="s">
        <v>237</v>
      </c>
      <c r="B131" s="1142"/>
      <c r="C131" s="1142"/>
      <c r="D131" s="523" t="s">
        <v>238</v>
      </c>
      <c r="E131" s="455">
        <f>'29'!F131</f>
        <v>0</v>
      </c>
      <c r="F131" s="484">
        <v>0</v>
      </c>
      <c r="G131" s="473">
        <f t="shared" ref="G131:G141" si="14">F131-E131</f>
        <v>0</v>
      </c>
      <c r="H131" s="460" t="e">
        <f>G131+'29'!H131</f>
        <v>#VALUE!</v>
      </c>
      <c r="I131" s="480"/>
      <c r="J131" s="552" t="e">
        <f>H131/DAY(B2)</f>
        <v>#VALUE!</v>
      </c>
      <c r="O131" s="805"/>
    </row>
    <row r="132" spans="1:15" ht="27.75">
      <c r="A132" s="1141" t="s">
        <v>239</v>
      </c>
      <c r="B132" s="1142"/>
      <c r="C132" s="1142"/>
      <c r="D132" s="523" t="s">
        <v>238</v>
      </c>
      <c r="E132" s="455">
        <f>'29'!F132</f>
        <v>0</v>
      </c>
      <c r="F132" s="484">
        <v>0</v>
      </c>
      <c r="G132" s="473">
        <f t="shared" si="14"/>
        <v>0</v>
      </c>
      <c r="H132" s="460">
        <f>G132+'29'!H132</f>
        <v>0</v>
      </c>
      <c r="I132" s="480"/>
      <c r="J132" s="552">
        <f>H132/DAY(B2)</f>
        <v>0</v>
      </c>
      <c r="O132" s="805"/>
    </row>
    <row r="133" spans="1:15" ht="27.75">
      <c r="A133" s="1141" t="s">
        <v>240</v>
      </c>
      <c r="B133" s="1142"/>
      <c r="C133" s="1142"/>
      <c r="D133" s="523" t="s">
        <v>238</v>
      </c>
      <c r="E133" s="455">
        <f>'29'!F133</f>
        <v>40059</v>
      </c>
      <c r="F133" s="541">
        <v>40059</v>
      </c>
      <c r="G133" s="473">
        <f t="shared" si="14"/>
        <v>0</v>
      </c>
      <c r="H133" s="460">
        <f>G133+'29'!H133</f>
        <v>23.900000000001455</v>
      </c>
      <c r="I133" s="480"/>
      <c r="J133" s="552">
        <f>H133/DAY(B2)</f>
        <v>0.79666666666671515</v>
      </c>
      <c r="O133" s="805"/>
    </row>
    <row r="134" spans="1:15" ht="27.75">
      <c r="A134" s="1141" t="s">
        <v>241</v>
      </c>
      <c r="B134" s="1142"/>
      <c r="C134" s="1142"/>
      <c r="D134" s="523" t="s">
        <v>238</v>
      </c>
      <c r="E134" s="455">
        <f>'29'!F134</f>
        <v>300</v>
      </c>
      <c r="F134" s="541">
        <v>300</v>
      </c>
      <c r="G134" s="473">
        <f t="shared" si="14"/>
        <v>0</v>
      </c>
      <c r="H134" s="460">
        <f>G134+'29'!H134</f>
        <v>0</v>
      </c>
      <c r="I134" s="480">
        <f>G131+G132+G133+G134</f>
        <v>0</v>
      </c>
      <c r="J134" s="552">
        <f>H134/DAY(B2)</f>
        <v>0</v>
      </c>
      <c r="O134" s="805"/>
    </row>
    <row r="135" spans="1:15" ht="27.75">
      <c r="A135" s="1141" t="s">
        <v>242</v>
      </c>
      <c r="B135" s="1142"/>
      <c r="C135" s="1142"/>
      <c r="D135" s="523" t="s">
        <v>238</v>
      </c>
      <c r="E135" s="455">
        <f>'29'!F135</f>
        <v>41730</v>
      </c>
      <c r="F135" s="541">
        <v>41730</v>
      </c>
      <c r="G135" s="473">
        <f t="shared" si="14"/>
        <v>0</v>
      </c>
      <c r="H135" s="460">
        <f>G135+'29'!H135</f>
        <v>-109.44000000000233</v>
      </c>
      <c r="I135" s="480"/>
      <c r="J135" s="552">
        <f>H135/DAY(B2)</f>
        <v>-3.6480000000000774</v>
      </c>
      <c r="O135" s="805"/>
    </row>
    <row r="136" spans="1:15" ht="27.75">
      <c r="A136" s="1141" t="s">
        <v>243</v>
      </c>
      <c r="B136" s="1142"/>
      <c r="C136" s="1142"/>
      <c r="D136" s="523" t="s">
        <v>238</v>
      </c>
      <c r="E136" s="455">
        <f>'29'!F136</f>
        <v>32667.24</v>
      </c>
      <c r="F136" s="541">
        <v>32691.27</v>
      </c>
      <c r="G136" s="473">
        <f t="shared" si="14"/>
        <v>24.029999999998836</v>
      </c>
      <c r="H136" s="460">
        <f>G136+'29'!H136</f>
        <v>-169.78000000000247</v>
      </c>
      <c r="I136" s="480"/>
      <c r="J136" s="552">
        <f>H136/DAY(B2)</f>
        <v>-5.6593333333334161</v>
      </c>
      <c r="O136" s="805"/>
    </row>
    <row r="137" spans="1:15" ht="27.75">
      <c r="A137" s="1141" t="s">
        <v>244</v>
      </c>
      <c r="B137" s="1142"/>
      <c r="C137" s="1142"/>
      <c r="D137" s="523" t="s">
        <v>238</v>
      </c>
      <c r="E137" s="455">
        <f>'29'!F137</f>
        <v>22799</v>
      </c>
      <c r="F137" s="541">
        <v>22799</v>
      </c>
      <c r="G137" s="473">
        <f t="shared" si="14"/>
        <v>0</v>
      </c>
      <c r="H137" s="460">
        <f>G137+'29'!H137</f>
        <v>-8.2400000000016007</v>
      </c>
      <c r="I137" s="480">
        <f>G135+G136+G137</f>
        <v>24.029999999998836</v>
      </c>
      <c r="J137" s="552">
        <f>H137/DAY(B2)</f>
        <v>-0.27466666666672002</v>
      </c>
      <c r="O137" s="805"/>
    </row>
    <row r="138" spans="1:15" ht="27.75">
      <c r="A138" s="1141" t="s">
        <v>245</v>
      </c>
      <c r="B138" s="1142"/>
      <c r="C138" s="1142"/>
      <c r="D138" s="523" t="s">
        <v>238</v>
      </c>
      <c r="E138" s="455">
        <f>'29'!F138</f>
        <v>25052</v>
      </c>
      <c r="F138" s="541">
        <v>25051.82</v>
      </c>
      <c r="G138" s="473">
        <f t="shared" si="14"/>
        <v>-0.18000000000029104</v>
      </c>
      <c r="H138" s="460">
        <f>G138+'29'!H138</f>
        <v>-22.069999999999709</v>
      </c>
      <c r="I138" s="480"/>
      <c r="J138" s="552">
        <f>H138/DAY(B2)</f>
        <v>-0.73566666666665692</v>
      </c>
      <c r="O138" s="805"/>
    </row>
    <row r="139" spans="1:15" ht="27.75">
      <c r="A139" s="1141" t="s">
        <v>246</v>
      </c>
      <c r="B139" s="1142"/>
      <c r="C139" s="1142"/>
      <c r="D139" s="523" t="s">
        <v>238</v>
      </c>
      <c r="E139" s="455">
        <f>'29'!F139</f>
        <v>70402</v>
      </c>
      <c r="F139" s="541">
        <v>70411.740000000005</v>
      </c>
      <c r="G139" s="473">
        <f t="shared" si="14"/>
        <v>9.7400000000052387</v>
      </c>
      <c r="H139" s="460">
        <f>G139+'29'!H139</f>
        <v>-69.989999999990687</v>
      </c>
      <c r="I139" s="480">
        <f>G138+G139</f>
        <v>9.5600000000049477</v>
      </c>
      <c r="J139" s="552">
        <f>H139/DAY(B2)</f>
        <v>-2.3329999999996898</v>
      </c>
      <c r="O139" s="805"/>
    </row>
    <row r="140" spans="1:15" ht="27.75">
      <c r="A140" s="1141" t="s">
        <v>247</v>
      </c>
      <c r="B140" s="1142"/>
      <c r="C140" s="1142"/>
      <c r="D140" s="523" t="s">
        <v>238</v>
      </c>
      <c r="E140" s="455">
        <f>'29'!F140</f>
        <v>1839.44</v>
      </c>
      <c r="F140" s="484">
        <v>1847.53</v>
      </c>
      <c r="G140" s="473">
        <f t="shared" si="14"/>
        <v>8.0899999999999181</v>
      </c>
      <c r="H140" s="460">
        <f>G140+'29'!H140</f>
        <v>-6.7699999999999818</v>
      </c>
      <c r="I140" s="542"/>
      <c r="J140" s="552">
        <f>H140/DAY(B2)</f>
        <v>-0.22566666666666607</v>
      </c>
      <c r="O140" s="805"/>
    </row>
    <row r="141" spans="1:15" ht="27.75">
      <c r="A141" s="1141" t="s">
        <v>248</v>
      </c>
      <c r="B141" s="1142"/>
      <c r="C141" s="1142"/>
      <c r="D141" s="523" t="s">
        <v>238</v>
      </c>
      <c r="E141" s="455">
        <f>'29'!F141</f>
        <v>4637</v>
      </c>
      <c r="F141" s="484">
        <v>4637</v>
      </c>
      <c r="G141" s="473">
        <f t="shared" si="14"/>
        <v>0</v>
      </c>
      <c r="H141" s="460">
        <f>G141+'29'!H141</f>
        <v>0</v>
      </c>
      <c r="I141" s="542"/>
      <c r="J141" s="552">
        <f>H141/DAY(B2)</f>
        <v>0</v>
      </c>
      <c r="O141" s="805"/>
    </row>
    <row r="142" spans="1:15" ht="21.95" customHeight="1">
      <c r="A142" s="1678" t="s">
        <v>249</v>
      </c>
      <c r="B142" s="1679"/>
      <c r="C142" s="1147"/>
      <c r="D142" s="472"/>
      <c r="E142" s="472"/>
      <c r="F142" s="472"/>
      <c r="G142" s="483"/>
      <c r="H142" s="483"/>
      <c r="I142" s="483"/>
      <c r="J142" s="563"/>
      <c r="K142" s="380"/>
      <c r="L142" s="377"/>
      <c r="O142" s="805"/>
    </row>
    <row r="143" spans="1:15" ht="21.95" customHeight="1">
      <c r="A143" s="1671" t="s">
        <v>250</v>
      </c>
      <c r="B143" s="1672"/>
      <c r="C143" s="1672"/>
      <c r="D143" s="523" t="s">
        <v>131</v>
      </c>
      <c r="E143" s="523"/>
      <c r="F143" s="523"/>
      <c r="G143" s="460">
        <f>G35+G43+G49+G57</f>
        <v>4684</v>
      </c>
      <c r="H143" s="460">
        <f>G143+'29'!H143</f>
        <v>-6264.9299999999475</v>
      </c>
      <c r="I143" s="480"/>
      <c r="J143" s="552">
        <f>H143/DAY(B2)</f>
        <v>-208.83099999999826</v>
      </c>
      <c r="K143" s="380"/>
      <c r="L143" s="377"/>
      <c r="O143" s="805"/>
    </row>
    <row r="144" spans="1:15" ht="21.95" customHeight="1">
      <c r="A144" s="1671" t="s">
        <v>251</v>
      </c>
      <c r="B144" s="1672"/>
      <c r="C144" s="1672"/>
      <c r="D144" s="523" t="s">
        <v>24</v>
      </c>
      <c r="E144" s="511"/>
      <c r="F144" s="511"/>
      <c r="G144" s="543">
        <f>G143/G7</f>
        <v>0.27552941176470586</v>
      </c>
      <c r="H144" s="460">
        <f>G144+'29'!H144</f>
        <v>-1.2714501973018815</v>
      </c>
      <c r="I144" s="544"/>
      <c r="J144" s="552">
        <f>H144/DAY(B2)</f>
        <v>-4.2381673243396048E-2</v>
      </c>
      <c r="K144" s="380"/>
      <c r="L144" s="377"/>
      <c r="O144" s="805"/>
    </row>
    <row r="145" spans="1:15" ht="21.95" customHeight="1">
      <c r="A145" s="1671" t="s">
        <v>252</v>
      </c>
      <c r="B145" s="1672"/>
      <c r="C145" s="1672"/>
      <c r="D145" s="523" t="s">
        <v>131</v>
      </c>
      <c r="E145" s="455"/>
      <c r="F145" s="455"/>
      <c r="G145" s="460">
        <f>G41+G42+G55+G56</f>
        <v>5573</v>
      </c>
      <c r="H145" s="460">
        <f>G145+'29'!H145</f>
        <v>-5601.9700000000012</v>
      </c>
      <c r="I145" s="480"/>
      <c r="J145" s="552">
        <f>H145/DAY(B2)</f>
        <v>-186.73233333333337</v>
      </c>
      <c r="K145" s="380"/>
      <c r="L145" s="377"/>
      <c r="O145" s="805"/>
    </row>
    <row r="146" spans="1:15" ht="21.95" customHeight="1">
      <c r="A146" s="1671" t="s">
        <v>253</v>
      </c>
      <c r="B146" s="1672"/>
      <c r="C146" s="1672"/>
      <c r="D146" s="523" t="s">
        <v>24</v>
      </c>
      <c r="E146" s="455"/>
      <c r="F146" s="455"/>
      <c r="G146" s="543">
        <f>G145/G7</f>
        <v>0.32782352941176468</v>
      </c>
      <c r="H146" s="460">
        <f>G146+'29'!H146</f>
        <v>-1.3781301559361803</v>
      </c>
      <c r="I146" s="544"/>
      <c r="J146" s="552">
        <f>H146/DAY(B2)</f>
        <v>-4.5937671864539342E-2</v>
      </c>
      <c r="K146" s="380"/>
      <c r="L146" s="377"/>
      <c r="O146" s="805"/>
    </row>
    <row r="147" spans="1:15" ht="21.95" customHeight="1">
      <c r="A147" s="1671" t="s">
        <v>254</v>
      </c>
      <c r="B147" s="1672"/>
      <c r="C147" s="1672"/>
      <c r="D147" s="523" t="s">
        <v>131</v>
      </c>
      <c r="E147" s="455"/>
      <c r="F147" s="455"/>
      <c r="G147" s="460">
        <f>G39+G53</f>
        <v>2954</v>
      </c>
      <c r="H147" s="460">
        <f>G147+'29'!H147</f>
        <v>-2684</v>
      </c>
      <c r="I147" s="545"/>
      <c r="J147" s="552">
        <f>H147/DAY(B2)</f>
        <v>-89.466666666666669</v>
      </c>
      <c r="K147" s="380"/>
      <c r="L147" s="377"/>
      <c r="O147" s="805"/>
    </row>
    <row r="148" spans="1:15" ht="21.95" customHeight="1">
      <c r="A148" s="1671" t="s">
        <v>255</v>
      </c>
      <c r="B148" s="1672"/>
      <c r="C148" s="1672"/>
      <c r="D148" s="523" t="s">
        <v>24</v>
      </c>
      <c r="E148" s="455"/>
      <c r="F148" s="455"/>
      <c r="G148" s="543">
        <f>G147/G7</f>
        <v>0.17376470588235293</v>
      </c>
      <c r="H148" s="460">
        <f>G148+'29'!H148</f>
        <v>-0.73620504807400322</v>
      </c>
      <c r="I148" s="545"/>
      <c r="J148" s="552">
        <f>H148/DAY(B2)</f>
        <v>-2.4540168269133442E-2</v>
      </c>
      <c r="O148" s="805"/>
    </row>
    <row r="149" spans="1:15" ht="21.95" customHeight="1">
      <c r="A149" s="1671" t="s">
        <v>256</v>
      </c>
      <c r="B149" s="1672"/>
      <c r="C149" s="1672"/>
      <c r="D149" s="523" t="s">
        <v>182</v>
      </c>
      <c r="E149" s="455"/>
      <c r="F149" s="455"/>
      <c r="G149" s="460">
        <f>G38+G52</f>
        <v>1330.9300000000512</v>
      </c>
      <c r="H149" s="460">
        <f>G149+'29'!H149</f>
        <v>-1249</v>
      </c>
      <c r="I149" s="480"/>
      <c r="J149" s="552">
        <f>H149/DAY(B2)</f>
        <v>-41.633333333333333</v>
      </c>
      <c r="K149" s="381"/>
      <c r="O149" s="805"/>
    </row>
    <row r="150" spans="1:15" ht="21.95" customHeight="1">
      <c r="A150" s="1671" t="s">
        <v>257</v>
      </c>
      <c r="B150" s="1672"/>
      <c r="C150" s="1672"/>
      <c r="D150" s="523" t="s">
        <v>24</v>
      </c>
      <c r="E150" s="455"/>
      <c r="F150" s="455"/>
      <c r="G150" s="543">
        <f>G149/G7</f>
        <v>7.829000000000301E-2</v>
      </c>
      <c r="H150" s="460">
        <f>G150+'29'!H150</f>
        <v>-0.32852506344163973</v>
      </c>
      <c r="I150" s="545"/>
      <c r="J150" s="552">
        <f>H150/DAY(B2)</f>
        <v>-1.0950835448054658E-2</v>
      </c>
      <c r="O150" s="805"/>
    </row>
    <row r="151" spans="1:15" ht="21.95" customHeight="1">
      <c r="A151" s="1671" t="s">
        <v>258</v>
      </c>
      <c r="B151" s="1672"/>
      <c r="C151" s="1672"/>
      <c r="D151" s="523" t="s">
        <v>182</v>
      </c>
      <c r="E151" s="455"/>
      <c r="F151" s="455"/>
      <c r="G151" s="460">
        <f>G36+G50</f>
        <v>926</v>
      </c>
      <c r="H151" s="460">
        <f>G151+'29'!H151</f>
        <v>346008</v>
      </c>
      <c r="I151" s="545"/>
      <c r="J151" s="552">
        <f>H151/DAY(B2)</f>
        <v>11533.6</v>
      </c>
      <c r="O151" s="805"/>
    </row>
    <row r="152" spans="1:15" ht="21.95" customHeight="1">
      <c r="A152" s="1671" t="s">
        <v>259</v>
      </c>
      <c r="B152" s="1672"/>
      <c r="C152" s="1672"/>
      <c r="D152" s="523" t="s">
        <v>24</v>
      </c>
      <c r="E152" s="455"/>
      <c r="F152" s="455"/>
      <c r="G152" s="543">
        <f>G151/G7</f>
        <v>5.4470588235294118E-2</v>
      </c>
      <c r="H152" s="460">
        <f>G152+'29'!H152</f>
        <v>20.010607826856052</v>
      </c>
      <c r="I152" s="480"/>
      <c r="J152" s="552">
        <f>H152/DAY(B2)</f>
        <v>0.66702026089520172</v>
      </c>
      <c r="O152" s="805"/>
    </row>
    <row r="153" spans="1:15" ht="27.75">
      <c r="A153" s="1671" t="s">
        <v>260</v>
      </c>
      <c r="B153" s="1672"/>
      <c r="C153" s="1672"/>
      <c r="D153" s="523" t="s">
        <v>182</v>
      </c>
      <c r="E153" s="455"/>
      <c r="F153" s="455"/>
      <c r="G153" s="460">
        <f>G37+G51</f>
        <v>1302.1300000000047</v>
      </c>
      <c r="H153" s="460">
        <f>G153+'29'!H153</f>
        <v>-1260</v>
      </c>
      <c r="I153" s="480"/>
      <c r="J153" s="552">
        <f>H153/DAY(B2)</f>
        <v>-42</v>
      </c>
      <c r="O153" s="805"/>
    </row>
    <row r="154" spans="1:15" ht="28.5" thickBot="1">
      <c r="A154" s="1669" t="s">
        <v>261</v>
      </c>
      <c r="B154" s="1670"/>
      <c r="C154" s="1670"/>
      <c r="D154" s="625" t="s">
        <v>24</v>
      </c>
      <c r="E154" s="565"/>
      <c r="F154" s="565"/>
      <c r="G154" s="566">
        <f>G153/G7</f>
        <v>7.6595882352941444E-2</v>
      </c>
      <c r="H154" s="567">
        <f>G154+'29'!H154</f>
        <v>-0.31567196689519766</v>
      </c>
      <c r="I154" s="568"/>
      <c r="J154" s="569">
        <f>H154/DAY(B2)</f>
        <v>-1.0522398896506588E-2</v>
      </c>
      <c r="O154" s="805"/>
    </row>
    <row r="155" spans="1:15" ht="29.25">
      <c r="A155" s="466"/>
      <c r="B155" s="456"/>
      <c r="C155" s="456"/>
      <c r="D155" s="546"/>
      <c r="E155" s="546"/>
      <c r="F155" s="546"/>
      <c r="G155" s="546"/>
      <c r="H155" s="547"/>
      <c r="I155" s="546"/>
      <c r="J155" s="548"/>
    </row>
    <row r="161" spans="1:7" ht="21.95" customHeight="1">
      <c r="A161" s="785" t="s">
        <v>262</v>
      </c>
      <c r="B161" s="786"/>
      <c r="C161" s="786"/>
      <c r="D161" s="511" t="s">
        <v>186</v>
      </c>
      <c r="E161" s="455">
        <f>'29'!F161</f>
        <v>38267</v>
      </c>
      <c r="F161" s="659">
        <v>38350</v>
      </c>
      <c r="G161" s="473">
        <f t="shared" ref="G161:G164" si="15">F161-E161</f>
        <v>83</v>
      </c>
    </row>
    <row r="162" spans="1:7" ht="21.95" customHeight="1">
      <c r="A162" s="785" t="s">
        <v>263</v>
      </c>
      <c r="B162" s="786"/>
      <c r="C162" s="786"/>
      <c r="D162" s="511" t="s">
        <v>186</v>
      </c>
      <c r="E162" s="455">
        <f>'29'!F162</f>
        <v>94011</v>
      </c>
      <c r="F162" s="659">
        <v>94392</v>
      </c>
      <c r="G162" s="473">
        <f t="shared" si="15"/>
        <v>381</v>
      </c>
    </row>
    <row r="163" spans="1:7" ht="21.95" customHeight="1">
      <c r="A163" s="785" t="s">
        <v>264</v>
      </c>
      <c r="B163" s="786"/>
      <c r="C163" s="786"/>
      <c r="D163" s="511" t="s">
        <v>186</v>
      </c>
      <c r="E163" s="455">
        <f>'29'!F163</f>
        <v>44527</v>
      </c>
      <c r="F163" s="659">
        <v>44727</v>
      </c>
      <c r="G163" s="473">
        <f t="shared" si="15"/>
        <v>200</v>
      </c>
    </row>
    <row r="164" spans="1:7" ht="21.95" customHeight="1">
      <c r="A164" s="785" t="s">
        <v>265</v>
      </c>
      <c r="B164" s="786"/>
      <c r="C164" s="786"/>
      <c r="D164" s="511" t="s">
        <v>186</v>
      </c>
      <c r="E164" s="455">
        <f>'29'!F164</f>
        <v>6549</v>
      </c>
      <c r="F164" s="659">
        <v>6554</v>
      </c>
      <c r="G164" s="473">
        <f t="shared" si="15"/>
        <v>5</v>
      </c>
    </row>
    <row r="165" spans="1:7" ht="21.95" customHeight="1">
      <c r="A165" s="787" t="s">
        <v>97</v>
      </c>
      <c r="B165" s="604"/>
      <c r="C165" s="604"/>
      <c r="D165" s="511" t="s">
        <v>186</v>
      </c>
      <c r="E165" s="455">
        <f>'29'!F165</f>
        <v>20419</v>
      </c>
      <c r="F165" s="514">
        <f>F62</f>
        <v>20419</v>
      </c>
      <c r="G165" s="473">
        <f t="shared" ref="G165:G172" si="16">F165-E165</f>
        <v>0</v>
      </c>
    </row>
    <row r="166" spans="1:7" ht="21.95" customHeight="1">
      <c r="A166" s="787" t="s">
        <v>187</v>
      </c>
      <c r="B166" s="604"/>
      <c r="C166" s="604"/>
      <c r="D166" s="511" t="s">
        <v>186</v>
      </c>
      <c r="E166" s="455">
        <f>'29'!F166</f>
        <v>2468</v>
      </c>
      <c r="F166" s="514">
        <v>2472</v>
      </c>
      <c r="G166" s="473">
        <f t="shared" si="16"/>
        <v>4</v>
      </c>
    </row>
    <row r="167" spans="1:7" ht="21.95" customHeight="1">
      <c r="A167" s="1586" t="s">
        <v>98</v>
      </c>
      <c r="B167" s="1586"/>
      <c r="C167" s="1586"/>
      <c r="D167" s="523" t="s">
        <v>186</v>
      </c>
      <c r="E167" s="455">
        <f>'29'!F167</f>
        <v>159553</v>
      </c>
      <c r="F167" s="514">
        <v>159745</v>
      </c>
      <c r="G167" s="473">
        <f t="shared" si="16"/>
        <v>192</v>
      </c>
    </row>
    <row r="168" spans="1:7" ht="21.95" customHeight="1">
      <c r="A168" s="1586" t="s">
        <v>99</v>
      </c>
      <c r="B168" s="1586"/>
      <c r="C168" s="1586"/>
      <c r="D168" s="523" t="s">
        <v>186</v>
      </c>
      <c r="E168" s="455">
        <f>'29'!F168</f>
        <v>160561</v>
      </c>
      <c r="F168" s="514">
        <f t="shared" ref="F168:F172" si="17">F65</f>
        <v>160777</v>
      </c>
      <c r="G168" s="473">
        <f t="shared" si="16"/>
        <v>216</v>
      </c>
    </row>
    <row r="169" spans="1:7" ht="21.95" customHeight="1">
      <c r="A169" s="1586" t="s">
        <v>100</v>
      </c>
      <c r="B169" s="1586"/>
      <c r="C169" s="1586"/>
      <c r="D169" s="523" t="s">
        <v>186</v>
      </c>
      <c r="E169" s="455">
        <f>'29'!F169</f>
        <v>56221</v>
      </c>
      <c r="F169" s="514">
        <f t="shared" si="17"/>
        <v>56522</v>
      </c>
      <c r="G169" s="473">
        <f t="shared" si="16"/>
        <v>301</v>
      </c>
    </row>
    <row r="170" spans="1:7" ht="21.95" customHeight="1">
      <c r="A170" s="1586" t="s">
        <v>101</v>
      </c>
      <c r="B170" s="1586"/>
      <c r="C170" s="1586"/>
      <c r="D170" s="523" t="s">
        <v>186</v>
      </c>
      <c r="E170" s="455">
        <f>'29'!F170</f>
        <v>251244</v>
      </c>
      <c r="F170" s="514">
        <f t="shared" si="17"/>
        <v>251770</v>
      </c>
      <c r="G170" s="473">
        <f t="shared" si="16"/>
        <v>526</v>
      </c>
    </row>
    <row r="171" spans="1:7" ht="21.95" customHeight="1">
      <c r="A171" s="1586" t="s">
        <v>102</v>
      </c>
      <c r="B171" s="1586"/>
      <c r="C171" s="1586"/>
      <c r="D171" s="523" t="s">
        <v>186</v>
      </c>
      <c r="E171" s="455">
        <f>'29'!F171</f>
        <v>85321</v>
      </c>
      <c r="F171" s="514">
        <f t="shared" si="17"/>
        <v>85321</v>
      </c>
      <c r="G171" s="473">
        <f t="shared" si="16"/>
        <v>0</v>
      </c>
    </row>
    <row r="172" spans="1:7" ht="21.95" customHeight="1">
      <c r="A172" s="1586" t="s">
        <v>103</v>
      </c>
      <c r="B172" s="1586"/>
      <c r="C172" s="1586"/>
      <c r="D172" s="523" t="s">
        <v>186</v>
      </c>
      <c r="E172" s="455">
        <f>'29'!F172</f>
        <v>81507</v>
      </c>
      <c r="F172" s="514">
        <f t="shared" si="17"/>
        <v>81645</v>
      </c>
      <c r="G172" s="473">
        <f t="shared" si="16"/>
        <v>138</v>
      </c>
    </row>
    <row r="173" spans="1:7" ht="21.95" customHeight="1">
      <c r="A173" s="1596" t="s">
        <v>357</v>
      </c>
      <c r="B173" s="1579"/>
      <c r="C173" s="786"/>
      <c r="D173" s="523" t="s">
        <v>186</v>
      </c>
      <c r="G173" s="538">
        <f>SUM(G161:G172)</f>
        <v>2046</v>
      </c>
    </row>
    <row r="174" spans="1:7" ht="21.95" customHeight="1">
      <c r="A174" s="1596" t="s">
        <v>358</v>
      </c>
      <c r="B174" s="1579"/>
      <c r="C174" s="786"/>
      <c r="D174" s="523" t="s">
        <v>186</v>
      </c>
    </row>
  </sheetData>
  <mergeCells count="76">
    <mergeCell ref="A118:B118"/>
    <mergeCell ref="A119:B119"/>
    <mergeCell ref="A120:B120"/>
    <mergeCell ref="A121:B121"/>
    <mergeCell ref="A122:B122"/>
    <mergeCell ref="A113:B113"/>
    <mergeCell ref="A114:B114"/>
    <mergeCell ref="A115:B115"/>
    <mergeCell ref="A116:B116"/>
    <mergeCell ref="A117:B117"/>
    <mergeCell ref="A108:B108"/>
    <mergeCell ref="A109:B109"/>
    <mergeCell ref="A110:B110"/>
    <mergeCell ref="A111:B111"/>
    <mergeCell ref="A112:B112"/>
    <mergeCell ref="A18:C18"/>
    <mergeCell ref="A1:J1"/>
    <mergeCell ref="E3:F3"/>
    <mergeCell ref="A6:C6"/>
    <mergeCell ref="A14:C14"/>
    <mergeCell ref="A17:C17"/>
    <mergeCell ref="A71:J71"/>
    <mergeCell ref="A19:C19"/>
    <mergeCell ref="A21:C21"/>
    <mergeCell ref="A33:J33"/>
    <mergeCell ref="A64:C64"/>
    <mergeCell ref="A65:C65"/>
    <mergeCell ref="A66:C66"/>
    <mergeCell ref="A67:C67"/>
    <mergeCell ref="A68:C68"/>
    <mergeCell ref="A69:C69"/>
    <mergeCell ref="A70:C70"/>
    <mergeCell ref="A25:C25"/>
    <mergeCell ref="A93:C93"/>
    <mergeCell ref="A72:C72"/>
    <mergeCell ref="A73:C73"/>
    <mergeCell ref="A74:C74"/>
    <mergeCell ref="A75:C75"/>
    <mergeCell ref="A76:C76"/>
    <mergeCell ref="A77:C77"/>
    <mergeCell ref="A79:C79"/>
    <mergeCell ref="A80:C80"/>
    <mergeCell ref="A81:C81"/>
    <mergeCell ref="A82:C82"/>
    <mergeCell ref="A83:C83"/>
    <mergeCell ref="A147:C147"/>
    <mergeCell ref="A94:C94"/>
    <mergeCell ref="A95:C95"/>
    <mergeCell ref="A96:C96"/>
    <mergeCell ref="A102:C102"/>
    <mergeCell ref="A123:C123"/>
    <mergeCell ref="A126:C126"/>
    <mergeCell ref="A142:B142"/>
    <mergeCell ref="A143:C143"/>
    <mergeCell ref="A144:C144"/>
    <mergeCell ref="A145:C145"/>
    <mergeCell ref="A146:C146"/>
    <mergeCell ref="A104:B104"/>
    <mergeCell ref="A105:B105"/>
    <mergeCell ref="A106:B106"/>
    <mergeCell ref="A107:C107"/>
    <mergeCell ref="A173:B173"/>
    <mergeCell ref="A174:B174"/>
    <mergeCell ref="A154:C154"/>
    <mergeCell ref="A148:C148"/>
    <mergeCell ref="A149:C149"/>
    <mergeCell ref="A150:C150"/>
    <mergeCell ref="A151:C151"/>
    <mergeCell ref="A152:C152"/>
    <mergeCell ref="A153:C153"/>
    <mergeCell ref="A172:C172"/>
    <mergeCell ref="A167:C167"/>
    <mergeCell ref="A168:C168"/>
    <mergeCell ref="A169:C169"/>
    <mergeCell ref="A170:C170"/>
    <mergeCell ref="A171:C171"/>
  </mergeCells>
  <pageMargins left="0.23622047244094491" right="0.15748031496062992" top="0.15748031496062992" bottom="0.19685039370078741" header="0.19685039370078741" footer="0.19685039370078741"/>
  <pageSetup paperSize="9" scale="21" fitToHeight="2" orientation="portrait" r:id="rId1"/>
  <rowBreaks count="1" manualBreakCount="1">
    <brk id="154" max="9" man="1"/>
  </rowBreaks>
</worksheet>
</file>

<file path=xl/worksheets/sheet3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309"/>
  <sheetViews>
    <sheetView view="pageBreakPreview" topLeftCell="A145" zoomScale="55" zoomScaleNormal="75" zoomScaleSheetLayoutView="55" workbookViewId="0">
      <selection activeCell="O159" sqref="O159"/>
    </sheetView>
  </sheetViews>
  <sheetFormatPr defaultColWidth="22.33203125" defaultRowHeight="21.95" customHeight="1"/>
  <cols>
    <col min="1" max="1" width="51.21875" style="454" customWidth="1"/>
    <col min="2" max="2" width="24.88671875" style="457" customWidth="1"/>
    <col min="3" max="3" width="15.88671875" style="457" customWidth="1"/>
    <col min="4" max="4" width="13.6640625" style="537" customWidth="1"/>
    <col min="5" max="6" width="30" style="537" customWidth="1"/>
    <col min="7" max="7" width="28.88671875" style="537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3" width="0" style="376" hidden="1" customWidth="1"/>
    <col min="14" max="14" width="25.109375" style="376" customWidth="1"/>
    <col min="15" max="16384" width="22.33203125" style="376"/>
  </cols>
  <sheetData>
    <row r="1" spans="1:15" ht="33.75">
      <c r="A1" s="1549" t="s">
        <v>116</v>
      </c>
      <c r="B1" s="1550"/>
      <c r="C1" s="1550"/>
      <c r="D1" s="1550"/>
      <c r="E1" s="1550"/>
      <c r="F1" s="1550"/>
      <c r="G1" s="1550"/>
      <c r="H1" s="1550"/>
      <c r="I1" s="1550"/>
      <c r="J1" s="1551"/>
    </row>
    <row r="2" spans="1:15" s="281" customFormat="1" ht="27">
      <c r="A2" s="575" t="s">
        <v>338</v>
      </c>
      <c r="B2" s="1113">
        <v>44347</v>
      </c>
      <c r="C2" s="1143" t="s">
        <v>68</v>
      </c>
      <c r="D2" s="611">
        <v>0.24</v>
      </c>
      <c r="E2" s="461"/>
      <c r="F2" s="461"/>
      <c r="G2" s="461" t="s">
        <v>117</v>
      </c>
      <c r="H2" s="461" t="s">
        <v>6</v>
      </c>
      <c r="I2" s="461" t="s">
        <v>8</v>
      </c>
      <c r="J2" s="613" t="s">
        <v>118</v>
      </c>
    </row>
    <row r="3" spans="1:15" s="281" customFormat="1" ht="27">
      <c r="A3" s="570"/>
      <c r="B3" s="614"/>
      <c r="C3" s="1143" t="s">
        <v>119</v>
      </c>
      <c r="D3" s="612">
        <v>30</v>
      </c>
      <c r="E3" s="1558" t="s">
        <v>120</v>
      </c>
      <c r="F3" s="1559"/>
      <c r="G3" s="462"/>
      <c r="H3" s="463"/>
      <c r="I3" s="463"/>
      <c r="J3" s="615"/>
      <c r="K3" s="371"/>
      <c r="L3" s="292"/>
    </row>
    <row r="4" spans="1:15" s="281" customFormat="1" ht="27">
      <c r="A4" s="576"/>
      <c r="B4" s="616"/>
      <c r="C4" s="1143" t="s">
        <v>121</v>
      </c>
      <c r="D4" s="611">
        <v>0.8</v>
      </c>
      <c r="E4" s="464"/>
      <c r="F4" s="464"/>
      <c r="G4" s="464"/>
      <c r="H4" s="464"/>
      <c r="I4" s="465"/>
      <c r="J4" s="615"/>
      <c r="K4" s="372"/>
      <c r="L4" s="292"/>
    </row>
    <row r="5" spans="1:15" ht="21.95" customHeight="1">
      <c r="A5" s="577" t="s">
        <v>122</v>
      </c>
      <c r="B5" s="459"/>
      <c r="C5" s="459"/>
      <c r="D5" s="511" t="s">
        <v>123</v>
      </c>
      <c r="E5" s="467" t="s">
        <v>124</v>
      </c>
      <c r="F5" s="467" t="s">
        <v>111</v>
      </c>
      <c r="G5" s="468" t="s">
        <v>125</v>
      </c>
      <c r="H5" s="469" t="s">
        <v>126</v>
      </c>
      <c r="I5" s="470" t="s">
        <v>127</v>
      </c>
      <c r="J5" s="550" t="s">
        <v>128</v>
      </c>
      <c r="K5" s="426"/>
      <c r="L5" s="377"/>
    </row>
    <row r="6" spans="1:15" ht="21.95" customHeight="1">
      <c r="A6" s="1552" t="s">
        <v>129</v>
      </c>
      <c r="B6" s="1553"/>
      <c r="C6" s="1554"/>
      <c r="D6" s="471"/>
      <c r="E6" s="471"/>
      <c r="F6" s="471"/>
      <c r="G6" s="471"/>
      <c r="H6" s="472"/>
      <c r="I6" s="472"/>
      <c r="J6" s="551"/>
      <c r="K6" s="427"/>
      <c r="L6" s="377"/>
    </row>
    <row r="7" spans="1:15" ht="21.95" customHeight="1" thickBot="1">
      <c r="A7" s="578" t="s">
        <v>130</v>
      </c>
      <c r="B7" s="579"/>
      <c r="C7" s="579"/>
      <c r="D7" s="523" t="s">
        <v>131</v>
      </c>
      <c r="E7" s="455">
        <f>'30'!F7</f>
        <v>913402</v>
      </c>
      <c r="F7" s="455">
        <f>E7+17000</f>
        <v>930402</v>
      </c>
      <c r="G7" s="473">
        <f>F7-E7</f>
        <v>17000</v>
      </c>
      <c r="H7" s="460">
        <f>G7+'30'!H7</f>
        <v>585990</v>
      </c>
      <c r="I7" s="474">
        <f>'1'!I7</f>
        <v>12000</v>
      </c>
      <c r="J7" s="552">
        <f>H7/DAY(B2)</f>
        <v>18902.903225806451</v>
      </c>
      <c r="K7" s="549">
        <v>1375467</v>
      </c>
      <c r="L7" s="377"/>
      <c r="N7" s="440">
        <f>F7-'1'!E7</f>
        <v>585990</v>
      </c>
      <c r="O7" s="382"/>
    </row>
    <row r="8" spans="1:15" ht="21.95" customHeight="1" thickBot="1">
      <c r="A8" s="580" t="s">
        <v>132</v>
      </c>
      <c r="B8" s="581"/>
      <c r="C8" s="582"/>
      <c r="D8" s="617" t="s">
        <v>25</v>
      </c>
      <c r="E8" s="455">
        <f>'30'!F8</f>
        <v>918292</v>
      </c>
      <c r="F8" s="455">
        <f>E8+17150</f>
        <v>935442</v>
      </c>
      <c r="G8" s="476">
        <f>F8-E8</f>
        <v>17150</v>
      </c>
      <c r="H8" s="460">
        <f>G8+'30'!H8</f>
        <v>588932</v>
      </c>
      <c r="I8" s="477"/>
      <c r="J8" s="552">
        <f>H8/DAY(B2)</f>
        <v>18997.806451612902</v>
      </c>
      <c r="K8" s="549">
        <v>1715917</v>
      </c>
      <c r="L8" s="425">
        <v>1728480</v>
      </c>
      <c r="M8" s="440">
        <f>L8-K8</f>
        <v>12563</v>
      </c>
      <c r="N8" s="440">
        <f>F8-'1'!E8</f>
        <v>588932</v>
      </c>
      <c r="O8" s="382"/>
    </row>
    <row r="9" spans="1:15" ht="21.95" customHeight="1">
      <c r="A9" s="583" t="s">
        <v>133</v>
      </c>
      <c r="B9" s="584"/>
      <c r="C9" s="584"/>
      <c r="D9" s="523" t="s">
        <v>131</v>
      </c>
      <c r="E9" s="455">
        <f>'30'!F9</f>
        <v>2026068</v>
      </c>
      <c r="F9" s="478">
        <f>E9+16950</f>
        <v>2043018</v>
      </c>
      <c r="G9" s="473">
        <f>F9-E9</f>
        <v>16950</v>
      </c>
      <c r="H9" s="460">
        <f>G9+'30'!H9</f>
        <v>569328</v>
      </c>
      <c r="I9" s="479">
        <f>I7-J7</f>
        <v>-6902.9032258064508</v>
      </c>
      <c r="J9" s="552">
        <f>H9/DAY(B2)</f>
        <v>18365.419354838708</v>
      </c>
      <c r="K9" s="428">
        <f>K8-100</f>
        <v>1715817</v>
      </c>
      <c r="L9" s="377"/>
      <c r="N9" s="440">
        <f>F9-'1'!E9</f>
        <v>569328</v>
      </c>
      <c r="O9" s="382"/>
    </row>
    <row r="10" spans="1:15" ht="21.95" customHeight="1">
      <c r="A10" s="578" t="s">
        <v>134</v>
      </c>
      <c r="B10" s="579"/>
      <c r="C10" s="579"/>
      <c r="D10" s="523" t="s">
        <v>131</v>
      </c>
      <c r="E10" s="455">
        <f>'30'!F10</f>
        <v>0</v>
      </c>
      <c r="F10" s="478"/>
      <c r="G10" s="473">
        <f t="shared" ref="G10:G12" si="0">F10-E10</f>
        <v>0</v>
      </c>
      <c r="H10" s="460">
        <f>G10+'30'!H10</f>
        <v>0.71999999999979991</v>
      </c>
      <c r="I10" s="480"/>
      <c r="J10" s="552">
        <f>H10/DAY(B2)</f>
        <v>2.3225806451606448E-2</v>
      </c>
      <c r="K10" s="428"/>
      <c r="L10" s="377"/>
      <c r="N10" s="440">
        <f>F10-'1'!E10</f>
        <v>-2322.58</v>
      </c>
      <c r="O10" s="382"/>
    </row>
    <row r="11" spans="1:15" ht="21.95" customHeight="1">
      <c r="A11" s="578" t="s">
        <v>135</v>
      </c>
      <c r="B11" s="579"/>
      <c r="C11" s="579"/>
      <c r="D11" s="523" t="s">
        <v>131</v>
      </c>
      <c r="E11" s="455">
        <f>'5'!E11</f>
        <v>37000</v>
      </c>
      <c r="F11" s="455">
        <v>37000</v>
      </c>
      <c r="G11" s="473">
        <f t="shared" si="0"/>
        <v>0</v>
      </c>
      <c r="H11" s="460">
        <f>G11+'30'!H11</f>
        <v>0</v>
      </c>
      <c r="I11" s="480"/>
      <c r="J11" s="552">
        <f>H11/DAY(B2)</f>
        <v>0</v>
      </c>
      <c r="K11" s="428"/>
      <c r="L11" s="377"/>
      <c r="N11" s="440">
        <f>F11-'1'!E11</f>
        <v>0</v>
      </c>
      <c r="O11" s="382"/>
    </row>
    <row r="12" spans="1:15" ht="21.95" customHeight="1">
      <c r="A12" s="578" t="s">
        <v>136</v>
      </c>
      <c r="B12" s="579"/>
      <c r="C12" s="579"/>
      <c r="D12" s="523" t="s">
        <v>131</v>
      </c>
      <c r="E12" s="455">
        <f>'5'!E12</f>
        <v>40010</v>
      </c>
      <c r="F12" s="478">
        <v>40010</v>
      </c>
      <c r="G12" s="473">
        <f t="shared" si="0"/>
        <v>0</v>
      </c>
      <c r="H12" s="460">
        <f>G12+'30'!H12</f>
        <v>0</v>
      </c>
      <c r="I12" s="480"/>
      <c r="J12" s="552">
        <f>H12/DAY(B2)</f>
        <v>0</v>
      </c>
      <c r="K12" s="428"/>
      <c r="L12" s="377"/>
      <c r="N12" s="440">
        <f>F12-'1'!E12</f>
        <v>0</v>
      </c>
      <c r="O12" s="382"/>
    </row>
    <row r="13" spans="1:15" ht="21.95" customHeight="1">
      <c r="A13" s="585" t="s">
        <v>137</v>
      </c>
      <c r="B13" s="586"/>
      <c r="C13" s="586"/>
      <c r="D13" s="523"/>
      <c r="E13" s="455"/>
      <c r="F13" s="455"/>
      <c r="G13" s="481">
        <f>G9+G10+G11+G12</f>
        <v>16950</v>
      </c>
      <c r="H13" s="460">
        <f>G13+'30'!H13</f>
        <v>552803.72</v>
      </c>
      <c r="I13" s="482">
        <f>G7-G13</f>
        <v>50</v>
      </c>
      <c r="J13" s="552">
        <f>H13/DAY(B2)</f>
        <v>17832.378064516128</v>
      </c>
      <c r="K13" s="428"/>
      <c r="L13" s="377"/>
      <c r="N13" s="440">
        <f>F13-'1'!E13</f>
        <v>0</v>
      </c>
      <c r="O13" s="382"/>
    </row>
    <row r="14" spans="1:15" ht="29.25">
      <c r="A14" s="1555" t="s">
        <v>138</v>
      </c>
      <c r="B14" s="1556"/>
      <c r="C14" s="1557"/>
      <c r="D14" s="472"/>
      <c r="E14" s="472"/>
      <c r="F14" s="472"/>
      <c r="G14" s="483"/>
      <c r="H14" s="472"/>
      <c r="I14" s="472"/>
      <c r="J14" s="551"/>
      <c r="K14" s="429"/>
      <c r="L14" s="377"/>
      <c r="N14" s="440">
        <f>F14-'1'!E14</f>
        <v>0</v>
      </c>
      <c r="O14" s="382"/>
    </row>
    <row r="15" spans="1:15" ht="21.95" customHeight="1">
      <c r="A15" s="1141" t="s">
        <v>139</v>
      </c>
      <c r="B15" s="589"/>
      <c r="C15" s="589"/>
      <c r="D15" s="523" t="s">
        <v>140</v>
      </c>
      <c r="E15" s="522">
        <v>1683884</v>
      </c>
      <c r="F15" s="484">
        <f>E15+550</f>
        <v>1684434</v>
      </c>
      <c r="G15" s="473">
        <f>(F15-E15)</f>
        <v>550</v>
      </c>
      <c r="H15" s="460">
        <f>G15+'30'!H15</f>
        <v>19369</v>
      </c>
      <c r="I15" s="474">
        <f>'1'!I15</f>
        <v>800</v>
      </c>
      <c r="J15" s="552">
        <f>H15/DAY(B2)</f>
        <v>624.80645161290317</v>
      </c>
      <c r="K15" s="428"/>
      <c r="L15" s="377"/>
      <c r="N15" s="440">
        <f>F15-'1'!E15</f>
        <v>-90</v>
      </c>
      <c r="O15" s="382"/>
    </row>
    <row r="16" spans="1:15" ht="21.95" customHeight="1">
      <c r="A16" s="587"/>
      <c r="B16" s="588"/>
      <c r="C16" s="588"/>
      <c r="D16" s="524"/>
      <c r="E16" s="485"/>
      <c r="F16" s="485"/>
      <c r="G16" s="473"/>
      <c r="H16" s="486"/>
      <c r="I16" s="487">
        <f>I15-J15</f>
        <v>175.19354838709683</v>
      </c>
      <c r="J16" s="553"/>
      <c r="K16" s="428"/>
      <c r="L16" s="377"/>
      <c r="N16" s="440">
        <f>F16-'1'!E16</f>
        <v>0</v>
      </c>
      <c r="O16" s="382"/>
    </row>
    <row r="17" spans="1:15" ht="29.25">
      <c r="A17" s="1555" t="s">
        <v>141</v>
      </c>
      <c r="B17" s="1556"/>
      <c r="C17" s="1557"/>
      <c r="D17" s="472"/>
      <c r="E17" s="472"/>
      <c r="F17" s="472"/>
      <c r="G17" s="488"/>
      <c r="H17" s="472"/>
      <c r="I17" s="472"/>
      <c r="J17" s="551"/>
      <c r="K17" s="428"/>
      <c r="L17" s="377"/>
      <c r="N17" s="440">
        <f>F17-'1'!E17</f>
        <v>0</v>
      </c>
      <c r="O17" s="382"/>
    </row>
    <row r="18" spans="1:15" ht="27.75">
      <c r="A18" s="1537" t="s">
        <v>142</v>
      </c>
      <c r="B18" s="1538"/>
      <c r="C18" s="1539"/>
      <c r="D18" s="523" t="s">
        <v>143</v>
      </c>
      <c r="E18" s="455">
        <f>'30'!F18</f>
        <v>8</v>
      </c>
      <c r="F18" s="484">
        <v>6</v>
      </c>
      <c r="G18" s="481">
        <f>F18*10</f>
        <v>60</v>
      </c>
      <c r="H18" s="460">
        <f>G18+'30'!H18</f>
        <v>2510</v>
      </c>
      <c r="I18" s="474">
        <f>'1'!I18</f>
        <v>65</v>
      </c>
      <c r="J18" s="552">
        <f>H18/DAY(B2)</f>
        <v>80.967741935483872</v>
      </c>
      <c r="K18" s="428"/>
      <c r="L18" s="377"/>
      <c r="N18" s="440">
        <f>F18-'1'!E18</f>
        <v>0</v>
      </c>
      <c r="O18" s="382"/>
    </row>
    <row r="19" spans="1:15" ht="27.75">
      <c r="A19" s="1537" t="s">
        <v>70</v>
      </c>
      <c r="B19" s="1538"/>
      <c r="C19" s="1539"/>
      <c r="D19" s="523" t="s">
        <v>143</v>
      </c>
      <c r="E19" s="455">
        <f>'30'!F19</f>
        <v>139551</v>
      </c>
      <c r="F19" s="484">
        <v>139612</v>
      </c>
      <c r="G19" s="473">
        <f t="shared" ref="G19" si="1">F19-E19</f>
        <v>61</v>
      </c>
      <c r="H19" s="460">
        <f>G19+'30'!H19</f>
        <v>0</v>
      </c>
      <c r="I19" s="489"/>
      <c r="J19" s="552">
        <f>H19/DAY(B2)</f>
        <v>0</v>
      </c>
      <c r="K19" s="428"/>
      <c r="L19" s="377"/>
      <c r="N19" s="440">
        <f>F19-'1'!E19</f>
        <v>0</v>
      </c>
      <c r="O19" s="382"/>
    </row>
    <row r="20" spans="1:15" ht="29.25">
      <c r="A20" s="585" t="s">
        <v>144</v>
      </c>
      <c r="B20" s="586"/>
      <c r="C20" s="586"/>
      <c r="D20" s="490"/>
      <c r="E20" s="490"/>
      <c r="F20" s="490"/>
      <c r="G20" s="491">
        <f>G18+G19</f>
        <v>121</v>
      </c>
      <c r="H20" s="460">
        <f>G20+'30'!H20</f>
        <v>2510</v>
      </c>
      <c r="I20" s="492">
        <f>I18-J20</f>
        <v>-15.967741935483872</v>
      </c>
      <c r="J20" s="552">
        <f>H20/DAY(B2)</f>
        <v>80.967741935483872</v>
      </c>
      <c r="K20" s="428"/>
      <c r="L20" s="377"/>
      <c r="N20" s="440">
        <f>F20-'1'!E20</f>
        <v>0</v>
      </c>
      <c r="O20" s="382"/>
    </row>
    <row r="21" spans="1:15" ht="29.25">
      <c r="A21" s="1555" t="s">
        <v>145</v>
      </c>
      <c r="B21" s="1556"/>
      <c r="C21" s="1557"/>
      <c r="D21" s="472"/>
      <c r="E21" s="472"/>
      <c r="F21" s="472"/>
      <c r="G21" s="483"/>
      <c r="H21" s="472"/>
      <c r="I21" s="472"/>
      <c r="J21" s="551"/>
      <c r="K21" s="428"/>
      <c r="L21" s="377"/>
      <c r="N21" s="440">
        <f>F21-'1'!E21</f>
        <v>0</v>
      </c>
      <c r="O21" s="382"/>
    </row>
    <row r="22" spans="1:15" ht="29.25">
      <c r="A22" s="1141" t="s">
        <v>146</v>
      </c>
      <c r="B22" s="589"/>
      <c r="C22" s="589"/>
      <c r="D22" s="523" t="s">
        <v>147</v>
      </c>
      <c r="E22" s="484">
        <f>'30'!F22</f>
        <v>2970</v>
      </c>
      <c r="F22" s="484">
        <v>2970</v>
      </c>
      <c r="G22" s="481">
        <f t="shared" ref="G22" si="2">(F22-E22)</f>
        <v>0</v>
      </c>
      <c r="H22" s="460">
        <f>'30'!H22</f>
        <v>0</v>
      </c>
      <c r="I22" s="480"/>
      <c r="J22" s="552">
        <f>H22/DAY(B2)</f>
        <v>0</v>
      </c>
      <c r="K22" s="428"/>
      <c r="L22" s="377"/>
      <c r="N22" s="440">
        <f>F22-'1'!E22</f>
        <v>0</v>
      </c>
      <c r="O22" s="382"/>
    </row>
    <row r="23" spans="1:15" ht="29.25">
      <c r="A23" s="1141" t="s">
        <v>148</v>
      </c>
      <c r="B23" s="589"/>
      <c r="C23" s="589"/>
      <c r="D23" s="523" t="s">
        <v>147</v>
      </c>
      <c r="E23" s="484">
        <f>'30'!F23</f>
        <v>2000</v>
      </c>
      <c r="F23" s="484">
        <v>2000</v>
      </c>
      <c r="G23" s="481">
        <v>0</v>
      </c>
      <c r="H23" s="460">
        <f>'30'!H23</f>
        <v>0</v>
      </c>
      <c r="I23" s="480"/>
      <c r="J23" s="552">
        <f>H23/DAY(B2)</f>
        <v>0</v>
      </c>
      <c r="K23" s="428"/>
      <c r="L23" s="377"/>
      <c r="N23" s="440">
        <f>F23-'1'!E23</f>
        <v>0</v>
      </c>
      <c r="O23" s="382"/>
    </row>
    <row r="24" spans="1:15" ht="29.25">
      <c r="A24" s="590" t="s">
        <v>149</v>
      </c>
      <c r="B24" s="591"/>
      <c r="C24" s="591"/>
      <c r="D24" s="511" t="s">
        <v>147</v>
      </c>
      <c r="E24" s="484">
        <f>'30'!F24</f>
        <v>4970</v>
      </c>
      <c r="F24" s="493">
        <v>4970</v>
      </c>
      <c r="G24" s="481">
        <v>0</v>
      </c>
      <c r="H24" s="460">
        <f>'30'!H24</f>
        <v>0</v>
      </c>
      <c r="I24" s="480"/>
      <c r="J24" s="552">
        <f>H24/DAY(B2)</f>
        <v>0</v>
      </c>
      <c r="K24" s="428"/>
      <c r="L24" s="377"/>
      <c r="N24" s="440">
        <f>F24-'1'!E24</f>
        <v>0</v>
      </c>
      <c r="O24" s="382"/>
    </row>
    <row r="25" spans="1:15" s="442" customFormat="1" ht="27">
      <c r="A25" s="1560" t="s">
        <v>150</v>
      </c>
      <c r="B25" s="1561"/>
      <c r="C25" s="1562"/>
      <c r="D25" s="471"/>
      <c r="E25" s="471"/>
      <c r="F25" s="471"/>
      <c r="G25" s="494"/>
      <c r="H25" s="495"/>
      <c r="I25" s="496"/>
      <c r="J25" s="554"/>
      <c r="K25" s="373"/>
      <c r="L25" s="443"/>
      <c r="N25" s="440">
        <f>F25-'1'!E25</f>
        <v>0</v>
      </c>
      <c r="O25" s="382"/>
    </row>
    <row r="26" spans="1:15" s="442" customFormat="1" ht="27.75">
      <c r="A26" s="592" t="s">
        <v>151</v>
      </c>
      <c r="B26" s="593"/>
      <c r="C26" s="594"/>
      <c r="D26" s="618" t="s">
        <v>152</v>
      </c>
      <c r="E26" s="497"/>
      <c r="F26" s="497"/>
      <c r="G26" s="498"/>
      <c r="H26" s="460"/>
      <c r="I26" s="499"/>
      <c r="J26" s="552"/>
      <c r="K26" s="374"/>
      <c r="L26" s="443"/>
      <c r="N26" s="440">
        <f>F26-'1'!E26</f>
        <v>0</v>
      </c>
      <c r="O26" s="382"/>
    </row>
    <row r="27" spans="1:15" s="442" customFormat="1" ht="27.75">
      <c r="A27" s="592" t="s">
        <v>6</v>
      </c>
      <c r="B27" s="593"/>
      <c r="C27" s="594"/>
      <c r="D27" s="619" t="s">
        <v>25</v>
      </c>
      <c r="E27" s="500">
        <f>G8</f>
        <v>17150</v>
      </c>
      <c r="F27" s="501">
        <v>9</v>
      </c>
      <c r="G27" s="502">
        <f>E27*F27</f>
        <v>154350</v>
      </c>
      <c r="H27" s="460">
        <f>G27+'30'!H27</f>
        <v>5299551</v>
      </c>
      <c r="I27" s="503"/>
      <c r="J27" s="552">
        <f>H27/DAY(B2)</f>
        <v>170953.25806451612</v>
      </c>
      <c r="K27" s="373"/>
      <c r="L27" s="443"/>
      <c r="N27" s="440">
        <f>F27-'1'!E27</f>
        <v>-16553</v>
      </c>
      <c r="O27" s="382"/>
    </row>
    <row r="28" spans="1:15" s="442" customFormat="1" ht="27.75">
      <c r="A28" s="592" t="s">
        <v>153</v>
      </c>
      <c r="B28" s="593"/>
      <c r="C28" s="594"/>
      <c r="D28" s="619" t="s">
        <v>154</v>
      </c>
      <c r="E28" s="504">
        <f>G15</f>
        <v>550</v>
      </c>
      <c r="F28" s="501">
        <v>52</v>
      </c>
      <c r="G28" s="502">
        <f>E28*F28</f>
        <v>28600</v>
      </c>
      <c r="H28" s="460">
        <f>G28+'30'!H28</f>
        <v>1007188</v>
      </c>
      <c r="I28" s="505"/>
      <c r="J28" s="552">
        <f>H28/DAY(B2)</f>
        <v>32489.935483870966</v>
      </c>
      <c r="K28" s="373"/>
      <c r="L28" s="443"/>
      <c r="N28" s="440">
        <f>F28-'1'!E28</f>
        <v>-215</v>
      </c>
      <c r="O28" s="382"/>
    </row>
    <row r="29" spans="1:15" s="442" customFormat="1" ht="27.75">
      <c r="A29" s="592" t="s">
        <v>155</v>
      </c>
      <c r="B29" s="593"/>
      <c r="C29" s="594"/>
      <c r="D29" s="619" t="s">
        <v>156</v>
      </c>
      <c r="E29" s="506">
        <f>G24</f>
        <v>0</v>
      </c>
      <c r="F29" s="501">
        <v>69</v>
      </c>
      <c r="G29" s="502">
        <f>E29*F29</f>
        <v>0</v>
      </c>
      <c r="H29" s="460">
        <f>G29+'30'!H29</f>
        <v>8280</v>
      </c>
      <c r="I29" s="505"/>
      <c r="J29" s="552">
        <f>H29/DAY(B2)</f>
        <v>267.09677419354841</v>
      </c>
      <c r="K29" s="373"/>
      <c r="L29" s="443"/>
      <c r="N29" s="440">
        <f>F29-'1'!E29</f>
        <v>-51</v>
      </c>
      <c r="O29" s="382"/>
    </row>
    <row r="30" spans="1:15" s="442" customFormat="1" ht="27.75">
      <c r="A30" s="592" t="s">
        <v>157</v>
      </c>
      <c r="B30" s="593"/>
      <c r="C30" s="594"/>
      <c r="D30" s="619" t="s">
        <v>158</v>
      </c>
      <c r="E30" s="506">
        <f>G19</f>
        <v>61</v>
      </c>
      <c r="F30" s="501">
        <v>146</v>
      </c>
      <c r="G30" s="502">
        <f>E30*F30</f>
        <v>8906</v>
      </c>
      <c r="H30" s="460">
        <f>G30+'30'!H30</f>
        <v>0</v>
      </c>
      <c r="I30" s="505"/>
      <c r="J30" s="552">
        <f>H30/DAY(B2)</f>
        <v>0</v>
      </c>
      <c r="K30" s="373"/>
      <c r="L30" s="443"/>
      <c r="N30" s="440">
        <f>F30-'1'!E30</f>
        <v>86</v>
      </c>
      <c r="O30" s="382"/>
    </row>
    <row r="31" spans="1:15" s="442" customFormat="1" ht="27.75">
      <c r="A31" s="592" t="s">
        <v>159</v>
      </c>
      <c r="B31" s="593"/>
      <c r="C31" s="594"/>
      <c r="D31" s="619" t="s">
        <v>143</v>
      </c>
      <c r="E31" s="506">
        <f>G18</f>
        <v>60</v>
      </c>
      <c r="F31" s="501">
        <v>80</v>
      </c>
      <c r="G31" s="502">
        <f>E31*F31</f>
        <v>4800</v>
      </c>
      <c r="H31" s="460">
        <f>G31+'30'!H31</f>
        <v>200800</v>
      </c>
      <c r="I31" s="505"/>
      <c r="J31" s="552">
        <f>H31/DAY(B2)</f>
        <v>6477.4193548387093</v>
      </c>
      <c r="K31" s="373"/>
      <c r="L31" s="443"/>
      <c r="N31" s="440">
        <f>F31-'1'!E31</f>
        <v>60</v>
      </c>
      <c r="O31" s="382"/>
    </row>
    <row r="32" spans="1:15" s="442" customFormat="1" ht="27.75">
      <c r="A32" s="595" t="s">
        <v>160</v>
      </c>
      <c r="B32" s="596"/>
      <c r="C32" s="597"/>
      <c r="D32" s="507"/>
      <c r="E32" s="507"/>
      <c r="F32" s="507"/>
      <c r="G32" s="508">
        <f>G27+G28+G29+G30+G31</f>
        <v>196656</v>
      </c>
      <c r="H32" s="460">
        <f>G32+'30'!H32</f>
        <v>6515819</v>
      </c>
      <c r="I32" s="509"/>
      <c r="J32" s="552">
        <f>H32/DAY(B2)</f>
        <v>210187.70967741936</v>
      </c>
      <c r="K32" s="373"/>
      <c r="L32" s="443"/>
      <c r="N32" s="440">
        <f>F32-'1'!E32</f>
        <v>0</v>
      </c>
      <c r="O32" s="382"/>
    </row>
    <row r="33" spans="1:15" ht="25.5" customHeight="1">
      <c r="A33" s="1563" t="s">
        <v>161</v>
      </c>
      <c r="B33" s="1564"/>
      <c r="C33" s="1564"/>
      <c r="D33" s="1564"/>
      <c r="E33" s="1564"/>
      <c r="F33" s="1564"/>
      <c r="G33" s="1564"/>
      <c r="H33" s="1564"/>
      <c r="I33" s="1564"/>
      <c r="J33" s="1565"/>
      <c r="K33" s="428"/>
      <c r="L33" s="377"/>
      <c r="N33" s="440">
        <f>F33-'1'!E33</f>
        <v>0</v>
      </c>
      <c r="O33" s="382"/>
    </row>
    <row r="34" spans="1:15" ht="29.25">
      <c r="A34" s="598" t="s">
        <v>162</v>
      </c>
      <c r="B34" s="1146"/>
      <c r="C34" s="1146"/>
      <c r="D34" s="472"/>
      <c r="E34" s="471"/>
      <c r="F34" s="471"/>
      <c r="G34" s="472"/>
      <c r="H34" s="472"/>
      <c r="I34" s="472"/>
      <c r="J34" s="551"/>
      <c r="K34" s="428"/>
      <c r="L34" s="377"/>
      <c r="N34" s="440">
        <f>F34-'1'!E34</f>
        <v>0</v>
      </c>
      <c r="O34" s="382"/>
    </row>
    <row r="35" spans="1:15" ht="29.25">
      <c r="A35" s="578" t="s">
        <v>163</v>
      </c>
      <c r="B35" s="579"/>
      <c r="C35" s="579"/>
      <c r="D35" s="523" t="s">
        <v>131</v>
      </c>
      <c r="E35" s="455">
        <f>'30'!F35</f>
        <v>948143</v>
      </c>
      <c r="F35" s="510">
        <v>950488</v>
      </c>
      <c r="G35" s="473">
        <f t="shared" ref="G35:G46" si="3">F35-E35</f>
        <v>2345</v>
      </c>
      <c r="H35" s="460">
        <f>G35+'30'!H35</f>
        <v>0</v>
      </c>
      <c r="I35" s="455"/>
      <c r="J35" s="552">
        <f>H35/DAY(B2)</f>
        <v>0</v>
      </c>
      <c r="K35" s="428"/>
      <c r="L35" s="377"/>
      <c r="N35" s="440">
        <f>F35-'1'!E35</f>
        <v>0</v>
      </c>
      <c r="O35" s="382"/>
    </row>
    <row r="36" spans="1:15" ht="29.25">
      <c r="A36" s="578" t="s">
        <v>164</v>
      </c>
      <c r="B36" s="579"/>
      <c r="C36" s="579"/>
      <c r="D36" s="523" t="s">
        <v>131</v>
      </c>
      <c r="E36" s="455">
        <v>0</v>
      </c>
      <c r="F36" s="510">
        <v>173</v>
      </c>
      <c r="G36" s="473">
        <f t="shared" si="3"/>
        <v>173</v>
      </c>
      <c r="H36" s="460">
        <f>G36+'30'!H36</f>
        <v>173</v>
      </c>
      <c r="I36" s="455"/>
      <c r="J36" s="552">
        <f>H36/DAY(B2)</f>
        <v>5.580645161290323</v>
      </c>
      <c r="K36" s="428"/>
      <c r="L36" s="377"/>
      <c r="N36" s="440">
        <f>F36-'1'!E36</f>
        <v>0</v>
      </c>
      <c r="O36" s="628"/>
    </row>
    <row r="37" spans="1:15" ht="29.25">
      <c r="A37" s="578" t="s">
        <v>165</v>
      </c>
      <c r="B37" s="579"/>
      <c r="C37" s="579"/>
      <c r="D37" s="523" t="s">
        <v>131</v>
      </c>
      <c r="E37" s="455">
        <f>'30'!F37</f>
        <v>132976</v>
      </c>
      <c r="F37" s="510">
        <v>134236</v>
      </c>
      <c r="G37" s="473">
        <f t="shared" si="3"/>
        <v>1260</v>
      </c>
      <c r="H37" s="460">
        <f>G37+'30'!H37</f>
        <v>0</v>
      </c>
      <c r="I37" s="455"/>
      <c r="J37" s="552">
        <f>H37/DAY(B2)</f>
        <v>0</v>
      </c>
      <c r="K37" s="428"/>
      <c r="L37" s="377"/>
      <c r="N37" s="440">
        <f>F37-'1'!E37</f>
        <v>0</v>
      </c>
      <c r="O37" s="629"/>
    </row>
    <row r="38" spans="1:15" ht="29.25">
      <c r="A38" s="578" t="s">
        <v>166</v>
      </c>
      <c r="B38" s="579"/>
      <c r="C38" s="579"/>
      <c r="D38" s="523" t="s">
        <v>131</v>
      </c>
      <c r="E38" s="469">
        <v>155156</v>
      </c>
      <c r="F38" s="469">
        <v>156405</v>
      </c>
      <c r="G38" s="473">
        <f t="shared" si="3"/>
        <v>1249</v>
      </c>
      <c r="H38" s="460">
        <f>G38+'30'!H38</f>
        <v>0</v>
      </c>
      <c r="I38" s="455"/>
      <c r="J38" s="552">
        <f>H38/DAY(B2)</f>
        <v>0</v>
      </c>
      <c r="K38" s="428"/>
      <c r="L38" s="377"/>
      <c r="N38" s="440">
        <f>F38-'1'!E38</f>
        <v>0</v>
      </c>
      <c r="O38" s="382"/>
    </row>
    <row r="39" spans="1:15" ht="29.25">
      <c r="A39" s="578" t="s">
        <v>167</v>
      </c>
      <c r="B39" s="579"/>
      <c r="C39" s="579"/>
      <c r="D39" s="523" t="s">
        <v>131</v>
      </c>
      <c r="E39" s="455">
        <f>'30'!F39</f>
        <v>305998</v>
      </c>
      <c r="F39" s="510">
        <v>308173</v>
      </c>
      <c r="G39" s="473">
        <f t="shared" si="3"/>
        <v>2175</v>
      </c>
      <c r="H39" s="460">
        <f>G39+'30'!H39</f>
        <v>0</v>
      </c>
      <c r="I39" s="455"/>
      <c r="J39" s="552">
        <f>H39/DAY(B2)</f>
        <v>0</v>
      </c>
      <c r="K39" s="428"/>
      <c r="L39" s="377"/>
      <c r="N39" s="440">
        <f>F39-'1'!E39</f>
        <v>0</v>
      </c>
      <c r="O39" s="382"/>
    </row>
    <row r="40" spans="1:15" ht="29.25">
      <c r="A40" s="599" t="s">
        <v>168</v>
      </c>
      <c r="B40" s="600"/>
      <c r="C40" s="600"/>
      <c r="D40" s="523" t="s">
        <v>131</v>
      </c>
      <c r="E40" s="455">
        <f>'30'!F40</f>
        <v>889</v>
      </c>
      <c r="F40" s="510">
        <v>889</v>
      </c>
      <c r="G40" s="473">
        <f t="shared" si="3"/>
        <v>0</v>
      </c>
      <c r="H40" s="460">
        <f>G40+'30'!H40</f>
        <v>0</v>
      </c>
      <c r="I40" s="455"/>
      <c r="J40" s="552">
        <f>H40/DAY(B2)</f>
        <v>0</v>
      </c>
      <c r="K40" s="429"/>
      <c r="L40" s="377"/>
      <c r="N40" s="440">
        <f>F40-'1'!E40</f>
        <v>0</v>
      </c>
      <c r="O40" s="382"/>
    </row>
    <row r="41" spans="1:15" ht="29.25">
      <c r="A41" s="578" t="s">
        <v>169</v>
      </c>
      <c r="B41" s="579"/>
      <c r="C41" s="579"/>
      <c r="D41" s="523" t="s">
        <v>131</v>
      </c>
      <c r="E41" s="455">
        <f>'30'!F41</f>
        <v>240478</v>
      </c>
      <c r="F41" s="510">
        <v>240478</v>
      </c>
      <c r="G41" s="473">
        <f t="shared" si="3"/>
        <v>0</v>
      </c>
      <c r="H41" s="460">
        <f>G41+'30'!H41</f>
        <v>0</v>
      </c>
      <c r="I41" s="455"/>
      <c r="J41" s="552">
        <f>H41/DAY(B2)</f>
        <v>0</v>
      </c>
      <c r="K41" s="428"/>
      <c r="L41" s="377"/>
      <c r="N41" s="440">
        <f>F41-'1'!E41</f>
        <v>0</v>
      </c>
      <c r="O41" s="382"/>
    </row>
    <row r="42" spans="1:15" ht="29.25">
      <c r="A42" s="578" t="s">
        <v>170</v>
      </c>
      <c r="B42" s="579"/>
      <c r="C42" s="579"/>
      <c r="D42" s="523" t="s">
        <v>131</v>
      </c>
      <c r="E42" s="455">
        <f>'30'!F42</f>
        <v>59199</v>
      </c>
      <c r="F42" s="510">
        <v>59200</v>
      </c>
      <c r="G42" s="473">
        <f t="shared" si="3"/>
        <v>1</v>
      </c>
      <c r="H42" s="460">
        <f>G42+'30'!H42</f>
        <v>1.0299999999988358</v>
      </c>
      <c r="I42" s="455"/>
      <c r="J42" s="552">
        <f>H42/DAY(B2)</f>
        <v>3.322580645157535E-2</v>
      </c>
      <c r="K42" s="428"/>
      <c r="L42" s="377"/>
      <c r="N42" s="440">
        <f>H42-'1'!E42</f>
        <v>-59198.97</v>
      </c>
      <c r="O42" s="382"/>
    </row>
    <row r="43" spans="1:15" ht="29.25">
      <c r="A43" s="578" t="s">
        <v>171</v>
      </c>
      <c r="B43" s="579"/>
      <c r="C43" s="579"/>
      <c r="D43" s="523" t="s">
        <v>131</v>
      </c>
      <c r="E43" s="455">
        <f>'30'!F43</f>
        <v>1039967</v>
      </c>
      <c r="F43" s="510">
        <v>1042244</v>
      </c>
      <c r="G43" s="473">
        <f t="shared" si="3"/>
        <v>2277</v>
      </c>
      <c r="H43" s="460">
        <f>G43+'30'!H43</f>
        <v>0</v>
      </c>
      <c r="I43" s="455"/>
      <c r="J43" s="552">
        <f>H43/DAY(B2)</f>
        <v>0</v>
      </c>
      <c r="K43" s="428"/>
      <c r="L43" s="377"/>
      <c r="N43" s="440">
        <f>H43-'1'!E43</f>
        <v>-1042244</v>
      </c>
      <c r="O43" s="382"/>
    </row>
    <row r="44" spans="1:15" ht="29.25">
      <c r="A44" s="578" t="s">
        <v>172</v>
      </c>
      <c r="B44" s="579"/>
      <c r="C44" s="579"/>
      <c r="D44" s="523" t="s">
        <v>131</v>
      </c>
      <c r="E44" s="455">
        <f>'30'!F44</f>
        <v>0</v>
      </c>
      <c r="F44" s="510">
        <v>0</v>
      </c>
      <c r="G44" s="473">
        <f t="shared" si="3"/>
        <v>0</v>
      </c>
      <c r="H44" s="460">
        <f>G44+'30'!H44</f>
        <v>0</v>
      </c>
      <c r="I44" s="455"/>
      <c r="J44" s="552">
        <f>H44/DAY(B2)</f>
        <v>0</v>
      </c>
      <c r="K44" s="428"/>
      <c r="L44" s="377"/>
      <c r="N44" s="440">
        <f>H44-'1'!E44</f>
        <v>0</v>
      </c>
      <c r="O44" s="382"/>
    </row>
    <row r="45" spans="1:15" ht="29.25">
      <c r="A45" s="578" t="s">
        <v>173</v>
      </c>
      <c r="B45" s="579"/>
      <c r="C45" s="579"/>
      <c r="D45" s="523" t="s">
        <v>131</v>
      </c>
      <c r="E45" s="455">
        <f>'30'!F45</f>
        <v>614</v>
      </c>
      <c r="F45" s="510">
        <v>614</v>
      </c>
      <c r="G45" s="473">
        <f t="shared" si="3"/>
        <v>0</v>
      </c>
      <c r="H45" s="460">
        <f>G45+'30'!H45</f>
        <v>614</v>
      </c>
      <c r="I45" s="455"/>
      <c r="J45" s="552">
        <f>H45/DAY(B2)</f>
        <v>19.806451612903224</v>
      </c>
      <c r="K45" s="428"/>
      <c r="L45" s="377"/>
      <c r="N45" s="440">
        <f>H45-'1'!E45</f>
        <v>0</v>
      </c>
      <c r="O45" s="382"/>
    </row>
    <row r="46" spans="1:15" ht="29.25">
      <c r="A46" s="578" t="s">
        <v>174</v>
      </c>
      <c r="B46" s="579"/>
      <c r="C46" s="579"/>
      <c r="D46" s="523" t="s">
        <v>131</v>
      </c>
      <c r="E46" s="455">
        <f>'30'!F46</f>
        <v>187</v>
      </c>
      <c r="F46" s="510">
        <v>187</v>
      </c>
      <c r="G46" s="473">
        <f t="shared" si="3"/>
        <v>0</v>
      </c>
      <c r="H46" s="460">
        <f>G46+'30'!H46</f>
        <v>186.95</v>
      </c>
      <c r="I46" s="455"/>
      <c r="J46" s="552">
        <f>H46/DAY(B2)</f>
        <v>6.0306451612903222</v>
      </c>
      <c r="K46" s="428"/>
      <c r="L46" s="377"/>
      <c r="N46" s="440">
        <f>H46-'1'!E46</f>
        <v>-5.0000000000011369E-2</v>
      </c>
      <c r="O46" s="382"/>
    </row>
    <row r="47" spans="1:15" ht="29.25">
      <c r="A47" s="585" t="s">
        <v>175</v>
      </c>
      <c r="B47" s="586"/>
      <c r="C47" s="586"/>
      <c r="D47" s="470"/>
      <c r="E47" s="511"/>
      <c r="F47" s="511"/>
      <c r="G47" s="481">
        <f>G35+G36+G37+G38+G39+G40+G41+G42+G43+G44+G45+G46</f>
        <v>9480</v>
      </c>
      <c r="H47" s="460">
        <f>G47+'30'!H47</f>
        <v>347867.47</v>
      </c>
      <c r="I47" s="455"/>
      <c r="J47" s="552">
        <f>H47/DAY(B2)</f>
        <v>11221.53129032258</v>
      </c>
      <c r="K47" s="428"/>
      <c r="L47" s="377"/>
      <c r="N47" s="440">
        <f>H47-'1'!E47</f>
        <v>347867.47</v>
      </c>
      <c r="O47" s="382"/>
    </row>
    <row r="48" spans="1:15" ht="29.25">
      <c r="A48" s="598" t="s">
        <v>176</v>
      </c>
      <c r="B48" s="1146"/>
      <c r="C48" s="1146"/>
      <c r="D48" s="472"/>
      <c r="E48" s="471"/>
      <c r="F48" s="471"/>
      <c r="G48" s="472"/>
      <c r="H48" s="472"/>
      <c r="I48" s="472"/>
      <c r="J48" s="551"/>
      <c r="K48" s="428"/>
      <c r="L48" s="377"/>
      <c r="N48" s="440">
        <f>H48-'1'!E48</f>
        <v>0</v>
      </c>
      <c r="O48" s="382"/>
    </row>
    <row r="49" spans="1:15" ht="29.25">
      <c r="A49" s="578" t="s">
        <v>163</v>
      </c>
      <c r="B49" s="601"/>
      <c r="C49" s="601"/>
      <c r="D49" s="523" t="s">
        <v>131</v>
      </c>
      <c r="E49" s="455">
        <f>'30'!F49</f>
        <v>260732.13</v>
      </c>
      <c r="F49" s="510">
        <v>260732</v>
      </c>
      <c r="G49" s="473">
        <f t="shared" ref="G49:G58" si="4">F49-E49</f>
        <v>-0.13000000000465661</v>
      </c>
      <c r="H49" s="460">
        <f>G49+'30'!H49</f>
        <v>0</v>
      </c>
      <c r="I49" s="455"/>
      <c r="J49" s="552">
        <f>H49/DAY(B2)</f>
        <v>0</v>
      </c>
      <c r="K49" s="428"/>
      <c r="L49" s="377"/>
      <c r="N49" s="440">
        <f>H49-'1'!E49</f>
        <v>-260732</v>
      </c>
      <c r="O49" s="382"/>
    </row>
    <row r="50" spans="1:15" ht="29.25">
      <c r="A50" s="578" t="s">
        <v>177</v>
      </c>
      <c r="B50" s="601"/>
      <c r="C50" s="601"/>
      <c r="D50" s="523" t="s">
        <v>131</v>
      </c>
      <c r="E50" s="455">
        <f>'30'!F50</f>
        <v>501652</v>
      </c>
      <c r="F50" s="510">
        <v>502536</v>
      </c>
      <c r="G50" s="473">
        <f t="shared" si="4"/>
        <v>884</v>
      </c>
      <c r="H50" s="460">
        <f>G50+'30'!H50</f>
        <v>-890</v>
      </c>
      <c r="I50" s="455"/>
      <c r="J50" s="552">
        <f>H50/DAY(B2)</f>
        <v>-28.70967741935484</v>
      </c>
      <c r="K50" s="428"/>
      <c r="L50" s="377"/>
      <c r="N50" s="440">
        <f>H50-'1'!E50</f>
        <v>-503426</v>
      </c>
      <c r="O50" s="382"/>
    </row>
    <row r="51" spans="1:15" ht="29.25">
      <c r="A51" s="578" t="s">
        <v>165</v>
      </c>
      <c r="B51" s="601"/>
      <c r="C51" s="601"/>
      <c r="D51" s="523" t="s">
        <v>131</v>
      </c>
      <c r="E51" s="455">
        <f>'30'!F51</f>
        <v>144640</v>
      </c>
      <c r="F51" s="510">
        <v>144640</v>
      </c>
      <c r="G51" s="473">
        <f t="shared" si="4"/>
        <v>0</v>
      </c>
      <c r="H51" s="460">
        <f>G51+'30'!H51</f>
        <v>0</v>
      </c>
      <c r="I51" s="455"/>
      <c r="J51" s="552">
        <f>H51/DAY(B2)</f>
        <v>0</v>
      </c>
      <c r="K51" s="428"/>
      <c r="L51" s="377"/>
      <c r="N51" s="440">
        <f>H51-'1'!E51</f>
        <v>-144640</v>
      </c>
      <c r="O51" s="382"/>
    </row>
    <row r="52" spans="1:15" ht="29.25">
      <c r="A52" s="578" t="s">
        <v>178</v>
      </c>
      <c r="B52" s="601"/>
      <c r="C52" s="601"/>
      <c r="D52" s="523" t="s">
        <v>131</v>
      </c>
      <c r="E52" s="455">
        <f>'30'!F52</f>
        <v>539606</v>
      </c>
      <c r="F52" s="510">
        <v>539606</v>
      </c>
      <c r="G52" s="473">
        <f t="shared" si="4"/>
        <v>0</v>
      </c>
      <c r="H52" s="460">
        <f>G52+'30'!H52</f>
        <v>-6.9999999948777258E-2</v>
      </c>
      <c r="I52" s="455"/>
      <c r="J52" s="552">
        <f>H52/DAY(B2)</f>
        <v>-2.2580645144766858E-3</v>
      </c>
      <c r="K52" s="428"/>
      <c r="L52" s="377"/>
      <c r="N52" s="440">
        <f>H52-'1'!E52</f>
        <v>-539606.06999999995</v>
      </c>
      <c r="O52" s="382"/>
    </row>
    <row r="53" spans="1:15" ht="29.25">
      <c r="A53" s="578" t="s">
        <v>167</v>
      </c>
      <c r="B53" s="601"/>
      <c r="C53" s="601"/>
      <c r="D53" s="523" t="s">
        <v>131</v>
      </c>
      <c r="E53" s="455">
        <f>'30'!F53</f>
        <v>432059</v>
      </c>
      <c r="F53" s="510">
        <v>432568</v>
      </c>
      <c r="G53" s="473">
        <f t="shared" si="4"/>
        <v>509</v>
      </c>
      <c r="H53" s="460">
        <f>G53+'30'!H53</f>
        <v>-0.33000000001629815</v>
      </c>
      <c r="I53" s="455"/>
      <c r="J53" s="552">
        <f>H53/DAY(B2)</f>
        <v>-1.0645161290848327E-2</v>
      </c>
      <c r="K53" s="428"/>
      <c r="L53" s="377"/>
      <c r="N53" s="440">
        <f>H53-'1'!E53</f>
        <v>-432568.33</v>
      </c>
      <c r="O53" s="382"/>
    </row>
    <row r="54" spans="1:15" ht="29.25">
      <c r="A54" s="578" t="s">
        <v>179</v>
      </c>
      <c r="B54" s="601"/>
      <c r="C54" s="601"/>
      <c r="D54" s="523" t="s">
        <v>131</v>
      </c>
      <c r="E54" s="455">
        <f>'30'!F54</f>
        <v>13678</v>
      </c>
      <c r="F54" s="510">
        <v>13750</v>
      </c>
      <c r="G54" s="473">
        <f t="shared" si="4"/>
        <v>72</v>
      </c>
      <c r="H54" s="460">
        <f>G54+'30'!H54</f>
        <v>-79</v>
      </c>
      <c r="I54" s="455"/>
      <c r="J54" s="552">
        <f>H54/DAY(B2)</f>
        <v>-2.5483870967741935</v>
      </c>
      <c r="K54" s="428"/>
      <c r="L54" s="377"/>
      <c r="N54" s="440">
        <f>H54-'1'!E54</f>
        <v>-13829</v>
      </c>
      <c r="O54" s="382"/>
    </row>
    <row r="55" spans="1:15" ht="29.25">
      <c r="A55" s="578" t="s">
        <v>180</v>
      </c>
      <c r="B55" s="601"/>
      <c r="C55" s="601"/>
      <c r="D55" s="523" t="s">
        <v>131</v>
      </c>
      <c r="E55" s="455">
        <f>'30'!F55</f>
        <v>68111</v>
      </c>
      <c r="F55" s="510">
        <v>68111</v>
      </c>
      <c r="G55" s="473">
        <f t="shared" si="4"/>
        <v>0</v>
      </c>
      <c r="H55" s="460">
        <f>G55+'30'!H55</f>
        <v>0</v>
      </c>
      <c r="I55" s="455"/>
      <c r="J55" s="552">
        <f>H55/DAY(B2)</f>
        <v>0</v>
      </c>
      <c r="K55" s="428"/>
      <c r="L55" s="377"/>
      <c r="N55" s="440">
        <f>H55-'1'!E55</f>
        <v>-68111</v>
      </c>
      <c r="O55" s="382"/>
    </row>
    <row r="56" spans="1:15" ht="29.25">
      <c r="A56" s="578" t="s">
        <v>181</v>
      </c>
      <c r="B56" s="601"/>
      <c r="C56" s="601"/>
      <c r="D56" s="523" t="s">
        <v>182</v>
      </c>
      <c r="E56" s="455">
        <f>'30'!F56</f>
        <v>611596</v>
      </c>
      <c r="F56" s="510">
        <v>617198</v>
      </c>
      <c r="G56" s="473">
        <f t="shared" si="4"/>
        <v>5602</v>
      </c>
      <c r="H56" s="460">
        <f>G56+'30'!H56</f>
        <v>0</v>
      </c>
      <c r="I56" s="455"/>
      <c r="J56" s="552">
        <f>H56/DAY(B2)</f>
        <v>0</v>
      </c>
      <c r="K56" s="427"/>
      <c r="L56" s="377"/>
      <c r="N56" s="440">
        <f>H56-'1'!E56</f>
        <v>-617198</v>
      </c>
      <c r="O56" s="382"/>
    </row>
    <row r="57" spans="1:15" ht="29.25">
      <c r="A57" s="578" t="s">
        <v>171</v>
      </c>
      <c r="B57" s="601"/>
      <c r="C57" s="601"/>
      <c r="D57" s="523" t="s">
        <v>131</v>
      </c>
      <c r="E57" s="455">
        <f>'30'!F57</f>
        <v>7711</v>
      </c>
      <c r="F57" s="510">
        <v>7711</v>
      </c>
      <c r="G57" s="473">
        <f t="shared" si="4"/>
        <v>0</v>
      </c>
      <c r="H57" s="460">
        <f>G57+'30'!H57</f>
        <v>0</v>
      </c>
      <c r="I57" s="455"/>
      <c r="J57" s="552">
        <f>H57/DAY(B2)</f>
        <v>0</v>
      </c>
      <c r="K57" s="428"/>
      <c r="L57" s="377"/>
      <c r="N57" s="440">
        <f>H57-'1'!E57</f>
        <v>-7711</v>
      </c>
      <c r="O57" s="382"/>
    </row>
    <row r="58" spans="1:15" ht="29.25">
      <c r="A58" s="578" t="s">
        <v>183</v>
      </c>
      <c r="B58" s="601"/>
      <c r="C58" s="601"/>
      <c r="D58" s="523" t="s">
        <v>131</v>
      </c>
      <c r="E58" s="455">
        <f>'30'!F58</f>
        <v>49355</v>
      </c>
      <c r="F58" s="510">
        <v>49625</v>
      </c>
      <c r="G58" s="473">
        <f t="shared" si="4"/>
        <v>270</v>
      </c>
      <c r="H58" s="460">
        <f>G58+'30'!H58</f>
        <v>-239.20999999999913</v>
      </c>
      <c r="I58" s="455"/>
      <c r="J58" s="552">
        <f>H58/DAY(B2)</f>
        <v>-7.7164516129031977</v>
      </c>
      <c r="K58" s="428"/>
      <c r="L58" s="377"/>
      <c r="N58" s="440">
        <f>H58-'1'!E58</f>
        <v>-49864.21</v>
      </c>
      <c r="O58" s="382"/>
    </row>
    <row r="59" spans="1:15" ht="29.25">
      <c r="A59" s="585" t="s">
        <v>175</v>
      </c>
      <c r="B59" s="586"/>
      <c r="C59" s="586"/>
      <c r="D59" s="511"/>
      <c r="E59" s="511"/>
      <c r="F59" s="511"/>
      <c r="G59" s="481">
        <f>G49+G50+G51+G52+G53+G54+G55+G56+G57+G58</f>
        <v>7336.8699999999953</v>
      </c>
      <c r="H59" s="460">
        <f>G59+'30'!H59</f>
        <v>-1208.5400000000063</v>
      </c>
      <c r="I59" s="455">
        <f>G7-G60</f>
        <v>183.13000000000466</v>
      </c>
      <c r="J59" s="552">
        <f>H59/DAY(B2)</f>
        <v>-38.985161290322786</v>
      </c>
      <c r="K59" s="428"/>
      <c r="L59" s="377"/>
      <c r="N59" s="440">
        <f>H59-'1'!E59</f>
        <v>-1208.5400000000063</v>
      </c>
      <c r="O59" s="382"/>
    </row>
    <row r="60" spans="1:15" ht="29.25">
      <c r="A60" s="578"/>
      <c r="B60" s="579"/>
      <c r="C60" s="579"/>
      <c r="D60" s="511" t="s">
        <v>184</v>
      </c>
      <c r="E60" s="511"/>
      <c r="F60" s="511"/>
      <c r="G60" s="481">
        <f>G47+G59</f>
        <v>16816.869999999995</v>
      </c>
      <c r="H60" s="460">
        <f>G60+'30'!H60</f>
        <v>347867.46999999986</v>
      </c>
      <c r="I60" s="455">
        <f>G13-G60</f>
        <v>133.13000000000466</v>
      </c>
      <c r="J60" s="552">
        <f>H60/DAY(B2)</f>
        <v>11221.531290322577</v>
      </c>
      <c r="K60" s="428"/>
      <c r="L60" s="377"/>
      <c r="N60" s="440">
        <f>H60-'1'!E60</f>
        <v>347867.46999999986</v>
      </c>
      <c r="O60" s="382"/>
    </row>
    <row r="61" spans="1:15" ht="29.25">
      <c r="A61" s="602" t="s">
        <v>185</v>
      </c>
      <c r="B61" s="453"/>
      <c r="C61" s="453"/>
      <c r="D61" s="513"/>
      <c r="E61" s="512"/>
      <c r="F61" s="512"/>
      <c r="G61" s="513"/>
      <c r="H61" s="513"/>
      <c r="I61" s="513"/>
      <c r="J61" s="555"/>
      <c r="K61" s="428"/>
      <c r="L61" s="377"/>
      <c r="N61" s="440">
        <f>H61-'1'!E61</f>
        <v>0</v>
      </c>
      <c r="O61" s="382"/>
    </row>
    <row r="62" spans="1:15" ht="29.25">
      <c r="A62" s="603" t="s">
        <v>97</v>
      </c>
      <c r="B62" s="604"/>
      <c r="C62" s="604"/>
      <c r="D62" s="511" t="s">
        <v>186</v>
      </c>
      <c r="E62" s="455">
        <f>'30'!F62</f>
        <v>20419</v>
      </c>
      <c r="F62" s="514">
        <v>20419</v>
      </c>
      <c r="G62" s="473">
        <f t="shared" ref="G62:G69" si="5">F62-E62</f>
        <v>0</v>
      </c>
      <c r="H62" s="460">
        <f>G62+'30'!H62</f>
        <v>1.9999999967694748E-3</v>
      </c>
      <c r="I62" s="515"/>
      <c r="J62" s="552">
        <f>H62/DAY(B2)</f>
        <v>6.4516128928047577E-5</v>
      </c>
      <c r="K62" s="428"/>
      <c r="L62" s="377"/>
      <c r="N62" s="440">
        <f>H62-'1'!E62</f>
        <v>-20418.998000000003</v>
      </c>
      <c r="O62" s="382"/>
    </row>
    <row r="63" spans="1:15" ht="29.25">
      <c r="A63" s="603" t="s">
        <v>187</v>
      </c>
      <c r="B63" s="604"/>
      <c r="C63" s="604"/>
      <c r="D63" s="511" t="s">
        <v>186</v>
      </c>
      <c r="E63" s="455">
        <v>0</v>
      </c>
      <c r="F63" s="514">
        <v>0</v>
      </c>
      <c r="G63" s="473">
        <f t="shared" si="5"/>
        <v>0</v>
      </c>
      <c r="H63" s="460">
        <f>G63+'30'!H63</f>
        <v>2472</v>
      </c>
      <c r="I63" s="515"/>
      <c r="J63" s="552">
        <f>H63/DAY(B2)</f>
        <v>79.741935483870961</v>
      </c>
      <c r="K63" s="428"/>
      <c r="L63" s="377"/>
      <c r="N63" s="440">
        <f>H63-'1'!E63</f>
        <v>2472</v>
      </c>
      <c r="O63" s="382"/>
    </row>
    <row r="64" spans="1:15" ht="27.75">
      <c r="A64" s="1534" t="s">
        <v>98</v>
      </c>
      <c r="B64" s="1535"/>
      <c r="C64" s="1536"/>
      <c r="D64" s="523" t="s">
        <v>186</v>
      </c>
      <c r="E64" s="455">
        <f>'30'!F64</f>
        <v>159745</v>
      </c>
      <c r="F64" s="484">
        <v>159932</v>
      </c>
      <c r="G64" s="473">
        <f t="shared" si="5"/>
        <v>187</v>
      </c>
      <c r="H64" s="460">
        <f>G64+'30'!H64</f>
        <v>0</v>
      </c>
      <c r="I64" s="480"/>
      <c r="J64" s="552">
        <f>H64/DAY(B2)</f>
        <v>0</v>
      </c>
      <c r="K64" s="428"/>
      <c r="L64" s="377"/>
      <c r="N64" s="440">
        <f>H64-'1'!E64</f>
        <v>-159932</v>
      </c>
      <c r="O64" s="382"/>
    </row>
    <row r="65" spans="1:15" ht="27.75">
      <c r="A65" s="1534" t="s">
        <v>99</v>
      </c>
      <c r="B65" s="1535"/>
      <c r="C65" s="1536"/>
      <c r="D65" s="523" t="s">
        <v>186</v>
      </c>
      <c r="E65" s="455">
        <f>'30'!F65</f>
        <v>160777</v>
      </c>
      <c r="F65" s="484">
        <v>160998</v>
      </c>
      <c r="G65" s="473">
        <f t="shared" si="5"/>
        <v>221</v>
      </c>
      <c r="H65" s="460">
        <f>G65+'30'!H65</f>
        <v>0</v>
      </c>
      <c r="I65" s="489"/>
      <c r="J65" s="552">
        <f>H65/DAY(B2)</f>
        <v>0</v>
      </c>
      <c r="K65" s="428"/>
      <c r="L65" s="377"/>
      <c r="N65" s="440">
        <f>H65-'1'!E65</f>
        <v>-160998</v>
      </c>
      <c r="O65" s="382"/>
    </row>
    <row r="66" spans="1:15" ht="27.75">
      <c r="A66" s="1534" t="s">
        <v>100</v>
      </c>
      <c r="B66" s="1535"/>
      <c r="C66" s="1536"/>
      <c r="D66" s="523" t="s">
        <v>186</v>
      </c>
      <c r="E66" s="455">
        <f>'30'!F66</f>
        <v>56522</v>
      </c>
      <c r="F66" s="484">
        <v>56805</v>
      </c>
      <c r="G66" s="473">
        <f t="shared" si="5"/>
        <v>283</v>
      </c>
      <c r="H66" s="460">
        <f>G66+'30'!H66</f>
        <v>0</v>
      </c>
      <c r="I66" s="480"/>
      <c r="J66" s="552">
        <f>H66/DAY(B2)</f>
        <v>0</v>
      </c>
      <c r="K66" s="428"/>
      <c r="L66" s="377"/>
      <c r="N66" s="440">
        <f>H66-'1'!E66</f>
        <v>-56805</v>
      </c>
      <c r="O66" s="382"/>
    </row>
    <row r="67" spans="1:15" ht="27.75">
      <c r="A67" s="1534" t="s">
        <v>101</v>
      </c>
      <c r="B67" s="1535"/>
      <c r="C67" s="1536"/>
      <c r="D67" s="523" t="s">
        <v>186</v>
      </c>
      <c r="E67" s="455">
        <f>'30'!F67</f>
        <v>251770</v>
      </c>
      <c r="F67" s="484">
        <v>252192</v>
      </c>
      <c r="G67" s="473">
        <f t="shared" si="5"/>
        <v>422</v>
      </c>
      <c r="H67" s="460">
        <f>G67+'30'!H67</f>
        <v>0</v>
      </c>
      <c r="I67" s="489"/>
      <c r="J67" s="552">
        <f>H67/DAY(B2)</f>
        <v>0</v>
      </c>
      <c r="K67" s="429"/>
      <c r="L67" s="377"/>
      <c r="N67" s="440">
        <f>H67-'1'!E67</f>
        <v>-252192</v>
      </c>
      <c r="O67" s="382"/>
    </row>
    <row r="68" spans="1:15" ht="27.75">
      <c r="A68" s="1534" t="s">
        <v>102</v>
      </c>
      <c r="B68" s="1535"/>
      <c r="C68" s="1536"/>
      <c r="D68" s="523" t="s">
        <v>186</v>
      </c>
      <c r="E68" s="455">
        <f>'30'!F68</f>
        <v>85321</v>
      </c>
      <c r="F68" s="484">
        <v>85321</v>
      </c>
      <c r="G68" s="473">
        <f t="shared" si="5"/>
        <v>0</v>
      </c>
      <c r="H68" s="460">
        <f>G68+'30'!H68</f>
        <v>0</v>
      </c>
      <c r="I68" s="516"/>
      <c r="J68" s="552">
        <f>H68/DAY(B2)</f>
        <v>0</v>
      </c>
      <c r="K68" s="430"/>
      <c r="L68" s="377"/>
      <c r="N68" s="440">
        <f>H68-'1'!E68</f>
        <v>-85321</v>
      </c>
      <c r="O68" s="382"/>
    </row>
    <row r="69" spans="1:15" ht="27.75">
      <c r="A69" s="1534" t="s">
        <v>103</v>
      </c>
      <c r="B69" s="1535"/>
      <c r="C69" s="1536"/>
      <c r="D69" s="523" t="s">
        <v>186</v>
      </c>
      <c r="E69" s="455">
        <f>'30'!F69</f>
        <v>81645</v>
      </c>
      <c r="F69" s="484">
        <v>81749</v>
      </c>
      <c r="G69" s="473">
        <f t="shared" si="5"/>
        <v>104</v>
      </c>
      <c r="H69" s="460">
        <f>G69+'30'!H69</f>
        <v>0</v>
      </c>
      <c r="I69" s="516"/>
      <c r="J69" s="552">
        <f>H69/DAY(B2)</f>
        <v>0</v>
      </c>
      <c r="K69" s="431"/>
      <c r="L69" s="377"/>
      <c r="N69" s="440">
        <f>H69-'1'!E69</f>
        <v>-81749</v>
      </c>
      <c r="O69" s="382"/>
    </row>
    <row r="70" spans="1:15" ht="27.75">
      <c r="A70" s="1566" t="s">
        <v>188</v>
      </c>
      <c r="B70" s="1567"/>
      <c r="C70" s="1568"/>
      <c r="D70" s="523" t="s">
        <v>186</v>
      </c>
      <c r="E70" s="518"/>
      <c r="F70" s="518"/>
      <c r="G70" s="518"/>
      <c r="H70" s="460">
        <f>G70+'30'!H70</f>
        <v>0</v>
      </c>
      <c r="I70" s="518"/>
      <c r="J70" s="556"/>
      <c r="K70" s="431"/>
      <c r="L70" s="377"/>
      <c r="N70" s="440">
        <f>H70-'1'!E70</f>
        <v>0</v>
      </c>
      <c r="O70" s="382"/>
    </row>
    <row r="71" spans="1:15" ht="31.5">
      <c r="A71" s="1580" t="s">
        <v>189</v>
      </c>
      <c r="B71" s="1581"/>
      <c r="C71" s="1581"/>
      <c r="D71" s="1581"/>
      <c r="E71" s="1581"/>
      <c r="F71" s="1581"/>
      <c r="G71" s="1581"/>
      <c r="H71" s="1581"/>
      <c r="I71" s="1581"/>
      <c r="J71" s="1582"/>
      <c r="K71" s="430"/>
      <c r="L71" s="377"/>
      <c r="N71" s="440">
        <f>H71-'1'!E71</f>
        <v>0</v>
      </c>
      <c r="O71" s="382"/>
    </row>
    <row r="72" spans="1:15" ht="27.75">
      <c r="A72" s="1534" t="s">
        <v>190</v>
      </c>
      <c r="B72" s="1535"/>
      <c r="C72" s="1536"/>
      <c r="D72" s="523" t="s">
        <v>186</v>
      </c>
      <c r="E72" s="455">
        <f>'30'!F72</f>
        <v>855831</v>
      </c>
      <c r="F72" s="519">
        <v>855843</v>
      </c>
      <c r="G72" s="473">
        <f t="shared" ref="G72:G84" si="6">F72-E72</f>
        <v>12</v>
      </c>
      <c r="H72" s="460">
        <f>G72+'30'!H72</f>
        <v>-13</v>
      </c>
      <c r="I72" s="480"/>
      <c r="J72" s="552">
        <f>H72/DAY(B2)</f>
        <v>-0.41935483870967744</v>
      </c>
      <c r="K72" s="431"/>
      <c r="L72" s="377"/>
      <c r="N72" s="440">
        <f>H72-'1'!E72</f>
        <v>-855856</v>
      </c>
      <c r="O72" s="382"/>
    </row>
    <row r="73" spans="1:15" ht="27.75">
      <c r="A73" s="1534" t="s">
        <v>191</v>
      </c>
      <c r="B73" s="1535"/>
      <c r="C73" s="1536"/>
      <c r="D73" s="523" t="s">
        <v>186</v>
      </c>
      <c r="E73" s="455">
        <f>'30'!F73</f>
        <v>885936</v>
      </c>
      <c r="F73" s="520">
        <v>885937</v>
      </c>
      <c r="G73" s="473">
        <f t="shared" si="6"/>
        <v>1</v>
      </c>
      <c r="H73" s="460">
        <f>G73+'30'!H73</f>
        <v>156</v>
      </c>
      <c r="I73" s="480"/>
      <c r="J73" s="552">
        <f>H73/DAY(B2)</f>
        <v>5.032258064516129</v>
      </c>
      <c r="K73" s="430"/>
      <c r="L73" s="377"/>
      <c r="N73" s="440">
        <f>H73-'1'!E73</f>
        <v>-885781</v>
      </c>
      <c r="O73" s="382"/>
    </row>
    <row r="74" spans="1:15" ht="27.75">
      <c r="A74" s="1534" t="s">
        <v>192</v>
      </c>
      <c r="B74" s="1535"/>
      <c r="C74" s="1536"/>
      <c r="D74" s="523" t="s">
        <v>186</v>
      </c>
      <c r="E74" s="455">
        <f>'30'!F74</f>
        <v>2579</v>
      </c>
      <c r="F74" s="521">
        <v>2586</v>
      </c>
      <c r="G74" s="473">
        <f t="shared" si="6"/>
        <v>7</v>
      </c>
      <c r="H74" s="460">
        <f>G74+'30'!H74</f>
        <v>-86079.039999999994</v>
      </c>
      <c r="I74" s="480"/>
      <c r="J74" s="552">
        <f>H74/DAY(B2)</f>
        <v>-2776.7432258064514</v>
      </c>
      <c r="K74" s="431"/>
      <c r="L74" s="377"/>
      <c r="N74" s="440">
        <f>H74-'1'!E74</f>
        <v>-88665.04</v>
      </c>
      <c r="O74" s="382"/>
    </row>
    <row r="75" spans="1:15" ht="27.75">
      <c r="A75" s="1583" t="s">
        <v>193</v>
      </c>
      <c r="B75" s="1584"/>
      <c r="C75" s="1585"/>
      <c r="D75" s="523" t="s">
        <v>186</v>
      </c>
      <c r="E75" s="455">
        <f>'30'!F75</f>
        <v>12615</v>
      </c>
      <c r="F75" s="521">
        <v>12669</v>
      </c>
      <c r="G75" s="473">
        <f t="shared" si="6"/>
        <v>54</v>
      </c>
      <c r="H75" s="460">
        <f>G75+'30'!H75</f>
        <v>0</v>
      </c>
      <c r="I75" s="480"/>
      <c r="J75" s="552">
        <f>H75/DAY(B2)</f>
        <v>0</v>
      </c>
      <c r="K75" s="430"/>
      <c r="L75" s="377"/>
      <c r="N75" s="440">
        <f>H75-'1'!E75</f>
        <v>-12669</v>
      </c>
      <c r="O75" s="382"/>
    </row>
    <row r="76" spans="1:15" ht="27.75">
      <c r="A76" s="1583" t="s">
        <v>194</v>
      </c>
      <c r="B76" s="1584"/>
      <c r="C76" s="1585"/>
      <c r="D76" s="523" t="s">
        <v>186</v>
      </c>
      <c r="E76" s="455">
        <f>'30'!F76</f>
        <v>7363</v>
      </c>
      <c r="F76" s="520">
        <v>7419</v>
      </c>
      <c r="G76" s="473">
        <f t="shared" si="6"/>
        <v>56</v>
      </c>
      <c r="H76" s="460">
        <f>G76+'30'!H76</f>
        <v>213</v>
      </c>
      <c r="I76" s="505"/>
      <c r="J76" s="552">
        <f>H76/DAY(B2)</f>
        <v>6.870967741935484</v>
      </c>
      <c r="K76" s="430"/>
      <c r="L76" s="377"/>
      <c r="N76" s="440">
        <f>H76-'1'!E76</f>
        <v>-7206</v>
      </c>
      <c r="O76" s="382"/>
    </row>
    <row r="77" spans="1:15" ht="27.75">
      <c r="A77" s="1534" t="s">
        <v>195</v>
      </c>
      <c r="B77" s="1535"/>
      <c r="C77" s="1536"/>
      <c r="D77" s="523" t="s">
        <v>186</v>
      </c>
      <c r="E77" s="455">
        <f>'30'!F77</f>
        <v>702791</v>
      </c>
      <c r="F77" s="521">
        <v>702839</v>
      </c>
      <c r="G77" s="473">
        <f t="shared" si="6"/>
        <v>48</v>
      </c>
      <c r="H77" s="460">
        <f>G77+'30'!H77</f>
        <v>0</v>
      </c>
      <c r="I77" s="505"/>
      <c r="J77" s="552">
        <f>H77/DAY(B2)</f>
        <v>0</v>
      </c>
      <c r="K77" s="430"/>
      <c r="L77" s="377"/>
      <c r="N77" s="440">
        <f>H77-'1'!E77</f>
        <v>-702839</v>
      </c>
      <c r="O77" s="382"/>
    </row>
    <row r="78" spans="1:15" ht="27.75">
      <c r="A78" s="1144" t="s">
        <v>196</v>
      </c>
      <c r="B78" s="1117"/>
      <c r="C78" s="1117"/>
      <c r="D78" s="523" t="s">
        <v>186</v>
      </c>
      <c r="E78" s="455">
        <f>'30'!F78</f>
        <v>672954</v>
      </c>
      <c r="F78" s="521">
        <v>673032</v>
      </c>
      <c r="G78" s="473">
        <f t="shared" si="6"/>
        <v>78</v>
      </c>
      <c r="H78" s="460">
        <f>G78+'30'!H78</f>
        <v>0</v>
      </c>
      <c r="I78" s="505"/>
      <c r="J78" s="552">
        <f>H78/DAY(B2)</f>
        <v>0</v>
      </c>
      <c r="K78" s="430"/>
      <c r="L78" s="377"/>
      <c r="N78" s="440">
        <f>H78-'1'!E78</f>
        <v>-673032</v>
      </c>
      <c r="O78" s="382"/>
    </row>
    <row r="79" spans="1:15" ht="27.75">
      <c r="A79" s="1583" t="s">
        <v>91</v>
      </c>
      <c r="B79" s="1584"/>
      <c r="C79" s="1585"/>
      <c r="D79" s="524" t="s">
        <v>186</v>
      </c>
      <c r="E79" s="455">
        <f>'30'!F79</f>
        <v>830852</v>
      </c>
      <c r="F79" s="521">
        <v>831010</v>
      </c>
      <c r="G79" s="473">
        <f t="shared" si="6"/>
        <v>158</v>
      </c>
      <c r="H79" s="460">
        <f>G79+'30'!H79</f>
        <v>-1012</v>
      </c>
      <c r="I79" s="505"/>
      <c r="J79" s="552">
        <f>H79/DAY(B2)</f>
        <v>-32.645161290322584</v>
      </c>
      <c r="K79" s="430"/>
      <c r="L79" s="377"/>
      <c r="N79" s="440">
        <f>H79-'1'!E79</f>
        <v>-832022</v>
      </c>
      <c r="O79" s="382"/>
    </row>
    <row r="80" spans="1:15" ht="27.75">
      <c r="A80" s="1583" t="s">
        <v>197</v>
      </c>
      <c r="B80" s="1584"/>
      <c r="C80" s="1585"/>
      <c r="D80" s="524" t="s">
        <v>186</v>
      </c>
      <c r="E80" s="455">
        <f>'30'!F80</f>
        <v>527299</v>
      </c>
      <c r="F80" s="520">
        <v>527658</v>
      </c>
      <c r="G80" s="473">
        <f t="shared" si="6"/>
        <v>359</v>
      </c>
      <c r="H80" s="460">
        <f>G80+'30'!H80</f>
        <v>-2887.5200000000186</v>
      </c>
      <c r="I80" s="505"/>
      <c r="J80" s="552">
        <f>H80/DAY(B2)</f>
        <v>-93.14580645161351</v>
      </c>
      <c r="K80" s="430"/>
      <c r="L80" s="377"/>
      <c r="N80" s="440">
        <f>H80-'1'!E80</f>
        <v>-530545.52</v>
      </c>
      <c r="O80" s="382"/>
    </row>
    <row r="81" spans="1:15" ht="27.75">
      <c r="A81" s="1583" t="s">
        <v>198</v>
      </c>
      <c r="B81" s="1584"/>
      <c r="C81" s="1585"/>
      <c r="D81" s="524" t="s">
        <v>186</v>
      </c>
      <c r="E81" s="455">
        <f>'30'!F81</f>
        <v>638809</v>
      </c>
      <c r="F81" s="520">
        <v>638898</v>
      </c>
      <c r="G81" s="473">
        <f t="shared" si="6"/>
        <v>89</v>
      </c>
      <c r="H81" s="460">
        <f>G81+'30'!H81</f>
        <v>0</v>
      </c>
      <c r="I81" s="505"/>
      <c r="J81" s="552">
        <f>H81/DAY(B2)</f>
        <v>0</v>
      </c>
      <c r="K81" s="430"/>
      <c r="L81" s="377"/>
      <c r="N81" s="440">
        <f>H81-'1'!E81</f>
        <v>-638898</v>
      </c>
      <c r="O81" s="382"/>
    </row>
    <row r="82" spans="1:15" ht="27.75">
      <c r="A82" s="1583" t="s">
        <v>92</v>
      </c>
      <c r="B82" s="1584"/>
      <c r="C82" s="1585"/>
      <c r="D82" s="485" t="s">
        <v>131</v>
      </c>
      <c r="E82" s="455">
        <f>'30'!F82</f>
        <v>108146</v>
      </c>
      <c r="F82" s="522">
        <v>108158</v>
      </c>
      <c r="G82" s="473">
        <f t="shared" si="6"/>
        <v>12</v>
      </c>
      <c r="H82" s="460">
        <f>G82+'30'!H82</f>
        <v>0</v>
      </c>
      <c r="I82" s="486"/>
      <c r="J82" s="552">
        <f>H82/DAY(B2)</f>
        <v>0</v>
      </c>
      <c r="K82" s="430"/>
      <c r="L82" s="377"/>
      <c r="N82" s="440">
        <f>H82-'1'!E82</f>
        <v>-108158</v>
      </c>
      <c r="O82" s="382"/>
    </row>
    <row r="83" spans="1:15" ht="27.75">
      <c r="A83" s="1583" t="s">
        <v>199</v>
      </c>
      <c r="B83" s="1584"/>
      <c r="C83" s="1585"/>
      <c r="D83" s="620" t="s">
        <v>131</v>
      </c>
      <c r="E83" s="455">
        <f>'30'!F83</f>
        <v>20313</v>
      </c>
      <c r="F83" s="511">
        <v>20506</v>
      </c>
      <c r="G83" s="473">
        <f t="shared" si="6"/>
        <v>193</v>
      </c>
      <c r="H83" s="460">
        <f>G83+'30'!H83</f>
        <v>0</v>
      </c>
      <c r="I83" s="481"/>
      <c r="J83" s="552">
        <f>H83/DAY(B2)</f>
        <v>0</v>
      </c>
      <c r="K83" s="429"/>
      <c r="L83" s="377"/>
      <c r="N83" s="440">
        <f>H83-'1'!E83</f>
        <v>-20506</v>
      </c>
      <c r="O83" s="382"/>
    </row>
    <row r="84" spans="1:15" ht="29.25">
      <c r="A84" s="1145" t="s">
        <v>200</v>
      </c>
      <c r="B84" s="571"/>
      <c r="C84" s="571"/>
      <c r="D84" s="478" t="s">
        <v>131</v>
      </c>
      <c r="E84" s="455">
        <f>'30'!F84</f>
        <v>499489</v>
      </c>
      <c r="F84" s="627">
        <v>500294</v>
      </c>
      <c r="G84" s="473">
        <f t="shared" si="6"/>
        <v>805</v>
      </c>
      <c r="H84" s="460">
        <f>G84+'30'!H84</f>
        <v>0</v>
      </c>
      <c r="I84" s="481"/>
      <c r="J84" s="552">
        <f>H84/DAY(B2)</f>
        <v>0</v>
      </c>
      <c r="K84" s="380"/>
      <c r="L84" s="377"/>
      <c r="N84" s="440">
        <f>H84-'1'!E84</f>
        <v>-500294</v>
      </c>
      <c r="O84" s="382"/>
    </row>
    <row r="85" spans="1:15" s="379" customFormat="1" ht="29.25">
      <c r="A85" s="605" t="s">
        <v>201</v>
      </c>
      <c r="B85" s="572"/>
      <c r="C85" s="572"/>
      <c r="D85" s="489"/>
      <c r="E85" s="523"/>
      <c r="F85" s="523"/>
      <c r="G85" s="460">
        <f xml:space="preserve"> SUM(G72:G84)</f>
        <v>1872</v>
      </c>
      <c r="H85" s="460">
        <f>G85+'30'!H85</f>
        <v>-86079.039999999994</v>
      </c>
      <c r="I85" s="481"/>
      <c r="J85" s="552">
        <f>H85/DAY(B2)</f>
        <v>-2776.7432258064514</v>
      </c>
      <c r="K85" s="380"/>
      <c r="L85" s="378"/>
      <c r="N85" s="440">
        <f>H85-'1'!E85</f>
        <v>-86079.039999999994</v>
      </c>
      <c r="O85" s="382"/>
    </row>
    <row r="86" spans="1:15" s="736" customFormat="1" ht="29.25">
      <c r="A86" s="731" t="s">
        <v>93</v>
      </c>
      <c r="B86" s="732"/>
      <c r="C86" s="732"/>
      <c r="D86" s="733" t="s">
        <v>182</v>
      </c>
      <c r="E86" s="455">
        <f>'30'!F86</f>
        <v>460907</v>
      </c>
      <c r="F86" s="648">
        <v>460935</v>
      </c>
      <c r="G86" s="706">
        <f t="shared" ref="G86" si="7">F86-E86</f>
        <v>28</v>
      </c>
      <c r="H86" s="460">
        <f>G86+'30'!H86</f>
        <v>99</v>
      </c>
      <c r="I86" s="653"/>
      <c r="J86" s="708">
        <f>H86/DAY(B2)</f>
        <v>3.193548387096774</v>
      </c>
      <c r="K86" s="734"/>
      <c r="L86" s="735"/>
      <c r="N86" s="440">
        <f>H86-'1'!E86</f>
        <v>-460836</v>
      </c>
      <c r="O86" s="714"/>
    </row>
    <row r="87" spans="1:15" s="736" customFormat="1" ht="29.25">
      <c r="A87" s="731" t="s">
        <v>94</v>
      </c>
      <c r="B87" s="732"/>
      <c r="C87" s="732"/>
      <c r="D87" s="733" t="s">
        <v>182</v>
      </c>
      <c r="E87" s="455">
        <f>'30'!F87</f>
        <v>81352</v>
      </c>
      <c r="F87" s="648">
        <v>81375</v>
      </c>
      <c r="G87" s="706">
        <f t="shared" ref="G87:G91" si="8">F87-E87</f>
        <v>23</v>
      </c>
      <c r="H87" s="460">
        <f>G87+'30'!H87</f>
        <v>50</v>
      </c>
      <c r="I87" s="653"/>
      <c r="J87" s="708">
        <f>H87/DAY(B2)</f>
        <v>1.6129032258064515</v>
      </c>
      <c r="K87" s="734"/>
      <c r="L87" s="735"/>
      <c r="N87" s="440">
        <f>H87-'1'!E87</f>
        <v>-81325</v>
      </c>
      <c r="O87" s="714"/>
    </row>
    <row r="88" spans="1:15" s="736" customFormat="1" ht="29.25">
      <c r="A88" s="731" t="s">
        <v>95</v>
      </c>
      <c r="B88" s="732"/>
      <c r="C88" s="732"/>
      <c r="D88" s="733" t="s">
        <v>182</v>
      </c>
      <c r="E88" s="455">
        <f>'30'!F88</f>
        <v>152970</v>
      </c>
      <c r="F88" s="648">
        <v>153064</v>
      </c>
      <c r="G88" s="706">
        <f t="shared" si="8"/>
        <v>94</v>
      </c>
      <c r="H88" s="460">
        <f>G88+'30'!H88</f>
        <v>141</v>
      </c>
      <c r="I88" s="653"/>
      <c r="J88" s="708">
        <f>H88/DAY(B2)</f>
        <v>4.5483870967741939</v>
      </c>
      <c r="K88" s="734"/>
      <c r="L88" s="735"/>
      <c r="N88" s="440">
        <f>H88-'1'!E88</f>
        <v>-152923</v>
      </c>
      <c r="O88" s="714"/>
    </row>
    <row r="89" spans="1:15" s="736" customFormat="1" ht="29.25">
      <c r="A89" s="731" t="s">
        <v>203</v>
      </c>
      <c r="B89" s="732"/>
      <c r="C89" s="732"/>
      <c r="D89" s="733" t="s">
        <v>182</v>
      </c>
      <c r="E89" s="455">
        <f>'30'!F89</f>
        <v>65164</v>
      </c>
      <c r="F89" s="648">
        <v>65174.6</v>
      </c>
      <c r="G89" s="706">
        <f t="shared" si="8"/>
        <v>10.599999999998545</v>
      </c>
      <c r="H89" s="460">
        <f>G89+'30'!H89</f>
        <v>32.599999999998545</v>
      </c>
      <c r="I89" s="653"/>
      <c r="J89" s="708">
        <f>H89/DAY(B2)</f>
        <v>1.0516129032257595</v>
      </c>
      <c r="K89" s="734"/>
      <c r="L89" s="735"/>
      <c r="N89" s="440">
        <f>H89-'1'!E89</f>
        <v>-65142</v>
      </c>
      <c r="O89" s="382"/>
    </row>
    <row r="90" spans="1:15" s="736" customFormat="1" ht="29.25">
      <c r="A90" s="731" t="s">
        <v>203</v>
      </c>
      <c r="B90" s="732"/>
      <c r="C90" s="732"/>
      <c r="D90" s="733" t="s">
        <v>182</v>
      </c>
      <c r="E90" s="455">
        <f>'30'!F90</f>
        <v>3274</v>
      </c>
      <c r="F90" s="648">
        <v>3273.6</v>
      </c>
      <c r="G90" s="706">
        <f t="shared" si="8"/>
        <v>-0.40000000000009095</v>
      </c>
      <c r="H90" s="460">
        <f>G90+'30'!H90</f>
        <v>-0.40000000000009095</v>
      </c>
      <c r="I90" s="653"/>
      <c r="J90" s="708">
        <f>H90/DAY(B2)</f>
        <v>-1.2903225806454546E-2</v>
      </c>
      <c r="K90" s="734"/>
      <c r="L90" s="735"/>
      <c r="N90" s="440">
        <f>H90-'1'!E90</f>
        <v>-3274</v>
      </c>
      <c r="O90" s="382"/>
    </row>
    <row r="91" spans="1:15" s="736" customFormat="1" ht="29.25">
      <c r="A91" s="731" t="s">
        <v>350</v>
      </c>
      <c r="B91" s="732"/>
      <c r="C91" s="732"/>
      <c r="D91" s="733"/>
      <c r="E91" s="455">
        <f>'30'!F91</f>
        <v>28016</v>
      </c>
      <c r="F91" s="648">
        <v>28022</v>
      </c>
      <c r="G91" s="706">
        <f t="shared" si="8"/>
        <v>6</v>
      </c>
      <c r="H91" s="460">
        <f>G91+'30'!H91</f>
        <v>6</v>
      </c>
      <c r="I91" s="653"/>
      <c r="J91" s="708">
        <f>H91/DAY(B2)</f>
        <v>0.19354838709677419</v>
      </c>
      <c r="K91" s="734"/>
      <c r="L91" s="735"/>
      <c r="N91" s="778"/>
      <c r="O91" s="382"/>
    </row>
    <row r="92" spans="1:15" s="379" customFormat="1" ht="29.25">
      <c r="A92" s="606" t="s">
        <v>204</v>
      </c>
      <c r="B92" s="1147"/>
      <c r="C92" s="1147"/>
      <c r="D92" s="472"/>
      <c r="E92" s="472"/>
      <c r="F92" s="472"/>
      <c r="G92" s="488"/>
      <c r="H92" s="472"/>
      <c r="I92" s="472"/>
      <c r="J92" s="551"/>
      <c r="K92" s="380"/>
      <c r="L92" s="378"/>
      <c r="N92" s="440">
        <f>H92-'1'!E92</f>
        <v>0</v>
      </c>
      <c r="O92" s="382"/>
    </row>
    <row r="93" spans="1:15" ht="27.75">
      <c r="A93" s="1537" t="s">
        <v>205</v>
      </c>
      <c r="B93" s="1538"/>
      <c r="C93" s="1539"/>
      <c r="D93" s="523" t="s">
        <v>143</v>
      </c>
      <c r="E93" s="455">
        <f>'30'!F93</f>
        <v>245378</v>
      </c>
      <c r="F93" s="484">
        <v>245488</v>
      </c>
      <c r="G93" s="473">
        <f t="shared" ref="G93:G94" si="9">F93-E93</f>
        <v>110</v>
      </c>
      <c r="H93" s="460">
        <f>G93+'30'!H93</f>
        <v>0</v>
      </c>
      <c r="I93" s="480"/>
      <c r="J93" s="552">
        <f>H93/DAY(B2)</f>
        <v>0</v>
      </c>
      <c r="K93" s="429"/>
      <c r="L93" s="377"/>
      <c r="N93" s="440">
        <f>H93-'1'!E93</f>
        <v>-245488</v>
      </c>
      <c r="O93" s="382"/>
    </row>
    <row r="94" spans="1:15" ht="27.75">
      <c r="A94" s="1537" t="s">
        <v>206</v>
      </c>
      <c r="B94" s="1538"/>
      <c r="C94" s="1539"/>
      <c r="D94" s="523" t="s">
        <v>143</v>
      </c>
      <c r="E94" s="455">
        <f>'30'!F94</f>
        <v>186042</v>
      </c>
      <c r="F94" s="484">
        <v>186121</v>
      </c>
      <c r="G94" s="473">
        <f t="shared" si="9"/>
        <v>79</v>
      </c>
      <c r="H94" s="460">
        <f>G94+'30'!H94</f>
        <v>0</v>
      </c>
      <c r="I94" s="480"/>
      <c r="J94" s="552">
        <f>H94/DAY(B2)</f>
        <v>0</v>
      </c>
      <c r="K94" s="380"/>
      <c r="L94" s="377"/>
      <c r="N94" s="440">
        <f>H94-'1'!E94</f>
        <v>-186121</v>
      </c>
      <c r="O94" s="382"/>
    </row>
    <row r="95" spans="1:15" ht="29.25">
      <c r="A95" s="1531" t="s">
        <v>207</v>
      </c>
      <c r="B95" s="1532"/>
      <c r="C95" s="1533"/>
      <c r="D95" s="523"/>
      <c r="E95" s="484"/>
      <c r="F95" s="484"/>
      <c r="G95" s="473">
        <f>G93+G94</f>
        <v>189</v>
      </c>
      <c r="H95" s="460">
        <f>G95+'30'!H95</f>
        <v>-76</v>
      </c>
      <c r="I95" s="480"/>
      <c r="J95" s="552">
        <f>H95/DAY(B2)</f>
        <v>-2.4516129032258065</v>
      </c>
      <c r="K95" s="380"/>
      <c r="L95" s="377"/>
      <c r="N95" s="440">
        <f>H95-'1'!E95</f>
        <v>-76</v>
      </c>
      <c r="O95" s="382"/>
    </row>
    <row r="96" spans="1:15" ht="27.75">
      <c r="A96" s="1537" t="s">
        <v>208</v>
      </c>
      <c r="B96" s="1538"/>
      <c r="C96" s="1539"/>
      <c r="D96" s="523" t="s">
        <v>143</v>
      </c>
      <c r="E96" s="455">
        <f>'30'!F96</f>
        <v>414229</v>
      </c>
      <c r="F96" s="484">
        <v>414283</v>
      </c>
      <c r="G96" s="473">
        <f t="shared" ref="G96:G101" si="10">F96-E96</f>
        <v>54</v>
      </c>
      <c r="H96" s="460">
        <f>G96+'30'!H96</f>
        <v>0</v>
      </c>
      <c r="I96" s="480"/>
      <c r="J96" s="552">
        <f>H96/DAY(B2)</f>
        <v>0</v>
      </c>
      <c r="K96" s="380"/>
      <c r="L96" s="377"/>
      <c r="N96" s="440">
        <f>H96-'1'!E96</f>
        <v>-414283</v>
      </c>
      <c r="O96" s="382"/>
    </row>
    <row r="97" spans="1:15" ht="27.75">
      <c r="A97" s="1141" t="s">
        <v>209</v>
      </c>
      <c r="B97" s="1142"/>
      <c r="C97" s="1142"/>
      <c r="D97" s="523" t="s">
        <v>143</v>
      </c>
      <c r="E97" s="455">
        <f>'30'!F97</f>
        <v>102636</v>
      </c>
      <c r="F97" s="484">
        <v>102648</v>
      </c>
      <c r="G97" s="473">
        <f t="shared" si="10"/>
        <v>12</v>
      </c>
      <c r="H97" s="460">
        <f>G97+'30'!H97</f>
        <v>0</v>
      </c>
      <c r="I97" s="480"/>
      <c r="J97" s="552">
        <f>H97/DAY(B2)</f>
        <v>0</v>
      </c>
      <c r="K97" s="427"/>
      <c r="L97" s="377"/>
      <c r="N97" s="440">
        <f>H97-'1'!E97</f>
        <v>-102648</v>
      </c>
      <c r="O97" s="382"/>
    </row>
    <row r="98" spans="1:15" ht="27.75">
      <c r="A98" s="1141" t="s">
        <v>210</v>
      </c>
      <c r="B98" s="1142"/>
      <c r="C98" s="1142"/>
      <c r="D98" s="523" t="s">
        <v>143</v>
      </c>
      <c r="E98" s="455">
        <f>'30'!F98</f>
        <v>97931</v>
      </c>
      <c r="F98" s="484">
        <v>97950</v>
      </c>
      <c r="G98" s="473">
        <f t="shared" si="10"/>
        <v>19</v>
      </c>
      <c r="H98" s="460">
        <f>G98+'30'!H98</f>
        <v>0</v>
      </c>
      <c r="I98" s="480"/>
      <c r="J98" s="552">
        <f>H98/DAY(B2)</f>
        <v>0</v>
      </c>
      <c r="K98" s="432"/>
      <c r="L98" s="377"/>
      <c r="N98" s="440">
        <f>H98-'1'!E98</f>
        <v>-97950</v>
      </c>
      <c r="O98" s="382"/>
    </row>
    <row r="99" spans="1:15" ht="27.75">
      <c r="A99" s="1141" t="s">
        <v>211</v>
      </c>
      <c r="B99" s="1142"/>
      <c r="C99" s="1142"/>
      <c r="D99" s="523" t="s">
        <v>143</v>
      </c>
      <c r="E99" s="455">
        <f>'30'!F99</f>
        <v>149848</v>
      </c>
      <c r="F99" s="484">
        <v>149852</v>
      </c>
      <c r="G99" s="473">
        <f t="shared" si="10"/>
        <v>4</v>
      </c>
      <c r="H99" s="460">
        <f>G99+'30'!H99</f>
        <v>0</v>
      </c>
      <c r="I99" s="480"/>
      <c r="J99" s="552">
        <f>H99/DAY(B2)</f>
        <v>0</v>
      </c>
      <c r="K99" s="380"/>
      <c r="L99" s="377"/>
      <c r="N99" s="440">
        <f>H99-'1'!E99</f>
        <v>-149852</v>
      </c>
      <c r="O99" s="382"/>
    </row>
    <row r="100" spans="1:15" ht="27.75">
      <c r="A100" s="1141" t="s">
        <v>212</v>
      </c>
      <c r="B100" s="1142"/>
      <c r="C100" s="1142"/>
      <c r="D100" s="523" t="s">
        <v>143</v>
      </c>
      <c r="E100" s="455">
        <f>'30'!F100</f>
        <v>7363</v>
      </c>
      <c r="F100" s="484">
        <v>7369</v>
      </c>
      <c r="G100" s="473">
        <f t="shared" si="10"/>
        <v>6</v>
      </c>
      <c r="H100" s="460">
        <f>G100+'30'!H100</f>
        <v>0</v>
      </c>
      <c r="I100" s="480"/>
      <c r="J100" s="552">
        <f>H100/DAY(B2)</f>
        <v>0</v>
      </c>
      <c r="K100" s="380"/>
      <c r="L100" s="377"/>
      <c r="N100" s="440">
        <f>H100-'1'!E100</f>
        <v>-7369</v>
      </c>
      <c r="O100" s="382"/>
    </row>
    <row r="101" spans="1:15" ht="27.75">
      <c r="A101" s="1141" t="s">
        <v>213</v>
      </c>
      <c r="B101" s="1142"/>
      <c r="C101" s="1142"/>
      <c r="D101" s="523" t="s">
        <v>143</v>
      </c>
      <c r="E101" s="455">
        <f>'30'!F101</f>
        <v>5383</v>
      </c>
      <c r="F101" s="484">
        <v>5391</v>
      </c>
      <c r="G101" s="473">
        <f t="shared" si="10"/>
        <v>8</v>
      </c>
      <c r="H101" s="460">
        <f>G101+'30'!H101</f>
        <v>0</v>
      </c>
      <c r="I101" s="480"/>
      <c r="J101" s="552">
        <f>H101/DAY(B2)</f>
        <v>0</v>
      </c>
      <c r="K101" s="380"/>
      <c r="L101" s="377"/>
      <c r="N101" s="440">
        <f>H101-'1'!E101</f>
        <v>-5391</v>
      </c>
      <c r="O101" s="382"/>
    </row>
    <row r="102" spans="1:15" ht="29.25">
      <c r="A102" s="1531" t="s">
        <v>215</v>
      </c>
      <c r="B102" s="1532"/>
      <c r="C102" s="1533"/>
      <c r="D102" s="524"/>
      <c r="E102" s="524"/>
      <c r="F102" s="524"/>
      <c r="G102" s="525">
        <f>SUM(G96:G101)</f>
        <v>103</v>
      </c>
      <c r="H102" s="460">
        <f>G102+'30'!H102</f>
        <v>0</v>
      </c>
      <c r="I102" s="526"/>
      <c r="J102" s="552">
        <f>H102/DAY(B2)</f>
        <v>0</v>
      </c>
      <c r="K102" s="380"/>
      <c r="L102" s="377"/>
      <c r="N102" s="440">
        <f>H102-'1'!E102</f>
        <v>0</v>
      </c>
      <c r="O102" s="382"/>
    </row>
    <row r="103" spans="1:15" s="442" customFormat="1" ht="27">
      <c r="A103" s="607" t="s">
        <v>216</v>
      </c>
      <c r="B103" s="608"/>
      <c r="C103" s="608"/>
      <c r="D103" s="621"/>
      <c r="E103" s="528"/>
      <c r="F103" s="528"/>
      <c r="G103" s="529"/>
      <c r="H103" s="530"/>
      <c r="I103" s="531"/>
      <c r="J103" s="557"/>
      <c r="N103" s="440">
        <f>H103-'1'!E103</f>
        <v>0</v>
      </c>
      <c r="O103" s="382"/>
    </row>
    <row r="104" spans="1:15" s="442" customFormat="1" ht="27.75">
      <c r="A104" s="1540" t="s">
        <v>217</v>
      </c>
      <c r="B104" s="1541"/>
      <c r="C104" s="573"/>
      <c r="D104" s="622"/>
      <c r="E104" s="532"/>
      <c r="F104" s="532"/>
      <c r="G104" s="532"/>
      <c r="H104" s="533"/>
      <c r="I104" s="532"/>
      <c r="J104" s="558"/>
      <c r="N104" s="440">
        <f>H104-'1'!E104</f>
        <v>0</v>
      </c>
      <c r="O104" s="382"/>
    </row>
    <row r="105" spans="1:15" s="442" customFormat="1" ht="27.75">
      <c r="A105" s="1542" t="s">
        <v>218</v>
      </c>
      <c r="B105" s="1543"/>
      <c r="C105" s="1139"/>
      <c r="D105" s="622" t="s">
        <v>143</v>
      </c>
      <c r="E105" s="532">
        <f>'30'!F105</f>
        <v>7484</v>
      </c>
      <c r="F105" s="532">
        <v>7484</v>
      </c>
      <c r="G105" s="532">
        <f>F105-E105</f>
        <v>0</v>
      </c>
      <c r="H105" s="460">
        <f>G105+'30'!H105</f>
        <v>57</v>
      </c>
      <c r="I105" s="532"/>
      <c r="J105" s="558">
        <f>H105/DAY(B2)</f>
        <v>1.8387096774193548</v>
      </c>
      <c r="N105" s="440">
        <f>H105-'1'!E105</f>
        <v>-7427</v>
      </c>
      <c r="O105" s="382"/>
    </row>
    <row r="106" spans="1:15" s="442" customFormat="1" ht="27.75">
      <c r="A106" s="1542" t="s">
        <v>76</v>
      </c>
      <c r="B106" s="1543"/>
      <c r="C106" s="1139"/>
      <c r="D106" s="622" t="s">
        <v>143</v>
      </c>
      <c r="E106" s="532">
        <f>'30'!F106</f>
        <v>35938</v>
      </c>
      <c r="F106" s="534">
        <v>35953</v>
      </c>
      <c r="G106" s="532">
        <f t="shared" ref="G106:G107" si="11">F106-E106</f>
        <v>15</v>
      </c>
      <c r="H106" s="460">
        <f>G106+'30'!H106</f>
        <v>64</v>
      </c>
      <c r="I106" s="532"/>
      <c r="J106" s="558">
        <f>H106/DAY(B2)</f>
        <v>2.064516129032258</v>
      </c>
      <c r="N106" s="440">
        <f>H106-'1'!E106</f>
        <v>-35889</v>
      </c>
      <c r="O106" s="382"/>
    </row>
    <row r="107" spans="1:15" s="442" customFormat="1" ht="27.75">
      <c r="A107" s="1542" t="s">
        <v>77</v>
      </c>
      <c r="B107" s="1544"/>
      <c r="C107" s="1543"/>
      <c r="D107" s="622" t="s">
        <v>143</v>
      </c>
      <c r="E107" s="532">
        <f>'30'!F107</f>
        <v>19702</v>
      </c>
      <c r="F107" s="532">
        <v>19708</v>
      </c>
      <c r="G107" s="532">
        <f t="shared" si="11"/>
        <v>6</v>
      </c>
      <c r="H107" s="460">
        <f>G107+'30'!H107</f>
        <v>64</v>
      </c>
      <c r="I107" s="532"/>
      <c r="J107" s="558">
        <f>H107/DAY(B2)</f>
        <v>2.064516129032258</v>
      </c>
      <c r="N107" s="440">
        <f>H107-'1'!E107</f>
        <v>-19644</v>
      </c>
      <c r="O107" s="382"/>
    </row>
    <row r="108" spans="1:15" s="442" customFormat="1" ht="27.75">
      <c r="A108" s="1545" t="s">
        <v>201</v>
      </c>
      <c r="B108" s="1546"/>
      <c r="C108" s="1139"/>
      <c r="D108" s="622"/>
      <c r="E108" s="532"/>
      <c r="F108" s="532"/>
      <c r="G108" s="532">
        <f>SUM(G105:G107)</f>
        <v>21</v>
      </c>
      <c r="H108" s="460">
        <f>G108+'30'!H108</f>
        <v>179</v>
      </c>
      <c r="I108" s="532"/>
      <c r="J108" s="558">
        <f>H108/DAY(B2)</f>
        <v>5.774193548387097</v>
      </c>
      <c r="N108" s="440">
        <f>H108-'1'!E108</f>
        <v>179</v>
      </c>
      <c r="O108" s="382"/>
    </row>
    <row r="109" spans="1:15" s="442" customFormat="1" ht="27.75">
      <c r="A109" s="1547" t="s">
        <v>78</v>
      </c>
      <c r="B109" s="1548"/>
      <c r="C109" s="1139"/>
      <c r="D109" s="622" t="s">
        <v>143</v>
      </c>
      <c r="E109" s="532"/>
      <c r="F109" s="532"/>
      <c r="G109" s="532"/>
      <c r="H109" s="460">
        <f>G109+'30'!H109</f>
        <v>0</v>
      </c>
      <c r="I109" s="532"/>
      <c r="J109" s="558"/>
      <c r="N109" s="440">
        <f>H109-'1'!E109</f>
        <v>0</v>
      </c>
      <c r="O109" s="382"/>
    </row>
    <row r="110" spans="1:15" s="442" customFormat="1" ht="27.75">
      <c r="A110" s="1542" t="s">
        <v>219</v>
      </c>
      <c r="B110" s="1543"/>
      <c r="C110" s="1139"/>
      <c r="D110" s="622" t="s">
        <v>143</v>
      </c>
      <c r="E110" s="532">
        <f>'30'!F110</f>
        <v>62770</v>
      </c>
      <c r="F110" s="532">
        <v>62834</v>
      </c>
      <c r="G110" s="532">
        <f>F110-E110</f>
        <v>64</v>
      </c>
      <c r="H110" s="460">
        <f>G110+'30'!H110</f>
        <v>283</v>
      </c>
      <c r="I110" s="532"/>
      <c r="J110" s="558">
        <f>H110/DAY(B2)</f>
        <v>9.129032258064516</v>
      </c>
      <c r="N110" s="440">
        <f>H110-'1'!E110</f>
        <v>-62551</v>
      </c>
      <c r="O110" s="382"/>
    </row>
    <row r="111" spans="1:15" s="442" customFormat="1" ht="27.75">
      <c r="A111" s="1542" t="s">
        <v>220</v>
      </c>
      <c r="B111" s="1543"/>
      <c r="C111" s="1139"/>
      <c r="D111" s="622" t="s">
        <v>143</v>
      </c>
      <c r="E111" s="532">
        <f>'30'!F111</f>
        <v>32578</v>
      </c>
      <c r="F111" s="532">
        <v>32578</v>
      </c>
      <c r="G111" s="532">
        <f t="shared" ref="G111:G112" si="12">F111-E111</f>
        <v>0</v>
      </c>
      <c r="H111" s="460">
        <f>G111+'30'!H111</f>
        <v>47</v>
      </c>
      <c r="I111" s="532"/>
      <c r="J111" s="558">
        <f>H111/DAY(B2)</f>
        <v>1.5161290322580645</v>
      </c>
      <c r="N111" s="440">
        <f>H111-'1'!E111</f>
        <v>-32531</v>
      </c>
      <c r="O111" s="382"/>
    </row>
    <row r="112" spans="1:15" s="442" customFormat="1" ht="27.75">
      <c r="A112" s="1542" t="s">
        <v>221</v>
      </c>
      <c r="B112" s="1543"/>
      <c r="C112" s="1139"/>
      <c r="D112" s="622" t="s">
        <v>143</v>
      </c>
      <c r="E112" s="532">
        <f>'30'!F112</f>
        <v>4576</v>
      </c>
      <c r="F112" s="532">
        <v>4576</v>
      </c>
      <c r="G112" s="532">
        <f t="shared" si="12"/>
        <v>0</v>
      </c>
      <c r="H112" s="460">
        <f>G112+'30'!H112</f>
        <v>169</v>
      </c>
      <c r="I112" s="532"/>
      <c r="J112" s="558">
        <f>H112/DAY(B2)</f>
        <v>5.4516129032258061</v>
      </c>
      <c r="N112" s="440">
        <f>H112-'1'!E112</f>
        <v>-4407</v>
      </c>
      <c r="O112" s="382"/>
    </row>
    <row r="113" spans="1:15" s="442" customFormat="1" ht="27.75">
      <c r="A113" s="1574" t="s">
        <v>109</v>
      </c>
      <c r="B113" s="1575"/>
      <c r="C113" s="1139"/>
      <c r="D113" s="622"/>
      <c r="E113" s="532"/>
      <c r="F113" s="532"/>
      <c r="G113" s="532">
        <f>SUM(G110:G112)</f>
        <v>64</v>
      </c>
      <c r="H113" s="460">
        <f>G113+'30'!H113</f>
        <v>1069</v>
      </c>
      <c r="I113" s="532"/>
      <c r="J113" s="558">
        <f>H113/DAY(B2)</f>
        <v>34.483870967741936</v>
      </c>
      <c r="N113" s="440">
        <f>H113-'1'!E113</f>
        <v>1069</v>
      </c>
      <c r="O113" s="382"/>
    </row>
    <row r="114" spans="1:15" s="442" customFormat="1" ht="27.75">
      <c r="A114" s="1547" t="s">
        <v>222</v>
      </c>
      <c r="B114" s="1548"/>
      <c r="C114" s="1139"/>
      <c r="D114" s="622"/>
      <c r="E114" s="532"/>
      <c r="F114" s="532"/>
      <c r="G114" s="532"/>
      <c r="H114" s="460">
        <f>G114+'30'!H114</f>
        <v>0</v>
      </c>
      <c r="I114" s="532"/>
      <c r="J114" s="558">
        <f>H114/DAY(B2)</f>
        <v>0</v>
      </c>
      <c r="N114" s="440">
        <f>H114-'1'!E114</f>
        <v>0</v>
      </c>
      <c r="O114" s="382"/>
    </row>
    <row r="115" spans="1:15" s="442" customFormat="1" ht="27.75">
      <c r="A115" s="1542" t="s">
        <v>223</v>
      </c>
      <c r="B115" s="1543"/>
      <c r="C115" s="574"/>
      <c r="D115" s="622" t="s">
        <v>143</v>
      </c>
      <c r="E115" s="532">
        <f>'30'!F115</f>
        <v>11489</v>
      </c>
      <c r="F115" s="534">
        <v>11497</v>
      </c>
      <c r="G115" s="534">
        <f>F115-E115</f>
        <v>8</v>
      </c>
      <c r="H115" s="460">
        <f>G115+'30'!H115</f>
        <v>24</v>
      </c>
      <c r="I115" s="532"/>
      <c r="J115" s="558">
        <f>H115/DAY(B2)</f>
        <v>0.77419354838709675</v>
      </c>
      <c r="N115" s="440">
        <f>H115-'1'!E115</f>
        <v>-11473</v>
      </c>
      <c r="O115" s="382"/>
    </row>
    <row r="116" spans="1:15" s="442" customFormat="1" ht="27.75">
      <c r="A116" s="1542" t="s">
        <v>224</v>
      </c>
      <c r="B116" s="1543"/>
      <c r="C116" s="574"/>
      <c r="D116" s="622" t="s">
        <v>143</v>
      </c>
      <c r="E116" s="532">
        <f>'30'!F116</f>
        <v>8306</v>
      </c>
      <c r="F116" s="534">
        <v>8312</v>
      </c>
      <c r="G116" s="534">
        <f t="shared" ref="G116:G117" si="13">F116-E116</f>
        <v>6</v>
      </c>
      <c r="H116" s="460">
        <f>G116+'30'!H116</f>
        <v>41</v>
      </c>
      <c r="I116" s="532"/>
      <c r="J116" s="558">
        <f>H116/DAY(B2)</f>
        <v>1.3225806451612903</v>
      </c>
      <c r="N116" s="440">
        <f>H116-'1'!E116</f>
        <v>-8271</v>
      </c>
      <c r="O116" s="382"/>
    </row>
    <row r="117" spans="1:15" s="442" customFormat="1" ht="27.75">
      <c r="A117" s="1542" t="s">
        <v>225</v>
      </c>
      <c r="B117" s="1543"/>
      <c r="C117" s="574"/>
      <c r="D117" s="622" t="s">
        <v>143</v>
      </c>
      <c r="E117" s="534"/>
      <c r="F117" s="534"/>
      <c r="G117" s="534">
        <f t="shared" si="13"/>
        <v>0</v>
      </c>
      <c r="H117" s="460">
        <f>G117+'30'!H117</f>
        <v>58</v>
      </c>
      <c r="I117" s="532"/>
      <c r="J117" s="558">
        <f>H117/DAY(B2)</f>
        <v>1.8709677419354838</v>
      </c>
      <c r="N117" s="440">
        <f>H117-'1'!E117</f>
        <v>58</v>
      </c>
      <c r="O117" s="382"/>
    </row>
    <row r="118" spans="1:15" s="445" customFormat="1" ht="27.75">
      <c r="A118" s="1545" t="s">
        <v>201</v>
      </c>
      <c r="B118" s="1546"/>
      <c r="C118" s="574"/>
      <c r="D118" s="623"/>
      <c r="E118" s="534"/>
      <c r="F118" s="534"/>
      <c r="G118" s="534">
        <f>SUM(G115:G117)</f>
        <v>14</v>
      </c>
      <c r="H118" s="460">
        <f>G118+'30'!H118</f>
        <v>87</v>
      </c>
      <c r="I118" s="534"/>
      <c r="J118" s="558">
        <f>H118/DAY(B2)</f>
        <v>2.806451612903226</v>
      </c>
      <c r="N118" s="440">
        <f>H118-'1'!E118</f>
        <v>87</v>
      </c>
      <c r="O118" s="382"/>
    </row>
    <row r="119" spans="1:15" s="446" customFormat="1" ht="27.75">
      <c r="A119" s="1576" t="s">
        <v>226</v>
      </c>
      <c r="B119" s="1577"/>
      <c r="C119" s="1138"/>
      <c r="D119" s="624" t="s">
        <v>143</v>
      </c>
      <c r="E119" s="536"/>
      <c r="F119" s="536"/>
      <c r="G119" s="536">
        <f>SUM(G19+G93)</f>
        <v>171</v>
      </c>
      <c r="H119" s="460">
        <f>G119+'30'!H119</f>
        <v>338</v>
      </c>
      <c r="I119" s="535"/>
      <c r="J119" s="559">
        <f>H119/DAY(B2)</f>
        <v>10.903225806451612</v>
      </c>
      <c r="N119" s="440">
        <f>H119-'1'!E119</f>
        <v>338</v>
      </c>
      <c r="O119" s="382"/>
    </row>
    <row r="120" spans="1:15" s="446" customFormat="1" ht="27.75">
      <c r="A120" s="1576" t="s">
        <v>227</v>
      </c>
      <c r="B120" s="1577"/>
      <c r="C120" s="1138"/>
      <c r="D120" s="624" t="s">
        <v>143</v>
      </c>
      <c r="E120" s="536"/>
      <c r="F120" s="536"/>
      <c r="G120" s="536">
        <f>SUM(G96,G97,G98,G100,G101)</f>
        <v>99</v>
      </c>
      <c r="H120" s="460">
        <f>G120+'30'!H120</f>
        <v>316</v>
      </c>
      <c r="I120" s="535"/>
      <c r="J120" s="559">
        <f>H120/DAY(B2)</f>
        <v>10.193548387096774</v>
      </c>
      <c r="N120" s="440">
        <f>H120-'1'!E120</f>
        <v>316</v>
      </c>
      <c r="O120" s="382"/>
    </row>
    <row r="121" spans="1:15" s="446" customFormat="1" ht="27.75">
      <c r="A121" s="1576" t="s">
        <v>228</v>
      </c>
      <c r="B121" s="1577"/>
      <c r="C121" s="1138"/>
      <c r="D121" s="624" t="s">
        <v>143</v>
      </c>
      <c r="E121" s="534"/>
      <c r="F121" s="534"/>
      <c r="G121" s="534">
        <f>SUM(G113)</f>
        <v>64</v>
      </c>
      <c r="H121" s="460">
        <f>G121+'30'!H121</f>
        <v>246</v>
      </c>
      <c r="I121" s="535"/>
      <c r="J121" s="559">
        <f>H121/DAY(B2)</f>
        <v>7.935483870967742</v>
      </c>
      <c r="N121" s="440">
        <f>H121-'1'!E121</f>
        <v>246</v>
      </c>
      <c r="O121" s="382"/>
    </row>
    <row r="122" spans="1:15" s="442" customFormat="1" ht="27.75">
      <c r="A122" s="1578"/>
      <c r="B122" s="1579"/>
      <c r="C122" s="1139"/>
      <c r="D122" s="560"/>
      <c r="E122" s="560" t="s">
        <v>214</v>
      </c>
      <c r="F122" s="560"/>
      <c r="G122" s="560"/>
      <c r="H122" s="561"/>
      <c r="I122" s="560"/>
      <c r="J122" s="562"/>
      <c r="N122" s="440" t="e">
        <f>H122-'1'!E122</f>
        <v>#VALUE!</v>
      </c>
      <c r="O122" s="382"/>
    </row>
    <row r="123" spans="1:15" ht="29.25">
      <c r="A123" s="1528" t="s">
        <v>229</v>
      </c>
      <c r="B123" s="1529"/>
      <c r="C123" s="1530"/>
      <c r="D123" s="472"/>
      <c r="E123" s="472"/>
      <c r="F123" s="472"/>
      <c r="G123" s="483"/>
      <c r="H123" s="483"/>
      <c r="I123" s="483"/>
      <c r="J123" s="563"/>
      <c r="K123" s="380"/>
      <c r="L123" s="377"/>
      <c r="N123" s="440">
        <f>H123-'1'!E123</f>
        <v>0</v>
      </c>
      <c r="O123" s="382"/>
    </row>
    <row r="124" spans="1:15" ht="27.75">
      <c r="A124" s="1141" t="s">
        <v>230</v>
      </c>
      <c r="B124" s="1142"/>
      <c r="C124" s="1142"/>
      <c r="D124" s="523" t="s">
        <v>140</v>
      </c>
      <c r="E124" s="455">
        <f>'30'!F124</f>
        <v>832189</v>
      </c>
      <c r="F124" s="478">
        <v>832366</v>
      </c>
      <c r="G124" s="473">
        <f t="shared" ref="G124:G128" si="14">F124-E124</f>
        <v>177</v>
      </c>
      <c r="H124" s="460">
        <f>G124+'30'!H124</f>
        <v>0</v>
      </c>
      <c r="I124" s="526"/>
      <c r="J124" s="552">
        <f>H124/DAY(B2)</f>
        <v>0</v>
      </c>
      <c r="K124" s="380"/>
      <c r="L124" s="377"/>
      <c r="N124" s="440">
        <f>H124-'1'!E124</f>
        <v>-832366</v>
      </c>
      <c r="O124" s="382"/>
    </row>
    <row r="125" spans="1:15" ht="27.75">
      <c r="A125" s="1141" t="s">
        <v>231</v>
      </c>
      <c r="B125" s="1142"/>
      <c r="C125" s="1142"/>
      <c r="D125" s="523" t="s">
        <v>140</v>
      </c>
      <c r="E125" s="455">
        <f>'30'!F125</f>
        <v>73583.399999999994</v>
      </c>
      <c r="F125" s="626">
        <v>73583.399999999994</v>
      </c>
      <c r="G125" s="473">
        <f t="shared" si="14"/>
        <v>0</v>
      </c>
      <c r="H125" s="460">
        <f>G125+'30'!H125</f>
        <v>0</v>
      </c>
      <c r="I125" s="526"/>
      <c r="J125" s="552">
        <f>H125/DAY(B2)</f>
        <v>0</v>
      </c>
      <c r="K125" s="380"/>
      <c r="L125" s="377"/>
      <c r="N125" s="440">
        <f>H125-'1'!E125</f>
        <v>-73583.399999999994</v>
      </c>
      <c r="O125" s="382"/>
    </row>
    <row r="126" spans="1:15" ht="27.75">
      <c r="A126" s="1534" t="s">
        <v>232</v>
      </c>
      <c r="B126" s="1535"/>
      <c r="C126" s="1536"/>
      <c r="D126" s="523" t="s">
        <v>140</v>
      </c>
      <c r="E126" s="455">
        <f>'30'!F126</f>
        <v>146433</v>
      </c>
      <c r="F126" s="478">
        <v>146491</v>
      </c>
      <c r="G126" s="473">
        <f t="shared" si="14"/>
        <v>58</v>
      </c>
      <c r="H126" s="460">
        <f>G126+'30'!H126</f>
        <v>0</v>
      </c>
      <c r="I126" s="526"/>
      <c r="J126" s="552">
        <f>H126/DAY(B2)</f>
        <v>0</v>
      </c>
      <c r="K126" s="380"/>
      <c r="L126" s="377"/>
      <c r="N126" s="440">
        <f>H126-'1'!E126</f>
        <v>-146491</v>
      </c>
      <c r="O126" s="382"/>
    </row>
    <row r="127" spans="1:15" ht="27.75">
      <c r="A127" s="609" t="s">
        <v>233</v>
      </c>
      <c r="B127" s="1142"/>
      <c r="C127" s="1142"/>
      <c r="D127" s="523" t="s">
        <v>140</v>
      </c>
      <c r="E127" s="455">
        <f>'30'!F127</f>
        <v>31404</v>
      </c>
      <c r="F127" s="626">
        <v>31406</v>
      </c>
      <c r="G127" s="473">
        <f t="shared" si="14"/>
        <v>2</v>
      </c>
      <c r="H127" s="460">
        <f>G127+'30'!H127</f>
        <v>0</v>
      </c>
      <c r="I127" s="526"/>
      <c r="J127" s="552">
        <f>H127/DAY(B2)</f>
        <v>0</v>
      </c>
      <c r="K127" s="380"/>
      <c r="L127" s="377"/>
      <c r="N127" s="440">
        <f>H127-'1'!E127</f>
        <v>-31406</v>
      </c>
      <c r="O127" s="382"/>
    </row>
    <row r="128" spans="1:15" ht="27.75">
      <c r="A128" s="609" t="s">
        <v>234</v>
      </c>
      <c r="B128" s="1142"/>
      <c r="C128" s="1142"/>
      <c r="D128" s="523" t="s">
        <v>140</v>
      </c>
      <c r="E128" s="455">
        <f>'30'!F128</f>
        <v>8971</v>
      </c>
      <c r="F128" s="626">
        <v>8972</v>
      </c>
      <c r="G128" s="473">
        <f t="shared" si="14"/>
        <v>1</v>
      </c>
      <c r="H128" s="460">
        <f>G128+'30'!H128</f>
        <v>0</v>
      </c>
      <c r="I128" s="480"/>
      <c r="J128" s="552">
        <f>H128/DAY(B2)</f>
        <v>0</v>
      </c>
      <c r="K128" s="380"/>
      <c r="L128" s="377"/>
      <c r="N128" s="440">
        <f>H128-'1'!E128</f>
        <v>-8972</v>
      </c>
      <c r="O128" s="382"/>
    </row>
    <row r="129" spans="1:15" s="281" customFormat="1" ht="27.75">
      <c r="A129" s="609" t="s">
        <v>235</v>
      </c>
      <c r="B129" s="1142"/>
      <c r="C129" s="1142"/>
      <c r="D129" s="523"/>
      <c r="E129" s="478"/>
      <c r="F129" s="478"/>
      <c r="G129" s="473">
        <f>G15-SUM(G124:G128)</f>
        <v>312</v>
      </c>
      <c r="H129" s="460">
        <f>G129+'30'!H129</f>
        <v>312</v>
      </c>
      <c r="I129" s="480"/>
      <c r="J129" s="552"/>
      <c r="K129" s="364"/>
      <c r="L129" s="292"/>
      <c r="N129" s="440">
        <f>H129-'1'!E129</f>
        <v>312</v>
      </c>
      <c r="O129" s="382"/>
    </row>
    <row r="130" spans="1:15" ht="29.25">
      <c r="A130" s="610" t="s">
        <v>236</v>
      </c>
      <c r="B130" s="458"/>
      <c r="C130" s="458"/>
      <c r="D130" s="471"/>
      <c r="E130" s="471"/>
      <c r="F130" s="471"/>
      <c r="G130" s="540"/>
      <c r="H130" s="540"/>
      <c r="I130" s="540"/>
      <c r="J130" s="564"/>
      <c r="O130" s="382"/>
    </row>
    <row r="131" spans="1:15" ht="27.75">
      <c r="A131" s="1141" t="s">
        <v>237</v>
      </c>
      <c r="B131" s="1142"/>
      <c r="C131" s="1142"/>
      <c r="D131" s="523" t="s">
        <v>238</v>
      </c>
      <c r="E131" s="455">
        <f>'30'!F131</f>
        <v>0</v>
      </c>
      <c r="F131" s="484"/>
      <c r="G131" s="473">
        <f t="shared" ref="G131:G141" si="15">F131-E131</f>
        <v>0</v>
      </c>
      <c r="H131" s="460" t="e">
        <f>G131+'30'!H131</f>
        <v>#VALUE!</v>
      </c>
      <c r="I131" s="480"/>
      <c r="J131" s="552" t="e">
        <f>H131/DAY(B2)</f>
        <v>#VALUE!</v>
      </c>
      <c r="O131" s="382"/>
    </row>
    <row r="132" spans="1:15" ht="27.75">
      <c r="A132" s="1141" t="s">
        <v>239</v>
      </c>
      <c r="B132" s="1142"/>
      <c r="C132" s="1142"/>
      <c r="D132" s="523" t="s">
        <v>238</v>
      </c>
      <c r="E132" s="455">
        <f>'30'!F132</f>
        <v>0</v>
      </c>
      <c r="F132" s="484"/>
      <c r="G132" s="473">
        <f t="shared" si="15"/>
        <v>0</v>
      </c>
      <c r="H132" s="460">
        <f>G132+'30'!H132</f>
        <v>0</v>
      </c>
      <c r="I132" s="480"/>
      <c r="J132" s="552">
        <f>H132/DAY(B2)</f>
        <v>0</v>
      </c>
      <c r="O132" s="382"/>
    </row>
    <row r="133" spans="1:15" ht="27.75">
      <c r="A133" s="1141" t="s">
        <v>240</v>
      </c>
      <c r="B133" s="1142"/>
      <c r="C133" s="1142"/>
      <c r="D133" s="523" t="s">
        <v>238</v>
      </c>
      <c r="E133" s="455">
        <f>'30'!F133</f>
        <v>40059</v>
      </c>
      <c r="F133" s="541">
        <v>40059</v>
      </c>
      <c r="G133" s="473">
        <f t="shared" si="15"/>
        <v>0</v>
      </c>
      <c r="H133" s="460">
        <f>G133+'30'!H133</f>
        <v>23.900000000001455</v>
      </c>
      <c r="I133" s="480"/>
      <c r="J133" s="552">
        <f>H133/DAY(B2)</f>
        <v>0.77096774193553086</v>
      </c>
      <c r="O133" s="382"/>
    </row>
    <row r="134" spans="1:15" ht="27.75">
      <c r="A134" s="1141" t="s">
        <v>241</v>
      </c>
      <c r="B134" s="1142"/>
      <c r="C134" s="1142"/>
      <c r="D134" s="523" t="s">
        <v>238</v>
      </c>
      <c r="E134" s="455">
        <f>'30'!F134</f>
        <v>300</v>
      </c>
      <c r="F134" s="541">
        <v>300</v>
      </c>
      <c r="G134" s="473">
        <f t="shared" si="15"/>
        <v>0</v>
      </c>
      <c r="H134" s="460">
        <f>G134+'30'!H134</f>
        <v>0</v>
      </c>
      <c r="I134" s="480">
        <f>G131+G132+G133+G134</f>
        <v>0</v>
      </c>
      <c r="J134" s="552">
        <f>H134/DAY(B2)</f>
        <v>0</v>
      </c>
      <c r="O134" s="382"/>
    </row>
    <row r="135" spans="1:15" ht="27.75">
      <c r="A135" s="1141" t="s">
        <v>242</v>
      </c>
      <c r="B135" s="1142"/>
      <c r="C135" s="1142"/>
      <c r="D135" s="523" t="s">
        <v>238</v>
      </c>
      <c r="E135" s="455">
        <f>'30'!F135</f>
        <v>41730</v>
      </c>
      <c r="F135" s="541">
        <v>41730</v>
      </c>
      <c r="G135" s="473">
        <f t="shared" si="15"/>
        <v>0</v>
      </c>
      <c r="H135" s="460">
        <f>G135+'30'!H135</f>
        <v>-109.44000000000233</v>
      </c>
      <c r="I135" s="480"/>
      <c r="J135" s="552">
        <f>H135/DAY(B2)</f>
        <v>-3.5303225806452363</v>
      </c>
      <c r="O135" s="382"/>
    </row>
    <row r="136" spans="1:15" ht="27.75">
      <c r="A136" s="1141" t="s">
        <v>243</v>
      </c>
      <c r="B136" s="1142"/>
      <c r="C136" s="1142"/>
      <c r="D136" s="523" t="s">
        <v>238</v>
      </c>
      <c r="E136" s="455">
        <f>'30'!F136</f>
        <v>32691.27</v>
      </c>
      <c r="F136" s="541">
        <v>32715</v>
      </c>
      <c r="G136" s="473">
        <f t="shared" si="15"/>
        <v>23.729999999999563</v>
      </c>
      <c r="H136" s="460">
        <f>G136+'30'!H136</f>
        <v>-146.05000000000291</v>
      </c>
      <c r="I136" s="480"/>
      <c r="J136" s="552">
        <f>H136/DAY(B2)</f>
        <v>-4.711290322580739</v>
      </c>
      <c r="O136" s="382"/>
    </row>
    <row r="137" spans="1:15" ht="27.75">
      <c r="A137" s="1141" t="s">
        <v>244</v>
      </c>
      <c r="B137" s="1142"/>
      <c r="C137" s="1142"/>
      <c r="D137" s="523" t="s">
        <v>238</v>
      </c>
      <c r="E137" s="455">
        <f>'30'!F137</f>
        <v>22799</v>
      </c>
      <c r="F137" s="541">
        <v>22807.24</v>
      </c>
      <c r="G137" s="473">
        <f t="shared" si="15"/>
        <v>8.2400000000016007</v>
      </c>
      <c r="H137" s="460">
        <f>G137+'30'!H137</f>
        <v>0</v>
      </c>
      <c r="I137" s="480">
        <f>G135+G136+G137</f>
        <v>31.970000000001164</v>
      </c>
      <c r="J137" s="552">
        <f>H137/DAY(B2)</f>
        <v>0</v>
      </c>
      <c r="O137" s="382"/>
    </row>
    <row r="138" spans="1:15" ht="27.75">
      <c r="A138" s="1141" t="s">
        <v>245</v>
      </c>
      <c r="B138" s="1142"/>
      <c r="C138" s="1142"/>
      <c r="D138" s="523" t="s">
        <v>238</v>
      </c>
      <c r="E138" s="455">
        <f>'30'!F138</f>
        <v>25051.82</v>
      </c>
      <c r="F138" s="541">
        <v>25051.82</v>
      </c>
      <c r="G138" s="473">
        <f t="shared" si="15"/>
        <v>0</v>
      </c>
      <c r="H138" s="460">
        <f>G138+'30'!H138</f>
        <v>-22.069999999999709</v>
      </c>
      <c r="I138" s="480"/>
      <c r="J138" s="552">
        <f>H138/DAY(B2)</f>
        <v>-0.7119354838709584</v>
      </c>
      <c r="O138" s="382"/>
    </row>
    <row r="139" spans="1:15" ht="27.75">
      <c r="A139" s="1141" t="s">
        <v>246</v>
      </c>
      <c r="B139" s="1142"/>
      <c r="C139" s="1142"/>
      <c r="D139" s="523" t="s">
        <v>238</v>
      </c>
      <c r="E139" s="455">
        <f>'30'!F139</f>
        <v>70411.740000000005</v>
      </c>
      <c r="F139" s="541">
        <v>70411.740000000005</v>
      </c>
      <c r="G139" s="473">
        <f t="shared" si="15"/>
        <v>0</v>
      </c>
      <c r="H139" s="460">
        <f>G139+'30'!H139</f>
        <v>-69.989999999990687</v>
      </c>
      <c r="I139" s="480">
        <f>G138+G139</f>
        <v>0</v>
      </c>
      <c r="J139" s="552">
        <f>H139/DAY(B2)</f>
        <v>-2.2577419354835704</v>
      </c>
      <c r="O139" s="382"/>
    </row>
    <row r="140" spans="1:15" ht="27.75">
      <c r="A140" s="1141" t="s">
        <v>247</v>
      </c>
      <c r="B140" s="1142"/>
      <c r="C140" s="1142"/>
      <c r="D140" s="523" t="s">
        <v>238</v>
      </c>
      <c r="E140" s="455">
        <f>'30'!F140</f>
        <v>1847.53</v>
      </c>
      <c r="F140" s="484">
        <v>1854.3</v>
      </c>
      <c r="G140" s="473">
        <f t="shared" si="15"/>
        <v>6.7699999999999818</v>
      </c>
      <c r="H140" s="460">
        <f>G140+'30'!H140</f>
        <v>0</v>
      </c>
      <c r="I140" s="542"/>
      <c r="J140" s="552">
        <f>H140/DAY(B2)</f>
        <v>0</v>
      </c>
      <c r="O140" s="382"/>
    </row>
    <row r="141" spans="1:15" ht="27.75">
      <c r="A141" s="1141" t="s">
        <v>248</v>
      </c>
      <c r="B141" s="1142"/>
      <c r="C141" s="1142"/>
      <c r="D141" s="523" t="s">
        <v>238</v>
      </c>
      <c r="E141" s="455">
        <f>'30'!F141</f>
        <v>4637</v>
      </c>
      <c r="F141" s="484">
        <v>4637</v>
      </c>
      <c r="G141" s="473">
        <f t="shared" si="15"/>
        <v>0</v>
      </c>
      <c r="H141" s="460">
        <f>G141+'30'!H141</f>
        <v>0</v>
      </c>
      <c r="I141" s="542"/>
      <c r="J141" s="552">
        <f>H141/DAY(B2)</f>
        <v>0</v>
      </c>
      <c r="O141" s="382"/>
    </row>
    <row r="142" spans="1:15" ht="29.25">
      <c r="A142" s="1572" t="s">
        <v>249</v>
      </c>
      <c r="B142" s="1573"/>
      <c r="C142" s="1147"/>
      <c r="D142" s="472"/>
      <c r="E142" s="472"/>
      <c r="F142" s="472"/>
      <c r="G142" s="483"/>
      <c r="H142" s="483"/>
      <c r="I142" s="483"/>
      <c r="J142" s="563"/>
      <c r="K142" s="380"/>
      <c r="L142" s="377"/>
      <c r="O142" s="382"/>
    </row>
    <row r="143" spans="1:15" ht="27.75">
      <c r="A143" s="1537" t="s">
        <v>250</v>
      </c>
      <c r="B143" s="1538"/>
      <c r="C143" s="1539"/>
      <c r="D143" s="523" t="s">
        <v>131</v>
      </c>
      <c r="E143" s="523"/>
      <c r="F143" s="523"/>
      <c r="G143" s="460">
        <f>G35+G43+G49+G57</f>
        <v>4621.8699999999953</v>
      </c>
      <c r="H143" s="460">
        <f>G143+'30'!H143</f>
        <v>-1643.0599999999522</v>
      </c>
      <c r="I143" s="480"/>
      <c r="J143" s="552">
        <f>H143/DAY(B2)</f>
        <v>-53.001935483869424</v>
      </c>
      <c r="K143" s="380"/>
      <c r="L143" s="377"/>
      <c r="O143" s="382"/>
    </row>
    <row r="144" spans="1:15" ht="27.75">
      <c r="A144" s="1537" t="s">
        <v>251</v>
      </c>
      <c r="B144" s="1538"/>
      <c r="C144" s="1539"/>
      <c r="D144" s="523" t="s">
        <v>24</v>
      </c>
      <c r="E144" s="511"/>
      <c r="F144" s="511"/>
      <c r="G144" s="543">
        <f>G143/G7</f>
        <v>0.27187470588235269</v>
      </c>
      <c r="H144" s="460">
        <f>G144+'30'!H144</f>
        <v>-0.99957549141952873</v>
      </c>
      <c r="I144" s="544"/>
      <c r="J144" s="552">
        <f>H144/DAY(B2)</f>
        <v>-3.224437069095254E-2</v>
      </c>
      <c r="K144" s="380"/>
      <c r="L144" s="377"/>
      <c r="O144" s="382"/>
    </row>
    <row r="145" spans="1:15" ht="27.75">
      <c r="A145" s="1537" t="s">
        <v>252</v>
      </c>
      <c r="B145" s="1538"/>
      <c r="C145" s="1539"/>
      <c r="D145" s="523" t="s">
        <v>131</v>
      </c>
      <c r="E145" s="455"/>
      <c r="F145" s="455"/>
      <c r="G145" s="460">
        <f>G41+G42+G55+G56</f>
        <v>5603</v>
      </c>
      <c r="H145" s="460">
        <f>G145+'30'!H145</f>
        <v>1.0299999999988358</v>
      </c>
      <c r="I145" s="480"/>
      <c r="J145" s="552">
        <f>H145/DAY(B2)</f>
        <v>3.322580645157535E-2</v>
      </c>
      <c r="K145" s="380"/>
      <c r="L145" s="377"/>
      <c r="O145" s="382"/>
    </row>
    <row r="146" spans="1:15" ht="27.75">
      <c r="A146" s="1537" t="s">
        <v>253</v>
      </c>
      <c r="B146" s="1538"/>
      <c r="C146" s="1539"/>
      <c r="D146" s="523" t="s">
        <v>24</v>
      </c>
      <c r="E146" s="455"/>
      <c r="F146" s="455"/>
      <c r="G146" s="543">
        <f>G145/G7</f>
        <v>0.32958823529411763</v>
      </c>
      <c r="H146" s="460">
        <f>G146+'30'!H146</f>
        <v>-1.0485419206420628</v>
      </c>
      <c r="I146" s="544"/>
      <c r="J146" s="552">
        <f>H146/DAY(B2)</f>
        <v>-3.3823932923937511E-2</v>
      </c>
      <c r="K146" s="380"/>
      <c r="L146" s="377"/>
      <c r="O146" s="382"/>
    </row>
    <row r="147" spans="1:15" ht="27.75">
      <c r="A147" s="1537" t="s">
        <v>254</v>
      </c>
      <c r="B147" s="1538"/>
      <c r="C147" s="1539"/>
      <c r="D147" s="523" t="s">
        <v>131</v>
      </c>
      <c r="E147" s="455"/>
      <c r="F147" s="455"/>
      <c r="G147" s="460">
        <f>G39+G53</f>
        <v>2684</v>
      </c>
      <c r="H147" s="460">
        <f>G147+'30'!H147</f>
        <v>0</v>
      </c>
      <c r="I147" s="545"/>
      <c r="J147" s="552">
        <f>H147/DAY(B2)</f>
        <v>0</v>
      </c>
      <c r="K147" s="380"/>
      <c r="L147" s="377"/>
      <c r="O147" s="382"/>
    </row>
    <row r="148" spans="1:15" ht="27.75">
      <c r="A148" s="1537" t="s">
        <v>255</v>
      </c>
      <c r="B148" s="1538"/>
      <c r="C148" s="1539"/>
      <c r="D148" s="523" t="s">
        <v>24</v>
      </c>
      <c r="E148" s="455"/>
      <c r="F148" s="455"/>
      <c r="G148" s="543">
        <f>G147/G7</f>
        <v>0.15788235294117647</v>
      </c>
      <c r="H148" s="460">
        <f>G148+'30'!H148</f>
        <v>-0.57832269513282675</v>
      </c>
      <c r="I148" s="545"/>
      <c r="J148" s="552">
        <f>H148/DAY(B2)</f>
        <v>-1.8655570810736346E-2</v>
      </c>
      <c r="O148" s="382"/>
    </row>
    <row r="149" spans="1:15" ht="27.75">
      <c r="A149" s="1537" t="s">
        <v>256</v>
      </c>
      <c r="B149" s="1538"/>
      <c r="C149" s="1539"/>
      <c r="D149" s="523" t="s">
        <v>182</v>
      </c>
      <c r="E149" s="455"/>
      <c r="F149" s="455"/>
      <c r="G149" s="460">
        <f>G38+G52</f>
        <v>1249</v>
      </c>
      <c r="H149" s="460">
        <f>G149+'30'!H149</f>
        <v>0</v>
      </c>
      <c r="I149" s="480"/>
      <c r="J149" s="552">
        <f>H149/DAY(B2)</f>
        <v>0</v>
      </c>
      <c r="K149" s="381"/>
      <c r="O149" s="382"/>
    </row>
    <row r="150" spans="1:15" ht="27.75">
      <c r="A150" s="1537" t="s">
        <v>257</v>
      </c>
      <c r="B150" s="1538"/>
      <c r="C150" s="1539"/>
      <c r="D150" s="523" t="s">
        <v>24</v>
      </c>
      <c r="E150" s="455"/>
      <c r="F150" s="455"/>
      <c r="G150" s="543">
        <f>G149/G7</f>
        <v>7.3470588235294121E-2</v>
      </c>
      <c r="H150" s="460">
        <f>G150+'30'!H150</f>
        <v>-0.25505447520634561</v>
      </c>
      <c r="I150" s="545"/>
      <c r="J150" s="552">
        <f>H150/DAY(B2)</f>
        <v>-8.2275637163337287E-3</v>
      </c>
      <c r="O150" s="382"/>
    </row>
    <row r="151" spans="1:15" ht="27.75">
      <c r="A151" s="1537" t="s">
        <v>258</v>
      </c>
      <c r="B151" s="1538"/>
      <c r="C151" s="1539"/>
      <c r="D151" s="523" t="s">
        <v>182</v>
      </c>
      <c r="E151" s="455"/>
      <c r="F151" s="455"/>
      <c r="G151" s="460">
        <f>G36+G50</f>
        <v>1057</v>
      </c>
      <c r="H151" s="460">
        <f>G151+'30'!H151</f>
        <v>347065</v>
      </c>
      <c r="I151" s="545"/>
      <c r="J151" s="552">
        <f>H151/DAY(B2)</f>
        <v>11195.645161290322</v>
      </c>
      <c r="O151" s="382"/>
    </row>
    <row r="152" spans="1:15" ht="27.75">
      <c r="A152" s="1537" t="s">
        <v>259</v>
      </c>
      <c r="B152" s="1538"/>
      <c r="C152" s="1539"/>
      <c r="D152" s="523" t="s">
        <v>24</v>
      </c>
      <c r="E152" s="455"/>
      <c r="F152" s="455"/>
      <c r="G152" s="543">
        <f>G151/G7</f>
        <v>6.2176470588235291E-2</v>
      </c>
      <c r="H152" s="460">
        <f>G152+'30'!H152</f>
        <v>20.072784297444286</v>
      </c>
      <c r="I152" s="480"/>
      <c r="J152" s="552">
        <f>H152/DAY(B2)</f>
        <v>0.64750917088529958</v>
      </c>
      <c r="O152" s="382"/>
    </row>
    <row r="153" spans="1:15" ht="27.75">
      <c r="A153" s="1537" t="s">
        <v>260</v>
      </c>
      <c r="B153" s="1538"/>
      <c r="C153" s="1539"/>
      <c r="D153" s="523" t="s">
        <v>182</v>
      </c>
      <c r="E153" s="455"/>
      <c r="F153" s="455"/>
      <c r="G153" s="460">
        <f>G37+G51</f>
        <v>1260</v>
      </c>
      <c r="H153" s="460">
        <f>G153+'30'!H153</f>
        <v>0</v>
      </c>
      <c r="I153" s="480"/>
      <c r="J153" s="552">
        <f>H153/DAY(B2)</f>
        <v>0</v>
      </c>
      <c r="O153" s="382"/>
    </row>
    <row r="154" spans="1:15" ht="28.5" thickBot="1">
      <c r="A154" s="1569" t="s">
        <v>261</v>
      </c>
      <c r="B154" s="1570"/>
      <c r="C154" s="1571"/>
      <c r="D154" s="625" t="s">
        <v>24</v>
      </c>
      <c r="E154" s="565"/>
      <c r="F154" s="565"/>
      <c r="G154" s="566">
        <f>G153/G7</f>
        <v>7.4117647058823524E-2</v>
      </c>
      <c r="H154" s="460">
        <f>G154+'30'!H154</f>
        <v>-0.24155431983637415</v>
      </c>
      <c r="I154" s="568"/>
      <c r="J154" s="569">
        <f>H154/DAY(B2)</f>
        <v>-7.7920748334314241E-3</v>
      </c>
      <c r="O154" s="382"/>
    </row>
    <row r="155" spans="1:15" ht="29.25">
      <c r="A155" s="466"/>
      <c r="B155" s="456"/>
      <c r="C155" s="456"/>
      <c r="D155" s="546"/>
      <c r="E155" s="546"/>
      <c r="F155" s="546"/>
      <c r="G155" s="546"/>
      <c r="H155" s="547"/>
      <c r="I155" s="546"/>
      <c r="J155" s="548"/>
      <c r="O155" s="382"/>
    </row>
    <row r="156" spans="1:15" ht="29.25"/>
    <row r="157" spans="1:15" ht="29.25"/>
    <row r="158" spans="1:15" ht="29.25"/>
    <row r="159" spans="1:15" ht="29.25"/>
    <row r="160" spans="1:15" ht="29.25"/>
    <row r="161" spans="1:7" ht="29.25">
      <c r="A161" s="785" t="s">
        <v>262</v>
      </c>
      <c r="B161" s="786"/>
      <c r="C161" s="786"/>
      <c r="D161" s="511" t="s">
        <v>186</v>
      </c>
      <c r="E161" s="659">
        <v>38350</v>
      </c>
      <c r="F161" s="659">
        <v>38434</v>
      </c>
      <c r="G161" s="473">
        <f t="shared" ref="G161:G164" si="16">F161-E161</f>
        <v>84</v>
      </c>
    </row>
    <row r="162" spans="1:7" ht="29.25">
      <c r="A162" s="785" t="s">
        <v>263</v>
      </c>
      <c r="B162" s="786"/>
      <c r="C162" s="786"/>
      <c r="D162" s="511" t="s">
        <v>186</v>
      </c>
      <c r="E162" s="659">
        <v>94392</v>
      </c>
      <c r="F162" s="659">
        <v>94790</v>
      </c>
      <c r="G162" s="473">
        <f t="shared" si="16"/>
        <v>398</v>
      </c>
    </row>
    <row r="163" spans="1:7" ht="29.25">
      <c r="A163" s="785" t="s">
        <v>264</v>
      </c>
      <c r="B163" s="786"/>
      <c r="C163" s="786"/>
      <c r="D163" s="511" t="s">
        <v>186</v>
      </c>
      <c r="E163" s="659">
        <v>44727</v>
      </c>
      <c r="F163" s="659">
        <v>44933</v>
      </c>
      <c r="G163" s="473">
        <f t="shared" si="16"/>
        <v>206</v>
      </c>
    </row>
    <row r="164" spans="1:7" ht="29.25">
      <c r="A164" s="785" t="s">
        <v>265</v>
      </c>
      <c r="B164" s="786"/>
      <c r="C164" s="786"/>
      <c r="D164" s="511" t="s">
        <v>186</v>
      </c>
      <c r="E164" s="659">
        <v>6554</v>
      </c>
      <c r="F164" s="659">
        <v>6560</v>
      </c>
      <c r="G164" s="473">
        <f t="shared" si="16"/>
        <v>6</v>
      </c>
    </row>
    <row r="165" spans="1:7" ht="29.25">
      <c r="A165" s="787" t="s">
        <v>97</v>
      </c>
      <c r="B165" s="604"/>
      <c r="C165" s="604"/>
      <c r="D165" s="511" t="s">
        <v>186</v>
      </c>
      <c r="E165" s="514">
        <f>E62</f>
        <v>20419</v>
      </c>
      <c r="F165" s="514">
        <f>F62</f>
        <v>20419</v>
      </c>
      <c r="G165" s="473">
        <f t="shared" ref="G165:G172" si="17">F165-E165</f>
        <v>0</v>
      </c>
    </row>
    <row r="166" spans="1:7" ht="29.25">
      <c r="A166" s="787" t="s">
        <v>187</v>
      </c>
      <c r="B166" s="604"/>
      <c r="C166" s="604"/>
      <c r="D166" s="511" t="s">
        <v>186</v>
      </c>
      <c r="E166" s="514">
        <v>2472</v>
      </c>
      <c r="F166" s="514">
        <v>2472</v>
      </c>
      <c r="G166" s="473">
        <f t="shared" si="17"/>
        <v>0</v>
      </c>
    </row>
    <row r="167" spans="1:7" ht="27.75">
      <c r="A167" s="1586" t="s">
        <v>98</v>
      </c>
      <c r="B167" s="1586"/>
      <c r="C167" s="1586"/>
      <c r="D167" s="523" t="s">
        <v>186</v>
      </c>
      <c r="E167" s="514">
        <f t="shared" ref="E167:E172" si="18">E64</f>
        <v>159745</v>
      </c>
      <c r="F167" s="514">
        <f t="shared" ref="F167:F172" si="19">F64</f>
        <v>159932</v>
      </c>
      <c r="G167" s="473">
        <f t="shared" si="17"/>
        <v>187</v>
      </c>
    </row>
    <row r="168" spans="1:7" ht="27.75">
      <c r="A168" s="1586" t="s">
        <v>99</v>
      </c>
      <c r="B168" s="1586"/>
      <c r="C168" s="1586"/>
      <c r="D168" s="523" t="s">
        <v>186</v>
      </c>
      <c r="E168" s="514">
        <f t="shared" si="18"/>
        <v>160777</v>
      </c>
      <c r="F168" s="514">
        <f t="shared" si="19"/>
        <v>160998</v>
      </c>
      <c r="G168" s="473">
        <f t="shared" si="17"/>
        <v>221</v>
      </c>
    </row>
    <row r="169" spans="1:7" ht="27.75">
      <c r="A169" s="1586" t="s">
        <v>100</v>
      </c>
      <c r="B169" s="1586"/>
      <c r="C169" s="1586"/>
      <c r="D169" s="523" t="s">
        <v>186</v>
      </c>
      <c r="E169" s="514">
        <f t="shared" si="18"/>
        <v>56522</v>
      </c>
      <c r="F169" s="514">
        <f t="shared" si="19"/>
        <v>56805</v>
      </c>
      <c r="G169" s="473">
        <f t="shared" si="17"/>
        <v>283</v>
      </c>
    </row>
    <row r="170" spans="1:7" ht="27.75">
      <c r="A170" s="1586" t="s">
        <v>101</v>
      </c>
      <c r="B170" s="1586"/>
      <c r="C170" s="1586"/>
      <c r="D170" s="523" t="s">
        <v>186</v>
      </c>
      <c r="E170" s="514">
        <f t="shared" si="18"/>
        <v>251770</v>
      </c>
      <c r="F170" s="514">
        <f t="shared" si="19"/>
        <v>252192</v>
      </c>
      <c r="G170" s="473">
        <f t="shared" si="17"/>
        <v>422</v>
      </c>
    </row>
    <row r="171" spans="1:7" ht="27.75">
      <c r="A171" s="1586" t="s">
        <v>102</v>
      </c>
      <c r="B171" s="1586"/>
      <c r="C171" s="1586"/>
      <c r="D171" s="523" t="s">
        <v>186</v>
      </c>
      <c r="E171" s="514">
        <f t="shared" si="18"/>
        <v>85321</v>
      </c>
      <c r="F171" s="514">
        <f t="shared" si="19"/>
        <v>85321</v>
      </c>
      <c r="G171" s="473">
        <f t="shared" si="17"/>
        <v>0</v>
      </c>
    </row>
    <row r="172" spans="1:7" ht="27.75">
      <c r="A172" s="1586" t="s">
        <v>103</v>
      </c>
      <c r="B172" s="1586"/>
      <c r="C172" s="1586"/>
      <c r="D172" s="523" t="s">
        <v>186</v>
      </c>
      <c r="E172" s="514">
        <f t="shared" si="18"/>
        <v>81645</v>
      </c>
      <c r="F172" s="514">
        <f t="shared" si="19"/>
        <v>81749</v>
      </c>
      <c r="G172" s="473">
        <f t="shared" si="17"/>
        <v>104</v>
      </c>
    </row>
    <row r="173" spans="1:7" ht="29.25">
      <c r="G173" s="539">
        <f>SUM(G161:G172)</f>
        <v>1911</v>
      </c>
    </row>
    <row r="174" spans="1:7" ht="29.25">
      <c r="A174" s="1596" t="s">
        <v>357</v>
      </c>
      <c r="B174" s="1579"/>
      <c r="C174" s="786"/>
      <c r="D174" s="523" t="s">
        <v>186</v>
      </c>
    </row>
    <row r="175" spans="1:7" ht="29.25">
      <c r="A175" s="1596" t="s">
        <v>358</v>
      </c>
      <c r="B175" s="1579"/>
      <c r="C175" s="786"/>
      <c r="D175" s="523" t="s">
        <v>186</v>
      </c>
    </row>
    <row r="176" spans="1:7" ht="29.25"/>
    <row r="177" ht="29.25"/>
    <row r="178" ht="29.25"/>
    <row r="179" ht="29.25"/>
    <row r="180" ht="29.25"/>
    <row r="181" ht="29.25"/>
    <row r="182" ht="29.25"/>
    <row r="183" ht="29.25"/>
    <row r="184" ht="29.25"/>
    <row r="185" ht="29.25"/>
    <row r="186" ht="29.25"/>
    <row r="187" ht="29.25"/>
    <row r="188" ht="29.25"/>
    <row r="189" ht="29.25"/>
    <row r="190" ht="29.25"/>
    <row r="191" ht="29.25"/>
    <row r="192" ht="29.25"/>
    <row r="193" ht="29.25"/>
    <row r="194" ht="29.25"/>
    <row r="195" ht="29.25"/>
    <row r="196" ht="29.25"/>
    <row r="197" ht="29.25"/>
    <row r="198" ht="29.25"/>
    <row r="199" ht="29.25"/>
    <row r="200" ht="29.25"/>
    <row r="201" ht="29.25"/>
    <row r="202" ht="29.25"/>
    <row r="203" ht="29.25"/>
    <row r="204" ht="29.25"/>
    <row r="205" ht="29.25"/>
    <row r="206" ht="29.25"/>
    <row r="207" ht="29.25"/>
    <row r="208" ht="29.25"/>
    <row r="209" ht="29.25"/>
    <row r="210" ht="29.25"/>
    <row r="211" ht="29.25"/>
    <row r="212" ht="29.25"/>
    <row r="213" ht="29.25"/>
    <row r="214" ht="29.25"/>
    <row r="215" ht="29.25"/>
    <row r="216" ht="29.25"/>
    <row r="217" ht="29.25"/>
    <row r="218" ht="29.25"/>
    <row r="219" ht="29.25"/>
    <row r="220" ht="29.25"/>
    <row r="221" ht="29.25"/>
    <row r="222" ht="29.25"/>
    <row r="223" ht="29.25"/>
    <row r="224" ht="29.25"/>
    <row r="225" ht="29.25"/>
    <row r="226" ht="29.25"/>
    <row r="227" ht="29.25"/>
    <row r="228" ht="29.25"/>
    <row r="229" ht="29.25"/>
    <row r="230" ht="29.25"/>
    <row r="231" ht="29.25"/>
    <row r="232" ht="29.25"/>
    <row r="233" ht="29.25"/>
    <row r="234" ht="29.25"/>
    <row r="235" ht="29.25"/>
    <row r="236" ht="29.25"/>
    <row r="237" ht="29.25"/>
    <row r="238" ht="29.25"/>
    <row r="239" ht="29.25"/>
    <row r="240" ht="29.25"/>
    <row r="241" ht="29.25"/>
    <row r="242" ht="29.25"/>
    <row r="243" ht="29.25"/>
    <row r="244" ht="29.25"/>
    <row r="245" ht="29.25"/>
    <row r="246" ht="29.25"/>
    <row r="247" ht="29.25"/>
    <row r="248" ht="29.25"/>
    <row r="249" ht="29.25"/>
    <row r="250" ht="29.25"/>
    <row r="251" ht="29.25"/>
    <row r="252" ht="29.25"/>
    <row r="253" ht="29.25"/>
    <row r="254" ht="29.25"/>
    <row r="255" ht="29.25"/>
    <row r="256" ht="29.25"/>
    <row r="257" ht="29.25"/>
    <row r="258" ht="29.25"/>
    <row r="259" ht="29.25"/>
    <row r="260" ht="29.25"/>
    <row r="261" ht="29.25"/>
    <row r="262" ht="29.25"/>
    <row r="263" ht="29.25"/>
    <row r="264" ht="29.25"/>
    <row r="265" ht="29.25"/>
    <row r="266" ht="29.25"/>
    <row r="267" ht="29.25"/>
    <row r="268" ht="29.25"/>
    <row r="269" ht="29.25"/>
    <row r="270" ht="29.25"/>
    <row r="271" ht="29.25"/>
    <row r="272" ht="29.25"/>
    <row r="273" ht="29.25"/>
    <row r="274" ht="29.25"/>
    <row r="275" ht="29.25"/>
    <row r="276" ht="29.25"/>
    <row r="277" ht="29.25"/>
    <row r="278" ht="29.25"/>
    <row r="279" ht="29.25"/>
    <row r="280" ht="29.25"/>
    <row r="281" ht="29.25"/>
    <row r="282" ht="29.25"/>
    <row r="283" ht="29.25"/>
    <row r="284" ht="29.25"/>
    <row r="285" ht="29.25"/>
    <row r="286" ht="29.25"/>
    <row r="287" ht="29.25"/>
    <row r="288" ht="29.25"/>
    <row r="289" ht="29.25"/>
    <row r="290" ht="29.25"/>
    <row r="291" ht="29.25"/>
    <row r="292" ht="29.25"/>
    <row r="293" ht="29.25"/>
    <row r="294" ht="29.25"/>
    <row r="295" ht="29.25"/>
    <row r="296" ht="29.25"/>
    <row r="297" ht="29.25"/>
    <row r="298" ht="29.25"/>
    <row r="299" ht="29.25"/>
    <row r="300" ht="29.25"/>
    <row r="301" ht="29.25"/>
    <row r="302" ht="29.25"/>
    <row r="303" ht="29.25"/>
    <row r="304" ht="29.25"/>
    <row r="305" ht="29.25"/>
    <row r="306" ht="29.25"/>
    <row r="307" ht="29.25"/>
    <row r="308" ht="29.25"/>
    <row r="309" ht="29.25"/>
  </sheetData>
  <mergeCells count="76">
    <mergeCell ref="A172:C172"/>
    <mergeCell ref="A167:C167"/>
    <mergeCell ref="A168:C168"/>
    <mergeCell ref="A169:C169"/>
    <mergeCell ref="A170:C170"/>
    <mergeCell ref="A171:C171"/>
    <mergeCell ref="A144:C144"/>
    <mergeCell ref="A112:B112"/>
    <mergeCell ref="A113:B113"/>
    <mergeCell ref="A114:B114"/>
    <mergeCell ref="A115:B115"/>
    <mergeCell ref="A116:B116"/>
    <mergeCell ref="A122:B122"/>
    <mergeCell ref="A117:B117"/>
    <mergeCell ref="A118:B118"/>
    <mergeCell ref="A119:B119"/>
    <mergeCell ref="A120:B120"/>
    <mergeCell ref="A121:B121"/>
    <mergeCell ref="A111:B111"/>
    <mergeCell ref="A153:C153"/>
    <mergeCell ref="A154:C154"/>
    <mergeCell ref="E3:F3"/>
    <mergeCell ref="A71:J71"/>
    <mergeCell ref="A102:C102"/>
    <mergeCell ref="A123:C123"/>
    <mergeCell ref="A142:B142"/>
    <mergeCell ref="A151:C151"/>
    <mergeCell ref="A152:C152"/>
    <mergeCell ref="A145:C145"/>
    <mergeCell ref="A146:C146"/>
    <mergeCell ref="A147:C147"/>
    <mergeCell ref="A148:C148"/>
    <mergeCell ref="A149:C149"/>
    <mergeCell ref="A143:C143"/>
    <mergeCell ref="A81:C81"/>
    <mergeCell ref="A150:C150"/>
    <mergeCell ref="A126:C126"/>
    <mergeCell ref="A95:C95"/>
    <mergeCell ref="A96:C96"/>
    <mergeCell ref="A82:C82"/>
    <mergeCell ref="A83:C83"/>
    <mergeCell ref="A93:C93"/>
    <mergeCell ref="A94:C94"/>
    <mergeCell ref="A104:B104"/>
    <mergeCell ref="A105:B105"/>
    <mergeCell ref="A106:B106"/>
    <mergeCell ref="A107:C107"/>
    <mergeCell ref="A108:B108"/>
    <mergeCell ref="A109:B109"/>
    <mergeCell ref="A110:B110"/>
    <mergeCell ref="A1:J1"/>
    <mergeCell ref="A6:C6"/>
    <mergeCell ref="A14:C14"/>
    <mergeCell ref="A17:C17"/>
    <mergeCell ref="A18:C18"/>
    <mergeCell ref="A19:C19"/>
    <mergeCell ref="A21:C21"/>
    <mergeCell ref="A33:J33"/>
    <mergeCell ref="A64:C64"/>
    <mergeCell ref="A25:C25"/>
    <mergeCell ref="A174:B174"/>
    <mergeCell ref="A175:B175"/>
    <mergeCell ref="A65:C65"/>
    <mergeCell ref="A66:C66"/>
    <mergeCell ref="A67:C67"/>
    <mergeCell ref="A68:C68"/>
    <mergeCell ref="A69:C69"/>
    <mergeCell ref="A72:C72"/>
    <mergeCell ref="A73:C73"/>
    <mergeCell ref="A74:C74"/>
    <mergeCell ref="A75:C75"/>
    <mergeCell ref="A70:C70"/>
    <mergeCell ref="A76:C76"/>
    <mergeCell ref="A77:C77"/>
    <mergeCell ref="A79:C79"/>
    <mergeCell ref="A80:C80"/>
  </mergeCells>
  <pageMargins left="0.22" right="0.17" top="0.14000000000000001" bottom="0.2" header="0.2" footer="0.2"/>
  <pageSetup paperSize="5" scale="21"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>
  <dimension ref="A1:O20"/>
  <sheetViews>
    <sheetView zoomScale="80" zoomScaleNormal="80" workbookViewId="0">
      <pane xSplit="1" topLeftCell="B1" activePane="topRight" state="frozen"/>
      <selection activeCell="F104" sqref="F104"/>
      <selection pane="topRight" activeCell="Y23" sqref="Y23"/>
    </sheetView>
  </sheetViews>
  <sheetFormatPr defaultRowHeight="15.75"/>
  <cols>
    <col min="1" max="1" width="6.88671875" customWidth="1"/>
    <col min="3" max="3" width="0.109375" customWidth="1"/>
    <col min="4" max="4" width="6.109375" bestFit="1" customWidth="1"/>
    <col min="5" max="5" width="7.44140625" customWidth="1"/>
    <col min="6" max="6" width="6.109375" bestFit="1" customWidth="1"/>
    <col min="7" max="7" width="8.33203125" customWidth="1"/>
    <col min="8" max="10" width="4.88671875" customWidth="1"/>
    <col min="12" max="14" width="5.109375" customWidth="1"/>
    <col min="15" max="15" width="7" bestFit="1" customWidth="1"/>
  </cols>
  <sheetData>
    <row r="1" spans="1:15" ht="20.25">
      <c r="A1" s="1509"/>
      <c r="B1" s="1509"/>
      <c r="C1" s="1509"/>
      <c r="D1" s="1509"/>
      <c r="E1" s="1509"/>
      <c r="F1" s="1509"/>
      <c r="G1" s="1509"/>
      <c r="H1" s="1509"/>
      <c r="I1" s="1509"/>
      <c r="J1" s="1509"/>
      <c r="K1" s="1509"/>
      <c r="L1" s="1509"/>
      <c r="M1" s="1509"/>
      <c r="N1" s="1509"/>
      <c r="O1" s="1509"/>
    </row>
    <row r="2" spans="1:15" ht="28.5" customHeight="1">
      <c r="A2" s="1" t="s">
        <v>0</v>
      </c>
      <c r="B2" s="1" t="s">
        <v>0</v>
      </c>
      <c r="C2" s="1115" t="s">
        <v>1</v>
      </c>
      <c r="D2" s="4" t="s">
        <v>4</v>
      </c>
      <c r="E2" s="1511" t="s">
        <v>7</v>
      </c>
      <c r="F2" s="1511"/>
      <c r="G2" s="1511"/>
      <c r="H2" s="1517" t="s">
        <v>15</v>
      </c>
      <c r="I2" s="1517"/>
      <c r="J2" s="1517"/>
      <c r="K2" s="1115" t="s">
        <v>16</v>
      </c>
      <c r="L2" s="1517" t="s">
        <v>17</v>
      </c>
      <c r="M2" s="1517"/>
      <c r="N2" s="1517"/>
      <c r="O2" s="1115" t="s">
        <v>18</v>
      </c>
    </row>
    <row r="3" spans="1:15" s="15" customFormat="1" ht="38.25">
      <c r="A3" s="6"/>
      <c r="B3" s="1"/>
      <c r="C3" s="7"/>
      <c r="D3" s="10" t="s">
        <v>24</v>
      </c>
      <c r="E3" s="11" t="s">
        <v>29</v>
      </c>
      <c r="F3" s="11" t="s">
        <v>26</v>
      </c>
      <c r="G3" s="11" t="s">
        <v>27</v>
      </c>
      <c r="H3" s="12" t="s">
        <v>40</v>
      </c>
      <c r="I3" s="12" t="s">
        <v>41</v>
      </c>
      <c r="J3" s="12" t="s">
        <v>42</v>
      </c>
      <c r="K3" s="12"/>
      <c r="L3" s="12" t="s">
        <v>43</v>
      </c>
      <c r="M3" s="12" t="s">
        <v>44</v>
      </c>
      <c r="N3" s="12" t="s">
        <v>278</v>
      </c>
      <c r="O3" s="12"/>
    </row>
    <row r="4" spans="1:15">
      <c r="A4" s="16">
        <v>1</v>
      </c>
      <c r="B4" s="17">
        <v>1</v>
      </c>
      <c r="C4" s="18"/>
      <c r="D4" s="19">
        <f>'1'!F8</f>
        <v>363165</v>
      </c>
      <c r="E4" s="19">
        <f>'1'!G97</f>
        <v>13</v>
      </c>
      <c r="F4" s="19">
        <f>'1'!F142</f>
        <v>0</v>
      </c>
      <c r="G4" s="21">
        <f>E4*F4</f>
        <v>0</v>
      </c>
      <c r="H4" s="19">
        <f>'1'!G68</f>
        <v>0</v>
      </c>
      <c r="I4" s="19">
        <f>'1'!G69</f>
        <v>104</v>
      </c>
      <c r="J4" s="19">
        <f>'1'!G70</f>
        <v>0</v>
      </c>
      <c r="K4" s="23">
        <f>H4+I4</f>
        <v>104</v>
      </c>
      <c r="L4" s="19">
        <f>'1'!G71</f>
        <v>0</v>
      </c>
      <c r="M4" s="19">
        <f>'1'!G72</f>
        <v>14</v>
      </c>
      <c r="N4" s="19">
        <v>0</v>
      </c>
      <c r="O4" s="23">
        <f>L4+M4+N4</f>
        <v>14</v>
      </c>
    </row>
    <row r="5" spans="1:15">
      <c r="A5" s="16">
        <v>2</v>
      </c>
      <c r="B5" s="26">
        <v>2</v>
      </c>
      <c r="C5" s="26"/>
      <c r="D5" s="19">
        <f>'2'!F8</f>
        <v>379785.27</v>
      </c>
      <c r="E5" s="19">
        <f>'2'!G96</f>
        <v>36</v>
      </c>
      <c r="F5" s="19">
        <f>'2'!F123</f>
        <v>0</v>
      </c>
      <c r="G5" s="21">
        <f t="shared" ref="G5:G18" si="0">E5*F5</f>
        <v>0</v>
      </c>
      <c r="H5" s="19">
        <f>'2'!G68</f>
        <v>0</v>
      </c>
      <c r="I5" s="19">
        <f>'2'!G69</f>
        <v>89.25</v>
      </c>
      <c r="J5" s="19">
        <f>'2'!G70</f>
        <v>0</v>
      </c>
      <c r="K5" s="23">
        <f t="shared" ref="K5:K18" si="1">H5+I5</f>
        <v>89.25</v>
      </c>
      <c r="L5" s="19">
        <f>'2'!G71</f>
        <v>0</v>
      </c>
      <c r="M5" s="19">
        <f>'2'!G72</f>
        <v>13</v>
      </c>
      <c r="N5" s="19">
        <v>0</v>
      </c>
      <c r="O5" s="23">
        <f t="shared" ref="O5:O18" si="2">L5+M5+N5</f>
        <v>13</v>
      </c>
    </row>
    <row r="6" spans="1:15">
      <c r="A6" s="16">
        <v>3</v>
      </c>
      <c r="B6" s="26">
        <v>3</v>
      </c>
      <c r="C6" s="26"/>
      <c r="D6" s="19">
        <f>'4'!F8</f>
        <v>412399.87</v>
      </c>
      <c r="E6" s="19">
        <f>'3'!G96</f>
        <v>71</v>
      </c>
      <c r="F6" s="19">
        <f>'3'!F123</f>
        <v>0</v>
      </c>
      <c r="G6" s="21">
        <f t="shared" si="0"/>
        <v>0</v>
      </c>
      <c r="H6" s="19">
        <f>'4'!G68</f>
        <v>0</v>
      </c>
      <c r="I6" s="19">
        <f>'4'!G69</f>
        <v>92.5</v>
      </c>
      <c r="J6" s="19">
        <f>'4'!G70</f>
        <v>0</v>
      </c>
      <c r="K6" s="23">
        <f t="shared" si="1"/>
        <v>92.5</v>
      </c>
      <c r="L6" s="19">
        <f>'4'!G71</f>
        <v>0</v>
      </c>
      <c r="M6" s="19">
        <f>'4'!G72</f>
        <v>12</v>
      </c>
      <c r="N6" s="19">
        <v>0</v>
      </c>
      <c r="O6" s="23">
        <f t="shared" si="2"/>
        <v>12</v>
      </c>
    </row>
    <row r="7" spans="1:15">
      <c r="A7" s="16">
        <v>4</v>
      </c>
      <c r="B7" s="27">
        <v>4</v>
      </c>
      <c r="C7" s="27"/>
      <c r="D7" s="19">
        <f>'3'!F8</f>
        <v>395921.08</v>
      </c>
      <c r="E7" s="19">
        <f>'4'!G96</f>
        <v>27</v>
      </c>
      <c r="F7" s="19">
        <f>'1'!F142</f>
        <v>0</v>
      </c>
      <c r="G7" s="21">
        <f t="shared" si="0"/>
        <v>0</v>
      </c>
      <c r="H7" s="19">
        <f>'3'!G68</f>
        <v>0</v>
      </c>
      <c r="I7" s="19">
        <f>'3'!G69</f>
        <v>87.179999999993015</v>
      </c>
      <c r="J7" s="19">
        <f>'3'!G70</f>
        <v>0</v>
      </c>
      <c r="K7" s="23">
        <f t="shared" si="1"/>
        <v>87.179999999993015</v>
      </c>
      <c r="L7" s="19">
        <f>'3'!G71</f>
        <v>0</v>
      </c>
      <c r="M7" s="19">
        <f>'3'!G72</f>
        <v>14</v>
      </c>
      <c r="N7" s="19">
        <v>0</v>
      </c>
      <c r="O7" s="23">
        <f t="shared" si="2"/>
        <v>14</v>
      </c>
    </row>
    <row r="8" spans="1:15">
      <c r="A8" s="16">
        <v>5</v>
      </c>
      <c r="B8" s="27">
        <v>5</v>
      </c>
      <c r="C8" s="27"/>
      <c r="D8" s="19" t="e">
        <f>#REF!</f>
        <v>#REF!</v>
      </c>
      <c r="E8" s="19" t="e">
        <f>#REF!</f>
        <v>#REF!</v>
      </c>
      <c r="F8" s="19">
        <f>'1'!F142</f>
        <v>0</v>
      </c>
      <c r="G8" s="21" t="e">
        <f t="shared" si="0"/>
        <v>#REF!</v>
      </c>
      <c r="H8" s="19" t="e">
        <f>#REF!</f>
        <v>#REF!</v>
      </c>
      <c r="I8" s="19" t="e">
        <f>#REF!</f>
        <v>#REF!</v>
      </c>
      <c r="J8" s="19" t="e">
        <f>#REF!</f>
        <v>#REF!</v>
      </c>
      <c r="K8" s="23" t="e">
        <f t="shared" si="1"/>
        <v>#REF!</v>
      </c>
      <c r="L8" s="19" t="e">
        <f>#REF!</f>
        <v>#REF!</v>
      </c>
      <c r="M8" s="19" t="e">
        <f>#REF!</f>
        <v>#REF!</v>
      </c>
      <c r="N8" s="19">
        <v>0</v>
      </c>
      <c r="O8" s="23" t="e">
        <f t="shared" si="2"/>
        <v>#REF!</v>
      </c>
    </row>
    <row r="9" spans="1:15">
      <c r="A9" s="16">
        <v>6</v>
      </c>
      <c r="B9" s="17">
        <v>6</v>
      </c>
      <c r="C9" s="26"/>
      <c r="D9" s="19">
        <f>'6'!F8</f>
        <v>450927.79</v>
      </c>
      <c r="E9" s="19">
        <f>'6'!G96</f>
        <v>73</v>
      </c>
      <c r="F9" s="19">
        <f>'1'!F142</f>
        <v>0</v>
      </c>
      <c r="G9" s="21">
        <f t="shared" si="0"/>
        <v>0</v>
      </c>
      <c r="H9" s="19">
        <f>'6'!G68</f>
        <v>0</v>
      </c>
      <c r="I9" s="19">
        <f>'6'!G69</f>
        <v>155.15000000000873</v>
      </c>
      <c r="J9" s="19">
        <f>'6'!G70</f>
        <v>0</v>
      </c>
      <c r="K9" s="23">
        <f t="shared" si="1"/>
        <v>155.15000000000873</v>
      </c>
      <c r="L9" s="19">
        <f>'6'!G71</f>
        <v>0</v>
      </c>
      <c r="M9" s="19">
        <f>'6'!G72</f>
        <v>13</v>
      </c>
      <c r="N9" s="19">
        <v>0</v>
      </c>
      <c r="O9" s="23">
        <f t="shared" si="2"/>
        <v>13</v>
      </c>
    </row>
    <row r="10" spans="1:15">
      <c r="A10" s="16">
        <v>7</v>
      </c>
      <c r="B10" s="26">
        <v>7</v>
      </c>
      <c r="C10" s="27"/>
      <c r="D10" s="19">
        <f>'7'!F8</f>
        <v>468243.75</v>
      </c>
      <c r="E10" s="19">
        <f>'7'!G96</f>
        <v>67</v>
      </c>
      <c r="F10" s="19">
        <f>'1'!F142</f>
        <v>0</v>
      </c>
      <c r="G10" s="21">
        <f t="shared" si="0"/>
        <v>0</v>
      </c>
      <c r="H10" s="19">
        <f>'7'!G68</f>
        <v>0</v>
      </c>
      <c r="I10" s="19">
        <f>'7'!G69</f>
        <v>122.19999999999709</v>
      </c>
      <c r="J10" s="19">
        <f>'7'!G70</f>
        <v>0</v>
      </c>
      <c r="K10" s="23">
        <f t="shared" si="1"/>
        <v>122.19999999999709</v>
      </c>
      <c r="L10" s="19">
        <f>'7'!G71</f>
        <v>0</v>
      </c>
      <c r="M10" s="19">
        <f>'7'!G72</f>
        <v>17</v>
      </c>
      <c r="N10" s="19">
        <v>0</v>
      </c>
      <c r="O10" s="23">
        <f t="shared" si="2"/>
        <v>17</v>
      </c>
    </row>
    <row r="11" spans="1:15">
      <c r="A11" s="16">
        <v>8</v>
      </c>
      <c r="B11" s="26">
        <v>8</v>
      </c>
      <c r="C11" s="18"/>
      <c r="D11" s="19">
        <f>'8'!F8</f>
        <v>485532.31</v>
      </c>
      <c r="E11" s="19">
        <f>'8'!G96</f>
        <v>34</v>
      </c>
      <c r="F11" s="19">
        <f>'1'!F142</f>
        <v>0</v>
      </c>
      <c r="G11" s="21">
        <f t="shared" si="0"/>
        <v>0</v>
      </c>
      <c r="H11" s="19">
        <f>'8'!G68</f>
        <v>0</v>
      </c>
      <c r="I11" s="19">
        <f>'8'!G69</f>
        <v>102.47000000000116</v>
      </c>
      <c r="J11" s="19">
        <f>'8'!G70</f>
        <v>0</v>
      </c>
      <c r="K11" s="23">
        <f t="shared" si="1"/>
        <v>102.47000000000116</v>
      </c>
      <c r="L11" s="19">
        <f>'8'!G71</f>
        <v>0</v>
      </c>
      <c r="M11" s="19">
        <f>'8'!G72</f>
        <v>11</v>
      </c>
      <c r="N11" s="19">
        <v>0</v>
      </c>
      <c r="O11" s="23">
        <f t="shared" si="2"/>
        <v>11</v>
      </c>
    </row>
    <row r="12" spans="1:15">
      <c r="A12" s="16">
        <v>9</v>
      </c>
      <c r="B12" s="27">
        <v>9</v>
      </c>
      <c r="C12" s="26"/>
      <c r="D12" s="19">
        <f>'9'!F8</f>
        <v>502424</v>
      </c>
      <c r="E12" s="19">
        <f>'9'!G96</f>
        <v>24</v>
      </c>
      <c r="F12" s="19">
        <f>'1'!F142</f>
        <v>0</v>
      </c>
      <c r="G12" s="21">
        <f t="shared" si="0"/>
        <v>0</v>
      </c>
      <c r="H12" s="19">
        <f>'9'!G68</f>
        <v>0</v>
      </c>
      <c r="I12" s="19">
        <f>'9'!G69</f>
        <v>125.19999999999709</v>
      </c>
      <c r="J12" s="19">
        <f>'9'!G70</f>
        <v>0</v>
      </c>
      <c r="K12" s="23">
        <f t="shared" si="1"/>
        <v>125.19999999999709</v>
      </c>
      <c r="L12" s="19">
        <f>'9'!G71</f>
        <v>0</v>
      </c>
      <c r="M12" s="19">
        <f>'9'!G72</f>
        <v>12</v>
      </c>
      <c r="N12" s="19">
        <v>0</v>
      </c>
      <c r="O12" s="23">
        <f t="shared" si="2"/>
        <v>12</v>
      </c>
    </row>
    <row r="13" spans="1:15">
      <c r="A13" s="16">
        <v>10</v>
      </c>
      <c r="B13" s="27">
        <v>10</v>
      </c>
      <c r="C13" s="26"/>
      <c r="D13" s="19">
        <f>'10'!F8</f>
        <v>519534</v>
      </c>
      <c r="E13" s="19">
        <f>'10'!G96</f>
        <v>59</v>
      </c>
      <c r="F13" s="19">
        <f>'1'!F142</f>
        <v>0</v>
      </c>
      <c r="G13" s="21">
        <f t="shared" si="0"/>
        <v>0</v>
      </c>
      <c r="H13" s="19">
        <f>'10'!G68</f>
        <v>0</v>
      </c>
      <c r="I13" s="19">
        <f>'10'!G69</f>
        <v>170</v>
      </c>
      <c r="J13" s="19">
        <f>'10'!G70</f>
        <v>0</v>
      </c>
      <c r="K13" s="23">
        <f t="shared" si="1"/>
        <v>170</v>
      </c>
      <c r="L13" s="19">
        <f>'10'!G71</f>
        <v>0</v>
      </c>
      <c r="M13" s="19">
        <f>'10'!G72</f>
        <v>13</v>
      </c>
      <c r="N13" s="19">
        <v>0</v>
      </c>
      <c r="O13" s="23">
        <f t="shared" si="2"/>
        <v>13</v>
      </c>
    </row>
    <row r="14" spans="1:15">
      <c r="A14" s="16">
        <v>11</v>
      </c>
      <c r="B14" s="17">
        <v>11</v>
      </c>
      <c r="C14" s="27"/>
      <c r="D14" s="19">
        <f>'11'!F8</f>
        <v>536722</v>
      </c>
      <c r="E14" s="19">
        <f>'11'!G96</f>
        <v>46</v>
      </c>
      <c r="F14" s="19">
        <f>'1'!F142</f>
        <v>0</v>
      </c>
      <c r="G14" s="21">
        <f t="shared" si="0"/>
        <v>0</v>
      </c>
      <c r="H14" s="19">
        <f>'11'!G68</f>
        <v>0</v>
      </c>
      <c r="I14" s="19">
        <f>'11'!G69</f>
        <v>152</v>
      </c>
      <c r="J14" s="19">
        <f>'11'!G70</f>
        <v>0</v>
      </c>
      <c r="K14" s="23">
        <f t="shared" si="1"/>
        <v>152</v>
      </c>
      <c r="L14" s="19">
        <f>'11'!G71</f>
        <v>0</v>
      </c>
      <c r="M14" s="19">
        <f>'11'!G72</f>
        <v>14</v>
      </c>
      <c r="N14" s="19">
        <v>0</v>
      </c>
      <c r="O14" s="23">
        <f t="shared" si="2"/>
        <v>14</v>
      </c>
    </row>
    <row r="15" spans="1:15">
      <c r="A15" s="16">
        <v>12</v>
      </c>
      <c r="B15" s="26">
        <v>12</v>
      </c>
      <c r="C15" s="27"/>
      <c r="D15" s="19">
        <f>'12'!F8</f>
        <v>555552</v>
      </c>
      <c r="E15" s="19">
        <f>'12'!G96</f>
        <v>36</v>
      </c>
      <c r="F15" s="19">
        <f>'1'!F142</f>
        <v>0</v>
      </c>
      <c r="G15" s="20">
        <f t="shared" si="0"/>
        <v>0</v>
      </c>
      <c r="H15" s="19">
        <f>'12'!G68</f>
        <v>0</v>
      </c>
      <c r="I15" s="19">
        <f>'12'!G69</f>
        <v>227</v>
      </c>
      <c r="J15" s="19">
        <f>'12'!G70</f>
        <v>0</v>
      </c>
      <c r="K15" s="23">
        <f t="shared" si="1"/>
        <v>227</v>
      </c>
      <c r="L15" s="19">
        <f>'12'!G71</f>
        <v>0</v>
      </c>
      <c r="M15" s="19">
        <f>'12'!G72</f>
        <v>12</v>
      </c>
      <c r="N15" s="19">
        <v>0</v>
      </c>
      <c r="O15" s="23">
        <f t="shared" si="2"/>
        <v>12</v>
      </c>
    </row>
    <row r="16" spans="1:15">
      <c r="A16" s="16">
        <v>13</v>
      </c>
      <c r="B16" s="26">
        <v>13</v>
      </c>
      <c r="C16" s="26"/>
      <c r="D16" s="19">
        <f>'13'!F8</f>
        <v>575995</v>
      </c>
      <c r="E16" s="19">
        <f>'13'!G96</f>
        <v>64</v>
      </c>
      <c r="F16" s="19">
        <f>'1'!F142</f>
        <v>0</v>
      </c>
      <c r="G16" s="20">
        <f t="shared" si="0"/>
        <v>0</v>
      </c>
      <c r="H16" s="19">
        <f>'13'!G68</f>
        <v>0</v>
      </c>
      <c r="I16" s="19">
        <f>'13'!G69</f>
        <v>217</v>
      </c>
      <c r="J16" s="19">
        <f>'13'!G70</f>
        <v>0</v>
      </c>
      <c r="K16" s="23">
        <f t="shared" si="1"/>
        <v>217</v>
      </c>
      <c r="L16" s="19">
        <f>'13'!G71</f>
        <v>0</v>
      </c>
      <c r="M16" s="19">
        <f>'13'!G72</f>
        <v>13</v>
      </c>
      <c r="N16" s="19">
        <v>0</v>
      </c>
      <c r="O16" s="23">
        <f t="shared" si="2"/>
        <v>13</v>
      </c>
    </row>
    <row r="17" spans="1:15">
      <c r="A17" s="16">
        <v>14</v>
      </c>
      <c r="B17" s="17">
        <v>14</v>
      </c>
      <c r="C17" s="27"/>
      <c r="D17" s="19">
        <f>'14'!F8</f>
        <v>595969</v>
      </c>
      <c r="E17" s="19">
        <f>'14'!G96</f>
        <v>68</v>
      </c>
      <c r="F17" s="19">
        <f>'1'!F142</f>
        <v>0</v>
      </c>
      <c r="G17" s="20">
        <f t="shared" si="0"/>
        <v>0</v>
      </c>
      <c r="H17" s="19">
        <f>'14'!G68</f>
        <v>0</v>
      </c>
      <c r="I17" s="19">
        <f>'14'!G69</f>
        <v>209</v>
      </c>
      <c r="J17" s="19">
        <f>'14'!G71</f>
        <v>0</v>
      </c>
      <c r="K17" s="23">
        <f t="shared" si="1"/>
        <v>209</v>
      </c>
      <c r="L17" s="19">
        <f>'14'!G72</f>
        <v>13</v>
      </c>
      <c r="M17" s="19">
        <f>'14'!G73</f>
        <v>1</v>
      </c>
      <c r="N17" s="19">
        <v>0</v>
      </c>
      <c r="O17" s="23">
        <f t="shared" si="2"/>
        <v>14</v>
      </c>
    </row>
    <row r="18" spans="1:15">
      <c r="A18" s="16">
        <v>15</v>
      </c>
      <c r="B18" s="26">
        <v>15</v>
      </c>
      <c r="C18" s="18"/>
      <c r="D18" s="19">
        <f>'15'!F8</f>
        <v>613828</v>
      </c>
      <c r="E18" s="19">
        <f>'15'!G96</f>
        <v>65</v>
      </c>
      <c r="F18" s="19">
        <f>'1'!F142</f>
        <v>0</v>
      </c>
      <c r="G18" s="20">
        <f t="shared" si="0"/>
        <v>0</v>
      </c>
      <c r="H18" s="19">
        <f>'15'!G68</f>
        <v>0</v>
      </c>
      <c r="I18" s="19">
        <f>'15'!G69</f>
        <v>202</v>
      </c>
      <c r="J18" s="19">
        <f>'15'!G71</f>
        <v>0</v>
      </c>
      <c r="K18" s="23">
        <f t="shared" si="1"/>
        <v>202</v>
      </c>
      <c r="L18" s="19">
        <f>'15'!G72</f>
        <v>13</v>
      </c>
      <c r="M18" s="19">
        <f>'15'!G73</f>
        <v>2</v>
      </c>
      <c r="N18" s="19">
        <v>0</v>
      </c>
      <c r="O18" s="23">
        <f t="shared" si="2"/>
        <v>15</v>
      </c>
    </row>
    <row r="20" spans="1:15">
      <c r="B20" s="36"/>
    </row>
  </sheetData>
  <mergeCells count="4">
    <mergeCell ref="A1:O1"/>
    <mergeCell ref="E2:G2"/>
    <mergeCell ref="H2:J2"/>
    <mergeCell ref="L2:N2"/>
  </mergeCells>
  <pageMargins left="0.7" right="0.7" top="0.75" bottom="0.75" header="0.3" footer="0.3"/>
  <pageSetup orientation="portrait" r:id="rId1"/>
  <drawing r:id="rId2"/>
</worksheet>
</file>

<file path=xl/worksheets/sheet3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L122"/>
  <sheetViews>
    <sheetView topLeftCell="A18" zoomScale="64" zoomScaleNormal="64" workbookViewId="0">
      <selection activeCell="K34" sqref="K34"/>
    </sheetView>
  </sheetViews>
  <sheetFormatPr defaultColWidth="22.33203125" defaultRowHeight="18.75" customHeight="1"/>
  <cols>
    <col min="1" max="1" width="37.109375" style="114" customWidth="1"/>
    <col min="2" max="2" width="24" style="114" customWidth="1"/>
    <col min="3" max="3" width="18.77734375" style="114" customWidth="1"/>
    <col min="4" max="4" width="11.44140625" style="114" customWidth="1"/>
    <col min="5" max="5" width="19.6640625" style="114" bestFit="1" customWidth="1"/>
    <col min="6" max="6" width="18.5546875" style="114" customWidth="1"/>
    <col min="7" max="7" width="19.33203125" style="114" customWidth="1"/>
    <col min="8" max="8" width="17.6640625" style="155" customWidth="1"/>
    <col min="9" max="9" width="18.88671875" style="114" customWidth="1"/>
    <col min="10" max="10" width="23" style="156" customWidth="1"/>
    <col min="11" max="16384" width="22.33203125" style="114"/>
  </cols>
  <sheetData>
    <row r="1" spans="1:12" ht="28.5" customHeight="1">
      <c r="A1" s="1708" t="s">
        <v>116</v>
      </c>
      <c r="B1" s="1708"/>
      <c r="C1" s="1708"/>
      <c r="D1" s="1708"/>
      <c r="E1" s="1708"/>
      <c r="F1" s="1708"/>
      <c r="G1" s="1708"/>
      <c r="H1" s="1708"/>
      <c r="I1" s="1708"/>
      <c r="J1" s="1708"/>
    </row>
    <row r="2" spans="1:12" ht="23.25" customHeight="1">
      <c r="A2" s="214" t="s">
        <v>279</v>
      </c>
      <c r="B2" s="195">
        <v>42328</v>
      </c>
      <c r="C2" s="1709" t="s">
        <v>280</v>
      </c>
      <c r="D2" s="1710"/>
      <c r="E2" s="191" t="s">
        <v>117</v>
      </c>
      <c r="F2" s="191" t="s">
        <v>6</v>
      </c>
      <c r="G2" s="191" t="s">
        <v>8</v>
      </c>
      <c r="H2" s="40" t="s">
        <v>118</v>
      </c>
      <c r="I2" s="41"/>
      <c r="J2" s="42"/>
    </row>
    <row r="3" spans="1:12" ht="18.75" customHeight="1">
      <c r="A3" s="1135" t="s">
        <v>281</v>
      </c>
      <c r="B3" s="189"/>
      <c r="C3" s="189"/>
      <c r="D3" s="1136"/>
      <c r="E3" s="115" t="str">
        <f>'1'!E3</f>
        <v>Last year same month avg</v>
      </c>
      <c r="F3" s="52">
        <f>'1'!F3</f>
        <v>0</v>
      </c>
      <c r="G3" s="52">
        <f>'1'!G3</f>
        <v>0</v>
      </c>
      <c r="H3" s="49">
        <f>'1'!H3</f>
        <v>0</v>
      </c>
      <c r="I3" s="41" t="s">
        <v>282</v>
      </c>
      <c r="J3" s="42" t="s">
        <v>283</v>
      </c>
      <c r="K3" s="116"/>
      <c r="L3" s="117"/>
    </row>
    <row r="4" spans="1:12" ht="18.75" customHeight="1">
      <c r="A4" s="45" t="s">
        <v>284</v>
      </c>
      <c r="B4" s="46" t="s">
        <v>285</v>
      </c>
      <c r="C4" s="39" t="s">
        <v>68</v>
      </c>
      <c r="D4" s="215">
        <v>0.8</v>
      </c>
      <c r="E4" s="47"/>
      <c r="F4" s="47"/>
      <c r="G4" s="48"/>
      <c r="H4" s="41"/>
      <c r="I4" s="49">
        <v>31</v>
      </c>
      <c r="J4" s="50">
        <v>82</v>
      </c>
      <c r="K4" s="118"/>
      <c r="L4" s="117"/>
    </row>
    <row r="5" spans="1:12" ht="18.75" customHeight="1" thickBot="1">
      <c r="A5" s="216" t="s">
        <v>122</v>
      </c>
      <c r="B5" s="217"/>
      <c r="C5" s="218"/>
      <c r="D5" s="219" t="s">
        <v>123</v>
      </c>
      <c r="E5" s="220" t="s">
        <v>124</v>
      </c>
      <c r="F5" s="220" t="s">
        <v>111</v>
      </c>
      <c r="G5" s="221" t="s">
        <v>125</v>
      </c>
      <c r="H5" s="222" t="s">
        <v>126</v>
      </c>
      <c r="I5" s="223" t="s">
        <v>127</v>
      </c>
      <c r="J5" s="221" t="s">
        <v>128</v>
      </c>
      <c r="K5" s="53"/>
      <c r="L5" s="117"/>
    </row>
    <row r="6" spans="1:12" ht="18.75" customHeight="1">
      <c r="A6" s="1725" t="s">
        <v>129</v>
      </c>
      <c r="B6" s="1726"/>
      <c r="C6" s="1727"/>
      <c r="D6" s="60"/>
      <c r="E6" s="60"/>
      <c r="F6" s="60"/>
      <c r="G6" s="60"/>
      <c r="H6" s="61"/>
      <c r="I6" s="62"/>
      <c r="J6" s="63"/>
      <c r="K6" s="43"/>
      <c r="L6" s="117"/>
    </row>
    <row r="7" spans="1:12" ht="20.25" customHeight="1" thickBot="1">
      <c r="A7" s="250" t="s">
        <v>130</v>
      </c>
      <c r="B7" s="251"/>
      <c r="C7" s="252"/>
      <c r="D7" s="133" t="s">
        <v>131</v>
      </c>
      <c r="E7" s="159"/>
      <c r="F7" s="159"/>
      <c r="G7" s="203"/>
      <c r="H7" s="160"/>
      <c r="I7" s="253"/>
      <c r="J7" s="136"/>
      <c r="K7" s="59"/>
      <c r="L7" s="117"/>
    </row>
    <row r="8" spans="1:12" ht="12.75" customHeight="1">
      <c r="A8" s="246"/>
      <c r="B8" s="247"/>
      <c r="C8" s="248"/>
      <c r="D8" s="137"/>
      <c r="E8" s="161"/>
      <c r="F8" s="161"/>
      <c r="G8" s="139"/>
      <c r="H8" s="162"/>
      <c r="I8" s="249"/>
      <c r="J8" s="141"/>
      <c r="K8" s="59"/>
      <c r="L8" s="117"/>
    </row>
    <row r="9" spans="1:12" ht="18.75" customHeight="1">
      <c r="A9" s="64" t="s">
        <v>133</v>
      </c>
      <c r="B9" s="65"/>
      <c r="C9" s="66"/>
      <c r="D9" s="55" t="s">
        <v>131</v>
      </c>
      <c r="E9" s="56"/>
      <c r="F9" s="67"/>
      <c r="G9" s="68"/>
      <c r="H9" s="57"/>
      <c r="I9" s="69"/>
      <c r="J9" s="58"/>
      <c r="K9" s="59"/>
      <c r="L9" s="117"/>
    </row>
    <row r="10" spans="1:12" ht="18.75" customHeight="1">
      <c r="A10" s="192" t="s">
        <v>134</v>
      </c>
      <c r="B10" s="193"/>
      <c r="C10" s="194"/>
      <c r="D10" s="55" t="s">
        <v>131</v>
      </c>
      <c r="E10" s="56"/>
      <c r="F10" s="67"/>
      <c r="G10" s="68"/>
      <c r="H10" s="57"/>
      <c r="I10" s="69"/>
      <c r="J10" s="58"/>
      <c r="K10" s="59"/>
      <c r="L10" s="117"/>
    </row>
    <row r="11" spans="1:12" ht="18.75" customHeight="1">
      <c r="A11" s="192" t="s">
        <v>135</v>
      </c>
      <c r="B11" s="193"/>
      <c r="C11" s="194"/>
      <c r="D11" s="55" t="s">
        <v>131</v>
      </c>
      <c r="E11" s="56"/>
      <c r="F11" s="56"/>
      <c r="G11" s="68"/>
      <c r="H11" s="57"/>
      <c r="I11" s="69"/>
      <c r="J11" s="58"/>
      <c r="K11" s="59"/>
      <c r="L11" s="117"/>
    </row>
    <row r="12" spans="1:12" ht="18.75" customHeight="1">
      <c r="A12" s="192" t="s">
        <v>136</v>
      </c>
      <c r="B12" s="193"/>
      <c r="C12" s="194"/>
      <c r="D12" s="55" t="s">
        <v>131</v>
      </c>
      <c r="E12" s="56"/>
      <c r="F12" s="67"/>
      <c r="G12" s="68"/>
      <c r="H12" s="57"/>
      <c r="I12" s="69"/>
      <c r="J12" s="58"/>
      <c r="K12" s="59"/>
      <c r="L12" s="117"/>
    </row>
    <row r="13" spans="1:12" ht="18.75" customHeight="1">
      <c r="A13" s="180" t="s">
        <v>137</v>
      </c>
      <c r="B13" s="181"/>
      <c r="C13" s="182"/>
      <c r="D13" s="55"/>
      <c r="E13" s="119"/>
      <c r="F13" s="70"/>
      <c r="G13" s="68"/>
      <c r="H13" s="57"/>
      <c r="I13" s="69"/>
      <c r="J13" s="58"/>
      <c r="K13" s="59"/>
      <c r="L13" s="117"/>
    </row>
    <row r="14" spans="1:12" ht="18.75" customHeight="1">
      <c r="A14" s="1722" t="s">
        <v>138</v>
      </c>
      <c r="B14" s="1723"/>
      <c r="C14" s="1724"/>
      <c r="D14" s="71"/>
      <c r="E14" s="71"/>
      <c r="F14" s="71"/>
      <c r="G14" s="128"/>
      <c r="H14" s="72"/>
      <c r="I14" s="73"/>
      <c r="J14" s="74"/>
      <c r="K14" s="75"/>
      <c r="L14" s="117"/>
    </row>
    <row r="15" spans="1:12" ht="18.75" customHeight="1" thickBot="1">
      <c r="A15" s="183" t="s">
        <v>139</v>
      </c>
      <c r="B15" s="184"/>
      <c r="C15" s="185"/>
      <c r="D15" s="133" t="s">
        <v>140</v>
      </c>
      <c r="E15" s="159"/>
      <c r="F15" s="134"/>
      <c r="G15" s="135"/>
      <c r="H15" s="160"/>
      <c r="I15" s="253"/>
      <c r="J15" s="136"/>
      <c r="K15" s="59"/>
      <c r="L15" s="117"/>
    </row>
    <row r="16" spans="1:12" ht="18.75" customHeight="1">
      <c r="A16" s="224"/>
      <c r="B16" s="225"/>
      <c r="C16" s="226"/>
      <c r="D16" s="227"/>
      <c r="E16" s="228"/>
      <c r="F16" s="212"/>
      <c r="G16" s="205"/>
      <c r="H16" s="254"/>
      <c r="I16" s="255"/>
      <c r="J16" s="229"/>
      <c r="K16" s="59"/>
      <c r="L16" s="117"/>
    </row>
    <row r="17" spans="1:12" ht="18.75" customHeight="1">
      <c r="A17" s="1722" t="s">
        <v>141</v>
      </c>
      <c r="B17" s="1723"/>
      <c r="C17" s="1724"/>
      <c r="D17" s="71"/>
      <c r="E17" s="71"/>
      <c r="F17" s="71"/>
      <c r="G17" s="122"/>
      <c r="H17" s="72"/>
      <c r="I17" s="73"/>
      <c r="J17" s="123"/>
      <c r="K17" s="59"/>
      <c r="L17" s="117"/>
    </row>
    <row r="18" spans="1:12" ht="18.75" customHeight="1">
      <c r="A18" s="1728" t="s">
        <v>142</v>
      </c>
      <c r="B18" s="1729"/>
      <c r="C18" s="1730"/>
      <c r="D18" s="55" t="s">
        <v>143</v>
      </c>
      <c r="E18" s="56"/>
      <c r="F18" s="82"/>
      <c r="G18" s="124"/>
      <c r="H18" s="57"/>
      <c r="I18" s="69"/>
      <c r="J18" s="58"/>
      <c r="K18" s="59"/>
      <c r="L18" s="117"/>
    </row>
    <row r="19" spans="1:12" ht="18.75" customHeight="1">
      <c r="A19" s="1728" t="s">
        <v>70</v>
      </c>
      <c r="B19" s="1729"/>
      <c r="C19" s="1730"/>
      <c r="D19" s="55" t="s">
        <v>143</v>
      </c>
      <c r="E19" s="56"/>
      <c r="F19" s="82"/>
      <c r="G19" s="124"/>
      <c r="H19" s="57"/>
      <c r="I19" s="80"/>
      <c r="J19" s="58"/>
      <c r="K19" s="59"/>
      <c r="L19" s="117"/>
    </row>
    <row r="20" spans="1:12" ht="18.75" customHeight="1">
      <c r="A20" s="180" t="s">
        <v>144</v>
      </c>
      <c r="B20" s="181"/>
      <c r="C20" s="182"/>
      <c r="D20" s="120"/>
      <c r="E20" s="56"/>
      <c r="F20" s="120"/>
      <c r="G20" s="125"/>
      <c r="H20" s="57"/>
      <c r="I20" s="158"/>
      <c r="J20" s="58"/>
      <c r="K20" s="59"/>
      <c r="L20" s="117"/>
    </row>
    <row r="21" spans="1:12" ht="18.75" customHeight="1">
      <c r="A21" s="1722" t="s">
        <v>145</v>
      </c>
      <c r="B21" s="1723"/>
      <c r="C21" s="1724"/>
      <c r="D21" s="71"/>
      <c r="E21" s="71"/>
      <c r="F21" s="71"/>
      <c r="G21" s="128"/>
      <c r="H21" s="72"/>
      <c r="I21" s="90"/>
      <c r="J21" s="74"/>
      <c r="K21" s="59"/>
      <c r="L21" s="117"/>
    </row>
    <row r="22" spans="1:12" ht="18.75" customHeight="1">
      <c r="A22" s="1132" t="s">
        <v>146</v>
      </c>
      <c r="B22" s="1133"/>
      <c r="C22" s="1134"/>
      <c r="D22" s="55" t="s">
        <v>147</v>
      </c>
      <c r="E22" s="56"/>
      <c r="F22" s="82"/>
      <c r="G22" s="124"/>
      <c r="H22" s="57"/>
      <c r="I22" s="69"/>
      <c r="J22" s="58"/>
      <c r="K22" s="59"/>
      <c r="L22" s="117"/>
    </row>
    <row r="23" spans="1:12" ht="18.75" customHeight="1">
      <c r="A23" s="1132" t="s">
        <v>148</v>
      </c>
      <c r="B23" s="1133"/>
      <c r="C23" s="1134"/>
      <c r="D23" s="55" t="s">
        <v>147</v>
      </c>
      <c r="E23" s="56"/>
      <c r="F23" s="82"/>
      <c r="G23" s="124"/>
      <c r="H23" s="57"/>
      <c r="I23" s="69"/>
      <c r="J23" s="58"/>
      <c r="K23" s="59"/>
      <c r="L23" s="117"/>
    </row>
    <row r="24" spans="1:12" ht="18.75" customHeight="1">
      <c r="A24" s="170" t="s">
        <v>149</v>
      </c>
      <c r="B24" s="171"/>
      <c r="C24" s="172"/>
      <c r="D24" s="54" t="s">
        <v>147</v>
      </c>
      <c r="E24" s="56"/>
      <c r="F24" s="91"/>
      <c r="G24" s="142"/>
      <c r="H24" s="57"/>
      <c r="I24" s="69"/>
      <c r="J24" s="58"/>
      <c r="K24" s="59"/>
      <c r="L24" s="117"/>
    </row>
    <row r="25" spans="1:12" ht="18.75" customHeight="1">
      <c r="A25" s="1731" t="s">
        <v>150</v>
      </c>
      <c r="B25" s="1732"/>
      <c r="C25" s="1733"/>
      <c r="D25" s="60"/>
      <c r="E25" s="60"/>
      <c r="F25" s="60"/>
      <c r="G25" s="126"/>
      <c r="H25" s="61"/>
      <c r="I25" s="143"/>
      <c r="J25" s="63"/>
      <c r="K25" s="59"/>
      <c r="L25" s="117"/>
    </row>
    <row r="26" spans="1:12" ht="18.75" customHeight="1">
      <c r="A26" s="164" t="s">
        <v>151</v>
      </c>
      <c r="B26" s="165"/>
      <c r="C26" s="166"/>
      <c r="D26" s="144" t="s">
        <v>152</v>
      </c>
      <c r="E26" s="92"/>
      <c r="F26" s="92"/>
      <c r="G26" s="131"/>
      <c r="H26" s="57"/>
      <c r="I26" s="145"/>
      <c r="J26" s="93"/>
      <c r="K26" s="75"/>
      <c r="L26" s="117"/>
    </row>
    <row r="27" spans="1:12" ht="18.75" customHeight="1">
      <c r="A27" s="164" t="s">
        <v>6</v>
      </c>
      <c r="B27" s="165"/>
      <c r="C27" s="166"/>
      <c r="D27" s="146" t="s">
        <v>131</v>
      </c>
      <c r="E27" s="94"/>
      <c r="F27" s="95"/>
      <c r="G27" s="147"/>
      <c r="H27" s="57"/>
      <c r="I27" s="148"/>
      <c r="J27" s="58"/>
      <c r="K27" s="59"/>
      <c r="L27" s="117"/>
    </row>
    <row r="28" spans="1:12" ht="18.75" customHeight="1">
      <c r="A28" s="164" t="s">
        <v>153</v>
      </c>
      <c r="B28" s="165"/>
      <c r="C28" s="166"/>
      <c r="D28" s="146" t="s">
        <v>154</v>
      </c>
      <c r="E28" s="96"/>
      <c r="F28" s="95"/>
      <c r="G28" s="147"/>
      <c r="H28" s="57"/>
      <c r="I28" s="112"/>
      <c r="J28" s="58"/>
      <c r="K28" s="59"/>
      <c r="L28" s="117"/>
    </row>
    <row r="29" spans="1:12" ht="18.75" customHeight="1">
      <c r="A29" s="164" t="s">
        <v>155</v>
      </c>
      <c r="B29" s="165"/>
      <c r="C29" s="166"/>
      <c r="D29" s="146" t="s">
        <v>156</v>
      </c>
      <c r="E29" s="97"/>
      <c r="F29" s="95"/>
      <c r="G29" s="147"/>
      <c r="H29" s="57"/>
      <c r="I29" s="112"/>
      <c r="J29" s="58"/>
      <c r="K29" s="59"/>
      <c r="L29" s="117"/>
    </row>
    <row r="30" spans="1:12" ht="18.75" customHeight="1">
      <c r="A30" s="164" t="s">
        <v>8</v>
      </c>
      <c r="B30" s="165"/>
      <c r="C30" s="166"/>
      <c r="D30" s="146" t="s">
        <v>158</v>
      </c>
      <c r="E30" s="97"/>
      <c r="F30" s="95"/>
      <c r="G30" s="147"/>
      <c r="H30" s="57"/>
      <c r="I30" s="112"/>
      <c r="J30" s="58"/>
      <c r="K30" s="59"/>
      <c r="L30" s="117"/>
    </row>
    <row r="31" spans="1:12" ht="18.75" customHeight="1">
      <c r="A31" s="167" t="s">
        <v>160</v>
      </c>
      <c r="B31" s="168"/>
      <c r="C31" s="169"/>
      <c r="D31" s="149"/>
      <c r="E31" s="149"/>
      <c r="F31" s="149"/>
      <c r="G31" s="150"/>
      <c r="H31" s="57"/>
      <c r="I31" s="151"/>
      <c r="J31" s="58"/>
      <c r="K31" s="59"/>
      <c r="L31" s="117"/>
    </row>
    <row r="32" spans="1:12" ht="18.75" customHeight="1">
      <c r="A32" s="1711" t="s">
        <v>161</v>
      </c>
      <c r="B32" s="1712"/>
      <c r="C32" s="1712"/>
      <c r="D32" s="1712"/>
      <c r="E32" s="1712"/>
      <c r="F32" s="1712"/>
      <c r="G32" s="1712"/>
      <c r="H32" s="1712"/>
      <c r="I32" s="1712"/>
      <c r="J32" s="1713"/>
      <c r="K32" s="59"/>
      <c r="L32" s="117"/>
    </row>
    <row r="33" spans="1:12" ht="18.75" customHeight="1">
      <c r="A33" s="1148" t="s">
        <v>162</v>
      </c>
      <c r="B33" s="1149"/>
      <c r="C33" s="1150"/>
      <c r="D33" s="71"/>
      <c r="E33" s="60"/>
      <c r="F33" s="60"/>
      <c r="G33" s="71"/>
      <c r="H33" s="72"/>
      <c r="I33" s="73"/>
      <c r="J33" s="74"/>
      <c r="K33" s="59"/>
      <c r="L33" s="117"/>
    </row>
    <row r="34" spans="1:12" ht="18.75" customHeight="1">
      <c r="A34" s="192" t="s">
        <v>163</v>
      </c>
      <c r="B34" s="193"/>
      <c r="C34" s="194"/>
      <c r="D34" s="55" t="s">
        <v>131</v>
      </c>
      <c r="E34" s="163"/>
      <c r="F34" s="211"/>
      <c r="G34" s="68"/>
      <c r="H34" s="57"/>
      <c r="I34" s="56"/>
      <c r="J34" s="58"/>
      <c r="K34" s="59"/>
      <c r="L34" s="117"/>
    </row>
    <row r="35" spans="1:12" ht="18.75" customHeight="1">
      <c r="A35" s="192" t="s">
        <v>164</v>
      </c>
      <c r="B35" s="193"/>
      <c r="C35" s="194"/>
      <c r="D35" s="55" t="s">
        <v>131</v>
      </c>
      <c r="E35" s="163"/>
      <c r="F35" s="211"/>
      <c r="G35" s="68"/>
      <c r="H35" s="57"/>
      <c r="I35" s="56"/>
      <c r="J35" s="58"/>
      <c r="K35" s="59"/>
      <c r="L35" s="117"/>
    </row>
    <row r="36" spans="1:12" ht="18.75" customHeight="1">
      <c r="A36" s="192" t="s">
        <v>165</v>
      </c>
      <c r="B36" s="193"/>
      <c r="C36" s="194"/>
      <c r="D36" s="55" t="s">
        <v>131</v>
      </c>
      <c r="E36" s="163"/>
      <c r="F36" s="211"/>
      <c r="G36" s="68"/>
      <c r="H36" s="57"/>
      <c r="I36" s="56"/>
      <c r="J36" s="58"/>
      <c r="K36" s="59"/>
      <c r="L36" s="117"/>
    </row>
    <row r="37" spans="1:12" ht="18.75" customHeight="1">
      <c r="A37" s="192" t="s">
        <v>166</v>
      </c>
      <c r="B37" s="193"/>
      <c r="C37" s="194"/>
      <c r="D37" s="55" t="s">
        <v>131</v>
      </c>
      <c r="E37" s="163"/>
      <c r="F37" s="163"/>
      <c r="G37" s="68"/>
      <c r="H37" s="57"/>
      <c r="I37" s="56"/>
      <c r="J37" s="58"/>
      <c r="K37" s="59"/>
      <c r="L37" s="117"/>
    </row>
    <row r="38" spans="1:12" ht="18.75" customHeight="1">
      <c r="A38" s="192" t="s">
        <v>167</v>
      </c>
      <c r="B38" s="193"/>
      <c r="C38" s="194"/>
      <c r="D38" s="55" t="s">
        <v>131</v>
      </c>
      <c r="E38" s="163"/>
      <c r="F38" s="211"/>
      <c r="G38" s="68"/>
      <c r="H38" s="57"/>
      <c r="I38" s="56"/>
      <c r="J38" s="58"/>
      <c r="K38" s="59"/>
      <c r="L38" s="117"/>
    </row>
    <row r="39" spans="1:12" ht="18.75" customHeight="1">
      <c r="A39" s="76" t="s">
        <v>168</v>
      </c>
      <c r="B39" s="77"/>
      <c r="C39" s="78"/>
      <c r="D39" s="55" t="s">
        <v>131</v>
      </c>
      <c r="E39" s="163"/>
      <c r="F39" s="211"/>
      <c r="G39" s="68"/>
      <c r="H39" s="57"/>
      <c r="I39" s="56"/>
      <c r="J39" s="58"/>
      <c r="K39" s="75"/>
      <c r="L39" s="117"/>
    </row>
    <row r="40" spans="1:12" ht="18.75" customHeight="1">
      <c r="A40" s="192" t="s">
        <v>169</v>
      </c>
      <c r="B40" s="193"/>
      <c r="C40" s="194"/>
      <c r="D40" s="55" t="s">
        <v>131</v>
      </c>
      <c r="E40" s="163"/>
      <c r="F40" s="211"/>
      <c r="G40" s="68"/>
      <c r="H40" s="57"/>
      <c r="I40" s="56"/>
      <c r="J40" s="58"/>
      <c r="K40" s="59"/>
      <c r="L40" s="117"/>
    </row>
    <row r="41" spans="1:12" ht="18.75" customHeight="1">
      <c r="A41" s="192" t="s">
        <v>170</v>
      </c>
      <c r="B41" s="193"/>
      <c r="C41" s="194"/>
      <c r="D41" s="55" t="s">
        <v>131</v>
      </c>
      <c r="E41" s="163"/>
      <c r="F41" s="211"/>
      <c r="G41" s="68"/>
      <c r="H41" s="57"/>
      <c r="I41" s="56"/>
      <c r="J41" s="58"/>
      <c r="K41" s="59"/>
      <c r="L41" s="117"/>
    </row>
    <row r="42" spans="1:12" ht="18.75" customHeight="1">
      <c r="A42" s="192" t="s">
        <v>171</v>
      </c>
      <c r="B42" s="193"/>
      <c r="C42" s="194"/>
      <c r="D42" s="55" t="s">
        <v>131</v>
      </c>
      <c r="E42" s="163"/>
      <c r="F42" s="211"/>
      <c r="G42" s="68"/>
      <c r="H42" s="57"/>
      <c r="I42" s="56"/>
      <c r="J42" s="58"/>
      <c r="K42" s="59"/>
      <c r="L42" s="117"/>
    </row>
    <row r="43" spans="1:12" ht="18.75" customHeight="1">
      <c r="A43" s="192" t="s">
        <v>172</v>
      </c>
      <c r="B43" s="193"/>
      <c r="C43" s="194"/>
      <c r="D43" s="55" t="s">
        <v>131</v>
      </c>
      <c r="E43" s="163"/>
      <c r="F43" s="211"/>
      <c r="G43" s="68"/>
      <c r="H43" s="57"/>
      <c r="I43" s="56"/>
      <c r="J43" s="58"/>
      <c r="K43" s="59"/>
      <c r="L43" s="117"/>
    </row>
    <row r="44" spans="1:12" ht="18.75" customHeight="1">
      <c r="A44" s="192" t="s">
        <v>173</v>
      </c>
      <c r="B44" s="193"/>
      <c r="C44" s="194"/>
      <c r="D44" s="55" t="s">
        <v>131</v>
      </c>
      <c r="E44" s="163"/>
      <c r="F44" s="211"/>
      <c r="G44" s="68"/>
      <c r="H44" s="57"/>
      <c r="I44" s="56"/>
      <c r="J44" s="58"/>
      <c r="K44" s="59"/>
      <c r="L44" s="117"/>
    </row>
    <row r="45" spans="1:12" ht="18.75" customHeight="1">
      <c r="A45" s="192" t="s">
        <v>174</v>
      </c>
      <c r="B45" s="193"/>
      <c r="C45" s="194"/>
      <c r="D45" s="55" t="s">
        <v>131</v>
      </c>
      <c r="E45" s="163"/>
      <c r="F45" s="211"/>
      <c r="G45" s="68"/>
      <c r="H45" s="57"/>
      <c r="I45" s="56"/>
      <c r="J45" s="58"/>
      <c r="K45" s="59"/>
      <c r="L45" s="117"/>
    </row>
    <row r="46" spans="1:12" ht="18.75" customHeight="1">
      <c r="A46" s="180" t="s">
        <v>175</v>
      </c>
      <c r="B46" s="181"/>
      <c r="C46" s="182"/>
      <c r="D46" s="79"/>
      <c r="E46" s="121"/>
      <c r="F46" s="54"/>
      <c r="G46" s="68"/>
      <c r="H46" s="57"/>
      <c r="I46" s="56"/>
      <c r="J46" s="58"/>
      <c r="K46" s="59"/>
      <c r="L46" s="117"/>
    </row>
    <row r="47" spans="1:12" ht="18.75" customHeight="1">
      <c r="A47" s="1148" t="s">
        <v>176</v>
      </c>
      <c r="B47" s="1149"/>
      <c r="C47" s="1150"/>
      <c r="D47" s="71"/>
      <c r="E47" s="60"/>
      <c r="F47" s="60"/>
      <c r="G47" s="71"/>
      <c r="H47" s="72"/>
      <c r="I47" s="73"/>
      <c r="J47" s="74"/>
      <c r="K47" s="59"/>
      <c r="L47" s="117"/>
    </row>
    <row r="48" spans="1:12" ht="18.75" customHeight="1">
      <c r="A48" s="192" t="s">
        <v>163</v>
      </c>
      <c r="B48" s="175"/>
      <c r="C48" s="176"/>
      <c r="D48" s="55" t="s">
        <v>131</v>
      </c>
      <c r="E48" s="163"/>
      <c r="F48" s="211"/>
      <c r="G48" s="68"/>
      <c r="H48" s="57"/>
      <c r="I48" s="56"/>
      <c r="J48" s="58"/>
      <c r="K48" s="59"/>
      <c r="L48" s="117"/>
    </row>
    <row r="49" spans="1:12" ht="18.75" customHeight="1">
      <c r="A49" s="192" t="s">
        <v>177</v>
      </c>
      <c r="B49" s="175"/>
      <c r="C49" s="176"/>
      <c r="D49" s="55" t="s">
        <v>131</v>
      </c>
      <c r="E49" s="163"/>
      <c r="F49" s="211"/>
      <c r="G49" s="68"/>
      <c r="H49" s="57"/>
      <c r="I49" s="56"/>
      <c r="J49" s="58"/>
      <c r="K49" s="59"/>
      <c r="L49" s="117"/>
    </row>
    <row r="50" spans="1:12" ht="18.75" customHeight="1">
      <c r="A50" s="192" t="s">
        <v>165</v>
      </c>
      <c r="B50" s="175"/>
      <c r="C50" s="176"/>
      <c r="D50" s="55" t="s">
        <v>131</v>
      </c>
      <c r="E50" s="163"/>
      <c r="F50" s="211"/>
      <c r="G50" s="68"/>
      <c r="H50" s="57"/>
      <c r="I50" s="56"/>
      <c r="J50" s="58"/>
      <c r="K50" s="59"/>
      <c r="L50" s="117"/>
    </row>
    <row r="51" spans="1:12" ht="18.75" customHeight="1">
      <c r="A51" s="192" t="s">
        <v>178</v>
      </c>
      <c r="B51" s="175"/>
      <c r="C51" s="176"/>
      <c r="D51" s="55" t="s">
        <v>131</v>
      </c>
      <c r="E51" s="163"/>
      <c r="F51" s="211"/>
      <c r="G51" s="68"/>
      <c r="H51" s="57"/>
      <c r="I51" s="56"/>
      <c r="J51" s="58"/>
      <c r="K51" s="59"/>
      <c r="L51" s="117"/>
    </row>
    <row r="52" spans="1:12" ht="18.75" customHeight="1">
      <c r="A52" s="192" t="s">
        <v>167</v>
      </c>
      <c r="B52" s="175"/>
      <c r="C52" s="176"/>
      <c r="D52" s="55" t="s">
        <v>131</v>
      </c>
      <c r="E52" s="163"/>
      <c r="F52" s="211"/>
      <c r="G52" s="68"/>
      <c r="H52" s="57"/>
      <c r="I52" s="56"/>
      <c r="J52" s="58"/>
      <c r="K52" s="59"/>
      <c r="L52" s="117"/>
    </row>
    <row r="53" spans="1:12" ht="18.75" customHeight="1">
      <c r="A53" s="192" t="s">
        <v>179</v>
      </c>
      <c r="B53" s="175"/>
      <c r="C53" s="176"/>
      <c r="D53" s="55" t="s">
        <v>131</v>
      </c>
      <c r="E53" s="163"/>
      <c r="F53" s="211"/>
      <c r="G53" s="68"/>
      <c r="H53" s="57"/>
      <c r="I53" s="56"/>
      <c r="J53" s="58"/>
      <c r="K53" s="59"/>
      <c r="L53" s="117"/>
    </row>
    <row r="54" spans="1:12" ht="18.75" customHeight="1">
      <c r="A54" s="192" t="s">
        <v>180</v>
      </c>
      <c r="B54" s="175"/>
      <c r="C54" s="176"/>
      <c r="D54" s="55" t="s">
        <v>131</v>
      </c>
      <c r="E54" s="163"/>
      <c r="F54" s="211"/>
      <c r="G54" s="68"/>
      <c r="H54" s="57"/>
      <c r="I54" s="56"/>
      <c r="J54" s="58"/>
      <c r="K54" s="59"/>
      <c r="L54" s="117"/>
    </row>
    <row r="55" spans="1:12" ht="18.75" customHeight="1">
      <c r="A55" s="192" t="s">
        <v>181</v>
      </c>
      <c r="B55" s="175"/>
      <c r="C55" s="176"/>
      <c r="D55" s="55" t="s">
        <v>182</v>
      </c>
      <c r="E55" s="163"/>
      <c r="F55" s="211"/>
      <c r="G55" s="68"/>
      <c r="H55" s="57"/>
      <c r="I55" s="56"/>
      <c r="J55" s="58"/>
      <c r="K55" s="43"/>
      <c r="L55" s="117"/>
    </row>
    <row r="56" spans="1:12" ht="18.75" customHeight="1">
      <c r="A56" s="192" t="s">
        <v>171</v>
      </c>
      <c r="B56" s="175"/>
      <c r="C56" s="176"/>
      <c r="D56" s="55" t="s">
        <v>131</v>
      </c>
      <c r="E56" s="163"/>
      <c r="F56" s="211"/>
      <c r="G56" s="68"/>
      <c r="H56" s="57"/>
      <c r="I56" s="56"/>
      <c r="J56" s="58"/>
      <c r="K56" s="59"/>
      <c r="L56" s="117"/>
    </row>
    <row r="57" spans="1:12" ht="18.75" customHeight="1">
      <c r="A57" s="192" t="s">
        <v>183</v>
      </c>
      <c r="B57" s="175"/>
      <c r="C57" s="176"/>
      <c r="D57" s="55" t="s">
        <v>131</v>
      </c>
      <c r="E57" s="163"/>
      <c r="F57" s="211"/>
      <c r="G57" s="68"/>
      <c r="H57" s="57"/>
      <c r="I57" s="56"/>
      <c r="J57" s="58"/>
      <c r="K57" s="59"/>
      <c r="L57" s="117"/>
    </row>
    <row r="58" spans="1:12" ht="18.75" customHeight="1">
      <c r="A58" s="180" t="s">
        <v>175</v>
      </c>
      <c r="B58" s="181"/>
      <c r="C58" s="182"/>
      <c r="D58" s="54"/>
      <c r="E58" s="121"/>
      <c r="F58" s="54"/>
      <c r="G58" s="68"/>
      <c r="H58" s="57"/>
      <c r="I58" s="56"/>
      <c r="J58" s="58"/>
      <c r="K58" s="59"/>
      <c r="L58" s="117"/>
    </row>
    <row r="59" spans="1:12" ht="18.75" customHeight="1">
      <c r="A59" s="190"/>
      <c r="B59" s="190"/>
      <c r="C59" s="190"/>
      <c r="D59" s="54" t="s">
        <v>184</v>
      </c>
      <c r="E59" s="54"/>
      <c r="F59" s="54"/>
      <c r="G59" s="68"/>
      <c r="H59" s="57"/>
      <c r="I59" s="56"/>
      <c r="J59" s="58"/>
      <c r="K59" s="59"/>
      <c r="L59" s="117"/>
    </row>
    <row r="60" spans="1:12" ht="18.75" customHeight="1">
      <c r="A60" s="98" t="s">
        <v>185</v>
      </c>
      <c r="B60" s="99"/>
      <c r="C60" s="100"/>
      <c r="D60" s="101"/>
      <c r="E60" s="230"/>
      <c r="F60" s="231"/>
      <c r="G60" s="152"/>
      <c r="H60" s="102"/>
      <c r="I60" s="210"/>
      <c r="J60" s="104"/>
      <c r="K60" s="59"/>
      <c r="L60" s="117"/>
    </row>
    <row r="61" spans="1:12" ht="18.75" customHeight="1">
      <c r="A61" s="243" t="s">
        <v>97</v>
      </c>
      <c r="B61" s="244"/>
      <c r="C61" s="245"/>
      <c r="D61" s="54" t="s">
        <v>186</v>
      </c>
      <c r="E61" s="202"/>
      <c r="F61" s="202"/>
      <c r="G61" s="68"/>
      <c r="H61" s="79"/>
      <c r="I61" s="201"/>
      <c r="J61" s="204"/>
      <c r="K61" s="59"/>
      <c r="L61" s="117"/>
    </row>
    <row r="62" spans="1:12" ht="18.75" customHeight="1">
      <c r="A62" s="243" t="s">
        <v>187</v>
      </c>
      <c r="B62" s="244"/>
      <c r="C62" s="245"/>
      <c r="D62" s="54" t="s">
        <v>186</v>
      </c>
      <c r="E62" s="202"/>
      <c r="F62" s="202"/>
      <c r="G62" s="68"/>
      <c r="H62" s="79"/>
      <c r="I62" s="201"/>
      <c r="J62" s="204"/>
      <c r="K62" s="59"/>
      <c r="L62" s="117"/>
    </row>
    <row r="63" spans="1:12" ht="18.75" customHeight="1">
      <c r="A63" s="1716" t="s">
        <v>98</v>
      </c>
      <c r="B63" s="1717"/>
      <c r="C63" s="1718"/>
      <c r="D63" s="55" t="s">
        <v>186</v>
      </c>
      <c r="E63" s="202"/>
      <c r="F63" s="82"/>
      <c r="G63" s="68"/>
      <c r="H63" s="79"/>
      <c r="I63" s="69"/>
      <c r="J63" s="157"/>
      <c r="K63" s="59"/>
      <c r="L63" s="117"/>
    </row>
    <row r="64" spans="1:12" ht="18.75" customHeight="1">
      <c r="A64" s="1716" t="s">
        <v>99</v>
      </c>
      <c r="B64" s="1717"/>
      <c r="C64" s="1718"/>
      <c r="D64" s="55" t="s">
        <v>186</v>
      </c>
      <c r="E64" s="202"/>
      <c r="F64" s="82"/>
      <c r="G64" s="68"/>
      <c r="H64" s="79"/>
      <c r="I64" s="80"/>
      <c r="J64" s="157"/>
      <c r="K64" s="59"/>
      <c r="L64" s="117"/>
    </row>
    <row r="65" spans="1:12" ht="18.75" customHeight="1">
      <c r="A65" s="1716" t="s">
        <v>100</v>
      </c>
      <c r="B65" s="1717"/>
      <c r="C65" s="1718"/>
      <c r="D65" s="55" t="s">
        <v>186</v>
      </c>
      <c r="E65" s="202"/>
      <c r="F65" s="82"/>
      <c r="G65" s="68"/>
      <c r="H65" s="79"/>
      <c r="I65" s="69"/>
      <c r="J65" s="157"/>
      <c r="K65" s="59"/>
      <c r="L65" s="117"/>
    </row>
    <row r="66" spans="1:12" ht="18.75" customHeight="1">
      <c r="A66" s="1716" t="s">
        <v>101</v>
      </c>
      <c r="B66" s="1717"/>
      <c r="C66" s="1718"/>
      <c r="D66" s="55" t="s">
        <v>186</v>
      </c>
      <c r="E66" s="202"/>
      <c r="F66" s="82"/>
      <c r="G66" s="68"/>
      <c r="H66" s="79"/>
      <c r="I66" s="80"/>
      <c r="J66" s="157"/>
      <c r="K66" s="75"/>
      <c r="L66" s="117"/>
    </row>
    <row r="67" spans="1:12" ht="18.75" customHeight="1">
      <c r="A67" s="1716" t="s">
        <v>102</v>
      </c>
      <c r="B67" s="1717"/>
      <c r="C67" s="1718"/>
      <c r="D67" s="55" t="s">
        <v>186</v>
      </c>
      <c r="E67" s="202"/>
      <c r="F67" s="82"/>
      <c r="G67" s="68"/>
      <c r="H67" s="79"/>
      <c r="I67" s="105"/>
      <c r="J67" s="157"/>
      <c r="K67" s="83"/>
      <c r="L67" s="117"/>
    </row>
    <row r="68" spans="1:12" ht="18.75" customHeight="1">
      <c r="A68" s="1716" t="s">
        <v>103</v>
      </c>
      <c r="B68" s="1717"/>
      <c r="C68" s="1718"/>
      <c r="D68" s="55" t="s">
        <v>186</v>
      </c>
      <c r="E68" s="202"/>
      <c r="F68" s="82"/>
      <c r="G68" s="68"/>
      <c r="H68" s="79"/>
      <c r="I68" s="105"/>
      <c r="J68" s="157"/>
      <c r="K68" s="85"/>
      <c r="L68" s="117"/>
    </row>
    <row r="69" spans="1:12" ht="18.75" customHeight="1">
      <c r="A69" s="106" t="s">
        <v>189</v>
      </c>
      <c r="B69" s="107"/>
      <c r="C69" s="107"/>
      <c r="D69" s="174"/>
      <c r="E69" s="108"/>
      <c r="F69" s="108"/>
      <c r="G69" s="109"/>
      <c r="H69" s="102"/>
      <c r="I69" s="103"/>
      <c r="J69" s="199"/>
      <c r="K69" s="83"/>
      <c r="L69" s="117"/>
    </row>
    <row r="70" spans="1:12" ht="18.75" customHeight="1">
      <c r="A70" s="1716" t="s">
        <v>190</v>
      </c>
      <c r="B70" s="1717"/>
      <c r="C70" s="1718"/>
      <c r="D70" s="55" t="s">
        <v>186</v>
      </c>
      <c r="E70" s="110"/>
      <c r="F70" s="110"/>
      <c r="G70" s="68"/>
      <c r="H70" s="57"/>
      <c r="I70" s="69"/>
      <c r="J70" s="157"/>
      <c r="K70" s="85"/>
      <c r="L70" s="117"/>
    </row>
    <row r="71" spans="1:12" ht="18.75" customHeight="1">
      <c r="A71" s="1716" t="s">
        <v>191</v>
      </c>
      <c r="B71" s="1717"/>
      <c r="C71" s="1718"/>
      <c r="D71" s="55" t="s">
        <v>186</v>
      </c>
      <c r="E71" s="110"/>
      <c r="F71" s="110"/>
      <c r="G71" s="68"/>
      <c r="H71" s="57"/>
      <c r="I71" s="69"/>
      <c r="J71" s="157"/>
      <c r="K71" s="83"/>
      <c r="L71" s="117"/>
    </row>
    <row r="72" spans="1:12" ht="18.75" customHeight="1">
      <c r="A72" s="1716" t="s">
        <v>192</v>
      </c>
      <c r="B72" s="1717"/>
      <c r="C72" s="1718"/>
      <c r="D72" s="55" t="s">
        <v>186</v>
      </c>
      <c r="E72" s="110"/>
      <c r="F72" s="110"/>
      <c r="G72" s="68"/>
      <c r="H72" s="57"/>
      <c r="I72" s="69"/>
      <c r="J72" s="157"/>
      <c r="K72" s="85"/>
      <c r="L72" s="117"/>
    </row>
    <row r="73" spans="1:12" ht="18.75" customHeight="1">
      <c r="A73" s="1719" t="s">
        <v>193</v>
      </c>
      <c r="B73" s="1720"/>
      <c r="C73" s="1721"/>
      <c r="D73" s="55" t="s">
        <v>186</v>
      </c>
      <c r="E73" s="110"/>
      <c r="F73" s="110"/>
      <c r="G73" s="68"/>
      <c r="H73" s="57"/>
      <c r="I73" s="69"/>
      <c r="J73" s="157"/>
      <c r="K73" s="83"/>
      <c r="L73" s="117"/>
    </row>
    <row r="74" spans="1:12" ht="18.75" customHeight="1">
      <c r="A74" s="1719" t="s">
        <v>194</v>
      </c>
      <c r="B74" s="1720"/>
      <c r="C74" s="1721"/>
      <c r="D74" s="55" t="s">
        <v>186</v>
      </c>
      <c r="E74" s="110"/>
      <c r="F74" s="110"/>
      <c r="G74" s="124"/>
      <c r="H74" s="57"/>
      <c r="I74" s="112"/>
      <c r="J74" s="157"/>
      <c r="K74" s="83"/>
      <c r="L74" s="117"/>
    </row>
    <row r="75" spans="1:12" ht="18.75" customHeight="1">
      <c r="A75" s="1716" t="s">
        <v>195</v>
      </c>
      <c r="B75" s="1717"/>
      <c r="C75" s="1718"/>
      <c r="D75" s="55" t="s">
        <v>186</v>
      </c>
      <c r="E75" s="110"/>
      <c r="F75" s="110"/>
      <c r="G75" s="124"/>
      <c r="H75" s="57"/>
      <c r="I75" s="112"/>
      <c r="J75" s="157"/>
      <c r="K75" s="83"/>
      <c r="L75" s="117"/>
    </row>
    <row r="76" spans="1:12" ht="18.75" customHeight="1">
      <c r="A76" s="1734" t="s">
        <v>91</v>
      </c>
      <c r="B76" s="1735"/>
      <c r="C76" s="1736"/>
      <c r="D76" s="81" t="s">
        <v>186</v>
      </c>
      <c r="E76" s="110"/>
      <c r="F76" s="110"/>
      <c r="G76" s="124"/>
      <c r="H76" s="57"/>
      <c r="I76" s="112"/>
      <c r="J76" s="157"/>
      <c r="K76" s="83"/>
      <c r="L76" s="117"/>
    </row>
    <row r="77" spans="1:12" ht="18.75" customHeight="1">
      <c r="A77" s="1734" t="s">
        <v>197</v>
      </c>
      <c r="B77" s="1735"/>
      <c r="C77" s="1736"/>
      <c r="D77" s="81" t="s">
        <v>186</v>
      </c>
      <c r="E77" s="110"/>
      <c r="F77" s="110"/>
      <c r="G77" s="124"/>
      <c r="H77" s="57"/>
      <c r="I77" s="112"/>
      <c r="J77" s="157"/>
      <c r="K77" s="83"/>
      <c r="L77" s="117"/>
    </row>
    <row r="78" spans="1:12" ht="18.75" customHeight="1">
      <c r="A78" s="1734" t="s">
        <v>198</v>
      </c>
      <c r="B78" s="1735"/>
      <c r="C78" s="1736"/>
      <c r="D78" s="81" t="s">
        <v>186</v>
      </c>
      <c r="E78" s="110"/>
      <c r="F78" s="110"/>
      <c r="G78" s="124"/>
      <c r="H78" s="57"/>
      <c r="I78" s="112"/>
      <c r="J78" s="157"/>
      <c r="K78" s="83"/>
      <c r="L78" s="117"/>
    </row>
    <row r="79" spans="1:12" ht="18.75" customHeight="1">
      <c r="A79" s="1737" t="s">
        <v>92</v>
      </c>
      <c r="B79" s="1735"/>
      <c r="C79" s="1736"/>
      <c r="D79" s="207" t="s">
        <v>131</v>
      </c>
      <c r="E79" s="110"/>
      <c r="F79" s="196"/>
      <c r="G79" s="196"/>
      <c r="H79" s="205"/>
      <c r="I79" s="206"/>
      <c r="J79" s="200"/>
      <c r="K79" s="83"/>
      <c r="L79" s="117"/>
    </row>
    <row r="80" spans="1:12" ht="18.75" customHeight="1">
      <c r="A80" s="1737" t="s">
        <v>199</v>
      </c>
      <c r="B80" s="1735"/>
      <c r="C80" s="1736"/>
      <c r="D80" s="208" t="s">
        <v>131</v>
      </c>
      <c r="E80" s="110"/>
      <c r="F80" s="54"/>
      <c r="G80" s="202"/>
      <c r="H80" s="202"/>
      <c r="I80" s="68"/>
      <c r="J80" s="79"/>
      <c r="K80" s="75"/>
      <c r="L80" s="117"/>
    </row>
    <row r="81" spans="1:12" ht="18.75" customHeight="1">
      <c r="A81" s="1737" t="s">
        <v>286</v>
      </c>
      <c r="B81" s="1735"/>
      <c r="C81" s="1736"/>
      <c r="D81" s="209" t="s">
        <v>131</v>
      </c>
      <c r="E81" s="110"/>
      <c r="F81" s="55"/>
      <c r="G81" s="202"/>
      <c r="H81" s="202"/>
      <c r="I81" s="68"/>
      <c r="J81" s="57"/>
      <c r="K81" s="88"/>
      <c r="L81" s="117"/>
    </row>
    <row r="82" spans="1:12" s="38" customFormat="1" ht="18.75" customHeight="1">
      <c r="A82" s="113" t="s">
        <v>201</v>
      </c>
      <c r="B82" s="154"/>
      <c r="C82" s="89"/>
      <c r="D82" s="89"/>
      <c r="E82" s="55"/>
      <c r="F82" s="55"/>
      <c r="G82" s="56"/>
      <c r="H82" s="82"/>
      <c r="I82" s="68"/>
      <c r="J82" s="57"/>
      <c r="K82" s="88"/>
      <c r="L82" s="44"/>
    </row>
    <row r="83" spans="1:12" s="38" customFormat="1" ht="18.75" customHeight="1">
      <c r="A83" s="177" t="s">
        <v>204</v>
      </c>
      <c r="B83" s="178"/>
      <c r="C83" s="179"/>
      <c r="D83" s="71"/>
      <c r="E83" s="71"/>
      <c r="F83" s="71"/>
      <c r="G83" s="122"/>
      <c r="H83" s="72"/>
      <c r="I83" s="73"/>
      <c r="J83" s="123"/>
      <c r="K83" s="88"/>
      <c r="L83" s="44"/>
    </row>
    <row r="84" spans="1:12" ht="18.75" customHeight="1">
      <c r="A84" s="1728" t="s">
        <v>206</v>
      </c>
      <c r="B84" s="1729"/>
      <c r="C84" s="1730"/>
      <c r="D84" s="55" t="s">
        <v>143</v>
      </c>
      <c r="E84" s="56"/>
      <c r="F84" s="82"/>
      <c r="G84" s="124"/>
      <c r="H84" s="57"/>
      <c r="I84" s="69"/>
      <c r="J84" s="58"/>
      <c r="K84" s="75"/>
      <c r="L84" s="117"/>
    </row>
    <row r="85" spans="1:12" ht="18.75" customHeight="1">
      <c r="A85" s="1728" t="s">
        <v>208</v>
      </c>
      <c r="B85" s="1729"/>
      <c r="C85" s="1730"/>
      <c r="D85" s="55" t="s">
        <v>143</v>
      </c>
      <c r="E85" s="56"/>
      <c r="F85" s="82"/>
      <c r="G85" s="124"/>
      <c r="H85" s="57"/>
      <c r="I85" s="69"/>
      <c r="J85" s="58"/>
      <c r="K85" s="88"/>
      <c r="L85" s="117"/>
    </row>
    <row r="86" spans="1:12" ht="18.75" customHeight="1">
      <c r="A86" s="1728" t="s">
        <v>209</v>
      </c>
      <c r="B86" s="1729"/>
      <c r="C86" s="1730"/>
      <c r="D86" s="55" t="s">
        <v>143</v>
      </c>
      <c r="E86" s="56"/>
      <c r="F86" s="82"/>
      <c r="G86" s="124"/>
      <c r="H86" s="57"/>
      <c r="I86" s="69"/>
      <c r="J86" s="58"/>
      <c r="K86" s="88"/>
      <c r="L86" s="117"/>
    </row>
    <row r="87" spans="1:12" ht="18.75" customHeight="1">
      <c r="A87" s="1728" t="s">
        <v>210</v>
      </c>
      <c r="B87" s="1729"/>
      <c r="C87" s="1730"/>
      <c r="D87" s="55" t="s">
        <v>143</v>
      </c>
      <c r="E87" s="56"/>
      <c r="F87" s="82"/>
      <c r="G87" s="124"/>
      <c r="H87" s="57"/>
      <c r="I87" s="69"/>
      <c r="J87" s="58"/>
      <c r="K87" s="88"/>
      <c r="L87" s="117"/>
    </row>
    <row r="88" spans="1:12" ht="18.75" customHeight="1">
      <c r="A88" s="1728" t="s">
        <v>211</v>
      </c>
      <c r="B88" s="1729"/>
      <c r="C88" s="1730"/>
      <c r="D88" s="55" t="s">
        <v>143</v>
      </c>
      <c r="E88" s="56"/>
      <c r="F88" s="82"/>
      <c r="G88" s="124"/>
      <c r="H88" s="57"/>
      <c r="I88" s="69"/>
      <c r="J88" s="58"/>
      <c r="K88" s="43"/>
      <c r="L88" s="117"/>
    </row>
    <row r="89" spans="1:12" ht="18.75" customHeight="1">
      <c r="A89" s="1728" t="s">
        <v>212</v>
      </c>
      <c r="B89" s="1729"/>
      <c r="C89" s="1730"/>
      <c r="D89" s="55" t="s">
        <v>143</v>
      </c>
      <c r="E89" s="56"/>
      <c r="F89" s="82"/>
      <c r="G89" s="124"/>
      <c r="H89" s="57"/>
      <c r="I89" s="69"/>
      <c r="J89" s="58"/>
      <c r="K89" s="51"/>
      <c r="L89" s="117"/>
    </row>
    <row r="90" spans="1:12" ht="18.75" customHeight="1">
      <c r="A90" s="1728" t="s">
        <v>213</v>
      </c>
      <c r="B90" s="1729"/>
      <c r="C90" s="1730"/>
      <c r="D90" s="55" t="s">
        <v>143</v>
      </c>
      <c r="E90" s="56"/>
      <c r="F90" s="82"/>
      <c r="G90" s="124"/>
      <c r="H90" s="57"/>
      <c r="I90" s="69"/>
      <c r="J90" s="58"/>
      <c r="K90" s="88"/>
      <c r="L90" s="117"/>
    </row>
    <row r="91" spans="1:12" ht="18.75" customHeight="1">
      <c r="A91" s="1728" t="s">
        <v>218</v>
      </c>
      <c r="B91" s="1729"/>
      <c r="C91" s="1730"/>
      <c r="D91" s="55" t="s">
        <v>143</v>
      </c>
      <c r="E91" s="56"/>
      <c r="F91" s="82"/>
      <c r="G91" s="124"/>
      <c r="H91" s="57"/>
      <c r="I91" s="69"/>
      <c r="J91" s="198"/>
      <c r="K91" s="88"/>
      <c r="L91" s="117"/>
    </row>
    <row r="92" spans="1:12" ht="18.75" customHeight="1">
      <c r="A92" s="1728" t="s">
        <v>76</v>
      </c>
      <c r="B92" s="1729"/>
      <c r="C92" s="1730"/>
      <c r="D92" s="55" t="s">
        <v>143</v>
      </c>
      <c r="E92" s="56"/>
      <c r="F92" s="82"/>
      <c r="G92" s="124"/>
      <c r="H92" s="57"/>
      <c r="I92" s="69"/>
      <c r="J92" s="198"/>
      <c r="K92" s="88"/>
      <c r="L92" s="117"/>
    </row>
    <row r="93" spans="1:12" ht="18.75" customHeight="1">
      <c r="A93" s="1728" t="s">
        <v>77</v>
      </c>
      <c r="B93" s="1729"/>
      <c r="C93" s="1730"/>
      <c r="D93" s="55" t="s">
        <v>143</v>
      </c>
      <c r="E93" s="56"/>
      <c r="F93" s="82"/>
      <c r="G93" s="124"/>
      <c r="H93" s="57"/>
      <c r="I93" s="69"/>
      <c r="J93" s="198"/>
      <c r="K93" s="88"/>
      <c r="L93" s="117"/>
    </row>
    <row r="94" spans="1:12" ht="18.75" customHeight="1">
      <c r="A94" s="1728" t="s">
        <v>205</v>
      </c>
      <c r="B94" s="1729"/>
      <c r="C94" s="1730"/>
      <c r="D94" s="55" t="s">
        <v>143</v>
      </c>
      <c r="E94" s="56"/>
      <c r="F94" s="82"/>
      <c r="G94" s="124"/>
      <c r="H94" s="57"/>
      <c r="I94" s="69"/>
      <c r="J94" s="58"/>
      <c r="K94" s="88"/>
      <c r="L94" s="117"/>
    </row>
    <row r="95" spans="1:12" ht="18.75" customHeight="1">
      <c r="A95" s="1738" t="s">
        <v>229</v>
      </c>
      <c r="B95" s="1739"/>
      <c r="C95" s="1740"/>
      <c r="D95" s="71"/>
      <c r="E95" s="71"/>
      <c r="F95" s="71"/>
      <c r="G95" s="128"/>
      <c r="H95" s="72"/>
      <c r="I95" s="73"/>
      <c r="J95" s="74"/>
      <c r="K95" s="88"/>
      <c r="L95" s="117"/>
    </row>
    <row r="96" spans="1:12" ht="18.75" customHeight="1">
      <c r="A96" s="186" t="s">
        <v>230</v>
      </c>
      <c r="B96" s="187"/>
      <c r="C96" s="188"/>
      <c r="D96" s="137" t="s">
        <v>140</v>
      </c>
      <c r="E96" s="161"/>
      <c r="F96" s="138"/>
      <c r="G96" s="139"/>
      <c r="H96" s="162"/>
      <c r="I96" s="140"/>
      <c r="J96" s="141"/>
      <c r="K96" s="88"/>
      <c r="L96" s="117"/>
    </row>
    <row r="97" spans="1:12" ht="18.75" customHeight="1">
      <c r="A97" s="89" t="s">
        <v>232</v>
      </c>
      <c r="B97" s="1133"/>
      <c r="C97" s="1134"/>
      <c r="D97" s="55" t="s">
        <v>140</v>
      </c>
      <c r="E97" s="56"/>
      <c r="F97" s="67"/>
      <c r="G97" s="68"/>
      <c r="H97" s="57"/>
      <c r="I97" s="87"/>
      <c r="J97" s="58"/>
      <c r="K97" s="88"/>
      <c r="L97" s="117"/>
    </row>
    <row r="98" spans="1:12" ht="18.75" customHeight="1">
      <c r="A98" s="1714" t="s">
        <v>249</v>
      </c>
      <c r="B98" s="1715"/>
      <c r="C98" s="71"/>
      <c r="D98" s="71"/>
      <c r="E98" s="71"/>
      <c r="F98" s="71"/>
      <c r="G98" s="128"/>
      <c r="H98" s="72"/>
      <c r="I98" s="73"/>
      <c r="J98" s="74"/>
      <c r="K98" s="88"/>
      <c r="L98" s="117"/>
    </row>
    <row r="99" spans="1:12" ht="18.75" customHeight="1">
      <c r="A99" s="1728" t="s">
        <v>250</v>
      </c>
      <c r="B99" s="1729"/>
      <c r="C99" s="1730"/>
      <c r="D99" s="55" t="s">
        <v>131</v>
      </c>
      <c r="E99" s="55"/>
      <c r="F99" s="55"/>
      <c r="G99" s="129"/>
      <c r="H99" s="57"/>
      <c r="I99" s="69"/>
      <c r="J99" s="58"/>
      <c r="K99" s="88"/>
      <c r="L99" s="117"/>
    </row>
    <row r="100" spans="1:12" ht="18.75" customHeight="1">
      <c r="A100" s="1728" t="s">
        <v>251</v>
      </c>
      <c r="B100" s="1729"/>
      <c r="C100" s="1730"/>
      <c r="D100" s="55" t="s">
        <v>24</v>
      </c>
      <c r="E100" s="54"/>
      <c r="F100" s="54"/>
      <c r="G100" s="130"/>
      <c r="H100" s="57"/>
      <c r="I100" s="84"/>
      <c r="J100" s="58"/>
      <c r="K100" s="88"/>
      <c r="L100" s="117"/>
    </row>
    <row r="101" spans="1:12" ht="18.75" customHeight="1">
      <c r="A101" s="1728" t="s">
        <v>252</v>
      </c>
      <c r="B101" s="1729"/>
      <c r="C101" s="1730"/>
      <c r="D101" s="55" t="s">
        <v>131</v>
      </c>
      <c r="E101" s="70"/>
      <c r="F101" s="70"/>
      <c r="G101" s="129"/>
      <c r="H101" s="57"/>
      <c r="I101" s="69"/>
      <c r="J101" s="58"/>
      <c r="K101" s="88"/>
      <c r="L101" s="117"/>
    </row>
    <row r="102" spans="1:12" ht="18.75" customHeight="1">
      <c r="A102" s="1728" t="s">
        <v>253</v>
      </c>
      <c r="B102" s="1729"/>
      <c r="C102" s="1730"/>
      <c r="D102" s="55" t="s">
        <v>24</v>
      </c>
      <c r="E102" s="70"/>
      <c r="F102" s="70"/>
      <c r="G102" s="130"/>
      <c r="H102" s="57"/>
      <c r="I102" s="84"/>
      <c r="J102" s="58"/>
      <c r="K102" s="111"/>
      <c r="L102" s="117"/>
    </row>
    <row r="103" spans="1:12" ht="18.75" customHeight="1">
      <c r="A103" s="1728" t="s">
        <v>254</v>
      </c>
      <c r="B103" s="1729"/>
      <c r="C103" s="1730"/>
      <c r="D103" s="55" t="s">
        <v>131</v>
      </c>
      <c r="E103" s="70"/>
      <c r="F103" s="70"/>
      <c r="G103" s="129"/>
      <c r="H103" s="57"/>
      <c r="I103" s="69"/>
      <c r="J103" s="58"/>
      <c r="K103" s="111"/>
      <c r="L103" s="117"/>
    </row>
    <row r="104" spans="1:12" ht="18.75" customHeight="1">
      <c r="A104" s="1728" t="s">
        <v>255</v>
      </c>
      <c r="B104" s="1729"/>
      <c r="C104" s="1730"/>
      <c r="D104" s="55" t="s">
        <v>24</v>
      </c>
      <c r="E104" s="70"/>
      <c r="F104" s="70"/>
      <c r="G104" s="130"/>
      <c r="H104" s="57"/>
      <c r="I104" s="84"/>
      <c r="J104" s="58"/>
      <c r="K104" s="111"/>
      <c r="L104" s="117"/>
    </row>
    <row r="105" spans="1:12" ht="18.75" customHeight="1">
      <c r="A105" s="1728" t="s">
        <v>256</v>
      </c>
      <c r="B105" s="1729"/>
      <c r="C105" s="1730"/>
      <c r="D105" s="55" t="s">
        <v>182</v>
      </c>
      <c r="E105" s="70"/>
      <c r="F105" s="70"/>
      <c r="G105" s="129"/>
      <c r="H105" s="57"/>
      <c r="I105" s="86"/>
      <c r="J105" s="58"/>
      <c r="K105" s="111"/>
      <c r="L105" s="117"/>
    </row>
    <row r="106" spans="1:12" ht="18.75" customHeight="1">
      <c r="A106" s="1728" t="s">
        <v>257</v>
      </c>
      <c r="B106" s="1729"/>
      <c r="C106" s="1730"/>
      <c r="D106" s="55" t="s">
        <v>24</v>
      </c>
      <c r="E106" s="70"/>
      <c r="F106" s="70"/>
      <c r="G106" s="130"/>
      <c r="H106" s="57"/>
      <c r="I106" s="86"/>
      <c r="J106" s="58"/>
    </row>
    <row r="107" spans="1:12" ht="18.75" customHeight="1">
      <c r="A107" s="1728" t="s">
        <v>258</v>
      </c>
      <c r="B107" s="1729"/>
      <c r="C107" s="1730"/>
      <c r="D107" s="55" t="s">
        <v>182</v>
      </c>
      <c r="E107" s="70"/>
      <c r="F107" s="70"/>
      <c r="G107" s="131"/>
      <c r="H107" s="57"/>
      <c r="I107" s="69"/>
      <c r="J107" s="58"/>
      <c r="K107" s="153"/>
    </row>
    <row r="108" spans="1:12" ht="18.75" customHeight="1">
      <c r="A108" s="1728" t="s">
        <v>259</v>
      </c>
      <c r="B108" s="1729"/>
      <c r="C108" s="1730"/>
      <c r="D108" s="55" t="s">
        <v>24</v>
      </c>
      <c r="E108" s="70"/>
      <c r="F108" s="70"/>
      <c r="G108" s="131"/>
      <c r="H108" s="57"/>
      <c r="I108" s="86"/>
      <c r="J108" s="58"/>
    </row>
    <row r="109" spans="1:12" ht="18.75" customHeight="1">
      <c r="A109" s="1728" t="s">
        <v>260</v>
      </c>
      <c r="B109" s="1729"/>
      <c r="C109" s="1730"/>
      <c r="D109" s="55" t="s">
        <v>182</v>
      </c>
      <c r="E109" s="70"/>
      <c r="F109" s="70"/>
      <c r="G109" s="132"/>
      <c r="H109" s="57"/>
      <c r="I109" s="86"/>
      <c r="J109" s="58"/>
    </row>
    <row r="110" spans="1:12" ht="18.75" customHeight="1">
      <c r="A110" s="1728" t="s">
        <v>261</v>
      </c>
      <c r="B110" s="1729"/>
      <c r="C110" s="1730"/>
      <c r="D110" s="55" t="s">
        <v>24</v>
      </c>
      <c r="E110" s="70"/>
      <c r="F110" s="70"/>
      <c r="G110" s="131"/>
      <c r="H110" s="57"/>
      <c r="I110" s="69"/>
      <c r="J110" s="58"/>
    </row>
    <row r="111" spans="1:12" ht="18.75" customHeight="1">
      <c r="A111" s="173" t="s">
        <v>236</v>
      </c>
      <c r="B111" s="173"/>
      <c r="C111" s="173"/>
      <c r="D111" s="60"/>
      <c r="E111" s="60"/>
      <c r="F111" s="60"/>
      <c r="G111" s="126"/>
      <c r="H111" s="61"/>
      <c r="I111" s="127">
        <f>I110-J110</f>
        <v>0</v>
      </c>
      <c r="J111" s="63"/>
    </row>
    <row r="112" spans="1:12" ht="18.75" customHeight="1">
      <c r="A112" s="197" t="s">
        <v>237</v>
      </c>
      <c r="B112" s="197"/>
      <c r="C112" s="197"/>
      <c r="D112" s="55" t="s">
        <v>238</v>
      </c>
      <c r="E112" s="56"/>
      <c r="F112" s="82"/>
      <c r="G112" s="124"/>
      <c r="H112" s="57"/>
      <c r="I112" s="69"/>
      <c r="J112" s="58"/>
    </row>
    <row r="113" spans="1:10" ht="18.75" customHeight="1">
      <c r="A113" s="197" t="s">
        <v>239</v>
      </c>
      <c r="B113" s="197"/>
      <c r="C113" s="197"/>
      <c r="D113" s="55" t="s">
        <v>238</v>
      </c>
      <c r="E113" s="56"/>
      <c r="F113" s="82"/>
      <c r="G113" s="124"/>
      <c r="H113" s="57"/>
      <c r="I113" s="69"/>
      <c r="J113" s="58"/>
    </row>
    <row r="114" spans="1:10" ht="18.75" customHeight="1">
      <c r="A114" s="197" t="s">
        <v>240</v>
      </c>
      <c r="B114" s="197"/>
      <c r="C114" s="197"/>
      <c r="D114" s="55" t="s">
        <v>238</v>
      </c>
      <c r="E114" s="56"/>
      <c r="F114" s="82"/>
      <c r="G114" s="124"/>
      <c r="H114" s="57"/>
      <c r="I114" s="69"/>
      <c r="J114" s="58"/>
    </row>
    <row r="115" spans="1:10" ht="18.75" customHeight="1">
      <c r="A115" s="197" t="s">
        <v>241</v>
      </c>
      <c r="B115" s="197"/>
      <c r="C115" s="197"/>
      <c r="D115" s="55" t="s">
        <v>238</v>
      </c>
      <c r="E115" s="56"/>
      <c r="F115" s="82"/>
      <c r="G115" s="124"/>
      <c r="H115" s="57"/>
      <c r="I115" s="69"/>
      <c r="J115" s="58"/>
    </row>
    <row r="116" spans="1:10" ht="18.75" customHeight="1">
      <c r="A116" s="197" t="s">
        <v>242</v>
      </c>
      <c r="B116" s="197"/>
      <c r="C116" s="197"/>
      <c r="D116" s="55" t="s">
        <v>238</v>
      </c>
      <c r="E116" s="56"/>
      <c r="F116" s="82"/>
      <c r="G116" s="124"/>
      <c r="H116" s="57"/>
      <c r="I116" s="69"/>
      <c r="J116" s="58"/>
    </row>
    <row r="117" spans="1:10" ht="18.75" customHeight="1">
      <c r="A117" s="197" t="s">
        <v>243</v>
      </c>
      <c r="B117" s="197"/>
      <c r="C117" s="197"/>
      <c r="D117" s="55" t="s">
        <v>238</v>
      </c>
      <c r="E117" s="56"/>
      <c r="F117" s="82"/>
      <c r="G117" s="124"/>
      <c r="H117" s="57"/>
      <c r="I117" s="69"/>
      <c r="J117" s="58"/>
    </row>
    <row r="118" spans="1:10" ht="18.75" customHeight="1">
      <c r="A118" s="197" t="s">
        <v>244</v>
      </c>
      <c r="B118" s="197"/>
      <c r="C118" s="197"/>
      <c r="D118" s="55" t="s">
        <v>238</v>
      </c>
      <c r="E118" s="56"/>
      <c r="F118" s="82"/>
      <c r="G118" s="124"/>
      <c r="H118" s="57"/>
      <c r="I118" s="69"/>
      <c r="J118" s="58"/>
    </row>
    <row r="119" spans="1:10" ht="18.75" customHeight="1">
      <c r="A119" s="197" t="s">
        <v>245</v>
      </c>
      <c r="B119" s="197"/>
      <c r="C119" s="197"/>
      <c r="D119" s="55" t="s">
        <v>238</v>
      </c>
      <c r="E119" s="56"/>
      <c r="F119" s="82"/>
      <c r="G119" s="124"/>
      <c r="H119" s="57"/>
      <c r="I119" s="69"/>
      <c r="J119" s="58"/>
    </row>
    <row r="120" spans="1:10" ht="18.75" customHeight="1">
      <c r="A120" s="197" t="s">
        <v>246</v>
      </c>
      <c r="B120" s="197"/>
      <c r="C120" s="197"/>
      <c r="D120" s="55" t="s">
        <v>238</v>
      </c>
      <c r="E120" s="56"/>
      <c r="F120" s="82"/>
      <c r="G120" s="124"/>
      <c r="H120" s="57"/>
      <c r="I120" s="69"/>
      <c r="J120" s="58"/>
    </row>
    <row r="121" spans="1:10" ht="18.75" customHeight="1">
      <c r="A121" s="197" t="s">
        <v>247</v>
      </c>
      <c r="B121" s="197"/>
      <c r="C121" s="197"/>
      <c r="D121" s="55" t="s">
        <v>238</v>
      </c>
      <c r="E121" s="56"/>
      <c r="F121" s="82"/>
      <c r="G121" s="124"/>
      <c r="H121" s="57"/>
      <c r="I121" s="69"/>
      <c r="J121" s="58"/>
    </row>
    <row r="122" spans="1:10" ht="18.75" customHeight="1">
      <c r="A122" s="197" t="s">
        <v>248</v>
      </c>
      <c r="B122" s="197"/>
      <c r="C122" s="197"/>
      <c r="D122" s="55" t="s">
        <v>238</v>
      </c>
      <c r="E122" s="56"/>
      <c r="F122" s="82"/>
      <c r="G122" s="124"/>
      <c r="H122" s="57"/>
      <c r="I122" s="69"/>
      <c r="J122" s="58"/>
    </row>
  </sheetData>
  <mergeCells count="53">
    <mergeCell ref="A109:C109"/>
    <mergeCell ref="A110:C110"/>
    <mergeCell ref="A103:C103"/>
    <mergeCell ref="A104:C104"/>
    <mergeCell ref="A105:C105"/>
    <mergeCell ref="A106:C106"/>
    <mergeCell ref="A107:C107"/>
    <mergeCell ref="A99:C99"/>
    <mergeCell ref="A100:C100"/>
    <mergeCell ref="A101:C101"/>
    <mergeCell ref="A102:C102"/>
    <mergeCell ref="A108:C108"/>
    <mergeCell ref="A93:C93"/>
    <mergeCell ref="A91:C91"/>
    <mergeCell ref="A92:C92"/>
    <mergeCell ref="A94:C94"/>
    <mergeCell ref="A95:C95"/>
    <mergeCell ref="A86:C86"/>
    <mergeCell ref="A87:C87"/>
    <mergeCell ref="A88:C88"/>
    <mergeCell ref="A89:C89"/>
    <mergeCell ref="A90:C90"/>
    <mergeCell ref="A79:C79"/>
    <mergeCell ref="A80:C80"/>
    <mergeCell ref="A81:C81"/>
    <mergeCell ref="A84:C84"/>
    <mergeCell ref="A85:C85"/>
    <mergeCell ref="A74:C74"/>
    <mergeCell ref="A75:C75"/>
    <mergeCell ref="A77:C77"/>
    <mergeCell ref="A76:C76"/>
    <mergeCell ref="A78:C78"/>
    <mergeCell ref="A17:C17"/>
    <mergeCell ref="A21:C21"/>
    <mergeCell ref="A18:C18"/>
    <mergeCell ref="A19:C19"/>
    <mergeCell ref="A25:C25"/>
    <mergeCell ref="A1:J1"/>
    <mergeCell ref="C2:D2"/>
    <mergeCell ref="A32:J32"/>
    <mergeCell ref="A98:B98"/>
    <mergeCell ref="A63:C63"/>
    <mergeCell ref="A64:C64"/>
    <mergeCell ref="A65:C65"/>
    <mergeCell ref="A66:C66"/>
    <mergeCell ref="A67:C67"/>
    <mergeCell ref="A68:C68"/>
    <mergeCell ref="A70:C70"/>
    <mergeCell ref="A71:C71"/>
    <mergeCell ref="A72:C72"/>
    <mergeCell ref="A73:C73"/>
    <mergeCell ref="A14:C14"/>
    <mergeCell ref="A6:C6"/>
  </mergeCells>
  <pageMargins left="0.7" right="0.7" top="0.17" bottom="0.11" header="0.13" footer="0.14000000000000001"/>
  <pageSetup scale="33"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>
  <dimension ref="A1:L126"/>
  <sheetViews>
    <sheetView topLeftCell="A64" zoomScale="60" zoomScaleNormal="60" workbookViewId="0">
      <selection activeCell="M104" sqref="M104"/>
    </sheetView>
  </sheetViews>
  <sheetFormatPr defaultColWidth="22.33203125" defaultRowHeight="23.25" customHeight="1"/>
  <cols>
    <col min="1" max="1" width="37.109375" style="114" customWidth="1"/>
    <col min="2" max="2" width="24" style="114" customWidth="1"/>
    <col min="3" max="3" width="18.77734375" style="114" customWidth="1"/>
    <col min="4" max="4" width="13.109375" style="114" customWidth="1"/>
    <col min="5" max="5" width="19.6640625" style="114" bestFit="1" customWidth="1"/>
    <col min="6" max="6" width="18.5546875" style="114" customWidth="1"/>
    <col min="7" max="7" width="19.33203125" style="114" customWidth="1"/>
    <col min="8" max="8" width="18.88671875" style="155" customWidth="1"/>
    <col min="9" max="9" width="18.88671875" style="114" customWidth="1"/>
    <col min="10" max="10" width="23" style="156" customWidth="1"/>
    <col min="11" max="16384" width="22.33203125" style="114"/>
  </cols>
  <sheetData>
    <row r="1" spans="1:12" ht="23.25" customHeight="1">
      <c r="A1" s="1708" t="s">
        <v>116</v>
      </c>
      <c r="B1" s="1708"/>
      <c r="C1" s="1708"/>
      <c r="D1" s="1708"/>
      <c r="E1" s="1708"/>
      <c r="F1" s="1708"/>
      <c r="G1" s="1708"/>
      <c r="H1" s="1708"/>
      <c r="I1" s="1708"/>
      <c r="J1" s="1708"/>
    </row>
    <row r="2" spans="1:12" ht="23.25" customHeight="1">
      <c r="A2" s="282" t="s">
        <v>287</v>
      </c>
      <c r="B2" s="283">
        <v>43585</v>
      </c>
      <c r="C2" s="387" t="s">
        <v>68</v>
      </c>
      <c r="D2" s="284">
        <v>0.66339999999999999</v>
      </c>
      <c r="E2" s="285"/>
      <c r="F2" s="285"/>
      <c r="G2" s="285" t="s">
        <v>117</v>
      </c>
      <c r="H2" s="285" t="s">
        <v>6</v>
      </c>
      <c r="I2" s="285" t="s">
        <v>8</v>
      </c>
      <c r="J2" s="286" t="s">
        <v>118</v>
      </c>
    </row>
    <row r="3" spans="1:12" ht="23.25" customHeight="1">
      <c r="A3" s="288"/>
      <c r="B3" s="289"/>
      <c r="C3" s="1131" t="s">
        <v>119</v>
      </c>
      <c r="D3" s="386">
        <v>32</v>
      </c>
      <c r="E3" s="1774" t="s">
        <v>120</v>
      </c>
      <c r="F3" s="1775"/>
      <c r="G3" s="290">
        <f>'1'!G3</f>
        <v>0</v>
      </c>
      <c r="H3" s="291">
        <f>'1'!H3</f>
        <v>0</v>
      </c>
      <c r="I3" s="291">
        <f>'1'!I3</f>
        <v>0</v>
      </c>
      <c r="J3" s="291">
        <f>'1'!J3</f>
        <v>0</v>
      </c>
      <c r="K3" s="116"/>
      <c r="L3" s="117"/>
    </row>
    <row r="4" spans="1:12" ht="23.25" customHeight="1">
      <c r="A4" s="293"/>
      <c r="B4" s="288"/>
      <c r="C4" s="387" t="s">
        <v>121</v>
      </c>
      <c r="D4" s="284">
        <v>0.71</v>
      </c>
      <c r="E4" s="294"/>
      <c r="F4" s="294"/>
      <c r="G4" s="294"/>
      <c r="H4" s="294"/>
      <c r="I4" s="295"/>
      <c r="J4" s="287"/>
      <c r="K4" s="118"/>
      <c r="L4" s="117"/>
    </row>
    <row r="5" spans="1:12" ht="23.25" customHeight="1" thickBot="1">
      <c r="A5" s="296" t="s">
        <v>122</v>
      </c>
      <c r="B5" s="297"/>
      <c r="C5" s="298"/>
      <c r="D5" s="299" t="s">
        <v>123</v>
      </c>
      <c r="E5" s="300" t="s">
        <v>124</v>
      </c>
      <c r="F5" s="300" t="s">
        <v>111</v>
      </c>
      <c r="G5" s="301" t="s">
        <v>125</v>
      </c>
      <c r="H5" s="222" t="s">
        <v>126</v>
      </c>
      <c r="I5" s="223" t="s">
        <v>127</v>
      </c>
      <c r="J5" s="221" t="s">
        <v>128</v>
      </c>
      <c r="K5" s="53"/>
      <c r="L5" s="117"/>
    </row>
    <row r="6" spans="1:12" ht="23.25" customHeight="1">
      <c r="A6" s="1776" t="s">
        <v>129</v>
      </c>
      <c r="B6" s="1777"/>
      <c r="C6" s="1778"/>
      <c r="D6" s="388"/>
      <c r="E6" s="388"/>
      <c r="F6" s="388"/>
      <c r="G6" s="388"/>
      <c r="H6" s="435"/>
      <c r="I6" s="435"/>
      <c r="J6" s="435"/>
      <c r="K6" s="43"/>
      <c r="L6" s="117"/>
    </row>
    <row r="7" spans="1:12" ht="23.25" customHeight="1" thickBot="1">
      <c r="A7" s="302" t="s">
        <v>130</v>
      </c>
      <c r="B7" s="303"/>
      <c r="C7" s="304"/>
      <c r="D7" s="305" t="s">
        <v>131</v>
      </c>
      <c r="E7" s="159">
        <f>'29'!F7</f>
        <v>896402</v>
      </c>
      <c r="F7" s="306">
        <v>3615871.9</v>
      </c>
      <c r="G7" s="307">
        <f>F7-E7</f>
        <v>2719469.9</v>
      </c>
      <c r="H7" s="57">
        <f>G7+'29'!H7</f>
        <v>3271459.9</v>
      </c>
      <c r="I7" s="276">
        <f>'1'!I7</f>
        <v>12000</v>
      </c>
      <c r="J7" s="58">
        <f>H7/DAY(B2)</f>
        <v>109048.66333333333</v>
      </c>
      <c r="K7" s="59"/>
      <c r="L7" s="117"/>
    </row>
    <row r="8" spans="1:12" ht="23.25" customHeight="1">
      <c r="A8" s="309"/>
      <c r="B8" s="310"/>
      <c r="C8" s="311"/>
      <c r="D8" s="312"/>
      <c r="E8" s="313"/>
      <c r="F8" s="313"/>
      <c r="G8" s="314"/>
      <c r="H8" s="162"/>
      <c r="I8" s="249"/>
      <c r="J8" s="141"/>
      <c r="K8" s="59"/>
      <c r="L8" s="117"/>
    </row>
    <row r="9" spans="1:12" ht="23.25" customHeight="1">
      <c r="A9" s="315" t="s">
        <v>133</v>
      </c>
      <c r="B9" s="316"/>
      <c r="C9" s="317"/>
      <c r="D9" s="268" t="s">
        <v>131</v>
      </c>
      <c r="E9" s="56">
        <f>'29'!F9</f>
        <v>2009118</v>
      </c>
      <c r="F9" s="264">
        <v>2288314.7000000002</v>
      </c>
      <c r="G9" s="318">
        <f t="shared" ref="G9:G11" si="0">F9-E9</f>
        <v>279196.70000000019</v>
      </c>
      <c r="H9" s="57">
        <f>G9+'29'!H9</f>
        <v>814624.70000000019</v>
      </c>
      <c r="I9" s="278">
        <f>I7-J7</f>
        <v>-97048.66333333333</v>
      </c>
      <c r="J9" s="58">
        <f>H9/DAY(B2)</f>
        <v>27154.156666666673</v>
      </c>
      <c r="K9" s="59"/>
      <c r="L9" s="117"/>
    </row>
    <row r="10" spans="1:12" ht="23.25" customHeight="1">
      <c r="A10" s="320" t="s">
        <v>134</v>
      </c>
      <c r="B10" s="321"/>
      <c r="C10" s="322"/>
      <c r="D10" s="268" t="s">
        <v>131</v>
      </c>
      <c r="E10" s="56">
        <f>'29'!F10</f>
        <v>0</v>
      </c>
      <c r="F10" s="264">
        <v>1226059.3999999999</v>
      </c>
      <c r="G10" s="318">
        <f t="shared" si="0"/>
        <v>1226059.3999999999</v>
      </c>
      <c r="H10" s="57">
        <f>G10+'29'!H10</f>
        <v>1226060.1199999999</v>
      </c>
      <c r="I10" s="69"/>
      <c r="J10" s="58">
        <f>H10/DAY(B2)</f>
        <v>40868.670666666665</v>
      </c>
      <c r="K10" s="59"/>
      <c r="L10" s="117"/>
    </row>
    <row r="11" spans="1:12" ht="23.25" customHeight="1">
      <c r="A11" s="320" t="s">
        <v>135</v>
      </c>
      <c r="B11" s="321"/>
      <c r="C11" s="322"/>
      <c r="D11" s="268" t="s">
        <v>131</v>
      </c>
      <c r="E11" s="56">
        <f>'29'!F11</f>
        <v>37000</v>
      </c>
      <c r="F11" s="263">
        <v>33860</v>
      </c>
      <c r="G11" s="318">
        <f t="shared" si="0"/>
        <v>-3140</v>
      </c>
      <c r="H11" s="57">
        <f>G11+'29'!H11</f>
        <v>-3140</v>
      </c>
      <c r="I11" s="69"/>
      <c r="J11" s="58">
        <f>H11/DAY(B2)</f>
        <v>-104.66666666666667</v>
      </c>
      <c r="K11" s="59"/>
      <c r="L11" s="117"/>
    </row>
    <row r="12" spans="1:12" ht="23.25" customHeight="1">
      <c r="A12" s="320" t="s">
        <v>136</v>
      </c>
      <c r="B12" s="321"/>
      <c r="C12" s="322"/>
      <c r="D12" s="268" t="s">
        <v>131</v>
      </c>
      <c r="E12" s="56">
        <f>'29'!F12</f>
        <v>40010</v>
      </c>
      <c r="F12" s="264">
        <v>3760</v>
      </c>
      <c r="G12" s="318">
        <v>0</v>
      </c>
      <c r="H12" s="57">
        <f>G12+'29'!H12</f>
        <v>0</v>
      </c>
      <c r="I12" s="69"/>
      <c r="J12" s="58">
        <f>H12/DAY(B2)</f>
        <v>0</v>
      </c>
      <c r="K12" s="59"/>
      <c r="L12" s="117"/>
    </row>
    <row r="13" spans="1:12" ht="23.25" customHeight="1">
      <c r="A13" s="400" t="s">
        <v>137</v>
      </c>
      <c r="B13" s="401"/>
      <c r="C13" s="402"/>
      <c r="D13" s="268"/>
      <c r="E13" s="422"/>
      <c r="F13" s="279"/>
      <c r="G13" s="279">
        <f>G9+G10+G11+G12</f>
        <v>1502116.1</v>
      </c>
      <c r="H13" s="57">
        <f>G13+'29'!H13</f>
        <v>2021019.82</v>
      </c>
      <c r="I13" s="369">
        <f>G7-G13</f>
        <v>1217353.7999999998</v>
      </c>
      <c r="J13" s="308">
        <f>H13/DAY(B2)</f>
        <v>67367.327333333335</v>
      </c>
      <c r="K13" s="59"/>
      <c r="L13" s="117"/>
    </row>
    <row r="14" spans="1:12" ht="23.25" customHeight="1">
      <c r="A14" s="1765" t="s">
        <v>138</v>
      </c>
      <c r="B14" s="1766"/>
      <c r="C14" s="1767"/>
      <c r="D14" s="435"/>
      <c r="E14" s="435"/>
      <c r="F14" s="435"/>
      <c r="G14" s="389"/>
      <c r="H14" s="435"/>
      <c r="I14" s="435"/>
      <c r="J14" s="435"/>
      <c r="K14" s="75"/>
      <c r="L14" s="117"/>
    </row>
    <row r="15" spans="1:12" ht="23.25" customHeight="1" thickBot="1">
      <c r="A15" s="323" t="s">
        <v>139</v>
      </c>
      <c r="B15" s="324"/>
      <c r="C15" s="325"/>
      <c r="D15" s="305" t="s">
        <v>140</v>
      </c>
      <c r="E15" s="159">
        <f>'29'!F15</f>
        <v>1702793</v>
      </c>
      <c r="F15" s="266">
        <v>1040573.68</v>
      </c>
      <c r="G15" s="318">
        <f>(F15-E15)</f>
        <v>-662219.31999999995</v>
      </c>
      <c r="H15" s="57">
        <f>G15+'29'!H15</f>
        <v>-643950.31999999995</v>
      </c>
      <c r="I15" s="276">
        <f>'1'!I15</f>
        <v>800</v>
      </c>
      <c r="J15" s="58">
        <f>H15/DAY(B2)</f>
        <v>-21465.010666666665</v>
      </c>
      <c r="K15" s="59"/>
      <c r="L15" s="117"/>
    </row>
    <row r="16" spans="1:12" ht="23.25" customHeight="1">
      <c r="A16" s="326"/>
      <c r="B16" s="327"/>
      <c r="C16" s="328"/>
      <c r="D16" s="274"/>
      <c r="E16" s="329"/>
      <c r="F16" s="329"/>
      <c r="G16" s="318"/>
      <c r="H16" s="254"/>
      <c r="I16" s="375">
        <f>I15-J15</f>
        <v>22265.010666666665</v>
      </c>
      <c r="J16" s="229"/>
      <c r="K16" s="59"/>
      <c r="L16" s="117"/>
    </row>
    <row r="17" spans="1:12" ht="23.25" customHeight="1">
      <c r="A17" s="1765" t="s">
        <v>141</v>
      </c>
      <c r="B17" s="1766"/>
      <c r="C17" s="1767"/>
      <c r="D17" s="435"/>
      <c r="E17" s="435"/>
      <c r="F17" s="435"/>
      <c r="G17" s="390"/>
      <c r="H17" s="435"/>
      <c r="I17" s="435"/>
      <c r="J17" s="435"/>
      <c r="K17" s="59"/>
      <c r="L17" s="117"/>
    </row>
    <row r="18" spans="1:12" ht="23.25" customHeight="1">
      <c r="A18" s="1741" t="s">
        <v>142</v>
      </c>
      <c r="B18" s="1742"/>
      <c r="C18" s="1743"/>
      <c r="D18" s="268" t="s">
        <v>143</v>
      </c>
      <c r="E18" s="415">
        <f>'29'!F18</f>
        <v>6</v>
      </c>
      <c r="F18" s="267">
        <v>24</v>
      </c>
      <c r="G18" s="279">
        <f>F18*10</f>
        <v>240</v>
      </c>
      <c r="H18" s="57">
        <f>G18+'29'!H18</f>
        <v>2610</v>
      </c>
      <c r="I18" s="158">
        <f>'1'!I18</f>
        <v>65</v>
      </c>
      <c r="J18" s="58">
        <f>H18/DAY(B2)</f>
        <v>87</v>
      </c>
      <c r="K18" s="59"/>
      <c r="L18" s="117"/>
    </row>
    <row r="19" spans="1:12" ht="23.25" customHeight="1">
      <c r="A19" s="1741" t="s">
        <v>70</v>
      </c>
      <c r="B19" s="1742"/>
      <c r="C19" s="1743"/>
      <c r="D19" s="268" t="s">
        <v>143</v>
      </c>
      <c r="E19" s="56">
        <f>'29'!F19</f>
        <v>139493</v>
      </c>
      <c r="F19" s="267">
        <v>99778</v>
      </c>
      <c r="G19" s="318">
        <f t="shared" ref="G19" si="1">F19-E19</f>
        <v>-39715</v>
      </c>
      <c r="H19" s="57">
        <f>G19+'29'!H19</f>
        <v>-39834</v>
      </c>
      <c r="I19" s="80"/>
      <c r="J19" s="58">
        <f>H19/DAY(B2)</f>
        <v>-1327.8</v>
      </c>
      <c r="K19" s="59"/>
      <c r="L19" s="117"/>
    </row>
    <row r="20" spans="1:12" ht="23.25" customHeight="1">
      <c r="A20" s="400" t="s">
        <v>144</v>
      </c>
      <c r="B20" s="401"/>
      <c r="C20" s="402"/>
      <c r="D20" s="330"/>
      <c r="E20" s="421"/>
      <c r="F20" s="330"/>
      <c r="G20" s="331">
        <f>G18+G19</f>
        <v>-39475</v>
      </c>
      <c r="H20" s="57">
        <f>G20+'29'!H20</f>
        <v>-37224</v>
      </c>
      <c r="I20" s="127">
        <f>J20-I18</f>
        <v>-1305.8</v>
      </c>
      <c r="J20" s="58">
        <f>H20/DAY(B2)</f>
        <v>-1240.8</v>
      </c>
      <c r="K20" s="59"/>
      <c r="L20" s="117"/>
    </row>
    <row r="21" spans="1:12" ht="23.25" customHeight="1">
      <c r="A21" s="1765" t="s">
        <v>145</v>
      </c>
      <c r="B21" s="1766"/>
      <c r="C21" s="1767"/>
      <c r="D21" s="435"/>
      <c r="E21" s="435"/>
      <c r="F21" s="435"/>
      <c r="G21" s="389"/>
      <c r="H21" s="435"/>
      <c r="I21" s="435"/>
      <c r="J21" s="435"/>
      <c r="K21" s="59"/>
      <c r="L21" s="117"/>
    </row>
    <row r="22" spans="1:12" ht="23.25" customHeight="1">
      <c r="A22" s="1123" t="s">
        <v>146</v>
      </c>
      <c r="B22" s="1124"/>
      <c r="C22" s="1125"/>
      <c r="D22" s="268" t="s">
        <v>147</v>
      </c>
      <c r="E22" s="415">
        <f>'29'!F22</f>
        <v>2970</v>
      </c>
      <c r="F22" s="267">
        <v>2010</v>
      </c>
      <c r="G22" s="279">
        <f t="shared" ref="G22" si="2">(F22-E22)</f>
        <v>-960</v>
      </c>
      <c r="H22" s="57">
        <f>G22+'29'!H22</f>
        <v>-960</v>
      </c>
      <c r="I22" s="69"/>
      <c r="J22" s="58">
        <f>H22/DAY(B2)</f>
        <v>-32</v>
      </c>
      <c r="K22" s="59"/>
      <c r="L22" s="117"/>
    </row>
    <row r="23" spans="1:12" ht="23.25" customHeight="1">
      <c r="A23" s="1123" t="s">
        <v>148</v>
      </c>
      <c r="B23" s="1124"/>
      <c r="C23" s="1125"/>
      <c r="D23" s="268" t="s">
        <v>147</v>
      </c>
      <c r="E23" s="56">
        <f>'29'!F23</f>
        <v>2000</v>
      </c>
      <c r="F23" s="267">
        <v>2075</v>
      </c>
      <c r="G23" s="279">
        <v>0</v>
      </c>
      <c r="H23" s="57">
        <f>G23+'29'!H23</f>
        <v>0</v>
      </c>
      <c r="I23" s="69"/>
      <c r="J23" s="58">
        <f>H23/DAY(B2)</f>
        <v>0</v>
      </c>
      <c r="K23" s="59"/>
      <c r="L23" s="117"/>
    </row>
    <row r="24" spans="1:12" ht="23.25" customHeight="1">
      <c r="A24" s="403" t="s">
        <v>149</v>
      </c>
      <c r="B24" s="404"/>
      <c r="C24" s="405"/>
      <c r="D24" s="269" t="s">
        <v>147</v>
      </c>
      <c r="E24" s="56">
        <f>'29'!F24</f>
        <v>4970</v>
      </c>
      <c r="F24" s="332">
        <v>4085</v>
      </c>
      <c r="G24" s="279">
        <v>0</v>
      </c>
      <c r="H24" s="57">
        <f>G24+'29'!H24</f>
        <v>0</v>
      </c>
      <c r="I24" s="69"/>
      <c r="J24" s="58">
        <f>H24/DAY(B2)</f>
        <v>0</v>
      </c>
      <c r="K24" s="59"/>
      <c r="L24" s="117"/>
    </row>
    <row r="25" spans="1:12" ht="23.25" customHeight="1">
      <c r="A25" s="1768" t="s">
        <v>150</v>
      </c>
      <c r="B25" s="1769"/>
      <c r="C25" s="1770"/>
      <c r="D25" s="388"/>
      <c r="E25" s="413"/>
      <c r="F25" s="388"/>
      <c r="G25" s="391"/>
      <c r="H25" s="435"/>
      <c r="I25" s="435"/>
      <c r="J25" s="435"/>
      <c r="K25" s="59"/>
      <c r="L25" s="117"/>
    </row>
    <row r="26" spans="1:12" ht="23.25" customHeight="1">
      <c r="A26" s="333" t="s">
        <v>151</v>
      </c>
      <c r="B26" s="334"/>
      <c r="C26" s="335"/>
      <c r="D26" s="336" t="s">
        <v>152</v>
      </c>
      <c r="E26" s="337" t="s">
        <v>288</v>
      </c>
      <c r="F26" s="337"/>
      <c r="G26" s="338"/>
      <c r="H26" s="57"/>
      <c r="I26" s="145"/>
      <c r="J26" s="58"/>
      <c r="K26" s="75"/>
      <c r="L26" s="117"/>
    </row>
    <row r="27" spans="1:12" ht="23.25" customHeight="1">
      <c r="A27" s="333" t="s">
        <v>6</v>
      </c>
      <c r="B27" s="334"/>
      <c r="C27" s="335"/>
      <c r="D27" s="339" t="s">
        <v>131</v>
      </c>
      <c r="E27" s="340">
        <f>G7</f>
        <v>2719469.9</v>
      </c>
      <c r="F27" s="412">
        <v>10.86</v>
      </c>
      <c r="G27" s="366">
        <f>E27*F27</f>
        <v>29533443.113999996</v>
      </c>
      <c r="H27" s="57" t="e">
        <f>G27+'29'!#REF!</f>
        <v>#REF!</v>
      </c>
      <c r="I27" s="148"/>
      <c r="J27" s="58" t="e">
        <f>H27/DAY(B2)</f>
        <v>#REF!</v>
      </c>
      <c r="K27" s="59"/>
      <c r="L27" s="117"/>
    </row>
    <row r="28" spans="1:12" ht="23.25" customHeight="1">
      <c r="A28" s="333" t="s">
        <v>153</v>
      </c>
      <c r="B28" s="334"/>
      <c r="C28" s="335"/>
      <c r="D28" s="339" t="s">
        <v>154</v>
      </c>
      <c r="E28" s="341">
        <f>G15</f>
        <v>-662219.31999999995</v>
      </c>
      <c r="F28" s="412">
        <v>44</v>
      </c>
      <c r="G28" s="366">
        <f>E28*F28</f>
        <v>-29137650.079999998</v>
      </c>
      <c r="H28" s="57" t="e">
        <f>G28+'29'!#REF!</f>
        <v>#REF!</v>
      </c>
      <c r="I28" s="112"/>
      <c r="J28" s="58" t="e">
        <f>H28/DAY(B2)</f>
        <v>#REF!</v>
      </c>
      <c r="K28" s="59"/>
      <c r="L28" s="117"/>
    </row>
    <row r="29" spans="1:12" ht="23.25" customHeight="1">
      <c r="A29" s="333" t="s">
        <v>155</v>
      </c>
      <c r="B29" s="334"/>
      <c r="C29" s="335"/>
      <c r="D29" s="339" t="s">
        <v>156</v>
      </c>
      <c r="E29" s="342">
        <f>G24</f>
        <v>0</v>
      </c>
      <c r="F29" s="412">
        <v>61.32</v>
      </c>
      <c r="G29" s="366">
        <f>E29*F29</f>
        <v>0</v>
      </c>
      <c r="H29" s="57" t="e">
        <f>G29+'29'!#REF!</f>
        <v>#REF!</v>
      </c>
      <c r="I29" s="112"/>
      <c r="J29" s="58" t="e">
        <f>H29/DAY(B2)</f>
        <v>#REF!</v>
      </c>
      <c r="K29" s="59"/>
      <c r="L29" s="117"/>
    </row>
    <row r="30" spans="1:12" ht="23.25" customHeight="1">
      <c r="A30" s="333" t="s">
        <v>8</v>
      </c>
      <c r="B30" s="334"/>
      <c r="C30" s="335"/>
      <c r="D30" s="339" t="s">
        <v>158</v>
      </c>
      <c r="E30" s="342">
        <f>G20</f>
        <v>-39475</v>
      </c>
      <c r="F30" s="412">
        <v>95</v>
      </c>
      <c r="G30" s="366">
        <f>E30*F30</f>
        <v>-3750125</v>
      </c>
      <c r="H30" s="57" t="e">
        <f>G30+'29'!#REF!</f>
        <v>#REF!</v>
      </c>
      <c r="I30" s="112"/>
      <c r="J30" s="58" t="e">
        <f>H30/DAY(B2)</f>
        <v>#REF!</v>
      </c>
      <c r="K30" s="59"/>
      <c r="L30" s="117"/>
    </row>
    <row r="31" spans="1:12" ht="23.25" customHeight="1">
      <c r="A31" s="406" t="s">
        <v>160</v>
      </c>
      <c r="B31" s="407"/>
      <c r="C31" s="408"/>
      <c r="D31" s="343"/>
      <c r="E31" s="343"/>
      <c r="F31" s="343"/>
      <c r="G31" s="367">
        <f>G27+G28+G29+G30</f>
        <v>-3354331.9660000019</v>
      </c>
      <c r="H31" s="57" t="e">
        <f>G31+'29'!#REF!</f>
        <v>#REF!</v>
      </c>
      <c r="I31" s="151"/>
      <c r="J31" s="58" t="e">
        <f>H31/DAY(B2)</f>
        <v>#REF!</v>
      </c>
      <c r="K31" s="59"/>
      <c r="L31" s="117"/>
    </row>
    <row r="32" spans="1:12" ht="23.25" customHeight="1">
      <c r="A32" s="1711" t="s">
        <v>161</v>
      </c>
      <c r="B32" s="1712"/>
      <c r="C32" s="1712"/>
      <c r="D32" s="1712"/>
      <c r="E32" s="1712"/>
      <c r="F32" s="1712"/>
      <c r="G32" s="1712"/>
      <c r="H32" s="1712"/>
      <c r="I32" s="1712"/>
      <c r="J32" s="1713"/>
      <c r="K32" s="59"/>
      <c r="L32" s="117"/>
    </row>
    <row r="33" spans="1:12" ht="23.25" customHeight="1">
      <c r="A33" s="1118" t="s">
        <v>162</v>
      </c>
      <c r="B33" s="1119"/>
      <c r="C33" s="1120"/>
      <c r="D33" s="435"/>
      <c r="E33" s="388"/>
      <c r="F33" s="388"/>
      <c r="G33" s="435"/>
      <c r="H33" s="435"/>
      <c r="I33" s="435"/>
      <c r="J33" s="435"/>
      <c r="K33" s="59"/>
      <c r="L33" s="117"/>
    </row>
    <row r="34" spans="1:12" ht="23.25" customHeight="1">
      <c r="A34" s="320" t="s">
        <v>163</v>
      </c>
      <c r="B34" s="321"/>
      <c r="C34" s="322"/>
      <c r="D34" s="268" t="s">
        <v>131</v>
      </c>
      <c r="E34" s="415">
        <f>'29'!F35</f>
        <v>945766</v>
      </c>
      <c r="F34" s="344">
        <v>0</v>
      </c>
      <c r="G34" s="318">
        <f t="shared" ref="G34:G45" si="3">F34-E34</f>
        <v>-945766</v>
      </c>
      <c r="H34" s="57">
        <f>G34+'29'!H35</f>
        <v>-950488</v>
      </c>
      <c r="I34" s="56"/>
      <c r="J34" s="58">
        <f>H34/DAY(B2)</f>
        <v>-31682.933333333334</v>
      </c>
      <c r="K34" s="59"/>
      <c r="L34" s="117"/>
    </row>
    <row r="35" spans="1:12" ht="23.25" customHeight="1">
      <c r="A35" s="320" t="s">
        <v>164</v>
      </c>
      <c r="B35" s="321"/>
      <c r="C35" s="322"/>
      <c r="D35" s="268" t="s">
        <v>131</v>
      </c>
      <c r="E35" s="56">
        <f>'29'!F36</f>
        <v>347065</v>
      </c>
      <c r="F35" s="344">
        <v>694322.47</v>
      </c>
      <c r="G35" s="318">
        <f t="shared" si="3"/>
        <v>347257.47</v>
      </c>
      <c r="H35" s="57">
        <f>G35+'29'!H36</f>
        <v>694149.47</v>
      </c>
      <c r="I35" s="56"/>
      <c r="J35" s="58">
        <f>H35/DAY(B2)</f>
        <v>23138.315666666665</v>
      </c>
      <c r="K35" s="59"/>
      <c r="L35" s="117"/>
    </row>
    <row r="36" spans="1:12" ht="23.25" customHeight="1">
      <c r="A36" s="320" t="s">
        <v>165</v>
      </c>
      <c r="B36" s="321"/>
      <c r="C36" s="322"/>
      <c r="D36" s="268" t="s">
        <v>131</v>
      </c>
      <c r="E36" s="56">
        <f>'29'!F37</f>
        <v>131674</v>
      </c>
      <c r="F36" s="344">
        <v>392708.87</v>
      </c>
      <c r="G36" s="318">
        <f t="shared" si="3"/>
        <v>261034.87</v>
      </c>
      <c r="H36" s="57">
        <f>G36+'29'!H37</f>
        <v>258472.87</v>
      </c>
      <c r="I36" s="56"/>
      <c r="J36" s="58">
        <f>H36/DAY(B2)</f>
        <v>8615.762333333334</v>
      </c>
      <c r="K36" s="59"/>
      <c r="L36" s="117"/>
    </row>
    <row r="37" spans="1:12" ht="23.25" customHeight="1">
      <c r="A37" s="320" t="s">
        <v>166</v>
      </c>
      <c r="B37" s="321"/>
      <c r="C37" s="322"/>
      <c r="D37" s="268" t="s">
        <v>131</v>
      </c>
      <c r="E37" s="56">
        <f>'29'!F38</f>
        <v>153825</v>
      </c>
      <c r="F37" s="345">
        <v>675505.75</v>
      </c>
      <c r="G37" s="318">
        <f t="shared" si="3"/>
        <v>521680.75</v>
      </c>
      <c r="H37" s="57">
        <f>G37+'29'!H38</f>
        <v>519100.75</v>
      </c>
      <c r="I37" s="56"/>
      <c r="J37" s="58">
        <f>H37/DAY(B2)</f>
        <v>17303.358333333334</v>
      </c>
      <c r="K37" s="59"/>
      <c r="L37" s="117"/>
    </row>
    <row r="38" spans="1:12" ht="23.25" customHeight="1">
      <c r="A38" s="320" t="s">
        <v>167</v>
      </c>
      <c r="B38" s="321"/>
      <c r="C38" s="322"/>
      <c r="D38" s="268" t="s">
        <v>131</v>
      </c>
      <c r="E38" s="56">
        <f>'29'!F39</f>
        <v>303589</v>
      </c>
      <c r="F38" s="344">
        <v>2497766.1</v>
      </c>
      <c r="G38" s="318">
        <f t="shared" si="3"/>
        <v>2194177.1</v>
      </c>
      <c r="H38" s="57">
        <f>G38+'29'!H39</f>
        <v>2189593.1</v>
      </c>
      <c r="I38" s="56"/>
      <c r="J38" s="58">
        <f>H38/DAY(B2)</f>
        <v>72986.436666666676</v>
      </c>
      <c r="K38" s="59"/>
      <c r="L38" s="117"/>
    </row>
    <row r="39" spans="1:12" ht="23.25" customHeight="1">
      <c r="A39" s="346" t="s">
        <v>168</v>
      </c>
      <c r="B39" s="347"/>
      <c r="C39" s="348"/>
      <c r="D39" s="268" t="s">
        <v>131</v>
      </c>
      <c r="E39" s="56">
        <f>'29'!F40</f>
        <v>889</v>
      </c>
      <c r="F39" s="344">
        <v>0</v>
      </c>
      <c r="G39" s="318">
        <f t="shared" si="3"/>
        <v>-889</v>
      </c>
      <c r="H39" s="57">
        <f>G39+'29'!H40</f>
        <v>-889</v>
      </c>
      <c r="I39" s="56"/>
      <c r="J39" s="58">
        <f>H39/DAY(B2)</f>
        <v>-29.633333333333333</v>
      </c>
      <c r="K39" s="75"/>
      <c r="L39" s="117"/>
    </row>
    <row r="40" spans="1:12" ht="23.25" customHeight="1">
      <c r="A40" s="320" t="s">
        <v>169</v>
      </c>
      <c r="B40" s="321"/>
      <c r="C40" s="322"/>
      <c r="D40" s="268" t="s">
        <v>131</v>
      </c>
      <c r="E40" s="56">
        <f>'29'!F41</f>
        <v>240478</v>
      </c>
      <c r="F40" s="344">
        <v>1138016.5</v>
      </c>
      <c r="G40" s="318">
        <f t="shared" si="3"/>
        <v>897538.5</v>
      </c>
      <c r="H40" s="57">
        <f>G40+'29'!H41</f>
        <v>897538.5</v>
      </c>
      <c r="I40" s="56"/>
      <c r="J40" s="58">
        <f>H40/DAY(B2)</f>
        <v>29917.95</v>
      </c>
      <c r="K40" s="59"/>
      <c r="L40" s="117"/>
    </row>
    <row r="41" spans="1:12" ht="23.25" customHeight="1">
      <c r="A41" s="320" t="s">
        <v>170</v>
      </c>
      <c r="B41" s="321"/>
      <c r="C41" s="322"/>
      <c r="D41" s="268" t="s">
        <v>131</v>
      </c>
      <c r="E41" s="56">
        <f>'29'!F42</f>
        <v>59199</v>
      </c>
      <c r="F41" s="344">
        <v>1251783.8</v>
      </c>
      <c r="G41" s="318">
        <f t="shared" si="3"/>
        <v>1192584.8</v>
      </c>
      <c r="H41" s="57">
        <f>G41+'29'!H42</f>
        <v>1192584.83</v>
      </c>
      <c r="I41" s="56"/>
      <c r="J41" s="58">
        <f>H41/DAY(B2)</f>
        <v>39752.827666666672</v>
      </c>
      <c r="K41" s="59"/>
      <c r="L41" s="117"/>
    </row>
    <row r="42" spans="1:12" ht="23.25" customHeight="1">
      <c r="A42" s="320" t="s">
        <v>171</v>
      </c>
      <c r="B42" s="321"/>
      <c r="C42" s="322"/>
      <c r="D42" s="268" t="s">
        <v>131</v>
      </c>
      <c r="E42" s="56">
        <f>'29'!F43</f>
        <v>1037660</v>
      </c>
      <c r="F42" s="344">
        <v>1479848.9</v>
      </c>
      <c r="G42" s="318">
        <f t="shared" si="3"/>
        <v>442188.89999999991</v>
      </c>
      <c r="H42" s="57">
        <f>G42+'29'!H43</f>
        <v>437604.89999999991</v>
      </c>
      <c r="I42" s="56"/>
      <c r="J42" s="58">
        <f>H42/DAY(B2)</f>
        <v>14586.829999999996</v>
      </c>
      <c r="K42" s="59"/>
      <c r="L42" s="117"/>
    </row>
    <row r="43" spans="1:12" ht="23.25" customHeight="1">
      <c r="A43" s="320" t="s">
        <v>172</v>
      </c>
      <c r="B43" s="321"/>
      <c r="C43" s="322"/>
      <c r="D43" s="268" t="s">
        <v>131</v>
      </c>
      <c r="E43" s="56">
        <f>'29'!F44</f>
        <v>0</v>
      </c>
      <c r="F43" s="344">
        <v>900</v>
      </c>
      <c r="G43" s="318">
        <f t="shared" si="3"/>
        <v>900</v>
      </c>
      <c r="H43" s="57">
        <f>G43+'29'!H44</f>
        <v>900</v>
      </c>
      <c r="I43" s="56"/>
      <c r="J43" s="58">
        <f>H43/DAY(B2)</f>
        <v>30</v>
      </c>
      <c r="K43" s="59"/>
      <c r="L43" s="117"/>
    </row>
    <row r="44" spans="1:12" ht="23.25" customHeight="1">
      <c r="A44" s="320" t="s">
        <v>173</v>
      </c>
      <c r="B44" s="321"/>
      <c r="C44" s="322"/>
      <c r="D44" s="268" t="s">
        <v>131</v>
      </c>
      <c r="E44" s="56">
        <f>'29'!F45</f>
        <v>614</v>
      </c>
      <c r="F44" s="344">
        <v>945</v>
      </c>
      <c r="G44" s="318">
        <f t="shared" si="3"/>
        <v>331</v>
      </c>
      <c r="H44" s="57">
        <f>G44+'29'!H45</f>
        <v>945</v>
      </c>
      <c r="I44" s="56"/>
      <c r="J44" s="58">
        <f>H44/DAY(B2)</f>
        <v>31.5</v>
      </c>
      <c r="K44" s="59"/>
      <c r="L44" s="117"/>
    </row>
    <row r="45" spans="1:12" ht="23.25" customHeight="1">
      <c r="A45" s="320" t="s">
        <v>174</v>
      </c>
      <c r="B45" s="321"/>
      <c r="C45" s="322"/>
      <c r="D45" s="268" t="s">
        <v>131</v>
      </c>
      <c r="E45" s="56">
        <f>'29'!F46</f>
        <v>187</v>
      </c>
      <c r="F45" s="344">
        <v>375</v>
      </c>
      <c r="G45" s="318">
        <f t="shared" si="3"/>
        <v>188</v>
      </c>
      <c r="H45" s="57">
        <f>G45+'29'!H46</f>
        <v>374.95</v>
      </c>
      <c r="I45" s="56"/>
      <c r="J45" s="58">
        <f>H45/DAY(B2)</f>
        <v>12.498333333333333</v>
      </c>
      <c r="K45" s="59"/>
      <c r="L45" s="117"/>
    </row>
    <row r="46" spans="1:12" ht="23.25" customHeight="1">
      <c r="A46" s="400" t="s">
        <v>175</v>
      </c>
      <c r="B46" s="401"/>
      <c r="C46" s="402"/>
      <c r="D46" s="349"/>
      <c r="E46" s="414"/>
      <c r="F46" s="269"/>
      <c r="G46" s="279">
        <f>G34+G35+G36+G37+G38+G39+G40+G41+G42+G43+G44+G45</f>
        <v>4911226.3900000006</v>
      </c>
      <c r="H46" s="57">
        <f>G46+'29'!H47</f>
        <v>5239887.8600000003</v>
      </c>
      <c r="I46" s="56"/>
      <c r="J46" s="58">
        <f>H46/DAY(B2)</f>
        <v>174662.92866666667</v>
      </c>
      <c r="K46" s="59"/>
      <c r="L46" s="117"/>
    </row>
    <row r="47" spans="1:12" ht="23.25" customHeight="1">
      <c r="A47" s="1118" t="s">
        <v>176</v>
      </c>
      <c r="B47" s="1119"/>
      <c r="C47" s="1120"/>
      <c r="D47" s="435"/>
      <c r="E47" s="388"/>
      <c r="F47" s="388"/>
      <c r="G47" s="435"/>
      <c r="H47" s="435"/>
      <c r="I47" s="435"/>
      <c r="J47" s="435"/>
      <c r="K47" s="59"/>
      <c r="L47" s="117"/>
    </row>
    <row r="48" spans="1:12" ht="23.25" customHeight="1">
      <c r="A48" s="320" t="s">
        <v>163</v>
      </c>
      <c r="B48" s="350"/>
      <c r="C48" s="351"/>
      <c r="D48" s="268" t="s">
        <v>131</v>
      </c>
      <c r="E48" s="415">
        <f>'29'!F49</f>
        <v>260732.13</v>
      </c>
      <c r="F48" s="344">
        <v>793704.71</v>
      </c>
      <c r="G48" s="318">
        <f t="shared" ref="G48:G57" si="4">F48-E48</f>
        <v>532972.57999999996</v>
      </c>
      <c r="H48" s="57">
        <f>G48+'29'!H49</f>
        <v>532972.71</v>
      </c>
      <c r="I48" s="56"/>
      <c r="J48" s="58">
        <f>H48/DAY(B2)</f>
        <v>17765.756999999998</v>
      </c>
      <c r="K48" s="59"/>
      <c r="L48" s="117"/>
    </row>
    <row r="49" spans="1:12" ht="23.25" customHeight="1">
      <c r="A49" s="320" t="s">
        <v>177</v>
      </c>
      <c r="B49" s="350"/>
      <c r="C49" s="351"/>
      <c r="D49" s="268" t="s">
        <v>131</v>
      </c>
      <c r="E49" s="56">
        <f>'29'!F50</f>
        <v>500726</v>
      </c>
      <c r="F49" s="344">
        <v>707853.75</v>
      </c>
      <c r="G49" s="318">
        <f t="shared" si="4"/>
        <v>207127.75</v>
      </c>
      <c r="H49" s="57">
        <f>G49+'29'!H50</f>
        <v>204427.75</v>
      </c>
      <c r="I49" s="56"/>
      <c r="J49" s="58">
        <f>H49/DAY(B2)</f>
        <v>6814.2583333333332</v>
      </c>
      <c r="K49" s="59"/>
      <c r="L49" s="117"/>
    </row>
    <row r="50" spans="1:12" ht="23.25" customHeight="1">
      <c r="A50" s="320" t="s">
        <v>165</v>
      </c>
      <c r="B50" s="350"/>
      <c r="C50" s="351"/>
      <c r="D50" s="268" t="s">
        <v>131</v>
      </c>
      <c r="E50" s="56">
        <f>'29'!F51</f>
        <v>144639.87</v>
      </c>
      <c r="F50" s="344">
        <v>552102.06999999995</v>
      </c>
      <c r="G50" s="318">
        <f t="shared" si="4"/>
        <v>407462.19999999995</v>
      </c>
      <c r="H50" s="57">
        <f>G50+'29'!H51</f>
        <v>407462.06999999995</v>
      </c>
      <c r="I50" s="56"/>
      <c r="J50" s="58">
        <f>H50/DAY(B2)</f>
        <v>13582.068999999998</v>
      </c>
      <c r="K50" s="59"/>
      <c r="L50" s="117"/>
    </row>
    <row r="51" spans="1:12" ht="23.25" customHeight="1">
      <c r="A51" s="320" t="s">
        <v>178</v>
      </c>
      <c r="B51" s="350"/>
      <c r="C51" s="351"/>
      <c r="D51" s="268" t="s">
        <v>131</v>
      </c>
      <c r="E51" s="56">
        <f>'29'!F52</f>
        <v>539606.06999999995</v>
      </c>
      <c r="F51" s="344">
        <v>1244061</v>
      </c>
      <c r="G51" s="318">
        <f t="shared" si="4"/>
        <v>704454.93</v>
      </c>
      <c r="H51" s="57">
        <f>G51+'29'!H52</f>
        <v>704454.93</v>
      </c>
      <c r="I51" s="56"/>
      <c r="J51" s="58">
        <f>H51/DAY(B2)</f>
        <v>23481.831000000002</v>
      </c>
      <c r="K51" s="59"/>
      <c r="L51" s="117"/>
    </row>
    <row r="52" spans="1:12" ht="23.25" customHeight="1">
      <c r="A52" s="320" t="s">
        <v>167</v>
      </c>
      <c r="B52" s="350"/>
      <c r="C52" s="351"/>
      <c r="D52" s="268" t="s">
        <v>131</v>
      </c>
      <c r="E52" s="56">
        <f>'29'!F53</f>
        <v>431514</v>
      </c>
      <c r="F52" s="344">
        <v>495803.59</v>
      </c>
      <c r="G52" s="318">
        <f t="shared" si="4"/>
        <v>64289.590000000026</v>
      </c>
      <c r="H52" s="57">
        <f>G52+'29'!H53</f>
        <v>63235.260000000009</v>
      </c>
      <c r="I52" s="56"/>
      <c r="J52" s="58">
        <f>H52/DAY(B2)</f>
        <v>2107.8420000000001</v>
      </c>
      <c r="K52" s="59"/>
      <c r="L52" s="117"/>
    </row>
    <row r="53" spans="1:12" ht="23.25" customHeight="1">
      <c r="A53" s="320" t="s">
        <v>179</v>
      </c>
      <c r="B53" s="350"/>
      <c r="C53" s="351"/>
      <c r="D53" s="268" t="s">
        <v>131</v>
      </c>
      <c r="E53" s="56">
        <f>'29'!F54</f>
        <v>13596</v>
      </c>
      <c r="F53" s="344">
        <v>55471.01</v>
      </c>
      <c r="G53" s="318">
        <f t="shared" si="4"/>
        <v>41875.01</v>
      </c>
      <c r="H53" s="57">
        <f>G53+'29'!H54</f>
        <v>41642.01</v>
      </c>
      <c r="I53" s="56"/>
      <c r="J53" s="58">
        <f>H53/DAY(B2)</f>
        <v>1388.067</v>
      </c>
      <c r="K53" s="59"/>
      <c r="L53" s="117"/>
    </row>
    <row r="54" spans="1:12" ht="23.25" customHeight="1">
      <c r="A54" s="320" t="s">
        <v>180</v>
      </c>
      <c r="B54" s="350"/>
      <c r="C54" s="351"/>
      <c r="D54" s="268" t="s">
        <v>131</v>
      </c>
      <c r="E54" s="56">
        <f>'29'!F55</f>
        <v>68111</v>
      </c>
      <c r="F54" s="344">
        <v>741511.59</v>
      </c>
      <c r="G54" s="318">
        <f t="shared" si="4"/>
        <v>673400.59</v>
      </c>
      <c r="H54" s="57">
        <f>G54+'29'!H55</f>
        <v>673400.59</v>
      </c>
      <c r="I54" s="56"/>
      <c r="J54" s="58">
        <f>H54/DAY(B2)</f>
        <v>22446.686333333331</v>
      </c>
      <c r="K54" s="59"/>
      <c r="L54" s="117"/>
    </row>
    <row r="55" spans="1:12" ht="23.25" customHeight="1">
      <c r="A55" s="320" t="s">
        <v>181</v>
      </c>
      <c r="B55" s="350"/>
      <c r="C55" s="351"/>
      <c r="D55" s="268" t="s">
        <v>182</v>
      </c>
      <c r="E55" s="56">
        <f>'29'!F56</f>
        <v>606023</v>
      </c>
      <c r="F55" s="344">
        <v>334966</v>
      </c>
      <c r="G55" s="318">
        <f t="shared" si="4"/>
        <v>-271057</v>
      </c>
      <c r="H55" s="57">
        <f>G55+'29'!H56</f>
        <v>-282232</v>
      </c>
      <c r="I55" s="56"/>
      <c r="J55" s="58">
        <f>H55/DAY(B2)</f>
        <v>-9407.7333333333336</v>
      </c>
      <c r="K55" s="43"/>
      <c r="L55" s="117"/>
    </row>
    <row r="56" spans="1:12" ht="23.25" customHeight="1">
      <c r="A56" s="320" t="s">
        <v>171</v>
      </c>
      <c r="B56" s="350"/>
      <c r="C56" s="351"/>
      <c r="D56" s="268" t="s">
        <v>131</v>
      </c>
      <c r="E56" s="56">
        <f>'29'!F57</f>
        <v>7711</v>
      </c>
      <c r="F56" s="344">
        <v>0</v>
      </c>
      <c r="G56" s="318">
        <f t="shared" si="4"/>
        <v>-7711</v>
      </c>
      <c r="H56" s="57">
        <f>G56+'29'!H57</f>
        <v>-7711</v>
      </c>
      <c r="I56" s="56"/>
      <c r="J56" s="58">
        <f>H56/DAY(B2)</f>
        <v>-257.03333333333336</v>
      </c>
      <c r="K56" s="59"/>
      <c r="L56" s="117"/>
    </row>
    <row r="57" spans="1:12" ht="23.25" customHeight="1">
      <c r="A57" s="320" t="s">
        <v>183</v>
      </c>
      <c r="B57" s="350"/>
      <c r="C57" s="351"/>
      <c r="D57" s="268" t="s">
        <v>131</v>
      </c>
      <c r="E57" s="56">
        <f>'29'!F58</f>
        <v>49264</v>
      </c>
      <c r="F57" s="344">
        <v>2065.9499999999998</v>
      </c>
      <c r="G57" s="318">
        <f t="shared" si="4"/>
        <v>-47198.05</v>
      </c>
      <c r="H57" s="57">
        <f>G57+'29'!H58</f>
        <v>-47798.26</v>
      </c>
      <c r="I57" s="56"/>
      <c r="J57" s="58">
        <f>H57/DAY(B2)</f>
        <v>-1593.2753333333335</v>
      </c>
      <c r="K57" s="59"/>
      <c r="L57" s="117"/>
    </row>
    <row r="58" spans="1:12" ht="23.25" customHeight="1">
      <c r="A58" s="400" t="s">
        <v>175</v>
      </c>
      <c r="B58" s="401"/>
      <c r="C58" s="402"/>
      <c r="D58" s="269"/>
      <c r="E58" s="414"/>
      <c r="F58" s="269"/>
      <c r="G58" s="279">
        <f>G48+G49+G50+G51+G52+G53+G54+G55+G56+G57</f>
        <v>2305616.6</v>
      </c>
      <c r="H58" s="57">
        <f>G58+'29'!H59</f>
        <v>2289854.13</v>
      </c>
      <c r="I58" s="56">
        <f>G7-G59</f>
        <v>-4497373.09</v>
      </c>
      <c r="J58" s="58">
        <f>H58/DAY(B2)</f>
        <v>76328.47099999999</v>
      </c>
      <c r="K58" s="59"/>
      <c r="L58" s="117"/>
    </row>
    <row r="59" spans="1:12" ht="23.25" customHeight="1">
      <c r="A59" s="352"/>
      <c r="B59" s="352"/>
      <c r="C59" s="352"/>
      <c r="D59" s="269" t="s">
        <v>184</v>
      </c>
      <c r="E59" s="269"/>
      <c r="F59" s="269"/>
      <c r="G59" s="279">
        <f>G46+G58</f>
        <v>7216842.9900000002</v>
      </c>
      <c r="H59" s="57">
        <f>G59+'29'!H60</f>
        <v>7530950.5300000003</v>
      </c>
      <c r="I59" s="56">
        <f>G13-G59</f>
        <v>-5714726.8900000006</v>
      </c>
      <c r="J59" s="58">
        <f>H59/DAY(B2)</f>
        <v>251031.68433333334</v>
      </c>
      <c r="K59" s="59"/>
      <c r="L59" s="117"/>
    </row>
    <row r="60" spans="1:12" ht="23.25" customHeight="1">
      <c r="A60" s="392" t="s">
        <v>185</v>
      </c>
      <c r="B60" s="393"/>
      <c r="C60" s="394"/>
      <c r="D60" s="395"/>
      <c r="E60" s="396"/>
      <c r="F60" s="396"/>
      <c r="G60" s="397"/>
      <c r="H60" s="397"/>
      <c r="I60" s="397"/>
      <c r="J60" s="397"/>
      <c r="K60" s="59"/>
      <c r="L60" s="117"/>
    </row>
    <row r="61" spans="1:12" ht="23.25" customHeight="1">
      <c r="A61" s="353" t="s">
        <v>97</v>
      </c>
      <c r="B61" s="354"/>
      <c r="C61" s="355"/>
      <c r="D61" s="269" t="s">
        <v>186</v>
      </c>
      <c r="E61" s="415">
        <f>'29'!F62</f>
        <v>20419</v>
      </c>
      <c r="F61" s="270">
        <v>55085</v>
      </c>
      <c r="G61" s="318">
        <f t="shared" ref="G61:G68" si="5">F61-E61</f>
        <v>34666</v>
      </c>
      <c r="H61" s="57">
        <f>G61+'29'!H62</f>
        <v>34666.001999999993</v>
      </c>
      <c r="I61" s="201"/>
      <c r="J61" s="58">
        <f>H61/DAY(B2)</f>
        <v>1155.5333999999998</v>
      </c>
      <c r="K61" s="59"/>
      <c r="L61" s="117"/>
    </row>
    <row r="62" spans="1:12" ht="23.25" customHeight="1">
      <c r="A62" s="353" t="s">
        <v>187</v>
      </c>
      <c r="B62" s="354"/>
      <c r="C62" s="355"/>
      <c r="D62" s="269" t="s">
        <v>186</v>
      </c>
      <c r="E62" s="56">
        <f>'29'!F63</f>
        <v>2468</v>
      </c>
      <c r="F62" s="270">
        <v>113360.74</v>
      </c>
      <c r="G62" s="318">
        <f t="shared" si="5"/>
        <v>110892.74</v>
      </c>
      <c r="H62" s="57">
        <f>G62+'29'!H63</f>
        <v>113360.74</v>
      </c>
      <c r="I62" s="201"/>
      <c r="J62" s="58">
        <f>H62/DAY(B2)</f>
        <v>3778.6913333333337</v>
      </c>
      <c r="K62" s="59"/>
      <c r="L62" s="117"/>
    </row>
    <row r="63" spans="1:12" ht="23.25" customHeight="1">
      <c r="A63" s="1750" t="s">
        <v>98</v>
      </c>
      <c r="B63" s="1751"/>
      <c r="C63" s="1752"/>
      <c r="D63" s="268" t="s">
        <v>186</v>
      </c>
      <c r="E63" s="56">
        <f>'29'!F64</f>
        <v>159553</v>
      </c>
      <c r="F63" s="267">
        <v>274089</v>
      </c>
      <c r="G63" s="318">
        <f t="shared" si="5"/>
        <v>114536</v>
      </c>
      <c r="H63" s="57">
        <f>G63+'29'!H64</f>
        <v>114157</v>
      </c>
      <c r="I63" s="69"/>
      <c r="J63" s="58">
        <f>H63/DAY(B2)</f>
        <v>3805.2333333333331</v>
      </c>
      <c r="K63" s="59"/>
      <c r="L63" s="117"/>
    </row>
    <row r="64" spans="1:12" ht="23.25" customHeight="1">
      <c r="A64" s="1750" t="s">
        <v>99</v>
      </c>
      <c r="B64" s="1751"/>
      <c r="C64" s="1752"/>
      <c r="D64" s="268" t="s">
        <v>186</v>
      </c>
      <c r="E64" s="56">
        <f>'29'!F65</f>
        <v>160561</v>
      </c>
      <c r="F64" s="267">
        <v>218102.43</v>
      </c>
      <c r="G64" s="318">
        <f t="shared" si="5"/>
        <v>57541.429999999993</v>
      </c>
      <c r="H64" s="57">
        <f>G64+'29'!H65</f>
        <v>57104.429999999993</v>
      </c>
      <c r="I64" s="80"/>
      <c r="J64" s="58">
        <f>H64/DAY(B2)</f>
        <v>1903.4809999999998</v>
      </c>
      <c r="K64" s="59"/>
      <c r="L64" s="117"/>
    </row>
    <row r="65" spans="1:12" ht="23.25" customHeight="1">
      <c r="A65" s="1750" t="s">
        <v>100</v>
      </c>
      <c r="B65" s="1751"/>
      <c r="C65" s="1752"/>
      <c r="D65" s="268" t="s">
        <v>186</v>
      </c>
      <c r="E65" s="56">
        <f>'29'!F66</f>
        <v>56221</v>
      </c>
      <c r="F65" s="267">
        <v>7977.92</v>
      </c>
      <c r="G65" s="318">
        <f t="shared" si="5"/>
        <v>-48243.08</v>
      </c>
      <c r="H65" s="57">
        <f>G65+'29'!H66</f>
        <v>-48827.08</v>
      </c>
      <c r="I65" s="69"/>
      <c r="J65" s="58">
        <f>H65/DAY(B2)</f>
        <v>-1627.5693333333334</v>
      </c>
      <c r="K65" s="59"/>
      <c r="L65" s="117"/>
    </row>
    <row r="66" spans="1:12" ht="23.25" customHeight="1">
      <c r="A66" s="1750" t="s">
        <v>101</v>
      </c>
      <c r="B66" s="1751"/>
      <c r="C66" s="1752"/>
      <c r="D66" s="268" t="s">
        <v>186</v>
      </c>
      <c r="E66" s="56">
        <f>'29'!F67</f>
        <v>251244</v>
      </c>
      <c r="F66" s="267">
        <v>350190.03</v>
      </c>
      <c r="G66" s="318">
        <f t="shared" si="5"/>
        <v>98946.030000000028</v>
      </c>
      <c r="H66" s="57">
        <f>G66+'29'!H67</f>
        <v>97998.030000000028</v>
      </c>
      <c r="I66" s="80"/>
      <c r="J66" s="58">
        <f>H66/DAY(B2)</f>
        <v>3266.601000000001</v>
      </c>
      <c r="K66" s="75"/>
      <c r="L66" s="117"/>
    </row>
    <row r="67" spans="1:12" ht="23.25" customHeight="1">
      <c r="A67" s="1750" t="s">
        <v>102</v>
      </c>
      <c r="B67" s="1751"/>
      <c r="C67" s="1752"/>
      <c r="D67" s="268" t="s">
        <v>186</v>
      </c>
      <c r="E67" s="56">
        <f>'29'!F68</f>
        <v>85321</v>
      </c>
      <c r="F67" s="267">
        <v>0</v>
      </c>
      <c r="G67" s="318">
        <f t="shared" si="5"/>
        <v>-85321</v>
      </c>
      <c r="H67" s="57">
        <f>G67+'29'!H68</f>
        <v>-85321</v>
      </c>
      <c r="I67" s="105"/>
      <c r="J67" s="58">
        <f>H67/DAY(B2)</f>
        <v>-2844.0333333333333</v>
      </c>
      <c r="K67" s="83"/>
      <c r="L67" s="117"/>
    </row>
    <row r="68" spans="1:12" ht="23.25" customHeight="1">
      <c r="A68" s="1750" t="s">
        <v>103</v>
      </c>
      <c r="B68" s="1751"/>
      <c r="C68" s="1752"/>
      <c r="D68" s="268" t="s">
        <v>186</v>
      </c>
      <c r="E68" s="56">
        <f>'29'!F69</f>
        <v>81507</v>
      </c>
      <c r="F68" s="267">
        <v>156094.09</v>
      </c>
      <c r="G68" s="318">
        <f t="shared" si="5"/>
        <v>74587.09</v>
      </c>
      <c r="H68" s="57">
        <f>G68+'29'!H69</f>
        <v>74345.09</v>
      </c>
      <c r="I68" s="105"/>
      <c r="J68" s="58">
        <f>H68/DAY(B2)</f>
        <v>2478.1696666666667</v>
      </c>
      <c r="K68" s="85"/>
      <c r="L68" s="117"/>
    </row>
    <row r="69" spans="1:12" ht="23.25" customHeight="1">
      <c r="A69" s="1771" t="s">
        <v>188</v>
      </c>
      <c r="B69" s="1772"/>
      <c r="C69" s="1773"/>
      <c r="D69" s="268" t="s">
        <v>186</v>
      </c>
      <c r="E69" s="424"/>
      <c r="F69" s="423"/>
      <c r="G69" s="423"/>
      <c r="H69" s="57">
        <f>G69+'13'!H70</f>
        <v>0</v>
      </c>
      <c r="I69" s="423"/>
      <c r="J69" s="423"/>
      <c r="K69" s="85"/>
      <c r="L69" s="117"/>
    </row>
    <row r="70" spans="1:12" ht="23.25" customHeight="1">
      <c r="A70" s="1762" t="s">
        <v>189</v>
      </c>
      <c r="B70" s="1763"/>
      <c r="C70" s="1763"/>
      <c r="D70" s="1763"/>
      <c r="E70" s="1763"/>
      <c r="F70" s="1763"/>
      <c r="G70" s="1763"/>
      <c r="H70" s="1763"/>
      <c r="I70" s="1763"/>
      <c r="J70" s="1764"/>
      <c r="K70" s="83"/>
      <c r="L70" s="117"/>
    </row>
    <row r="71" spans="1:12" ht="23.25" customHeight="1">
      <c r="A71" s="1750" t="s">
        <v>190</v>
      </c>
      <c r="B71" s="1751"/>
      <c r="C71" s="1752"/>
      <c r="D71" s="268" t="s">
        <v>186</v>
      </c>
      <c r="E71" s="415">
        <f>'29'!F72</f>
        <v>855817</v>
      </c>
      <c r="F71" s="271">
        <v>788748</v>
      </c>
      <c r="G71" s="318">
        <f t="shared" ref="G71:G83" si="6">F71-E71</f>
        <v>-67069</v>
      </c>
      <c r="H71" s="57">
        <f>G71+'29'!H72</f>
        <v>-67108</v>
      </c>
      <c r="I71" s="69"/>
      <c r="J71" s="58">
        <f>H71/DAY(B2)</f>
        <v>-2236.9333333333334</v>
      </c>
      <c r="K71" s="85"/>
      <c r="L71" s="117"/>
    </row>
    <row r="72" spans="1:12" ht="23.25" customHeight="1">
      <c r="A72" s="1750" t="s">
        <v>191</v>
      </c>
      <c r="B72" s="1751"/>
      <c r="C72" s="1752"/>
      <c r="D72" s="268" t="s">
        <v>186</v>
      </c>
      <c r="E72" s="56">
        <f>'29'!F73</f>
        <v>885935</v>
      </c>
      <c r="F72" s="271">
        <v>883770</v>
      </c>
      <c r="G72" s="318">
        <f t="shared" si="6"/>
        <v>-2165</v>
      </c>
      <c r="H72" s="57">
        <f>G72+'29'!H73</f>
        <v>-2011</v>
      </c>
      <c r="I72" s="69"/>
      <c r="J72" s="58">
        <f>H72/DAY(B2)</f>
        <v>-67.033333333333331</v>
      </c>
      <c r="K72" s="83"/>
      <c r="L72" s="117"/>
    </row>
    <row r="73" spans="1:12" ht="23.25" customHeight="1">
      <c r="A73" s="1750" t="s">
        <v>192</v>
      </c>
      <c r="B73" s="1751"/>
      <c r="C73" s="1752"/>
      <c r="D73" s="268" t="s">
        <v>186</v>
      </c>
      <c r="E73" s="56">
        <f>'29'!F74</f>
        <v>2573</v>
      </c>
      <c r="F73" s="271">
        <v>783142</v>
      </c>
      <c r="G73" s="318">
        <f t="shared" si="6"/>
        <v>780569</v>
      </c>
      <c r="H73" s="57">
        <f>G73+'29'!H74</f>
        <v>694476.96</v>
      </c>
      <c r="I73" s="69"/>
      <c r="J73" s="58">
        <f>H73/DAY(B2)</f>
        <v>23149.232</v>
      </c>
      <c r="K73" s="85"/>
      <c r="L73" s="117"/>
    </row>
    <row r="74" spans="1:12" ht="23.25" customHeight="1">
      <c r="A74" s="1755" t="s">
        <v>193</v>
      </c>
      <c r="B74" s="1756"/>
      <c r="C74" s="1757"/>
      <c r="D74" s="268" t="s">
        <v>186</v>
      </c>
      <c r="E74" s="56">
        <f>'29'!F75</f>
        <v>12561</v>
      </c>
      <c r="F74" s="271">
        <v>641404</v>
      </c>
      <c r="G74" s="318">
        <f t="shared" si="6"/>
        <v>628843</v>
      </c>
      <c r="H74" s="57">
        <f>G74+'29'!H75</f>
        <v>628735</v>
      </c>
      <c r="I74" s="69"/>
      <c r="J74" s="58">
        <f>H74/DAY(B2)</f>
        <v>20957.833333333332</v>
      </c>
      <c r="K74" s="83"/>
      <c r="L74" s="117"/>
    </row>
    <row r="75" spans="1:12" ht="23.25" customHeight="1">
      <c r="A75" s="1755" t="s">
        <v>194</v>
      </c>
      <c r="B75" s="1756"/>
      <c r="C75" s="1757"/>
      <c r="D75" s="268" t="s">
        <v>186</v>
      </c>
      <c r="E75" s="56">
        <f>'29'!F76</f>
        <v>7308</v>
      </c>
      <c r="F75" s="271">
        <v>615603</v>
      </c>
      <c r="G75" s="318">
        <f t="shared" si="6"/>
        <v>608295</v>
      </c>
      <c r="H75" s="57">
        <f>G75+'29'!H76</f>
        <v>608397</v>
      </c>
      <c r="I75" s="112"/>
      <c r="J75" s="58">
        <f>H75/DAY(B2)</f>
        <v>20279.900000000001</v>
      </c>
      <c r="K75" s="83"/>
      <c r="L75" s="117"/>
    </row>
    <row r="76" spans="1:12" ht="23.25" customHeight="1">
      <c r="A76" s="1750" t="s">
        <v>195</v>
      </c>
      <c r="B76" s="1751"/>
      <c r="C76" s="1752"/>
      <c r="D76" s="268" t="s">
        <v>186</v>
      </c>
      <c r="E76" s="56">
        <f>'29'!F77</f>
        <v>702750</v>
      </c>
      <c r="F76" s="271">
        <v>669905</v>
      </c>
      <c r="G76" s="318">
        <f t="shared" si="6"/>
        <v>-32845</v>
      </c>
      <c r="H76" s="57">
        <f>G76+'29'!H77</f>
        <v>-32934</v>
      </c>
      <c r="I76" s="112"/>
      <c r="J76" s="58">
        <f>H76/DAY(B2)</f>
        <v>-1097.8</v>
      </c>
      <c r="K76" s="83"/>
      <c r="L76" s="117"/>
    </row>
    <row r="77" spans="1:12" ht="23.25" customHeight="1">
      <c r="A77" s="1126" t="s">
        <v>196</v>
      </c>
      <c r="B77" s="1127"/>
      <c r="C77" s="1128"/>
      <c r="D77" s="268" t="s">
        <v>186</v>
      </c>
      <c r="E77" s="56">
        <f>'29'!F78</f>
        <v>672760</v>
      </c>
      <c r="F77" s="271">
        <v>487314</v>
      </c>
      <c r="G77" s="318">
        <f t="shared" si="6"/>
        <v>-185446</v>
      </c>
      <c r="H77" s="57">
        <f>G77+'29'!H78</f>
        <v>-185718</v>
      </c>
      <c r="I77" s="112"/>
      <c r="J77" s="58">
        <f>H77/DAY(B2)</f>
        <v>-6190.6</v>
      </c>
      <c r="K77" s="83"/>
      <c r="L77" s="117"/>
    </row>
    <row r="78" spans="1:12" ht="23.25" customHeight="1">
      <c r="A78" s="1758" t="s">
        <v>91</v>
      </c>
      <c r="B78" s="1759"/>
      <c r="C78" s="1760"/>
      <c r="D78" s="356" t="s">
        <v>186</v>
      </c>
      <c r="E78" s="56">
        <f>'29'!F79</f>
        <v>830691</v>
      </c>
      <c r="F78" s="271">
        <v>677157</v>
      </c>
      <c r="G78" s="318">
        <f t="shared" si="6"/>
        <v>-153534</v>
      </c>
      <c r="H78" s="57">
        <f>G78+'29'!H79</f>
        <v>-154865</v>
      </c>
      <c r="I78" s="112"/>
      <c r="J78" s="58">
        <f>H78/DAY(B2)</f>
        <v>-5162.166666666667</v>
      </c>
      <c r="K78" s="83"/>
      <c r="L78" s="117"/>
    </row>
    <row r="79" spans="1:12" ht="23.25" customHeight="1">
      <c r="A79" s="1758" t="s">
        <v>197</v>
      </c>
      <c r="B79" s="1759"/>
      <c r="C79" s="1760"/>
      <c r="D79" s="356" t="s">
        <v>186</v>
      </c>
      <c r="E79" s="56">
        <f>'29'!F80</f>
        <v>526918</v>
      </c>
      <c r="F79" s="271">
        <v>341072.6</v>
      </c>
      <c r="G79" s="318">
        <f t="shared" si="6"/>
        <v>-185845.40000000002</v>
      </c>
      <c r="H79" s="57">
        <f>G79+'29'!H80</f>
        <v>-189472.92000000004</v>
      </c>
      <c r="I79" s="112"/>
      <c r="J79" s="58">
        <f>H79/DAY(B2)</f>
        <v>-6315.764000000001</v>
      </c>
      <c r="K79" s="83"/>
      <c r="L79" s="117"/>
    </row>
    <row r="80" spans="1:12" ht="23.25" customHeight="1">
      <c r="A80" s="1758" t="s">
        <v>198</v>
      </c>
      <c r="B80" s="1759"/>
      <c r="C80" s="1760"/>
      <c r="D80" s="356" t="s">
        <v>186</v>
      </c>
      <c r="E80" s="56">
        <f>'29'!F81</f>
        <v>638711</v>
      </c>
      <c r="F80" s="271">
        <v>407588.2</v>
      </c>
      <c r="G80" s="318">
        <f t="shared" si="6"/>
        <v>-231122.8</v>
      </c>
      <c r="H80" s="57">
        <f>G80+'29'!H81</f>
        <v>-231309.8</v>
      </c>
      <c r="I80" s="112"/>
      <c r="J80" s="58">
        <f>H80/DAY(B2)</f>
        <v>-7710.3266666666659</v>
      </c>
      <c r="K80" s="83"/>
      <c r="L80" s="117"/>
    </row>
    <row r="81" spans="1:12" ht="23.25" customHeight="1">
      <c r="A81" s="1761" t="s">
        <v>92</v>
      </c>
      <c r="B81" s="1759"/>
      <c r="C81" s="1760"/>
      <c r="D81" s="357" t="s">
        <v>131</v>
      </c>
      <c r="E81" s="56">
        <f>'29'!F82</f>
        <v>108123</v>
      </c>
      <c r="F81" s="272">
        <v>72586.12</v>
      </c>
      <c r="G81" s="318">
        <f t="shared" si="6"/>
        <v>-35536.880000000005</v>
      </c>
      <c r="H81" s="57">
        <f>G81+'29'!H82</f>
        <v>-35571.880000000005</v>
      </c>
      <c r="I81" s="206"/>
      <c r="J81" s="58">
        <f>H81/DAY(B2)</f>
        <v>-1185.7293333333334</v>
      </c>
      <c r="K81" s="83"/>
      <c r="L81" s="117"/>
    </row>
    <row r="82" spans="1:12" ht="23.25" customHeight="1">
      <c r="A82" s="1761" t="s">
        <v>199</v>
      </c>
      <c r="B82" s="1759"/>
      <c r="C82" s="1760"/>
      <c r="D82" s="273" t="s">
        <v>131</v>
      </c>
      <c r="E82" s="56">
        <f>'29'!F83</f>
        <v>20089</v>
      </c>
      <c r="F82" s="269">
        <v>725847</v>
      </c>
      <c r="G82" s="318">
        <f t="shared" si="6"/>
        <v>705758</v>
      </c>
      <c r="H82" s="57">
        <f>G82+'29'!H83</f>
        <v>705341</v>
      </c>
      <c r="I82" s="68"/>
      <c r="J82" s="58">
        <f>H82/DAY(B2)</f>
        <v>23511.366666666665</v>
      </c>
      <c r="K82" s="75"/>
      <c r="L82" s="117"/>
    </row>
    <row r="83" spans="1:12" ht="23.25" customHeight="1">
      <c r="A83" s="1129" t="s">
        <v>200</v>
      </c>
      <c r="B83" s="1129"/>
      <c r="C83" s="1130"/>
      <c r="D83" s="358" t="s">
        <v>131</v>
      </c>
      <c r="E83" s="56">
        <f>'29'!F84</f>
        <v>498687</v>
      </c>
      <c r="F83" s="268">
        <v>960770</v>
      </c>
      <c r="G83" s="318">
        <f t="shared" si="6"/>
        <v>462083</v>
      </c>
      <c r="H83" s="57">
        <f>G83+'29'!H84</f>
        <v>460476</v>
      </c>
      <c r="I83" s="68"/>
      <c r="J83" s="58">
        <f>H83/DAY(B2)</f>
        <v>15349.2</v>
      </c>
      <c r="K83" s="88"/>
      <c r="L83" s="117"/>
    </row>
    <row r="84" spans="1:12" s="38" customFormat="1" ht="23.25" customHeight="1">
      <c r="A84" s="409" t="s">
        <v>201</v>
      </c>
      <c r="B84" s="410"/>
      <c r="C84" s="410"/>
      <c r="D84" s="359"/>
      <c r="E84" s="312"/>
      <c r="F84" s="268"/>
      <c r="G84" s="368">
        <f xml:space="preserve"> SUM(G71:G83)</f>
        <v>2291983.92</v>
      </c>
      <c r="H84" s="57">
        <f>G84+'29'!H85</f>
        <v>2201978.8799999999</v>
      </c>
      <c r="I84" s="68"/>
      <c r="J84" s="58">
        <f>H84/DAY(B2)</f>
        <v>73399.296000000002</v>
      </c>
      <c r="K84" s="88"/>
      <c r="L84" s="44"/>
    </row>
    <row r="85" spans="1:12" s="38" customFormat="1" ht="23.25" customHeight="1">
      <c r="A85" s="1121" t="s">
        <v>204</v>
      </c>
      <c r="B85" s="398"/>
      <c r="C85" s="1122"/>
      <c r="D85" s="435"/>
      <c r="E85" s="435"/>
      <c r="F85" s="435"/>
      <c r="G85" s="390"/>
      <c r="H85" s="435"/>
      <c r="I85" s="435"/>
      <c r="J85" s="435"/>
      <c r="K85" s="88"/>
      <c r="L85" s="44"/>
    </row>
    <row r="86" spans="1:12" ht="23.25" customHeight="1">
      <c r="A86" s="1741" t="s">
        <v>205</v>
      </c>
      <c r="B86" s="1742"/>
      <c r="C86" s="1743"/>
      <c r="D86" s="268" t="s">
        <v>143</v>
      </c>
      <c r="E86" s="415">
        <f>'29'!F93</f>
        <v>245378</v>
      </c>
      <c r="F86" s="267">
        <v>175511</v>
      </c>
      <c r="G86" s="318">
        <f t="shared" ref="G86:G87" si="7">F86-E86</f>
        <v>-69867</v>
      </c>
      <c r="H86" s="57">
        <f>G86+'29'!H93</f>
        <v>-69977</v>
      </c>
      <c r="I86" s="69"/>
      <c r="J86" s="58">
        <f>H86/DAY(B2)</f>
        <v>-2332.5666666666666</v>
      </c>
      <c r="K86" s="75"/>
      <c r="L86" s="117"/>
    </row>
    <row r="87" spans="1:12" ht="23.25" customHeight="1">
      <c r="A87" s="1741" t="s">
        <v>206</v>
      </c>
      <c r="B87" s="1742"/>
      <c r="C87" s="1743"/>
      <c r="D87" s="268" t="s">
        <v>143</v>
      </c>
      <c r="E87" s="56">
        <f>'29'!F94</f>
        <v>185930</v>
      </c>
      <c r="F87" s="267">
        <v>60336</v>
      </c>
      <c r="G87" s="318">
        <f t="shared" si="7"/>
        <v>-125594</v>
      </c>
      <c r="H87" s="57">
        <f>G87+'29'!H94</f>
        <v>-125785</v>
      </c>
      <c r="I87" s="69"/>
      <c r="J87" s="58">
        <f>H87/DAY(B2)</f>
        <v>-4192.833333333333</v>
      </c>
      <c r="K87" s="88"/>
      <c r="L87" s="117"/>
    </row>
    <row r="88" spans="1:12" ht="23.25" customHeight="1">
      <c r="A88" s="1744" t="s">
        <v>207</v>
      </c>
      <c r="B88" s="1745"/>
      <c r="C88" s="1746"/>
      <c r="D88" s="268"/>
      <c r="E88" s="56">
        <f>'29'!F95</f>
        <v>3</v>
      </c>
      <c r="F88" s="267"/>
      <c r="G88" s="318">
        <f>G86+G87</f>
        <v>-195461</v>
      </c>
      <c r="H88" s="57">
        <f>G88+'29'!H95</f>
        <v>-195838</v>
      </c>
      <c r="I88" s="69"/>
      <c r="J88" s="58">
        <f>H88/DAY(B2)</f>
        <v>-6527.9333333333334</v>
      </c>
      <c r="K88" s="88"/>
      <c r="L88" s="117"/>
    </row>
    <row r="89" spans="1:12" ht="23.25" customHeight="1">
      <c r="A89" s="1741" t="s">
        <v>208</v>
      </c>
      <c r="B89" s="1742"/>
      <c r="C89" s="1743"/>
      <c r="D89" s="268" t="s">
        <v>143</v>
      </c>
      <c r="E89" s="56">
        <f>'29'!F96</f>
        <v>414191</v>
      </c>
      <c r="F89" s="267">
        <v>351186</v>
      </c>
      <c r="G89" s="318">
        <f t="shared" ref="G89:G94" si="8">F89-E89</f>
        <v>-63005</v>
      </c>
      <c r="H89" s="57">
        <f>G89+'29'!H96</f>
        <v>-63097</v>
      </c>
      <c r="I89" s="69"/>
      <c r="J89" s="58">
        <f>H89/DAY(B2)</f>
        <v>-2103.2333333333331</v>
      </c>
      <c r="K89" s="88"/>
      <c r="L89" s="117"/>
    </row>
    <row r="90" spans="1:12" ht="23.25" customHeight="1">
      <c r="A90" s="1123" t="s">
        <v>209</v>
      </c>
      <c r="B90" s="1124"/>
      <c r="C90" s="1125"/>
      <c r="D90" s="268" t="s">
        <v>143</v>
      </c>
      <c r="E90" s="56">
        <v>72</v>
      </c>
      <c r="F90" s="267">
        <v>84</v>
      </c>
      <c r="G90" s="318">
        <f t="shared" si="8"/>
        <v>12</v>
      </c>
      <c r="H90" s="57">
        <f>G90+'29'!H97</f>
        <v>-13</v>
      </c>
      <c r="I90" s="69"/>
      <c r="J90" s="58">
        <f>H90/DAY(B2)</f>
        <v>-0.43333333333333335</v>
      </c>
      <c r="K90" s="43"/>
      <c r="L90" s="117"/>
    </row>
    <row r="91" spans="1:12" ht="23.25" customHeight="1">
      <c r="A91" s="1123" t="s">
        <v>210</v>
      </c>
      <c r="B91" s="1124"/>
      <c r="C91" s="1125"/>
      <c r="D91" s="268" t="s">
        <v>143</v>
      </c>
      <c r="E91" s="56">
        <f>'29'!F98</f>
        <v>97897</v>
      </c>
      <c r="F91" s="267">
        <v>82333</v>
      </c>
      <c r="G91" s="318">
        <f t="shared" si="8"/>
        <v>-15564</v>
      </c>
      <c r="H91" s="57">
        <f>G91+'29'!H98</f>
        <v>-15617</v>
      </c>
      <c r="I91" s="69"/>
      <c r="J91" s="58">
        <f>H91/DAY(B2)</f>
        <v>-520.56666666666672</v>
      </c>
      <c r="K91" s="51"/>
      <c r="L91" s="117"/>
    </row>
    <row r="92" spans="1:12" ht="23.25" customHeight="1">
      <c r="A92" s="1123" t="s">
        <v>211</v>
      </c>
      <c r="B92" s="1124"/>
      <c r="C92" s="1125"/>
      <c r="D92" s="268" t="s">
        <v>143</v>
      </c>
      <c r="E92" s="56">
        <f>'29'!F99</f>
        <v>149846</v>
      </c>
      <c r="F92" s="267">
        <v>115948</v>
      </c>
      <c r="G92" s="318">
        <f t="shared" si="8"/>
        <v>-33898</v>
      </c>
      <c r="H92" s="57">
        <f>G92+'29'!H99</f>
        <v>-33904</v>
      </c>
      <c r="I92" s="69"/>
      <c r="J92" s="58">
        <f>H92/DAY(B2)</f>
        <v>-1130.1333333333334</v>
      </c>
      <c r="K92" s="88"/>
      <c r="L92" s="117"/>
    </row>
    <row r="93" spans="1:12" ht="23.25" customHeight="1">
      <c r="A93" s="1123" t="s">
        <v>212</v>
      </c>
      <c r="B93" s="1124"/>
      <c r="C93" s="1125"/>
      <c r="D93" s="268" t="s">
        <v>143</v>
      </c>
      <c r="E93" s="56">
        <f>'29'!F100</f>
        <v>7356</v>
      </c>
      <c r="F93" s="267">
        <v>2658</v>
      </c>
      <c r="G93" s="318">
        <f t="shared" si="8"/>
        <v>-4698</v>
      </c>
      <c r="H93" s="57">
        <f>G93+'29'!H100</f>
        <v>-4711</v>
      </c>
      <c r="I93" s="69"/>
      <c r="J93" s="58">
        <f>H93/DAY(B2)</f>
        <v>-157.03333333333333</v>
      </c>
      <c r="K93" s="88"/>
      <c r="L93" s="117"/>
    </row>
    <row r="94" spans="1:12" ht="23.25" customHeight="1">
      <c r="A94" s="1123" t="s">
        <v>213</v>
      </c>
      <c r="B94" s="1124"/>
      <c r="C94" s="1125"/>
      <c r="D94" s="268" t="s">
        <v>143</v>
      </c>
      <c r="E94" s="56">
        <f>'29'!F101</f>
        <v>5372</v>
      </c>
      <c r="F94" s="267">
        <v>2507</v>
      </c>
      <c r="G94" s="318">
        <f t="shared" si="8"/>
        <v>-2865</v>
      </c>
      <c r="H94" s="57">
        <f>G94+'29'!H101</f>
        <v>-2884</v>
      </c>
      <c r="I94" s="69"/>
      <c r="J94" s="58">
        <f>H94/DAY(B2)</f>
        <v>-96.13333333333334</v>
      </c>
      <c r="K94" s="88"/>
      <c r="L94" s="117"/>
    </row>
    <row r="95" spans="1:12" ht="23.25" customHeight="1">
      <c r="A95" s="1744" t="s">
        <v>215</v>
      </c>
      <c r="B95" s="1745"/>
      <c r="C95" s="1746"/>
      <c r="D95" s="274"/>
      <c r="E95" s="416"/>
      <c r="F95" s="274"/>
      <c r="G95" s="411">
        <f>SUM(G89:G94)</f>
        <v>-120018</v>
      </c>
      <c r="H95" s="57">
        <f>G95+'29'!H102</f>
        <v>-120226</v>
      </c>
      <c r="I95" s="140"/>
      <c r="J95" s="58">
        <f>H95/DAY(B2)</f>
        <v>-4007.5333333333333</v>
      </c>
      <c r="K95" s="88"/>
      <c r="L95" s="117"/>
    </row>
    <row r="96" spans="1:12" ht="23.25" customHeight="1">
      <c r="A96" s="1747" t="s">
        <v>229</v>
      </c>
      <c r="B96" s="1748"/>
      <c r="C96" s="1749"/>
      <c r="D96" s="435"/>
      <c r="E96" s="435"/>
      <c r="F96" s="435"/>
      <c r="G96" s="389"/>
      <c r="H96" s="389"/>
      <c r="I96" s="389"/>
      <c r="J96" s="389"/>
      <c r="K96" s="88"/>
      <c r="L96" s="117"/>
    </row>
    <row r="97" spans="1:12" ht="23.25" customHeight="1">
      <c r="A97" s="360" t="s">
        <v>230</v>
      </c>
      <c r="B97" s="361"/>
      <c r="C97" s="362"/>
      <c r="D97" s="312" t="s">
        <v>140</v>
      </c>
      <c r="E97" s="415">
        <f>'29'!F124</f>
        <v>831972</v>
      </c>
      <c r="F97" s="275">
        <v>650192.71</v>
      </c>
      <c r="G97" s="318">
        <f t="shared" ref="G97:G101" si="9">F97-E97</f>
        <v>-181779.29000000004</v>
      </c>
      <c r="H97" s="57">
        <f>G97+'29'!H124</f>
        <v>-182173.29000000004</v>
      </c>
      <c r="I97" s="87"/>
      <c r="J97" s="58">
        <f>H97/DAY(B2)</f>
        <v>-6072.4430000000011</v>
      </c>
      <c r="K97" s="88"/>
      <c r="L97" s="117"/>
    </row>
    <row r="98" spans="1:12" ht="23.25" customHeight="1">
      <c r="A98" s="360" t="s">
        <v>231</v>
      </c>
      <c r="B98" s="361"/>
      <c r="C98" s="362"/>
      <c r="D98" s="312" t="s">
        <v>140</v>
      </c>
      <c r="E98" s="56">
        <f>'29'!F125</f>
        <v>73583</v>
      </c>
      <c r="F98" s="275">
        <v>51370</v>
      </c>
      <c r="G98" s="318">
        <f t="shared" si="9"/>
        <v>-22213</v>
      </c>
      <c r="H98" s="57">
        <f>G98+'29'!H125</f>
        <v>-22213.399999999994</v>
      </c>
      <c r="I98" s="363"/>
      <c r="J98" s="58">
        <f>H98/DAY(B2)</f>
        <v>-740.44666666666649</v>
      </c>
      <c r="K98" s="88"/>
      <c r="L98" s="117"/>
    </row>
    <row r="99" spans="1:12" ht="23.25" customHeight="1">
      <c r="A99" s="1750" t="s">
        <v>232</v>
      </c>
      <c r="B99" s="1751"/>
      <c r="C99" s="1752"/>
      <c r="D99" s="268" t="s">
        <v>140</v>
      </c>
      <c r="E99" s="56">
        <f>'29'!F126</f>
        <v>146368</v>
      </c>
      <c r="F99" s="264">
        <v>83294.490000000005</v>
      </c>
      <c r="G99" s="318">
        <f t="shared" si="9"/>
        <v>-63073.509999999995</v>
      </c>
      <c r="H99" s="57">
        <f>G99+'29'!H126</f>
        <v>-63196.509999999995</v>
      </c>
      <c r="I99" s="363"/>
      <c r="J99" s="58">
        <f>H99/DAY(B2)</f>
        <v>-2106.5503333333331</v>
      </c>
      <c r="K99" s="88"/>
      <c r="L99" s="117"/>
    </row>
    <row r="100" spans="1:12" ht="23.25" customHeight="1">
      <c r="A100" s="385" t="s">
        <v>233</v>
      </c>
      <c r="B100" s="1124"/>
      <c r="C100" s="1125"/>
      <c r="D100" s="268" t="s">
        <v>140</v>
      </c>
      <c r="E100" s="56">
        <f>'29'!F127</f>
        <v>31404</v>
      </c>
      <c r="F100" s="264">
        <v>39666</v>
      </c>
      <c r="G100" s="318">
        <f t="shared" si="9"/>
        <v>8262</v>
      </c>
      <c r="H100" s="57">
        <f>G100+'29'!H127</f>
        <v>8260</v>
      </c>
      <c r="I100" s="363"/>
      <c r="J100" s="58">
        <f>H100/DAY(B2)</f>
        <v>275.33333333333331</v>
      </c>
      <c r="K100" s="88"/>
      <c r="L100" s="117"/>
    </row>
    <row r="101" spans="1:12" ht="23.25" customHeight="1">
      <c r="A101" s="385" t="s">
        <v>234</v>
      </c>
      <c r="B101" s="1124"/>
      <c r="C101" s="1125"/>
      <c r="D101" s="268" t="s">
        <v>140</v>
      </c>
      <c r="E101" s="56">
        <f>'29'!F128</f>
        <v>8971</v>
      </c>
      <c r="F101" s="264">
        <v>6221.3</v>
      </c>
      <c r="G101" s="318">
        <f t="shared" si="9"/>
        <v>-2749.7</v>
      </c>
      <c r="H101" s="57">
        <f>G101+'29'!H128</f>
        <v>-2750.7</v>
      </c>
      <c r="I101" s="319"/>
      <c r="J101" s="308">
        <f>H101/DAY(B2)</f>
        <v>-91.69</v>
      </c>
      <c r="K101" s="88"/>
      <c r="L101" s="117"/>
    </row>
    <row r="102" spans="1:12" ht="23.25" customHeight="1">
      <c r="A102" s="1753" t="s">
        <v>249</v>
      </c>
      <c r="B102" s="1754"/>
      <c r="C102" s="435"/>
      <c r="D102" s="435"/>
      <c r="E102" s="417"/>
      <c r="F102" s="435"/>
      <c r="G102" s="389"/>
      <c r="H102" s="389"/>
      <c r="I102" s="389"/>
      <c r="J102" s="389"/>
      <c r="K102" s="88"/>
      <c r="L102" s="117"/>
    </row>
    <row r="103" spans="1:12" ht="23.25" customHeight="1">
      <c r="A103" s="1741" t="s">
        <v>250</v>
      </c>
      <c r="B103" s="1742"/>
      <c r="C103" s="1743"/>
      <c r="D103" s="268" t="s">
        <v>131</v>
      </c>
      <c r="E103" s="268"/>
      <c r="F103" s="268"/>
      <c r="G103" s="277">
        <f>G34+G42+G48+G56</f>
        <v>21684.479999999865</v>
      </c>
      <c r="H103" s="57">
        <f>G103+'29'!H143</f>
        <v>10735.549999999917</v>
      </c>
      <c r="I103" s="69"/>
      <c r="J103" s="58">
        <f>H103/DAY(B2)</f>
        <v>357.8516666666639</v>
      </c>
      <c r="K103" s="88"/>
      <c r="L103" s="117"/>
    </row>
    <row r="104" spans="1:12" ht="23.25" customHeight="1">
      <c r="A104" s="1741" t="s">
        <v>251</v>
      </c>
      <c r="B104" s="1742"/>
      <c r="C104" s="1743"/>
      <c r="D104" s="268" t="s">
        <v>24</v>
      </c>
      <c r="E104" s="269"/>
      <c r="F104" s="269"/>
      <c r="G104" s="280">
        <f>G103/G7</f>
        <v>7.973789303569739E-3</v>
      </c>
      <c r="H104" s="57">
        <f>G104+'29'!H144</f>
        <v>-1.5390058197630174</v>
      </c>
      <c r="I104" s="84"/>
      <c r="J104" s="58">
        <f>H104/DAY(B2)</f>
        <v>-5.1300193992100583E-2</v>
      </c>
      <c r="K104" s="111"/>
      <c r="L104" s="117"/>
    </row>
    <row r="105" spans="1:12" ht="23.25" customHeight="1">
      <c r="A105" s="1741" t="s">
        <v>252</v>
      </c>
      <c r="B105" s="1742"/>
      <c r="C105" s="1743"/>
      <c r="D105" s="268" t="s">
        <v>131</v>
      </c>
      <c r="E105" s="265"/>
      <c r="F105" s="265"/>
      <c r="G105" s="277">
        <f>G40+G41+G54+G55</f>
        <v>2492466.89</v>
      </c>
      <c r="H105" s="57">
        <f>G105+'29'!H145</f>
        <v>2481291.92</v>
      </c>
      <c r="I105" s="69"/>
      <c r="J105" s="58">
        <f>H105/DAY(B2)</f>
        <v>82709.73066666667</v>
      </c>
      <c r="K105" s="111"/>
      <c r="L105" s="117"/>
    </row>
    <row r="106" spans="1:12" ht="23.25" customHeight="1">
      <c r="A106" s="1741" t="s">
        <v>253</v>
      </c>
      <c r="B106" s="1742"/>
      <c r="C106" s="1743"/>
      <c r="D106" s="268" t="s">
        <v>24</v>
      </c>
      <c r="E106" s="265"/>
      <c r="F106" s="265"/>
      <c r="G106" s="280">
        <f>G105/G7</f>
        <v>0.91652674295089653</v>
      </c>
      <c r="H106" s="57">
        <f>G106+'29'!H146</f>
        <v>-0.78942694239704836</v>
      </c>
      <c r="I106" s="84"/>
      <c r="J106" s="58">
        <f>H106/DAY(B2)</f>
        <v>-2.6314231413234947E-2</v>
      </c>
      <c r="K106" s="111"/>
      <c r="L106" s="117"/>
    </row>
    <row r="107" spans="1:12" ht="23.25" customHeight="1">
      <c r="A107" s="1741" t="s">
        <v>254</v>
      </c>
      <c r="B107" s="1742"/>
      <c r="C107" s="1743"/>
      <c r="D107" s="268" t="s">
        <v>131</v>
      </c>
      <c r="E107" s="265"/>
      <c r="F107" s="265"/>
      <c r="G107" s="277">
        <f>G38+G52</f>
        <v>2258466.69</v>
      </c>
      <c r="H107" s="57">
        <f>G107+'29'!H147</f>
        <v>2252828.69</v>
      </c>
      <c r="I107" s="86"/>
      <c r="J107" s="58">
        <f>H107/DAY(B2)</f>
        <v>75094.289666666664</v>
      </c>
      <c r="K107" s="111"/>
      <c r="L107" s="117"/>
    </row>
    <row r="108" spans="1:12" ht="23.25" customHeight="1">
      <c r="A108" s="1741" t="s">
        <v>255</v>
      </c>
      <c r="B108" s="1742"/>
      <c r="C108" s="1743"/>
      <c r="D108" s="268" t="s">
        <v>24</v>
      </c>
      <c r="E108" s="265"/>
      <c r="F108" s="265"/>
      <c r="G108" s="280">
        <f>G107/G7</f>
        <v>0.83048048812748398</v>
      </c>
      <c r="H108" s="57">
        <f>G108+'29'!H148</f>
        <v>-7.9489265828872169E-2</v>
      </c>
      <c r="I108" s="86"/>
      <c r="J108" s="58">
        <f>H108/DAY(B2)</f>
        <v>-2.649642194295739E-3</v>
      </c>
    </row>
    <row r="109" spans="1:12" ht="23.25" customHeight="1">
      <c r="A109" s="1741" t="s">
        <v>256</v>
      </c>
      <c r="B109" s="1742"/>
      <c r="C109" s="1743"/>
      <c r="D109" s="268" t="s">
        <v>182</v>
      </c>
      <c r="E109" s="265"/>
      <c r="F109" s="265"/>
      <c r="G109" s="277">
        <f>G37+G51</f>
        <v>1226135.6800000002</v>
      </c>
      <c r="H109" s="57">
        <f>G109+'29'!H149</f>
        <v>1223555.75</v>
      </c>
      <c r="I109" s="69"/>
      <c r="J109" s="58">
        <f>H109/DAY(B2)</f>
        <v>40785.191666666666</v>
      </c>
      <c r="K109" s="153"/>
    </row>
    <row r="110" spans="1:12" ht="23.25" customHeight="1">
      <c r="A110" s="1741" t="s">
        <v>257</v>
      </c>
      <c r="B110" s="1742"/>
      <c r="C110" s="1743"/>
      <c r="D110" s="268" t="s">
        <v>24</v>
      </c>
      <c r="E110" s="265"/>
      <c r="F110" s="265"/>
      <c r="G110" s="280">
        <f>G109/G7</f>
        <v>0.4508730469861057</v>
      </c>
      <c r="H110" s="57">
        <f>G110+'29'!H150</f>
        <v>4.4057983544462942E-2</v>
      </c>
      <c r="I110" s="86"/>
      <c r="J110" s="58">
        <f>H110/DAY(B2)</f>
        <v>1.4685994514820981E-3</v>
      </c>
    </row>
    <row r="111" spans="1:12" ht="23.25" customHeight="1">
      <c r="A111" s="1741" t="s">
        <v>258</v>
      </c>
      <c r="B111" s="1742"/>
      <c r="C111" s="1743"/>
      <c r="D111" s="268" t="s">
        <v>182</v>
      </c>
      <c r="E111" s="265"/>
      <c r="F111" s="265"/>
      <c r="G111" s="277">
        <f>G35+G49</f>
        <v>554385.22</v>
      </c>
      <c r="H111" s="57">
        <f>G111+'29'!H151</f>
        <v>899467.22</v>
      </c>
      <c r="I111" s="86"/>
      <c r="J111" s="58">
        <f>H111/DAY(B2)</f>
        <v>29982.240666666665</v>
      </c>
    </row>
    <row r="112" spans="1:12" ht="23.25" customHeight="1">
      <c r="A112" s="1741" t="s">
        <v>259</v>
      </c>
      <c r="B112" s="1742"/>
      <c r="C112" s="1743"/>
      <c r="D112" s="268" t="s">
        <v>24</v>
      </c>
      <c r="E112" s="265"/>
      <c r="F112" s="265"/>
      <c r="G112" s="280">
        <f>G111/G7</f>
        <v>0.20385782537986538</v>
      </c>
      <c r="H112" s="57">
        <f>G112+'29'!H152</f>
        <v>20.159995064000626</v>
      </c>
      <c r="I112" s="69"/>
      <c r="J112" s="58">
        <f>H112/DAY(B2)</f>
        <v>0.67199983546668751</v>
      </c>
    </row>
    <row r="113" spans="1:10" ht="23.25" customHeight="1">
      <c r="A113" s="1741" t="s">
        <v>260</v>
      </c>
      <c r="B113" s="1742"/>
      <c r="C113" s="1743"/>
      <c r="D113" s="268" t="s">
        <v>182</v>
      </c>
      <c r="E113" s="265"/>
      <c r="F113" s="265"/>
      <c r="G113" s="277">
        <f>G36+G50</f>
        <v>668497.06999999995</v>
      </c>
      <c r="H113" s="57">
        <f>G113+'29'!H153</f>
        <v>665934.93999999994</v>
      </c>
      <c r="I113" s="69"/>
      <c r="J113" s="58">
        <f>H113/DAY(B2)</f>
        <v>22197.831333333332</v>
      </c>
    </row>
    <row r="114" spans="1:10" ht="23.25" customHeight="1">
      <c r="A114" s="1741" t="s">
        <v>261</v>
      </c>
      <c r="B114" s="1742"/>
      <c r="C114" s="1743"/>
      <c r="D114" s="268" t="s">
        <v>24</v>
      </c>
      <c r="E114" s="265"/>
      <c r="F114" s="265"/>
      <c r="G114" s="280">
        <f>G113/G7</f>
        <v>0.24581888918866135</v>
      </c>
      <c r="H114" s="57">
        <f>G114+'29'!H154</f>
        <v>-0.14644896005947777</v>
      </c>
      <c r="I114" s="69"/>
      <c r="J114" s="58">
        <f>H114/DAY(B2)</f>
        <v>-4.8816320019825924E-3</v>
      </c>
    </row>
    <row r="115" spans="1:10" ht="23.25" customHeight="1">
      <c r="A115" s="388" t="s">
        <v>236</v>
      </c>
      <c r="B115" s="388"/>
      <c r="C115" s="388"/>
      <c r="D115" s="388"/>
      <c r="E115" s="388"/>
      <c r="F115" s="388"/>
      <c r="G115" s="399"/>
      <c r="H115" s="399"/>
      <c r="I115" s="399"/>
      <c r="J115" s="399"/>
    </row>
    <row r="116" spans="1:10" ht="23.25" customHeight="1">
      <c r="A116" s="436" t="s">
        <v>237</v>
      </c>
      <c r="B116" s="436"/>
      <c r="C116" s="436"/>
      <c r="D116" s="268" t="s">
        <v>238</v>
      </c>
      <c r="E116" s="415">
        <f>'29'!F131</f>
        <v>0</v>
      </c>
      <c r="F116" s="267">
        <v>0</v>
      </c>
      <c r="G116" s="318">
        <f t="shared" ref="G116:G126" si="10">F116-E116</f>
        <v>0</v>
      </c>
      <c r="H116" s="57" t="e">
        <f>G116+'29'!H131</f>
        <v>#VALUE!</v>
      </c>
      <c r="I116" s="69"/>
      <c r="J116" s="58" t="e">
        <f>H116/DAY(B2)</f>
        <v>#VALUE!</v>
      </c>
    </row>
    <row r="117" spans="1:10" ht="23.25" customHeight="1">
      <c r="A117" s="436" t="s">
        <v>239</v>
      </c>
      <c r="B117" s="436"/>
      <c r="C117" s="436"/>
      <c r="D117" s="268" t="s">
        <v>238</v>
      </c>
      <c r="E117" s="56">
        <f>'29'!F132</f>
        <v>0</v>
      </c>
      <c r="F117" s="267">
        <v>0</v>
      </c>
      <c r="G117" s="318">
        <f t="shared" si="10"/>
        <v>0</v>
      </c>
      <c r="H117" s="57">
        <f>G117+'29'!H132</f>
        <v>0</v>
      </c>
      <c r="I117" s="69"/>
      <c r="J117" s="58">
        <f>H117/DAY(B2)</f>
        <v>0</v>
      </c>
    </row>
    <row r="118" spans="1:10" ht="23.25" customHeight="1">
      <c r="A118" s="436" t="s">
        <v>240</v>
      </c>
      <c r="B118" s="436"/>
      <c r="C118" s="436"/>
      <c r="D118" s="268" t="s">
        <v>238</v>
      </c>
      <c r="E118" s="56">
        <f>'29'!F133</f>
        <v>40059</v>
      </c>
      <c r="F118" s="267">
        <v>36196</v>
      </c>
      <c r="G118" s="318">
        <f t="shared" si="10"/>
        <v>-3863</v>
      </c>
      <c r="H118" s="57">
        <f>G118+'29'!H133</f>
        <v>-3839.0999999999985</v>
      </c>
      <c r="I118" s="69"/>
      <c r="J118" s="58">
        <f>H118/DAY(B2)</f>
        <v>-127.96999999999996</v>
      </c>
    </row>
    <row r="119" spans="1:10" ht="23.25" customHeight="1">
      <c r="A119" s="436" t="s">
        <v>241</v>
      </c>
      <c r="B119" s="436"/>
      <c r="C119" s="436"/>
      <c r="D119" s="268" t="s">
        <v>238</v>
      </c>
      <c r="E119" s="56">
        <f>'29'!F134</f>
        <v>300</v>
      </c>
      <c r="F119" s="267">
        <v>32397.32</v>
      </c>
      <c r="G119" s="318">
        <f t="shared" si="10"/>
        <v>32097.32</v>
      </c>
      <c r="H119" s="57">
        <f>G119+'29'!H134</f>
        <v>32097.32</v>
      </c>
      <c r="I119" s="69">
        <f>G116+G117+G118+G119</f>
        <v>28234.32</v>
      </c>
      <c r="J119" s="58">
        <f>H119/DAY(B2)</f>
        <v>1069.9106666666667</v>
      </c>
    </row>
    <row r="120" spans="1:10" ht="23.25" customHeight="1">
      <c r="A120" s="436" t="s">
        <v>242</v>
      </c>
      <c r="B120" s="436"/>
      <c r="C120" s="436"/>
      <c r="D120" s="268" t="s">
        <v>238</v>
      </c>
      <c r="E120" s="56">
        <f>'29'!F135</f>
        <v>41730</v>
      </c>
      <c r="F120" s="267">
        <v>30495.25</v>
      </c>
      <c r="G120" s="318">
        <f t="shared" si="10"/>
        <v>-11234.75</v>
      </c>
      <c r="H120" s="57">
        <f>G120+'29'!H135</f>
        <v>-11344.190000000002</v>
      </c>
      <c r="I120" s="69"/>
      <c r="J120" s="58">
        <f>H120/DAY(B2)</f>
        <v>-378.13966666666676</v>
      </c>
    </row>
    <row r="121" spans="1:10" ht="23.25" customHeight="1">
      <c r="A121" s="436" t="s">
        <v>243</v>
      </c>
      <c r="B121" s="436"/>
      <c r="C121" s="436"/>
      <c r="D121" s="268" t="s">
        <v>238</v>
      </c>
      <c r="E121" s="56">
        <f>'29'!F136</f>
        <v>32667.24</v>
      </c>
      <c r="F121" s="267">
        <v>25683.26</v>
      </c>
      <c r="G121" s="318">
        <f t="shared" si="10"/>
        <v>-6983.9800000000032</v>
      </c>
      <c r="H121" s="57">
        <f>G121+'29'!H136</f>
        <v>-7177.7900000000045</v>
      </c>
      <c r="I121" s="69"/>
      <c r="J121" s="58">
        <f>H121/DAY(B2)</f>
        <v>-239.25966666666682</v>
      </c>
    </row>
    <row r="122" spans="1:10" ht="23.25" customHeight="1">
      <c r="A122" s="436" t="s">
        <v>244</v>
      </c>
      <c r="B122" s="436"/>
      <c r="C122" s="436"/>
      <c r="D122" s="268" t="s">
        <v>238</v>
      </c>
      <c r="E122" s="56">
        <f>'29'!F137</f>
        <v>22799</v>
      </c>
      <c r="F122" s="267">
        <v>21285.49</v>
      </c>
      <c r="G122" s="318">
        <f t="shared" si="10"/>
        <v>-1513.5099999999984</v>
      </c>
      <c r="H122" s="57">
        <f>G122+'29'!H137</f>
        <v>-1521.75</v>
      </c>
      <c r="I122" s="69">
        <f>G120+G121+G122</f>
        <v>-19732.240000000002</v>
      </c>
      <c r="J122" s="58">
        <f>H122/DAY(B2)</f>
        <v>-50.725000000000001</v>
      </c>
    </row>
    <row r="123" spans="1:10" ht="23.25" customHeight="1">
      <c r="A123" s="436" t="s">
        <v>245</v>
      </c>
      <c r="B123" s="436"/>
      <c r="C123" s="436"/>
      <c r="D123" s="268" t="s">
        <v>238</v>
      </c>
      <c r="E123" s="56">
        <f>'29'!F138</f>
        <v>25052</v>
      </c>
      <c r="F123" s="267">
        <v>22354.720000000001</v>
      </c>
      <c r="G123" s="318">
        <f t="shared" si="10"/>
        <v>-2697.2799999999988</v>
      </c>
      <c r="H123" s="57">
        <f>G123+'29'!H138</f>
        <v>-2719.1699999999983</v>
      </c>
      <c r="I123" s="69"/>
      <c r="J123" s="58">
        <f>H123/DAY(B2)</f>
        <v>-90.638999999999939</v>
      </c>
    </row>
    <row r="124" spans="1:10" ht="23.25" customHeight="1">
      <c r="A124" s="436" t="s">
        <v>246</v>
      </c>
      <c r="B124" s="436"/>
      <c r="C124" s="436"/>
      <c r="D124" s="268" t="s">
        <v>238</v>
      </c>
      <c r="E124" s="56">
        <f>'29'!F139</f>
        <v>70402</v>
      </c>
      <c r="F124" s="267">
        <v>64789.37</v>
      </c>
      <c r="G124" s="318">
        <f t="shared" si="10"/>
        <v>-5612.6299999999974</v>
      </c>
      <c r="H124" s="57">
        <f>G124+'29'!H139</f>
        <v>-5692.3599999999933</v>
      </c>
      <c r="I124" s="69">
        <f>G123+G124</f>
        <v>-8309.9099999999962</v>
      </c>
      <c r="J124" s="58">
        <f>H124/DAY(B2)</f>
        <v>-189.74533333333312</v>
      </c>
    </row>
    <row r="125" spans="1:10" ht="23.25" customHeight="1">
      <c r="A125" s="436" t="s">
        <v>247</v>
      </c>
      <c r="B125" s="436"/>
      <c r="C125" s="436"/>
      <c r="D125" s="268" t="s">
        <v>238</v>
      </c>
      <c r="E125" s="56">
        <f>'29'!F140</f>
        <v>1839.44</v>
      </c>
      <c r="F125" s="267">
        <v>17.899999999999999</v>
      </c>
      <c r="G125" s="318">
        <f t="shared" si="10"/>
        <v>-1821.54</v>
      </c>
      <c r="H125" s="57">
        <f>G125+'29'!H140</f>
        <v>-1836.3999999999999</v>
      </c>
      <c r="J125" s="58">
        <f>H125/DAY(B2)</f>
        <v>-61.213333333333331</v>
      </c>
    </row>
    <row r="126" spans="1:10" ht="23.25" customHeight="1" thickBot="1">
      <c r="A126" s="436" t="s">
        <v>248</v>
      </c>
      <c r="B126" s="436"/>
      <c r="C126" s="436"/>
      <c r="D126" s="268" t="s">
        <v>238</v>
      </c>
      <c r="E126" s="418">
        <f>'29'!F141</f>
        <v>4637</v>
      </c>
      <c r="F126" s="267">
        <v>603.07000000000005</v>
      </c>
      <c r="G126" s="318">
        <f t="shared" si="10"/>
        <v>-4033.93</v>
      </c>
      <c r="H126" s="57">
        <f>G126+'29'!H141</f>
        <v>-4033.93</v>
      </c>
      <c r="J126" s="58">
        <f>H126/DAY(B2)</f>
        <v>-134.46433333333331</v>
      </c>
    </row>
  </sheetData>
  <mergeCells count="49">
    <mergeCell ref="A18:C18"/>
    <mergeCell ref="A1:J1"/>
    <mergeCell ref="E3:F3"/>
    <mergeCell ref="A6:C6"/>
    <mergeCell ref="A14:C14"/>
    <mergeCell ref="A17:C17"/>
    <mergeCell ref="A70:J70"/>
    <mergeCell ref="A19:C19"/>
    <mergeCell ref="A21:C21"/>
    <mergeCell ref="A25:C25"/>
    <mergeCell ref="A32:J32"/>
    <mergeCell ref="A63:C63"/>
    <mergeCell ref="A64:C64"/>
    <mergeCell ref="A65:C65"/>
    <mergeCell ref="A66:C66"/>
    <mergeCell ref="A67:C67"/>
    <mergeCell ref="A68:C68"/>
    <mergeCell ref="A69:C69"/>
    <mergeCell ref="A86:C86"/>
    <mergeCell ref="A71:C71"/>
    <mergeCell ref="A72:C72"/>
    <mergeCell ref="A73:C73"/>
    <mergeCell ref="A74:C74"/>
    <mergeCell ref="A75:C75"/>
    <mergeCell ref="A76:C76"/>
    <mergeCell ref="A78:C78"/>
    <mergeCell ref="A79:C79"/>
    <mergeCell ref="A80:C80"/>
    <mergeCell ref="A81:C81"/>
    <mergeCell ref="A82:C82"/>
    <mergeCell ref="A107:C107"/>
    <mergeCell ref="A87:C87"/>
    <mergeCell ref="A88:C88"/>
    <mergeCell ref="A89:C89"/>
    <mergeCell ref="A95:C95"/>
    <mergeCell ref="A96:C96"/>
    <mergeCell ref="A99:C99"/>
    <mergeCell ref="A102:B102"/>
    <mergeCell ref="A103:C103"/>
    <mergeCell ref="A104:C104"/>
    <mergeCell ref="A105:C105"/>
    <mergeCell ref="A106:C106"/>
    <mergeCell ref="A114:C114"/>
    <mergeCell ref="A108:C108"/>
    <mergeCell ref="A109:C109"/>
    <mergeCell ref="A110:C110"/>
    <mergeCell ref="A111:C111"/>
    <mergeCell ref="A112:C112"/>
    <mergeCell ref="A113:C113"/>
  </mergeCells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3:I7"/>
  <sheetViews>
    <sheetView workbookViewId="0">
      <selection activeCell="A37" sqref="A37"/>
    </sheetView>
  </sheetViews>
  <sheetFormatPr defaultRowHeight="15.75"/>
  <sheetData>
    <row r="3" spans="1:9">
      <c r="A3" s="213">
        <f>'1'!G7</f>
        <v>16562</v>
      </c>
      <c r="B3" s="213"/>
      <c r="C3" s="213"/>
      <c r="D3" s="213"/>
      <c r="E3" s="213"/>
      <c r="F3" s="213"/>
      <c r="G3" s="213"/>
      <c r="H3" s="213"/>
      <c r="I3" s="213"/>
    </row>
    <row r="4" spans="1:9">
      <c r="A4" s="213">
        <f>'2'!G7</f>
        <v>16547.630000000005</v>
      </c>
      <c r="B4" s="213"/>
    </row>
    <row r="5" spans="1:9">
      <c r="A5" s="213">
        <f>'3'!G7</f>
        <v>16075.239999999991</v>
      </c>
    </row>
    <row r="6" spans="1:9">
      <c r="A6" s="213">
        <f>'4'!G7</f>
        <v>16418.200000000012</v>
      </c>
    </row>
    <row r="7" spans="1:9">
      <c r="A7" s="213">
        <f>'5'!G7</f>
        <v>20003.640000000014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41</vt:i4>
      </vt:variant>
      <vt:variant>
        <vt:lpstr>Named Ranges</vt:lpstr>
      </vt:variant>
      <vt:variant>
        <vt:i4>26</vt:i4>
      </vt:variant>
    </vt:vector>
  </HeadingPairs>
  <TitlesOfParts>
    <vt:vector size="67" baseType="lpstr">
      <vt:lpstr>TOTAL</vt:lpstr>
      <vt:lpstr>Submetering</vt:lpstr>
      <vt:lpstr>Daily HLP</vt:lpstr>
      <vt:lpstr>Occupancy</vt:lpstr>
      <vt:lpstr>Water Report</vt:lpstr>
      <vt:lpstr>Section Load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Daily HLP (2)</vt:lpstr>
      <vt:lpstr>Sheet1</vt:lpstr>
      <vt:lpstr>Sheet2</vt:lpstr>
      <vt:lpstr>Sheet3</vt:lpstr>
      <vt:lpstr>'1'!Print_Area</vt:lpstr>
      <vt:lpstr>'10'!Print_Area</vt:lpstr>
      <vt:lpstr>'13'!Print_Area</vt:lpstr>
      <vt:lpstr>'14'!Print_Area</vt:lpstr>
      <vt:lpstr>'15'!Print_Area</vt:lpstr>
      <vt:lpstr>'16'!Print_Area</vt:lpstr>
      <vt:lpstr>'17'!Print_Area</vt:lpstr>
      <vt:lpstr>'18'!Print_Area</vt:lpstr>
      <vt:lpstr>'19'!Print_Area</vt:lpstr>
      <vt:lpstr>'20'!Print_Area</vt:lpstr>
      <vt:lpstr>'21'!Print_Area</vt:lpstr>
      <vt:lpstr>'22'!Print_Area</vt:lpstr>
      <vt:lpstr>'23'!Print_Area</vt:lpstr>
      <vt:lpstr>'24'!Print_Area</vt:lpstr>
      <vt:lpstr>'25'!Print_Area</vt:lpstr>
      <vt:lpstr>'26'!Print_Area</vt:lpstr>
      <vt:lpstr>'27'!Print_Area</vt:lpstr>
      <vt:lpstr>'28'!Print_Area</vt:lpstr>
      <vt:lpstr>'29'!Print_Area</vt:lpstr>
      <vt:lpstr>'30'!Print_Area</vt:lpstr>
      <vt:lpstr>'31'!Print_Area</vt:lpstr>
      <vt:lpstr>'4'!Print_Area</vt:lpstr>
      <vt:lpstr>'6'!Print_Area</vt:lpstr>
      <vt:lpstr>'7'!Print_Area</vt:lpstr>
      <vt:lpstr>'8'!Print_Area</vt:lpstr>
      <vt:lpstr>'9'!Print_Area</vt:lpstr>
    </vt:vector>
  </TitlesOfParts>
  <Company>FS</Company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mum.engg</dc:creator>
  <cp:lastModifiedBy>Sudhakar.Appa</cp:lastModifiedBy>
  <cp:revision/>
  <cp:lastPrinted>2021-06-07T22:28:02Z</cp:lastPrinted>
  <dcterms:created xsi:type="dcterms:W3CDTF">2013-11-14T06:06:34Z</dcterms:created>
  <dcterms:modified xsi:type="dcterms:W3CDTF">2021-06-28T08:14:12Z</dcterms:modified>
</cp:coreProperties>
</file>