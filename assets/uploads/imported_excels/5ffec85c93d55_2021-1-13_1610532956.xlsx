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<sst xmlns="http://schemas.openxmlformats.org/spreadsheetml/2006/main" count="313" uniqueCount="148">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</sst>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IF(LPG!F21-LPG!G21&lt;0,"0",(LPG!F21-LPG!G21)*1.8315)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24599.999999999964</v>
      </c>
      <c r="F33" s="17">
        <f t="shared" ref="F33:BC33" si="1">SUM(F2:F32)</f>
        <v>18799.999999999705</v>
      </c>
      <c r="G33" s="17">
        <f t="shared" si="1"/>
        <v>26399.999999999753</v>
      </c>
      <c r="H33" s="17">
        <f t="shared" si="1"/>
        <v>13600.000000000062</v>
      </c>
      <c r="I33" s="17">
        <f t="shared" si="1"/>
        <v>24799.999999999935</v>
      </c>
      <c r="J33" s="17">
        <f t="shared" si="1"/>
        <v>8299.9999999999727</v>
      </c>
      <c r="K33" s="17">
        <f t="shared" si="1"/>
        <v>7</v>
      </c>
      <c r="L33" s="17">
        <f t="shared" si="1"/>
        <v>79</v>
      </c>
      <c r="M33" s="17">
        <f t="shared" si="1"/>
        <v>6276.7999999999302</v>
      </c>
      <c r="N33" s="17">
        <f t="shared" si="1"/>
        <v>2860.3999999999651</v>
      </c>
      <c r="O33" s="17">
        <f t="shared" si="1"/>
        <v>2310.0000000000023</v>
      </c>
      <c r="P33" s="17">
        <f t="shared" si="1"/>
        <v>15700.000000000269</v>
      </c>
      <c r="Q33" s="17">
        <f t="shared" si="1"/>
        <v>2810.0000000000023</v>
      </c>
      <c r="R33" s="17">
        <f t="shared" si="1"/>
        <v>1830.0000000000409</v>
      </c>
      <c r="S33" s="17">
        <f t="shared" si="1"/>
        <v>2460.0000000000364</v>
      </c>
      <c r="T33" s="17">
        <f t="shared" si="1"/>
        <v>18.200000000000045</v>
      </c>
      <c r="U33" s="35">
        <f t="shared" si="1"/>
        <v>6949.9999999999318</v>
      </c>
      <c r="V33" s="35">
        <f t="shared" si="1"/>
        <v>1180.0000000000068</v>
      </c>
      <c r="W33" s="35">
        <f t="shared" si="1"/>
        <v>860.00000000001364</v>
      </c>
      <c r="X33" s="35">
        <f t="shared" si="1"/>
        <v>959.99999999997954</v>
      </c>
      <c r="Y33" s="35">
        <f t="shared" si="1"/>
        <v>659.99999999999659</v>
      </c>
      <c r="Z33" s="35">
        <f t="shared" si="1"/>
        <v>1110.0000000000136</v>
      </c>
      <c r="AA33" s="35">
        <f t="shared" si="1"/>
        <v>1110.0000000000136</v>
      </c>
      <c r="AB33" s="35">
        <f t="shared" si="1"/>
        <v>1069.9999999999932</v>
      </c>
      <c r="AC33" s="35">
        <f t="shared" si="1"/>
        <v>2019.9999999999818</v>
      </c>
      <c r="AD33" s="35">
        <f t="shared" si="1"/>
        <v>1879.9999999999955</v>
      </c>
      <c r="AE33" s="35">
        <f t="shared" si="1"/>
        <v>330.00000000001251</v>
      </c>
      <c r="AF33" s="17">
        <f t="shared" si="1"/>
        <v>406</v>
      </c>
      <c r="AG33" s="32">
        <f t="shared" si="1"/>
        <v>389.99999999998636</v>
      </c>
      <c r="AH33" s="32">
        <f t="shared" si="1"/>
        <v>570.00000000005002</v>
      </c>
      <c r="AI33" s="32">
        <f t="shared" si="1"/>
        <v>219.99999999999886</v>
      </c>
      <c r="AJ33" s="32">
        <f t="shared" si="1"/>
        <v>250</v>
      </c>
      <c r="AK33" s="32">
        <f t="shared" si="1"/>
        <v>310.00000000000227</v>
      </c>
      <c r="AL33" s="32">
        <f t="shared" si="1"/>
        <v>183</v>
      </c>
      <c r="AM33" s="32">
        <f t="shared" si="1"/>
        <v>289.99999999999204</v>
      </c>
      <c r="AN33" s="32">
        <f t="shared" si="1"/>
        <v>299</v>
      </c>
      <c r="AO33" s="32">
        <f t="shared" si="1"/>
        <v>289.99999999999204</v>
      </c>
      <c r="AP33" s="32">
        <f t="shared" si="1"/>
        <v>394</v>
      </c>
      <c r="AQ33" s="17">
        <f t="shared" si="1"/>
        <v>229.29999999999927</v>
      </c>
      <c r="AR33" s="17">
        <f t="shared" si="1"/>
        <v>0</v>
      </c>
      <c r="AS33" s="17">
        <f t="shared" si="1"/>
        <v>33.300000000000182</v>
      </c>
      <c r="AT33" s="17">
        <f t="shared" si="1"/>
        <v>560.60000000000582</v>
      </c>
      <c r="AU33" s="17">
        <f t="shared" si="1"/>
        <v>3009</v>
      </c>
      <c r="AV33" s="17">
        <f t="shared" si="1"/>
        <v>6279.9999999999727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86.080500000000001</v>
      </c>
      <c r="BC33" s="17">
        <f t="shared" si="1"/>
        <v>0</v>
      </c>
    </row>
    <row r="35" spans="5:55" x14ac:dyDescent="0.25">
      <c r="E35" s="38">
        <f>E33/E37</f>
        <v>0.29696516091648917</v>
      </c>
      <c r="G35" s="29">
        <f>G33-M36</f>
        <v>17262.799999999857</v>
      </c>
      <c r="AE35" s="35">
        <f>SUM(U33:AE33)</f>
        <v>18129.999999999938</v>
      </c>
      <c r="AG35" s="32">
        <f>SUM(AG33:AP33)</f>
        <v>3196.0000000000218</v>
      </c>
    </row>
    <row r="36" spans="5:55" x14ac:dyDescent="0.25">
      <c r="G36" s="29">
        <f>G35-633*14</f>
        <v>8400.7999999998574</v>
      </c>
      <c r="M36" s="29">
        <f>M33+N33</f>
        <v>9137.1999999998952</v>
      </c>
    </row>
    <row r="37" spans="5:55" x14ac:dyDescent="0.25">
      <c r="E37" s="17">
        <f>E33+F33+G33+H33+J33-633*14</f>
        <v>82837.999999999447</v>
      </c>
      <c r="G37" s="37">
        <f>M36/E37</f>
        <v>0.11030203529780966</v>
      </c>
      <c r="M37" s="35">
        <f>AE35</f>
        <v>18129.999999999938</v>
      </c>
    </row>
    <row r="38" spans="5:55" x14ac:dyDescent="0.25">
      <c r="L38" s="27">
        <f>M38/E37</f>
        <v>3.8581327410126307E-2</v>
      </c>
      <c r="M38" s="29">
        <f>AG35</f>
        <v>3196.0000000000218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V1" zoomScale="80" zoomScaleNormal="80" workbookViewId="0">
      <pane ySplit="1" topLeftCell="A11" activePane="bottomLeft" state="frozen"/>
      <selection pane="bottomLeft" activeCell="BH21" sqref="BH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>IF((O6-O5&lt;0), "",O6-O5)</f>
        <v>1</v>
      </c>
      <c r="Q6" s="58">
        <v>185</v>
      </c>
      <c r="R6" s="67">
        <f t="shared" si="5"/>
        <v>9</v>
      </c>
      <c r="S6" s="58">
        <v>886819.8</v>
      </c>
      <c r="T6" s="67">
        <f t="shared" si="6"/>
        <v>635.40000000002328</v>
      </c>
      <c r="U6" s="58">
        <v>365477</v>
      </c>
      <c r="V6" s="67">
        <f t="shared" si="7"/>
        <v>262.09999999997672</v>
      </c>
      <c r="W6" s="58">
        <v>356.16</v>
      </c>
      <c r="X6" s="65">
        <f t="shared" si="8"/>
        <v>200.00000000004547</v>
      </c>
      <c r="Y6" s="58">
        <v>2.5225</v>
      </c>
      <c r="Z6" s="65">
        <f t="shared" si="9"/>
        <v>1500.0000000000568</v>
      </c>
      <c r="AA6" s="58">
        <v>351.25</v>
      </c>
      <c r="AB6" s="65">
        <f t="shared" si="10"/>
        <v>259.99999999999091</v>
      </c>
      <c r="AC6" s="58">
        <v>336.21</v>
      </c>
      <c r="AD6" s="65">
        <f t="shared" si="11"/>
        <v>109.9999999999568</v>
      </c>
      <c r="AE6" s="58">
        <v>521.70000000000005</v>
      </c>
      <c r="AF6" s="65">
        <f t="shared" si="12"/>
        <v>160.00000000008185</v>
      </c>
      <c r="AG6" s="58">
        <v>1506</v>
      </c>
      <c r="AH6" s="67">
        <f t="shared" si="13"/>
        <v>0.90000000000009095</v>
      </c>
      <c r="AI6" s="58">
        <v>518.41</v>
      </c>
      <c r="AJ6" s="65">
        <f t="shared" si="14"/>
        <v>969.9999999999136</v>
      </c>
      <c r="AK6" s="58">
        <v>179.88</v>
      </c>
      <c r="AL6" s="65">
        <f t="shared" si="14"/>
        <v>90.000000000003411</v>
      </c>
      <c r="AM6" s="58">
        <v>178.38</v>
      </c>
      <c r="AN6" s="65">
        <f t="shared" si="14"/>
        <v>90.000000000003411</v>
      </c>
      <c r="AO6" s="58">
        <v>169.81</v>
      </c>
      <c r="AP6" s="65">
        <f t="shared" si="14"/>
        <v>60.000000000002274</v>
      </c>
      <c r="AQ6" s="58">
        <v>228.41</v>
      </c>
      <c r="AR6" s="65">
        <f t="shared" si="15"/>
        <v>69.999999999993179</v>
      </c>
      <c r="AS6" s="58">
        <v>355.78</v>
      </c>
      <c r="AT6" s="65">
        <f t="shared" si="16"/>
        <v>139.99999999998636</v>
      </c>
      <c r="AU6" s="58">
        <v>274.48</v>
      </c>
      <c r="AV6" s="65">
        <f t="shared" si="17"/>
        <v>90.000000000031832</v>
      </c>
      <c r="AW6" s="58">
        <v>303.75</v>
      </c>
      <c r="AX6" s="65">
        <f t="shared" si="18"/>
        <v>259.99999999999091</v>
      </c>
      <c r="AY6" s="58">
        <v>355.02</v>
      </c>
      <c r="AZ6" s="65">
        <f t="shared" si="19"/>
        <v>199.99999999998863</v>
      </c>
      <c r="BA6" s="58">
        <v>376.6</v>
      </c>
      <c r="BB6" s="65">
        <f t="shared" si="20"/>
        <v>310.00000000000227</v>
      </c>
      <c r="BC6" s="58">
        <v>236.23</v>
      </c>
      <c r="BD6" s="65">
        <f t="shared" si="21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2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3"/>
        <v>19.99999999998181</v>
      </c>
      <c r="BM6" s="60">
        <v>217.6</v>
      </c>
      <c r="BN6" s="65">
        <f t="shared" si="24"/>
        <v>19.99999999998181</v>
      </c>
      <c r="BO6" s="60">
        <v>282.99</v>
      </c>
      <c r="BP6" s="65">
        <f t="shared" si="25"/>
        <v>19.99999999998181</v>
      </c>
      <c r="BQ6" s="60">
        <v>41472</v>
      </c>
      <c r="BR6" s="65">
        <f t="shared" si="26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ref="P7:P10" si="43">IF((O7-O6&lt;0), "",O7-O6)</f>
        <v>0</v>
      </c>
      <c r="Q7" s="58">
        <v>194</v>
      </c>
      <c r="R7" s="67">
        <f t="shared" si="5"/>
        <v>9</v>
      </c>
      <c r="S7" s="58">
        <v>887182</v>
      </c>
      <c r="T7" s="67">
        <f t="shared" si="6"/>
        <v>362.19999999995343</v>
      </c>
      <c r="U7" s="58">
        <v>365674.7</v>
      </c>
      <c r="V7" s="67">
        <f t="shared" si="7"/>
        <v>197.70000000001164</v>
      </c>
      <c r="W7" s="58">
        <v>356.36</v>
      </c>
      <c r="X7" s="65">
        <f t="shared" si="8"/>
        <v>199.99999999998863</v>
      </c>
      <c r="Y7" s="58">
        <v>2.5236999999999998</v>
      </c>
      <c r="Z7" s="65">
        <f t="shared" si="9"/>
        <v>1199.9999999998679</v>
      </c>
      <c r="AA7" s="58">
        <v>351.52</v>
      </c>
      <c r="AB7" s="65">
        <f t="shared" si="10"/>
        <v>269.99999999998181</v>
      </c>
      <c r="AC7" s="58">
        <v>336.34</v>
      </c>
      <c r="AD7" s="65">
        <f t="shared" si="11"/>
        <v>129.99999999999545</v>
      </c>
      <c r="AE7" s="58">
        <v>521.97</v>
      </c>
      <c r="AF7" s="65">
        <f t="shared" si="12"/>
        <v>269.99999999998181</v>
      </c>
      <c r="AG7" s="58">
        <v>1507.8</v>
      </c>
      <c r="AH7" s="67">
        <f t="shared" si="13"/>
        <v>1.7999999999999545</v>
      </c>
      <c r="AI7" s="58">
        <v>519.09</v>
      </c>
      <c r="AJ7" s="65">
        <f t="shared" si="14"/>
        <v>680.00000000006366</v>
      </c>
      <c r="AK7" s="58">
        <v>179.97</v>
      </c>
      <c r="AL7" s="65">
        <f t="shared" si="14"/>
        <v>90.000000000003411</v>
      </c>
      <c r="AM7" s="58">
        <v>178.49</v>
      </c>
      <c r="AN7" s="65">
        <f t="shared" si="14"/>
        <v>110.00000000001364</v>
      </c>
      <c r="AO7" s="58">
        <v>169.9</v>
      </c>
      <c r="AP7" s="65">
        <f t="shared" si="14"/>
        <v>90.000000000003411</v>
      </c>
      <c r="AQ7" s="58">
        <v>228.48</v>
      </c>
      <c r="AR7" s="65">
        <f t="shared" si="15"/>
        <v>69.999999999993179</v>
      </c>
      <c r="AS7" s="58">
        <v>355.9</v>
      </c>
      <c r="AT7" s="65">
        <f t="shared" si="16"/>
        <v>120.00000000000455</v>
      </c>
      <c r="AU7" s="58">
        <v>274.57</v>
      </c>
      <c r="AV7" s="65">
        <f t="shared" si="17"/>
        <v>89.999999999974989</v>
      </c>
      <c r="AW7" s="58">
        <v>304.05</v>
      </c>
      <c r="AX7" s="65">
        <f t="shared" si="18"/>
        <v>300.00000000001137</v>
      </c>
      <c r="AY7" s="58">
        <v>355.22</v>
      </c>
      <c r="AZ7" s="65">
        <f t="shared" si="19"/>
        <v>200.00000000004547</v>
      </c>
      <c r="BA7" s="58">
        <v>376.91</v>
      </c>
      <c r="BB7" s="65">
        <f t="shared" si="20"/>
        <v>310.00000000000227</v>
      </c>
      <c r="BC7" s="58">
        <v>236.27</v>
      </c>
      <c r="BD7" s="65">
        <f t="shared" si="21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2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3"/>
        <v>30.000000000001137</v>
      </c>
      <c r="BM7" s="60">
        <v>217.62</v>
      </c>
      <c r="BN7" s="65">
        <f t="shared" si="24"/>
        <v>20.000000000010232</v>
      </c>
      <c r="BO7" s="60">
        <v>283.01</v>
      </c>
      <c r="BP7" s="65">
        <f t="shared" si="25"/>
        <v>19.99999999998181</v>
      </c>
      <c r="BQ7" s="60">
        <v>41488</v>
      </c>
      <c r="BR7" s="65">
        <f t="shared" si="26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43"/>
        <v>1</v>
      </c>
      <c r="Q8" s="58">
        <v>205</v>
      </c>
      <c r="R8" s="67">
        <f t="shared" si="5"/>
        <v>11</v>
      </c>
      <c r="S8" s="58">
        <v>887744.4</v>
      </c>
      <c r="T8" s="67">
        <f t="shared" si="6"/>
        <v>562.40000000002328</v>
      </c>
      <c r="U8" s="58">
        <v>365966.2</v>
      </c>
      <c r="V8" s="67">
        <f t="shared" si="7"/>
        <v>291.5</v>
      </c>
      <c r="W8" s="58">
        <v>356.61</v>
      </c>
      <c r="X8" s="65">
        <f t="shared" si="8"/>
        <v>250</v>
      </c>
      <c r="Y8" s="58">
        <v>2.5251999999999999</v>
      </c>
      <c r="Z8" s="65">
        <f t="shared" si="9"/>
        <v>1500.0000000000568</v>
      </c>
      <c r="AA8" s="58">
        <v>351.67</v>
      </c>
      <c r="AB8" s="65">
        <f t="shared" si="10"/>
        <v>150.00000000003411</v>
      </c>
      <c r="AC8" s="58">
        <v>336.5</v>
      </c>
      <c r="AD8" s="65">
        <f t="shared" si="11"/>
        <v>160.00000000002501</v>
      </c>
      <c r="AE8" s="58">
        <v>522.20000000000005</v>
      </c>
      <c r="AF8" s="65">
        <f t="shared" si="12"/>
        <v>230.00000000001819</v>
      </c>
      <c r="AG8" s="58">
        <v>1509.6</v>
      </c>
      <c r="AH8" s="67">
        <f t="shared" si="13"/>
        <v>1.7999999999999545</v>
      </c>
      <c r="AI8" s="58">
        <v>520.01</v>
      </c>
      <c r="AJ8" s="65">
        <f t="shared" si="14"/>
        <v>919.99999999995907</v>
      </c>
      <c r="AK8" s="58">
        <v>180.07</v>
      </c>
      <c r="AL8" s="65">
        <f t="shared" si="14"/>
        <v>99.999999999994316</v>
      </c>
      <c r="AM8" s="58">
        <v>178.59</v>
      </c>
      <c r="AN8" s="65">
        <f t="shared" si="14"/>
        <v>99.999999999994316</v>
      </c>
      <c r="AO8" s="58">
        <v>170.01</v>
      </c>
      <c r="AP8" s="65">
        <f t="shared" si="14"/>
        <v>109.99999999998522</v>
      </c>
      <c r="AQ8" s="58">
        <v>228.56</v>
      </c>
      <c r="AR8" s="65">
        <f t="shared" si="15"/>
        <v>80.000000000012506</v>
      </c>
      <c r="AS8" s="58">
        <v>356.03</v>
      </c>
      <c r="AT8" s="65">
        <f t="shared" si="16"/>
        <v>129.99999999999545</v>
      </c>
      <c r="AU8" s="58">
        <v>274.68</v>
      </c>
      <c r="AV8" s="65">
        <f t="shared" si="17"/>
        <v>110.00000000001364</v>
      </c>
      <c r="AW8" s="58">
        <v>304.38</v>
      </c>
      <c r="AX8" s="65">
        <f t="shared" si="18"/>
        <v>329.99999999998408</v>
      </c>
      <c r="AY8" s="58">
        <v>355.42</v>
      </c>
      <c r="AZ8" s="65">
        <f t="shared" si="19"/>
        <v>199.99999999998863</v>
      </c>
      <c r="BA8" s="58">
        <v>377.17</v>
      </c>
      <c r="BB8" s="65">
        <f t="shared" si="20"/>
        <v>259.99999999999091</v>
      </c>
      <c r="BC8" s="58">
        <v>236.3</v>
      </c>
      <c r="BD8" s="65">
        <f t="shared" si="21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2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3"/>
        <v>20.000000000010232</v>
      </c>
      <c r="BM8" s="60">
        <v>217.64</v>
      </c>
      <c r="BN8" s="65">
        <f t="shared" si="24"/>
        <v>19.99999999998181</v>
      </c>
      <c r="BO8" s="60">
        <v>283.04000000000002</v>
      </c>
      <c r="BP8" s="65">
        <f t="shared" si="25"/>
        <v>30.000000000029559</v>
      </c>
      <c r="BQ8" s="60">
        <v>41505</v>
      </c>
      <c r="BR8" s="65">
        <f t="shared" si="26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43"/>
        <v>0</v>
      </c>
      <c r="Q9" s="58">
        <v>217</v>
      </c>
      <c r="R9" s="67">
        <f t="shared" si="5"/>
        <v>12</v>
      </c>
      <c r="S9" s="58">
        <v>888315.4</v>
      </c>
      <c r="T9" s="67">
        <f t="shared" si="6"/>
        <v>571</v>
      </c>
      <c r="U9" s="58">
        <v>366242.8</v>
      </c>
      <c r="V9" s="67">
        <f t="shared" si="7"/>
        <v>276.59999999997672</v>
      </c>
      <c r="W9" s="58">
        <v>356.83</v>
      </c>
      <c r="X9" s="65">
        <f t="shared" si="8"/>
        <v>219.99999999997044</v>
      </c>
      <c r="Y9" s="58">
        <v>2.5268000000000002</v>
      </c>
      <c r="Z9" s="65">
        <f t="shared" si="9"/>
        <v>1600.0000000002678</v>
      </c>
      <c r="AA9" s="58">
        <v>351.84</v>
      </c>
      <c r="AB9" s="65">
        <f t="shared" si="10"/>
        <v>169.99999999995907</v>
      </c>
      <c r="AC9" s="58">
        <v>336.66</v>
      </c>
      <c r="AD9" s="65">
        <f t="shared" si="11"/>
        <v>160.00000000002501</v>
      </c>
      <c r="AE9" s="58">
        <v>522.4</v>
      </c>
      <c r="AF9" s="65">
        <f t="shared" si="12"/>
        <v>199.99999999993179</v>
      </c>
      <c r="AG9" s="58">
        <v>1511.2</v>
      </c>
      <c r="AH9" s="67">
        <f t="shared" si="13"/>
        <v>1.6000000000001364</v>
      </c>
      <c r="AI9" s="58">
        <v>520.59</v>
      </c>
      <c r="AJ9" s="65">
        <f t="shared" si="14"/>
        <v>580.00000000004093</v>
      </c>
      <c r="AK9" s="58">
        <v>180.16</v>
      </c>
      <c r="AL9" s="65">
        <f t="shared" si="14"/>
        <v>90.000000000003411</v>
      </c>
      <c r="AM9" s="58">
        <v>178.64</v>
      </c>
      <c r="AN9" s="65">
        <f t="shared" si="14"/>
        <v>49.999999999982947</v>
      </c>
      <c r="AO9" s="58">
        <v>170.14</v>
      </c>
      <c r="AP9" s="65">
        <f t="shared" si="14"/>
        <v>129.99999999999545</v>
      </c>
      <c r="AQ9" s="58">
        <v>228.6</v>
      </c>
      <c r="AR9" s="65">
        <f t="shared" si="15"/>
        <v>39.999999999992042</v>
      </c>
      <c r="AS9" s="58">
        <v>356.08</v>
      </c>
      <c r="AT9" s="65">
        <f t="shared" si="16"/>
        <v>50.000000000011369</v>
      </c>
      <c r="AU9" s="58">
        <v>274.81</v>
      </c>
      <c r="AV9" s="65">
        <f t="shared" si="17"/>
        <v>129.99999999999545</v>
      </c>
      <c r="AW9" s="58">
        <v>304.74</v>
      </c>
      <c r="AX9" s="65">
        <f t="shared" si="18"/>
        <v>360.00000000001364</v>
      </c>
      <c r="AY9" s="58">
        <v>355.66</v>
      </c>
      <c r="AZ9" s="65">
        <f t="shared" si="19"/>
        <v>240.00000000000909</v>
      </c>
      <c r="BA9" s="58">
        <v>377.29</v>
      </c>
      <c r="BB9" s="65">
        <f t="shared" si="20"/>
        <v>120.00000000000455</v>
      </c>
      <c r="BC9" s="58">
        <v>236.32</v>
      </c>
      <c r="BD9" s="65">
        <f t="shared" si="21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2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3"/>
        <v>30.000000000001137</v>
      </c>
      <c r="BM9" s="60">
        <v>217.67</v>
      </c>
      <c r="BN9" s="65">
        <f t="shared" si="24"/>
        <v>30.000000000001137</v>
      </c>
      <c r="BO9" s="60">
        <v>283.08</v>
      </c>
      <c r="BP9" s="65">
        <f t="shared" si="25"/>
        <v>39.99999999996362</v>
      </c>
      <c r="BQ9" s="60">
        <v>41521</v>
      </c>
      <c r="BR9" s="65">
        <f t="shared" si="26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43"/>
        <v>1</v>
      </c>
      <c r="Q10" s="58">
        <v>228</v>
      </c>
      <c r="R10" s="67">
        <f t="shared" si="5"/>
        <v>11</v>
      </c>
      <c r="S10" s="58">
        <v>889000.2</v>
      </c>
      <c r="T10" s="67">
        <f t="shared" si="6"/>
        <v>684.79999999993015</v>
      </c>
      <c r="U10" s="58">
        <v>366554.8</v>
      </c>
      <c r="V10" s="67">
        <f t="shared" si="7"/>
        <v>312</v>
      </c>
      <c r="W10" s="58">
        <v>357.01</v>
      </c>
      <c r="X10" s="65">
        <f t="shared" si="8"/>
        <v>180.00000000000682</v>
      </c>
      <c r="Y10" s="58">
        <v>2.5282</v>
      </c>
      <c r="Z10" s="65">
        <f t="shared" si="9"/>
        <v>1399.9999999998458</v>
      </c>
      <c r="AA10" s="58">
        <v>352.13</v>
      </c>
      <c r="AB10" s="65">
        <f t="shared" si="10"/>
        <v>290.00000000002046</v>
      </c>
      <c r="AC10" s="58">
        <v>336.82</v>
      </c>
      <c r="AD10" s="65">
        <f t="shared" si="11"/>
        <v>159.99999999996817</v>
      </c>
      <c r="AE10" s="58">
        <v>522.62</v>
      </c>
      <c r="AF10" s="65">
        <f t="shared" si="12"/>
        <v>220.00000000002728</v>
      </c>
      <c r="AG10" s="58">
        <v>1513.1</v>
      </c>
      <c r="AH10" s="67">
        <f t="shared" si="13"/>
        <v>1.8999999999998636</v>
      </c>
      <c r="AI10" s="58">
        <v>520.88</v>
      </c>
      <c r="AJ10" s="65">
        <f t="shared" si="14"/>
        <v>289.99999999996362</v>
      </c>
      <c r="AK10" s="58">
        <v>180.25</v>
      </c>
      <c r="AL10" s="65">
        <f t="shared" si="14"/>
        <v>90.000000000003411</v>
      </c>
      <c r="AM10" s="58">
        <v>178.7</v>
      </c>
      <c r="AN10" s="65">
        <f t="shared" si="14"/>
        <v>60.000000000002274</v>
      </c>
      <c r="AO10" s="58">
        <v>170.25</v>
      </c>
      <c r="AP10" s="65">
        <f t="shared" si="14"/>
        <v>110.00000000001364</v>
      </c>
      <c r="AQ10" s="58">
        <v>228.63</v>
      </c>
      <c r="AR10" s="65">
        <f t="shared" si="15"/>
        <v>30.000000000001137</v>
      </c>
      <c r="AS10" s="58">
        <v>356.12</v>
      </c>
      <c r="AT10" s="65">
        <f t="shared" si="16"/>
        <v>40.000000000020464</v>
      </c>
      <c r="AU10" s="58">
        <v>274.93</v>
      </c>
      <c r="AV10" s="65">
        <f t="shared" si="17"/>
        <v>120.00000000000455</v>
      </c>
      <c r="AW10" s="58">
        <v>305.12</v>
      </c>
      <c r="AX10" s="65">
        <f t="shared" si="18"/>
        <v>379.99999999999545</v>
      </c>
      <c r="AY10" s="58">
        <v>355.89</v>
      </c>
      <c r="AZ10" s="65">
        <f t="shared" si="19"/>
        <v>229.99999999996135</v>
      </c>
      <c r="BA10" s="58">
        <v>377.36</v>
      </c>
      <c r="BB10" s="65">
        <f t="shared" si="20"/>
        <v>69.999999999993179</v>
      </c>
      <c r="BC10" s="58">
        <v>236.34</v>
      </c>
      <c r="BD10" s="65">
        <f t="shared" si="21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2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3"/>
        <v>20.000000000010232</v>
      </c>
      <c r="BM10" s="60">
        <v>217.69</v>
      </c>
      <c r="BN10" s="65">
        <f t="shared" si="24"/>
        <v>20.000000000010232</v>
      </c>
      <c r="BO10" s="60">
        <v>283.11</v>
      </c>
      <c r="BP10" s="65">
        <f t="shared" si="25"/>
        <v>30.000000000029559</v>
      </c>
      <c r="BQ10" s="60">
        <v>41540</v>
      </c>
      <c r="BR10" s="65">
        <f t="shared" si="26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4">IF((O11-O10&lt;0), "",O11-O10)</f>
        <v>0</v>
      </c>
      <c r="Q11" s="58">
        <v>231</v>
      </c>
      <c r="R11" s="67">
        <f t="shared" si="5"/>
        <v>3</v>
      </c>
      <c r="S11" s="58">
        <v>889534.8</v>
      </c>
      <c r="T11" s="67">
        <f t="shared" si="6"/>
        <v>534.60000000009313</v>
      </c>
      <c r="U11" s="58">
        <v>366799.4</v>
      </c>
      <c r="V11" s="67">
        <f t="shared" si="7"/>
        <v>244.60000000003492</v>
      </c>
      <c r="W11" s="58">
        <v>357.18</v>
      </c>
      <c r="X11" s="65">
        <f t="shared" si="8"/>
        <v>170.00000000001592</v>
      </c>
      <c r="Y11" s="58">
        <v>2.5295000000000001</v>
      </c>
      <c r="Z11" s="65">
        <f t="shared" si="9"/>
        <v>1300.0000000000789</v>
      </c>
      <c r="AA11" s="58">
        <v>352.39</v>
      </c>
      <c r="AB11" s="65">
        <f t="shared" si="10"/>
        <v>259.99999999999091</v>
      </c>
      <c r="AC11" s="58">
        <v>336.96</v>
      </c>
      <c r="AD11" s="65">
        <f t="shared" si="11"/>
        <v>139.99999999998636</v>
      </c>
      <c r="AE11" s="58">
        <v>522.86</v>
      </c>
      <c r="AF11" s="65">
        <f t="shared" si="12"/>
        <v>240.00000000000909</v>
      </c>
      <c r="AG11" s="58">
        <v>1514.3</v>
      </c>
      <c r="AH11" s="67">
        <f t="shared" si="13"/>
        <v>1.2000000000000455</v>
      </c>
      <c r="AI11" s="58">
        <v>521.17999999999995</v>
      </c>
      <c r="AJ11" s="65">
        <f t="shared" si="14"/>
        <v>299.99999999995453</v>
      </c>
      <c r="AK11" s="58">
        <v>180.35</v>
      </c>
      <c r="AL11" s="65">
        <f t="shared" si="14"/>
        <v>99.999999999994316</v>
      </c>
      <c r="AM11" s="58">
        <v>178.76</v>
      </c>
      <c r="AN11" s="65">
        <f t="shared" si="14"/>
        <v>60.000000000002274</v>
      </c>
      <c r="AO11" s="58">
        <v>170.31</v>
      </c>
      <c r="AP11" s="65">
        <f t="shared" si="14"/>
        <v>60.000000000002274</v>
      </c>
      <c r="AQ11" s="58">
        <v>228.68</v>
      </c>
      <c r="AR11" s="65">
        <f t="shared" si="15"/>
        <v>50.000000000011369</v>
      </c>
      <c r="AS11" s="58">
        <v>356.15</v>
      </c>
      <c r="AT11" s="65">
        <f t="shared" si="16"/>
        <v>29.999999999972715</v>
      </c>
      <c r="AU11" s="58">
        <v>275</v>
      </c>
      <c r="AV11" s="65">
        <f t="shared" si="17"/>
        <v>69.999999999993179</v>
      </c>
      <c r="AW11" s="58">
        <v>305.38</v>
      </c>
      <c r="AX11" s="65">
        <f t="shared" si="18"/>
        <v>259.99999999999091</v>
      </c>
      <c r="AY11" s="58">
        <v>356.09</v>
      </c>
      <c r="AZ11" s="65">
        <f t="shared" si="19"/>
        <v>199.99999999998863</v>
      </c>
      <c r="BA11" s="58">
        <v>377.42</v>
      </c>
      <c r="BB11" s="65">
        <f t="shared" si="20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2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3"/>
        <v>19.99999999998181</v>
      </c>
      <c r="BM11" s="60">
        <v>217.71</v>
      </c>
      <c r="BN11" s="65">
        <f t="shared" si="24"/>
        <v>20.000000000010232</v>
      </c>
      <c r="BO11" s="60">
        <v>283.14</v>
      </c>
      <c r="BP11" s="65">
        <f t="shared" si="25"/>
        <v>29.999999999972715</v>
      </c>
      <c r="BQ11" s="60">
        <v>41553</v>
      </c>
      <c r="BR11" s="65">
        <f t="shared" si="26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4"/>
        <v>0</v>
      </c>
      <c r="Q12" s="58">
        <v>232</v>
      </c>
      <c r="R12" s="67">
        <f t="shared" si="5"/>
        <v>1</v>
      </c>
      <c r="S12" s="58">
        <v>889534.8</v>
      </c>
      <c r="T12" s="67">
        <f t="shared" si="6"/>
        <v>0</v>
      </c>
      <c r="U12" s="58">
        <v>366799.4</v>
      </c>
      <c r="V12" s="67">
        <f t="shared" si="7"/>
        <v>0</v>
      </c>
      <c r="W12" s="58">
        <v>357.34</v>
      </c>
      <c r="X12" s="65">
        <f t="shared" si="8"/>
        <v>159.99999999996817</v>
      </c>
      <c r="Y12" s="58">
        <v>2.5308000000000002</v>
      </c>
      <c r="Z12" s="65">
        <f t="shared" si="9"/>
        <v>1300.0000000000789</v>
      </c>
      <c r="AA12" s="58">
        <v>352.58</v>
      </c>
      <c r="AB12" s="65">
        <f t="shared" si="10"/>
        <v>189.99999999999773</v>
      </c>
      <c r="AC12" s="58">
        <v>337.08</v>
      </c>
      <c r="AD12" s="65">
        <f t="shared" si="11"/>
        <v>120.00000000000455</v>
      </c>
      <c r="AE12" s="58">
        <v>523.03</v>
      </c>
      <c r="AF12" s="65">
        <f t="shared" si="12"/>
        <v>169.99999999995907</v>
      </c>
      <c r="AG12" s="58">
        <v>1515.5</v>
      </c>
      <c r="AH12" s="67">
        <f t="shared" si="13"/>
        <v>1.2000000000000455</v>
      </c>
      <c r="AI12" s="58">
        <v>521.38</v>
      </c>
      <c r="AJ12" s="65">
        <f t="shared" si="14"/>
        <v>200.00000000004547</v>
      </c>
      <c r="AK12" s="58">
        <v>180.43</v>
      </c>
      <c r="AL12" s="65">
        <f t="shared" si="14"/>
        <v>80.000000000012506</v>
      </c>
      <c r="AM12" s="58">
        <v>178.82</v>
      </c>
      <c r="AN12" s="65">
        <f t="shared" si="14"/>
        <v>60.000000000002274</v>
      </c>
      <c r="AO12" s="58">
        <v>170.36</v>
      </c>
      <c r="AP12" s="65">
        <f t="shared" si="14"/>
        <v>50.000000000011369</v>
      </c>
      <c r="AQ12" s="58">
        <v>228.71</v>
      </c>
      <c r="AR12" s="65">
        <f t="shared" si="15"/>
        <v>30.000000000001137</v>
      </c>
      <c r="AS12" s="58">
        <v>356.19</v>
      </c>
      <c r="AT12" s="65">
        <f t="shared" si="16"/>
        <v>40.000000000020464</v>
      </c>
      <c r="AU12" s="58">
        <v>275.06</v>
      </c>
      <c r="AV12" s="65">
        <f t="shared" si="17"/>
        <v>60.000000000002274</v>
      </c>
      <c r="AW12" s="58">
        <v>305.64999999999998</v>
      </c>
      <c r="AX12" s="65">
        <f t="shared" si="18"/>
        <v>269.99999999998181</v>
      </c>
      <c r="AY12" s="58">
        <v>356.29</v>
      </c>
      <c r="AZ12" s="65">
        <f t="shared" si="19"/>
        <v>200.00000000004547</v>
      </c>
      <c r="BA12" s="58">
        <v>377.47</v>
      </c>
      <c r="BB12" s="65">
        <f t="shared" si="20"/>
        <v>50.000000000011369</v>
      </c>
      <c r="BC12" s="58">
        <v>236.38</v>
      </c>
      <c r="BD12" s="65">
        <f t="shared" si="21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2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3"/>
        <v>10.000000000019327</v>
      </c>
      <c r="BM12" s="60">
        <v>217.73</v>
      </c>
      <c r="BN12" s="65">
        <f t="shared" si="24"/>
        <v>19.99999999998181</v>
      </c>
      <c r="BO12" s="60">
        <v>283.16000000000003</v>
      </c>
      <c r="BP12" s="65">
        <f t="shared" si="25"/>
        <v>20.000000000038654</v>
      </c>
      <c r="BQ12" s="60">
        <v>41564</v>
      </c>
      <c r="BR12" s="65">
        <f t="shared" si="26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4"/>
        <v>1</v>
      </c>
      <c r="Q13" s="58">
        <v>232</v>
      </c>
      <c r="R13" s="67">
        <f t="shared" si="5"/>
        <v>0</v>
      </c>
      <c r="S13" s="58">
        <v>890171.8</v>
      </c>
      <c r="T13" s="67">
        <f t="shared" si="6"/>
        <v>637</v>
      </c>
      <c r="U13" s="58">
        <v>367098.9</v>
      </c>
      <c r="V13" s="67">
        <f t="shared" si="7"/>
        <v>299.5</v>
      </c>
      <c r="W13" s="58">
        <v>357.5</v>
      </c>
      <c r="X13" s="65">
        <f t="shared" si="8"/>
        <v>160.00000000002501</v>
      </c>
      <c r="Y13" s="58">
        <v>2.5314999999999999</v>
      </c>
      <c r="Z13" s="65">
        <f t="shared" si="9"/>
        <v>699.99999999970089</v>
      </c>
      <c r="AA13" s="58">
        <v>352.74</v>
      </c>
      <c r="AB13" s="65">
        <f t="shared" si="10"/>
        <v>160.00000000002501</v>
      </c>
      <c r="AC13" s="58">
        <v>337.24</v>
      </c>
      <c r="AD13" s="65">
        <f t="shared" si="11"/>
        <v>160.00000000002501</v>
      </c>
      <c r="AE13" s="58">
        <v>523.17999999999995</v>
      </c>
      <c r="AF13" s="65">
        <f t="shared" si="12"/>
        <v>149.99999999997726</v>
      </c>
      <c r="AG13" s="58">
        <v>1517.3</v>
      </c>
      <c r="AH13" s="67">
        <f t="shared" si="13"/>
        <v>1.7999999999999545</v>
      </c>
      <c r="AI13" s="58">
        <v>521.64</v>
      </c>
      <c r="AJ13" s="65">
        <f t="shared" si="14"/>
        <v>259.99999999999091</v>
      </c>
      <c r="AK13" s="58">
        <v>180.5</v>
      </c>
      <c r="AL13" s="65">
        <f t="shared" si="14"/>
        <v>69.999999999993179</v>
      </c>
      <c r="AM13" s="58">
        <v>178.85</v>
      </c>
      <c r="AN13" s="65">
        <f t="shared" si="14"/>
        <v>30.000000000001137</v>
      </c>
      <c r="AO13" s="58">
        <v>170.4</v>
      </c>
      <c r="AP13" s="65">
        <f t="shared" si="14"/>
        <v>39.999999999992042</v>
      </c>
      <c r="AQ13" s="58">
        <v>228.74</v>
      </c>
      <c r="AR13" s="65">
        <f t="shared" si="15"/>
        <v>30.000000000001137</v>
      </c>
      <c r="AS13" s="58">
        <v>356.23</v>
      </c>
      <c r="AT13" s="65">
        <f t="shared" si="16"/>
        <v>40.000000000020464</v>
      </c>
      <c r="AU13" s="58">
        <v>275.13</v>
      </c>
      <c r="AV13" s="65">
        <f t="shared" si="17"/>
        <v>69.999999999993179</v>
      </c>
      <c r="AW13" s="58">
        <v>305.93</v>
      </c>
      <c r="AX13" s="65">
        <f t="shared" si="18"/>
        <v>280.00000000002956</v>
      </c>
      <c r="AY13" s="58">
        <v>356.36</v>
      </c>
      <c r="AZ13" s="65">
        <f t="shared" si="19"/>
        <v>69.999999999993179</v>
      </c>
      <c r="BA13" s="58">
        <v>377.51</v>
      </c>
      <c r="BB13" s="65">
        <f t="shared" si="20"/>
        <v>39.99999999996362</v>
      </c>
      <c r="BC13" s="58">
        <v>236.4</v>
      </c>
      <c r="BD13" s="65">
        <f t="shared" si="21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2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3"/>
        <v>0</v>
      </c>
      <c r="BM13" s="60">
        <v>217.74</v>
      </c>
      <c r="BN13" s="65">
        <f t="shared" si="24"/>
        <v>10.000000000019327</v>
      </c>
      <c r="BO13" s="60">
        <v>283.19</v>
      </c>
      <c r="BP13" s="65">
        <f t="shared" si="25"/>
        <v>29.999999999972715</v>
      </c>
      <c r="BQ13" s="60">
        <v>41579</v>
      </c>
      <c r="BR13" s="65">
        <f t="shared" si="26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4"/>
        <v>0</v>
      </c>
      <c r="Q14" s="58">
        <v>233</v>
      </c>
      <c r="R14" s="67">
        <f t="shared" si="5"/>
        <v>1</v>
      </c>
      <c r="S14" s="58">
        <v>890736.6</v>
      </c>
      <c r="T14" s="67">
        <f t="shared" si="6"/>
        <v>564.79999999993015</v>
      </c>
      <c r="U14" s="58">
        <v>367320.2</v>
      </c>
      <c r="V14" s="67">
        <f t="shared" si="7"/>
        <v>221.29999999998836</v>
      </c>
      <c r="W14" s="58">
        <v>357.7</v>
      </c>
      <c r="X14" s="65">
        <f t="shared" si="8"/>
        <v>199.99999999998863</v>
      </c>
      <c r="Y14" s="58">
        <v>2.5322</v>
      </c>
      <c r="Z14" s="65">
        <f t="shared" si="9"/>
        <v>700.00000000014495</v>
      </c>
      <c r="AA14" s="58">
        <v>352.96</v>
      </c>
      <c r="AB14" s="65">
        <f t="shared" si="10"/>
        <v>219.99999999997044</v>
      </c>
      <c r="AC14" s="58">
        <v>337.41</v>
      </c>
      <c r="AD14" s="65">
        <f t="shared" si="11"/>
        <v>170.00000000001592</v>
      </c>
      <c r="AE14" s="58">
        <v>523.44000000000005</v>
      </c>
      <c r="AF14" s="65">
        <f t="shared" si="12"/>
        <v>260.00000000010459</v>
      </c>
      <c r="AG14" s="58">
        <v>1519</v>
      </c>
      <c r="AH14" s="67">
        <f t="shared" si="13"/>
        <v>1.7000000000000455</v>
      </c>
      <c r="AI14" s="58">
        <v>521.9</v>
      </c>
      <c r="AJ14" s="65">
        <f t="shared" si="14"/>
        <v>259.99999999999091</v>
      </c>
      <c r="AK14" s="58">
        <v>180.57</v>
      </c>
      <c r="AL14" s="65">
        <f t="shared" si="14"/>
        <v>69.999999999993179</v>
      </c>
      <c r="AM14" s="58">
        <v>178.88</v>
      </c>
      <c r="AN14" s="65">
        <f t="shared" si="14"/>
        <v>30.000000000001137</v>
      </c>
      <c r="AO14" s="58">
        <v>170.45</v>
      </c>
      <c r="AP14" s="65">
        <f t="shared" si="14"/>
        <v>49.999999999982947</v>
      </c>
      <c r="AQ14" s="58">
        <v>228.77</v>
      </c>
      <c r="AR14" s="65">
        <f t="shared" si="15"/>
        <v>30.000000000001137</v>
      </c>
      <c r="AS14" s="58">
        <v>356.26</v>
      </c>
      <c r="AT14" s="65">
        <f t="shared" si="16"/>
        <v>29.999999999972715</v>
      </c>
      <c r="AU14" s="58">
        <v>275.17</v>
      </c>
      <c r="AV14" s="65">
        <f t="shared" si="17"/>
        <v>40.000000000020464</v>
      </c>
      <c r="AW14" s="58">
        <v>306.14999999999998</v>
      </c>
      <c r="AX14" s="65">
        <f t="shared" si="18"/>
        <v>219.99999999997044</v>
      </c>
      <c r="AY14" s="58">
        <v>356.38</v>
      </c>
      <c r="AZ14" s="65">
        <f t="shared" si="19"/>
        <v>19.99999999998181</v>
      </c>
      <c r="BA14" s="58">
        <v>377.54</v>
      </c>
      <c r="BB14" s="65">
        <f t="shared" si="20"/>
        <v>30.000000000029559</v>
      </c>
      <c r="BC14" s="58">
        <v>236.41</v>
      </c>
      <c r="BD14" s="65">
        <f t="shared" si="21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2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3"/>
        <v>9.9999999999909051</v>
      </c>
      <c r="BM14" s="60">
        <v>217.76</v>
      </c>
      <c r="BN14" s="65">
        <f t="shared" si="24"/>
        <v>19.99999999998181</v>
      </c>
      <c r="BO14" s="60">
        <v>283.20999999999998</v>
      </c>
      <c r="BP14" s="65">
        <f t="shared" si="25"/>
        <v>19.99999999998181</v>
      </c>
      <c r="BQ14" s="60">
        <v>41593</v>
      </c>
      <c r="BR14" s="65">
        <f t="shared" si="26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4"/>
        <v>1</v>
      </c>
      <c r="Q15" s="58">
        <v>234</v>
      </c>
      <c r="R15" s="67">
        <f t="shared" si="5"/>
        <v>1</v>
      </c>
      <c r="S15" s="58">
        <v>891123.19999999995</v>
      </c>
      <c r="T15" s="67">
        <f t="shared" si="6"/>
        <v>386.59999999997672</v>
      </c>
      <c r="U15" s="58">
        <v>367484.8</v>
      </c>
      <c r="V15" s="67">
        <f t="shared" si="7"/>
        <v>164.59999999997672</v>
      </c>
      <c r="W15" s="58">
        <v>357.83</v>
      </c>
      <c r="X15" s="65">
        <f t="shared" si="8"/>
        <v>129.99999999999545</v>
      </c>
      <c r="Y15" s="58">
        <v>2.5329000000000002</v>
      </c>
      <c r="Z15" s="65">
        <f t="shared" si="9"/>
        <v>700.00000000014495</v>
      </c>
      <c r="AA15" s="58">
        <v>353.14</v>
      </c>
      <c r="AB15" s="65">
        <f t="shared" si="10"/>
        <v>180.00000000000682</v>
      </c>
      <c r="AC15" s="58">
        <v>337.6</v>
      </c>
      <c r="AD15" s="65">
        <f t="shared" si="11"/>
        <v>189.99999999999773</v>
      </c>
      <c r="AE15" s="58">
        <v>523.63</v>
      </c>
      <c r="AF15" s="65">
        <f t="shared" si="12"/>
        <v>189.99999999994088</v>
      </c>
      <c r="AG15" s="58">
        <v>1520.4</v>
      </c>
      <c r="AH15" s="67">
        <f t="shared" si="13"/>
        <v>1.4000000000000909</v>
      </c>
      <c r="AI15" s="58">
        <v>522.16</v>
      </c>
      <c r="AJ15" s="65">
        <f t="shared" si="14"/>
        <v>259.99999999999091</v>
      </c>
      <c r="AK15" s="58">
        <v>180.63</v>
      </c>
      <c r="AL15" s="65">
        <f t="shared" si="14"/>
        <v>60.000000000002274</v>
      </c>
      <c r="AM15" s="58">
        <v>178.9</v>
      </c>
      <c r="AN15" s="65">
        <f t="shared" si="14"/>
        <v>20.000000000010232</v>
      </c>
      <c r="AO15" s="58">
        <v>170.48</v>
      </c>
      <c r="AP15" s="65">
        <f t="shared" si="14"/>
        <v>30.000000000001137</v>
      </c>
      <c r="AQ15" s="58">
        <v>228.79</v>
      </c>
      <c r="AR15" s="65">
        <f t="shared" si="15"/>
        <v>19.99999999998181</v>
      </c>
      <c r="AS15" s="58">
        <v>356.29</v>
      </c>
      <c r="AT15" s="65">
        <f t="shared" si="16"/>
        <v>30.000000000029559</v>
      </c>
      <c r="AU15" s="58">
        <v>275.20999999999998</v>
      </c>
      <c r="AV15" s="65">
        <f t="shared" si="17"/>
        <v>39.99999999996362</v>
      </c>
      <c r="AW15" s="58">
        <v>306.39999999999998</v>
      </c>
      <c r="AX15" s="65">
        <f t="shared" si="18"/>
        <v>250</v>
      </c>
      <c r="AY15" s="58">
        <v>356.4</v>
      </c>
      <c r="AZ15" s="65">
        <f t="shared" si="19"/>
        <v>19.99999999998181</v>
      </c>
      <c r="BA15" s="58">
        <v>377.56</v>
      </c>
      <c r="BB15" s="65">
        <f t="shared" si="20"/>
        <v>19.99999999998181</v>
      </c>
      <c r="BC15" s="58">
        <v>236.43</v>
      </c>
      <c r="BD15" s="65">
        <f t="shared" si="21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2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3"/>
        <v>9.9999999999909051</v>
      </c>
      <c r="BM15" s="60">
        <v>217.78</v>
      </c>
      <c r="BN15" s="65">
        <f t="shared" si="24"/>
        <v>20.000000000010232</v>
      </c>
      <c r="BO15" s="60">
        <v>283.22000000000003</v>
      </c>
      <c r="BP15" s="65">
        <f t="shared" si="25"/>
        <v>10.000000000047748</v>
      </c>
      <c r="BQ15" s="60">
        <v>41603</v>
      </c>
      <c r="BR15" s="65">
        <f t="shared" si="26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38"/>
        <v>0</v>
      </c>
      <c r="M16" s="58"/>
      <c r="N16" s="64" t="str">
        <f t="shared" si="4"/>
        <v/>
      </c>
      <c r="O16" s="58"/>
      <c r="P16" s="67" t="str">
        <f t="shared" si="44"/>
        <v/>
      </c>
      <c r="Q16" s="58"/>
      <c r="R16" s="67" t="str">
        <f t="shared" si="5"/>
        <v/>
      </c>
      <c r="S16" s="58"/>
      <c r="T16" s="67" t="str">
        <f t="shared" si="6"/>
        <v/>
      </c>
      <c r="U16" s="58"/>
      <c r="V16" s="67" t="str">
        <f t="shared" si="7"/>
        <v/>
      </c>
      <c r="W16" s="58"/>
      <c r="X16" s="65" t="str">
        <f t="shared" si="8"/>
        <v/>
      </c>
      <c r="Y16" s="58"/>
      <c r="Z16" s="65" t="str">
        <f t="shared" si="9"/>
        <v/>
      </c>
      <c r="AA16" s="58"/>
      <c r="AB16" s="65" t="str">
        <f t="shared" si="10"/>
        <v/>
      </c>
      <c r="AC16" s="58"/>
      <c r="AD16" s="65" t="str">
        <f t="shared" si="11"/>
        <v/>
      </c>
      <c r="AE16" s="58"/>
      <c r="AF16" s="65" t="str">
        <f t="shared" si="12"/>
        <v/>
      </c>
      <c r="AG16" s="58"/>
      <c r="AH16" s="67" t="str">
        <f t="shared" si="13"/>
        <v/>
      </c>
      <c r="AI16" s="58"/>
      <c r="AJ16" s="65" t="str">
        <f t="shared" si="14"/>
        <v/>
      </c>
      <c r="AK16" s="58"/>
      <c r="AL16" s="65" t="str">
        <f t="shared" si="14"/>
        <v/>
      </c>
      <c r="AM16" s="58"/>
      <c r="AN16" s="65" t="str">
        <f t="shared" si="14"/>
        <v/>
      </c>
      <c r="AO16" s="58"/>
      <c r="AP16" s="65" t="str">
        <f t="shared" si="14"/>
        <v/>
      </c>
      <c r="AQ16" s="58"/>
      <c r="AR16" s="65" t="str">
        <f t="shared" si="15"/>
        <v/>
      </c>
      <c r="AS16" s="58"/>
      <c r="AT16" s="65" t="str">
        <f t="shared" si="16"/>
        <v/>
      </c>
      <c r="AU16" s="58"/>
      <c r="AV16" s="65" t="str">
        <f t="shared" si="17"/>
        <v/>
      </c>
      <c r="AW16" s="58"/>
      <c r="AX16" s="65" t="str">
        <f t="shared" si="18"/>
        <v/>
      </c>
      <c r="AY16" s="58"/>
      <c r="AZ16" s="65" t="str">
        <f t="shared" si="19"/>
        <v/>
      </c>
      <c r="BA16" s="58"/>
      <c r="BB16" s="65" t="str">
        <f t="shared" si="20"/>
        <v/>
      </c>
      <c r="BC16" s="58"/>
      <c r="BD16" s="65" t="str">
        <f t="shared" si="21"/>
        <v/>
      </c>
      <c r="BE16" s="59"/>
      <c r="BF16" s="67" t="str">
        <f t="shared" si="39"/>
        <v/>
      </c>
      <c r="BG16" s="60"/>
      <c r="BH16" s="65" t="str">
        <f t="shared" si="22"/>
        <v/>
      </c>
      <c r="BI16" s="60"/>
      <c r="BJ16" s="65" t="str">
        <f t="shared" si="40"/>
        <v/>
      </c>
      <c r="BK16" s="60"/>
      <c r="BL16" s="65" t="str">
        <f t="shared" si="23"/>
        <v/>
      </c>
      <c r="BM16" s="60"/>
      <c r="BN16" s="65" t="str">
        <f t="shared" si="24"/>
        <v/>
      </c>
      <c r="BO16" s="60"/>
      <c r="BP16" s="65" t="str">
        <f t="shared" si="25"/>
        <v/>
      </c>
      <c r="BQ16" s="60"/>
      <c r="BR16" s="65" t="str">
        <f t="shared" si="26"/>
        <v/>
      </c>
      <c r="BS16" s="60"/>
      <c r="BT16" s="65" t="str">
        <f t="shared" si="42"/>
        <v/>
      </c>
      <c r="BU16" s="60"/>
      <c r="BV16" s="65" t="str">
        <f t="shared" si="28"/>
        <v/>
      </c>
      <c r="BW16" s="60"/>
      <c r="BX16" s="65" t="str">
        <f t="shared" si="29"/>
        <v/>
      </c>
      <c r="BY16" s="60"/>
      <c r="BZ16" s="67" t="str">
        <f t="shared" si="30"/>
        <v/>
      </c>
      <c r="CA16" s="60"/>
      <c r="CB16" s="67" t="str">
        <f t="shared" si="31"/>
        <v/>
      </c>
      <c r="CC16" s="60"/>
      <c r="CD16" s="67" t="str">
        <f t="shared" si="32"/>
        <v/>
      </c>
      <c r="CE16" s="60"/>
      <c r="CF16" s="67" t="str">
        <f t="shared" si="33"/>
        <v/>
      </c>
      <c r="CG16" s="60"/>
      <c r="CH16" s="67" t="str">
        <f t="shared" si="34"/>
        <v/>
      </c>
      <c r="CI16" s="60"/>
      <c r="CJ16" s="67" t="str">
        <f t="shared" si="35"/>
        <v/>
      </c>
      <c r="CK16" s="60"/>
      <c r="CL16" s="64" t="str">
        <f t="shared" si="36"/>
        <v/>
      </c>
      <c r="CM16" s="65" t="e">
        <f t="shared" si="41"/>
        <v>#VALUE!</v>
      </c>
      <c r="CN16" s="62">
        <v>0</v>
      </c>
      <c r="CO16" s="62">
        <v>0</v>
      </c>
      <c r="CP16" s="68"/>
      <c r="CQ16" s="67" t="str">
        <f t="shared" si="37"/>
        <v/>
      </c>
      <c r="CR16" s="68"/>
      <c r="CS16" s="67" t="str">
        <f t="shared" si="37"/>
        <v/>
      </c>
      <c r="CT16" s="75"/>
      <c r="CU16" s="67" t="str">
        <f t="shared" si="37"/>
        <v/>
      </c>
      <c r="CV16" s="68"/>
      <c r="CW16" s="67" t="str">
        <f t="shared" si="37"/>
        <v/>
      </c>
    </row>
    <row r="17" spans="1:101" ht="25.5" customHeight="1" thickBot="1" x14ac:dyDescent="0.45">
      <c r="A17" s="63">
        <v>44210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8"/>
        <v>0</v>
      </c>
      <c r="M17" s="58"/>
      <c r="N17" s="64">
        <f t="shared" si="4"/>
        <v>0</v>
      </c>
      <c r="O17" s="58"/>
      <c r="P17" s="67">
        <f t="shared" si="44"/>
        <v>0</v>
      </c>
      <c r="Q17" s="58"/>
      <c r="R17" s="67">
        <f t="shared" si="5"/>
        <v>0</v>
      </c>
      <c r="S17" s="58"/>
      <c r="T17" s="67">
        <f t="shared" si="6"/>
        <v>0</v>
      </c>
      <c r="U17" s="58"/>
      <c r="V17" s="67">
        <f t="shared" si="7"/>
        <v>0</v>
      </c>
      <c r="W17" s="58"/>
      <c r="X17" s="65">
        <f t="shared" si="8"/>
        <v>0</v>
      </c>
      <c r="Y17" s="58"/>
      <c r="Z17" s="65">
        <f t="shared" si="9"/>
        <v>0</v>
      </c>
      <c r="AA17" s="58"/>
      <c r="AB17" s="65">
        <f t="shared" si="10"/>
        <v>0</v>
      </c>
      <c r="AC17" s="58"/>
      <c r="AD17" s="65">
        <f t="shared" si="11"/>
        <v>0</v>
      </c>
      <c r="AE17" s="58"/>
      <c r="AF17" s="65">
        <f t="shared" si="12"/>
        <v>0</v>
      </c>
      <c r="AG17" s="58"/>
      <c r="AH17" s="67">
        <f t="shared" si="13"/>
        <v>0</v>
      </c>
      <c r="AI17" s="58"/>
      <c r="AJ17" s="65">
        <f t="shared" si="14"/>
        <v>0</v>
      </c>
      <c r="AK17" s="58"/>
      <c r="AL17" s="65">
        <f t="shared" si="14"/>
        <v>0</v>
      </c>
      <c r="AM17" s="58"/>
      <c r="AN17" s="65">
        <f t="shared" si="14"/>
        <v>0</v>
      </c>
      <c r="AO17" s="58"/>
      <c r="AP17" s="65">
        <f t="shared" si="14"/>
        <v>0</v>
      </c>
      <c r="AQ17" s="58"/>
      <c r="AR17" s="65">
        <f t="shared" si="15"/>
        <v>0</v>
      </c>
      <c r="AS17" s="58"/>
      <c r="AT17" s="65">
        <f t="shared" si="16"/>
        <v>0</v>
      </c>
      <c r="AU17" s="58"/>
      <c r="AV17" s="65">
        <f t="shared" si="17"/>
        <v>0</v>
      </c>
      <c r="AW17" s="58"/>
      <c r="AX17" s="65">
        <f t="shared" si="18"/>
        <v>0</v>
      </c>
      <c r="AY17" s="58"/>
      <c r="AZ17" s="65">
        <f t="shared" si="19"/>
        <v>0</v>
      </c>
      <c r="BA17" s="58"/>
      <c r="BB17" s="65">
        <f t="shared" si="20"/>
        <v>0</v>
      </c>
      <c r="BC17" s="58"/>
      <c r="BD17" s="65">
        <f t="shared" si="21"/>
        <v>0</v>
      </c>
      <c r="BE17" s="59"/>
      <c r="BF17" s="67">
        <f t="shared" si="39"/>
        <v>0</v>
      </c>
      <c r="BG17" s="60"/>
      <c r="BH17" s="65">
        <f t="shared" si="22"/>
        <v>0</v>
      </c>
      <c r="BI17" s="60"/>
      <c r="BJ17" s="65">
        <f t="shared" si="40"/>
        <v>0</v>
      </c>
      <c r="BK17" s="60"/>
      <c r="BL17" s="65">
        <f t="shared" si="23"/>
        <v>0</v>
      </c>
      <c r="BM17" s="60"/>
      <c r="BN17" s="65">
        <f t="shared" si="24"/>
        <v>0</v>
      </c>
      <c r="BO17" s="60"/>
      <c r="BP17" s="65">
        <f t="shared" si="25"/>
        <v>0</v>
      </c>
      <c r="BQ17" s="60"/>
      <c r="BR17" s="65">
        <f t="shared" si="26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1" ht="25.5" customHeight="1" thickBot="1" x14ac:dyDescent="0.45">
      <c r="A18" s="63">
        <v>44211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8"/>
        <v>0</v>
      </c>
      <c r="M18" s="58"/>
      <c r="N18" s="64">
        <f t="shared" si="4"/>
        <v>0</v>
      </c>
      <c r="O18" s="58"/>
      <c r="P18" s="67">
        <f t="shared" si="44"/>
        <v>0</v>
      </c>
      <c r="Q18" s="58"/>
      <c r="R18" s="67">
        <f t="shared" si="5"/>
        <v>0</v>
      </c>
      <c r="S18" s="58"/>
      <c r="T18" s="67">
        <f t="shared" si="6"/>
        <v>0</v>
      </c>
      <c r="U18" s="58"/>
      <c r="V18" s="67">
        <f t="shared" si="7"/>
        <v>0</v>
      </c>
      <c r="W18" s="58"/>
      <c r="X18" s="65">
        <f t="shared" si="8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1" ht="25.5" customHeight="1" thickBot="1" x14ac:dyDescent="0.45">
      <c r="A19" s="63">
        <v>44212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8"/>
        <v>0</v>
      </c>
      <c r="M19" s="58"/>
      <c r="N19" s="64">
        <f t="shared" si="4"/>
        <v>0</v>
      </c>
      <c r="O19" s="58"/>
      <c r="P19" s="67">
        <f t="shared" si="44"/>
        <v>0</v>
      </c>
      <c r="Q19" s="58"/>
      <c r="R19" s="67">
        <f t="shared" si="5"/>
        <v>0</v>
      </c>
      <c r="S19" s="58"/>
      <c r="T19" s="67">
        <f t="shared" si="6"/>
        <v>0</v>
      </c>
      <c r="U19" s="58"/>
      <c r="V19" s="67">
        <f t="shared" si="7"/>
        <v>0</v>
      </c>
      <c r="W19" s="58"/>
      <c r="X19" s="65">
        <f t="shared" si="8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1" ht="25.5" customHeight="1" thickBot="1" x14ac:dyDescent="0.45">
      <c r="A20" s="63">
        <v>44213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8"/>
        <v>0</v>
      </c>
      <c r="M20" s="58"/>
      <c r="N20" s="64">
        <f t="shared" si="4"/>
        <v>0</v>
      </c>
      <c r="O20" s="58"/>
      <c r="P20" s="67">
        <f t="shared" si="44"/>
        <v>0</v>
      </c>
      <c r="Q20" s="58"/>
      <c r="R20" s="67">
        <f t="shared" si="5"/>
        <v>0</v>
      </c>
      <c r="S20" s="58"/>
      <c r="T20" s="67">
        <f t="shared" si="6"/>
        <v>0</v>
      </c>
      <c r="U20" s="58"/>
      <c r="V20" s="67">
        <f t="shared" si="7"/>
        <v>0</v>
      </c>
      <c r="W20" s="58"/>
      <c r="X20" s="65">
        <f t="shared" si="8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1" ht="25.5" customHeight="1" thickBot="1" x14ac:dyDescent="0.45">
      <c r="A21" s="63">
        <v>44214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8"/>
        <v>0</v>
      </c>
      <c r="M21" s="58"/>
      <c r="N21" s="64">
        <f t="shared" si="4"/>
        <v>0</v>
      </c>
      <c r="O21" s="58"/>
      <c r="P21" s="67">
        <f t="shared" si="44"/>
        <v>0</v>
      </c>
      <c r="Q21" s="58"/>
      <c r="R21" s="67">
        <f t="shared" si="5"/>
        <v>0</v>
      </c>
      <c r="S21" s="58"/>
      <c r="T21" s="67">
        <f t="shared" si="6"/>
        <v>0</v>
      </c>
      <c r="U21" s="58"/>
      <c r="V21" s="67">
        <f t="shared" si="7"/>
        <v>0</v>
      </c>
      <c r="W21" s="58"/>
      <c r="X21" s="65">
        <f t="shared" si="8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1" ht="25.5" customHeight="1" thickBot="1" x14ac:dyDescent="0.45">
      <c r="A22" s="63">
        <v>44215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8"/>
        <v>0</v>
      </c>
      <c r="M22" s="58"/>
      <c r="N22" s="64">
        <f t="shared" si="4"/>
        <v>0</v>
      </c>
      <c r="O22" s="58"/>
      <c r="P22" s="67">
        <f t="shared" si="44"/>
        <v>0</v>
      </c>
      <c r="Q22" s="58"/>
      <c r="R22" s="67">
        <f t="shared" si="5"/>
        <v>0</v>
      </c>
      <c r="S22" s="58"/>
      <c r="T22" s="67">
        <f t="shared" si="6"/>
        <v>0</v>
      </c>
      <c r="U22" s="58"/>
      <c r="V22" s="67">
        <f t="shared" si="7"/>
        <v>0</v>
      </c>
      <c r="W22" s="58"/>
      <c r="X22" s="65">
        <f t="shared" si="8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AA24" sqref="AA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-197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2021-01-13T10:13:40Z</dcterms:modified>
</cp:coreProperties>
</file>