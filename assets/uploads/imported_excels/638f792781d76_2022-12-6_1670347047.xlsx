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S:\Engineering\DOE\HEP\"/>
    </mc:Choice>
  </mc:AlternateContent>
  <xr:revisionPtr revIDLastSave="0" documentId="13_ncr:1_{C1ECA284-C5AF-43A0-B74E-E7171B8C2E7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F4" i="1"/>
  <c r="E4" i="1"/>
  <c r="G2" i="1"/>
  <c r="F2" i="1"/>
  <c r="E2" i="1"/>
  <c r="G3" i="1"/>
  <c r="F3" i="1"/>
  <c r="E3" i="1"/>
  <c r="G5" i="1"/>
  <c r="F5" i="1"/>
  <c r="E5" i="1"/>
  <c r="G6" i="1"/>
  <c r="F6" i="1"/>
  <c r="E6" i="1"/>
  <c r="G7" i="1"/>
  <c r="F7" i="1"/>
  <c r="E7" i="1"/>
  <c r="G8" i="1"/>
  <c r="F8" i="1"/>
  <c r="E8" i="1"/>
  <c r="G9" i="1"/>
  <c r="F9" i="1"/>
  <c r="E9" i="1"/>
  <c r="G10" i="1"/>
  <c r="F10" i="1"/>
  <c r="E10" i="1"/>
  <c r="G11" i="1"/>
  <c r="F11" i="1"/>
  <c r="E11" i="1"/>
  <c r="G12" i="1"/>
  <c r="F12" i="1"/>
  <c r="E12" i="1"/>
</calcChain>
</file>

<file path=xl/sharedStrings.xml><?xml version="1.0" encoding="utf-8"?>
<sst xmlns="http://schemas.openxmlformats.org/spreadsheetml/2006/main" count="19" uniqueCount="8">
  <si>
    <t>Site Name</t>
  </si>
  <si>
    <t>Month</t>
  </si>
  <si>
    <t>Year</t>
  </si>
  <si>
    <t>Total (per Unit) recyclable</t>
  </si>
  <si>
    <t>Total cost recyclable</t>
  </si>
  <si>
    <t>Total (per Unit) general municipal solid waste</t>
  </si>
  <si>
    <t>Total cost general municipal solid waste</t>
  </si>
  <si>
    <t>Vail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</si>
</sst>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H4" sqref="H4"/>
    </sheetView>
  </sheetViews>
  <sheetFormatPr defaultRowHeight="15" x14ac:dyDescent="0.25"/>
  <cols>
    <col min="1" max="1" width="12.28515625" customWidth="1"/>
    <col min="2" max="3" width="8.42578125" customWidth="1"/>
    <col min="4" max="7" width="25.7109375" style="4" customWidth="1"/>
    <col min="10" max="10" width="8.425781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t="s">
        <v>7</v>
      </c>
      <c r="B2" s="1">
        <v>1</v>
      </c>
      <c r="C2" s="1">
        <v>2022</v>
      </c>
      <c r="E2" s="4">
        <f>347.88+107.16+26.01</f>
        <v>481.04999999999995</v>
      </c>
      <c r="F2" s="4">
        <f>6.63+6.33+5.42+4.67</f>
        <v>23.050000000000004</v>
      </c>
      <c r="G2" s="4">
        <f>256.56+270.77+256.56+258.52+221.35+256.56+190.72+256.56+133.31</f>
        <v>2100.91</v>
      </c>
    </row>
    <row r="3" spans="1:7" x14ac:dyDescent="0.25">
      <c r="A3" t="s">
        <v>7</v>
      </c>
      <c r="B3" s="1">
        <v>2</v>
      </c>
      <c r="C3" s="1">
        <v>2022</v>
      </c>
      <c r="E3" s="4">
        <f>107.16+347.88+26.01</f>
        <v>481.04999999999995</v>
      </c>
      <c r="F3" s="4">
        <f>4.38+4.47+6.83+4.39</f>
        <v>20.07</v>
      </c>
      <c r="G3" s="5">
        <f>178.88+256.56+182.55+256.56+256.56+278.94+179.29+256.56+151.1</f>
        <v>1996.9999999999998</v>
      </c>
    </row>
    <row r="4" spans="1:7" x14ac:dyDescent="0.25">
      <c r="A4" t="s">
        <v>7</v>
      </c>
      <c r="B4" s="1">
        <v>3</v>
      </c>
      <c r="C4" s="1">
        <v>2022</v>
      </c>
      <c r="E4" s="4">
        <f>107.16+347.88+26.01</f>
        <v>481.04999999999995</v>
      </c>
      <c r="F4" s="4">
        <f>7.01+5.57+5.79+5.39+7.4</f>
        <v>31.160000000000004</v>
      </c>
      <c r="G4" s="4">
        <f>35+256.56+286.29+227.48+256.56+236.46+256.56+220.13+256.56+35+256.56+302.22+207.89</f>
        <v>2833.27</v>
      </c>
    </row>
    <row r="5" spans="1:7" x14ac:dyDescent="0.25">
      <c r="A5" t="s">
        <v>7</v>
      </c>
      <c r="B5" s="1">
        <v>4</v>
      </c>
      <c r="C5" s="1">
        <v>2022</v>
      </c>
      <c r="E5" s="4">
        <f>107.16+347.88+26.01</f>
        <v>481.04999999999995</v>
      </c>
      <c r="F5" s="4">
        <f>5.69+5.41+4.55+4.09</f>
        <v>19.740000000000002</v>
      </c>
      <c r="G5" s="4">
        <f>232.38+256.56+220.94+256.56+185.82+256.56+167.04+256.56+170.33</f>
        <v>2002.7499999999998</v>
      </c>
    </row>
    <row r="6" spans="1:7" x14ac:dyDescent="0.25">
      <c r="A6" t="s">
        <v>7</v>
      </c>
      <c r="B6" s="1">
        <v>5</v>
      </c>
      <c r="C6" s="1">
        <v>2022</v>
      </c>
      <c r="E6" s="4">
        <f>107.16+347.88+26.01</f>
        <v>481.04999999999995</v>
      </c>
      <c r="F6" s="4">
        <f>3.12+7.49+3.38</f>
        <v>13.989999999999998</v>
      </c>
      <c r="G6" s="4">
        <f>127.42+256.56+256.56+305.89+138.04+256.56+167.52</f>
        <v>1508.55</v>
      </c>
    </row>
    <row r="7" spans="1:7" x14ac:dyDescent="0.25">
      <c r="A7" t="s">
        <v>7</v>
      </c>
      <c r="B7" s="1">
        <v>6</v>
      </c>
      <c r="C7" s="1">
        <v>2022</v>
      </c>
      <c r="E7" s="4">
        <f>110.91+360+26.92</f>
        <v>497.83</v>
      </c>
      <c r="F7" s="4">
        <f>6.81+1.86+4.66+4.71+5.18</f>
        <v>23.22</v>
      </c>
      <c r="G7" s="4">
        <f>256.56+278.12+165+75.96+350+190.31+256.56+192.36+256.56+211.55+256.56+306.87</f>
        <v>2796.41</v>
      </c>
    </row>
    <row r="8" spans="1:7" x14ac:dyDescent="0.25">
      <c r="A8" t="s">
        <v>7</v>
      </c>
      <c r="B8" s="1">
        <v>7</v>
      </c>
      <c r="C8" s="1">
        <v>2022</v>
      </c>
      <c r="E8" s="4">
        <f>110.91+360+26.92</f>
        <v>497.83</v>
      </c>
      <c r="F8" s="4">
        <f>4.45+5.07+6.24+5.01</f>
        <v>20.77</v>
      </c>
      <c r="G8" s="4">
        <f>181.74+256.56+207.06+256.56+254.84+256.56+204.61+256.56+228.33</f>
        <v>2102.8199999999997</v>
      </c>
    </row>
    <row r="9" spans="1:7" x14ac:dyDescent="0.25">
      <c r="A9" t="s">
        <v>7</v>
      </c>
      <c r="B9" s="1">
        <v>8</v>
      </c>
      <c r="C9" s="1">
        <v>2022</v>
      </c>
      <c r="E9" s="4">
        <f>110.91+360+26.92</f>
        <v>497.83</v>
      </c>
      <c r="F9" s="4">
        <f>5.36+5.55+5.34+4.56+4.62</f>
        <v>25.43</v>
      </c>
      <c r="G9" s="4">
        <f>218.9+256.56+226.66+256.56+218.09+256.56+186.23+256.56+188.68+256.56+267.46</f>
        <v>2588.8199999999997</v>
      </c>
    </row>
    <row r="10" spans="1:7" x14ac:dyDescent="0.25">
      <c r="A10" t="s">
        <v>7</v>
      </c>
      <c r="B10" s="1">
        <v>9</v>
      </c>
      <c r="C10" s="1">
        <v>2022</v>
      </c>
      <c r="E10" s="4">
        <f>110.91+360+26.92</f>
        <v>497.83</v>
      </c>
      <c r="F10" s="4">
        <f>3.7+4.82+4.25+3.7</f>
        <v>16.47</v>
      </c>
      <c r="G10" s="4">
        <f>151.11+256.56+196.85+256.56+173.57+256.56+151.11+256.56+228.33</f>
        <v>1927.2099999999996</v>
      </c>
    </row>
    <row r="11" spans="1:7" x14ac:dyDescent="0.25">
      <c r="A11" t="s">
        <v>7</v>
      </c>
      <c r="B11" s="1">
        <v>10</v>
      </c>
      <c r="C11" s="1">
        <v>2022</v>
      </c>
      <c r="E11" s="4">
        <f>110.91+360+26.92</f>
        <v>497.83</v>
      </c>
      <c r="F11" s="4">
        <f>4.26+3.8+3.69+3.47+2.58</f>
        <v>17.799999999999997</v>
      </c>
      <c r="G11" s="4">
        <f>173.98+256.56+256.56+155.19+150.7+256.56+141.71+256.56+105.37+256.56+267.46</f>
        <v>2277.21</v>
      </c>
    </row>
    <row r="12" spans="1:7" x14ac:dyDescent="0.25">
      <c r="A12" t="s">
        <v>7</v>
      </c>
      <c r="B12" s="1">
        <v>11</v>
      </c>
      <c r="C12" s="1">
        <v>2022</v>
      </c>
      <c r="E12" s="4">
        <f>360+26.92+110.91</f>
        <v>497.83000000000004</v>
      </c>
      <c r="F12" s="4">
        <f>2.97+6.79+4.42</f>
        <v>14.18</v>
      </c>
      <c r="G12" s="4">
        <f>121.29+256.56+165+256.56+277.3+180.51+256.56+214.36</f>
        <v>1728.1399999999999</v>
      </c>
    </row>
    <row r="13" spans="1:7" x14ac:dyDescent="0.25">
      <c r="A13" t="s">
        <v>7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Araceli Soto</cp:lastModifiedBy>
  <dcterms:created xsi:type="dcterms:W3CDTF">2022-01-28T13:49:17Z</dcterms:created>
  <dcterms:modified xsi:type="dcterms:W3CDTF">2022-12-06T16:27:38Z</dcterms:modified>
</cp:coreProperties>
</file>