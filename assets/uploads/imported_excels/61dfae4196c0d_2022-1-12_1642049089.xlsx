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01 - 2021" sheetId="5" r:id="rId3"/>
  </sheets>
  <definedNames>
    <definedName name="_xlnm.Print_Area" localSheetId="2">'01 - 2021'!$A$1:$J$35</definedName>
  </definedNames>
  <calcPr calcId="162913"/>
</workbook>
</file>

<file path=xl/calcChain.xml><?xml version="1.0" encoding="utf-8"?>
<calcChain xmlns="http://schemas.openxmlformats.org/spreadsheetml/2006/main">
  <c r="L14" i="3" l="1"/>
  <c r="K14" i="3"/>
  <c r="I14" i="3"/>
  <c r="G14" i="3"/>
  <c r="E14" i="3"/>
  <c r="J14" i="2"/>
  <c r="I14" i="2"/>
  <c r="H14" i="2"/>
  <c r="F14" i="2"/>
  <c r="E14" i="2"/>
  <c r="A20" i="5"/>
  <c r="L13" i="3" l="1"/>
  <c r="K13" i="3"/>
  <c r="I13" i="3"/>
  <c r="G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11" i="3" l="1"/>
  <c r="K11" i="3"/>
  <c r="I11" i="3"/>
  <c r="G11" i="3"/>
  <c r="E11" i="3"/>
  <c r="L10" i="3"/>
  <c r="K10" i="3"/>
  <c r="I10" i="3"/>
  <c r="G10" i="3"/>
  <c r="E10" i="3"/>
  <c r="L9" i="3"/>
  <c r="K9" i="3"/>
  <c r="I9" i="3"/>
  <c r="G9" i="3"/>
  <c r="E9" i="3"/>
  <c r="I11" i="2"/>
  <c r="I10" i="2"/>
  <c r="J9" i="2"/>
  <c r="I9" i="2"/>
  <c r="H9" i="2"/>
  <c r="F9" i="2"/>
  <c r="E9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I40" i="5" l="1"/>
  <c r="H40" i="5"/>
  <c r="K39" i="5"/>
  <c r="J39" i="5"/>
  <c r="I39" i="5"/>
  <c r="H39" i="5"/>
  <c r="G39" i="5"/>
  <c r="F39" i="5"/>
  <c r="E39" i="5"/>
  <c r="D39" i="5"/>
  <c r="C39" i="5"/>
  <c r="B39" i="5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L32" i="3" l="1"/>
  <c r="K32" i="3"/>
  <c r="I32" i="3"/>
  <c r="G32" i="3"/>
  <c r="E32" i="3"/>
  <c r="J32" i="2"/>
  <c r="I32" i="2"/>
  <c r="H32" i="2"/>
  <c r="F32" i="2"/>
  <c r="E32" i="2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G30" i="3"/>
  <c r="E30" i="3"/>
  <c r="J30" i="2"/>
  <c r="I30" i="2"/>
  <c r="H30" i="2"/>
  <c r="F30" i="2"/>
  <c r="E30" i="2"/>
  <c r="L29" i="3" l="1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L26" i="3"/>
  <c r="K26" i="3"/>
  <c r="I26" i="3"/>
  <c r="G26" i="3"/>
  <c r="E26" i="3"/>
  <c r="L25" i="3"/>
  <c r="K25" i="3"/>
  <c r="I25" i="3"/>
  <c r="G25" i="3"/>
  <c r="E25" i="3"/>
  <c r="L24" i="3"/>
  <c r="K24" i="3"/>
  <c r="I24" i="3"/>
  <c r="G24" i="3"/>
  <c r="E24" i="3"/>
  <c r="L23" i="3"/>
  <c r="K23" i="3"/>
  <c r="I23" i="3"/>
  <c r="G23" i="3"/>
  <c r="E23" i="3"/>
  <c r="J27" i="2"/>
  <c r="I27" i="2"/>
  <c r="H27" i="2"/>
  <c r="F27" i="2"/>
  <c r="E27" i="2"/>
  <c r="J26" i="2"/>
  <c r="I26" i="2"/>
  <c r="H26" i="2"/>
  <c r="F26" i="2"/>
  <c r="E26" i="2"/>
  <c r="J25" i="2"/>
  <c r="I25" i="2"/>
  <c r="H25" i="2"/>
  <c r="F25" i="2"/>
  <c r="E25" i="2"/>
  <c r="J24" i="2"/>
  <c r="I24" i="2"/>
  <c r="H24" i="2"/>
  <c r="F24" i="2"/>
  <c r="E24" i="2"/>
  <c r="J23" i="2"/>
  <c r="I23" i="2"/>
  <c r="H23" i="2"/>
  <c r="F23" i="2"/>
  <c r="E23" i="2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J17" i="2"/>
  <c r="I17" i="2"/>
  <c r="H17" i="2"/>
  <c r="F17" i="2"/>
  <c r="E17" i="2"/>
  <c r="L16" i="3" l="1"/>
  <c r="K16" i="3"/>
  <c r="I16" i="3"/>
  <c r="G16" i="3"/>
  <c r="E16" i="3"/>
  <c r="J16" i="2"/>
  <c r="I16" i="2"/>
  <c r="H16" i="2"/>
  <c r="F16" i="2"/>
  <c r="E16" i="2"/>
  <c r="J11" i="2" l="1"/>
  <c r="H11" i="2"/>
  <c r="F11" i="2"/>
  <c r="E11" i="2"/>
  <c r="J10" i="2" l="1"/>
  <c r="H10" i="2"/>
  <c r="F10" i="2"/>
  <c r="E10" i="2"/>
  <c r="L2" i="3" l="1"/>
  <c r="K2" i="3"/>
  <c r="I2" i="3"/>
  <c r="G2" i="3"/>
  <c r="E2" i="3"/>
  <c r="J2" i="2"/>
  <c r="I2" i="2"/>
  <c r="H2" i="2"/>
  <c r="F2" i="2"/>
  <c r="E2" i="2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<sst xmlns="http://schemas.openxmlformats.org/spreadsheetml/2006/main" count="107" uniqueCount="38">
  <si>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</si>
  <si>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</si>
  <si>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</si>
  <si>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</si>
  <si>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</si>
  <si>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</si>
  <si>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</si>
  <si>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</si>
  <si>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</si>
  <si>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</si>
  <si>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</si>
  <si>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</si>
  <si>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</si>
  <si>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</si>
  <si>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</si>
  <si>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</si>
  <si>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</si>
  <si>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</si>
  <si>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</si>
  <si>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</si>
  <si>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</si>
  <si>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</si>
  <si>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</si>
  <si>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</si>
  <si>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</si>
  <si>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</si>
  <si>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</si>
  <si>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</si>
  <si>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</si>
  <si>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</si>
  <si>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</si>
  <si>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</si>
  <si>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</si>
  <si>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</si>
  <si>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</si>
  <si>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</si>
  <si>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</si>
  <si>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JANUARY '2022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</si>
</sst>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9">
    <xf numFmtId="0" fontId="0" fillId="0" borderId="0" xfId="0"/>
    <xf numFmtId="2" fontId="0" fillId="0" borderId="0" xfId="0" applyNumberForma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1" fontId="0" fillId="0" borderId="0" xfId="0" applyNumberFormat="1" applyAlignment="1">
      <alignment horizontal="center"/>
    </xf>
    <xf numFmtId="1" fontId="7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65" fontId="0" fillId="0" borderId="0" xfId="1" applyNumberFormat="1" applyFont="1"/>
    <xf numFmtId="10" fontId="0" fillId="0" borderId="0" xfId="1" applyNumberFormat="1" applyFont="1"/>
    <xf numFmtId="43" fontId="5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5" fillId="0" borderId="1" xfId="2" applyFont="1" applyBorder="1" applyAlignment="1" applyProtection="1">
      <alignment horizontal="center" vertical="center"/>
      <protection locked="0"/>
    </xf>
    <xf numFmtId="43" fontId="6" fillId="0" borderId="1" xfId="2" applyFont="1" applyFill="1" applyBorder="1" applyAlignment="1" applyProtection="1">
      <alignment horizontal="center" vertical="center"/>
      <protection locked="0"/>
    </xf>
    <xf numFmtId="9" fontId="5" fillId="0" borderId="12" xfId="0" applyNumberFormat="1" applyFont="1" applyBorder="1" applyAlignment="1">
      <alignment horizontal="center" vertical="center"/>
    </xf>
    <xf numFmtId="43" fontId="5" fillId="0" borderId="12" xfId="2" applyFont="1" applyFill="1" applyBorder="1" applyAlignment="1">
      <alignment horizontal="center" vertical="center"/>
    </xf>
    <xf numFmtId="1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9" fontId="5" fillId="0" borderId="1" xfId="0" applyNumberFormat="1" applyFont="1" applyBorder="1" applyAlignment="1">
      <alignment horizontal="center" vertical="center"/>
    </xf>
    <xf numFmtId="0" fontId="7" fillId="0" borderId="0" xfId="0" applyFont="1" applyBorder="1" applyAlignment="1">
      <alignment horizontal="center"/>
    </xf>
    <xf numFmtId="1" fontId="5" fillId="0" borderId="0" xfId="0" applyNumberFormat="1" applyFont="1" applyBorder="1" applyAlignment="1">
      <alignment horizontal="center" vertical="center"/>
    </xf>
    <xf numFmtId="1" fontId="7" fillId="0" borderId="0" xfId="0" applyNumberFormat="1" applyFont="1" applyBorder="1" applyAlignment="1">
      <alignment horizontal="center"/>
    </xf>
    <xf numFmtId="1" fontId="7" fillId="0" borderId="0" xfId="0" applyNumberFormat="1" applyFont="1" applyFill="1" applyBorder="1" applyAlignment="1">
      <alignment horizontal="center"/>
    </xf>
    <xf numFmtId="0" fontId="7" fillId="0" borderId="0" xfId="0" applyFont="1"/>
    <xf numFmtId="43" fontId="6" fillId="0" borderId="12" xfId="2" applyFont="1" applyFill="1" applyBorder="1" applyAlignment="1">
      <alignment horizontal="center" vertical="center"/>
    </xf>
    <xf numFmtId="43" fontId="6" fillId="0" borderId="1" xfId="2" applyFont="1" applyFill="1" applyBorder="1" applyAlignment="1">
      <alignment horizontal="center" vertical="center"/>
    </xf>
    <xf numFmtId="43" fontId="6" fillId="0" borderId="1" xfId="2" applyFont="1" applyBorder="1" applyAlignment="1">
      <alignment horizontal="center"/>
    </xf>
    <xf numFmtId="43" fontId="5" fillId="0" borderId="14" xfId="2" applyFont="1" applyBorder="1" applyAlignment="1">
      <alignment horizontal="center" vertical="center"/>
    </xf>
    <xf numFmtId="43" fontId="5" fillId="2" borderId="14" xfId="2" applyFont="1" applyFill="1" applyBorder="1" applyAlignment="1">
      <alignment horizontal="center" vertical="center"/>
    </xf>
    <xf numFmtId="9" fontId="5" fillId="0" borderId="14" xfId="0" applyNumberFormat="1" applyFont="1" applyBorder="1" applyAlignment="1">
      <alignment horizontal="center" vertical="center"/>
    </xf>
    <xf numFmtId="43" fontId="6" fillId="0" borderId="14" xfId="2" applyFont="1" applyFill="1" applyBorder="1" applyAlignment="1" applyProtection="1">
      <alignment horizontal="center" vertical="center"/>
      <protection locked="0"/>
    </xf>
    <xf numFmtId="43" fontId="5" fillId="0" borderId="14" xfId="2" applyFont="1" applyFill="1" applyBorder="1" applyAlignment="1">
      <alignment horizontal="center" vertical="center"/>
    </xf>
    <xf numFmtId="0" fontId="4" fillId="0" borderId="0" xfId="0" applyFont="1"/>
    <xf numFmtId="2" fontId="4" fillId="0" borderId="0" xfId="0" applyNumberFormat="1" applyFont="1"/>
    <xf numFmtId="0" fontId="4" fillId="2" borderId="0" xfId="0" applyFont="1" applyFill="1"/>
    <xf numFmtId="0" fontId="8" fillId="3" borderId="2" xfId="0" applyFont="1" applyFill="1" applyBorder="1" applyAlignment="1">
      <alignment horizontal="center"/>
    </xf>
    <xf numFmtId="0" fontId="4" fillId="2" borderId="0" xfId="0" applyFont="1" applyFill="1" applyAlignment="1"/>
    <xf numFmtId="0" fontId="8" fillId="3" borderId="16" xfId="0" applyFont="1" applyFill="1" applyBorder="1" applyAlignment="1">
      <alignment horizontal="center" vertical="center"/>
    </xf>
    <xf numFmtId="0" fontId="8" fillId="4" borderId="17" xfId="0" applyFont="1" applyFill="1" applyBorder="1" applyAlignment="1">
      <alignment horizontal="center" vertical="center" wrapText="1"/>
    </xf>
    <xf numFmtId="0" fontId="8" fillId="3" borderId="17" xfId="0" applyFont="1" applyFill="1" applyBorder="1" applyAlignment="1">
      <alignment horizontal="center" vertical="center" wrapText="1"/>
    </xf>
    <xf numFmtId="0" fontId="8" fillId="3" borderId="17" xfId="0" applyFont="1" applyFill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164" fontId="5" fillId="0" borderId="13" xfId="0" applyNumberFormat="1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43" fontId="4" fillId="0" borderId="12" xfId="2" applyFont="1" applyBorder="1" applyAlignment="1">
      <alignment horizontal="center"/>
    </xf>
    <xf numFmtId="9" fontId="5" fillId="0" borderId="19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/>
    </xf>
    <xf numFmtId="43" fontId="4" fillId="0" borderId="1" xfId="2" applyFont="1" applyBorder="1" applyAlignment="1">
      <alignment horizontal="center"/>
    </xf>
    <xf numFmtId="43" fontId="4" fillId="0" borderId="1" xfId="2" applyFont="1" applyFill="1" applyBorder="1" applyAlignment="1">
      <alignment horizontal="center" vertical="center"/>
    </xf>
    <xf numFmtId="43" fontId="4" fillId="0" borderId="1" xfId="2" applyFont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43" fontId="5" fillId="0" borderId="20" xfId="2" applyFont="1" applyFill="1" applyBorder="1" applyAlignment="1">
      <alignment horizontal="center" vertical="center"/>
    </xf>
    <xf numFmtId="43" fontId="4" fillId="0" borderId="1" xfId="2" applyFont="1" applyBorder="1" applyAlignment="1">
      <alignment horizontal="center" vertical="top"/>
    </xf>
    <xf numFmtId="43" fontId="4" fillId="0" borderId="0" xfId="2" applyFont="1" applyAlignment="1">
      <alignment horizontal="center"/>
    </xf>
    <xf numFmtId="0" fontId="4" fillId="0" borderId="3" xfId="0" applyFont="1" applyBorder="1" applyAlignment="1">
      <alignment horizontal="center" wrapText="1"/>
    </xf>
    <xf numFmtId="43" fontId="5" fillId="0" borderId="1" xfId="2" applyFont="1" applyBorder="1" applyAlignment="1" applyProtection="1">
      <alignment horizontal="center"/>
      <protection locked="0"/>
    </xf>
    <xf numFmtId="1" fontId="4" fillId="0" borderId="3" xfId="0" applyNumberFormat="1" applyFont="1" applyBorder="1" applyAlignment="1">
      <alignment horizontal="center"/>
    </xf>
    <xf numFmtId="43" fontId="5" fillId="2" borderId="1" xfId="2" applyFont="1" applyFill="1" applyBorder="1" applyAlignment="1" applyProtection="1">
      <alignment horizontal="center" vertical="center"/>
      <protection locked="0"/>
    </xf>
    <xf numFmtId="43" fontId="4" fillId="2" borderId="1" xfId="2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6" fillId="0" borderId="0" xfId="0" applyFont="1" applyAlignment="1">
      <alignment horizontal="center"/>
    </xf>
    <xf numFmtId="1" fontId="9" fillId="0" borderId="0" xfId="0" applyNumberFormat="1" applyFont="1" applyAlignment="1">
      <alignment horizontal="center"/>
    </xf>
    <xf numFmtId="1" fontId="4" fillId="0" borderId="0" xfId="0" applyNumberFormat="1" applyFont="1"/>
    <xf numFmtId="1" fontId="6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8" fillId="3" borderId="5" xfId="0" applyFont="1" applyFill="1" applyBorder="1" applyAlignment="1">
      <alignment horizontal="center"/>
    </xf>
    <xf numFmtId="0" fontId="8" fillId="3" borderId="8" xfId="0" applyFont="1" applyFill="1" applyBorder="1" applyAlignment="1">
      <alignment horizontal="center"/>
    </xf>
    <xf numFmtId="0" fontId="8" fillId="3" borderId="6" xfId="0" applyFont="1" applyFill="1" applyBorder="1" applyAlignment="1">
      <alignment horizontal="center"/>
    </xf>
    <xf numFmtId="0" fontId="8" fillId="3" borderId="9" xfId="0" applyFont="1" applyFill="1" applyBorder="1" applyAlignment="1">
      <alignment horizontal="center"/>
    </xf>
    <xf numFmtId="0" fontId="8" fillId="3" borderId="10" xfId="0" applyFont="1" applyFill="1" applyBorder="1" applyAlignment="1">
      <alignment horizontal="center"/>
    </xf>
    <xf numFmtId="0" fontId="8" fillId="3" borderId="11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2"/>
  <sheetViews>
    <sheetView tabSelected="1" workbookViewId="0">
      <selection activeCell="P10" sqref="P10"/>
    </sheetView>
  </sheetViews>
  <sheetFormatPr defaultColWidth="11.5703125" defaultRowHeight="15" x14ac:dyDescent="0.2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20"/>
    <col min="251" max="251" width="13.42578125" customWidth="1"/>
    <col min="252" max="253" width="12.5703125" customWidth="1"/>
  </cols>
  <sheetData>
    <row r="1" spans="1:21" ht="60" x14ac:dyDescent="0.25">
      <c r="A1" t="s">
        <v>9</v>
      </c>
      <c r="B1" t="s">
        <v>10</v>
      </c>
      <c r="C1" t="s">
        <v>11</v>
      </c>
      <c r="D1" t="s">
        <v>12</v>
      </c>
      <c r="E1" s="3" t="s">
        <v>13</v>
      </c>
      <c r="F1" s="2" t="s">
        <v>14</v>
      </c>
      <c r="G1" s="3" t="s">
        <v>15</v>
      </c>
      <c r="H1" s="2" t="s">
        <v>16</v>
      </c>
      <c r="I1" s="3" t="s">
        <v>17</v>
      </c>
      <c r="J1" s="2" t="s">
        <v>18</v>
      </c>
      <c r="K1" s="22" t="s">
        <v>19</v>
      </c>
      <c r="L1" s="2" t="s">
        <v>19</v>
      </c>
      <c r="M1" s="5" t="s">
        <v>20</v>
      </c>
      <c r="N1" s="21" t="s">
        <v>21</v>
      </c>
      <c r="O1" s="2"/>
    </row>
    <row r="2" spans="1:21" x14ac:dyDescent="0.25">
      <c r="A2" t="s">
        <v>27</v>
      </c>
      <c r="B2">
        <v>1</v>
      </c>
      <c r="C2" s="14">
        <v>12</v>
      </c>
      <c r="D2">
        <v>2021</v>
      </c>
      <c r="E2" s="16">
        <f>'01 - 2021'!B8-'01 - 2021'!B7+'01 - 2021'!C8-'01 - 2021'!C7</f>
        <v>9813.2000000000044</v>
      </c>
      <c r="F2" s="14">
        <v>0.11799999999999999</v>
      </c>
      <c r="G2" s="16">
        <f>'01 - 2021'!D8-'01 - 2021'!D7+'01 - 2021'!E8-'01 - 2021'!E7</f>
        <v>19.560000000000173</v>
      </c>
      <c r="H2" s="14">
        <v>0.99</v>
      </c>
      <c r="I2" s="16">
        <f>'01 - 2021'!J8-'01 - 2021'!J7</f>
        <v>14812</v>
      </c>
      <c r="J2" s="14">
        <v>8.1000000000000003E-2</v>
      </c>
      <c r="K2" s="23">
        <f>'01 - 2021'!H8-'01 - 2021'!H7</f>
        <v>0</v>
      </c>
      <c r="L2" s="16">
        <f>'01 - 2021'!I8-'01 - 2021'!I7</f>
        <v>125</v>
      </c>
      <c r="M2" s="15">
        <v>4.393629424766913</v>
      </c>
      <c r="N2" s="16">
        <v>81</v>
      </c>
    </row>
    <row r="3" spans="1:21" x14ac:dyDescent="0.25">
      <c r="A3" t="s">
        <v>27</v>
      </c>
      <c r="B3">
        <f>B2+1</f>
        <v>2</v>
      </c>
      <c r="C3" s="14">
        <v>12</v>
      </c>
      <c r="D3" s="14">
        <v>2021</v>
      </c>
      <c r="E3" s="16">
        <f>'01 - 2021'!B9-'01 - 2021'!B8+'01 - 2021'!C9-'01 - 2021'!C8</f>
        <v>10239</v>
      </c>
      <c r="F3" s="14">
        <v>0.11799999999999999</v>
      </c>
      <c r="G3" s="16">
        <f>'01 - 2021'!D9-'01 - 2021'!D8+'01 - 2021'!E9-'01 - 2021'!E8</f>
        <v>21.180000000000064</v>
      </c>
      <c r="H3" s="14">
        <v>0.99</v>
      </c>
      <c r="I3" s="16">
        <f>'01 - 2021'!J9-'01 - 2021'!J8</f>
        <v>13708</v>
      </c>
      <c r="J3" s="14">
        <v>8.1000000000000003E-2</v>
      </c>
      <c r="K3" s="23">
        <f>'01 - 2021'!H9-'01 - 2021'!H8</f>
        <v>0</v>
      </c>
      <c r="L3" s="16">
        <f>'01 - 2021'!I9-'01 - 2021'!I8</f>
        <v>100</v>
      </c>
      <c r="M3" s="15">
        <v>4.393629424766913</v>
      </c>
      <c r="N3" s="18">
        <v>63</v>
      </c>
    </row>
    <row r="4" spans="1:21" x14ac:dyDescent="0.25">
      <c r="A4" t="s">
        <v>27</v>
      </c>
      <c r="B4">
        <f t="shared" ref="B4:B31" si="0">B3+1</f>
        <v>3</v>
      </c>
      <c r="C4" s="14">
        <v>12</v>
      </c>
      <c r="D4" s="14">
        <v>2021</v>
      </c>
      <c r="E4" s="16">
        <f>'01 - 2021'!B10-'01 - 2021'!B9+'01 - 2021'!C10-'01 - 2021'!C9</f>
        <v>10629</v>
      </c>
      <c r="F4" s="14">
        <v>0.11799999999999999</v>
      </c>
      <c r="G4" s="16">
        <f>'01 - 2021'!D10-'01 - 2021'!D9+'01 - 2021'!E10-'01 - 2021'!E9</f>
        <v>16.200000000000045</v>
      </c>
      <c r="H4" s="14">
        <v>0.99</v>
      </c>
      <c r="I4" s="16">
        <f>'01 - 2021'!J10-'01 - 2021'!J9</f>
        <v>14596</v>
      </c>
      <c r="J4" s="14">
        <v>8.1000000000000003E-2</v>
      </c>
      <c r="K4" s="23">
        <f>'01 - 2021'!H10-'01 - 2021'!H9</f>
        <v>0</v>
      </c>
      <c r="L4" s="16">
        <f>'01 - 2021'!I10-'01 - 2021'!I9</f>
        <v>98</v>
      </c>
      <c r="M4" s="15">
        <v>4.393629424766913</v>
      </c>
      <c r="N4" s="18">
        <v>66</v>
      </c>
    </row>
    <row r="5" spans="1:21" x14ac:dyDescent="0.25">
      <c r="A5" t="s">
        <v>27</v>
      </c>
      <c r="B5">
        <f t="shared" si="0"/>
        <v>4</v>
      </c>
      <c r="C5" s="14">
        <v>12</v>
      </c>
      <c r="D5" s="14">
        <v>2021</v>
      </c>
      <c r="E5" s="16">
        <f>'01 - 2021'!B11-'01 - 2021'!B10+'01 - 2021'!C11-'01 - 2021'!C10</f>
        <v>10295.199999999997</v>
      </c>
      <c r="F5" s="14">
        <v>0.11799999999999999</v>
      </c>
      <c r="G5" s="16">
        <f>'01 - 2021'!D11-'01 - 2021'!D10+'01 - 2021'!E11-'01 - 2021'!E10</f>
        <v>18.579999999999927</v>
      </c>
      <c r="H5" s="14">
        <v>0.99</v>
      </c>
      <c r="I5" s="16">
        <f>'01 - 2021'!J11-'01 - 2021'!J10</f>
        <v>16232</v>
      </c>
      <c r="J5" s="14">
        <v>8.1000000000000003E-2</v>
      </c>
      <c r="K5" s="23">
        <f>'01 - 2021'!H11-'01 - 2021'!H10</f>
        <v>0</v>
      </c>
      <c r="L5" s="16">
        <f>'01 - 2021'!I11-'01 - 2021'!I10</f>
        <v>107</v>
      </c>
      <c r="M5" s="15">
        <v>4.393629424766913</v>
      </c>
      <c r="N5" s="18">
        <v>93</v>
      </c>
      <c r="R5" s="14"/>
    </row>
    <row r="6" spans="1:21" x14ac:dyDescent="0.25">
      <c r="A6" t="s">
        <v>27</v>
      </c>
      <c r="B6">
        <f t="shared" si="0"/>
        <v>5</v>
      </c>
      <c r="C6" s="14">
        <v>12</v>
      </c>
      <c r="D6" s="14">
        <v>2021</v>
      </c>
      <c r="E6" s="16">
        <f>'01 - 2021'!B12-'01 - 2021'!B11+'01 - 2021'!C12-'01 - 2021'!C11</f>
        <v>10004.5</v>
      </c>
      <c r="F6" s="14">
        <v>0.11799999999999999</v>
      </c>
      <c r="G6" s="16">
        <f>'01 - 2021'!D12-'01 - 2021'!D11+'01 - 2021'!E12-'01 - 2021'!E11</f>
        <v>20.570000000000164</v>
      </c>
      <c r="H6" s="14">
        <v>0.99</v>
      </c>
      <c r="I6" s="16">
        <f>'01 - 2021'!J12-'01 - 2021'!J11</f>
        <v>11980</v>
      </c>
      <c r="J6" s="14">
        <v>8.1000000000000003E-2</v>
      </c>
      <c r="K6" s="23">
        <f>'01 - 2021'!H12-'01 - 2021'!H11</f>
        <v>0</v>
      </c>
      <c r="L6" s="16">
        <f>'01 - 2021'!I12-'01 - 2021'!I11</f>
        <v>105</v>
      </c>
      <c r="M6" s="15">
        <v>4.393629424766913</v>
      </c>
      <c r="N6" s="18">
        <v>91</v>
      </c>
    </row>
    <row r="7" spans="1:21" x14ac:dyDescent="0.25">
      <c r="A7" t="s">
        <v>27</v>
      </c>
      <c r="B7">
        <f t="shared" si="0"/>
        <v>6</v>
      </c>
      <c r="C7" s="14">
        <v>12</v>
      </c>
      <c r="D7" s="14">
        <v>2021</v>
      </c>
      <c r="E7" s="16">
        <f>'01 - 2021'!B13-'01 - 2021'!B12+'01 - 2021'!C13-'01 - 2021'!C12</f>
        <v>9960.3000000000029</v>
      </c>
      <c r="F7" s="14">
        <v>0.11799999999999999</v>
      </c>
      <c r="G7" s="16">
        <f>'01 - 2021'!D13-'01 - 2021'!D12+'01 - 2021'!E13-'01 - 2021'!E12</f>
        <v>17.819999999999936</v>
      </c>
      <c r="H7" s="14">
        <v>0.99</v>
      </c>
      <c r="I7" s="16">
        <f>'01 - 2021'!J13-'01 - 2021'!J12</f>
        <v>10947</v>
      </c>
      <c r="J7" s="14">
        <v>8.1000000000000003E-2</v>
      </c>
      <c r="K7" s="23">
        <f>'01 - 2021'!H13-'01 - 2021'!H12</f>
        <v>0</v>
      </c>
      <c r="L7" s="16">
        <f>'01 - 2021'!I13-'01 - 2021'!I12</f>
        <v>121</v>
      </c>
      <c r="M7" s="15">
        <v>4.393629424766913</v>
      </c>
      <c r="N7" s="18">
        <v>99</v>
      </c>
    </row>
    <row r="8" spans="1:21" x14ac:dyDescent="0.25">
      <c r="A8" t="s">
        <v>27</v>
      </c>
      <c r="B8">
        <f t="shared" si="0"/>
        <v>7</v>
      </c>
      <c r="C8" s="14">
        <v>12</v>
      </c>
      <c r="D8" s="14">
        <v>2021</v>
      </c>
      <c r="E8" s="16">
        <f>'01 - 2021'!B14-'01 - 2021'!B13+'01 - 2021'!C14-'01 - 2021'!C13</f>
        <v>9969.6999999999971</v>
      </c>
      <c r="F8" s="14">
        <v>0.11799999999999999</v>
      </c>
      <c r="G8" s="16">
        <f>'01 - 2021'!D14-'01 - 2021'!D13+'01 - 2021'!E14-'01 - 2021'!E13</f>
        <v>15.070000000000164</v>
      </c>
      <c r="H8" s="14">
        <v>0.99</v>
      </c>
      <c r="I8" s="16">
        <f>'01 - 2021'!J14-'01 - 2021'!J13</f>
        <v>10959</v>
      </c>
      <c r="J8" s="14">
        <v>8.1000000000000003E-2</v>
      </c>
      <c r="K8" s="23">
        <f>'01 - 2021'!H14-'01 - 2021'!H13</f>
        <v>0</v>
      </c>
      <c r="L8" s="16">
        <f>'01 - 2021'!I14-'01 - 2021'!I13</f>
        <v>112</v>
      </c>
      <c r="M8" s="15">
        <v>4.393629424766913</v>
      </c>
      <c r="N8" s="20">
        <v>97</v>
      </c>
      <c r="O8" s="16"/>
    </row>
    <row r="9" spans="1:21" x14ac:dyDescent="0.25">
      <c r="A9" t="s">
        <v>27</v>
      </c>
      <c r="B9">
        <f t="shared" si="0"/>
        <v>8</v>
      </c>
      <c r="C9" s="14">
        <v>12</v>
      </c>
      <c r="D9" s="14">
        <v>2021</v>
      </c>
      <c r="E9" s="16">
        <f>'01 - 2021'!B15-'01 - 2021'!B14+'01 - 2021'!C15-'01 - 2021'!C14</f>
        <v>9803</v>
      </c>
      <c r="F9" s="14">
        <v>0.11799999999999999</v>
      </c>
      <c r="G9" s="16">
        <f>'01 - 2021'!D15-'01 - 2021'!D14+'01 - 2021'!E15-'01 - 2021'!E14</f>
        <v>21.089999999999918</v>
      </c>
      <c r="H9" s="14">
        <v>0.99</v>
      </c>
      <c r="I9" s="16">
        <f>'01 - 2021'!J15-'01 - 2021'!J14</f>
        <v>10574</v>
      </c>
      <c r="J9" s="14">
        <v>8.1000000000000003E-2</v>
      </c>
      <c r="K9" s="23">
        <f>'01 - 2021'!H15-'01 - 2021'!H14</f>
        <v>0</v>
      </c>
      <c r="L9" s="16">
        <f>'01 - 2021'!I15-'01 - 2021'!I14</f>
        <v>111</v>
      </c>
      <c r="M9" s="15">
        <v>4.393629424766913</v>
      </c>
      <c r="N9" s="18">
        <v>90</v>
      </c>
    </row>
    <row r="10" spans="1:21" x14ac:dyDescent="0.25">
      <c r="A10" t="s">
        <v>27</v>
      </c>
      <c r="B10">
        <f t="shared" si="0"/>
        <v>9</v>
      </c>
      <c r="C10" s="14">
        <v>12</v>
      </c>
      <c r="D10" s="14">
        <v>2021</v>
      </c>
      <c r="E10" s="16">
        <f>'01 - 2021'!B16-'01 - 2021'!B15+'01 - 2021'!C16-'01 - 2021'!C15</f>
        <v>9962</v>
      </c>
      <c r="F10" s="14">
        <v>0.11799999999999999</v>
      </c>
      <c r="G10" s="16">
        <f>'01 - 2021'!D16-'01 - 2021'!D15+'01 - 2021'!E16-'01 - 2021'!E15</f>
        <v>21.400000000000091</v>
      </c>
      <c r="H10" s="14">
        <v>0.99</v>
      </c>
      <c r="I10" s="16">
        <f>'01 - 2021'!J16-'01 - 2021'!J15</f>
        <v>11592</v>
      </c>
      <c r="J10" s="14">
        <v>8.1000000000000003E-2</v>
      </c>
      <c r="K10" s="23">
        <f>'01 - 2021'!H16-'01 - 2021'!H15</f>
        <v>0</v>
      </c>
      <c r="L10" s="16">
        <f>'01 - 2021'!I16-'01 - 2021'!I15</f>
        <v>106</v>
      </c>
      <c r="M10" s="15">
        <v>4.393629424766913</v>
      </c>
      <c r="N10" s="18">
        <v>84</v>
      </c>
    </row>
    <row r="11" spans="1:21" x14ac:dyDescent="0.25">
      <c r="A11" t="s">
        <v>27</v>
      </c>
      <c r="B11">
        <f t="shared" si="0"/>
        <v>10</v>
      </c>
      <c r="C11" s="14">
        <v>12</v>
      </c>
      <c r="D11" s="14">
        <v>2021</v>
      </c>
      <c r="E11" s="16">
        <f>'01 - 2021'!B17-'01 - 2021'!B16+'01 - 2021'!C17-'01 - 2021'!C16</f>
        <v>9400</v>
      </c>
      <c r="F11" s="14">
        <v>0.11799999999999999</v>
      </c>
      <c r="G11" s="16">
        <f>'01 - 2021'!D17-'01 - 2021'!D16+'01 - 2021'!E17-'01 - 2021'!E16</f>
        <v>20.940000000000055</v>
      </c>
      <c r="H11" s="14">
        <v>0.99</v>
      </c>
      <c r="I11" s="16">
        <f>'01 - 2021'!J17-'01 - 2021'!J16</f>
        <v>9174</v>
      </c>
      <c r="J11" s="14">
        <v>8.1000000000000003E-2</v>
      </c>
      <c r="K11" s="23">
        <f>'01 - 2021'!H17-'01 - 2021'!H16</f>
        <v>0</v>
      </c>
      <c r="L11" s="16">
        <f>'01 - 2021'!I17-'01 - 2021'!I16</f>
        <v>96</v>
      </c>
      <c r="M11" s="15">
        <v>4.393629424766913</v>
      </c>
      <c r="N11" s="18">
        <v>75</v>
      </c>
    </row>
    <row r="12" spans="1:21" x14ac:dyDescent="0.25">
      <c r="A12" t="s">
        <v>27</v>
      </c>
      <c r="B12">
        <f t="shared" si="0"/>
        <v>11</v>
      </c>
      <c r="C12" s="14">
        <v>12</v>
      </c>
      <c r="D12" s="14">
        <v>2021</v>
      </c>
      <c r="E12" s="16">
        <f>'01 - 2021'!B18-'01 - 2021'!B17+'01 - 2021'!C18-'01 - 2021'!C17</f>
        <v>9600</v>
      </c>
      <c r="F12" s="14">
        <v>0.11799999999999999</v>
      </c>
      <c r="G12" s="16">
        <f>'01 - 2021'!D18-'01 - 2021'!D17+'01 - 2021'!E18-'01 - 2021'!E17</f>
        <v>16.460000000000264</v>
      </c>
      <c r="H12" s="14">
        <v>0.99</v>
      </c>
      <c r="I12" s="16">
        <f>'01 - 2021'!J18-'01 - 2021'!J17</f>
        <v>11118</v>
      </c>
      <c r="J12" s="14">
        <v>8.1000000000000003E-2</v>
      </c>
      <c r="K12" s="23">
        <f>'01 - 2021'!H18-'01 - 2021'!H17</f>
        <v>0</v>
      </c>
      <c r="L12" s="16">
        <f>'01 - 2021'!I18-'01 - 2021'!I17</f>
        <v>103</v>
      </c>
      <c r="M12" s="15">
        <v>4.393629424766913</v>
      </c>
      <c r="N12" s="16">
        <v>76</v>
      </c>
    </row>
    <row r="13" spans="1:21" x14ac:dyDescent="0.25">
      <c r="A13" t="s">
        <v>27</v>
      </c>
      <c r="B13">
        <f t="shared" si="0"/>
        <v>12</v>
      </c>
      <c r="C13" s="14">
        <v>12</v>
      </c>
      <c r="D13" s="14">
        <v>2021</v>
      </c>
      <c r="E13" s="16">
        <f>'01 - 2021'!B19-'01 - 2021'!B18+'01 - 2021'!C19-'01 - 2021'!C18</f>
        <v>9588</v>
      </c>
      <c r="F13" s="14">
        <v>0.11799999999999999</v>
      </c>
      <c r="G13" s="16">
        <f>'01 - 2021'!D19-'01 - 2021'!D18+'01 - 2021'!E19-'01 - 2021'!E18</f>
        <v>18.900000000000091</v>
      </c>
      <c r="H13" s="14">
        <v>0.99</v>
      </c>
      <c r="I13" s="16">
        <f>'01 - 2021'!J19-'01 - 2021'!J18</f>
        <v>11144</v>
      </c>
      <c r="J13" s="14">
        <v>8.1000000000000003E-2</v>
      </c>
      <c r="K13" s="23">
        <f>'01 - 2021'!H19-'01 - 2021'!H18</f>
        <v>0</v>
      </c>
      <c r="L13" s="16">
        <f>'01 - 2021'!I19-'01 - 2021'!I18</f>
        <v>99</v>
      </c>
      <c r="M13" s="15">
        <v>4.393629424766913</v>
      </c>
      <c r="N13" s="16">
        <v>80</v>
      </c>
    </row>
    <row r="14" spans="1:21" x14ac:dyDescent="0.25">
      <c r="A14" t="s">
        <v>27</v>
      </c>
      <c r="B14">
        <f t="shared" si="0"/>
        <v>13</v>
      </c>
      <c r="C14" s="14">
        <v>12</v>
      </c>
      <c r="D14" s="14">
        <v>2021</v>
      </c>
      <c r="E14" s="16">
        <f>'01 - 2021'!B20-'01 - 2021'!B19+'01 - 2021'!C20-'01 - 2021'!C19</f>
        <v>9372</v>
      </c>
      <c r="F14" s="14">
        <v>0.11799999999999999</v>
      </c>
      <c r="G14" s="16">
        <f>'01 - 2021'!D20-'01 - 2021'!D19+'01 - 2021'!E20-'01 - 2021'!E19</f>
        <v>19.069999999999936</v>
      </c>
      <c r="H14" s="14">
        <v>0.99</v>
      </c>
      <c r="I14" s="16">
        <f>'01 - 2021'!J20-'01 - 2021'!J19</f>
        <v>11145</v>
      </c>
      <c r="J14" s="14">
        <v>8.1000000000000003E-2</v>
      </c>
      <c r="K14" s="23">
        <f>'01 - 2021'!H20-'01 - 2021'!H19</f>
        <v>0</v>
      </c>
      <c r="L14" s="16">
        <f>'01 - 2021'!I20-'01 - 2021'!I19</f>
        <v>107</v>
      </c>
      <c r="M14" s="15">
        <v>4.393629424766913</v>
      </c>
      <c r="N14" s="16">
        <v>72</v>
      </c>
      <c r="O14" s="16"/>
    </row>
    <row r="15" spans="1:21" x14ac:dyDescent="0.25">
      <c r="A15" t="s">
        <v>27</v>
      </c>
      <c r="B15">
        <f t="shared" si="0"/>
        <v>14</v>
      </c>
      <c r="C15" s="14">
        <v>12</v>
      </c>
      <c r="D15" s="14">
        <v>2021</v>
      </c>
      <c r="E15" s="16">
        <v>0</v>
      </c>
      <c r="F15" s="14">
        <v>0.11799999999999999</v>
      </c>
      <c r="G15" s="16">
        <v>0</v>
      </c>
      <c r="H15" s="14">
        <v>0.99</v>
      </c>
      <c r="I15" s="16">
        <v>0</v>
      </c>
      <c r="J15" s="14">
        <v>8.1000000000000003E-2</v>
      </c>
      <c r="K15" s="23">
        <v>0</v>
      </c>
      <c r="L15" s="16">
        <v>0</v>
      </c>
      <c r="M15" s="15">
        <v>4.393629424766913</v>
      </c>
      <c r="N15" s="16"/>
      <c r="R15" s="14"/>
    </row>
    <row r="16" spans="1:21" x14ac:dyDescent="0.25">
      <c r="A16" t="s">
        <v>27</v>
      </c>
      <c r="B16">
        <f t="shared" si="0"/>
        <v>15</v>
      </c>
      <c r="C16" s="14">
        <v>12</v>
      </c>
      <c r="D16" s="14">
        <v>2021</v>
      </c>
      <c r="E16" s="16">
        <f>'01 - 2021'!B22-'01 - 2021'!B21+'01 - 2021'!C22-'01 - 2021'!C21</f>
        <v>0</v>
      </c>
      <c r="F16" s="14">
        <v>0.11799999999999999</v>
      </c>
      <c r="G16" s="16">
        <f>'01 - 2021'!D22-'01 - 2021'!D21+'01 - 2021'!E22-'01 - 2021'!E21</f>
        <v>0</v>
      </c>
      <c r="H16" s="14">
        <v>0.99</v>
      </c>
      <c r="I16" s="16">
        <f>'01 - 2021'!J22-'01 - 2021'!J21</f>
        <v>0</v>
      </c>
      <c r="J16" s="14">
        <v>8.1000000000000003E-2</v>
      </c>
      <c r="K16" s="23">
        <f>'01 - 2021'!H22-'01 - 2021'!H21</f>
        <v>0</v>
      </c>
      <c r="L16" s="16">
        <f>'01 - 2021'!I22-'01 - 2021'!I21</f>
        <v>0</v>
      </c>
      <c r="M16" s="15">
        <v>4.393629424766913</v>
      </c>
      <c r="N16" s="16"/>
      <c r="U16" s="14"/>
    </row>
    <row r="17" spans="1:17" x14ac:dyDescent="0.25">
      <c r="A17" t="s">
        <v>27</v>
      </c>
      <c r="B17">
        <f t="shared" si="0"/>
        <v>16</v>
      </c>
      <c r="C17" s="14">
        <v>12</v>
      </c>
      <c r="D17" s="14">
        <v>2021</v>
      </c>
      <c r="E17" s="16">
        <f>'01 - 2021'!B23-'01 - 2021'!B22+'01 - 2021'!C23-'01 - 2021'!C22</f>
        <v>0</v>
      </c>
      <c r="F17" s="14">
        <v>0.11799999999999999</v>
      </c>
      <c r="G17" s="16">
        <f>'01 - 2021'!D23-'01 - 2021'!D22+'01 - 2021'!E23-'01 - 2021'!E22</f>
        <v>0</v>
      </c>
      <c r="H17" s="14">
        <v>0.99</v>
      </c>
      <c r="I17" s="16">
        <f>'01 - 2021'!J23-'01 - 2021'!J22</f>
        <v>0</v>
      </c>
      <c r="J17" s="14">
        <v>8.1000000000000003E-2</v>
      </c>
      <c r="K17" s="23">
        <f>'01 - 2021'!H23-'01 - 2021'!H22</f>
        <v>0</v>
      </c>
      <c r="L17" s="16">
        <f>'01 - 2021'!I23-'01 - 2021'!I22</f>
        <v>0</v>
      </c>
      <c r="M17" s="15">
        <v>4.393629424766913</v>
      </c>
      <c r="N17" s="16"/>
      <c r="O17" s="14"/>
    </row>
    <row r="18" spans="1:17" x14ac:dyDescent="0.25">
      <c r="A18" t="s">
        <v>27</v>
      </c>
      <c r="B18">
        <f t="shared" si="0"/>
        <v>17</v>
      </c>
      <c r="C18" s="14">
        <v>12</v>
      </c>
      <c r="D18" s="14">
        <v>2021</v>
      </c>
      <c r="E18" s="16">
        <f>'01 - 2021'!B24-'01 - 2021'!B23+'01 - 2021'!C24-'01 - 2021'!C23</f>
        <v>0</v>
      </c>
      <c r="F18" s="14">
        <v>0.11799999999999999</v>
      </c>
      <c r="G18" s="16">
        <f>'01 - 2021'!D24-'01 - 2021'!D23+'01 - 2021'!E24-'01 - 2021'!E23</f>
        <v>0</v>
      </c>
      <c r="H18" s="14">
        <v>0.99</v>
      </c>
      <c r="I18" s="16">
        <f>'01 - 2021'!J24-'01 - 2021'!J23</f>
        <v>0</v>
      </c>
      <c r="J18" s="14">
        <v>8.1000000000000003E-2</v>
      </c>
      <c r="K18" s="23">
        <f>'01 - 2021'!H24-'01 - 2021'!H23</f>
        <v>0</v>
      </c>
      <c r="L18" s="16">
        <f>'01 - 2021'!I24-'01 - 2021'!I23</f>
        <v>0</v>
      </c>
      <c r="M18" s="15">
        <v>4.393629424766913</v>
      </c>
      <c r="N18" s="16"/>
      <c r="Q18" s="14"/>
    </row>
    <row r="19" spans="1:17" x14ac:dyDescent="0.25">
      <c r="A19" t="s">
        <v>27</v>
      </c>
      <c r="B19">
        <f>B18+1</f>
        <v>18</v>
      </c>
      <c r="C19" s="14">
        <v>12</v>
      </c>
      <c r="D19" s="14">
        <v>2021</v>
      </c>
      <c r="E19" s="16">
        <f>'01 - 2021'!B25-'01 - 2021'!B24+'01 - 2021'!C25-'01 - 2021'!C24</f>
        <v>0</v>
      </c>
      <c r="F19" s="14">
        <v>0.11799999999999999</v>
      </c>
      <c r="G19" s="16">
        <f>'01 - 2021'!D25-'01 - 2021'!D24+'01 - 2021'!E25-'01 - 2021'!E24</f>
        <v>0</v>
      </c>
      <c r="H19" s="14">
        <v>0.99</v>
      </c>
      <c r="I19" s="16">
        <f>'01 - 2021'!J25-'01 - 2021'!J24</f>
        <v>0</v>
      </c>
      <c r="J19" s="14">
        <v>8.1000000000000003E-2</v>
      </c>
      <c r="K19" s="23">
        <f>'01 - 2021'!H25-'01 - 2021'!H24</f>
        <v>0</v>
      </c>
      <c r="L19" s="16">
        <f>'01 - 2021'!I25-'01 - 2021'!I24</f>
        <v>0</v>
      </c>
      <c r="M19" s="15">
        <v>4.393629424766913</v>
      </c>
      <c r="N19" s="16"/>
    </row>
    <row r="20" spans="1:17" x14ac:dyDescent="0.25">
      <c r="A20" t="s">
        <v>27</v>
      </c>
      <c r="B20">
        <f t="shared" si="0"/>
        <v>19</v>
      </c>
      <c r="C20" s="14">
        <v>12</v>
      </c>
      <c r="D20" s="14">
        <v>2021</v>
      </c>
      <c r="E20" s="16">
        <f>'01 - 2021'!B26-'01 - 2021'!B25+'01 - 2021'!C26-'01 - 2021'!C25</f>
        <v>0</v>
      </c>
      <c r="F20" s="14">
        <v>0.11799999999999999</v>
      </c>
      <c r="G20" s="16">
        <f>'01 - 2021'!D26-'01 - 2021'!D25+'01 - 2021'!E26-'01 - 2021'!E25</f>
        <v>0</v>
      </c>
      <c r="H20" s="14">
        <v>0.99</v>
      </c>
      <c r="I20" s="16">
        <f>'01 - 2021'!J26-'01 - 2021'!J25</f>
        <v>0</v>
      </c>
      <c r="J20" s="14">
        <v>8.1000000000000003E-2</v>
      </c>
      <c r="K20" s="23">
        <f>'01 - 2021'!H26-'01 - 2021'!H25</f>
        <v>0</v>
      </c>
      <c r="L20" s="16">
        <f>'01 - 2021'!I26-'01 - 2021'!I25</f>
        <v>0</v>
      </c>
      <c r="M20" s="15">
        <v>4.393629424766913</v>
      </c>
      <c r="N20" s="16"/>
    </row>
    <row r="21" spans="1:17" x14ac:dyDescent="0.25">
      <c r="A21" t="s">
        <v>27</v>
      </c>
      <c r="B21">
        <f t="shared" si="0"/>
        <v>20</v>
      </c>
      <c r="C21" s="14">
        <v>12</v>
      </c>
      <c r="D21" s="14">
        <v>2021</v>
      </c>
      <c r="E21" s="16">
        <f>'01 - 2021'!B27-'01 - 2021'!B26+'01 - 2021'!C27-'01 - 2021'!C26</f>
        <v>0</v>
      </c>
      <c r="F21" s="14">
        <v>0.11799999999999999</v>
      </c>
      <c r="G21" s="16">
        <f>'01 - 2021'!D27-'01 - 2021'!D26+'01 - 2021'!E27-'01 - 2021'!E26</f>
        <v>0</v>
      </c>
      <c r="H21" s="14">
        <v>0.99</v>
      </c>
      <c r="I21" s="16">
        <f>'01 - 2021'!J27-'01 - 2021'!J26</f>
        <v>0</v>
      </c>
      <c r="J21" s="14">
        <v>8.1000000000000003E-2</v>
      </c>
      <c r="K21" s="23">
        <f>'01 - 2021'!H27-'01 - 2021'!H26</f>
        <v>0</v>
      </c>
      <c r="L21" s="16">
        <f>'01 - 2021'!I27-'01 - 2021'!I26</f>
        <v>0</v>
      </c>
      <c r="M21" s="15">
        <v>4.393629424766913</v>
      </c>
      <c r="N21" s="16"/>
    </row>
    <row r="22" spans="1:17" x14ac:dyDescent="0.25">
      <c r="A22" t="s">
        <v>27</v>
      </c>
      <c r="B22">
        <f t="shared" si="0"/>
        <v>21</v>
      </c>
      <c r="C22" s="14">
        <v>12</v>
      </c>
      <c r="D22" s="14">
        <v>2021</v>
      </c>
      <c r="E22" s="16">
        <f>'01 - 2021'!B28-'01 - 2021'!B27+'01 - 2021'!C28-'01 - 2021'!C27</f>
        <v>0</v>
      </c>
      <c r="F22" s="14">
        <v>0.11799999999999999</v>
      </c>
      <c r="G22" s="16">
        <f>'01 - 2021'!D28-'01 - 2021'!D27+'01 - 2021'!E28-'01 - 2021'!E27</f>
        <v>0</v>
      </c>
      <c r="H22" s="14">
        <v>0.99</v>
      </c>
      <c r="I22" s="16">
        <f>'01 - 2021'!J28-'01 - 2021'!J27</f>
        <v>0</v>
      </c>
      <c r="J22" s="14">
        <v>8.1000000000000003E-2</v>
      </c>
      <c r="K22" s="23">
        <f>'01 - 2021'!H28-'01 - 2021'!H27</f>
        <v>0</v>
      </c>
      <c r="L22" s="16">
        <f>'01 - 2021'!I28-'01 - 2021'!I27</f>
        <v>0</v>
      </c>
      <c r="M22" s="15">
        <v>4.393629424766913</v>
      </c>
      <c r="N22" s="16"/>
    </row>
    <row r="23" spans="1:17" x14ac:dyDescent="0.25">
      <c r="A23" t="s">
        <v>27</v>
      </c>
      <c r="B23">
        <f t="shared" si="0"/>
        <v>22</v>
      </c>
      <c r="C23" s="14">
        <v>12</v>
      </c>
      <c r="D23" s="14">
        <v>2021</v>
      </c>
      <c r="E23" s="16">
        <f>'01 - 2021'!B29-'01 - 2021'!B28+'01 - 2021'!C29-'01 - 2021'!C28</f>
        <v>0</v>
      </c>
      <c r="F23" s="14">
        <v>0.11799999999999999</v>
      </c>
      <c r="G23" s="16">
        <f>'01 - 2021'!D29-'01 - 2021'!D28+'01 - 2021'!E29-'01 - 2021'!E28</f>
        <v>0</v>
      </c>
      <c r="H23" s="14">
        <v>0.99</v>
      </c>
      <c r="I23" s="16">
        <f>'01 - 2021'!J29-'01 - 2021'!J28</f>
        <v>0</v>
      </c>
      <c r="J23" s="14">
        <v>8.1000000000000003E-2</v>
      </c>
      <c r="K23" s="23">
        <f>'01 - 2021'!H29-'01 - 2021'!H28</f>
        <v>0</v>
      </c>
      <c r="L23" s="16">
        <f>'01 - 2021'!I29-'01 - 2021'!I28</f>
        <v>0</v>
      </c>
      <c r="M23" s="15">
        <v>4.393629424766913</v>
      </c>
      <c r="N23" s="16"/>
    </row>
    <row r="24" spans="1:17" x14ac:dyDescent="0.25">
      <c r="A24" t="s">
        <v>27</v>
      </c>
      <c r="B24">
        <f t="shared" si="0"/>
        <v>23</v>
      </c>
      <c r="C24" s="14">
        <v>12</v>
      </c>
      <c r="D24" s="14">
        <v>2021</v>
      </c>
      <c r="E24" s="16">
        <f>'01 - 2021'!B30-'01 - 2021'!B29+'01 - 2021'!C30-'01 - 2021'!C29</f>
        <v>0</v>
      </c>
      <c r="F24" s="14">
        <v>0.11799999999999999</v>
      </c>
      <c r="G24" s="16">
        <f>'01 - 2021'!D30-'01 - 2021'!D29+'01 - 2021'!E30-'01 - 2021'!E29</f>
        <v>0</v>
      </c>
      <c r="H24" s="14">
        <v>0.99</v>
      </c>
      <c r="I24" s="16">
        <f>'01 - 2021'!J30-'01 - 2021'!J29</f>
        <v>0</v>
      </c>
      <c r="J24" s="14">
        <v>8.1000000000000003E-2</v>
      </c>
      <c r="K24" s="23">
        <f>'01 - 2021'!H30-'01 - 2021'!H29</f>
        <v>0</v>
      </c>
      <c r="L24" s="16">
        <f>'01 - 2021'!I30-'01 - 2021'!I29</f>
        <v>0</v>
      </c>
      <c r="M24" s="15">
        <v>4.393629424766913</v>
      </c>
      <c r="N24" s="16"/>
    </row>
    <row r="25" spans="1:17" x14ac:dyDescent="0.25">
      <c r="A25" t="s">
        <v>27</v>
      </c>
      <c r="B25">
        <f t="shared" si="0"/>
        <v>24</v>
      </c>
      <c r="C25" s="14">
        <v>12</v>
      </c>
      <c r="D25" s="14">
        <v>2021</v>
      </c>
      <c r="E25" s="16">
        <f>'01 - 2021'!B31-'01 - 2021'!B30+'01 - 2021'!C31-'01 - 2021'!C30</f>
        <v>0</v>
      </c>
      <c r="F25" s="14">
        <v>0.11799999999999999</v>
      </c>
      <c r="G25" s="16">
        <f>'01 - 2021'!D31-'01 - 2021'!D30+'01 - 2021'!E31-'01 - 2021'!E30</f>
        <v>0</v>
      </c>
      <c r="H25" s="14">
        <v>0.99</v>
      </c>
      <c r="I25" s="16">
        <f>'01 - 2021'!J31-'01 - 2021'!J30</f>
        <v>0</v>
      </c>
      <c r="J25" s="14">
        <v>8.1000000000000003E-2</v>
      </c>
      <c r="K25" s="23">
        <f>'01 - 2021'!H31-'01 - 2021'!H30</f>
        <v>0</v>
      </c>
      <c r="L25" s="16">
        <f>'01 - 2021'!I31-'01 - 2021'!I30</f>
        <v>0</v>
      </c>
      <c r="M25" s="15">
        <v>4.393629424766913</v>
      </c>
      <c r="N25" s="16"/>
      <c r="P25" s="12"/>
    </row>
    <row r="26" spans="1:17" x14ac:dyDescent="0.25">
      <c r="A26" t="s">
        <v>27</v>
      </c>
      <c r="B26">
        <f>B25+1</f>
        <v>25</v>
      </c>
      <c r="C26" s="14">
        <v>12</v>
      </c>
      <c r="D26" s="14">
        <v>2021</v>
      </c>
      <c r="E26" s="16">
        <f>'01 - 2021'!B32-'01 - 2021'!B31+'01 - 2021'!C32-'01 - 2021'!C31</f>
        <v>0</v>
      </c>
      <c r="F26" s="14">
        <v>0.11799999999999999</v>
      </c>
      <c r="G26" s="16">
        <f>'01 - 2021'!D32-'01 - 2021'!D31+'01 - 2021'!E32-'01 - 2021'!E31</f>
        <v>0</v>
      </c>
      <c r="H26" s="14">
        <v>0.99</v>
      </c>
      <c r="I26" s="16">
        <f>'01 - 2021'!J32-'01 - 2021'!J31</f>
        <v>0</v>
      </c>
      <c r="J26" s="14">
        <v>8.1000000000000003E-2</v>
      </c>
      <c r="K26" s="23">
        <f>'01 - 2021'!H32-'01 - 2021'!H31</f>
        <v>0</v>
      </c>
      <c r="L26" s="16">
        <f>'01 - 2021'!I32-'01 - 2021'!I31</f>
        <v>0</v>
      </c>
      <c r="M26" s="15">
        <v>4.393629424766913</v>
      </c>
      <c r="N26" s="16"/>
    </row>
    <row r="27" spans="1:17" x14ac:dyDescent="0.25">
      <c r="A27" t="s">
        <v>27</v>
      </c>
      <c r="B27">
        <f t="shared" si="0"/>
        <v>26</v>
      </c>
      <c r="C27" s="14">
        <v>12</v>
      </c>
      <c r="D27" s="14">
        <v>2021</v>
      </c>
      <c r="E27" s="16">
        <f>'01 - 2021'!B33-'01 - 2021'!B32+'01 - 2021'!C33-'01 - 2021'!C32</f>
        <v>0</v>
      </c>
      <c r="F27" s="14">
        <v>0.11799999999999999</v>
      </c>
      <c r="G27" s="16">
        <f>'01 - 2021'!D33-'01 - 2021'!D32+'01 - 2021'!E33-'01 - 2021'!E32</f>
        <v>0</v>
      </c>
      <c r="H27" s="14">
        <v>0.99</v>
      </c>
      <c r="I27" s="16">
        <f>'01 - 2021'!J33-'01 - 2021'!J32</f>
        <v>0</v>
      </c>
      <c r="J27" s="14">
        <v>8.1000000000000003E-2</v>
      </c>
      <c r="K27" s="23">
        <f>'01 - 2021'!H33-'01 - 2021'!H32</f>
        <v>0</v>
      </c>
      <c r="L27" s="16">
        <f>'01 - 2021'!I33-'01 - 2021'!I32</f>
        <v>0</v>
      </c>
      <c r="M27" s="15">
        <v>4.393629424766913</v>
      </c>
      <c r="N27" s="16"/>
    </row>
    <row r="28" spans="1:17" x14ac:dyDescent="0.25">
      <c r="A28" t="s">
        <v>27</v>
      </c>
      <c r="B28">
        <f t="shared" si="0"/>
        <v>27</v>
      </c>
      <c r="C28" s="14">
        <v>12</v>
      </c>
      <c r="D28" s="14">
        <v>2021</v>
      </c>
      <c r="E28" s="16">
        <f>'01 - 2021'!B34-'01 - 2021'!B33+'01 - 2021'!C34-'01 - 2021'!C33</f>
        <v>0</v>
      </c>
      <c r="F28" s="14">
        <v>0.11799999999999999</v>
      </c>
      <c r="G28" s="16">
        <f>'01 - 2021'!D34-'01 - 2021'!D33+'01 - 2021'!E34-'01 - 2021'!E33</f>
        <v>0</v>
      </c>
      <c r="H28" s="14">
        <v>0.99</v>
      </c>
      <c r="I28" s="16">
        <f>'01 - 2021'!J34-'01 - 2021'!J33</f>
        <v>0</v>
      </c>
      <c r="J28" s="14">
        <v>8.1000000000000003E-2</v>
      </c>
      <c r="K28" s="23">
        <f>'01 - 2021'!H34-'01 - 2021'!H33</f>
        <v>0</v>
      </c>
      <c r="L28" s="16">
        <f>'01 - 2021'!I34-'01 - 2021'!I33</f>
        <v>0</v>
      </c>
      <c r="M28" s="15">
        <v>4.393629424766913</v>
      </c>
      <c r="N28" s="19"/>
    </row>
    <row r="29" spans="1:17" x14ac:dyDescent="0.25">
      <c r="A29" t="s">
        <v>27</v>
      </c>
      <c r="B29">
        <f t="shared" si="0"/>
        <v>28</v>
      </c>
      <c r="C29" s="14">
        <v>12</v>
      </c>
      <c r="D29" s="14">
        <v>2021</v>
      </c>
      <c r="E29" s="16">
        <f>'01 - 2021'!B35-'01 - 2021'!B34+'01 - 2021'!C35-'01 - 2021'!C34</f>
        <v>0</v>
      </c>
      <c r="F29" s="14">
        <v>0.11799999999999999</v>
      </c>
      <c r="G29" s="16">
        <f>'01 - 2021'!D35-'01 - 2021'!D34+'01 - 2021'!E35-'01 - 2021'!E34</f>
        <v>0</v>
      </c>
      <c r="H29" s="14">
        <v>0.99</v>
      </c>
      <c r="I29" s="16">
        <f>'01 - 2021'!J35-'01 - 2021'!J34</f>
        <v>0</v>
      </c>
      <c r="J29" s="14">
        <v>8.1000000000000003E-2</v>
      </c>
      <c r="K29" s="23">
        <f>'01 - 2021'!H35-'01 - 2021'!H34</f>
        <v>0</v>
      </c>
      <c r="L29" s="16">
        <f>'01 - 2021'!I35-'01 - 2021'!I34</f>
        <v>0</v>
      </c>
      <c r="M29" s="15">
        <v>4.393629424766913</v>
      </c>
      <c r="N29" s="19"/>
    </row>
    <row r="30" spans="1:17" x14ac:dyDescent="0.25">
      <c r="A30" s="14" t="s">
        <v>27</v>
      </c>
      <c r="B30" s="14">
        <f t="shared" si="0"/>
        <v>29</v>
      </c>
      <c r="C30" s="14">
        <v>12</v>
      </c>
      <c r="D30" s="14">
        <v>2021</v>
      </c>
      <c r="E30" s="16">
        <f>'01 - 2021'!B36-'01 - 2021'!B35+'01 - 2021'!C36-'01 - 2021'!C35</f>
        <v>0</v>
      </c>
      <c r="F30" s="14">
        <v>0.11799999999999999</v>
      </c>
      <c r="G30" s="16">
        <f>'01 - 2021'!D36-'01 - 2021'!D35+'01 - 2021'!E36-'01 - 2021'!E35</f>
        <v>0</v>
      </c>
      <c r="H30" s="14">
        <v>0.99</v>
      </c>
      <c r="I30" s="16">
        <f>'01 - 2021'!J36-'01 - 2021'!J35</f>
        <v>0</v>
      </c>
      <c r="J30" s="14">
        <v>8.1000000000000003E-2</v>
      </c>
      <c r="K30" s="23">
        <f>'01 - 2021'!H36-'01 - 2021'!H35</f>
        <v>0</v>
      </c>
      <c r="L30" s="16">
        <f>'01 - 2021'!I36-'01 - 2021'!I35</f>
        <v>0</v>
      </c>
      <c r="M30" s="15">
        <v>4.393629424766913</v>
      </c>
      <c r="N30" s="19"/>
    </row>
    <row r="31" spans="1:17" x14ac:dyDescent="0.25">
      <c r="A31" s="14" t="s">
        <v>27</v>
      </c>
      <c r="B31" s="14">
        <f t="shared" si="0"/>
        <v>30</v>
      </c>
      <c r="C31" s="14">
        <v>12</v>
      </c>
      <c r="D31" s="14">
        <v>2021</v>
      </c>
      <c r="E31" s="16">
        <f>'01 - 2021'!B37-'01 - 2021'!B36+'01 - 2021'!C37-'01 - 2021'!C36</f>
        <v>0</v>
      </c>
      <c r="F31" s="14">
        <v>0.11799999999999999</v>
      </c>
      <c r="G31" s="16">
        <f>'01 - 2021'!D37-'01 - 2021'!D36+'01 - 2021'!E37-'01 - 2021'!E36</f>
        <v>0</v>
      </c>
      <c r="H31" s="14">
        <v>0.99</v>
      </c>
      <c r="I31" s="16">
        <f>'01 - 2021'!J37-'01 - 2021'!J36</f>
        <v>0</v>
      </c>
      <c r="J31" s="14">
        <v>8.1000000000000003E-2</v>
      </c>
      <c r="K31" s="23">
        <f>'01 - 2021'!H37-'01 - 2021'!H36</f>
        <v>0</v>
      </c>
      <c r="L31" s="16">
        <f>'01 - 2021'!I37-'01 - 2021'!I36</f>
        <v>0</v>
      </c>
      <c r="M31" s="15">
        <v>4.393629424766913</v>
      </c>
    </row>
    <row r="32" spans="1:17" x14ac:dyDescent="0.25">
      <c r="A32" s="14" t="s">
        <v>27</v>
      </c>
      <c r="B32">
        <v>31</v>
      </c>
      <c r="C32" s="14">
        <v>12</v>
      </c>
      <c r="D32" s="14">
        <v>2021</v>
      </c>
      <c r="E32" s="16">
        <f>'01 - 2021'!B38-'01 - 2021'!B37+'01 - 2021'!C38-'01 - 2021'!C37</f>
        <v>0</v>
      </c>
      <c r="F32" s="14">
        <v>0.11799999999999999</v>
      </c>
      <c r="G32" s="16">
        <f>'01 - 2021'!D38-'01 - 2021'!D37+'01 - 2021'!E38-'01 - 2021'!E37</f>
        <v>0</v>
      </c>
      <c r="H32" s="14">
        <v>0.99</v>
      </c>
      <c r="I32" s="16">
        <f>'01 - 2021'!J38-'01 - 2021'!J37</f>
        <v>0</v>
      </c>
      <c r="J32" s="14">
        <v>8.1000000000000003E-2</v>
      </c>
      <c r="K32" s="23">
        <f>'01 - 2021'!H38-'01 - 2021'!H37</f>
        <v>0</v>
      </c>
      <c r="L32" s="16">
        <f>'01 - 2021'!I38-'01 - 2021'!I37</f>
        <v>0</v>
      </c>
      <c r="M32" s="15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L15" sqref="L15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 x14ac:dyDescent="0.25">
      <c r="A1" s="7" t="s">
        <v>9</v>
      </c>
      <c r="B1" s="7" t="s">
        <v>10</v>
      </c>
      <c r="C1" s="7" t="s">
        <v>11</v>
      </c>
      <c r="D1" s="7" t="s">
        <v>12</v>
      </c>
      <c r="E1" s="8" t="s">
        <v>22</v>
      </c>
      <c r="F1" s="8" t="s">
        <v>23</v>
      </c>
      <c r="G1" s="9" t="s">
        <v>14</v>
      </c>
      <c r="H1" s="8" t="s">
        <v>24</v>
      </c>
      <c r="I1" s="8" t="s">
        <v>25</v>
      </c>
      <c r="J1" s="8" t="s">
        <v>26</v>
      </c>
      <c r="K1" s="9" t="s">
        <v>16</v>
      </c>
      <c r="L1" s="9" t="s">
        <v>21</v>
      </c>
      <c r="M1" s="9"/>
    </row>
    <row r="2" spans="1:13" x14ac:dyDescent="0.25">
      <c r="A2" t="s">
        <v>27</v>
      </c>
      <c r="B2">
        <v>1</v>
      </c>
      <c r="C2" s="14">
        <v>12</v>
      </c>
      <c r="D2">
        <v>2021</v>
      </c>
      <c r="E2" s="16">
        <f>'01 - 2021'!B8-'01 - 2021'!B7</f>
        <v>3842</v>
      </c>
      <c r="F2" s="16">
        <f>'01 - 2021'!C8-'01 - 2021'!C7</f>
        <v>5971.2000000000044</v>
      </c>
      <c r="G2" s="14">
        <v>0.11799999999999999</v>
      </c>
      <c r="H2" s="16">
        <f>'01 - 2021'!E8-'01 - 2021'!E7</f>
        <v>19.620000000000118</v>
      </c>
      <c r="I2" s="16">
        <f>'01 - 2021'!F8-'01 - 2021'!F7</f>
        <v>8.8299999999999272</v>
      </c>
      <c r="J2" s="16">
        <f>'01 - 2021'!G8-'01 - 2021'!G7</f>
        <v>40.630000000004657</v>
      </c>
      <c r="K2" s="14">
        <v>0.74</v>
      </c>
      <c r="L2" s="16">
        <v>81</v>
      </c>
      <c r="M2" s="10"/>
    </row>
    <row r="3" spans="1:13" x14ac:dyDescent="0.25">
      <c r="A3" t="s">
        <v>27</v>
      </c>
      <c r="B3">
        <f>B2+1</f>
        <v>2</v>
      </c>
      <c r="C3" s="14">
        <v>12</v>
      </c>
      <c r="D3" s="14">
        <v>2021</v>
      </c>
      <c r="E3" s="16">
        <f>'01 - 2021'!B9-'01 - 2021'!B8</f>
        <v>3773</v>
      </c>
      <c r="F3" s="16">
        <f>'01 - 2021'!C9-'01 - 2021'!C8</f>
        <v>6466</v>
      </c>
      <c r="G3" s="14">
        <v>0.11799999999999999</v>
      </c>
      <c r="H3" s="16">
        <f>'01 - 2021'!E9-'01 - 2021'!E8</f>
        <v>21.259999999999991</v>
      </c>
      <c r="I3" s="16">
        <f>'01 - 2021'!F9-'01 - 2021'!F8</f>
        <v>8.8200000000001637</v>
      </c>
      <c r="J3" s="16">
        <f>'01 - 2021'!G9-'01 - 2021'!G8</f>
        <v>38.209999999999127</v>
      </c>
      <c r="K3" s="14">
        <v>0.74</v>
      </c>
      <c r="L3" s="18">
        <v>63</v>
      </c>
      <c r="M3" s="10"/>
    </row>
    <row r="4" spans="1:13" x14ac:dyDescent="0.25">
      <c r="A4" t="s">
        <v>27</v>
      </c>
      <c r="B4">
        <f t="shared" ref="B4:B31" si="0">B3+1</f>
        <v>3</v>
      </c>
      <c r="C4" s="14">
        <v>12</v>
      </c>
      <c r="D4" s="14">
        <v>2021</v>
      </c>
      <c r="E4" s="16">
        <f>'01 - 2021'!B10-'01 - 2021'!B9</f>
        <v>4035</v>
      </c>
      <c r="F4" s="16">
        <f>'01 - 2021'!C10-'01 - 2021'!C9</f>
        <v>6594</v>
      </c>
      <c r="G4" s="14">
        <v>0.11799999999999999</v>
      </c>
      <c r="H4" s="16">
        <f>'01 - 2021'!E10-'01 - 2021'!E9</f>
        <v>16.279999999999973</v>
      </c>
      <c r="I4" s="16">
        <f>'01 - 2021'!F10-'01 - 2021'!F9</f>
        <v>8.0499999999999545</v>
      </c>
      <c r="J4" s="16">
        <f>'01 - 2021'!G10-'01 - 2021'!G9</f>
        <v>36.269999999996799</v>
      </c>
      <c r="K4" s="14">
        <v>0.74</v>
      </c>
      <c r="L4" s="18">
        <v>66</v>
      </c>
      <c r="M4" s="10"/>
    </row>
    <row r="5" spans="1:13" x14ac:dyDescent="0.25">
      <c r="A5" t="s">
        <v>27</v>
      </c>
      <c r="B5">
        <f t="shared" si="0"/>
        <v>4</v>
      </c>
      <c r="C5" s="14">
        <v>12</v>
      </c>
      <c r="D5" s="14">
        <v>2021</v>
      </c>
      <c r="E5" s="16">
        <f>'01 - 2021'!B11-'01 - 2021'!B10</f>
        <v>4013</v>
      </c>
      <c r="F5" s="16">
        <f>'01 - 2021'!C11-'01 - 2021'!C10</f>
        <v>6282.1999999999971</v>
      </c>
      <c r="G5" s="14">
        <v>0.11799999999999999</v>
      </c>
      <c r="H5" s="16">
        <f>'01 - 2021'!E11-'01 - 2021'!E10</f>
        <v>18.679999999999836</v>
      </c>
      <c r="I5" s="16">
        <f>'01 - 2021'!F11-'01 - 2021'!F10</f>
        <v>8</v>
      </c>
      <c r="J5" s="16">
        <f>'01 - 2021'!G11-'01 - 2021'!G10</f>
        <v>39.010000000002037</v>
      </c>
      <c r="K5" s="14">
        <v>0.74</v>
      </c>
      <c r="L5" s="18">
        <v>93</v>
      </c>
      <c r="M5" s="10"/>
    </row>
    <row r="6" spans="1:13" x14ac:dyDescent="0.25">
      <c r="A6" t="s">
        <v>27</v>
      </c>
      <c r="B6">
        <f t="shared" si="0"/>
        <v>5</v>
      </c>
      <c r="C6" s="14">
        <v>12</v>
      </c>
      <c r="D6" s="14">
        <v>2021</v>
      </c>
      <c r="E6" s="16">
        <f>'01 - 2021'!B12-'01 - 2021'!B11</f>
        <v>4252</v>
      </c>
      <c r="F6" s="16">
        <f>'01 - 2021'!C12-'01 - 2021'!C11</f>
        <v>5752.5</v>
      </c>
      <c r="G6" s="14">
        <v>0.11799999999999999</v>
      </c>
      <c r="H6" s="16">
        <f>'01 - 2021'!E12-'01 - 2021'!E11</f>
        <v>20.090000000000146</v>
      </c>
      <c r="I6" s="16">
        <f>'01 - 2021'!F12-'01 - 2021'!F11</f>
        <v>7.7999999999999545</v>
      </c>
      <c r="J6" s="16">
        <f>'01 - 2021'!G12-'01 - 2021'!G11</f>
        <v>36.150000000001455</v>
      </c>
      <c r="K6" s="14">
        <v>0.74</v>
      </c>
      <c r="L6" s="18">
        <v>91</v>
      </c>
      <c r="M6" s="11"/>
    </row>
    <row r="7" spans="1:13" x14ac:dyDescent="0.25">
      <c r="A7" t="s">
        <v>27</v>
      </c>
      <c r="B7">
        <f t="shared" si="0"/>
        <v>6</v>
      </c>
      <c r="C7" s="14">
        <v>12</v>
      </c>
      <c r="D7" s="14">
        <v>2021</v>
      </c>
      <c r="E7" s="16">
        <f>'01 - 2021'!B13-'01 - 2021'!B12</f>
        <v>4225</v>
      </c>
      <c r="F7" s="16">
        <f>'01 - 2021'!C13-'01 - 2021'!C12</f>
        <v>5735.3000000000029</v>
      </c>
      <c r="G7" s="14">
        <v>0.11799999999999999</v>
      </c>
      <c r="H7" s="16">
        <f>'01 - 2021'!E13-'01 - 2021'!E12</f>
        <v>17.879999999999882</v>
      </c>
      <c r="I7" s="16">
        <f>'01 - 2021'!F13-'01 - 2021'!F12</f>
        <v>8.4400000000000546</v>
      </c>
      <c r="J7" s="16">
        <f>'01 - 2021'!G13-'01 - 2021'!G12</f>
        <v>39.139999999999418</v>
      </c>
      <c r="K7" s="14">
        <v>0.74</v>
      </c>
      <c r="L7" s="18">
        <v>99</v>
      </c>
      <c r="M7" s="11"/>
    </row>
    <row r="8" spans="1:13" x14ac:dyDescent="0.25">
      <c r="A8" t="s">
        <v>27</v>
      </c>
      <c r="B8">
        <f t="shared" si="0"/>
        <v>7</v>
      </c>
      <c r="C8" s="14">
        <v>12</v>
      </c>
      <c r="D8" s="14">
        <v>2021</v>
      </c>
      <c r="E8" s="16">
        <f>'01 - 2021'!B14-'01 - 2021'!B13</f>
        <v>4264</v>
      </c>
      <c r="F8" s="16">
        <f>'01 - 2021'!C14-'01 - 2021'!C13</f>
        <v>5705.6999999999971</v>
      </c>
      <c r="G8" s="14">
        <v>0.11799999999999999</v>
      </c>
      <c r="H8" s="16">
        <f>'01 - 2021'!E14-'01 - 2021'!E13</f>
        <v>15.130000000000109</v>
      </c>
      <c r="I8" s="16">
        <f>'01 - 2021'!F14-'01 - 2021'!F13</f>
        <v>8.4199999999998454</v>
      </c>
      <c r="J8" s="16">
        <f>'01 - 2021'!G14-'01 - 2021'!G13</f>
        <v>41.900000000001455</v>
      </c>
      <c r="K8" s="14">
        <v>0.74</v>
      </c>
      <c r="L8" s="18">
        <v>97</v>
      </c>
      <c r="M8" s="11"/>
    </row>
    <row r="9" spans="1:13" x14ac:dyDescent="0.25">
      <c r="A9" t="s">
        <v>27</v>
      </c>
      <c r="B9">
        <f t="shared" si="0"/>
        <v>8</v>
      </c>
      <c r="C9" s="14">
        <v>12</v>
      </c>
      <c r="D9" s="14">
        <v>2021</v>
      </c>
      <c r="E9" s="16">
        <f>'01 - 2021'!B15-'01 - 2021'!B14</f>
        <v>4086</v>
      </c>
      <c r="F9" s="16">
        <f>'01 - 2021'!C15-'01 - 2021'!C14</f>
        <v>5717</v>
      </c>
      <c r="G9" s="14">
        <v>0.11799999999999999</v>
      </c>
      <c r="H9" s="16">
        <f>'01 - 2021'!E15-'01 - 2021'!E14</f>
        <v>21.169999999999845</v>
      </c>
      <c r="I9" s="16">
        <f>'01 - 2021'!F15-'01 - 2021'!F14</f>
        <v>8.8000000000001819</v>
      </c>
      <c r="J9" s="16">
        <f>'01 - 2021'!G15-'01 - 2021'!G14</f>
        <v>40.389999999999418</v>
      </c>
      <c r="K9" s="14">
        <v>0.74</v>
      </c>
      <c r="L9" s="18">
        <v>90</v>
      </c>
      <c r="M9" s="11"/>
    </row>
    <row r="10" spans="1:13" x14ac:dyDescent="0.25">
      <c r="A10" t="s">
        <v>27</v>
      </c>
      <c r="B10">
        <f t="shared" si="0"/>
        <v>9</v>
      </c>
      <c r="C10" s="14">
        <v>12</v>
      </c>
      <c r="D10" s="14">
        <v>2021</v>
      </c>
      <c r="E10" s="16">
        <f>'01 - 2021'!B16-'01 - 2021'!B15</f>
        <v>4097</v>
      </c>
      <c r="F10" s="16">
        <f>'01 - 2021'!C16-'01 - 2021'!C15</f>
        <v>5865</v>
      </c>
      <c r="G10" s="14">
        <v>0.11799999999999999</v>
      </c>
      <c r="H10" s="16">
        <f>'01 - 2021'!E16-'01 - 2021'!E15</f>
        <v>21.480000000000018</v>
      </c>
      <c r="I10" s="16">
        <f>'01 - 2021'!F16-'01 - 2021'!F15</f>
        <v>8.6799999999998363</v>
      </c>
      <c r="J10" s="16">
        <f>'01 - 2021'!G16-'01 - 2021'!G15</f>
        <v>35.809999999997672</v>
      </c>
      <c r="K10" s="14">
        <v>0.74</v>
      </c>
      <c r="L10" s="18">
        <v>84</v>
      </c>
      <c r="M10" s="11"/>
    </row>
    <row r="11" spans="1:13" x14ac:dyDescent="0.25">
      <c r="A11" t="s">
        <v>27</v>
      </c>
      <c r="B11">
        <f t="shared" si="0"/>
        <v>10</v>
      </c>
      <c r="C11" s="14">
        <v>12</v>
      </c>
      <c r="D11" s="14">
        <v>2021</v>
      </c>
      <c r="E11" s="16">
        <f>'01 - 2021'!B17-'01 - 2021'!B16</f>
        <v>3936</v>
      </c>
      <c r="F11" s="16">
        <f>'01 - 2021'!C17-'01 - 2021'!C16</f>
        <v>5464</v>
      </c>
      <c r="G11" s="14">
        <v>0.11799999999999999</v>
      </c>
      <c r="H11" s="16">
        <f>'01 - 2021'!E17-'01 - 2021'!E16</f>
        <v>21.009999999999991</v>
      </c>
      <c r="I11" s="16">
        <f>'01 - 2021'!F17-'01 - 2021'!F16</f>
        <v>7.5</v>
      </c>
      <c r="J11" s="16">
        <f>'01 - 2021'!G17-'01 - 2021'!G16</f>
        <v>36.30000000000291</v>
      </c>
      <c r="K11" s="14">
        <v>0.74</v>
      </c>
      <c r="L11" s="18">
        <v>75</v>
      </c>
      <c r="M11" s="11"/>
    </row>
    <row r="12" spans="1:13" x14ac:dyDescent="0.25">
      <c r="A12" t="s">
        <v>27</v>
      </c>
      <c r="B12">
        <f t="shared" si="0"/>
        <v>11</v>
      </c>
      <c r="C12" s="14">
        <v>12</v>
      </c>
      <c r="D12" s="14">
        <v>2021</v>
      </c>
      <c r="E12" s="16">
        <f>'01 - 2021'!B18-'01 - 2021'!B17</f>
        <v>3928</v>
      </c>
      <c r="F12" s="16">
        <f>'01 - 2021'!C18-'01 - 2021'!C17</f>
        <v>5672</v>
      </c>
      <c r="G12" s="14">
        <v>0.11799999999999999</v>
      </c>
      <c r="H12" s="16">
        <f>'01 - 2021'!E18-'01 - 2021'!E17</f>
        <v>16.550000000000182</v>
      </c>
      <c r="I12" s="16">
        <f>'01 - 2021'!F18-'01 - 2021'!F17</f>
        <v>8.3700000000001182</v>
      </c>
      <c r="J12" s="16">
        <f>'01 - 2021'!G18-'01 - 2021'!G17</f>
        <v>35.32999999999447</v>
      </c>
      <c r="K12" s="14">
        <v>0.74</v>
      </c>
      <c r="L12" s="16">
        <v>76</v>
      </c>
      <c r="M12" s="11"/>
    </row>
    <row r="13" spans="1:13" x14ac:dyDescent="0.25">
      <c r="A13" t="s">
        <v>27</v>
      </c>
      <c r="B13">
        <f t="shared" si="0"/>
        <v>12</v>
      </c>
      <c r="C13" s="14">
        <v>12</v>
      </c>
      <c r="D13" s="14">
        <v>2021</v>
      </c>
      <c r="E13" s="16">
        <f>'01 - 2021'!B19-'01 - 2021'!B18</f>
        <v>3955</v>
      </c>
      <c r="F13" s="16">
        <f>'01 - 2021'!C19-'01 - 2021'!C18</f>
        <v>5633</v>
      </c>
      <c r="G13" s="14">
        <v>0.11799999999999999</v>
      </c>
      <c r="H13" s="16">
        <f>'01 - 2021'!E19-'01 - 2021'!E18</f>
        <v>18.980000000000018</v>
      </c>
      <c r="I13" s="16">
        <f>'01 - 2021'!F19-'01 - 2021'!F18</f>
        <v>8.3799999999998818</v>
      </c>
      <c r="J13" s="16">
        <f>'01 - 2021'!G19-'01 - 2021'!G18</f>
        <v>34.5</v>
      </c>
      <c r="K13" s="14">
        <v>0.74</v>
      </c>
      <c r="L13" s="16">
        <v>80</v>
      </c>
      <c r="M13" s="11"/>
    </row>
    <row r="14" spans="1:13" x14ac:dyDescent="0.25">
      <c r="A14" t="s">
        <v>27</v>
      </c>
      <c r="B14">
        <f t="shared" si="0"/>
        <v>13</v>
      </c>
      <c r="C14" s="14">
        <v>12</v>
      </c>
      <c r="D14" s="14">
        <v>2021</v>
      </c>
      <c r="E14" s="16">
        <f>'01 - 2021'!B20-'01 - 2021'!B19</f>
        <v>3910</v>
      </c>
      <c r="F14" s="16">
        <f>'01 - 2021'!C20-'01 - 2021'!C19</f>
        <v>5462</v>
      </c>
      <c r="G14" s="14">
        <v>0.11799999999999999</v>
      </c>
      <c r="H14" s="16">
        <f>'01 - 2021'!E20-'01 - 2021'!E19</f>
        <v>18.529999999999973</v>
      </c>
      <c r="I14" s="16">
        <f>'01 - 2021'!F20-'01 - 2021'!F19</f>
        <v>7.7200000000000273</v>
      </c>
      <c r="J14" s="16">
        <f>'01 - 2021'!G20-'01 - 2021'!G19</f>
        <v>33.860000000000582</v>
      </c>
      <c r="K14" s="14">
        <v>0.74</v>
      </c>
      <c r="L14" s="16">
        <v>72</v>
      </c>
      <c r="M14" s="11"/>
    </row>
    <row r="15" spans="1:13" x14ac:dyDescent="0.25">
      <c r="A15" t="s">
        <v>27</v>
      </c>
      <c r="B15">
        <f t="shared" si="0"/>
        <v>14</v>
      </c>
      <c r="C15" s="14">
        <v>12</v>
      </c>
      <c r="D15" s="14">
        <v>2021</v>
      </c>
      <c r="E15" s="16">
        <v>0</v>
      </c>
      <c r="F15" s="16">
        <v>0</v>
      </c>
      <c r="G15" s="14">
        <v>0.11799999999999999</v>
      </c>
      <c r="H15" s="16">
        <v>0</v>
      </c>
      <c r="I15" s="16">
        <v>0</v>
      </c>
      <c r="J15" s="16">
        <v>0</v>
      </c>
      <c r="K15" s="14">
        <v>0.74</v>
      </c>
      <c r="L15" s="16"/>
      <c r="M15" s="11"/>
    </row>
    <row r="16" spans="1:13" x14ac:dyDescent="0.25">
      <c r="A16" t="s">
        <v>27</v>
      </c>
      <c r="B16">
        <f t="shared" si="0"/>
        <v>15</v>
      </c>
      <c r="C16" s="14">
        <v>12</v>
      </c>
      <c r="D16" s="14">
        <v>2021</v>
      </c>
      <c r="E16" s="16">
        <f>'01 - 2021'!B22-'01 - 2021'!B21</f>
        <v>0</v>
      </c>
      <c r="F16" s="16">
        <f>'01 - 2021'!C22-'01 - 2021'!C21</f>
        <v>0</v>
      </c>
      <c r="G16" s="14">
        <v>0.11799999999999999</v>
      </c>
      <c r="H16" s="16">
        <f>'01 - 2021'!E22-'01 - 2021'!E21</f>
        <v>0</v>
      </c>
      <c r="I16" s="16">
        <f>'01 - 2021'!F22-'01 - 2021'!F21</f>
        <v>0</v>
      </c>
      <c r="J16" s="16">
        <f>'01 - 2021'!G22-'01 - 2021'!G21</f>
        <v>0</v>
      </c>
      <c r="K16" s="14">
        <v>0.74</v>
      </c>
      <c r="L16" s="16"/>
      <c r="M16" s="11"/>
    </row>
    <row r="17" spans="1:13" x14ac:dyDescent="0.25">
      <c r="A17" t="s">
        <v>27</v>
      </c>
      <c r="B17">
        <f t="shared" si="0"/>
        <v>16</v>
      </c>
      <c r="C17" s="14">
        <v>12</v>
      </c>
      <c r="D17" s="14">
        <v>2021</v>
      </c>
      <c r="E17" s="16">
        <f>'01 - 2021'!B23-'01 - 2021'!B22</f>
        <v>0</v>
      </c>
      <c r="F17" s="16">
        <f>'01 - 2021'!C23-'01 - 2021'!C22</f>
        <v>0</v>
      </c>
      <c r="G17" s="14">
        <v>0.11799999999999999</v>
      </c>
      <c r="H17" s="16">
        <f>'01 - 2021'!E23-'01 - 2021'!E22</f>
        <v>0</v>
      </c>
      <c r="I17" s="16">
        <f>'01 - 2021'!F23-'01 - 2021'!F22</f>
        <v>0</v>
      </c>
      <c r="J17" s="16">
        <f>'01 - 2021'!G23-'01 - 2021'!G22</f>
        <v>0</v>
      </c>
      <c r="K17" s="14">
        <v>0.74</v>
      </c>
      <c r="L17" s="16"/>
      <c r="M17" s="11"/>
    </row>
    <row r="18" spans="1:13" x14ac:dyDescent="0.25">
      <c r="A18" t="s">
        <v>27</v>
      </c>
      <c r="B18">
        <f t="shared" si="0"/>
        <v>17</v>
      </c>
      <c r="C18" s="14">
        <v>12</v>
      </c>
      <c r="D18" s="14">
        <v>2021</v>
      </c>
      <c r="E18" s="16">
        <f>'01 - 2021'!B24-'01 - 2021'!B23</f>
        <v>0</v>
      </c>
      <c r="F18" s="16">
        <f>'01 - 2021'!C24-'01 - 2021'!C23</f>
        <v>0</v>
      </c>
      <c r="G18" s="14">
        <v>0.11799999999999999</v>
      </c>
      <c r="H18" s="16">
        <f>'01 - 2021'!E24-'01 - 2021'!E23</f>
        <v>0</v>
      </c>
      <c r="I18" s="16">
        <f>'01 - 2021'!F24-'01 - 2021'!F23</f>
        <v>0</v>
      </c>
      <c r="J18" s="16">
        <f>'01 - 2021'!G24-'01 - 2021'!G23</f>
        <v>0</v>
      </c>
      <c r="K18" s="14">
        <v>0.74</v>
      </c>
      <c r="L18" s="16"/>
      <c r="M18" s="11"/>
    </row>
    <row r="19" spans="1:13" x14ac:dyDescent="0.25">
      <c r="A19" t="s">
        <v>27</v>
      </c>
      <c r="B19">
        <f>B18+1</f>
        <v>18</v>
      </c>
      <c r="C19" s="14">
        <v>12</v>
      </c>
      <c r="D19" s="14">
        <v>2021</v>
      </c>
      <c r="E19" s="16">
        <f>'01 - 2021'!B25-'01 - 2021'!B24</f>
        <v>0</v>
      </c>
      <c r="F19" s="16">
        <f>'01 - 2021'!C25-'01 - 2021'!C24</f>
        <v>0</v>
      </c>
      <c r="G19" s="14">
        <v>0.11799999999999999</v>
      </c>
      <c r="H19" s="16">
        <f>'01 - 2021'!E25-'01 - 2021'!E24</f>
        <v>0</v>
      </c>
      <c r="I19" s="16">
        <f>'01 - 2021'!F25-'01 - 2021'!F24</f>
        <v>0</v>
      </c>
      <c r="J19" s="16">
        <f>'01 - 2021'!G25-'01 - 2021'!G24</f>
        <v>0</v>
      </c>
      <c r="K19" s="14">
        <v>0.74</v>
      </c>
      <c r="L19" s="16"/>
      <c r="M19" s="11"/>
    </row>
    <row r="20" spans="1:13" x14ac:dyDescent="0.25">
      <c r="A20" t="s">
        <v>27</v>
      </c>
      <c r="B20">
        <f t="shared" si="0"/>
        <v>19</v>
      </c>
      <c r="C20" s="14">
        <v>12</v>
      </c>
      <c r="D20" s="14">
        <v>2021</v>
      </c>
      <c r="E20" s="16">
        <f>'01 - 2021'!B26-'01 - 2021'!B25</f>
        <v>0</v>
      </c>
      <c r="F20" s="16">
        <f>'01 - 2021'!C26-'01 - 2021'!C25</f>
        <v>0</v>
      </c>
      <c r="G20" s="14">
        <v>0.11799999999999999</v>
      </c>
      <c r="H20" s="16">
        <f>'01 - 2021'!E26-'01 - 2021'!E25</f>
        <v>0</v>
      </c>
      <c r="I20" s="16">
        <f>'01 - 2021'!F26-'01 - 2021'!F25</f>
        <v>0</v>
      </c>
      <c r="J20" s="16">
        <f>'01 - 2021'!G26-'01 - 2021'!G25</f>
        <v>0</v>
      </c>
      <c r="K20" s="14">
        <v>0.74</v>
      </c>
      <c r="L20" s="4"/>
      <c r="M20" s="11"/>
    </row>
    <row r="21" spans="1:13" x14ac:dyDescent="0.25">
      <c r="A21" t="s">
        <v>27</v>
      </c>
      <c r="B21">
        <f t="shared" si="0"/>
        <v>20</v>
      </c>
      <c r="C21" s="14">
        <v>12</v>
      </c>
      <c r="D21" s="14">
        <v>2021</v>
      </c>
      <c r="E21" s="16">
        <f>'01 - 2021'!B27-'01 - 2021'!B26</f>
        <v>0</v>
      </c>
      <c r="F21" s="16">
        <f>'01 - 2021'!C27-'01 - 2021'!C26</f>
        <v>0</v>
      </c>
      <c r="G21" s="14">
        <v>0.11799999999999999</v>
      </c>
      <c r="H21" s="16">
        <f>'01 - 2021'!E27-'01 - 2021'!E26</f>
        <v>0</v>
      </c>
      <c r="I21" s="16">
        <f>'01 - 2021'!F27-'01 - 2021'!F26</f>
        <v>0</v>
      </c>
      <c r="J21" s="16">
        <f>'01 - 2021'!G27-'01 - 2021'!G26</f>
        <v>0</v>
      </c>
      <c r="K21" s="14">
        <v>0.74</v>
      </c>
      <c r="L21" s="4"/>
      <c r="M21" s="11"/>
    </row>
    <row r="22" spans="1:13" x14ac:dyDescent="0.25">
      <c r="A22" t="s">
        <v>27</v>
      </c>
      <c r="B22">
        <f t="shared" si="0"/>
        <v>21</v>
      </c>
      <c r="C22" s="14">
        <v>12</v>
      </c>
      <c r="D22" s="14">
        <v>2021</v>
      </c>
      <c r="E22" s="16">
        <f>'01 - 2021'!B28-'01 - 2021'!B27</f>
        <v>0</v>
      </c>
      <c r="F22" s="16">
        <f>'01 - 2021'!C28-'01 - 2021'!C27</f>
        <v>0</v>
      </c>
      <c r="G22" s="14">
        <v>0.11799999999999999</v>
      </c>
      <c r="H22" s="16">
        <f>'01 - 2021'!E28-'01 - 2021'!E27</f>
        <v>0</v>
      </c>
      <c r="I22" s="16">
        <f>'01 - 2021'!F28-'01 - 2021'!F27</f>
        <v>0</v>
      </c>
      <c r="J22" s="16">
        <f>'01 - 2021'!G28-'01 - 2021'!G27</f>
        <v>0</v>
      </c>
      <c r="K22" s="14">
        <v>0.74</v>
      </c>
      <c r="L22" s="16"/>
      <c r="M22" s="11"/>
    </row>
    <row r="23" spans="1:13" x14ac:dyDescent="0.25">
      <c r="A23" t="s">
        <v>27</v>
      </c>
      <c r="B23">
        <f t="shared" si="0"/>
        <v>22</v>
      </c>
      <c r="C23" s="14">
        <v>12</v>
      </c>
      <c r="D23" s="14">
        <v>2021</v>
      </c>
      <c r="E23" s="16">
        <f>'01 - 2021'!B29-'01 - 2021'!B28</f>
        <v>0</v>
      </c>
      <c r="F23" s="16">
        <f>'01 - 2021'!C29-'01 - 2021'!C28</f>
        <v>0</v>
      </c>
      <c r="G23" s="14">
        <v>0.11799999999999999</v>
      </c>
      <c r="H23" s="16">
        <f>'01 - 2021'!E29-'01 - 2021'!E28</f>
        <v>0</v>
      </c>
      <c r="I23" s="16">
        <f>'01 - 2021'!F29-'01 - 2021'!F28</f>
        <v>0</v>
      </c>
      <c r="J23" s="16">
        <f>'01 - 2021'!G29-'01 - 2021'!G28</f>
        <v>0</v>
      </c>
      <c r="K23" s="14">
        <v>0.74</v>
      </c>
      <c r="L23" s="16"/>
      <c r="M23" s="11"/>
    </row>
    <row r="24" spans="1:13" x14ac:dyDescent="0.25">
      <c r="A24" t="s">
        <v>27</v>
      </c>
      <c r="B24">
        <f t="shared" si="0"/>
        <v>23</v>
      </c>
      <c r="C24" s="14">
        <v>12</v>
      </c>
      <c r="D24" s="14">
        <v>2021</v>
      </c>
      <c r="E24" s="16">
        <f>'01 - 2021'!B30-'01 - 2021'!B29</f>
        <v>0</v>
      </c>
      <c r="F24" s="16">
        <f>'01 - 2021'!C30-'01 - 2021'!C29</f>
        <v>0</v>
      </c>
      <c r="G24" s="14">
        <v>0.11799999999999999</v>
      </c>
      <c r="H24" s="16">
        <f>'01 - 2021'!E30-'01 - 2021'!E29</f>
        <v>0</v>
      </c>
      <c r="I24" s="16">
        <f>'01 - 2021'!F30-'01 - 2021'!F29</f>
        <v>0</v>
      </c>
      <c r="J24" s="16">
        <f>'01 - 2021'!G30-'01 - 2021'!G29</f>
        <v>0</v>
      </c>
      <c r="K24" s="14">
        <v>0.74</v>
      </c>
      <c r="L24" s="16"/>
      <c r="M24" s="11"/>
    </row>
    <row r="25" spans="1:13" x14ac:dyDescent="0.25">
      <c r="A25" t="s">
        <v>27</v>
      </c>
      <c r="B25">
        <f t="shared" si="0"/>
        <v>24</v>
      </c>
      <c r="C25" s="14">
        <v>12</v>
      </c>
      <c r="D25" s="14">
        <v>2021</v>
      </c>
      <c r="E25" s="16">
        <f>'01 - 2021'!B31-'01 - 2021'!B30</f>
        <v>0</v>
      </c>
      <c r="F25" s="16">
        <f>'01 - 2021'!C31-'01 - 2021'!C30</f>
        <v>0</v>
      </c>
      <c r="G25" s="14">
        <v>0.11799999999999999</v>
      </c>
      <c r="H25" s="16">
        <f>'01 - 2021'!E31-'01 - 2021'!E30</f>
        <v>0</v>
      </c>
      <c r="I25" s="16">
        <f>'01 - 2021'!F31-'01 - 2021'!F30</f>
        <v>0</v>
      </c>
      <c r="J25" s="16">
        <f>'01 - 2021'!G31-'01 - 2021'!G30</f>
        <v>0</v>
      </c>
      <c r="K25" s="14">
        <v>0.74</v>
      </c>
      <c r="L25" s="4"/>
      <c r="M25" s="11"/>
    </row>
    <row r="26" spans="1:13" x14ac:dyDescent="0.25">
      <c r="A26" t="s">
        <v>27</v>
      </c>
      <c r="B26">
        <f>B25+1</f>
        <v>25</v>
      </c>
      <c r="C26" s="14">
        <v>12</v>
      </c>
      <c r="D26" s="14">
        <v>2021</v>
      </c>
      <c r="E26" s="16">
        <f>'01 - 2021'!B32-'01 - 2021'!B31</f>
        <v>0</v>
      </c>
      <c r="F26" s="16">
        <f>'01 - 2021'!C32-'01 - 2021'!C31</f>
        <v>0</v>
      </c>
      <c r="G26" s="14">
        <v>0.11799999999999999</v>
      </c>
      <c r="H26" s="16">
        <f>'01 - 2021'!E32-'01 - 2021'!E31</f>
        <v>0</v>
      </c>
      <c r="I26" s="16">
        <f>'01 - 2021'!F32-'01 - 2021'!F31</f>
        <v>0</v>
      </c>
      <c r="J26" s="16">
        <f>'01 - 2021'!G32-'01 - 2021'!G31</f>
        <v>0</v>
      </c>
      <c r="K26" s="14">
        <v>0.74</v>
      </c>
      <c r="L26" s="4"/>
      <c r="M26" s="11"/>
    </row>
    <row r="27" spans="1:13" x14ac:dyDescent="0.25">
      <c r="A27" t="s">
        <v>27</v>
      </c>
      <c r="B27">
        <f t="shared" si="0"/>
        <v>26</v>
      </c>
      <c r="C27" s="14">
        <v>12</v>
      </c>
      <c r="D27" s="14">
        <v>2021</v>
      </c>
      <c r="E27" s="16">
        <f>'01 - 2021'!B33-'01 - 2021'!B32</f>
        <v>0</v>
      </c>
      <c r="F27" s="16">
        <f>'01 - 2021'!C33-'01 - 2021'!C32</f>
        <v>0</v>
      </c>
      <c r="G27" s="14">
        <v>0.11799999999999999</v>
      </c>
      <c r="H27" s="16">
        <f>'01 - 2021'!E33-'01 - 2021'!E32</f>
        <v>0</v>
      </c>
      <c r="I27" s="16">
        <f>'01 - 2021'!F33-'01 - 2021'!F32</f>
        <v>0</v>
      </c>
      <c r="J27" s="16">
        <f>'01 - 2021'!G33-'01 - 2021'!G32</f>
        <v>0</v>
      </c>
      <c r="K27" s="14">
        <v>0.74</v>
      </c>
      <c r="L27" s="16"/>
      <c r="M27" s="11"/>
    </row>
    <row r="28" spans="1:13" x14ac:dyDescent="0.25">
      <c r="A28" t="s">
        <v>27</v>
      </c>
      <c r="B28">
        <f t="shared" si="0"/>
        <v>27</v>
      </c>
      <c r="C28" s="14">
        <v>12</v>
      </c>
      <c r="D28" s="14">
        <v>2021</v>
      </c>
      <c r="E28" s="16">
        <f>'01 - 2021'!B34-'01 - 2021'!B33</f>
        <v>0</v>
      </c>
      <c r="F28" s="16">
        <f>'01 - 2021'!C34-'01 - 2021'!C33</f>
        <v>0</v>
      </c>
      <c r="G28" s="14">
        <v>0.11799999999999999</v>
      </c>
      <c r="H28" s="16">
        <f>'01 - 2021'!E34-'01 - 2021'!E33</f>
        <v>0</v>
      </c>
      <c r="I28" s="16">
        <f>'01 - 2021'!F34-'01 - 2021'!F33</f>
        <v>0</v>
      </c>
      <c r="J28" s="16">
        <f>'01 - 2021'!G34-'01 - 2021'!G33</f>
        <v>0</v>
      </c>
      <c r="K28" s="14">
        <v>0.74</v>
      </c>
      <c r="L28" s="4"/>
      <c r="M28" s="11"/>
    </row>
    <row r="29" spans="1:13" x14ac:dyDescent="0.25">
      <c r="A29" t="s">
        <v>27</v>
      </c>
      <c r="B29">
        <f t="shared" si="0"/>
        <v>28</v>
      </c>
      <c r="C29" s="14">
        <v>12</v>
      </c>
      <c r="D29" s="14">
        <v>2021</v>
      </c>
      <c r="E29" s="16">
        <f>'01 - 2021'!B35-'01 - 2021'!B34</f>
        <v>0</v>
      </c>
      <c r="F29" s="16">
        <f>'01 - 2021'!C35-'01 - 2021'!C34</f>
        <v>0</v>
      </c>
      <c r="G29" s="14">
        <v>0.11799999999999999</v>
      </c>
      <c r="H29" s="16">
        <f>'01 - 2021'!E35-'01 - 2021'!E34</f>
        <v>0</v>
      </c>
      <c r="I29" s="16">
        <f>'01 - 2021'!F35-'01 - 2021'!F34</f>
        <v>0</v>
      </c>
      <c r="J29" s="16">
        <f>'01 - 2021'!G35-'01 - 2021'!G34</f>
        <v>0</v>
      </c>
      <c r="K29" s="14">
        <v>0.74</v>
      </c>
      <c r="L29" s="4"/>
      <c r="M29" s="11"/>
    </row>
    <row r="30" spans="1:13" x14ac:dyDescent="0.25">
      <c r="A30" s="14" t="s">
        <v>27</v>
      </c>
      <c r="B30" s="14">
        <f t="shared" si="0"/>
        <v>29</v>
      </c>
      <c r="C30" s="14">
        <v>12</v>
      </c>
      <c r="D30" s="14">
        <v>2021</v>
      </c>
      <c r="E30" s="16">
        <f>'01 - 2021'!B36-'01 - 2021'!B35</f>
        <v>0</v>
      </c>
      <c r="F30" s="16">
        <f>'01 - 2021'!C36-'01 - 2021'!C35</f>
        <v>0</v>
      </c>
      <c r="G30" s="14">
        <v>0.11799999999999999</v>
      </c>
      <c r="H30" s="16">
        <f>'01 - 2021'!E36-'01 - 2021'!E35</f>
        <v>0</v>
      </c>
      <c r="I30" s="16">
        <f>'01 - 2021'!F36-'01 - 2021'!F35</f>
        <v>0</v>
      </c>
      <c r="J30" s="16">
        <f>'01 - 2021'!G36-'01 - 2021'!G35</f>
        <v>0</v>
      </c>
      <c r="K30" s="14">
        <v>0.74</v>
      </c>
      <c r="L30" s="16"/>
    </row>
    <row r="31" spans="1:13" x14ac:dyDescent="0.25">
      <c r="A31" s="14" t="s">
        <v>27</v>
      </c>
      <c r="B31" s="14">
        <f t="shared" si="0"/>
        <v>30</v>
      </c>
      <c r="C31" s="14">
        <v>12</v>
      </c>
      <c r="D31" s="14">
        <v>2021</v>
      </c>
      <c r="E31" s="16">
        <f>'01 - 2021'!B37-'01 - 2021'!B36</f>
        <v>0</v>
      </c>
      <c r="F31" s="16">
        <f>'01 - 2021'!C37-'01 - 2021'!C36</f>
        <v>0</v>
      </c>
      <c r="G31" s="14">
        <v>0.11799999999999999</v>
      </c>
      <c r="H31" s="16">
        <f>'01 - 2021'!E37-'01 - 2021'!E36</f>
        <v>0</v>
      </c>
      <c r="I31" s="16">
        <f>'01 - 2021'!F37-'01 - 2021'!F36</f>
        <v>0</v>
      </c>
      <c r="J31" s="16">
        <f>'01 - 2021'!G37-'01 - 2021'!G36</f>
        <v>0</v>
      </c>
      <c r="K31" s="14">
        <v>0.74</v>
      </c>
      <c r="L31" s="16"/>
    </row>
    <row r="32" spans="1:13" x14ac:dyDescent="0.25">
      <c r="A32" s="14" t="s">
        <v>27</v>
      </c>
      <c r="B32">
        <v>31</v>
      </c>
      <c r="C32">
        <v>12</v>
      </c>
      <c r="D32" s="14">
        <v>2021</v>
      </c>
      <c r="E32" s="16">
        <f>'01 - 2021'!B38-'01 - 2021'!B37</f>
        <v>0</v>
      </c>
      <c r="F32" s="16">
        <f>'01 - 2021'!C38-'01 - 2021'!C37</f>
        <v>0</v>
      </c>
      <c r="G32" s="14">
        <v>0.11799999999999999</v>
      </c>
      <c r="H32" s="16">
        <f>'01 - 2021'!E38-'01 - 2021'!E37</f>
        <v>0</v>
      </c>
      <c r="I32" s="16">
        <f>'01 - 2021'!F38-'01 - 2021'!F37</f>
        <v>0</v>
      </c>
      <c r="J32" s="16">
        <f>'01 - 2021'!G38-'01 - 2021'!G37</f>
        <v>0</v>
      </c>
      <c r="K32" s="14">
        <v>0.74</v>
      </c>
      <c r="L32" s="16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4"/>
  <sheetViews>
    <sheetView zoomScaleNormal="100" workbookViewId="0">
      <selection activeCell="C30" sqref="C30"/>
    </sheetView>
  </sheetViews>
  <sheetFormatPr defaultRowHeight="15" x14ac:dyDescent="0.25"/>
  <cols>
    <col min="1" max="1" width="13.5703125" style="14" customWidth="1"/>
    <col min="2" max="2" width="12.5703125" style="14" customWidth="1"/>
    <col min="3" max="3" width="13.140625" style="14" customWidth="1"/>
    <col min="4" max="4" width="9.85546875" style="14" customWidth="1"/>
    <col min="5" max="5" width="11.42578125" style="14" customWidth="1"/>
    <col min="6" max="6" width="11.7109375" style="14" customWidth="1"/>
    <col min="7" max="7" width="11.28515625" style="14" customWidth="1"/>
    <col min="8" max="9" width="13.5703125" style="14" customWidth="1"/>
    <col min="10" max="10" width="14.28515625" style="14" customWidth="1"/>
    <col min="11" max="11" width="16.42578125" style="14" customWidth="1"/>
    <col min="12" max="12" width="39" style="14" customWidth="1"/>
    <col min="13" max="13" width="14.140625" style="14" customWidth="1"/>
    <col min="14" max="16384" width="9.140625" style="14"/>
  </cols>
  <sheetData>
    <row r="1" spans="1:17" x14ac:dyDescent="0.25">
      <c r="A1" s="48"/>
      <c r="B1" s="48"/>
      <c r="C1" s="48"/>
      <c r="D1" s="48"/>
      <c r="E1" s="48"/>
      <c r="F1" s="48"/>
      <c r="G1" s="48"/>
      <c r="H1" s="49"/>
      <c r="I1" s="49"/>
      <c r="J1" s="48"/>
      <c r="K1" s="48"/>
      <c r="L1" s="48"/>
    </row>
    <row r="2" spans="1:17" x14ac:dyDescent="0.25">
      <c r="A2" s="48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</row>
    <row r="3" spans="1:17" x14ac:dyDescent="0.25">
      <c r="A3" s="82" t="s">
        <v>30</v>
      </c>
      <c r="B3" s="82"/>
      <c r="C3" s="82"/>
      <c r="D3" s="82"/>
      <c r="E3" s="82"/>
      <c r="F3" s="82"/>
      <c r="G3" s="82"/>
      <c r="H3" s="82"/>
      <c r="I3" s="82"/>
      <c r="J3" s="82"/>
      <c r="K3" s="48"/>
      <c r="L3" s="48"/>
    </row>
    <row r="4" spans="1:17" ht="15.75" thickBot="1" x14ac:dyDescent="0.3">
      <c r="A4" s="82" t="s">
        <v>37</v>
      </c>
      <c r="B4" s="82"/>
      <c r="C4" s="82"/>
      <c r="D4" s="82"/>
      <c r="E4" s="82"/>
      <c r="F4" s="82"/>
      <c r="G4" s="82"/>
      <c r="H4" s="82"/>
      <c r="I4" s="82"/>
      <c r="J4" s="82"/>
      <c r="K4" s="48"/>
      <c r="L4" s="48"/>
    </row>
    <row r="5" spans="1:17" ht="15.75" thickBot="1" x14ac:dyDescent="0.3">
      <c r="A5" s="50"/>
      <c r="B5" s="83" t="s">
        <v>36</v>
      </c>
      <c r="C5" s="84"/>
      <c r="D5" s="83" t="s">
        <v>0</v>
      </c>
      <c r="E5" s="85"/>
      <c r="F5" s="85"/>
      <c r="G5" s="86"/>
      <c r="H5" s="87" t="s">
        <v>1</v>
      </c>
      <c r="I5" s="88"/>
      <c r="J5" s="51" t="s">
        <v>2</v>
      </c>
      <c r="K5" s="52"/>
      <c r="L5" s="48"/>
    </row>
    <row r="6" spans="1:17" ht="12" customHeight="1" thickBot="1" x14ac:dyDescent="0.3">
      <c r="A6" s="53" t="s">
        <v>3</v>
      </c>
      <c r="B6" s="54" t="s">
        <v>33</v>
      </c>
      <c r="C6" s="55" t="s">
        <v>34</v>
      </c>
      <c r="D6" s="55" t="s">
        <v>4</v>
      </c>
      <c r="E6" s="55" t="s">
        <v>5</v>
      </c>
      <c r="F6" s="55" t="s">
        <v>6</v>
      </c>
      <c r="G6" s="56" t="s">
        <v>7</v>
      </c>
      <c r="H6" s="55" t="s">
        <v>28</v>
      </c>
      <c r="I6" s="55" t="s">
        <v>29</v>
      </c>
      <c r="J6" s="55" t="s">
        <v>8</v>
      </c>
      <c r="K6" s="55" t="s">
        <v>31</v>
      </c>
      <c r="L6" s="57" t="s">
        <v>32</v>
      </c>
    </row>
    <row r="7" spans="1:17" s="12" customFormat="1" ht="12.95" customHeight="1" thickBot="1" x14ac:dyDescent="0.3">
      <c r="A7" s="58">
        <v>44561</v>
      </c>
      <c r="B7" s="43">
        <v>532303</v>
      </c>
      <c r="C7" s="44">
        <v>61638.1</v>
      </c>
      <c r="D7" s="45">
        <v>0.64</v>
      </c>
      <c r="E7" s="46">
        <v>1703.01</v>
      </c>
      <c r="F7" s="47">
        <v>1146.26</v>
      </c>
      <c r="G7" s="47">
        <v>36618.6</v>
      </c>
      <c r="H7" s="43">
        <v>14528</v>
      </c>
      <c r="I7" s="43">
        <v>142633</v>
      </c>
      <c r="J7" s="43">
        <v>53137168</v>
      </c>
      <c r="K7" s="59"/>
      <c r="L7" s="60"/>
      <c r="M7" s="17"/>
    </row>
    <row r="8" spans="1:17" s="33" customFormat="1" ht="12.95" customHeight="1" thickTop="1" x14ac:dyDescent="0.25">
      <c r="A8" s="61">
        <f>A7+1</f>
        <v>44562</v>
      </c>
      <c r="B8" s="62">
        <v>536145</v>
      </c>
      <c r="C8" s="62">
        <v>67609.3</v>
      </c>
      <c r="D8" s="63">
        <v>0.57999999999999996</v>
      </c>
      <c r="E8" s="40">
        <v>1722.63</v>
      </c>
      <c r="F8" s="31">
        <v>1155.0899999999999</v>
      </c>
      <c r="G8" s="62">
        <v>36659.230000000003</v>
      </c>
      <c r="H8" s="62">
        <v>14528</v>
      </c>
      <c r="I8" s="62">
        <v>142758</v>
      </c>
      <c r="J8" s="62">
        <v>53151980</v>
      </c>
      <c r="K8" s="62"/>
      <c r="L8" s="64"/>
      <c r="M8" s="32"/>
    </row>
    <row r="9" spans="1:17" s="33" customFormat="1" ht="12.95" customHeight="1" x14ac:dyDescent="0.25">
      <c r="A9" s="61">
        <f t="shared" ref="A9:A38" si="0">A8+1</f>
        <v>44563</v>
      </c>
      <c r="B9" s="65">
        <v>539918</v>
      </c>
      <c r="C9" s="66">
        <v>74075.3</v>
      </c>
      <c r="D9" s="34">
        <v>0.5</v>
      </c>
      <c r="E9" s="41">
        <v>1743.89</v>
      </c>
      <c r="F9" s="26">
        <v>1163.9100000000001</v>
      </c>
      <c r="G9" s="26">
        <v>36697.440000000002</v>
      </c>
      <c r="H9" s="65">
        <v>14528</v>
      </c>
      <c r="I9" s="67">
        <v>142858</v>
      </c>
      <c r="J9" s="67">
        <v>53165688</v>
      </c>
      <c r="K9" s="65"/>
      <c r="L9" s="68"/>
      <c r="M9" s="32"/>
    </row>
    <row r="10" spans="1:17" s="33" customFormat="1" ht="12.95" customHeight="1" x14ac:dyDescent="0.25">
      <c r="A10" s="61">
        <f t="shared" si="0"/>
        <v>44564</v>
      </c>
      <c r="B10" s="67">
        <v>543953</v>
      </c>
      <c r="C10" s="67">
        <v>80669.3</v>
      </c>
      <c r="D10" s="34">
        <v>0.42</v>
      </c>
      <c r="E10" s="41">
        <v>1760.17</v>
      </c>
      <c r="F10" s="26">
        <v>1171.96</v>
      </c>
      <c r="G10" s="26">
        <v>36733.71</v>
      </c>
      <c r="H10" s="65">
        <v>14528</v>
      </c>
      <c r="I10" s="67">
        <v>142956</v>
      </c>
      <c r="J10" s="69">
        <v>53180284</v>
      </c>
      <c r="K10" s="65"/>
      <c r="L10" s="68"/>
      <c r="M10" s="32"/>
    </row>
    <row r="11" spans="1:17" s="33" customFormat="1" ht="12.95" customHeight="1" x14ac:dyDescent="0.25">
      <c r="A11" s="61">
        <f t="shared" si="0"/>
        <v>44565</v>
      </c>
      <c r="B11" s="67">
        <v>547966</v>
      </c>
      <c r="C11" s="67">
        <v>86951.5</v>
      </c>
      <c r="D11" s="34">
        <v>0.32</v>
      </c>
      <c r="E11" s="41">
        <v>1778.85</v>
      </c>
      <c r="F11" s="26">
        <v>1179.96</v>
      </c>
      <c r="G11" s="26">
        <v>36772.720000000001</v>
      </c>
      <c r="H11" s="65">
        <v>14528</v>
      </c>
      <c r="I11" s="67">
        <v>143063</v>
      </c>
      <c r="J11" s="67">
        <v>53196516</v>
      </c>
      <c r="K11" s="65"/>
      <c r="L11" s="68"/>
      <c r="M11" s="32"/>
    </row>
    <row r="12" spans="1:17" s="33" customFormat="1" ht="12.95" customHeight="1" x14ac:dyDescent="0.25">
      <c r="A12" s="61">
        <f t="shared" si="0"/>
        <v>44566</v>
      </c>
      <c r="B12" s="65">
        <v>552218</v>
      </c>
      <c r="C12" s="65">
        <v>92704</v>
      </c>
      <c r="D12" s="34">
        <v>0.8</v>
      </c>
      <c r="E12" s="42">
        <v>1798.94</v>
      </c>
      <c r="F12" s="65">
        <v>1187.76</v>
      </c>
      <c r="G12" s="65">
        <v>36808.870000000003</v>
      </c>
      <c r="H12" s="65">
        <v>14528</v>
      </c>
      <c r="I12" s="65">
        <v>143168</v>
      </c>
      <c r="J12" s="65">
        <v>53208496</v>
      </c>
      <c r="K12" s="65"/>
      <c r="L12" s="68"/>
      <c r="M12" s="32"/>
      <c r="N12" s="32"/>
    </row>
    <row r="13" spans="1:17" s="33" customFormat="1" ht="12.95" customHeight="1" x14ac:dyDescent="0.25">
      <c r="A13" s="61">
        <f t="shared" si="0"/>
        <v>44567</v>
      </c>
      <c r="B13" s="70">
        <v>556443</v>
      </c>
      <c r="C13" s="66">
        <v>98439.3</v>
      </c>
      <c r="D13" s="34">
        <v>0.74</v>
      </c>
      <c r="E13" s="41">
        <v>1816.82</v>
      </c>
      <c r="F13" s="26">
        <v>1196.2</v>
      </c>
      <c r="G13" s="26">
        <v>36848.01</v>
      </c>
      <c r="H13" s="67">
        <v>14528</v>
      </c>
      <c r="I13" s="66">
        <v>143289</v>
      </c>
      <c r="J13" s="66">
        <v>53219443</v>
      </c>
      <c r="K13" s="65"/>
      <c r="L13" s="68"/>
      <c r="M13" s="32"/>
      <c r="N13" s="35"/>
      <c r="O13" s="35"/>
      <c r="P13" s="35"/>
      <c r="Q13" s="35"/>
    </row>
    <row r="14" spans="1:17" s="33" customFormat="1" ht="12.95" customHeight="1" x14ac:dyDescent="0.25">
      <c r="A14" s="61">
        <f t="shared" si="0"/>
        <v>44568</v>
      </c>
      <c r="B14" s="67">
        <v>560707</v>
      </c>
      <c r="C14" s="67">
        <v>104145</v>
      </c>
      <c r="D14" s="34">
        <v>0.68</v>
      </c>
      <c r="E14" s="41">
        <v>1831.95</v>
      </c>
      <c r="F14" s="26">
        <v>1204.6199999999999</v>
      </c>
      <c r="G14" s="66">
        <v>36889.910000000003</v>
      </c>
      <c r="H14" s="67">
        <v>14528</v>
      </c>
      <c r="I14" s="67">
        <v>143401</v>
      </c>
      <c r="J14" s="67">
        <v>53230402</v>
      </c>
      <c r="K14" s="65"/>
      <c r="L14" s="68"/>
      <c r="M14" s="32"/>
      <c r="N14" s="35"/>
      <c r="O14" s="35"/>
      <c r="P14" s="35"/>
      <c r="Q14" s="35"/>
    </row>
    <row r="15" spans="1:17" s="33" customFormat="1" ht="12.95" customHeight="1" x14ac:dyDescent="0.25">
      <c r="A15" s="61">
        <f t="shared" si="0"/>
        <v>44569</v>
      </c>
      <c r="B15" s="67">
        <v>564793</v>
      </c>
      <c r="C15" s="67">
        <v>109862</v>
      </c>
      <c r="D15" s="34">
        <v>0.6</v>
      </c>
      <c r="E15" s="41">
        <v>1853.12</v>
      </c>
      <c r="F15" s="26">
        <v>1213.42</v>
      </c>
      <c r="G15" s="66">
        <v>36930.300000000003</v>
      </c>
      <c r="H15" s="67">
        <v>14528</v>
      </c>
      <c r="I15" s="67">
        <v>143512</v>
      </c>
      <c r="J15" s="67">
        <v>53240976</v>
      </c>
      <c r="K15" s="65"/>
      <c r="L15" s="68"/>
      <c r="M15" s="32"/>
      <c r="N15" s="35"/>
      <c r="O15" s="35"/>
      <c r="P15" s="35"/>
      <c r="Q15" s="35"/>
    </row>
    <row r="16" spans="1:17" s="33" customFormat="1" ht="12.95" customHeight="1" x14ac:dyDescent="0.25">
      <c r="A16" s="61">
        <f t="shared" si="0"/>
        <v>44570</v>
      </c>
      <c r="B16" s="71">
        <v>568890</v>
      </c>
      <c r="C16" s="67">
        <v>115727</v>
      </c>
      <c r="D16" s="34">
        <v>0.52</v>
      </c>
      <c r="E16" s="41">
        <v>1874.6</v>
      </c>
      <c r="F16" s="26">
        <v>1222.0999999999999</v>
      </c>
      <c r="G16" s="66">
        <v>36966.11</v>
      </c>
      <c r="H16" s="67">
        <v>14528</v>
      </c>
      <c r="I16" s="67">
        <v>143618</v>
      </c>
      <c r="J16" s="67">
        <v>53252568</v>
      </c>
      <c r="K16" s="65"/>
      <c r="L16" s="68"/>
      <c r="M16" s="32"/>
      <c r="N16" s="35"/>
      <c r="O16" s="35"/>
      <c r="P16" s="35"/>
      <c r="Q16" s="35"/>
    </row>
    <row r="17" spans="1:19" s="33" customFormat="1" ht="12.95" customHeight="1" x14ac:dyDescent="0.25">
      <c r="A17" s="61">
        <f t="shared" si="0"/>
        <v>44571</v>
      </c>
      <c r="B17" s="66">
        <v>572826</v>
      </c>
      <c r="C17" s="66">
        <v>121191</v>
      </c>
      <c r="D17" s="34">
        <v>0.45</v>
      </c>
      <c r="E17" s="41">
        <v>1895.61</v>
      </c>
      <c r="F17" s="26">
        <v>1229.5999999999999</v>
      </c>
      <c r="G17" s="66">
        <v>37002.410000000003</v>
      </c>
      <c r="H17" s="67">
        <v>14528</v>
      </c>
      <c r="I17" s="66">
        <v>143714</v>
      </c>
      <c r="J17" s="66">
        <v>53261742</v>
      </c>
      <c r="K17" s="65"/>
      <c r="L17" s="68"/>
      <c r="M17" s="32"/>
      <c r="N17" s="35"/>
      <c r="O17" s="35"/>
      <c r="P17" s="35"/>
      <c r="Q17" s="35"/>
    </row>
    <row r="18" spans="1:19" s="33" customFormat="1" ht="12.95" customHeight="1" x14ac:dyDescent="0.25">
      <c r="A18" s="61">
        <f t="shared" si="0"/>
        <v>44572</v>
      </c>
      <c r="B18" s="67">
        <v>576754</v>
      </c>
      <c r="C18" s="67">
        <v>126863</v>
      </c>
      <c r="D18" s="34">
        <v>0.36</v>
      </c>
      <c r="E18" s="41">
        <v>1912.16</v>
      </c>
      <c r="F18" s="26">
        <v>1237.97</v>
      </c>
      <c r="G18" s="66">
        <v>37037.74</v>
      </c>
      <c r="H18" s="67">
        <v>14528</v>
      </c>
      <c r="I18" s="67">
        <v>143817</v>
      </c>
      <c r="J18" s="67">
        <v>53272860</v>
      </c>
      <c r="K18" s="65"/>
      <c r="L18" s="68"/>
      <c r="M18" s="32"/>
      <c r="N18" s="35"/>
      <c r="O18" s="36"/>
      <c r="P18" s="35"/>
      <c r="Q18" s="35"/>
    </row>
    <row r="19" spans="1:19" s="33" customFormat="1" ht="12.95" customHeight="1" x14ac:dyDescent="0.25">
      <c r="A19" s="61">
        <f t="shared" si="0"/>
        <v>44573</v>
      </c>
      <c r="B19" s="28">
        <v>580709</v>
      </c>
      <c r="C19" s="28">
        <v>132496</v>
      </c>
      <c r="D19" s="34">
        <v>0.28000000000000003</v>
      </c>
      <c r="E19" s="29">
        <v>1931.14</v>
      </c>
      <c r="F19" s="26">
        <v>1246.3499999999999</v>
      </c>
      <c r="G19" s="27">
        <v>37072.239999999998</v>
      </c>
      <c r="H19" s="67">
        <v>14528</v>
      </c>
      <c r="I19" s="28">
        <v>143916</v>
      </c>
      <c r="J19" s="28">
        <v>53284004</v>
      </c>
      <c r="K19" s="65"/>
      <c r="L19" s="68"/>
      <c r="M19" s="32"/>
      <c r="N19" s="35"/>
      <c r="O19" s="36"/>
      <c r="P19" s="35"/>
      <c r="Q19" s="35"/>
    </row>
    <row r="20" spans="1:19" s="33" customFormat="1" ht="12.95" customHeight="1" x14ac:dyDescent="0.25">
      <c r="A20" s="61">
        <f t="shared" si="0"/>
        <v>44574</v>
      </c>
      <c r="B20" s="28">
        <v>584619</v>
      </c>
      <c r="C20" s="28">
        <v>137958</v>
      </c>
      <c r="D20" s="34">
        <v>0.82</v>
      </c>
      <c r="E20" s="29">
        <v>1949.67</v>
      </c>
      <c r="F20" s="26">
        <v>1254.07</v>
      </c>
      <c r="G20" s="27">
        <v>37106.1</v>
      </c>
      <c r="H20" s="67">
        <v>14528</v>
      </c>
      <c r="I20" s="28">
        <v>144023</v>
      </c>
      <c r="J20" s="28">
        <v>53295149</v>
      </c>
      <c r="K20" s="65"/>
      <c r="L20" s="68"/>
      <c r="M20" s="32"/>
      <c r="N20" s="37"/>
      <c r="O20" s="35"/>
      <c r="P20" s="35"/>
      <c r="Q20" s="35"/>
    </row>
    <row r="21" spans="1:19" s="33" customFormat="1" ht="12.95" customHeight="1" x14ac:dyDescent="0.25">
      <c r="A21" s="61">
        <f t="shared" si="0"/>
        <v>44575</v>
      </c>
      <c r="B21" s="28"/>
      <c r="C21" s="28"/>
      <c r="D21" s="34"/>
      <c r="E21" s="29"/>
      <c r="F21" s="26"/>
      <c r="G21" s="27"/>
      <c r="H21" s="67"/>
      <c r="I21" s="28"/>
      <c r="J21" s="28"/>
      <c r="K21" s="65"/>
      <c r="L21" s="68"/>
      <c r="M21" s="32"/>
      <c r="N21" s="37"/>
      <c r="O21" s="37"/>
      <c r="P21" s="38"/>
      <c r="Q21" s="38"/>
      <c r="S21" s="32"/>
    </row>
    <row r="22" spans="1:19" s="33" customFormat="1" ht="12.95" customHeight="1" x14ac:dyDescent="0.25">
      <c r="A22" s="61">
        <f t="shared" si="0"/>
        <v>44576</v>
      </c>
      <c r="B22" s="28"/>
      <c r="C22" s="28"/>
      <c r="D22" s="34"/>
      <c r="E22" s="29"/>
      <c r="F22" s="26"/>
      <c r="G22" s="27"/>
      <c r="H22" s="67"/>
      <c r="I22" s="27"/>
      <c r="J22" s="28"/>
      <c r="K22" s="65"/>
      <c r="L22" s="68"/>
      <c r="M22" s="32"/>
      <c r="N22" s="37"/>
      <c r="O22" s="37"/>
      <c r="P22" s="35"/>
      <c r="Q22" s="35"/>
    </row>
    <row r="23" spans="1:19" s="33" customFormat="1" ht="12.95" customHeight="1" x14ac:dyDescent="0.25">
      <c r="A23" s="61">
        <f t="shared" si="0"/>
        <v>44577</v>
      </c>
      <c r="B23" s="28"/>
      <c r="C23" s="28"/>
      <c r="D23" s="34"/>
      <c r="E23" s="29"/>
      <c r="F23" s="26"/>
      <c r="G23" s="27"/>
      <c r="H23" s="67"/>
      <c r="I23" s="28"/>
      <c r="J23" s="28"/>
      <c r="K23" s="65"/>
      <c r="L23" s="68"/>
      <c r="M23" s="32"/>
      <c r="N23" s="37"/>
      <c r="O23" s="35"/>
      <c r="P23" s="35"/>
      <c r="Q23" s="35"/>
    </row>
    <row r="24" spans="1:19" s="33" customFormat="1" ht="12.95" customHeight="1" x14ac:dyDescent="0.25">
      <c r="A24" s="61">
        <f t="shared" si="0"/>
        <v>44578</v>
      </c>
      <c r="B24" s="28"/>
      <c r="C24" s="28"/>
      <c r="D24" s="34"/>
      <c r="E24" s="29"/>
      <c r="F24" s="26"/>
      <c r="G24" s="27"/>
      <c r="H24" s="67"/>
      <c r="I24" s="28"/>
      <c r="J24" s="28"/>
      <c r="K24" s="65"/>
      <c r="L24" s="72"/>
      <c r="M24" s="32"/>
      <c r="N24" s="37"/>
      <c r="O24" s="37"/>
      <c r="P24" s="35"/>
      <c r="Q24" s="35"/>
    </row>
    <row r="25" spans="1:19" s="33" customFormat="1" ht="12.95" customHeight="1" x14ac:dyDescent="0.25">
      <c r="A25" s="61">
        <f t="shared" si="0"/>
        <v>44579</v>
      </c>
      <c r="B25" s="27"/>
      <c r="C25" s="27"/>
      <c r="D25" s="34"/>
      <c r="E25" s="29"/>
      <c r="F25" s="26"/>
      <c r="G25" s="27"/>
      <c r="H25" s="67"/>
      <c r="I25" s="28"/>
      <c r="J25" s="28"/>
      <c r="K25" s="65"/>
      <c r="L25" s="72"/>
      <c r="M25" s="32"/>
      <c r="N25" s="37"/>
      <c r="O25" s="37"/>
      <c r="P25" s="35"/>
      <c r="Q25" s="35"/>
    </row>
    <row r="26" spans="1:19" s="33" customFormat="1" ht="12.95" customHeight="1" x14ac:dyDescent="0.25">
      <c r="A26" s="61">
        <f t="shared" si="0"/>
        <v>44580</v>
      </c>
      <c r="B26" s="27"/>
      <c r="C26" s="27"/>
      <c r="D26" s="34"/>
      <c r="E26" s="29"/>
      <c r="F26" s="26"/>
      <c r="G26" s="27"/>
      <c r="H26" s="67"/>
      <c r="I26" s="28"/>
      <c r="J26" s="28"/>
      <c r="K26" s="65"/>
      <c r="L26" s="72"/>
      <c r="M26" s="32"/>
      <c r="N26" s="37"/>
      <c r="O26" s="37"/>
      <c r="P26" s="35"/>
      <c r="Q26" s="35"/>
    </row>
    <row r="27" spans="1:19" s="33" customFormat="1" ht="12.95" customHeight="1" x14ac:dyDescent="0.25">
      <c r="A27" s="61">
        <f t="shared" si="0"/>
        <v>44581</v>
      </c>
      <c r="B27" s="28"/>
      <c r="C27" s="28"/>
      <c r="D27" s="34"/>
      <c r="E27" s="29"/>
      <c r="F27" s="26"/>
      <c r="G27" s="27"/>
      <c r="H27" s="67"/>
      <c r="I27" s="28"/>
      <c r="J27" s="28"/>
      <c r="K27" s="65"/>
      <c r="L27" s="68"/>
      <c r="M27" s="32"/>
    </row>
    <row r="28" spans="1:19" s="33" customFormat="1" ht="12.95" customHeight="1" x14ac:dyDescent="0.25">
      <c r="A28" s="61">
        <f t="shared" si="0"/>
        <v>44582</v>
      </c>
      <c r="B28" s="73"/>
      <c r="C28" s="28"/>
      <c r="D28" s="34"/>
      <c r="E28" s="29"/>
      <c r="F28" s="26"/>
      <c r="G28" s="27"/>
      <c r="H28" s="67"/>
      <c r="I28" s="28"/>
      <c r="J28" s="28"/>
      <c r="K28" s="65"/>
      <c r="L28" s="68"/>
      <c r="M28" s="32"/>
    </row>
    <row r="29" spans="1:19" s="33" customFormat="1" ht="12.95" customHeight="1" x14ac:dyDescent="0.25">
      <c r="A29" s="61">
        <f t="shared" si="0"/>
        <v>44583</v>
      </c>
      <c r="B29" s="28"/>
      <c r="C29" s="28"/>
      <c r="D29" s="34"/>
      <c r="E29" s="29"/>
      <c r="F29" s="26"/>
      <c r="G29" s="27"/>
      <c r="H29" s="67"/>
      <c r="I29" s="28"/>
      <c r="J29" s="28"/>
      <c r="K29" s="65"/>
      <c r="L29" s="68"/>
      <c r="M29" s="32"/>
      <c r="N29" s="32"/>
    </row>
    <row r="30" spans="1:19" s="33" customFormat="1" ht="12.95" customHeight="1" x14ac:dyDescent="0.25">
      <c r="A30" s="61">
        <f t="shared" si="0"/>
        <v>44584</v>
      </c>
      <c r="B30" s="28"/>
      <c r="C30" s="28"/>
      <c r="D30" s="34"/>
      <c r="E30" s="29"/>
      <c r="F30" s="26"/>
      <c r="G30" s="27"/>
      <c r="H30" s="67"/>
      <c r="I30" s="28"/>
      <c r="J30" s="28"/>
      <c r="K30" s="65"/>
      <c r="L30" s="68"/>
      <c r="M30" s="32"/>
    </row>
    <row r="31" spans="1:19" s="33" customFormat="1" ht="12.95" customHeight="1" x14ac:dyDescent="0.25">
      <c r="A31" s="61">
        <f t="shared" si="0"/>
        <v>44585</v>
      </c>
      <c r="B31" s="28"/>
      <c r="C31" s="28"/>
      <c r="D31" s="34"/>
      <c r="E31" s="29"/>
      <c r="F31" s="26"/>
      <c r="G31" s="27"/>
      <c r="H31" s="67"/>
      <c r="I31" s="28"/>
      <c r="J31" s="28"/>
      <c r="K31" s="65"/>
      <c r="L31" s="74"/>
      <c r="M31" s="32"/>
      <c r="N31" s="32"/>
      <c r="O31" s="32"/>
    </row>
    <row r="32" spans="1:19" s="33" customFormat="1" ht="12.95" customHeight="1" x14ac:dyDescent="0.25">
      <c r="A32" s="61">
        <f t="shared" si="0"/>
        <v>44586</v>
      </c>
      <c r="B32" s="28"/>
      <c r="C32" s="28"/>
      <c r="D32" s="34"/>
      <c r="E32" s="29"/>
      <c r="F32" s="26"/>
      <c r="G32" s="27"/>
      <c r="H32" s="67"/>
      <c r="I32" s="28"/>
      <c r="J32" s="28"/>
      <c r="K32" s="65"/>
      <c r="L32" s="74"/>
      <c r="M32" s="32"/>
      <c r="N32" s="32"/>
      <c r="O32" s="32"/>
    </row>
    <row r="33" spans="1:16" s="33" customFormat="1" ht="12.95" customHeight="1" x14ac:dyDescent="0.25">
      <c r="A33" s="61">
        <f t="shared" si="0"/>
        <v>44587</v>
      </c>
      <c r="B33" s="28"/>
      <c r="C33" s="28"/>
      <c r="D33" s="34"/>
      <c r="E33" s="29"/>
      <c r="F33" s="26"/>
      <c r="G33" s="27"/>
      <c r="H33" s="67"/>
      <c r="I33" s="28"/>
      <c r="J33" s="28"/>
      <c r="K33" s="65"/>
      <c r="L33" s="68"/>
      <c r="N33" s="32"/>
      <c r="O33" s="32"/>
    </row>
    <row r="34" spans="1:16" s="33" customFormat="1" ht="12.95" customHeight="1" x14ac:dyDescent="0.25">
      <c r="A34" s="61">
        <f t="shared" si="0"/>
        <v>44588</v>
      </c>
      <c r="B34" s="27"/>
      <c r="C34" s="75"/>
      <c r="D34" s="34"/>
      <c r="E34" s="29"/>
      <c r="F34" s="26"/>
      <c r="G34" s="27"/>
      <c r="H34" s="67"/>
      <c r="I34" s="27"/>
      <c r="J34" s="27"/>
      <c r="K34" s="65"/>
      <c r="L34" s="68"/>
      <c r="N34" s="32"/>
      <c r="P34" s="32"/>
    </row>
    <row r="35" spans="1:16" s="33" customFormat="1" ht="12.95" customHeight="1" x14ac:dyDescent="0.25">
      <c r="A35" s="61">
        <f t="shared" si="0"/>
        <v>44589</v>
      </c>
      <c r="B35" s="67"/>
      <c r="C35" s="76"/>
      <c r="D35" s="34"/>
      <c r="E35" s="41"/>
      <c r="F35" s="66"/>
      <c r="G35" s="66"/>
      <c r="H35" s="67"/>
      <c r="I35" s="67"/>
      <c r="J35" s="67"/>
      <c r="K35" s="65"/>
      <c r="L35" s="68"/>
      <c r="M35" s="32"/>
      <c r="N35" s="32"/>
      <c r="O35" s="32"/>
    </row>
    <row r="36" spans="1:16" s="39" customFormat="1" x14ac:dyDescent="0.25">
      <c r="A36" s="61">
        <f t="shared" si="0"/>
        <v>44590</v>
      </c>
      <c r="B36" s="67"/>
      <c r="C36" s="76"/>
      <c r="D36" s="34"/>
      <c r="E36" s="41"/>
      <c r="F36" s="66"/>
      <c r="G36" s="66"/>
      <c r="H36" s="67"/>
      <c r="I36" s="67"/>
      <c r="J36" s="67"/>
      <c r="K36" s="65"/>
      <c r="L36" s="68"/>
    </row>
    <row r="37" spans="1:16" s="39" customFormat="1" x14ac:dyDescent="0.25">
      <c r="A37" s="61">
        <f t="shared" si="0"/>
        <v>44591</v>
      </c>
      <c r="B37" s="67"/>
      <c r="C37" s="67"/>
      <c r="D37" s="34"/>
      <c r="E37" s="41"/>
      <c r="F37" s="66"/>
      <c r="G37" s="66"/>
      <c r="H37" s="67"/>
      <c r="I37" s="67"/>
      <c r="J37" s="67"/>
      <c r="K37" s="65"/>
      <c r="L37" s="68"/>
    </row>
    <row r="38" spans="1:16" x14ac:dyDescent="0.25">
      <c r="A38" s="61">
        <f t="shared" si="0"/>
        <v>44592</v>
      </c>
      <c r="B38" s="67"/>
      <c r="C38" s="67"/>
      <c r="D38" s="30"/>
      <c r="E38" s="41"/>
      <c r="F38" s="66"/>
      <c r="G38" s="66"/>
      <c r="H38" s="67"/>
      <c r="I38" s="67"/>
      <c r="J38" s="67"/>
      <c r="K38" s="65"/>
      <c r="L38" s="77"/>
    </row>
    <row r="39" spans="1:16" x14ac:dyDescent="0.25">
      <c r="A39" s="78" t="s">
        <v>35</v>
      </c>
      <c r="B39" s="79">
        <f t="shared" ref="B39:J39" si="1">B38-B7</f>
        <v>-532303</v>
      </c>
      <c r="C39" s="79">
        <f t="shared" si="1"/>
        <v>-61638.1</v>
      </c>
      <c r="D39" s="79">
        <f t="shared" si="1"/>
        <v>-0.64</v>
      </c>
      <c r="E39" s="79">
        <f t="shared" si="1"/>
        <v>-1703.01</v>
      </c>
      <c r="F39" s="79">
        <f t="shared" si="1"/>
        <v>-1146.26</v>
      </c>
      <c r="G39" s="79">
        <f t="shared" si="1"/>
        <v>-36618.6</v>
      </c>
      <c r="H39" s="79">
        <f t="shared" si="1"/>
        <v>-14528</v>
      </c>
      <c r="I39" s="79">
        <f t="shared" si="1"/>
        <v>-142633</v>
      </c>
      <c r="J39" s="79">
        <f t="shared" si="1"/>
        <v>-53137168</v>
      </c>
      <c r="K39" s="79">
        <f>SUM(K7:K38)</f>
        <v>0</v>
      </c>
      <c r="L39" s="48"/>
    </row>
    <row r="40" spans="1:16" x14ac:dyDescent="0.25">
      <c r="A40" s="48"/>
      <c r="B40" s="48"/>
      <c r="C40" s="79"/>
      <c r="D40" s="48"/>
      <c r="E40" s="80"/>
      <c r="F40" s="80"/>
      <c r="G40" s="80"/>
      <c r="H40" s="81">
        <f>H39*219.969</f>
        <v>-3195709.6319999998</v>
      </c>
      <c r="I40" s="79">
        <f>I39*219.969</f>
        <v>-31374838.377</v>
      </c>
      <c r="J40" s="80"/>
      <c r="K40" s="48"/>
      <c r="L40" s="48"/>
    </row>
    <row r="41" spans="1:16" x14ac:dyDescent="0.25">
      <c r="I41" s="13"/>
    </row>
    <row r="42" spans="1:16" x14ac:dyDescent="0.25">
      <c r="C42" s="16"/>
    </row>
    <row r="43" spans="1:16" x14ac:dyDescent="0.25">
      <c r="J43" s="24"/>
    </row>
    <row r="44" spans="1:16" x14ac:dyDescent="0.25">
      <c r="C44" s="25"/>
      <c r="I44" s="24"/>
    </row>
  </sheetData>
  <mergeCells count="5">
    <mergeCell ref="A3:J3"/>
    <mergeCell ref="A4:J4"/>
    <mergeCell ref="B5:C5"/>
    <mergeCell ref="D5:G5"/>
    <mergeCell ref="H5:I5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01 - 2021</vt:lpstr>
      <vt:lpstr>'01 - 2021'!Print_Area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2022-01-13T04:42:13Z</dcterms:modified>
</cp:coreProperties>
</file>