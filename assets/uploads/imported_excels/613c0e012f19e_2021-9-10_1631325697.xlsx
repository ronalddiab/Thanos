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-120" yWindow="-120" windowWidth="29040" windowHeight="17640" tabRatio="598" firstSheet="2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S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24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D23" i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T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<sst xmlns="http://schemas.openxmlformats.org/spreadsheetml/2006/main" count="445" uniqueCount="150">
  <si>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</si>
  <si>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</si>
  <si>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</si>
  <si>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</si>
  <si>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</si>
  <si>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</si>
  <si>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</si>
  <si>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</si>
  <si>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</si>
  <si>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</si>
  <si>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</si>
  <si>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</si>
  <si>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</si>
  <si>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</si>
  <si>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</si>
  <si>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</si>
  <si>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</si>
  <si>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</si>
  <si>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</si>
  <si>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</si>
  <si>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</si>
  <si>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</si>
  <si>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</si>
  <si>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</si>
  <si>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</si>
  <si>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</si>
  <si>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</si>
  <si>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</si>
  <si>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</si>
  <si>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</si>
  <si>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</si>
  <si>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</si>
  <si>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</si>
  <si>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</si>
  <si>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</si>
  <si>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</si>
  <si>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</si>
  <si>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</si>
  <si>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</si>
  <si>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</si>
  <si>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</si>
  <si>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</si>
  <si>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</si>
  <si>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</si>
  <si>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</si>
  <si>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</si>
  <si>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</si>
  <si>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</si>
  <si>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</si>
  <si>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</si>
  <si>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</si>
  <si>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</si>
  <si>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</si>
  <si>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</si>
  <si>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</si>
  <si>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</si>
  <si>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</si>
  <si>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</si>
  <si>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</si>
  <si>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</si>
  <si>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</si>
  <si>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</si>
  <si>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</si>
  <si>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</si>
  <si>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</si>
  <si>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</si>
  <si>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</si>
  <si>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</si>
  <si>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</si>
  <si>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</si>
  <si>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</si>
  <si>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</si>
  <si>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</si>
  <si>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</si>
  <si>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</si>
  <si>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</si>
  <si>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</si>
  <si>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</si>
  <si>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</si>
  <si>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</si>
  <si>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</si>
  <si>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</si>
  <si>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</si>
  <si>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</si>
  <si>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</si>
  <si>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</si>
  <si>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</si>
  <si>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</si>
  <si>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</si>
  <si>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</si>
  <si>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</si>
  <si>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</si>
  <si>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</si>
  <si>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</si>
  <si>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</si>
  <si>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</si>
  <si>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</si>
  <si>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</si>
  <si>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</si>
  <si>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</si>
  <si>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</si>
  <si>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</si>
  <si>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</si>
  <si>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</si>
  <si>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</si>
  <si>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</si>
  <si>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</si>
  <si>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</si>
  <si>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</si>
  <si>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</si>
  <si>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</si>
  <si>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</si>
  <si>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</si>
  <si>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</si>
  <si>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</si>
  <si>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</si>
  <si>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</si>
  <si>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</si>
  <si>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</si>
  <si>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</si>
  <si>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</si>
  <si>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</si>
  <si>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</si>
  <si>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</si>
  <si>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</si>
  <si>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</si>
  <si>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</si>
  <si>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</si>
  <si>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</si>
  <si>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</si>
  <si>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</si>
  <si>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</si>
  <si>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</si>
  <si>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</si>
  <si>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</si>
  <si>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</si>
  <si>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</si>
  <si>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</si>
  <si>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</si>
  <si>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</si>
  <si>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</si>
  <si>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</si>
  <si>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Energy Monthly Statement August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</si>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</sst>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103048.162228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132704.54722800001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64139.256304000002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167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90325.934408000001</v>
      </c>
      <c r="F10" s="146">
        <v>1.27</v>
      </c>
      <c r="G10" s="42">
        <f>Gas!C11*0.9147</f>
        <v>1838.547</v>
      </c>
      <c r="H10" s="147">
        <v>3.65</v>
      </c>
      <c r="I10" s="149">
        <f>Submetering!H10+Submetering!AD10+Submetering!AE10</f>
        <v>846</v>
      </c>
      <c r="J10" s="149">
        <v>10.029999999999999</v>
      </c>
      <c r="K10" s="42">
        <f>ELECT.!B11</f>
        <v>200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327664.41962400079</v>
      </c>
      <c r="F11" s="146">
        <v>1.27</v>
      </c>
      <c r="G11" s="42">
        <f>Gas!C12*0.9147</f>
        <v>1909.8935999999999</v>
      </c>
      <c r="H11" s="147">
        <v>3.65</v>
      </c>
      <c r="I11" s="149">
        <f>Submetering!H11+Submetering!AD11+Submetering!AE11</f>
        <v>846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67268640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-640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-55047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84745607.445600003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-55047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-65446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>
        <f>ELECT.!F10</f>
        <v>14902</v>
      </c>
      <c r="J9" s="42">
        <f>ELECT.!H10</f>
        <v>52395</v>
      </c>
      <c r="K9" s="42">
        <f>ELECT.!K10</f>
        <v>6603</v>
      </c>
      <c r="L9" s="42">
        <f>ELECT.!M10</f>
        <v>4848</v>
      </c>
      <c r="M9" s="42">
        <f>ELECT.!O10</f>
        <v>1890</v>
      </c>
      <c r="N9" s="42">
        <f>ELECT.!Q10</f>
        <v>12046</v>
      </c>
      <c r="O9" s="42">
        <f>ELECT.!S10</f>
        <v>10192</v>
      </c>
      <c r="P9" s="42">
        <f>ELECT.!W10*2</f>
        <v>22764</v>
      </c>
      <c r="Q9" s="42">
        <f>ELECT.!D10</f>
        <v>800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167</v>
      </c>
      <c r="Y9" s="40">
        <f t="shared" si="0"/>
        <v>8954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1040</v>
      </c>
      <c r="F10" s="42">
        <f>Water!E11</f>
        <v>0</v>
      </c>
      <c r="G10" s="42">
        <f>Water!G11</f>
        <v>515.70000000000005</v>
      </c>
      <c r="H10" s="42">
        <f>Water!I11</f>
        <v>4.1040000000000001</v>
      </c>
      <c r="I10" s="42">
        <f>ELECT.!F11</f>
        <v>21083</v>
      </c>
      <c r="J10" s="42">
        <f>ELECT.!H11</f>
        <v>73078</v>
      </c>
      <c r="K10" s="42">
        <f>ELECT.!K11</f>
        <v>7507</v>
      </c>
      <c r="L10" s="42" t="str">
        <f>ELECT.!M11</f>
        <v>0</v>
      </c>
      <c r="M10" s="42">
        <f>ELECT.!O11</f>
        <v>12018</v>
      </c>
      <c r="N10" s="42">
        <f>ELECT.!Q11</f>
        <v>17242</v>
      </c>
      <c r="O10" s="42">
        <f>ELECT.!S11</f>
        <v>14518</v>
      </c>
      <c r="P10" s="42">
        <f>ELECT.!W11*2</f>
        <v>30944</v>
      </c>
      <c r="Q10" s="42">
        <f>ELECT.!D11</f>
        <v>960</v>
      </c>
      <c r="R10" s="43">
        <f>BTU!C11</f>
        <v>14.138999999999214</v>
      </c>
      <c r="S10" s="43">
        <f>BTU!F11</f>
        <v>3.2950000000000728</v>
      </c>
      <c r="T10" s="43">
        <f>BTU!I11</f>
        <v>10</v>
      </c>
      <c r="U10" s="43">
        <f>BTU!O11</f>
        <v>1.9919999999997344</v>
      </c>
      <c r="V10" s="43">
        <f>BTU!L11</f>
        <v>1.9400000000005093</v>
      </c>
      <c r="W10" s="43">
        <f>BTU!R11</f>
        <v>2.3900000000003274</v>
      </c>
      <c r="X10" s="40">
        <f>ELECT.!B11</f>
        <v>200</v>
      </c>
      <c r="Y10" s="40">
        <f t="shared" si="0"/>
        <v>11932</v>
      </c>
      <c r="Z10">
        <f>'Mall, Citadel, Rotana'!C11+'Mall, Citadel, Rotana'!E11+'Mall, Citadel, Rotana'!G11+'Mall, Citadel, Rotana'!I11</f>
        <v>1562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110.9618928</v>
      </c>
      <c r="AE10" s="40">
        <f t="shared" si="2"/>
        <v>730.93410719999997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1040</v>
      </c>
      <c r="F11" s="42">
        <f>Water!E12</f>
        <v>0</v>
      </c>
      <c r="G11" s="42">
        <f>Water!G12</f>
        <v>499.5</v>
      </c>
      <c r="H11" s="42">
        <f>Water!I12</f>
        <v>4.2119999999999997</v>
      </c>
      <c r="I11" s="42">
        <f>ELECT.!F12</f>
        <v>16340</v>
      </c>
      <c r="J11" s="42">
        <f>ELECT.!H12</f>
        <v>56440</v>
      </c>
      <c r="K11" s="42">
        <f>ELECT.!K12</f>
        <v>5623</v>
      </c>
      <c r="L11" s="42">
        <f>ELECT.!M12</f>
        <v>7765250</v>
      </c>
      <c r="M11" s="42">
        <f>ELECT.!O12</f>
        <v>10848</v>
      </c>
      <c r="N11" s="42">
        <f>ELECT.!Q12</f>
        <v>12942</v>
      </c>
      <c r="O11" s="42">
        <f>ELECT.!S12</f>
        <v>11484</v>
      </c>
      <c r="P11" s="42">
        <f>ELECT.!W12*2</f>
        <v>24502</v>
      </c>
      <c r="Q11" s="42">
        <f>ELECT.!D12</f>
        <v>960</v>
      </c>
      <c r="R11" s="43">
        <f>BTU!C12</f>
        <v>15.042000000001281</v>
      </c>
      <c r="S11" s="43">
        <f>BTU!F12</f>
        <v>2.3949999999999818</v>
      </c>
      <c r="T11" s="43">
        <f>BTU!I12</f>
        <v>8</v>
      </c>
      <c r="U11" s="43">
        <f>BTU!O12</f>
        <v>1.8650000000002365</v>
      </c>
      <c r="V11" s="43">
        <f>BTU!L12</f>
        <v>2.2600000000002183</v>
      </c>
      <c r="W11" s="43">
        <f>BTU!R12</f>
        <v>2.1099999999996726</v>
      </c>
      <c r="X11" s="40">
        <f>ELECT.!B12</f>
        <v>220</v>
      </c>
      <c r="Y11" s="40">
        <f t="shared" si="0"/>
        <v>-7757869</v>
      </c>
      <c r="Z11">
        <f>'Mall, Citadel, Rotana'!C12+'Mall, Citadel, Rotana'!E12+'Mall, Citadel, Rotana'!G12+'Mall, Citadel, Rotana'!I12</f>
        <v>1226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110.94765840000001</v>
      </c>
      <c r="AE11" s="40">
        <f t="shared" si="2"/>
        <v>730.84034159999999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 t="str">
        <f>ELECT.!F13</f>
        <v>0</v>
      </c>
      <c r="J12" s="42" t="str">
        <f>ELECT.!H13</f>
        <v>0</v>
      </c>
      <c r="K12" s="42" t="str">
        <f>ELECT.!K13</f>
        <v>0</v>
      </c>
      <c r="L12" s="42" t="str">
        <f>ELECT.!M13</f>
        <v>0</v>
      </c>
      <c r="M12" s="42">
        <f>ELECT.!O13</f>
        <v>0</v>
      </c>
      <c r="N12" s="42" t="str">
        <f>ELECT.!Q13</f>
        <v>0</v>
      </c>
      <c r="O12" s="42" t="str">
        <f>ELECT.!S13</f>
        <v>0</v>
      </c>
      <c r="P12" s="42">
        <f>ELECT.!W13*2</f>
        <v>0</v>
      </c>
      <c r="Q12" s="42">
        <f>ELECT.!D13</f>
        <v>0</v>
      </c>
      <c r="R12" s="43" t="str">
        <f>BTU!C13</f>
        <v>0</v>
      </c>
      <c r="S12" s="43" t="str">
        <f>BTU!F13</f>
        <v>0</v>
      </c>
      <c r="T12" s="43" t="str">
        <f>BTU!I13</f>
        <v>0</v>
      </c>
      <c r="U12" s="43" t="str">
        <f>BTU!O13</f>
        <v>0</v>
      </c>
      <c r="V12" s="43" t="str">
        <f>BTU!L13</f>
        <v>0</v>
      </c>
      <c r="W12" s="43" t="str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-14377725</v>
      </c>
      <c r="AA12">
        <f>'Mall, Citadel, Rotana'!K13+'Mall, Citadel, Rotana'!M13</f>
        <v>-52620000</v>
      </c>
      <c r="AB12">
        <f>'Mall, Citadel, Rotana'!O13</f>
        <v>-215868</v>
      </c>
      <c r="AC12">
        <f>'Mall, Citadel, Rotana'!Q13+'Mall, Citadel, Rotana'!S13</f>
        <v>-55047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640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55047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87598842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87598842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-55047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U12" sqref="U12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3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f>R30-R5</f>
        <v>-55047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/>
      <c r="Q7" s="16">
        <f t="shared" si="7"/>
        <v>-120493</v>
      </c>
      <c r="R7" s="1">
        <v>55047</v>
      </c>
      <c r="S7" s="16">
        <f>R7-R30</f>
        <v>55047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/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/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/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>
        <v>45875</v>
      </c>
      <c r="C11" s="16">
        <f t="shared" si="0"/>
        <v>800</v>
      </c>
      <c r="D11" s="37">
        <v>39832</v>
      </c>
      <c r="E11" s="16">
        <f t="shared" si="1"/>
        <v>640</v>
      </c>
      <c r="F11" s="37">
        <v>20767</v>
      </c>
      <c r="G11" s="16">
        <f t="shared" si="2"/>
        <v>60</v>
      </c>
      <c r="H11" s="37">
        <v>248039</v>
      </c>
      <c r="I11" s="16">
        <f t="shared" si="3"/>
        <v>62</v>
      </c>
      <c r="J11" s="37">
        <v>303517</v>
      </c>
      <c r="K11" s="16">
        <f t="shared" si="4"/>
        <v>0</v>
      </c>
      <c r="L11" s="37">
        <v>25355</v>
      </c>
      <c r="M11" s="16">
        <f t="shared" si="5"/>
        <v>640</v>
      </c>
      <c r="N11" s="37">
        <v>215865</v>
      </c>
      <c r="O11" s="16">
        <f t="shared" si="6"/>
        <v>3</v>
      </c>
      <c r="P11" s="37"/>
      <c r="Q11" s="16">
        <f t="shared" si="7"/>
        <v>0</v>
      </c>
      <c r="R11" s="1">
        <v>55047</v>
      </c>
      <c r="S11" s="16">
        <f t="shared" si="8"/>
        <v>0</v>
      </c>
      <c r="T11" s="37">
        <v>3766</v>
      </c>
      <c r="U11" s="16">
        <f t="shared" si="9"/>
        <v>320</v>
      </c>
    </row>
    <row r="12" spans="1:24" ht="13.5" thickBot="1" x14ac:dyDescent="0.25">
      <c r="A12" s="10">
        <v>44449</v>
      </c>
      <c r="B12" s="37">
        <v>45880</v>
      </c>
      <c r="C12" s="16">
        <f t="shared" si="0"/>
        <v>800</v>
      </c>
      <c r="D12" s="37">
        <v>39834</v>
      </c>
      <c r="E12" s="16">
        <f t="shared" si="1"/>
        <v>320</v>
      </c>
      <c r="F12" s="37">
        <v>20771</v>
      </c>
      <c r="G12" s="16">
        <f t="shared" si="2"/>
        <v>80</v>
      </c>
      <c r="H12" s="37">
        <v>248065</v>
      </c>
      <c r="I12" s="16">
        <f t="shared" si="3"/>
        <v>26</v>
      </c>
      <c r="J12" s="37">
        <v>303517</v>
      </c>
      <c r="K12" s="16">
        <f t="shared" si="4"/>
        <v>0</v>
      </c>
      <c r="L12" s="37">
        <v>25358</v>
      </c>
      <c r="M12" s="16">
        <f t="shared" si="5"/>
        <v>480</v>
      </c>
      <c r="N12" s="37">
        <v>215868</v>
      </c>
      <c r="O12" s="16">
        <f t="shared" si="6"/>
        <v>3</v>
      </c>
      <c r="P12" s="37"/>
      <c r="Q12" s="16">
        <f t="shared" si="7"/>
        <v>0</v>
      </c>
      <c r="R12" s="1">
        <v>55047</v>
      </c>
      <c r="S12" s="16">
        <f t="shared" si="8"/>
        <v>0</v>
      </c>
      <c r="T12" s="37">
        <v>3766</v>
      </c>
      <c r="U12" s="16">
        <f t="shared" si="9"/>
        <v>0</v>
      </c>
    </row>
    <row r="13" spans="1:24" ht="13.5" thickBot="1" x14ac:dyDescent="0.25">
      <c r="A13" s="10">
        <v>44450</v>
      </c>
      <c r="B13" s="37"/>
      <c r="C13" s="16">
        <f t="shared" si="0"/>
        <v>-7340800</v>
      </c>
      <c r="D13" s="37"/>
      <c r="E13" s="16">
        <f t="shared" si="1"/>
        <v>-6373440</v>
      </c>
      <c r="F13" s="37"/>
      <c r="G13" s="16">
        <f t="shared" si="2"/>
        <v>-415420</v>
      </c>
      <c r="H13" s="37"/>
      <c r="I13" s="16">
        <f t="shared" si="3"/>
        <v>-248065</v>
      </c>
      <c r="J13" s="37"/>
      <c r="K13" s="16">
        <f t="shared" si="4"/>
        <v>-48562720</v>
      </c>
      <c r="L13" s="37"/>
      <c r="M13" s="16">
        <f t="shared" si="5"/>
        <v>-4057280</v>
      </c>
      <c r="N13" s="37"/>
      <c r="O13" s="16">
        <f t="shared" si="6"/>
        <v>-215868</v>
      </c>
      <c r="P13" s="37"/>
      <c r="Q13" s="16">
        <f t="shared" si="7"/>
        <v>0</v>
      </c>
      <c r="R13" s="1"/>
      <c r="S13" s="16">
        <f t="shared" si="8"/>
        <v>-55047</v>
      </c>
      <c r="T13" s="37"/>
      <c r="U13" s="16">
        <f t="shared" si="9"/>
        <v>-602560</v>
      </c>
    </row>
    <row r="14" spans="1:24" ht="13.5" thickBot="1" x14ac:dyDescent="0.25">
      <c r="A14" s="10">
        <v>44451</v>
      </c>
      <c r="B14" s="37"/>
      <c r="C14" s="16">
        <f t="shared" si="0"/>
        <v>0</v>
      </c>
      <c r="D14" s="37"/>
      <c r="E14" s="16">
        <f t="shared" si="1"/>
        <v>0</v>
      </c>
      <c r="F14" s="37"/>
      <c r="G14" s="16">
        <f t="shared" si="2"/>
        <v>0</v>
      </c>
      <c r="H14" s="37"/>
      <c r="I14" s="16">
        <f t="shared" si="3"/>
        <v>0</v>
      </c>
      <c r="J14" s="37"/>
      <c r="K14" s="16">
        <f t="shared" si="4"/>
        <v>0</v>
      </c>
      <c r="L14" s="37"/>
      <c r="M14" s="16">
        <f t="shared" si="5"/>
        <v>0</v>
      </c>
      <c r="N14" s="37"/>
      <c r="O14" s="16">
        <f t="shared" si="6"/>
        <v>0</v>
      </c>
      <c r="P14" s="37"/>
      <c r="Q14" s="16">
        <f t="shared" si="7"/>
        <v>0</v>
      </c>
      <c r="R14" s="1"/>
      <c r="S14" s="16">
        <f t="shared" si="8"/>
        <v>0</v>
      </c>
      <c r="T14" s="37"/>
      <c r="U14" s="16">
        <f>(T14-T13)*800/5</f>
        <v>0</v>
      </c>
    </row>
    <row r="15" spans="1:24" ht="13.5" thickBot="1" x14ac:dyDescent="0.25">
      <c r="A15" s="10">
        <v>44452</v>
      </c>
      <c r="B15" s="37"/>
      <c r="C15" s="16">
        <f t="shared" si="0"/>
        <v>0</v>
      </c>
      <c r="D15" s="37"/>
      <c r="E15" s="16">
        <f t="shared" si="1"/>
        <v>0</v>
      </c>
      <c r="F15" s="37"/>
      <c r="G15" s="16">
        <f t="shared" si="2"/>
        <v>0</v>
      </c>
      <c r="H15" s="37"/>
      <c r="I15" s="16">
        <f t="shared" si="3"/>
        <v>0</v>
      </c>
      <c r="J15" s="37"/>
      <c r="K15" s="16">
        <f t="shared" si="4"/>
        <v>0</v>
      </c>
      <c r="L15" s="37"/>
      <c r="M15" s="16">
        <f t="shared" si="5"/>
        <v>0</v>
      </c>
      <c r="N15" s="37"/>
      <c r="O15" s="16">
        <f t="shared" si="6"/>
        <v>0</v>
      </c>
      <c r="P15" s="37"/>
      <c r="Q15" s="16">
        <f t="shared" si="7"/>
        <v>0</v>
      </c>
      <c r="R15" s="1"/>
      <c r="S15" s="16">
        <f t="shared" si="8"/>
        <v>0</v>
      </c>
      <c r="T15" s="37"/>
      <c r="U15" s="16">
        <f>(T15-T14)*800/5</f>
        <v>0</v>
      </c>
      <c r="X15" t="s">
        <v>12</v>
      </c>
    </row>
    <row r="16" spans="1:24" ht="13.5" thickBot="1" x14ac:dyDescent="0.25">
      <c r="A16" s="10">
        <v>44453</v>
      </c>
      <c r="B16" s="37"/>
      <c r="C16" s="16">
        <f t="shared" si="0"/>
        <v>0</v>
      </c>
      <c r="D16" s="37"/>
      <c r="E16" s="16">
        <f t="shared" si="1"/>
        <v>0</v>
      </c>
      <c r="F16" s="37"/>
      <c r="G16" s="16">
        <f t="shared" si="2"/>
        <v>0</v>
      </c>
      <c r="H16" s="37"/>
      <c r="I16" s="16">
        <f t="shared" si="3"/>
        <v>0</v>
      </c>
      <c r="J16" s="37"/>
      <c r="K16" s="16">
        <f t="shared" si="4"/>
        <v>0</v>
      </c>
      <c r="L16" s="37"/>
      <c r="M16" s="16">
        <f t="shared" si="5"/>
        <v>0</v>
      </c>
      <c r="N16" s="37"/>
      <c r="O16" s="16">
        <f t="shared" si="6"/>
        <v>0</v>
      </c>
      <c r="P16" s="37"/>
      <c r="Q16" s="16">
        <f t="shared" si="7"/>
        <v>0</v>
      </c>
      <c r="R16" s="1"/>
      <c r="S16" s="16">
        <f t="shared" si="8"/>
        <v>0</v>
      </c>
      <c r="T16" s="37"/>
      <c r="U16" s="16">
        <f t="shared" si="9"/>
        <v>0</v>
      </c>
      <c r="W16" t="s">
        <v>12</v>
      </c>
    </row>
    <row r="17" spans="1:23" ht="13.5" thickBot="1" x14ac:dyDescent="0.25">
      <c r="A17" s="10">
        <v>44454</v>
      </c>
      <c r="B17" s="37"/>
      <c r="C17" s="16">
        <f t="shared" si="0"/>
        <v>0</v>
      </c>
      <c r="D17" s="37"/>
      <c r="E17" s="16">
        <f t="shared" si="1"/>
        <v>0</v>
      </c>
      <c r="F17" s="37"/>
      <c r="G17" s="16">
        <f t="shared" si="2"/>
        <v>0</v>
      </c>
      <c r="H17" s="37"/>
      <c r="I17" s="16">
        <f t="shared" si="3"/>
        <v>0</v>
      </c>
      <c r="J17" s="37"/>
      <c r="K17" s="16">
        <f t="shared" si="4"/>
        <v>0</v>
      </c>
      <c r="L17" s="37"/>
      <c r="M17" s="16">
        <f t="shared" si="5"/>
        <v>0</v>
      </c>
      <c r="N17" s="37"/>
      <c r="O17" s="16">
        <f t="shared" si="6"/>
        <v>0</v>
      </c>
      <c r="P17" s="37"/>
      <c r="Q17" s="16">
        <f t="shared" si="7"/>
        <v>0</v>
      </c>
      <c r="R17" s="1"/>
      <c r="S17" s="16">
        <f>S16</f>
        <v>0</v>
      </c>
      <c r="T17" s="37"/>
      <c r="U17" s="16">
        <f t="shared" si="9"/>
        <v>0</v>
      </c>
    </row>
    <row r="18" spans="1:23" ht="13.5" thickBot="1" x14ac:dyDescent="0.25">
      <c r="A18" s="10">
        <v>44455</v>
      </c>
      <c r="B18" s="37"/>
      <c r="C18" s="16">
        <f t="shared" si="0"/>
        <v>0</v>
      </c>
      <c r="D18" s="37"/>
      <c r="E18" s="16">
        <f t="shared" si="1"/>
        <v>0</v>
      </c>
      <c r="F18" s="37"/>
      <c r="G18" s="16">
        <f t="shared" si="2"/>
        <v>0</v>
      </c>
      <c r="H18" s="37"/>
      <c r="I18" s="16">
        <f t="shared" si="3"/>
        <v>0</v>
      </c>
      <c r="J18" s="37"/>
      <c r="K18" s="16">
        <f t="shared" si="4"/>
        <v>0</v>
      </c>
      <c r="L18" s="37"/>
      <c r="M18" s="16">
        <f t="shared" si="5"/>
        <v>0</v>
      </c>
      <c r="N18" s="37"/>
      <c r="O18" s="16">
        <f t="shared" si="6"/>
        <v>0</v>
      </c>
      <c r="P18" s="37"/>
      <c r="Q18" s="16">
        <f t="shared" si="7"/>
        <v>0</v>
      </c>
      <c r="R18" s="1"/>
      <c r="S18" s="16">
        <f t="shared" si="8"/>
        <v>0</v>
      </c>
      <c r="T18" s="37"/>
      <c r="U18" s="16">
        <f t="shared" si="9"/>
        <v>0</v>
      </c>
    </row>
    <row r="19" spans="1:23" ht="13.5" thickBot="1" x14ac:dyDescent="0.25">
      <c r="A19" s="10">
        <v>44456</v>
      </c>
      <c r="B19" s="37"/>
      <c r="C19" s="16">
        <f t="shared" si="0"/>
        <v>0</v>
      </c>
      <c r="D19" s="37"/>
      <c r="E19" s="16">
        <f t="shared" si="1"/>
        <v>0</v>
      </c>
      <c r="F19" s="37"/>
      <c r="G19" s="16">
        <f t="shared" si="2"/>
        <v>0</v>
      </c>
      <c r="H19" s="37"/>
      <c r="I19" s="16">
        <f t="shared" si="3"/>
        <v>0</v>
      </c>
      <c r="J19" s="37"/>
      <c r="K19" s="16">
        <f t="shared" si="4"/>
        <v>0</v>
      </c>
      <c r="L19" s="37"/>
      <c r="M19" s="16">
        <f t="shared" si="5"/>
        <v>0</v>
      </c>
      <c r="N19" s="37"/>
      <c r="O19" s="16">
        <f t="shared" si="6"/>
        <v>0</v>
      </c>
      <c r="P19" s="37"/>
      <c r="Q19" s="16">
        <f t="shared" si="7"/>
        <v>0</v>
      </c>
      <c r="R19" s="1"/>
      <c r="S19" s="16">
        <f t="shared" si="8"/>
        <v>0</v>
      </c>
      <c r="T19" s="37"/>
      <c r="U19" s="16">
        <f t="shared" si="9"/>
        <v>0</v>
      </c>
      <c r="W19" t="s">
        <v>12</v>
      </c>
    </row>
    <row r="20" spans="1:23" ht="13.5" thickBot="1" x14ac:dyDescent="0.25">
      <c r="A20" s="10">
        <v>44457</v>
      </c>
      <c r="B20" s="37"/>
      <c r="C20" s="16">
        <f t="shared" si="0"/>
        <v>0</v>
      </c>
      <c r="D20" s="37"/>
      <c r="E20" s="16">
        <f t="shared" si="1"/>
        <v>0</v>
      </c>
      <c r="F20" s="37"/>
      <c r="G20" s="16">
        <f t="shared" si="2"/>
        <v>0</v>
      </c>
      <c r="H20" s="37"/>
      <c r="I20" s="16">
        <f t="shared" si="3"/>
        <v>0</v>
      </c>
      <c r="J20" s="37"/>
      <c r="K20" s="16">
        <v>0</v>
      </c>
      <c r="L20" s="37"/>
      <c r="M20" s="16">
        <f t="shared" si="5"/>
        <v>0</v>
      </c>
      <c r="N20" s="37"/>
      <c r="O20" s="16">
        <f t="shared" si="6"/>
        <v>0</v>
      </c>
      <c r="P20" s="37"/>
      <c r="Q20" s="16">
        <f>P20-P19</f>
        <v>0</v>
      </c>
      <c r="R20" s="1"/>
      <c r="S20" s="16">
        <f t="shared" si="8"/>
        <v>0</v>
      </c>
      <c r="T20" s="37"/>
      <c r="U20" s="16">
        <f t="shared" si="9"/>
        <v>0</v>
      </c>
    </row>
    <row r="21" spans="1:23" ht="13.5" thickBot="1" x14ac:dyDescent="0.25">
      <c r="A21" s="10">
        <v>44458</v>
      </c>
      <c r="B21" s="37"/>
      <c r="C21" s="16">
        <f t="shared" si="0"/>
        <v>0</v>
      </c>
      <c r="D21" s="37"/>
      <c r="E21" s="16">
        <f t="shared" si="1"/>
        <v>0</v>
      </c>
      <c r="F21" s="37"/>
      <c r="G21" s="16">
        <f t="shared" si="2"/>
        <v>0</v>
      </c>
      <c r="H21" s="37"/>
      <c r="I21" s="16">
        <f t="shared" si="3"/>
        <v>0</v>
      </c>
      <c r="J21" s="37"/>
      <c r="K21" s="16">
        <f t="shared" si="4"/>
        <v>0</v>
      </c>
      <c r="L21" s="37"/>
      <c r="M21" s="16">
        <f t="shared" si="5"/>
        <v>0</v>
      </c>
      <c r="N21" s="37"/>
      <c r="O21" s="16">
        <f t="shared" si="6"/>
        <v>0</v>
      </c>
      <c r="P21" s="37"/>
      <c r="Q21" s="16">
        <f t="shared" si="7"/>
        <v>0</v>
      </c>
      <c r="R21" s="1"/>
      <c r="S21" s="16">
        <f t="shared" si="8"/>
        <v>0</v>
      </c>
      <c r="T21" s="37"/>
      <c r="U21" s="16">
        <f t="shared" si="9"/>
        <v>0</v>
      </c>
    </row>
    <row r="22" spans="1:23" ht="13.5" thickBot="1" x14ac:dyDescent="0.25">
      <c r="A22" s="10">
        <v>44459</v>
      </c>
      <c r="B22" s="37"/>
      <c r="C22" s="16">
        <f t="shared" si="0"/>
        <v>0</v>
      </c>
      <c r="D22" s="37"/>
      <c r="E22" s="16">
        <f t="shared" si="1"/>
        <v>0</v>
      </c>
      <c r="F22" s="37"/>
      <c r="G22" s="16">
        <f t="shared" si="2"/>
        <v>0</v>
      </c>
      <c r="H22" s="37"/>
      <c r="I22" s="16">
        <f t="shared" si="3"/>
        <v>0</v>
      </c>
      <c r="J22" s="37"/>
      <c r="K22" s="16">
        <f t="shared" si="4"/>
        <v>0</v>
      </c>
      <c r="L22" s="37"/>
      <c r="M22" s="16">
        <f t="shared" si="5"/>
        <v>0</v>
      </c>
      <c r="N22" s="37"/>
      <c r="O22" s="16">
        <f t="shared" si="6"/>
        <v>0</v>
      </c>
      <c r="P22" s="37"/>
      <c r="Q22" s="16">
        <f>P22-P21</f>
        <v>0</v>
      </c>
      <c r="R22" s="1"/>
      <c r="S22" s="16">
        <f t="shared" si="8"/>
        <v>0</v>
      </c>
      <c r="T22" s="37"/>
      <c r="U22" s="16">
        <f t="shared" si="9"/>
        <v>0</v>
      </c>
    </row>
    <row r="23" spans="1:23" ht="13.5" thickBot="1" x14ac:dyDescent="0.25">
      <c r="A23" s="10">
        <v>44460</v>
      </c>
      <c r="B23" s="37"/>
      <c r="C23" s="16">
        <f t="shared" si="0"/>
        <v>0</v>
      </c>
      <c r="D23" s="37"/>
      <c r="E23" s="16">
        <f t="shared" si="1"/>
        <v>0</v>
      </c>
      <c r="F23" s="37"/>
      <c r="G23" s="16">
        <f t="shared" si="2"/>
        <v>0</v>
      </c>
      <c r="H23" s="37"/>
      <c r="I23" s="16">
        <f t="shared" si="3"/>
        <v>0</v>
      </c>
      <c r="J23" s="37"/>
      <c r="K23" s="16">
        <f t="shared" si="4"/>
        <v>0</v>
      </c>
      <c r="L23" s="37"/>
      <c r="M23" s="16">
        <f t="shared" si="5"/>
        <v>0</v>
      </c>
      <c r="N23" s="37"/>
      <c r="O23" s="16">
        <f t="shared" si="6"/>
        <v>0</v>
      </c>
      <c r="P23" s="37"/>
      <c r="Q23" s="16">
        <f t="shared" si="7"/>
        <v>0</v>
      </c>
      <c r="R23" s="1"/>
      <c r="S23" s="16">
        <f t="shared" si="8"/>
        <v>0</v>
      </c>
      <c r="T23" s="37"/>
      <c r="U23" s="16">
        <f t="shared" si="9"/>
        <v>0</v>
      </c>
    </row>
    <row r="24" spans="1:23" s="138" customFormat="1" ht="13.5" thickBot="1" x14ac:dyDescent="0.25">
      <c r="A24" s="10">
        <v>44461</v>
      </c>
      <c r="B24" s="37"/>
      <c r="C24" s="16">
        <f t="shared" si="0"/>
        <v>0</v>
      </c>
      <c r="D24" s="37"/>
      <c r="E24" s="16">
        <f t="shared" si="1"/>
        <v>0</v>
      </c>
      <c r="F24" s="37"/>
      <c r="G24" s="16">
        <f t="shared" si="2"/>
        <v>0</v>
      </c>
      <c r="H24" s="37"/>
      <c r="I24" s="16">
        <f t="shared" si="3"/>
        <v>0</v>
      </c>
      <c r="J24" s="37"/>
      <c r="K24" s="16">
        <f t="shared" si="4"/>
        <v>0</v>
      </c>
      <c r="L24" s="37"/>
      <c r="M24" s="16">
        <f t="shared" si="5"/>
        <v>0</v>
      </c>
      <c r="N24" s="37"/>
      <c r="O24" s="16">
        <f t="shared" si="6"/>
        <v>0</v>
      </c>
      <c r="P24" s="37"/>
      <c r="Q24" s="16">
        <f t="shared" si="7"/>
        <v>0</v>
      </c>
      <c r="R24" s="1"/>
      <c r="S24" s="16">
        <f t="shared" si="8"/>
        <v>0</v>
      </c>
      <c r="T24" s="37"/>
      <c r="U24" s="16">
        <f t="shared" si="9"/>
        <v>0</v>
      </c>
    </row>
    <row r="25" spans="1:23" ht="13.5" thickBot="1" x14ac:dyDescent="0.25">
      <c r="A25" s="10">
        <v>44462</v>
      </c>
      <c r="B25" s="37"/>
      <c r="C25" s="16">
        <f t="shared" si="0"/>
        <v>0</v>
      </c>
      <c r="D25" s="37"/>
      <c r="E25" s="16">
        <f t="shared" si="1"/>
        <v>0</v>
      </c>
      <c r="F25" s="37"/>
      <c r="G25" s="16">
        <f t="shared" si="2"/>
        <v>0</v>
      </c>
      <c r="H25" s="37"/>
      <c r="I25" s="16">
        <f t="shared" si="3"/>
        <v>0</v>
      </c>
      <c r="J25" s="37"/>
      <c r="K25" s="16">
        <f t="shared" si="4"/>
        <v>0</v>
      </c>
      <c r="L25" s="37"/>
      <c r="M25" s="16">
        <f t="shared" si="5"/>
        <v>0</v>
      </c>
      <c r="N25" s="37"/>
      <c r="O25" s="16">
        <f t="shared" si="6"/>
        <v>0</v>
      </c>
      <c r="P25" s="37"/>
      <c r="Q25" s="16">
        <f t="shared" si="7"/>
        <v>0</v>
      </c>
      <c r="R25" s="1"/>
      <c r="S25" s="16">
        <f t="shared" si="8"/>
        <v>0</v>
      </c>
      <c r="T25" s="37"/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/>
      <c r="C26" s="16">
        <f t="shared" si="0"/>
        <v>0</v>
      </c>
      <c r="D26" s="37"/>
      <c r="E26" s="16">
        <f t="shared" si="1"/>
        <v>0</v>
      </c>
      <c r="F26" s="37"/>
      <c r="G26" s="16">
        <f t="shared" si="2"/>
        <v>0</v>
      </c>
      <c r="H26" s="37"/>
      <c r="I26" s="16">
        <f t="shared" si="3"/>
        <v>0</v>
      </c>
      <c r="J26" s="37"/>
      <c r="K26" s="16">
        <f t="shared" si="4"/>
        <v>0</v>
      </c>
      <c r="L26" s="37"/>
      <c r="M26" s="16">
        <v>640</v>
      </c>
      <c r="N26" s="37"/>
      <c r="O26" s="16">
        <f t="shared" si="6"/>
        <v>0</v>
      </c>
      <c r="P26" s="37"/>
      <c r="Q26" s="16">
        <f t="shared" si="7"/>
        <v>0</v>
      </c>
      <c r="R26" s="1"/>
      <c r="S26" s="16">
        <f t="shared" si="8"/>
        <v>0</v>
      </c>
      <c r="T26" s="37"/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/>
      <c r="C27" s="16">
        <f t="shared" si="0"/>
        <v>0</v>
      </c>
      <c r="D27" s="37"/>
      <c r="E27" s="16">
        <f t="shared" si="1"/>
        <v>0</v>
      </c>
      <c r="F27" s="37"/>
      <c r="G27" s="16">
        <f t="shared" si="2"/>
        <v>0</v>
      </c>
      <c r="H27" s="37"/>
      <c r="I27" s="16">
        <f t="shared" si="3"/>
        <v>0</v>
      </c>
      <c r="J27" s="37"/>
      <c r="K27" s="16">
        <f t="shared" si="4"/>
        <v>0</v>
      </c>
      <c r="L27" s="37"/>
      <c r="M27" s="16">
        <f t="shared" si="5"/>
        <v>0</v>
      </c>
      <c r="N27" s="37"/>
      <c r="O27" s="16">
        <f t="shared" si="6"/>
        <v>0</v>
      </c>
      <c r="P27" s="37"/>
      <c r="Q27" s="16">
        <f t="shared" si="7"/>
        <v>0</v>
      </c>
      <c r="R27" s="1"/>
      <c r="S27" s="16">
        <f t="shared" si="8"/>
        <v>0</v>
      </c>
      <c r="T27" s="37"/>
      <c r="U27" s="16">
        <f t="shared" si="9"/>
        <v>0</v>
      </c>
    </row>
    <row r="28" spans="1:23" ht="13.5" thickBot="1" x14ac:dyDescent="0.25">
      <c r="A28" s="10">
        <v>44465</v>
      </c>
      <c r="B28" s="37"/>
      <c r="C28" s="16">
        <f t="shared" si="0"/>
        <v>0</v>
      </c>
      <c r="D28" s="37"/>
      <c r="E28" s="16">
        <f t="shared" si="1"/>
        <v>0</v>
      </c>
      <c r="F28" s="37"/>
      <c r="G28" s="16">
        <f t="shared" si="2"/>
        <v>0</v>
      </c>
      <c r="H28" s="37"/>
      <c r="I28" s="16">
        <f t="shared" si="3"/>
        <v>0</v>
      </c>
      <c r="J28" s="37"/>
      <c r="K28" s="16">
        <f t="shared" si="4"/>
        <v>0</v>
      </c>
      <c r="L28" s="37"/>
      <c r="M28" s="16">
        <f t="shared" si="5"/>
        <v>0</v>
      </c>
      <c r="N28" s="37"/>
      <c r="O28" s="16">
        <f t="shared" si="6"/>
        <v>0</v>
      </c>
      <c r="P28" s="37"/>
      <c r="Q28" s="17">
        <f t="shared" si="7"/>
        <v>0</v>
      </c>
      <c r="R28" s="1"/>
      <c r="S28" s="17">
        <f t="shared" si="8"/>
        <v>0</v>
      </c>
      <c r="T28" s="37"/>
      <c r="U28" s="16">
        <f t="shared" si="9"/>
        <v>0</v>
      </c>
    </row>
    <row r="29" spans="1:23" ht="13.5" thickBot="1" x14ac:dyDescent="0.25">
      <c r="A29" s="10">
        <v>44466</v>
      </c>
      <c r="B29" s="37"/>
      <c r="C29" s="16">
        <f t="shared" si="0"/>
        <v>0</v>
      </c>
      <c r="D29" s="37"/>
      <c r="E29" s="16">
        <f t="shared" si="1"/>
        <v>0</v>
      </c>
      <c r="F29" s="37"/>
      <c r="G29" s="16">
        <f t="shared" si="2"/>
        <v>0</v>
      </c>
      <c r="H29" s="37"/>
      <c r="I29" s="16">
        <f t="shared" si="3"/>
        <v>0</v>
      </c>
      <c r="J29" s="37"/>
      <c r="K29" s="16">
        <f t="shared" si="4"/>
        <v>0</v>
      </c>
      <c r="L29" s="37"/>
      <c r="M29" s="16">
        <f t="shared" si="5"/>
        <v>0</v>
      </c>
      <c r="N29" s="37"/>
      <c r="O29" s="16">
        <f t="shared" si="6"/>
        <v>0</v>
      </c>
      <c r="P29" s="37"/>
      <c r="Q29" s="16">
        <f t="shared" si="7"/>
        <v>0</v>
      </c>
      <c r="R29" s="1"/>
      <c r="S29" s="16">
        <f t="shared" si="8"/>
        <v>0</v>
      </c>
      <c r="T29" s="37"/>
      <c r="U29" s="16">
        <f t="shared" si="9"/>
        <v>0</v>
      </c>
    </row>
    <row r="30" spans="1:23" ht="13.5" thickBot="1" x14ac:dyDescent="0.25">
      <c r="A30" s="10">
        <v>44467</v>
      </c>
      <c r="B30" s="37"/>
      <c r="C30" s="16">
        <f t="shared" si="0"/>
        <v>0</v>
      </c>
      <c r="D30" s="37"/>
      <c r="E30" s="16">
        <f t="shared" si="1"/>
        <v>0</v>
      </c>
      <c r="F30" s="37"/>
      <c r="G30" s="16">
        <f t="shared" si="2"/>
        <v>0</v>
      </c>
      <c r="H30" s="37"/>
      <c r="I30" s="16">
        <f t="shared" si="3"/>
        <v>0</v>
      </c>
      <c r="J30" s="37"/>
      <c r="K30" s="16">
        <f t="shared" si="4"/>
        <v>0</v>
      </c>
      <c r="L30" s="37"/>
      <c r="M30" s="16">
        <f t="shared" si="5"/>
        <v>0</v>
      </c>
      <c r="N30" s="37"/>
      <c r="O30" s="16">
        <f t="shared" si="6"/>
        <v>0</v>
      </c>
      <c r="P30" s="37"/>
      <c r="Q30" s="16">
        <f t="shared" si="7"/>
        <v>0</v>
      </c>
      <c r="R30" s="1"/>
      <c r="S30" s="16">
        <f t="shared" si="8"/>
        <v>0</v>
      </c>
      <c r="T30" s="37"/>
      <c r="U30" s="16">
        <f t="shared" si="9"/>
        <v>0</v>
      </c>
    </row>
    <row r="31" spans="1:23" ht="13.5" thickBot="1" x14ac:dyDescent="0.25">
      <c r="A31" s="10">
        <v>44468</v>
      </c>
      <c r="B31" s="37"/>
      <c r="C31" s="16">
        <f t="shared" si="0"/>
        <v>0</v>
      </c>
      <c r="D31" s="37"/>
      <c r="E31" s="16">
        <f t="shared" si="1"/>
        <v>0</v>
      </c>
      <c r="F31" s="37"/>
      <c r="G31" s="16">
        <f t="shared" si="2"/>
        <v>0</v>
      </c>
      <c r="H31" s="37"/>
      <c r="I31" s="16">
        <f t="shared" si="3"/>
        <v>0</v>
      </c>
      <c r="J31" s="37"/>
      <c r="K31" s="16">
        <f t="shared" si="4"/>
        <v>0</v>
      </c>
      <c r="L31" s="37"/>
      <c r="M31" s="16">
        <f t="shared" si="5"/>
        <v>0</v>
      </c>
      <c r="N31" s="37"/>
      <c r="O31" s="16">
        <f t="shared" si="6"/>
        <v>0</v>
      </c>
      <c r="P31" s="37"/>
      <c r="Q31" s="16">
        <f t="shared" si="7"/>
        <v>0</v>
      </c>
      <c r="R31" s="1"/>
      <c r="S31" s="16">
        <f t="shared" si="8"/>
        <v>0</v>
      </c>
      <c r="T31" s="37"/>
      <c r="U31" s="16">
        <f t="shared" si="9"/>
        <v>0</v>
      </c>
    </row>
    <row r="32" spans="1:23" ht="15" customHeight="1" thickBot="1" x14ac:dyDescent="0.25">
      <c r="A32" s="10">
        <v>44469</v>
      </c>
      <c r="B32" s="37"/>
      <c r="C32" s="16">
        <f t="shared" si="0"/>
        <v>0</v>
      </c>
      <c r="D32" s="37"/>
      <c r="E32" s="16">
        <f t="shared" si="1"/>
        <v>0</v>
      </c>
      <c r="F32" s="37"/>
      <c r="G32" s="16">
        <f t="shared" si="2"/>
        <v>0</v>
      </c>
      <c r="H32" s="37"/>
      <c r="I32" s="16">
        <f t="shared" si="3"/>
        <v>0</v>
      </c>
      <c r="J32" s="37"/>
      <c r="K32" s="16">
        <f t="shared" si="4"/>
        <v>0</v>
      </c>
      <c r="L32" s="37"/>
      <c r="M32" s="16">
        <f t="shared" si="5"/>
        <v>0</v>
      </c>
      <c r="N32" s="37"/>
      <c r="O32" s="16">
        <f t="shared" si="6"/>
        <v>0</v>
      </c>
      <c r="P32" s="37"/>
      <c r="Q32" s="16">
        <f t="shared" si="7"/>
        <v>0</v>
      </c>
      <c r="R32" s="1">
        <v>55047</v>
      </c>
      <c r="S32" s="16">
        <f t="shared" si="8"/>
        <v>55047</v>
      </c>
      <c r="T32" s="37"/>
      <c r="U32" s="16">
        <f t="shared" si="9"/>
        <v>0</v>
      </c>
      <c r="V32" t="s">
        <v>12</v>
      </c>
    </row>
    <row r="33" spans="1:21" ht="13.5" thickBot="1" x14ac:dyDescent="0.25">
      <c r="A33" s="10"/>
      <c r="B33" s="37"/>
      <c r="C33" s="16">
        <f t="shared" si="0"/>
        <v>0</v>
      </c>
      <c r="D33" s="37"/>
      <c r="E33" s="16">
        <f t="shared" si="1"/>
        <v>0</v>
      </c>
      <c r="F33" s="37"/>
      <c r="G33" s="16">
        <f t="shared" si="2"/>
        <v>0</v>
      </c>
      <c r="H33" s="37"/>
      <c r="I33" s="16">
        <f t="shared" si="3"/>
        <v>0</v>
      </c>
      <c r="J33" s="37"/>
      <c r="K33" s="16">
        <f t="shared" si="4"/>
        <v>0</v>
      </c>
      <c r="L33" s="37"/>
      <c r="M33" s="16">
        <f t="shared" si="5"/>
        <v>0</v>
      </c>
      <c r="N33" s="37"/>
      <c r="O33" s="16">
        <f t="shared" si="6"/>
        <v>0</v>
      </c>
      <c r="P33" s="37"/>
      <c r="Q33" s="16">
        <f t="shared" si="7"/>
        <v>0</v>
      </c>
      <c r="R33" s="1"/>
      <c r="S33" s="16">
        <f t="shared" si="8"/>
        <v>-55047</v>
      </c>
      <c r="T33" s="37"/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-7332320</v>
      </c>
      <c r="D34" s="13"/>
      <c r="E34" s="11">
        <f>SUM(E3:E33)</f>
        <v>-6368800</v>
      </c>
      <c r="F34" s="13"/>
      <c r="G34" s="11">
        <f>SUM(G3:G33)</f>
        <v>-414700</v>
      </c>
      <c r="H34" s="13"/>
      <c r="I34" s="11">
        <f>SUM(I3:I33)</f>
        <v>-247730</v>
      </c>
      <c r="J34" s="13"/>
      <c r="K34" s="11">
        <f>SUM(K3:K33)</f>
        <v>-48562720</v>
      </c>
      <c r="L34" s="13"/>
      <c r="M34" s="11">
        <f>SUM(M3:M33)</f>
        <v>-4050720</v>
      </c>
      <c r="N34" s="38"/>
      <c r="O34" s="11">
        <f>SUM(O3:O33)</f>
        <v>-215836</v>
      </c>
      <c r="P34" s="13"/>
      <c r="Q34" s="11">
        <f>SUM(Q3:Q33)</f>
        <v>-120493</v>
      </c>
      <c r="R34" s="1"/>
      <c r="S34" s="11">
        <f>SUM(S3:S33)</f>
        <v>-55047</v>
      </c>
      <c r="T34" s="1"/>
      <c r="U34" s="11">
        <f>SUM(U3:U33)</f>
        <v>-600960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topLeftCell="E1" zoomScaleNormal="100" zoomScaleSheetLayoutView="110" workbookViewId="0">
      <pane ySplit="1" topLeftCell="A2" activePane="bottomLeft" state="frozen"/>
      <selection pane="bottomLeft" activeCell="Z12" sqref="Z12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>
        <v>167</v>
      </c>
      <c r="C10" s="152">
        <v>18798</v>
      </c>
      <c r="D10" s="44">
        <f t="shared" si="0"/>
        <v>800</v>
      </c>
      <c r="E10" s="153">
        <v>27841722</v>
      </c>
      <c r="F10" s="44">
        <f t="shared" si="1"/>
        <v>14902</v>
      </c>
      <c r="G10" s="154">
        <v>88030861</v>
      </c>
      <c r="H10" s="44">
        <f t="shared" si="2"/>
        <v>52395</v>
      </c>
      <c r="I10" s="155">
        <f t="shared" si="3"/>
        <v>67297</v>
      </c>
      <c r="J10" s="153">
        <v>8651028</v>
      </c>
      <c r="K10" s="44">
        <f t="shared" si="4"/>
        <v>6603</v>
      </c>
      <c r="L10" s="156">
        <v>8615428</v>
      </c>
      <c r="M10" s="44">
        <f t="shared" si="5"/>
        <v>4848</v>
      </c>
      <c r="N10" s="153">
        <v>5779297</v>
      </c>
      <c r="O10" s="44">
        <f t="shared" si="12"/>
        <v>1890</v>
      </c>
      <c r="P10" s="156">
        <v>4790296</v>
      </c>
      <c r="Q10" s="44">
        <f t="shared" si="6"/>
        <v>12046</v>
      </c>
      <c r="R10" s="153">
        <v>18592624</v>
      </c>
      <c r="S10" s="44">
        <f t="shared" si="7"/>
        <v>10192</v>
      </c>
      <c r="T10" s="153">
        <v>0</v>
      </c>
      <c r="U10" s="157"/>
      <c r="V10" s="153">
        <v>6372492</v>
      </c>
      <c r="W10" s="44">
        <f t="shared" si="8"/>
        <v>11382</v>
      </c>
      <c r="X10" s="22">
        <f t="shared" si="9"/>
        <v>46961</v>
      </c>
      <c r="Y10" s="158">
        <f t="shared" si="10"/>
        <v>20336</v>
      </c>
      <c r="Z10" s="3">
        <f t="shared" si="11"/>
        <v>7253.8245728000002</v>
      </c>
      <c r="AA10" s="3">
        <f t="shared" si="13"/>
        <v>35303.809486400001</v>
      </c>
    </row>
    <row r="11" spans="1:27" ht="15.75" customHeight="1" thickBot="1" x14ac:dyDescent="0.3">
      <c r="A11" s="10">
        <v>44448</v>
      </c>
      <c r="B11" s="44">
        <v>200</v>
      </c>
      <c r="C11" s="152">
        <v>18804</v>
      </c>
      <c r="D11" s="44">
        <f t="shared" si="0"/>
        <v>960</v>
      </c>
      <c r="E11" s="153">
        <v>27862805</v>
      </c>
      <c r="F11" s="44">
        <f t="shared" si="1"/>
        <v>21083</v>
      </c>
      <c r="G11" s="154">
        <v>88103939</v>
      </c>
      <c r="H11" s="44">
        <f t="shared" si="2"/>
        <v>73078</v>
      </c>
      <c r="I11" s="155">
        <f t="shared" si="3"/>
        <v>94161</v>
      </c>
      <c r="J11" s="153">
        <v>8658535</v>
      </c>
      <c r="K11" s="44">
        <f t="shared" si="4"/>
        <v>7507</v>
      </c>
      <c r="L11" s="156">
        <v>862273</v>
      </c>
      <c r="M11" s="44" t="str">
        <f t="shared" si="5"/>
        <v>0</v>
      </c>
      <c r="N11" s="153">
        <v>5785306</v>
      </c>
      <c r="O11" s="44">
        <f t="shared" si="12"/>
        <v>12018</v>
      </c>
      <c r="P11" s="156">
        <v>4807538</v>
      </c>
      <c r="Q11" s="44">
        <f t="shared" si="6"/>
        <v>17242</v>
      </c>
      <c r="R11" s="153">
        <v>18607142</v>
      </c>
      <c r="S11" s="44">
        <f t="shared" si="7"/>
        <v>14518</v>
      </c>
      <c r="T11" s="153">
        <v>0</v>
      </c>
      <c r="U11" s="157"/>
      <c r="V11" s="153">
        <v>6387964</v>
      </c>
      <c r="W11" s="44">
        <f t="shared" si="8"/>
        <v>15472</v>
      </c>
      <c r="X11" s="22">
        <f t="shared" si="9"/>
        <v>66757</v>
      </c>
      <c r="Y11" s="158">
        <f t="shared" si="10"/>
        <v>27404</v>
      </c>
      <c r="Z11" s="3">
        <f t="shared" si="11"/>
        <v>11514.940527999999</v>
      </c>
      <c r="AA11" s="3">
        <f t="shared" si="13"/>
        <v>35479.415358400001</v>
      </c>
    </row>
    <row r="12" spans="1:27" ht="16.5" thickBot="1" x14ac:dyDescent="0.3">
      <c r="A12" s="10">
        <v>44449</v>
      </c>
      <c r="B12" s="44">
        <v>220</v>
      </c>
      <c r="C12" s="152">
        <v>18810</v>
      </c>
      <c r="D12" s="44">
        <f t="shared" si="0"/>
        <v>960</v>
      </c>
      <c r="E12" s="153">
        <v>27879145</v>
      </c>
      <c r="F12" s="44">
        <f t="shared" si="1"/>
        <v>16340</v>
      </c>
      <c r="G12" s="154">
        <v>88160379</v>
      </c>
      <c r="H12" s="44">
        <f t="shared" si="2"/>
        <v>56440</v>
      </c>
      <c r="I12" s="155">
        <f t="shared" si="3"/>
        <v>72780</v>
      </c>
      <c r="J12" s="153">
        <v>8664158</v>
      </c>
      <c r="K12" s="44">
        <f t="shared" si="4"/>
        <v>5623</v>
      </c>
      <c r="L12" s="156">
        <v>8627523</v>
      </c>
      <c r="M12" s="44">
        <f t="shared" si="5"/>
        <v>7765250</v>
      </c>
      <c r="N12" s="153">
        <v>5790730</v>
      </c>
      <c r="O12" s="44">
        <f t="shared" si="12"/>
        <v>10848</v>
      </c>
      <c r="P12" s="156">
        <v>4820480</v>
      </c>
      <c r="Q12" s="44">
        <f t="shared" si="6"/>
        <v>12942</v>
      </c>
      <c r="R12" s="153">
        <v>18618626</v>
      </c>
      <c r="S12" s="44">
        <f t="shared" si="7"/>
        <v>11484</v>
      </c>
      <c r="T12" s="153">
        <v>0</v>
      </c>
      <c r="U12" s="157"/>
      <c r="V12" s="153">
        <v>6400215</v>
      </c>
      <c r="W12" s="44">
        <f t="shared" si="8"/>
        <v>12251</v>
      </c>
      <c r="X12" s="22">
        <f t="shared" si="9"/>
        <v>7818398</v>
      </c>
      <c r="Y12" s="158">
        <f t="shared" si="10"/>
        <v>-7745618</v>
      </c>
      <c r="Z12" s="3">
        <f t="shared" si="11"/>
        <v>9204.8759920000011</v>
      </c>
      <c r="AA12" s="3">
        <f t="shared" si="13"/>
        <v>36339.078048000003</v>
      </c>
    </row>
    <row r="13" spans="1:27" ht="16.5" thickBot="1" x14ac:dyDescent="0.3">
      <c r="A13" s="10">
        <v>44450</v>
      </c>
      <c r="B13" s="44"/>
      <c r="C13" s="152"/>
      <c r="D13" s="44">
        <f t="shared" si="0"/>
        <v>0</v>
      </c>
      <c r="E13" s="153"/>
      <c r="F13" s="44" t="str">
        <f t="shared" si="1"/>
        <v>0</v>
      </c>
      <c r="G13" s="154"/>
      <c r="H13" s="44" t="str">
        <f t="shared" si="2"/>
        <v>0</v>
      </c>
      <c r="I13" s="155">
        <f t="shared" si="3"/>
        <v>0</v>
      </c>
      <c r="J13" s="153"/>
      <c r="K13" s="44" t="str">
        <f t="shared" si="4"/>
        <v>0</v>
      </c>
      <c r="L13" s="156"/>
      <c r="M13" s="44" t="str">
        <f t="shared" si="5"/>
        <v>0</v>
      </c>
      <c r="N13" s="153"/>
      <c r="O13" s="44">
        <f t="shared" si="12"/>
        <v>0</v>
      </c>
      <c r="P13" s="156"/>
      <c r="Q13" s="44" t="str">
        <f t="shared" si="6"/>
        <v>0</v>
      </c>
      <c r="R13" s="153"/>
      <c r="S13" s="44" t="str">
        <f>IF((R13-R12)&lt;0,"0",(R13-R12))</f>
        <v>0</v>
      </c>
      <c r="T13" s="153">
        <v>0</v>
      </c>
      <c r="U13" s="157"/>
      <c r="V13" s="153"/>
      <c r="W13" s="44" t="str">
        <f t="shared" si="8"/>
        <v>0</v>
      </c>
      <c r="X13" s="22">
        <f t="shared" si="9"/>
        <v>0</v>
      </c>
      <c r="Y13" s="158">
        <f t="shared" si="10"/>
        <v>0</v>
      </c>
      <c r="Z13" s="3">
        <f t="shared" si="11"/>
        <v>0</v>
      </c>
      <c r="AA13" s="3">
        <f t="shared" si="13"/>
        <v>27973.6410928</v>
      </c>
    </row>
    <row r="14" spans="1:27" ht="16.5" thickBot="1" x14ac:dyDescent="0.3">
      <c r="A14" s="10">
        <v>44451</v>
      </c>
      <c r="B14" s="44"/>
      <c r="C14" s="152"/>
      <c r="D14" s="44">
        <f t="shared" si="0"/>
        <v>0</v>
      </c>
      <c r="E14" s="153"/>
      <c r="F14" s="44">
        <f t="shared" si="1"/>
        <v>0</v>
      </c>
      <c r="G14" s="154"/>
      <c r="H14" s="44">
        <f t="shared" si="2"/>
        <v>0</v>
      </c>
      <c r="I14" s="155">
        <f t="shared" si="3"/>
        <v>0</v>
      </c>
      <c r="J14" s="153"/>
      <c r="K14" s="44">
        <f t="shared" si="4"/>
        <v>0</v>
      </c>
      <c r="L14" s="156"/>
      <c r="M14" s="44">
        <f t="shared" si="5"/>
        <v>0</v>
      </c>
      <c r="N14" s="153"/>
      <c r="O14" s="44">
        <f t="shared" si="12"/>
        <v>0</v>
      </c>
      <c r="P14" s="156"/>
      <c r="Q14" s="44">
        <f t="shared" si="6"/>
        <v>0</v>
      </c>
      <c r="R14" s="153"/>
      <c r="S14" s="44">
        <f>IF((R14-R13)&lt;0,"0",(R14-R13))</f>
        <v>0</v>
      </c>
      <c r="T14" s="153">
        <v>0</v>
      </c>
      <c r="U14" s="157"/>
      <c r="V14" s="153"/>
      <c r="W14" s="44">
        <f t="shared" si="8"/>
        <v>0</v>
      </c>
      <c r="X14" s="22">
        <f t="shared" si="9"/>
        <v>0</v>
      </c>
      <c r="Y14" s="158">
        <f t="shared" si="10"/>
        <v>0</v>
      </c>
      <c r="Z14" s="3">
        <f t="shared" si="11"/>
        <v>0</v>
      </c>
      <c r="AA14" s="3">
        <f t="shared" si="13"/>
        <v>20719.81652</v>
      </c>
    </row>
    <row r="15" spans="1:27" ht="16.5" thickBot="1" x14ac:dyDescent="0.3">
      <c r="A15" s="10">
        <v>44452</v>
      </c>
      <c r="B15" s="44"/>
      <c r="C15" s="152"/>
      <c r="D15" s="44">
        <f t="shared" si="0"/>
        <v>0</v>
      </c>
      <c r="E15" s="153"/>
      <c r="F15" s="44">
        <f t="shared" si="1"/>
        <v>0</v>
      </c>
      <c r="G15" s="154"/>
      <c r="H15" s="44">
        <f t="shared" si="2"/>
        <v>0</v>
      </c>
      <c r="I15" s="155">
        <f t="shared" si="3"/>
        <v>0</v>
      </c>
      <c r="J15" s="153"/>
      <c r="K15" s="44">
        <f t="shared" si="4"/>
        <v>0</v>
      </c>
      <c r="L15" s="156"/>
      <c r="M15" s="44">
        <f t="shared" si="5"/>
        <v>0</v>
      </c>
      <c r="N15" s="153"/>
      <c r="O15" s="44">
        <f t="shared" si="12"/>
        <v>0</v>
      </c>
      <c r="P15" s="156"/>
      <c r="Q15" s="44">
        <f t="shared" si="6"/>
        <v>0</v>
      </c>
      <c r="R15" s="153"/>
      <c r="S15" s="44">
        <f>IF((R15-R14)&lt;0,"0",(R15-R14))</f>
        <v>0</v>
      </c>
      <c r="T15" s="153">
        <v>0</v>
      </c>
      <c r="U15" s="157"/>
      <c r="V15" s="153"/>
      <c r="W15" s="44">
        <f t="shared" si="8"/>
        <v>0</v>
      </c>
      <c r="X15" s="22">
        <f t="shared" si="9"/>
        <v>0</v>
      </c>
      <c r="Y15" s="158">
        <f t="shared" si="10"/>
        <v>0</v>
      </c>
      <c r="Z15" s="3">
        <f t="shared" si="11"/>
        <v>0</v>
      </c>
      <c r="AA15" s="3">
        <f t="shared" si="13"/>
        <v>9204.8759920000011</v>
      </c>
    </row>
    <row r="16" spans="1:27" ht="16.5" thickBot="1" x14ac:dyDescent="0.3">
      <c r="A16" s="10">
        <v>44453</v>
      </c>
      <c r="B16" s="44"/>
      <c r="C16" s="152"/>
      <c r="D16" s="44">
        <f t="shared" si="0"/>
        <v>0</v>
      </c>
      <c r="E16" s="153"/>
      <c r="F16" s="44">
        <f t="shared" si="1"/>
        <v>0</v>
      </c>
      <c r="G16" s="154"/>
      <c r="H16" s="44">
        <f t="shared" si="2"/>
        <v>0</v>
      </c>
      <c r="I16" s="155">
        <f t="shared" si="3"/>
        <v>0</v>
      </c>
      <c r="J16" s="153"/>
      <c r="K16" s="44">
        <f t="shared" si="4"/>
        <v>0</v>
      </c>
      <c r="L16" s="156"/>
      <c r="M16" s="44">
        <f t="shared" si="5"/>
        <v>0</v>
      </c>
      <c r="N16" s="153"/>
      <c r="O16" s="44">
        <f t="shared" si="12"/>
        <v>0</v>
      </c>
      <c r="P16" s="156"/>
      <c r="Q16" s="44">
        <f t="shared" si="6"/>
        <v>0</v>
      </c>
      <c r="R16" s="153"/>
      <c r="S16" s="44">
        <f t="shared" si="7"/>
        <v>0</v>
      </c>
      <c r="T16" s="153">
        <v>0</v>
      </c>
      <c r="U16" s="157"/>
      <c r="V16" s="153"/>
      <c r="W16" s="44">
        <f t="shared" si="8"/>
        <v>0</v>
      </c>
      <c r="X16" s="22">
        <f t="shared" si="9"/>
        <v>0</v>
      </c>
      <c r="Y16" s="158">
        <f t="shared" si="10"/>
        <v>0</v>
      </c>
      <c r="Z16" s="3">
        <f t="shared" si="11"/>
        <v>0</v>
      </c>
      <c r="AA16" s="3">
        <f t="shared" si="13"/>
        <v>0</v>
      </c>
    </row>
    <row r="17" spans="1:27" s="136" customFormat="1" ht="16.5" thickBot="1" x14ac:dyDescent="0.3">
      <c r="A17" s="10">
        <v>44454</v>
      </c>
      <c r="B17" s="135"/>
      <c r="C17" s="152"/>
      <c r="D17" s="44">
        <f t="shared" si="0"/>
        <v>0</v>
      </c>
      <c r="E17" s="153"/>
      <c r="F17" s="44">
        <f t="shared" si="1"/>
        <v>0</v>
      </c>
      <c r="G17" s="154"/>
      <c r="H17" s="44">
        <f t="shared" si="2"/>
        <v>0</v>
      </c>
      <c r="I17" s="159">
        <f t="shared" si="3"/>
        <v>0</v>
      </c>
      <c r="J17" s="153"/>
      <c r="K17" s="44">
        <f t="shared" si="4"/>
        <v>0</v>
      </c>
      <c r="L17" s="156"/>
      <c r="M17" s="135">
        <f t="shared" si="5"/>
        <v>0</v>
      </c>
      <c r="N17" s="153"/>
      <c r="O17" s="135">
        <f t="shared" si="12"/>
        <v>0</v>
      </c>
      <c r="P17" s="156"/>
      <c r="Q17" s="135">
        <f t="shared" si="6"/>
        <v>0</v>
      </c>
      <c r="R17" s="153"/>
      <c r="S17" s="135">
        <f t="shared" si="7"/>
        <v>0</v>
      </c>
      <c r="T17" s="160">
        <v>0</v>
      </c>
      <c r="U17" s="157"/>
      <c r="V17" s="153"/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0</v>
      </c>
    </row>
    <row r="18" spans="1:27" s="136" customFormat="1" ht="16.5" thickBot="1" x14ac:dyDescent="0.3">
      <c r="A18" s="10">
        <v>44455</v>
      </c>
      <c r="B18" s="135"/>
      <c r="C18" s="152"/>
      <c r="D18" s="44">
        <f t="shared" si="0"/>
        <v>0</v>
      </c>
      <c r="E18" s="153"/>
      <c r="F18" s="44">
        <f t="shared" si="1"/>
        <v>0</v>
      </c>
      <c r="G18" s="154"/>
      <c r="H18" s="44">
        <f t="shared" si="2"/>
        <v>0</v>
      </c>
      <c r="I18" s="159">
        <f t="shared" si="3"/>
        <v>0</v>
      </c>
      <c r="J18" s="153"/>
      <c r="K18" s="44">
        <f t="shared" si="4"/>
        <v>0</v>
      </c>
      <c r="L18" s="156"/>
      <c r="M18" s="135">
        <f t="shared" si="5"/>
        <v>0</v>
      </c>
      <c r="N18" s="153"/>
      <c r="O18" s="135">
        <f t="shared" si="12"/>
        <v>0</v>
      </c>
      <c r="P18" s="156"/>
      <c r="Q18" s="135">
        <f t="shared" si="6"/>
        <v>0</v>
      </c>
      <c r="R18" s="153"/>
      <c r="S18" s="135">
        <f t="shared" si="7"/>
        <v>0</v>
      </c>
      <c r="T18" s="160">
        <v>0</v>
      </c>
      <c r="U18" s="157"/>
      <c r="V18" s="153"/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0</v>
      </c>
    </row>
    <row r="19" spans="1:27" s="136" customFormat="1" ht="16.5" thickBot="1" x14ac:dyDescent="0.3">
      <c r="A19" s="10">
        <v>44456</v>
      </c>
      <c r="B19" s="135"/>
      <c r="C19" s="152"/>
      <c r="D19" s="44">
        <f t="shared" si="0"/>
        <v>0</v>
      </c>
      <c r="E19" s="153"/>
      <c r="F19" s="44">
        <f t="shared" si="1"/>
        <v>0</v>
      </c>
      <c r="G19" s="154"/>
      <c r="H19" s="44">
        <f t="shared" si="2"/>
        <v>0</v>
      </c>
      <c r="I19" s="159">
        <f t="shared" si="3"/>
        <v>0</v>
      </c>
      <c r="J19" s="153"/>
      <c r="K19" s="44">
        <f t="shared" si="4"/>
        <v>0</v>
      </c>
      <c r="L19" s="156"/>
      <c r="M19" s="135">
        <f t="shared" si="5"/>
        <v>0</v>
      </c>
      <c r="N19" s="153"/>
      <c r="O19" s="135">
        <f t="shared" si="12"/>
        <v>0</v>
      </c>
      <c r="P19" s="156"/>
      <c r="Q19" s="135">
        <f t="shared" si="6"/>
        <v>0</v>
      </c>
      <c r="R19" s="153"/>
      <c r="S19" s="135">
        <f t="shared" si="7"/>
        <v>0</v>
      </c>
      <c r="T19" s="160">
        <v>0</v>
      </c>
      <c r="U19" s="157"/>
      <c r="V19" s="153"/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0</v>
      </c>
    </row>
    <row r="20" spans="1:27" s="136" customFormat="1" ht="16.5" thickBot="1" x14ac:dyDescent="0.3">
      <c r="A20" s="10">
        <v>44457</v>
      </c>
      <c r="B20" s="135"/>
      <c r="C20" s="152"/>
      <c r="D20" s="44">
        <f t="shared" si="0"/>
        <v>0</v>
      </c>
      <c r="E20" s="153"/>
      <c r="F20" s="44">
        <f t="shared" si="1"/>
        <v>0</v>
      </c>
      <c r="G20" s="154"/>
      <c r="H20" s="44">
        <f t="shared" si="2"/>
        <v>0</v>
      </c>
      <c r="I20" s="159">
        <f t="shared" si="3"/>
        <v>0</v>
      </c>
      <c r="J20" s="153"/>
      <c r="K20" s="44">
        <f t="shared" si="4"/>
        <v>0</v>
      </c>
      <c r="L20" s="156"/>
      <c r="M20" s="135">
        <f t="shared" si="5"/>
        <v>0</v>
      </c>
      <c r="N20" s="153"/>
      <c r="O20" s="135">
        <f t="shared" si="12"/>
        <v>0</v>
      </c>
      <c r="P20" s="156"/>
      <c r="Q20" s="135">
        <f t="shared" si="6"/>
        <v>0</v>
      </c>
      <c r="R20" s="153"/>
      <c r="S20" s="135">
        <f t="shared" si="7"/>
        <v>0</v>
      </c>
      <c r="T20" s="160">
        <v>0</v>
      </c>
      <c r="U20" s="157"/>
      <c r="V20" s="153"/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44458</v>
      </c>
      <c r="B21" s="135"/>
      <c r="C21" s="152"/>
      <c r="D21" s="44">
        <f t="shared" si="0"/>
        <v>0</v>
      </c>
      <c r="E21" s="153"/>
      <c r="F21" s="44">
        <f t="shared" si="1"/>
        <v>0</v>
      </c>
      <c r="G21" s="154"/>
      <c r="H21" s="44">
        <f t="shared" si="2"/>
        <v>0</v>
      </c>
      <c r="I21" s="159">
        <f t="shared" si="3"/>
        <v>0</v>
      </c>
      <c r="J21" s="153"/>
      <c r="K21" s="44">
        <f t="shared" si="4"/>
        <v>0</v>
      </c>
      <c r="L21" s="156"/>
      <c r="M21" s="135">
        <f t="shared" si="5"/>
        <v>0</v>
      </c>
      <c r="N21" s="153"/>
      <c r="O21" s="135">
        <f t="shared" si="12"/>
        <v>0</v>
      </c>
      <c r="P21" s="156"/>
      <c r="Q21" s="135">
        <f t="shared" si="6"/>
        <v>0</v>
      </c>
      <c r="R21" s="153"/>
      <c r="S21" s="135">
        <f t="shared" si="7"/>
        <v>0</v>
      </c>
      <c r="T21" s="160">
        <v>0</v>
      </c>
      <c r="U21" s="157"/>
      <c r="V21" s="153"/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44459</v>
      </c>
      <c r="B22" s="44"/>
      <c r="C22" s="152"/>
      <c r="D22" s="44">
        <f t="shared" si="0"/>
        <v>0</v>
      </c>
      <c r="E22" s="153"/>
      <c r="F22" s="44">
        <f t="shared" si="1"/>
        <v>0</v>
      </c>
      <c r="G22" s="154"/>
      <c r="H22" s="44">
        <f t="shared" si="2"/>
        <v>0</v>
      </c>
      <c r="I22" s="155">
        <f t="shared" si="3"/>
        <v>0</v>
      </c>
      <c r="J22" s="153"/>
      <c r="K22" s="44">
        <f t="shared" si="4"/>
        <v>0</v>
      </c>
      <c r="L22" s="156"/>
      <c r="M22" s="44">
        <f t="shared" si="5"/>
        <v>0</v>
      </c>
      <c r="N22" s="153"/>
      <c r="O22" s="44">
        <f t="shared" si="12"/>
        <v>0</v>
      </c>
      <c r="P22" s="156"/>
      <c r="Q22" s="44">
        <f t="shared" si="6"/>
        <v>0</v>
      </c>
      <c r="R22" s="153"/>
      <c r="S22" s="44">
        <f t="shared" si="7"/>
        <v>0</v>
      </c>
      <c r="T22" s="153">
        <v>0</v>
      </c>
      <c r="U22" s="157"/>
      <c r="V22" s="153"/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44460</v>
      </c>
      <c r="B23" s="44"/>
      <c r="C23" s="152"/>
      <c r="D23" s="44">
        <f t="shared" si="0"/>
        <v>0</v>
      </c>
      <c r="E23" s="153"/>
      <c r="F23" s="44">
        <f t="shared" si="1"/>
        <v>0</v>
      </c>
      <c r="G23" s="154"/>
      <c r="H23" s="44">
        <f t="shared" si="2"/>
        <v>0</v>
      </c>
      <c r="I23" s="155">
        <f t="shared" si="3"/>
        <v>0</v>
      </c>
      <c r="J23" s="153"/>
      <c r="K23" s="44">
        <f t="shared" si="4"/>
        <v>0</v>
      </c>
      <c r="L23" s="156"/>
      <c r="M23" s="44">
        <f t="shared" si="5"/>
        <v>0</v>
      </c>
      <c r="N23" s="153"/>
      <c r="O23" s="44">
        <f t="shared" si="12"/>
        <v>0</v>
      </c>
      <c r="P23" s="156"/>
      <c r="Q23" s="44">
        <f t="shared" si="6"/>
        <v>0</v>
      </c>
      <c r="R23" s="153"/>
      <c r="S23" s="44">
        <f t="shared" si="7"/>
        <v>0</v>
      </c>
      <c r="T23" s="153">
        <v>0</v>
      </c>
      <c r="U23" s="157"/>
      <c r="V23" s="153"/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>
        <f t="shared" si="1"/>
        <v>0</v>
      </c>
      <c r="G24" s="154"/>
      <c r="H24" s="44">
        <f t="shared" si="2"/>
        <v>0</v>
      </c>
      <c r="I24" s="155">
        <f t="shared" si="3"/>
        <v>0</v>
      </c>
      <c r="J24" s="153"/>
      <c r="K24" s="44">
        <f t="shared" si="4"/>
        <v>0</v>
      </c>
      <c r="L24" s="156"/>
      <c r="M24" s="44">
        <f t="shared" si="5"/>
        <v>0</v>
      </c>
      <c r="N24" s="153"/>
      <c r="O24" s="44">
        <f t="shared" si="12"/>
        <v>0</v>
      </c>
      <c r="P24" s="156"/>
      <c r="Q24" s="44">
        <f t="shared" si="6"/>
        <v>0</v>
      </c>
      <c r="R24" s="153"/>
      <c r="S24" s="44">
        <f t="shared" si="7"/>
        <v>0</v>
      </c>
      <c r="T24" s="153">
        <v>0</v>
      </c>
      <c r="U24" s="157"/>
      <c r="V24" s="153"/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>
        <v>87598842</v>
      </c>
      <c r="H33" s="44">
        <f t="shared" si="2"/>
        <v>87598842</v>
      </c>
      <c r="I33" s="22">
        <f>F33+H33</f>
        <v>87598842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87598842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1569</v>
      </c>
      <c r="C34" s="144"/>
      <c r="D34" s="144">
        <f>SUM(D2:D33)</f>
        <v>10240</v>
      </c>
      <c r="E34" s="61">
        <v>0</v>
      </c>
      <c r="F34" s="61">
        <f>SUM(F2:F33)</f>
        <v>173457</v>
      </c>
      <c r="G34" s="61">
        <v>0</v>
      </c>
      <c r="H34" s="61">
        <f>SUM(H2:H33)</f>
        <v>88160379</v>
      </c>
      <c r="I34" s="61">
        <f>SUM(I5:I33)</f>
        <v>88169597</v>
      </c>
      <c r="J34" s="61">
        <v>0</v>
      </c>
      <c r="K34" s="61">
        <f>SUM(K2:K33)</f>
        <v>56039</v>
      </c>
      <c r="L34" s="61">
        <v>0</v>
      </c>
      <c r="M34" s="61">
        <f>SUM(M2:M33)</f>
        <v>7810926</v>
      </c>
      <c r="N34" s="61">
        <v>0</v>
      </c>
      <c r="O34" s="61">
        <f>SUM(O2:O33)</f>
        <v>113774</v>
      </c>
      <c r="P34" s="61">
        <v>0</v>
      </c>
      <c r="Q34" s="61">
        <f>SUM(Q2:Q33)</f>
        <v>133889</v>
      </c>
      <c r="R34" s="61">
        <v>0</v>
      </c>
      <c r="S34" s="61">
        <f>SUM(S2:S33)</f>
        <v>110422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122527</v>
      </c>
      <c r="X34" s="61">
        <f>SUM(X5:X33)</f>
        <v>8212910</v>
      </c>
      <c r="Y34" s="61">
        <f>SUM(Y2:Y33)</f>
        <v>79986259</v>
      </c>
      <c r="Z34" s="61">
        <f>SUM(Z2:Z33)</f>
        <v>92393.940308800011</v>
      </c>
      <c r="AA34" s="61">
        <f>SUM(AA2:AA33)</f>
        <v>359661.04630560003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12" sqref="K1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>
        <v>424333</v>
      </c>
      <c r="C11" s="44">
        <f t="shared" si="6"/>
        <v>1040</v>
      </c>
      <c r="D11" s="3">
        <v>4377000</v>
      </c>
      <c r="E11" s="44">
        <f t="shared" si="1"/>
        <v>0</v>
      </c>
      <c r="F11" s="3">
        <v>5372600</v>
      </c>
      <c r="G11" s="44">
        <f t="shared" si="4"/>
        <v>515.70000000000005</v>
      </c>
      <c r="H11" s="3">
        <v>746268</v>
      </c>
      <c r="I11" s="49">
        <f t="shared" si="5"/>
        <v>4.1040000000000001</v>
      </c>
      <c r="J11" s="22">
        <f t="shared" si="2"/>
        <v>1559.8040000000001</v>
      </c>
      <c r="K11" s="23">
        <f t="shared" si="3"/>
        <v>9140.4514400000007</v>
      </c>
      <c r="N11" t="s">
        <v>12</v>
      </c>
    </row>
    <row r="12" spans="1:14" ht="16.5" thickBot="1" x14ac:dyDescent="0.3">
      <c r="A12" s="10">
        <v>44449</v>
      </c>
      <c r="B12" s="3">
        <v>424437</v>
      </c>
      <c r="C12" s="44">
        <f t="shared" si="6"/>
        <v>1040</v>
      </c>
      <c r="D12" s="3">
        <v>4377000</v>
      </c>
      <c r="E12" s="44">
        <f t="shared" si="1"/>
        <v>0</v>
      </c>
      <c r="F12" s="3">
        <v>5391100</v>
      </c>
      <c r="G12" s="44">
        <f t="shared" si="4"/>
        <v>499.5</v>
      </c>
      <c r="H12" s="3">
        <v>746424</v>
      </c>
      <c r="I12" s="49">
        <f t="shared" si="5"/>
        <v>4.2119999999999997</v>
      </c>
      <c r="J12" s="22">
        <f t="shared" si="2"/>
        <v>1543.712</v>
      </c>
      <c r="K12" s="23">
        <f t="shared" si="3"/>
        <v>9046.1523200000011</v>
      </c>
    </row>
    <row r="13" spans="1:14" ht="16.5" thickBot="1" x14ac:dyDescent="0.3">
      <c r="A13" s="10">
        <v>44450</v>
      </c>
      <c r="B13" s="3"/>
      <c r="C13" s="44">
        <f t="shared" si="6"/>
        <v>0</v>
      </c>
      <c r="D13" s="3"/>
      <c r="E13" s="44">
        <f t="shared" si="1"/>
        <v>0</v>
      </c>
      <c r="F13" s="3"/>
      <c r="G13" s="44">
        <f t="shared" si="4"/>
        <v>0</v>
      </c>
      <c r="H13" s="3"/>
      <c r="I13" s="49">
        <f t="shared" si="5"/>
        <v>0</v>
      </c>
      <c r="J13" s="22">
        <f t="shared" si="2"/>
        <v>0</v>
      </c>
      <c r="K13" s="23">
        <f t="shared" si="3"/>
        <v>0</v>
      </c>
    </row>
    <row r="14" spans="1:14" ht="16.5" thickBot="1" x14ac:dyDescent="0.3">
      <c r="A14" s="10">
        <v>44451</v>
      </c>
      <c r="B14" s="3"/>
      <c r="C14" s="44">
        <f t="shared" si="6"/>
        <v>0</v>
      </c>
      <c r="D14" s="3"/>
      <c r="E14" s="44">
        <f t="shared" si="1"/>
        <v>0</v>
      </c>
      <c r="F14" s="3"/>
      <c r="G14" s="44">
        <v>0</v>
      </c>
      <c r="H14" s="3"/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44452</v>
      </c>
      <c r="B15" s="3"/>
      <c r="C15" s="44">
        <f t="shared" si="6"/>
        <v>0</v>
      </c>
      <c r="D15" s="3"/>
      <c r="E15" s="44">
        <f t="shared" si="1"/>
        <v>0</v>
      </c>
      <c r="F15" s="3"/>
      <c r="G15" s="44">
        <f t="shared" si="4"/>
        <v>0</v>
      </c>
      <c r="H15" s="3"/>
      <c r="I15" s="49">
        <f t="shared" si="5"/>
        <v>0</v>
      </c>
      <c r="J15" s="22">
        <f t="shared" si="2"/>
        <v>0</v>
      </c>
      <c r="K15" s="23">
        <f t="shared" si="3"/>
        <v>0</v>
      </c>
    </row>
    <row r="16" spans="1:14" ht="16.5" thickBot="1" x14ac:dyDescent="0.3">
      <c r="A16" s="10">
        <v>44453</v>
      </c>
      <c r="B16" s="3"/>
      <c r="C16" s="44">
        <f t="shared" si="6"/>
        <v>0</v>
      </c>
      <c r="D16" s="3"/>
      <c r="E16" s="44">
        <f t="shared" si="1"/>
        <v>0</v>
      </c>
      <c r="F16" s="3"/>
      <c r="G16" s="44">
        <f t="shared" si="4"/>
        <v>0</v>
      </c>
      <c r="H16" s="3"/>
      <c r="I16" s="49">
        <f t="shared" si="5"/>
        <v>0</v>
      </c>
      <c r="J16" s="22">
        <f t="shared" si="2"/>
        <v>0</v>
      </c>
      <c r="K16" s="23">
        <f t="shared" si="3"/>
        <v>0</v>
      </c>
    </row>
    <row r="17" spans="1:25" ht="16.5" thickBot="1" x14ac:dyDescent="0.3">
      <c r="A17" s="10">
        <v>44454</v>
      </c>
      <c r="B17" s="3"/>
      <c r="C17" s="44">
        <f t="shared" si="6"/>
        <v>0</v>
      </c>
      <c r="D17" s="3"/>
      <c r="E17" s="44">
        <f t="shared" si="1"/>
        <v>0</v>
      </c>
      <c r="F17" s="3"/>
      <c r="G17" s="44">
        <f t="shared" si="4"/>
        <v>0</v>
      </c>
      <c r="H17" s="3"/>
      <c r="I17" s="49">
        <f t="shared" si="5"/>
        <v>0</v>
      </c>
      <c r="J17" s="22">
        <f t="shared" si="2"/>
        <v>0</v>
      </c>
      <c r="K17" s="23">
        <f t="shared" si="3"/>
        <v>0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/>
      <c r="C18" s="44">
        <f t="shared" si="6"/>
        <v>0</v>
      </c>
      <c r="D18" s="3"/>
      <c r="E18" s="44">
        <f t="shared" si="1"/>
        <v>0</v>
      </c>
      <c r="F18" s="3"/>
      <c r="G18" s="44">
        <f t="shared" si="4"/>
        <v>0</v>
      </c>
      <c r="H18" s="3"/>
      <c r="I18" s="49">
        <f t="shared" si="5"/>
        <v>0</v>
      </c>
      <c r="J18" s="22">
        <f t="shared" si="2"/>
        <v>0</v>
      </c>
      <c r="K18" s="23">
        <f t="shared" si="3"/>
        <v>0</v>
      </c>
      <c r="Q18" t="s">
        <v>43</v>
      </c>
    </row>
    <row r="19" spans="1:25" ht="16.5" thickBot="1" x14ac:dyDescent="0.3">
      <c r="A19" s="10">
        <v>44456</v>
      </c>
      <c r="B19" s="3"/>
      <c r="C19" s="44">
        <f t="shared" si="6"/>
        <v>0</v>
      </c>
      <c r="D19" s="3"/>
      <c r="E19" s="44">
        <f t="shared" si="1"/>
        <v>0</v>
      </c>
      <c r="F19" s="3"/>
      <c r="G19" s="44">
        <f t="shared" si="4"/>
        <v>0</v>
      </c>
      <c r="H19" s="3"/>
      <c r="I19" s="49">
        <f t="shared" si="5"/>
        <v>0</v>
      </c>
      <c r="J19" s="22">
        <f t="shared" si="2"/>
        <v>0</v>
      </c>
      <c r="K19" s="23">
        <f t="shared" si="3"/>
        <v>0</v>
      </c>
      <c r="Q19" t="s">
        <v>12</v>
      </c>
    </row>
    <row r="20" spans="1:25" ht="16.5" thickBot="1" x14ac:dyDescent="0.3">
      <c r="A20" s="10">
        <v>44457</v>
      </c>
      <c r="B20" s="3"/>
      <c r="C20" s="44">
        <f t="shared" si="6"/>
        <v>0</v>
      </c>
      <c r="D20" s="3"/>
      <c r="E20" s="44">
        <f t="shared" si="1"/>
        <v>0</v>
      </c>
      <c r="F20" s="3"/>
      <c r="G20" s="44">
        <f t="shared" si="4"/>
        <v>0</v>
      </c>
      <c r="H20" s="3"/>
      <c r="I20" s="49">
        <f t="shared" si="5"/>
        <v>0</v>
      </c>
      <c r="J20" s="22">
        <f t="shared" si="2"/>
        <v>0</v>
      </c>
      <c r="K20" s="23">
        <f t="shared" si="3"/>
        <v>0</v>
      </c>
    </row>
    <row r="21" spans="1:25" ht="16.5" thickBot="1" x14ac:dyDescent="0.3">
      <c r="A21" s="10">
        <v>44458</v>
      </c>
      <c r="B21" s="3"/>
      <c r="C21" s="44">
        <f t="shared" si="6"/>
        <v>0</v>
      </c>
      <c r="D21" s="3"/>
      <c r="E21" s="44">
        <f t="shared" si="1"/>
        <v>0</v>
      </c>
      <c r="F21" s="3"/>
      <c r="G21" s="44">
        <f t="shared" si="4"/>
        <v>0</v>
      </c>
      <c r="H21" s="3"/>
      <c r="I21" s="49">
        <f t="shared" si="5"/>
        <v>0</v>
      </c>
      <c r="J21" s="22">
        <f t="shared" si="2"/>
        <v>0</v>
      </c>
      <c r="K21" s="23">
        <f t="shared" si="3"/>
        <v>0</v>
      </c>
    </row>
    <row r="22" spans="1:25" ht="16.5" thickBot="1" x14ac:dyDescent="0.3">
      <c r="A22" s="10">
        <v>44459</v>
      </c>
      <c r="B22" s="3"/>
      <c r="C22" s="44">
        <f t="shared" si="6"/>
        <v>0</v>
      </c>
      <c r="D22" s="3"/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/>
      <c r="C23" s="44">
        <f t="shared" si="6"/>
        <v>0</v>
      </c>
      <c r="D23" s="3"/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10370</v>
      </c>
      <c r="D34" s="3"/>
      <c r="E34" s="61">
        <f>SUM(E3:E33)</f>
        <v>0</v>
      </c>
      <c r="F34" s="3"/>
      <c r="G34" s="61">
        <f>SUM(G3:G33)</f>
        <v>5286.5999999999995</v>
      </c>
      <c r="H34" s="3"/>
      <c r="I34" s="61">
        <f>SUM(I3:I33)</f>
        <v>41.876999999999995</v>
      </c>
      <c r="J34" s="61">
        <f>SUM(J3:J33)</f>
        <v>15698.476999999999</v>
      </c>
      <c r="K34" s="61">
        <f>SUM(K3:K33)</f>
        <v>91993.075219999999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3" sqref="B1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>
        <v>17590600</v>
      </c>
      <c r="C11" s="50">
        <f>IF((B11-B10)&lt;0,"0",(B11-B10))</f>
        <v>2010</v>
      </c>
    </row>
    <row r="12" spans="1:9" ht="24" thickBot="1" x14ac:dyDescent="0.4">
      <c r="A12" s="10">
        <v>44449</v>
      </c>
      <c r="B12" s="139">
        <v>17592688</v>
      </c>
      <c r="C12" s="50">
        <f t="shared" si="0"/>
        <v>2088</v>
      </c>
    </row>
    <row r="13" spans="1:9" ht="24" thickBot="1" x14ac:dyDescent="0.4">
      <c r="A13" s="10">
        <v>44450</v>
      </c>
      <c r="B13" s="139"/>
      <c r="C13" s="50" t="str">
        <f t="shared" si="0"/>
        <v>0</v>
      </c>
    </row>
    <row r="14" spans="1:9" ht="24" thickBot="1" x14ac:dyDescent="0.4">
      <c r="A14" s="10">
        <v>44451</v>
      </c>
      <c r="B14" s="139"/>
      <c r="C14" s="50">
        <f t="shared" si="0"/>
        <v>0</v>
      </c>
    </row>
    <row r="15" spans="1:9" ht="24" thickBot="1" x14ac:dyDescent="0.4">
      <c r="A15" s="10">
        <v>44452</v>
      </c>
      <c r="B15" s="139"/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44453</v>
      </c>
      <c r="B16" s="139"/>
      <c r="C16" s="50">
        <f t="shared" si="0"/>
        <v>0</v>
      </c>
    </row>
    <row r="17" spans="1:9" ht="25.5" customHeight="1" thickBot="1" x14ac:dyDescent="0.4">
      <c r="A17" s="10">
        <v>44454</v>
      </c>
      <c r="B17" s="139"/>
      <c r="C17" s="50">
        <f t="shared" si="0"/>
        <v>0</v>
      </c>
      <c r="F17" s="137"/>
    </row>
    <row r="18" spans="1:9" ht="24" thickBot="1" x14ac:dyDescent="0.4">
      <c r="A18" s="10">
        <v>44455</v>
      </c>
      <c r="B18" s="139"/>
      <c r="C18" s="50">
        <f t="shared" si="0"/>
        <v>0</v>
      </c>
    </row>
    <row r="19" spans="1:9" ht="24" thickBot="1" x14ac:dyDescent="0.4">
      <c r="A19" s="10">
        <v>44456</v>
      </c>
      <c r="B19" s="139"/>
      <c r="C19" s="50">
        <f t="shared" si="0"/>
        <v>0</v>
      </c>
    </row>
    <row r="20" spans="1:9" ht="24" thickBot="1" x14ac:dyDescent="0.4">
      <c r="A20" s="10">
        <v>44457</v>
      </c>
      <c r="B20" s="139"/>
      <c r="C20" s="50">
        <f t="shared" si="0"/>
        <v>0</v>
      </c>
    </row>
    <row r="21" spans="1:9" ht="24" thickBot="1" x14ac:dyDescent="0.4">
      <c r="A21" s="10">
        <v>44458</v>
      </c>
      <c r="B21" s="139"/>
      <c r="C21" s="50">
        <f t="shared" si="0"/>
        <v>0</v>
      </c>
    </row>
    <row r="22" spans="1:9" ht="24" thickBot="1" x14ac:dyDescent="0.4">
      <c r="A22" s="10">
        <v>44459</v>
      </c>
      <c r="B22" s="139"/>
      <c r="C22" s="50">
        <f t="shared" si="0"/>
        <v>0</v>
      </c>
    </row>
    <row r="23" spans="1:9" ht="24" thickBot="1" x14ac:dyDescent="0.4">
      <c r="A23" s="10">
        <v>44460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44461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21899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B12" sqref="B12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147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146</v>
      </c>
      <c r="X2" s="167" t="s">
        <v>144</v>
      </c>
      <c r="Y2" s="167" t="s">
        <v>148</v>
      </c>
      <c r="Z2" s="167" t="s">
        <v>145</v>
      </c>
      <c r="AA2" s="167" t="s">
        <v>148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/>
      <c r="Y8" s="167">
        <f t="shared" si="13"/>
        <v>-142922</v>
      </c>
      <c r="Z8" s="167"/>
      <c r="AA8" s="167">
        <f t="shared" si="14"/>
        <v>-7208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143117</v>
      </c>
      <c r="Z9" s="167">
        <v>7218</v>
      </c>
      <c r="AA9" s="167">
        <f t="shared" si="14"/>
        <v>7218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143130</v>
      </c>
      <c r="Y10" s="167">
        <f t="shared" si="13"/>
        <v>13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>
        <v>22111.210999999999</v>
      </c>
      <c r="C11" s="49">
        <f t="shared" si="11"/>
        <v>14.138999999999214</v>
      </c>
      <c r="D11" s="33">
        <f t="shared" si="0"/>
        <v>26864.099999998503</v>
      </c>
      <c r="E11" s="1">
        <v>3896.4949999999999</v>
      </c>
      <c r="F11" s="49">
        <f t="shared" si="1"/>
        <v>3.2950000000000728</v>
      </c>
      <c r="G11" s="33">
        <f t="shared" si="2"/>
        <v>6260.5000000001382</v>
      </c>
      <c r="H11" s="1">
        <v>3982</v>
      </c>
      <c r="I11" s="49">
        <f t="shared" si="3"/>
        <v>10</v>
      </c>
      <c r="J11" s="33">
        <f t="shared" si="4"/>
        <v>19000</v>
      </c>
      <c r="K11" s="7">
        <v>13691.52</v>
      </c>
      <c r="L11" s="49">
        <f t="shared" si="5"/>
        <v>1.9400000000005093</v>
      </c>
      <c r="M11" s="33">
        <f t="shared" si="6"/>
        <v>3686.0000000009677</v>
      </c>
      <c r="N11" s="7">
        <v>3208.5709999999999</v>
      </c>
      <c r="O11" s="49">
        <f t="shared" si="7"/>
        <v>1.9919999999997344</v>
      </c>
      <c r="P11" s="33">
        <f t="shared" si="8"/>
        <v>3784.7999999994954</v>
      </c>
      <c r="Q11" s="7">
        <v>5118.09</v>
      </c>
      <c r="R11" s="49">
        <f t="shared" si="9"/>
        <v>2.3900000000003274</v>
      </c>
      <c r="S11" s="33">
        <f t="shared" si="10"/>
        <v>4541.0000000006221</v>
      </c>
      <c r="T11" s="8">
        <f t="shared" si="15"/>
        <v>33.755999999999858</v>
      </c>
      <c r="U11" s="35">
        <f t="shared" si="12"/>
        <v>64136.399999999725</v>
      </c>
      <c r="W11" s="166">
        <v>44448</v>
      </c>
      <c r="X11" s="167">
        <v>143254</v>
      </c>
      <c r="Y11" s="167">
        <f t="shared" si="13"/>
        <v>124</v>
      </c>
      <c r="Z11" s="167">
        <v>7238</v>
      </c>
      <c r="AA11" s="167">
        <f t="shared" si="14"/>
        <v>11</v>
      </c>
    </row>
    <row r="12" spans="1:27" ht="16.5" thickBot="1" x14ac:dyDescent="0.25">
      <c r="A12" s="10">
        <v>44449</v>
      </c>
      <c r="B12" s="170">
        <v>22126.253000000001</v>
      </c>
      <c r="C12" s="49">
        <f t="shared" si="11"/>
        <v>15.042000000001281</v>
      </c>
      <c r="D12" s="33">
        <f t="shared" si="0"/>
        <v>28579.800000002433</v>
      </c>
      <c r="E12" s="1">
        <v>3898.89</v>
      </c>
      <c r="F12" s="49">
        <f t="shared" si="1"/>
        <v>2.3949999999999818</v>
      </c>
      <c r="G12" s="33">
        <f t="shared" si="2"/>
        <v>4550.4999999999645</v>
      </c>
      <c r="H12" s="1">
        <v>3990</v>
      </c>
      <c r="I12" s="49">
        <f t="shared" si="3"/>
        <v>8</v>
      </c>
      <c r="J12" s="33">
        <f t="shared" si="4"/>
        <v>15200</v>
      </c>
      <c r="K12" s="7">
        <v>13693.78</v>
      </c>
      <c r="L12" s="49">
        <f t="shared" si="5"/>
        <v>2.2600000000002183</v>
      </c>
      <c r="M12" s="33">
        <f t="shared" si="6"/>
        <v>4294.0000000004147</v>
      </c>
      <c r="N12" s="7">
        <v>3210.4360000000001</v>
      </c>
      <c r="O12" s="49">
        <f t="shared" si="7"/>
        <v>1.8650000000002365</v>
      </c>
      <c r="P12" s="33">
        <f t="shared" si="8"/>
        <v>3543.5000000004493</v>
      </c>
      <c r="Q12" s="7">
        <v>5120.2</v>
      </c>
      <c r="R12" s="49">
        <f t="shared" si="9"/>
        <v>2.1099999999996726</v>
      </c>
      <c r="S12" s="33">
        <f t="shared" si="10"/>
        <v>4008.9999999993779</v>
      </c>
      <c r="T12" s="8">
        <f t="shared" si="15"/>
        <v>31.67200000000139</v>
      </c>
      <c r="U12" s="35">
        <f t="shared" si="12"/>
        <v>60176.800000002637</v>
      </c>
      <c r="W12" s="166">
        <v>44449</v>
      </c>
      <c r="X12" s="167">
        <v>143475</v>
      </c>
      <c r="Y12" s="167">
        <f t="shared" si="13"/>
        <v>221</v>
      </c>
      <c r="Z12" s="167">
        <v>7248</v>
      </c>
      <c r="AA12" s="167">
        <f t="shared" si="14"/>
        <v>10</v>
      </c>
    </row>
    <row r="13" spans="1:27" ht="16.5" thickBot="1" x14ac:dyDescent="0.25">
      <c r="A13" s="10">
        <v>44450</v>
      </c>
      <c r="B13" s="170"/>
      <c r="C13" s="49" t="str">
        <f t="shared" si="11"/>
        <v>0</v>
      </c>
      <c r="D13" s="33">
        <f t="shared" si="0"/>
        <v>0</v>
      </c>
      <c r="E13" s="1"/>
      <c r="F13" s="49" t="str">
        <f t="shared" si="1"/>
        <v>0</v>
      </c>
      <c r="G13" s="33">
        <f t="shared" si="2"/>
        <v>0</v>
      </c>
      <c r="H13" s="1"/>
      <c r="I13" s="49" t="str">
        <f t="shared" si="3"/>
        <v>0</v>
      </c>
      <c r="J13" s="33">
        <f t="shared" si="4"/>
        <v>0</v>
      </c>
      <c r="K13" s="7"/>
      <c r="L13" s="49" t="str">
        <f t="shared" si="5"/>
        <v>0</v>
      </c>
      <c r="M13" s="33">
        <f t="shared" si="6"/>
        <v>0</v>
      </c>
      <c r="N13" s="7"/>
      <c r="O13" s="49" t="str">
        <f t="shared" si="7"/>
        <v>0</v>
      </c>
      <c r="P13" s="33">
        <f t="shared" si="8"/>
        <v>0</v>
      </c>
      <c r="Q13" s="7"/>
      <c r="R13" s="49" t="str">
        <f t="shared" si="9"/>
        <v>0</v>
      </c>
      <c r="S13" s="33">
        <f t="shared" si="10"/>
        <v>0</v>
      </c>
      <c r="T13" s="8">
        <f t="shared" si="15"/>
        <v>0</v>
      </c>
      <c r="U13" s="35">
        <f t="shared" si="12"/>
        <v>0</v>
      </c>
      <c r="W13" s="166">
        <v>44450</v>
      </c>
      <c r="X13" s="167"/>
      <c r="Y13" s="167">
        <f t="shared" si="13"/>
        <v>-143475</v>
      </c>
      <c r="Z13" s="167"/>
      <c r="AA13" s="167">
        <f t="shared" si="14"/>
        <v>-7248</v>
      </c>
    </row>
    <row r="14" spans="1:27" ht="16.5" thickBot="1" x14ac:dyDescent="0.25">
      <c r="A14" s="10">
        <v>44451</v>
      </c>
      <c r="B14" s="170"/>
      <c r="C14" s="49">
        <f t="shared" si="11"/>
        <v>0</v>
      </c>
      <c r="D14" s="33">
        <f t="shared" si="0"/>
        <v>0</v>
      </c>
      <c r="E14" s="1"/>
      <c r="F14" s="49">
        <f t="shared" si="1"/>
        <v>0</v>
      </c>
      <c r="G14" s="33">
        <f t="shared" si="2"/>
        <v>0</v>
      </c>
      <c r="H14" s="1"/>
      <c r="I14" s="49">
        <f t="shared" si="3"/>
        <v>0</v>
      </c>
      <c r="J14" s="33">
        <f t="shared" si="4"/>
        <v>0</v>
      </c>
      <c r="K14" s="7"/>
      <c r="L14" s="49">
        <f t="shared" si="5"/>
        <v>0</v>
      </c>
      <c r="M14" s="33">
        <f t="shared" si="6"/>
        <v>0</v>
      </c>
      <c r="N14" s="7"/>
      <c r="O14" s="49">
        <f t="shared" si="7"/>
        <v>0</v>
      </c>
      <c r="P14" s="33">
        <f t="shared" si="8"/>
        <v>0</v>
      </c>
      <c r="Q14" s="7"/>
      <c r="R14" s="49">
        <f t="shared" si="9"/>
        <v>0</v>
      </c>
      <c r="S14" s="33">
        <f t="shared" si="10"/>
        <v>0</v>
      </c>
      <c r="T14" s="8">
        <f t="shared" si="15"/>
        <v>0</v>
      </c>
      <c r="U14" s="35">
        <f t="shared" si="12"/>
        <v>0</v>
      </c>
      <c r="W14" s="166">
        <v>44451</v>
      </c>
      <c r="X14" s="167"/>
      <c r="Y14" s="167">
        <f t="shared" si="13"/>
        <v>0</v>
      </c>
      <c r="Z14" s="167"/>
      <c r="AA14" s="167">
        <f t="shared" si="14"/>
        <v>0</v>
      </c>
    </row>
    <row r="15" spans="1:27" ht="16.5" thickBot="1" x14ac:dyDescent="0.25">
      <c r="A15" s="10">
        <v>44452</v>
      </c>
      <c r="B15" s="170"/>
      <c r="C15" s="49">
        <f t="shared" si="11"/>
        <v>0</v>
      </c>
      <c r="D15" s="33">
        <f t="shared" si="0"/>
        <v>0</v>
      </c>
      <c r="E15" s="1"/>
      <c r="F15" s="49">
        <f t="shared" si="1"/>
        <v>0</v>
      </c>
      <c r="G15" s="33">
        <f t="shared" si="2"/>
        <v>0</v>
      </c>
      <c r="H15" s="1"/>
      <c r="I15" s="49">
        <f t="shared" si="3"/>
        <v>0</v>
      </c>
      <c r="J15" s="33">
        <f t="shared" si="4"/>
        <v>0</v>
      </c>
      <c r="K15" s="7"/>
      <c r="L15" s="49">
        <f t="shared" si="5"/>
        <v>0</v>
      </c>
      <c r="M15" s="33">
        <f t="shared" si="6"/>
        <v>0</v>
      </c>
      <c r="N15" s="7"/>
      <c r="O15" s="49">
        <f t="shared" si="7"/>
        <v>0</v>
      </c>
      <c r="P15" s="33">
        <f t="shared" si="8"/>
        <v>0</v>
      </c>
      <c r="Q15" s="7"/>
      <c r="R15" s="49">
        <f t="shared" si="9"/>
        <v>0</v>
      </c>
      <c r="S15" s="33">
        <f t="shared" si="10"/>
        <v>0</v>
      </c>
      <c r="T15" s="8">
        <f t="shared" si="15"/>
        <v>0</v>
      </c>
      <c r="U15" s="35">
        <f t="shared" si="12"/>
        <v>0</v>
      </c>
      <c r="W15" s="166">
        <v>44452</v>
      </c>
      <c r="X15" s="167"/>
      <c r="Y15" s="167">
        <f t="shared" si="13"/>
        <v>0</v>
      </c>
      <c r="Z15" s="167"/>
      <c r="AA15" s="167">
        <f t="shared" si="14"/>
        <v>0</v>
      </c>
    </row>
    <row r="16" spans="1:27" ht="16.5" thickBot="1" x14ac:dyDescent="0.25">
      <c r="A16" s="10">
        <v>44453</v>
      </c>
      <c r="B16" s="170"/>
      <c r="C16" s="49">
        <f t="shared" si="11"/>
        <v>0</v>
      </c>
      <c r="D16" s="33">
        <f t="shared" si="0"/>
        <v>0</v>
      </c>
      <c r="E16" s="1"/>
      <c r="F16" s="49">
        <f t="shared" si="1"/>
        <v>0</v>
      </c>
      <c r="G16" s="33">
        <f t="shared" si="2"/>
        <v>0</v>
      </c>
      <c r="H16" s="1"/>
      <c r="I16" s="49">
        <f t="shared" si="3"/>
        <v>0</v>
      </c>
      <c r="J16" s="33">
        <f t="shared" si="4"/>
        <v>0</v>
      </c>
      <c r="K16" s="7"/>
      <c r="L16" s="49">
        <f t="shared" si="5"/>
        <v>0</v>
      </c>
      <c r="M16" s="33">
        <f t="shared" si="6"/>
        <v>0</v>
      </c>
      <c r="N16" s="7"/>
      <c r="O16" s="49">
        <f t="shared" si="7"/>
        <v>0</v>
      </c>
      <c r="P16" s="33">
        <f t="shared" si="8"/>
        <v>0</v>
      </c>
      <c r="Q16" s="7"/>
      <c r="R16" s="49">
        <f t="shared" si="9"/>
        <v>0</v>
      </c>
      <c r="S16" s="33">
        <f t="shared" si="10"/>
        <v>0</v>
      </c>
      <c r="T16" s="8">
        <f t="shared" si="15"/>
        <v>0</v>
      </c>
      <c r="U16" s="35">
        <f t="shared" si="12"/>
        <v>0</v>
      </c>
      <c r="W16" s="166">
        <v>44453</v>
      </c>
      <c r="X16" s="167"/>
      <c r="Y16" s="167">
        <f t="shared" si="13"/>
        <v>0</v>
      </c>
      <c r="Z16" s="167"/>
      <c r="AA16" s="167">
        <f t="shared" si="14"/>
        <v>0</v>
      </c>
    </row>
    <row r="17" spans="1:27" ht="16.5" thickBot="1" x14ac:dyDescent="0.25">
      <c r="A17" s="10">
        <v>44454</v>
      </c>
      <c r="B17" s="170"/>
      <c r="C17" s="49">
        <f t="shared" si="11"/>
        <v>0</v>
      </c>
      <c r="D17" s="33">
        <f t="shared" si="0"/>
        <v>0</v>
      </c>
      <c r="E17" s="1"/>
      <c r="F17" s="49">
        <f t="shared" si="1"/>
        <v>0</v>
      </c>
      <c r="G17" s="33">
        <f t="shared" si="2"/>
        <v>0</v>
      </c>
      <c r="H17" s="1"/>
      <c r="I17" s="49">
        <f t="shared" si="3"/>
        <v>0</v>
      </c>
      <c r="J17" s="33">
        <f t="shared" si="4"/>
        <v>0</v>
      </c>
      <c r="K17" s="7"/>
      <c r="L17" s="49">
        <f t="shared" si="5"/>
        <v>0</v>
      </c>
      <c r="M17" s="33">
        <f t="shared" si="6"/>
        <v>0</v>
      </c>
      <c r="N17" s="7"/>
      <c r="O17" s="49">
        <f t="shared" si="7"/>
        <v>0</v>
      </c>
      <c r="P17" s="33">
        <f t="shared" si="8"/>
        <v>0</v>
      </c>
      <c r="Q17" s="7"/>
      <c r="R17" s="49">
        <f t="shared" si="9"/>
        <v>0</v>
      </c>
      <c r="S17" s="33">
        <f t="shared" si="10"/>
        <v>0</v>
      </c>
      <c r="T17" s="8">
        <f t="shared" si="15"/>
        <v>0</v>
      </c>
      <c r="U17" s="35">
        <f t="shared" si="12"/>
        <v>0</v>
      </c>
      <c r="W17" s="166">
        <v>44454</v>
      </c>
      <c r="X17" s="167"/>
      <c r="Y17" s="167">
        <f t="shared" si="13"/>
        <v>0</v>
      </c>
      <c r="Z17" s="167"/>
      <c r="AA17" s="167">
        <f t="shared" si="14"/>
        <v>0</v>
      </c>
    </row>
    <row r="18" spans="1:27" ht="16.5" thickBot="1" x14ac:dyDescent="0.25">
      <c r="A18" s="10">
        <v>44455</v>
      </c>
      <c r="B18" s="170"/>
      <c r="C18" s="49">
        <f t="shared" si="11"/>
        <v>0</v>
      </c>
      <c r="D18" s="33">
        <f t="shared" si="0"/>
        <v>0</v>
      </c>
      <c r="E18" s="1"/>
      <c r="F18" s="49">
        <f t="shared" si="1"/>
        <v>0</v>
      </c>
      <c r="G18" s="33">
        <f t="shared" si="2"/>
        <v>0</v>
      </c>
      <c r="H18" s="1"/>
      <c r="I18" s="49">
        <f t="shared" si="3"/>
        <v>0</v>
      </c>
      <c r="J18" s="33">
        <f t="shared" si="4"/>
        <v>0</v>
      </c>
      <c r="K18" s="7"/>
      <c r="L18" s="49">
        <f t="shared" si="5"/>
        <v>0</v>
      </c>
      <c r="M18" s="33">
        <f t="shared" si="6"/>
        <v>0</v>
      </c>
      <c r="N18" s="7"/>
      <c r="O18" s="49">
        <f t="shared" si="7"/>
        <v>0</v>
      </c>
      <c r="P18" s="33">
        <f t="shared" si="8"/>
        <v>0</v>
      </c>
      <c r="Q18" s="7"/>
      <c r="R18" s="49">
        <f t="shared" si="9"/>
        <v>0</v>
      </c>
      <c r="S18" s="33">
        <f t="shared" si="10"/>
        <v>0</v>
      </c>
      <c r="T18" s="8">
        <f t="shared" si="15"/>
        <v>0</v>
      </c>
      <c r="U18" s="35">
        <f t="shared" si="12"/>
        <v>0</v>
      </c>
      <c r="W18" s="166">
        <v>44455</v>
      </c>
      <c r="X18" s="167"/>
      <c r="Y18" s="167">
        <f t="shared" si="13"/>
        <v>0</v>
      </c>
      <c r="Z18" s="167"/>
      <c r="AA18" s="167">
        <f t="shared" si="14"/>
        <v>0</v>
      </c>
    </row>
    <row r="19" spans="1:27" ht="16.5" thickBot="1" x14ac:dyDescent="0.25">
      <c r="A19" s="10">
        <v>44456</v>
      </c>
      <c r="B19" s="170"/>
      <c r="C19" s="49">
        <f t="shared" si="11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5"/>
        <v>0</v>
      </c>
      <c r="M19" s="33">
        <f t="shared" si="6"/>
        <v>0</v>
      </c>
      <c r="N19" s="7"/>
      <c r="O19" s="49">
        <f t="shared" si="7"/>
        <v>0</v>
      </c>
      <c r="P19" s="33">
        <f t="shared" si="8"/>
        <v>0</v>
      </c>
      <c r="Q19" s="7"/>
      <c r="R19" s="49">
        <f t="shared" si="9"/>
        <v>0</v>
      </c>
      <c r="S19" s="33">
        <f t="shared" si="10"/>
        <v>0</v>
      </c>
      <c r="T19" s="8">
        <f t="shared" si="15"/>
        <v>0</v>
      </c>
      <c r="U19" s="35">
        <f t="shared" si="12"/>
        <v>0</v>
      </c>
      <c r="W19" s="166">
        <v>44456</v>
      </c>
      <c r="X19" s="167"/>
      <c r="Y19" s="167">
        <f t="shared" si="13"/>
        <v>0</v>
      </c>
      <c r="Z19" s="167"/>
      <c r="AA19" s="167">
        <f t="shared" si="14"/>
        <v>0</v>
      </c>
    </row>
    <row r="20" spans="1:27" ht="16.5" thickBot="1" x14ac:dyDescent="0.25">
      <c r="A20" s="10">
        <v>44457</v>
      </c>
      <c r="B20" s="170"/>
      <c r="C20" s="49">
        <f t="shared" si="11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5"/>
        <v>0</v>
      </c>
      <c r="M20" s="33">
        <f t="shared" si="6"/>
        <v>0</v>
      </c>
      <c r="N20" s="7"/>
      <c r="O20" s="49">
        <f t="shared" si="7"/>
        <v>0</v>
      </c>
      <c r="P20" s="33">
        <f t="shared" si="8"/>
        <v>0</v>
      </c>
      <c r="Q20" s="7"/>
      <c r="R20" s="49">
        <f t="shared" si="9"/>
        <v>0</v>
      </c>
      <c r="S20" s="33">
        <f t="shared" si="10"/>
        <v>0</v>
      </c>
      <c r="T20" s="8">
        <f t="shared" si="15"/>
        <v>0</v>
      </c>
      <c r="U20" s="35">
        <f t="shared" si="12"/>
        <v>0</v>
      </c>
      <c r="W20" s="166">
        <v>44457</v>
      </c>
      <c r="X20" s="167"/>
      <c r="Y20" s="167">
        <f t="shared" si="13"/>
        <v>0</v>
      </c>
      <c r="Z20" s="167"/>
      <c r="AA20" s="167">
        <f t="shared" si="14"/>
        <v>0</v>
      </c>
    </row>
    <row r="21" spans="1:27" ht="16.5" thickBot="1" x14ac:dyDescent="0.25">
      <c r="A21" s="10">
        <v>44458</v>
      </c>
      <c r="B21" s="170"/>
      <c r="C21" s="49">
        <f t="shared" si="11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5"/>
        <v>0</v>
      </c>
      <c r="M21" s="33">
        <f t="shared" si="6"/>
        <v>0</v>
      </c>
      <c r="N21" s="7"/>
      <c r="O21" s="49">
        <f t="shared" si="7"/>
        <v>0</v>
      </c>
      <c r="P21" s="33">
        <f t="shared" si="8"/>
        <v>0</v>
      </c>
      <c r="Q21" s="7"/>
      <c r="R21" s="49">
        <f t="shared" si="9"/>
        <v>0</v>
      </c>
      <c r="S21" s="33">
        <f t="shared" si="10"/>
        <v>0</v>
      </c>
      <c r="T21" s="8">
        <f t="shared" si="15"/>
        <v>0</v>
      </c>
      <c r="U21" s="35">
        <f t="shared" si="12"/>
        <v>0</v>
      </c>
      <c r="W21" s="166">
        <v>44458</v>
      </c>
      <c r="X21" s="167"/>
      <c r="Y21" s="167">
        <f t="shared" si="13"/>
        <v>0</v>
      </c>
      <c r="Z21" s="167"/>
      <c r="AA21" s="167">
        <f t="shared" si="14"/>
        <v>0</v>
      </c>
    </row>
    <row r="22" spans="1:27" ht="16.5" thickBot="1" x14ac:dyDescent="0.25">
      <c r="A22" s="10">
        <v>44459</v>
      </c>
      <c r="B22" s="170"/>
      <c r="C22" s="49">
        <f t="shared" si="11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5"/>
        <v>0</v>
      </c>
      <c r="M22" s="33">
        <f t="shared" si="6"/>
        <v>0</v>
      </c>
      <c r="N22" s="7"/>
      <c r="O22" s="49">
        <f t="shared" si="7"/>
        <v>0</v>
      </c>
      <c r="P22" s="33">
        <f t="shared" si="8"/>
        <v>0</v>
      </c>
      <c r="Q22" s="7"/>
      <c r="R22" s="49">
        <f t="shared" si="9"/>
        <v>0</v>
      </c>
      <c r="S22" s="33">
        <f t="shared" si="10"/>
        <v>0</v>
      </c>
      <c r="T22" s="8">
        <f>S23</f>
        <v>0</v>
      </c>
      <c r="U22" s="35">
        <f t="shared" si="12"/>
        <v>0</v>
      </c>
      <c r="W22" s="166">
        <v>44459</v>
      </c>
      <c r="X22" s="167"/>
      <c r="Y22" s="167">
        <f t="shared" si="13"/>
        <v>0</v>
      </c>
      <c r="Z22" s="167"/>
      <c r="AA22" s="167">
        <f t="shared" si="14"/>
        <v>0</v>
      </c>
    </row>
    <row r="23" spans="1:27" ht="16.5" thickBot="1" x14ac:dyDescent="0.25">
      <c r="A23" s="10">
        <v>44460</v>
      </c>
      <c r="B23" s="170"/>
      <c r="C23" s="49">
        <f t="shared" si="11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5"/>
        <v>0</v>
      </c>
      <c r="M23" s="33">
        <f t="shared" si="6"/>
        <v>0</v>
      </c>
      <c r="N23" s="7"/>
      <c r="O23" s="49">
        <f t="shared" si="7"/>
        <v>0</v>
      </c>
      <c r="P23" s="33">
        <f t="shared" si="8"/>
        <v>0</v>
      </c>
      <c r="Q23" s="7"/>
      <c r="R23" s="49">
        <f t="shared" si="9"/>
        <v>0</v>
      </c>
      <c r="S23" s="33">
        <f t="shared" si="10"/>
        <v>0</v>
      </c>
      <c r="T23" s="8">
        <f t="shared" si="15"/>
        <v>0</v>
      </c>
      <c r="U23" s="35">
        <f t="shared" si="12"/>
        <v>0</v>
      </c>
      <c r="W23" s="166">
        <v>44460</v>
      </c>
      <c r="X23" s="167"/>
      <c r="Y23" s="167">
        <f t="shared" si="13"/>
        <v>0</v>
      </c>
      <c r="Z23" s="167"/>
      <c r="AA23" s="167">
        <f t="shared" si="14"/>
        <v>0</v>
      </c>
    </row>
    <row r="24" spans="1:27" ht="16.5" thickBot="1" x14ac:dyDescent="0.25">
      <c r="A24" s="10">
        <v>44461</v>
      </c>
      <c r="B24" s="170"/>
      <c r="C24" s="49">
        <f t="shared" si="11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5"/>
        <v>0</v>
      </c>
      <c r="M24" s="33">
        <f t="shared" si="6"/>
        <v>0</v>
      </c>
      <c r="N24" s="7"/>
      <c r="O24" s="49">
        <f t="shared" si="7"/>
        <v>0</v>
      </c>
      <c r="P24" s="33">
        <f t="shared" si="8"/>
        <v>0</v>
      </c>
      <c r="Q24" s="7"/>
      <c r="R24" s="49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0</v>
      </c>
      <c r="Z24" s="167"/>
      <c r="AA24" s="167">
        <f t="shared" si="14"/>
        <v>0</v>
      </c>
    </row>
    <row r="25" spans="1:27" ht="16.5" thickBot="1" x14ac:dyDescent="0.25">
      <c r="A25" s="10">
        <v>44462</v>
      </c>
      <c r="B25" s="170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70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70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70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70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70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135.15100000000166</v>
      </c>
      <c r="D34" s="144">
        <f>SUM(D2:D33)</f>
        <v>256786.90000000314</v>
      </c>
      <c r="E34" s="144">
        <v>0</v>
      </c>
      <c r="F34" s="144">
        <f>SUM(F2:F33)</f>
        <v>27.625999999999749</v>
      </c>
      <c r="G34" s="144">
        <f>SUM(G2:G33)</f>
        <v>52489.399999999521</v>
      </c>
      <c r="H34" s="144"/>
      <c r="I34" s="144">
        <f>SUM(I2:I33)</f>
        <v>86</v>
      </c>
      <c r="J34" s="144">
        <f>SUM(J2:J33)</f>
        <v>163400</v>
      </c>
      <c r="K34" s="144"/>
      <c r="L34" s="144">
        <f>SUM(L2:L33)</f>
        <v>19.159999999999854</v>
      </c>
      <c r="M34" s="144">
        <f>SUM(M2:M33)</f>
        <v>36403.999999999724</v>
      </c>
      <c r="N34" s="144"/>
      <c r="O34" s="144">
        <f>SUM(O2:O33)</f>
        <v>15.978000000000065</v>
      </c>
      <c r="P34" s="144">
        <f>SUM(P2:P33)</f>
        <v>30358.200000000121</v>
      </c>
      <c r="Q34" s="144"/>
      <c r="R34" s="144">
        <f>SUM(R2:R33)</f>
        <v>25.079999999999927</v>
      </c>
      <c r="S34" s="144">
        <f>SUM(S2:S33)</f>
        <v>47651.999999999854</v>
      </c>
      <c r="T34" s="144">
        <f>SUM(T2:T33)</f>
        <v>308.99500000000126</v>
      </c>
      <c r="U34" s="144">
        <f>SUM(U2:U33)</f>
        <v>587090.50000000233</v>
      </c>
      <c r="V34"/>
      <c r="W34" s="168" t="s">
        <v>149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20535755</v>
      </c>
      <c r="D2" s="102">
        <f>C2*1.27</f>
        <v>26080408.850000001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87598842</v>
      </c>
      <c r="K4" s="97">
        <f>J4-I4</f>
        <v>0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-27705688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51958383</v>
      </c>
      <c r="D7" s="110">
        <f t="shared" si="0"/>
        <v>65987146.410000004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-12530470</v>
      </c>
      <c r="D8" s="110">
        <f t="shared" si="0"/>
        <v>-15913696.9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-49379516</v>
      </c>
      <c r="D9" s="110">
        <f t="shared" si="0"/>
        <v>-62711985.32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-4051360</v>
      </c>
      <c r="D10" s="110">
        <f t="shared" si="0"/>
        <v>-5145227.2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-175540</v>
      </c>
      <c r="D11" s="110">
        <f t="shared" si="0"/>
        <v>-222935.80000000002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36690032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0</v>
      </c>
      <c r="K16" s="99">
        <f>(J16-I16)*160</f>
        <v>-600960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0</v>
      </c>
      <c r="K17" s="99">
        <f>(J17-I17)*160</f>
        <v>-48562720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0</v>
      </c>
      <c r="K18" s="99">
        <f>(J18-I18)*160</f>
        <v>-4051360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0</v>
      </c>
      <c r="K19" s="99">
        <f>J19-I19</f>
        <v>-120493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0</v>
      </c>
      <c r="K20" s="99">
        <f>J20-I20</f>
        <v>-55047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0</v>
      </c>
      <c r="K21" s="99">
        <f>(J21-I21)*120</f>
        <v>-5499240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0</v>
      </c>
      <c r="K22" s="99">
        <f>(J22-I22)*160</f>
        <v>-6368800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0</v>
      </c>
      <c r="K23" s="99">
        <f>(J23-I23)*20</f>
        <v>-414700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0</v>
      </c>
      <c r="K24" s="99">
        <f>J24-I24</f>
        <v>-247730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0</v>
      </c>
      <c r="K25" s="99">
        <f>J25-I25</f>
        <v>-215836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143</v>
      </c>
      <c r="N1" s="64" t="s">
        <v>91</v>
      </c>
      <c r="O1" s="65" t="s">
        <v>79</v>
      </c>
    </row>
    <row r="2" spans="2:15" ht="15" x14ac:dyDescent="0.2">
      <c r="B2" s="62"/>
      <c r="C2" s="18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2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2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2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2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2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2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2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2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2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2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2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2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2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2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2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2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2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2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2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2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2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2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2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2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0">
        <v>23</v>
      </c>
      <c r="D49" s="66" t="s">
        <v>83</v>
      </c>
      <c r="E49" s="81"/>
      <c r="F49" s="81"/>
      <c r="G49" s="68">
        <f t="shared" si="0"/>
        <v>0</v>
      </c>
      <c r="H49" s="69"/>
      <c r="J49" s="18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2"/>
      <c r="D50" s="66" t="s">
        <v>82</v>
      </c>
      <c r="E50" s="81"/>
      <c r="F50" s="81"/>
      <c r="G50" s="68">
        <f t="shared" si="0"/>
        <v>0</v>
      </c>
      <c r="H50" s="69"/>
      <c r="J50" s="18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3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3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4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4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0">
        <v>28</v>
      </c>
      <c r="D62" s="189" t="s">
        <v>86</v>
      </c>
      <c r="E62" s="67"/>
      <c r="F62" s="67"/>
      <c r="G62" s="68"/>
      <c r="H62" s="191" t="s">
        <v>87</v>
      </c>
      <c r="I62" s="72"/>
      <c r="J62" s="180">
        <v>28</v>
      </c>
      <c r="K62" s="189" t="s">
        <v>86</v>
      </c>
      <c r="L62" s="67"/>
      <c r="M62" s="67"/>
      <c r="N62" s="68"/>
      <c r="O62" s="191" t="s">
        <v>87</v>
      </c>
    </row>
    <row r="63" spans="1:15" ht="15" x14ac:dyDescent="0.2">
      <c r="A63" s="72"/>
      <c r="B63" s="62"/>
      <c r="C63" s="181"/>
      <c r="D63" s="190"/>
      <c r="E63" s="67"/>
      <c r="F63" s="67"/>
      <c r="G63" s="68"/>
      <c r="H63" s="192"/>
      <c r="I63" s="72"/>
      <c r="J63" s="181"/>
      <c r="K63" s="190"/>
      <c r="L63" s="67"/>
      <c r="M63" s="67"/>
      <c r="N63" s="68"/>
      <c r="O63" s="192"/>
    </row>
    <row r="64" spans="1:15" x14ac:dyDescent="0.2">
      <c r="A64" s="72"/>
      <c r="B64" s="62"/>
      <c r="C64" s="193" t="s">
        <v>88</v>
      </c>
      <c r="D64" s="193"/>
      <c r="E64" s="193"/>
      <c r="F64" s="193"/>
      <c r="G64" s="86">
        <f>SUM(G2:G63)</f>
        <v>27078</v>
      </c>
      <c r="H64" s="87"/>
      <c r="I64" s="72"/>
      <c r="J64" s="193" t="s">
        <v>88</v>
      </c>
      <c r="K64" s="193"/>
      <c r="L64" s="193"/>
      <c r="M64" s="193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4">
        <v>44378</v>
      </c>
      <c r="C69" s="195"/>
      <c r="D69" s="195"/>
      <c r="E69" s="196"/>
      <c r="F69" s="90"/>
      <c r="G69" s="197">
        <v>44409</v>
      </c>
      <c r="H69" s="198"/>
      <c r="I69" s="198"/>
      <c r="J69" s="199"/>
      <c r="K69" s="90"/>
      <c r="L69" s="186" t="s">
        <v>25</v>
      </c>
      <c r="M69" s="187"/>
      <c r="N69" s="187"/>
      <c r="O69" s="18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2021-09-11T02:00:43Z</dcterms:modified>
</cp:coreProperties>
</file>