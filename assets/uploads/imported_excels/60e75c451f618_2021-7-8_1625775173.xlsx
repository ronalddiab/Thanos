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<sst xmlns="http://schemas.openxmlformats.org/spreadsheetml/2006/main" count="313" uniqueCount="148">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</sst>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 t="e">
        <f>Submetering!E9+Submetering!F9+Submetering!G9+Submetering!H9+Submetering!J9-Submetering!AV9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 t="e">
        <f>'FS Desroches Daily'!CM11</f>
        <v>#VALUE!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 t="str">
        <f>IF(LPG!Q15-LPG!Q14&lt;0,"0",(LPG!Q15-LPG!Q14)*1.8315)</f>
        <v>0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 t="str">
        <f>'FS Desroches Daily'!D11</f>
        <v>0</v>
      </c>
      <c r="F9" s="32" t="str">
        <f>'FS Desroches Daily'!F11</f>
        <v>0</v>
      </c>
      <c r="G9" s="31" t="str">
        <f>'FS Desroches Daily'!H11</f>
        <v>0</v>
      </c>
      <c r="H9" s="32" t="str">
        <f>'FS Desroches Daily'!J11</f>
        <v>0</v>
      </c>
      <c r="I9" s="31" t="str">
        <f>'FS Desroches Daily'!L11</f>
        <v>0</v>
      </c>
      <c r="J9" s="32" t="str">
        <f>'FS Desroches Daily'!N11</f>
        <v/>
      </c>
      <c r="K9" s="13" t="str">
        <f>'FS Desroches Daily'!P11</f>
        <v/>
      </c>
      <c r="L9" s="31" t="str">
        <f>'FS Desroches Daily'!R11</f>
        <v/>
      </c>
      <c r="M9" s="31" t="str">
        <f>'FS Desroches Daily'!T11</f>
        <v/>
      </c>
      <c r="N9" s="31" t="str">
        <f>'FS Desroches Daily'!V11</f>
        <v/>
      </c>
      <c r="O9" s="31" t="str">
        <f>'FS Desroches Daily'!X11</f>
        <v/>
      </c>
      <c r="P9" s="31" t="str">
        <f>'FS Desroches Daily'!Z11</f>
        <v/>
      </c>
      <c r="Q9" s="31" t="str">
        <f>'FS Desroches Daily'!AB11</f>
        <v/>
      </c>
      <c r="R9" s="31" t="str">
        <f>'FS Desroches Daily'!AD11</f>
        <v/>
      </c>
      <c r="S9" s="31" t="str">
        <f>'FS Desroches Daily'!AF11</f>
        <v/>
      </c>
      <c r="T9" s="31" t="str">
        <f>'FS Desroches Daily'!AH11</f>
        <v/>
      </c>
      <c r="U9" s="35" t="str">
        <f>'FS Desroches Daily'!AJ11</f>
        <v/>
      </c>
      <c r="V9" s="35" t="str">
        <f>'FS Desroches Daily'!AL11</f>
        <v/>
      </c>
      <c r="W9" s="35" t="str">
        <f>'FS Desroches Daily'!AN11</f>
        <v/>
      </c>
      <c r="X9" s="35" t="str">
        <f>'FS Desroches Daily'!AP11</f>
        <v/>
      </c>
      <c r="Y9" s="35" t="str">
        <f>'FS Desroches Daily'!AR11</f>
        <v/>
      </c>
      <c r="Z9" s="35" t="str">
        <f>'FS Desroches Daily'!AT11</f>
        <v/>
      </c>
      <c r="AA9" s="35" t="str">
        <f>'FS Desroches Daily'!AT11</f>
        <v/>
      </c>
      <c r="AB9" s="35" t="str">
        <f>'FS Desroches Daily'!AV11</f>
        <v/>
      </c>
      <c r="AC9" s="35" t="str">
        <f>'FS Desroches Daily'!AZ11</f>
        <v/>
      </c>
      <c r="AD9" s="35" t="str">
        <f>'FS Desroches Daily'!BB11</f>
        <v/>
      </c>
      <c r="AE9" s="35" t="str">
        <f>'FS Desroches Daily'!BD11</f>
        <v/>
      </c>
      <c r="AF9" s="31" t="str">
        <f>'FS Desroches Daily'!BF11</f>
        <v/>
      </c>
      <c r="AG9" s="32" t="str">
        <f>'FS Desroches Daily'!BH11</f>
        <v/>
      </c>
      <c r="AH9" s="32" t="str">
        <f>'FS Desroches Daily'!BJ11</f>
        <v/>
      </c>
      <c r="AI9" s="32" t="str">
        <f>'FS Desroches Daily'!BL11</f>
        <v/>
      </c>
      <c r="AJ9" s="32" t="str">
        <f>'FS Desroches Daily'!BN11</f>
        <v/>
      </c>
      <c r="AK9" s="32" t="str">
        <f>'FS Desroches Daily'!BP11</f>
        <v/>
      </c>
      <c r="AL9" s="32" t="str">
        <f>'FS Desroches Daily'!BR11</f>
        <v/>
      </c>
      <c r="AM9" s="32" t="str">
        <f>'FS Desroches Daily'!BT11</f>
        <v/>
      </c>
      <c r="AN9" s="32" t="str">
        <f>'FS Desroches Daily'!BV11</f>
        <v/>
      </c>
      <c r="AO9" s="32" t="str">
        <f>'FS Desroches Daily'!BX11</f>
        <v/>
      </c>
      <c r="AP9" s="32" t="str">
        <f>'FS Desroches Daily'!BZ11</f>
        <v/>
      </c>
      <c r="AQ9" s="31" t="str">
        <f>'FS Desroches Daily'!CB11</f>
        <v/>
      </c>
      <c r="AR9" s="31" t="str">
        <f>'FS Desroches Daily'!CD11</f>
        <v/>
      </c>
      <c r="AS9" s="31" t="str">
        <f>'FS Desroches Daily'!CF11</f>
        <v/>
      </c>
      <c r="AT9" s="31" t="str">
        <f>'FS Desroches Daily'!CH11</f>
        <v/>
      </c>
      <c r="AU9" s="31" t="str">
        <f>'FS Desroches Daily'!CJ11</f>
        <v/>
      </c>
      <c r="AV9" s="31" t="str">
        <f>'FS Desroches Daily'!CL11</f>
        <v/>
      </c>
      <c r="AW9" s="31" t="e">
        <f>'FS Desroches Daily'!CM11</f>
        <v>#VALUE!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12799.999999999922</v>
      </c>
      <c r="F33" s="17">
        <f t="shared" ref="F33:BC33" si="1">SUM(F2:F32)</f>
        <v>17799.999999999818</v>
      </c>
      <c r="G33" s="17">
        <f t="shared" si="1"/>
        <v>16100.000000000227</v>
      </c>
      <c r="H33" s="17">
        <f t="shared" si="1"/>
        <v>8399.9999999999636</v>
      </c>
      <c r="I33" s="17">
        <f t="shared" si="1"/>
        <v>12900.000000000133</v>
      </c>
      <c r="J33" s="17">
        <f t="shared" si="1"/>
        <v>6199.9999999999836</v>
      </c>
      <c r="K33" s="17">
        <f t="shared" si="1"/>
        <v>32</v>
      </c>
      <c r="L33" s="17">
        <f t="shared" si="1"/>
        <v>15</v>
      </c>
      <c r="M33" s="17">
        <f t="shared" si="1"/>
        <v>4711.1999999999534</v>
      </c>
      <c r="N33" s="17">
        <f t="shared" si="1"/>
        <v>1867.6000000000349</v>
      </c>
      <c r="O33" s="17">
        <f t="shared" si="1"/>
        <v>1720.0000000000273</v>
      </c>
      <c r="P33" s="17">
        <f t="shared" si="1"/>
        <v>15600.00000000006</v>
      </c>
      <c r="Q33" s="17">
        <f t="shared" si="1"/>
        <v>1860.0000000000136</v>
      </c>
      <c r="R33" s="17">
        <f t="shared" si="1"/>
        <v>1479.9999999999613</v>
      </c>
      <c r="S33" s="17">
        <f t="shared" si="1"/>
        <v>2019.9999999999818</v>
      </c>
      <c r="T33" s="17">
        <f t="shared" si="1"/>
        <v>220</v>
      </c>
      <c r="U33" s="35">
        <f t="shared" si="1"/>
        <v>4269.9999999999818</v>
      </c>
      <c r="V33" s="35">
        <f t="shared" si="1"/>
        <v>1219.9999999999989</v>
      </c>
      <c r="W33" s="35">
        <f t="shared" si="1"/>
        <v>1079.9999999999841</v>
      </c>
      <c r="X33" s="35">
        <f t="shared" si="1"/>
        <v>760.00000000001933</v>
      </c>
      <c r="Y33" s="35">
        <f t="shared" si="1"/>
        <v>1080.0000000000125</v>
      </c>
      <c r="Z33" s="35">
        <f t="shared" si="1"/>
        <v>1129.9999999999955</v>
      </c>
      <c r="AA33" s="35">
        <f t="shared" si="1"/>
        <v>1129.9999999999955</v>
      </c>
      <c r="AB33" s="35">
        <f t="shared" si="1"/>
        <v>580.00000000004093</v>
      </c>
      <c r="AC33" s="35">
        <f t="shared" si="1"/>
        <v>310.00000000000227</v>
      </c>
      <c r="AD33" s="35">
        <f t="shared" si="1"/>
        <v>160.00000000002501</v>
      </c>
      <c r="AE33" s="35">
        <f t="shared" si="1"/>
        <v>259.99999999999091</v>
      </c>
      <c r="AF33" s="17">
        <f t="shared" si="1"/>
        <v>195</v>
      </c>
      <c r="AG33" s="32">
        <f t="shared" si="1"/>
        <v>259.99999999999091</v>
      </c>
      <c r="AH33" s="32">
        <f t="shared" si="1"/>
        <v>170.00000000001592</v>
      </c>
      <c r="AI33" s="32">
        <f t="shared" si="1"/>
        <v>189.99999999999773</v>
      </c>
      <c r="AJ33" s="32">
        <f t="shared" si="1"/>
        <v>250</v>
      </c>
      <c r="AK33" s="32">
        <f t="shared" si="1"/>
        <v>279.99999999997272</v>
      </c>
      <c r="AL33" s="32">
        <f t="shared" si="1"/>
        <v>194</v>
      </c>
      <c r="AM33" s="32">
        <f t="shared" si="1"/>
        <v>199.99999999998863</v>
      </c>
      <c r="AN33" s="32">
        <f t="shared" si="1"/>
        <v>286</v>
      </c>
      <c r="AO33" s="32">
        <f t="shared" si="1"/>
        <v>159.99999999999659</v>
      </c>
      <c r="AP33" s="32">
        <f t="shared" si="1"/>
        <v>311</v>
      </c>
      <c r="AQ33" s="17">
        <f t="shared" si="1"/>
        <v>237.39999999999782</v>
      </c>
      <c r="AR33" s="17">
        <f t="shared" si="1"/>
        <v>60.699999999998909</v>
      </c>
      <c r="AS33" s="17">
        <f t="shared" si="1"/>
        <v>44</v>
      </c>
      <c r="AT33" s="17">
        <f t="shared" si="1"/>
        <v>224.09999999999854</v>
      </c>
      <c r="AU33" s="17">
        <f t="shared" si="1"/>
        <v>1817</v>
      </c>
      <c r="AV33" s="17">
        <f t="shared" si="1"/>
        <v>4120.0000000000045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42.124499999999998</v>
      </c>
      <c r="BC33" s="17">
        <f t="shared" si="1"/>
        <v>25</v>
      </c>
    </row>
    <row r="35" spans="5:55" x14ac:dyDescent="0.25">
      <c r="E35" s="38">
        <f>E33/E37</f>
        <v>0.24409779167778983</v>
      </c>
      <c r="G35" s="29">
        <f>G33-M36</f>
        <v>9521.200000000239</v>
      </c>
      <c r="AE35" s="35">
        <f>SUM(U33:AE33)</f>
        <v>11980.000000000047</v>
      </c>
      <c r="AG35" s="32">
        <f>SUM(AG33:AP33)</f>
        <v>2300.9999999999627</v>
      </c>
    </row>
    <row r="36" spans="5:55" x14ac:dyDescent="0.25">
      <c r="G36" s="29">
        <f>G35-633*14</f>
        <v>659.20000000023902</v>
      </c>
      <c r="M36" s="29">
        <f>M33+N33</f>
        <v>6578.7999999999884</v>
      </c>
    </row>
    <row r="37" spans="5:55" x14ac:dyDescent="0.25">
      <c r="E37" s="17">
        <f>E33+F33+G33+H33+J33-633*14</f>
        <v>52437.999999999913</v>
      </c>
      <c r="G37" s="37">
        <f>M36/E37</f>
        <v>0.12545863686639458</v>
      </c>
      <c r="M37" s="35">
        <f>AE35</f>
        <v>11980.000000000047</v>
      </c>
    </row>
    <row r="38" spans="5:55" x14ac:dyDescent="0.25">
      <c r="L38" s="27">
        <f>M38/E37</f>
        <v>4.3880392082077245E-2</v>
      </c>
      <c r="M38" s="29">
        <f>AG35</f>
        <v>2300.9999999999627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BQ1" zoomScale="80" zoomScaleNormal="80" workbookViewId="0">
      <pane ySplit="1" topLeftCell="A2" activePane="bottomLeft" state="frozen"/>
      <selection pane="bottomLeft" activeCell="CO11" sqref="CO1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34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/>
      <c r="D11" s="64" t="str">
        <f t="shared" si="0"/>
        <v>0</v>
      </c>
      <c r="E11" s="58"/>
      <c r="F11" s="64" t="str">
        <f t="shared" si="1"/>
        <v>0</v>
      </c>
      <c r="G11" s="58"/>
      <c r="H11" s="64" t="str">
        <f t="shared" si="2"/>
        <v>0</v>
      </c>
      <c r="I11" s="58"/>
      <c r="J11" s="64" t="str">
        <f t="shared" si="3"/>
        <v>0</v>
      </c>
      <c r="K11" s="58"/>
      <c r="L11" s="64" t="str">
        <f t="shared" si="4"/>
        <v>0</v>
      </c>
      <c r="M11" s="58"/>
      <c r="N11" s="64" t="str">
        <f t="shared" si="5"/>
        <v/>
      </c>
      <c r="O11" s="58"/>
      <c r="P11" s="67" t="str">
        <f t="shared" ref="P11:P34" si="44">IF((O11-O10&lt;0), "",O11-O10)</f>
        <v/>
      </c>
      <c r="Q11" s="58"/>
      <c r="R11" s="67" t="str">
        <f t="shared" si="6"/>
        <v/>
      </c>
      <c r="S11" s="58"/>
      <c r="T11" s="67" t="str">
        <f t="shared" si="7"/>
        <v/>
      </c>
      <c r="U11" s="58"/>
      <c r="V11" s="67" t="str">
        <f t="shared" si="8"/>
        <v/>
      </c>
      <c r="W11" s="58"/>
      <c r="X11" s="65" t="str">
        <f t="shared" si="9"/>
        <v/>
      </c>
      <c r="Y11" s="58"/>
      <c r="Z11" s="65" t="str">
        <f t="shared" si="10"/>
        <v/>
      </c>
      <c r="AA11" s="58"/>
      <c r="AB11" s="65" t="str">
        <f t="shared" si="11"/>
        <v/>
      </c>
      <c r="AC11" s="58"/>
      <c r="AD11" s="65" t="str">
        <f t="shared" si="12"/>
        <v/>
      </c>
      <c r="AE11" s="58"/>
      <c r="AF11" s="65" t="str">
        <f t="shared" si="13"/>
        <v/>
      </c>
      <c r="AG11" s="58"/>
      <c r="AH11" s="67" t="str">
        <f t="shared" si="14"/>
        <v/>
      </c>
      <c r="AI11" s="58"/>
      <c r="AJ11" s="65" t="str">
        <f t="shared" si="15"/>
        <v/>
      </c>
      <c r="AK11" s="58"/>
      <c r="AL11" s="65" t="str">
        <f t="shared" si="15"/>
        <v/>
      </c>
      <c r="AM11" s="58"/>
      <c r="AN11" s="65" t="str">
        <f t="shared" si="15"/>
        <v/>
      </c>
      <c r="AO11" s="58"/>
      <c r="AP11" s="65" t="str">
        <f t="shared" si="15"/>
        <v/>
      </c>
      <c r="AQ11" s="58"/>
      <c r="AR11" s="65" t="str">
        <f t="shared" si="16"/>
        <v/>
      </c>
      <c r="AS11" s="58"/>
      <c r="AT11" s="65" t="str">
        <f t="shared" si="17"/>
        <v/>
      </c>
      <c r="AU11" s="58"/>
      <c r="AV11" s="65" t="str">
        <f t="shared" si="18"/>
        <v/>
      </c>
      <c r="AW11" s="58"/>
      <c r="AX11" s="65" t="str">
        <f t="shared" si="19"/>
        <v/>
      </c>
      <c r="AY11" s="58"/>
      <c r="AZ11" s="65" t="str">
        <f t="shared" si="20"/>
        <v/>
      </c>
      <c r="BA11" s="58"/>
      <c r="BB11" s="65" t="str">
        <f t="shared" si="21"/>
        <v/>
      </c>
      <c r="BC11" s="58"/>
      <c r="BD11" s="65" t="str">
        <f>IF((BC11-BC10&lt;0), "",(BC11-BC10)*1000)</f>
        <v/>
      </c>
      <c r="BE11" s="59"/>
      <c r="BF11" s="67" t="str">
        <f t="shared" si="39"/>
        <v/>
      </c>
      <c r="BG11" s="60"/>
      <c r="BH11" s="65" t="str">
        <f t="shared" si="23"/>
        <v/>
      </c>
      <c r="BI11" s="60"/>
      <c r="BJ11" s="65" t="str">
        <f t="shared" si="40"/>
        <v/>
      </c>
      <c r="BK11" s="60"/>
      <c r="BL11" s="65" t="str">
        <f t="shared" si="24"/>
        <v/>
      </c>
      <c r="BM11" s="60"/>
      <c r="BN11" s="65" t="str">
        <f t="shared" si="25"/>
        <v/>
      </c>
      <c r="BO11" s="60"/>
      <c r="BP11" s="65" t="str">
        <f t="shared" si="26"/>
        <v/>
      </c>
      <c r="BQ11" s="60"/>
      <c r="BR11" s="65" t="str">
        <f t="shared" si="27"/>
        <v/>
      </c>
      <c r="BS11" s="60"/>
      <c r="BT11" s="65" t="str">
        <f t="shared" si="42"/>
        <v/>
      </c>
      <c r="BU11" s="60"/>
      <c r="BV11" s="65" t="str">
        <f t="shared" si="29"/>
        <v/>
      </c>
      <c r="BW11" s="60"/>
      <c r="BX11" s="65" t="str">
        <f t="shared" si="30"/>
        <v/>
      </c>
      <c r="BY11" s="60"/>
      <c r="BZ11" s="67" t="str">
        <f t="shared" si="31"/>
        <v/>
      </c>
      <c r="CA11" s="60"/>
      <c r="CB11" s="67" t="str">
        <f t="shared" si="32"/>
        <v/>
      </c>
      <c r="CC11" s="60"/>
      <c r="CD11" s="67" t="str">
        <f t="shared" si="33"/>
        <v/>
      </c>
      <c r="CE11" s="60"/>
      <c r="CF11" s="67" t="str">
        <f t="shared" si="34"/>
        <v/>
      </c>
      <c r="CG11" s="60"/>
      <c r="CH11" s="67" t="str">
        <f t="shared" si="35"/>
        <v/>
      </c>
      <c r="CI11" s="60"/>
      <c r="CJ11" s="67" t="str">
        <f t="shared" si="36"/>
        <v/>
      </c>
      <c r="CK11" s="60"/>
      <c r="CL11" s="64" t="str">
        <f t="shared" si="37"/>
        <v/>
      </c>
      <c r="CM11" s="65" t="e">
        <f t="shared" si="41"/>
        <v>#VALUE!</v>
      </c>
      <c r="CN11" s="62">
        <v>0</v>
      </c>
      <c r="CO11" s="62">
        <v>0</v>
      </c>
      <c r="CP11" s="68"/>
      <c r="CQ11" s="67" t="str">
        <f>IF((CP11-CP10&lt;0), "",CP11-CP10)</f>
        <v/>
      </c>
      <c r="CR11" s="68"/>
      <c r="CS11" s="67" t="str">
        <f t="shared" si="38"/>
        <v/>
      </c>
      <c r="CT11" s="75"/>
      <c r="CU11" s="67" t="str">
        <f t="shared" si="38"/>
        <v/>
      </c>
      <c r="CV11" s="68"/>
      <c r="CW11" s="67" t="str">
        <f t="shared" si="38"/>
        <v/>
      </c>
    </row>
    <row r="12" spans="1:102" ht="25.5" customHeight="1" thickBot="1" x14ac:dyDescent="0.45">
      <c r="A12" s="63">
        <v>44386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44387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44388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44389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44390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44391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44392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44393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44394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44395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44396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44397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44398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44399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44400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44401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44402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44403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44404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44405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44406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5" zoomScaleNormal="100" workbookViewId="0">
      <selection activeCell="C14" sqref="C14:Q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25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-198</v>
      </c>
    </row>
    <row r="16" spans="1:20" x14ac:dyDescent="0.25">
      <c r="A16" s="73">
        <v>44021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2021-07-08T19:17:11Z</dcterms:modified>
</cp:coreProperties>
</file>