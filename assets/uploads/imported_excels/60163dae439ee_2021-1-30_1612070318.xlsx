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filterPrivacy="1" defaultThemeVersion="124226"/>
  <xr:revisionPtr revIDLastSave="0" documentId="13_ncr:1_{1E54644B-E173-42C3-9979-7B00D8ABD631}" xr6:coauthVersionLast="3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T33" i="2" l="1"/>
  <c r="B30" i="8" l="1"/>
  <c r="B31" i="8"/>
  <c r="B32" i="8"/>
  <c r="B33" i="8"/>
  <c r="B34" i="8"/>
  <c r="B29" i="4"/>
  <c r="B30" i="4"/>
  <c r="L30" i="4" s="1"/>
  <c r="B31" i="4"/>
  <c r="B32" i="4"/>
  <c r="B33" i="4"/>
  <c r="L29" i="4"/>
  <c r="L31" i="4"/>
  <c r="K29" i="4"/>
  <c r="K30" i="4"/>
  <c r="K31" i="4"/>
  <c r="K33" i="4"/>
  <c r="J29" i="4"/>
  <c r="J30" i="4"/>
  <c r="J31" i="4"/>
  <c r="I29" i="4"/>
  <c r="I30" i="4"/>
  <c r="I31" i="4"/>
  <c r="H29" i="4"/>
  <c r="H30" i="4"/>
  <c r="H31" i="4"/>
  <c r="G29" i="4"/>
  <c r="G30" i="4"/>
  <c r="G31" i="4"/>
  <c r="F29" i="4"/>
  <c r="F30" i="4"/>
  <c r="F31" i="4"/>
  <c r="E29" i="4"/>
  <c r="E30" i="4"/>
  <c r="E31" i="4"/>
  <c r="E33" i="4"/>
  <c r="U29" i="2"/>
  <c r="U30" i="2"/>
  <c r="U31" i="2"/>
  <c r="U32" i="2"/>
  <c r="U33" i="2"/>
  <c r="K32" i="4" s="1"/>
  <c r="U34" i="2"/>
  <c r="T29" i="2"/>
  <c r="T30" i="2"/>
  <c r="T31" i="2"/>
  <c r="T32" i="2"/>
  <c r="J32" i="4"/>
  <c r="T34" i="2"/>
  <c r="S29" i="2"/>
  <c r="S30" i="2"/>
  <c r="S31" i="2"/>
  <c r="S32" i="2"/>
  <c r="S33" i="2"/>
  <c r="S34" i="2"/>
  <c r="R29" i="2"/>
  <c r="R30" i="2"/>
  <c r="R31" i="2"/>
  <c r="R32" i="2"/>
  <c r="R33" i="2"/>
  <c r="R34" i="2"/>
  <c r="Q29" i="2"/>
  <c r="Q30" i="2"/>
  <c r="Q31" i="2"/>
  <c r="Q32" i="2"/>
  <c r="Q33" i="2"/>
  <c r="Q34" i="2"/>
  <c r="P29" i="2"/>
  <c r="P30" i="2"/>
  <c r="P31" i="2"/>
  <c r="P32" i="2"/>
  <c r="P33" i="2"/>
  <c r="P34" i="2"/>
  <c r="O29" i="2"/>
  <c r="O30" i="2"/>
  <c r="O31" i="2"/>
  <c r="O32" i="2"/>
  <c r="O33" i="2"/>
  <c r="O34" i="2"/>
  <c r="N29" i="2"/>
  <c r="N30" i="2"/>
  <c r="N31" i="2"/>
  <c r="N32" i="2"/>
  <c r="N33" i="2"/>
  <c r="N34" i="2"/>
  <c r="M29" i="2"/>
  <c r="M30" i="2"/>
  <c r="M31" i="2"/>
  <c r="M32" i="2"/>
  <c r="M33" i="2"/>
  <c r="M34" i="2"/>
  <c r="L29" i="2"/>
  <c r="L30" i="2"/>
  <c r="L31" i="2"/>
  <c r="L32" i="2"/>
  <c r="L33" i="2"/>
  <c r="H32" i="4" s="1"/>
  <c r="L34" i="2"/>
  <c r="H33" i="4" s="1"/>
  <c r="K29" i="2"/>
  <c r="K30" i="2"/>
  <c r="K31" i="2"/>
  <c r="K32" i="2"/>
  <c r="K33" i="2"/>
  <c r="K34" i="2"/>
  <c r="J29" i="2"/>
  <c r="J30" i="2"/>
  <c r="J31" i="2"/>
  <c r="J32" i="2"/>
  <c r="J33" i="2"/>
  <c r="J34" i="2"/>
  <c r="I29" i="2"/>
  <c r="I30" i="2"/>
  <c r="I31" i="2"/>
  <c r="I32" i="2"/>
  <c r="I33" i="2"/>
  <c r="I34" i="2"/>
  <c r="H29" i="2"/>
  <c r="H30" i="2"/>
  <c r="H31" i="2"/>
  <c r="H32" i="2"/>
  <c r="H33" i="2"/>
  <c r="H34" i="2"/>
  <c r="G29" i="2"/>
  <c r="G30" i="2"/>
  <c r="G31" i="2"/>
  <c r="G32" i="2"/>
  <c r="G33" i="2"/>
  <c r="G34" i="2"/>
  <c r="F29" i="2"/>
  <c r="F30" i="2"/>
  <c r="F31" i="2"/>
  <c r="F32" i="2"/>
  <c r="F33" i="2"/>
  <c r="F34" i="2"/>
  <c r="E30" i="2"/>
  <c r="E31" i="2"/>
  <c r="E32" i="2"/>
  <c r="E33" i="2"/>
  <c r="E32" i="4" s="1"/>
  <c r="E34" i="2"/>
  <c r="D30" i="2"/>
  <c r="D31" i="2"/>
  <c r="D32" i="2"/>
  <c r="D31" i="4" s="1"/>
  <c r="D33" i="2"/>
  <c r="D32" i="4" s="1"/>
  <c r="D34" i="2"/>
  <c r="C31" i="2"/>
  <c r="C30" i="4" s="1"/>
  <c r="C32" i="2"/>
  <c r="C31" i="4" s="1"/>
  <c r="C33" i="2"/>
  <c r="C34" i="2"/>
  <c r="D29" i="4"/>
  <c r="D30" i="4"/>
  <c r="C32" i="4"/>
  <c r="C33" i="4"/>
  <c r="B29" i="2"/>
  <c r="V29" i="2" s="1"/>
  <c r="B28" i="2"/>
  <c r="B30" i="2"/>
  <c r="V30" i="2" s="1"/>
  <c r="B31" i="2"/>
  <c r="V31" i="2" s="1"/>
  <c r="B32" i="2"/>
  <c r="C31" i="3" s="1"/>
  <c r="B33" i="2"/>
  <c r="B34" i="2"/>
  <c r="J33" i="4" l="1"/>
  <c r="G33" i="4"/>
  <c r="G32" i="4"/>
  <c r="I32" i="4"/>
  <c r="F33" i="4"/>
  <c r="F32" i="4"/>
  <c r="I33" i="4"/>
  <c r="V34" i="2"/>
  <c r="D33" i="4"/>
  <c r="V33" i="2"/>
  <c r="M32" i="3" s="1"/>
  <c r="V32" i="2"/>
  <c r="S27" i="2"/>
  <c r="L32" i="4" l="1"/>
  <c r="L33" i="4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B4" i="4" l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C33" i="3"/>
  <c r="D33" i="3"/>
  <c r="E33" i="3"/>
  <c r="J33" i="3"/>
  <c r="K33" i="3"/>
  <c r="L33" i="3"/>
  <c r="D34" i="4" l="1"/>
  <c r="D36" i="4" s="1"/>
  <c r="I33" i="3"/>
  <c r="H33" i="3"/>
  <c r="F33" i="3" l="1"/>
  <c r="M33" i="3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A33" i="4"/>
  <c r="A33" i="3"/>
  <c r="B35" i="2"/>
  <c r="A34" i="2"/>
  <c r="A33" i="8" l="1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P6" i="8"/>
  <c r="P10" i="8"/>
  <c r="X10" i="8"/>
  <c r="P14" i="8"/>
  <c r="X6" i="8"/>
  <c r="X30" i="8"/>
  <c r="R30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C5" i="2" l="1"/>
  <c r="C4" i="2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K28" i="4"/>
  <c r="L31" i="3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F29" i="3"/>
  <c r="F30" i="3"/>
  <c r="F31" i="3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5" i="2"/>
  <c r="R6" i="2"/>
  <c r="R7" i="2"/>
  <c r="R8" i="2"/>
  <c r="R11" i="2"/>
  <c r="R4" i="2"/>
  <c r="A30" i="4"/>
  <c r="A31" i="4"/>
  <c r="A32" i="4"/>
  <c r="C29" i="3"/>
  <c r="C30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24" i="2"/>
  <c r="V16" i="2"/>
  <c r="M15" i="3" s="1"/>
  <c r="F4" i="3"/>
  <c r="V5" i="2"/>
  <c r="M4" i="3" s="1"/>
  <c r="M35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M28" i="3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26" i="4"/>
  <c r="D24" i="3"/>
  <c r="C23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K31" i="3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17" i="3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J32" i="3"/>
  <c r="J31" i="3"/>
  <c r="G32" i="3"/>
  <c r="I31" i="3"/>
  <c r="E32" i="3"/>
  <c r="E31" i="3"/>
  <c r="F32" i="3"/>
  <c r="G30" i="3"/>
  <c r="I30" i="3"/>
  <c r="H30" i="3"/>
  <c r="J30" i="3"/>
  <c r="E30" i="3"/>
  <c r="K30" i="3"/>
  <c r="K29" i="3"/>
  <c r="C28" i="4"/>
  <c r="L29" i="3"/>
  <c r="J29" i="3"/>
  <c r="I29" i="3"/>
  <c r="E29" i="3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22" i="4"/>
  <c r="L19" i="4"/>
  <c r="L27" i="4"/>
  <c r="L16" i="4"/>
  <c r="L24" i="4"/>
  <c r="L21" i="4"/>
  <c r="L28" i="4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0CD1090-8499-4E45-A7ED-14AE0C7809C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<sst xmlns="http://schemas.openxmlformats.org/spreadsheetml/2006/main" count="201" uniqueCount="128">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</sst>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-334740</c:v>
                </c:pt>
                <c:pt idx="1">
                  <c:v>-1935500</c:v>
                </c:pt>
                <c:pt idx="2">
                  <c:v>-187450</c:v>
                </c:pt>
                <c:pt idx="3">
                  <c:v>-750470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-44506</c:v>
                </c:pt>
                <c:pt idx="1">
                  <c:v>0.19373345869898315</c:v>
                </c:pt>
                <c:pt idx="2" formatCode="_(* #,##0.00_);_(* \(#,##0.00\);_(* &quot;-&quot;??_);_(@_)">
                  <c:v>-177785</c:v>
                </c:pt>
                <c:pt idx="3">
                  <c:v>0.77389347402145148</c:v>
                </c:pt>
                <c:pt idx="4" formatCode="0.00">
                  <c:v>-25641</c:v>
                </c:pt>
                <c:pt idx="5">
                  <c:v>0.11161460509820309</c:v>
                </c:pt>
                <c:pt idx="6" formatCode="0.00">
                  <c:v>-31035</c:v>
                </c:pt>
                <c:pt idx="7">
                  <c:v>0.13509454659423317</c:v>
                </c:pt>
                <c:pt idx="8" formatCode="0.00">
                  <c:v>-5252</c:v>
                </c:pt>
                <c:pt idx="9">
                  <c:v>2.2861819194873938E-2</c:v>
                </c:pt>
                <c:pt idx="10" formatCode="0.00">
                  <c:v>43</c:v>
                </c:pt>
                <c:pt idx="11">
                  <c:v>-1.8717787992756651E-4</c:v>
                </c:pt>
                <c:pt idx="12" formatCode="0.00">
                  <c:v>-66831</c:v>
                </c:pt>
                <c:pt idx="13">
                  <c:v>0.2909136021730046</c:v>
                </c:pt>
                <c:pt idx="14" formatCode="_(* #,##0.00_);_(* \(#,##0.00\);_(* &quot;-&quot;??_);_(@_)">
                  <c:v>-237039</c:v>
                </c:pt>
                <c:pt idx="15">
                  <c:v>1.0318245925616381</c:v>
                </c:pt>
                <c:pt idx="16" formatCode="0.00">
                  <c:v>-108009</c:v>
                </c:pt>
                <c:pt idx="17">
                  <c:v>0.47016036356038443</c:v>
                </c:pt>
                <c:pt idx="18" formatCode="0.00">
                  <c:v>-17981</c:v>
                </c:pt>
                <c:pt idx="19">
                  <c:v>7.8270824627385424E-2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-714036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10" zoomScale="85" zoomScaleNormal="85" workbookViewId="0">
      <selection activeCell="M30" sqref="M30:O3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19019.999999999302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1.5287027707808565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22269.999999999527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1.5287027707808565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23276.000000001208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1.5287027707808565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20043.99999999896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19110.000000000582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0</v>
      </c>
      <c r="L6" s="76">
        <v>1.5287027707808565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18760.000000000218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1.5287027707808565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22079.999999999472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1.5287027707808565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19940.000000000055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1.5287027707808565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20900.000000000771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0</v>
      </c>
      <c r="L10" s="76">
        <v>1.5287027707808565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21479.999999999112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1.5287027707808565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20740.000000001142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0</v>
      </c>
      <c r="L12" s="76">
        <v>1.5287027707808565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19419.999999999389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1.5287027707808565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19699.999999999593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0</v>
      </c>
      <c r="L14" s="76">
        <v>1.5287027707808565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22230.000000000244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1.5287027707808565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20079.999999999698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1.5287027707808565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20619.999999999665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0</v>
      </c>
      <c r="L17" s="76">
        <v>1.5287027707808565</v>
      </c>
      <c r="M17" s="72">
        <v>45</v>
      </c>
      <c r="N17" s="72">
        <v>104</v>
      </c>
      <c r="O17" s="72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21550.000000000407</v>
      </c>
      <c r="F18" s="48">
        <v>0.14000000000000001</v>
      </c>
      <c r="G18" s="107">
        <v>5890</v>
      </c>
      <c r="H18" s="48">
        <v>0.4453480216384178</v>
      </c>
      <c r="I18" s="65">
        <v>240</v>
      </c>
      <c r="J18" s="76">
        <v>0.4</v>
      </c>
      <c r="K18" s="108">
        <v>0</v>
      </c>
      <c r="L18" s="76">
        <v>1.5287027707808565</v>
      </c>
      <c r="M18" s="72">
        <v>46</v>
      </c>
      <c r="N18" s="72">
        <v>107</v>
      </c>
      <c r="O18" s="72">
        <v>299</v>
      </c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21250.000000000229</v>
      </c>
      <c r="F19" s="48">
        <v>0.14000000000000001</v>
      </c>
      <c r="G19" s="107">
        <v>6076</v>
      </c>
      <c r="H19" s="48">
        <v>0.4453480216384178</v>
      </c>
      <c r="I19" s="65">
        <v>327</v>
      </c>
      <c r="J19" s="76">
        <v>0.4</v>
      </c>
      <c r="K19" s="108">
        <v>0</v>
      </c>
      <c r="L19" s="76">
        <v>1.5287027707808565</v>
      </c>
      <c r="M19" s="72">
        <v>42</v>
      </c>
      <c r="N19" s="72">
        <v>96</v>
      </c>
      <c r="O19" s="72">
        <v>279</v>
      </c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21239.999999999782</v>
      </c>
      <c r="F20" s="48">
        <v>0.14000000000000001</v>
      </c>
      <c r="G20" s="107">
        <v>5656</v>
      </c>
      <c r="H20" s="48">
        <v>0.4453480216384178</v>
      </c>
      <c r="I20" s="65">
        <v>205</v>
      </c>
      <c r="J20" s="76">
        <v>0.4</v>
      </c>
      <c r="K20" s="108">
        <v>0</v>
      </c>
      <c r="L20" s="76">
        <v>1.5287027707808565</v>
      </c>
      <c r="M20" s="72">
        <v>41</v>
      </c>
      <c r="N20" s="72">
        <v>91</v>
      </c>
      <c r="O20" s="72">
        <v>275</v>
      </c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21230.000000000247</v>
      </c>
      <c r="F21" s="48">
        <v>0.14000000000000001</v>
      </c>
      <c r="G21" s="107">
        <v>5928</v>
      </c>
      <c r="H21" s="48">
        <v>0.4453480216384178</v>
      </c>
      <c r="I21" s="65">
        <v>303</v>
      </c>
      <c r="J21" s="76">
        <v>0.4</v>
      </c>
      <c r="K21" s="108">
        <v>0</v>
      </c>
      <c r="L21" s="76">
        <v>1.5287027707808565</v>
      </c>
      <c r="M21" s="72">
        <v>42</v>
      </c>
      <c r="N21" s="72">
        <v>93</v>
      </c>
      <c r="O21" s="72">
        <v>273</v>
      </c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20830.000000000153</v>
      </c>
      <c r="F22" s="48">
        <v>0.14000000000000001</v>
      </c>
      <c r="G22" s="107">
        <v>5784</v>
      </c>
      <c r="H22" s="48">
        <v>0.4453480216384178</v>
      </c>
      <c r="I22" s="65">
        <v>291</v>
      </c>
      <c r="J22" s="76">
        <v>0.4</v>
      </c>
      <c r="K22" s="108">
        <v>0</v>
      </c>
      <c r="L22" s="76">
        <v>1.5287027707808565</v>
      </c>
      <c r="M22" s="72">
        <v>42</v>
      </c>
      <c r="N22" s="72">
        <v>92</v>
      </c>
      <c r="O22" s="72">
        <v>287</v>
      </c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21389.999999999647</v>
      </c>
      <c r="F23" s="48">
        <v>0.14000000000000001</v>
      </c>
      <c r="G23" s="107">
        <v>5894</v>
      </c>
      <c r="H23" s="48">
        <v>0.4453480216384178</v>
      </c>
      <c r="I23" s="65">
        <v>278</v>
      </c>
      <c r="J23" s="76">
        <v>0.4</v>
      </c>
      <c r="K23" s="108">
        <v>0</v>
      </c>
      <c r="L23" s="76">
        <v>1.5287027707808565</v>
      </c>
      <c r="M23" s="72">
        <v>45</v>
      </c>
      <c r="N23" s="72">
        <v>103</v>
      </c>
      <c r="O23" s="72">
        <v>296</v>
      </c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22340.000000000371</v>
      </c>
      <c r="F24" s="48">
        <v>0.14000000000000001</v>
      </c>
      <c r="G24" s="107">
        <v>6019</v>
      </c>
      <c r="H24" s="48">
        <v>0.4453480216384178</v>
      </c>
      <c r="I24" s="65">
        <v>269</v>
      </c>
      <c r="J24" s="76">
        <v>0.4</v>
      </c>
      <c r="K24" s="108">
        <v>0</v>
      </c>
      <c r="L24" s="76">
        <v>1.5287027707808565</v>
      </c>
      <c r="M24" s="72">
        <v>40</v>
      </c>
      <c r="N24" s="72">
        <v>95</v>
      </c>
      <c r="O24" s="72">
        <v>268</v>
      </c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22340.000000000146</v>
      </c>
      <c r="F25" s="48">
        <v>0.14000000000000001</v>
      </c>
      <c r="G25" s="107">
        <v>6181</v>
      </c>
      <c r="H25" s="48">
        <v>0.4453480216384178</v>
      </c>
      <c r="I25" s="65">
        <v>267</v>
      </c>
      <c r="J25" s="76">
        <v>0.4</v>
      </c>
      <c r="K25" s="108">
        <v>0</v>
      </c>
      <c r="L25" s="76">
        <v>1.5287027707808565</v>
      </c>
      <c r="M25" s="72">
        <v>37</v>
      </c>
      <c r="N25" s="72">
        <v>89</v>
      </c>
      <c r="O25" s="72">
        <v>244</v>
      </c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21589.99999999992</v>
      </c>
      <c r="F26" s="48">
        <v>0.14000000000000001</v>
      </c>
      <c r="G26" s="107">
        <v>6140</v>
      </c>
      <c r="H26" s="48">
        <v>0.4453480216384178</v>
      </c>
      <c r="I26" s="65">
        <v>253</v>
      </c>
      <c r="J26" s="76">
        <v>0.4</v>
      </c>
      <c r="K26" s="108">
        <v>0</v>
      </c>
      <c r="L26" s="76">
        <v>1.5287027707808565</v>
      </c>
      <c r="M26" s="72">
        <v>36</v>
      </c>
      <c r="N26" s="72">
        <v>89</v>
      </c>
      <c r="O26" s="72">
        <v>254</v>
      </c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20749.999999999545</v>
      </c>
      <c r="F27" s="48">
        <v>0.14000000000000001</v>
      </c>
      <c r="G27" s="107">
        <v>5556</v>
      </c>
      <c r="H27" s="48">
        <v>0.4453480216384178</v>
      </c>
      <c r="I27" s="65">
        <v>251</v>
      </c>
      <c r="J27" s="76">
        <v>0.4</v>
      </c>
      <c r="K27" s="108">
        <v>0</v>
      </c>
      <c r="L27" s="76">
        <v>1.5287027707808565</v>
      </c>
      <c r="M27" s="72">
        <v>36</v>
      </c>
      <c r="N27" s="72">
        <v>86</v>
      </c>
      <c r="O27" s="72">
        <v>240</v>
      </c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20950.000000000728</v>
      </c>
      <c r="F28" s="48">
        <v>0.14000000000000001</v>
      </c>
      <c r="G28" s="107">
        <v>5765</v>
      </c>
      <c r="H28" s="48">
        <v>0.4453480216384178</v>
      </c>
      <c r="I28" s="65">
        <v>308</v>
      </c>
      <c r="J28" s="76">
        <v>0.4</v>
      </c>
      <c r="K28" s="108">
        <v>0</v>
      </c>
      <c r="L28" s="76">
        <v>1.5287027707808565</v>
      </c>
      <c r="M28" s="72">
        <v>40</v>
      </c>
      <c r="N28" s="72">
        <v>99</v>
      </c>
      <c r="O28" s="72">
        <v>244</v>
      </c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21319.999999999251</v>
      </c>
      <c r="F29" s="48">
        <v>0.14000000000000001</v>
      </c>
      <c r="G29" s="107">
        <v>5708</v>
      </c>
      <c r="H29" s="48">
        <v>0.4453480216384178</v>
      </c>
      <c r="I29" s="65">
        <v>247</v>
      </c>
      <c r="J29" s="76">
        <v>0.4</v>
      </c>
      <c r="K29" s="108">
        <v>0</v>
      </c>
      <c r="L29" s="76">
        <v>1.5287027707808565</v>
      </c>
      <c r="M29" s="72">
        <v>33</v>
      </c>
      <c r="N29" s="72">
        <v>86</v>
      </c>
      <c r="O29" s="72">
        <v>214</v>
      </c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20730.000000000018</v>
      </c>
      <c r="F30" s="48">
        <v>0.14000000000000001</v>
      </c>
      <c r="G30" s="107">
        <v>5662</v>
      </c>
      <c r="H30" s="48">
        <v>0.4453480216384178</v>
      </c>
      <c r="I30" s="65">
        <v>268</v>
      </c>
      <c r="J30" s="76">
        <v>0.4</v>
      </c>
      <c r="K30" s="108">
        <v>0</v>
      </c>
      <c r="L30" s="76">
        <v>1.5287027707808565</v>
      </c>
      <c r="M30" s="72">
        <v>29</v>
      </c>
      <c r="N30" s="72">
        <v>76</v>
      </c>
      <c r="O30" s="72">
        <v>215</v>
      </c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21599.999999999913</v>
      </c>
      <c r="F31" s="48">
        <v>0.14000000000000001</v>
      </c>
      <c r="G31" s="107">
        <v>5898</v>
      </c>
      <c r="H31" s="48">
        <v>0.4453480216384178</v>
      </c>
      <c r="I31" s="65">
        <v>250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10" t="s">
        <v>53</v>
      </c>
      <c r="B33" s="110"/>
      <c r="C33" s="110"/>
      <c r="D33" s="110"/>
      <c r="E33" s="101">
        <f>SUM(E2:E32)</f>
        <v>628779.9999999993</v>
      </c>
      <c r="F33" s="104">
        <v>0</v>
      </c>
      <c r="G33" s="101">
        <f>SUM(G2:G32)</f>
        <v>173208</v>
      </c>
      <c r="H33" s="102">
        <v>0</v>
      </c>
      <c r="I33" s="103">
        <f>SUM(I2:I32)</f>
        <v>8313</v>
      </c>
      <c r="J33" s="104">
        <v>0</v>
      </c>
      <c r="K33" s="105">
        <v>0</v>
      </c>
      <c r="L33" s="102">
        <v>0</v>
      </c>
      <c r="M33" s="106">
        <f t="shared" ref="M33:O33" si="1">SUM(M2:M32)</f>
        <v>1350</v>
      </c>
      <c r="N33" s="106">
        <f t="shared" si="1"/>
        <v>3471</v>
      </c>
      <c r="O33" s="106">
        <f t="shared" si="1"/>
        <v>9739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9" zoomScale="78" zoomScaleNormal="78" workbookViewId="0">
      <selection activeCell="V32" sqref="V32:X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4" t="s">
        <v>10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77"/>
      <c r="V1" s="77"/>
    </row>
    <row r="2" spans="1:25" s="17" customFormat="1" ht="33" customHeight="1" x14ac:dyDescent="0.25">
      <c r="A2" s="29" t="s">
        <v>2</v>
      </c>
      <c r="B2" s="111" t="s">
        <v>11</v>
      </c>
      <c r="C2" s="111" t="s">
        <v>12</v>
      </c>
      <c r="D2" s="111" t="s">
        <v>13</v>
      </c>
      <c r="E2" s="111" t="s">
        <v>14</v>
      </c>
      <c r="F2" s="111" t="s">
        <v>15</v>
      </c>
      <c r="G2" s="116" t="s">
        <v>16</v>
      </c>
      <c r="H2" s="118" t="s">
        <v>17</v>
      </c>
      <c r="I2" s="111" t="s">
        <v>18</v>
      </c>
      <c r="J2" s="121" t="s">
        <v>19</v>
      </c>
      <c r="K2" s="122"/>
      <c r="L2" s="123"/>
      <c r="M2" s="116" t="s">
        <v>20</v>
      </c>
      <c r="N2" s="118" t="s">
        <v>21</v>
      </c>
      <c r="O2" s="119" t="s">
        <v>22</v>
      </c>
      <c r="P2" s="118" t="s">
        <v>23</v>
      </c>
      <c r="Q2" s="124" t="s">
        <v>24</v>
      </c>
      <c r="R2" s="111" t="s">
        <v>25</v>
      </c>
      <c r="S2" s="111" t="s">
        <v>26</v>
      </c>
      <c r="T2" s="111" t="s">
        <v>27</v>
      </c>
      <c r="V2" s="113" t="s">
        <v>6</v>
      </c>
      <c r="W2" s="113" t="s">
        <v>7</v>
      </c>
      <c r="X2" s="113" t="s">
        <v>8</v>
      </c>
    </row>
    <row r="3" spans="1:25" s="17" customFormat="1" ht="45" customHeight="1" x14ac:dyDescent="0.25">
      <c r="A3" s="30"/>
      <c r="B3" s="112"/>
      <c r="C3" s="112"/>
      <c r="D3" s="112"/>
      <c r="E3" s="112"/>
      <c r="F3" s="112"/>
      <c r="G3" s="117"/>
      <c r="H3" s="118"/>
      <c r="I3" s="112"/>
      <c r="J3" s="18" t="s">
        <v>28</v>
      </c>
      <c r="K3" s="18" t="s">
        <v>29</v>
      </c>
      <c r="L3" s="18" t="s">
        <v>30</v>
      </c>
      <c r="M3" s="117"/>
      <c r="N3" s="118"/>
      <c r="O3" s="120"/>
      <c r="P3" s="118"/>
      <c r="Q3" s="125"/>
      <c r="R3" s="112"/>
      <c r="S3" s="112"/>
      <c r="T3" s="112"/>
      <c r="V3" s="113"/>
      <c r="W3" s="113"/>
      <c r="X3" s="113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>
        <v>45</v>
      </c>
      <c r="W19" s="71">
        <v>104</v>
      </c>
      <c r="X19" s="71">
        <v>293</v>
      </c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>
        <v>46</v>
      </c>
      <c r="W20" s="71">
        <v>107</v>
      </c>
      <c r="X20" s="71">
        <v>299</v>
      </c>
      <c r="Y20" s="17"/>
    </row>
    <row r="21" spans="1:25" ht="21" customHeight="1" x14ac:dyDescent="0.25">
      <c r="A21" s="8">
        <v>44214</v>
      </c>
      <c r="B21" s="1">
        <v>773.85</v>
      </c>
      <c r="C21" s="1">
        <v>191.91</v>
      </c>
      <c r="D21" s="1">
        <v>7098396.9199999999</v>
      </c>
      <c r="E21" s="1">
        <v>7691015.5099999998</v>
      </c>
      <c r="F21" s="1">
        <v>1.9782999999999999</v>
      </c>
      <c r="G21" s="1">
        <v>597.05999999999995</v>
      </c>
      <c r="H21" s="1">
        <v>495.06</v>
      </c>
      <c r="I21" s="1">
        <v>185.53</v>
      </c>
      <c r="J21" s="1">
        <v>277.88</v>
      </c>
      <c r="K21" s="1">
        <v>290.45</v>
      </c>
      <c r="L21" s="1">
        <v>199.52</v>
      </c>
      <c r="M21" s="1">
        <v>397.91</v>
      </c>
      <c r="N21" s="1">
        <v>342.69</v>
      </c>
      <c r="O21" s="1">
        <v>111.83</v>
      </c>
      <c r="P21" s="1">
        <v>460.52</v>
      </c>
      <c r="Q21" s="1">
        <v>341.48</v>
      </c>
      <c r="R21" s="1">
        <v>117.23</v>
      </c>
      <c r="S21" s="1">
        <v>93.593000000000004</v>
      </c>
      <c r="T21" s="1">
        <v>343.67</v>
      </c>
      <c r="V21" s="71">
        <v>42</v>
      </c>
      <c r="W21" s="71">
        <v>96</v>
      </c>
      <c r="X21" s="71">
        <v>279</v>
      </c>
      <c r="Y21" s="17"/>
    </row>
    <row r="22" spans="1:25" ht="21" customHeight="1" x14ac:dyDescent="0.25">
      <c r="A22" s="8">
        <v>44215</v>
      </c>
      <c r="B22" s="1">
        <v>775.1</v>
      </c>
      <c r="C22" s="1">
        <v>192.19</v>
      </c>
      <c r="D22" s="1">
        <v>7100653.5499999998</v>
      </c>
      <c r="E22" s="1">
        <v>7694084.4500000002</v>
      </c>
      <c r="F22" s="1">
        <v>1.9810000000000001</v>
      </c>
      <c r="G22" s="1">
        <v>597.92999999999995</v>
      </c>
      <c r="H22" s="1">
        <v>495.98</v>
      </c>
      <c r="I22" s="1">
        <v>185.82</v>
      </c>
      <c r="J22" s="1">
        <v>278.35000000000002</v>
      </c>
      <c r="K22" s="1">
        <v>290.89</v>
      </c>
      <c r="L22" s="1">
        <v>199.8</v>
      </c>
      <c r="M22" s="1">
        <v>398.61</v>
      </c>
      <c r="N22" s="1">
        <v>343.47</v>
      </c>
      <c r="O22" s="1">
        <v>112.06</v>
      </c>
      <c r="P22" s="1">
        <v>461.28</v>
      </c>
      <c r="Q22" s="1">
        <v>342.16</v>
      </c>
      <c r="R22" s="28">
        <v>117.38</v>
      </c>
      <c r="S22" s="28">
        <v>93.710999999999999</v>
      </c>
      <c r="T22" s="1">
        <v>344.2</v>
      </c>
      <c r="V22" s="71">
        <v>41</v>
      </c>
      <c r="W22" s="71">
        <v>91</v>
      </c>
      <c r="X22" s="71">
        <v>275</v>
      </c>
      <c r="Y22" s="17"/>
    </row>
    <row r="23" spans="1:25" ht="21" customHeight="1" x14ac:dyDescent="0.25">
      <c r="A23" s="8">
        <v>44216</v>
      </c>
      <c r="B23" s="1">
        <v>776.27</v>
      </c>
      <c r="C23" s="1">
        <v>192.44</v>
      </c>
      <c r="D23" s="1">
        <v>7102819.96</v>
      </c>
      <c r="E23" s="1">
        <v>7696975.79</v>
      </c>
      <c r="F23" s="1">
        <v>1.9834000000000001</v>
      </c>
      <c r="G23" s="1">
        <v>598.76</v>
      </c>
      <c r="H23" s="1">
        <v>496.83</v>
      </c>
      <c r="I23" s="1">
        <v>186.07</v>
      </c>
      <c r="J23" s="1">
        <v>278.49</v>
      </c>
      <c r="K23" s="1">
        <v>291.25</v>
      </c>
      <c r="L23" s="1">
        <v>200.01</v>
      </c>
      <c r="M23" s="1">
        <v>399.25</v>
      </c>
      <c r="N23" s="1">
        <v>344.28</v>
      </c>
      <c r="O23" s="1">
        <v>112.28</v>
      </c>
      <c r="P23" s="1">
        <v>461.98</v>
      </c>
      <c r="Q23" s="1">
        <v>342.75</v>
      </c>
      <c r="R23" s="1">
        <v>117.49</v>
      </c>
      <c r="S23" s="1">
        <v>93.852999999999994</v>
      </c>
      <c r="T23" s="1">
        <v>344.36</v>
      </c>
      <c r="V23" s="71">
        <v>42</v>
      </c>
      <c r="W23" s="71">
        <v>93</v>
      </c>
      <c r="X23" s="71">
        <v>273</v>
      </c>
      <c r="Y23" s="17"/>
    </row>
    <row r="24" spans="1:25" ht="21" customHeight="1" x14ac:dyDescent="0.25">
      <c r="A24" s="8">
        <v>44217</v>
      </c>
      <c r="B24" s="1">
        <v>777.36</v>
      </c>
      <c r="C24" s="1">
        <v>192.67</v>
      </c>
      <c r="D24" s="1">
        <v>7104728.8300000001</v>
      </c>
      <c r="E24" s="1">
        <v>7699549.6100000003</v>
      </c>
      <c r="F24" s="1">
        <v>1.9859</v>
      </c>
      <c r="G24" s="1">
        <v>599.5</v>
      </c>
      <c r="H24" s="1">
        <v>497.7</v>
      </c>
      <c r="I24" s="1">
        <v>186.33</v>
      </c>
      <c r="J24" s="1">
        <v>278.7</v>
      </c>
      <c r="K24" s="1">
        <v>291.52999999999997</v>
      </c>
      <c r="L24" s="1">
        <v>200.2</v>
      </c>
      <c r="M24" s="1">
        <v>399.94</v>
      </c>
      <c r="N24" s="1">
        <v>345.01</v>
      </c>
      <c r="O24" s="1">
        <v>112.49</v>
      </c>
      <c r="P24" s="1">
        <v>462.66</v>
      </c>
      <c r="Q24" s="1">
        <v>343.29</v>
      </c>
      <c r="R24" s="1">
        <v>117.6</v>
      </c>
      <c r="S24" s="1">
        <v>93.992000000000004</v>
      </c>
      <c r="T24" s="1">
        <v>345.21</v>
      </c>
      <c r="V24" s="71">
        <v>42</v>
      </c>
      <c r="W24" s="71">
        <v>92</v>
      </c>
      <c r="X24" s="71">
        <v>287</v>
      </c>
      <c r="Y24" s="17"/>
    </row>
    <row r="25" spans="1:25" ht="21" customHeight="1" x14ac:dyDescent="0.25">
      <c r="A25" s="8">
        <v>44218</v>
      </c>
      <c r="B25" s="1">
        <v>778.36</v>
      </c>
      <c r="C25" s="1">
        <v>192.91</v>
      </c>
      <c r="D25" s="1">
        <v>7106841.9400000004</v>
      </c>
      <c r="E25" s="1">
        <v>7702415.8799999999</v>
      </c>
      <c r="F25" s="1">
        <v>1.9883999999999999</v>
      </c>
      <c r="G25" s="1">
        <v>600.37</v>
      </c>
      <c r="H25" s="1">
        <v>498.34</v>
      </c>
      <c r="I25" s="1">
        <v>186.6</v>
      </c>
      <c r="J25" s="1">
        <v>279.01</v>
      </c>
      <c r="K25" s="1">
        <v>291.88</v>
      </c>
      <c r="L25" s="1">
        <v>200.44</v>
      </c>
      <c r="M25" s="1">
        <v>400.67</v>
      </c>
      <c r="N25" s="1">
        <v>345.77</v>
      </c>
      <c r="O25" s="1">
        <v>112.72</v>
      </c>
      <c r="P25" s="1">
        <v>463.49</v>
      </c>
      <c r="Q25" s="1">
        <v>343.97</v>
      </c>
      <c r="R25" s="1">
        <v>117.77</v>
      </c>
      <c r="S25" s="1">
        <v>94.123000000000005</v>
      </c>
      <c r="T25" s="1">
        <v>345.72</v>
      </c>
      <c r="V25" s="71">
        <v>45</v>
      </c>
      <c r="W25" s="71">
        <v>103</v>
      </c>
      <c r="X25" s="71">
        <v>296</v>
      </c>
      <c r="Y25" s="17"/>
    </row>
    <row r="26" spans="1:25" ht="21" customHeight="1" x14ac:dyDescent="0.25">
      <c r="A26" s="8">
        <v>44219</v>
      </c>
      <c r="B26" s="1">
        <v>779.73</v>
      </c>
      <c r="C26" s="1">
        <v>193.17</v>
      </c>
      <c r="D26" s="1">
        <v>7109098.8099999996</v>
      </c>
      <c r="E26" s="1">
        <v>7704846.3899999997</v>
      </c>
      <c r="F26" s="1">
        <v>1.9910000000000001</v>
      </c>
      <c r="G26" s="1">
        <v>601.21</v>
      </c>
      <c r="H26" s="1">
        <v>499.32</v>
      </c>
      <c r="I26" s="1">
        <v>186.83</v>
      </c>
      <c r="J26" s="1">
        <v>279.33999999999997</v>
      </c>
      <c r="K26" s="1">
        <v>292.25</v>
      </c>
      <c r="L26" s="1">
        <v>200.71</v>
      </c>
      <c r="M26" s="1">
        <v>401.39</v>
      </c>
      <c r="N26" s="1">
        <v>346.49</v>
      </c>
      <c r="O26" s="1">
        <v>112.93</v>
      </c>
      <c r="P26" s="1">
        <v>464.28</v>
      </c>
      <c r="Q26" s="1">
        <v>344.61</v>
      </c>
      <c r="R26" s="1">
        <v>117.95</v>
      </c>
      <c r="S26" s="1">
        <v>94.260999999999996</v>
      </c>
      <c r="T26" s="1">
        <v>345.97</v>
      </c>
      <c r="V26" s="71">
        <v>40</v>
      </c>
      <c r="W26" s="71">
        <v>95</v>
      </c>
      <c r="X26" s="71">
        <v>268</v>
      </c>
      <c r="Y26" s="17"/>
    </row>
    <row r="27" spans="1:25" ht="21" customHeight="1" x14ac:dyDescent="0.25">
      <c r="A27" s="8">
        <v>44220</v>
      </c>
      <c r="B27" s="1">
        <v>780.9</v>
      </c>
      <c r="C27" s="1">
        <v>193.4</v>
      </c>
      <c r="D27" s="1">
        <v>7111284.8200000003</v>
      </c>
      <c r="E27" s="1">
        <v>7707682.6500000004</v>
      </c>
      <c r="F27" s="1">
        <v>1.9934000000000001</v>
      </c>
      <c r="G27" s="1">
        <v>602.01</v>
      </c>
      <c r="H27" s="1">
        <v>500.17</v>
      </c>
      <c r="I27" s="1">
        <v>187.09</v>
      </c>
      <c r="J27" s="1">
        <v>279.58999999999997</v>
      </c>
      <c r="K27" s="1">
        <v>292.54000000000002</v>
      </c>
      <c r="L27" s="1">
        <v>200.91</v>
      </c>
      <c r="M27" s="1">
        <v>402.14</v>
      </c>
      <c r="N27" s="1">
        <v>347.27</v>
      </c>
      <c r="O27" s="1">
        <v>113.13</v>
      </c>
      <c r="P27" s="1">
        <v>465.04</v>
      </c>
      <c r="Q27" s="1">
        <v>345.26</v>
      </c>
      <c r="R27" s="1">
        <v>118.12</v>
      </c>
      <c r="S27" s="1">
        <v>94.39</v>
      </c>
      <c r="T27" s="1">
        <v>346.52</v>
      </c>
      <c r="V27" s="71">
        <v>37</v>
      </c>
      <c r="W27" s="71">
        <v>89</v>
      </c>
      <c r="X27" s="71">
        <v>244</v>
      </c>
      <c r="Y27" s="17"/>
    </row>
    <row r="28" spans="1:25" ht="21" customHeight="1" x14ac:dyDescent="0.25">
      <c r="A28" s="8">
        <v>44221</v>
      </c>
      <c r="B28" s="1">
        <v>782.1</v>
      </c>
      <c r="C28" s="1">
        <v>193.64</v>
      </c>
      <c r="D28" s="1">
        <v>7113665.4000000004</v>
      </c>
      <c r="E28" s="1">
        <v>7710707.0899999999</v>
      </c>
      <c r="F28" s="1">
        <v>1.9959</v>
      </c>
      <c r="G28" s="1">
        <v>602.85</v>
      </c>
      <c r="H28" s="1">
        <v>501.09</v>
      </c>
      <c r="I28" s="1">
        <v>187.36</v>
      </c>
      <c r="J28" s="1">
        <v>279.95</v>
      </c>
      <c r="K28" s="1">
        <v>292.89</v>
      </c>
      <c r="L28" s="1">
        <v>201.14</v>
      </c>
      <c r="M28" s="1">
        <v>402.86</v>
      </c>
      <c r="N28" s="1">
        <v>348.09</v>
      </c>
      <c r="O28" s="1">
        <v>113.36</v>
      </c>
      <c r="P28" s="1">
        <v>465.9</v>
      </c>
      <c r="Q28" s="1">
        <v>345.98</v>
      </c>
      <c r="R28" s="1">
        <v>118.19</v>
      </c>
      <c r="S28" s="1">
        <v>94.54</v>
      </c>
      <c r="T28" s="1">
        <v>347.03</v>
      </c>
      <c r="V28" s="71">
        <v>36</v>
      </c>
      <c r="W28" s="71">
        <v>89</v>
      </c>
      <c r="X28" s="71">
        <v>254</v>
      </c>
      <c r="Y28" s="17"/>
    </row>
    <row r="29" spans="1:25" ht="21" customHeight="1" x14ac:dyDescent="0.25">
      <c r="A29" s="8">
        <v>44222</v>
      </c>
      <c r="B29" s="1">
        <v>783.32</v>
      </c>
      <c r="C29" s="1">
        <v>193.9</v>
      </c>
      <c r="D29" s="1">
        <v>7115763.2400000002</v>
      </c>
      <c r="E29" s="1">
        <v>7713634.1200000001</v>
      </c>
      <c r="F29" s="1">
        <v>1.9984999999999999</v>
      </c>
      <c r="G29" s="1">
        <v>603.73</v>
      </c>
      <c r="H29" s="1">
        <v>501.99</v>
      </c>
      <c r="I29" s="1">
        <v>187.61</v>
      </c>
      <c r="J29" s="1">
        <v>280.31</v>
      </c>
      <c r="K29" s="1">
        <v>293.27999999999997</v>
      </c>
      <c r="L29" s="1">
        <v>201.37</v>
      </c>
      <c r="M29" s="1">
        <v>403.66</v>
      </c>
      <c r="N29" s="1">
        <v>348.87</v>
      </c>
      <c r="O29" s="1">
        <v>113.57</v>
      </c>
      <c r="P29" s="1">
        <v>466.79</v>
      </c>
      <c r="Q29" s="1">
        <v>346.69</v>
      </c>
      <c r="R29" s="1">
        <v>118.35</v>
      </c>
      <c r="S29" s="1">
        <v>94.673000000000002</v>
      </c>
      <c r="T29" s="1">
        <v>347.55</v>
      </c>
      <c r="V29" s="71">
        <v>36</v>
      </c>
      <c r="W29" s="71">
        <v>86</v>
      </c>
      <c r="X29" s="71">
        <v>240</v>
      </c>
      <c r="Y29" s="17"/>
    </row>
    <row r="30" spans="1:25" ht="21" customHeight="1" x14ac:dyDescent="0.25">
      <c r="A30" s="8">
        <v>44223</v>
      </c>
      <c r="B30" s="1">
        <v>784.49</v>
      </c>
      <c r="C30" s="1">
        <v>194.17</v>
      </c>
      <c r="D30" s="1">
        <v>7117788.8799999999</v>
      </c>
      <c r="E30" s="1">
        <v>7716351.7800000003</v>
      </c>
      <c r="F30" s="1">
        <v>2.0013000000000001</v>
      </c>
      <c r="G30" s="1">
        <v>604.61</v>
      </c>
      <c r="H30" s="1">
        <v>502.86</v>
      </c>
      <c r="I30" s="1">
        <v>187.88</v>
      </c>
      <c r="J30" s="1">
        <v>280.74</v>
      </c>
      <c r="K30" s="1">
        <v>293.67</v>
      </c>
      <c r="L30" s="1">
        <v>201.64</v>
      </c>
      <c r="M30" s="1">
        <v>404.42</v>
      </c>
      <c r="N30" s="1">
        <v>349.71</v>
      </c>
      <c r="O30" s="1">
        <v>113.77</v>
      </c>
      <c r="P30" s="1">
        <v>467.66</v>
      </c>
      <c r="Q30" s="1">
        <v>347.45</v>
      </c>
      <c r="R30" s="1">
        <v>118.51</v>
      </c>
      <c r="S30" s="1">
        <v>94.811000000000007</v>
      </c>
      <c r="T30" s="1">
        <v>348.09</v>
      </c>
      <c r="V30" s="71">
        <v>40</v>
      </c>
      <c r="W30" s="71">
        <v>99</v>
      </c>
      <c r="X30" s="71">
        <v>244</v>
      </c>
      <c r="Y30" s="17"/>
    </row>
    <row r="31" spans="1:25" ht="21" customHeight="1" x14ac:dyDescent="0.25">
      <c r="A31" s="8">
        <v>44224</v>
      </c>
      <c r="B31" s="1">
        <v>785.48</v>
      </c>
      <c r="C31" s="1">
        <v>194.41</v>
      </c>
      <c r="D31" s="1">
        <v>7119552.6200000001</v>
      </c>
      <c r="E31" s="1">
        <v>7718755.5499999998</v>
      </c>
      <c r="F31" s="1">
        <v>2.0036</v>
      </c>
      <c r="G31" s="1">
        <v>605.42999999999995</v>
      </c>
      <c r="H31" s="1">
        <v>503.64</v>
      </c>
      <c r="I31" s="1">
        <v>188.13</v>
      </c>
      <c r="J31" s="1">
        <v>281</v>
      </c>
      <c r="K31" s="1">
        <v>293.95999999999998</v>
      </c>
      <c r="L31" s="1">
        <v>201.84</v>
      </c>
      <c r="M31" s="1">
        <v>405.04</v>
      </c>
      <c r="N31" s="1">
        <v>350.42</v>
      </c>
      <c r="O31" s="1">
        <v>113.97</v>
      </c>
      <c r="P31" s="1">
        <v>468.46</v>
      </c>
      <c r="Q31" s="1">
        <v>348.11</v>
      </c>
      <c r="R31" s="1">
        <v>118.71</v>
      </c>
      <c r="S31" s="1">
        <v>94.944000000000003</v>
      </c>
      <c r="T31" s="1">
        <v>348.63</v>
      </c>
      <c r="V31" s="71">
        <v>33</v>
      </c>
      <c r="W31" s="71">
        <v>86</v>
      </c>
      <c r="X31" s="71">
        <v>214</v>
      </c>
      <c r="Y31" s="17"/>
    </row>
    <row r="32" spans="1:25" ht="21" customHeight="1" x14ac:dyDescent="0.25">
      <c r="A32" s="8">
        <v>44225</v>
      </c>
      <c r="B32" s="1">
        <v>786.55</v>
      </c>
      <c r="C32" s="1">
        <v>194.65</v>
      </c>
      <c r="D32" s="1">
        <v>7121572.1399999997</v>
      </c>
      <c r="E32" s="1">
        <v>7721383.25</v>
      </c>
      <c r="F32" s="1">
        <v>2.0063</v>
      </c>
      <c r="G32" s="1">
        <v>606.32000000000005</v>
      </c>
      <c r="H32" s="1">
        <v>504.49</v>
      </c>
      <c r="I32" s="1">
        <v>188.38</v>
      </c>
      <c r="J32" s="1">
        <v>281.43</v>
      </c>
      <c r="K32" s="1">
        <v>294.37</v>
      </c>
      <c r="L32" s="1">
        <v>202.12</v>
      </c>
      <c r="M32" s="1">
        <v>405.65</v>
      </c>
      <c r="N32" s="1">
        <v>351.22</v>
      </c>
      <c r="O32" s="1">
        <v>114.22</v>
      </c>
      <c r="P32" s="1">
        <v>469.28</v>
      </c>
      <c r="Q32" s="1">
        <v>348.8</v>
      </c>
      <c r="R32" s="1">
        <v>118.9</v>
      </c>
      <c r="S32" s="1">
        <v>95.082999999999998</v>
      </c>
      <c r="T32" s="1">
        <v>349.16</v>
      </c>
      <c r="V32" s="71">
        <v>29</v>
      </c>
      <c r="W32" s="71">
        <v>76</v>
      </c>
      <c r="X32" s="71">
        <v>215</v>
      </c>
      <c r="Y32" s="17"/>
    </row>
    <row r="33" spans="1:25" ht="19.5" customHeight="1" x14ac:dyDescent="0.25">
      <c r="A33" s="8">
        <v>44226</v>
      </c>
      <c r="B33" s="1">
        <v>787.64</v>
      </c>
      <c r="C33" s="1">
        <v>194.9</v>
      </c>
      <c r="D33" s="1">
        <v>7123643.75</v>
      </c>
      <c r="E33" s="1">
        <v>7723819.5300000003</v>
      </c>
      <c r="F33" s="1">
        <v>2.0087999999999999</v>
      </c>
      <c r="G33" s="1">
        <v>607.23</v>
      </c>
      <c r="H33" s="1">
        <v>505.42</v>
      </c>
      <c r="I33" s="1">
        <v>188.61</v>
      </c>
      <c r="J33" s="1">
        <v>281.64</v>
      </c>
      <c r="K33" s="1">
        <v>294.66000000000003</v>
      </c>
      <c r="L33" s="1">
        <v>202.3</v>
      </c>
      <c r="M33" s="1">
        <v>406.34</v>
      </c>
      <c r="N33" s="1">
        <v>352.03</v>
      </c>
      <c r="O33" s="1">
        <v>114.41</v>
      </c>
      <c r="P33" s="1">
        <v>470.68</v>
      </c>
      <c r="Q33" s="1">
        <v>349.53</v>
      </c>
      <c r="R33" s="1">
        <v>119</v>
      </c>
      <c r="S33" s="1">
        <v>95.218000000000004</v>
      </c>
      <c r="T33" s="1">
        <v>349.42</v>
      </c>
      <c r="V33" s="71"/>
      <c r="W33" s="71"/>
      <c r="X33" s="71"/>
      <c r="Y33" s="17"/>
    </row>
    <row r="34" spans="1:25" ht="19.5" customHeight="1" x14ac:dyDescent="0.25">
      <c r="A34" s="8">
        <v>44227</v>
      </c>
      <c r="B34" s="1">
        <v>788.82</v>
      </c>
      <c r="C34" s="1">
        <v>195.13</v>
      </c>
      <c r="D34" s="1">
        <v>7125647.8399999999</v>
      </c>
      <c r="E34" s="1">
        <v>7726809.0999999996</v>
      </c>
      <c r="F34" s="1">
        <v>2.0112999999999999</v>
      </c>
      <c r="G34" s="1">
        <v>608.22</v>
      </c>
      <c r="H34" s="1">
        <v>506.38</v>
      </c>
      <c r="I34" s="1">
        <v>188.88</v>
      </c>
      <c r="J34" s="1">
        <v>281.92</v>
      </c>
      <c r="K34" s="1">
        <v>295.02</v>
      </c>
      <c r="L34" s="1">
        <v>202.48</v>
      </c>
      <c r="M34" s="1">
        <v>407.05</v>
      </c>
      <c r="N34" s="1">
        <v>352.86</v>
      </c>
      <c r="O34" s="1">
        <v>114.64</v>
      </c>
      <c r="P34" s="1">
        <v>470.87</v>
      </c>
      <c r="Q34" s="1">
        <v>350.22</v>
      </c>
      <c r="R34" s="1">
        <v>119.15</v>
      </c>
      <c r="S34" s="1">
        <v>95.353999999999999</v>
      </c>
      <c r="T34" s="1">
        <v>349.93</v>
      </c>
      <c r="V34" s="71"/>
      <c r="W34" s="71"/>
      <c r="X34" s="71"/>
    </row>
    <row r="35" spans="1:25" ht="21" customHeight="1" x14ac:dyDescent="0.25">
      <c r="A35" s="8">
        <v>44228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1350</v>
      </c>
      <c r="W35" s="78">
        <f>SUM(W4:W34)</f>
        <v>3471</v>
      </c>
      <c r="X35" s="78">
        <f>SUM(X4:X34)</f>
        <v>9739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19" activePane="bottomRight" state="frozen"/>
      <selection pane="topRight" activeCell="C1" sqref="C1"/>
      <selection pane="bottomLeft" activeCell="A4" sqref="A4"/>
      <selection pane="bottomRight" activeCell="V33" sqref="V33"/>
    </sheetView>
  </sheetViews>
  <sheetFormatPr defaultRowHeight="15.75" x14ac:dyDescent="0.25"/>
  <cols>
    <col min="1" max="2" width="12.85546875" style="5" customWidth="1"/>
    <col min="3" max="3" width="16.140625" style="5" bestFit="1" customWidth="1"/>
    <col min="4" max="4" width="15.28515625" style="5" bestFit="1" customWidth="1"/>
    <col min="5" max="8" width="13.5703125" style="5" bestFit="1" customWidth="1"/>
    <col min="9" max="9" width="14" bestFit="1" customWidth="1"/>
    <col min="10" max="10" width="12.28515625" bestFit="1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9" t="s">
        <v>32</v>
      </c>
      <c r="B2" s="111" t="s">
        <v>33</v>
      </c>
      <c r="C2" s="111" t="s">
        <v>34</v>
      </c>
      <c r="D2" s="111" t="s">
        <v>120</v>
      </c>
      <c r="E2" s="119" t="s">
        <v>35</v>
      </c>
      <c r="F2" s="126" t="s">
        <v>36</v>
      </c>
      <c r="G2" s="127"/>
      <c r="H2" s="128"/>
      <c r="I2" s="129" t="s">
        <v>37</v>
      </c>
      <c r="J2" s="129" t="s">
        <v>38</v>
      </c>
      <c r="K2" s="129" t="s">
        <v>39</v>
      </c>
      <c r="L2" s="129" t="s">
        <v>40</v>
      </c>
      <c r="M2" s="130" t="s">
        <v>41</v>
      </c>
      <c r="N2" s="130"/>
      <c r="O2" s="130"/>
      <c r="P2" s="130"/>
      <c r="Q2" s="130"/>
      <c r="R2" s="130"/>
      <c r="S2" s="129" t="s">
        <v>42</v>
      </c>
      <c r="T2" s="129"/>
      <c r="U2" s="131" t="s">
        <v>43</v>
      </c>
      <c r="V2" s="129" t="s">
        <v>44</v>
      </c>
    </row>
    <row r="3" spans="1:22" x14ac:dyDescent="0.25">
      <c r="A3" s="120"/>
      <c r="B3" s="112"/>
      <c r="C3" s="112"/>
      <c r="D3" s="112"/>
      <c r="E3" s="120"/>
      <c r="F3" s="6" t="s">
        <v>28</v>
      </c>
      <c r="G3" s="6" t="s">
        <v>29</v>
      </c>
      <c r="H3" s="6" t="s">
        <v>30</v>
      </c>
      <c r="I3" s="129"/>
      <c r="J3" s="129"/>
      <c r="K3" s="129"/>
      <c r="L3" s="129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1"/>
      <c r="V3" s="129"/>
    </row>
    <row r="4" spans="1:22" x14ac:dyDescent="0.25">
      <c r="A4" s="3">
        <f>'Kwh Reading'!A4</f>
        <v>44197</v>
      </c>
      <c r="B4" s="26">
        <f>TOTAL!E2</f>
        <v>19019.999999999302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4864.5099999990689</v>
      </c>
    </row>
    <row r="5" spans="1:22" x14ac:dyDescent="0.25">
      <c r="A5" s="3">
        <f>'Kwh Reading'!A5</f>
        <v>44198</v>
      </c>
      <c r="B5" s="26">
        <f>TOTAL!E3</f>
        <v>22269.999999999527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6656.9699999991553</v>
      </c>
    </row>
    <row r="6" spans="1:22" x14ac:dyDescent="0.25">
      <c r="A6" s="3">
        <f>'Kwh Reading'!A6</f>
        <v>44199</v>
      </c>
      <c r="B6" s="26">
        <f>TOTAL!E4</f>
        <v>23276.000000001208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6631.5000000021864</v>
      </c>
    </row>
    <row r="7" spans="1:22" x14ac:dyDescent="0.25">
      <c r="A7" s="3">
        <f>'Kwh Reading'!A7</f>
        <v>44200</v>
      </c>
      <c r="B7" s="26">
        <f>TOTAL!E5</f>
        <v>20043.99999999896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5819.4899999982263</v>
      </c>
    </row>
    <row r="8" spans="1:22" x14ac:dyDescent="0.25">
      <c r="A8" s="3">
        <f>'Kwh Reading'!A8</f>
        <v>44201</v>
      </c>
      <c r="B8" s="26">
        <f>TOTAL!E6</f>
        <v>19110.000000000582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4977.5700000009929</v>
      </c>
    </row>
    <row r="9" spans="1:22" x14ac:dyDescent="0.25">
      <c r="A9" s="3">
        <f>'Kwh Reading'!A9</f>
        <v>44202</v>
      </c>
      <c r="B9" s="26">
        <f>TOTAL!E7</f>
        <v>18760.000000000218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4788.4799999995121</v>
      </c>
    </row>
    <row r="10" spans="1:22" x14ac:dyDescent="0.25">
      <c r="A10" s="3">
        <f>'Kwh Reading'!A10</f>
        <v>44203</v>
      </c>
      <c r="B10" s="26">
        <f>TOTAL!E8</f>
        <v>22079.999999999472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5376.3199999998869</v>
      </c>
    </row>
    <row r="11" spans="1:22" x14ac:dyDescent="0.25">
      <c r="A11" s="3">
        <f>'Kwh Reading'!A11</f>
        <v>44204</v>
      </c>
      <c r="B11" s="26">
        <f>TOTAL!E9</f>
        <v>19940.000000000055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4249.3199999995759</v>
      </c>
    </row>
    <row r="12" spans="1:22" x14ac:dyDescent="0.25">
      <c r="A12" s="3">
        <f>'Kwh Reading'!A12</f>
        <v>44205</v>
      </c>
      <c r="B12" s="26">
        <f>TOTAL!E10</f>
        <v>20900.000000000771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6472.7200000014782</v>
      </c>
    </row>
    <row r="13" spans="1:22" x14ac:dyDescent="0.25">
      <c r="A13" s="3">
        <f>'Kwh Reading'!A13</f>
        <v>44206</v>
      </c>
      <c r="B13" s="26">
        <f>TOTAL!E11</f>
        <v>21479.999999999112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5913.7099999986494</v>
      </c>
    </row>
    <row r="14" spans="1:22" x14ac:dyDescent="0.25">
      <c r="A14" s="3">
        <f>'Kwh Reading'!A14</f>
        <v>44207</v>
      </c>
      <c r="B14" s="26">
        <f>TOTAL!E12</f>
        <v>20740.000000001142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5216.1500000016913</v>
      </c>
    </row>
    <row r="15" spans="1:22" x14ac:dyDescent="0.25">
      <c r="A15" s="3">
        <f>'Kwh Reading'!A15</f>
        <v>44208</v>
      </c>
      <c r="B15" s="26">
        <f>TOTAL!E13</f>
        <v>19419.999999999389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4409.7199999992827</v>
      </c>
    </row>
    <row r="16" spans="1:22" x14ac:dyDescent="0.25">
      <c r="A16" s="3">
        <f>'Kwh Reading'!A16</f>
        <v>44209</v>
      </c>
      <c r="B16" s="26">
        <f>TOTAL!E14</f>
        <v>19699.999999999593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6050.0899999994617</v>
      </c>
    </row>
    <row r="17" spans="1:22" x14ac:dyDescent="0.25">
      <c r="A17" s="3">
        <f>'Kwh Reading'!A17</f>
        <v>44210</v>
      </c>
      <c r="B17" s="26">
        <f>TOTAL!E15</f>
        <v>22230.000000000244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6822.7900000000463</v>
      </c>
    </row>
    <row r="18" spans="1:22" x14ac:dyDescent="0.25">
      <c r="A18" s="3">
        <f>'Kwh Reading'!A18</f>
        <v>44211</v>
      </c>
      <c r="B18" s="26">
        <f>TOTAL!E16</f>
        <v>20079.999999999698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4982.6500000001997</v>
      </c>
    </row>
    <row r="19" spans="1:22" x14ac:dyDescent="0.25">
      <c r="A19" s="3">
        <f>'Kwh Reading'!A19</f>
        <v>44212</v>
      </c>
      <c r="B19" s="26">
        <f>TOTAL!E17</f>
        <v>20619.999999999665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5652.0200000001551</v>
      </c>
    </row>
    <row r="20" spans="1:22" x14ac:dyDescent="0.25">
      <c r="A20" s="3">
        <f>'Kwh Reading'!A20</f>
        <v>44213</v>
      </c>
      <c r="B20" s="26">
        <f>TOTAL!E18</f>
        <v>21550.000000000407</v>
      </c>
      <c r="C20" s="4">
        <f>('Kwh Reading'!T21-'Kwh Reading'!T20)*1000</f>
        <v>520.00000000003865</v>
      </c>
      <c r="D20" s="2">
        <f>('Kwh Reading'!F21-'Kwh Reading'!F20)*1000000</f>
        <v>2399.9999999999577</v>
      </c>
      <c r="E20" s="2">
        <f>('Kwh Reading'!C21-'Kwh Reading'!C20)*1000</f>
        <v>219.99999999999886</v>
      </c>
      <c r="F20" s="2">
        <f>('Kwh Reading'!J21-'Kwh Reading'!J20)*1000</f>
        <v>269.99999999998181</v>
      </c>
      <c r="G20" s="2">
        <f>('Kwh Reading'!K21-'Kwh Reading'!K20)*1000</f>
        <v>329.99999999998408</v>
      </c>
      <c r="H20" s="2">
        <f>('Kwh Reading'!L21-'Kwh Reading'!L20)*1000</f>
        <v>230.00000000001819</v>
      </c>
      <c r="I20" s="2">
        <f>('Kwh Reading'!R21-'Kwh Reading'!R20)*1000</f>
        <v>140.00000000000057</v>
      </c>
      <c r="J20" s="2">
        <f>('Kwh Reading'!S21-'Kwh Reading'!S20)*1000</f>
        <v>136.00000000000989</v>
      </c>
      <c r="K20" s="2">
        <f>('Kwh Reading'!I21-'Kwh Reading'!I20)*1000</f>
        <v>270.00000000001023</v>
      </c>
      <c r="L20" s="2">
        <f>('Kwh Reading'!B21-'Kwh Reading'!B20)*1000</f>
        <v>1240.0000000000091</v>
      </c>
      <c r="M20" s="2">
        <f>('Kwh Reading'!M21-'Kwh Reading'!M20)*1000</f>
        <v>650.00000000003411</v>
      </c>
      <c r="N20" s="2">
        <f>('Kwh Reading'!H21-'Kwh Reading'!H20)*1000</f>
        <v>870.00000000000455</v>
      </c>
      <c r="O20" s="2">
        <f>('Kwh Reading'!P21-'Kwh Reading'!P20)*1000</f>
        <v>779.99999999997272</v>
      </c>
      <c r="P20" s="2">
        <f>('Kwh Reading'!G21-'Kwh Reading'!G20)*1000</f>
        <v>829.99999999992724</v>
      </c>
      <c r="Q20" s="2">
        <f>('Kwh Reading'!Q21-'Kwh Reading'!Q20)*1000</f>
        <v>750</v>
      </c>
      <c r="R20" s="2">
        <f>('Kwh Reading'!N21-'Kwh Reading'!N20)*1000</f>
        <v>689.99999999999773</v>
      </c>
      <c r="S20" s="34">
        <f>'Kwh Reading'!E21-'Kwh Reading'!E20</f>
        <v>2659.410000000149</v>
      </c>
      <c r="T20" s="34">
        <f>'Kwh Reading'!D21-'Kwh Reading'!D20</f>
        <v>2110.1500000003725</v>
      </c>
      <c r="U20" s="27">
        <f>('Kwh Reading'!O21-'Kwh Reading'!O20)*1000</f>
        <v>239.99999999999488</v>
      </c>
      <c r="V20" s="16">
        <f t="shared" si="0"/>
        <v>6214.4399999999441</v>
      </c>
    </row>
    <row r="21" spans="1:22" ht="16.5" customHeight="1" x14ac:dyDescent="0.25">
      <c r="A21" s="3">
        <f>'Kwh Reading'!A21</f>
        <v>44214</v>
      </c>
      <c r="B21" s="26">
        <f>TOTAL!E19</f>
        <v>21250.000000000229</v>
      </c>
      <c r="C21" s="4">
        <f>('Kwh Reading'!T22-'Kwh Reading'!T21)*1000</f>
        <v>529.99999999997272</v>
      </c>
      <c r="D21" s="2">
        <f>('Kwh Reading'!F22-'Kwh Reading'!F21)*1000000</f>
        <v>2700.0000000001469</v>
      </c>
      <c r="E21" s="2">
        <f>('Kwh Reading'!C22-'Kwh Reading'!C21)*1000</f>
        <v>280.00000000000114</v>
      </c>
      <c r="F21" s="2">
        <f>('Kwh Reading'!J22-'Kwh Reading'!J21)*1000</f>
        <v>470.00000000002728</v>
      </c>
      <c r="G21" s="2">
        <f>('Kwh Reading'!K22-'Kwh Reading'!K21)*1000</f>
        <v>439.99999999999773</v>
      </c>
      <c r="H21" s="2">
        <f>('Kwh Reading'!L22-'Kwh Reading'!L21)*1000</f>
        <v>280.00000000000114</v>
      </c>
      <c r="I21" s="2">
        <f>('Kwh Reading'!R22-'Kwh Reading'!R21)*1000</f>
        <v>149.99999999999147</v>
      </c>
      <c r="J21" s="2">
        <f>('Kwh Reading'!S22-'Kwh Reading'!S21)*1000</f>
        <v>117.999999999995</v>
      </c>
      <c r="K21" s="2">
        <f>('Kwh Reading'!I22-'Kwh Reading'!I21)*1000</f>
        <v>289.99999999999204</v>
      </c>
      <c r="L21" s="2">
        <f>('Kwh Reading'!B22-'Kwh Reading'!B21)*1000</f>
        <v>1250</v>
      </c>
      <c r="M21" s="2">
        <f>('Kwh Reading'!M22-'Kwh Reading'!M21)*1000</f>
        <v>699.99999999998863</v>
      </c>
      <c r="N21" s="2">
        <f>('Kwh Reading'!H22-'Kwh Reading'!H21)*1000</f>
        <v>920.00000000001592</v>
      </c>
      <c r="O21" s="2">
        <f>('Kwh Reading'!P22-'Kwh Reading'!P21)*1000</f>
        <v>759.99999999999091</v>
      </c>
      <c r="P21" s="2">
        <f>('Kwh Reading'!G22-'Kwh Reading'!G21)*1000</f>
        <v>870.00000000000455</v>
      </c>
      <c r="Q21" s="2">
        <f>('Kwh Reading'!Q22-'Kwh Reading'!Q21)*1000</f>
        <v>680.00000000000682</v>
      </c>
      <c r="R21" s="2">
        <f>('Kwh Reading'!N22-'Kwh Reading'!N21)*1000</f>
        <v>780.00000000002956</v>
      </c>
      <c r="S21" s="34">
        <f>'Kwh Reading'!E22-'Kwh Reading'!E21</f>
        <v>3068.9400000004098</v>
      </c>
      <c r="T21" s="34">
        <f>'Kwh Reading'!D22-'Kwh Reading'!D21</f>
        <v>2256.6299999998882</v>
      </c>
      <c r="U21" s="27">
        <f>('Kwh Reading'!O22-'Kwh Reading'!O21)*1000</f>
        <v>230.00000000000398</v>
      </c>
      <c r="V21" s="16">
        <f t="shared" si="0"/>
        <v>4476.4299999997675</v>
      </c>
    </row>
    <row r="22" spans="1:22" x14ac:dyDescent="0.25">
      <c r="A22" s="3">
        <f>'Kwh Reading'!A22</f>
        <v>44215</v>
      </c>
      <c r="B22" s="26">
        <f>TOTAL!E20</f>
        <v>21239.999999999782</v>
      </c>
      <c r="C22" s="4">
        <f>('Kwh Reading'!T23-'Kwh Reading'!T22)*1000</f>
        <v>160.00000000002501</v>
      </c>
      <c r="D22" s="2">
        <f>('Kwh Reading'!F23-'Kwh Reading'!F22)*1000000</f>
        <v>2399.9999999999577</v>
      </c>
      <c r="E22" s="2">
        <f>('Kwh Reading'!C23-'Kwh Reading'!C22)*1000</f>
        <v>250</v>
      </c>
      <c r="F22" s="2">
        <f>('Kwh Reading'!J23-'Kwh Reading'!J22)*1000</f>
        <v>139.99999999998636</v>
      </c>
      <c r="G22" s="2">
        <f>('Kwh Reading'!K23-'Kwh Reading'!K22)*1000</f>
        <v>360.00000000001364</v>
      </c>
      <c r="H22" s="2">
        <f>('Kwh Reading'!L23-'Kwh Reading'!L22)*1000</f>
        <v>209.99999999997954</v>
      </c>
      <c r="I22" s="2">
        <f>('Kwh Reading'!R23-'Kwh Reading'!R22)*1000</f>
        <v>109.99999999999943</v>
      </c>
      <c r="J22" s="2">
        <f>('Kwh Reading'!S23-'Kwh Reading'!S22)*1000</f>
        <v>141.99999999999591</v>
      </c>
      <c r="K22" s="2">
        <f>('Kwh Reading'!I23-'Kwh Reading'!I22)*1000</f>
        <v>250</v>
      </c>
      <c r="L22" s="2">
        <f>('Kwh Reading'!B23-'Kwh Reading'!B22)*1000</f>
        <v>1169.9999999999591</v>
      </c>
      <c r="M22" s="2">
        <f>('Kwh Reading'!M23-'Kwh Reading'!M22)*1000</f>
        <v>639.99999999998636</v>
      </c>
      <c r="N22" s="2">
        <f>('Kwh Reading'!H23-'Kwh Reading'!H22)*1000</f>
        <v>849.99999999996589</v>
      </c>
      <c r="O22" s="2">
        <f>('Kwh Reading'!P23-'Kwh Reading'!P22)*1000</f>
        <v>700.00000000004547</v>
      </c>
      <c r="P22" s="2">
        <f>('Kwh Reading'!G23-'Kwh Reading'!G22)*1000</f>
        <v>830.00000000004093</v>
      </c>
      <c r="Q22" s="2">
        <f>('Kwh Reading'!Q23-'Kwh Reading'!Q22)*1000</f>
        <v>589.99999999997499</v>
      </c>
      <c r="R22" s="2">
        <f>('Kwh Reading'!N23-'Kwh Reading'!N22)*1000</f>
        <v>809.99999999994543</v>
      </c>
      <c r="S22" s="34">
        <f>'Kwh Reading'!E23-'Kwh Reading'!E22</f>
        <v>2891.339999999851</v>
      </c>
      <c r="T22" s="34">
        <f>'Kwh Reading'!D23-'Kwh Reading'!D22</f>
        <v>2166.410000000149</v>
      </c>
      <c r="U22" s="27">
        <f>('Kwh Reading'!O23-'Kwh Reading'!O22)*1000</f>
        <v>219.99999999999886</v>
      </c>
      <c r="V22" s="16">
        <f t="shared" si="0"/>
        <v>6350.2499999999072</v>
      </c>
    </row>
    <row r="23" spans="1:22" x14ac:dyDescent="0.25">
      <c r="A23" s="3">
        <f>'Kwh Reading'!A23</f>
        <v>44216</v>
      </c>
      <c r="B23" s="26">
        <f>TOTAL!E21</f>
        <v>21230.000000000247</v>
      </c>
      <c r="C23" s="4">
        <f>('Kwh Reading'!T24-'Kwh Reading'!T23)*1000</f>
        <v>849.99999999996589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209.99999999997954</v>
      </c>
      <c r="G23" s="2">
        <f>('Kwh Reading'!K24-'Kwh Reading'!K23)*1000</f>
        <v>279.99999999997272</v>
      </c>
      <c r="H23" s="2">
        <f>('Kwh Reading'!L24-'Kwh Reading'!L23)*1000</f>
        <v>189.99999999999773</v>
      </c>
      <c r="I23" s="2">
        <f>('Kwh Reading'!R24-'Kwh Reading'!R23)*1000</f>
        <v>109.99999999999943</v>
      </c>
      <c r="J23" s="2">
        <f>('Kwh Reading'!S24-'Kwh Reading'!S23)*1000</f>
        <v>139.00000000001</v>
      </c>
      <c r="K23" s="2">
        <f>('Kwh Reading'!I24-'Kwh Reading'!I23)*1000</f>
        <v>260.00000000001933</v>
      </c>
      <c r="L23" s="2">
        <f>('Kwh Reading'!B24-'Kwh Reading'!B23)*1000</f>
        <v>1090.0000000000318</v>
      </c>
      <c r="M23" s="2">
        <f>('Kwh Reading'!M24-'Kwh Reading'!M23)*1000</f>
        <v>689.99999999999773</v>
      </c>
      <c r="N23" s="2">
        <f>('Kwh Reading'!H24-'Kwh Reading'!H23)*1000</f>
        <v>870.00000000000455</v>
      </c>
      <c r="O23" s="2">
        <f>('Kwh Reading'!P24-'Kwh Reading'!P23)*1000</f>
        <v>680.00000000000682</v>
      </c>
      <c r="P23" s="2">
        <f>('Kwh Reading'!G24-'Kwh Reading'!G23)*1000</f>
        <v>740.00000000000909</v>
      </c>
      <c r="Q23" s="2">
        <f>('Kwh Reading'!Q24-'Kwh Reading'!Q23)*1000</f>
        <v>540.00000000002046</v>
      </c>
      <c r="R23" s="2">
        <f>('Kwh Reading'!N24-'Kwh Reading'!N23)*1000</f>
        <v>730.00000000001819</v>
      </c>
      <c r="S23" s="34">
        <f>'Kwh Reading'!E24-'Kwh Reading'!E23</f>
        <v>2573.820000000298</v>
      </c>
      <c r="T23" s="34">
        <f>'Kwh Reading'!D24-'Kwh Reading'!D23</f>
        <v>1908.8700000001118</v>
      </c>
      <c r="U23" s="27">
        <f>('Kwh Reading'!O24-'Kwh Reading'!O23)*1000</f>
        <v>209.99999999999375</v>
      </c>
      <c r="V23" s="16">
        <f t="shared" si="0"/>
        <v>6428.309999999874</v>
      </c>
    </row>
    <row r="24" spans="1:22" x14ac:dyDescent="0.25">
      <c r="A24" s="3">
        <f>'Kwh Reading'!A24</f>
        <v>44217</v>
      </c>
      <c r="B24" s="26">
        <f>TOTAL!E22</f>
        <v>20830.000000000153</v>
      </c>
      <c r="C24" s="4">
        <f>('Kwh Reading'!T25-'Kwh Reading'!T24)*1000</f>
        <v>510.00000000004775</v>
      </c>
      <c r="D24" s="2">
        <f>('Kwh Reading'!F25-'Kwh Reading'!F24)*1000000</f>
        <v>2499.9999999999468</v>
      </c>
      <c r="E24" s="2">
        <f>('Kwh Reading'!C25-'Kwh Reading'!C24)*1000</f>
        <v>240.00000000000909</v>
      </c>
      <c r="F24" s="2">
        <f>('Kwh Reading'!J25-'Kwh Reading'!J24)*1000</f>
        <v>310.00000000000227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170.00000000000171</v>
      </c>
      <c r="J24" s="2">
        <f>('Kwh Reading'!S25-'Kwh Reading'!S24)*1000</f>
        <v>131.00000000000023</v>
      </c>
      <c r="K24" s="2">
        <f>('Kwh Reading'!I25-'Kwh Reading'!I24)*1000</f>
        <v>269.99999999998181</v>
      </c>
      <c r="L24" s="2">
        <f>('Kwh Reading'!B25-'Kwh Reading'!B24)*1000</f>
        <v>1000</v>
      </c>
      <c r="M24" s="2">
        <f>('Kwh Reading'!M25-'Kwh Reading'!M24)*1000</f>
        <v>730.00000000001819</v>
      </c>
      <c r="N24" s="2">
        <f>('Kwh Reading'!H25-'Kwh Reading'!H24)*1000</f>
        <v>639.99999999998636</v>
      </c>
      <c r="O24" s="2">
        <f>('Kwh Reading'!P25-'Kwh Reading'!P24)*1000</f>
        <v>829.99999999998408</v>
      </c>
      <c r="P24" s="2">
        <f>('Kwh Reading'!G25-'Kwh Reading'!G24)*1000</f>
        <v>870.00000000000455</v>
      </c>
      <c r="Q24" s="2">
        <f>('Kwh Reading'!Q25-'Kwh Reading'!Q24)*1000</f>
        <v>680.00000000000682</v>
      </c>
      <c r="R24" s="2">
        <f>('Kwh Reading'!N25-'Kwh Reading'!N24)*1000</f>
        <v>759.99999999999091</v>
      </c>
      <c r="S24" s="2">
        <f>'Kwh Reading'!E25-'Kwh Reading'!E24</f>
        <v>2866.269999999553</v>
      </c>
      <c r="T24" s="2">
        <f>'Kwh Reading'!D25-'Kwh Reading'!D24</f>
        <v>2113.1100000003353</v>
      </c>
      <c r="U24" s="27">
        <f>('Kwh Reading'!O25-'Kwh Reading'!O24)*1000</f>
        <v>230.00000000000398</v>
      </c>
      <c r="V24" s="16">
        <f t="shared" si="0"/>
        <v>5389.6200000002482</v>
      </c>
    </row>
    <row r="25" spans="1:22" x14ac:dyDescent="0.25">
      <c r="A25" s="3">
        <f>'Kwh Reading'!A25</f>
        <v>44218</v>
      </c>
      <c r="B25" s="26">
        <f>TOTAL!E23</f>
        <v>21389.999999999647</v>
      </c>
      <c r="C25" s="4">
        <f>('Kwh Reading'!T26-'Kwh Reading'!T25)*1000</f>
        <v>250</v>
      </c>
      <c r="D25" s="2">
        <f>('Kwh Reading'!F26-'Kwh Reading'!F25)*1000000</f>
        <v>2600.0000000001578</v>
      </c>
      <c r="E25" s="2">
        <f>('Kwh Reading'!C26-'Kwh Reading'!C25)*1000</f>
        <v>259.99999999999091</v>
      </c>
      <c r="F25" s="2">
        <f>('Kwh Reading'!J26-'Kwh Reading'!J25)*1000</f>
        <v>329.99999999998408</v>
      </c>
      <c r="G25" s="2">
        <f>('Kwh Reading'!K26-'Kwh Reading'!K25)*1000</f>
        <v>370.00000000000455</v>
      </c>
      <c r="H25" s="2">
        <f>('Kwh Reading'!L26-'Kwh Reading'!L25)*1000</f>
        <v>270.00000000001023</v>
      </c>
      <c r="I25" s="2">
        <f>('Kwh Reading'!R26-'Kwh Reading'!R25)*1000</f>
        <v>180.00000000000682</v>
      </c>
      <c r="J25" s="2">
        <f>('Kwh Reading'!S26-'Kwh Reading'!S25)*1000</f>
        <v>137.99999999999102</v>
      </c>
      <c r="K25" s="2">
        <f>('Kwh Reading'!I26-'Kwh Reading'!I25)*1000</f>
        <v>230.00000000001819</v>
      </c>
      <c r="L25" s="2">
        <f>('Kwh Reading'!B26-'Kwh Reading'!B25)*1000</f>
        <v>1370.0000000000045</v>
      </c>
      <c r="M25" s="2">
        <f>('Kwh Reading'!M26-'Kwh Reading'!M25)*1000</f>
        <v>719.99999999997044</v>
      </c>
      <c r="N25" s="2">
        <f>('Kwh Reading'!H26-'Kwh Reading'!H25)*1000</f>
        <v>980.00000000001819</v>
      </c>
      <c r="O25" s="2">
        <f>('Kwh Reading'!P26-'Kwh Reading'!P25)*1000</f>
        <v>789.99999999996362</v>
      </c>
      <c r="P25" s="2">
        <f>('Kwh Reading'!G26-'Kwh Reading'!G25)*1000</f>
        <v>840.00000000003183</v>
      </c>
      <c r="Q25" s="2">
        <f>('Kwh Reading'!Q26-'Kwh Reading'!Q25)*1000</f>
        <v>639.99999999998636</v>
      </c>
      <c r="R25" s="2">
        <f>('Kwh Reading'!N26-'Kwh Reading'!N25)*1000</f>
        <v>720.00000000002728</v>
      </c>
      <c r="S25" s="2">
        <f>'Kwh Reading'!E26-'Kwh Reading'!E25</f>
        <v>2430.5099999997765</v>
      </c>
      <c r="T25" s="2">
        <f>'Kwh Reading'!D26-'Kwh Reading'!D25</f>
        <v>2256.8699999991804</v>
      </c>
      <c r="U25" s="27">
        <f>('Kwh Reading'!O26-'Kwh Reading'!O25)*1000</f>
        <v>210.00000000000796</v>
      </c>
      <c r="V25" s="16">
        <f t="shared" si="0"/>
        <v>5804.6200000005174</v>
      </c>
    </row>
    <row r="26" spans="1:22" x14ac:dyDescent="0.25">
      <c r="A26" s="3">
        <f>'Kwh Reading'!A26</f>
        <v>44219</v>
      </c>
      <c r="B26" s="26">
        <f>TOTAL!E24</f>
        <v>22340.000000000371</v>
      </c>
      <c r="C26" s="4">
        <f>('Kwh Reading'!T27-'Kwh Reading'!T26)*1000</f>
        <v>549.99999999995453</v>
      </c>
      <c r="D26" s="2">
        <f>('Kwh Reading'!F27-'Kwh Reading'!F26)*1000000</f>
        <v>2399.9999999999577</v>
      </c>
      <c r="E26" s="2">
        <f>('Kwh Reading'!C27-'Kwh Reading'!C26)*1000</f>
        <v>230.00000000001819</v>
      </c>
      <c r="F26" s="2">
        <f>('Kwh Reading'!J27-'Kwh Reading'!J26)*1000</f>
        <v>250</v>
      </c>
      <c r="G26" s="2">
        <f>('Kwh Reading'!K27-'Kwh Reading'!K26)*1000</f>
        <v>290.00000000002046</v>
      </c>
      <c r="H26" s="2">
        <f>('Kwh Reading'!L27-'Kwh Reading'!L26)*1000</f>
        <v>199.99999999998863</v>
      </c>
      <c r="I26" s="2">
        <f>('Kwh Reading'!R27-'Kwh Reading'!R26)*1000</f>
        <v>170.00000000000171</v>
      </c>
      <c r="J26" s="2">
        <f>('Kwh Reading'!S27-'Kwh Reading'!S26)*1000</f>
        <v>129.00000000000489</v>
      </c>
      <c r="K26" s="2">
        <f>('Kwh Reading'!I27-'Kwh Reading'!I26)*1000</f>
        <v>259.99999999999091</v>
      </c>
      <c r="L26" s="2">
        <f>('Kwh Reading'!B27-'Kwh Reading'!B26)*1000</f>
        <v>1169.9999999999591</v>
      </c>
      <c r="M26" s="2">
        <f>('Kwh Reading'!M27-'Kwh Reading'!M26)*1000</f>
        <v>750</v>
      </c>
      <c r="N26" s="2">
        <f>('Kwh Reading'!H27-'Kwh Reading'!H26)*1000</f>
        <v>850.00000000002274</v>
      </c>
      <c r="O26" s="2">
        <f>('Kwh Reading'!P27-'Kwh Reading'!P26)*1000</f>
        <v>760.00000000004775</v>
      </c>
      <c r="P26" s="2">
        <f>('Kwh Reading'!G27-'Kwh Reading'!G26)*1000</f>
        <v>799.99999999995453</v>
      </c>
      <c r="Q26" s="2">
        <f>('Kwh Reading'!Q27-'Kwh Reading'!Q26)*1000</f>
        <v>649.99999999997726</v>
      </c>
      <c r="R26" s="2">
        <f>('Kwh Reading'!N27-'Kwh Reading'!N26)*1000</f>
        <v>779.99999999997272</v>
      </c>
      <c r="S26" s="2">
        <f>'Kwh Reading'!E27-'Kwh Reading'!E26</f>
        <v>2836.2600000007078</v>
      </c>
      <c r="T26" s="2">
        <f>'Kwh Reading'!D27-'Kwh Reading'!D26</f>
        <v>2186.0100000007078</v>
      </c>
      <c r="U26" s="27">
        <f>('Kwh Reading'!O27-'Kwh Reading'!O26)*1000</f>
        <v>199.99999999998863</v>
      </c>
      <c r="V26" s="16">
        <f t="shared" si="0"/>
        <v>6878.7299999990955</v>
      </c>
    </row>
    <row r="27" spans="1:22" x14ac:dyDescent="0.25">
      <c r="A27" s="3">
        <f>'Kwh Reading'!A27</f>
        <v>44220</v>
      </c>
      <c r="B27" s="26">
        <f>TOTAL!E25</f>
        <v>22340.000000000146</v>
      </c>
      <c r="C27" s="4">
        <f>('Kwh Reading'!T28-'Kwh Reading'!T27)*1000</f>
        <v>509.99999999999091</v>
      </c>
      <c r="D27" s="2">
        <f>('Kwh Reading'!F28-'Kwh Reading'!F27)*1000000</f>
        <v>2499.9999999999468</v>
      </c>
      <c r="E27" s="2">
        <f>('Kwh Reading'!C28-'Kwh Reading'!C27)*1000</f>
        <v>239.99999999998067</v>
      </c>
      <c r="F27" s="2">
        <f>('Kwh Reading'!J28-'Kwh Reading'!J27)*1000</f>
        <v>360.00000000001364</v>
      </c>
      <c r="G27" s="2">
        <f>('Kwh Reading'!K28-'Kwh Reading'!K27)*1000</f>
        <v>349.99999999996589</v>
      </c>
      <c r="H27" s="2">
        <f>('Kwh Reading'!L28-'Kwh Reading'!L27)*1000</f>
        <v>229.99999999998977</v>
      </c>
      <c r="I27" s="2">
        <f>('Kwh Reading'!R28-'Kwh Reading'!R27)*1000</f>
        <v>69.999999999993179</v>
      </c>
      <c r="J27" s="2">
        <f>('Kwh Reading'!S28-'Kwh Reading'!S27)*1000</f>
        <v>150.00000000000568</v>
      </c>
      <c r="K27" s="2">
        <f>('Kwh Reading'!I28-'Kwh Reading'!I27)*1000</f>
        <v>270.00000000001023</v>
      </c>
      <c r="L27" s="2">
        <f>('Kwh Reading'!B28-'Kwh Reading'!B27)*1000</f>
        <v>1200.0000000000455</v>
      </c>
      <c r="M27" s="2">
        <f>('Kwh Reading'!M28-'Kwh Reading'!M27)*1000</f>
        <v>720.00000000002728</v>
      </c>
      <c r="N27" s="2">
        <f>('Kwh Reading'!H28-'Kwh Reading'!H27)*1000</f>
        <v>919.99999999995907</v>
      </c>
      <c r="O27" s="2">
        <f>('Kwh Reading'!P28-'Kwh Reading'!P27)*1000</f>
        <v>859.9999999999568</v>
      </c>
      <c r="P27" s="2">
        <f>('Kwh Reading'!G28-'Kwh Reading'!G27)*1000</f>
        <v>840.00000000003183</v>
      </c>
      <c r="Q27" s="2">
        <f>('Kwh Reading'!Q28-'Kwh Reading'!Q27)*1000</f>
        <v>720.00000000002728</v>
      </c>
      <c r="R27" s="2">
        <f>('Kwh Reading'!N28-'Kwh Reading'!N27)*1000</f>
        <v>819.99999999999318</v>
      </c>
      <c r="S27" s="2">
        <f>'Kwh Reading'!E28-'Kwh Reading'!E27</f>
        <v>3024.4399999994785</v>
      </c>
      <c r="T27" s="2">
        <f>'Kwh Reading'!D28-'Kwh Reading'!D27</f>
        <v>2380.5800000000745</v>
      </c>
      <c r="U27" s="27">
        <f>('Kwh Reading'!O28-'Kwh Reading'!O27)*1000</f>
        <v>230.00000000000398</v>
      </c>
      <c r="V27" s="16">
        <f t="shared" si="0"/>
        <v>5944.9800000006508</v>
      </c>
    </row>
    <row r="28" spans="1:22" x14ac:dyDescent="0.25">
      <c r="A28" s="3">
        <f>'Kwh Reading'!A28</f>
        <v>44221</v>
      </c>
      <c r="B28" s="26">
        <f>TOTAL!E26</f>
        <v>21589.99999999992</v>
      </c>
      <c r="C28" s="4">
        <f>('Kwh Reading'!T29-'Kwh Reading'!T28)*1000</f>
        <v>520.00000000003865</v>
      </c>
      <c r="D28" s="2">
        <f>('Kwh Reading'!F29-'Kwh Reading'!F28)*1000000</f>
        <v>2599.9999999999359</v>
      </c>
      <c r="E28" s="2">
        <f>('Kwh Reading'!C29-'Kwh Reading'!C28)*1000</f>
        <v>260.00000000001933</v>
      </c>
      <c r="F28" s="2">
        <f>('Kwh Reading'!J29-'Kwh Reading'!J28)*1000</f>
        <v>360.00000000001364</v>
      </c>
      <c r="G28" s="2">
        <f>('Kwh Reading'!K29-'Kwh Reading'!K28)*1000</f>
        <v>389.99999999998636</v>
      </c>
      <c r="H28" s="2">
        <f>('Kwh Reading'!L29-'Kwh Reading'!L28)*1000</f>
        <v>230.00000000001819</v>
      </c>
      <c r="I28" s="2">
        <f>('Kwh Reading'!R29-'Kwh Reading'!R28)*1000</f>
        <v>159.99999999999659</v>
      </c>
      <c r="J28" s="2">
        <f>('Kwh Reading'!S29-'Kwh Reading'!S28)*1000</f>
        <v>132.99999999999557</v>
      </c>
      <c r="K28" s="2">
        <f>('Kwh Reading'!I29-'Kwh Reading'!I28)*1000</f>
        <v>250</v>
      </c>
      <c r="L28" s="2">
        <f>('Kwh Reading'!B29-'Kwh Reading'!B28)*1000</f>
        <v>1220.0000000000273</v>
      </c>
      <c r="M28" s="2">
        <f>('Kwh Reading'!M29-'Kwh Reading'!M28)*1000</f>
        <v>800.00000000001137</v>
      </c>
      <c r="N28" s="2">
        <f>('Kwh Reading'!H29-'Kwh Reading'!H28)*1000</f>
        <v>900.00000000003411</v>
      </c>
      <c r="O28" s="2">
        <f>('Kwh Reading'!P29-'Kwh Reading'!P28)*1000</f>
        <v>890.0000000000432</v>
      </c>
      <c r="P28" s="2">
        <f>('Kwh Reading'!G29-'Kwh Reading'!G28)*1000</f>
        <v>879.99999999999545</v>
      </c>
      <c r="Q28" s="2">
        <f>('Kwh Reading'!Q29-'Kwh Reading'!Q28)*1000</f>
        <v>709.99999999997954</v>
      </c>
      <c r="R28" s="2">
        <f>('Kwh Reading'!N29-'Kwh Reading'!N28)*1000</f>
        <v>780.00000000002956</v>
      </c>
      <c r="S28" s="2">
        <f>'Kwh Reading'!E29-'Kwh Reading'!E28</f>
        <v>2927.0300000002608</v>
      </c>
      <c r="T28" s="2">
        <f>'Kwh Reading'!D29-'Kwh Reading'!D28</f>
        <v>2097.839999999851</v>
      </c>
      <c r="U28" s="27">
        <f>('Kwh Reading'!O29-'Kwh Reading'!O28)*1000</f>
        <v>209.99999999999375</v>
      </c>
      <c r="V28" s="16">
        <f t="shared" si="0"/>
        <v>5272.1299999996882</v>
      </c>
    </row>
    <row r="29" spans="1:22" x14ac:dyDescent="0.25">
      <c r="A29" s="3">
        <f>'Kwh Reading'!A29</f>
        <v>44222</v>
      </c>
      <c r="B29" s="109">
        <f>TOTAL!E27</f>
        <v>20749.999999999545</v>
      </c>
      <c r="C29" s="4">
        <f>('Kwh Reading'!T30-'Kwh Reading'!T29)*1000</f>
        <v>539.99999999996362</v>
      </c>
      <c r="D29" s="2">
        <f>('Kwh Reading'!F30-'Kwh Reading'!F29)*1000000</f>
        <v>2800.0000000001355</v>
      </c>
      <c r="E29" s="2">
        <f>('Kwh Reading'!C30-'Kwh Reading'!C29)*1000</f>
        <v>269.99999999998181</v>
      </c>
      <c r="F29" s="2">
        <f>('Kwh Reading'!J30-'Kwh Reading'!J29)*1000</f>
        <v>430.00000000000682</v>
      </c>
      <c r="G29" s="2">
        <f>('Kwh Reading'!K30-'Kwh Reading'!K29)*1000</f>
        <v>390.0000000000432</v>
      </c>
      <c r="H29" s="2">
        <f>('Kwh Reading'!L30-'Kwh Reading'!L29)*1000</f>
        <v>269.99999999998181</v>
      </c>
      <c r="I29" s="2">
        <f>('Kwh Reading'!R30-'Kwh Reading'!R29)*1000</f>
        <v>160.0000000000108</v>
      </c>
      <c r="J29" s="2">
        <f>('Kwh Reading'!S30-'Kwh Reading'!S29)*1000</f>
        <v>138.00000000000523</v>
      </c>
      <c r="K29" s="2">
        <f>('Kwh Reading'!I30-'Kwh Reading'!I29)*1000</f>
        <v>269.99999999998181</v>
      </c>
      <c r="L29" s="2">
        <f>('Kwh Reading'!B30-'Kwh Reading'!B29)*1000</f>
        <v>1169.9999999999591</v>
      </c>
      <c r="M29" s="2">
        <f>('Kwh Reading'!M30-'Kwh Reading'!M29)*1000</f>
        <v>759.99999999999091</v>
      </c>
      <c r="N29" s="2">
        <f>('Kwh Reading'!H30-'Kwh Reading'!H29)*1000</f>
        <v>870.00000000000455</v>
      </c>
      <c r="O29" s="2">
        <f>('Kwh Reading'!P30-'Kwh Reading'!P29)*1000</f>
        <v>870.00000000000455</v>
      </c>
      <c r="P29" s="2">
        <f>('Kwh Reading'!G30-'Kwh Reading'!G29)*1000</f>
        <v>879.99999999999545</v>
      </c>
      <c r="Q29" s="2">
        <f>('Kwh Reading'!Q30-'Kwh Reading'!Q29)*1000</f>
        <v>759.99999999999091</v>
      </c>
      <c r="R29" s="2">
        <f>('Kwh Reading'!N30-'Kwh Reading'!N29)*1000</f>
        <v>839.99999999997499</v>
      </c>
      <c r="S29" s="2">
        <f>'Kwh Reading'!E30-'Kwh Reading'!E29</f>
        <v>2717.660000000149</v>
      </c>
      <c r="T29" s="2">
        <f>'Kwh Reading'!D30-'Kwh Reading'!D29</f>
        <v>2025.6399999996647</v>
      </c>
      <c r="U29" s="27">
        <f>('Kwh Reading'!O30-'Kwh Reading'!O29)*1000</f>
        <v>200.00000000000284</v>
      </c>
      <c r="V29" s="16">
        <f t="shared" si="0"/>
        <v>4388.699999999697</v>
      </c>
    </row>
    <row r="30" spans="1:22" x14ac:dyDescent="0.25">
      <c r="A30" s="3">
        <f>'Kwh Reading'!A30</f>
        <v>44223</v>
      </c>
      <c r="B30" s="26">
        <f>TOTAL!E28</f>
        <v>20950.000000000728</v>
      </c>
      <c r="C30" s="4">
        <f>('Kwh Reading'!T31-'Kwh Reading'!T30)*1000</f>
        <v>540.00000000002046</v>
      </c>
      <c r="D30" s="2">
        <f>('Kwh Reading'!F31-'Kwh Reading'!F30)*1000000</f>
        <v>2299.9999999999686</v>
      </c>
      <c r="E30" s="2">
        <f>('Kwh Reading'!C31-'Kwh Reading'!C30)*1000</f>
        <v>240.00000000000909</v>
      </c>
      <c r="F30" s="2">
        <f>('Kwh Reading'!J31-'Kwh Reading'!J30)*1000</f>
        <v>259.99999999999091</v>
      </c>
      <c r="G30" s="2">
        <f>('Kwh Reading'!K31-'Kwh Reading'!K30)*1000</f>
        <v>289.99999999996362</v>
      </c>
      <c r="H30" s="2">
        <f>('Kwh Reading'!L31-'Kwh Reading'!L30)*1000</f>
        <v>200.00000000001705</v>
      </c>
      <c r="I30" s="2">
        <f>('Kwh Reading'!R31-'Kwh Reading'!R30)*1000</f>
        <v>199.99999999998863</v>
      </c>
      <c r="J30" s="2">
        <f>('Kwh Reading'!S31-'Kwh Reading'!S30)*1000</f>
        <v>132.99999999999557</v>
      </c>
      <c r="K30" s="2">
        <f>('Kwh Reading'!I31-'Kwh Reading'!I30)*1000</f>
        <v>250</v>
      </c>
      <c r="L30" s="2">
        <f>('Kwh Reading'!B31-'Kwh Reading'!B30)*1000</f>
        <v>990.00000000000909</v>
      </c>
      <c r="M30" s="2">
        <f>('Kwh Reading'!M31-'Kwh Reading'!M30)*1000</f>
        <v>620.00000000000455</v>
      </c>
      <c r="N30" s="2">
        <f>('Kwh Reading'!H31-'Kwh Reading'!H30)*1000</f>
        <v>779.99999999997272</v>
      </c>
      <c r="O30" s="2">
        <f>('Kwh Reading'!P31-'Kwh Reading'!P30)*1000</f>
        <v>799.99999999995453</v>
      </c>
      <c r="P30" s="2">
        <f>('Kwh Reading'!G31-'Kwh Reading'!G30)*1000</f>
        <v>819.99999999993634</v>
      </c>
      <c r="Q30" s="2">
        <f>('Kwh Reading'!Q31-'Kwh Reading'!Q30)*1000</f>
        <v>660.00000000002501</v>
      </c>
      <c r="R30" s="2">
        <f>('Kwh Reading'!N31-'Kwh Reading'!N30)*1000</f>
        <v>710.00000000003638</v>
      </c>
      <c r="S30" s="2">
        <f>'Kwh Reading'!E31-'Kwh Reading'!E30</f>
        <v>2403.769999999553</v>
      </c>
      <c r="T30" s="2">
        <f>'Kwh Reading'!D31-'Kwh Reading'!D30</f>
        <v>1763.7400000002235</v>
      </c>
      <c r="U30" s="27">
        <f>('Kwh Reading'!O31-'Kwh Reading'!O30)*1000</f>
        <v>200.00000000000284</v>
      </c>
      <c r="V30" s="16">
        <f t="shared" si="0"/>
        <v>6789.490000001053</v>
      </c>
    </row>
    <row r="31" spans="1:22" x14ac:dyDescent="0.25">
      <c r="A31" s="3">
        <f>'Kwh Reading'!A31</f>
        <v>44224</v>
      </c>
      <c r="B31" s="26">
        <f>TOTAL!E29</f>
        <v>21319.999999999251</v>
      </c>
      <c r="C31" s="4">
        <f>('Kwh Reading'!T32-'Kwh Reading'!T31)*1000</f>
        <v>530.00000000002956</v>
      </c>
      <c r="D31" s="2">
        <f>('Kwh Reading'!F32-'Kwh Reading'!F31)*1000000</f>
        <v>2699.9999999999245</v>
      </c>
      <c r="E31" s="2">
        <f>('Kwh Reading'!C32-'Kwh Reading'!C31)*1000</f>
        <v>240.00000000000909</v>
      </c>
      <c r="F31" s="2">
        <f>('Kwh Reading'!J32-'Kwh Reading'!J31)*1000</f>
        <v>430.00000000000682</v>
      </c>
      <c r="G31" s="2">
        <f>('Kwh Reading'!K32-'Kwh Reading'!K31)*1000</f>
        <v>410.00000000002501</v>
      </c>
      <c r="H31" s="2">
        <f>('Kwh Reading'!L32-'Kwh Reading'!L31)*1000</f>
        <v>280.00000000000114</v>
      </c>
      <c r="I31" s="2">
        <f>('Kwh Reading'!R32-'Kwh Reading'!R31)*1000</f>
        <v>190.00000000001194</v>
      </c>
      <c r="J31" s="2">
        <f>('Kwh Reading'!S32-'Kwh Reading'!S31)*1000</f>
        <v>138.99999999999579</v>
      </c>
      <c r="K31" s="2">
        <f>('Kwh Reading'!I32-'Kwh Reading'!I31)*1000</f>
        <v>250</v>
      </c>
      <c r="L31" s="2">
        <f>('Kwh Reading'!B32-'Kwh Reading'!B31)*1000</f>
        <v>1069.9999999999363</v>
      </c>
      <c r="M31" s="2">
        <f>('Kwh Reading'!M32-'Kwh Reading'!M31)*1000</f>
        <v>609.9999999999568</v>
      </c>
      <c r="N31" s="2">
        <f>('Kwh Reading'!H32-'Kwh Reading'!H31)*1000</f>
        <v>850.00000000002274</v>
      </c>
      <c r="O31" s="2">
        <f>('Kwh Reading'!P32-'Kwh Reading'!P31)*1000</f>
        <v>819.99999999999318</v>
      </c>
      <c r="P31" s="2">
        <f>('Kwh Reading'!G32-'Kwh Reading'!G31)*1000</f>
        <v>890.00000000010004</v>
      </c>
      <c r="Q31" s="2">
        <f>('Kwh Reading'!Q32-'Kwh Reading'!Q31)*1000</f>
        <v>689.99999999999773</v>
      </c>
      <c r="R31" s="2">
        <f>('Kwh Reading'!N32-'Kwh Reading'!N31)*1000</f>
        <v>800.00000000001137</v>
      </c>
      <c r="S31" s="2">
        <f>'Kwh Reading'!E32-'Kwh Reading'!E31</f>
        <v>2627.7000000001863</v>
      </c>
      <c r="T31" s="2">
        <f>'Kwh Reading'!D32-'Kwh Reading'!D31</f>
        <v>2019.519999999553</v>
      </c>
      <c r="U31" s="27">
        <f>('Kwh Reading'!O32-'Kwh Reading'!O31)*1000</f>
        <v>250</v>
      </c>
      <c r="V31" s="16">
        <f t="shared" si="0"/>
        <v>5523.7799999994895</v>
      </c>
    </row>
    <row r="32" spans="1:22" x14ac:dyDescent="0.25">
      <c r="A32" s="3">
        <f>'Kwh Reading'!A32</f>
        <v>44225</v>
      </c>
      <c r="B32" s="26">
        <f>TOTAL!E30</f>
        <v>20730.000000000018</v>
      </c>
      <c r="C32" s="4">
        <f>('Kwh Reading'!T33-'Kwh Reading'!T32)*1000</f>
        <v>259.99999999999091</v>
      </c>
      <c r="D32" s="2">
        <f>('Kwh Reading'!F33-'Kwh Reading'!F32)*1000000</f>
        <v>2499.9999999999468</v>
      </c>
      <c r="E32" s="2">
        <f>('Kwh Reading'!C33-'Kwh Reading'!C32)*1000</f>
        <v>250</v>
      </c>
      <c r="F32" s="2">
        <f>('Kwh Reading'!J33-'Kwh Reading'!J32)*1000</f>
        <v>209.99999999997954</v>
      </c>
      <c r="G32" s="2">
        <f>('Kwh Reading'!K33-'Kwh Reading'!K32)*1000</f>
        <v>290.00000000002046</v>
      </c>
      <c r="H32" s="2">
        <f>('Kwh Reading'!L33-'Kwh Reading'!L32)*1000</f>
        <v>180.00000000000682</v>
      </c>
      <c r="I32" s="2">
        <f>('Kwh Reading'!R33-'Kwh Reading'!R32)*1000</f>
        <v>99.999999999994316</v>
      </c>
      <c r="J32" s="2">
        <f>('Kwh Reading'!S33-'Kwh Reading'!S32)*1000</f>
        <v>135.00000000000512</v>
      </c>
      <c r="K32" s="2">
        <f>('Kwh Reading'!I33-'Kwh Reading'!I32)*1000</f>
        <v>230.00000000001819</v>
      </c>
      <c r="L32" s="2">
        <f>('Kwh Reading'!B33-'Kwh Reading'!B32)*1000</f>
        <v>1090.0000000000318</v>
      </c>
      <c r="M32" s="2">
        <f>('Kwh Reading'!M33-'Kwh Reading'!M32)*1000</f>
        <v>689.99999999999773</v>
      </c>
      <c r="N32" s="2">
        <f>('Kwh Reading'!H33-'Kwh Reading'!H32)*1000</f>
        <v>930.00000000000682</v>
      </c>
      <c r="O32" s="2">
        <f>('Kwh Reading'!P33-'Kwh Reading'!P32)*1000</f>
        <v>1400.0000000000341</v>
      </c>
      <c r="P32" s="2">
        <f>('Kwh Reading'!G33-'Kwh Reading'!G32)*1000</f>
        <v>909.99999999996817</v>
      </c>
      <c r="Q32" s="2">
        <f>('Kwh Reading'!Q33-'Kwh Reading'!Q32)*1000</f>
        <v>729.99999999996135</v>
      </c>
      <c r="R32" s="2">
        <f>('Kwh Reading'!N33-'Kwh Reading'!N32)*1000</f>
        <v>809.99999999994543</v>
      </c>
      <c r="S32" s="2">
        <f>'Kwh Reading'!E33-'Kwh Reading'!E32</f>
        <v>2436.2800000002608</v>
      </c>
      <c r="T32" s="2">
        <f>'Kwh Reading'!D33-'Kwh Reading'!D32</f>
        <v>2071.6100000003353</v>
      </c>
      <c r="U32" s="27">
        <f>('Kwh Reading'!O33-'Kwh Reading'!O32)*1000</f>
        <v>189.99999999999773</v>
      </c>
      <c r="V32" s="16">
        <f t="shared" si="0"/>
        <v>5317.1099999995167</v>
      </c>
    </row>
    <row r="33" spans="1:22" x14ac:dyDescent="0.25">
      <c r="A33" s="3">
        <f>'Kwh Reading'!A33</f>
        <v>44226</v>
      </c>
      <c r="B33" s="26">
        <f>TOTAL!E31</f>
        <v>21599.999999999913</v>
      </c>
      <c r="C33" s="4">
        <f>('Kwh Reading'!T34-'Kwh Reading'!T33)*1000</f>
        <v>509.99999999999091</v>
      </c>
      <c r="D33" s="2">
        <f>('Kwh Reading'!F34-'Kwh Reading'!F33)*1000000</f>
        <v>2499.9999999999468</v>
      </c>
      <c r="E33" s="2">
        <f>('Kwh Reading'!C34-'Kwh Reading'!C33)*1000</f>
        <v>229.99999999998977</v>
      </c>
      <c r="F33" s="2">
        <f>('Kwh Reading'!J34-'Kwh Reading'!J33)*1000</f>
        <v>280.00000000002956</v>
      </c>
      <c r="G33" s="2">
        <f>('Kwh Reading'!K34-'Kwh Reading'!K33)*1000</f>
        <v>359.9999999999568</v>
      </c>
      <c r="H33" s="2">
        <f>('Kwh Reading'!L34-'Kwh Reading'!L33)*1000</f>
        <v>179.9999999999784</v>
      </c>
      <c r="I33" s="2">
        <f>('Kwh Reading'!R34-'Kwh Reading'!R33)*1000</f>
        <v>150.00000000000568</v>
      </c>
      <c r="J33" s="2">
        <f>('Kwh Reading'!S34-'Kwh Reading'!S33)*1000</f>
        <v>135.99999999999568</v>
      </c>
      <c r="K33" s="2">
        <f>('Kwh Reading'!I34-'Kwh Reading'!I33)*1000</f>
        <v>269.99999999998181</v>
      </c>
      <c r="L33" s="2">
        <f>('Kwh Reading'!B34-'Kwh Reading'!B33)*1000</f>
        <v>1180.0000000000637</v>
      </c>
      <c r="M33" s="2">
        <f>('Kwh Reading'!M34-'Kwh Reading'!M33)*1000</f>
        <v>710.00000000003638</v>
      </c>
      <c r="N33" s="2">
        <f>('Kwh Reading'!H34-'Kwh Reading'!H33)*1000</f>
        <v>959.99999999997954</v>
      </c>
      <c r="O33" s="2">
        <f>('Kwh Reading'!P34-'Kwh Reading'!P33)*1000</f>
        <v>189.99999999999773</v>
      </c>
      <c r="P33" s="2">
        <f>('Kwh Reading'!G34-'Kwh Reading'!G33)*1000</f>
        <v>990.00000000000909</v>
      </c>
      <c r="Q33" s="2">
        <f>('Kwh Reading'!Q34-'Kwh Reading'!Q33)*1000</f>
        <v>690.00000000005457</v>
      </c>
      <c r="R33" s="2">
        <f>('Kwh Reading'!N34-'Kwh Reading'!N33)*1000</f>
        <v>830.00000000004093</v>
      </c>
      <c r="S33" s="2">
        <f>'Kwh Reading'!E34-'Kwh Reading'!E33</f>
        <v>2989.5699999993667</v>
      </c>
      <c r="T33" s="2">
        <f>'Kwh Reading'!D34-'Kwh Reading'!D33</f>
        <v>2004.089999999851</v>
      </c>
      <c r="U33" s="27">
        <f>('Kwh Reading'!O34-'Kwh Reading'!O33)*1000</f>
        <v>230.00000000000398</v>
      </c>
      <c r="V33" s="16">
        <f t="shared" si="0"/>
        <v>6210.3400000006332</v>
      </c>
    </row>
    <row r="34" spans="1:22" x14ac:dyDescent="0.25">
      <c r="A34" s="3">
        <f>'Kwh Reading'!A34</f>
        <v>44227</v>
      </c>
      <c r="B34" s="26">
        <f>TOTAL!E32</f>
        <v>0</v>
      </c>
      <c r="C34" s="4">
        <f>('Kwh Reading'!T35-'Kwh Reading'!T34)*1000</f>
        <v>-349930</v>
      </c>
      <c r="D34" s="2">
        <f>('Kwh Reading'!F35-'Kwh Reading'!F34)*1000000</f>
        <v>-2011299.9999999998</v>
      </c>
      <c r="E34" s="2">
        <f>('Kwh Reading'!C35-'Kwh Reading'!C34)*1000</f>
        <v>-195130</v>
      </c>
      <c r="F34" s="2">
        <f>('Kwh Reading'!J35-'Kwh Reading'!J34)*1000</f>
        <v>-281920</v>
      </c>
      <c r="G34" s="2">
        <f>('Kwh Reading'!K35-'Kwh Reading'!K34)*1000</f>
        <v>-295020</v>
      </c>
      <c r="H34" s="2">
        <f>('Kwh Reading'!L35-'Kwh Reading'!L34)*1000</f>
        <v>-202480</v>
      </c>
      <c r="I34" s="2">
        <f>('Kwh Reading'!R35-'Kwh Reading'!R34)*1000</f>
        <v>-119150</v>
      </c>
      <c r="J34" s="2">
        <f>('Kwh Reading'!S35-'Kwh Reading'!S34)*1000</f>
        <v>-95354</v>
      </c>
      <c r="K34" s="2">
        <f>('Kwh Reading'!I35-'Kwh Reading'!I34)*1000</f>
        <v>-188880</v>
      </c>
      <c r="L34" s="2">
        <f>('Kwh Reading'!B35-'Kwh Reading'!B34)*1000</f>
        <v>-788820</v>
      </c>
      <c r="M34" s="2">
        <f>('Kwh Reading'!M35-'Kwh Reading'!M34)*1000</f>
        <v>-407050</v>
      </c>
      <c r="N34" s="2">
        <f>('Kwh Reading'!H35-'Kwh Reading'!H34)*1000</f>
        <v>-506380</v>
      </c>
      <c r="O34" s="2">
        <f>('Kwh Reading'!P35-'Kwh Reading'!P34)*1000</f>
        <v>-470870</v>
      </c>
      <c r="P34" s="2">
        <f>('Kwh Reading'!G35-'Kwh Reading'!G34)*1000</f>
        <v>-608220</v>
      </c>
      <c r="Q34" s="2">
        <f>('Kwh Reading'!Q35-'Kwh Reading'!Q34)*1000</f>
        <v>-350220</v>
      </c>
      <c r="R34" s="2">
        <f>('Kwh Reading'!N35-'Kwh Reading'!N34)*1000</f>
        <v>-352860</v>
      </c>
      <c r="S34" s="2">
        <f>'Kwh Reading'!E35-'Kwh Reading'!E34</f>
        <v>-7726809.0999999996</v>
      </c>
      <c r="T34" s="2">
        <f>'Kwh Reading'!D35-'Kwh Reading'!D34</f>
        <v>-7125647.8399999999</v>
      </c>
      <c r="U34" s="27">
        <f>('Kwh Reading'!O35-'Kwh Reading'!O34)*1000</f>
        <v>-114640</v>
      </c>
      <c r="V34" s="16">
        <f t="shared" si="0"/>
        <v>22190680.939999998</v>
      </c>
    </row>
    <row r="35" spans="1:22" x14ac:dyDescent="0.25">
      <c r="A35" s="80" t="s">
        <v>53</v>
      </c>
      <c r="B35" s="79">
        <f>SUM(B4:B34)</f>
        <v>628779.9999999993</v>
      </c>
      <c r="C35" s="75">
        <f t="shared" ref="C35" si="1">SUM(C4:C34)</f>
        <v>-334740</v>
      </c>
      <c r="D35" s="75">
        <f t="shared" ref="D35" si="2">SUM(D4:D34)</f>
        <v>-1935500</v>
      </c>
      <c r="E35" s="75">
        <f t="shared" ref="E35" si="3">SUM(E4:E34)</f>
        <v>-187450</v>
      </c>
      <c r="F35" s="75">
        <f t="shared" ref="F35" si="4">SUM(F4:F34)</f>
        <v>-272089.99999999994</v>
      </c>
      <c r="G35" s="75">
        <f t="shared" ref="G35:U35" si="5">SUM(G4:G34)</f>
        <v>-283610.00000000006</v>
      </c>
      <c r="H35" s="75">
        <f t="shared" si="5"/>
        <v>-194770.00000000003</v>
      </c>
      <c r="I35" s="75">
        <f t="shared" si="5"/>
        <v>-114299.99999999999</v>
      </c>
      <c r="J35" s="75">
        <f t="shared" si="5"/>
        <v>-91218</v>
      </c>
      <c r="K35" s="75">
        <f t="shared" si="5"/>
        <v>-181590</v>
      </c>
      <c r="L35" s="75">
        <f t="shared" si="5"/>
        <v>-754529.99999999988</v>
      </c>
      <c r="M35" s="75">
        <f t="shared" si="5"/>
        <v>-387460</v>
      </c>
      <c r="N35" s="75">
        <f t="shared" si="5"/>
        <v>-482030</v>
      </c>
      <c r="O35" s="75">
        <f t="shared" si="5"/>
        <v>-447390</v>
      </c>
      <c r="P35" s="75">
        <f t="shared" si="5"/>
        <v>-583600</v>
      </c>
      <c r="Q35" s="75">
        <f t="shared" si="5"/>
        <v>-331310</v>
      </c>
      <c r="R35" s="75">
        <f t="shared" si="5"/>
        <v>-331810</v>
      </c>
      <c r="S35" s="75">
        <f t="shared" si="5"/>
        <v>-7644266.0700000003</v>
      </c>
      <c r="T35" s="75">
        <f t="shared" si="5"/>
        <v>-7066749.8099999996</v>
      </c>
      <c r="U35" s="75">
        <f t="shared" si="5"/>
        <v>-107360</v>
      </c>
      <c r="V35" s="75">
        <f>SUM(V4:V34)</f>
        <v>22360553.879999999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B33" sqref="B33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19019.999999999302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4864.5099999990707</v>
      </c>
    </row>
    <row r="4" spans="1:12" x14ac:dyDescent="0.25">
      <c r="A4" s="14">
        <f>'Kwh Reading'!A5</f>
        <v>44198</v>
      </c>
      <c r="B4" s="83">
        <f>TOTAL!E3</f>
        <v>22269.999999999527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6656.9699999991553</v>
      </c>
    </row>
    <row r="5" spans="1:12" x14ac:dyDescent="0.25">
      <c r="A5" s="14">
        <f>'Kwh Reading'!A6</f>
        <v>44199</v>
      </c>
      <c r="B5" s="83">
        <f>TOTAL!E4</f>
        <v>23276.000000001208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6631.5000000021828</v>
      </c>
    </row>
    <row r="6" spans="1:12" x14ac:dyDescent="0.25">
      <c r="A6" s="14">
        <f>'Kwh Reading'!A7</f>
        <v>44200</v>
      </c>
      <c r="B6" s="83">
        <f>TOTAL!E5</f>
        <v>20043.99999999896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5819.4899999982244</v>
      </c>
    </row>
    <row r="7" spans="1:12" x14ac:dyDescent="0.25">
      <c r="A7" s="14">
        <f>'Kwh Reading'!A8</f>
        <v>44201</v>
      </c>
      <c r="B7" s="83">
        <f>TOTAL!E6</f>
        <v>19110.000000000582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4977.5700000009938</v>
      </c>
    </row>
    <row r="8" spans="1:12" x14ac:dyDescent="0.25">
      <c r="A8" s="14">
        <f>'Kwh Reading'!A9</f>
        <v>44202</v>
      </c>
      <c r="B8" s="83">
        <f>TOTAL!E7</f>
        <v>18760.000000000218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4788.4799999995112</v>
      </c>
    </row>
    <row r="9" spans="1:12" x14ac:dyDescent="0.25">
      <c r="A9" s="14">
        <f>'Kwh Reading'!A10</f>
        <v>44203</v>
      </c>
      <c r="B9" s="83">
        <f>TOTAL!E8</f>
        <v>22079.999999999472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5376.3199999998906</v>
      </c>
    </row>
    <row r="10" spans="1:12" x14ac:dyDescent="0.25">
      <c r="A10" s="14">
        <f>'Kwh Reading'!A11</f>
        <v>44204</v>
      </c>
      <c r="B10" s="83">
        <f>TOTAL!E9</f>
        <v>19940.000000000055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4249.3199999995777</v>
      </c>
    </row>
    <row r="11" spans="1:12" x14ac:dyDescent="0.25">
      <c r="A11" s="14">
        <f>'Kwh Reading'!A12</f>
        <v>44205</v>
      </c>
      <c r="B11" s="83">
        <f>TOTAL!E10</f>
        <v>20900.000000000771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6472.7200000014755</v>
      </c>
    </row>
    <row r="12" spans="1:12" x14ac:dyDescent="0.25">
      <c r="A12" s="14">
        <f>'Kwh Reading'!A13</f>
        <v>44206</v>
      </c>
      <c r="B12" s="83">
        <f>TOTAL!E11</f>
        <v>21479.999999999112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5913.7099999986549</v>
      </c>
    </row>
    <row r="13" spans="1:12" x14ac:dyDescent="0.25">
      <c r="A13" s="14">
        <f>'Kwh Reading'!A14</f>
        <v>44207</v>
      </c>
      <c r="B13" s="83">
        <f>TOTAL!E12</f>
        <v>20740.000000001142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5216.1500000016913</v>
      </c>
    </row>
    <row r="14" spans="1:12" x14ac:dyDescent="0.25">
      <c r="A14" s="14">
        <f>'Kwh Reading'!A15</f>
        <v>44208</v>
      </c>
      <c r="B14" s="83">
        <f>TOTAL!E13</f>
        <v>19419.999999999389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4409.7199999992827</v>
      </c>
    </row>
    <row r="15" spans="1:12" x14ac:dyDescent="0.25">
      <c r="A15" s="14">
        <f>'Kwh Reading'!A16</f>
        <v>44209</v>
      </c>
      <c r="B15" s="83">
        <f>TOTAL!E14</f>
        <v>19699.999999999593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6050.0899999994599</v>
      </c>
    </row>
    <row r="16" spans="1:12" x14ac:dyDescent="0.25">
      <c r="A16" s="14">
        <f>'Kwh Reading'!A17</f>
        <v>44210</v>
      </c>
      <c r="B16" s="83">
        <f>TOTAL!E15</f>
        <v>22230.000000000244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6822.7900000000445</v>
      </c>
    </row>
    <row r="17" spans="1:12" x14ac:dyDescent="0.25">
      <c r="A17" s="14">
        <f>'Kwh Reading'!A18</f>
        <v>44211</v>
      </c>
      <c r="B17" s="83">
        <f>TOTAL!E16</f>
        <v>20079.999999999698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4982.6500000002015</v>
      </c>
    </row>
    <row r="18" spans="1:12" x14ac:dyDescent="0.25">
      <c r="A18" s="14">
        <f>'Kwh Reading'!A19</f>
        <v>44212</v>
      </c>
      <c r="B18" s="83">
        <f>TOTAL!E17</f>
        <v>20619.999999999665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5652.0200000001596</v>
      </c>
    </row>
    <row r="19" spans="1:12" x14ac:dyDescent="0.25">
      <c r="A19" s="14">
        <f>'Kwh Reading'!A20</f>
        <v>44213</v>
      </c>
      <c r="B19" s="83">
        <f>TOTAL!E18</f>
        <v>21550.000000000407</v>
      </c>
      <c r="C19" s="1">
        <f>'Kwh Consumption'!C20</f>
        <v>520.00000000003865</v>
      </c>
      <c r="D19" s="1">
        <f>'Kwh Consumption'!D20</f>
        <v>2399.9999999999577</v>
      </c>
      <c r="E19" s="1">
        <f>'Kwh Consumption'!E20</f>
        <v>219.99999999999886</v>
      </c>
      <c r="F19" s="1">
        <f>('Kwh Consumption'!F20+'Kwh Consumption'!G20+'Kwh Consumption'!H20)</f>
        <v>829.99999999998408</v>
      </c>
      <c r="G19" s="16">
        <f>('Kwh Consumption'!I20+'Kwh Consumption'!J20)</f>
        <v>276.00000000001046</v>
      </c>
      <c r="H19" s="1">
        <f>('Kwh Consumption'!K20+'Kwh Consumption'!L20)</f>
        <v>1510.0000000000193</v>
      </c>
      <c r="I19" s="1">
        <f>('Kwh Consumption'!M20+'Kwh Consumption'!N20+'Kwh Consumption'!O20+'Kwh Consumption'!P20+'Kwh Consumption'!Q20+'Kwh Consumption'!R20)</f>
        <v>4569.9999999999363</v>
      </c>
      <c r="J19" s="1">
        <f>('Kwh Consumption'!S20+'Kwh Consumption'!T20)</f>
        <v>4769.5600000005215</v>
      </c>
      <c r="K19" s="1">
        <f>'Kwh Consumption'!U20</f>
        <v>239.99999999999488</v>
      </c>
      <c r="L19" s="32">
        <f t="shared" si="0"/>
        <v>6214.4399999999423</v>
      </c>
    </row>
    <row r="20" spans="1:12" x14ac:dyDescent="0.25">
      <c r="A20" s="14">
        <f>'Kwh Reading'!A21</f>
        <v>44214</v>
      </c>
      <c r="B20" s="83">
        <f>TOTAL!E19</f>
        <v>21250.000000000229</v>
      </c>
      <c r="C20" s="1">
        <f>'Kwh Consumption'!C21</f>
        <v>529.99999999997272</v>
      </c>
      <c r="D20" s="1">
        <f>'Kwh Consumption'!D21</f>
        <v>2700.0000000001469</v>
      </c>
      <c r="E20" s="1">
        <f>'Kwh Consumption'!E21</f>
        <v>280.00000000000114</v>
      </c>
      <c r="F20" s="1">
        <f>('Kwh Consumption'!F21+'Kwh Consumption'!G21+'Kwh Consumption'!H21)</f>
        <v>1190.0000000000261</v>
      </c>
      <c r="G20" s="16">
        <f>('Kwh Consumption'!I21+'Kwh Consumption'!J21)</f>
        <v>267.99999999998647</v>
      </c>
      <c r="H20" s="1">
        <f>('Kwh Consumption'!K21+'Kwh Consumption'!L21)</f>
        <v>1539.999999999992</v>
      </c>
      <c r="I20" s="1">
        <f>('Kwh Consumption'!M21+'Kwh Consumption'!N21+'Kwh Consumption'!O21+'Kwh Consumption'!P21+'Kwh Consumption'!Q21+'Kwh Consumption'!R21)</f>
        <v>4710.0000000000364</v>
      </c>
      <c r="J20" s="1">
        <f>('Kwh Consumption'!S21+'Kwh Consumption'!T21)</f>
        <v>5325.570000000298</v>
      </c>
      <c r="K20" s="1">
        <f>'Kwh Consumption'!U21</f>
        <v>230.00000000000398</v>
      </c>
      <c r="L20" s="32">
        <f t="shared" si="0"/>
        <v>4476.4299999997656</v>
      </c>
    </row>
    <row r="21" spans="1:12" x14ac:dyDescent="0.25">
      <c r="A21" s="14">
        <f>'Kwh Reading'!A22</f>
        <v>44215</v>
      </c>
      <c r="B21" s="83">
        <f>TOTAL!E20</f>
        <v>21239.999999999782</v>
      </c>
      <c r="C21" s="1">
        <f>'Kwh Consumption'!C22</f>
        <v>160.00000000002501</v>
      </c>
      <c r="D21" s="1">
        <f>'Kwh Consumption'!D22</f>
        <v>2399.9999999999577</v>
      </c>
      <c r="E21" s="1">
        <f>'Kwh Consumption'!E22</f>
        <v>250</v>
      </c>
      <c r="F21" s="1">
        <f>('Kwh Consumption'!F22+'Kwh Consumption'!G22+'Kwh Consumption'!H22)</f>
        <v>709.99999999997954</v>
      </c>
      <c r="G21" s="16">
        <f>('Kwh Consumption'!I22+'Kwh Consumption'!J22)</f>
        <v>251.99999999999534</v>
      </c>
      <c r="H21" s="1">
        <f>('Kwh Consumption'!K22+'Kwh Consumption'!L22)</f>
        <v>1419.9999999999591</v>
      </c>
      <c r="I21" s="1">
        <f>('Kwh Consumption'!M22+'Kwh Consumption'!N22+'Kwh Consumption'!O22+'Kwh Consumption'!P22+'Kwh Consumption'!Q22+'Kwh Consumption'!R22)</f>
        <v>4419.9999999999591</v>
      </c>
      <c r="J21" s="1">
        <f>('Kwh Consumption'!S22+'Kwh Consumption'!T22)</f>
        <v>5057.75</v>
      </c>
      <c r="K21" s="1">
        <f>'Kwh Consumption'!U22</f>
        <v>219.99999999999886</v>
      </c>
      <c r="L21" s="32">
        <f t="shared" si="0"/>
        <v>6350.2499999999063</v>
      </c>
    </row>
    <row r="22" spans="1:12" x14ac:dyDescent="0.25">
      <c r="A22" s="14">
        <f>'Kwh Reading'!A23</f>
        <v>44216</v>
      </c>
      <c r="B22" s="83">
        <f>TOTAL!E21</f>
        <v>21230.000000000247</v>
      </c>
      <c r="C22" s="1">
        <f>'Kwh Consumption'!C23</f>
        <v>849.99999999996589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679.99999999994998</v>
      </c>
      <c r="G22" s="16">
        <f>('Kwh Consumption'!I23+'Kwh Consumption'!J23)</f>
        <v>249.00000000000944</v>
      </c>
      <c r="H22" s="1">
        <f>('Kwh Consumption'!K23+'Kwh Consumption'!L23)</f>
        <v>1350.0000000000512</v>
      </c>
      <c r="I22" s="1">
        <f>('Kwh Consumption'!M23+'Kwh Consumption'!N23+'Kwh Consumption'!O23+'Kwh Consumption'!P23+'Kwh Consumption'!Q23+'Kwh Consumption'!R23)</f>
        <v>4250.0000000000564</v>
      </c>
      <c r="J22" s="1">
        <f>('Kwh Consumption'!S23+'Kwh Consumption'!T23)</f>
        <v>4482.6900000004098</v>
      </c>
      <c r="K22" s="1">
        <f>'Kwh Consumption'!U23</f>
        <v>209.99999999999375</v>
      </c>
      <c r="L22" s="32">
        <f t="shared" si="0"/>
        <v>6428.3099999998749</v>
      </c>
    </row>
    <row r="23" spans="1:12" x14ac:dyDescent="0.25">
      <c r="A23" s="14">
        <f>'Kwh Reading'!A24</f>
        <v>44217</v>
      </c>
      <c r="B23" s="83">
        <f>TOTAL!E22</f>
        <v>20830.000000000153</v>
      </c>
      <c r="C23" s="1">
        <f>'Kwh Consumption'!C24</f>
        <v>510.00000000004775</v>
      </c>
      <c r="D23" s="1">
        <f>'Kwh Consumption'!D24</f>
        <v>2499.9999999999468</v>
      </c>
      <c r="E23" s="1">
        <f>'Kwh Consumption'!E24</f>
        <v>240.00000000000909</v>
      </c>
      <c r="F23" s="1">
        <f>('Kwh Consumption'!F24+'Kwh Consumption'!G24+'Kwh Consumption'!H24)</f>
        <v>900.00000000003411</v>
      </c>
      <c r="G23" s="16">
        <f>('Kwh Consumption'!I24+'Kwh Consumption'!J24)</f>
        <v>301.00000000000193</v>
      </c>
      <c r="H23" s="1">
        <f>('Kwh Consumption'!K24+'Kwh Consumption'!L24)</f>
        <v>1269.9999999999818</v>
      </c>
      <c r="I23" s="1">
        <f>('Kwh Consumption'!M24+'Kwh Consumption'!N24+'Kwh Consumption'!O24+'Kwh Consumption'!P24+'Kwh Consumption'!Q24+'Kwh Consumption'!R24)</f>
        <v>4509.9999999999909</v>
      </c>
      <c r="J23" s="1">
        <f>('Kwh Consumption'!S24+'Kwh Consumption'!T24)</f>
        <v>4979.3799999998882</v>
      </c>
      <c r="K23" s="1">
        <f>'Kwh Consumption'!U24</f>
        <v>230.00000000000398</v>
      </c>
      <c r="L23" s="32">
        <f t="shared" si="0"/>
        <v>5389.6200000002536</v>
      </c>
    </row>
    <row r="24" spans="1:12" x14ac:dyDescent="0.25">
      <c r="A24" s="14">
        <f>'Kwh Reading'!A25</f>
        <v>44218</v>
      </c>
      <c r="B24" s="83">
        <f>TOTAL!E23</f>
        <v>21389.999999999647</v>
      </c>
      <c r="C24" s="1">
        <f>'Kwh Consumption'!C25</f>
        <v>250</v>
      </c>
      <c r="D24" s="1">
        <f>'Kwh Consumption'!D25</f>
        <v>2600.0000000001578</v>
      </c>
      <c r="E24" s="1">
        <f>'Kwh Consumption'!E25</f>
        <v>259.99999999999091</v>
      </c>
      <c r="F24" s="1">
        <f>('Kwh Consumption'!F25+'Kwh Consumption'!G25+'Kwh Consumption'!H25)</f>
        <v>969.99999999999886</v>
      </c>
      <c r="G24" s="16">
        <f>('Kwh Consumption'!I25+'Kwh Consumption'!J25)</f>
        <v>317.99999999999784</v>
      </c>
      <c r="H24" s="1">
        <f>('Kwh Consumption'!K25+'Kwh Consumption'!L25)</f>
        <v>1600.0000000000227</v>
      </c>
      <c r="I24" s="1">
        <f>('Kwh Consumption'!M25+'Kwh Consumption'!N25+'Kwh Consumption'!O25+'Kwh Consumption'!P25+'Kwh Consumption'!Q25+'Kwh Consumption'!R25)</f>
        <v>4689.9999999999982</v>
      </c>
      <c r="J24" s="1">
        <f>('Kwh Consumption'!S25+'Kwh Consumption'!T25)</f>
        <v>4687.3799999989569</v>
      </c>
      <c r="K24" s="1">
        <f>'Kwh Consumption'!U25</f>
        <v>210.00000000000796</v>
      </c>
      <c r="L24" s="32">
        <f t="shared" si="0"/>
        <v>5804.6200000005165</v>
      </c>
    </row>
    <row r="25" spans="1:12" x14ac:dyDescent="0.25">
      <c r="A25" s="14">
        <f>'Kwh Reading'!A26</f>
        <v>44219</v>
      </c>
      <c r="B25" s="83">
        <f>TOTAL!E24</f>
        <v>22340.000000000371</v>
      </c>
      <c r="C25" s="1">
        <f>'Kwh Consumption'!C26</f>
        <v>549.99999999995453</v>
      </c>
      <c r="D25" s="1">
        <f>'Kwh Consumption'!D26</f>
        <v>2399.9999999999577</v>
      </c>
      <c r="E25" s="1">
        <f>'Kwh Consumption'!E26</f>
        <v>230.00000000001819</v>
      </c>
      <c r="F25" s="1">
        <f>('Kwh Consumption'!F26+'Kwh Consumption'!G26+'Kwh Consumption'!H26)</f>
        <v>740.00000000000909</v>
      </c>
      <c r="G25" s="16">
        <f>('Kwh Consumption'!I26+'Kwh Consumption'!J26)</f>
        <v>299.00000000000659</v>
      </c>
      <c r="H25" s="1">
        <f>('Kwh Consumption'!K26+'Kwh Consumption'!L26)</f>
        <v>1429.99999999995</v>
      </c>
      <c r="I25" s="1">
        <f>('Kwh Consumption'!M26+'Kwh Consumption'!N26+'Kwh Consumption'!O26+'Kwh Consumption'!P26+'Kwh Consumption'!Q26+'Kwh Consumption'!R26)</f>
        <v>4589.9999999999745</v>
      </c>
      <c r="J25" s="1">
        <f>('Kwh Consumption'!S26+'Kwh Consumption'!T26)</f>
        <v>5022.2700000014156</v>
      </c>
      <c r="K25" s="1">
        <f>'Kwh Consumption'!U26</f>
        <v>199.99999999998863</v>
      </c>
      <c r="L25" s="32">
        <f t="shared" si="0"/>
        <v>6878.7299999990937</v>
      </c>
    </row>
    <row r="26" spans="1:12" x14ac:dyDescent="0.25">
      <c r="A26" s="14">
        <f>'Kwh Reading'!A27</f>
        <v>44220</v>
      </c>
      <c r="B26" s="83">
        <f>TOTAL!E25</f>
        <v>22340.000000000146</v>
      </c>
      <c r="C26" s="1">
        <f>'Kwh Consumption'!C27</f>
        <v>509.99999999999091</v>
      </c>
      <c r="D26" s="1">
        <f>'Kwh Consumption'!D27</f>
        <v>2499.9999999999468</v>
      </c>
      <c r="E26" s="1">
        <f>'Kwh Consumption'!E27</f>
        <v>239.99999999998067</v>
      </c>
      <c r="F26" s="1">
        <f>('Kwh Consumption'!F27+'Kwh Consumption'!G27+'Kwh Consumption'!H27)</f>
        <v>939.9999999999693</v>
      </c>
      <c r="G26" s="16">
        <f>('Kwh Consumption'!I27+'Kwh Consumption'!J27)</f>
        <v>219.99999999999886</v>
      </c>
      <c r="H26" s="1">
        <f>('Kwh Consumption'!K27+'Kwh Consumption'!L27)</f>
        <v>1470.0000000000557</v>
      </c>
      <c r="I26" s="1">
        <f>('Kwh Consumption'!M27+'Kwh Consumption'!N27+'Kwh Consumption'!O27+'Kwh Consumption'!P27+'Kwh Consumption'!Q27+'Kwh Consumption'!R27)</f>
        <v>4879.9999999999955</v>
      </c>
      <c r="J26" s="1">
        <f>('Kwh Consumption'!S27+'Kwh Consumption'!T27)</f>
        <v>5405.019999999553</v>
      </c>
      <c r="K26" s="1">
        <f>'Kwh Consumption'!U27</f>
        <v>230.00000000000398</v>
      </c>
      <c r="L26" s="32">
        <f t="shared" si="0"/>
        <v>5944.9800000006471</v>
      </c>
    </row>
    <row r="27" spans="1:12" x14ac:dyDescent="0.25">
      <c r="A27" s="14">
        <f>'Kwh Reading'!A28</f>
        <v>44221</v>
      </c>
      <c r="B27" s="83">
        <f>TOTAL!E26</f>
        <v>21589.99999999992</v>
      </c>
      <c r="C27" s="1">
        <f>'Kwh Consumption'!C28</f>
        <v>520.00000000003865</v>
      </c>
      <c r="D27" s="1">
        <f>'Kwh Consumption'!D28</f>
        <v>2599.9999999999359</v>
      </c>
      <c r="E27" s="1">
        <f>'Kwh Consumption'!E28</f>
        <v>260.00000000001933</v>
      </c>
      <c r="F27" s="1">
        <f>('Kwh Consumption'!F28+'Kwh Consumption'!G28+'Kwh Consumption'!H28)</f>
        <v>980.00000000001819</v>
      </c>
      <c r="G27" s="16">
        <f>('Kwh Consumption'!I28+'Kwh Consumption'!J28)</f>
        <v>292.99999999999216</v>
      </c>
      <c r="H27" s="1">
        <f>('Kwh Consumption'!K28+'Kwh Consumption'!L28)</f>
        <v>1470.0000000000273</v>
      </c>
      <c r="I27" s="1">
        <f>('Kwh Consumption'!M28+'Kwh Consumption'!N28+'Kwh Consumption'!O28+'Kwh Consumption'!P28+'Kwh Consumption'!Q28+'Kwh Consumption'!R28)</f>
        <v>4960.0000000000928</v>
      </c>
      <c r="J27" s="1">
        <f>('Kwh Consumption'!S28+'Kwh Consumption'!T28)</f>
        <v>5024.8700000001118</v>
      </c>
      <c r="K27" s="1">
        <f>'Kwh Consumption'!U28</f>
        <v>209.99999999999375</v>
      </c>
      <c r="L27" s="32">
        <f t="shared" si="0"/>
        <v>5272.1299999996909</v>
      </c>
    </row>
    <row r="28" spans="1:12" x14ac:dyDescent="0.25">
      <c r="A28" s="14">
        <f>'Kwh Reading'!A29</f>
        <v>44222</v>
      </c>
      <c r="B28" s="83">
        <f>TOTAL!E27</f>
        <v>20749.999999999545</v>
      </c>
      <c r="C28" s="1">
        <f>'Kwh Consumption'!C29</f>
        <v>539.99999999996362</v>
      </c>
      <c r="D28" s="1">
        <f>'Kwh Consumption'!D29</f>
        <v>2800.0000000001355</v>
      </c>
      <c r="E28" s="1">
        <f>'Kwh Consumption'!E29</f>
        <v>269.99999999998181</v>
      </c>
      <c r="F28" s="1">
        <f>('Kwh Consumption'!F29+'Kwh Consumption'!G29+'Kwh Consumption'!H29)</f>
        <v>1090.0000000000318</v>
      </c>
      <c r="G28" s="16">
        <f>('Kwh Consumption'!I29+'Kwh Consumption'!J29)</f>
        <v>298.00000000001603</v>
      </c>
      <c r="H28" s="1">
        <f>('Kwh Consumption'!K29+'Kwh Consumption'!L29)</f>
        <v>1439.9999999999409</v>
      </c>
      <c r="I28" s="1">
        <f>('Kwh Consumption'!M29+'Kwh Consumption'!N29+'Kwh Consumption'!O29+'Kwh Consumption'!P29+'Kwh Consumption'!Q29+'Kwh Consumption'!R29)</f>
        <v>4979.9999999999618</v>
      </c>
      <c r="J28" s="1">
        <f>('Kwh Consumption'!S29+'Kwh Consumption'!T29)</f>
        <v>4743.2999999998137</v>
      </c>
      <c r="K28" s="1">
        <f>'Kwh Consumption'!U29</f>
        <v>200.00000000000284</v>
      </c>
      <c r="L28" s="32">
        <f t="shared" si="0"/>
        <v>4388.6999999996979</v>
      </c>
    </row>
    <row r="29" spans="1:12" x14ac:dyDescent="0.25">
      <c r="A29" s="14">
        <f>'Kwh Reading'!A30</f>
        <v>44223</v>
      </c>
      <c r="B29" s="83">
        <f>TOTAL!E28</f>
        <v>20950.000000000728</v>
      </c>
      <c r="C29" s="1">
        <f>'Kwh Consumption'!C30</f>
        <v>540.00000000002046</v>
      </c>
      <c r="D29" s="1">
        <f>'Kwh Consumption'!D30</f>
        <v>2299.9999999999686</v>
      </c>
      <c r="E29" s="1">
        <f>'Kwh Consumption'!E30</f>
        <v>240.00000000000909</v>
      </c>
      <c r="F29" s="1">
        <f>('Kwh Consumption'!F30+'Kwh Consumption'!G30+'Kwh Consumption'!H30)</f>
        <v>749.99999999997158</v>
      </c>
      <c r="G29" s="16">
        <f>('Kwh Consumption'!I30+'Kwh Consumption'!J30)</f>
        <v>332.9999999999842</v>
      </c>
      <c r="H29" s="1">
        <f>('Kwh Consumption'!K30+'Kwh Consumption'!L30)</f>
        <v>1240.0000000000091</v>
      </c>
      <c r="I29" s="1">
        <f>('Kwh Consumption'!M30+'Kwh Consumption'!N30+'Kwh Consumption'!O30+'Kwh Consumption'!P30+'Kwh Consumption'!Q30+'Kwh Consumption'!R30)</f>
        <v>4389.9999999999291</v>
      </c>
      <c r="J29" s="1">
        <f>('Kwh Consumption'!S30+'Kwh Consumption'!T30)</f>
        <v>4167.5099999997765</v>
      </c>
      <c r="K29" s="1">
        <f>'Kwh Consumption'!U30</f>
        <v>200.00000000000284</v>
      </c>
      <c r="L29" s="32">
        <f t="shared" si="0"/>
        <v>6789.4900000010539</v>
      </c>
    </row>
    <row r="30" spans="1:12" x14ac:dyDescent="0.25">
      <c r="A30" s="14">
        <f>'Kwh Reading'!A31</f>
        <v>44224</v>
      </c>
      <c r="B30" s="83">
        <f>TOTAL!E29</f>
        <v>21319.999999999251</v>
      </c>
      <c r="C30" s="1">
        <f>'Kwh Consumption'!C31</f>
        <v>530.00000000002956</v>
      </c>
      <c r="D30" s="1">
        <f>'Kwh Consumption'!D31</f>
        <v>2699.9999999999245</v>
      </c>
      <c r="E30" s="1">
        <f>'Kwh Consumption'!E31</f>
        <v>240.00000000000909</v>
      </c>
      <c r="F30" s="1">
        <f>('Kwh Consumption'!F31+'Kwh Consumption'!G31+'Kwh Consumption'!H31)</f>
        <v>1120.000000000033</v>
      </c>
      <c r="G30" s="16">
        <f>('Kwh Consumption'!I31+'Kwh Consumption'!J31)</f>
        <v>329.00000000000773</v>
      </c>
      <c r="H30" s="1">
        <f>('Kwh Consumption'!K31+'Kwh Consumption'!L31)</f>
        <v>1319.9999999999363</v>
      </c>
      <c r="I30" s="1">
        <f>('Kwh Consumption'!M31+'Kwh Consumption'!N31+'Kwh Consumption'!O31+'Kwh Consumption'!P31+'Kwh Consumption'!Q31+'Kwh Consumption'!R31)</f>
        <v>4660.0000000000819</v>
      </c>
      <c r="J30" s="1">
        <f>('Kwh Consumption'!S31+'Kwh Consumption'!T31)</f>
        <v>4647.2199999997392</v>
      </c>
      <c r="K30" s="1">
        <f>'Kwh Consumption'!U31</f>
        <v>250</v>
      </c>
      <c r="L30" s="32">
        <f t="shared" si="0"/>
        <v>5523.7799999994895</v>
      </c>
    </row>
    <row r="31" spans="1:12" x14ac:dyDescent="0.25">
      <c r="A31" s="14">
        <f>'Kwh Reading'!A32</f>
        <v>44225</v>
      </c>
      <c r="B31" s="83">
        <f>TOTAL!E30</f>
        <v>20730.000000000018</v>
      </c>
      <c r="C31" s="1">
        <f>'Kwh Consumption'!C32</f>
        <v>259.99999999999091</v>
      </c>
      <c r="D31" s="1">
        <f>'Kwh Consumption'!D32</f>
        <v>2499.9999999999468</v>
      </c>
      <c r="E31" s="1">
        <f>'Kwh Consumption'!E32</f>
        <v>250</v>
      </c>
      <c r="F31" s="1">
        <f>('Kwh Consumption'!F32+'Kwh Consumption'!G32+'Kwh Consumption'!H32)</f>
        <v>680.00000000000682</v>
      </c>
      <c r="G31" s="16">
        <f>('Kwh Consumption'!I32+'Kwh Consumption'!J32)</f>
        <v>234.99999999999943</v>
      </c>
      <c r="H31" s="1">
        <f>('Kwh Consumption'!K32+'Kwh Consumption'!L32)</f>
        <v>1320.00000000005</v>
      </c>
      <c r="I31" s="1">
        <f>('Kwh Consumption'!M32+'Kwh Consumption'!N32+'Kwh Consumption'!O32+'Kwh Consumption'!P32+'Kwh Consumption'!Q32+'Kwh Consumption'!R32)</f>
        <v>5469.9999999999136</v>
      </c>
      <c r="J31" s="1">
        <f>('Kwh Consumption'!S32+'Kwh Consumption'!T32)</f>
        <v>4507.890000000596</v>
      </c>
      <c r="K31" s="1">
        <f>'Kwh Consumption'!U32</f>
        <v>189.99999999999773</v>
      </c>
      <c r="L31" s="32">
        <f t="shared" si="0"/>
        <v>5317.1099999995185</v>
      </c>
    </row>
    <row r="32" spans="1:12" x14ac:dyDescent="0.25">
      <c r="A32" s="14">
        <f>'Kwh Reading'!A33</f>
        <v>44226</v>
      </c>
      <c r="B32" s="83">
        <f>TOTAL!E31</f>
        <v>21599.999999999913</v>
      </c>
      <c r="C32" s="1">
        <f>'Kwh Consumption'!C33</f>
        <v>509.99999999999091</v>
      </c>
      <c r="D32" s="1">
        <f>'Kwh Consumption'!D33</f>
        <v>2499.9999999999468</v>
      </c>
      <c r="E32" s="1">
        <f>'Kwh Consumption'!E33</f>
        <v>229.99999999998977</v>
      </c>
      <c r="F32" s="1">
        <f>('Kwh Consumption'!F33+'Kwh Consumption'!G33+'Kwh Consumption'!H33)</f>
        <v>819.99999999996476</v>
      </c>
      <c r="G32" s="16">
        <f>('Kwh Consumption'!I33+'Kwh Consumption'!J33)</f>
        <v>286.00000000000136</v>
      </c>
      <c r="H32" s="1">
        <f>('Kwh Consumption'!K33+'Kwh Consumption'!L33)</f>
        <v>1450.0000000000455</v>
      </c>
      <c r="I32" s="1">
        <f>('Kwh Consumption'!M33+'Kwh Consumption'!N33+'Kwh Consumption'!O33+'Kwh Consumption'!P33+'Kwh Consumption'!Q33+'Kwh Consumption'!R33)</f>
        <v>4370.0000000001182</v>
      </c>
      <c r="J32" s="1">
        <f>('Kwh Consumption'!S33+'Kwh Consumption'!T33)</f>
        <v>4993.6599999992177</v>
      </c>
      <c r="K32" s="1">
        <f>'Kwh Consumption'!U33</f>
        <v>230.00000000000398</v>
      </c>
      <c r="L32" s="32">
        <f t="shared" si="0"/>
        <v>6210.3400000006368</v>
      </c>
    </row>
    <row r="33" spans="1:13" x14ac:dyDescent="0.25">
      <c r="A33" s="14">
        <f>'Kwh Reading'!A34</f>
        <v>44227</v>
      </c>
      <c r="B33" s="83">
        <f>TOTAL!E32</f>
        <v>0</v>
      </c>
      <c r="C33" s="1">
        <f>'Kwh Consumption'!C34</f>
        <v>-349930</v>
      </c>
      <c r="D33" s="1">
        <f>'Kwh Consumption'!D34</f>
        <v>-2011299.9999999998</v>
      </c>
      <c r="E33" s="1">
        <f>'Kwh Consumption'!E34</f>
        <v>-195130</v>
      </c>
      <c r="F33" s="1">
        <f>('Kwh Consumption'!F34+'Kwh Consumption'!G34+'Kwh Consumption'!H34)</f>
        <v>-779420</v>
      </c>
      <c r="G33" s="16">
        <f>('Kwh Consumption'!I34+'Kwh Consumption'!J34)</f>
        <v>-214504</v>
      </c>
      <c r="H33" s="1">
        <f>('Kwh Consumption'!K34+'Kwh Consumption'!L34)</f>
        <v>-977700</v>
      </c>
      <c r="I33" s="1">
        <f>('Kwh Consumption'!M34+'Kwh Consumption'!N34+'Kwh Consumption'!O34+'Kwh Consumption'!P34+'Kwh Consumption'!Q34+'Kwh Consumption'!R34)</f>
        <v>-2695600</v>
      </c>
      <c r="J33" s="1">
        <f>('Kwh Consumption'!S34+'Kwh Consumption'!T34)</f>
        <v>-14852456.939999999</v>
      </c>
      <c r="K33" s="1">
        <f>'Kwh Consumption'!U34</f>
        <v>-114640</v>
      </c>
      <c r="L33" s="32">
        <f t="shared" si="0"/>
        <v>22190680.939999998</v>
      </c>
    </row>
    <row r="34" spans="1:13" ht="15.75" x14ac:dyDescent="0.25">
      <c r="A34" s="85" t="s">
        <v>121</v>
      </c>
      <c r="B34" s="75">
        <f>SUM(B3:B33)</f>
        <v>628779.9999999993</v>
      </c>
      <c r="C34" s="75">
        <f>SUM(C3:C33)</f>
        <v>-334740</v>
      </c>
      <c r="D34" s="75">
        <f t="shared" ref="D34:L34" si="1">SUM(D3:D33)</f>
        <v>-1935500</v>
      </c>
      <c r="E34" s="75">
        <f t="shared" si="1"/>
        <v>-187450</v>
      </c>
      <c r="F34" s="75">
        <f t="shared" si="1"/>
        <v>-750470</v>
      </c>
      <c r="G34" s="75">
        <f t="shared" si="1"/>
        <v>-205518</v>
      </c>
      <c r="H34" s="75">
        <f t="shared" si="1"/>
        <v>-936119.99999999988</v>
      </c>
      <c r="I34" s="75">
        <f t="shared" si="1"/>
        <v>-2563600</v>
      </c>
      <c r="J34" s="75">
        <f t="shared" si="1"/>
        <v>-14711015.879999999</v>
      </c>
      <c r="K34" s="75">
        <f t="shared" si="1"/>
        <v>-107360</v>
      </c>
      <c r="L34" s="75">
        <f t="shared" si="1"/>
        <v>22360553.879999999</v>
      </c>
      <c r="M34" s="84">
        <f>C34+D34+E34+F34+G34+H34+I34+J34+K34+L34</f>
        <v>628780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-46863.600000000006</v>
      </c>
      <c r="D36" s="75">
        <f>D34*B36</f>
        <v>-270970</v>
      </c>
      <c r="E36" s="75">
        <f>E34*B36</f>
        <v>-26243.000000000004</v>
      </c>
      <c r="F36" s="75">
        <f>F34*B36</f>
        <v>-105065.8</v>
      </c>
      <c r="G36" s="75">
        <f>G34*B36</f>
        <v>-28772.520000000004</v>
      </c>
      <c r="H36" s="75">
        <f>H34*B36</f>
        <v>-131056.8</v>
      </c>
      <c r="I36" s="75">
        <f>I34*B36</f>
        <v>-358904.00000000006</v>
      </c>
      <c r="J36" s="75">
        <f>J34*B36</f>
        <v>-2059542.2232000001</v>
      </c>
      <c r="K36" s="75">
        <f>K34*B36</f>
        <v>-15030.400000000001</v>
      </c>
      <c r="L36" s="75">
        <f>L34*B36</f>
        <v>3130477.5432000002</v>
      </c>
      <c r="M36" s="84">
        <f>C36+D36+E36+F36+G36+H36+I36+J36+K36+L36</f>
        <v>88029.200000000186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F24" activePane="bottomRight" state="frozen"/>
      <selection pane="topRight" activeCell="C1" sqref="C1"/>
      <selection pane="bottomLeft" activeCell="A3" sqref="A3"/>
      <selection pane="bottomRight" activeCell="M32" sqref="M32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2.28515625" style="15" bestFit="1" customWidth="1"/>
    <col min="13" max="13" width="14.5703125" bestFit="1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2662.7999999999024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681.03139999986968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3117.7999999999342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931.97579999988181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3258.6400000001695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928.41000000030624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2806.1599999998548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814.72859999975174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2675.4000000000819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696.8598000001391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2626.400000000031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670.38719999993179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3091.1999999999266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752.68479999998419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2791.6000000000081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594.90479999994068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2926.0000000001082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906.180800000207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3007.1999999998761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827.91939999981105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2903.60000000016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730.26100000023689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2718.7999999999147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617.36079999989965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2757.9999999999432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847.01259999992476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3112.2000000000344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955.19060000000661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2811.199999999958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697.57100000002799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2886.7999999999533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791.28280000002178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3017.0000000000573</v>
      </c>
      <c r="D19" s="1">
        <f>'Kwh Consumption'!C20*' Kwh area wise $ '!B19</f>
        <v>72.800000000005411</v>
      </c>
      <c r="E19" s="1">
        <f>'Kwh Consumption'!D20*' Kwh area wise $ '!B19</f>
        <v>335.99999999999409</v>
      </c>
      <c r="F19" s="1">
        <f>'Kwh Consumption'!E20*' Kwh area wise $ '!B19</f>
        <v>30.799999999999844</v>
      </c>
      <c r="G19" s="1">
        <f>('Kwh Consumption'!F20+'Kwh Consumption'!G20+'Kwh Consumption'!H20)*' Kwh area wise $ '!B19</f>
        <v>116.19999999999779</v>
      </c>
      <c r="H19" s="16">
        <f>('Kwh Consumption'!I20+'Kwh Consumption'!J20)*' Kwh area wise $ '!B19</f>
        <v>38.640000000001471</v>
      </c>
      <c r="I19" s="1">
        <f>('Kwh Consumption'!K20+'Kwh Consumption'!L20)*' Kwh area wise $ '!B19</f>
        <v>211.40000000000273</v>
      </c>
      <c r="J19" s="1">
        <f>('Kwh Consumption'!M20+'Kwh Consumption'!N20+'Kwh Consumption'!O20+'Kwh Consumption'!P20+'Kwh Consumption'!Q20+'Kwh Consumption'!R20)*' Kwh area wise $ '!B19</f>
        <v>639.7999999999912</v>
      </c>
      <c r="K19" s="1">
        <f>('Kwh Consumption'!S20+'Kwh Consumption'!T20)*' Kwh area wise $ '!B19</f>
        <v>667.73840000007306</v>
      </c>
      <c r="L19" s="1">
        <f>'Kwh Consumption'!U20*' Kwh area wise $ '!B19</f>
        <v>33.599999999999284</v>
      </c>
      <c r="M19" s="1">
        <f>'Kwh Consumption'!V20*' Kwh area wise $ '!B19</f>
        <v>870.0215999999923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2975.0000000000323</v>
      </c>
      <c r="D20" s="1">
        <f>'Kwh Consumption'!C21*' Kwh area wise $ '!B20</f>
        <v>74.19999999999618</v>
      </c>
      <c r="E20" s="1">
        <f>'Kwh Consumption'!D21*' Kwh area wise $ '!B20</f>
        <v>378.00000000002058</v>
      </c>
      <c r="F20" s="1">
        <f>'Kwh Consumption'!E21*' Kwh area wise $ '!B20</f>
        <v>39.200000000000166</v>
      </c>
      <c r="G20" s="1">
        <f>('Kwh Consumption'!F21+'Kwh Consumption'!G21+'Kwh Consumption'!H21)*' Kwh area wise $ '!B20</f>
        <v>166.60000000000369</v>
      </c>
      <c r="H20" s="16">
        <f>('Kwh Consumption'!I21+'Kwh Consumption'!J21)*' Kwh area wise $ '!B20</f>
        <v>37.519999999998113</v>
      </c>
      <c r="I20" s="1">
        <f>('Kwh Consumption'!K21+'Kwh Consumption'!L21)*' Kwh area wise $ '!B20</f>
        <v>215.59999999999891</v>
      </c>
      <c r="J20" s="1">
        <f>('Kwh Consumption'!M21+'Kwh Consumption'!N21+'Kwh Consumption'!O21+'Kwh Consumption'!P21+'Kwh Consumption'!Q21+'Kwh Consumption'!R21)*' Kwh area wise $ '!B20</f>
        <v>659.40000000000521</v>
      </c>
      <c r="K20" s="1">
        <f>('Kwh Consumption'!S21+'Kwh Consumption'!T21)*' Kwh area wise $ '!B20</f>
        <v>745.57980000004181</v>
      </c>
      <c r="L20" s="1">
        <f>'Kwh Consumption'!U21*' Kwh area wise $ '!B20</f>
        <v>32.200000000000557</v>
      </c>
      <c r="M20" s="1">
        <f>'Kwh Consumption'!V21*' Kwh area wise $ '!B20</f>
        <v>626.70019999996748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2973.5999999999699</v>
      </c>
      <c r="D21" s="1">
        <f>'Kwh Consumption'!C22*' Kwh area wise $ '!B21</f>
        <v>22.400000000003505</v>
      </c>
      <c r="E21" s="1">
        <f>'Kwh Consumption'!D22*' Kwh area wise $ '!B21</f>
        <v>335.99999999999409</v>
      </c>
      <c r="F21" s="1">
        <f>'Kwh Consumption'!E22*' Kwh area wise $ '!B21</f>
        <v>35</v>
      </c>
      <c r="G21" s="1">
        <f>('Kwh Consumption'!F22+'Kwh Consumption'!G22+'Kwh Consumption'!H22)*' Kwh area wise $ '!B21</f>
        <v>99.399999999997149</v>
      </c>
      <c r="H21" s="16">
        <f>('Kwh Consumption'!I22+'Kwh Consumption'!J22)*' Kwh area wise $ '!B21</f>
        <v>35.279999999999347</v>
      </c>
      <c r="I21" s="1">
        <f>('Kwh Consumption'!K22+'Kwh Consumption'!L22)*' Kwh area wise $ '!B21</f>
        <v>198.7999999999943</v>
      </c>
      <c r="J21" s="1">
        <f>('Kwh Consumption'!M22+'Kwh Consumption'!N22+'Kwh Consumption'!O22+'Kwh Consumption'!P22+'Kwh Consumption'!Q22+'Kwh Consumption'!R22)*' Kwh area wise $ '!B21</f>
        <v>618.79999999999438</v>
      </c>
      <c r="K21" s="1">
        <f>('Kwh Consumption'!S22+'Kwh Consumption'!T22)*' Kwh area wise $ '!B21</f>
        <v>708.08500000000004</v>
      </c>
      <c r="L21" s="1">
        <f>'Kwh Consumption'!U22*' Kwh area wise $ '!B21</f>
        <v>30.799999999999844</v>
      </c>
      <c r="M21" s="1">
        <f>'Kwh Consumption'!V22*' Kwh area wise $ '!B21</f>
        <v>889.03499999998712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2972.2000000000348</v>
      </c>
      <c r="D22" s="1">
        <f>'Kwh Consumption'!C23*' Kwh area wise $ '!B22</f>
        <v>118.99999999999524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95.199999999993011</v>
      </c>
      <c r="H22" s="16">
        <f>('Kwh Consumption'!I23+'Kwh Consumption'!J23)*' Kwh area wise $ '!B22</f>
        <v>34.860000000001321</v>
      </c>
      <c r="I22" s="1">
        <f>('Kwh Consumption'!K23+'Kwh Consumption'!L23)*' Kwh area wise $ '!B22</f>
        <v>189.00000000000719</v>
      </c>
      <c r="J22" s="1">
        <f>('Kwh Consumption'!M23+'Kwh Consumption'!N23+'Kwh Consumption'!O23+'Kwh Consumption'!P23+'Kwh Consumption'!Q23+'Kwh Consumption'!R23)*' Kwh area wise $ '!B22</f>
        <v>595.00000000000796</v>
      </c>
      <c r="K22" s="1">
        <f>('Kwh Consumption'!S23+'Kwh Consumption'!T23)*' Kwh area wise $ '!B22</f>
        <v>627.5766000000574</v>
      </c>
      <c r="L22" s="1">
        <f>'Kwh Consumption'!U23*' Kwh area wise $ '!B22</f>
        <v>29.399999999999128</v>
      </c>
      <c r="M22" s="1">
        <f>'Kwh Consumption'!V23*' Kwh area wise $ '!B22</f>
        <v>899.96339999998247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2916.2000000000216</v>
      </c>
      <c r="D23" s="1">
        <f>'Kwh Consumption'!C24*' Kwh area wise $ '!B23</f>
        <v>71.400000000006685</v>
      </c>
      <c r="E23" s="1">
        <f>'Kwh Consumption'!D24*' Kwh area wise $ '!B23</f>
        <v>349.99999999999261</v>
      </c>
      <c r="F23" s="1">
        <f>'Kwh Consumption'!E24*' Kwh area wise $ '!B23</f>
        <v>33.600000000001273</v>
      </c>
      <c r="G23" s="1">
        <f>('Kwh Consumption'!F24+'Kwh Consumption'!G24+'Kwh Consumption'!H24)*' Kwh area wise $ '!B23</f>
        <v>126.00000000000479</v>
      </c>
      <c r="H23" s="16">
        <f>('Kwh Consumption'!I24+'Kwh Consumption'!J24)*' Kwh area wise $ '!B23</f>
        <v>42.140000000000278</v>
      </c>
      <c r="I23" s="1">
        <f>('Kwh Consumption'!K24+'Kwh Consumption'!L24)*' Kwh area wise $ '!B23</f>
        <v>177.79999999999748</v>
      </c>
      <c r="J23" s="1">
        <f>('Kwh Consumption'!M24+'Kwh Consumption'!N24+'Kwh Consumption'!O24+'Kwh Consumption'!P24+'Kwh Consumption'!Q24+'Kwh Consumption'!R24)*' Kwh area wise $ '!B23</f>
        <v>631.39999999999884</v>
      </c>
      <c r="K23" s="1">
        <f>('Kwh Consumption'!S24+'Kwh Consumption'!T24)*' Kwh area wise $ '!B23</f>
        <v>697.11319999998443</v>
      </c>
      <c r="L23" s="1">
        <f>'Kwh Consumption'!U24*' Kwh area wise $ '!B23</f>
        <v>32.200000000000557</v>
      </c>
      <c r="M23" s="1">
        <f>'Kwh Consumption'!V24*' Kwh area wise $ '!B23</f>
        <v>754.54680000003486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2994.5999999999508</v>
      </c>
      <c r="D24" s="1">
        <f>'Kwh Consumption'!C25*' Kwh area wise $ '!B24</f>
        <v>35</v>
      </c>
      <c r="E24" s="1">
        <f>'Kwh Consumption'!D25*' Kwh area wise $ '!B24</f>
        <v>364.00000000002211</v>
      </c>
      <c r="F24" s="1">
        <f>'Kwh Consumption'!E25*' Kwh area wise $ '!B24</f>
        <v>36.399999999998727</v>
      </c>
      <c r="G24" s="1">
        <f>('Kwh Consumption'!F25+'Kwh Consumption'!G25+'Kwh Consumption'!H25)*' Kwh area wise $ '!B24</f>
        <v>135.79999999999984</v>
      </c>
      <c r="H24" s="16">
        <f>('Kwh Consumption'!I25+'Kwh Consumption'!J25)*' Kwh area wise $ '!B24</f>
        <v>44.519999999999705</v>
      </c>
      <c r="I24" s="1">
        <f>('Kwh Consumption'!K25+'Kwh Consumption'!L25)*' Kwh area wise $ '!B24</f>
        <v>224.00000000000321</v>
      </c>
      <c r="J24" s="1">
        <f>('Kwh Consumption'!M25+'Kwh Consumption'!N25+'Kwh Consumption'!O25+'Kwh Consumption'!P25+'Kwh Consumption'!Q25+'Kwh Consumption'!R25)*' Kwh area wise $ '!B24</f>
        <v>656.5999999999998</v>
      </c>
      <c r="K24" s="1">
        <f>('Kwh Consumption'!S25+'Kwh Consumption'!T25)*' Kwh area wise $ '!B24</f>
        <v>656.23319999985404</v>
      </c>
      <c r="L24" s="1">
        <f>'Kwh Consumption'!U25*' Kwh area wise $ '!B24</f>
        <v>29.400000000001118</v>
      </c>
      <c r="M24" s="1">
        <f>'Kwh Consumption'!V25*' Kwh area wise $ '!B24</f>
        <v>812.64680000007252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3127.6000000000522</v>
      </c>
      <c r="D25" s="1">
        <f>'Kwh Consumption'!C26*' Kwh area wise $ '!B25</f>
        <v>76.999999999993648</v>
      </c>
      <c r="E25" s="1">
        <f>'Kwh Consumption'!D26*' Kwh area wise $ '!B25</f>
        <v>335.99999999999409</v>
      </c>
      <c r="F25" s="1">
        <f>'Kwh Consumption'!E26*' Kwh area wise $ '!B25</f>
        <v>32.200000000002547</v>
      </c>
      <c r="G25" s="1">
        <f>('Kwh Consumption'!F26+'Kwh Consumption'!G26+'Kwh Consumption'!H26)*' Kwh area wise $ '!B25</f>
        <v>103.60000000000129</v>
      </c>
      <c r="H25" s="16">
        <f>('Kwh Consumption'!I26+'Kwh Consumption'!J26)*' Kwh area wise $ '!B25</f>
        <v>41.86000000000093</v>
      </c>
      <c r="I25" s="1">
        <f>('Kwh Consumption'!K26+'Kwh Consumption'!L26)*' Kwh area wise $ '!B25</f>
        <v>200.19999999999303</v>
      </c>
      <c r="J25" s="1">
        <f>('Kwh Consumption'!M26+'Kwh Consumption'!N26+'Kwh Consumption'!O26+'Kwh Consumption'!P26+'Kwh Consumption'!Q26+'Kwh Consumption'!R26)*' Kwh area wise $ '!B25</f>
        <v>642.5999999999965</v>
      </c>
      <c r="K25" s="1">
        <f>('Kwh Consumption'!S26+'Kwh Consumption'!T26)*' Kwh area wise $ '!B25</f>
        <v>703.11780000019826</v>
      </c>
      <c r="L25" s="1">
        <f>'Kwh Consumption'!U26*' Kwh area wise $ '!B25</f>
        <v>27.999999999998412</v>
      </c>
      <c r="M25" s="1">
        <f>'Kwh Consumption'!V26*' Kwh area wise $ '!B25</f>
        <v>963.02219999987346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3127.6000000000208</v>
      </c>
      <c r="D26" s="1">
        <f>'Kwh Consumption'!C27*' Kwh area wise $ '!B26</f>
        <v>71.399999999998727</v>
      </c>
      <c r="E26" s="1">
        <f>'Kwh Consumption'!D27*' Kwh area wise $ '!B26</f>
        <v>349.99999999999261</v>
      </c>
      <c r="F26" s="1">
        <f>'Kwh Consumption'!E27*' Kwh area wise $ '!B26</f>
        <v>33.599999999997294</v>
      </c>
      <c r="G26" s="1">
        <f>('Kwh Consumption'!F27+'Kwh Consumption'!G27+'Kwh Consumption'!H27)*' Kwh area wise $ '!B26</f>
        <v>131.5999999999957</v>
      </c>
      <c r="H26" s="16">
        <f>('Kwh Consumption'!I27+'Kwh Consumption'!J27)*' Kwh area wise $ '!B26</f>
        <v>30.799999999999844</v>
      </c>
      <c r="I26" s="1">
        <f>('Kwh Consumption'!K27+'Kwh Consumption'!L27)*' Kwh area wise $ '!B26</f>
        <v>205.80000000000783</v>
      </c>
      <c r="J26" s="1">
        <f>('Kwh Consumption'!M27+'Kwh Consumption'!N27+'Kwh Consumption'!O27+'Kwh Consumption'!P27+'Kwh Consumption'!Q27+'Kwh Consumption'!R27)*' Kwh area wise $ '!B26</f>
        <v>683.19999999999948</v>
      </c>
      <c r="K26" s="1">
        <f>('Kwh Consumption'!S27+'Kwh Consumption'!T27)*' Kwh area wise $ '!B26</f>
        <v>756.7027999999375</v>
      </c>
      <c r="L26" s="1">
        <f>'Kwh Consumption'!U27*' Kwh area wise $ '!B26</f>
        <v>32.200000000000557</v>
      </c>
      <c r="M26" s="1">
        <f>'Kwh Consumption'!V27*' Kwh area wise $ '!B26</f>
        <v>832.29720000009115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3022.599999999989</v>
      </c>
      <c r="D27" s="1">
        <f>'Kwh Consumption'!C28*' Kwh area wise $ '!B27</f>
        <v>72.800000000005411</v>
      </c>
      <c r="E27" s="1">
        <f>'Kwh Consumption'!D28*' Kwh area wise $ '!B27</f>
        <v>363.99999999999108</v>
      </c>
      <c r="F27" s="1">
        <f>'Kwh Consumption'!E28*' Kwh area wise $ '!B27</f>
        <v>36.400000000002706</v>
      </c>
      <c r="G27" s="1">
        <f>('Kwh Consumption'!F28+'Kwh Consumption'!G28+'Kwh Consumption'!H28)*' Kwh area wise $ '!B27</f>
        <v>137.20000000000255</v>
      </c>
      <c r="H27" s="16">
        <f>('Kwh Consumption'!I28+'Kwh Consumption'!J28)*' Kwh area wise $ '!B27</f>
        <v>41.019999999998909</v>
      </c>
      <c r="I27" s="1">
        <f>('Kwh Consumption'!K28+'Kwh Consumption'!L28)*' Kwh area wise $ '!B27</f>
        <v>205.80000000000385</v>
      </c>
      <c r="J27" s="1">
        <f>('Kwh Consumption'!M28+'Kwh Consumption'!N28+'Kwh Consumption'!O28+'Kwh Consumption'!P28+'Kwh Consumption'!Q28+'Kwh Consumption'!R28)*' Kwh area wise $ '!B27</f>
        <v>694.40000000001305</v>
      </c>
      <c r="K27" s="1">
        <f>('Kwh Consumption'!S28+'Kwh Consumption'!T28)*' Kwh area wise $ '!B27</f>
        <v>703.48180000001571</v>
      </c>
      <c r="L27" s="1">
        <f>'Kwh Consumption'!U28*' Kwh area wise $ '!B27</f>
        <v>29.399999999999128</v>
      </c>
      <c r="M27" s="1">
        <f>'Kwh Consumption'!V28*' Kwh area wise $ '!B27</f>
        <v>738.09819999995636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2904.9999999999368</v>
      </c>
      <c r="D28" s="1">
        <f>'Kwh Consumption'!C29*' Kwh area wise $ '!B28</f>
        <v>75.599999999994921</v>
      </c>
      <c r="E28" s="1">
        <f>'Kwh Consumption'!D29*' Kwh area wise $ '!B28</f>
        <v>392.00000000001899</v>
      </c>
      <c r="F28" s="1">
        <f>'Kwh Consumption'!E29*' Kwh area wise $ '!B28</f>
        <v>37.799999999997461</v>
      </c>
      <c r="G28" s="1">
        <f>('Kwh Consumption'!F29+'Kwh Consumption'!G29+'Kwh Consumption'!H29)*' Kwh area wise $ '!B28</f>
        <v>152.60000000000448</v>
      </c>
      <c r="H28" s="16">
        <f>('Kwh Consumption'!I29+'Kwh Consumption'!J29)*' Kwh area wise $ '!B28</f>
        <v>41.720000000002251</v>
      </c>
      <c r="I28" s="1">
        <f>('Kwh Consumption'!K29+'Kwh Consumption'!L29)*' Kwh area wise $ '!B28</f>
        <v>201.59999999999175</v>
      </c>
      <c r="J28" s="1">
        <f>('Kwh Consumption'!M29+'Kwh Consumption'!N29+'Kwh Consumption'!O29+'Kwh Consumption'!P29+'Kwh Consumption'!Q29+'Kwh Consumption'!R29)*' Kwh area wise $ '!B28</f>
        <v>697.1999999999947</v>
      </c>
      <c r="K28" s="1">
        <f>('Kwh Consumption'!S29+'Kwh Consumption'!T29)*' Kwh area wise $ '!B28</f>
        <v>664.06199999997398</v>
      </c>
      <c r="L28" s="1">
        <f>'Kwh Consumption'!U29*' Kwh area wise $ '!B28</f>
        <v>28.000000000000401</v>
      </c>
      <c r="M28" s="1">
        <f>'Kwh Consumption'!V29*' Kwh area wise $ '!B28</f>
        <v>614.4179999999576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2933.0000000001023</v>
      </c>
      <c r="D29" s="1">
        <f>'Kwh Consumption'!C30*' Kwh area wise $ '!B29</f>
        <v>75.600000000002879</v>
      </c>
      <c r="E29" s="1">
        <f>'Kwh Consumption'!D30*' Kwh area wise $ '!B29</f>
        <v>321.99999999999562</v>
      </c>
      <c r="F29" s="1">
        <f>'Kwh Consumption'!E30*' Kwh area wise $ '!B29</f>
        <v>33.600000000001273</v>
      </c>
      <c r="G29" s="1">
        <f>('Kwh Consumption'!F30+'Kwh Consumption'!G30+'Kwh Consumption'!H30)*' Kwh area wise $ '!B29</f>
        <v>104.99999999999604</v>
      </c>
      <c r="H29" s="16">
        <f>('Kwh Consumption'!I30+'Kwh Consumption'!J30)*' Kwh area wise $ '!B29</f>
        <v>46.619999999997795</v>
      </c>
      <c r="I29" s="1">
        <f>('Kwh Consumption'!K30+'Kwh Consumption'!L30)*' Kwh area wise $ '!B29</f>
        <v>173.6000000000013</v>
      </c>
      <c r="J29" s="1">
        <f>('Kwh Consumption'!M30+'Kwh Consumption'!N30+'Kwh Consumption'!O30+'Kwh Consumption'!P30+'Kwh Consumption'!Q30+'Kwh Consumption'!R30)*' Kwh area wise $ '!B29</f>
        <v>614.59999999999013</v>
      </c>
      <c r="K29" s="1">
        <f>('Kwh Consumption'!S30+'Kwh Consumption'!T30)*' Kwh area wise $ '!B29</f>
        <v>583.45139999996877</v>
      </c>
      <c r="L29" s="1">
        <f>'Kwh Consumption'!U30*' Kwh area wise $ '!B29</f>
        <v>28.000000000000401</v>
      </c>
      <c r="M29" s="1">
        <f>'Kwh Consumption'!V30*' Kwh area wise $ '!B29</f>
        <v>950.52860000014755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2984.7999999998956</v>
      </c>
      <c r="D30" s="1">
        <f>'Kwh Consumption'!C31*' Kwh area wise $ '!B30</f>
        <v>74.200000000004138</v>
      </c>
      <c r="E30" s="1">
        <f>'Kwh Consumption'!D31*' Kwh area wise $ '!B30</f>
        <v>377.99999999998948</v>
      </c>
      <c r="F30" s="1">
        <f>'Kwh Consumption'!E31*' Kwh area wise $ '!B30</f>
        <v>33.600000000001273</v>
      </c>
      <c r="G30" s="1">
        <f>('Kwh Consumption'!F31+'Kwh Consumption'!G31+'Kwh Consumption'!H31)*' Kwh area wise $ '!B30</f>
        <v>156.80000000000464</v>
      </c>
      <c r="H30" s="16">
        <f>('Kwh Consumption'!I31+'Kwh Consumption'!J31)*' Kwh area wise $ '!B30</f>
        <v>46.060000000001089</v>
      </c>
      <c r="I30" s="1">
        <f>('Kwh Consumption'!K31+'Kwh Consumption'!L31)*' Kwh area wise $ '!B30</f>
        <v>184.79999999999112</v>
      </c>
      <c r="J30" s="1">
        <f>('Kwh Consumption'!M31+'Kwh Consumption'!N31+'Kwh Consumption'!O31+'Kwh Consumption'!P31+'Kwh Consumption'!Q31+'Kwh Consumption'!R31)*' Kwh area wise $ '!B30</f>
        <v>652.40000000001157</v>
      </c>
      <c r="K30" s="1">
        <f>('Kwh Consumption'!S31+'Kwh Consumption'!T31)*' Kwh area wise $ '!B30</f>
        <v>650.61079999996355</v>
      </c>
      <c r="L30" s="1">
        <f>'Kwh Consumption'!U31*' Kwh area wise $ '!B30</f>
        <v>35</v>
      </c>
      <c r="M30" s="1">
        <f>'Kwh Consumption'!V31*' Kwh area wise $ '!B30</f>
        <v>773.32919999992862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2902.200000000003</v>
      </c>
      <c r="D31" s="1">
        <f>'Kwh Consumption'!C32*' Kwh area wise $ '!B31</f>
        <v>36.399999999998727</v>
      </c>
      <c r="E31" s="1">
        <f>'Kwh Consumption'!D32*' Kwh area wise $ '!B31</f>
        <v>349.99999999999261</v>
      </c>
      <c r="F31" s="1">
        <f>'Kwh Consumption'!E32*' Kwh area wise $ '!B31</f>
        <v>35</v>
      </c>
      <c r="G31" s="1">
        <f>('Kwh Consumption'!F32+'Kwh Consumption'!G32+'Kwh Consumption'!H32)*' Kwh area wise $ '!B31</f>
        <v>95.200000000000969</v>
      </c>
      <c r="H31" s="16">
        <f>('Kwh Consumption'!I32+'Kwh Consumption'!J32)*' Kwh area wise $ '!B31</f>
        <v>32.89999999999992</v>
      </c>
      <c r="I31" s="1">
        <f>('Kwh Consumption'!K32+'Kwh Consumption'!L32)*' Kwh area wise $ '!B31</f>
        <v>184.80000000000703</v>
      </c>
      <c r="J31" s="1">
        <f>('Kwh Consumption'!M32+'Kwh Consumption'!N32+'Kwh Consumption'!O32+'Kwh Consumption'!P32+'Kwh Consumption'!Q32+'Kwh Consumption'!R32)*' Kwh area wise $ '!B31</f>
        <v>765.79999999998802</v>
      </c>
      <c r="K31" s="1">
        <f>('Kwh Consumption'!S32+'Kwh Consumption'!T32)*' Kwh area wise $ '!B31</f>
        <v>631.10460000008345</v>
      </c>
      <c r="L31" s="1">
        <f>'Kwh Consumption'!U32*' Kwh area wise $ '!B31</f>
        <v>26.599999999999685</v>
      </c>
      <c r="M31" s="1">
        <f>'Kwh Consumption'!V32*' Kwh area wise $ '!B31</f>
        <v>744.39539999993247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3023.9999999999882</v>
      </c>
      <c r="D32" s="1">
        <f>'Kwh Consumption'!C33*' Kwh area wise $ '!B32</f>
        <v>71.399999999998727</v>
      </c>
      <c r="E32" s="1">
        <f>'Kwh Consumption'!D33*' Kwh area wise $ '!B32</f>
        <v>349.99999999999261</v>
      </c>
      <c r="F32" s="1">
        <f>'Kwh Consumption'!E33*' Kwh area wise $ '!B32</f>
        <v>32.199999999998568</v>
      </c>
      <c r="G32" s="1">
        <f>('Kwh Consumption'!F33+'Kwh Consumption'!G33+'Kwh Consumption'!H33)*' Kwh area wise $ '!B32</f>
        <v>114.79999999999508</v>
      </c>
      <c r="H32" s="16">
        <f>('Kwh Consumption'!I33+'Kwh Consumption'!J33)*' Kwh area wise $ '!B32</f>
        <v>40.040000000000198</v>
      </c>
      <c r="I32" s="1">
        <f>('Kwh Consumption'!K33+'Kwh Consumption'!L33)*' Kwh area wise $ '!B32</f>
        <v>203.00000000000639</v>
      </c>
      <c r="J32" s="1">
        <f>('Kwh Consumption'!M33+'Kwh Consumption'!N33+'Kwh Consumption'!O33+'Kwh Consumption'!P33+'Kwh Consumption'!Q33+'Kwh Consumption'!R33)*' Kwh area wise $ '!B32</f>
        <v>611.80000000001667</v>
      </c>
      <c r="K32" s="1">
        <f>('Kwh Consumption'!S33+'Kwh Consumption'!T33)*' Kwh area wise $ '!B32</f>
        <v>699.1123999998905</v>
      </c>
      <c r="L32" s="1">
        <f>'Kwh Consumption'!U33*' Kwh area wise $ '!B32</f>
        <v>32.200000000000557</v>
      </c>
      <c r="M32" s="1">
        <f>'Kwh Consumption'!V33*' Kwh area wise $ '!B32</f>
        <v>869.44760000008876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-48990.200000000004</v>
      </c>
      <c r="E33" s="1">
        <f>'Kwh Consumption'!D34*' Kwh area wise $ '!B33</f>
        <v>-281582</v>
      </c>
      <c r="F33" s="1">
        <f>'Kwh Consumption'!E34*' Kwh area wise $ '!B33</f>
        <v>-27318.200000000004</v>
      </c>
      <c r="G33" s="1">
        <f>('Kwh Consumption'!F34+'Kwh Consumption'!G34+'Kwh Consumption'!H34)*' Kwh area wise $ '!B33</f>
        <v>-109118.80000000002</v>
      </c>
      <c r="H33" s="16">
        <f>('Kwh Consumption'!I34+'Kwh Consumption'!J34)*' Kwh area wise $ '!B33</f>
        <v>-30030.560000000001</v>
      </c>
      <c r="I33" s="1">
        <f>('Kwh Consumption'!K34+'Kwh Consumption'!L34)*' Kwh area wise $ '!B33</f>
        <v>-136878</v>
      </c>
      <c r="J33" s="1">
        <f>('Kwh Consumption'!M34+'Kwh Consumption'!N34+'Kwh Consumption'!O34+'Kwh Consumption'!P34+'Kwh Consumption'!Q34+'Kwh Consumption'!R34)*' Kwh area wise $ '!B33</f>
        <v>-377384.00000000006</v>
      </c>
      <c r="K33" s="1">
        <f>('Kwh Consumption'!S34+'Kwh Consumption'!T34)*' Kwh area wise $ '!B33</f>
        <v>-2079343.9716</v>
      </c>
      <c r="L33" s="1">
        <f>'Kwh Consumption'!U34*' Kwh area wise $ '!B33</f>
        <v>-16049.600000000002</v>
      </c>
      <c r="M33" s="1">
        <f>'Kwh Consumption'!V34*' Kwh area wise $ '!B33</f>
        <v>3106695.3316000002</v>
      </c>
    </row>
    <row r="34" spans="1:14" ht="15.75" x14ac:dyDescent="0.25">
      <c r="A34" s="132" t="s">
        <v>53</v>
      </c>
      <c r="B34" s="132"/>
      <c r="C34" s="75">
        <f t="shared" ref="C34:L34" si="0">SUM(C3:C33)</f>
        <v>88029.19999999991</v>
      </c>
      <c r="D34" s="75">
        <f t="shared" si="0"/>
        <v>-46863.600000000006</v>
      </c>
      <c r="E34" s="75">
        <f t="shared" si="0"/>
        <v>-270970</v>
      </c>
      <c r="F34" s="75">
        <f t="shared" si="0"/>
        <v>-26243.000000000004</v>
      </c>
      <c r="G34" s="75">
        <f t="shared" si="0"/>
        <v>-105065.80000000002</v>
      </c>
      <c r="H34" s="75">
        <f t="shared" si="0"/>
        <v>-28772.52</v>
      </c>
      <c r="I34" s="75">
        <f t="shared" si="0"/>
        <v>-131056.79999999999</v>
      </c>
      <c r="J34" s="75">
        <f t="shared" si="0"/>
        <v>-358904.00000000006</v>
      </c>
      <c r="K34" s="75">
        <f t="shared" si="0"/>
        <v>-2059542.2232000001</v>
      </c>
      <c r="L34" s="75">
        <f t="shared" si="0"/>
        <v>-15030.400000000001</v>
      </c>
      <c r="M34" s="75">
        <f>SUM(M3:M33)</f>
        <v>3130477.5432000002</v>
      </c>
      <c r="N34" s="84">
        <f>D34+E34+F34+G34+H34+I34+J34+K34+L34+M34</f>
        <v>88029.200000000186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5" activePane="bottomRight" state="frozen"/>
      <selection pane="topRight" activeCell="C25" sqref="C25"/>
      <selection pane="bottomLeft" activeCell="C25" sqref="C25"/>
      <selection pane="bottomRight" activeCell="I34" sqref="I3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>
        <v>139651</v>
      </c>
      <c r="C20" s="56">
        <v>95875</v>
      </c>
      <c r="D20" s="10">
        <v>185722</v>
      </c>
      <c r="E20" s="55">
        <v>238095</v>
      </c>
      <c r="F20" s="55">
        <v>66838</v>
      </c>
      <c r="G20" s="55">
        <v>108461</v>
      </c>
      <c r="H20" s="33">
        <v>45021</v>
      </c>
      <c r="I20" s="55">
        <v>57260</v>
      </c>
      <c r="J20" s="55">
        <v>18171</v>
      </c>
      <c r="K20" s="55">
        <v>1024</v>
      </c>
      <c r="L20" s="55">
        <v>16124</v>
      </c>
      <c r="M20" s="55">
        <v>21814</v>
      </c>
      <c r="N20" s="55">
        <v>6631</v>
      </c>
      <c r="O20" s="55">
        <v>1531</v>
      </c>
      <c r="P20" s="55">
        <v>25742</v>
      </c>
      <c r="Q20" s="33">
        <v>14</v>
      </c>
      <c r="R20" s="55">
        <v>5379</v>
      </c>
    </row>
    <row r="21" spans="1:22" x14ac:dyDescent="0.25">
      <c r="A21" s="54">
        <v>44215</v>
      </c>
      <c r="B21" s="33">
        <v>139858</v>
      </c>
      <c r="C21" s="33">
        <v>96056</v>
      </c>
      <c r="D21" s="55">
        <v>185927</v>
      </c>
      <c r="E21" s="55">
        <v>238156</v>
      </c>
      <c r="F21" s="55">
        <v>66838</v>
      </c>
      <c r="G21" s="55">
        <v>108491</v>
      </c>
      <c r="H21" s="33">
        <v>45048</v>
      </c>
      <c r="I21" s="55">
        <v>57294</v>
      </c>
      <c r="J21" s="55">
        <v>18184</v>
      </c>
      <c r="K21" s="55">
        <v>1024</v>
      </c>
      <c r="L21" s="55">
        <v>16132</v>
      </c>
      <c r="M21" s="55">
        <v>21828</v>
      </c>
      <c r="N21" s="55">
        <v>6633</v>
      </c>
      <c r="O21" s="55">
        <v>1534</v>
      </c>
      <c r="P21" s="55">
        <v>25754</v>
      </c>
      <c r="Q21" s="33">
        <v>18</v>
      </c>
      <c r="R21" s="55">
        <v>5387</v>
      </c>
    </row>
    <row r="22" spans="1:22" x14ac:dyDescent="0.25">
      <c r="A22" s="54">
        <v>44216</v>
      </c>
      <c r="B22" s="33">
        <v>140026</v>
      </c>
      <c r="C22" s="56">
        <v>96190</v>
      </c>
      <c r="D22" s="55">
        <v>186071</v>
      </c>
      <c r="E22" s="55">
        <v>238217</v>
      </c>
      <c r="F22" s="55">
        <v>66839</v>
      </c>
      <c r="G22" s="55">
        <v>108516</v>
      </c>
      <c r="H22" s="33">
        <v>45077</v>
      </c>
      <c r="I22" s="55">
        <v>57300</v>
      </c>
      <c r="J22" s="55">
        <v>18196</v>
      </c>
      <c r="K22" s="55">
        <v>1024</v>
      </c>
      <c r="L22" s="55">
        <v>16140</v>
      </c>
      <c r="M22" s="55">
        <v>21844</v>
      </c>
      <c r="N22" s="55">
        <v>6635</v>
      </c>
      <c r="O22" s="55">
        <v>1535</v>
      </c>
      <c r="P22" s="55">
        <v>25754</v>
      </c>
      <c r="Q22" s="33">
        <v>20</v>
      </c>
      <c r="R22" s="55">
        <v>5389</v>
      </c>
    </row>
    <row r="23" spans="1:22" x14ac:dyDescent="0.25">
      <c r="A23" s="54">
        <v>44217</v>
      </c>
      <c r="B23" s="33">
        <v>140192</v>
      </c>
      <c r="C23" s="33">
        <v>96315</v>
      </c>
      <c r="D23" s="55">
        <v>186208</v>
      </c>
      <c r="E23" s="55">
        <v>238269</v>
      </c>
      <c r="F23" s="55">
        <v>66839</v>
      </c>
      <c r="G23" s="55">
        <v>108531</v>
      </c>
      <c r="H23" s="33">
        <v>45122</v>
      </c>
      <c r="I23" s="55">
        <v>57324</v>
      </c>
      <c r="J23" s="55">
        <v>18206</v>
      </c>
      <c r="K23" s="55">
        <v>1024</v>
      </c>
      <c r="L23" s="55">
        <v>16147</v>
      </c>
      <c r="M23" s="55">
        <v>21859</v>
      </c>
      <c r="N23" s="55">
        <v>6637</v>
      </c>
      <c r="O23" s="55">
        <v>1537</v>
      </c>
      <c r="P23" s="55">
        <v>25757</v>
      </c>
      <c r="Q23" s="33">
        <v>20</v>
      </c>
      <c r="R23" s="55">
        <v>5399</v>
      </c>
    </row>
    <row r="24" spans="1:22" x14ac:dyDescent="0.25">
      <c r="A24" s="54">
        <v>44218</v>
      </c>
      <c r="B24" s="33">
        <v>140390</v>
      </c>
      <c r="C24" s="56">
        <v>96465</v>
      </c>
      <c r="D24" s="55">
        <v>186381</v>
      </c>
      <c r="E24" s="55">
        <v>238327</v>
      </c>
      <c r="F24" s="55">
        <v>66839</v>
      </c>
      <c r="G24" s="55">
        <v>108553</v>
      </c>
      <c r="H24" s="33">
        <v>45158</v>
      </c>
      <c r="I24" s="55">
        <v>57354</v>
      </c>
      <c r="J24" s="55">
        <v>18218</v>
      </c>
      <c r="K24" s="55">
        <v>1024</v>
      </c>
      <c r="L24" s="55">
        <v>16154</v>
      </c>
      <c r="M24" s="55">
        <v>21872</v>
      </c>
      <c r="N24" s="55">
        <v>6639</v>
      </c>
      <c r="O24" s="55">
        <v>1538</v>
      </c>
      <c r="P24" s="55">
        <v>25759</v>
      </c>
      <c r="Q24" s="33">
        <v>29</v>
      </c>
      <c r="R24" s="55">
        <v>5407</v>
      </c>
    </row>
    <row r="25" spans="1:22" x14ac:dyDescent="0.25">
      <c r="A25" s="54">
        <v>44219</v>
      </c>
      <c r="B25" s="33">
        <v>140577</v>
      </c>
      <c r="C25" s="33">
        <v>96618</v>
      </c>
      <c r="D25" s="55">
        <v>186548</v>
      </c>
      <c r="E25" s="55">
        <v>238383</v>
      </c>
      <c r="F25" s="55">
        <v>66840</v>
      </c>
      <c r="G25" s="55">
        <v>108577</v>
      </c>
      <c r="H25" s="33">
        <v>45190</v>
      </c>
      <c r="I25" s="55">
        <v>57380</v>
      </c>
      <c r="J25" s="55">
        <v>18231</v>
      </c>
      <c r="K25" s="55">
        <v>1024</v>
      </c>
      <c r="L25" s="55">
        <v>16162</v>
      </c>
      <c r="M25" s="55">
        <v>21826</v>
      </c>
      <c r="N25" s="55">
        <v>6641</v>
      </c>
      <c r="O25" s="55">
        <v>1538</v>
      </c>
      <c r="P25" s="55">
        <v>25782</v>
      </c>
      <c r="Q25" s="33">
        <v>30</v>
      </c>
      <c r="R25" s="55">
        <v>5408</v>
      </c>
    </row>
    <row r="26" spans="1:22" x14ac:dyDescent="0.25">
      <c r="A26" s="54">
        <v>44220</v>
      </c>
      <c r="B26" s="33">
        <v>140746</v>
      </c>
      <c r="C26" s="56">
        <v>96771</v>
      </c>
      <c r="D26" s="55">
        <v>186723</v>
      </c>
      <c r="E26" s="55">
        <v>238441</v>
      </c>
      <c r="F26" s="55">
        <v>66840</v>
      </c>
      <c r="G26" s="55">
        <v>108601</v>
      </c>
      <c r="H26" s="33">
        <v>45208</v>
      </c>
      <c r="I26" s="55">
        <v>57405</v>
      </c>
      <c r="J26" s="55">
        <v>18242</v>
      </c>
      <c r="K26" s="55">
        <v>1024</v>
      </c>
      <c r="L26" s="55">
        <v>16169</v>
      </c>
      <c r="M26" s="55">
        <v>21904</v>
      </c>
      <c r="N26" s="55">
        <v>6646</v>
      </c>
      <c r="O26" s="55">
        <v>1539</v>
      </c>
      <c r="P26" s="55">
        <v>25782</v>
      </c>
      <c r="Q26" s="33">
        <v>33</v>
      </c>
      <c r="R26" s="55">
        <v>5415</v>
      </c>
    </row>
    <row r="27" spans="1:22" x14ac:dyDescent="0.25">
      <c r="A27" s="54">
        <v>44221</v>
      </c>
      <c r="B27" s="33">
        <v>140877</v>
      </c>
      <c r="C27" s="33">
        <v>96967</v>
      </c>
      <c r="D27" s="55">
        <v>186888</v>
      </c>
      <c r="E27" s="55">
        <v>238501</v>
      </c>
      <c r="F27" s="55">
        <v>66841</v>
      </c>
      <c r="G27" s="55">
        <v>108662</v>
      </c>
      <c r="H27" s="33">
        <v>45229</v>
      </c>
      <c r="I27" s="55">
        <v>57437</v>
      </c>
      <c r="J27" s="55">
        <v>18254</v>
      </c>
      <c r="K27" s="55">
        <v>1024</v>
      </c>
      <c r="L27" s="55">
        <v>16177</v>
      </c>
      <c r="M27" s="55">
        <v>21917</v>
      </c>
      <c r="N27" s="55">
        <v>6648</v>
      </c>
      <c r="O27" s="55">
        <v>1539</v>
      </c>
      <c r="P27" s="55">
        <v>25794</v>
      </c>
      <c r="Q27" s="33">
        <v>34</v>
      </c>
      <c r="R27" s="55">
        <v>5422</v>
      </c>
    </row>
    <row r="28" spans="1:22" x14ac:dyDescent="0.25">
      <c r="A28" s="54">
        <v>44222</v>
      </c>
      <c r="B28" s="33">
        <v>141008</v>
      </c>
      <c r="C28" s="56">
        <v>97105</v>
      </c>
      <c r="D28" s="55">
        <v>187005</v>
      </c>
      <c r="E28" s="55">
        <v>238560</v>
      </c>
      <c r="F28" s="55">
        <v>66841</v>
      </c>
      <c r="G28" s="55">
        <v>108647</v>
      </c>
      <c r="H28" s="33">
        <v>45253</v>
      </c>
      <c r="I28" s="55">
        <v>57453</v>
      </c>
      <c r="J28" s="55">
        <v>18265</v>
      </c>
      <c r="K28" s="55">
        <v>1024</v>
      </c>
      <c r="L28" s="55">
        <v>16184</v>
      </c>
      <c r="M28" s="55">
        <v>21932</v>
      </c>
      <c r="N28" s="55">
        <v>6651</v>
      </c>
      <c r="O28" s="55">
        <v>1540</v>
      </c>
      <c r="P28" s="55">
        <v>25794</v>
      </c>
      <c r="Q28" s="33">
        <v>40</v>
      </c>
      <c r="R28" s="55">
        <v>5428</v>
      </c>
    </row>
    <row r="29" spans="1:22" x14ac:dyDescent="0.25">
      <c r="A29" s="54">
        <v>44223</v>
      </c>
      <c r="B29" s="33">
        <v>141204</v>
      </c>
      <c r="C29" s="33">
        <v>97285</v>
      </c>
      <c r="D29" s="55">
        <v>187179</v>
      </c>
      <c r="E29" s="55">
        <v>238633</v>
      </c>
      <c r="F29" s="55">
        <v>66841</v>
      </c>
      <c r="G29" s="55">
        <v>108675</v>
      </c>
      <c r="H29" s="33">
        <v>45297</v>
      </c>
      <c r="I29" s="10">
        <v>57478</v>
      </c>
      <c r="J29" s="55">
        <v>18277</v>
      </c>
      <c r="K29" s="55">
        <v>1024</v>
      </c>
      <c r="L29" s="55">
        <v>16191</v>
      </c>
      <c r="M29" s="55">
        <v>21940</v>
      </c>
      <c r="N29" s="55">
        <v>6654</v>
      </c>
      <c r="O29" s="55">
        <v>1541</v>
      </c>
      <c r="P29" s="55">
        <v>25802</v>
      </c>
      <c r="Q29" s="55">
        <v>45</v>
      </c>
      <c r="R29" s="55">
        <v>5436</v>
      </c>
    </row>
    <row r="30" spans="1:22" x14ac:dyDescent="0.25">
      <c r="A30" s="54">
        <v>44224</v>
      </c>
      <c r="B30" s="33">
        <v>141370</v>
      </c>
      <c r="C30" s="56">
        <v>97415</v>
      </c>
      <c r="D30" s="55">
        <v>187326</v>
      </c>
      <c r="E30" s="55">
        <v>238691</v>
      </c>
      <c r="F30" s="55">
        <v>66841</v>
      </c>
      <c r="G30" s="55">
        <v>108695</v>
      </c>
      <c r="H30" s="33">
        <v>45320</v>
      </c>
      <c r="I30" s="55">
        <v>57490</v>
      </c>
      <c r="J30" s="55">
        <v>18287</v>
      </c>
      <c r="K30" s="55">
        <v>1024</v>
      </c>
      <c r="L30" s="55">
        <v>16198</v>
      </c>
      <c r="M30" s="55">
        <v>21963</v>
      </c>
      <c r="N30" s="55">
        <v>6658</v>
      </c>
      <c r="O30" s="55">
        <v>1541</v>
      </c>
      <c r="P30" s="55">
        <v>25808</v>
      </c>
      <c r="Q30" s="55">
        <v>48</v>
      </c>
      <c r="R30" s="55">
        <v>5443</v>
      </c>
    </row>
    <row r="31" spans="1:22" x14ac:dyDescent="0.25">
      <c r="A31" s="54">
        <v>44225</v>
      </c>
      <c r="B31" s="33">
        <v>141546</v>
      </c>
      <c r="C31" s="33">
        <v>97594</v>
      </c>
      <c r="D31" s="55">
        <v>187459</v>
      </c>
      <c r="E31" s="10">
        <v>238758</v>
      </c>
      <c r="F31" s="55">
        <v>66842</v>
      </c>
      <c r="G31" s="55">
        <v>108724</v>
      </c>
      <c r="H31" s="33">
        <v>45393</v>
      </c>
      <c r="I31" s="55">
        <v>57526</v>
      </c>
      <c r="J31" s="10">
        <v>18299</v>
      </c>
      <c r="K31" s="55">
        <v>1024</v>
      </c>
      <c r="L31" s="55">
        <v>16206</v>
      </c>
      <c r="M31" s="55">
        <v>21979</v>
      </c>
      <c r="N31" s="55">
        <v>6661</v>
      </c>
      <c r="O31" s="55">
        <v>1542</v>
      </c>
      <c r="P31" s="55">
        <v>25817</v>
      </c>
      <c r="Q31" s="55">
        <v>52</v>
      </c>
      <c r="R31" s="55">
        <v>5452</v>
      </c>
      <c r="S31" s="57"/>
      <c r="T31" s="57"/>
      <c r="U31" s="57"/>
      <c r="V31" s="57"/>
    </row>
    <row r="32" spans="1:22" x14ac:dyDescent="0.25">
      <c r="A32" s="54">
        <v>44226</v>
      </c>
      <c r="B32" s="33">
        <v>141706</v>
      </c>
      <c r="C32" s="56">
        <v>97746</v>
      </c>
      <c r="D32" s="55">
        <v>187610</v>
      </c>
      <c r="E32" s="55">
        <v>238820</v>
      </c>
      <c r="F32" s="55">
        <v>66842</v>
      </c>
      <c r="G32" s="55">
        <v>108738</v>
      </c>
      <c r="H32" s="56">
        <v>45439</v>
      </c>
      <c r="I32" s="33">
        <v>57543</v>
      </c>
      <c r="J32" s="55">
        <v>18311</v>
      </c>
      <c r="K32" s="55">
        <v>1024</v>
      </c>
      <c r="L32" s="55">
        <v>16214</v>
      </c>
      <c r="M32" s="55">
        <v>21994</v>
      </c>
      <c r="N32" s="55">
        <v>6662</v>
      </c>
      <c r="O32" s="55">
        <v>1543</v>
      </c>
      <c r="P32" s="55">
        <v>25817</v>
      </c>
      <c r="Q32" s="55">
        <v>53</v>
      </c>
      <c r="R32" s="55">
        <v>5453</v>
      </c>
      <c r="S32" s="58"/>
      <c r="T32" s="57"/>
      <c r="U32" s="57"/>
      <c r="V32" s="57"/>
    </row>
    <row r="33" spans="1:22" x14ac:dyDescent="0.25">
      <c r="A33" s="54">
        <v>44227</v>
      </c>
      <c r="B33" s="33">
        <v>141861</v>
      </c>
      <c r="C33" s="33">
        <v>97868</v>
      </c>
      <c r="D33" s="55">
        <v>187728</v>
      </c>
      <c r="E33" s="55">
        <v>238874</v>
      </c>
      <c r="F33" s="55">
        <v>66842</v>
      </c>
      <c r="G33" s="55">
        <v>108757</v>
      </c>
      <c r="H33" s="56">
        <v>45479</v>
      </c>
      <c r="I33" s="33">
        <v>57557</v>
      </c>
      <c r="J33" s="55">
        <v>18321</v>
      </c>
      <c r="K33" s="55">
        <v>1024</v>
      </c>
      <c r="L33" s="55">
        <v>16221</v>
      </c>
      <c r="M33" s="55">
        <v>22008</v>
      </c>
      <c r="N33" s="55">
        <v>6667</v>
      </c>
      <c r="O33" s="55">
        <v>1544</v>
      </c>
      <c r="P33" s="55">
        <v>25817</v>
      </c>
      <c r="Q33" s="55">
        <v>55</v>
      </c>
      <c r="R33" s="55">
        <v>5460</v>
      </c>
      <c r="S33" s="58"/>
      <c r="T33" s="57"/>
      <c r="U33" s="57"/>
      <c r="V33" s="57"/>
    </row>
    <row r="34" spans="1:22" x14ac:dyDescent="0.25">
      <c r="A34" s="54">
        <v>44228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25" activePane="bottomLeft" state="frozen"/>
      <selection activeCell="C25" sqref="C25"/>
      <selection pane="bottomLeft" activeCell="K33" sqref="K3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7" t="s">
        <v>32</v>
      </c>
      <c r="B2" s="138" t="s">
        <v>109</v>
      </c>
      <c r="C2" s="138" t="s">
        <v>110</v>
      </c>
      <c r="D2" s="138"/>
      <c r="E2" s="139" t="s">
        <v>98</v>
      </c>
      <c r="F2" s="136"/>
      <c r="G2" s="133" t="s">
        <v>113</v>
      </c>
      <c r="H2" s="136"/>
      <c r="I2" s="133" t="s">
        <v>111</v>
      </c>
      <c r="J2" s="136"/>
      <c r="K2" s="133" t="s">
        <v>112</v>
      </c>
      <c r="L2" s="136"/>
      <c r="M2" s="133" t="s">
        <v>108</v>
      </c>
      <c r="N2" s="136"/>
      <c r="O2" s="133" t="s">
        <v>107</v>
      </c>
      <c r="P2" s="136"/>
      <c r="Q2" s="133" t="s">
        <v>114</v>
      </c>
      <c r="R2" s="136"/>
      <c r="S2" s="133" t="s">
        <v>115</v>
      </c>
      <c r="T2" s="136"/>
      <c r="U2" s="133" t="s">
        <v>116</v>
      </c>
      <c r="V2" s="136"/>
      <c r="W2" s="133" t="s">
        <v>100</v>
      </c>
      <c r="X2" s="134"/>
      <c r="Y2" s="135" t="s">
        <v>53</v>
      </c>
      <c r="Z2" s="135"/>
    </row>
    <row r="3" spans="1:26" ht="30" x14ac:dyDescent="0.35">
      <c r="A3" s="137"/>
      <c r="B3" s="138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240</v>
      </c>
      <c r="C20" s="66">
        <f>('Water Reading'!B20-'Water Reading'!B19)+('Water Reading'!C20-'Water Reading'!C19)</f>
        <v>255</v>
      </c>
      <c r="D20" s="67">
        <f t="shared" si="2"/>
        <v>1.0625</v>
      </c>
      <c r="E20" s="87">
        <f>'Water Reading'!H20-'Water Reading'!H19</f>
        <v>18</v>
      </c>
      <c r="F20" s="89">
        <f t="shared" si="3"/>
        <v>7.0588235294117646E-2</v>
      </c>
      <c r="G20" s="93">
        <f>('Water Reading'!D20-'Water Reading'!D19)-('Water Reading'!R20-'Water Reading'!R19)-('Water Reading'!Q20-'Water Reading'!Q19)</f>
        <v>112</v>
      </c>
      <c r="H20" s="89">
        <f t="shared" si="4"/>
        <v>0.4392156862745098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17</v>
      </c>
      <c r="L20" s="68">
        <f t="shared" si="6"/>
        <v>6.6666666666666666E-2</v>
      </c>
      <c r="M20" s="90">
        <f>'Water Reading'!R20-'Water Reading'!R19</f>
        <v>7</v>
      </c>
      <c r="N20" s="92">
        <f t="shared" si="7"/>
        <v>2.7450980392156862E-2</v>
      </c>
      <c r="O20" s="90">
        <f>'Water Reading'!Q20-'Water Reading'!Q19</f>
        <v>3</v>
      </c>
      <c r="P20" s="99">
        <f t="shared" si="8"/>
        <v>1.1764705882352941E-2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56</v>
      </c>
      <c r="T20" s="100">
        <f t="shared" si="10"/>
        <v>0.2196078431372549</v>
      </c>
      <c r="U20" s="90">
        <f>'Water Reading'!G20-'Water Reading'!G19</f>
        <v>20</v>
      </c>
      <c r="V20" s="100">
        <f t="shared" si="11"/>
        <v>7.8431372549019607E-2</v>
      </c>
      <c r="W20" s="90">
        <f>'Water Reading'!J20-'Water Reading'!J19</f>
        <v>11</v>
      </c>
      <c r="X20" s="100">
        <f t="shared" si="12"/>
        <v>4.3137254901960784E-2</v>
      </c>
      <c r="Y20" s="66">
        <f t="shared" si="0"/>
        <v>244</v>
      </c>
      <c r="Z20" s="67">
        <f t="shared" si="1"/>
        <v>1.0166666666666666</v>
      </c>
    </row>
    <row r="21" spans="1:26" x14ac:dyDescent="0.25">
      <c r="A21" s="8">
        <f>'Water Reading'!A20</f>
        <v>44214</v>
      </c>
      <c r="B21" s="65">
        <f>TOTAL!I19</f>
        <v>327</v>
      </c>
      <c r="C21" s="66">
        <f>('Water Reading'!B21-'Water Reading'!B20)+('Water Reading'!C21-'Water Reading'!C20)</f>
        <v>388</v>
      </c>
      <c r="D21" s="67">
        <f t="shared" si="2"/>
        <v>1.1865443425076452</v>
      </c>
      <c r="E21" s="87">
        <f>'Water Reading'!H21-'Water Reading'!H20</f>
        <v>27</v>
      </c>
      <c r="F21" s="89">
        <f t="shared" si="3"/>
        <v>6.9587628865979384E-2</v>
      </c>
      <c r="G21" s="93">
        <f>('Water Reading'!D21-'Water Reading'!D20)-('Water Reading'!R21-'Water Reading'!R20)-('Water Reading'!Q21-'Water Reading'!Q20)</f>
        <v>193</v>
      </c>
      <c r="H21" s="89">
        <f t="shared" si="4"/>
        <v>0.49742268041237114</v>
      </c>
      <c r="I21" s="90">
        <f>'Water Reading'!P21-'Water Reading'!P20</f>
        <v>12</v>
      </c>
      <c r="J21" s="68">
        <f t="shared" si="5"/>
        <v>3.0927835051546393E-2</v>
      </c>
      <c r="K21" s="90">
        <f>('Water Reading'!I21-'Water Reading'!I20)-('Water Reading'!P21-'Water Reading'!P20)</f>
        <v>22</v>
      </c>
      <c r="L21" s="68">
        <f t="shared" si="6"/>
        <v>5.6701030927835051E-2</v>
      </c>
      <c r="M21" s="90">
        <f>'Water Reading'!R21-'Water Reading'!R20</f>
        <v>8</v>
      </c>
      <c r="N21" s="92">
        <f t="shared" si="7"/>
        <v>2.0618556701030927E-2</v>
      </c>
      <c r="O21" s="90">
        <f>'Water Reading'!Q21-'Water Reading'!Q20</f>
        <v>4</v>
      </c>
      <c r="P21" s="99">
        <f t="shared" si="8"/>
        <v>1.0309278350515464E-2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61</v>
      </c>
      <c r="T21" s="100">
        <f t="shared" si="10"/>
        <v>0.15721649484536082</v>
      </c>
      <c r="U21" s="90">
        <f>'Water Reading'!G21-'Water Reading'!G20</f>
        <v>30</v>
      </c>
      <c r="V21" s="100">
        <f t="shared" si="11"/>
        <v>7.7319587628865982E-2</v>
      </c>
      <c r="W21" s="90">
        <f>'Water Reading'!J21-'Water Reading'!J20</f>
        <v>13</v>
      </c>
      <c r="X21" s="100">
        <f t="shared" si="12"/>
        <v>3.3505154639175257E-2</v>
      </c>
      <c r="Y21" s="66">
        <f t="shared" si="0"/>
        <v>370</v>
      </c>
      <c r="Z21" s="67">
        <f t="shared" si="1"/>
        <v>1.1314984709480123</v>
      </c>
    </row>
    <row r="22" spans="1:26" x14ac:dyDescent="0.25">
      <c r="A22" s="8">
        <f>'Water Reading'!A21</f>
        <v>44215</v>
      </c>
      <c r="B22" s="65">
        <f>TOTAL!I20</f>
        <v>205</v>
      </c>
      <c r="C22" s="66">
        <f>('Water Reading'!B22-'Water Reading'!B21)+('Water Reading'!C22-'Water Reading'!C21)</f>
        <v>302</v>
      </c>
      <c r="D22" s="67">
        <f t="shared" si="2"/>
        <v>1.473170731707317</v>
      </c>
      <c r="E22" s="87">
        <f>'Water Reading'!H22-'Water Reading'!H21</f>
        <v>29</v>
      </c>
      <c r="F22" s="89">
        <f t="shared" si="3"/>
        <v>9.602649006622517E-2</v>
      </c>
      <c r="G22" s="93">
        <f>('Water Reading'!D22-'Water Reading'!D21)-('Water Reading'!R22-'Water Reading'!R21)-('Water Reading'!Q22-'Water Reading'!Q21)</f>
        <v>140</v>
      </c>
      <c r="H22" s="89">
        <f t="shared" si="4"/>
        <v>0.46357615894039733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6</v>
      </c>
      <c r="L22" s="68">
        <f t="shared" si="6"/>
        <v>1.9867549668874173E-2</v>
      </c>
      <c r="M22" s="90">
        <f>'Water Reading'!R22-'Water Reading'!R21</f>
        <v>2</v>
      </c>
      <c r="N22" s="92">
        <f t="shared" si="7"/>
        <v>6.6225165562913907E-3</v>
      </c>
      <c r="O22" s="90">
        <f>'Water Reading'!Q22-'Water Reading'!Q21</f>
        <v>2</v>
      </c>
      <c r="P22" s="99">
        <f t="shared" si="8"/>
        <v>6.6225165562913907E-3</v>
      </c>
      <c r="Q22" s="91">
        <f>'Water Reading'!F22-'Water Reading'!F21</f>
        <v>1</v>
      </c>
      <c r="R22" s="100">
        <f t="shared" si="9"/>
        <v>3.3112582781456954E-3</v>
      </c>
      <c r="S22" s="94">
        <f>'Water Reading'!E22-'Water Reading'!E21</f>
        <v>61</v>
      </c>
      <c r="T22" s="100">
        <f t="shared" si="10"/>
        <v>0.20198675496688742</v>
      </c>
      <c r="U22" s="90">
        <f>'Water Reading'!G22-'Water Reading'!G21</f>
        <v>25</v>
      </c>
      <c r="V22" s="100">
        <f t="shared" si="11"/>
        <v>8.2781456953642391E-2</v>
      </c>
      <c r="W22" s="90">
        <f>'Water Reading'!J22-'Water Reading'!J21</f>
        <v>12</v>
      </c>
      <c r="X22" s="100">
        <f t="shared" si="12"/>
        <v>3.9735099337748346E-2</v>
      </c>
      <c r="Y22" s="66">
        <f t="shared" si="0"/>
        <v>278</v>
      </c>
      <c r="Z22" s="67">
        <f t="shared" si="1"/>
        <v>1.3560975609756099</v>
      </c>
    </row>
    <row r="23" spans="1:26" x14ac:dyDescent="0.25">
      <c r="A23" s="8">
        <f>'Water Reading'!A22</f>
        <v>44216</v>
      </c>
      <c r="B23" s="65">
        <f>TOTAL!I21</f>
        <v>303</v>
      </c>
      <c r="C23" s="66">
        <f>('Water Reading'!B23-'Water Reading'!B22)+('Water Reading'!C23-'Water Reading'!C22)</f>
        <v>291</v>
      </c>
      <c r="D23" s="67">
        <f t="shared" si="2"/>
        <v>0.96039603960396036</v>
      </c>
      <c r="E23" s="87">
        <f>'Water Reading'!H23-'Water Reading'!H22</f>
        <v>45</v>
      </c>
      <c r="F23" s="89">
        <f t="shared" si="3"/>
        <v>0.15463917525773196</v>
      </c>
      <c r="G23" s="93">
        <f>('Water Reading'!D23-'Water Reading'!D22)-('Water Reading'!R23-'Water Reading'!R22)-('Water Reading'!Q23-'Water Reading'!Q22)</f>
        <v>127</v>
      </c>
      <c r="H23" s="89">
        <f t="shared" si="4"/>
        <v>0.43642611683848798</v>
      </c>
      <c r="I23" s="90">
        <f>'Water Reading'!P23-'Water Reading'!P22</f>
        <v>3</v>
      </c>
      <c r="J23" s="68">
        <f t="shared" si="5"/>
        <v>1.0309278350515464E-2</v>
      </c>
      <c r="K23" s="90">
        <f>('Water Reading'!I23-'Water Reading'!I22)-('Water Reading'!P23-'Water Reading'!P22)</f>
        <v>21</v>
      </c>
      <c r="L23" s="68">
        <f t="shared" si="6"/>
        <v>7.2164948453608241E-2</v>
      </c>
      <c r="M23" s="90">
        <f>'Water Reading'!R23-'Water Reading'!R22</f>
        <v>10</v>
      </c>
      <c r="N23" s="92">
        <f t="shared" si="7"/>
        <v>3.4364261168384883E-2</v>
      </c>
      <c r="O23" s="90">
        <f>'Water Reading'!Q23-'Water Reading'!Q22</f>
        <v>0</v>
      </c>
      <c r="P23" s="99">
        <f t="shared" si="8"/>
        <v>0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0.17869415807560138</v>
      </c>
      <c r="U23" s="90">
        <f>'Water Reading'!G23-'Water Reading'!G22</f>
        <v>15</v>
      </c>
      <c r="V23" s="100">
        <f t="shared" si="11"/>
        <v>5.1546391752577317E-2</v>
      </c>
      <c r="W23" s="90">
        <f>'Water Reading'!J23-'Water Reading'!J22</f>
        <v>10</v>
      </c>
      <c r="X23" s="100">
        <f t="shared" si="12"/>
        <v>3.4364261168384883E-2</v>
      </c>
      <c r="Y23" s="66">
        <f t="shared" si="0"/>
        <v>283</v>
      </c>
      <c r="Z23" s="67">
        <f t="shared" si="1"/>
        <v>0.93399339933993397</v>
      </c>
    </row>
    <row r="24" spans="1:26" x14ac:dyDescent="0.25">
      <c r="A24" s="8">
        <f>'Water Reading'!A23</f>
        <v>44217</v>
      </c>
      <c r="B24" s="65">
        <f>TOTAL!I22</f>
        <v>291</v>
      </c>
      <c r="C24" s="66">
        <f>('Water Reading'!B24-'Water Reading'!B23)+('Water Reading'!C24-'Water Reading'!C23)</f>
        <v>348</v>
      </c>
      <c r="D24" s="67">
        <f t="shared" si="2"/>
        <v>1.1958762886597938</v>
      </c>
      <c r="E24" s="87">
        <f>'Water Reading'!H24-'Water Reading'!H23</f>
        <v>36</v>
      </c>
      <c r="F24" s="89">
        <f t="shared" si="3"/>
        <v>0.10344827586206896</v>
      </c>
      <c r="G24" s="93">
        <f>('Water Reading'!D24-'Water Reading'!D23)-('Water Reading'!R24-'Water Reading'!R23)-('Water Reading'!Q24-'Water Reading'!Q23)</f>
        <v>156</v>
      </c>
      <c r="H24" s="89">
        <f t="shared" si="4"/>
        <v>0.44827586206896552</v>
      </c>
      <c r="I24" s="90">
        <f>'Water Reading'!P24-'Water Reading'!P23</f>
        <v>2</v>
      </c>
      <c r="J24" s="68">
        <f t="shared" si="5"/>
        <v>5.7471264367816091E-3</v>
      </c>
      <c r="K24" s="90">
        <f>('Water Reading'!I24-'Water Reading'!I23)</f>
        <v>30</v>
      </c>
      <c r="L24" s="68">
        <f t="shared" si="6"/>
        <v>8.6206896551724144E-2</v>
      </c>
      <c r="M24" s="90">
        <f>'Water Reading'!R24-'Water Reading'!R23</f>
        <v>8</v>
      </c>
      <c r="N24" s="92">
        <f t="shared" si="7"/>
        <v>2.2988505747126436E-2</v>
      </c>
      <c r="O24" s="90">
        <f>'Water Reading'!Q24-'Water Reading'!Q23</f>
        <v>9</v>
      </c>
      <c r="P24" s="99">
        <f t="shared" si="8"/>
        <v>2.5862068965517241E-2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0.16666666666666666</v>
      </c>
      <c r="U24" s="90">
        <f>'Water Reading'!G24-'Water Reading'!G23</f>
        <v>22</v>
      </c>
      <c r="V24" s="100">
        <f t="shared" si="11"/>
        <v>6.3218390804597707E-2</v>
      </c>
      <c r="W24" s="90">
        <f>'Water Reading'!J24-'Water Reading'!J23</f>
        <v>12</v>
      </c>
      <c r="X24" s="100">
        <f t="shared" si="12"/>
        <v>3.4482758620689655E-2</v>
      </c>
      <c r="Y24" s="66">
        <f t="shared" si="0"/>
        <v>333</v>
      </c>
      <c r="Z24" s="67">
        <f t="shared" si="1"/>
        <v>1.1443298969072164</v>
      </c>
    </row>
    <row r="25" spans="1:26" x14ac:dyDescent="0.25">
      <c r="A25" s="8">
        <f>'Water Reading'!A24</f>
        <v>44218</v>
      </c>
      <c r="B25" s="65">
        <f>TOTAL!I23</f>
        <v>278</v>
      </c>
      <c r="C25" s="66">
        <f>('Water Reading'!B25-'Water Reading'!B24)+('Water Reading'!C25-'Water Reading'!C24)</f>
        <v>340</v>
      </c>
      <c r="D25" s="67">
        <f t="shared" si="2"/>
        <v>1.2230215827338129</v>
      </c>
      <c r="E25" s="87">
        <f>'Water Reading'!H25-'Water Reading'!H24</f>
        <v>32</v>
      </c>
      <c r="F25" s="89">
        <f t="shared" si="3"/>
        <v>9.4117647058823528E-2</v>
      </c>
      <c r="G25" s="93">
        <f>('Water Reading'!D25-'Water Reading'!D24)-('Water Reading'!R25-'Water Reading'!R24)-('Water Reading'!Q25-'Water Reading'!Q24)</f>
        <v>165</v>
      </c>
      <c r="H25" s="89">
        <f t="shared" si="4"/>
        <v>0.48529411764705882</v>
      </c>
      <c r="I25" s="90">
        <f>'Water Reading'!P25-'Water Reading'!P24</f>
        <v>23</v>
      </c>
      <c r="J25" s="68">
        <f t="shared" si="5"/>
        <v>6.7647058823529407E-2</v>
      </c>
      <c r="K25" s="90">
        <f>('Water Reading'!I25-'Water Reading'!I24)</f>
        <v>26</v>
      </c>
      <c r="L25" s="68">
        <f t="shared" si="6"/>
        <v>7.6470588235294124E-2</v>
      </c>
      <c r="M25" s="90">
        <f>'Water Reading'!R25-'Water Reading'!R24</f>
        <v>1</v>
      </c>
      <c r="N25" s="92">
        <f t="shared" si="7"/>
        <v>2.9411764705882353E-3</v>
      </c>
      <c r="O25" s="90">
        <f>'Water Reading'!Q25-'Water Reading'!Q24</f>
        <v>1</v>
      </c>
      <c r="P25" s="99">
        <f t="shared" si="8"/>
        <v>2.9411764705882353E-3</v>
      </c>
      <c r="Q25" s="91">
        <f>'Water Reading'!F25-'Water Reading'!F24</f>
        <v>1</v>
      </c>
      <c r="R25" s="100">
        <f t="shared" si="9"/>
        <v>2.9411764705882353E-3</v>
      </c>
      <c r="S25" s="94">
        <f>'Water Reading'!E25-'Water Reading'!E24</f>
        <v>56</v>
      </c>
      <c r="T25" s="100">
        <f t="shared" si="10"/>
        <v>0.16470588235294117</v>
      </c>
      <c r="U25" s="90">
        <f>'Water Reading'!G25-'Water Reading'!G24</f>
        <v>24</v>
      </c>
      <c r="V25" s="100">
        <f t="shared" si="11"/>
        <v>7.0588235294117646E-2</v>
      </c>
      <c r="W25" s="90">
        <f>'Water Reading'!J25-'Water Reading'!J24</f>
        <v>13</v>
      </c>
      <c r="X25" s="100">
        <f t="shared" si="12"/>
        <v>3.8235294117647062E-2</v>
      </c>
      <c r="Y25" s="66">
        <f t="shared" si="0"/>
        <v>342</v>
      </c>
      <c r="Z25" s="67">
        <f t="shared" si="1"/>
        <v>1.2302158273381294</v>
      </c>
    </row>
    <row r="26" spans="1:26" x14ac:dyDescent="0.25">
      <c r="A26" s="8">
        <f>'Water Reading'!A25</f>
        <v>44219</v>
      </c>
      <c r="B26" s="65">
        <f>TOTAL!I24</f>
        <v>269</v>
      </c>
      <c r="C26" s="66">
        <f>('Water Reading'!B26-'Water Reading'!B25)+('Water Reading'!C26-'Water Reading'!C25)</f>
        <v>322</v>
      </c>
      <c r="D26" s="67">
        <f t="shared" si="2"/>
        <v>1.1970260223048328</v>
      </c>
      <c r="E26" s="87">
        <f>'Water Reading'!H26-'Water Reading'!H25</f>
        <v>18</v>
      </c>
      <c r="F26" s="89">
        <f t="shared" si="3"/>
        <v>5.5900621118012424E-2</v>
      </c>
      <c r="G26" s="93">
        <f>('Water Reading'!D26-'Water Reading'!D25)-('Water Reading'!R26-'Water Reading'!R25)-('Water Reading'!Q26-'Water Reading'!Q25)</f>
        <v>165</v>
      </c>
      <c r="H26" s="89">
        <f t="shared" si="4"/>
        <v>0.51242236024844723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25</v>
      </c>
      <c r="L26" s="68">
        <f t="shared" si="6"/>
        <v>7.7639751552795025E-2</v>
      </c>
      <c r="M26" s="90">
        <f>'Water Reading'!R26-'Water Reading'!R25</f>
        <v>7</v>
      </c>
      <c r="N26" s="92">
        <f t="shared" si="7"/>
        <v>2.1739130434782608E-2</v>
      </c>
      <c r="O26" s="90">
        <f>'Water Reading'!Q26-'Water Reading'!Q25</f>
        <v>3</v>
      </c>
      <c r="P26" s="99">
        <f t="shared" si="8"/>
        <v>9.316770186335404E-3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58</v>
      </c>
      <c r="T26" s="100">
        <f t="shared" si="10"/>
        <v>0.18012422360248448</v>
      </c>
      <c r="U26" s="90">
        <f>'Water Reading'!G26-'Water Reading'!G25</f>
        <v>24</v>
      </c>
      <c r="V26" s="100">
        <f t="shared" si="11"/>
        <v>7.4534161490683232E-2</v>
      </c>
      <c r="W26" s="90">
        <f>'Water Reading'!J26-'Water Reading'!J25</f>
        <v>11</v>
      </c>
      <c r="X26" s="100">
        <f t="shared" si="12"/>
        <v>3.4161490683229816E-2</v>
      </c>
      <c r="Y26" s="66">
        <f t="shared" si="0"/>
        <v>311</v>
      </c>
      <c r="Z26" s="67">
        <f t="shared" si="1"/>
        <v>1.1561338289962826</v>
      </c>
    </row>
    <row r="27" spans="1:26" x14ac:dyDescent="0.25">
      <c r="A27" s="8">
        <f>'Water Reading'!A26</f>
        <v>44220</v>
      </c>
      <c r="B27" s="65">
        <f>TOTAL!I25</f>
        <v>267</v>
      </c>
      <c r="C27" s="66">
        <f>('Water Reading'!B27-'Water Reading'!B26)+('Water Reading'!C27-'Water Reading'!C26)</f>
        <v>327</v>
      </c>
      <c r="D27" s="67">
        <f t="shared" si="2"/>
        <v>1.2247191011235956</v>
      </c>
      <c r="E27" s="87">
        <f>'Water Reading'!H27-'Water Reading'!H26</f>
        <v>21</v>
      </c>
      <c r="F27" s="89">
        <f t="shared" si="3"/>
        <v>6.4220183486238536E-2</v>
      </c>
      <c r="G27" s="93">
        <f>('Water Reading'!D27-'Water Reading'!D26)-('Water Reading'!R27-'Water Reading'!R26)-('Water Reading'!Q27-'Water Reading'!Q26)</f>
        <v>157</v>
      </c>
      <c r="H27" s="89">
        <f t="shared" si="4"/>
        <v>0.4801223241590214</v>
      </c>
      <c r="I27" s="90">
        <f>'Water Reading'!P27-'Water Reading'!P26</f>
        <v>12</v>
      </c>
      <c r="J27" s="68">
        <f t="shared" si="5"/>
        <v>3.669724770642202E-2</v>
      </c>
      <c r="K27" s="90">
        <f>('Water Reading'!I27-'Water Reading'!I26)-('Water Reading'!P27-'Water Reading'!P26)</f>
        <v>20</v>
      </c>
      <c r="L27" s="68">
        <f t="shared" si="6"/>
        <v>6.1162079510703363E-2</v>
      </c>
      <c r="M27" s="90">
        <f>'Water Reading'!R27-'Water Reading'!R26</f>
        <v>7</v>
      </c>
      <c r="N27" s="92">
        <f t="shared" si="7"/>
        <v>2.1406727828746176E-2</v>
      </c>
      <c r="O27" s="90">
        <f>'Water Reading'!Q27-'Water Reading'!Q26</f>
        <v>1</v>
      </c>
      <c r="P27" s="99">
        <f t="shared" si="8"/>
        <v>3.0581039755351682E-3</v>
      </c>
      <c r="Q27" s="91">
        <f>'Water Reading'!F27-'Water Reading'!F26</f>
        <v>1</v>
      </c>
      <c r="R27" s="100">
        <f t="shared" si="9"/>
        <v>3.0581039755351682E-3</v>
      </c>
      <c r="S27" s="94">
        <f>'Water Reading'!E27-'Water Reading'!E26</f>
        <v>60</v>
      </c>
      <c r="T27" s="100">
        <f t="shared" si="10"/>
        <v>0.1834862385321101</v>
      </c>
      <c r="U27" s="90">
        <f>'Water Reading'!G27-'Water Reading'!G26</f>
        <v>61</v>
      </c>
      <c r="V27" s="100">
        <f t="shared" si="11"/>
        <v>0.18654434250764526</v>
      </c>
      <c r="W27" s="90">
        <f>'Water Reading'!J27-'Water Reading'!J26</f>
        <v>12</v>
      </c>
      <c r="X27" s="100">
        <f t="shared" si="12"/>
        <v>3.669724770642202E-2</v>
      </c>
      <c r="Y27" s="66">
        <f t="shared" si="0"/>
        <v>352</v>
      </c>
      <c r="Z27" s="67">
        <f t="shared" si="1"/>
        <v>1.3183520599250935</v>
      </c>
    </row>
    <row r="28" spans="1:26" x14ac:dyDescent="0.25">
      <c r="A28" s="8">
        <f>'Water Reading'!A27</f>
        <v>44221</v>
      </c>
      <c r="B28" s="65">
        <f>TOTAL!I26</f>
        <v>253</v>
      </c>
      <c r="C28" s="66">
        <f>('Water Reading'!B28-'Water Reading'!B27)+('Water Reading'!C28-'Water Reading'!C27)</f>
        <v>269</v>
      </c>
      <c r="D28" s="67">
        <f t="shared" si="2"/>
        <v>1.0632411067193677</v>
      </c>
      <c r="E28" s="87">
        <f>'Water Reading'!H28-'Water Reading'!H27</f>
        <v>24</v>
      </c>
      <c r="F28" s="89">
        <f t="shared" si="3"/>
        <v>8.9219330855018583E-2</v>
      </c>
      <c r="G28" s="93">
        <f>('Water Reading'!D28-'Water Reading'!D27)-('Water Reading'!R28-'Water Reading'!R27)-('Water Reading'!Q28-'Water Reading'!Q27)</f>
        <v>105</v>
      </c>
      <c r="H28" s="89">
        <f t="shared" si="4"/>
        <v>0.3903345724907063</v>
      </c>
      <c r="I28" s="90">
        <f>'Water Reading'!P28-'Water Reading'!P27</f>
        <v>0</v>
      </c>
      <c r="J28" s="68">
        <f t="shared" si="5"/>
        <v>0</v>
      </c>
      <c r="K28" s="90">
        <f>('Water Reading'!I28-'Water Reading'!I27)</f>
        <v>16</v>
      </c>
      <c r="L28" s="68">
        <f t="shared" si="6"/>
        <v>5.9479553903345722E-2</v>
      </c>
      <c r="M28" s="90">
        <f>'Water Reading'!R28-'Water Reading'!R27</f>
        <v>6</v>
      </c>
      <c r="N28" s="92">
        <f t="shared" si="7"/>
        <v>2.2304832713754646E-2</v>
      </c>
      <c r="O28" s="90">
        <f>'Water Reading'!Q28-'Water Reading'!Q27</f>
        <v>6</v>
      </c>
      <c r="P28" s="99">
        <f t="shared" si="8"/>
        <v>2.2304832713754646E-2</v>
      </c>
      <c r="Q28" s="91">
        <f>'Water Reading'!F28-'Water Reading'!F27</f>
        <v>0</v>
      </c>
      <c r="R28" s="100">
        <f t="shared" si="9"/>
        <v>0</v>
      </c>
      <c r="S28" s="94">
        <f>'Water Reading'!E28-'Water Reading'!E27</f>
        <v>59</v>
      </c>
      <c r="T28" s="100">
        <f t="shared" si="10"/>
        <v>0.21933085501858737</v>
      </c>
      <c r="U28" s="90">
        <f>'Water Reading'!G28-'Water Reading'!G27</f>
        <v>-15</v>
      </c>
      <c r="V28" s="100">
        <f t="shared" si="11"/>
        <v>-5.5762081784386616E-2</v>
      </c>
      <c r="W28" s="90">
        <f>'Water Reading'!J28-'Water Reading'!J27</f>
        <v>11</v>
      </c>
      <c r="X28" s="100">
        <f t="shared" si="12"/>
        <v>4.0892193308550186E-2</v>
      </c>
      <c r="Y28" s="66">
        <f t="shared" si="0"/>
        <v>212</v>
      </c>
      <c r="Z28" s="67">
        <f t="shared" si="1"/>
        <v>0.8379446640316206</v>
      </c>
    </row>
    <row r="29" spans="1:26" x14ac:dyDescent="0.25">
      <c r="A29" s="8">
        <f>'Water Reading'!A28</f>
        <v>44222</v>
      </c>
      <c r="B29" s="65">
        <f>TOTAL!I27</f>
        <v>251</v>
      </c>
      <c r="C29" s="66">
        <f>('Water Reading'!B29-'Water Reading'!B28)+('Water Reading'!C29-'Water Reading'!C28)</f>
        <v>376</v>
      </c>
      <c r="D29" s="67">
        <f t="shared" si="2"/>
        <v>1.49800796812749</v>
      </c>
      <c r="E29" s="87">
        <f>'Water Reading'!H29-'Water Reading'!H28</f>
        <v>44</v>
      </c>
      <c r="F29" s="89">
        <f t="shared" si="3"/>
        <v>0.11702127659574468</v>
      </c>
      <c r="G29" s="93">
        <f>('Water Reading'!D29-'Water Reading'!D28)-('Water Reading'!R29-'Water Reading'!R28)-('Water Reading'!Q29-'Water Reading'!Q28)</f>
        <v>161</v>
      </c>
      <c r="H29" s="89">
        <f t="shared" si="4"/>
        <v>0.42819148936170215</v>
      </c>
      <c r="I29" s="90">
        <f>'Water Reading'!P29-'Water Reading'!P28</f>
        <v>8</v>
      </c>
      <c r="J29" s="68">
        <f t="shared" si="5"/>
        <v>2.1276595744680851E-2</v>
      </c>
      <c r="K29" s="90">
        <f>('Water Reading'!I29-'Water Reading'!I28)</f>
        <v>25</v>
      </c>
      <c r="L29" s="68">
        <f t="shared" si="6"/>
        <v>6.6489361702127658E-2</v>
      </c>
      <c r="M29" s="90">
        <f>'Water Reading'!R29-'Water Reading'!R28</f>
        <v>8</v>
      </c>
      <c r="N29" s="92">
        <f t="shared" si="7"/>
        <v>2.1276595744680851E-2</v>
      </c>
      <c r="O29" s="90">
        <f>'Water Reading'!Q29-'Water Reading'!Q28</f>
        <v>5</v>
      </c>
      <c r="P29" s="99">
        <f t="shared" si="8"/>
        <v>1.3297872340425532E-2</v>
      </c>
      <c r="Q29" s="91">
        <f>'Water Reading'!F29-'Water Reading'!F28</f>
        <v>0</v>
      </c>
      <c r="R29" s="100">
        <f t="shared" si="9"/>
        <v>0</v>
      </c>
      <c r="S29" s="94">
        <f>'Water Reading'!E29-'Water Reading'!E28</f>
        <v>73</v>
      </c>
      <c r="T29" s="100">
        <f t="shared" si="10"/>
        <v>0.19414893617021275</v>
      </c>
      <c r="U29" s="90">
        <f>'Water Reading'!G29-'Water Reading'!G28</f>
        <v>28</v>
      </c>
      <c r="V29" s="100">
        <f t="shared" si="11"/>
        <v>7.4468085106382975E-2</v>
      </c>
      <c r="W29" s="90">
        <f>'Water Reading'!J29-'Water Reading'!J28</f>
        <v>12</v>
      </c>
      <c r="X29" s="100">
        <f t="shared" si="12"/>
        <v>3.1914893617021274E-2</v>
      </c>
      <c r="Y29" s="66">
        <f t="shared" si="0"/>
        <v>364</v>
      </c>
      <c r="Z29" s="67">
        <f t="shared" si="1"/>
        <v>1.450199203187251</v>
      </c>
    </row>
    <row r="30" spans="1:26" x14ac:dyDescent="0.25">
      <c r="A30" s="8">
        <f>'Water Reading'!A29</f>
        <v>44223</v>
      </c>
      <c r="B30" s="65">
        <f>TOTAL!I28</f>
        <v>308</v>
      </c>
      <c r="C30" s="66">
        <f>('Water Reading'!B30-'Water Reading'!B29)+('Water Reading'!C30-'Water Reading'!C29)</f>
        <v>296</v>
      </c>
      <c r="D30" s="67">
        <f t="shared" si="2"/>
        <v>0.96103896103896103</v>
      </c>
      <c r="E30" s="87">
        <f>'Water Reading'!H30-'Water Reading'!H29</f>
        <v>23</v>
      </c>
      <c r="F30" s="89">
        <f t="shared" si="3"/>
        <v>7.77027027027027E-2</v>
      </c>
      <c r="G30" s="93">
        <f>('Water Reading'!D30-'Water Reading'!D29)-('Water Reading'!R30-'Water Reading'!R29)-('Water Reading'!Q30-'Water Reading'!Q29)</f>
        <v>137</v>
      </c>
      <c r="H30" s="89">
        <f t="shared" si="4"/>
        <v>0.46283783783783783</v>
      </c>
      <c r="I30" s="90">
        <f>'Water Reading'!P30-'Water Reading'!P29</f>
        <v>6</v>
      </c>
      <c r="J30" s="68">
        <f t="shared" si="5"/>
        <v>2.0270270270270271E-2</v>
      </c>
      <c r="K30" s="90">
        <f>('Water Reading'!I30-'Water Reading'!I29)-('Water Reading'!P30-'Water Reading'!P29)</f>
        <v>6</v>
      </c>
      <c r="L30" s="68">
        <f t="shared" si="6"/>
        <v>2.0270270270270271E-2</v>
      </c>
      <c r="M30" s="90">
        <f>'Water Reading'!R30-'Water Reading'!R29</f>
        <v>7</v>
      </c>
      <c r="N30" s="92">
        <f t="shared" si="7"/>
        <v>2.364864864864865E-2</v>
      </c>
      <c r="O30" s="90">
        <f>'Water Reading'!Q30-'Water Reading'!Q29</f>
        <v>3</v>
      </c>
      <c r="P30" s="99">
        <f t="shared" si="8"/>
        <v>1.0135135135135136E-2</v>
      </c>
      <c r="Q30" s="91">
        <f>'Water Reading'!F30-'Water Reading'!F29</f>
        <v>0</v>
      </c>
      <c r="R30" s="100">
        <f t="shared" si="9"/>
        <v>0</v>
      </c>
      <c r="S30" s="94">
        <f>'Water Reading'!E30-'Water Reading'!E29</f>
        <v>58</v>
      </c>
      <c r="T30" s="100">
        <f t="shared" si="10"/>
        <v>0.19594594594594594</v>
      </c>
      <c r="U30" s="90">
        <f>'Water Reading'!G30-'Water Reading'!G29</f>
        <v>20</v>
      </c>
      <c r="V30" s="100">
        <f t="shared" si="11"/>
        <v>6.7567567567567571E-2</v>
      </c>
      <c r="W30" s="90">
        <f>'Water Reading'!J30-'Water Reading'!J29</f>
        <v>10</v>
      </c>
      <c r="X30" s="100">
        <f t="shared" si="12"/>
        <v>3.3783783783783786E-2</v>
      </c>
      <c r="Y30" s="66">
        <f t="shared" si="0"/>
        <v>270</v>
      </c>
      <c r="Z30" s="67">
        <f t="shared" si="1"/>
        <v>0.87662337662337664</v>
      </c>
    </row>
    <row r="31" spans="1:26" x14ac:dyDescent="0.25">
      <c r="A31" s="8">
        <f>'Water Reading'!A30</f>
        <v>44224</v>
      </c>
      <c r="B31" s="65">
        <f>TOTAL!I29</f>
        <v>247</v>
      </c>
      <c r="C31" s="66">
        <f>('Water Reading'!B31-'Water Reading'!B30)+('Water Reading'!C31-'Water Reading'!C30)</f>
        <v>355</v>
      </c>
      <c r="D31" s="67">
        <f t="shared" si="2"/>
        <v>1.4372469635627529</v>
      </c>
      <c r="E31" s="87">
        <f>'Water Reading'!H31-'Water Reading'!H30</f>
        <v>73</v>
      </c>
      <c r="F31" s="89">
        <f t="shared" si="3"/>
        <v>0.20563380281690141</v>
      </c>
      <c r="G31" s="93">
        <f>('Water Reading'!D31-'Water Reading'!D30)-('Water Reading'!R31-'Water Reading'!R30)-('Water Reading'!Q31-'Water Reading'!Q30)</f>
        <v>120</v>
      </c>
      <c r="H31" s="89">
        <f t="shared" si="4"/>
        <v>0.3380281690140845</v>
      </c>
      <c r="I31" s="90">
        <f>'Water Reading'!P31-'Water Reading'!P30</f>
        <v>9</v>
      </c>
      <c r="J31" s="68">
        <f t="shared" si="5"/>
        <v>2.5352112676056339E-2</v>
      </c>
      <c r="K31" s="90">
        <f>('Water Reading'!I31-'Water Reading'!I30)-('Water Reading'!P31-'Water Reading'!P30)</f>
        <v>27</v>
      </c>
      <c r="L31" s="68">
        <f t="shared" si="6"/>
        <v>7.605633802816901E-2</v>
      </c>
      <c r="M31" s="90">
        <f>'Water Reading'!R31-'Water Reading'!R30</f>
        <v>9</v>
      </c>
      <c r="N31" s="92">
        <f t="shared" si="7"/>
        <v>2.5352112676056339E-2</v>
      </c>
      <c r="O31" s="90">
        <f>'Water Reading'!Q31-'Water Reading'!Q30</f>
        <v>4</v>
      </c>
      <c r="P31" s="99">
        <f t="shared" si="8"/>
        <v>1.1267605633802818E-2</v>
      </c>
      <c r="Q31" s="91">
        <f>'Water Reading'!F31-'Water Reading'!F30</f>
        <v>1</v>
      </c>
      <c r="R31" s="100">
        <f t="shared" si="9"/>
        <v>2.8169014084507044E-3</v>
      </c>
      <c r="S31" s="94">
        <f>'Water Reading'!E31-'Water Reading'!E30</f>
        <v>67</v>
      </c>
      <c r="T31" s="100">
        <f t="shared" si="10"/>
        <v>0.18873239436619718</v>
      </c>
      <c r="U31" s="90">
        <f>'Water Reading'!G31-'Water Reading'!G30</f>
        <v>29</v>
      </c>
      <c r="V31" s="100">
        <f t="shared" si="11"/>
        <v>8.1690140845070425E-2</v>
      </c>
      <c r="W31" s="90">
        <f>'Water Reading'!J31-'Water Reading'!J30</f>
        <v>12</v>
      </c>
      <c r="X31" s="100">
        <f t="shared" si="12"/>
        <v>3.3802816901408447E-2</v>
      </c>
      <c r="Y31" s="66">
        <f t="shared" si="0"/>
        <v>351</v>
      </c>
      <c r="Z31" s="67">
        <f t="shared" si="1"/>
        <v>1.4210526315789473</v>
      </c>
    </row>
    <row r="32" spans="1:26" x14ac:dyDescent="0.25">
      <c r="A32" s="8">
        <f>'Water Reading'!A31</f>
        <v>44225</v>
      </c>
      <c r="B32" s="65">
        <f>TOTAL!I30</f>
        <v>268</v>
      </c>
      <c r="C32" s="66">
        <f>('Water Reading'!B32-'Water Reading'!B31)+('Water Reading'!C32-'Water Reading'!C31)</f>
        <v>312</v>
      </c>
      <c r="D32" s="67">
        <f t="shared" si="2"/>
        <v>1.164179104477612</v>
      </c>
      <c r="E32" s="87">
        <f>'Water Reading'!H32-'Water Reading'!H31</f>
        <v>46</v>
      </c>
      <c r="F32" s="89">
        <f t="shared" si="3"/>
        <v>0.14743589743589744</v>
      </c>
      <c r="G32" s="93">
        <f>('Water Reading'!D32-'Water Reading'!D31)-('Water Reading'!R32-'Water Reading'!R31)-('Water Reading'!Q32-'Water Reading'!Q31)</f>
        <v>149</v>
      </c>
      <c r="H32" s="89">
        <f t="shared" si="4"/>
        <v>0.47756410256410259</v>
      </c>
      <c r="I32" s="90">
        <f>'Water Reading'!P32-'Water Reading'!P31</f>
        <v>0</v>
      </c>
      <c r="J32" s="68">
        <f t="shared" si="5"/>
        <v>0</v>
      </c>
      <c r="K32" s="90">
        <f>('Water Reading'!I32-'Water Reading'!I31)-('Water Reading'!P32-'Water Reading'!P31)</f>
        <v>17</v>
      </c>
      <c r="L32" s="68">
        <f t="shared" si="6"/>
        <v>5.4487179487179488E-2</v>
      </c>
      <c r="M32" s="90">
        <f>'Water Reading'!R32-'Water Reading'!R31</f>
        <v>1</v>
      </c>
      <c r="N32" s="92">
        <f t="shared" si="7"/>
        <v>3.205128205128205E-3</v>
      </c>
      <c r="O32" s="90">
        <f>'Water Reading'!Q32-'Water Reading'!Q31</f>
        <v>1</v>
      </c>
      <c r="P32" s="99">
        <f t="shared" si="8"/>
        <v>3.205128205128205E-3</v>
      </c>
      <c r="Q32" s="91">
        <f>'Water Reading'!F32-'Water Reading'!F31</f>
        <v>0</v>
      </c>
      <c r="R32" s="100">
        <f t="shared" si="9"/>
        <v>0</v>
      </c>
      <c r="S32" s="94">
        <f>'Water Reading'!E32-'Water Reading'!E31</f>
        <v>62</v>
      </c>
      <c r="T32" s="100">
        <f t="shared" si="10"/>
        <v>0.19871794871794871</v>
      </c>
      <c r="U32" s="90">
        <f>'Water Reading'!G32-'Water Reading'!G31</f>
        <v>14</v>
      </c>
      <c r="V32" s="100">
        <f t="shared" si="11"/>
        <v>4.4871794871794872E-2</v>
      </c>
      <c r="W32" s="90">
        <f>'Water Reading'!J32-'Water Reading'!J31</f>
        <v>12</v>
      </c>
      <c r="X32" s="100">
        <f t="shared" si="12"/>
        <v>3.8461538461538464E-2</v>
      </c>
      <c r="Y32" s="66">
        <f t="shared" si="0"/>
        <v>302</v>
      </c>
      <c r="Z32" s="67">
        <f t="shared" si="1"/>
        <v>1.1268656716417911</v>
      </c>
    </row>
    <row r="33" spans="1:26" x14ac:dyDescent="0.25">
      <c r="A33" s="8">
        <f>'Water Reading'!A32</f>
        <v>44226</v>
      </c>
      <c r="B33" s="65">
        <f>TOTAL!I31</f>
        <v>250</v>
      </c>
      <c r="C33" s="66">
        <f>('Water Reading'!B33-'Water Reading'!B32)+('Water Reading'!C33-'Water Reading'!C32)</f>
        <v>277</v>
      </c>
      <c r="D33" s="67">
        <f t="shared" si="2"/>
        <v>1.1080000000000001</v>
      </c>
      <c r="E33" s="87">
        <f>'Water Reading'!H33-'Water Reading'!H32</f>
        <v>40</v>
      </c>
      <c r="F33" s="89">
        <f t="shared" si="3"/>
        <v>0.1444043321299639</v>
      </c>
      <c r="G33" s="93">
        <f>('Water Reading'!D33-'Water Reading'!D32)-('Water Reading'!R33-'Water Reading'!R32)-('Water Reading'!Q33-'Water Reading'!Q32)</f>
        <v>109</v>
      </c>
      <c r="H33" s="89">
        <f t="shared" si="4"/>
        <v>0.39350180505415161</v>
      </c>
      <c r="I33" s="90">
        <f>'Water Reading'!P33-'Water Reading'!P32</f>
        <v>0</v>
      </c>
      <c r="J33" s="68">
        <f t="shared" si="5"/>
        <v>0</v>
      </c>
      <c r="K33" s="90">
        <f>('Water Reading'!I33-'Water Reading'!I32)-('Water Reading'!P33-'Water Reading'!P32)</f>
        <v>14</v>
      </c>
      <c r="L33" s="68">
        <f t="shared" si="6"/>
        <v>5.0541516245487361E-2</v>
      </c>
      <c r="M33" s="90">
        <f>'Water Reading'!R33-'Water Reading'!R32</f>
        <v>7</v>
      </c>
      <c r="N33" s="92">
        <f t="shared" si="7"/>
        <v>2.5270758122743681E-2</v>
      </c>
      <c r="O33" s="90">
        <f>'Water Reading'!Q33-'Water Reading'!Q32</f>
        <v>2</v>
      </c>
      <c r="P33" s="99">
        <f t="shared" si="8"/>
        <v>7.2202166064981952E-3</v>
      </c>
      <c r="Q33" s="91">
        <f>'Water Reading'!F33-'Water Reading'!F32</f>
        <v>0</v>
      </c>
      <c r="R33" s="100">
        <f t="shared" si="9"/>
        <v>0</v>
      </c>
      <c r="S33" s="94">
        <f>'Water Reading'!E33-'Water Reading'!E32</f>
        <v>54</v>
      </c>
      <c r="T33" s="100">
        <f t="shared" si="10"/>
        <v>0.19494584837545126</v>
      </c>
      <c r="U33" s="90">
        <f>'Water Reading'!G33-'Water Reading'!G32</f>
        <v>19</v>
      </c>
      <c r="V33" s="100">
        <f t="shared" si="11"/>
        <v>6.8592057761732855E-2</v>
      </c>
      <c r="W33" s="90">
        <f>'Water Reading'!J33-'Water Reading'!J32</f>
        <v>10</v>
      </c>
      <c r="X33" s="100">
        <f t="shared" si="12"/>
        <v>3.6101083032490974E-2</v>
      </c>
      <c r="Y33" s="66">
        <f t="shared" si="0"/>
        <v>255</v>
      </c>
      <c r="Z33" s="67">
        <f t="shared" si="1"/>
        <v>1.02</v>
      </c>
    </row>
    <row r="34" spans="1:26" x14ac:dyDescent="0.25">
      <c r="A34" s="8">
        <f>'Water Reading'!A33</f>
        <v>44227</v>
      </c>
      <c r="B34" s="65">
        <f>TOTAL!I32</f>
        <v>0</v>
      </c>
      <c r="C34" s="66">
        <f>('Water Reading'!B34-'Water Reading'!B33)+('Water Reading'!C34-'Water Reading'!C33)</f>
        <v>-239729</v>
      </c>
      <c r="D34" s="67" t="e">
        <f t="shared" si="2"/>
        <v>#DIV/0!</v>
      </c>
      <c r="E34" s="87">
        <f>'Water Reading'!H34-'Water Reading'!H33</f>
        <v>-45479</v>
      </c>
      <c r="F34" s="89">
        <f t="shared" si="3"/>
        <v>0.18971004759540983</v>
      </c>
      <c r="G34" s="93">
        <f>('Water Reading'!D34-'Water Reading'!D33)-('Water Reading'!R34-'Water Reading'!R33)-('Water Reading'!Q34-'Water Reading'!Q33)</f>
        <v>-182213</v>
      </c>
      <c r="H34" s="89">
        <f t="shared" si="4"/>
        <v>0.76007908930500689</v>
      </c>
      <c r="I34" s="90">
        <f>'Water Reading'!P34-'Water Reading'!P33</f>
        <v>-25817</v>
      </c>
      <c r="J34" s="68">
        <f t="shared" si="5"/>
        <v>0.1076924360423645</v>
      </c>
      <c r="K34" s="90">
        <f>('Water Reading'!I34-'Water Reading'!I33)-('Water Reading'!P34-'Water Reading'!P33)</f>
        <v>-31740</v>
      </c>
      <c r="L34" s="68">
        <f t="shared" si="6"/>
        <v>0.13239950110332918</v>
      </c>
      <c r="M34" s="90">
        <f>'Water Reading'!R34-'Water Reading'!R33</f>
        <v>-5460</v>
      </c>
      <c r="N34" s="92">
        <f t="shared" si="7"/>
        <v>2.2775717581101994E-2</v>
      </c>
      <c r="O34" s="90">
        <f>'Water Reading'!Q34-'Water Reading'!Q33</f>
        <v>-55</v>
      </c>
      <c r="P34" s="99">
        <f t="shared" si="8"/>
        <v>2.2942572654956222E-4</v>
      </c>
      <c r="Q34" s="91">
        <f>'Water Reading'!F34-'Water Reading'!F33</f>
        <v>-66842</v>
      </c>
      <c r="R34" s="100">
        <f t="shared" si="9"/>
        <v>0.27882317116410615</v>
      </c>
      <c r="S34" s="94">
        <f>'Water Reading'!E34-'Water Reading'!E33</f>
        <v>-238874</v>
      </c>
      <c r="T34" s="100">
        <f t="shared" si="10"/>
        <v>0.99643347279636585</v>
      </c>
      <c r="U34" s="90">
        <f>'Water Reading'!G34-'Water Reading'!G33</f>
        <v>-108757</v>
      </c>
      <c r="V34" s="100">
        <f t="shared" si="11"/>
        <v>0.45366643167910431</v>
      </c>
      <c r="W34" s="90">
        <f>'Water Reading'!J34-'Water Reading'!J33</f>
        <v>-18321</v>
      </c>
      <c r="X34" s="100">
        <f t="shared" si="12"/>
        <v>7.6423795202082354E-2</v>
      </c>
      <c r="Y34" s="66">
        <f t="shared" si="0"/>
        <v>-723558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8313</v>
      </c>
      <c r="C35" s="75">
        <f>SUM(C4:C34)</f>
        <v>-229728</v>
      </c>
      <c r="D35" s="96">
        <f>C35/B35</f>
        <v>-27.634788884879104</v>
      </c>
      <c r="E35" s="7">
        <f>SUM(E4:E34)</f>
        <v>-44506</v>
      </c>
      <c r="F35" s="95">
        <f>E35/C35</f>
        <v>0.19373345869898315</v>
      </c>
      <c r="G35" s="75">
        <f>SUM(G4:G34)</f>
        <v>-177785</v>
      </c>
      <c r="H35" s="95">
        <f>G35/C35</f>
        <v>0.77389347402145148</v>
      </c>
      <c r="I35" s="7">
        <f>SUM(I4:I34)</f>
        <v>-25641</v>
      </c>
      <c r="J35" s="95">
        <f>I35/C35</f>
        <v>0.11161460509820309</v>
      </c>
      <c r="K35" s="7">
        <f>SUM(K4:K34)</f>
        <v>-31035</v>
      </c>
      <c r="L35" s="95">
        <f>K35/C35</f>
        <v>0.13509454659423317</v>
      </c>
      <c r="M35" s="7">
        <f>SUM(M4:M34)</f>
        <v>-5252</v>
      </c>
      <c r="N35" s="95">
        <f>M35/C35</f>
        <v>2.2861819194873938E-2</v>
      </c>
      <c r="O35" s="7">
        <f>SUM(O4:O34)</f>
        <v>43</v>
      </c>
      <c r="P35" s="95">
        <f>O35/C35</f>
        <v>-1.8717787992756651E-4</v>
      </c>
      <c r="Q35" s="7">
        <f>SUM(Q4:Q34)</f>
        <v>-66831</v>
      </c>
      <c r="R35" s="95">
        <f>Q35/C35</f>
        <v>0.2909136021730046</v>
      </c>
      <c r="S35" s="75">
        <f>SUM(S4:S34)</f>
        <v>-237039</v>
      </c>
      <c r="T35" s="95">
        <f>S35/C35</f>
        <v>1.0318245925616381</v>
      </c>
      <c r="U35" s="7">
        <f>SUM(U4:U34)</f>
        <v>-108009</v>
      </c>
      <c r="V35" s="95">
        <f>U35/C35</f>
        <v>0.47016036356038443</v>
      </c>
      <c r="W35" s="7">
        <f>SUM(W4:W34)</f>
        <v>-17981</v>
      </c>
      <c r="X35" s="95">
        <f>W35/C35</f>
        <v>7.8270824627385424E-2</v>
      </c>
      <c r="Y35" s="75">
        <f>SUM(Y4:Y34)</f>
        <v>-714036</v>
      </c>
      <c r="Z35" s="95">
        <f t="shared" si="1"/>
        <v>-85.893901118729701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2021-01-31T05:17:48Z</dcterms:modified>
  <cp:category/>
  <cp:contentStatus/>
</cp:coreProperties>
</file>