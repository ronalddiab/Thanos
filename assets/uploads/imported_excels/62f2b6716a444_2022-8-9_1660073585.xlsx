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<sst xmlns="http://schemas.openxmlformats.org/spreadsheetml/2006/main" count="315" uniqueCount="148">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</sst>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7.3259999999999996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 t="e">
        <f>Submetering!E10+Submetering!F10+Submetering!G10+Submetering!H10+Submetering!J10-Submetering!AV10</f>
        <v>#VALUE!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 t="e">
        <f>'FS Desroches Daily'!CM12</f>
        <v>#VALUE!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93.40649999999998</v>
      </c>
      <c r="I33" s="19" t="e">
        <f>SUM(I2:I32)</f>
        <v>#VALUE!</v>
      </c>
      <c r="K33" s="19">
        <f>SUM(K2:K32)</f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17700.000000000051</v>
      </c>
      <c r="F33" s="17">
        <f t="shared" ref="F33:BC33" si="0">SUM(F2:F32)</f>
        <v>24600.000000000397</v>
      </c>
      <c r="G33" s="17">
        <f t="shared" si="0"/>
        <v>28599.99999999996</v>
      </c>
      <c r="H33" s="17">
        <f t="shared" si="0"/>
        <v>11600.000000000053</v>
      </c>
      <c r="I33" s="17">
        <f t="shared" si="0"/>
        <v>15899.999999999804</v>
      </c>
      <c r="J33" s="17">
        <f t="shared" si="0"/>
        <v>12900.000000000133</v>
      </c>
      <c r="K33" s="17">
        <f t="shared" si="0"/>
        <v>159</v>
      </c>
      <c r="L33" s="17">
        <f t="shared" si="0"/>
        <v>17</v>
      </c>
      <c r="M33" s="17">
        <f t="shared" si="0"/>
        <v>12.700000000000045</v>
      </c>
      <c r="N33" s="17">
        <f t="shared" si="0"/>
        <v>3579.3000000000466</v>
      </c>
      <c r="O33" s="17">
        <f t="shared" si="0"/>
        <v>2350.0000000000227</v>
      </c>
      <c r="P33" s="17">
        <f t="shared" si="0"/>
        <v>22700.000000000386</v>
      </c>
      <c r="Q33" s="17">
        <f t="shared" si="0"/>
        <v>2849.9999999999091</v>
      </c>
      <c r="R33" s="17">
        <f t="shared" si="0"/>
        <v>2700.0000000000455</v>
      </c>
      <c r="S33" s="17">
        <f t="shared" si="0"/>
        <v>6539.9999999999636</v>
      </c>
      <c r="T33" s="17">
        <f t="shared" si="0"/>
        <v>268</v>
      </c>
      <c r="U33" s="35">
        <f t="shared" si="0"/>
        <v>4860.0000000000136</v>
      </c>
      <c r="V33" s="35">
        <f t="shared" si="0"/>
        <v>1589.999999999975</v>
      </c>
      <c r="W33" s="35">
        <f t="shared" si="0"/>
        <v>1260.0000000000477</v>
      </c>
      <c r="X33" s="35">
        <f t="shared" si="0"/>
        <v>1370.0000000000045</v>
      </c>
      <c r="Y33" s="35">
        <f t="shared" si="0"/>
        <v>1290.0000000000205</v>
      </c>
      <c r="Z33" s="35">
        <f t="shared" si="0"/>
        <v>1240.0000000000091</v>
      </c>
      <c r="AA33" s="35">
        <f t="shared" si="0"/>
        <v>1240.0000000000091</v>
      </c>
      <c r="AB33" s="35">
        <f t="shared" si="0"/>
        <v>930.00000000000682</v>
      </c>
      <c r="AC33" s="35">
        <f t="shared" si="0"/>
        <v>1350.0000000000227</v>
      </c>
      <c r="AD33" s="35">
        <f t="shared" si="0"/>
        <v>1069.9999999999932</v>
      </c>
      <c r="AE33" s="35">
        <f t="shared" si="0"/>
        <v>239.99999999995225</v>
      </c>
      <c r="AF33" s="17">
        <f t="shared" si="0"/>
        <v>305</v>
      </c>
      <c r="AG33" s="32">
        <f t="shared" si="0"/>
        <v>239.99999999998067</v>
      </c>
      <c r="AH33" s="32">
        <f t="shared" si="0"/>
        <v>219.99999999997044</v>
      </c>
      <c r="AI33" s="32">
        <f t="shared" si="0"/>
        <v>359.99999999998522</v>
      </c>
      <c r="AJ33" s="32">
        <f t="shared" si="0"/>
        <v>239.99999999998067</v>
      </c>
      <c r="AK33" s="32">
        <f t="shared" si="0"/>
        <v>259.99999999999091</v>
      </c>
      <c r="AL33" s="32">
        <f t="shared" si="0"/>
        <v>237</v>
      </c>
      <c r="AM33" s="32">
        <f t="shared" si="0"/>
        <v>280.00000000000114</v>
      </c>
      <c r="AN33" s="32">
        <f t="shared" si="0"/>
        <v>246</v>
      </c>
      <c r="AO33" s="32">
        <f t="shared" si="0"/>
        <v>269.99999999998181</v>
      </c>
      <c r="AP33" s="32">
        <f t="shared" si="0"/>
        <v>289</v>
      </c>
      <c r="AQ33" s="17">
        <f t="shared" si="0"/>
        <v>470.5</v>
      </c>
      <c r="AR33" s="17">
        <f t="shared" si="0"/>
        <v>84.200000000000728</v>
      </c>
      <c r="AS33" s="17">
        <f t="shared" si="0"/>
        <v>39</v>
      </c>
      <c r="AT33" s="17">
        <f t="shared" si="0"/>
        <v>473.29999999998836</v>
      </c>
      <c r="AU33" s="17">
        <f t="shared" si="0"/>
        <v>2317</v>
      </c>
      <c r="AV33" s="17">
        <f t="shared" si="0"/>
        <v>7200.0000000000455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43.955999999999996</v>
      </c>
      <c r="BC33" s="17">
        <f t="shared" si="0"/>
        <v>428</v>
      </c>
    </row>
    <row r="35" spans="5:55" x14ac:dyDescent="0.25">
      <c r="E35" s="38">
        <f>E33/E37</f>
        <v>0.20453442418359483</v>
      </c>
      <c r="G35" s="29">
        <f>G33-M36</f>
        <v>25007.999999999913</v>
      </c>
      <c r="AE35" s="35">
        <f>SUM(U33:AE33)</f>
        <v>16440.000000000055</v>
      </c>
      <c r="AG35" s="32">
        <f>SUM(AG33:AP33)</f>
        <v>2641.9999999998909</v>
      </c>
    </row>
    <row r="36" spans="5:55" x14ac:dyDescent="0.25">
      <c r="G36" s="29">
        <f>G35-633*14</f>
        <v>16145.999999999913</v>
      </c>
      <c r="M36" s="29">
        <f>M33+N33</f>
        <v>3592.0000000000464</v>
      </c>
    </row>
    <row r="37" spans="5:55" x14ac:dyDescent="0.25">
      <c r="E37" s="17">
        <f>E33+F33+G33+H33+J33-633*14</f>
        <v>86538.000000000597</v>
      </c>
      <c r="G37" s="37">
        <f>M36/E37</f>
        <v>4.15077769303661E-2</v>
      </c>
      <c r="M37" s="35">
        <f>AE35</f>
        <v>16440.000000000055</v>
      </c>
    </row>
    <row r="38" spans="5:55" x14ac:dyDescent="0.25">
      <c r="L38" s="27">
        <f>M38/E37</f>
        <v>3.0529940604126195E-2</v>
      </c>
      <c r="M38" s="29">
        <f>AG35</f>
        <v>2641.9999999998909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G1" zoomScale="82" zoomScaleNormal="82" workbookViewId="0">
      <pane ySplit="1" topLeftCell="A2" activePane="bottomLeft" state="frozen"/>
      <selection pane="bottomLeft" activeCell="AJ9" sqref="AJ9:AJ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/>
      <c r="D12" s="64" t="str">
        <f t="shared" si="50"/>
        <v>0</v>
      </c>
      <c r="E12" s="58"/>
      <c r="F12" s="64" t="str">
        <f t="shared" si="99"/>
        <v>0</v>
      </c>
      <c r="G12" s="58"/>
      <c r="H12" s="64" t="str">
        <f t="shared" si="51"/>
        <v>0</v>
      </c>
      <c r="I12" s="58"/>
      <c r="J12" s="64" t="str">
        <f t="shared" si="52"/>
        <v>0</v>
      </c>
      <c r="K12" s="58"/>
      <c r="L12" s="64" t="str">
        <f t="shared" si="53"/>
        <v>0</v>
      </c>
      <c r="M12" s="58"/>
      <c r="N12" s="64" t="str">
        <f t="shared" si="54"/>
        <v/>
      </c>
      <c r="O12" s="58"/>
      <c r="P12" s="67" t="str">
        <f t="shared" si="55"/>
        <v/>
      </c>
      <c r="Q12" s="58"/>
      <c r="R12" s="67" t="str">
        <f t="shared" si="56"/>
        <v/>
      </c>
      <c r="S12" s="58"/>
      <c r="T12" s="67" t="str">
        <f t="shared" si="57"/>
        <v/>
      </c>
      <c r="U12" s="58"/>
      <c r="V12" s="67" t="str">
        <f t="shared" si="58"/>
        <v/>
      </c>
      <c r="W12" s="58"/>
      <c r="X12" s="65" t="str">
        <f t="shared" si="59"/>
        <v/>
      </c>
      <c r="Y12" s="58"/>
      <c r="Z12" s="65" t="str">
        <f t="shared" si="60"/>
        <v/>
      </c>
      <c r="AA12" s="58"/>
      <c r="AB12" s="65" t="str">
        <f t="shared" si="61"/>
        <v/>
      </c>
      <c r="AC12" s="58"/>
      <c r="AD12" s="65" t="str">
        <f t="shared" si="62"/>
        <v/>
      </c>
      <c r="AE12" s="58"/>
      <c r="AF12" s="65" t="str">
        <f t="shared" si="63"/>
        <v/>
      </c>
      <c r="AG12" s="58"/>
      <c r="AH12" s="67" t="str">
        <f t="shared" si="64"/>
        <v/>
      </c>
      <c r="AI12" s="58"/>
      <c r="AJ12" s="65" t="str">
        <f t="shared" si="65"/>
        <v/>
      </c>
      <c r="AK12" s="58"/>
      <c r="AL12" s="65" t="str">
        <f t="shared" si="66"/>
        <v/>
      </c>
      <c r="AM12" s="58"/>
      <c r="AN12" s="65" t="str">
        <f t="shared" si="67"/>
        <v/>
      </c>
      <c r="AO12" s="58"/>
      <c r="AP12" s="65" t="str">
        <f t="shared" si="68"/>
        <v/>
      </c>
      <c r="AQ12" s="58"/>
      <c r="AR12" s="65" t="str">
        <f t="shared" si="69"/>
        <v/>
      </c>
      <c r="AS12" s="58"/>
      <c r="AT12" s="65" t="str">
        <f t="shared" si="70"/>
        <v/>
      </c>
      <c r="AU12" s="58"/>
      <c r="AV12" s="65" t="str">
        <f t="shared" si="71"/>
        <v/>
      </c>
      <c r="AW12" s="58"/>
      <c r="AX12" s="65" t="str">
        <f t="shared" si="72"/>
        <v/>
      </c>
      <c r="AY12" s="58"/>
      <c r="AZ12" s="65" t="str">
        <f t="shared" si="73"/>
        <v/>
      </c>
      <c r="BA12" s="58"/>
      <c r="BB12" s="65" t="str">
        <f t="shared" si="74"/>
        <v/>
      </c>
      <c r="BC12" s="58"/>
      <c r="BD12" s="65" t="str">
        <f t="shared" si="75"/>
        <v/>
      </c>
      <c r="BE12" s="59"/>
      <c r="BF12" s="67" t="str">
        <f t="shared" si="76"/>
        <v/>
      </c>
      <c r="BG12" s="60"/>
      <c r="BH12" s="65" t="str">
        <f t="shared" si="77"/>
        <v/>
      </c>
      <c r="BI12" s="60"/>
      <c r="BJ12" s="65" t="str">
        <f t="shared" si="78"/>
        <v/>
      </c>
      <c r="BK12" s="60"/>
      <c r="BL12" s="65" t="str">
        <f t="shared" si="79"/>
        <v/>
      </c>
      <c r="BM12" s="60"/>
      <c r="BN12" s="65" t="str">
        <f t="shared" si="80"/>
        <v/>
      </c>
      <c r="BO12" s="60"/>
      <c r="BP12" s="65" t="str">
        <f t="shared" si="81"/>
        <v/>
      </c>
      <c r="BQ12" s="60"/>
      <c r="BR12" s="65" t="str">
        <f t="shared" si="82"/>
        <v/>
      </c>
      <c r="BS12" s="60"/>
      <c r="BT12" s="65" t="str">
        <f t="shared" si="83"/>
        <v/>
      </c>
      <c r="BU12" s="60"/>
      <c r="BV12" s="65" t="str">
        <f t="shared" si="84"/>
        <v/>
      </c>
      <c r="BW12" s="60"/>
      <c r="BX12" s="65" t="str">
        <f t="shared" si="85"/>
        <v/>
      </c>
      <c r="BY12" s="60"/>
      <c r="BZ12" s="67" t="str">
        <f t="shared" si="86"/>
        <v/>
      </c>
      <c r="CA12" s="60"/>
      <c r="CB12" s="67" t="str">
        <f t="shared" si="87"/>
        <v/>
      </c>
      <c r="CC12" s="60"/>
      <c r="CD12" s="67" t="str">
        <f t="shared" si="88"/>
        <v/>
      </c>
      <c r="CE12" s="60"/>
      <c r="CF12" s="67" t="str">
        <f t="shared" si="89"/>
        <v/>
      </c>
      <c r="CG12" s="60"/>
      <c r="CH12" s="67" t="str">
        <f t="shared" si="90"/>
        <v/>
      </c>
      <c r="CI12" s="60"/>
      <c r="CJ12" s="67" t="str">
        <f t="shared" si="91"/>
        <v/>
      </c>
      <c r="CK12" s="60"/>
      <c r="CL12" s="64" t="str">
        <f t="shared" si="92"/>
        <v/>
      </c>
      <c r="CM12" s="65" t="e">
        <f t="shared" si="93"/>
        <v>#VALUE!</v>
      </c>
      <c r="CN12" s="62">
        <v>52</v>
      </c>
      <c r="CO12" s="62">
        <v>120</v>
      </c>
      <c r="CP12" s="68"/>
      <c r="CQ12" s="67" t="str">
        <f t="shared" si="94"/>
        <v/>
      </c>
      <c r="CR12" s="68"/>
      <c r="CS12" s="67" t="str">
        <f t="shared" si="95"/>
        <v/>
      </c>
      <c r="CT12" s="75"/>
      <c r="CU12" s="67" t="str">
        <f t="shared" si="96"/>
        <v/>
      </c>
      <c r="CV12" s="68"/>
      <c r="CW12" s="67" t="str">
        <f t="shared" si="97"/>
        <v/>
      </c>
      <c r="CX12" s="58"/>
      <c r="CY12" s="67" t="str">
        <f t="shared" si="98"/>
        <v/>
      </c>
    </row>
    <row r="13" spans="1:103" ht="25.5" customHeight="1" thickBot="1" x14ac:dyDescent="0.45">
      <c r="A13" s="63">
        <v>44783</v>
      </c>
      <c r="B13" s="44"/>
      <c r="C13" s="58"/>
      <c r="D13" s="64">
        <f t="shared" si="50"/>
        <v>0</v>
      </c>
      <c r="E13" s="58"/>
      <c r="F13" s="64">
        <f t="shared" si="99"/>
        <v>0</v>
      </c>
      <c r="G13" s="58"/>
      <c r="H13" s="64">
        <f t="shared" si="51"/>
        <v>0</v>
      </c>
      <c r="I13" s="58"/>
      <c r="J13" s="64">
        <f t="shared" si="52"/>
        <v>0</v>
      </c>
      <c r="K13" s="58"/>
      <c r="L13" s="64">
        <f t="shared" si="53"/>
        <v>0</v>
      </c>
      <c r="M13" s="58"/>
      <c r="N13" s="64">
        <f t="shared" si="54"/>
        <v>0</v>
      </c>
      <c r="O13" s="58"/>
      <c r="P13" s="67">
        <f t="shared" si="55"/>
        <v>0</v>
      </c>
      <c r="Q13" s="58"/>
      <c r="R13" s="67">
        <f t="shared" si="56"/>
        <v>0</v>
      </c>
      <c r="S13" s="58"/>
      <c r="T13" s="67">
        <f t="shared" si="57"/>
        <v>0</v>
      </c>
      <c r="U13" s="58"/>
      <c r="V13" s="67">
        <f t="shared" si="58"/>
        <v>0</v>
      </c>
      <c r="W13" s="58"/>
      <c r="X13" s="65">
        <f t="shared" si="59"/>
        <v>0</v>
      </c>
      <c r="Y13" s="58"/>
      <c r="Z13" s="65">
        <f t="shared" si="60"/>
        <v>0</v>
      </c>
      <c r="AA13" s="58"/>
      <c r="AB13" s="65">
        <f t="shared" si="61"/>
        <v>0</v>
      </c>
      <c r="AC13" s="58"/>
      <c r="AD13" s="65">
        <f t="shared" si="62"/>
        <v>0</v>
      </c>
      <c r="AE13" s="58"/>
      <c r="AF13" s="65">
        <f t="shared" si="63"/>
        <v>0</v>
      </c>
      <c r="AG13" s="58"/>
      <c r="AH13" s="67">
        <f t="shared" si="64"/>
        <v>0</v>
      </c>
      <c r="AI13" s="58"/>
      <c r="AJ13" s="65">
        <f t="shared" si="65"/>
        <v>0</v>
      </c>
      <c r="AK13" s="58"/>
      <c r="AL13" s="65">
        <f t="shared" si="66"/>
        <v>0</v>
      </c>
      <c r="AM13" s="58"/>
      <c r="AN13" s="65">
        <f t="shared" si="67"/>
        <v>0</v>
      </c>
      <c r="AO13" s="58"/>
      <c r="AP13" s="65">
        <f t="shared" si="68"/>
        <v>0</v>
      </c>
      <c r="AQ13" s="58"/>
      <c r="AR13" s="65">
        <f t="shared" si="69"/>
        <v>0</v>
      </c>
      <c r="AS13" s="58"/>
      <c r="AT13" s="65">
        <f t="shared" si="70"/>
        <v>0</v>
      </c>
      <c r="AU13" s="58"/>
      <c r="AV13" s="65">
        <f t="shared" si="71"/>
        <v>0</v>
      </c>
      <c r="AW13" s="58"/>
      <c r="AX13" s="65">
        <f t="shared" si="72"/>
        <v>0</v>
      </c>
      <c r="AY13" s="58"/>
      <c r="AZ13" s="65">
        <f t="shared" si="73"/>
        <v>0</v>
      </c>
      <c r="BA13" s="58"/>
      <c r="BB13" s="65">
        <f t="shared" si="74"/>
        <v>0</v>
      </c>
      <c r="BC13" s="58"/>
      <c r="BD13" s="65">
        <f t="shared" si="75"/>
        <v>0</v>
      </c>
      <c r="BE13" s="59"/>
      <c r="BF13" s="67">
        <f t="shared" si="76"/>
        <v>0</v>
      </c>
      <c r="BG13" s="60"/>
      <c r="BH13" s="65">
        <f t="shared" si="77"/>
        <v>0</v>
      </c>
      <c r="BI13" s="60"/>
      <c r="BJ13" s="65">
        <f t="shared" si="78"/>
        <v>0</v>
      </c>
      <c r="BK13" s="60"/>
      <c r="BL13" s="65">
        <f t="shared" si="79"/>
        <v>0</v>
      </c>
      <c r="BM13" s="60"/>
      <c r="BN13" s="65">
        <f t="shared" si="80"/>
        <v>0</v>
      </c>
      <c r="BO13" s="60"/>
      <c r="BP13" s="65">
        <f t="shared" si="81"/>
        <v>0</v>
      </c>
      <c r="BQ13" s="60"/>
      <c r="BR13" s="65">
        <f t="shared" si="82"/>
        <v>0</v>
      </c>
      <c r="BS13" s="60"/>
      <c r="BT13" s="65">
        <f t="shared" si="83"/>
        <v>0</v>
      </c>
      <c r="BU13" s="60"/>
      <c r="BV13" s="65">
        <f t="shared" si="84"/>
        <v>0</v>
      </c>
      <c r="BW13" s="60"/>
      <c r="BX13" s="65">
        <f t="shared" si="85"/>
        <v>0</v>
      </c>
      <c r="BY13" s="60"/>
      <c r="BZ13" s="67">
        <f t="shared" si="86"/>
        <v>0</v>
      </c>
      <c r="CA13" s="60"/>
      <c r="CB13" s="67">
        <f t="shared" si="87"/>
        <v>0</v>
      </c>
      <c r="CC13" s="60"/>
      <c r="CD13" s="67">
        <f t="shared" si="88"/>
        <v>0</v>
      </c>
      <c r="CE13" s="60"/>
      <c r="CF13" s="67">
        <f t="shared" si="89"/>
        <v>0</v>
      </c>
      <c r="CG13" s="60"/>
      <c r="CH13" s="67">
        <f t="shared" si="90"/>
        <v>0</v>
      </c>
      <c r="CI13" s="60"/>
      <c r="CJ13" s="67">
        <f t="shared" si="91"/>
        <v>0</v>
      </c>
      <c r="CK13" s="60"/>
      <c r="CL13" s="64">
        <f t="shared" si="92"/>
        <v>0</v>
      </c>
      <c r="CM13" s="65">
        <f t="shared" si="93"/>
        <v>0</v>
      </c>
      <c r="CN13" s="62"/>
      <c r="CO13" s="62"/>
      <c r="CP13" s="68"/>
      <c r="CQ13" s="67">
        <f t="shared" si="94"/>
        <v>0</v>
      </c>
      <c r="CR13" s="68"/>
      <c r="CS13" s="67">
        <f t="shared" si="95"/>
        <v>0</v>
      </c>
      <c r="CT13" s="75"/>
      <c r="CU13" s="67">
        <f t="shared" si="96"/>
        <v>0</v>
      </c>
      <c r="CV13" s="68"/>
      <c r="CW13" s="67">
        <f t="shared" si="97"/>
        <v>0</v>
      </c>
      <c r="CX13" s="58"/>
      <c r="CY13" s="67">
        <f t="shared" si="98"/>
        <v>0</v>
      </c>
    </row>
    <row r="14" spans="1:103" ht="25.5" customHeight="1" thickBot="1" x14ac:dyDescent="0.45">
      <c r="A14" s="63">
        <v>44784</v>
      </c>
      <c r="B14" s="44"/>
      <c r="C14" s="58"/>
      <c r="D14" s="64">
        <f t="shared" si="50"/>
        <v>0</v>
      </c>
      <c r="E14" s="58"/>
      <c r="F14" s="64">
        <f t="shared" si="99"/>
        <v>0</v>
      </c>
      <c r="G14" s="58"/>
      <c r="H14" s="64">
        <f t="shared" si="51"/>
        <v>0</v>
      </c>
      <c r="I14" s="58"/>
      <c r="J14" s="64">
        <f t="shared" si="52"/>
        <v>0</v>
      </c>
      <c r="K14" s="58"/>
      <c r="L14" s="64">
        <f t="shared" si="53"/>
        <v>0</v>
      </c>
      <c r="M14" s="58"/>
      <c r="N14" s="64">
        <f t="shared" si="54"/>
        <v>0</v>
      </c>
      <c r="O14" s="58"/>
      <c r="P14" s="67">
        <f t="shared" si="55"/>
        <v>0</v>
      </c>
      <c r="Q14" s="58"/>
      <c r="R14" s="67">
        <f t="shared" si="56"/>
        <v>0</v>
      </c>
      <c r="S14" s="58"/>
      <c r="T14" s="67">
        <f t="shared" si="57"/>
        <v>0</v>
      </c>
      <c r="U14" s="58"/>
      <c r="V14" s="67">
        <f t="shared" si="58"/>
        <v>0</v>
      </c>
      <c r="W14" s="58"/>
      <c r="X14" s="65">
        <f t="shared" si="59"/>
        <v>0</v>
      </c>
      <c r="Y14" s="58"/>
      <c r="Z14" s="65">
        <f t="shared" si="60"/>
        <v>0</v>
      </c>
      <c r="AA14" s="58"/>
      <c r="AB14" s="65">
        <f t="shared" si="61"/>
        <v>0</v>
      </c>
      <c r="AC14" s="58"/>
      <c r="AD14" s="65">
        <f t="shared" si="62"/>
        <v>0</v>
      </c>
      <c r="AE14" s="58"/>
      <c r="AF14" s="65">
        <f t="shared" si="63"/>
        <v>0</v>
      </c>
      <c r="AG14" s="58"/>
      <c r="AH14" s="67">
        <f t="shared" si="64"/>
        <v>0</v>
      </c>
      <c r="AI14" s="58"/>
      <c r="AJ14" s="65">
        <f t="shared" si="65"/>
        <v>0</v>
      </c>
      <c r="AK14" s="58"/>
      <c r="AL14" s="65">
        <f t="shared" si="66"/>
        <v>0</v>
      </c>
      <c r="AM14" s="58"/>
      <c r="AN14" s="65">
        <f t="shared" si="67"/>
        <v>0</v>
      </c>
      <c r="AO14" s="58"/>
      <c r="AP14" s="65">
        <f t="shared" si="68"/>
        <v>0</v>
      </c>
      <c r="AQ14" s="58"/>
      <c r="AR14" s="65">
        <f t="shared" si="69"/>
        <v>0</v>
      </c>
      <c r="AS14" s="58"/>
      <c r="AT14" s="65">
        <f t="shared" si="70"/>
        <v>0</v>
      </c>
      <c r="AU14" s="58"/>
      <c r="AV14" s="65">
        <f t="shared" si="71"/>
        <v>0</v>
      </c>
      <c r="AW14" s="58"/>
      <c r="AX14" s="65">
        <f t="shared" si="72"/>
        <v>0</v>
      </c>
      <c r="AY14" s="58"/>
      <c r="AZ14" s="65">
        <f t="shared" si="73"/>
        <v>0</v>
      </c>
      <c r="BA14" s="58"/>
      <c r="BB14" s="65">
        <f t="shared" si="74"/>
        <v>0</v>
      </c>
      <c r="BC14" s="58"/>
      <c r="BD14" s="65">
        <f t="shared" si="75"/>
        <v>0</v>
      </c>
      <c r="BE14" s="59"/>
      <c r="BF14" s="67">
        <f t="shared" si="76"/>
        <v>0</v>
      </c>
      <c r="BG14" s="60"/>
      <c r="BH14" s="65">
        <f t="shared" si="77"/>
        <v>0</v>
      </c>
      <c r="BI14" s="60"/>
      <c r="BJ14" s="65">
        <f t="shared" si="78"/>
        <v>0</v>
      </c>
      <c r="BK14" s="60"/>
      <c r="BL14" s="65">
        <f t="shared" si="79"/>
        <v>0</v>
      </c>
      <c r="BM14" s="60"/>
      <c r="BN14" s="65">
        <f t="shared" si="80"/>
        <v>0</v>
      </c>
      <c r="BO14" s="60"/>
      <c r="BP14" s="65">
        <f t="shared" si="81"/>
        <v>0</v>
      </c>
      <c r="BQ14" s="60"/>
      <c r="BR14" s="65">
        <f t="shared" si="82"/>
        <v>0</v>
      </c>
      <c r="BS14" s="60"/>
      <c r="BT14" s="65">
        <f t="shared" si="83"/>
        <v>0</v>
      </c>
      <c r="BU14" s="60"/>
      <c r="BV14" s="65">
        <f t="shared" si="84"/>
        <v>0</v>
      </c>
      <c r="BW14" s="60"/>
      <c r="BX14" s="65">
        <f t="shared" si="85"/>
        <v>0</v>
      </c>
      <c r="BY14" s="60"/>
      <c r="BZ14" s="67">
        <f t="shared" si="86"/>
        <v>0</v>
      </c>
      <c r="CA14" s="60"/>
      <c r="CB14" s="67">
        <f t="shared" si="87"/>
        <v>0</v>
      </c>
      <c r="CC14" s="60"/>
      <c r="CD14" s="67">
        <f t="shared" si="88"/>
        <v>0</v>
      </c>
      <c r="CE14" s="60"/>
      <c r="CF14" s="67">
        <f t="shared" si="89"/>
        <v>0</v>
      </c>
      <c r="CG14" s="60"/>
      <c r="CH14" s="67">
        <f t="shared" si="90"/>
        <v>0</v>
      </c>
      <c r="CI14" s="60"/>
      <c r="CJ14" s="67">
        <f t="shared" si="91"/>
        <v>0</v>
      </c>
      <c r="CK14" s="60"/>
      <c r="CL14" s="64">
        <f t="shared" si="92"/>
        <v>0</v>
      </c>
      <c r="CM14" s="65">
        <f t="shared" si="93"/>
        <v>0</v>
      </c>
      <c r="CN14" s="62"/>
      <c r="CO14" s="62"/>
      <c r="CP14" s="68"/>
      <c r="CQ14" s="67">
        <f t="shared" si="94"/>
        <v>0</v>
      </c>
      <c r="CR14" s="68"/>
      <c r="CS14" s="67">
        <f t="shared" si="95"/>
        <v>0</v>
      </c>
      <c r="CT14" s="75"/>
      <c r="CU14" s="67">
        <f t="shared" si="96"/>
        <v>0</v>
      </c>
      <c r="CV14" s="68"/>
      <c r="CW14" s="67">
        <f t="shared" si="97"/>
        <v>0</v>
      </c>
      <c r="CX14" s="58"/>
      <c r="CY14" s="67">
        <f t="shared" si="98"/>
        <v>0</v>
      </c>
    </row>
    <row r="15" spans="1:103" ht="25.5" customHeight="1" thickBot="1" x14ac:dyDescent="0.45">
      <c r="A15" s="63">
        <v>44785</v>
      </c>
      <c r="B15" s="44"/>
      <c r="C15" s="58"/>
      <c r="D15" s="64">
        <f t="shared" si="50"/>
        <v>0</v>
      </c>
      <c r="E15" s="58"/>
      <c r="F15" s="64">
        <f t="shared" si="99"/>
        <v>0</v>
      </c>
      <c r="G15" s="58"/>
      <c r="H15" s="64">
        <f t="shared" si="51"/>
        <v>0</v>
      </c>
      <c r="I15" s="58"/>
      <c r="J15" s="64">
        <f t="shared" si="52"/>
        <v>0</v>
      </c>
      <c r="K15" s="58"/>
      <c r="L15" s="64">
        <f t="shared" si="53"/>
        <v>0</v>
      </c>
      <c r="M15" s="58"/>
      <c r="N15" s="64">
        <f t="shared" si="54"/>
        <v>0</v>
      </c>
      <c r="O15" s="58"/>
      <c r="P15" s="67">
        <f t="shared" si="55"/>
        <v>0</v>
      </c>
      <c r="Q15" s="58"/>
      <c r="R15" s="67">
        <f>IF((Q15-Q14&lt;0), "",Q15-Q14)</f>
        <v>0</v>
      </c>
      <c r="S15" s="58"/>
      <c r="T15" s="67">
        <f t="shared" si="57"/>
        <v>0</v>
      </c>
      <c r="U15" s="58"/>
      <c r="V15" s="67">
        <f t="shared" si="58"/>
        <v>0</v>
      </c>
      <c r="W15" s="58"/>
      <c r="X15" s="65">
        <f t="shared" si="59"/>
        <v>0</v>
      </c>
      <c r="Y15" s="58"/>
      <c r="Z15" s="65">
        <f t="shared" si="60"/>
        <v>0</v>
      </c>
      <c r="AA15" s="58"/>
      <c r="AB15" s="65">
        <f t="shared" si="61"/>
        <v>0</v>
      </c>
      <c r="AC15" s="58"/>
      <c r="AD15" s="65">
        <f t="shared" si="62"/>
        <v>0</v>
      </c>
      <c r="AE15" s="58"/>
      <c r="AF15" s="65">
        <f t="shared" si="63"/>
        <v>0</v>
      </c>
      <c r="AG15" s="58"/>
      <c r="AH15" s="67">
        <f t="shared" si="64"/>
        <v>0</v>
      </c>
      <c r="AI15" s="58"/>
      <c r="AJ15" s="65">
        <f t="shared" si="65"/>
        <v>0</v>
      </c>
      <c r="AK15" s="58"/>
      <c r="AL15" s="65">
        <f t="shared" si="66"/>
        <v>0</v>
      </c>
      <c r="AM15" s="58"/>
      <c r="AN15" s="65">
        <f t="shared" si="67"/>
        <v>0</v>
      </c>
      <c r="AO15" s="58"/>
      <c r="AP15" s="65">
        <f t="shared" si="68"/>
        <v>0</v>
      </c>
      <c r="AQ15" s="58"/>
      <c r="AR15" s="65">
        <f t="shared" si="69"/>
        <v>0</v>
      </c>
      <c r="AS15" s="58"/>
      <c r="AT15" s="65">
        <f t="shared" si="70"/>
        <v>0</v>
      </c>
      <c r="AU15" s="58"/>
      <c r="AV15" s="65">
        <f t="shared" si="71"/>
        <v>0</v>
      </c>
      <c r="AW15" s="58"/>
      <c r="AX15" s="65">
        <f t="shared" si="72"/>
        <v>0</v>
      </c>
      <c r="AY15" s="58"/>
      <c r="AZ15" s="65">
        <f t="shared" si="73"/>
        <v>0</v>
      </c>
      <c r="BA15" s="58"/>
      <c r="BB15" s="65">
        <f t="shared" si="74"/>
        <v>0</v>
      </c>
      <c r="BC15" s="58"/>
      <c r="BD15" s="65">
        <f t="shared" si="75"/>
        <v>0</v>
      </c>
      <c r="BE15" s="59"/>
      <c r="BF15" s="67">
        <f t="shared" si="76"/>
        <v>0</v>
      </c>
      <c r="BG15" s="60"/>
      <c r="BH15" s="65">
        <f t="shared" si="77"/>
        <v>0</v>
      </c>
      <c r="BI15" s="60"/>
      <c r="BJ15" s="65">
        <f t="shared" si="78"/>
        <v>0</v>
      </c>
      <c r="BK15" s="60"/>
      <c r="BL15" s="65">
        <f t="shared" si="79"/>
        <v>0</v>
      </c>
      <c r="BM15" s="60"/>
      <c r="BN15" s="65">
        <f t="shared" si="80"/>
        <v>0</v>
      </c>
      <c r="BO15" s="60"/>
      <c r="BP15" s="65">
        <f t="shared" si="81"/>
        <v>0</v>
      </c>
      <c r="BQ15" s="60"/>
      <c r="BR15" s="65">
        <f t="shared" si="82"/>
        <v>0</v>
      </c>
      <c r="BS15" s="60"/>
      <c r="BT15" s="65">
        <f t="shared" si="83"/>
        <v>0</v>
      </c>
      <c r="BU15" s="60"/>
      <c r="BV15" s="65">
        <f t="shared" si="84"/>
        <v>0</v>
      </c>
      <c r="BW15" s="60"/>
      <c r="BX15" s="65">
        <f t="shared" si="85"/>
        <v>0</v>
      </c>
      <c r="BY15" s="60"/>
      <c r="BZ15" s="67">
        <f t="shared" si="86"/>
        <v>0</v>
      </c>
      <c r="CA15" s="60"/>
      <c r="CB15" s="67">
        <f t="shared" si="87"/>
        <v>0</v>
      </c>
      <c r="CC15" s="60"/>
      <c r="CD15" s="67">
        <f t="shared" si="88"/>
        <v>0</v>
      </c>
      <c r="CE15" s="60"/>
      <c r="CF15" s="67">
        <f t="shared" si="89"/>
        <v>0</v>
      </c>
      <c r="CG15" s="60"/>
      <c r="CH15" s="67">
        <f t="shared" si="90"/>
        <v>0</v>
      </c>
      <c r="CI15" s="60"/>
      <c r="CJ15" s="67">
        <f t="shared" si="91"/>
        <v>0</v>
      </c>
      <c r="CK15" s="60"/>
      <c r="CL15" s="64">
        <f t="shared" si="92"/>
        <v>0</v>
      </c>
      <c r="CM15" s="65">
        <f t="shared" si="93"/>
        <v>0</v>
      </c>
      <c r="CN15" s="62"/>
      <c r="CO15" s="62"/>
      <c r="CP15" s="68"/>
      <c r="CQ15" s="67">
        <f t="shared" si="94"/>
        <v>0</v>
      </c>
      <c r="CR15" s="68"/>
      <c r="CS15" s="67">
        <f t="shared" si="95"/>
        <v>0</v>
      </c>
      <c r="CT15" s="75"/>
      <c r="CU15" s="67">
        <f t="shared" si="96"/>
        <v>0</v>
      </c>
      <c r="CV15" s="68"/>
      <c r="CW15" s="67">
        <f t="shared" si="97"/>
        <v>0</v>
      </c>
      <c r="CX15" s="58"/>
      <c r="CY15" s="67">
        <f t="shared" si="98"/>
        <v>0</v>
      </c>
    </row>
    <row r="16" spans="1:103" ht="25.5" customHeight="1" thickBot="1" x14ac:dyDescent="0.45">
      <c r="A16" s="63">
        <v>44786</v>
      </c>
      <c r="B16" s="44"/>
      <c r="C16" s="58"/>
      <c r="D16" s="64">
        <f t="shared" si="50"/>
        <v>0</v>
      </c>
      <c r="E16" s="58"/>
      <c r="F16" s="64">
        <f t="shared" si="99"/>
        <v>0</v>
      </c>
      <c r="G16" s="58"/>
      <c r="H16" s="64">
        <f t="shared" si="51"/>
        <v>0</v>
      </c>
      <c r="I16" s="58"/>
      <c r="J16" s="64">
        <f>IF((I16-I15&lt;0), "0",(I16-I15)*1000000)</f>
        <v>0</v>
      </c>
      <c r="K16" s="58"/>
      <c r="L16" s="64">
        <f t="shared" si="53"/>
        <v>0</v>
      </c>
      <c r="M16" s="58"/>
      <c r="N16" s="64">
        <f t="shared" si="54"/>
        <v>0</v>
      </c>
      <c r="O16" s="58"/>
      <c r="P16" s="67">
        <f t="shared" si="55"/>
        <v>0</v>
      </c>
      <c r="Q16" s="58"/>
      <c r="R16" s="67">
        <f t="shared" si="56"/>
        <v>0</v>
      </c>
      <c r="S16" s="58"/>
      <c r="T16" s="67">
        <f t="shared" si="57"/>
        <v>0</v>
      </c>
      <c r="U16" s="58"/>
      <c r="V16" s="67">
        <f t="shared" si="58"/>
        <v>0</v>
      </c>
      <c r="W16" s="58"/>
      <c r="X16" s="65">
        <f t="shared" si="59"/>
        <v>0</v>
      </c>
      <c r="Y16" s="58"/>
      <c r="Z16" s="65">
        <f t="shared" si="60"/>
        <v>0</v>
      </c>
      <c r="AA16" s="58"/>
      <c r="AB16" s="65">
        <f t="shared" si="61"/>
        <v>0</v>
      </c>
      <c r="AC16" s="58"/>
      <c r="AD16" s="65">
        <f t="shared" si="62"/>
        <v>0</v>
      </c>
      <c r="AE16" s="58"/>
      <c r="AF16" s="65">
        <f t="shared" si="63"/>
        <v>0</v>
      </c>
      <c r="AG16" s="58"/>
      <c r="AH16" s="67">
        <f t="shared" si="64"/>
        <v>0</v>
      </c>
      <c r="AI16" s="58"/>
      <c r="AJ16" s="65">
        <f t="shared" si="65"/>
        <v>0</v>
      </c>
      <c r="AK16" s="58"/>
      <c r="AL16" s="65">
        <f t="shared" si="66"/>
        <v>0</v>
      </c>
      <c r="AM16" s="58"/>
      <c r="AN16" s="65">
        <f t="shared" si="67"/>
        <v>0</v>
      </c>
      <c r="AO16" s="58"/>
      <c r="AP16" s="65">
        <f t="shared" si="68"/>
        <v>0</v>
      </c>
      <c r="AQ16" s="58"/>
      <c r="AR16" s="65">
        <f t="shared" si="69"/>
        <v>0</v>
      </c>
      <c r="AS16" s="58"/>
      <c r="AT16" s="65">
        <f t="shared" si="70"/>
        <v>0</v>
      </c>
      <c r="AU16" s="58"/>
      <c r="AV16" s="65">
        <f t="shared" si="71"/>
        <v>0</v>
      </c>
      <c r="AW16" s="58"/>
      <c r="AX16" s="65">
        <f t="shared" si="72"/>
        <v>0</v>
      </c>
      <c r="AY16" s="58"/>
      <c r="AZ16" s="65">
        <f t="shared" si="73"/>
        <v>0</v>
      </c>
      <c r="BA16" s="58"/>
      <c r="BB16" s="65">
        <f t="shared" si="74"/>
        <v>0</v>
      </c>
      <c r="BC16" s="58"/>
      <c r="BD16" s="65">
        <f t="shared" si="75"/>
        <v>0</v>
      </c>
      <c r="BE16" s="59"/>
      <c r="BF16" s="67">
        <f t="shared" si="76"/>
        <v>0</v>
      </c>
      <c r="BG16" s="60"/>
      <c r="BH16" s="65">
        <f t="shared" si="77"/>
        <v>0</v>
      </c>
      <c r="BI16" s="60"/>
      <c r="BJ16" s="65">
        <f t="shared" si="78"/>
        <v>0</v>
      </c>
      <c r="BK16" s="60"/>
      <c r="BL16" s="65">
        <f t="shared" si="79"/>
        <v>0</v>
      </c>
      <c r="BM16" s="60"/>
      <c r="BN16" s="65">
        <f t="shared" si="80"/>
        <v>0</v>
      </c>
      <c r="BO16" s="60"/>
      <c r="BP16" s="65">
        <f t="shared" si="81"/>
        <v>0</v>
      </c>
      <c r="BQ16" s="60"/>
      <c r="BR16" s="65">
        <f t="shared" si="82"/>
        <v>0</v>
      </c>
      <c r="BS16" s="60"/>
      <c r="BT16" s="65">
        <f t="shared" si="83"/>
        <v>0</v>
      </c>
      <c r="BU16" s="60"/>
      <c r="BV16" s="65">
        <f t="shared" si="84"/>
        <v>0</v>
      </c>
      <c r="BW16" s="60"/>
      <c r="BX16" s="65">
        <f t="shared" si="85"/>
        <v>0</v>
      </c>
      <c r="BY16" s="60"/>
      <c r="BZ16" s="67">
        <f t="shared" si="86"/>
        <v>0</v>
      </c>
      <c r="CA16" s="60"/>
      <c r="CB16" s="67">
        <f t="shared" si="87"/>
        <v>0</v>
      </c>
      <c r="CC16" s="60"/>
      <c r="CD16" s="67">
        <f t="shared" si="88"/>
        <v>0</v>
      </c>
      <c r="CE16" s="60"/>
      <c r="CF16" s="67">
        <f t="shared" si="89"/>
        <v>0</v>
      </c>
      <c r="CG16" s="60"/>
      <c r="CH16" s="67">
        <f t="shared" si="90"/>
        <v>0</v>
      </c>
      <c r="CI16" s="60"/>
      <c r="CJ16" s="67">
        <f t="shared" si="91"/>
        <v>0</v>
      </c>
      <c r="CK16" s="60"/>
      <c r="CL16" s="64">
        <f t="shared" si="92"/>
        <v>0</v>
      </c>
      <c r="CM16" s="65">
        <f t="shared" si="93"/>
        <v>0</v>
      </c>
      <c r="CN16" s="62"/>
      <c r="CO16" s="62"/>
      <c r="CP16" s="68"/>
      <c r="CQ16" s="67">
        <f t="shared" si="94"/>
        <v>0</v>
      </c>
      <c r="CR16" s="68"/>
      <c r="CS16" s="67">
        <f t="shared" si="95"/>
        <v>0</v>
      </c>
      <c r="CT16" s="75"/>
      <c r="CU16" s="67">
        <f t="shared" si="96"/>
        <v>0</v>
      </c>
      <c r="CV16" s="68"/>
      <c r="CW16" s="67">
        <f t="shared" si="97"/>
        <v>0</v>
      </c>
      <c r="CX16" s="58"/>
      <c r="CY16" s="67">
        <f t="shared" si="98"/>
        <v>0</v>
      </c>
    </row>
    <row r="17" spans="1:103" ht="25.5" customHeight="1" thickBot="1" x14ac:dyDescent="0.45">
      <c r="A17" s="63">
        <v>44787</v>
      </c>
      <c r="B17" s="44"/>
      <c r="C17" s="58"/>
      <c r="D17" s="64">
        <f t="shared" si="50"/>
        <v>0</v>
      </c>
      <c r="E17" s="58"/>
      <c r="F17" s="64">
        <f t="shared" si="99"/>
        <v>0</v>
      </c>
      <c r="G17" s="58"/>
      <c r="H17" s="64">
        <f t="shared" si="51"/>
        <v>0</v>
      </c>
      <c r="I17" s="58"/>
      <c r="J17" s="64">
        <f t="shared" si="52"/>
        <v>0</v>
      </c>
      <c r="K17" s="58"/>
      <c r="L17" s="64">
        <f t="shared" si="53"/>
        <v>0</v>
      </c>
      <c r="M17" s="58"/>
      <c r="N17" s="64">
        <f t="shared" si="54"/>
        <v>0</v>
      </c>
      <c r="O17" s="58"/>
      <c r="P17" s="67">
        <f t="shared" si="55"/>
        <v>0</v>
      </c>
      <c r="Q17" s="58"/>
      <c r="R17" s="67">
        <f t="shared" si="56"/>
        <v>0</v>
      </c>
      <c r="S17" s="58"/>
      <c r="T17" s="67">
        <f t="shared" si="57"/>
        <v>0</v>
      </c>
      <c r="U17" s="58"/>
      <c r="V17" s="67">
        <f t="shared" si="58"/>
        <v>0</v>
      </c>
      <c r="W17" s="58"/>
      <c r="X17" s="65">
        <f t="shared" si="59"/>
        <v>0</v>
      </c>
      <c r="Y17" s="58"/>
      <c r="Z17" s="65">
        <f t="shared" si="60"/>
        <v>0</v>
      </c>
      <c r="AA17" s="58"/>
      <c r="AB17" s="65">
        <f t="shared" si="61"/>
        <v>0</v>
      </c>
      <c r="AC17" s="58"/>
      <c r="AD17" s="65">
        <f t="shared" si="62"/>
        <v>0</v>
      </c>
      <c r="AE17" s="58"/>
      <c r="AF17" s="65">
        <f t="shared" si="63"/>
        <v>0</v>
      </c>
      <c r="AG17" s="58"/>
      <c r="AH17" s="67">
        <f t="shared" si="64"/>
        <v>0</v>
      </c>
      <c r="AI17" s="58"/>
      <c r="AJ17" s="65">
        <f t="shared" si="65"/>
        <v>0</v>
      </c>
      <c r="AK17" s="58"/>
      <c r="AL17" s="65">
        <f t="shared" si="66"/>
        <v>0</v>
      </c>
      <c r="AM17" s="58"/>
      <c r="AN17" s="65">
        <f t="shared" si="67"/>
        <v>0</v>
      </c>
      <c r="AO17" s="58"/>
      <c r="AP17" s="65">
        <f t="shared" si="68"/>
        <v>0</v>
      </c>
      <c r="AQ17" s="58"/>
      <c r="AR17" s="65">
        <f t="shared" si="69"/>
        <v>0</v>
      </c>
      <c r="AS17" s="58"/>
      <c r="AT17" s="65">
        <f t="shared" si="70"/>
        <v>0</v>
      </c>
      <c r="AU17" s="58"/>
      <c r="AV17" s="65">
        <f t="shared" si="71"/>
        <v>0</v>
      </c>
      <c r="AW17" s="58"/>
      <c r="AX17" s="65">
        <f t="shared" si="72"/>
        <v>0</v>
      </c>
      <c r="AY17" s="58"/>
      <c r="AZ17" s="65">
        <f t="shared" si="73"/>
        <v>0</v>
      </c>
      <c r="BA17" s="58"/>
      <c r="BB17" s="65">
        <f t="shared" si="74"/>
        <v>0</v>
      </c>
      <c r="BC17" s="58"/>
      <c r="BD17" s="65">
        <f t="shared" si="75"/>
        <v>0</v>
      </c>
      <c r="BE17" s="59"/>
      <c r="BF17" s="67">
        <f t="shared" si="76"/>
        <v>0</v>
      </c>
      <c r="BG17" s="60"/>
      <c r="BH17" s="65">
        <f t="shared" si="77"/>
        <v>0</v>
      </c>
      <c r="BI17" s="60"/>
      <c r="BJ17" s="65">
        <f t="shared" si="78"/>
        <v>0</v>
      </c>
      <c r="BK17" s="60"/>
      <c r="BL17" s="65">
        <f t="shared" si="79"/>
        <v>0</v>
      </c>
      <c r="BM17" s="60"/>
      <c r="BN17" s="65">
        <f t="shared" si="80"/>
        <v>0</v>
      </c>
      <c r="BO17" s="60"/>
      <c r="BP17" s="65">
        <f t="shared" si="81"/>
        <v>0</v>
      </c>
      <c r="BQ17" s="60"/>
      <c r="BR17" s="65">
        <f t="shared" si="82"/>
        <v>0</v>
      </c>
      <c r="BS17" s="60"/>
      <c r="BT17" s="65">
        <f t="shared" si="83"/>
        <v>0</v>
      </c>
      <c r="BU17" s="60"/>
      <c r="BV17" s="65">
        <f t="shared" si="84"/>
        <v>0</v>
      </c>
      <c r="BW17" s="60"/>
      <c r="BX17" s="65">
        <f t="shared" si="85"/>
        <v>0</v>
      </c>
      <c r="BY17" s="60"/>
      <c r="BZ17" s="67">
        <f t="shared" si="86"/>
        <v>0</v>
      </c>
      <c r="CA17" s="60"/>
      <c r="CB17" s="67">
        <f t="shared" si="87"/>
        <v>0</v>
      </c>
      <c r="CC17" s="60"/>
      <c r="CD17" s="67">
        <f t="shared" si="88"/>
        <v>0</v>
      </c>
      <c r="CE17" s="60"/>
      <c r="CF17" s="67">
        <f t="shared" si="89"/>
        <v>0</v>
      </c>
      <c r="CG17" s="60"/>
      <c r="CH17" s="67">
        <f t="shared" si="90"/>
        <v>0</v>
      </c>
      <c r="CI17" s="60"/>
      <c r="CJ17" s="67">
        <f t="shared" si="91"/>
        <v>0</v>
      </c>
      <c r="CK17" s="60"/>
      <c r="CL17" s="64">
        <f t="shared" si="92"/>
        <v>0</v>
      </c>
      <c r="CM17" s="65">
        <f t="shared" si="93"/>
        <v>0</v>
      </c>
      <c r="CN17" s="62"/>
      <c r="CO17" s="62"/>
      <c r="CP17" s="68"/>
      <c r="CQ17" s="67">
        <f t="shared" si="94"/>
        <v>0</v>
      </c>
      <c r="CR17" s="68"/>
      <c r="CS17" s="67">
        <f t="shared" si="95"/>
        <v>0</v>
      </c>
      <c r="CT17" s="75"/>
      <c r="CU17" s="67">
        <f t="shared" si="96"/>
        <v>0</v>
      </c>
      <c r="CV17" s="68"/>
      <c r="CW17" s="67">
        <f t="shared" si="97"/>
        <v>0</v>
      </c>
      <c r="CX17" s="58"/>
      <c r="CY17" s="67">
        <f t="shared" si="98"/>
        <v>0</v>
      </c>
    </row>
    <row r="18" spans="1:103" ht="25.5" customHeight="1" thickBot="1" x14ac:dyDescent="0.45">
      <c r="A18" s="63">
        <v>44788</v>
      </c>
      <c r="B18" s="44"/>
      <c r="C18" s="58"/>
      <c r="D18" s="64">
        <f t="shared" si="50"/>
        <v>0</v>
      </c>
      <c r="E18" s="58"/>
      <c r="F18" s="64">
        <f t="shared" si="99"/>
        <v>0</v>
      </c>
      <c r="G18" s="58"/>
      <c r="H18" s="64">
        <f t="shared" si="51"/>
        <v>0</v>
      </c>
      <c r="I18" s="58"/>
      <c r="J18" s="64">
        <f t="shared" si="52"/>
        <v>0</v>
      </c>
      <c r="K18" s="58"/>
      <c r="L18" s="64">
        <f t="shared" si="53"/>
        <v>0</v>
      </c>
      <c r="M18" s="58"/>
      <c r="N18" s="64">
        <f t="shared" si="54"/>
        <v>0</v>
      </c>
      <c r="O18" s="58"/>
      <c r="P18" s="67">
        <f t="shared" si="55"/>
        <v>0</v>
      </c>
      <c r="Q18" s="58"/>
      <c r="R18" s="67">
        <f t="shared" si="56"/>
        <v>0</v>
      </c>
      <c r="S18" s="58"/>
      <c r="T18" s="67">
        <f t="shared" si="57"/>
        <v>0</v>
      </c>
      <c r="U18" s="58"/>
      <c r="V18" s="67">
        <f t="shared" si="58"/>
        <v>0</v>
      </c>
      <c r="W18" s="58"/>
      <c r="X18" s="65">
        <f t="shared" si="59"/>
        <v>0</v>
      </c>
      <c r="Y18" s="58"/>
      <c r="Z18" s="65">
        <f t="shared" si="60"/>
        <v>0</v>
      </c>
      <c r="AA18" s="58"/>
      <c r="AB18" s="65">
        <f t="shared" si="61"/>
        <v>0</v>
      </c>
      <c r="AC18" s="58"/>
      <c r="AD18" s="65">
        <f t="shared" si="62"/>
        <v>0</v>
      </c>
      <c r="AE18" s="58"/>
      <c r="AF18" s="65">
        <f t="shared" si="63"/>
        <v>0</v>
      </c>
      <c r="AG18" s="58"/>
      <c r="AH18" s="67">
        <f t="shared" si="64"/>
        <v>0</v>
      </c>
      <c r="AI18" s="58"/>
      <c r="AJ18" s="65">
        <f t="shared" si="65"/>
        <v>0</v>
      </c>
      <c r="AK18" s="58"/>
      <c r="AL18" s="65">
        <f t="shared" si="66"/>
        <v>0</v>
      </c>
      <c r="AM18" s="58"/>
      <c r="AN18" s="65">
        <f t="shared" si="67"/>
        <v>0</v>
      </c>
      <c r="AO18" s="58"/>
      <c r="AP18" s="65">
        <f t="shared" si="68"/>
        <v>0</v>
      </c>
      <c r="AQ18" s="58"/>
      <c r="AR18" s="65">
        <f t="shared" si="69"/>
        <v>0</v>
      </c>
      <c r="AS18" s="58"/>
      <c r="AT18" s="65">
        <f t="shared" si="70"/>
        <v>0</v>
      </c>
      <c r="AU18" s="58"/>
      <c r="AV18" s="65">
        <f t="shared" si="71"/>
        <v>0</v>
      </c>
      <c r="AW18" s="58"/>
      <c r="AX18" s="65">
        <f t="shared" si="72"/>
        <v>0</v>
      </c>
      <c r="AY18" s="58"/>
      <c r="AZ18" s="65">
        <f t="shared" si="73"/>
        <v>0</v>
      </c>
      <c r="BA18" s="58"/>
      <c r="BB18" s="65">
        <f t="shared" si="74"/>
        <v>0</v>
      </c>
      <c r="BC18" s="58"/>
      <c r="BD18" s="65">
        <f t="shared" si="75"/>
        <v>0</v>
      </c>
      <c r="BE18" s="59"/>
      <c r="BF18" s="67">
        <f t="shared" si="76"/>
        <v>0</v>
      </c>
      <c r="BG18" s="60"/>
      <c r="BH18" s="65">
        <f t="shared" si="77"/>
        <v>0</v>
      </c>
      <c r="BI18" s="60"/>
      <c r="BJ18" s="65">
        <f t="shared" si="78"/>
        <v>0</v>
      </c>
      <c r="BK18" s="60"/>
      <c r="BL18" s="65">
        <f t="shared" si="79"/>
        <v>0</v>
      </c>
      <c r="BM18" s="60"/>
      <c r="BN18" s="65">
        <f t="shared" si="80"/>
        <v>0</v>
      </c>
      <c r="BO18" s="60"/>
      <c r="BP18" s="65">
        <f t="shared" si="81"/>
        <v>0</v>
      </c>
      <c r="BQ18" s="60"/>
      <c r="BR18" s="65">
        <f t="shared" si="82"/>
        <v>0</v>
      </c>
      <c r="BS18" s="60"/>
      <c r="BT18" s="65">
        <f t="shared" si="83"/>
        <v>0</v>
      </c>
      <c r="BU18" s="60"/>
      <c r="BV18" s="65">
        <f t="shared" si="84"/>
        <v>0</v>
      </c>
      <c r="BW18" s="60"/>
      <c r="BX18" s="65">
        <f t="shared" si="85"/>
        <v>0</v>
      </c>
      <c r="BY18" s="60"/>
      <c r="BZ18" s="67">
        <f t="shared" si="86"/>
        <v>0</v>
      </c>
      <c r="CA18" s="60"/>
      <c r="CB18" s="67">
        <f t="shared" si="87"/>
        <v>0</v>
      </c>
      <c r="CC18" s="60"/>
      <c r="CD18" s="67">
        <f t="shared" si="88"/>
        <v>0</v>
      </c>
      <c r="CE18" s="60"/>
      <c r="CF18" s="67">
        <f t="shared" si="89"/>
        <v>0</v>
      </c>
      <c r="CG18" s="60"/>
      <c r="CH18" s="67">
        <f t="shared" si="90"/>
        <v>0</v>
      </c>
      <c r="CI18" s="60"/>
      <c r="CJ18" s="67">
        <f t="shared" si="91"/>
        <v>0</v>
      </c>
      <c r="CK18" s="60"/>
      <c r="CL18" s="64">
        <f t="shared" si="92"/>
        <v>0</v>
      </c>
      <c r="CM18" s="65">
        <f t="shared" si="93"/>
        <v>0</v>
      </c>
      <c r="CN18" s="62"/>
      <c r="CO18" s="62"/>
      <c r="CP18" s="68"/>
      <c r="CQ18" s="67">
        <f t="shared" si="94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44789</v>
      </c>
      <c r="B19" s="44"/>
      <c r="C19" s="58"/>
      <c r="D19" s="64">
        <f t="shared" si="50"/>
        <v>0</v>
      </c>
      <c r="E19" s="58"/>
      <c r="F19" s="64">
        <f t="shared" si="99"/>
        <v>0</v>
      </c>
      <c r="G19" s="58"/>
      <c r="H19" s="64">
        <f t="shared" si="51"/>
        <v>0</v>
      </c>
      <c r="I19" s="58"/>
      <c r="J19" s="64">
        <f t="shared" si="52"/>
        <v>0</v>
      </c>
      <c r="K19" s="58"/>
      <c r="L19" s="64">
        <f t="shared" si="53"/>
        <v>0</v>
      </c>
      <c r="M19" s="58"/>
      <c r="N19" s="64">
        <f t="shared" si="54"/>
        <v>0</v>
      </c>
      <c r="O19" s="58"/>
      <c r="P19" s="67">
        <f t="shared" si="55"/>
        <v>0</v>
      </c>
      <c r="Q19" s="58"/>
      <c r="R19" s="67">
        <f t="shared" si="56"/>
        <v>0</v>
      </c>
      <c r="S19" s="58"/>
      <c r="T19" s="67">
        <f t="shared" si="57"/>
        <v>0</v>
      </c>
      <c r="U19" s="58"/>
      <c r="V19" s="67">
        <f t="shared" si="58"/>
        <v>0</v>
      </c>
      <c r="W19" s="58"/>
      <c r="X19" s="65">
        <f t="shared" si="59"/>
        <v>0</v>
      </c>
      <c r="Y19" s="58"/>
      <c r="Z19" s="65">
        <f t="shared" si="60"/>
        <v>0</v>
      </c>
      <c r="AA19" s="58"/>
      <c r="AB19" s="65">
        <f t="shared" si="61"/>
        <v>0</v>
      </c>
      <c r="AC19" s="58"/>
      <c r="AD19" s="65">
        <f t="shared" si="62"/>
        <v>0</v>
      </c>
      <c r="AE19" s="58"/>
      <c r="AF19" s="65">
        <f t="shared" si="63"/>
        <v>0</v>
      </c>
      <c r="AG19" s="58"/>
      <c r="AH19" s="67">
        <f t="shared" si="64"/>
        <v>0</v>
      </c>
      <c r="AI19" s="58"/>
      <c r="AJ19" s="65">
        <f t="shared" si="65"/>
        <v>0</v>
      </c>
      <c r="AK19" s="58"/>
      <c r="AL19" s="65">
        <f t="shared" si="66"/>
        <v>0</v>
      </c>
      <c r="AM19" s="58"/>
      <c r="AN19" s="65">
        <f t="shared" si="67"/>
        <v>0</v>
      </c>
      <c r="AO19" s="58"/>
      <c r="AP19" s="65">
        <f t="shared" si="68"/>
        <v>0</v>
      </c>
      <c r="AQ19" s="58"/>
      <c r="AR19" s="65">
        <f t="shared" si="69"/>
        <v>0</v>
      </c>
      <c r="AS19" s="58"/>
      <c r="AT19" s="65">
        <f t="shared" si="70"/>
        <v>0</v>
      </c>
      <c r="AU19" s="58"/>
      <c r="AV19" s="65">
        <f t="shared" si="71"/>
        <v>0</v>
      </c>
      <c r="AW19" s="58"/>
      <c r="AX19" s="65">
        <f t="shared" si="72"/>
        <v>0</v>
      </c>
      <c r="AY19" s="58"/>
      <c r="AZ19" s="65">
        <f t="shared" si="73"/>
        <v>0</v>
      </c>
      <c r="BA19" s="58"/>
      <c r="BB19" s="65">
        <f t="shared" si="74"/>
        <v>0</v>
      </c>
      <c r="BC19" s="58"/>
      <c r="BD19" s="65">
        <f t="shared" si="75"/>
        <v>0</v>
      </c>
      <c r="BE19" s="59"/>
      <c r="BF19" s="67">
        <f t="shared" si="76"/>
        <v>0</v>
      </c>
      <c r="BG19" s="60"/>
      <c r="BH19" s="65">
        <f t="shared" si="77"/>
        <v>0</v>
      </c>
      <c r="BI19" s="60"/>
      <c r="BJ19" s="65">
        <f t="shared" si="78"/>
        <v>0</v>
      </c>
      <c r="BK19" s="60"/>
      <c r="BL19" s="65">
        <f t="shared" si="79"/>
        <v>0</v>
      </c>
      <c r="BM19" s="60"/>
      <c r="BN19" s="65">
        <f t="shared" si="80"/>
        <v>0</v>
      </c>
      <c r="BO19" s="60"/>
      <c r="BP19" s="65">
        <f t="shared" si="81"/>
        <v>0</v>
      </c>
      <c r="BQ19" s="60"/>
      <c r="BR19" s="65">
        <f t="shared" si="82"/>
        <v>0</v>
      </c>
      <c r="BS19" s="60"/>
      <c r="BT19" s="65">
        <f t="shared" si="83"/>
        <v>0</v>
      </c>
      <c r="BU19" s="60"/>
      <c r="BV19" s="65">
        <f t="shared" si="84"/>
        <v>0</v>
      </c>
      <c r="BW19" s="60"/>
      <c r="BX19" s="65">
        <f t="shared" si="85"/>
        <v>0</v>
      </c>
      <c r="BY19" s="60"/>
      <c r="BZ19" s="67">
        <f t="shared" si="86"/>
        <v>0</v>
      </c>
      <c r="CA19" s="60"/>
      <c r="CB19" s="67">
        <f t="shared" si="87"/>
        <v>0</v>
      </c>
      <c r="CC19" s="60"/>
      <c r="CD19" s="67">
        <f t="shared" si="88"/>
        <v>0</v>
      </c>
      <c r="CE19" s="60"/>
      <c r="CF19" s="67">
        <f t="shared" si="89"/>
        <v>0</v>
      </c>
      <c r="CG19" s="60"/>
      <c r="CH19" s="67">
        <f t="shared" si="90"/>
        <v>0</v>
      </c>
      <c r="CI19" s="60"/>
      <c r="CJ19" s="67">
        <f t="shared" si="91"/>
        <v>0</v>
      </c>
      <c r="CK19" s="60"/>
      <c r="CL19" s="64">
        <f t="shared" si="92"/>
        <v>0</v>
      </c>
      <c r="CM19" s="65">
        <f t="shared" si="93"/>
        <v>0</v>
      </c>
      <c r="CN19" s="62"/>
      <c r="CO19" s="62"/>
      <c r="CP19" s="68"/>
      <c r="CQ19" s="67">
        <f t="shared" si="94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44790</v>
      </c>
      <c r="B20" s="44"/>
      <c r="C20" s="58"/>
      <c r="D20" s="64">
        <f t="shared" si="50"/>
        <v>0</v>
      </c>
      <c r="E20" s="58"/>
      <c r="F20" s="64">
        <f t="shared" si="99"/>
        <v>0</v>
      </c>
      <c r="G20" s="58"/>
      <c r="H20" s="64">
        <f t="shared" si="51"/>
        <v>0</v>
      </c>
      <c r="I20" s="58"/>
      <c r="J20" s="64">
        <f t="shared" si="52"/>
        <v>0</v>
      </c>
      <c r="K20" s="58"/>
      <c r="L20" s="64">
        <f t="shared" si="53"/>
        <v>0</v>
      </c>
      <c r="M20" s="58"/>
      <c r="N20" s="64">
        <f t="shared" si="54"/>
        <v>0</v>
      </c>
      <c r="O20" s="58"/>
      <c r="P20" s="67">
        <f t="shared" si="55"/>
        <v>0</v>
      </c>
      <c r="Q20" s="58"/>
      <c r="R20" s="67">
        <f t="shared" si="56"/>
        <v>0</v>
      </c>
      <c r="S20" s="58"/>
      <c r="T20" s="67">
        <f t="shared" si="57"/>
        <v>0</v>
      </c>
      <c r="U20" s="58"/>
      <c r="V20" s="67">
        <f t="shared" si="58"/>
        <v>0</v>
      </c>
      <c r="W20" s="58"/>
      <c r="X20" s="65">
        <f t="shared" si="59"/>
        <v>0</v>
      </c>
      <c r="Y20" s="58"/>
      <c r="Z20" s="65">
        <f t="shared" si="60"/>
        <v>0</v>
      </c>
      <c r="AA20" s="58"/>
      <c r="AB20" s="65">
        <f t="shared" si="61"/>
        <v>0</v>
      </c>
      <c r="AC20" s="58"/>
      <c r="AD20" s="65">
        <f t="shared" si="62"/>
        <v>0</v>
      </c>
      <c r="AE20" s="58"/>
      <c r="AF20" s="65">
        <f t="shared" si="63"/>
        <v>0</v>
      </c>
      <c r="AG20" s="58"/>
      <c r="AH20" s="67">
        <f t="shared" si="64"/>
        <v>0</v>
      </c>
      <c r="AI20" s="58"/>
      <c r="AJ20" s="65">
        <f t="shared" si="65"/>
        <v>0</v>
      </c>
      <c r="AK20" s="58"/>
      <c r="AL20" s="65">
        <f t="shared" si="66"/>
        <v>0</v>
      </c>
      <c r="AM20" s="58"/>
      <c r="AN20" s="65">
        <f t="shared" si="67"/>
        <v>0</v>
      </c>
      <c r="AO20" s="58"/>
      <c r="AP20" s="65">
        <f t="shared" si="68"/>
        <v>0</v>
      </c>
      <c r="AQ20" s="58"/>
      <c r="AR20" s="65">
        <f t="shared" si="69"/>
        <v>0</v>
      </c>
      <c r="AS20" s="58"/>
      <c r="AT20" s="65">
        <f t="shared" si="70"/>
        <v>0</v>
      </c>
      <c r="AU20" s="58"/>
      <c r="AV20" s="65">
        <f t="shared" si="71"/>
        <v>0</v>
      </c>
      <c r="AW20" s="58"/>
      <c r="AX20" s="65">
        <f t="shared" si="72"/>
        <v>0</v>
      </c>
      <c r="AY20" s="58"/>
      <c r="AZ20" s="65">
        <f t="shared" si="73"/>
        <v>0</v>
      </c>
      <c r="BA20" s="58"/>
      <c r="BB20" s="65">
        <f t="shared" si="74"/>
        <v>0</v>
      </c>
      <c r="BC20" s="58"/>
      <c r="BD20" s="65">
        <f t="shared" si="75"/>
        <v>0</v>
      </c>
      <c r="BE20" s="59"/>
      <c r="BF20" s="67">
        <f t="shared" si="76"/>
        <v>0</v>
      </c>
      <c r="BG20" s="60"/>
      <c r="BH20" s="65">
        <f t="shared" si="77"/>
        <v>0</v>
      </c>
      <c r="BI20" s="60"/>
      <c r="BJ20" s="65">
        <f t="shared" si="78"/>
        <v>0</v>
      </c>
      <c r="BK20" s="60"/>
      <c r="BL20" s="65">
        <f t="shared" si="79"/>
        <v>0</v>
      </c>
      <c r="BM20" s="60"/>
      <c r="BN20" s="65">
        <f t="shared" si="80"/>
        <v>0</v>
      </c>
      <c r="BO20" s="60"/>
      <c r="BP20" s="65">
        <f t="shared" si="81"/>
        <v>0</v>
      </c>
      <c r="BQ20" s="60"/>
      <c r="BR20" s="65">
        <f t="shared" si="82"/>
        <v>0</v>
      </c>
      <c r="BS20" s="60"/>
      <c r="BT20" s="65">
        <f t="shared" si="83"/>
        <v>0</v>
      </c>
      <c r="BU20" s="60"/>
      <c r="BV20" s="65">
        <f t="shared" si="84"/>
        <v>0</v>
      </c>
      <c r="BW20" s="60"/>
      <c r="BX20" s="65">
        <f t="shared" si="85"/>
        <v>0</v>
      </c>
      <c r="BY20" s="60"/>
      <c r="BZ20" s="67">
        <f t="shared" si="86"/>
        <v>0</v>
      </c>
      <c r="CA20" s="60"/>
      <c r="CB20" s="67">
        <f t="shared" si="87"/>
        <v>0</v>
      </c>
      <c r="CC20" s="60"/>
      <c r="CD20" s="67">
        <f t="shared" si="88"/>
        <v>0</v>
      </c>
      <c r="CE20" s="60"/>
      <c r="CF20" s="67">
        <f t="shared" si="89"/>
        <v>0</v>
      </c>
      <c r="CG20" s="60"/>
      <c r="CH20" s="67">
        <f t="shared" si="90"/>
        <v>0</v>
      </c>
      <c r="CI20" s="60"/>
      <c r="CJ20" s="67">
        <f t="shared" si="91"/>
        <v>0</v>
      </c>
      <c r="CK20" s="60"/>
      <c r="CL20" s="64">
        <f t="shared" si="92"/>
        <v>0</v>
      </c>
      <c r="CM20" s="65">
        <f t="shared" si="93"/>
        <v>0</v>
      </c>
      <c r="CN20" s="62"/>
      <c r="CO20" s="62"/>
      <c r="CP20" s="68"/>
      <c r="CQ20" s="67">
        <f t="shared" si="94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44791</v>
      </c>
      <c r="B21" s="44"/>
      <c r="C21" s="58"/>
      <c r="D21" s="64">
        <f t="shared" si="50"/>
        <v>0</v>
      </c>
      <c r="E21" s="58"/>
      <c r="F21" s="64">
        <f t="shared" si="99"/>
        <v>0</v>
      </c>
      <c r="G21" s="58"/>
      <c r="H21" s="64">
        <f t="shared" si="51"/>
        <v>0</v>
      </c>
      <c r="I21" s="58"/>
      <c r="J21" s="64">
        <f t="shared" si="52"/>
        <v>0</v>
      </c>
      <c r="K21" s="58"/>
      <c r="L21" s="64">
        <f t="shared" si="53"/>
        <v>0</v>
      </c>
      <c r="M21" s="58"/>
      <c r="N21" s="64">
        <f t="shared" si="54"/>
        <v>0</v>
      </c>
      <c r="O21" s="58"/>
      <c r="P21" s="67">
        <f t="shared" si="55"/>
        <v>0</v>
      </c>
      <c r="Q21" s="58"/>
      <c r="R21" s="67">
        <f t="shared" si="56"/>
        <v>0</v>
      </c>
      <c r="S21" s="58"/>
      <c r="T21" s="67">
        <f t="shared" si="57"/>
        <v>0</v>
      </c>
      <c r="U21" s="58"/>
      <c r="V21" s="67">
        <f t="shared" si="58"/>
        <v>0</v>
      </c>
      <c r="W21" s="58"/>
      <c r="X21" s="65">
        <f t="shared" si="59"/>
        <v>0</v>
      </c>
      <c r="Y21" s="58"/>
      <c r="Z21" s="65">
        <f t="shared" si="60"/>
        <v>0</v>
      </c>
      <c r="AA21" s="58"/>
      <c r="AB21" s="65">
        <f t="shared" si="61"/>
        <v>0</v>
      </c>
      <c r="AC21" s="58"/>
      <c r="AD21" s="65">
        <f t="shared" si="62"/>
        <v>0</v>
      </c>
      <c r="AE21" s="58"/>
      <c r="AF21" s="65">
        <f t="shared" si="63"/>
        <v>0</v>
      </c>
      <c r="AG21" s="58"/>
      <c r="AH21" s="67">
        <f t="shared" si="64"/>
        <v>0</v>
      </c>
      <c r="AI21" s="58"/>
      <c r="AJ21" s="65">
        <f t="shared" si="65"/>
        <v>0</v>
      </c>
      <c r="AK21" s="58"/>
      <c r="AL21" s="65">
        <f t="shared" si="66"/>
        <v>0</v>
      </c>
      <c r="AM21" s="58"/>
      <c r="AN21" s="65">
        <f t="shared" si="67"/>
        <v>0</v>
      </c>
      <c r="AO21" s="58"/>
      <c r="AP21" s="65">
        <f t="shared" si="68"/>
        <v>0</v>
      </c>
      <c r="AQ21" s="58"/>
      <c r="AR21" s="65">
        <f t="shared" si="69"/>
        <v>0</v>
      </c>
      <c r="AS21" s="58"/>
      <c r="AT21" s="65">
        <f t="shared" si="70"/>
        <v>0</v>
      </c>
      <c r="AU21" s="58"/>
      <c r="AV21" s="65">
        <f t="shared" si="71"/>
        <v>0</v>
      </c>
      <c r="AW21" s="58"/>
      <c r="AX21" s="65">
        <f t="shared" si="72"/>
        <v>0</v>
      </c>
      <c r="AY21" s="58"/>
      <c r="AZ21" s="65">
        <f t="shared" si="73"/>
        <v>0</v>
      </c>
      <c r="BA21" s="58"/>
      <c r="BB21" s="65">
        <f t="shared" si="74"/>
        <v>0</v>
      </c>
      <c r="BC21" s="58"/>
      <c r="BD21" s="65">
        <f t="shared" si="75"/>
        <v>0</v>
      </c>
      <c r="BE21" s="59"/>
      <c r="BF21" s="67">
        <f t="shared" si="76"/>
        <v>0</v>
      </c>
      <c r="BG21" s="60"/>
      <c r="BH21" s="65">
        <f t="shared" si="77"/>
        <v>0</v>
      </c>
      <c r="BI21" s="60"/>
      <c r="BJ21" s="65">
        <f t="shared" si="78"/>
        <v>0</v>
      </c>
      <c r="BK21" s="60"/>
      <c r="BL21" s="65">
        <f t="shared" si="79"/>
        <v>0</v>
      </c>
      <c r="BM21" s="60"/>
      <c r="BN21" s="65">
        <f t="shared" si="80"/>
        <v>0</v>
      </c>
      <c r="BO21" s="60"/>
      <c r="BP21" s="65">
        <f t="shared" si="81"/>
        <v>0</v>
      </c>
      <c r="BQ21" s="60"/>
      <c r="BR21" s="65">
        <f t="shared" si="82"/>
        <v>0</v>
      </c>
      <c r="BS21" s="60"/>
      <c r="BT21" s="65">
        <f t="shared" si="83"/>
        <v>0</v>
      </c>
      <c r="BU21" s="60"/>
      <c r="BV21" s="65">
        <f t="shared" si="84"/>
        <v>0</v>
      </c>
      <c r="BW21" s="60"/>
      <c r="BX21" s="65">
        <f t="shared" si="85"/>
        <v>0</v>
      </c>
      <c r="BY21" s="60"/>
      <c r="BZ21" s="67">
        <f t="shared" si="86"/>
        <v>0</v>
      </c>
      <c r="CA21" s="60"/>
      <c r="CB21" s="67">
        <f t="shared" si="87"/>
        <v>0</v>
      </c>
      <c r="CC21" s="60"/>
      <c r="CD21" s="67">
        <f t="shared" si="88"/>
        <v>0</v>
      </c>
      <c r="CE21" s="60"/>
      <c r="CF21" s="67">
        <f t="shared" si="89"/>
        <v>0</v>
      </c>
      <c r="CG21" s="60"/>
      <c r="CH21" s="67">
        <f t="shared" si="90"/>
        <v>0</v>
      </c>
      <c r="CI21" s="60"/>
      <c r="CJ21" s="67">
        <f t="shared" si="91"/>
        <v>0</v>
      </c>
      <c r="CK21" s="60"/>
      <c r="CL21" s="64">
        <f t="shared" si="92"/>
        <v>0</v>
      </c>
      <c r="CM21" s="65">
        <f t="shared" si="93"/>
        <v>0</v>
      </c>
      <c r="CN21" s="62"/>
      <c r="CO21" s="62"/>
      <c r="CP21" s="68"/>
      <c r="CQ21" s="67">
        <f t="shared" si="94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44792</v>
      </c>
      <c r="B22" s="44"/>
      <c r="C22" s="58"/>
      <c r="D22" s="64">
        <f t="shared" si="50"/>
        <v>0</v>
      </c>
      <c r="E22" s="58"/>
      <c r="F22" s="64">
        <f t="shared" si="99"/>
        <v>0</v>
      </c>
      <c r="G22" s="58"/>
      <c r="H22" s="64">
        <f t="shared" si="51"/>
        <v>0</v>
      </c>
      <c r="I22" s="58"/>
      <c r="J22" s="64">
        <f t="shared" si="52"/>
        <v>0</v>
      </c>
      <c r="K22" s="58"/>
      <c r="L22" s="64">
        <f t="shared" si="53"/>
        <v>0</v>
      </c>
      <c r="M22" s="58"/>
      <c r="N22" s="64">
        <f t="shared" si="54"/>
        <v>0</v>
      </c>
      <c r="O22" s="58"/>
      <c r="P22" s="67">
        <f t="shared" si="55"/>
        <v>0</v>
      </c>
      <c r="Q22" s="58"/>
      <c r="R22" s="67">
        <f t="shared" si="56"/>
        <v>0</v>
      </c>
      <c r="S22" s="58"/>
      <c r="T22" s="67">
        <f t="shared" si="57"/>
        <v>0</v>
      </c>
      <c r="U22" s="58"/>
      <c r="V22" s="67">
        <f t="shared" si="58"/>
        <v>0</v>
      </c>
      <c r="W22" s="58"/>
      <c r="X22" s="65">
        <f t="shared" si="59"/>
        <v>0</v>
      </c>
      <c r="Y22" s="58"/>
      <c r="Z22" s="65">
        <f t="shared" si="60"/>
        <v>0</v>
      </c>
      <c r="AA22" s="58"/>
      <c r="AB22" s="65">
        <f t="shared" si="61"/>
        <v>0</v>
      </c>
      <c r="AC22" s="58"/>
      <c r="AD22" s="65">
        <f t="shared" si="62"/>
        <v>0</v>
      </c>
      <c r="AE22" s="58"/>
      <c r="AF22" s="65">
        <f t="shared" si="63"/>
        <v>0</v>
      </c>
      <c r="AG22" s="58"/>
      <c r="AH22" s="67">
        <f t="shared" si="64"/>
        <v>0</v>
      </c>
      <c r="AI22" s="58"/>
      <c r="AJ22" s="65">
        <f t="shared" si="65"/>
        <v>0</v>
      </c>
      <c r="AK22" s="58"/>
      <c r="AL22" s="65">
        <f t="shared" si="66"/>
        <v>0</v>
      </c>
      <c r="AM22" s="58"/>
      <c r="AN22" s="65">
        <f t="shared" si="67"/>
        <v>0</v>
      </c>
      <c r="AO22" s="58"/>
      <c r="AP22" s="65">
        <f t="shared" si="68"/>
        <v>0</v>
      </c>
      <c r="AQ22" s="58"/>
      <c r="AR22" s="65">
        <f t="shared" si="69"/>
        <v>0</v>
      </c>
      <c r="AS22" s="58"/>
      <c r="AT22" s="65">
        <f t="shared" si="70"/>
        <v>0</v>
      </c>
      <c r="AU22" s="58"/>
      <c r="AV22" s="65">
        <f t="shared" si="71"/>
        <v>0</v>
      </c>
      <c r="AW22" s="58"/>
      <c r="AX22" s="65">
        <f t="shared" si="72"/>
        <v>0</v>
      </c>
      <c r="AY22" s="58"/>
      <c r="AZ22" s="65">
        <f t="shared" si="73"/>
        <v>0</v>
      </c>
      <c r="BA22" s="58"/>
      <c r="BB22" s="65">
        <f t="shared" si="74"/>
        <v>0</v>
      </c>
      <c r="BC22" s="58"/>
      <c r="BD22" s="65">
        <f t="shared" si="75"/>
        <v>0</v>
      </c>
      <c r="BE22" s="59"/>
      <c r="BF22" s="67">
        <f t="shared" si="76"/>
        <v>0</v>
      </c>
      <c r="BG22" s="60"/>
      <c r="BH22" s="65">
        <f t="shared" si="77"/>
        <v>0</v>
      </c>
      <c r="BI22" s="60"/>
      <c r="BJ22" s="65">
        <f t="shared" si="78"/>
        <v>0</v>
      </c>
      <c r="BK22" s="60"/>
      <c r="BL22" s="65">
        <f t="shared" si="79"/>
        <v>0</v>
      </c>
      <c r="BM22" s="60"/>
      <c r="BN22" s="65">
        <f t="shared" si="80"/>
        <v>0</v>
      </c>
      <c r="BO22" s="60"/>
      <c r="BP22" s="65">
        <f t="shared" si="81"/>
        <v>0</v>
      </c>
      <c r="BQ22" s="60"/>
      <c r="BR22" s="65">
        <f t="shared" si="82"/>
        <v>0</v>
      </c>
      <c r="BS22" s="60"/>
      <c r="BT22" s="65">
        <f t="shared" si="83"/>
        <v>0</v>
      </c>
      <c r="BU22" s="60"/>
      <c r="BV22" s="65">
        <f t="shared" si="84"/>
        <v>0</v>
      </c>
      <c r="BW22" s="60"/>
      <c r="BX22" s="65">
        <f t="shared" si="85"/>
        <v>0</v>
      </c>
      <c r="BY22" s="60"/>
      <c r="BZ22" s="67">
        <f t="shared" si="86"/>
        <v>0</v>
      </c>
      <c r="CA22" s="60"/>
      <c r="CB22" s="67">
        <f t="shared" si="87"/>
        <v>0</v>
      </c>
      <c r="CC22" s="60"/>
      <c r="CD22" s="67">
        <f t="shared" si="88"/>
        <v>0</v>
      </c>
      <c r="CE22" s="60"/>
      <c r="CF22" s="67">
        <f t="shared" si="89"/>
        <v>0</v>
      </c>
      <c r="CG22" s="60"/>
      <c r="CH22" s="67">
        <f t="shared" si="90"/>
        <v>0</v>
      </c>
      <c r="CI22" s="60"/>
      <c r="CJ22" s="67">
        <f t="shared" si="91"/>
        <v>0</v>
      </c>
      <c r="CK22" s="60"/>
      <c r="CL22" s="64">
        <f t="shared" si="92"/>
        <v>0</v>
      </c>
      <c r="CM22" s="65">
        <f t="shared" si="93"/>
        <v>0</v>
      </c>
      <c r="CN22" s="62"/>
      <c r="CO22" s="62"/>
      <c r="CP22" s="68"/>
      <c r="CQ22" s="67">
        <f t="shared" si="94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44793</v>
      </c>
      <c r="B23" s="44"/>
      <c r="C23" s="58"/>
      <c r="D23" s="64">
        <f t="shared" si="50"/>
        <v>0</v>
      </c>
      <c r="E23" s="58"/>
      <c r="F23" s="64">
        <f t="shared" si="99"/>
        <v>0</v>
      </c>
      <c r="G23" s="58"/>
      <c r="H23" s="64">
        <f t="shared" si="51"/>
        <v>0</v>
      </c>
      <c r="I23" s="58"/>
      <c r="J23" s="64">
        <f t="shared" si="52"/>
        <v>0</v>
      </c>
      <c r="K23" s="58"/>
      <c r="L23" s="64">
        <f t="shared" si="53"/>
        <v>0</v>
      </c>
      <c r="M23" s="58"/>
      <c r="N23" s="64">
        <f t="shared" si="54"/>
        <v>0</v>
      </c>
      <c r="O23" s="58"/>
      <c r="P23" s="67">
        <f t="shared" si="55"/>
        <v>0</v>
      </c>
      <c r="Q23" s="58"/>
      <c r="R23" s="67">
        <f t="shared" si="56"/>
        <v>0</v>
      </c>
      <c r="S23" s="58"/>
      <c r="T23" s="67">
        <f t="shared" si="57"/>
        <v>0</v>
      </c>
      <c r="U23" s="58"/>
      <c r="V23" s="67">
        <f t="shared" si="58"/>
        <v>0</v>
      </c>
      <c r="W23" s="58"/>
      <c r="X23" s="65">
        <f t="shared" si="59"/>
        <v>0</v>
      </c>
      <c r="Y23" s="58"/>
      <c r="Z23" s="65">
        <f t="shared" si="60"/>
        <v>0</v>
      </c>
      <c r="AA23" s="58"/>
      <c r="AB23" s="65">
        <f t="shared" si="61"/>
        <v>0</v>
      </c>
      <c r="AC23" s="58"/>
      <c r="AD23" s="65">
        <f t="shared" si="62"/>
        <v>0</v>
      </c>
      <c r="AE23" s="58"/>
      <c r="AF23" s="65">
        <f t="shared" si="63"/>
        <v>0</v>
      </c>
      <c r="AG23" s="58"/>
      <c r="AH23" s="67">
        <f t="shared" si="64"/>
        <v>0</v>
      </c>
      <c r="AI23" s="58"/>
      <c r="AJ23" s="65">
        <f t="shared" si="65"/>
        <v>0</v>
      </c>
      <c r="AK23" s="58"/>
      <c r="AL23" s="65">
        <f t="shared" si="66"/>
        <v>0</v>
      </c>
      <c r="AM23" s="58"/>
      <c r="AN23" s="65">
        <f t="shared" si="67"/>
        <v>0</v>
      </c>
      <c r="AO23" s="58"/>
      <c r="AP23" s="65">
        <f t="shared" si="68"/>
        <v>0</v>
      </c>
      <c r="AQ23" s="58"/>
      <c r="AR23" s="65">
        <f t="shared" si="69"/>
        <v>0</v>
      </c>
      <c r="AS23" s="58"/>
      <c r="AT23" s="65">
        <f t="shared" si="70"/>
        <v>0</v>
      </c>
      <c r="AU23" s="58"/>
      <c r="AV23" s="65">
        <f t="shared" si="71"/>
        <v>0</v>
      </c>
      <c r="AW23" s="58"/>
      <c r="AX23" s="65">
        <f t="shared" si="72"/>
        <v>0</v>
      </c>
      <c r="AY23" s="58"/>
      <c r="AZ23" s="65">
        <f t="shared" si="73"/>
        <v>0</v>
      </c>
      <c r="BA23" s="58"/>
      <c r="BB23" s="65">
        <f t="shared" si="74"/>
        <v>0</v>
      </c>
      <c r="BC23" s="58"/>
      <c r="BD23" s="65">
        <f t="shared" si="75"/>
        <v>0</v>
      </c>
      <c r="BE23" s="59"/>
      <c r="BF23" s="67">
        <f t="shared" si="76"/>
        <v>0</v>
      </c>
      <c r="BG23" s="60"/>
      <c r="BH23" s="65">
        <f t="shared" si="77"/>
        <v>0</v>
      </c>
      <c r="BI23" s="60"/>
      <c r="BJ23" s="65">
        <f t="shared" si="78"/>
        <v>0</v>
      </c>
      <c r="BK23" s="60"/>
      <c r="BL23" s="65">
        <f t="shared" si="79"/>
        <v>0</v>
      </c>
      <c r="BM23" s="60"/>
      <c r="BN23" s="65">
        <f t="shared" si="80"/>
        <v>0</v>
      </c>
      <c r="BO23" s="60"/>
      <c r="BP23" s="65">
        <f t="shared" si="81"/>
        <v>0</v>
      </c>
      <c r="BQ23" s="60"/>
      <c r="BR23" s="65">
        <f t="shared" si="82"/>
        <v>0</v>
      </c>
      <c r="BS23" s="60"/>
      <c r="BT23" s="65">
        <f t="shared" si="83"/>
        <v>0</v>
      </c>
      <c r="BU23" s="60"/>
      <c r="BV23" s="65">
        <f t="shared" si="84"/>
        <v>0</v>
      </c>
      <c r="BW23" s="60"/>
      <c r="BX23" s="65">
        <f t="shared" si="85"/>
        <v>0</v>
      </c>
      <c r="BY23" s="60"/>
      <c r="BZ23" s="67">
        <f t="shared" si="86"/>
        <v>0</v>
      </c>
      <c r="CA23" s="60"/>
      <c r="CB23" s="67">
        <f t="shared" si="87"/>
        <v>0</v>
      </c>
      <c r="CC23" s="60"/>
      <c r="CD23" s="67">
        <f t="shared" si="88"/>
        <v>0</v>
      </c>
      <c r="CE23" s="60"/>
      <c r="CF23" s="67">
        <f t="shared" si="89"/>
        <v>0</v>
      </c>
      <c r="CG23" s="60"/>
      <c r="CH23" s="67">
        <f t="shared" si="90"/>
        <v>0</v>
      </c>
      <c r="CI23" s="60"/>
      <c r="CJ23" s="67">
        <f t="shared" si="91"/>
        <v>0</v>
      </c>
      <c r="CK23" s="60"/>
      <c r="CL23" s="64">
        <f t="shared" si="92"/>
        <v>0</v>
      </c>
      <c r="CM23" s="65">
        <f>CQ23+CS23</f>
        <v>0</v>
      </c>
      <c r="CN23" s="62"/>
      <c r="CO23" s="62"/>
      <c r="CP23" s="68"/>
      <c r="CQ23" s="67">
        <f t="shared" si="94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44794</v>
      </c>
      <c r="B24" s="44"/>
      <c r="C24" s="58"/>
      <c r="D24" s="64">
        <f t="shared" si="50"/>
        <v>0</v>
      </c>
      <c r="E24" s="58"/>
      <c r="F24" s="64">
        <f t="shared" si="99"/>
        <v>0</v>
      </c>
      <c r="G24" s="58"/>
      <c r="H24" s="64">
        <f t="shared" si="51"/>
        <v>0</v>
      </c>
      <c r="I24" s="58"/>
      <c r="J24" s="64">
        <f t="shared" si="52"/>
        <v>0</v>
      </c>
      <c r="K24" s="58"/>
      <c r="L24" s="64">
        <f t="shared" si="53"/>
        <v>0</v>
      </c>
      <c r="M24" s="58"/>
      <c r="N24" s="64">
        <f t="shared" si="54"/>
        <v>0</v>
      </c>
      <c r="O24" s="58"/>
      <c r="P24" s="67">
        <f t="shared" si="55"/>
        <v>0</v>
      </c>
      <c r="Q24" s="58"/>
      <c r="R24" s="67">
        <f t="shared" si="56"/>
        <v>0</v>
      </c>
      <c r="S24" s="58"/>
      <c r="T24" s="67">
        <f t="shared" si="57"/>
        <v>0</v>
      </c>
      <c r="U24" s="58"/>
      <c r="V24" s="67">
        <f t="shared" si="58"/>
        <v>0</v>
      </c>
      <c r="W24" s="58"/>
      <c r="X24" s="65">
        <f t="shared" si="59"/>
        <v>0</v>
      </c>
      <c r="Y24" s="58"/>
      <c r="Z24" s="65">
        <f t="shared" si="60"/>
        <v>0</v>
      </c>
      <c r="AA24" s="58"/>
      <c r="AB24" s="65">
        <f t="shared" si="61"/>
        <v>0</v>
      </c>
      <c r="AC24" s="58"/>
      <c r="AD24" s="65">
        <f t="shared" si="62"/>
        <v>0</v>
      </c>
      <c r="AE24" s="58"/>
      <c r="AF24" s="65">
        <f t="shared" si="63"/>
        <v>0</v>
      </c>
      <c r="AG24" s="58"/>
      <c r="AH24" s="67">
        <f t="shared" si="64"/>
        <v>0</v>
      </c>
      <c r="AI24" s="58"/>
      <c r="AJ24" s="65">
        <f t="shared" si="65"/>
        <v>0</v>
      </c>
      <c r="AK24" s="58"/>
      <c r="AL24" s="65">
        <f t="shared" si="66"/>
        <v>0</v>
      </c>
      <c r="AM24" s="58"/>
      <c r="AN24" s="65">
        <f t="shared" si="67"/>
        <v>0</v>
      </c>
      <c r="AO24" s="58"/>
      <c r="AP24" s="65">
        <f t="shared" si="68"/>
        <v>0</v>
      </c>
      <c r="AQ24" s="58"/>
      <c r="AR24" s="65">
        <f t="shared" si="69"/>
        <v>0</v>
      </c>
      <c r="AS24" s="58"/>
      <c r="AT24" s="65">
        <f t="shared" si="70"/>
        <v>0</v>
      </c>
      <c r="AU24" s="58"/>
      <c r="AV24" s="65">
        <f t="shared" si="71"/>
        <v>0</v>
      </c>
      <c r="AW24" s="58"/>
      <c r="AX24" s="65">
        <f t="shared" si="72"/>
        <v>0</v>
      </c>
      <c r="AY24" s="58"/>
      <c r="AZ24" s="65">
        <f t="shared" si="73"/>
        <v>0</v>
      </c>
      <c r="BA24" s="58"/>
      <c r="BB24" s="65">
        <f t="shared" si="74"/>
        <v>0</v>
      </c>
      <c r="BC24" s="58"/>
      <c r="BD24" s="65">
        <f t="shared" si="75"/>
        <v>0</v>
      </c>
      <c r="BE24" s="59"/>
      <c r="BF24" s="67">
        <f t="shared" si="76"/>
        <v>0</v>
      </c>
      <c r="BG24" s="60"/>
      <c r="BH24" s="65">
        <f t="shared" si="77"/>
        <v>0</v>
      </c>
      <c r="BI24" s="60"/>
      <c r="BJ24" s="65">
        <f t="shared" si="78"/>
        <v>0</v>
      </c>
      <c r="BK24" s="60"/>
      <c r="BL24" s="65">
        <f t="shared" si="79"/>
        <v>0</v>
      </c>
      <c r="BM24" s="60"/>
      <c r="BN24" s="65">
        <f t="shared" si="80"/>
        <v>0</v>
      </c>
      <c r="BO24" s="60"/>
      <c r="BP24" s="65">
        <f t="shared" si="81"/>
        <v>0</v>
      </c>
      <c r="BQ24" s="60"/>
      <c r="BR24" s="65">
        <f t="shared" si="82"/>
        <v>0</v>
      </c>
      <c r="BS24" s="60"/>
      <c r="BT24" s="65">
        <f t="shared" si="83"/>
        <v>0</v>
      </c>
      <c r="BU24" s="60"/>
      <c r="BV24" s="65">
        <f t="shared" si="84"/>
        <v>0</v>
      </c>
      <c r="BW24" s="60"/>
      <c r="BX24" s="65">
        <f t="shared" si="85"/>
        <v>0</v>
      </c>
      <c r="BY24" s="60"/>
      <c r="BZ24" s="67">
        <f t="shared" si="86"/>
        <v>0</v>
      </c>
      <c r="CA24" s="60"/>
      <c r="CB24" s="67">
        <f t="shared" si="87"/>
        <v>0</v>
      </c>
      <c r="CC24" s="60"/>
      <c r="CD24" s="67">
        <f t="shared" si="88"/>
        <v>0</v>
      </c>
      <c r="CE24" s="60"/>
      <c r="CF24" s="67">
        <f t="shared" si="89"/>
        <v>0</v>
      </c>
      <c r="CG24" s="60"/>
      <c r="CH24" s="67">
        <f t="shared" si="90"/>
        <v>0</v>
      </c>
      <c r="CI24" s="60"/>
      <c r="CJ24" s="67">
        <f t="shared" si="91"/>
        <v>0</v>
      </c>
      <c r="CK24" s="60"/>
      <c r="CL24" s="64">
        <f t="shared" si="92"/>
        <v>0</v>
      </c>
      <c r="CM24" s="65">
        <f t="shared" si="93"/>
        <v>0</v>
      </c>
      <c r="CN24" s="62"/>
      <c r="CO24" s="62"/>
      <c r="CP24" s="68"/>
      <c r="CQ24" s="67">
        <f t="shared" si="94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44795</v>
      </c>
      <c r="B25" s="44"/>
      <c r="C25" s="58"/>
      <c r="D25" s="64">
        <f t="shared" si="50"/>
        <v>0</v>
      </c>
      <c r="E25" s="58"/>
      <c r="F25" s="64">
        <f t="shared" si="99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57"/>
        <v>0</v>
      </c>
      <c r="U25" s="58"/>
      <c r="V25" s="67">
        <f t="shared" si="58"/>
        <v>0</v>
      </c>
      <c r="W25" s="58"/>
      <c r="X25" s="65">
        <f t="shared" si="59"/>
        <v>0</v>
      </c>
      <c r="Y25" s="58"/>
      <c r="Z25" s="65">
        <f t="shared" si="60"/>
        <v>0</v>
      </c>
      <c r="AA25" s="58"/>
      <c r="AB25" s="65">
        <f t="shared" si="61"/>
        <v>0</v>
      </c>
      <c r="AC25" s="58"/>
      <c r="AD25" s="65">
        <f t="shared" si="62"/>
        <v>0</v>
      </c>
      <c r="AE25" s="58"/>
      <c r="AF25" s="65">
        <f t="shared" si="63"/>
        <v>0</v>
      </c>
      <c r="AG25" s="58"/>
      <c r="AH25" s="67">
        <f t="shared" si="64"/>
        <v>0</v>
      </c>
      <c r="AI25" s="58"/>
      <c r="AJ25" s="65">
        <f t="shared" si="65"/>
        <v>0</v>
      </c>
      <c r="AK25" s="58"/>
      <c r="AL25" s="65">
        <f t="shared" si="66"/>
        <v>0</v>
      </c>
      <c r="AM25" s="58"/>
      <c r="AN25" s="65">
        <f t="shared" si="67"/>
        <v>0</v>
      </c>
      <c r="AO25" s="58"/>
      <c r="AP25" s="65">
        <f t="shared" si="68"/>
        <v>0</v>
      </c>
      <c r="AQ25" s="58"/>
      <c r="AR25" s="65">
        <f t="shared" si="69"/>
        <v>0</v>
      </c>
      <c r="AS25" s="58"/>
      <c r="AT25" s="65">
        <f t="shared" si="70"/>
        <v>0</v>
      </c>
      <c r="AU25" s="58"/>
      <c r="AV25" s="65">
        <f t="shared" si="71"/>
        <v>0</v>
      </c>
      <c r="AW25" s="58"/>
      <c r="AX25" s="65">
        <f t="shared" si="72"/>
        <v>0</v>
      </c>
      <c r="AY25" s="58"/>
      <c r="AZ25" s="65">
        <f t="shared" si="73"/>
        <v>0</v>
      </c>
      <c r="BA25" s="58"/>
      <c r="BB25" s="65">
        <f t="shared" si="74"/>
        <v>0</v>
      </c>
      <c r="BC25" s="58"/>
      <c r="BD25" s="65">
        <f t="shared" si="75"/>
        <v>0</v>
      </c>
      <c r="BE25" s="59"/>
      <c r="BF25" s="67">
        <f t="shared" si="76"/>
        <v>0</v>
      </c>
      <c r="BG25" s="60"/>
      <c r="BH25" s="65">
        <f t="shared" si="77"/>
        <v>0</v>
      </c>
      <c r="BI25" s="60"/>
      <c r="BJ25" s="65">
        <f t="shared" si="78"/>
        <v>0</v>
      </c>
      <c r="BK25" s="60"/>
      <c r="BL25" s="65">
        <f t="shared" si="79"/>
        <v>0</v>
      </c>
      <c r="BM25" s="60"/>
      <c r="BN25" s="65">
        <f t="shared" si="80"/>
        <v>0</v>
      </c>
      <c r="BO25" s="60"/>
      <c r="BP25" s="65">
        <f t="shared" si="81"/>
        <v>0</v>
      </c>
      <c r="BQ25" s="60"/>
      <c r="BR25" s="65">
        <f t="shared" si="82"/>
        <v>0</v>
      </c>
      <c r="BS25" s="60"/>
      <c r="BT25" s="65">
        <f t="shared" si="83"/>
        <v>0</v>
      </c>
      <c r="BU25" s="60"/>
      <c r="BV25" s="65">
        <f t="shared" si="84"/>
        <v>0</v>
      </c>
      <c r="BW25" s="60"/>
      <c r="BX25" s="65">
        <f t="shared" si="85"/>
        <v>0</v>
      </c>
      <c r="BY25" s="60"/>
      <c r="BZ25" s="67">
        <f t="shared" si="86"/>
        <v>0</v>
      </c>
      <c r="CA25" s="60"/>
      <c r="CB25" s="67">
        <f t="shared" si="87"/>
        <v>0</v>
      </c>
      <c r="CC25" s="60"/>
      <c r="CD25" s="67">
        <f t="shared" si="88"/>
        <v>0</v>
      </c>
      <c r="CE25" s="60"/>
      <c r="CF25" s="67">
        <f t="shared" si="89"/>
        <v>0</v>
      </c>
      <c r="CG25" s="60"/>
      <c r="CH25" s="67">
        <f t="shared" si="90"/>
        <v>0</v>
      </c>
      <c r="CI25" s="60"/>
      <c r="CJ25" s="67">
        <f t="shared" si="91"/>
        <v>0</v>
      </c>
      <c r="CK25" s="60"/>
      <c r="CL25" s="64">
        <f t="shared" si="92"/>
        <v>0</v>
      </c>
      <c r="CM25" s="65">
        <f t="shared" si="93"/>
        <v>0</v>
      </c>
      <c r="CN25" s="62"/>
      <c r="CO25" s="62"/>
      <c r="CP25" s="68"/>
      <c r="CQ25" s="67">
        <f t="shared" si="94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44796</v>
      </c>
      <c r="B26" s="44"/>
      <c r="C26" s="58"/>
      <c r="D26" s="64">
        <f t="shared" si="50"/>
        <v>0</v>
      </c>
      <c r="E26" s="58"/>
      <c r="F26" s="64">
        <f t="shared" si="99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57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2"/>
        <v>0</v>
      </c>
      <c r="CM26" s="65">
        <f t="shared" si="93"/>
        <v>0</v>
      </c>
      <c r="CN26" s="62"/>
      <c r="CO26" s="62"/>
      <c r="CP26" s="68"/>
      <c r="CQ26" s="67">
        <f t="shared" si="94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44797</v>
      </c>
      <c r="B27" s="44"/>
      <c r="C27" s="58"/>
      <c r="D27" s="64">
        <f t="shared" si="50"/>
        <v>0</v>
      </c>
      <c r="E27" s="58"/>
      <c r="F27" s="64">
        <f t="shared" si="99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57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2"/>
        <v>0</v>
      </c>
      <c r="CM27" s="65">
        <f t="shared" si="93"/>
        <v>0</v>
      </c>
      <c r="CN27" s="62"/>
      <c r="CO27" s="62"/>
      <c r="CP27" s="68"/>
      <c r="CQ27" s="67">
        <f t="shared" si="94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44798</v>
      </c>
      <c r="B28" s="44"/>
      <c r="C28" s="58"/>
      <c r="D28" s="64">
        <f t="shared" si="50"/>
        <v>0</v>
      </c>
      <c r="E28" s="58"/>
      <c r="F28" s="64">
        <f t="shared" si="99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44799</v>
      </c>
      <c r="B29" s="44"/>
      <c r="C29" s="58"/>
      <c r="D29" s="64">
        <f t="shared" si="50"/>
        <v>0</v>
      </c>
      <c r="E29" s="58"/>
      <c r="F29" s="64">
        <f t="shared" si="99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44800</v>
      </c>
      <c r="B30" s="44"/>
      <c r="C30" s="58"/>
      <c r="D30" s="64">
        <f t="shared" si="50"/>
        <v>0</v>
      </c>
      <c r="E30" s="58"/>
      <c r="F30" s="64">
        <f t="shared" si="99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44801</v>
      </c>
      <c r="B31" s="66"/>
      <c r="C31" s="58"/>
      <c r="D31" s="64">
        <f t="shared" si="50"/>
        <v>0</v>
      </c>
      <c r="E31" s="58"/>
      <c r="F31" s="64">
        <f t="shared" si="99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44802</v>
      </c>
      <c r="B32" s="68"/>
      <c r="C32" s="58"/>
      <c r="D32" s="64">
        <f t="shared" si="50"/>
        <v>0</v>
      </c>
      <c r="E32" s="58"/>
      <c r="F32" s="64">
        <f t="shared" si="99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44803</v>
      </c>
      <c r="B33" s="68"/>
      <c r="C33" s="58"/>
      <c r="D33" s="64">
        <f t="shared" si="50"/>
        <v>0</v>
      </c>
      <c r="E33" s="58"/>
      <c r="F33" s="64">
        <f t="shared" si="99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44804</v>
      </c>
      <c r="B34" s="68"/>
      <c r="C34" s="58"/>
      <c r="D34" s="64">
        <f t="shared" si="50"/>
        <v>0</v>
      </c>
      <c r="E34" s="58"/>
      <c r="F34" s="64">
        <f t="shared" si="99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E21" sqref="E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-231</v>
      </c>
    </row>
    <row r="17" spans="1:20" x14ac:dyDescent="0.25">
      <c r="A17" s="73">
        <v>44783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44784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44785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44786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44787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44788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44789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44790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44791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44792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44793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44794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44795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44796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44797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44798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44799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44800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44801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44802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44803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2022-08-09T18:34:52Z</dcterms:modified>
</cp:coreProperties>
</file>