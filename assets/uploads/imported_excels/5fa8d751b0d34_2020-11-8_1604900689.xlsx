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V19" i="7"/>
  <c r="AW19" i="7" s="1"/>
  <c r="AP19" i="7"/>
  <c r="AO19" i="7"/>
  <c r="AL19" i="7"/>
  <c r="AK19" i="7"/>
  <c r="AH19" i="7"/>
  <c r="AG19" i="7"/>
  <c r="AC19" i="7"/>
  <c r="AB19" i="7"/>
  <c r="AQ19" i="7" s="1"/>
  <c r="AA19" i="7"/>
  <c r="Z19" i="7"/>
  <c r="Y19" i="7"/>
  <c r="X19" i="7"/>
  <c r="AM19" i="7" s="1"/>
  <c r="W19" i="7"/>
  <c r="V19" i="7"/>
  <c r="U19" i="7"/>
  <c r="T19" i="7"/>
  <c r="AI19" i="7" s="1"/>
  <c r="S19" i="7"/>
  <c r="R19" i="7"/>
  <c r="Q19" i="7"/>
  <c r="AV18" i="7"/>
  <c r="AW18" i="7" s="1"/>
  <c r="AR18" i="7"/>
  <c r="AQ18" i="7"/>
  <c r="AN18" i="7"/>
  <c r="AM18" i="7"/>
  <c r="AJ18" i="7"/>
  <c r="AI18" i="7"/>
  <c r="AF18" i="7"/>
  <c r="AC18" i="7"/>
  <c r="AB18" i="7"/>
  <c r="AA18" i="7"/>
  <c r="AP18" i="7" s="1"/>
  <c r="Z18" i="7"/>
  <c r="AO18" i="7" s="1"/>
  <c r="Y18" i="7"/>
  <c r="X18" i="7"/>
  <c r="W18" i="7"/>
  <c r="AL18" i="7" s="1"/>
  <c r="V18" i="7"/>
  <c r="AK18" i="7" s="1"/>
  <c r="U18" i="7"/>
  <c r="T18" i="7"/>
  <c r="S18" i="7"/>
  <c r="AH18" i="7" s="1"/>
  <c r="R18" i="7"/>
  <c r="AG18" i="7" s="1"/>
  <c r="Q18" i="7"/>
  <c r="AW17" i="7"/>
  <c r="AV17" i="7"/>
  <c r="AP17" i="7"/>
  <c r="AO17" i="7"/>
  <c r="AL17" i="7"/>
  <c r="AK17" i="7"/>
  <c r="AH17" i="7"/>
  <c r="AG17" i="7"/>
  <c r="AC17" i="7"/>
  <c r="AB17" i="7"/>
  <c r="AQ17" i="7" s="1"/>
  <c r="AA17" i="7"/>
  <c r="Z17" i="7"/>
  <c r="Y17" i="7"/>
  <c r="X17" i="7"/>
  <c r="AM17" i="7" s="1"/>
  <c r="W17" i="7"/>
  <c r="V17" i="7"/>
  <c r="U17" i="7"/>
  <c r="T17" i="7"/>
  <c r="AI17" i="7" s="1"/>
  <c r="S17" i="7"/>
  <c r="R17" i="7"/>
  <c r="Q17" i="7"/>
  <c r="AV16" i="7"/>
  <c r="AW16" i="7" s="1"/>
  <c r="AR16" i="7"/>
  <c r="AQ16" i="7"/>
  <c r="AN16" i="7"/>
  <c r="AM16" i="7"/>
  <c r="AJ16" i="7"/>
  <c r="AI16" i="7"/>
  <c r="AF16" i="7"/>
  <c r="AS16" i="7" s="1"/>
  <c r="AC16" i="7"/>
  <c r="AB16" i="7"/>
  <c r="AA16" i="7"/>
  <c r="AP16" i="7" s="1"/>
  <c r="Z16" i="7"/>
  <c r="AO16" i="7" s="1"/>
  <c r="Y16" i="7"/>
  <c r="X16" i="7"/>
  <c r="W16" i="7"/>
  <c r="AL16" i="7" s="1"/>
  <c r="V16" i="7"/>
  <c r="AK16" i="7" s="1"/>
  <c r="U16" i="7"/>
  <c r="T16" i="7"/>
  <c r="S16" i="7"/>
  <c r="AH16" i="7" s="1"/>
  <c r="R16" i="7"/>
  <c r="AG16" i="7" s="1"/>
  <c r="Q16" i="7"/>
  <c r="AV15" i="7"/>
  <c r="AW15" i="7" s="1"/>
  <c r="AO15" i="7"/>
  <c r="AH15" i="7"/>
  <c r="AC15" i="7"/>
  <c r="AB15" i="7"/>
  <c r="AQ15" i="7" s="1"/>
  <c r="AA15" i="7"/>
  <c r="AP15" i="7" s="1"/>
  <c r="Z15" i="7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Q18" i="9"/>
  <c r="O18" i="9"/>
  <c r="G18" i="9"/>
  <c r="E18" i="9"/>
  <c r="B18" i="9"/>
  <c r="R17" i="9"/>
  <c r="G17" i="5" s="1"/>
  <c r="O17" i="9"/>
  <c r="N17" i="9"/>
  <c r="L17" i="9"/>
  <c r="K17" i="9"/>
  <c r="I17" i="9"/>
  <c r="F17" i="9"/>
  <c r="B17" i="9"/>
  <c r="K16" i="9"/>
  <c r="I16" i="9"/>
  <c r="H16" i="9"/>
  <c r="B16" i="9"/>
  <c r="S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G14" i="5" s="1"/>
  <c r="P14" i="9"/>
  <c r="O14" i="9"/>
  <c r="N14" i="9"/>
  <c r="L14" i="9"/>
  <c r="K14" i="9"/>
  <c r="J14" i="9"/>
  <c r="G14" i="9"/>
  <c r="F14" i="9"/>
  <c r="B14" i="9"/>
  <c r="S13" i="9"/>
  <c r="Q13" i="9"/>
  <c r="P13" i="9"/>
  <c r="N13" i="9"/>
  <c r="M13" i="9"/>
  <c r="L13" i="9"/>
  <c r="J13" i="9"/>
  <c r="I13" i="9"/>
  <c r="H13" i="9"/>
  <c r="F13" i="9"/>
  <c r="E13" i="9"/>
  <c r="B13" i="9"/>
  <c r="S12" i="9"/>
  <c r="R12" i="9"/>
  <c r="P12" i="9"/>
  <c r="O12" i="9"/>
  <c r="N12" i="9"/>
  <c r="L12" i="9"/>
  <c r="K12" i="9"/>
  <c r="J12" i="9"/>
  <c r="H12" i="9"/>
  <c r="G12" i="9"/>
  <c r="F12" i="9"/>
  <c r="B12" i="9"/>
  <c r="S11" i="9"/>
  <c r="R11" i="9"/>
  <c r="G11" i="5" s="1"/>
  <c r="Q11" i="9"/>
  <c r="P11" i="9"/>
  <c r="N11" i="9"/>
  <c r="M11" i="9"/>
  <c r="L11" i="9"/>
  <c r="J11" i="9"/>
  <c r="I11" i="9"/>
  <c r="H11" i="9"/>
  <c r="F11" i="9"/>
  <c r="E11" i="9"/>
  <c r="B11" i="9"/>
  <c r="S10" i="9"/>
  <c r="R10" i="9"/>
  <c r="G10" i="5" s="1"/>
  <c r="P10" i="9"/>
  <c r="O10" i="9"/>
  <c r="N10" i="9"/>
  <c r="L10" i="9"/>
  <c r="K10" i="9"/>
  <c r="J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G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O9" i="9" l="1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E12" i="5" s="1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S19" i="7" s="1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S23" i="7" s="1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M38" i="7" s="1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AS22" i="7" s="1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W38" i="7"/>
  <c r="AK21" i="7"/>
  <c r="AS21" i="7" s="1"/>
  <c r="AD21" i="7"/>
  <c r="V38" i="7"/>
  <c r="E9" i="5" l="1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<sst xmlns="http://schemas.openxmlformats.org/spreadsheetml/2006/main" count="128" uniqueCount="49">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</sst>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U16" sqref="AU1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 t="str">
        <f t="shared" si="16"/>
        <v>0</v>
      </c>
      <c r="R15" s="37" t="str">
        <f t="shared" si="17"/>
        <v>0</v>
      </c>
      <c r="S15" s="37" t="str">
        <f t="shared" si="15"/>
        <v>0</v>
      </c>
      <c r="T15" s="37" t="str">
        <f t="shared" si="18"/>
        <v>0</v>
      </c>
      <c r="U15" s="37" t="str">
        <f t="shared" si="19"/>
        <v>0</v>
      </c>
      <c r="V15" s="37" t="str">
        <f t="shared" si="20"/>
        <v>0</v>
      </c>
      <c r="W15" s="37" t="str">
        <f t="shared" si="21"/>
        <v>0</v>
      </c>
      <c r="X15" s="37" t="str">
        <f t="shared" si="22"/>
        <v>0</v>
      </c>
      <c r="Y15" s="37" t="str">
        <f t="shared" si="23"/>
        <v>0</v>
      </c>
      <c r="Z15" s="37" t="str">
        <f t="shared" si="24"/>
        <v>0</v>
      </c>
      <c r="AA15" s="37" t="str">
        <f t="shared" si="25"/>
        <v>0</v>
      </c>
      <c r="AB15" s="37" t="str">
        <f t="shared" si="26"/>
        <v>0</v>
      </c>
      <c r="AC15" s="37" t="str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 t="str">
        <f t="shared" si="31"/>
        <v>0</v>
      </c>
      <c r="AW15" s="35">
        <f t="shared" si="30"/>
        <v>0</v>
      </c>
    </row>
    <row r="16" spans="1:49" x14ac:dyDescent="0.25">
      <c r="A16" s="23">
        <v>44145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44146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44147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44148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44149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44150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44151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44152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25740</v>
      </c>
      <c r="R38" s="30">
        <f t="shared" si="38"/>
        <v>115280</v>
      </c>
      <c r="S38" s="30">
        <f t="shared" si="38"/>
        <v>670</v>
      </c>
      <c r="T38" s="30">
        <f t="shared" si="38"/>
        <v>12340</v>
      </c>
      <c r="U38" s="30">
        <f t="shared" si="38"/>
        <v>37000</v>
      </c>
      <c r="V38" s="30">
        <f t="shared" si="38"/>
        <v>26158</v>
      </c>
      <c r="W38" s="30">
        <f t="shared" si="38"/>
        <v>19300</v>
      </c>
      <c r="X38" s="30">
        <f t="shared" si="38"/>
        <v>30450</v>
      </c>
      <c r="Y38" s="30">
        <f t="shared" si="38"/>
        <v>44090</v>
      </c>
      <c r="Z38" s="30">
        <f t="shared" si="38"/>
        <v>20620</v>
      </c>
      <c r="AA38" s="30">
        <f t="shared" si="38"/>
        <v>26300</v>
      </c>
      <c r="AB38" s="30">
        <f t="shared" si="38"/>
        <v>56930</v>
      </c>
      <c r="AC38" s="30">
        <f t="shared" si="38"/>
        <v>84980</v>
      </c>
      <c r="AD38" s="35">
        <f t="shared" si="38"/>
        <v>499858</v>
      </c>
      <c r="AF38" s="35">
        <f t="shared" ref="AF38:AS38" si="39">SUM(AF7:AF34)</f>
        <v>128.69999999999999</v>
      </c>
      <c r="AG38" s="35">
        <f t="shared" si="39"/>
        <v>576.4</v>
      </c>
      <c r="AH38" s="35">
        <f t="shared" si="39"/>
        <v>3.35</v>
      </c>
      <c r="AI38" s="35">
        <f t="shared" si="39"/>
        <v>61.7</v>
      </c>
      <c r="AJ38" s="35">
        <f t="shared" si="39"/>
        <v>185</v>
      </c>
      <c r="AK38" s="35">
        <f t="shared" si="39"/>
        <v>130.79000000000002</v>
      </c>
      <c r="AL38" s="35">
        <f t="shared" si="39"/>
        <v>96.500000000000014</v>
      </c>
      <c r="AM38" s="35">
        <f t="shared" si="39"/>
        <v>152.25000000000003</v>
      </c>
      <c r="AN38" s="35">
        <f t="shared" si="39"/>
        <v>220.45000000000002</v>
      </c>
      <c r="AO38" s="35">
        <f t="shared" si="39"/>
        <v>103.10000000000001</v>
      </c>
      <c r="AP38" s="35">
        <f t="shared" si="39"/>
        <v>131.5</v>
      </c>
      <c r="AQ38" s="35">
        <f t="shared" si="39"/>
        <v>284.64999999999998</v>
      </c>
      <c r="AR38" s="35">
        <f t="shared" si="39"/>
        <v>424.90000000000003</v>
      </c>
      <c r="AS38" s="35">
        <f t="shared" si="39"/>
        <v>2499.29</v>
      </c>
      <c r="AU38" s="48"/>
      <c r="AV38" s="35">
        <f>SUM(AV7:AV34)</f>
        <v>15250</v>
      </c>
      <c r="AW38" s="35">
        <f>SUM(AW7:AW34)</f>
        <v>22.72</v>
      </c>
    </row>
    <row r="39" spans="1:49" x14ac:dyDescent="0.25">
      <c r="D39">
        <v>5.0000000000000001E-3</v>
      </c>
      <c r="AV39" s="36">
        <f>AV38*0.00378541*1000</f>
        <v>57727.502500000002</v>
      </c>
    </row>
    <row r="40" spans="1:49" x14ac:dyDescent="0.25">
      <c r="D40">
        <v>2E-3</v>
      </c>
      <c r="AV40">
        <f>AV39/31</f>
        <v>1862.1775</v>
      </c>
    </row>
    <row r="41" spans="1:49" x14ac:dyDescent="0.25">
      <c r="AV41">
        <f>AV38*0.00378541</f>
        <v>57.7275025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2020-11-09T05:44:12Z</dcterms:modified>
</cp:coreProperties>
</file>