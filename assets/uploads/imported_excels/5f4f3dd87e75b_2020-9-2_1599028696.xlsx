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6" i="2" l="1"/>
  <c r="AG9" i="2" l="1"/>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8" i="2"/>
  <c r="AI7"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8" i="2"/>
  <c r="AC7" i="2"/>
  <c r="R6" i="2" l="1"/>
  <c r="K6" i="2"/>
  <c r="AN37" i="2" l="1"/>
  <c r="AH37" i="2"/>
  <c r="AG37" i="2"/>
  <c r="AF37" i="2"/>
  <c r="J37" i="2"/>
  <c r="I37" i="2"/>
  <c r="H37" i="2"/>
  <c r="G37" i="2"/>
  <c r="D37" i="2"/>
  <c r="Z33" i="3"/>
  <c r="R33" i="3"/>
  <c r="B32" i="1"/>
  <c r="M32" i="1"/>
  <c r="N32" i="1"/>
  <c r="E31" i="3"/>
  <c r="F31" i="3"/>
  <c r="G31" i="3"/>
  <c r="H31" i="3"/>
  <c r="E32" i="3"/>
  <c r="E32" i="1" s="1"/>
  <c r="F32" i="3"/>
  <c r="G32" i="3"/>
  <c r="H32" i="3"/>
  <c r="I32" i="3"/>
  <c r="J32" i="3"/>
  <c r="K32" i="3"/>
  <c r="L32" i="3"/>
  <c r="M32" i="3"/>
  <c r="Q32" i="3"/>
  <c r="R32" i="3"/>
  <c r="U32" i="3"/>
  <c r="V32" i="3"/>
  <c r="W32" i="3"/>
  <c r="B32" i="3"/>
  <c r="Z7" i="2"/>
  <c r="L6" i="2" l="1"/>
  <c r="AK35" i="2"/>
  <c r="AL35" i="2" s="1"/>
  <c r="AM35" i="2" s="1"/>
  <c r="AK36" i="2"/>
  <c r="AD35" i="2"/>
  <c r="AE35" i="2" s="1"/>
  <c r="AD36" i="2"/>
  <c r="T32" i="3" s="1"/>
  <c r="Z35" i="2"/>
  <c r="AA35" i="2" s="1"/>
  <c r="Z36" i="2"/>
  <c r="P32" i="3" s="1"/>
  <c r="T35" i="2"/>
  <c r="U35" i="2"/>
  <c r="T36" i="2"/>
  <c r="N32" i="3" s="1"/>
  <c r="R35" i="2"/>
  <c r="S35" i="2"/>
  <c r="R36" i="2"/>
  <c r="O32" i="3" s="1"/>
  <c r="S36" i="2"/>
  <c r="K35" i="2"/>
  <c r="L35" i="2" s="1"/>
  <c r="K36" i="2"/>
  <c r="M4" i="1"/>
  <c r="M5" i="1"/>
  <c r="M6" i="1"/>
  <c r="M8" i="1"/>
  <c r="M9" i="1"/>
  <c r="M10" i="1"/>
  <c r="M12" i="1"/>
  <c r="M13" i="1"/>
  <c r="M14" i="1"/>
  <c r="M16" i="1"/>
  <c r="M17" i="1"/>
  <c r="Y18" i="3"/>
  <c r="Y19" i="3"/>
  <c r="M19" i="1" s="1"/>
  <c r="Y20" i="3"/>
  <c r="M20" i="1" s="1"/>
  <c r="Y21" i="3"/>
  <c r="M21" i="1" s="1"/>
  <c r="Y22" i="3"/>
  <c r="M22" i="1" s="1"/>
  <c r="Y23" i="3"/>
  <c r="M23" i="1" s="1"/>
  <c r="Y24" i="3"/>
  <c r="M24" i="1" s="1"/>
  <c r="Y25" i="3"/>
  <c r="M25" i="1" s="1"/>
  <c r="M26" i="1"/>
  <c r="M28" i="1"/>
  <c r="M29" i="1"/>
  <c r="M30"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27" i="1"/>
  <c r="M31" i="1"/>
  <c r="U36" i="2" l="1"/>
  <c r="K32" i="1"/>
  <c r="AE36" i="2"/>
  <c r="S32" i="3"/>
  <c r="G32" i="1"/>
  <c r="AA36" i="2"/>
  <c r="AO35" i="2"/>
  <c r="M18" i="1"/>
  <c r="Y33" i="3"/>
  <c r="N33" i="1"/>
  <c r="AL36" i="2"/>
  <c r="AM36" i="2" s="1"/>
  <c r="X32" i="3"/>
  <c r="I32" i="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R24" i="2"/>
  <c r="O20" i="3" s="1"/>
  <c r="R25" i="2"/>
  <c r="R26" i="2"/>
  <c r="O22" i="3" s="1"/>
  <c r="R27" i="2"/>
  <c r="O23" i="3" s="1"/>
  <c r="R28" i="2"/>
  <c r="O24" i="3" s="1"/>
  <c r="R29" i="2"/>
  <c r="O25" i="3" s="1"/>
  <c r="R30" i="2"/>
  <c r="R31" i="2"/>
  <c r="O27" i="3" s="1"/>
  <c r="R32" i="2"/>
  <c r="O28" i="3" s="1"/>
  <c r="K28" i="1" s="1"/>
  <c r="R33" i="2"/>
  <c r="R34" i="2"/>
  <c r="O31" i="3"/>
  <c r="R7" i="2"/>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E26" i="2" s="1"/>
  <c r="AD27" i="2"/>
  <c r="AE27" i="2" s="1"/>
  <c r="AD28" i="2"/>
  <c r="AE28" i="2" s="1"/>
  <c r="AD29" i="2"/>
  <c r="AE29" i="2" s="1"/>
  <c r="AD31" i="2"/>
  <c r="AE31" i="2" s="1"/>
  <c r="AD33" i="2"/>
  <c r="AE33" i="2" s="1"/>
  <c r="AK7" i="2"/>
  <c r="AL7" i="2" s="1"/>
  <c r="AM7" i="2" s="1"/>
  <c r="AD8" i="2"/>
  <c r="AD7" i="2"/>
  <c r="AE7" i="2" s="1"/>
  <c r="AD6" i="2"/>
  <c r="T8" i="2"/>
  <c r="N4" i="3" s="1"/>
  <c r="T7" i="2"/>
  <c r="U7" i="2" s="1"/>
  <c r="S8" i="2"/>
  <c r="S7" i="2"/>
  <c r="O3" i="3"/>
  <c r="K8" i="2"/>
  <c r="L8" i="2" s="1"/>
  <c r="K7" i="2"/>
  <c r="Z6" i="2"/>
  <c r="AK8" i="2"/>
  <c r="AL8" i="2" s="1"/>
  <c r="AM8" i="2" s="1"/>
  <c r="AK9" i="2"/>
  <c r="X5" i="3" s="1"/>
  <c r="AK10" i="2"/>
  <c r="AL10" i="2" s="1"/>
  <c r="AM10" i="2" s="1"/>
  <c r="AD9" i="2"/>
  <c r="AE9" i="2" s="1"/>
  <c r="AD11" i="2"/>
  <c r="AE11" i="2" s="1"/>
  <c r="AD12" i="2"/>
  <c r="AE12" i="2" s="1"/>
  <c r="AD15" i="2"/>
  <c r="AE15" i="2" s="1"/>
  <c r="AD16" i="2"/>
  <c r="T12" i="3" s="1"/>
  <c r="AE16" i="2"/>
  <c r="AD18" i="2"/>
  <c r="AE18" i="2" s="1"/>
  <c r="AD20" i="2"/>
  <c r="AE20" i="2" s="1"/>
  <c r="AD21" i="2"/>
  <c r="AE21" i="2" s="1"/>
  <c r="AD23" i="2"/>
  <c r="AE23" i="2" s="1"/>
  <c r="AD24" i="2"/>
  <c r="AE24" i="2" s="1"/>
  <c r="AD25" i="2"/>
  <c r="T21" i="3" s="1"/>
  <c r="AD30" i="2"/>
  <c r="AE30" i="2" s="1"/>
  <c r="AD32" i="2"/>
  <c r="T28" i="3"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G5" i="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S25" i="2"/>
  <c r="O21" i="3"/>
  <c r="S24" i="2"/>
  <c r="S23" i="2"/>
  <c r="O19" i="3"/>
  <c r="S22" i="2"/>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U30" i="2"/>
  <c r="D40" i="2"/>
  <c r="G39" i="2"/>
  <c r="P15" i="3"/>
  <c r="U15" i="2"/>
  <c r="U11" i="2"/>
  <c r="P11" i="3"/>
  <c r="G11" i="1" s="1"/>
  <c r="T5" i="3"/>
  <c r="P24" i="3"/>
  <c r="G24" i="1" s="1"/>
  <c r="N10" i="3"/>
  <c r="N29" i="3"/>
  <c r="X9" i="3"/>
  <c r="AL25" i="2"/>
  <c r="AM25" i="2" s="1"/>
  <c r="T3" i="3"/>
  <c r="T17" i="3"/>
  <c r="U19" i="2"/>
  <c r="N3" i="3"/>
  <c r="T23" i="3"/>
  <c r="AO36" i="2" l="1"/>
  <c r="T30" i="3"/>
  <c r="AE32" i="2"/>
  <c r="AO32" i="2" s="1"/>
  <c r="P27" i="3"/>
  <c r="S27" i="3"/>
  <c r="X27" i="3"/>
  <c r="P26" i="3"/>
  <c r="G26" i="1" s="1"/>
  <c r="N24" i="3"/>
  <c r="P19" i="3"/>
  <c r="G19" i="1" s="1"/>
  <c r="N19" i="3"/>
  <c r="P17" i="3"/>
  <c r="G17" i="1" s="1"/>
  <c r="U17" i="2"/>
  <c r="U16" i="2"/>
  <c r="J33" i="3"/>
  <c r="W33" i="3"/>
  <c r="P9" i="3"/>
  <c r="G9" i="1" s="1"/>
  <c r="Q33" i="3"/>
  <c r="AL11" i="2"/>
  <c r="AM11" i="2" s="1"/>
  <c r="T7" i="3"/>
  <c r="I7" i="1" s="1"/>
  <c r="U9" i="2"/>
  <c r="K33" i="3"/>
  <c r="V33" i="3"/>
  <c r="U33" i="3"/>
  <c r="T37" i="2"/>
  <c r="U37" i="2" s="1"/>
  <c r="U8" i="2"/>
  <c r="M33" i="3"/>
  <c r="L33" i="3"/>
  <c r="I33" i="3"/>
  <c r="X10" i="3"/>
  <c r="X18" i="3"/>
  <c r="T22" i="3"/>
  <c r="I22" i="1" s="1"/>
  <c r="T20" i="3"/>
  <c r="I20" i="1" s="1"/>
  <c r="AE25" i="2"/>
  <c r="T27" i="3"/>
  <c r="P4" i="3"/>
  <c r="G4" i="1" s="1"/>
  <c r="L7" i="2"/>
  <c r="L37" i="2" s="1"/>
  <c r="K37" i="2"/>
  <c r="X2" i="3"/>
  <c r="AK37" i="2"/>
  <c r="AE6" i="2"/>
  <c r="AD37" i="2"/>
  <c r="AE37" i="2" s="1"/>
  <c r="AA6" i="2"/>
  <c r="Z37" i="2"/>
  <c r="O2" i="3"/>
  <c r="O33" i="3" s="1"/>
  <c r="R37" i="2"/>
  <c r="R39" i="2" s="1"/>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T11" i="3"/>
  <c r="T16" i="3"/>
  <c r="I17" i="1"/>
  <c r="S19" i="3"/>
  <c r="S26" i="3"/>
  <c r="S4" i="3"/>
  <c r="AA17" i="2"/>
  <c r="AO17" i="2" s="1"/>
  <c r="S15" i="3"/>
  <c r="K15" i="1"/>
  <c r="K11" i="1"/>
  <c r="K8" i="1"/>
  <c r="K4" i="1"/>
  <c r="N31" i="3"/>
  <c r="K31" i="1" s="1"/>
  <c r="K25" i="1"/>
  <c r="K29" i="1"/>
  <c r="E24" i="1"/>
  <c r="E13" i="1"/>
  <c r="E6" i="1"/>
  <c r="X30" i="3"/>
  <c r="I30" i="1" s="1"/>
  <c r="AL34" i="2"/>
  <c r="AM34" i="2" s="1"/>
  <c r="AL24" i="2"/>
  <c r="AM24" i="2" s="1"/>
  <c r="AL9" i="2"/>
  <c r="AM9" i="2" s="1"/>
  <c r="X4" i="3"/>
  <c r="X19" i="3"/>
  <c r="AE17" i="2"/>
  <c r="T8" i="3"/>
  <c r="I8" i="1" s="1"/>
  <c r="T24" i="3"/>
  <c r="G13" i="1"/>
  <c r="S13" i="3"/>
  <c r="AO33" i="2"/>
  <c r="S14" i="3"/>
  <c r="G15" i="1"/>
  <c r="P29" i="3"/>
  <c r="AA9" i="2"/>
  <c r="AO9" i="2" s="1"/>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AE22" i="2"/>
  <c r="AO22" i="2" s="1"/>
  <c r="S22" i="3"/>
  <c r="S21" i="3"/>
  <c r="G21" i="1"/>
  <c r="AO23" i="2"/>
  <c r="T10" i="3"/>
  <c r="AE14" i="2"/>
  <c r="AO14" i="2" s="1"/>
  <c r="AL32" i="2"/>
  <c r="AM32" i="2" s="1"/>
  <c r="X28" i="3"/>
  <c r="I28" i="1" s="1"/>
  <c r="AL28" i="2"/>
  <c r="AM28" i="2" s="1"/>
  <c r="X24" i="3"/>
  <c r="I24" i="1" s="1"/>
  <c r="X16" i="3"/>
  <c r="AL20" i="2"/>
  <c r="AM20" i="2" s="1"/>
  <c r="T6" i="3"/>
  <c r="X3" i="3"/>
  <c r="I3" i="1" s="1"/>
  <c r="S24"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7" i="1" l="1"/>
  <c r="AO25" i="2"/>
  <c r="S17" i="3"/>
  <c r="I10" i="1"/>
  <c r="K33" i="1"/>
  <c r="E33" i="1"/>
  <c r="I18" i="1"/>
  <c r="T33" i="3"/>
  <c r="AA37" i="2"/>
  <c r="AM6" i="2"/>
  <c r="AM37" i="2" s="1"/>
  <c r="AL37" i="2"/>
  <c r="AO6"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I33" i="1" l="1"/>
  <c r="G33" i="1"/>
  <c r="S33" i="3"/>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<sst xmlns="http://schemas.openxmlformats.org/spreadsheetml/2006/main" count="220" uniqueCount="105">
  <si>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</si>
  <si>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</si>
  <si>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</si>
  <si>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</si>
  <si>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</si>
  <si>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</si>
  <si>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</si>
  <si>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</si>
  <si>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</si>
  <si>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</si>
  <si>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</si>
  <si>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</si>
  <si>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</si>
  <si>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</si>
  <si>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</si>
  <si>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</si>
  <si>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</si>
  <si>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</si>
  <si>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</si>
  <si>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</si>
  <si>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</si>
  <si>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</si>
  <si>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</si>
  <si>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</si>
  <si>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</si>
  <si>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</si>
  <si>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</si>
  <si>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</si>
  <si>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</si>
  <si>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</si>
  <si>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</si>
  <si>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</si>
  <si>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</si>
  <si>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</si>
  <si>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</si>
  <si>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</si>
  <si>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</si>
  <si>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</si>
  <si>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</si>
  <si>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</si>
  <si>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</si>
  <si>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</si>
  <si>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</si>
  <si>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</si>
  <si>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</si>
  <si>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</si>
  <si>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</si>
  <si>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</si>
  <si>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</si>
  <si>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</si>
  <si>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</si>
  <si>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</si>
  <si>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</si>
  <si>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</si>
  <si>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</si>
  <si>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</si>
  <si>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</si>
  <si>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</si>
  <si>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</si>
  <si>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</si>
  <si>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</si>
  <si>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</si>
  <si>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</si>
  <si>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</si>
  <si>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</si>
  <si>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</si>
  <si>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</si>
  <si>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</si>
  <si>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</si>
  <si>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</si>
  <si>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</si>
  <si>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</si>
  <si>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</si>
  <si>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</si>
  <si>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</si>
  <si>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</si>
  <si>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</si>
  <si>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</si>
  <si>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</si>
  <si>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</si>
  <si>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</si>
  <si>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</si>
  <si>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</si>
  <si>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</si>
  <si>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</si>
  <si>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</si>
  <si>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</si>
  <si>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</si>
  <si>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</si>
  <si>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</si>
  <si>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</si>
  <si>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</si>
  <si>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</si>
  <si>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</si>
  <si>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</si>
  <si>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</si>
  <si>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</si>
  <si>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</si>
  <si>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</si>
  <si>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</si>
  <si>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</si>
  <si>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</si>
  <si>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</si>
  <si>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</si>
  <si>
    <t>0001523.22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</si>
</sst>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7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22" xfId="0" applyBorder="1" applyAlignment="1">
      <alignment horizontal="center" vertical="center"/>
    </xf>
    <xf numFmtId="3" fontId="0" fillId="0" borderId="0" xfId="0" applyNumberFormat="1" applyAlignment="1">
      <alignment horizontal="center"/>
    </xf>
    <xf numFmtId="3" fontId="0" fillId="0" borderId="5" xfId="0" applyNumberFormat="1" applyBorder="1" applyAlignment="1">
      <alignment horizontal="center"/>
    </xf>
    <xf numFmtId="3" fontId="0" fillId="0" borderId="1" xfId="0" applyNumberFormat="1" applyBorder="1" applyAlignment="1">
      <alignment horizontal="center"/>
    </xf>
    <xf numFmtId="3" fontId="0" fillId="0" borderId="13" xfId="0" applyNumberFormat="1" applyBorder="1" applyAlignment="1">
      <alignment horizontal="center"/>
    </xf>
    <xf numFmtId="3" fontId="0" fillId="0" borderId="20" xfId="0" applyNumberFormat="1" applyBorder="1" applyAlignment="1">
      <alignment horizontal="center"/>
    </xf>
    <xf numFmtId="1" fontId="0" fillId="0" borderId="16" xfId="0" applyNumberFormat="1" applyBorder="1" applyAlignment="1">
      <alignment horizontal="center" vertical="center"/>
    </xf>
    <xf numFmtId="1" fontId="0" fillId="0" borderId="17" xfId="0" applyNumberFormat="1" applyBorder="1" applyAlignment="1">
      <alignment horizontal="center" vertical="center"/>
    </xf>
    <xf numFmtId="1" fontId="0" fillId="0" borderId="13" xfId="0" applyNumberFormat="1" applyBorder="1" applyAlignment="1">
      <alignment horizontal="center" vertical="center"/>
    </xf>
    <xf numFmtId="1" fontId="0" fillId="0" borderId="23" xfId="0" applyNumberFormat="1" applyBorder="1" applyAlignment="1">
      <alignment horizontal="center" vertical="center"/>
    </xf>
    <xf numFmtId="1" fontId="0" fillId="0" borderId="21" xfId="0" applyNumberFormat="1" applyBorder="1" applyAlignment="1">
      <alignment horizontal="center" vertical="center"/>
    </xf>
    <xf numFmtId="0" fontId="0" fillId="0" borderId="19" xfId="0"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M33" sqref="M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0" t="s">
        <v>0</v>
      </c>
      <c r="B1" s="131" t="s">
        <v>1</v>
      </c>
      <c r="C1" s="132" t="s">
        <v>2</v>
      </c>
      <c r="D1" s="131" t="s">
        <v>3</v>
      </c>
      <c r="E1" s="133" t="s">
        <v>4</v>
      </c>
      <c r="F1" s="134" t="s">
        <v>5</v>
      </c>
      <c r="G1" s="133" t="s">
        <v>10</v>
      </c>
      <c r="H1" s="134" t="s">
        <v>11</v>
      </c>
      <c r="I1" s="135" t="s">
        <v>82</v>
      </c>
      <c r="J1" s="136" t="s">
        <v>83</v>
      </c>
      <c r="K1" s="133" t="s">
        <v>6</v>
      </c>
      <c r="L1" s="137" t="s">
        <v>7</v>
      </c>
      <c r="M1" s="133" t="s">
        <v>8</v>
      </c>
      <c r="N1" s="138" t="s">
        <v>9</v>
      </c>
    </row>
    <row r="2" spans="1:15" x14ac:dyDescent="0.25">
      <c r="A2" s="121" t="s">
        <v>80</v>
      </c>
      <c r="B2" s="122">
        <v>1</v>
      </c>
      <c r="C2" s="123">
        <v>8</v>
      </c>
      <c r="D2" s="122">
        <v>2020</v>
      </c>
      <c r="E2" s="112">
        <f>Submetering!E2+Submetering!F2+Submetering!G2+Submetering!H2+Submetering!I2+Submetering!J2+Submetering!K2</f>
        <v>28602</v>
      </c>
      <c r="F2" s="124">
        <v>0.2</v>
      </c>
      <c r="G2" s="112">
        <f>Submetering!P2</f>
        <v>458.89999999990687</v>
      </c>
      <c r="H2" s="124">
        <v>6.47</v>
      </c>
      <c r="I2" s="150">
        <f>Submetering!T2-Submetering!T2*15%-Submetering!X2</f>
        <v>70314.125599995634</v>
      </c>
      <c r="J2" s="111">
        <v>0.21</v>
      </c>
      <c r="K2" s="112">
        <f>Submetering!N2-Submetering!O2</f>
        <v>41.934000000000012</v>
      </c>
      <c r="L2" s="124">
        <v>7.84</v>
      </c>
      <c r="M2" s="112">
        <f>Submetering!Y2</f>
        <v>143</v>
      </c>
      <c r="N2" s="113">
        <f>Submetering!Z2</f>
        <v>315</v>
      </c>
    </row>
    <row r="3" spans="1:15" x14ac:dyDescent="0.25">
      <c r="A3" s="125" t="s">
        <v>80</v>
      </c>
      <c r="B3" s="72">
        <f>B2+1</f>
        <v>2</v>
      </c>
      <c r="C3" s="73">
        <v>8</v>
      </c>
      <c r="D3" s="72">
        <v>2020</v>
      </c>
      <c r="E3" s="71">
        <f>Submetering!E3+Submetering!F3+Submetering!G3+Submetering!H3+Submetering!I3+Submetering!J3+Submetering!K3</f>
        <v>28537</v>
      </c>
      <c r="F3" s="74">
        <v>0.2</v>
      </c>
      <c r="G3" s="71">
        <f>Submetering!P3</f>
        <v>450.10000000009313</v>
      </c>
      <c r="H3" s="74">
        <v>6.47</v>
      </c>
      <c r="I3" s="151">
        <f>Submetering!T3-Submetering!T3*15%-Submetering!X3</f>
        <v>71840.550600004368</v>
      </c>
      <c r="J3" s="70">
        <v>0.21</v>
      </c>
      <c r="K3" s="71">
        <f>Submetering!N3-Submetering!O3</f>
        <v>98.95</v>
      </c>
      <c r="L3" s="74">
        <v>7.84</v>
      </c>
      <c r="M3" s="71">
        <f>Submetering!Y3</f>
        <v>94</v>
      </c>
      <c r="N3" s="115">
        <f>Submetering!Z3</f>
        <v>201</v>
      </c>
    </row>
    <row r="4" spans="1:15" x14ac:dyDescent="0.25">
      <c r="A4" s="125" t="s">
        <v>80</v>
      </c>
      <c r="B4" s="72">
        <f t="shared" ref="B4:B32" si="0">B3+1</f>
        <v>3</v>
      </c>
      <c r="C4" s="73">
        <v>8</v>
      </c>
      <c r="D4" s="72">
        <v>2020</v>
      </c>
      <c r="E4" s="71">
        <f>Submetering!E4+Submetering!F4+Submetering!G4+Submetering!H4+Submetering!I4+Submetering!J4+Submetering!K4</f>
        <v>28891</v>
      </c>
      <c r="F4" s="74">
        <v>0.2</v>
      </c>
      <c r="G4" s="71">
        <f>Submetering!P4</f>
        <v>416.19999999995343</v>
      </c>
      <c r="H4" s="74">
        <v>6.47</v>
      </c>
      <c r="I4" s="151">
        <f>Submetering!T4-Submetering!T4*15%-Submetering!X4</f>
        <v>71443.343999997087</v>
      </c>
      <c r="J4" s="70">
        <v>0.21</v>
      </c>
      <c r="K4" s="71">
        <f>Submetering!N4-Submetering!O4</f>
        <v>57.352000000000004</v>
      </c>
      <c r="L4" s="74">
        <v>7.84</v>
      </c>
      <c r="M4" s="71">
        <f>Submetering!Y4</f>
        <v>92</v>
      </c>
      <c r="N4" s="115">
        <f>Submetering!Z4</f>
        <v>180</v>
      </c>
    </row>
    <row r="5" spans="1:15" x14ac:dyDescent="0.25">
      <c r="A5" s="125" t="s">
        <v>80</v>
      </c>
      <c r="B5" s="72">
        <f t="shared" si="0"/>
        <v>4</v>
      </c>
      <c r="C5" s="73">
        <v>8</v>
      </c>
      <c r="D5" s="72">
        <v>2020</v>
      </c>
      <c r="E5" s="71">
        <f>Submetering!E5+Submetering!F5+Submetering!G5+Submetering!H5+Submetering!I5+Submetering!J5+Submetering!K5</f>
        <v>29265</v>
      </c>
      <c r="F5" s="74">
        <v>0.2</v>
      </c>
      <c r="G5" s="71">
        <f>Submetering!P5</f>
        <v>398.90000000002328</v>
      </c>
      <c r="H5" s="74">
        <v>6.47</v>
      </c>
      <c r="I5" s="151">
        <f>Submetering!T5-Submetering!T5*15%-Submetering!X5</f>
        <v>79041.823400004359</v>
      </c>
      <c r="J5" s="70">
        <v>0.21</v>
      </c>
      <c r="K5" s="81">
        <f>Submetering!N5-Submetering!O5</f>
        <v>59.046999999999997</v>
      </c>
      <c r="L5" s="74">
        <v>7.84</v>
      </c>
      <c r="M5" s="71">
        <f>Submetering!Y5</f>
        <v>110</v>
      </c>
      <c r="N5" s="115">
        <f>Submetering!Z5</f>
        <v>205</v>
      </c>
    </row>
    <row r="6" spans="1:15" x14ac:dyDescent="0.25">
      <c r="A6" s="125" t="s">
        <v>80</v>
      </c>
      <c r="B6" s="72">
        <f t="shared" si="0"/>
        <v>5</v>
      </c>
      <c r="C6" s="73">
        <v>8</v>
      </c>
      <c r="D6" s="72">
        <v>2020</v>
      </c>
      <c r="E6" s="71">
        <f>Submetering!E6+Submetering!F6+Submetering!G6+Submetering!H6+Submetering!I6+Submetering!J6+Submetering!K6</f>
        <v>29840</v>
      </c>
      <c r="F6" s="74">
        <v>0.2</v>
      </c>
      <c r="G6" s="71">
        <f>Submetering!P6</f>
        <v>392.59999999997672</v>
      </c>
      <c r="H6" s="74">
        <v>6.47</v>
      </c>
      <c r="I6" s="151">
        <f>Submetering!T6-Submetering!T6*15%-Submetering!X6</f>
        <v>78494.437199998545</v>
      </c>
      <c r="J6" s="70">
        <v>0.21</v>
      </c>
      <c r="K6" s="71">
        <f>Submetering!N6-Submetering!O6</f>
        <v>113.71099999999998</v>
      </c>
      <c r="L6" s="74">
        <v>7.84</v>
      </c>
      <c r="M6" s="71">
        <f>Submetering!Y6</f>
        <v>113</v>
      </c>
      <c r="N6" s="115">
        <f>Submetering!Z6</f>
        <v>207</v>
      </c>
    </row>
    <row r="7" spans="1:15" x14ac:dyDescent="0.25">
      <c r="A7" s="125" t="s">
        <v>80</v>
      </c>
      <c r="B7" s="72">
        <f t="shared" si="0"/>
        <v>6</v>
      </c>
      <c r="C7" s="73">
        <v>8</v>
      </c>
      <c r="D7" s="72">
        <v>2020</v>
      </c>
      <c r="E7" s="71">
        <f>Submetering!E7+Submetering!F7+Submetering!G7+Submetering!H7+Submetering!I7+Submetering!J7+Submetering!K7</f>
        <v>29930</v>
      </c>
      <c r="F7" s="74">
        <v>0.2</v>
      </c>
      <c r="G7" s="71">
        <f>Submetering!P7</f>
        <v>427.80000000004657</v>
      </c>
      <c r="H7" s="74">
        <v>6.47</v>
      </c>
      <c r="I7" s="151">
        <f>Submetering!T7-Submetering!T7*15%-Submetering!X7</f>
        <v>81941.473999998547</v>
      </c>
      <c r="J7" s="70">
        <v>0.21</v>
      </c>
      <c r="K7" s="71">
        <f>Submetering!N7-Submetering!O7</f>
        <v>60.056999999999988</v>
      </c>
      <c r="L7" s="74">
        <v>7.84</v>
      </c>
      <c r="M7" s="71">
        <f>Submetering!Y7</f>
        <v>109</v>
      </c>
      <c r="N7" s="115">
        <f>Submetering!Z7</f>
        <v>212</v>
      </c>
    </row>
    <row r="8" spans="1:15" x14ac:dyDescent="0.25">
      <c r="A8" s="125" t="s">
        <v>80</v>
      </c>
      <c r="B8" s="72">
        <f t="shared" si="0"/>
        <v>7</v>
      </c>
      <c r="C8" s="73">
        <v>8</v>
      </c>
      <c r="D8" s="72">
        <v>2020</v>
      </c>
      <c r="E8" s="71">
        <f>Submetering!E8+Submetering!F8+Submetering!G8+Submetering!H8+Submetering!I8+Submetering!J8+Submetering!K8</f>
        <v>30137</v>
      </c>
      <c r="F8" s="74">
        <v>0.2</v>
      </c>
      <c r="G8" s="71">
        <f>Submetering!P8</f>
        <v>443.89999999990687</v>
      </c>
      <c r="H8" s="74">
        <v>6.47</v>
      </c>
      <c r="I8" s="151">
        <f>Submetering!T8-Submetering!T8*15%-Submetering!X8</f>
        <v>83947.296999997096</v>
      </c>
      <c r="J8" s="70">
        <v>0.21</v>
      </c>
      <c r="K8" s="71">
        <f>Submetering!N8-Submetering!O8</f>
        <v>51.376000000000005</v>
      </c>
      <c r="L8" s="74">
        <v>7.84</v>
      </c>
      <c r="M8" s="71">
        <f>Submetering!Y8</f>
        <v>118</v>
      </c>
      <c r="N8" s="115">
        <f>Submetering!Z8</f>
        <v>237</v>
      </c>
    </row>
    <row r="9" spans="1:15" x14ac:dyDescent="0.25">
      <c r="A9" s="125" t="s">
        <v>80</v>
      </c>
      <c r="B9" s="72">
        <f t="shared" si="0"/>
        <v>8</v>
      </c>
      <c r="C9" s="73">
        <v>8</v>
      </c>
      <c r="D9" s="72">
        <v>2020</v>
      </c>
      <c r="E9" s="71">
        <f>Submetering!E9+Submetering!F9+Submetering!G9+Submetering!H9+Submetering!I9+Submetering!J9+Submetering!K9</f>
        <v>30016</v>
      </c>
      <c r="F9" s="74">
        <v>0.2</v>
      </c>
      <c r="G9" s="71">
        <f>Submetering!P9</f>
        <v>437.10000000009313</v>
      </c>
      <c r="H9" s="74">
        <v>6.47</v>
      </c>
      <c r="I9" s="151">
        <f>Submetering!T9-Submetering!T9*15%-Submetering!X9</f>
        <v>70998.75120000582</v>
      </c>
      <c r="J9" s="70">
        <v>0.21</v>
      </c>
      <c r="K9" s="71">
        <f>Submetering!N9-Submetering!O9</f>
        <v>87.873999999999995</v>
      </c>
      <c r="L9" s="74">
        <v>7.84</v>
      </c>
      <c r="M9" s="71">
        <f>Submetering!Y9</f>
        <v>82</v>
      </c>
      <c r="N9" s="115">
        <f>Submetering!Z9</f>
        <v>169</v>
      </c>
      <c r="O9" s="1" t="s">
        <v>12</v>
      </c>
    </row>
    <row r="10" spans="1:15" x14ac:dyDescent="0.25">
      <c r="A10" s="125" t="s">
        <v>80</v>
      </c>
      <c r="B10" s="72">
        <f t="shared" si="0"/>
        <v>9</v>
      </c>
      <c r="C10" s="73">
        <v>8</v>
      </c>
      <c r="D10" s="72">
        <v>2020</v>
      </c>
      <c r="E10" s="71">
        <f>Submetering!E10+Submetering!F10+Submetering!G10+Submetering!H10+Submetering!I10+Submetering!J10+Submetering!K10</f>
        <v>27617</v>
      </c>
      <c r="F10" s="74">
        <v>0.2</v>
      </c>
      <c r="G10" s="71">
        <f>Submetering!P10</f>
        <v>419.39999999990687</v>
      </c>
      <c r="H10" s="74">
        <v>6.47</v>
      </c>
      <c r="I10" s="151">
        <f>Submetering!T10-Submetering!T10*15%-Submetering!X10</f>
        <v>58738.291999994181</v>
      </c>
      <c r="J10" s="70">
        <v>0.21</v>
      </c>
      <c r="K10" s="71">
        <f>Submetering!N10-Submetering!O10</f>
        <v>52.034000000000006</v>
      </c>
      <c r="L10" s="74">
        <v>7.84</v>
      </c>
      <c r="M10" s="71">
        <f>Submetering!Y10</f>
        <v>81</v>
      </c>
      <c r="N10" s="115">
        <f>Submetering!Z10</f>
        <v>166</v>
      </c>
    </row>
    <row r="11" spans="1:15" x14ac:dyDescent="0.25">
      <c r="A11" s="125" t="s">
        <v>80</v>
      </c>
      <c r="B11" s="72">
        <f t="shared" si="0"/>
        <v>10</v>
      </c>
      <c r="C11" s="73">
        <v>8</v>
      </c>
      <c r="D11" s="72">
        <v>2020</v>
      </c>
      <c r="E11" s="71">
        <f>Submetering!E11+Submetering!F11+Submetering!G11+Submetering!H11+Submetering!I11+Submetering!J11+Submetering!K11</f>
        <v>29297</v>
      </c>
      <c r="F11" s="74">
        <v>0.2</v>
      </c>
      <c r="G11" s="71">
        <f>Submetering!P11</f>
        <v>404.20000000006985</v>
      </c>
      <c r="H11" s="74">
        <v>6.47</v>
      </c>
      <c r="I11" s="151">
        <f>Submetering!T11-Submetering!T11*15%-Submetering!X11</f>
        <v>73617.945800005822</v>
      </c>
      <c r="J11" s="70">
        <v>0.21</v>
      </c>
      <c r="K11" s="71">
        <f>Submetering!N11-Submetering!O11</f>
        <v>60.981999999999999</v>
      </c>
      <c r="L11" s="74">
        <v>7.84</v>
      </c>
      <c r="M11" s="71">
        <f>Submetering!Y11</f>
        <v>94</v>
      </c>
      <c r="N11" s="115">
        <f>Submetering!Z11</f>
        <v>187</v>
      </c>
    </row>
    <row r="12" spans="1:15" x14ac:dyDescent="0.25">
      <c r="A12" s="125" t="s">
        <v>80</v>
      </c>
      <c r="B12" s="72">
        <f t="shared" si="0"/>
        <v>11</v>
      </c>
      <c r="C12" s="73">
        <v>8</v>
      </c>
      <c r="D12" s="72">
        <v>2020</v>
      </c>
      <c r="E12" s="71">
        <f>Submetering!E12+Submetering!F12+Submetering!G12+Submetering!H12+Submetering!I12+Submetering!J12+Submetering!K12</f>
        <v>29474</v>
      </c>
      <c r="F12" s="74">
        <v>0.2</v>
      </c>
      <c r="G12" s="71">
        <f>Submetering!P12</f>
        <v>407.90000000002328</v>
      </c>
      <c r="H12" s="74">
        <v>6.47</v>
      </c>
      <c r="I12" s="151">
        <f>Submetering!T12-Submetering!T12*15%-Submetering!X12</f>
        <v>80979.617199997097</v>
      </c>
      <c r="J12" s="70">
        <v>0.21</v>
      </c>
      <c r="K12" s="71">
        <f>Submetering!N12-Submetering!O12</f>
        <v>130.09199999999998</v>
      </c>
      <c r="L12" s="74">
        <v>7.84</v>
      </c>
      <c r="M12" s="71">
        <f>Submetering!Y12</f>
        <v>100</v>
      </c>
      <c r="N12" s="115">
        <f>Submetering!Z12</f>
        <v>188</v>
      </c>
    </row>
    <row r="13" spans="1:15" x14ac:dyDescent="0.25">
      <c r="A13" s="125" t="s">
        <v>80</v>
      </c>
      <c r="B13" s="72">
        <f t="shared" si="0"/>
        <v>12</v>
      </c>
      <c r="C13" s="73">
        <v>8</v>
      </c>
      <c r="D13" s="72">
        <v>2020</v>
      </c>
      <c r="E13" s="71">
        <f>Submetering!E13+Submetering!F13+Submetering!G13+Submetering!H13+Submetering!I13+Submetering!J13+Submetering!K13</f>
        <v>29826</v>
      </c>
      <c r="F13" s="74">
        <v>0.2</v>
      </c>
      <c r="G13" s="71">
        <f>Submetering!P13</f>
        <v>407</v>
      </c>
      <c r="H13" s="74">
        <v>6.47</v>
      </c>
      <c r="I13" s="151">
        <f>Submetering!T13-Submetering!T13*15%-Submetering!X13</f>
        <v>83564.992400000017</v>
      </c>
      <c r="J13" s="70">
        <v>0.21</v>
      </c>
      <c r="K13" s="71">
        <f>Submetering!N13-Submetering!O13</f>
        <v>56.13000000000001</v>
      </c>
      <c r="L13" s="74">
        <v>7.84</v>
      </c>
      <c r="M13" s="71">
        <f>Submetering!Y13</f>
        <v>104</v>
      </c>
      <c r="N13" s="115">
        <f>Submetering!Z13</f>
        <v>209</v>
      </c>
    </row>
    <row r="14" spans="1:15" x14ac:dyDescent="0.25">
      <c r="A14" s="125" t="s">
        <v>80</v>
      </c>
      <c r="B14" s="72">
        <f t="shared" si="0"/>
        <v>13</v>
      </c>
      <c r="C14" s="73">
        <v>8</v>
      </c>
      <c r="D14" s="72">
        <v>2020</v>
      </c>
      <c r="E14" s="71">
        <f>Submetering!E14+Submetering!F14+Submetering!G14+Submetering!H14+Submetering!I14+Submetering!J14+Submetering!K14</f>
        <v>29942</v>
      </c>
      <c r="F14" s="74">
        <v>0.2</v>
      </c>
      <c r="G14" s="71">
        <f>Submetering!P14</f>
        <v>420</v>
      </c>
      <c r="H14" s="74">
        <v>6.47</v>
      </c>
      <c r="I14" s="151">
        <f>Submetering!T14-Submetering!T14*15%-Submetering!X14</f>
        <v>76823.850800002911</v>
      </c>
      <c r="J14" s="70">
        <v>0.21</v>
      </c>
      <c r="K14" s="71">
        <f>Submetering!N14-Submetering!O14</f>
        <v>73.924000000000021</v>
      </c>
      <c r="L14" s="74">
        <v>7.84</v>
      </c>
      <c r="M14" s="71">
        <f>Submetering!Y14</f>
        <v>85</v>
      </c>
      <c r="N14" s="115">
        <f>Submetering!Z14</f>
        <v>190</v>
      </c>
    </row>
    <row r="15" spans="1:15" x14ac:dyDescent="0.25">
      <c r="A15" s="125" t="s">
        <v>80</v>
      </c>
      <c r="B15" s="72">
        <f t="shared" si="0"/>
        <v>14</v>
      </c>
      <c r="C15" s="73">
        <v>8</v>
      </c>
      <c r="D15" s="72">
        <v>2020</v>
      </c>
      <c r="E15" s="71">
        <f>Submetering!E15+Submetering!F15+Submetering!G15+Submetering!H15+Submetering!I15+Submetering!J15+Submetering!K15</f>
        <v>29079</v>
      </c>
      <c r="F15" s="74">
        <v>0.2</v>
      </c>
      <c r="G15" s="71">
        <f>Submetering!P15</f>
        <v>426.29999999993015</v>
      </c>
      <c r="H15" s="74">
        <v>6.47</v>
      </c>
      <c r="I15" s="151">
        <f>Submetering!T15-Submetering!T15*15%-Submetering!X15</f>
        <v>71047.51359999564</v>
      </c>
      <c r="J15" s="70">
        <v>0.21</v>
      </c>
      <c r="K15" s="81">
        <f>Submetering!N15-Submetering!O15</f>
        <v>63.073999999999998</v>
      </c>
      <c r="L15" s="74">
        <v>7.84</v>
      </c>
      <c r="M15" s="71">
        <f>Submetering!Y15</f>
        <v>89</v>
      </c>
      <c r="N15" s="115">
        <f>Submetering!Z15</f>
        <v>200</v>
      </c>
    </row>
    <row r="16" spans="1:15" x14ac:dyDescent="0.25">
      <c r="A16" s="125" t="s">
        <v>80</v>
      </c>
      <c r="B16" s="72">
        <f t="shared" si="0"/>
        <v>15</v>
      </c>
      <c r="C16" s="73">
        <v>8</v>
      </c>
      <c r="D16" s="72">
        <v>2020</v>
      </c>
      <c r="E16" s="71">
        <f>Submetering!E16+Submetering!F16+Submetering!G16+Submetering!H16+Submetering!I16+Submetering!J16+Submetering!K16</f>
        <v>30122</v>
      </c>
      <c r="F16" s="74">
        <v>0.2</v>
      </c>
      <c r="G16" s="71">
        <f>Submetering!P16</f>
        <v>424.20000000006985</v>
      </c>
      <c r="H16" s="74">
        <v>6.47</v>
      </c>
      <c r="I16" s="151">
        <f>Submetering!T16-Submetering!T16*15%-Submetering!X16</f>
        <v>84247.019800000009</v>
      </c>
      <c r="J16" s="70">
        <v>0.21</v>
      </c>
      <c r="K16" s="71">
        <f>Submetering!N16-Submetering!O16</f>
        <v>61.15100000000001</v>
      </c>
      <c r="L16" s="74">
        <v>7.84</v>
      </c>
      <c r="M16" s="71">
        <f>Submetering!Y16</f>
        <v>84</v>
      </c>
      <c r="N16" s="115">
        <f>Submetering!Z16</f>
        <v>188</v>
      </c>
    </row>
    <row r="17" spans="1:14" x14ac:dyDescent="0.25">
      <c r="A17" s="125" t="s">
        <v>80</v>
      </c>
      <c r="B17" s="72">
        <f t="shared" si="0"/>
        <v>16</v>
      </c>
      <c r="C17" s="73">
        <v>8</v>
      </c>
      <c r="D17" s="72">
        <v>2020</v>
      </c>
      <c r="E17" s="71">
        <f>Submetering!E17+Submetering!F17+Submetering!G17+Submetering!H17+Submetering!I17+Submetering!J17+Submetering!K17</f>
        <v>29720</v>
      </c>
      <c r="F17" s="74">
        <v>0.2</v>
      </c>
      <c r="G17" s="71">
        <f>Submetering!P17</f>
        <v>404.69999999995343</v>
      </c>
      <c r="H17" s="74">
        <v>6.47</v>
      </c>
      <c r="I17" s="151">
        <f>Submetering!T17-Submetering!T17*15%-Submetering!X17</f>
        <v>84467.036200004382</v>
      </c>
      <c r="J17" s="70">
        <v>0.21</v>
      </c>
      <c r="K17" s="71">
        <f>Submetering!N17-Submetering!O17</f>
        <v>59.276000000000003</v>
      </c>
      <c r="L17" s="74">
        <v>7.84</v>
      </c>
      <c r="M17" s="71">
        <f>Submetering!Y17</f>
        <v>113</v>
      </c>
      <c r="N17" s="115">
        <f>Submetering!Z17</f>
        <v>231</v>
      </c>
    </row>
    <row r="18" spans="1:14" x14ac:dyDescent="0.25">
      <c r="A18" s="125" t="s">
        <v>80</v>
      </c>
      <c r="B18" s="72">
        <f t="shared" si="0"/>
        <v>17</v>
      </c>
      <c r="C18" s="73">
        <v>8</v>
      </c>
      <c r="D18" s="72">
        <v>2020</v>
      </c>
      <c r="E18" s="71">
        <f>Submetering!E18+Submetering!F18+Submetering!G18+Submetering!H18+Submetering!I18+Submetering!J18+Submetering!K18</f>
        <v>30189</v>
      </c>
      <c r="F18" s="74">
        <v>0.2</v>
      </c>
      <c r="G18" s="71">
        <f>Submetering!P18</f>
        <v>411.30000000004657</v>
      </c>
      <c r="H18" s="74">
        <v>6.47</v>
      </c>
      <c r="I18" s="151">
        <f>Submetering!T18-Submetering!T18*15%-Submetering!X18</f>
        <v>81658.224599995636</v>
      </c>
      <c r="J18" s="70">
        <v>0.21</v>
      </c>
      <c r="K18" s="71">
        <f>Submetering!N18-Submetering!O18</f>
        <v>57.753999999999998</v>
      </c>
      <c r="L18" s="74">
        <v>7.84</v>
      </c>
      <c r="M18" s="71">
        <f>Submetering!Y18</f>
        <v>128</v>
      </c>
      <c r="N18" s="115">
        <f>Submetering!Z18</f>
        <v>256</v>
      </c>
    </row>
    <row r="19" spans="1:14" x14ac:dyDescent="0.25">
      <c r="A19" s="125" t="s">
        <v>80</v>
      </c>
      <c r="B19" s="72">
        <f t="shared" si="0"/>
        <v>18</v>
      </c>
      <c r="C19" s="73">
        <v>8</v>
      </c>
      <c r="D19" s="72">
        <v>2020</v>
      </c>
      <c r="E19" s="71">
        <f>Submetering!E19+Submetering!F19+Submetering!G19+Submetering!H19+Submetering!I19+Submetering!J19+Submetering!K19</f>
        <v>30344</v>
      </c>
      <c r="F19" s="74">
        <v>0.2</v>
      </c>
      <c r="G19" s="71">
        <f>Submetering!P19</f>
        <v>434.5</v>
      </c>
      <c r="H19" s="74">
        <v>6.47</v>
      </c>
      <c r="I19" s="151">
        <f>Submetering!T19-Submetering!T19*15%-Submetering!X19</f>
        <v>77098.720000001456</v>
      </c>
      <c r="J19" s="70">
        <v>0.21</v>
      </c>
      <c r="K19" s="71">
        <f>Submetering!N19-Submetering!O19</f>
        <v>79.441000000000017</v>
      </c>
      <c r="L19" s="74">
        <v>7.84</v>
      </c>
      <c r="M19" s="71">
        <f>Submetering!Y19</f>
        <v>125</v>
      </c>
      <c r="N19" s="115">
        <f>Submetering!Z19</f>
        <v>252</v>
      </c>
    </row>
    <row r="20" spans="1:14" x14ac:dyDescent="0.25">
      <c r="A20" s="125" t="s">
        <v>80</v>
      </c>
      <c r="B20" s="72">
        <f t="shared" si="0"/>
        <v>19</v>
      </c>
      <c r="C20" s="73">
        <v>8</v>
      </c>
      <c r="D20" s="72">
        <v>2020</v>
      </c>
      <c r="E20" s="71">
        <f>Submetering!E20+Submetering!F20+Submetering!G20+Submetering!H20+Submetering!I20+Submetering!J20+Submetering!K20</f>
        <v>30397</v>
      </c>
      <c r="F20" s="74">
        <v>0.2</v>
      </c>
      <c r="G20" s="71">
        <f>Submetering!P20</f>
        <v>447.59999999997672</v>
      </c>
      <c r="H20" s="74">
        <v>6.47</v>
      </c>
      <c r="I20" s="151">
        <f>Submetering!T20-Submetering!T20*15%-Submetering!X20</f>
        <v>84236.246400000004</v>
      </c>
      <c r="J20" s="70">
        <v>0.21</v>
      </c>
      <c r="K20" s="71">
        <f>Submetering!N20-Submetering!O20</f>
        <v>55.070000000000007</v>
      </c>
      <c r="L20" s="74">
        <v>7.84</v>
      </c>
      <c r="M20" s="71">
        <f>Submetering!Y20</f>
        <v>107</v>
      </c>
      <c r="N20" s="115">
        <f>Submetering!Z20</f>
        <v>211</v>
      </c>
    </row>
    <row r="21" spans="1:14" x14ac:dyDescent="0.25">
      <c r="A21" s="125" t="s">
        <v>80</v>
      </c>
      <c r="B21" s="72">
        <f t="shared" si="0"/>
        <v>20</v>
      </c>
      <c r="C21" s="73">
        <v>8</v>
      </c>
      <c r="D21" s="72">
        <v>2020</v>
      </c>
      <c r="E21" s="71">
        <f>Submetering!E21+Submetering!F21+Submetering!G21+Submetering!H21+Submetering!I21+Submetering!J21+Submetering!K21</f>
        <v>30977</v>
      </c>
      <c r="F21" s="74">
        <v>0.2</v>
      </c>
      <c r="G21" s="71">
        <f>Submetering!P21</f>
        <v>463.29999999993015</v>
      </c>
      <c r="H21" s="74">
        <v>6.47</v>
      </c>
      <c r="I21" s="151">
        <f>Submetering!T21-Submetering!T21*15%-Submetering!X21</f>
        <v>86555.440999997081</v>
      </c>
      <c r="J21" s="70">
        <v>0.21</v>
      </c>
      <c r="K21" s="71">
        <f>Submetering!N21-Submetering!O21</f>
        <v>57.940999999999988</v>
      </c>
      <c r="L21" s="74">
        <v>7.84</v>
      </c>
      <c r="M21" s="71">
        <f>Submetering!Y21</f>
        <v>113</v>
      </c>
      <c r="N21" s="115">
        <f>Submetering!Z21</f>
        <v>222</v>
      </c>
    </row>
    <row r="22" spans="1:14" x14ac:dyDescent="0.25">
      <c r="A22" s="125" t="s">
        <v>80</v>
      </c>
      <c r="B22" s="72">
        <f t="shared" si="0"/>
        <v>21</v>
      </c>
      <c r="C22" s="73">
        <v>8</v>
      </c>
      <c r="D22" s="72">
        <v>2020</v>
      </c>
      <c r="E22" s="71">
        <f>Submetering!E22+Submetering!F22+Submetering!G22+Submetering!H22+Submetering!I22+Submetering!J22+Submetering!K22</f>
        <v>30680</v>
      </c>
      <c r="F22" s="74">
        <v>0.2</v>
      </c>
      <c r="G22" s="71">
        <f>Submetering!P22</f>
        <v>504.60000000009313</v>
      </c>
      <c r="H22" s="74">
        <v>6.47</v>
      </c>
      <c r="I22" s="151">
        <f>Submetering!T22-Submetering!T22*15%-Submetering!X22</f>
        <v>80148.314000005819</v>
      </c>
      <c r="J22" s="70">
        <v>0.21</v>
      </c>
      <c r="K22" s="71">
        <f>Submetering!N22-Submetering!O22</f>
        <v>50.465000000000003</v>
      </c>
      <c r="L22" s="74">
        <v>7.84</v>
      </c>
      <c r="M22" s="71">
        <f>Submetering!Y22</f>
        <v>126</v>
      </c>
      <c r="N22" s="115">
        <f>Submetering!Z22</f>
        <v>265</v>
      </c>
    </row>
    <row r="23" spans="1:14" x14ac:dyDescent="0.25">
      <c r="A23" s="125" t="s">
        <v>80</v>
      </c>
      <c r="B23" s="72">
        <f t="shared" si="0"/>
        <v>22</v>
      </c>
      <c r="C23" s="73">
        <v>8</v>
      </c>
      <c r="D23" s="72">
        <v>2020</v>
      </c>
      <c r="E23" s="71">
        <f>Submetering!E23+Submetering!F23+Submetering!G23+Submetering!H23+Submetering!I23+Submetering!J23+Submetering!K23</f>
        <v>32171</v>
      </c>
      <c r="F23" s="74">
        <v>0.2</v>
      </c>
      <c r="G23" s="71">
        <f>Submetering!P23</f>
        <v>479.19999999995343</v>
      </c>
      <c r="H23" s="74">
        <v>6.47</v>
      </c>
      <c r="I23" s="151">
        <f>Submetering!T23-Submetering!T23*15%-Submetering!X23</f>
        <v>83322.207199998549</v>
      </c>
      <c r="J23" s="70">
        <v>0.21</v>
      </c>
      <c r="K23" s="71">
        <f>Submetering!N23-Submetering!O23</f>
        <v>31.247000000000014</v>
      </c>
      <c r="L23" s="74">
        <v>7.84</v>
      </c>
      <c r="M23" s="71">
        <f>Submetering!Y23</f>
        <v>89</v>
      </c>
      <c r="N23" s="115">
        <f>Submetering!Z23</f>
        <v>196</v>
      </c>
    </row>
    <row r="24" spans="1:14" x14ac:dyDescent="0.25">
      <c r="A24" s="125" t="s">
        <v>80</v>
      </c>
      <c r="B24" s="72">
        <f t="shared" si="0"/>
        <v>23</v>
      </c>
      <c r="C24" s="73">
        <v>8</v>
      </c>
      <c r="D24" s="72">
        <v>2020</v>
      </c>
      <c r="E24" s="71">
        <f>Submetering!E24+Submetering!F24+Submetering!G24+Submetering!H24+Submetering!I24+Submetering!J24+Submetering!K24</f>
        <v>28794</v>
      </c>
      <c r="F24" s="74">
        <v>0.2</v>
      </c>
      <c r="G24" s="71">
        <f>Submetering!P24</f>
        <v>448.59999999997672</v>
      </c>
      <c r="H24" s="74">
        <v>6.47</v>
      </c>
      <c r="I24" s="151">
        <f>Submetering!T24-Submetering!T24*15%-Submetering!X24</f>
        <v>69939.133400000006</v>
      </c>
      <c r="J24" s="70">
        <v>0.21</v>
      </c>
      <c r="K24" s="71">
        <f>Submetering!N24-Submetering!O24</f>
        <v>87.077000000000012</v>
      </c>
      <c r="L24" s="74">
        <v>7.84</v>
      </c>
      <c r="M24" s="71">
        <f>Submetering!Y24</f>
        <v>75</v>
      </c>
      <c r="N24" s="115">
        <f>Submetering!Z24</f>
        <v>153</v>
      </c>
    </row>
    <row r="25" spans="1:14" x14ac:dyDescent="0.25">
      <c r="A25" s="125" t="s">
        <v>80</v>
      </c>
      <c r="B25" s="72">
        <f t="shared" si="0"/>
        <v>24</v>
      </c>
      <c r="C25" s="73">
        <v>8</v>
      </c>
      <c r="D25" s="72">
        <v>2020</v>
      </c>
      <c r="E25" s="71">
        <f>Submetering!E25+Submetering!F25+Submetering!G25+Submetering!H25+Submetering!I25+Submetering!J25+Submetering!K25</f>
        <v>29795</v>
      </c>
      <c r="F25" s="74">
        <v>0.2</v>
      </c>
      <c r="G25" s="71">
        <f>Submetering!P25</f>
        <v>435.80000000004657</v>
      </c>
      <c r="H25" s="74">
        <v>6.47</v>
      </c>
      <c r="I25" s="151">
        <f>Submetering!T25-Submetering!T25*15%-Submetering!X25</f>
        <v>69273.620399997089</v>
      </c>
      <c r="J25" s="70">
        <v>0.21</v>
      </c>
      <c r="K25" s="71">
        <f>Submetering!N25-Submetering!O25</f>
        <v>51.798999999999992</v>
      </c>
      <c r="L25" s="74">
        <v>7.84</v>
      </c>
      <c r="M25" s="71">
        <f>Submetering!Y25</f>
        <v>100</v>
      </c>
      <c r="N25" s="115">
        <f>Submetering!Z25</f>
        <v>194</v>
      </c>
    </row>
    <row r="26" spans="1:14" x14ac:dyDescent="0.25">
      <c r="A26" s="125" t="s">
        <v>80</v>
      </c>
      <c r="B26" s="72">
        <f>B25+1</f>
        <v>25</v>
      </c>
      <c r="C26" s="73">
        <v>8</v>
      </c>
      <c r="D26" s="72">
        <v>2020</v>
      </c>
      <c r="E26" s="71">
        <f>Submetering!E26+Submetering!F26+Submetering!G26+Submetering!H26+Submetering!I26+Submetering!J26+Submetering!K26</f>
        <v>27695</v>
      </c>
      <c r="F26" s="74">
        <v>0.2</v>
      </c>
      <c r="G26" s="71">
        <f>Submetering!P26</f>
        <v>461.69999999995343</v>
      </c>
      <c r="H26" s="74">
        <v>6.47</v>
      </c>
      <c r="I26" s="151">
        <f>Submetering!T26-Submetering!T26*15%-Submetering!X26</f>
        <v>69715.501800002909</v>
      </c>
      <c r="J26" s="70">
        <v>0.21</v>
      </c>
      <c r="K26" s="71">
        <f>Submetering!N26-Submetering!O26</f>
        <v>83.728999999999999</v>
      </c>
      <c r="L26" s="74">
        <v>7.84</v>
      </c>
      <c r="M26" s="71">
        <f>Submetering!Y26</f>
        <v>124</v>
      </c>
      <c r="N26" s="115">
        <f>Submetering!Z26</f>
        <v>242</v>
      </c>
    </row>
    <row r="27" spans="1:14" x14ac:dyDescent="0.25">
      <c r="A27" s="125" t="s">
        <v>80</v>
      </c>
      <c r="B27" s="72">
        <f t="shared" si="0"/>
        <v>26</v>
      </c>
      <c r="C27" s="73">
        <v>8</v>
      </c>
      <c r="D27" s="72">
        <v>2020</v>
      </c>
      <c r="E27" s="71">
        <f>Submetering!E27+Submetering!F27+Submetering!G27+Submetering!H27+Submetering!I27+Submetering!J27+Submetering!K27</f>
        <v>26007</v>
      </c>
      <c r="F27" s="74">
        <v>0.2</v>
      </c>
      <c r="G27" s="71">
        <f>Submetering!P27</f>
        <v>459.5</v>
      </c>
      <c r="H27" s="74">
        <v>6.47</v>
      </c>
      <c r="I27" s="151">
        <f>Submetering!T27-Submetering!T27*15%-Submetering!X27</f>
        <v>62531.615999997099</v>
      </c>
      <c r="J27" s="70">
        <v>0.21</v>
      </c>
      <c r="K27" s="71">
        <f>Submetering!N27-Submetering!O27</f>
        <v>51.217999999999989</v>
      </c>
      <c r="L27" s="74">
        <v>7.84</v>
      </c>
      <c r="M27" s="71">
        <f>Submetering!Y27</f>
        <v>122</v>
      </c>
      <c r="N27" s="115">
        <f>Submetering!Z27</f>
        <v>245</v>
      </c>
    </row>
    <row r="28" spans="1:14" x14ac:dyDescent="0.25">
      <c r="A28" s="125" t="s">
        <v>80</v>
      </c>
      <c r="B28" s="72">
        <f t="shared" si="0"/>
        <v>27</v>
      </c>
      <c r="C28" s="73">
        <v>8</v>
      </c>
      <c r="D28" s="72">
        <v>2020</v>
      </c>
      <c r="E28" s="71">
        <f>Submetering!E28+Submetering!F28+Submetering!G28+Submetering!H28+Submetering!I28+Submetering!J28+Submetering!K28</f>
        <v>26770</v>
      </c>
      <c r="F28" s="74">
        <v>0.2</v>
      </c>
      <c r="G28" s="71">
        <f>Submetering!P28</f>
        <v>473.09999999997672</v>
      </c>
      <c r="H28" s="74">
        <v>6.47</v>
      </c>
      <c r="I28" s="151">
        <f>Submetering!T28-Submetering!T28*15%-Submetering!X28</f>
        <v>72282.555000001463</v>
      </c>
      <c r="J28" s="70">
        <v>0.21</v>
      </c>
      <c r="K28" s="71">
        <f>Submetering!N28-Submetering!O28</f>
        <v>91.313000000000002</v>
      </c>
      <c r="L28" s="74">
        <v>7.84</v>
      </c>
      <c r="M28" s="71">
        <f>Submetering!Y28</f>
        <v>135</v>
      </c>
      <c r="N28" s="115">
        <f>Submetering!Z28</f>
        <v>284</v>
      </c>
    </row>
    <row r="29" spans="1:14" x14ac:dyDescent="0.25">
      <c r="A29" s="125" t="s">
        <v>80</v>
      </c>
      <c r="B29" s="72">
        <f t="shared" si="0"/>
        <v>28</v>
      </c>
      <c r="C29" s="73">
        <v>8</v>
      </c>
      <c r="D29" s="72">
        <v>2020</v>
      </c>
      <c r="E29" s="71">
        <f>Submetering!E29+Submetering!F29+Submetering!G29+Submetering!H29+Submetering!I29+Submetering!J29+Submetering!K29</f>
        <v>26519</v>
      </c>
      <c r="F29" s="74">
        <v>0.2</v>
      </c>
      <c r="G29" s="71">
        <f>Submetering!P29</f>
        <v>503.90000000002328</v>
      </c>
      <c r="H29" s="74">
        <v>6.47</v>
      </c>
      <c r="I29" s="151">
        <f>Submetering!T29-Submetering!T29*15%-Submetering!X29</f>
        <v>64257.178200000009</v>
      </c>
      <c r="J29" s="70">
        <v>0.21</v>
      </c>
      <c r="K29" s="71">
        <f>Submetering!N29-Submetering!O29</f>
        <v>45.941000000000003</v>
      </c>
      <c r="L29" s="74">
        <v>7.84</v>
      </c>
      <c r="M29" s="71">
        <f>Submetering!Y29</f>
        <v>118</v>
      </c>
      <c r="N29" s="115">
        <f>Submetering!Z29</f>
        <v>238</v>
      </c>
    </row>
    <row r="30" spans="1:14" x14ac:dyDescent="0.25">
      <c r="A30" s="125" t="s">
        <v>80</v>
      </c>
      <c r="B30" s="72">
        <f t="shared" si="0"/>
        <v>29</v>
      </c>
      <c r="C30" s="73">
        <v>8</v>
      </c>
      <c r="D30" s="72">
        <v>2020</v>
      </c>
      <c r="E30" s="71">
        <f>Submetering!E30+Submetering!F30+Submetering!G30+Submetering!H30+Submetering!I30+Submetering!J30+Submetering!K30</f>
        <v>26453</v>
      </c>
      <c r="F30" s="74">
        <v>0.2</v>
      </c>
      <c r="G30" s="71">
        <f>Submetering!P30</f>
        <v>474.59999999997672</v>
      </c>
      <c r="H30" s="74">
        <v>6.47</v>
      </c>
      <c r="I30" s="151">
        <f>Submetering!T30-Submetering!T30*15%-Submetering!X30</f>
        <v>64594.694800001453</v>
      </c>
      <c r="J30" s="70">
        <v>0.21</v>
      </c>
      <c r="K30" s="71">
        <f>Submetering!N30-Submetering!O30</f>
        <v>88.207999999999998</v>
      </c>
      <c r="L30" s="74">
        <v>7.84</v>
      </c>
      <c r="M30" s="71">
        <f>Submetering!Y30</f>
        <v>82</v>
      </c>
      <c r="N30" s="115">
        <f>Submetering!Z30</f>
        <v>172</v>
      </c>
    </row>
    <row r="31" spans="1:14" x14ac:dyDescent="0.25">
      <c r="A31" s="145" t="s">
        <v>80</v>
      </c>
      <c r="B31" s="146">
        <f t="shared" si="0"/>
        <v>30</v>
      </c>
      <c r="C31" s="73">
        <v>8</v>
      </c>
      <c r="D31" s="146">
        <v>2020</v>
      </c>
      <c r="E31" s="143">
        <f>Submetering!E31+Submetering!F31+Submetering!G31+Submetering!H31+Submetering!I31+Submetering!J31+Submetering!K31</f>
        <v>25584</v>
      </c>
      <c r="F31" s="147">
        <v>0.2</v>
      </c>
      <c r="G31" s="143">
        <f>Submetering!P31</f>
        <v>461.5</v>
      </c>
      <c r="H31" s="147">
        <v>6.47</v>
      </c>
      <c r="I31" s="152">
        <f>Submetering!T31-Submetering!T31*15%-Submetering!X31</f>
        <v>67175.705199998542</v>
      </c>
      <c r="J31" s="142">
        <v>0.21</v>
      </c>
      <c r="K31" s="143">
        <f>Submetering!N31-Submetering!O31</f>
        <v>54.025999999999996</v>
      </c>
      <c r="L31" s="147">
        <v>7.84</v>
      </c>
      <c r="M31" s="143">
        <f>Submetering!Y31</f>
        <v>94</v>
      </c>
      <c r="N31" s="144">
        <f>Submetering!Z31</f>
        <v>199</v>
      </c>
    </row>
    <row r="32" spans="1:14" ht="15.75" thickBot="1" x14ac:dyDescent="0.3">
      <c r="A32" s="126" t="s">
        <v>80</v>
      </c>
      <c r="B32" s="127">
        <f t="shared" si="0"/>
        <v>31</v>
      </c>
      <c r="C32" s="128">
        <v>8</v>
      </c>
      <c r="D32" s="127">
        <v>2020</v>
      </c>
      <c r="E32" s="119">
        <f>Submetering!E32+Submetering!F32+Submetering!G32+Submetering!H32+Submetering!I32+Submetering!J32+Submetering!K32</f>
        <v>26318</v>
      </c>
      <c r="F32" s="129">
        <v>0.2</v>
      </c>
      <c r="G32" s="119">
        <f>Submetering!P32</f>
        <v>478.40000000002328</v>
      </c>
      <c r="H32" s="129">
        <v>6.47</v>
      </c>
      <c r="I32" s="153">
        <f>Submetering!T32-Submetering!T32*15%-Submetering!X32</f>
        <v>63405.190999997096</v>
      </c>
      <c r="J32" s="118">
        <v>0.21</v>
      </c>
      <c r="K32" s="119">
        <f>Submetering!N32-Submetering!O32</f>
        <v>48.959000000000003</v>
      </c>
      <c r="L32" s="129">
        <v>7.84</v>
      </c>
      <c r="M32" s="119">
        <f>Submetering!Y32</f>
        <v>102</v>
      </c>
      <c r="N32" s="120">
        <f>Submetering!Z32</f>
        <v>197</v>
      </c>
    </row>
    <row r="33" spans="5:14" x14ac:dyDescent="0.25">
      <c r="E33" s="149">
        <f>SUM(E2:E32)</f>
        <v>898988</v>
      </c>
      <c r="G33" s="149">
        <f>SUM(G2:G32)</f>
        <v>13676.79999999993</v>
      </c>
      <c r="I33" s="149">
        <f>SUM(I2:I32)</f>
        <v>2317702.4197999961</v>
      </c>
      <c r="K33" s="149">
        <f>SUM(K2:K32)</f>
        <v>2061.152</v>
      </c>
      <c r="M33" s="149">
        <f>SUM(M2:M32)</f>
        <v>3251</v>
      </c>
      <c r="N33" s="149">
        <f>SUM(N2:N32)</f>
        <v>6611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I2" activePane="bottomRight" state="frozen"/>
      <selection pane="topRight" activeCell="C1" sqref="C1"/>
      <selection pane="bottomLeft" activeCell="A2" sqref="A2"/>
      <selection pane="bottomRight" activeCell="Y26" sqref="Y26:Y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3" t="s">
        <v>0</v>
      </c>
      <c r="B1" s="104" t="s">
        <v>1</v>
      </c>
      <c r="C1" s="105" t="s">
        <v>2</v>
      </c>
      <c r="D1" s="104" t="s">
        <v>3</v>
      </c>
      <c r="E1" s="106" t="s">
        <v>64</v>
      </c>
      <c r="F1" s="106" t="s">
        <v>81</v>
      </c>
      <c r="G1" s="106" t="s">
        <v>84</v>
      </c>
      <c r="H1" s="106" t="s">
        <v>65</v>
      </c>
      <c r="I1" s="106" t="s">
        <v>66</v>
      </c>
      <c r="J1" s="106" t="s">
        <v>67</v>
      </c>
      <c r="K1" s="106" t="s">
        <v>68</v>
      </c>
      <c r="L1" s="107" t="s">
        <v>69</v>
      </c>
      <c r="M1" s="107" t="s">
        <v>70</v>
      </c>
      <c r="N1" s="107" t="s">
        <v>71</v>
      </c>
      <c r="O1" s="107" t="s">
        <v>72</v>
      </c>
      <c r="P1" s="107" t="s">
        <v>73</v>
      </c>
      <c r="Q1" s="107" t="s">
        <v>74</v>
      </c>
      <c r="R1" s="107" t="s">
        <v>75</v>
      </c>
      <c r="S1" s="107" t="s">
        <v>91</v>
      </c>
      <c r="T1" s="107" t="s">
        <v>86</v>
      </c>
      <c r="U1" s="107" t="s">
        <v>87</v>
      </c>
      <c r="V1" s="107" t="s">
        <v>88</v>
      </c>
      <c r="W1" s="107" t="s">
        <v>89</v>
      </c>
      <c r="X1" s="107" t="s">
        <v>90</v>
      </c>
      <c r="Y1" s="108" t="s">
        <v>8</v>
      </c>
      <c r="Z1" s="107" t="s">
        <v>9</v>
      </c>
    </row>
    <row r="2" spans="1:26" x14ac:dyDescent="0.25">
      <c r="A2" s="109" t="s">
        <v>80</v>
      </c>
      <c r="B2" s="110">
        <v>1</v>
      </c>
      <c r="C2" s="111">
        <v>8</v>
      </c>
      <c r="D2" s="110">
        <v>2020</v>
      </c>
      <c r="E2" s="112">
        <f>'FS-AD Daily '!B6</f>
        <v>5212</v>
      </c>
      <c r="F2" s="112">
        <f>'FS-AD Daily '!C6</f>
        <v>2327</v>
      </c>
      <c r="G2" s="112">
        <f>'FS-AD Daily '!D6</f>
        <v>925</v>
      </c>
      <c r="H2" s="112">
        <f>'FS-AD Daily '!E6</f>
        <v>3949</v>
      </c>
      <c r="I2" s="112">
        <f>'FS-AD Daily '!F6</f>
        <v>5230</v>
      </c>
      <c r="J2" s="112">
        <f>'FS-AD Daily '!G6</f>
        <v>3557</v>
      </c>
      <c r="K2" s="112">
        <f>'FS-AD Daily '!H6</f>
        <v>7402</v>
      </c>
      <c r="L2" s="112">
        <f>'FS-AD Daily '!I6</f>
        <v>2554</v>
      </c>
      <c r="M2" s="112">
        <f>'FS-AD Daily '!J6</f>
        <v>7401</v>
      </c>
      <c r="N2" s="112">
        <f>'FS-AD Daily '!T6</f>
        <v>121.19200000000001</v>
      </c>
      <c r="O2" s="112">
        <f>'FS-AD Daily '!R6</f>
        <v>79.257999999999996</v>
      </c>
      <c r="P2" s="112">
        <f>'FS-AD Daily '!Z6</f>
        <v>458.89999999990687</v>
      </c>
      <c r="Q2" s="112">
        <f>'FS-AD Daily '!V6</f>
        <v>250.9</v>
      </c>
      <c r="R2" s="112">
        <f>'FS-AD Daily '!W6</f>
        <v>0</v>
      </c>
      <c r="S2" s="112">
        <f>P2-Q2-R2</f>
        <v>207.99999999990686</v>
      </c>
      <c r="T2" s="112">
        <f>'FS-AD Daily '!AD6*3.516</f>
        <v>115310.736</v>
      </c>
      <c r="U2" s="112">
        <f>('FS-AD Daily '!AF6)*1000</f>
        <v>49100</v>
      </c>
      <c r="V2" s="112">
        <f>('FS-AD Daily '!AG6)*1000</f>
        <v>49200</v>
      </c>
      <c r="W2" s="112">
        <f>'FS-AD Daily '!AH6*1000</f>
        <v>19000</v>
      </c>
      <c r="X2" s="112">
        <f>('FS-AD Daily '!AK6)*1000</f>
        <v>27700.000000004366</v>
      </c>
      <c r="Y2" s="41">
        <v>143</v>
      </c>
      <c r="Z2" s="154">
        <v>315</v>
      </c>
    </row>
    <row r="3" spans="1:26" x14ac:dyDescent="0.25">
      <c r="A3" s="114" t="s">
        <v>80</v>
      </c>
      <c r="B3" s="69">
        <f>B2+1</f>
        <v>2</v>
      </c>
      <c r="C3" s="70">
        <v>8</v>
      </c>
      <c r="D3" s="69">
        <v>2020</v>
      </c>
      <c r="E3" s="71">
        <f>'FS-AD Daily '!B7</f>
        <v>5136</v>
      </c>
      <c r="F3" s="71">
        <f>'FS-AD Daily '!C7</f>
        <v>2362</v>
      </c>
      <c r="G3" s="71">
        <f>'FS-AD Daily '!D7</f>
        <v>861</v>
      </c>
      <c r="H3" s="71">
        <f>'FS-AD Daily '!E7</f>
        <v>3941</v>
      </c>
      <c r="I3" s="71">
        <f>'FS-AD Daily '!F7</f>
        <v>5261</v>
      </c>
      <c r="J3" s="71">
        <f>'FS-AD Daily '!G7</f>
        <v>3602</v>
      </c>
      <c r="K3" s="71">
        <f>'FS-AD Daily '!H7</f>
        <v>7374</v>
      </c>
      <c r="L3" s="71">
        <f>'FS-AD Daily '!I7</f>
        <v>2512</v>
      </c>
      <c r="M3" s="71">
        <f>'FS-AD Daily '!J7</f>
        <v>7385</v>
      </c>
      <c r="N3" s="71">
        <f>'FS-AD Daily '!T7</f>
        <v>162.07300000000001</v>
      </c>
      <c r="O3" s="71">
        <f>'FS-AD Daily '!R7</f>
        <v>63.123000000000005</v>
      </c>
      <c r="P3" s="71">
        <f>'FS-AD Daily '!Z7</f>
        <v>450.10000000009313</v>
      </c>
      <c r="Q3" s="71">
        <f>'FS-AD Daily '!V7</f>
        <v>245</v>
      </c>
      <c r="R3" s="71">
        <f>'FS-AD Daily '!W7</f>
        <v>0</v>
      </c>
      <c r="S3" s="71">
        <f t="shared" ref="S3:S31" si="0">P3-Q3-R3</f>
        <v>205.10000000009313</v>
      </c>
      <c r="T3" s="71">
        <f>'FS-AD Daily '!AD7*3.516</f>
        <v>114871.236</v>
      </c>
      <c r="U3" s="71">
        <f>('FS-AD Daily '!AF7)*1000</f>
        <v>50000</v>
      </c>
      <c r="V3" s="71">
        <f>('FS-AD Daily '!AG7)*1000</f>
        <v>49800</v>
      </c>
      <c r="W3" s="71">
        <f>'FS-AD Daily '!AH7*1000</f>
        <v>19500</v>
      </c>
      <c r="X3" s="71">
        <f>('FS-AD Daily '!AK7)*1000</f>
        <v>25799.999999995634</v>
      </c>
      <c r="Y3" s="5">
        <v>94</v>
      </c>
      <c r="Z3" s="155">
        <v>201</v>
      </c>
    </row>
    <row r="4" spans="1:26" x14ac:dyDescent="0.25">
      <c r="A4" s="114" t="s">
        <v>80</v>
      </c>
      <c r="B4" s="69">
        <f t="shared" ref="B4:B32" si="1">B3+1</f>
        <v>3</v>
      </c>
      <c r="C4" s="70">
        <v>8</v>
      </c>
      <c r="D4" s="69">
        <v>2020</v>
      </c>
      <c r="E4" s="71">
        <f>'FS-AD Daily '!B8</f>
        <v>5644</v>
      </c>
      <c r="F4" s="71">
        <f>'FS-AD Daily '!C8</f>
        <v>2385</v>
      </c>
      <c r="G4" s="71">
        <f>'FS-AD Daily '!D8</f>
        <v>860</v>
      </c>
      <c r="H4" s="71">
        <f>'FS-AD Daily '!E8</f>
        <v>4006</v>
      </c>
      <c r="I4" s="71">
        <f>'FS-AD Daily '!F8</f>
        <v>5080</v>
      </c>
      <c r="J4" s="71">
        <f>'FS-AD Daily '!G8</f>
        <v>3452</v>
      </c>
      <c r="K4" s="71">
        <f>'FS-AD Daily '!H8</f>
        <v>7464</v>
      </c>
      <c r="L4" s="71">
        <f>'FS-AD Daily '!I8</f>
        <v>2469</v>
      </c>
      <c r="M4" s="71">
        <f>'FS-AD Daily '!J8</f>
        <v>7281</v>
      </c>
      <c r="N4" s="71">
        <f>'FS-AD Daily '!T8</f>
        <v>120.173</v>
      </c>
      <c r="O4" s="71">
        <f>'FS-AD Daily '!R8</f>
        <v>62.820999999999998</v>
      </c>
      <c r="P4" s="71">
        <f>'FS-AD Daily '!Z8</f>
        <v>416.19999999995343</v>
      </c>
      <c r="Q4" s="71">
        <f>'FS-AD Daily '!V8</f>
        <v>230.8</v>
      </c>
      <c r="R4" s="71">
        <f>'FS-AD Daily '!W8</f>
        <v>0</v>
      </c>
      <c r="S4" s="71">
        <f t="shared" si="0"/>
        <v>185.39999999995342</v>
      </c>
      <c r="T4" s="71">
        <f>'FS-AD Daily '!AD8*3.516</f>
        <v>116168.64</v>
      </c>
      <c r="U4" s="71">
        <f>('FS-AD Daily '!AF8)*1000</f>
        <v>51800</v>
      </c>
      <c r="V4" s="71">
        <f>('FS-AD Daily '!AG8)*1000</f>
        <v>49500</v>
      </c>
      <c r="W4" s="71">
        <f>'FS-AD Daily '!AH8*1000</f>
        <v>18500</v>
      </c>
      <c r="X4" s="71">
        <f>('FS-AD Daily '!AK8)*1000</f>
        <v>27300.00000000291</v>
      </c>
      <c r="Y4" s="5">
        <v>92</v>
      </c>
      <c r="Z4" s="155">
        <v>180</v>
      </c>
    </row>
    <row r="5" spans="1:26" x14ac:dyDescent="0.25">
      <c r="A5" s="114" t="s">
        <v>80</v>
      </c>
      <c r="B5" s="69">
        <f t="shared" si="1"/>
        <v>4</v>
      </c>
      <c r="C5" s="70">
        <v>8</v>
      </c>
      <c r="D5" s="69">
        <v>2020</v>
      </c>
      <c r="E5" s="71">
        <f>'FS-AD Daily '!B9</f>
        <v>5964</v>
      </c>
      <c r="F5" s="71">
        <f>'FS-AD Daily '!C9</f>
        <v>2323</v>
      </c>
      <c r="G5" s="71">
        <f>'FS-AD Daily '!D9</f>
        <v>867</v>
      </c>
      <c r="H5" s="71">
        <f>'FS-AD Daily '!E9</f>
        <v>3968</v>
      </c>
      <c r="I5" s="71">
        <f>'FS-AD Daily '!F9</f>
        <v>5075</v>
      </c>
      <c r="J5" s="71">
        <f>'FS-AD Daily '!G9</f>
        <v>3378</v>
      </c>
      <c r="K5" s="71">
        <f>'FS-AD Daily '!H9</f>
        <v>7690</v>
      </c>
      <c r="L5" s="71">
        <f>'FS-AD Daily '!I9</f>
        <v>2509</v>
      </c>
      <c r="M5" s="71">
        <f>'FS-AD Daily '!J9</f>
        <v>7293</v>
      </c>
      <c r="N5" s="71">
        <f>'FS-AD Daily '!T9</f>
        <v>116.819</v>
      </c>
      <c r="O5" s="71">
        <f>'FS-AD Daily '!R9</f>
        <v>57.772000000000006</v>
      </c>
      <c r="P5" s="71">
        <f>'FS-AD Daily '!Z9</f>
        <v>398.90000000002328</v>
      </c>
      <c r="Q5" s="71">
        <f>'FS-AD Daily '!V9</f>
        <v>227.8</v>
      </c>
      <c r="R5" s="71">
        <f>'FS-AD Daily '!W9</f>
        <v>0</v>
      </c>
      <c r="S5" s="71">
        <f t="shared" si="0"/>
        <v>171.10000000002327</v>
      </c>
      <c r="T5" s="71">
        <f>'FS-AD Daily '!AD9*3.516</f>
        <v>128049.204</v>
      </c>
      <c r="U5" s="71">
        <f>('FS-AD Daily '!AF9)*1000</f>
        <v>58400</v>
      </c>
      <c r="V5" s="71">
        <f>('FS-AD Daily '!AG9)*1000</f>
        <v>52500</v>
      </c>
      <c r="W5" s="71">
        <f>'FS-AD Daily '!AH9*1000</f>
        <v>18600</v>
      </c>
      <c r="X5" s="71">
        <f>('FS-AD Daily '!AK9)*1000</f>
        <v>29799.999999995634</v>
      </c>
      <c r="Y5" s="5">
        <v>110</v>
      </c>
      <c r="Z5" s="155">
        <v>205</v>
      </c>
    </row>
    <row r="6" spans="1:26" x14ac:dyDescent="0.25">
      <c r="A6" s="114" t="s">
        <v>80</v>
      </c>
      <c r="B6" s="69">
        <f t="shared" si="1"/>
        <v>5</v>
      </c>
      <c r="C6" s="70">
        <v>8</v>
      </c>
      <c r="D6" s="69">
        <v>2020</v>
      </c>
      <c r="E6" s="71">
        <f>'FS-AD Daily '!B10</f>
        <v>5962</v>
      </c>
      <c r="F6" s="71">
        <f>'FS-AD Daily '!C10</f>
        <v>2532</v>
      </c>
      <c r="G6" s="71">
        <f>'FS-AD Daily '!D10</f>
        <v>852</v>
      </c>
      <c r="H6" s="71">
        <f>'FS-AD Daily '!E10</f>
        <v>4067</v>
      </c>
      <c r="I6" s="71">
        <f>'FS-AD Daily '!F10</f>
        <v>5242</v>
      </c>
      <c r="J6" s="71">
        <f>'FS-AD Daily '!G10</f>
        <v>3442</v>
      </c>
      <c r="K6" s="71">
        <f>'FS-AD Daily '!H10</f>
        <v>7743</v>
      </c>
      <c r="L6" s="71">
        <f>'FS-AD Daily '!I10</f>
        <v>2492</v>
      </c>
      <c r="M6" s="71">
        <f>'FS-AD Daily '!J10</f>
        <v>7386</v>
      </c>
      <c r="N6" s="71">
        <f>'FS-AD Daily '!T10</f>
        <v>172.29</v>
      </c>
      <c r="O6" s="71">
        <f>'FS-AD Daily '!R10</f>
        <v>58.579000000000001</v>
      </c>
      <c r="P6" s="71">
        <f>'FS-AD Daily '!Z10</f>
        <v>392.59999999997672</v>
      </c>
      <c r="Q6" s="71">
        <f>'FS-AD Daily '!V10</f>
        <v>228.6</v>
      </c>
      <c r="R6" s="71">
        <f>'FS-AD Daily '!W10</f>
        <v>0</v>
      </c>
      <c r="S6" s="71">
        <f t="shared" si="0"/>
        <v>163.99999999997672</v>
      </c>
      <c r="T6" s="71">
        <f>'FS-AD Daily '!AD10*3.516</f>
        <v>126934.632</v>
      </c>
      <c r="U6" s="71">
        <f>('FS-AD Daily '!AF10)*1000</f>
        <v>58200</v>
      </c>
      <c r="V6" s="71">
        <f>('FS-AD Daily '!AG10)*1000</f>
        <v>52300</v>
      </c>
      <c r="W6" s="71">
        <f>'FS-AD Daily '!AH10*1000</f>
        <v>18300</v>
      </c>
      <c r="X6" s="71">
        <f>('FS-AD Daily '!AK10)*1000</f>
        <v>29400.000000001455</v>
      </c>
      <c r="Y6" s="5">
        <v>113</v>
      </c>
      <c r="Z6" s="155">
        <v>207</v>
      </c>
    </row>
    <row r="7" spans="1:26" x14ac:dyDescent="0.25">
      <c r="A7" s="114" t="s">
        <v>80</v>
      </c>
      <c r="B7" s="69">
        <f t="shared" si="1"/>
        <v>6</v>
      </c>
      <c r="C7" s="70">
        <v>8</v>
      </c>
      <c r="D7" s="69">
        <v>2020</v>
      </c>
      <c r="E7" s="71">
        <f>'FS-AD Daily '!B11</f>
        <v>6015</v>
      </c>
      <c r="F7" s="71">
        <f>'FS-AD Daily '!C11</f>
        <v>2704</v>
      </c>
      <c r="G7" s="71">
        <f>'FS-AD Daily '!D11</f>
        <v>870</v>
      </c>
      <c r="H7" s="71">
        <f>'FS-AD Daily '!E11</f>
        <v>4036</v>
      </c>
      <c r="I7" s="71">
        <f>'FS-AD Daily '!F11</f>
        <v>5118</v>
      </c>
      <c r="J7" s="71">
        <f>'FS-AD Daily '!G11</f>
        <v>3473</v>
      </c>
      <c r="K7" s="71">
        <f>'FS-AD Daily '!H11</f>
        <v>7714</v>
      </c>
      <c r="L7" s="71">
        <f>'FS-AD Daily '!I11</f>
        <v>2500</v>
      </c>
      <c r="M7" s="71">
        <f>'FS-AD Daily '!J11</f>
        <v>7378</v>
      </c>
      <c r="N7" s="71">
        <f>'FS-AD Daily '!T11</f>
        <v>125.64599999999999</v>
      </c>
      <c r="O7" s="71">
        <f>'FS-AD Daily '!R11</f>
        <v>65.588999999999999</v>
      </c>
      <c r="P7" s="71">
        <f>'FS-AD Daily '!Z11</f>
        <v>427.80000000004657</v>
      </c>
      <c r="Q7" s="71">
        <f>'FS-AD Daily '!V11</f>
        <v>236.2</v>
      </c>
      <c r="R7" s="71">
        <f>'FS-AD Daily '!W11</f>
        <v>0</v>
      </c>
      <c r="S7" s="71">
        <f t="shared" si="0"/>
        <v>191.60000000004658</v>
      </c>
      <c r="T7" s="71">
        <f>'FS-AD Daily '!AD11*3.516</f>
        <v>132166.44</v>
      </c>
      <c r="U7" s="71">
        <f>('FS-AD Daily '!AF11)*1000</f>
        <v>60800</v>
      </c>
      <c r="V7" s="71">
        <f>('FS-AD Daily '!AG11)*1000</f>
        <v>53100</v>
      </c>
      <c r="W7" s="71">
        <f>'FS-AD Daily '!AH11*1000</f>
        <v>19300</v>
      </c>
      <c r="X7" s="71">
        <f>('FS-AD Daily '!AK11)*1000</f>
        <v>30400.000000001455</v>
      </c>
      <c r="Y7" s="5">
        <v>109</v>
      </c>
      <c r="Z7" s="155">
        <v>212</v>
      </c>
    </row>
    <row r="8" spans="1:26" x14ac:dyDescent="0.25">
      <c r="A8" s="114" t="s">
        <v>80</v>
      </c>
      <c r="B8" s="69">
        <f t="shared" si="1"/>
        <v>7</v>
      </c>
      <c r="C8" s="70">
        <v>8</v>
      </c>
      <c r="D8" s="69">
        <v>2020</v>
      </c>
      <c r="E8" s="71">
        <f>'FS-AD Daily '!B12</f>
        <v>6191</v>
      </c>
      <c r="F8" s="71">
        <f>'FS-AD Daily '!C12</f>
        <v>2876</v>
      </c>
      <c r="G8" s="71">
        <f>'FS-AD Daily '!D12</f>
        <v>906</v>
      </c>
      <c r="H8" s="71">
        <f>'FS-AD Daily '!E12</f>
        <v>3953</v>
      </c>
      <c r="I8" s="71">
        <f>'FS-AD Daily '!F12</f>
        <v>5083</v>
      </c>
      <c r="J8" s="71">
        <f>'FS-AD Daily '!G12</f>
        <v>3428</v>
      </c>
      <c r="K8" s="71">
        <f>'FS-AD Daily '!H12</f>
        <v>7700</v>
      </c>
      <c r="L8" s="71">
        <f>'FS-AD Daily '!I12</f>
        <v>2438</v>
      </c>
      <c r="M8" s="71">
        <f>'FS-AD Daily '!J12</f>
        <v>7481</v>
      </c>
      <c r="N8" s="71">
        <f>'FS-AD Daily '!T12</f>
        <v>123.411</v>
      </c>
      <c r="O8" s="71">
        <f>'FS-AD Daily '!R12</f>
        <v>72.034999999999997</v>
      </c>
      <c r="P8" s="71">
        <f>'FS-AD Daily '!Z12</f>
        <v>443.89999999990687</v>
      </c>
      <c r="Q8" s="71">
        <f>'FS-AD Daily '!V12</f>
        <v>234</v>
      </c>
      <c r="R8" s="71">
        <f>'FS-AD Daily '!W12</f>
        <v>0</v>
      </c>
      <c r="S8" s="71">
        <f t="shared" si="0"/>
        <v>209.89999999990687</v>
      </c>
      <c r="T8" s="71">
        <f>'FS-AD Daily '!AD12*3.516</f>
        <v>134996.82</v>
      </c>
      <c r="U8" s="71">
        <f>('FS-AD Daily '!AF12)*1000</f>
        <v>64400.000000000007</v>
      </c>
      <c r="V8" s="71">
        <f>('FS-AD Daily '!AG12)*1000</f>
        <v>52900</v>
      </c>
      <c r="W8" s="71">
        <f>'FS-AD Daily '!AH12*1000</f>
        <v>18900</v>
      </c>
      <c r="X8" s="71">
        <f>('FS-AD Daily '!AK12)*1000</f>
        <v>30800.00000000291</v>
      </c>
      <c r="Y8" s="5">
        <v>118</v>
      </c>
      <c r="Z8" s="155">
        <v>237</v>
      </c>
    </row>
    <row r="9" spans="1:26" x14ac:dyDescent="0.25">
      <c r="A9" s="114" t="s">
        <v>80</v>
      </c>
      <c r="B9" s="69">
        <f t="shared" si="1"/>
        <v>8</v>
      </c>
      <c r="C9" s="70">
        <v>8</v>
      </c>
      <c r="D9" s="69">
        <v>2020</v>
      </c>
      <c r="E9" s="71">
        <f>'FS-AD Daily '!B13</f>
        <v>5826</v>
      </c>
      <c r="F9" s="71">
        <f>'FS-AD Daily '!C13</f>
        <v>2833</v>
      </c>
      <c r="G9" s="71">
        <f>'FS-AD Daily '!D13</f>
        <v>946</v>
      </c>
      <c r="H9" s="71">
        <f>'FS-AD Daily '!E13</f>
        <v>4092</v>
      </c>
      <c r="I9" s="71">
        <f>'FS-AD Daily '!F13</f>
        <v>5193</v>
      </c>
      <c r="J9" s="71">
        <f>'FS-AD Daily '!G13</f>
        <v>3350</v>
      </c>
      <c r="K9" s="71">
        <f>'FS-AD Daily '!H13</f>
        <v>7776</v>
      </c>
      <c r="L9" s="71">
        <f>'FS-AD Daily '!I13</f>
        <v>2516</v>
      </c>
      <c r="M9" s="71">
        <f>'FS-AD Daily '!J13</f>
        <v>7595</v>
      </c>
      <c r="N9" s="71">
        <f>'FS-AD Daily '!T13</f>
        <v>164.10499999999999</v>
      </c>
      <c r="O9" s="71">
        <f>'FS-AD Daily '!R13</f>
        <v>76.230999999999995</v>
      </c>
      <c r="P9" s="71">
        <f>'FS-AD Daily '!Z13</f>
        <v>437.10000000009313</v>
      </c>
      <c r="Q9" s="71">
        <f>'FS-AD Daily '!V13</f>
        <v>236</v>
      </c>
      <c r="R9" s="71">
        <f>'FS-AD Daily '!W13</f>
        <v>0</v>
      </c>
      <c r="S9" s="71">
        <f t="shared" si="0"/>
        <v>201.10000000009313</v>
      </c>
      <c r="T9" s="71">
        <f>'FS-AD Daily '!AD13*3.516</f>
        <v>116351.47199999999</v>
      </c>
      <c r="U9" s="71">
        <f>('FS-AD Daily '!AF13)*1000</f>
        <v>53200</v>
      </c>
      <c r="V9" s="71">
        <f>('FS-AD Daily '!AG13)*1000</f>
        <v>49400</v>
      </c>
      <c r="W9" s="71">
        <f>'FS-AD Daily '!AH13*1000</f>
        <v>17800</v>
      </c>
      <c r="X9" s="71">
        <f>('FS-AD Daily '!AK13)*1000</f>
        <v>27899.999999994179</v>
      </c>
      <c r="Y9" s="5">
        <v>82</v>
      </c>
      <c r="Z9" s="155">
        <v>169</v>
      </c>
    </row>
    <row r="10" spans="1:26" x14ac:dyDescent="0.25">
      <c r="A10" s="114" t="s">
        <v>80</v>
      </c>
      <c r="B10" s="69">
        <f t="shared" si="1"/>
        <v>9</v>
      </c>
      <c r="C10" s="70">
        <v>8</v>
      </c>
      <c r="D10" s="69">
        <v>2020</v>
      </c>
      <c r="E10" s="71">
        <f>'FS-AD Daily '!B14</f>
        <v>4699</v>
      </c>
      <c r="F10" s="71">
        <f>'FS-AD Daily '!C14</f>
        <v>2627</v>
      </c>
      <c r="G10" s="71">
        <f>'FS-AD Daily '!D14</f>
        <v>855</v>
      </c>
      <c r="H10" s="71">
        <f>'FS-AD Daily '!E14</f>
        <v>3971</v>
      </c>
      <c r="I10" s="71">
        <f>'FS-AD Daily '!F14</f>
        <v>5162</v>
      </c>
      <c r="J10" s="71">
        <f>'FS-AD Daily '!G14</f>
        <v>3127</v>
      </c>
      <c r="K10" s="71">
        <f>'FS-AD Daily '!H14</f>
        <v>7176</v>
      </c>
      <c r="L10" s="71">
        <f>'FS-AD Daily '!I14</f>
        <v>2451</v>
      </c>
      <c r="M10" s="71">
        <f>'FS-AD Daily '!J14</f>
        <v>7259</v>
      </c>
      <c r="N10" s="71">
        <f>'FS-AD Daily '!T14</f>
        <v>118.325</v>
      </c>
      <c r="O10" s="71">
        <f>'FS-AD Daily '!R14</f>
        <v>66.290999999999997</v>
      </c>
      <c r="P10" s="71">
        <f>'FS-AD Daily '!Z14</f>
        <v>419.39999999990687</v>
      </c>
      <c r="Q10" s="71">
        <f>'FS-AD Daily '!V14</f>
        <v>210.3</v>
      </c>
      <c r="R10" s="71">
        <f>'FS-AD Daily '!W14</f>
        <v>0</v>
      </c>
      <c r="S10" s="71">
        <f t="shared" si="0"/>
        <v>209.09999999990686</v>
      </c>
      <c r="T10" s="71">
        <f>'FS-AD Daily '!AD14*3.516</f>
        <v>99221.52</v>
      </c>
      <c r="U10" s="71">
        <f>('FS-AD Daily '!AF14)*1000</f>
        <v>44700</v>
      </c>
      <c r="V10" s="71">
        <f>('FS-AD Daily '!AG14)*1000</f>
        <v>43200</v>
      </c>
      <c r="W10" s="71">
        <f>'FS-AD Daily '!AH14*1000</f>
        <v>17100</v>
      </c>
      <c r="X10" s="71">
        <f>('FS-AD Daily '!AK14)*1000</f>
        <v>25600.000000005821</v>
      </c>
      <c r="Y10" s="5">
        <v>81</v>
      </c>
      <c r="Z10" s="155">
        <v>166</v>
      </c>
    </row>
    <row r="11" spans="1:26" x14ac:dyDescent="0.25">
      <c r="A11" s="114" t="s">
        <v>80</v>
      </c>
      <c r="B11" s="69">
        <f t="shared" si="1"/>
        <v>10</v>
      </c>
      <c r="C11" s="70">
        <v>8</v>
      </c>
      <c r="D11" s="69">
        <v>2020</v>
      </c>
      <c r="E11" s="71">
        <f>'FS-AD Daily '!B15</f>
        <v>5923</v>
      </c>
      <c r="F11" s="71">
        <f>'FS-AD Daily '!C15</f>
        <v>2514</v>
      </c>
      <c r="G11" s="71">
        <f>'FS-AD Daily '!D15</f>
        <v>858</v>
      </c>
      <c r="H11" s="71">
        <f>'FS-AD Daily '!E15</f>
        <v>3993</v>
      </c>
      <c r="I11" s="71">
        <f>'FS-AD Daily '!F15</f>
        <v>5078</v>
      </c>
      <c r="J11" s="71">
        <f>'FS-AD Daily '!G15</f>
        <v>3250</v>
      </c>
      <c r="K11" s="71">
        <f>'FS-AD Daily '!H15</f>
        <v>7681</v>
      </c>
      <c r="L11" s="71">
        <f>'FS-AD Daily '!I15</f>
        <v>2487</v>
      </c>
      <c r="M11" s="71">
        <f>'FS-AD Daily '!J15</f>
        <v>7017</v>
      </c>
      <c r="N11" s="71">
        <f>'FS-AD Daily '!T15</f>
        <v>122.767</v>
      </c>
      <c r="O11" s="71">
        <f>'FS-AD Daily '!R15</f>
        <v>61.784999999999997</v>
      </c>
      <c r="P11" s="71">
        <f>'FS-AD Daily '!Z15</f>
        <v>404.20000000006985</v>
      </c>
      <c r="Q11" s="71">
        <f>'FS-AD Daily '!V15</f>
        <v>221.3</v>
      </c>
      <c r="R11" s="71">
        <f>'FS-AD Daily '!W15</f>
        <v>0</v>
      </c>
      <c r="S11" s="71">
        <f t="shared" si="0"/>
        <v>182.90000000006984</v>
      </c>
      <c r="T11" s="71">
        <f>'FS-AD Daily '!AD15*3.516</f>
        <v>120609.348</v>
      </c>
      <c r="U11" s="71">
        <f>('FS-AD Daily '!AF15)*1000</f>
        <v>54500</v>
      </c>
      <c r="V11" s="71">
        <f>('FS-AD Daily '!AG15)*1000</f>
        <v>50800</v>
      </c>
      <c r="W11" s="71">
        <f>'FS-AD Daily '!AH15*1000</f>
        <v>18000</v>
      </c>
      <c r="X11" s="71">
        <f>('FS-AD Daily '!AK15)*1000</f>
        <v>28899.999999994179</v>
      </c>
      <c r="Y11" s="5">
        <v>94</v>
      </c>
      <c r="Z11" s="155">
        <v>187</v>
      </c>
    </row>
    <row r="12" spans="1:26" x14ac:dyDescent="0.25">
      <c r="A12" s="114" t="s">
        <v>80</v>
      </c>
      <c r="B12" s="69">
        <f t="shared" si="1"/>
        <v>11</v>
      </c>
      <c r="C12" s="70">
        <v>8</v>
      </c>
      <c r="D12" s="69">
        <v>2020</v>
      </c>
      <c r="E12" s="71">
        <f>'FS-AD Daily '!B16</f>
        <v>6060</v>
      </c>
      <c r="F12" s="71">
        <f>'FS-AD Daily '!C16</f>
        <v>2528</v>
      </c>
      <c r="G12" s="71">
        <f>'FS-AD Daily '!D16</f>
        <v>895</v>
      </c>
      <c r="H12" s="71">
        <f>'FS-AD Daily '!E16</f>
        <v>3924</v>
      </c>
      <c r="I12" s="71">
        <f>'FS-AD Daily '!F16</f>
        <v>5084</v>
      </c>
      <c r="J12" s="71">
        <f>'FS-AD Daily '!G16</f>
        <v>3343</v>
      </c>
      <c r="K12" s="71">
        <f>'FS-AD Daily '!H16</f>
        <v>7640</v>
      </c>
      <c r="L12" s="71">
        <f>'FS-AD Daily '!I16</f>
        <v>2573</v>
      </c>
      <c r="M12" s="71">
        <f>'FS-AD Daily '!J16</f>
        <v>7209</v>
      </c>
      <c r="N12" s="71">
        <f>'FS-AD Daily '!T16</f>
        <v>198.768</v>
      </c>
      <c r="O12" s="71">
        <f>'FS-AD Daily '!R16</f>
        <v>68.676000000000002</v>
      </c>
      <c r="P12" s="71">
        <f>'FS-AD Daily '!Z16</f>
        <v>407.90000000002328</v>
      </c>
      <c r="Q12" s="71">
        <f>'FS-AD Daily '!V16</f>
        <v>228.1</v>
      </c>
      <c r="R12" s="71">
        <f>'FS-AD Daily '!W16</f>
        <v>0</v>
      </c>
      <c r="S12" s="71">
        <f t="shared" si="0"/>
        <v>179.80000000002329</v>
      </c>
      <c r="T12" s="71">
        <f>'FS-AD Daily '!AD16*3.516</f>
        <v>131505.432</v>
      </c>
      <c r="U12" s="71">
        <f>('FS-AD Daily '!AF16)*1000</f>
        <v>59700</v>
      </c>
      <c r="V12" s="71">
        <f>('FS-AD Daily '!AG16)*1000</f>
        <v>53000</v>
      </c>
      <c r="W12" s="71">
        <f>'FS-AD Daily '!AH16*1000</f>
        <v>19400</v>
      </c>
      <c r="X12" s="71">
        <f>('FS-AD Daily '!AK16)*1000</f>
        <v>30800.00000000291</v>
      </c>
      <c r="Y12" s="5">
        <v>100</v>
      </c>
      <c r="Z12" s="155">
        <v>188</v>
      </c>
    </row>
    <row r="13" spans="1:26" x14ac:dyDescent="0.25">
      <c r="A13" s="114" t="s">
        <v>80</v>
      </c>
      <c r="B13" s="69">
        <f t="shared" si="1"/>
        <v>12</v>
      </c>
      <c r="C13" s="70">
        <v>8</v>
      </c>
      <c r="D13" s="69">
        <v>2020</v>
      </c>
      <c r="E13" s="71">
        <f>'FS-AD Daily '!B17</f>
        <v>6135</v>
      </c>
      <c r="F13" s="71">
        <f>'FS-AD Daily '!C17</f>
        <v>2429</v>
      </c>
      <c r="G13" s="71">
        <f>'FS-AD Daily '!D17</f>
        <v>871</v>
      </c>
      <c r="H13" s="71">
        <f>'FS-AD Daily '!E17</f>
        <v>4023</v>
      </c>
      <c r="I13" s="71">
        <f>'FS-AD Daily '!F17</f>
        <v>5223</v>
      </c>
      <c r="J13" s="71">
        <f>'FS-AD Daily '!G17</f>
        <v>3418</v>
      </c>
      <c r="K13" s="71">
        <f>'FS-AD Daily '!H17</f>
        <v>7727</v>
      </c>
      <c r="L13" s="71">
        <f>'FS-AD Daily '!I17</f>
        <v>2625</v>
      </c>
      <c r="M13" s="71">
        <f>'FS-AD Daily '!J17</f>
        <v>7388</v>
      </c>
      <c r="N13" s="71">
        <f>'FS-AD Daily '!T17</f>
        <v>125.08500000000001</v>
      </c>
      <c r="O13" s="71">
        <f>'FS-AD Daily '!R17</f>
        <v>68.954999999999998</v>
      </c>
      <c r="P13" s="71">
        <f>'FS-AD Daily '!Z17</f>
        <v>407</v>
      </c>
      <c r="Q13" s="71">
        <f>'FS-AD Daily '!V17</f>
        <v>224.5</v>
      </c>
      <c r="R13" s="71">
        <f>'FS-AD Daily '!W17</f>
        <v>0</v>
      </c>
      <c r="S13" s="71">
        <f t="shared" si="0"/>
        <v>182.5</v>
      </c>
      <c r="T13" s="71">
        <f>'FS-AD Daily '!AD17*3.516</f>
        <v>134782.34400000001</v>
      </c>
      <c r="U13" s="71">
        <f>('FS-AD Daily '!AF17)*1000</f>
        <v>62200</v>
      </c>
      <c r="V13" s="71">
        <f>('FS-AD Daily '!AG17)*1000</f>
        <v>53600</v>
      </c>
      <c r="W13" s="71">
        <f>'FS-AD Daily '!AH17*1000</f>
        <v>19500</v>
      </c>
      <c r="X13" s="71">
        <f>('FS-AD Daily '!AK17)*1000</f>
        <v>31000</v>
      </c>
      <c r="Y13" s="5">
        <v>104</v>
      </c>
      <c r="Z13" s="155">
        <v>209</v>
      </c>
    </row>
    <row r="14" spans="1:26" x14ac:dyDescent="0.25">
      <c r="A14" s="114" t="s">
        <v>80</v>
      </c>
      <c r="B14" s="69">
        <f t="shared" si="1"/>
        <v>13</v>
      </c>
      <c r="C14" s="70">
        <v>8</v>
      </c>
      <c r="D14" s="69">
        <v>2020</v>
      </c>
      <c r="E14" s="71">
        <f>'FS-AD Daily '!B18</f>
        <v>6071</v>
      </c>
      <c r="F14" s="71">
        <f>'FS-AD Daily '!C18</f>
        <v>2537</v>
      </c>
      <c r="G14" s="71">
        <f>'FS-AD Daily '!D18</f>
        <v>887</v>
      </c>
      <c r="H14" s="71">
        <f>'FS-AD Daily '!E18</f>
        <v>4043</v>
      </c>
      <c r="I14" s="71">
        <f>'FS-AD Daily '!F18</f>
        <v>5219</v>
      </c>
      <c r="J14" s="71">
        <f>'FS-AD Daily '!G18</f>
        <v>3390</v>
      </c>
      <c r="K14" s="71">
        <f>'FS-AD Daily '!H18</f>
        <v>7795</v>
      </c>
      <c r="L14" s="71">
        <f>'FS-AD Daily '!I18</f>
        <v>2622</v>
      </c>
      <c r="M14" s="71">
        <f>'FS-AD Daily '!J18</f>
        <v>7557</v>
      </c>
      <c r="N14" s="71">
        <f>'FS-AD Daily '!T18</f>
        <v>147.65900000000002</v>
      </c>
      <c r="O14" s="71">
        <f>'FS-AD Daily '!R18</f>
        <v>73.734999999999999</v>
      </c>
      <c r="P14" s="71">
        <f>'FS-AD Daily '!Z18</f>
        <v>420</v>
      </c>
      <c r="Q14" s="71">
        <f>'FS-AD Daily '!V18</f>
        <v>231.5</v>
      </c>
      <c r="R14" s="71">
        <f>'FS-AD Daily '!W18</f>
        <v>0</v>
      </c>
      <c r="S14" s="71">
        <f t="shared" si="0"/>
        <v>188.5</v>
      </c>
      <c r="T14" s="71">
        <f>'FS-AD Daily '!AD18*3.516</f>
        <v>126498.648</v>
      </c>
      <c r="U14" s="71">
        <f>('FS-AD Daily '!AF18)*1000</f>
        <v>57500</v>
      </c>
      <c r="V14" s="71">
        <f>('FS-AD Daily '!AG18)*1000</f>
        <v>51800</v>
      </c>
      <c r="W14" s="71">
        <f>'FS-AD Daily '!AH18*1000</f>
        <v>19000</v>
      </c>
      <c r="X14" s="71">
        <f>('FS-AD Daily '!AK18)*1000</f>
        <v>30699.99999999709</v>
      </c>
      <c r="Y14" s="5">
        <v>85</v>
      </c>
      <c r="Z14" s="155">
        <v>190</v>
      </c>
    </row>
    <row r="15" spans="1:26" x14ac:dyDescent="0.25">
      <c r="A15" s="114" t="s">
        <v>80</v>
      </c>
      <c r="B15" s="69">
        <f t="shared" si="1"/>
        <v>14</v>
      </c>
      <c r="C15" s="70">
        <v>8</v>
      </c>
      <c r="D15" s="69">
        <v>2020</v>
      </c>
      <c r="E15" s="71">
        <f>'FS-AD Daily '!B19</f>
        <v>5946</v>
      </c>
      <c r="F15" s="71">
        <f>'FS-AD Daily '!C19</f>
        <v>2525</v>
      </c>
      <c r="G15" s="71">
        <f>'FS-AD Daily '!D19</f>
        <v>845</v>
      </c>
      <c r="H15" s="71">
        <f>'FS-AD Daily '!E19</f>
        <v>3929</v>
      </c>
      <c r="I15" s="71">
        <f>'FS-AD Daily '!F19</f>
        <v>5003</v>
      </c>
      <c r="J15" s="71">
        <f>'FS-AD Daily '!G19</f>
        <v>3267</v>
      </c>
      <c r="K15" s="71">
        <f>'FS-AD Daily '!H19</f>
        <v>7564</v>
      </c>
      <c r="L15" s="71">
        <f>'FS-AD Daily '!I19</f>
        <v>2517</v>
      </c>
      <c r="M15" s="71">
        <f>'FS-AD Daily '!J19</f>
        <v>7264</v>
      </c>
      <c r="N15" s="71">
        <f>'FS-AD Daily '!T19</f>
        <v>142.44</v>
      </c>
      <c r="O15" s="71">
        <f>'FS-AD Daily '!R19</f>
        <v>79.366</v>
      </c>
      <c r="P15" s="71">
        <f>'FS-AD Daily '!Z19</f>
        <v>426.29999999993015</v>
      </c>
      <c r="Q15" s="71">
        <f>'FS-AD Daily '!V19</f>
        <v>232.7</v>
      </c>
      <c r="R15" s="71">
        <f>'FS-AD Daily '!W19</f>
        <v>0</v>
      </c>
      <c r="S15" s="71">
        <f t="shared" si="0"/>
        <v>193.59999999993016</v>
      </c>
      <c r="T15" s="71">
        <f>'FS-AD Daily '!AD19*3.516</f>
        <v>117350.016</v>
      </c>
      <c r="U15" s="71">
        <f>('FS-AD Daily '!AF19)*1000</f>
        <v>53500</v>
      </c>
      <c r="V15" s="71">
        <f>('FS-AD Daily '!AG19)*1000</f>
        <v>49600</v>
      </c>
      <c r="W15" s="71">
        <f>'FS-AD Daily '!AH19*1000</f>
        <v>17900</v>
      </c>
      <c r="X15" s="71">
        <f>('FS-AD Daily '!AK19)*1000</f>
        <v>28700.000000004366</v>
      </c>
      <c r="Y15" s="5">
        <v>89</v>
      </c>
      <c r="Z15" s="155">
        <v>200</v>
      </c>
    </row>
    <row r="16" spans="1:26" x14ac:dyDescent="0.25">
      <c r="A16" s="114" t="s">
        <v>80</v>
      </c>
      <c r="B16" s="69">
        <f t="shared" si="1"/>
        <v>15</v>
      </c>
      <c r="C16" s="70">
        <v>8</v>
      </c>
      <c r="D16" s="69">
        <v>2020</v>
      </c>
      <c r="E16" s="71">
        <f>'FS-AD Daily '!B20</f>
        <v>6139</v>
      </c>
      <c r="F16" s="71">
        <f>'FS-AD Daily '!C20</f>
        <v>2763</v>
      </c>
      <c r="G16" s="71">
        <f>'FS-AD Daily '!D20</f>
        <v>897</v>
      </c>
      <c r="H16" s="71">
        <f>'FS-AD Daily '!E20</f>
        <v>4014</v>
      </c>
      <c r="I16" s="71">
        <f>'FS-AD Daily '!F20</f>
        <v>5138</v>
      </c>
      <c r="J16" s="71">
        <f>'FS-AD Daily '!G20</f>
        <v>3428</v>
      </c>
      <c r="K16" s="71">
        <f>'FS-AD Daily '!H20</f>
        <v>7743</v>
      </c>
      <c r="L16" s="71">
        <f>'FS-AD Daily '!I20</f>
        <v>2671</v>
      </c>
      <c r="M16" s="71">
        <f>'FS-AD Daily '!J20</f>
        <v>7062</v>
      </c>
      <c r="N16" s="71">
        <f>'FS-AD Daily '!T20</f>
        <v>136.68700000000001</v>
      </c>
      <c r="O16" s="71">
        <f>'FS-AD Daily '!R20</f>
        <v>75.536000000000001</v>
      </c>
      <c r="P16" s="71">
        <f>'FS-AD Daily '!Z20</f>
        <v>424.20000000006985</v>
      </c>
      <c r="Q16" s="71">
        <f>'FS-AD Daily '!V20</f>
        <v>229.3</v>
      </c>
      <c r="R16" s="71">
        <f>'FS-AD Daily '!W20</f>
        <v>0</v>
      </c>
      <c r="S16" s="71">
        <f t="shared" si="0"/>
        <v>194.90000000006984</v>
      </c>
      <c r="T16" s="71">
        <f>'FS-AD Daily '!AD20*3.516</f>
        <v>133231.788</v>
      </c>
      <c r="U16" s="71">
        <f>('FS-AD Daily '!AF20)*1000</f>
        <v>64099.999999999993</v>
      </c>
      <c r="V16" s="71">
        <f>('FS-AD Daily '!AG20)*1000</f>
        <v>52500</v>
      </c>
      <c r="W16" s="71">
        <f>'FS-AD Daily '!AH20*1000</f>
        <v>18800</v>
      </c>
      <c r="X16" s="71">
        <f>('FS-AD Daily '!AK20)*1000</f>
        <v>29000</v>
      </c>
      <c r="Y16" s="5">
        <v>84</v>
      </c>
      <c r="Z16" s="155">
        <v>188</v>
      </c>
    </row>
    <row r="17" spans="1:26" x14ac:dyDescent="0.25">
      <c r="A17" s="114" t="s">
        <v>80</v>
      </c>
      <c r="B17" s="69">
        <f t="shared" si="1"/>
        <v>16</v>
      </c>
      <c r="C17" s="70">
        <v>8</v>
      </c>
      <c r="D17" s="69">
        <v>2020</v>
      </c>
      <c r="E17" s="71">
        <f>'FS-AD Daily '!B21</f>
        <v>5889</v>
      </c>
      <c r="F17" s="71">
        <f>'FS-AD Daily '!C21</f>
        <v>3032</v>
      </c>
      <c r="G17" s="71">
        <f>'FS-AD Daily '!D21</f>
        <v>854</v>
      </c>
      <c r="H17" s="71">
        <f>'FS-AD Daily '!E21</f>
        <v>3894</v>
      </c>
      <c r="I17" s="71">
        <f>'FS-AD Daily '!F21</f>
        <v>5067</v>
      </c>
      <c r="J17" s="71">
        <f>'FS-AD Daily '!G21</f>
        <v>3335</v>
      </c>
      <c r="K17" s="71">
        <f>'FS-AD Daily '!H21</f>
        <v>7649</v>
      </c>
      <c r="L17" s="71">
        <f>'FS-AD Daily '!I21</f>
        <v>2597</v>
      </c>
      <c r="M17" s="71">
        <f>'FS-AD Daily '!J21</f>
        <v>7056</v>
      </c>
      <c r="N17" s="71">
        <f>'FS-AD Daily '!T21</f>
        <v>119.825</v>
      </c>
      <c r="O17" s="71">
        <f>'FS-AD Daily '!R21</f>
        <v>60.548999999999999</v>
      </c>
      <c r="P17" s="71">
        <f>'FS-AD Daily '!Z21</f>
        <v>404.69999999995343</v>
      </c>
      <c r="Q17" s="71">
        <f>'FS-AD Daily '!V21</f>
        <v>224.9</v>
      </c>
      <c r="R17" s="71">
        <f>'FS-AD Daily '!W21</f>
        <v>0</v>
      </c>
      <c r="S17" s="71">
        <f t="shared" si="0"/>
        <v>179.79999999995343</v>
      </c>
      <c r="T17" s="71">
        <f>'FS-AD Daily '!AD21*3.516</f>
        <v>133843.57200000001</v>
      </c>
      <c r="U17" s="71">
        <f>('FS-AD Daily '!AF21)*1000</f>
        <v>64200</v>
      </c>
      <c r="V17" s="71">
        <f>('FS-AD Daily '!AG21)*1000</f>
        <v>52100</v>
      </c>
      <c r="W17" s="71">
        <f>'FS-AD Daily '!AH21*1000</f>
        <v>18900</v>
      </c>
      <c r="X17" s="71">
        <f>('FS-AD Daily '!AK21)*1000</f>
        <v>29299.999999995634</v>
      </c>
      <c r="Y17" s="5">
        <v>113</v>
      </c>
      <c r="Z17" s="155">
        <v>231</v>
      </c>
    </row>
    <row r="18" spans="1:26" x14ac:dyDescent="0.25">
      <c r="A18" s="114" t="s">
        <v>80</v>
      </c>
      <c r="B18" s="69">
        <f t="shared" si="1"/>
        <v>17</v>
      </c>
      <c r="C18" s="70">
        <v>8</v>
      </c>
      <c r="D18" s="69">
        <v>2020</v>
      </c>
      <c r="E18" s="71">
        <f>'FS-AD Daily '!B22</f>
        <v>5936</v>
      </c>
      <c r="F18" s="71">
        <f>'FS-AD Daily '!C22</f>
        <v>2865</v>
      </c>
      <c r="G18" s="71">
        <f>'FS-AD Daily '!D22</f>
        <v>875</v>
      </c>
      <c r="H18" s="71">
        <f>'FS-AD Daily '!E22</f>
        <v>3990</v>
      </c>
      <c r="I18" s="71">
        <f>'FS-AD Daily '!F22</f>
        <v>5178</v>
      </c>
      <c r="J18" s="71">
        <f>'FS-AD Daily '!G22</f>
        <v>3517</v>
      </c>
      <c r="K18" s="71">
        <f>'FS-AD Daily '!H22</f>
        <v>7828</v>
      </c>
      <c r="L18" s="71">
        <f>'FS-AD Daily '!I22</f>
        <v>2621</v>
      </c>
      <c r="M18" s="71">
        <f>'FS-AD Daily '!J22</f>
        <v>7332</v>
      </c>
      <c r="N18" s="71">
        <f>'FS-AD Daily '!T22</f>
        <v>118.33199999999999</v>
      </c>
      <c r="O18" s="71">
        <f>'FS-AD Daily '!R22</f>
        <v>60.577999999999996</v>
      </c>
      <c r="P18" s="71">
        <f>'FS-AD Daily '!Z22</f>
        <v>411.30000000004657</v>
      </c>
      <c r="Q18" s="71">
        <f>'FS-AD Daily '!V22</f>
        <v>235.7</v>
      </c>
      <c r="R18" s="71">
        <f>'FS-AD Daily '!W22</f>
        <v>0</v>
      </c>
      <c r="S18" s="71">
        <f t="shared" si="0"/>
        <v>175.60000000004658</v>
      </c>
      <c r="T18" s="71">
        <f>'FS-AD Daily '!AD22*3.516</f>
        <v>131009.67600000001</v>
      </c>
      <c r="U18" s="71">
        <f>('FS-AD Daily '!AF22)*1000</f>
        <v>63300</v>
      </c>
      <c r="V18" s="71">
        <f>('FS-AD Daily '!AG22)*1000</f>
        <v>52200</v>
      </c>
      <c r="W18" s="71">
        <f>'FS-AD Daily '!AH22*1000</f>
        <v>18000</v>
      </c>
      <c r="X18" s="71">
        <f>('FS-AD Daily '!AK22)*1000</f>
        <v>29700.000000004366</v>
      </c>
      <c r="Y18" s="5">
        <f>'FS-AD Daily '!AN22</f>
        <v>128</v>
      </c>
      <c r="Z18" s="155">
        <v>256</v>
      </c>
    </row>
    <row r="19" spans="1:26" x14ac:dyDescent="0.25">
      <c r="A19" s="114" t="s">
        <v>80</v>
      </c>
      <c r="B19" s="69">
        <f t="shared" si="1"/>
        <v>18</v>
      </c>
      <c r="C19" s="70">
        <v>8</v>
      </c>
      <c r="D19" s="69">
        <v>2020</v>
      </c>
      <c r="E19" s="71">
        <f>'FS-AD Daily '!B23</f>
        <v>6203</v>
      </c>
      <c r="F19" s="71">
        <f>'FS-AD Daily '!C23</f>
        <v>2822</v>
      </c>
      <c r="G19" s="71">
        <f>'FS-AD Daily '!D23</f>
        <v>879</v>
      </c>
      <c r="H19" s="71">
        <f>'FS-AD Daily '!E23</f>
        <v>3994</v>
      </c>
      <c r="I19" s="71">
        <f>'FS-AD Daily '!F23</f>
        <v>5181</v>
      </c>
      <c r="J19" s="71">
        <f>'FS-AD Daily '!G23</f>
        <v>3522</v>
      </c>
      <c r="K19" s="71">
        <f>'FS-AD Daily '!H23</f>
        <v>7743</v>
      </c>
      <c r="L19" s="71">
        <f>'FS-AD Daily '!I23</f>
        <v>2560</v>
      </c>
      <c r="M19" s="71">
        <f>'FS-AD Daily '!J23</f>
        <v>7248</v>
      </c>
      <c r="N19" s="71">
        <f>'FS-AD Daily '!T23</f>
        <v>149.10300000000001</v>
      </c>
      <c r="O19" s="71">
        <f>'FS-AD Daily '!R23</f>
        <v>69.661999999999992</v>
      </c>
      <c r="P19" s="71">
        <f>'FS-AD Daily '!Z23</f>
        <v>434.5</v>
      </c>
      <c r="Q19" s="71">
        <f>'FS-AD Daily '!V23</f>
        <v>250</v>
      </c>
      <c r="R19" s="71">
        <f>'FS-AD Daily '!W23</f>
        <v>0</v>
      </c>
      <c r="S19" s="71">
        <f t="shared" si="0"/>
        <v>184.5</v>
      </c>
      <c r="T19" s="71">
        <f>'FS-AD Daily '!AD23*3.516</f>
        <v>123763.2</v>
      </c>
      <c r="U19" s="71">
        <f>('FS-AD Daily '!AF23)*1000</f>
        <v>59000</v>
      </c>
      <c r="V19" s="71">
        <f>('FS-AD Daily '!AG23)*1000</f>
        <v>50900</v>
      </c>
      <c r="W19" s="71">
        <f>'FS-AD Daily '!AH23*1000</f>
        <v>17700</v>
      </c>
      <c r="X19" s="71">
        <f>('FS-AD Daily '!AK23)*1000</f>
        <v>28099.999999998545</v>
      </c>
      <c r="Y19" s="5">
        <f>'FS-AD Daily '!AN23</f>
        <v>125</v>
      </c>
      <c r="Z19" s="155">
        <v>252</v>
      </c>
    </row>
    <row r="20" spans="1:26" x14ac:dyDescent="0.25">
      <c r="A20" s="114" t="s">
        <v>80</v>
      </c>
      <c r="B20" s="69">
        <f t="shared" si="1"/>
        <v>19</v>
      </c>
      <c r="C20" s="70">
        <v>8</v>
      </c>
      <c r="D20" s="69">
        <v>2020</v>
      </c>
      <c r="E20" s="71">
        <f>'FS-AD Daily '!B24</f>
        <v>5876</v>
      </c>
      <c r="F20" s="71">
        <f>'FS-AD Daily '!C24</f>
        <v>3316</v>
      </c>
      <c r="G20" s="71">
        <f>'FS-AD Daily '!D24</f>
        <v>888</v>
      </c>
      <c r="H20" s="71">
        <f>'FS-AD Daily '!E24</f>
        <v>3992</v>
      </c>
      <c r="I20" s="71">
        <f>'FS-AD Daily '!F24</f>
        <v>5118</v>
      </c>
      <c r="J20" s="71">
        <f>'FS-AD Daily '!G24</f>
        <v>3513</v>
      </c>
      <c r="K20" s="71">
        <f>'FS-AD Daily '!H24</f>
        <v>7694</v>
      </c>
      <c r="L20" s="71">
        <f>'FS-AD Daily '!I24</f>
        <v>2574</v>
      </c>
      <c r="M20" s="71">
        <f>'FS-AD Daily '!J24</f>
        <v>7370</v>
      </c>
      <c r="N20" s="71">
        <f>'FS-AD Daily '!T24</f>
        <v>129.89400000000001</v>
      </c>
      <c r="O20" s="71">
        <f>'FS-AD Daily '!R24</f>
        <v>74.823999999999998</v>
      </c>
      <c r="P20" s="71">
        <f>'FS-AD Daily '!Z24</f>
        <v>447.59999999997672</v>
      </c>
      <c r="Q20" s="71">
        <f>'FS-AD Daily '!V24</f>
        <v>255.2</v>
      </c>
      <c r="R20" s="71">
        <f>'FS-AD Daily '!W24</f>
        <v>0</v>
      </c>
      <c r="S20" s="71">
        <f t="shared" si="0"/>
        <v>192.39999999997673</v>
      </c>
      <c r="T20" s="71">
        <f>'FS-AD Daily '!AD24*3.516</f>
        <v>134395.584</v>
      </c>
      <c r="U20" s="71">
        <f>('FS-AD Daily '!AF24)*1000</f>
        <v>63800</v>
      </c>
      <c r="V20" s="71">
        <f>('FS-AD Daily '!AG24)*1000</f>
        <v>53100</v>
      </c>
      <c r="W20" s="71">
        <f>'FS-AD Daily '!AH24*1000</f>
        <v>18600</v>
      </c>
      <c r="X20" s="71">
        <f>('FS-AD Daily '!AK24)*1000</f>
        <v>30000</v>
      </c>
      <c r="Y20" s="5">
        <f>'FS-AD Daily '!AN24</f>
        <v>107</v>
      </c>
      <c r="Z20" s="155">
        <v>211</v>
      </c>
    </row>
    <row r="21" spans="1:26" x14ac:dyDescent="0.25">
      <c r="A21" s="114" t="s">
        <v>80</v>
      </c>
      <c r="B21" s="69">
        <f t="shared" si="1"/>
        <v>20</v>
      </c>
      <c r="C21" s="70">
        <v>8</v>
      </c>
      <c r="D21" s="69">
        <v>2020</v>
      </c>
      <c r="E21" s="71">
        <f>'FS-AD Daily '!B25</f>
        <v>5984</v>
      </c>
      <c r="F21" s="71">
        <f>'FS-AD Daily '!C25</f>
        <v>3642</v>
      </c>
      <c r="G21" s="71">
        <f>'FS-AD Daily '!D25</f>
        <v>919</v>
      </c>
      <c r="H21" s="71">
        <f>'FS-AD Daily '!E25</f>
        <v>3975</v>
      </c>
      <c r="I21" s="71">
        <f>'FS-AD Daily '!F25</f>
        <v>5084</v>
      </c>
      <c r="J21" s="71">
        <f>'FS-AD Daily '!G25</f>
        <v>3481</v>
      </c>
      <c r="K21" s="71">
        <f>'FS-AD Daily '!H25</f>
        <v>7892</v>
      </c>
      <c r="L21" s="71">
        <f>'FS-AD Daily '!I25</f>
        <v>2612</v>
      </c>
      <c r="M21" s="71">
        <f>'FS-AD Daily '!J25</f>
        <v>7512</v>
      </c>
      <c r="N21" s="71">
        <f>'FS-AD Daily '!T25</f>
        <v>133.80799999999999</v>
      </c>
      <c r="O21" s="71">
        <f>'FS-AD Daily '!R25</f>
        <v>75.867000000000004</v>
      </c>
      <c r="P21" s="71">
        <f>'FS-AD Daily '!Z25</f>
        <v>463.29999999993015</v>
      </c>
      <c r="Q21" s="71">
        <f>'FS-AD Daily '!V25</f>
        <v>280.39999999999998</v>
      </c>
      <c r="R21" s="71">
        <f>'FS-AD Daily '!W25</f>
        <v>0</v>
      </c>
      <c r="S21" s="71">
        <f t="shared" si="0"/>
        <v>182.89999999993017</v>
      </c>
      <c r="T21" s="71">
        <f>'FS-AD Daily '!AD25*3.516</f>
        <v>138653.46</v>
      </c>
      <c r="U21" s="71">
        <f>('FS-AD Daily '!AF25)*1000</f>
        <v>66300</v>
      </c>
      <c r="V21" s="71">
        <f>('FS-AD Daily '!AG25)*1000</f>
        <v>53000</v>
      </c>
      <c r="W21" s="71">
        <f>'FS-AD Daily '!AH25*1000</f>
        <v>20000</v>
      </c>
      <c r="X21" s="71">
        <f>('FS-AD Daily '!AK25)*1000</f>
        <v>31300.00000000291</v>
      </c>
      <c r="Y21" s="5">
        <f>'FS-AD Daily '!AN25</f>
        <v>113</v>
      </c>
      <c r="Z21" s="155">
        <v>222</v>
      </c>
    </row>
    <row r="22" spans="1:26" x14ac:dyDescent="0.25">
      <c r="A22" s="114" t="s">
        <v>80</v>
      </c>
      <c r="B22" s="69">
        <f t="shared" si="1"/>
        <v>21</v>
      </c>
      <c r="C22" s="70">
        <v>8</v>
      </c>
      <c r="D22" s="69">
        <v>2020</v>
      </c>
      <c r="E22" s="71">
        <f>'FS-AD Daily '!B26</f>
        <v>5584</v>
      </c>
      <c r="F22" s="71">
        <f>'FS-AD Daily '!C26</f>
        <v>3452</v>
      </c>
      <c r="G22" s="71">
        <f>'FS-AD Daily '!D26</f>
        <v>915</v>
      </c>
      <c r="H22" s="71">
        <f>'FS-AD Daily '!E26</f>
        <v>4300</v>
      </c>
      <c r="I22" s="71">
        <f>'FS-AD Daily '!F26</f>
        <v>5094</v>
      </c>
      <c r="J22" s="71">
        <f>'FS-AD Daily '!G26</f>
        <v>3497</v>
      </c>
      <c r="K22" s="71">
        <f>'FS-AD Daily '!H26</f>
        <v>7838</v>
      </c>
      <c r="L22" s="71">
        <f>'FS-AD Daily '!I26</f>
        <v>2535</v>
      </c>
      <c r="M22" s="71">
        <f>'FS-AD Daily '!J26</f>
        <v>7461</v>
      </c>
      <c r="N22" s="71">
        <f>'FS-AD Daily '!T26</f>
        <v>134.798</v>
      </c>
      <c r="O22" s="71">
        <f>'FS-AD Daily '!R26</f>
        <v>84.332999999999998</v>
      </c>
      <c r="P22" s="71">
        <f>'FS-AD Daily '!Z26</f>
        <v>504.60000000009313</v>
      </c>
      <c r="Q22" s="71">
        <f>'FS-AD Daily '!V26</f>
        <v>287</v>
      </c>
      <c r="R22" s="71">
        <f>'FS-AD Daily '!W26</f>
        <v>0</v>
      </c>
      <c r="S22" s="71">
        <f t="shared" si="0"/>
        <v>217.60000000009313</v>
      </c>
      <c r="T22" s="71">
        <f>'FS-AD Daily '!AD26*3.516</f>
        <v>130056.84</v>
      </c>
      <c r="U22" s="71">
        <f>('FS-AD Daily '!AF26)*1000</f>
        <v>63400</v>
      </c>
      <c r="V22" s="71">
        <f>('FS-AD Daily '!AG26)*1000</f>
        <v>50800</v>
      </c>
      <c r="W22" s="71">
        <f>'FS-AD Daily '!AH26*1000</f>
        <v>18700</v>
      </c>
      <c r="X22" s="71">
        <f>('FS-AD Daily '!AK26)*1000</f>
        <v>30399.999999994179</v>
      </c>
      <c r="Y22" s="5">
        <f>'FS-AD Daily '!AN26</f>
        <v>126</v>
      </c>
      <c r="Z22" s="155">
        <v>265</v>
      </c>
    </row>
    <row r="23" spans="1:26" x14ac:dyDescent="0.25">
      <c r="A23" s="114" t="s">
        <v>80</v>
      </c>
      <c r="B23" s="69">
        <f t="shared" si="1"/>
        <v>22</v>
      </c>
      <c r="C23" s="70">
        <v>8</v>
      </c>
      <c r="D23" s="69">
        <v>2020</v>
      </c>
      <c r="E23" s="71">
        <f>'FS-AD Daily '!B27</f>
        <v>6116</v>
      </c>
      <c r="F23" s="71">
        <f>'FS-AD Daily '!C27</f>
        <v>3328</v>
      </c>
      <c r="G23" s="71">
        <f>'FS-AD Daily '!D27</f>
        <v>942</v>
      </c>
      <c r="H23" s="71">
        <f>'FS-AD Daily '!E27</f>
        <v>5097</v>
      </c>
      <c r="I23" s="71">
        <f>'FS-AD Daily '!F27</f>
        <v>5249</v>
      </c>
      <c r="J23" s="71">
        <f>'FS-AD Daily '!G27</f>
        <v>3568</v>
      </c>
      <c r="K23" s="71">
        <f>'FS-AD Daily '!H27</f>
        <v>7871</v>
      </c>
      <c r="L23" s="71">
        <f>'FS-AD Daily '!I27</f>
        <v>2632</v>
      </c>
      <c r="M23" s="71">
        <f>'FS-AD Daily '!J27</f>
        <v>7578</v>
      </c>
      <c r="N23" s="71">
        <f>'FS-AD Daily '!T27</f>
        <v>112.52000000000001</v>
      </c>
      <c r="O23" s="71">
        <f>'FS-AD Daily '!R27</f>
        <v>81.272999999999996</v>
      </c>
      <c r="P23" s="71">
        <f>'FS-AD Daily '!Z27</f>
        <v>479.19999999995343</v>
      </c>
      <c r="Q23" s="71">
        <f>'FS-AD Daily '!V27</f>
        <v>284.89999999999998</v>
      </c>
      <c r="R23" s="71">
        <f>'FS-AD Daily '!W27</f>
        <v>0</v>
      </c>
      <c r="S23" s="71">
        <f t="shared" si="0"/>
        <v>194.29999999995346</v>
      </c>
      <c r="T23" s="71">
        <f>'FS-AD Daily '!AD27*3.516</f>
        <v>133790.83199999999</v>
      </c>
      <c r="U23" s="71">
        <f>('FS-AD Daily '!AF27)*1000</f>
        <v>66500</v>
      </c>
      <c r="V23" s="71">
        <f>('FS-AD Daily '!AG27)*1000</f>
        <v>51400</v>
      </c>
      <c r="W23" s="71">
        <f>'FS-AD Daily '!AH27*1000</f>
        <v>19600</v>
      </c>
      <c r="X23" s="71">
        <f>('FS-AD Daily '!AK27)*1000</f>
        <v>30400.000000001455</v>
      </c>
      <c r="Y23" s="5">
        <f>'FS-AD Daily '!AN27</f>
        <v>89</v>
      </c>
      <c r="Z23" s="155">
        <v>196</v>
      </c>
    </row>
    <row r="24" spans="1:26" x14ac:dyDescent="0.25">
      <c r="A24" s="114" t="s">
        <v>80</v>
      </c>
      <c r="B24" s="69">
        <f t="shared" si="1"/>
        <v>23</v>
      </c>
      <c r="C24" s="70">
        <v>8</v>
      </c>
      <c r="D24" s="69">
        <v>2020</v>
      </c>
      <c r="E24" s="71">
        <f>'FS-AD Daily '!B28</f>
        <v>5418</v>
      </c>
      <c r="F24" s="71">
        <f>'FS-AD Daily '!C28</f>
        <v>3291</v>
      </c>
      <c r="G24" s="71">
        <f>'FS-AD Daily '!D28</f>
        <v>861</v>
      </c>
      <c r="H24" s="71">
        <f>'FS-AD Daily '!E28</f>
        <v>4845</v>
      </c>
      <c r="I24" s="71">
        <f>'FS-AD Daily '!F28</f>
        <v>4920</v>
      </c>
      <c r="J24" s="71">
        <f>'FS-AD Daily '!G28</f>
        <v>3299</v>
      </c>
      <c r="K24" s="71">
        <f>'FS-AD Daily '!H28</f>
        <v>6160</v>
      </c>
      <c r="L24" s="71">
        <f>'FS-AD Daily '!I28</f>
        <v>2637</v>
      </c>
      <c r="M24" s="71">
        <f>'FS-AD Daily '!J28</f>
        <v>7268</v>
      </c>
      <c r="N24" s="71">
        <f>'FS-AD Daily '!T28</f>
        <v>156.89400000000001</v>
      </c>
      <c r="O24" s="71">
        <f>'FS-AD Daily '!R28</f>
        <v>69.816999999999993</v>
      </c>
      <c r="P24" s="71">
        <f>'FS-AD Daily '!Z28</f>
        <v>448.59999999997672</v>
      </c>
      <c r="Q24" s="71">
        <f>'FS-AD Daily '!V28</f>
        <v>265.2</v>
      </c>
      <c r="R24" s="71">
        <f>'FS-AD Daily '!W28</f>
        <v>0</v>
      </c>
      <c r="S24" s="71">
        <f t="shared" si="0"/>
        <v>183.39999999997673</v>
      </c>
      <c r="T24" s="71">
        <f>'FS-AD Daily '!AD28*3.516</f>
        <v>113457.804</v>
      </c>
      <c r="U24" s="71">
        <f>('FS-AD Daily '!AF28)*1000</f>
        <v>59100</v>
      </c>
      <c r="V24" s="71">
        <f>('FS-AD Daily '!AG28)*1000</f>
        <v>40600</v>
      </c>
      <c r="W24" s="71">
        <f>'FS-AD Daily '!AH28*1000</f>
        <v>19000</v>
      </c>
      <c r="X24" s="71">
        <f>('FS-AD Daily '!AK28)*1000</f>
        <v>26500</v>
      </c>
      <c r="Y24" s="5">
        <f>'FS-AD Daily '!AN28</f>
        <v>75</v>
      </c>
      <c r="Z24" s="155">
        <v>153</v>
      </c>
    </row>
    <row r="25" spans="1:26" x14ac:dyDescent="0.25">
      <c r="A25" s="114" t="s">
        <v>80</v>
      </c>
      <c r="B25" s="69">
        <f t="shared" si="1"/>
        <v>24</v>
      </c>
      <c r="C25" s="70">
        <v>8</v>
      </c>
      <c r="D25" s="69">
        <v>2020</v>
      </c>
      <c r="E25" s="71">
        <f>'FS-AD Daily '!B29</f>
        <v>5950</v>
      </c>
      <c r="F25" s="71">
        <f>'FS-AD Daily '!C29</f>
        <v>3158</v>
      </c>
      <c r="G25" s="71">
        <f>'FS-AD Daily '!D29</f>
        <v>871</v>
      </c>
      <c r="H25" s="71">
        <f>'FS-AD Daily '!E29</f>
        <v>4651</v>
      </c>
      <c r="I25" s="71">
        <f>'FS-AD Daily '!F29</f>
        <v>5194</v>
      </c>
      <c r="J25" s="71">
        <f>'FS-AD Daily '!G29</f>
        <v>3360</v>
      </c>
      <c r="K25" s="71">
        <f>'FS-AD Daily '!H29</f>
        <v>6611</v>
      </c>
      <c r="L25" s="71">
        <f>'FS-AD Daily '!I29</f>
        <v>2633</v>
      </c>
      <c r="M25" s="71">
        <f>'FS-AD Daily '!J29</f>
        <v>7244</v>
      </c>
      <c r="N25" s="71">
        <f>'FS-AD Daily '!T29</f>
        <v>122.511</v>
      </c>
      <c r="O25" s="71">
        <f>'FS-AD Daily '!R29</f>
        <v>70.712000000000003</v>
      </c>
      <c r="P25" s="71">
        <f>'FS-AD Daily '!Z29</f>
        <v>435.80000000004657</v>
      </c>
      <c r="Q25" s="71">
        <f>'FS-AD Daily '!V29</f>
        <v>268.7</v>
      </c>
      <c r="R25" s="71">
        <f>'FS-AD Daily '!W29</f>
        <v>0</v>
      </c>
      <c r="S25" s="71">
        <f t="shared" si="0"/>
        <v>167.10000000004658</v>
      </c>
      <c r="T25" s="71">
        <f>'FS-AD Daily '!AD29*3.516</f>
        <v>113616.024</v>
      </c>
      <c r="U25" s="71">
        <f>('FS-AD Daily '!AF29)*1000</f>
        <v>56100</v>
      </c>
      <c r="V25" s="71">
        <f>('FS-AD Daily '!AG29)*1000</f>
        <v>42600</v>
      </c>
      <c r="W25" s="71">
        <f>'FS-AD Daily '!AH29*1000</f>
        <v>19100</v>
      </c>
      <c r="X25" s="71">
        <f>('FS-AD Daily '!AK29)*1000</f>
        <v>27300.00000000291</v>
      </c>
      <c r="Y25" s="5">
        <f>'FS-AD Daily '!AN29</f>
        <v>100</v>
      </c>
      <c r="Z25" s="155">
        <v>194</v>
      </c>
    </row>
    <row r="26" spans="1:26" x14ac:dyDescent="0.25">
      <c r="A26" s="114" t="s">
        <v>80</v>
      </c>
      <c r="B26" s="69">
        <f>B25+1</f>
        <v>25</v>
      </c>
      <c r="C26" s="70">
        <v>8</v>
      </c>
      <c r="D26" s="69">
        <v>2020</v>
      </c>
      <c r="E26" s="71">
        <f>'FS-AD Daily '!B30</f>
        <v>5068</v>
      </c>
      <c r="F26" s="71">
        <f>'FS-AD Daily '!C30</f>
        <v>3290</v>
      </c>
      <c r="G26" s="71">
        <f>'FS-AD Daily '!D30</f>
        <v>892</v>
      </c>
      <c r="H26" s="71">
        <f>'FS-AD Daily '!E30</f>
        <v>4558</v>
      </c>
      <c r="I26" s="71">
        <f>'FS-AD Daily '!F30</f>
        <v>5150</v>
      </c>
      <c r="J26" s="71">
        <f>'FS-AD Daily '!G30</f>
        <v>3342</v>
      </c>
      <c r="K26" s="71">
        <f>'FS-AD Daily '!H30</f>
        <v>5395</v>
      </c>
      <c r="L26" s="71">
        <f>'FS-AD Daily '!I30</f>
        <v>2661</v>
      </c>
      <c r="M26" s="71">
        <f>'FS-AD Daily '!J30</f>
        <v>7358</v>
      </c>
      <c r="N26" s="71">
        <f>'FS-AD Daily '!T30</f>
        <v>155.43</v>
      </c>
      <c r="O26" s="71">
        <f>'FS-AD Daily '!R30</f>
        <v>71.701000000000008</v>
      </c>
      <c r="P26" s="71">
        <f>'FS-AD Daily '!Z30</f>
        <v>461.69999999995343</v>
      </c>
      <c r="Q26" s="71">
        <f>'FS-AD Daily '!V30</f>
        <v>275.39999999999998</v>
      </c>
      <c r="R26" s="71">
        <f>'FS-AD Daily '!W30</f>
        <v>0</v>
      </c>
      <c r="S26" s="71">
        <f t="shared" si="0"/>
        <v>186.29999999995346</v>
      </c>
      <c r="T26" s="71">
        <f>'FS-AD Daily '!AD30*3.516</f>
        <v>115194.708</v>
      </c>
      <c r="U26" s="71">
        <f>('FS-AD Daily '!AF30)*1000</f>
        <v>58100</v>
      </c>
      <c r="V26" s="71">
        <f>('FS-AD Daily '!AG30)*1000</f>
        <v>38200</v>
      </c>
      <c r="W26" s="71">
        <f>'FS-AD Daily '!AH30*1000</f>
        <v>20600</v>
      </c>
      <c r="X26" s="71">
        <f>('FS-AD Daily '!AK30)*1000</f>
        <v>28199.99999999709</v>
      </c>
      <c r="Y26" s="5">
        <v>124</v>
      </c>
      <c r="Z26" s="155">
        <v>242</v>
      </c>
    </row>
    <row r="27" spans="1:26" x14ac:dyDescent="0.25">
      <c r="A27" s="114" t="s">
        <v>80</v>
      </c>
      <c r="B27" s="69">
        <f t="shared" si="1"/>
        <v>26</v>
      </c>
      <c r="C27" s="70">
        <v>8</v>
      </c>
      <c r="D27" s="69">
        <v>2020</v>
      </c>
      <c r="E27" s="71">
        <f>'FS-AD Daily '!B31</f>
        <v>4450</v>
      </c>
      <c r="F27" s="71">
        <f>'FS-AD Daily '!C31</f>
        <v>3545</v>
      </c>
      <c r="G27" s="71">
        <f>'FS-AD Daily '!D31</f>
        <v>890</v>
      </c>
      <c r="H27" s="71">
        <f>'FS-AD Daily '!E31</f>
        <v>4536</v>
      </c>
      <c r="I27" s="71">
        <f>'FS-AD Daily '!F31</f>
        <v>5091</v>
      </c>
      <c r="J27" s="71">
        <f>'FS-AD Daily '!G31</f>
        <v>3222</v>
      </c>
      <c r="K27" s="71">
        <f>'FS-AD Daily '!H31</f>
        <v>4273</v>
      </c>
      <c r="L27" s="71">
        <f>'FS-AD Daily '!I31</f>
        <v>2580</v>
      </c>
      <c r="M27" s="71">
        <f>'FS-AD Daily '!J31</f>
        <v>7368</v>
      </c>
      <c r="N27" s="71">
        <f>'FS-AD Daily '!T31</f>
        <v>122.13</v>
      </c>
      <c r="O27" s="71">
        <f>'FS-AD Daily '!R31</f>
        <v>70.912000000000006</v>
      </c>
      <c r="P27" s="71">
        <f>'FS-AD Daily '!Z31</f>
        <v>459.5</v>
      </c>
      <c r="Q27" s="71">
        <f>'FS-AD Daily '!V31</f>
        <v>281.3</v>
      </c>
      <c r="R27" s="71">
        <f>'FS-AD Daily '!W31</f>
        <v>0</v>
      </c>
      <c r="S27" s="71">
        <f t="shared" si="0"/>
        <v>178.2</v>
      </c>
      <c r="T27" s="71">
        <f>'FS-AD Daily '!AD31*3.516</f>
        <v>107448.96000000001</v>
      </c>
      <c r="U27" s="71">
        <f>('FS-AD Daily '!AF31)*1000</f>
        <v>52700</v>
      </c>
      <c r="V27" s="71">
        <f>('FS-AD Daily '!AG31)*1000</f>
        <v>33300</v>
      </c>
      <c r="W27" s="71">
        <f>'FS-AD Daily '!AH31*1000</f>
        <v>19800</v>
      </c>
      <c r="X27" s="71">
        <f>('FS-AD Daily '!AK31)*1000</f>
        <v>28800.00000000291</v>
      </c>
      <c r="Y27" s="5">
        <v>122</v>
      </c>
      <c r="Z27" s="155">
        <v>245</v>
      </c>
    </row>
    <row r="28" spans="1:26" x14ac:dyDescent="0.25">
      <c r="A28" s="114" t="s">
        <v>80</v>
      </c>
      <c r="B28" s="69">
        <f t="shared" si="1"/>
        <v>27</v>
      </c>
      <c r="C28" s="70">
        <v>8</v>
      </c>
      <c r="D28" s="69">
        <v>2020</v>
      </c>
      <c r="E28" s="71">
        <f>'FS-AD Daily '!B32</f>
        <v>4431</v>
      </c>
      <c r="F28" s="71">
        <f>'FS-AD Daily '!C32</f>
        <v>3556</v>
      </c>
      <c r="G28" s="71">
        <f>'FS-AD Daily '!D32</f>
        <v>907</v>
      </c>
      <c r="H28" s="71">
        <f>'FS-AD Daily '!E32</f>
        <v>4698</v>
      </c>
      <c r="I28" s="71">
        <f>'FS-AD Daily '!F32</f>
        <v>5289</v>
      </c>
      <c r="J28" s="71">
        <f>'FS-AD Daily '!G32</f>
        <v>3437</v>
      </c>
      <c r="K28" s="71">
        <f>'FS-AD Daily '!H32</f>
        <v>4452</v>
      </c>
      <c r="L28" s="71">
        <f>'FS-AD Daily '!I32</f>
        <v>2610</v>
      </c>
      <c r="M28" s="71">
        <f>'FS-AD Daily '!J32</f>
        <v>7534</v>
      </c>
      <c r="N28" s="71">
        <f>'FS-AD Daily '!T32</f>
        <v>168.762</v>
      </c>
      <c r="O28" s="71">
        <f>'FS-AD Daily '!R32</f>
        <v>77.448999999999998</v>
      </c>
      <c r="P28" s="71">
        <f>'FS-AD Daily '!Z32</f>
        <v>473.09999999997672</v>
      </c>
      <c r="Q28" s="71">
        <f>'FS-AD Daily '!V32</f>
        <v>287.2</v>
      </c>
      <c r="R28" s="71">
        <f>'FS-AD Daily '!W32</f>
        <v>0</v>
      </c>
      <c r="S28" s="71">
        <f t="shared" si="0"/>
        <v>185.89999999997673</v>
      </c>
      <c r="T28" s="71">
        <f>'FS-AD Daily '!AD32*3.516</f>
        <v>121038.3</v>
      </c>
      <c r="U28" s="71">
        <f>('FS-AD Daily '!AF32)*1000</f>
        <v>61400</v>
      </c>
      <c r="V28" s="71">
        <f>('FS-AD Daily '!AG32)*1000</f>
        <v>36500</v>
      </c>
      <c r="W28" s="71">
        <f>'FS-AD Daily '!AH32*1000</f>
        <v>20900</v>
      </c>
      <c r="X28" s="71">
        <f>('FS-AD Daily '!AK32)*1000</f>
        <v>30599.999999998545</v>
      </c>
      <c r="Y28" s="5">
        <v>135</v>
      </c>
      <c r="Z28" s="155">
        <v>284</v>
      </c>
    </row>
    <row r="29" spans="1:26" x14ac:dyDescent="0.25">
      <c r="A29" s="114" t="s">
        <v>80</v>
      </c>
      <c r="B29" s="69">
        <f t="shared" si="1"/>
        <v>28</v>
      </c>
      <c r="C29" s="70">
        <v>8</v>
      </c>
      <c r="D29" s="69">
        <v>2020</v>
      </c>
      <c r="E29" s="71">
        <f>'FS-AD Daily '!B33</f>
        <v>4707</v>
      </c>
      <c r="F29" s="71">
        <f>'FS-AD Daily '!C33</f>
        <v>3495</v>
      </c>
      <c r="G29" s="71">
        <f>'FS-AD Daily '!D33</f>
        <v>965</v>
      </c>
      <c r="H29" s="71">
        <f>'FS-AD Daily '!E33</f>
        <v>4597</v>
      </c>
      <c r="I29" s="71">
        <f>'FS-AD Daily '!F33</f>
        <v>5231</v>
      </c>
      <c r="J29" s="71">
        <f>'FS-AD Daily '!G33</f>
        <v>3318</v>
      </c>
      <c r="K29" s="71">
        <f>'FS-AD Daily '!H33</f>
        <v>4206</v>
      </c>
      <c r="L29" s="71">
        <f>'FS-AD Daily '!I33</f>
        <v>2571</v>
      </c>
      <c r="M29" s="71">
        <f>'FS-AD Daily '!J33</f>
        <v>7735</v>
      </c>
      <c r="N29" s="71">
        <f>'FS-AD Daily '!T33</f>
        <v>119.631</v>
      </c>
      <c r="O29" s="71">
        <f>'FS-AD Daily '!R33</f>
        <v>73.69</v>
      </c>
      <c r="P29" s="71">
        <f>'FS-AD Daily '!Z33</f>
        <v>503.90000000002328</v>
      </c>
      <c r="Q29" s="71">
        <f>'FS-AD Daily '!V33</f>
        <v>288.8</v>
      </c>
      <c r="R29" s="71">
        <f>'FS-AD Daily '!W33</f>
        <v>0</v>
      </c>
      <c r="S29" s="71">
        <f t="shared" si="0"/>
        <v>215.10000000002327</v>
      </c>
      <c r="T29" s="71">
        <f>'FS-AD Daily '!AD33*3.516</f>
        <v>109126.092</v>
      </c>
      <c r="U29" s="71">
        <f>('FS-AD Daily '!AF33)*1000</f>
        <v>54500</v>
      </c>
      <c r="V29" s="71">
        <f>('FS-AD Daily '!AG33)*1000</f>
        <v>32500</v>
      </c>
      <c r="W29" s="71">
        <f>'FS-AD Daily '!AH33*1000</f>
        <v>20500</v>
      </c>
      <c r="X29" s="71">
        <f>('FS-AD Daily '!AK33)*1000</f>
        <v>28500</v>
      </c>
      <c r="Y29" s="5">
        <v>118</v>
      </c>
      <c r="Z29" s="155">
        <v>238</v>
      </c>
    </row>
    <row r="30" spans="1:26" x14ac:dyDescent="0.25">
      <c r="A30" s="114" t="s">
        <v>80</v>
      </c>
      <c r="B30" s="69">
        <f t="shared" si="1"/>
        <v>29</v>
      </c>
      <c r="C30" s="70">
        <v>8</v>
      </c>
      <c r="D30" s="69">
        <v>2020</v>
      </c>
      <c r="E30" s="71">
        <f>'FS-AD Daily '!B34</f>
        <v>4394</v>
      </c>
      <c r="F30" s="71">
        <f>'FS-AD Daily '!C34</f>
        <v>3586</v>
      </c>
      <c r="G30" s="71">
        <f>'FS-AD Daily '!D34</f>
        <v>983</v>
      </c>
      <c r="H30" s="71">
        <f>'FS-AD Daily '!E34</f>
        <v>4758</v>
      </c>
      <c r="I30" s="71">
        <f>'FS-AD Daily '!F34</f>
        <v>5198</v>
      </c>
      <c r="J30" s="71">
        <f>'FS-AD Daily '!G34</f>
        <v>3216</v>
      </c>
      <c r="K30" s="71">
        <f>'FS-AD Daily '!H34</f>
        <v>4318</v>
      </c>
      <c r="L30" s="71">
        <f>'FS-AD Daily '!I34</f>
        <v>2641</v>
      </c>
      <c r="M30" s="71">
        <f>'FS-AD Daily '!J34</f>
        <v>7388</v>
      </c>
      <c r="N30" s="71">
        <f>'FS-AD Daily '!T34</f>
        <v>154.75</v>
      </c>
      <c r="O30" s="71">
        <f>'FS-AD Daily '!R34</f>
        <v>66.542000000000002</v>
      </c>
      <c r="P30" s="71">
        <f>'FS-AD Daily '!Z34</f>
        <v>474.59999999997672</v>
      </c>
      <c r="Q30" s="71">
        <f>'FS-AD Daily '!V34</f>
        <v>274.10000000000002</v>
      </c>
      <c r="R30" s="71">
        <f>'FS-AD Daily '!W34</f>
        <v>0</v>
      </c>
      <c r="S30" s="71">
        <f t="shared" si="0"/>
        <v>200.49999999997669</v>
      </c>
      <c r="T30" s="71">
        <f>'FS-AD Daily '!AD34*3.516</f>
        <v>110817.288</v>
      </c>
      <c r="U30" s="71">
        <f>('FS-AD Daily '!AF34)*1000</f>
        <v>53900</v>
      </c>
      <c r="V30" s="71">
        <f>('FS-AD Daily '!AG34)*1000</f>
        <v>32900</v>
      </c>
      <c r="W30" s="71">
        <f>'FS-AD Daily '!AH34*1000</f>
        <v>20300</v>
      </c>
      <c r="X30" s="71">
        <f>('FS-AD Daily '!AK34)*1000</f>
        <v>29599.999999998545</v>
      </c>
      <c r="Y30" s="5">
        <v>82</v>
      </c>
      <c r="Z30" s="155">
        <v>172</v>
      </c>
    </row>
    <row r="31" spans="1:26" x14ac:dyDescent="0.25">
      <c r="A31" s="140" t="s">
        <v>80</v>
      </c>
      <c r="B31" s="141">
        <f t="shared" si="1"/>
        <v>30</v>
      </c>
      <c r="C31" s="70">
        <v>8</v>
      </c>
      <c r="D31" s="141">
        <v>2020</v>
      </c>
      <c r="E31" s="71">
        <f>'FS-AD Daily '!B35</f>
        <v>4596</v>
      </c>
      <c r="F31" s="71">
        <f>'FS-AD Daily '!C35</f>
        <v>3208</v>
      </c>
      <c r="G31" s="71">
        <f>'FS-AD Daily '!D35</f>
        <v>884</v>
      </c>
      <c r="H31" s="71">
        <f>'FS-AD Daily '!E35</f>
        <v>4682</v>
      </c>
      <c r="I31" s="143">
        <f>'FS-AD Daily '!F35</f>
        <v>5089</v>
      </c>
      <c r="J31" s="143">
        <f>'FS-AD Daily '!G35</f>
        <v>3023</v>
      </c>
      <c r="K31" s="143">
        <f>'FS-AD Daily '!H35</f>
        <v>4102</v>
      </c>
      <c r="L31" s="143">
        <f>'FS-AD Daily '!I35</f>
        <v>2593</v>
      </c>
      <c r="M31" s="143">
        <f>'FS-AD Daily '!J35</f>
        <v>7268</v>
      </c>
      <c r="N31" s="143">
        <f>'FS-AD Daily '!T35</f>
        <v>122.783</v>
      </c>
      <c r="O31" s="143">
        <f>'FS-AD Daily '!R35</f>
        <v>68.757000000000005</v>
      </c>
      <c r="P31" s="143">
        <f>'FS-AD Daily '!Z35</f>
        <v>461.5</v>
      </c>
      <c r="Q31" s="143">
        <f>'FS-AD Daily '!V35</f>
        <v>276.89999999999998</v>
      </c>
      <c r="R31" s="143">
        <f>'FS-AD Daily '!W35</f>
        <v>0</v>
      </c>
      <c r="S31" s="143">
        <f t="shared" si="0"/>
        <v>184.60000000000002</v>
      </c>
      <c r="T31" s="143">
        <f>'FS-AD Daily '!AD35*3.516</f>
        <v>114206.712</v>
      </c>
      <c r="U31" s="143">
        <f>('FS-AD Daily '!AF35)*1000</f>
        <v>57000</v>
      </c>
      <c r="V31" s="143">
        <f>('FS-AD Daily '!AG35)*1000</f>
        <v>31800</v>
      </c>
      <c r="W31" s="143">
        <f>'FS-AD Daily '!AH35*1000</f>
        <v>20900</v>
      </c>
      <c r="X31" s="143">
        <f>('FS-AD Daily '!AK35)*1000</f>
        <v>29900.000000001455</v>
      </c>
      <c r="Y31" s="156">
        <v>94</v>
      </c>
      <c r="Z31" s="157">
        <v>199</v>
      </c>
    </row>
    <row r="32" spans="1:26" ht="15.75" thickBot="1" x14ac:dyDescent="0.3">
      <c r="A32" s="116" t="s">
        <v>80</v>
      </c>
      <c r="B32" s="117">
        <f t="shared" si="1"/>
        <v>31</v>
      </c>
      <c r="C32" s="118">
        <v>8</v>
      </c>
      <c r="D32" s="117">
        <v>2020</v>
      </c>
      <c r="E32" s="119">
        <f>'FS-AD Daily '!B36</f>
        <v>5257</v>
      </c>
      <c r="F32" s="119">
        <f>'FS-AD Daily '!C36</f>
        <v>3197</v>
      </c>
      <c r="G32" s="119">
        <f>'FS-AD Daily '!D36</f>
        <v>886</v>
      </c>
      <c r="H32" s="119">
        <f>'FS-AD Daily '!E36</f>
        <v>4583</v>
      </c>
      <c r="I32" s="119">
        <f>'FS-AD Daily '!F36</f>
        <v>4977</v>
      </c>
      <c r="J32" s="119">
        <f>'FS-AD Daily '!G36</f>
        <v>3143</v>
      </c>
      <c r="K32" s="119">
        <f>'FS-AD Daily '!H36</f>
        <v>4275</v>
      </c>
      <c r="L32" s="119">
        <f>'FS-AD Daily '!I36</f>
        <v>2634</v>
      </c>
      <c r="M32" s="119">
        <f>'FS-AD Daily '!J36</f>
        <v>7502</v>
      </c>
      <c r="N32" s="119">
        <f>'FS-AD Daily '!T36</f>
        <v>118.075</v>
      </c>
      <c r="O32" s="119">
        <f>'FS-AD Daily '!R36</f>
        <v>69.116</v>
      </c>
      <c r="P32" s="119">
        <f>'FS-AD Daily '!Z36</f>
        <v>478.40000000002328</v>
      </c>
      <c r="Q32" s="119">
        <f>'FS-AD Daily '!V36</f>
        <v>275.8</v>
      </c>
      <c r="R32" s="119">
        <f>'FS-AD Daily '!W36</f>
        <v>0</v>
      </c>
      <c r="S32" s="119">
        <f t="shared" ref="S32" si="2">P32-Q32-R32</f>
        <v>202.60000000002327</v>
      </c>
      <c r="T32" s="119">
        <f>'FS-AD Daily '!AD36*3.516</f>
        <v>107888.46</v>
      </c>
      <c r="U32" s="119">
        <f>('FS-AD Daily '!AF36)*1000</f>
        <v>55000</v>
      </c>
      <c r="V32" s="119">
        <f>('FS-AD Daily '!AG36)*1000</f>
        <v>30800</v>
      </c>
      <c r="W32" s="119">
        <f>'FS-AD Daily '!AH36*1000</f>
        <v>19900</v>
      </c>
      <c r="X32" s="119">
        <f>('FS-AD Daily '!AK36)*1000</f>
        <v>28300.00000000291</v>
      </c>
      <c r="Y32" s="97">
        <v>102</v>
      </c>
      <c r="Z32" s="158">
        <v>197</v>
      </c>
    </row>
    <row r="33" spans="9:26" x14ac:dyDescent="0.25">
      <c r="I33" s="4">
        <f t="shared" ref="I33:W33" si="3">SUM(I2:I32)</f>
        <v>159299</v>
      </c>
      <c r="J33" s="4">
        <f t="shared" si="3"/>
        <v>104698</v>
      </c>
      <c r="K33" s="4">
        <f t="shared" si="3"/>
        <v>212496</v>
      </c>
      <c r="L33" s="4">
        <f t="shared" si="3"/>
        <v>79627</v>
      </c>
      <c r="M33" s="4">
        <f t="shared" si="3"/>
        <v>228178</v>
      </c>
      <c r="N33" s="4">
        <f t="shared" si="3"/>
        <v>4236.6859999999997</v>
      </c>
      <c r="O33" s="4">
        <f t="shared" si="3"/>
        <v>2175.5340000000001</v>
      </c>
      <c r="P33" s="4">
        <f t="shared" si="3"/>
        <v>13676.79999999993</v>
      </c>
      <c r="Q33" s="4">
        <f t="shared" si="3"/>
        <v>7778.4999999999991</v>
      </c>
      <c r="R33" s="4">
        <f t="shared" si="3"/>
        <v>0</v>
      </c>
      <c r="S33" s="4">
        <f t="shared" si="3"/>
        <v>5898.2999999999311</v>
      </c>
      <c r="T33" s="4">
        <f t="shared" si="3"/>
        <v>3786355.7880000002</v>
      </c>
      <c r="U33" s="4">
        <f t="shared" si="3"/>
        <v>1796400</v>
      </c>
      <c r="V33" s="4">
        <f t="shared" si="3"/>
        <v>1445900</v>
      </c>
      <c r="W33" s="4">
        <f t="shared" si="3"/>
        <v>592100</v>
      </c>
      <c r="X33" s="4">
        <f>'FS-AD Daily '!U38</f>
        <v>16159.431679999994</v>
      </c>
      <c r="Y33" s="4">
        <f>SUM(Y2:Y32)</f>
        <v>3251</v>
      </c>
      <c r="Z33" s="4">
        <f>SUM(Z2:Z32)</f>
        <v>6611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H20" activePane="bottomRight" state="frozen"/>
      <selection pane="topRight" activeCell="H1" sqref="H1"/>
      <selection pane="bottomLeft" activeCell="A5" sqref="A5"/>
      <selection pane="bottomRight" activeCell="E33" sqref="E33"/>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60" t="s">
        <v>14</v>
      </c>
      <c r="C1" s="160"/>
      <c r="D1" s="160"/>
      <c r="E1" s="160"/>
      <c r="F1" s="160"/>
      <c r="G1" s="160"/>
      <c r="H1" s="160"/>
      <c r="I1" s="160"/>
      <c r="J1" s="160"/>
      <c r="K1" s="25" t="s">
        <v>15</v>
      </c>
      <c r="L1" s="26" t="s">
        <v>16</v>
      </c>
      <c r="M1" s="27" t="s">
        <v>17</v>
      </c>
      <c r="N1" s="28" t="s">
        <v>18</v>
      </c>
      <c r="O1" s="28" t="s">
        <v>19</v>
      </c>
      <c r="P1" s="65" t="s">
        <v>20</v>
      </c>
      <c r="Q1" s="30" t="s">
        <v>21</v>
      </c>
      <c r="R1" s="31" t="s">
        <v>22</v>
      </c>
      <c r="S1" s="29" t="s">
        <v>23</v>
      </c>
      <c r="T1" s="32" t="s">
        <v>24</v>
      </c>
      <c r="U1" s="33" t="s">
        <v>25</v>
      </c>
      <c r="V1" s="32" t="s">
        <v>26</v>
      </c>
      <c r="W1" s="32" t="s">
        <v>27</v>
      </c>
      <c r="X1" s="161" t="s">
        <v>28</v>
      </c>
      <c r="Y1" s="161"/>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62" t="s">
        <v>41</v>
      </c>
      <c r="L2" s="164" t="s">
        <v>42</v>
      </c>
      <c r="M2" s="10"/>
      <c r="N2" s="10"/>
      <c r="O2" s="10"/>
      <c r="P2" s="10"/>
      <c r="Q2" s="10"/>
      <c r="R2" s="10"/>
      <c r="S2" s="166"/>
      <c r="T2" s="47"/>
      <c r="U2" s="167"/>
      <c r="V2" s="45"/>
      <c r="W2" s="45"/>
      <c r="X2" s="22">
        <v>1</v>
      </c>
      <c r="Y2" s="22">
        <v>2</v>
      </c>
      <c r="Z2" s="23"/>
      <c r="AA2" s="164" t="s">
        <v>101</v>
      </c>
      <c r="AB2" s="43"/>
      <c r="AC2" s="162" t="s">
        <v>43</v>
      </c>
      <c r="AD2" s="169"/>
      <c r="AE2" s="167" t="s">
        <v>100</v>
      </c>
      <c r="AF2" s="45"/>
      <c r="AG2" s="45"/>
      <c r="AH2" s="45"/>
      <c r="AI2" s="44"/>
      <c r="AJ2" s="44"/>
      <c r="AK2" s="44"/>
      <c r="AL2" s="44"/>
      <c r="AM2" s="167" t="s">
        <v>100</v>
      </c>
      <c r="AN2" s="170"/>
      <c r="AO2" s="168"/>
    </row>
    <row r="3" spans="1:44" ht="15" customHeight="1" x14ac:dyDescent="0.25">
      <c r="A3" s="9"/>
      <c r="B3" s="11" t="s">
        <v>44</v>
      </c>
      <c r="C3" s="11" t="s">
        <v>45</v>
      </c>
      <c r="D3" s="11" t="s">
        <v>46</v>
      </c>
      <c r="E3" s="11" t="s">
        <v>47</v>
      </c>
      <c r="F3" s="11" t="s">
        <v>48</v>
      </c>
      <c r="G3" s="11" t="s">
        <v>49</v>
      </c>
      <c r="H3" s="11" t="s">
        <v>50</v>
      </c>
      <c r="I3" s="11" t="s">
        <v>51</v>
      </c>
      <c r="J3" s="11" t="s">
        <v>52</v>
      </c>
      <c r="K3" s="163"/>
      <c r="L3" s="165"/>
      <c r="M3" s="10"/>
      <c r="N3" s="10"/>
      <c r="O3" s="10"/>
      <c r="P3" s="10"/>
      <c r="Q3" s="10"/>
      <c r="R3" s="10"/>
      <c r="S3" s="166"/>
      <c r="T3" s="47"/>
      <c r="U3" s="167"/>
      <c r="V3" s="45"/>
      <c r="W3" s="45"/>
      <c r="X3" s="11"/>
      <c r="Y3" s="11"/>
      <c r="Z3" s="12"/>
      <c r="AA3" s="164"/>
      <c r="AB3" s="43"/>
      <c r="AC3" s="162"/>
      <c r="AD3" s="169"/>
      <c r="AE3" s="167"/>
      <c r="AF3" s="45"/>
      <c r="AG3" s="45"/>
      <c r="AH3" s="45"/>
      <c r="AI3" s="13"/>
      <c r="AJ3" s="44"/>
      <c r="AK3" s="44"/>
      <c r="AL3" s="44"/>
      <c r="AM3" s="167"/>
      <c r="AN3" s="170"/>
      <c r="AO3" s="168"/>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66"/>
      <c r="T4" s="47"/>
      <c r="U4" s="167"/>
      <c r="V4" s="45"/>
      <c r="W4" s="45"/>
      <c r="X4" s="52"/>
      <c r="Y4" s="88">
        <v>679092.8</v>
      </c>
      <c r="Z4" s="12"/>
      <c r="AA4" s="164"/>
      <c r="AB4" s="87">
        <v>40437492</v>
      </c>
      <c r="AC4" s="162"/>
      <c r="AD4" s="169"/>
      <c r="AE4" s="167"/>
      <c r="AF4" s="45"/>
      <c r="AG4" s="45"/>
      <c r="AH4" s="45"/>
      <c r="AI4" s="43">
        <v>36686.1</v>
      </c>
      <c r="AJ4" s="43"/>
      <c r="AK4" s="43"/>
      <c r="AL4" s="43"/>
      <c r="AM4" s="167"/>
      <c r="AN4" s="170"/>
      <c r="AO4" s="168"/>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2" t="e">
        <f>SUM(#REF!)</f>
        <v>#REF!</v>
      </c>
    </row>
    <row r="6" spans="1:44" x14ac:dyDescent="0.25">
      <c r="A6" s="80">
        <v>44044</v>
      </c>
      <c r="B6" s="148">
        <v>5212</v>
      </c>
      <c r="C6" s="86">
        <v>2327</v>
      </c>
      <c r="D6" s="86">
        <v>925</v>
      </c>
      <c r="E6" s="86">
        <v>3949</v>
      </c>
      <c r="F6" s="86">
        <v>5230</v>
      </c>
      <c r="G6" s="86">
        <v>3557</v>
      </c>
      <c r="H6" s="86">
        <v>7402</v>
      </c>
      <c r="I6" s="86">
        <v>2554</v>
      </c>
      <c r="J6" s="86">
        <v>7401</v>
      </c>
      <c r="K6" s="63">
        <f>SUM(B6:H6)</f>
        <v>28602</v>
      </c>
      <c r="L6" s="40">
        <f>K6*0.2</f>
        <v>5720.4000000000005</v>
      </c>
      <c r="M6" s="85">
        <v>105.994</v>
      </c>
      <c r="N6" s="85">
        <v>3.65</v>
      </c>
      <c r="O6" s="85">
        <v>5.21</v>
      </c>
      <c r="P6" s="83">
        <v>70.397999999999996</v>
      </c>
      <c r="Q6" s="85">
        <v>15.198</v>
      </c>
      <c r="R6" s="85">
        <f>N6+O6+P6</f>
        <v>79.257999999999996</v>
      </c>
      <c r="S6" s="85">
        <f t="shared" ref="S6:S34" si="0">(N6+O6+P6)*7.84</f>
        <v>621.38271999999995</v>
      </c>
      <c r="T6" s="64">
        <f t="shared" ref="T6:T34" si="1">M6+Q6</f>
        <v>121.19200000000001</v>
      </c>
      <c r="U6" s="85">
        <f>T6*7.84</f>
        <v>950.14528000000007</v>
      </c>
      <c r="V6" s="85">
        <v>250.9</v>
      </c>
      <c r="W6" s="85">
        <v>0</v>
      </c>
      <c r="X6" s="86" t="s">
        <v>63</v>
      </c>
      <c r="Y6" s="86">
        <v>679551.7</v>
      </c>
      <c r="Z6" s="61">
        <f>IF((Y6-Y5&lt;0), "0",Y6-Y4)</f>
        <v>458.89999999990687</v>
      </c>
      <c r="AA6" s="91">
        <f>Z6*6.47</f>
        <v>2969.0829999993975</v>
      </c>
      <c r="AB6" s="86">
        <v>40470288</v>
      </c>
      <c r="AC6" s="86">
        <v>40437492</v>
      </c>
      <c r="AD6" s="41">
        <f t="shared" ref="AD6:AD36" si="2">IF((AB6-AC6&lt;0), "0",AB6-AC6)</f>
        <v>32796</v>
      </c>
      <c r="AE6" s="85">
        <f>AD6*0.333415</f>
        <v>10934.67834</v>
      </c>
      <c r="AF6" s="85">
        <v>49.1</v>
      </c>
      <c r="AG6" s="85">
        <v>49.2</v>
      </c>
      <c r="AH6" s="85">
        <v>19</v>
      </c>
      <c r="AI6" s="75">
        <v>36686.1</v>
      </c>
      <c r="AJ6" s="75">
        <v>36713.800000000003</v>
      </c>
      <c r="AK6" s="59">
        <f>IF((AJ6-AI6)&lt;0, "0",AJ6-AI6)</f>
        <v>27.700000000004366</v>
      </c>
      <c r="AL6" s="139">
        <f t="shared" ref="AL6:AL34" si="3">AK6*(284.34513609)</f>
        <v>7876.3602696942407</v>
      </c>
      <c r="AM6" s="85">
        <f>AL6*0.333415</f>
        <v>2626.0966593201056</v>
      </c>
      <c r="AN6" s="112">
        <v>143</v>
      </c>
      <c r="AO6" s="77">
        <f t="shared" ref="AO6:AO34" si="4">L6+U6+AA6+AE6</f>
        <v>20574.306619999399</v>
      </c>
    </row>
    <row r="7" spans="1:44" x14ac:dyDescent="0.25">
      <c r="A7" s="79">
        <v>44045</v>
      </c>
      <c r="B7" s="9">
        <v>5136</v>
      </c>
      <c r="C7" s="87">
        <v>2362</v>
      </c>
      <c r="D7" s="87">
        <v>861</v>
      </c>
      <c r="E7" s="87">
        <v>3941</v>
      </c>
      <c r="F7" s="87">
        <v>5261</v>
      </c>
      <c r="G7" s="87">
        <v>3602</v>
      </c>
      <c r="H7" s="87">
        <v>7374</v>
      </c>
      <c r="I7" s="87">
        <v>2512</v>
      </c>
      <c r="J7" s="87">
        <v>7385</v>
      </c>
      <c r="K7" s="87">
        <f>SUM(B7:H7)</f>
        <v>28537</v>
      </c>
      <c r="L7" s="14">
        <f>K7*0.2</f>
        <v>5707.4000000000005</v>
      </c>
      <c r="M7" s="84">
        <v>147.1</v>
      </c>
      <c r="N7" s="84">
        <v>2.1349999999999998</v>
      </c>
      <c r="O7" s="84">
        <v>5.3209999999999997</v>
      </c>
      <c r="P7" s="82">
        <v>55.667000000000002</v>
      </c>
      <c r="Q7" s="84">
        <v>14.973000000000001</v>
      </c>
      <c r="R7" s="84">
        <f t="shared" ref="R7:R34" si="5">N7+O7+P7</f>
        <v>63.123000000000005</v>
      </c>
      <c r="S7" s="84">
        <f>(N7+O7+P7)*7.84</f>
        <v>494.88432</v>
      </c>
      <c r="T7" s="84">
        <f>M7+Q7</f>
        <v>162.07300000000001</v>
      </c>
      <c r="U7" s="84">
        <f>T7*7.84</f>
        <v>1270.6523200000001</v>
      </c>
      <c r="V7" s="84">
        <v>245</v>
      </c>
      <c r="W7" s="84">
        <v>0</v>
      </c>
      <c r="X7" s="87" t="s">
        <v>63</v>
      </c>
      <c r="Y7" s="87">
        <v>680001.8</v>
      </c>
      <c r="Z7" s="5">
        <f>IF((Y7-Y6&lt;0), "0",Y7-Y6)</f>
        <v>450.10000000009313</v>
      </c>
      <c r="AA7" s="14">
        <f t="shared" ref="AA7:AA34" si="6">Z7*6.47</f>
        <v>2912.1470000006025</v>
      </c>
      <c r="AB7" s="87">
        <v>40502959</v>
      </c>
      <c r="AC7" s="87">
        <f>AB6</f>
        <v>40470288</v>
      </c>
      <c r="AD7" s="5">
        <f t="shared" si="2"/>
        <v>32671</v>
      </c>
      <c r="AE7" s="84">
        <f>AD7*0.333415</f>
        <v>10893.001465000001</v>
      </c>
      <c r="AF7" s="84">
        <v>50</v>
      </c>
      <c r="AG7" s="84">
        <v>49.8</v>
      </c>
      <c r="AH7" s="84">
        <v>19.5</v>
      </c>
      <c r="AI7" s="88">
        <f>AJ6</f>
        <v>36713.800000000003</v>
      </c>
      <c r="AJ7" s="87">
        <v>36739.599999999999</v>
      </c>
      <c r="AK7" s="48">
        <f t="shared" ref="AK7:AK34" si="7">IF((AJ7-AI7)&lt;0, "0",AJ7-AI7)</f>
        <v>25.799999999995634</v>
      </c>
      <c r="AL7" s="90">
        <f t="shared" si="3"/>
        <v>7336.1045111207586</v>
      </c>
      <c r="AM7" s="84">
        <f>AL7*0.333415</f>
        <v>2445.9672855753279</v>
      </c>
      <c r="AN7" s="71">
        <v>94</v>
      </c>
      <c r="AO7" s="78">
        <f t="shared" si="4"/>
        <v>20783.200785000605</v>
      </c>
    </row>
    <row r="8" spans="1:44" x14ac:dyDescent="0.25">
      <c r="A8" s="79">
        <v>44046</v>
      </c>
      <c r="B8" s="9">
        <v>5644</v>
      </c>
      <c r="C8" s="87">
        <v>2385</v>
      </c>
      <c r="D8" s="87">
        <v>860</v>
      </c>
      <c r="E8" s="87">
        <v>4006</v>
      </c>
      <c r="F8" s="87">
        <v>5080</v>
      </c>
      <c r="G8" s="87">
        <v>3452</v>
      </c>
      <c r="H8" s="87">
        <v>7464</v>
      </c>
      <c r="I8" s="87">
        <v>2469</v>
      </c>
      <c r="J8" s="87">
        <v>7281</v>
      </c>
      <c r="K8" s="87">
        <f>SUM(B8:H8)</f>
        <v>28891</v>
      </c>
      <c r="L8" s="14">
        <f t="shared" ref="L8:L34" si="8">K8*0.2</f>
        <v>5778.2000000000007</v>
      </c>
      <c r="M8" s="84">
        <v>106.229</v>
      </c>
      <c r="N8" s="84">
        <v>2.0310000000000001</v>
      </c>
      <c r="O8" s="84">
        <v>5.2080000000000002</v>
      </c>
      <c r="P8" s="82">
        <v>55.582000000000001</v>
      </c>
      <c r="Q8" s="84">
        <v>13.944000000000001</v>
      </c>
      <c r="R8" s="84">
        <f t="shared" si="5"/>
        <v>62.820999999999998</v>
      </c>
      <c r="S8" s="84">
        <f>(N8+O8+P8)*7.84</f>
        <v>492.51664</v>
      </c>
      <c r="T8" s="84">
        <f>M8+Q8</f>
        <v>120.173</v>
      </c>
      <c r="U8" s="84">
        <f>T8*7.84</f>
        <v>942.15632000000005</v>
      </c>
      <c r="V8" s="84">
        <v>230.8</v>
      </c>
      <c r="W8" s="84">
        <v>0</v>
      </c>
      <c r="X8" s="87" t="s">
        <v>63</v>
      </c>
      <c r="Y8" s="88">
        <v>680418</v>
      </c>
      <c r="Z8" s="5">
        <f t="shared" ref="Z8:Z34" si="9">IF((Y8-Y7&lt;0), "0",Y8-Y7)</f>
        <v>416.19999999995343</v>
      </c>
      <c r="AA8" s="14">
        <f t="shared" si="6"/>
        <v>2692.8139999996988</v>
      </c>
      <c r="AB8" s="87">
        <v>40535999</v>
      </c>
      <c r="AC8" s="87">
        <f>AB7</f>
        <v>40502959</v>
      </c>
      <c r="AD8" s="5">
        <f t="shared" si="2"/>
        <v>33040</v>
      </c>
      <c r="AE8" s="84">
        <f t="shared" ref="AE8:AE36" si="10">AD8*0.333415</f>
        <v>11016.0316</v>
      </c>
      <c r="AF8" s="84">
        <v>51.8</v>
      </c>
      <c r="AG8" s="84">
        <v>49.5</v>
      </c>
      <c r="AH8" s="84">
        <v>18.5</v>
      </c>
      <c r="AI8" s="87">
        <f>AJ7</f>
        <v>36739.599999999999</v>
      </c>
      <c r="AJ8" s="87">
        <v>36766.9</v>
      </c>
      <c r="AK8" s="48">
        <f t="shared" si="7"/>
        <v>27.30000000000291</v>
      </c>
      <c r="AL8" s="90">
        <f t="shared" si="3"/>
        <v>7762.6222152578275</v>
      </c>
      <c r="AM8" s="84">
        <f t="shared" ref="AM8:AM34" si="11">AL8*0.333415</f>
        <v>2588.1746859001887</v>
      </c>
      <c r="AN8" s="71">
        <v>92</v>
      </c>
      <c r="AO8" s="78">
        <f t="shared" si="4"/>
        <v>20429.201919999701</v>
      </c>
    </row>
    <row r="9" spans="1:44" x14ac:dyDescent="0.25">
      <c r="A9" s="79">
        <v>44047</v>
      </c>
      <c r="B9" s="9">
        <v>5964</v>
      </c>
      <c r="C9" s="87">
        <v>2323</v>
      </c>
      <c r="D9" s="87">
        <v>867</v>
      </c>
      <c r="E9" s="87">
        <v>3968</v>
      </c>
      <c r="F9" s="87">
        <v>5075</v>
      </c>
      <c r="G9" s="87">
        <v>3378</v>
      </c>
      <c r="H9" s="87">
        <v>7690</v>
      </c>
      <c r="I9" s="87">
        <v>2509</v>
      </c>
      <c r="J9" s="87">
        <v>7293</v>
      </c>
      <c r="K9" s="87">
        <f t="shared" ref="K9:K34" si="12">SUM(B9:H9)</f>
        <v>29265</v>
      </c>
      <c r="L9" s="14">
        <f t="shared" si="8"/>
        <v>5853</v>
      </c>
      <c r="M9" s="84">
        <v>105.16</v>
      </c>
      <c r="N9" s="84">
        <v>1.877</v>
      </c>
      <c r="O9" s="84">
        <v>5.2770000000000001</v>
      </c>
      <c r="P9" s="82">
        <v>50.618000000000002</v>
      </c>
      <c r="Q9" s="84">
        <v>11.659000000000001</v>
      </c>
      <c r="R9" s="84">
        <f t="shared" si="5"/>
        <v>57.772000000000006</v>
      </c>
      <c r="S9" s="84">
        <f t="shared" si="0"/>
        <v>452.93248000000006</v>
      </c>
      <c r="T9" s="84">
        <f t="shared" si="1"/>
        <v>116.819</v>
      </c>
      <c r="U9" s="84">
        <f t="shared" ref="U9:U37" si="13">T9*7.84</f>
        <v>915.86095999999998</v>
      </c>
      <c r="V9" s="84">
        <v>227.8</v>
      </c>
      <c r="W9" s="84">
        <v>0</v>
      </c>
      <c r="X9" s="87" t="s">
        <v>63</v>
      </c>
      <c r="Y9" s="88">
        <v>680816.9</v>
      </c>
      <c r="Z9" s="5">
        <f t="shared" si="9"/>
        <v>398.90000000002328</v>
      </c>
      <c r="AA9" s="14">
        <f t="shared" si="6"/>
        <v>2580.8830000001503</v>
      </c>
      <c r="AB9" s="87">
        <v>40572418</v>
      </c>
      <c r="AC9" s="87">
        <f t="shared" ref="AC9:AC36" si="14">AB8</f>
        <v>40535999</v>
      </c>
      <c r="AD9" s="5">
        <f t="shared" si="2"/>
        <v>36419</v>
      </c>
      <c r="AE9" s="84">
        <f t="shared" si="10"/>
        <v>12142.640885000001</v>
      </c>
      <c r="AF9" s="84">
        <v>58.4</v>
      </c>
      <c r="AG9" s="84">
        <f>38741.4-38688.9</f>
        <v>52.5</v>
      </c>
      <c r="AH9" s="84">
        <v>18.600000000000001</v>
      </c>
      <c r="AI9" s="87">
        <f t="shared" ref="AI9:AI36" si="15">AJ8</f>
        <v>36766.9</v>
      </c>
      <c r="AJ9" s="87">
        <v>36796.699999999997</v>
      </c>
      <c r="AK9" s="48">
        <f t="shared" si="7"/>
        <v>29.799999999995634</v>
      </c>
      <c r="AL9" s="90">
        <f t="shared" si="3"/>
        <v>8473.4850554807581</v>
      </c>
      <c r="AM9" s="84">
        <f t="shared" si="11"/>
        <v>2825.1870197731173</v>
      </c>
      <c r="AN9" s="71">
        <v>110</v>
      </c>
      <c r="AO9" s="78">
        <f t="shared" si="4"/>
        <v>21492.384845000153</v>
      </c>
    </row>
    <row r="10" spans="1:44" x14ac:dyDescent="0.25">
      <c r="A10" s="79">
        <v>44048</v>
      </c>
      <c r="B10" s="9">
        <v>5962</v>
      </c>
      <c r="C10" s="87">
        <v>2532</v>
      </c>
      <c r="D10" s="87">
        <v>852</v>
      </c>
      <c r="E10" s="87">
        <v>4067</v>
      </c>
      <c r="F10" s="87">
        <v>5242</v>
      </c>
      <c r="G10" s="87">
        <v>3442</v>
      </c>
      <c r="H10" s="87">
        <v>7743</v>
      </c>
      <c r="I10" s="87">
        <v>2492</v>
      </c>
      <c r="J10" s="87">
        <v>7386</v>
      </c>
      <c r="K10" s="87">
        <f t="shared" si="12"/>
        <v>29840</v>
      </c>
      <c r="L10" s="14">
        <f t="shared" si="8"/>
        <v>5968</v>
      </c>
      <c r="M10" s="84">
        <v>158.58099999999999</v>
      </c>
      <c r="N10" s="84">
        <v>2.1560000000000001</v>
      </c>
      <c r="O10" s="84">
        <v>5.2169999999999996</v>
      </c>
      <c r="P10" s="82">
        <v>51.206000000000003</v>
      </c>
      <c r="Q10" s="84">
        <v>13.709</v>
      </c>
      <c r="R10" s="84">
        <f t="shared" si="5"/>
        <v>58.579000000000001</v>
      </c>
      <c r="S10" s="84">
        <f t="shared" si="0"/>
        <v>459.25936000000002</v>
      </c>
      <c r="T10" s="84">
        <f t="shared" si="1"/>
        <v>172.29</v>
      </c>
      <c r="U10" s="84">
        <f t="shared" si="13"/>
        <v>1350.7536</v>
      </c>
      <c r="V10" s="84">
        <v>228.6</v>
      </c>
      <c r="W10" s="84">
        <v>0</v>
      </c>
      <c r="X10" s="87" t="s">
        <v>63</v>
      </c>
      <c r="Y10" s="88">
        <v>681209.5</v>
      </c>
      <c r="Z10" s="5">
        <f t="shared" si="9"/>
        <v>392.59999999997672</v>
      </c>
      <c r="AA10" s="14">
        <f t="shared" si="6"/>
        <v>2540.1219999998493</v>
      </c>
      <c r="AB10" s="87">
        <v>40608520</v>
      </c>
      <c r="AC10" s="87">
        <f t="shared" si="14"/>
        <v>40572418</v>
      </c>
      <c r="AD10" s="5">
        <f t="shared" si="2"/>
        <v>36102</v>
      </c>
      <c r="AE10" s="84">
        <f t="shared" si="10"/>
        <v>12036.948330000001</v>
      </c>
      <c r="AF10" s="84">
        <v>58.2</v>
      </c>
      <c r="AG10" s="84">
        <v>52.3</v>
      </c>
      <c r="AH10" s="84">
        <v>18.3</v>
      </c>
      <c r="AI10" s="87">
        <f t="shared" si="15"/>
        <v>36796.699999999997</v>
      </c>
      <c r="AJ10" s="87">
        <v>36826.1</v>
      </c>
      <c r="AK10" s="48">
        <f t="shared" si="7"/>
        <v>29.400000000001455</v>
      </c>
      <c r="AL10" s="90">
        <f t="shared" si="3"/>
        <v>8359.7470010464131</v>
      </c>
      <c r="AM10" s="84">
        <f t="shared" si="11"/>
        <v>2787.2650463538898</v>
      </c>
      <c r="AN10" s="71">
        <v>113</v>
      </c>
      <c r="AO10" s="78">
        <f t="shared" si="4"/>
        <v>21895.823929999853</v>
      </c>
    </row>
    <row r="11" spans="1:44" x14ac:dyDescent="0.25">
      <c r="A11" s="79">
        <v>44049</v>
      </c>
      <c r="B11" s="9">
        <v>6015</v>
      </c>
      <c r="C11" s="87">
        <v>2704</v>
      </c>
      <c r="D11" s="87">
        <v>870</v>
      </c>
      <c r="E11" s="87">
        <v>4036</v>
      </c>
      <c r="F11" s="87">
        <v>5118</v>
      </c>
      <c r="G11" s="87">
        <v>3473</v>
      </c>
      <c r="H11" s="87">
        <v>7714</v>
      </c>
      <c r="I11" s="87">
        <v>2500</v>
      </c>
      <c r="J11" s="87">
        <v>7378</v>
      </c>
      <c r="K11" s="87">
        <f t="shared" si="12"/>
        <v>29930</v>
      </c>
      <c r="L11" s="14">
        <f t="shared" si="8"/>
        <v>5986</v>
      </c>
      <c r="M11" s="84">
        <v>112.58799999999999</v>
      </c>
      <c r="N11" s="84">
        <v>3.423</v>
      </c>
      <c r="O11" s="84">
        <v>5.2380000000000004</v>
      </c>
      <c r="P11" s="82">
        <v>56.927999999999997</v>
      </c>
      <c r="Q11" s="84">
        <v>13.058</v>
      </c>
      <c r="R11" s="84">
        <f t="shared" si="5"/>
        <v>65.588999999999999</v>
      </c>
      <c r="S11" s="84">
        <f t="shared" si="0"/>
        <v>514.21776</v>
      </c>
      <c r="T11" s="84">
        <f t="shared" si="1"/>
        <v>125.64599999999999</v>
      </c>
      <c r="U11" s="84">
        <f t="shared" si="13"/>
        <v>985.06463999999983</v>
      </c>
      <c r="V11" s="84">
        <v>236.2</v>
      </c>
      <c r="W11" s="84">
        <v>0</v>
      </c>
      <c r="X11" s="87" t="s">
        <v>63</v>
      </c>
      <c r="Y11" s="88">
        <v>681637.3</v>
      </c>
      <c r="Z11" s="5">
        <f t="shared" si="9"/>
        <v>427.80000000004657</v>
      </c>
      <c r="AA11" s="14">
        <f t="shared" si="6"/>
        <v>2767.866000000301</v>
      </c>
      <c r="AB11" s="87">
        <v>40646110</v>
      </c>
      <c r="AC11" s="87">
        <f t="shared" si="14"/>
        <v>40608520</v>
      </c>
      <c r="AD11" s="5">
        <f t="shared" si="2"/>
        <v>37590</v>
      </c>
      <c r="AE11" s="84">
        <f t="shared" si="10"/>
        <v>12533.06985</v>
      </c>
      <c r="AF11" s="84">
        <v>60.8</v>
      </c>
      <c r="AG11" s="84">
        <v>53.1</v>
      </c>
      <c r="AH11" s="84">
        <v>19.3</v>
      </c>
      <c r="AI11" s="87">
        <f t="shared" si="15"/>
        <v>36826.1</v>
      </c>
      <c r="AJ11" s="87">
        <v>36856.5</v>
      </c>
      <c r="AK11" s="48">
        <f t="shared" si="7"/>
        <v>30.400000000001455</v>
      </c>
      <c r="AL11" s="90">
        <f t="shared" si="3"/>
        <v>8644.0921371364129</v>
      </c>
      <c r="AM11" s="84">
        <f t="shared" si="11"/>
        <v>2882.0699799033373</v>
      </c>
      <c r="AN11" s="71">
        <v>109</v>
      </c>
      <c r="AO11" s="78">
        <f t="shared" si="4"/>
        <v>22272.0004900003</v>
      </c>
    </row>
    <row r="12" spans="1:44" x14ac:dyDescent="0.25">
      <c r="A12" s="79">
        <v>44050</v>
      </c>
      <c r="B12" s="9">
        <v>6191</v>
      </c>
      <c r="C12" s="87">
        <v>2876</v>
      </c>
      <c r="D12" s="87">
        <v>906</v>
      </c>
      <c r="E12" s="87">
        <v>3953</v>
      </c>
      <c r="F12" s="87">
        <v>5083</v>
      </c>
      <c r="G12" s="87">
        <v>3428</v>
      </c>
      <c r="H12" s="87">
        <v>7700</v>
      </c>
      <c r="I12" s="87">
        <v>2438</v>
      </c>
      <c r="J12" s="87">
        <v>7481</v>
      </c>
      <c r="K12" s="87">
        <f t="shared" si="12"/>
        <v>30137</v>
      </c>
      <c r="L12" s="14">
        <f t="shared" si="8"/>
        <v>6027.4000000000005</v>
      </c>
      <c r="M12" s="84">
        <v>113.01</v>
      </c>
      <c r="N12" s="84">
        <v>1.69</v>
      </c>
      <c r="O12" s="84">
        <v>5.3220000000000001</v>
      </c>
      <c r="P12" s="82">
        <v>65.022999999999996</v>
      </c>
      <c r="Q12" s="84">
        <v>10.401</v>
      </c>
      <c r="R12" s="84">
        <f t="shared" si="5"/>
        <v>72.034999999999997</v>
      </c>
      <c r="S12" s="84">
        <f t="shared" si="0"/>
        <v>564.75439999999992</v>
      </c>
      <c r="T12" s="84">
        <f t="shared" si="1"/>
        <v>123.411</v>
      </c>
      <c r="U12" s="84">
        <f t="shared" si="13"/>
        <v>967.54223999999999</v>
      </c>
      <c r="V12" s="84">
        <v>234</v>
      </c>
      <c r="W12" s="84">
        <v>0</v>
      </c>
      <c r="X12" s="87" t="s">
        <v>63</v>
      </c>
      <c r="Y12" s="88">
        <v>682081.2</v>
      </c>
      <c r="Z12" s="5">
        <f t="shared" si="9"/>
        <v>443.89999999990687</v>
      </c>
      <c r="AA12" s="14">
        <f t="shared" si="6"/>
        <v>2872.0329999993974</v>
      </c>
      <c r="AB12" s="87">
        <v>40684505</v>
      </c>
      <c r="AC12" s="87">
        <f t="shared" si="14"/>
        <v>40646110</v>
      </c>
      <c r="AD12" s="5">
        <f t="shared" si="2"/>
        <v>38395</v>
      </c>
      <c r="AE12" s="84">
        <f t="shared" si="10"/>
        <v>12801.468925000001</v>
      </c>
      <c r="AF12" s="84">
        <v>64.400000000000006</v>
      </c>
      <c r="AG12" s="84">
        <v>52.9</v>
      </c>
      <c r="AH12" s="84">
        <v>18.899999999999999</v>
      </c>
      <c r="AI12" s="87">
        <f t="shared" si="15"/>
        <v>36856.5</v>
      </c>
      <c r="AJ12" s="87">
        <v>36887.300000000003</v>
      </c>
      <c r="AK12" s="48">
        <f t="shared" si="7"/>
        <v>30.80000000000291</v>
      </c>
      <c r="AL12" s="90">
        <f t="shared" si="3"/>
        <v>8757.8301915728262</v>
      </c>
      <c r="AM12" s="84">
        <f t="shared" si="11"/>
        <v>2919.9919533232542</v>
      </c>
      <c r="AN12" s="71">
        <v>118</v>
      </c>
      <c r="AO12" s="78">
        <f t="shared" si="4"/>
        <v>22668.444164999397</v>
      </c>
    </row>
    <row r="13" spans="1:44" x14ac:dyDescent="0.25">
      <c r="A13" s="79">
        <v>44051</v>
      </c>
      <c r="B13" s="9">
        <v>5826</v>
      </c>
      <c r="C13" s="87">
        <v>2833</v>
      </c>
      <c r="D13" s="87">
        <v>946</v>
      </c>
      <c r="E13" s="87">
        <v>4092</v>
      </c>
      <c r="F13" s="87">
        <v>5193</v>
      </c>
      <c r="G13" s="87">
        <v>3350</v>
      </c>
      <c r="H13" s="87">
        <v>7776</v>
      </c>
      <c r="I13" s="87">
        <v>2516</v>
      </c>
      <c r="J13" s="87">
        <v>7595</v>
      </c>
      <c r="K13" s="87">
        <f t="shared" si="12"/>
        <v>30016</v>
      </c>
      <c r="L13" s="14">
        <f t="shared" si="8"/>
        <v>6003.2000000000007</v>
      </c>
      <c r="M13" s="84">
        <v>151.75399999999999</v>
      </c>
      <c r="N13" s="84">
        <v>4.9050000000000002</v>
      </c>
      <c r="O13" s="84">
        <v>5.1589999999999998</v>
      </c>
      <c r="P13" s="82">
        <v>66.167000000000002</v>
      </c>
      <c r="Q13" s="84">
        <v>12.351000000000001</v>
      </c>
      <c r="R13" s="84">
        <f t="shared" si="5"/>
        <v>76.230999999999995</v>
      </c>
      <c r="S13" s="84">
        <f t="shared" si="0"/>
        <v>597.65103999999997</v>
      </c>
      <c r="T13" s="84">
        <f t="shared" si="1"/>
        <v>164.10499999999999</v>
      </c>
      <c r="U13" s="84">
        <f t="shared" si="13"/>
        <v>1286.5831999999998</v>
      </c>
      <c r="V13" s="84">
        <v>236</v>
      </c>
      <c r="W13" s="84">
        <v>0</v>
      </c>
      <c r="X13" s="87" t="s">
        <v>63</v>
      </c>
      <c r="Y13" s="88">
        <v>682518.3</v>
      </c>
      <c r="Z13" s="5">
        <f t="shared" si="9"/>
        <v>437.10000000009313</v>
      </c>
      <c r="AA13" s="14">
        <f t="shared" si="6"/>
        <v>2828.0370000006023</v>
      </c>
      <c r="AB13" s="87">
        <v>40717597</v>
      </c>
      <c r="AC13" s="87">
        <f t="shared" si="14"/>
        <v>40684505</v>
      </c>
      <c r="AD13" s="5">
        <f t="shared" si="2"/>
        <v>33092</v>
      </c>
      <c r="AE13" s="84">
        <f t="shared" si="10"/>
        <v>11033.36918</v>
      </c>
      <c r="AF13" s="84">
        <v>53.2</v>
      </c>
      <c r="AG13" s="84">
        <v>49.4</v>
      </c>
      <c r="AH13" s="84">
        <v>17.8</v>
      </c>
      <c r="AI13" s="87">
        <f t="shared" si="15"/>
        <v>36887.300000000003</v>
      </c>
      <c r="AJ13" s="87">
        <v>36915.199999999997</v>
      </c>
      <c r="AK13" s="48">
        <f t="shared" si="7"/>
        <v>27.899999999994179</v>
      </c>
      <c r="AL13" s="90">
        <f t="shared" si="3"/>
        <v>7933.2292969093442</v>
      </c>
      <c r="AM13" s="84">
        <f t="shared" si="11"/>
        <v>2645.057646029029</v>
      </c>
      <c r="AN13" s="71">
        <v>82</v>
      </c>
      <c r="AO13" s="78">
        <f t="shared" si="4"/>
        <v>21151.1893800006</v>
      </c>
    </row>
    <row r="14" spans="1:44" x14ac:dyDescent="0.25">
      <c r="A14" s="79">
        <v>44052</v>
      </c>
      <c r="B14" s="9">
        <v>4699</v>
      </c>
      <c r="C14" s="87">
        <v>2627</v>
      </c>
      <c r="D14" s="87">
        <v>855</v>
      </c>
      <c r="E14" s="87">
        <v>3971</v>
      </c>
      <c r="F14" s="87">
        <v>5162</v>
      </c>
      <c r="G14" s="87">
        <v>3127</v>
      </c>
      <c r="H14" s="87">
        <v>7176</v>
      </c>
      <c r="I14" s="87">
        <v>2451</v>
      </c>
      <c r="J14" s="87">
        <v>7259</v>
      </c>
      <c r="K14" s="87">
        <f t="shared" si="12"/>
        <v>27617</v>
      </c>
      <c r="L14" s="14">
        <f t="shared" si="8"/>
        <v>5523.4000000000005</v>
      </c>
      <c r="M14" s="84">
        <v>106.533</v>
      </c>
      <c r="N14" s="84">
        <v>1.3720000000000001</v>
      </c>
      <c r="O14" s="84">
        <v>4.8780000000000001</v>
      </c>
      <c r="P14" s="82">
        <v>60.040999999999997</v>
      </c>
      <c r="Q14" s="84">
        <v>11.792</v>
      </c>
      <c r="R14" s="84">
        <f>N14+O14+P14</f>
        <v>66.290999999999997</v>
      </c>
      <c r="S14" s="84">
        <f t="shared" si="0"/>
        <v>519.72143999999992</v>
      </c>
      <c r="T14" s="84">
        <f t="shared" si="1"/>
        <v>118.325</v>
      </c>
      <c r="U14" s="84">
        <f t="shared" si="13"/>
        <v>927.66800000000001</v>
      </c>
      <c r="V14" s="84">
        <v>210.3</v>
      </c>
      <c r="W14" s="84">
        <v>0</v>
      </c>
      <c r="X14" s="87" t="s">
        <v>63</v>
      </c>
      <c r="Y14" s="88">
        <v>682937.7</v>
      </c>
      <c r="Z14" s="5">
        <f>IF((Y14-Y13&lt;0), "0",Y14-Y13)</f>
        <v>419.39999999990687</v>
      </c>
      <c r="AA14" s="14">
        <f t="shared" si="6"/>
        <v>2713.5179999993975</v>
      </c>
      <c r="AB14" s="87">
        <v>40745817</v>
      </c>
      <c r="AC14" s="87">
        <f t="shared" si="14"/>
        <v>40717597</v>
      </c>
      <c r="AD14" s="5">
        <f t="shared" si="2"/>
        <v>28220</v>
      </c>
      <c r="AE14" s="84">
        <f t="shared" si="10"/>
        <v>9408.9713000000011</v>
      </c>
      <c r="AF14" s="84">
        <v>44.7</v>
      </c>
      <c r="AG14" s="84">
        <v>43.2</v>
      </c>
      <c r="AH14" s="84">
        <v>17.100000000000001</v>
      </c>
      <c r="AI14" s="87">
        <f t="shared" si="15"/>
        <v>36915.199999999997</v>
      </c>
      <c r="AJ14" s="87">
        <v>36940.800000000003</v>
      </c>
      <c r="AK14" s="48">
        <f t="shared" si="7"/>
        <v>25.600000000005821</v>
      </c>
      <c r="AL14" s="90">
        <f t="shared" si="3"/>
        <v>7279.2354839056543</v>
      </c>
      <c r="AM14" s="84">
        <f t="shared" si="11"/>
        <v>2427.006298866404</v>
      </c>
      <c r="AN14" s="5">
        <v>81</v>
      </c>
      <c r="AO14" s="78">
        <f t="shared" si="4"/>
        <v>18573.557299999396</v>
      </c>
    </row>
    <row r="15" spans="1:44" x14ac:dyDescent="0.25">
      <c r="A15" s="79">
        <v>44053</v>
      </c>
      <c r="B15" s="9">
        <v>5923</v>
      </c>
      <c r="C15" s="87">
        <v>2514</v>
      </c>
      <c r="D15" s="87">
        <v>858</v>
      </c>
      <c r="E15" s="87">
        <v>3993</v>
      </c>
      <c r="F15" s="87">
        <v>5078</v>
      </c>
      <c r="G15" s="87">
        <v>3250</v>
      </c>
      <c r="H15" s="87">
        <v>7681</v>
      </c>
      <c r="I15" s="87">
        <v>2487</v>
      </c>
      <c r="J15" s="87">
        <v>7017</v>
      </c>
      <c r="K15" s="87">
        <f t="shared" si="12"/>
        <v>29297</v>
      </c>
      <c r="L15" s="14">
        <f t="shared" si="8"/>
        <v>5859.4000000000005</v>
      </c>
      <c r="M15" s="84">
        <v>108.526</v>
      </c>
      <c r="N15" s="84">
        <v>1.732</v>
      </c>
      <c r="O15" s="84">
        <v>5.08</v>
      </c>
      <c r="P15" s="82">
        <v>54.972999999999999</v>
      </c>
      <c r="Q15" s="84">
        <v>14.241</v>
      </c>
      <c r="R15" s="84">
        <f t="shared" si="5"/>
        <v>61.784999999999997</v>
      </c>
      <c r="S15" s="84">
        <f t="shared" si="0"/>
        <v>484.39439999999996</v>
      </c>
      <c r="T15" s="84">
        <f t="shared" si="1"/>
        <v>122.767</v>
      </c>
      <c r="U15" s="84">
        <f t="shared" si="13"/>
        <v>962.49327999999991</v>
      </c>
      <c r="V15" s="84">
        <v>221.3</v>
      </c>
      <c r="W15" s="84">
        <v>0</v>
      </c>
      <c r="X15" s="87" t="s">
        <v>63</v>
      </c>
      <c r="Y15" s="88">
        <v>683341.9</v>
      </c>
      <c r="Z15" s="5">
        <f t="shared" si="9"/>
        <v>404.20000000006985</v>
      </c>
      <c r="AA15" s="14">
        <f t="shared" si="6"/>
        <v>2615.174000000452</v>
      </c>
      <c r="AB15" s="87">
        <v>40780120</v>
      </c>
      <c r="AC15" s="87">
        <f t="shared" si="14"/>
        <v>40745817</v>
      </c>
      <c r="AD15" s="5">
        <f t="shared" si="2"/>
        <v>34303</v>
      </c>
      <c r="AE15" s="84">
        <f t="shared" si="10"/>
        <v>11437.134745000001</v>
      </c>
      <c r="AF15" s="84">
        <v>54.5</v>
      </c>
      <c r="AG15" s="84">
        <v>50.8</v>
      </c>
      <c r="AH15" s="84">
        <v>18</v>
      </c>
      <c r="AI15" s="87">
        <f t="shared" si="15"/>
        <v>36940.800000000003</v>
      </c>
      <c r="AJ15" s="87">
        <v>36969.699999999997</v>
      </c>
      <c r="AK15" s="48">
        <f t="shared" si="7"/>
        <v>28.899999999994179</v>
      </c>
      <c r="AL15" s="90">
        <f t="shared" si="3"/>
        <v>8217.5744329993449</v>
      </c>
      <c r="AM15" s="84">
        <f t="shared" si="11"/>
        <v>2739.8625795784769</v>
      </c>
      <c r="AN15" s="5">
        <v>94</v>
      </c>
      <c r="AO15" s="89">
        <f t="shared" si="4"/>
        <v>20874.202025000453</v>
      </c>
    </row>
    <row r="16" spans="1:44" x14ac:dyDescent="0.25">
      <c r="A16" s="79">
        <v>44054</v>
      </c>
      <c r="B16" s="9">
        <v>6060</v>
      </c>
      <c r="C16" s="87">
        <v>2528</v>
      </c>
      <c r="D16" s="87">
        <v>895</v>
      </c>
      <c r="E16" s="87">
        <v>3924</v>
      </c>
      <c r="F16" s="87">
        <v>5084</v>
      </c>
      <c r="G16" s="87">
        <v>3343</v>
      </c>
      <c r="H16" s="87">
        <v>7640</v>
      </c>
      <c r="I16" s="87">
        <v>2573</v>
      </c>
      <c r="J16" s="87">
        <v>7209</v>
      </c>
      <c r="K16" s="87">
        <f t="shared" si="12"/>
        <v>29474</v>
      </c>
      <c r="L16" s="14">
        <f t="shared" si="8"/>
        <v>5894.8</v>
      </c>
      <c r="M16" s="84">
        <v>188.345</v>
      </c>
      <c r="N16" s="84">
        <v>1.901</v>
      </c>
      <c r="O16" s="84">
        <v>4.9800000000000004</v>
      </c>
      <c r="P16" s="82">
        <v>61.795000000000002</v>
      </c>
      <c r="Q16" s="84">
        <v>10.423</v>
      </c>
      <c r="R16" s="84">
        <f t="shared" si="5"/>
        <v>68.676000000000002</v>
      </c>
      <c r="S16" s="84">
        <f t="shared" si="0"/>
        <v>538.41984000000002</v>
      </c>
      <c r="T16" s="84">
        <f t="shared" si="1"/>
        <v>198.768</v>
      </c>
      <c r="U16" s="84">
        <f t="shared" si="13"/>
        <v>1558.34112</v>
      </c>
      <c r="V16" s="84">
        <v>228.1</v>
      </c>
      <c r="W16" s="84">
        <v>0</v>
      </c>
      <c r="X16" s="87" t="s">
        <v>63</v>
      </c>
      <c r="Y16" s="88">
        <v>683749.8</v>
      </c>
      <c r="Z16" s="5">
        <f t="shared" si="9"/>
        <v>407.90000000002328</v>
      </c>
      <c r="AA16" s="14">
        <f t="shared" si="6"/>
        <v>2639.1130000001504</v>
      </c>
      <c r="AB16" s="87">
        <v>40817522</v>
      </c>
      <c r="AC16" s="87">
        <f t="shared" si="14"/>
        <v>40780120</v>
      </c>
      <c r="AD16" s="5">
        <f t="shared" si="2"/>
        <v>37402</v>
      </c>
      <c r="AE16" s="84">
        <f t="shared" si="10"/>
        <v>12470.387830000001</v>
      </c>
      <c r="AF16" s="84">
        <v>59.7</v>
      </c>
      <c r="AG16" s="84">
        <v>53</v>
      </c>
      <c r="AH16" s="84">
        <v>19.399999999999999</v>
      </c>
      <c r="AI16" s="87">
        <f t="shared" si="15"/>
        <v>36969.699999999997</v>
      </c>
      <c r="AJ16" s="87">
        <v>37000.5</v>
      </c>
      <c r="AK16" s="48">
        <f t="shared" si="7"/>
        <v>30.80000000000291</v>
      </c>
      <c r="AL16" s="90">
        <f t="shared" si="3"/>
        <v>8757.8301915728262</v>
      </c>
      <c r="AM16" s="84">
        <f t="shared" si="11"/>
        <v>2919.9919533232542</v>
      </c>
      <c r="AN16" s="5">
        <v>100</v>
      </c>
      <c r="AO16" s="78">
        <f t="shared" si="4"/>
        <v>22562.64195000015</v>
      </c>
    </row>
    <row r="17" spans="1:41" x14ac:dyDescent="0.25">
      <c r="A17" s="79">
        <v>44055</v>
      </c>
      <c r="B17" s="9">
        <v>6135</v>
      </c>
      <c r="C17" s="87">
        <v>2429</v>
      </c>
      <c r="D17" s="87">
        <v>871</v>
      </c>
      <c r="E17" s="87">
        <v>4023</v>
      </c>
      <c r="F17" s="87">
        <v>5223</v>
      </c>
      <c r="G17" s="87">
        <v>3418</v>
      </c>
      <c r="H17" s="87">
        <v>7727</v>
      </c>
      <c r="I17" s="87">
        <v>2625</v>
      </c>
      <c r="J17" s="87">
        <v>7388</v>
      </c>
      <c r="K17" s="87">
        <f t="shared" si="12"/>
        <v>29826</v>
      </c>
      <c r="L17" s="14">
        <f t="shared" si="8"/>
        <v>5965.2000000000007</v>
      </c>
      <c r="M17" s="84">
        <v>113.39100000000001</v>
      </c>
      <c r="N17" s="84">
        <v>1.653</v>
      </c>
      <c r="O17" s="84">
        <v>5.0090000000000003</v>
      </c>
      <c r="P17" s="82">
        <v>62.292999999999999</v>
      </c>
      <c r="Q17" s="84">
        <v>11.694000000000001</v>
      </c>
      <c r="R17" s="84">
        <f t="shared" si="5"/>
        <v>68.954999999999998</v>
      </c>
      <c r="S17" s="84">
        <f t="shared" si="0"/>
        <v>540.60719999999992</v>
      </c>
      <c r="T17" s="84">
        <f t="shared" si="1"/>
        <v>125.08500000000001</v>
      </c>
      <c r="U17" s="84">
        <f t="shared" si="13"/>
        <v>980.66640000000007</v>
      </c>
      <c r="V17" s="84">
        <v>224.5</v>
      </c>
      <c r="W17" s="84">
        <v>0</v>
      </c>
      <c r="X17" s="87" t="s">
        <v>63</v>
      </c>
      <c r="Y17" s="88">
        <v>684156.8</v>
      </c>
      <c r="Z17" s="5">
        <f t="shared" si="9"/>
        <v>407</v>
      </c>
      <c r="AA17" s="14">
        <f t="shared" si="6"/>
        <v>2633.29</v>
      </c>
      <c r="AB17" s="87">
        <v>40855856</v>
      </c>
      <c r="AC17" s="87">
        <f t="shared" si="14"/>
        <v>40817522</v>
      </c>
      <c r="AD17" s="5">
        <f t="shared" si="2"/>
        <v>38334</v>
      </c>
      <c r="AE17" s="84">
        <f t="shared" si="10"/>
        <v>12781.13061</v>
      </c>
      <c r="AF17" s="84">
        <v>62.2</v>
      </c>
      <c r="AG17" s="84">
        <v>53.6</v>
      </c>
      <c r="AH17" s="84">
        <v>19.5</v>
      </c>
      <c r="AI17" s="87">
        <f t="shared" si="15"/>
        <v>37000.5</v>
      </c>
      <c r="AJ17" s="88">
        <v>37031.5</v>
      </c>
      <c r="AK17" s="48">
        <f t="shared" si="7"/>
        <v>31</v>
      </c>
      <c r="AL17" s="90">
        <f t="shared" si="3"/>
        <v>8814.6992187899996</v>
      </c>
      <c r="AM17" s="84">
        <f t="shared" si="11"/>
        <v>2938.9529400328679</v>
      </c>
      <c r="AN17" s="5">
        <v>104</v>
      </c>
      <c r="AO17" s="78">
        <f t="shared" si="4"/>
        <v>22360.28701</v>
      </c>
    </row>
    <row r="18" spans="1:41" x14ac:dyDescent="0.25">
      <c r="A18" s="79">
        <v>44056</v>
      </c>
      <c r="B18" s="9">
        <v>6071</v>
      </c>
      <c r="C18" s="87">
        <v>2537</v>
      </c>
      <c r="D18" s="87">
        <v>887</v>
      </c>
      <c r="E18" s="87">
        <v>4043</v>
      </c>
      <c r="F18" s="87">
        <v>5219</v>
      </c>
      <c r="G18" s="87">
        <v>3390</v>
      </c>
      <c r="H18" s="87">
        <v>7795</v>
      </c>
      <c r="I18" s="87">
        <v>2622</v>
      </c>
      <c r="J18" s="87">
        <v>7557</v>
      </c>
      <c r="K18" s="87">
        <f t="shared" si="12"/>
        <v>29942</v>
      </c>
      <c r="L18" s="14">
        <f t="shared" si="8"/>
        <v>5988.4000000000005</v>
      </c>
      <c r="M18" s="84">
        <v>135.99</v>
      </c>
      <c r="N18" s="84">
        <v>1.542</v>
      </c>
      <c r="O18" s="84">
        <v>5.13</v>
      </c>
      <c r="P18" s="82">
        <v>67.063000000000002</v>
      </c>
      <c r="Q18" s="84">
        <v>11.669</v>
      </c>
      <c r="R18" s="84">
        <f t="shared" si="5"/>
        <v>73.734999999999999</v>
      </c>
      <c r="S18" s="84">
        <f t="shared" si="0"/>
        <v>578.08240000000001</v>
      </c>
      <c r="T18" s="84">
        <f t="shared" si="1"/>
        <v>147.65900000000002</v>
      </c>
      <c r="U18" s="84">
        <f t="shared" si="13"/>
        <v>1157.6465600000001</v>
      </c>
      <c r="V18" s="84">
        <v>231.5</v>
      </c>
      <c r="W18" s="84">
        <v>0</v>
      </c>
      <c r="X18" s="87" t="s">
        <v>63</v>
      </c>
      <c r="Y18" s="88">
        <v>684576.8</v>
      </c>
      <c r="Z18" s="5">
        <f t="shared" si="9"/>
        <v>420</v>
      </c>
      <c r="AA18" s="14">
        <f t="shared" si="6"/>
        <v>2717.4</v>
      </c>
      <c r="AB18" s="87">
        <v>40891834</v>
      </c>
      <c r="AC18" s="87">
        <f t="shared" si="14"/>
        <v>40855856</v>
      </c>
      <c r="AD18" s="5">
        <f t="shared" si="2"/>
        <v>35978</v>
      </c>
      <c r="AE18" s="84">
        <f t="shared" si="10"/>
        <v>11995.604870000001</v>
      </c>
      <c r="AF18" s="82">
        <v>57.5</v>
      </c>
      <c r="AG18" s="82">
        <v>51.8</v>
      </c>
      <c r="AH18" s="82">
        <v>19</v>
      </c>
      <c r="AI18" s="87">
        <f t="shared" si="15"/>
        <v>37031.5</v>
      </c>
      <c r="AJ18" s="88">
        <v>37062.199999999997</v>
      </c>
      <c r="AK18" s="48">
        <f t="shared" si="7"/>
        <v>30.69999999999709</v>
      </c>
      <c r="AL18" s="90">
        <f t="shared" si="3"/>
        <v>8729.3956779621712</v>
      </c>
      <c r="AM18" s="84">
        <f t="shared" si="11"/>
        <v>2910.5114599677577</v>
      </c>
      <c r="AN18" s="5">
        <v>85</v>
      </c>
      <c r="AO18" s="78">
        <f t="shared" si="4"/>
        <v>21859.05143</v>
      </c>
    </row>
    <row r="19" spans="1:41" x14ac:dyDescent="0.25">
      <c r="A19" s="79">
        <v>44057</v>
      </c>
      <c r="B19" s="9">
        <v>5946</v>
      </c>
      <c r="C19" s="87">
        <v>2525</v>
      </c>
      <c r="D19" s="87">
        <v>845</v>
      </c>
      <c r="E19" s="87">
        <v>3929</v>
      </c>
      <c r="F19" s="87">
        <v>5003</v>
      </c>
      <c r="G19" s="87">
        <v>3267</v>
      </c>
      <c r="H19" s="87">
        <v>7564</v>
      </c>
      <c r="I19" s="87">
        <v>2517</v>
      </c>
      <c r="J19" s="87">
        <v>7264</v>
      </c>
      <c r="K19" s="87">
        <f t="shared" si="12"/>
        <v>29079</v>
      </c>
      <c r="L19" s="14">
        <f t="shared" si="8"/>
        <v>5815.8</v>
      </c>
      <c r="M19" s="84">
        <v>132.84899999999999</v>
      </c>
      <c r="N19" s="84">
        <v>1.2170000000000001</v>
      </c>
      <c r="O19" s="84">
        <v>5.59</v>
      </c>
      <c r="P19" s="82">
        <v>72.558999999999997</v>
      </c>
      <c r="Q19" s="84">
        <v>9.5909999999999993</v>
      </c>
      <c r="R19" s="84">
        <f t="shared" si="5"/>
        <v>79.366</v>
      </c>
      <c r="S19" s="84">
        <f t="shared" si="0"/>
        <v>622.22943999999995</v>
      </c>
      <c r="T19" s="84">
        <f t="shared" si="1"/>
        <v>142.44</v>
      </c>
      <c r="U19" s="84">
        <f t="shared" si="13"/>
        <v>1116.7295999999999</v>
      </c>
      <c r="V19" s="84">
        <v>232.7</v>
      </c>
      <c r="W19" s="84">
        <v>0</v>
      </c>
      <c r="X19" s="87" t="s">
        <v>63</v>
      </c>
      <c r="Y19" s="88">
        <v>685003.1</v>
      </c>
      <c r="Z19" s="5">
        <f t="shared" si="9"/>
        <v>426.29999999993015</v>
      </c>
      <c r="AA19" s="14">
        <f t="shared" si="6"/>
        <v>2758.160999999548</v>
      </c>
      <c r="AB19" s="87">
        <v>40925210</v>
      </c>
      <c r="AC19" s="87">
        <f t="shared" si="14"/>
        <v>40891834</v>
      </c>
      <c r="AD19" s="5">
        <f t="shared" si="2"/>
        <v>33376</v>
      </c>
      <c r="AE19" s="84">
        <f t="shared" si="10"/>
        <v>11128.05904</v>
      </c>
      <c r="AF19" s="84">
        <v>53.5</v>
      </c>
      <c r="AG19" s="84">
        <v>49.6</v>
      </c>
      <c r="AH19" s="84">
        <v>17.899999999999999</v>
      </c>
      <c r="AI19" s="87">
        <f t="shared" si="15"/>
        <v>37062.199999999997</v>
      </c>
      <c r="AJ19" s="88">
        <v>37090.9</v>
      </c>
      <c r="AK19" s="48">
        <f t="shared" si="7"/>
        <v>28.700000000004366</v>
      </c>
      <c r="AL19" s="90">
        <f t="shared" si="3"/>
        <v>8160.7054057842406</v>
      </c>
      <c r="AM19" s="84">
        <f t="shared" si="11"/>
        <v>2720.9015928695526</v>
      </c>
      <c r="AN19" s="5">
        <v>89</v>
      </c>
      <c r="AO19" s="78">
        <f t="shared" si="4"/>
        <v>20818.749639999547</v>
      </c>
    </row>
    <row r="20" spans="1:41" x14ac:dyDescent="0.25">
      <c r="A20" s="79">
        <v>44058</v>
      </c>
      <c r="B20" s="9">
        <v>6139</v>
      </c>
      <c r="C20" s="87">
        <v>2763</v>
      </c>
      <c r="D20" s="87">
        <v>897</v>
      </c>
      <c r="E20" s="87">
        <v>4014</v>
      </c>
      <c r="F20" s="87">
        <v>5138</v>
      </c>
      <c r="G20" s="87">
        <v>3428</v>
      </c>
      <c r="H20" s="87">
        <v>7743</v>
      </c>
      <c r="I20" s="87">
        <v>2671</v>
      </c>
      <c r="J20" s="87">
        <v>7062</v>
      </c>
      <c r="K20" s="87">
        <f t="shared" si="12"/>
        <v>30122</v>
      </c>
      <c r="L20" s="14">
        <f t="shared" si="8"/>
        <v>6024.4000000000005</v>
      </c>
      <c r="M20" s="84">
        <v>125.29300000000001</v>
      </c>
      <c r="N20" s="84">
        <v>2.3029999999999999</v>
      </c>
      <c r="O20" s="84">
        <v>6.8380000000000001</v>
      </c>
      <c r="P20" s="82">
        <v>66.394999999999996</v>
      </c>
      <c r="Q20" s="84">
        <v>11.394</v>
      </c>
      <c r="R20" s="84">
        <f t="shared" si="5"/>
        <v>75.536000000000001</v>
      </c>
      <c r="S20" s="84">
        <f t="shared" si="0"/>
        <v>592.20223999999996</v>
      </c>
      <c r="T20" s="84">
        <f t="shared" si="1"/>
        <v>136.68700000000001</v>
      </c>
      <c r="U20" s="84">
        <f t="shared" si="13"/>
        <v>1071.62608</v>
      </c>
      <c r="V20" s="84">
        <v>229.3</v>
      </c>
      <c r="W20" s="84">
        <v>0</v>
      </c>
      <c r="X20" s="87" t="s">
        <v>63</v>
      </c>
      <c r="Y20" s="87">
        <v>685427.3</v>
      </c>
      <c r="Z20" s="5">
        <f t="shared" si="9"/>
        <v>424.20000000006985</v>
      </c>
      <c r="AA20" s="14">
        <f t="shared" si="6"/>
        <v>2744.5740000004516</v>
      </c>
      <c r="AB20" s="87">
        <v>40963103</v>
      </c>
      <c r="AC20" s="87">
        <f t="shared" si="14"/>
        <v>40925210</v>
      </c>
      <c r="AD20" s="5">
        <f t="shared" si="2"/>
        <v>37893</v>
      </c>
      <c r="AE20" s="84">
        <f t="shared" si="10"/>
        <v>12634.094595</v>
      </c>
      <c r="AF20" s="84">
        <v>64.099999999999994</v>
      </c>
      <c r="AG20" s="84">
        <v>52.5</v>
      </c>
      <c r="AH20" s="84">
        <v>18.8</v>
      </c>
      <c r="AI20" s="87">
        <f t="shared" si="15"/>
        <v>37090.9</v>
      </c>
      <c r="AJ20" s="88">
        <v>37119.9</v>
      </c>
      <c r="AK20" s="48">
        <f t="shared" si="7"/>
        <v>29</v>
      </c>
      <c r="AL20" s="90">
        <f t="shared" si="3"/>
        <v>8246.0089466099998</v>
      </c>
      <c r="AM20" s="84">
        <f t="shared" si="11"/>
        <v>2749.3430729339734</v>
      </c>
      <c r="AN20" s="5">
        <v>84</v>
      </c>
      <c r="AO20" s="78">
        <f t="shared" si="4"/>
        <v>22474.69467500045</v>
      </c>
    </row>
    <row r="21" spans="1:41" x14ac:dyDescent="0.25">
      <c r="A21" s="79">
        <v>44059</v>
      </c>
      <c r="B21" s="9">
        <v>5889</v>
      </c>
      <c r="C21" s="87">
        <v>3032</v>
      </c>
      <c r="D21" s="87">
        <v>854</v>
      </c>
      <c r="E21" s="87">
        <v>3894</v>
      </c>
      <c r="F21" s="87">
        <v>5067</v>
      </c>
      <c r="G21" s="87">
        <v>3335</v>
      </c>
      <c r="H21" s="87">
        <v>7649</v>
      </c>
      <c r="I21" s="87">
        <v>2597</v>
      </c>
      <c r="J21" s="87">
        <v>7056</v>
      </c>
      <c r="K21" s="87">
        <f t="shared" si="12"/>
        <v>29720</v>
      </c>
      <c r="L21" s="14">
        <f t="shared" si="8"/>
        <v>5944</v>
      </c>
      <c r="M21" s="84">
        <v>108.066</v>
      </c>
      <c r="N21" s="84">
        <v>0.95399999999999996</v>
      </c>
      <c r="O21" s="84">
        <v>5.0229999999999997</v>
      </c>
      <c r="P21" s="82">
        <v>54.572000000000003</v>
      </c>
      <c r="Q21" s="84">
        <v>11.759</v>
      </c>
      <c r="R21" s="84">
        <f t="shared" si="5"/>
        <v>60.548999999999999</v>
      </c>
      <c r="S21" s="84">
        <f t="shared" si="0"/>
        <v>474.70416</v>
      </c>
      <c r="T21" s="84">
        <f t="shared" si="1"/>
        <v>119.825</v>
      </c>
      <c r="U21" s="84">
        <f t="shared" si="13"/>
        <v>939.428</v>
      </c>
      <c r="V21" s="84">
        <v>224.9</v>
      </c>
      <c r="W21" s="84">
        <v>0</v>
      </c>
      <c r="X21" s="87" t="s">
        <v>63</v>
      </c>
      <c r="Y21" s="88">
        <v>685832</v>
      </c>
      <c r="Z21" s="5">
        <f t="shared" si="9"/>
        <v>404.69999999995343</v>
      </c>
      <c r="AA21" s="14">
        <f t="shared" si="6"/>
        <v>2618.4089999996986</v>
      </c>
      <c r="AB21" s="87">
        <v>41001170</v>
      </c>
      <c r="AC21" s="87">
        <f t="shared" si="14"/>
        <v>40963103</v>
      </c>
      <c r="AD21" s="5">
        <f t="shared" si="2"/>
        <v>38067</v>
      </c>
      <c r="AE21" s="84">
        <f t="shared" si="10"/>
        <v>12692.108805</v>
      </c>
      <c r="AF21" s="84">
        <v>64.2</v>
      </c>
      <c r="AG21" s="84">
        <v>52.1</v>
      </c>
      <c r="AH21" s="84">
        <v>18.899999999999999</v>
      </c>
      <c r="AI21" s="87">
        <f t="shared" si="15"/>
        <v>37119.9</v>
      </c>
      <c r="AJ21" s="88">
        <v>37149.199999999997</v>
      </c>
      <c r="AK21" s="48">
        <f t="shared" si="7"/>
        <v>29.299999999995634</v>
      </c>
      <c r="AL21" s="90">
        <f t="shared" si="3"/>
        <v>8331.3124874357582</v>
      </c>
      <c r="AM21" s="84">
        <f t="shared" si="11"/>
        <v>2777.7845529983933</v>
      </c>
      <c r="AN21" s="5">
        <v>113</v>
      </c>
      <c r="AO21" s="78">
        <f t="shared" si="4"/>
        <v>22193.945804999697</v>
      </c>
    </row>
    <row r="22" spans="1:41" x14ac:dyDescent="0.25">
      <c r="A22" s="79">
        <v>44060</v>
      </c>
      <c r="B22" s="9">
        <v>5936</v>
      </c>
      <c r="C22" s="87">
        <v>2865</v>
      </c>
      <c r="D22" s="87">
        <v>875</v>
      </c>
      <c r="E22" s="87">
        <v>3990</v>
      </c>
      <c r="F22" s="87">
        <v>5178</v>
      </c>
      <c r="G22" s="87">
        <v>3517</v>
      </c>
      <c r="H22" s="87">
        <v>7828</v>
      </c>
      <c r="I22" s="87">
        <v>2621</v>
      </c>
      <c r="J22" s="87">
        <v>7332</v>
      </c>
      <c r="K22" s="87">
        <f t="shared" si="12"/>
        <v>30189</v>
      </c>
      <c r="L22" s="14">
        <f t="shared" si="8"/>
        <v>6037.8</v>
      </c>
      <c r="M22" s="84">
        <v>106.964</v>
      </c>
      <c r="N22" s="84">
        <v>0.95699999999999996</v>
      </c>
      <c r="O22" s="84">
        <v>5.1989999999999998</v>
      </c>
      <c r="P22" s="82">
        <v>54.421999999999997</v>
      </c>
      <c r="Q22" s="84">
        <v>11.368</v>
      </c>
      <c r="R22" s="84">
        <f t="shared" si="5"/>
        <v>60.577999999999996</v>
      </c>
      <c r="S22" s="84">
        <f t="shared" si="0"/>
        <v>474.93151999999998</v>
      </c>
      <c r="T22" s="84">
        <f t="shared" si="1"/>
        <v>118.33199999999999</v>
      </c>
      <c r="U22" s="84">
        <f t="shared" si="13"/>
        <v>927.72287999999992</v>
      </c>
      <c r="V22" s="84">
        <v>235.7</v>
      </c>
      <c r="W22" s="84">
        <v>0</v>
      </c>
      <c r="X22" s="87" t="s">
        <v>63</v>
      </c>
      <c r="Y22" s="88">
        <v>686243.3</v>
      </c>
      <c r="Z22" s="5">
        <f t="shared" si="9"/>
        <v>411.30000000004657</v>
      </c>
      <c r="AA22" s="14">
        <f t="shared" si="6"/>
        <v>2661.1110000003014</v>
      </c>
      <c r="AB22" s="87">
        <v>41038431</v>
      </c>
      <c r="AC22" s="87">
        <f t="shared" si="14"/>
        <v>41001170</v>
      </c>
      <c r="AD22" s="5">
        <f t="shared" si="2"/>
        <v>37261</v>
      </c>
      <c r="AE22" s="84">
        <f t="shared" si="10"/>
        <v>12423.376315000001</v>
      </c>
      <c r="AF22" s="84">
        <v>63.3</v>
      </c>
      <c r="AG22" s="84">
        <v>52.2</v>
      </c>
      <c r="AH22" s="84">
        <v>18</v>
      </c>
      <c r="AI22" s="87">
        <f t="shared" si="15"/>
        <v>37149.199999999997</v>
      </c>
      <c r="AJ22" s="88">
        <v>37178.9</v>
      </c>
      <c r="AK22" s="48">
        <f t="shared" si="7"/>
        <v>29.700000000004366</v>
      </c>
      <c r="AL22" s="90">
        <f t="shared" si="3"/>
        <v>8445.0505418742414</v>
      </c>
      <c r="AM22" s="84">
        <f t="shared" si="11"/>
        <v>2815.7065264190005</v>
      </c>
      <c r="AN22" s="5">
        <v>128</v>
      </c>
      <c r="AO22" s="78">
        <f t="shared" si="4"/>
        <v>22050.010195000301</v>
      </c>
    </row>
    <row r="23" spans="1:41" x14ac:dyDescent="0.25">
      <c r="A23" s="79">
        <v>44061</v>
      </c>
      <c r="B23" s="9">
        <v>6203</v>
      </c>
      <c r="C23" s="87">
        <v>2822</v>
      </c>
      <c r="D23" s="87">
        <v>879</v>
      </c>
      <c r="E23" s="87">
        <v>3994</v>
      </c>
      <c r="F23" s="87">
        <v>5181</v>
      </c>
      <c r="G23" s="87">
        <v>3522</v>
      </c>
      <c r="H23" s="87">
        <v>7743</v>
      </c>
      <c r="I23" s="87">
        <v>2560</v>
      </c>
      <c r="J23" s="87">
        <v>7248</v>
      </c>
      <c r="K23" s="87">
        <f t="shared" si="12"/>
        <v>30344</v>
      </c>
      <c r="L23" s="14">
        <f t="shared" si="8"/>
        <v>6068.8</v>
      </c>
      <c r="M23" s="84">
        <v>138.53200000000001</v>
      </c>
      <c r="N23" s="84">
        <v>1.169</v>
      </c>
      <c r="O23" s="84">
        <v>5.4580000000000002</v>
      </c>
      <c r="P23" s="82">
        <v>63.034999999999997</v>
      </c>
      <c r="Q23" s="84">
        <v>10.571</v>
      </c>
      <c r="R23" s="84">
        <f t="shared" si="5"/>
        <v>69.661999999999992</v>
      </c>
      <c r="S23" s="84">
        <f t="shared" si="0"/>
        <v>546.15007999999989</v>
      </c>
      <c r="T23" s="84">
        <f t="shared" si="1"/>
        <v>149.10300000000001</v>
      </c>
      <c r="U23" s="84">
        <f t="shared" si="13"/>
        <v>1168.9675200000001</v>
      </c>
      <c r="V23" s="84">
        <v>250</v>
      </c>
      <c r="W23" s="84">
        <v>0</v>
      </c>
      <c r="X23" s="87" t="s">
        <v>63</v>
      </c>
      <c r="Y23" s="88">
        <v>686677.8</v>
      </c>
      <c r="Z23" s="5">
        <f t="shared" si="9"/>
        <v>434.5</v>
      </c>
      <c r="AA23" s="14">
        <f t="shared" si="6"/>
        <v>2811.2149999999997</v>
      </c>
      <c r="AB23" s="87">
        <v>41073631</v>
      </c>
      <c r="AC23" s="87">
        <f t="shared" si="14"/>
        <v>41038431</v>
      </c>
      <c r="AD23" s="5">
        <f t="shared" si="2"/>
        <v>35200</v>
      </c>
      <c r="AE23" s="84">
        <f t="shared" si="10"/>
        <v>11736.208000000001</v>
      </c>
      <c r="AF23" s="84">
        <v>59</v>
      </c>
      <c r="AG23" s="84">
        <v>50.9</v>
      </c>
      <c r="AH23" s="84">
        <v>17.7</v>
      </c>
      <c r="AI23" s="87">
        <f t="shared" si="15"/>
        <v>37178.9</v>
      </c>
      <c r="AJ23" s="88">
        <v>37207</v>
      </c>
      <c r="AK23" s="48">
        <f t="shared" si="7"/>
        <v>28.099999999998545</v>
      </c>
      <c r="AL23" s="90">
        <f t="shared" si="3"/>
        <v>7990.0983241285858</v>
      </c>
      <c r="AM23" s="84">
        <f t="shared" si="11"/>
        <v>2664.0186327393326</v>
      </c>
      <c r="AN23" s="5">
        <v>125</v>
      </c>
      <c r="AO23" s="78">
        <f t="shared" si="4"/>
        <v>21785.19052</v>
      </c>
    </row>
    <row r="24" spans="1:41" x14ac:dyDescent="0.25">
      <c r="A24" s="79">
        <v>44062</v>
      </c>
      <c r="B24" s="9">
        <v>5876</v>
      </c>
      <c r="C24" s="87">
        <v>3316</v>
      </c>
      <c r="D24" s="87">
        <v>888</v>
      </c>
      <c r="E24" s="87">
        <v>3992</v>
      </c>
      <c r="F24" s="87">
        <v>5118</v>
      </c>
      <c r="G24" s="87">
        <v>3513</v>
      </c>
      <c r="H24" s="87">
        <v>7694</v>
      </c>
      <c r="I24" s="87">
        <v>2574</v>
      </c>
      <c r="J24" s="87">
        <v>7370</v>
      </c>
      <c r="K24" s="87">
        <f t="shared" si="12"/>
        <v>30397</v>
      </c>
      <c r="L24" s="14">
        <f t="shared" si="8"/>
        <v>6079.4000000000005</v>
      </c>
      <c r="M24" s="84">
        <v>119.557</v>
      </c>
      <c r="N24" s="84">
        <v>1.032</v>
      </c>
      <c r="O24" s="84">
        <v>5.4669999999999996</v>
      </c>
      <c r="P24" s="82">
        <v>68.325000000000003</v>
      </c>
      <c r="Q24" s="84">
        <v>10.337</v>
      </c>
      <c r="R24" s="84">
        <f t="shared" si="5"/>
        <v>74.823999999999998</v>
      </c>
      <c r="S24" s="84">
        <f t="shared" si="0"/>
        <v>586.62015999999994</v>
      </c>
      <c r="T24" s="84">
        <f t="shared" si="1"/>
        <v>129.89400000000001</v>
      </c>
      <c r="U24" s="84">
        <f t="shared" si="13"/>
        <v>1018.36896</v>
      </c>
      <c r="V24" s="84">
        <v>255.2</v>
      </c>
      <c r="W24" s="84">
        <v>0</v>
      </c>
      <c r="X24" s="87" t="s">
        <v>63</v>
      </c>
      <c r="Y24" s="88">
        <v>687125.4</v>
      </c>
      <c r="Z24" s="5">
        <f t="shared" si="9"/>
        <v>447.59999999997672</v>
      </c>
      <c r="AA24" s="14">
        <f t="shared" si="6"/>
        <v>2895.9719999998492</v>
      </c>
      <c r="AB24" s="87">
        <v>41111855</v>
      </c>
      <c r="AC24" s="87">
        <f t="shared" si="14"/>
        <v>41073631</v>
      </c>
      <c r="AD24" s="5">
        <f t="shared" si="2"/>
        <v>38224</v>
      </c>
      <c r="AE24" s="84">
        <f t="shared" si="10"/>
        <v>12744.454960000001</v>
      </c>
      <c r="AF24" s="84">
        <v>63.8</v>
      </c>
      <c r="AG24" s="84">
        <v>53.1</v>
      </c>
      <c r="AH24" s="84">
        <v>18.600000000000001</v>
      </c>
      <c r="AI24" s="87">
        <f t="shared" si="15"/>
        <v>37207</v>
      </c>
      <c r="AJ24" s="88">
        <v>37237</v>
      </c>
      <c r="AK24" s="48">
        <f t="shared" si="7"/>
        <v>30</v>
      </c>
      <c r="AL24" s="90">
        <f t="shared" si="3"/>
        <v>8530.3540826999997</v>
      </c>
      <c r="AM24" s="84">
        <f t="shared" si="11"/>
        <v>2844.1480064834204</v>
      </c>
      <c r="AN24" s="5">
        <v>107</v>
      </c>
      <c r="AO24" s="78">
        <f t="shared" si="4"/>
        <v>22738.195919999853</v>
      </c>
    </row>
    <row r="25" spans="1:41" x14ac:dyDescent="0.25">
      <c r="A25" s="79">
        <v>44063</v>
      </c>
      <c r="B25" s="9">
        <v>5984</v>
      </c>
      <c r="C25" s="87">
        <v>3642</v>
      </c>
      <c r="D25" s="87">
        <v>919</v>
      </c>
      <c r="E25" s="87">
        <v>3975</v>
      </c>
      <c r="F25" s="87">
        <v>5084</v>
      </c>
      <c r="G25" s="87">
        <v>3481</v>
      </c>
      <c r="H25" s="87">
        <v>7892</v>
      </c>
      <c r="I25" s="87">
        <v>2612</v>
      </c>
      <c r="J25" s="87">
        <v>7512</v>
      </c>
      <c r="K25" s="87">
        <f t="shared" si="12"/>
        <v>30977</v>
      </c>
      <c r="L25" s="14">
        <f t="shared" si="8"/>
        <v>6195.4000000000005</v>
      </c>
      <c r="M25" s="84">
        <v>123.55</v>
      </c>
      <c r="N25" s="84">
        <v>0.83599999999999997</v>
      </c>
      <c r="O25" s="84">
        <v>5.7329999999999997</v>
      </c>
      <c r="P25" s="82">
        <v>69.298000000000002</v>
      </c>
      <c r="Q25" s="84">
        <v>10.257999999999999</v>
      </c>
      <c r="R25" s="84">
        <f t="shared" si="5"/>
        <v>75.867000000000004</v>
      </c>
      <c r="S25" s="84">
        <f t="shared" si="0"/>
        <v>594.79728</v>
      </c>
      <c r="T25" s="84">
        <f t="shared" si="1"/>
        <v>133.80799999999999</v>
      </c>
      <c r="U25" s="84">
        <f t="shared" si="13"/>
        <v>1049.0547199999999</v>
      </c>
      <c r="V25" s="84">
        <v>280.39999999999998</v>
      </c>
      <c r="W25" s="84">
        <v>0</v>
      </c>
      <c r="X25" s="87" t="s">
        <v>63</v>
      </c>
      <c r="Y25" s="88">
        <v>687588.7</v>
      </c>
      <c r="Z25" s="5">
        <f t="shared" si="9"/>
        <v>463.29999999993015</v>
      </c>
      <c r="AA25" s="14">
        <f t="shared" si="6"/>
        <v>2997.5509999995479</v>
      </c>
      <c r="AB25" s="87">
        <v>41151290</v>
      </c>
      <c r="AC25" s="87">
        <f t="shared" si="14"/>
        <v>41111855</v>
      </c>
      <c r="AD25" s="5">
        <f t="shared" si="2"/>
        <v>39435</v>
      </c>
      <c r="AE25" s="84">
        <f t="shared" si="10"/>
        <v>13148.220525000001</v>
      </c>
      <c r="AF25" s="84">
        <v>66.3</v>
      </c>
      <c r="AG25" s="84">
        <v>53</v>
      </c>
      <c r="AH25" s="84">
        <v>20</v>
      </c>
      <c r="AI25" s="87">
        <f t="shared" si="15"/>
        <v>37237</v>
      </c>
      <c r="AJ25" s="88">
        <v>37268.300000000003</v>
      </c>
      <c r="AK25" s="48">
        <f t="shared" si="7"/>
        <v>31.30000000000291</v>
      </c>
      <c r="AL25" s="90">
        <f t="shared" si="3"/>
        <v>8900.0027596178279</v>
      </c>
      <c r="AM25" s="84">
        <f t="shared" si="11"/>
        <v>2967.3944200979781</v>
      </c>
      <c r="AN25" s="5">
        <v>113</v>
      </c>
      <c r="AO25" s="78">
        <f t="shared" si="4"/>
        <v>23390.226244999547</v>
      </c>
    </row>
    <row r="26" spans="1:41" x14ac:dyDescent="0.25">
      <c r="A26" s="79">
        <v>44064</v>
      </c>
      <c r="B26" s="9">
        <v>5584</v>
      </c>
      <c r="C26" s="87">
        <v>3452</v>
      </c>
      <c r="D26" s="87">
        <v>915</v>
      </c>
      <c r="E26" s="87">
        <v>4300</v>
      </c>
      <c r="F26" s="87">
        <v>5094</v>
      </c>
      <c r="G26" s="87">
        <v>3497</v>
      </c>
      <c r="H26" s="87">
        <v>7838</v>
      </c>
      <c r="I26" s="87">
        <v>2535</v>
      </c>
      <c r="J26" s="87">
        <v>7461</v>
      </c>
      <c r="K26" s="87">
        <f t="shared" si="12"/>
        <v>30680</v>
      </c>
      <c r="L26" s="14">
        <f t="shared" si="8"/>
        <v>6136</v>
      </c>
      <c r="M26" s="84">
        <v>126.035</v>
      </c>
      <c r="N26" s="84">
        <v>1.5609999999999999</v>
      </c>
      <c r="O26" s="84">
        <v>5.74</v>
      </c>
      <c r="P26" s="82">
        <v>77.031999999999996</v>
      </c>
      <c r="Q26" s="84">
        <v>8.7629999999999999</v>
      </c>
      <c r="R26" s="84">
        <f t="shared" si="5"/>
        <v>84.332999999999998</v>
      </c>
      <c r="S26" s="84">
        <f t="shared" si="0"/>
        <v>661.17071999999996</v>
      </c>
      <c r="T26" s="84">
        <f t="shared" si="1"/>
        <v>134.798</v>
      </c>
      <c r="U26" s="84">
        <f t="shared" si="13"/>
        <v>1056.8163199999999</v>
      </c>
      <c r="V26" s="84">
        <v>287</v>
      </c>
      <c r="W26" s="84">
        <v>0</v>
      </c>
      <c r="X26" s="87" t="s">
        <v>63</v>
      </c>
      <c r="Y26" s="87">
        <v>688093.3</v>
      </c>
      <c r="Z26" s="5">
        <f t="shared" si="9"/>
        <v>504.60000000009313</v>
      </c>
      <c r="AA26" s="14">
        <f t="shared" si="6"/>
        <v>3264.7620000006023</v>
      </c>
      <c r="AB26" s="87">
        <v>41188280</v>
      </c>
      <c r="AC26" s="87">
        <f t="shared" si="14"/>
        <v>41151290</v>
      </c>
      <c r="AD26" s="5">
        <f t="shared" si="2"/>
        <v>36990</v>
      </c>
      <c r="AE26" s="84">
        <f t="shared" si="10"/>
        <v>12333.020850000001</v>
      </c>
      <c r="AF26" s="84">
        <v>63.4</v>
      </c>
      <c r="AG26" s="84">
        <v>50.8</v>
      </c>
      <c r="AH26" s="84">
        <v>18.7</v>
      </c>
      <c r="AI26" s="87">
        <f t="shared" si="15"/>
        <v>37268.300000000003</v>
      </c>
      <c r="AJ26" s="88">
        <v>37298.699999999997</v>
      </c>
      <c r="AK26" s="48">
        <f t="shared" si="7"/>
        <v>30.399999999994179</v>
      </c>
      <c r="AL26" s="90">
        <f t="shared" si="3"/>
        <v>8644.0921371343447</v>
      </c>
      <c r="AM26" s="84">
        <f t="shared" si="11"/>
        <v>2882.0699799026479</v>
      </c>
      <c r="AN26" s="5">
        <v>126</v>
      </c>
      <c r="AO26" s="78">
        <f t="shared" si="4"/>
        <v>22790.599170000605</v>
      </c>
    </row>
    <row r="27" spans="1:41" x14ac:dyDescent="0.25">
      <c r="A27" s="79">
        <v>44065</v>
      </c>
      <c r="B27" s="9">
        <v>6116</v>
      </c>
      <c r="C27" s="87">
        <v>3328</v>
      </c>
      <c r="D27" s="87">
        <v>942</v>
      </c>
      <c r="E27" s="87">
        <v>5097</v>
      </c>
      <c r="F27" s="87">
        <v>5249</v>
      </c>
      <c r="G27" s="87">
        <v>3568</v>
      </c>
      <c r="H27" s="87">
        <v>7871</v>
      </c>
      <c r="I27" s="87">
        <v>2632</v>
      </c>
      <c r="J27" s="87">
        <v>7578</v>
      </c>
      <c r="K27" s="87">
        <f t="shared" si="12"/>
        <v>32171</v>
      </c>
      <c r="L27" s="14">
        <f t="shared" si="8"/>
        <v>6434.2000000000007</v>
      </c>
      <c r="M27" s="84">
        <v>101.876</v>
      </c>
      <c r="N27" s="84">
        <v>1.952</v>
      </c>
      <c r="O27" s="84">
        <v>6.173</v>
      </c>
      <c r="P27" s="82">
        <v>73.147999999999996</v>
      </c>
      <c r="Q27" s="84">
        <v>10.644</v>
      </c>
      <c r="R27" s="84">
        <f t="shared" si="5"/>
        <v>81.272999999999996</v>
      </c>
      <c r="S27" s="84">
        <f t="shared" si="0"/>
        <v>637.18031999999994</v>
      </c>
      <c r="T27" s="84">
        <f t="shared" si="1"/>
        <v>112.52000000000001</v>
      </c>
      <c r="U27" s="84">
        <f t="shared" si="13"/>
        <v>882.15680000000009</v>
      </c>
      <c r="V27" s="84">
        <v>284.89999999999998</v>
      </c>
      <c r="W27" s="84">
        <v>0</v>
      </c>
      <c r="X27" s="87" t="s">
        <v>63</v>
      </c>
      <c r="Y27" s="87">
        <v>688572.5</v>
      </c>
      <c r="Z27" s="5">
        <f t="shared" si="9"/>
        <v>479.19999999995343</v>
      </c>
      <c r="AA27" s="14">
        <f t="shared" si="6"/>
        <v>3100.4239999996985</v>
      </c>
      <c r="AB27" s="87">
        <v>41226332</v>
      </c>
      <c r="AC27" s="87">
        <f t="shared" si="14"/>
        <v>41188280</v>
      </c>
      <c r="AD27" s="5">
        <f t="shared" si="2"/>
        <v>38052</v>
      </c>
      <c r="AE27" s="84">
        <f t="shared" si="10"/>
        <v>12687.10758</v>
      </c>
      <c r="AF27" s="84">
        <v>66.5</v>
      </c>
      <c r="AG27" s="84">
        <v>51.4</v>
      </c>
      <c r="AH27" s="84">
        <v>19.600000000000001</v>
      </c>
      <c r="AI27" s="87">
        <f t="shared" si="15"/>
        <v>37298.699999999997</v>
      </c>
      <c r="AJ27" s="88">
        <v>37329.1</v>
      </c>
      <c r="AK27" s="48">
        <f t="shared" si="7"/>
        <v>30.400000000001455</v>
      </c>
      <c r="AL27" s="90">
        <f t="shared" si="3"/>
        <v>8644.0921371364129</v>
      </c>
      <c r="AM27" s="84">
        <f t="shared" si="11"/>
        <v>2882.0699799033373</v>
      </c>
      <c r="AN27" s="5">
        <v>89</v>
      </c>
      <c r="AO27" s="78">
        <f t="shared" si="4"/>
        <v>23103.888379999698</v>
      </c>
    </row>
    <row r="28" spans="1:41" x14ac:dyDescent="0.25">
      <c r="A28" s="79">
        <v>44066</v>
      </c>
      <c r="B28" s="9">
        <v>5418</v>
      </c>
      <c r="C28" s="87">
        <v>3291</v>
      </c>
      <c r="D28" s="87">
        <v>861</v>
      </c>
      <c r="E28" s="87">
        <v>4845</v>
      </c>
      <c r="F28" s="87">
        <v>4920</v>
      </c>
      <c r="G28" s="87">
        <v>3299</v>
      </c>
      <c r="H28" s="87">
        <v>6160</v>
      </c>
      <c r="I28" s="87">
        <v>2637</v>
      </c>
      <c r="J28" s="87">
        <v>7268</v>
      </c>
      <c r="K28" s="87">
        <f t="shared" si="12"/>
        <v>28794</v>
      </c>
      <c r="L28" s="14">
        <f t="shared" si="8"/>
        <v>5758.8</v>
      </c>
      <c r="M28" s="84">
        <v>146.578</v>
      </c>
      <c r="N28" s="84">
        <v>1.113</v>
      </c>
      <c r="O28" s="84">
        <v>5.6609999999999996</v>
      </c>
      <c r="P28" s="82">
        <v>63.042999999999999</v>
      </c>
      <c r="Q28" s="84">
        <v>10.316000000000001</v>
      </c>
      <c r="R28" s="84">
        <f t="shared" si="5"/>
        <v>69.816999999999993</v>
      </c>
      <c r="S28" s="84">
        <f t="shared" si="0"/>
        <v>547.36527999999998</v>
      </c>
      <c r="T28" s="84">
        <f t="shared" si="1"/>
        <v>156.89400000000001</v>
      </c>
      <c r="U28" s="84">
        <f t="shared" si="13"/>
        <v>1230.0489600000001</v>
      </c>
      <c r="V28" s="84">
        <v>265.2</v>
      </c>
      <c r="W28" s="84">
        <v>0</v>
      </c>
      <c r="X28" s="87" t="s">
        <v>63</v>
      </c>
      <c r="Y28" s="87">
        <v>689021.1</v>
      </c>
      <c r="Z28" s="5">
        <f t="shared" si="9"/>
        <v>448.59999999997672</v>
      </c>
      <c r="AA28" s="14">
        <f t="shared" si="6"/>
        <v>2902.441999999849</v>
      </c>
      <c r="AB28" s="87">
        <v>41258601</v>
      </c>
      <c r="AC28" s="87">
        <f t="shared" si="14"/>
        <v>41226332</v>
      </c>
      <c r="AD28" s="5">
        <f t="shared" si="2"/>
        <v>32269</v>
      </c>
      <c r="AE28" s="84">
        <f t="shared" si="10"/>
        <v>10758.968635000001</v>
      </c>
      <c r="AF28" s="84">
        <v>59.1</v>
      </c>
      <c r="AG28" s="84">
        <v>40.6</v>
      </c>
      <c r="AH28" s="84">
        <v>19</v>
      </c>
      <c r="AI28" s="87">
        <f t="shared" si="15"/>
        <v>37329.1</v>
      </c>
      <c r="AJ28" s="88">
        <v>37355.599999999999</v>
      </c>
      <c r="AK28" s="48">
        <f t="shared" si="7"/>
        <v>26.5</v>
      </c>
      <c r="AL28" s="90">
        <f t="shared" si="3"/>
        <v>7535.1461063849993</v>
      </c>
      <c r="AM28" s="84">
        <f t="shared" si="11"/>
        <v>2512.3307390603545</v>
      </c>
      <c r="AN28" s="5">
        <v>75</v>
      </c>
      <c r="AO28" s="78">
        <f t="shared" si="4"/>
        <v>20650.25959499985</v>
      </c>
    </row>
    <row r="29" spans="1:41" x14ac:dyDescent="0.25">
      <c r="A29" s="79">
        <v>44067</v>
      </c>
      <c r="B29" s="9">
        <v>5950</v>
      </c>
      <c r="C29" s="87">
        <v>3158</v>
      </c>
      <c r="D29" s="87">
        <v>871</v>
      </c>
      <c r="E29" s="87">
        <v>4651</v>
      </c>
      <c r="F29" s="87">
        <v>5194</v>
      </c>
      <c r="G29" s="87">
        <v>3360</v>
      </c>
      <c r="H29" s="87">
        <v>6611</v>
      </c>
      <c r="I29" s="87">
        <v>2633</v>
      </c>
      <c r="J29" s="87">
        <v>7244</v>
      </c>
      <c r="K29" s="87">
        <f t="shared" si="12"/>
        <v>29795</v>
      </c>
      <c r="L29" s="14">
        <f t="shared" si="8"/>
        <v>5959</v>
      </c>
      <c r="M29" s="84">
        <v>111.747</v>
      </c>
      <c r="N29" s="84">
        <v>1.03</v>
      </c>
      <c r="O29" s="84">
        <v>5.2919999999999998</v>
      </c>
      <c r="P29" s="82">
        <v>64.39</v>
      </c>
      <c r="Q29" s="84">
        <v>10.763999999999999</v>
      </c>
      <c r="R29" s="84">
        <f t="shared" si="5"/>
        <v>70.712000000000003</v>
      </c>
      <c r="S29" s="84">
        <f t="shared" si="0"/>
        <v>554.38207999999997</v>
      </c>
      <c r="T29" s="84">
        <f t="shared" si="1"/>
        <v>122.511</v>
      </c>
      <c r="U29" s="84">
        <f t="shared" si="13"/>
        <v>960.48623999999995</v>
      </c>
      <c r="V29" s="84">
        <v>268.7</v>
      </c>
      <c r="W29" s="84">
        <v>0</v>
      </c>
      <c r="X29" s="87" t="s">
        <v>63</v>
      </c>
      <c r="Y29" s="87">
        <v>689456.9</v>
      </c>
      <c r="Z29" s="5">
        <f t="shared" si="9"/>
        <v>435.80000000004657</v>
      </c>
      <c r="AA29" s="14">
        <f t="shared" si="6"/>
        <v>2819.6260000003012</v>
      </c>
      <c r="AB29" s="87">
        <v>41290915</v>
      </c>
      <c r="AC29" s="87">
        <f t="shared" si="14"/>
        <v>41258601</v>
      </c>
      <c r="AD29" s="5">
        <f t="shared" si="2"/>
        <v>32314</v>
      </c>
      <c r="AE29" s="84">
        <f t="shared" si="10"/>
        <v>10773.972310000001</v>
      </c>
      <c r="AF29" s="84">
        <v>56.1</v>
      </c>
      <c r="AG29" s="84">
        <v>42.6</v>
      </c>
      <c r="AH29" s="84">
        <v>19.100000000000001</v>
      </c>
      <c r="AI29" s="87">
        <f t="shared" si="15"/>
        <v>37355.599999999999</v>
      </c>
      <c r="AJ29" s="88">
        <v>37382.9</v>
      </c>
      <c r="AK29" s="48">
        <f t="shared" si="7"/>
        <v>27.30000000000291</v>
      </c>
      <c r="AL29" s="90">
        <f t="shared" si="3"/>
        <v>7762.6222152578275</v>
      </c>
      <c r="AM29" s="84">
        <f t="shared" si="11"/>
        <v>2588.1746859001887</v>
      </c>
      <c r="AN29" s="5">
        <v>100</v>
      </c>
      <c r="AO29" s="78">
        <f t="shared" si="4"/>
        <v>20513.084550000302</v>
      </c>
    </row>
    <row r="30" spans="1:41" x14ac:dyDescent="0.25">
      <c r="A30" s="79">
        <v>44068</v>
      </c>
      <c r="B30" s="9">
        <v>5068</v>
      </c>
      <c r="C30" s="87">
        <v>3290</v>
      </c>
      <c r="D30" s="87">
        <v>892</v>
      </c>
      <c r="E30" s="87">
        <v>4558</v>
      </c>
      <c r="F30" s="87">
        <v>5150</v>
      </c>
      <c r="G30" s="87">
        <v>3342</v>
      </c>
      <c r="H30" s="87">
        <v>5395</v>
      </c>
      <c r="I30" s="87">
        <v>2661</v>
      </c>
      <c r="J30" s="87">
        <v>7358</v>
      </c>
      <c r="K30" s="87">
        <f t="shared" si="12"/>
        <v>27695</v>
      </c>
      <c r="L30" s="14">
        <f t="shared" si="8"/>
        <v>5539</v>
      </c>
      <c r="M30" s="84">
        <v>144.84700000000001</v>
      </c>
      <c r="N30" s="84">
        <v>2.1070000000000002</v>
      </c>
      <c r="O30" s="84">
        <v>5.8390000000000004</v>
      </c>
      <c r="P30" s="82">
        <v>63.755000000000003</v>
      </c>
      <c r="Q30" s="84">
        <v>10.583</v>
      </c>
      <c r="R30" s="84">
        <f t="shared" si="5"/>
        <v>71.701000000000008</v>
      </c>
      <c r="S30" s="84">
        <f t="shared" si="0"/>
        <v>562.13584000000003</v>
      </c>
      <c r="T30" s="84">
        <f t="shared" si="1"/>
        <v>155.43</v>
      </c>
      <c r="U30" s="84">
        <f t="shared" si="13"/>
        <v>1218.5712000000001</v>
      </c>
      <c r="V30" s="84">
        <v>275.39999999999998</v>
      </c>
      <c r="W30" s="84">
        <v>0</v>
      </c>
      <c r="X30" s="87" t="s">
        <v>63</v>
      </c>
      <c r="Y30" s="87">
        <v>689918.6</v>
      </c>
      <c r="Z30" s="5">
        <f t="shared" si="9"/>
        <v>461.69999999995343</v>
      </c>
      <c r="AA30" s="14">
        <f t="shared" si="6"/>
        <v>2987.1989999996986</v>
      </c>
      <c r="AB30" s="87">
        <v>41323678</v>
      </c>
      <c r="AC30" s="87">
        <f t="shared" si="14"/>
        <v>41290915</v>
      </c>
      <c r="AD30" s="5">
        <f t="shared" si="2"/>
        <v>32763</v>
      </c>
      <c r="AE30" s="84">
        <f t="shared" si="10"/>
        <v>10923.675645000001</v>
      </c>
      <c r="AF30" s="84">
        <v>58.1</v>
      </c>
      <c r="AG30" s="84">
        <v>38.200000000000003</v>
      </c>
      <c r="AH30" s="84">
        <v>20.6</v>
      </c>
      <c r="AI30" s="87">
        <f t="shared" si="15"/>
        <v>37382.9</v>
      </c>
      <c r="AJ30" s="88">
        <v>37411.1</v>
      </c>
      <c r="AK30" s="48">
        <f t="shared" si="7"/>
        <v>28.19999999999709</v>
      </c>
      <c r="AL30" s="90">
        <f t="shared" si="3"/>
        <v>8018.5328377371716</v>
      </c>
      <c r="AM30" s="84">
        <f t="shared" si="11"/>
        <v>2673.4991260941392</v>
      </c>
      <c r="AN30" s="5">
        <v>124</v>
      </c>
      <c r="AO30" s="78">
        <f t="shared" si="4"/>
        <v>20668.4458449997</v>
      </c>
    </row>
    <row r="31" spans="1:41" x14ac:dyDescent="0.25">
      <c r="A31" s="79">
        <v>44069</v>
      </c>
      <c r="B31" s="9">
        <v>4450</v>
      </c>
      <c r="C31" s="87">
        <v>3545</v>
      </c>
      <c r="D31" s="87">
        <v>890</v>
      </c>
      <c r="E31" s="87">
        <v>4536</v>
      </c>
      <c r="F31" s="87">
        <v>5091</v>
      </c>
      <c r="G31" s="87">
        <v>3222</v>
      </c>
      <c r="H31" s="87">
        <v>4273</v>
      </c>
      <c r="I31" s="87">
        <v>2580</v>
      </c>
      <c r="J31" s="87">
        <v>7368</v>
      </c>
      <c r="K31" s="87">
        <f t="shared" si="12"/>
        <v>26007</v>
      </c>
      <c r="L31" s="14">
        <f t="shared" si="8"/>
        <v>5201.4000000000005</v>
      </c>
      <c r="M31" s="84">
        <v>111.702</v>
      </c>
      <c r="N31" s="84">
        <v>1.2410000000000001</v>
      </c>
      <c r="O31" s="84">
        <v>5.6440000000000001</v>
      </c>
      <c r="P31" s="82">
        <v>64.027000000000001</v>
      </c>
      <c r="Q31" s="84">
        <v>10.428000000000001</v>
      </c>
      <c r="R31" s="84">
        <f t="shared" si="5"/>
        <v>70.912000000000006</v>
      </c>
      <c r="S31" s="84">
        <f t="shared" si="0"/>
        <v>555.95008000000007</v>
      </c>
      <c r="T31" s="84">
        <f t="shared" si="1"/>
        <v>122.13</v>
      </c>
      <c r="U31" s="84">
        <f t="shared" si="13"/>
        <v>957.49919999999997</v>
      </c>
      <c r="V31" s="84">
        <v>281.3</v>
      </c>
      <c r="W31" s="84">
        <v>0</v>
      </c>
      <c r="X31" s="87" t="s">
        <v>63</v>
      </c>
      <c r="Y31" s="87">
        <v>690378.1</v>
      </c>
      <c r="Z31" s="5">
        <f t="shared" si="9"/>
        <v>459.5</v>
      </c>
      <c r="AA31" s="14">
        <f t="shared" si="6"/>
        <v>2972.9649999999997</v>
      </c>
      <c r="AB31" s="87">
        <v>41354238</v>
      </c>
      <c r="AC31" s="87">
        <f t="shared" si="14"/>
        <v>41323678</v>
      </c>
      <c r="AD31" s="5">
        <f t="shared" si="2"/>
        <v>30560</v>
      </c>
      <c r="AE31" s="84">
        <f t="shared" si="10"/>
        <v>10189.162400000001</v>
      </c>
      <c r="AF31" s="84">
        <v>52.7</v>
      </c>
      <c r="AG31" s="84">
        <v>33.299999999999997</v>
      </c>
      <c r="AH31" s="84">
        <v>19.8</v>
      </c>
      <c r="AI31" s="87">
        <f t="shared" si="15"/>
        <v>37411.1</v>
      </c>
      <c r="AJ31" s="88">
        <v>37439.9</v>
      </c>
      <c r="AK31" s="48">
        <f t="shared" si="7"/>
        <v>28.80000000000291</v>
      </c>
      <c r="AL31" s="90">
        <f t="shared" si="3"/>
        <v>8189.1399193928273</v>
      </c>
      <c r="AM31" s="84">
        <f t="shared" si="11"/>
        <v>2730.3820862243597</v>
      </c>
      <c r="AN31" s="5">
        <v>122</v>
      </c>
      <c r="AO31" s="78">
        <f t="shared" si="4"/>
        <v>19321.026600000001</v>
      </c>
    </row>
    <row r="32" spans="1:41" x14ac:dyDescent="0.25">
      <c r="A32" s="79">
        <v>44070</v>
      </c>
      <c r="B32" s="9">
        <v>4431</v>
      </c>
      <c r="C32" s="87">
        <v>3556</v>
      </c>
      <c r="D32" s="87">
        <v>907</v>
      </c>
      <c r="E32" s="87">
        <v>4698</v>
      </c>
      <c r="F32" s="87">
        <v>5289</v>
      </c>
      <c r="G32" s="87">
        <v>3437</v>
      </c>
      <c r="H32" s="87">
        <v>4452</v>
      </c>
      <c r="I32" s="87">
        <v>2610</v>
      </c>
      <c r="J32" s="87">
        <v>7534</v>
      </c>
      <c r="K32" s="87">
        <f t="shared" si="12"/>
        <v>26770</v>
      </c>
      <c r="L32" s="14">
        <f t="shared" si="8"/>
        <v>5354</v>
      </c>
      <c r="M32" s="84">
        <v>158.17099999999999</v>
      </c>
      <c r="N32" s="84">
        <v>0.91</v>
      </c>
      <c r="O32" s="84">
        <v>5.8380000000000001</v>
      </c>
      <c r="P32" s="82">
        <v>70.700999999999993</v>
      </c>
      <c r="Q32" s="84">
        <v>10.590999999999999</v>
      </c>
      <c r="R32" s="84">
        <f t="shared" si="5"/>
        <v>77.448999999999998</v>
      </c>
      <c r="S32" s="84">
        <f t="shared" si="0"/>
        <v>607.20015999999998</v>
      </c>
      <c r="T32" s="84">
        <f t="shared" si="1"/>
        <v>168.762</v>
      </c>
      <c r="U32" s="84">
        <f t="shared" si="13"/>
        <v>1323.0940800000001</v>
      </c>
      <c r="V32" s="84">
        <v>287.2</v>
      </c>
      <c r="W32" s="84">
        <v>0</v>
      </c>
      <c r="X32" s="87" t="s">
        <v>63</v>
      </c>
      <c r="Y32" s="87">
        <v>690851.2</v>
      </c>
      <c r="Z32" s="5">
        <f t="shared" si="9"/>
        <v>473.09999999997672</v>
      </c>
      <c r="AA32" s="14">
        <f t="shared" si="6"/>
        <v>3060.9569999998494</v>
      </c>
      <c r="AB32" s="87">
        <v>41388663</v>
      </c>
      <c r="AC32" s="87">
        <f t="shared" si="14"/>
        <v>41354238</v>
      </c>
      <c r="AD32" s="5">
        <f t="shared" si="2"/>
        <v>34425</v>
      </c>
      <c r="AE32" s="84">
        <f t="shared" si="10"/>
        <v>11477.811375000001</v>
      </c>
      <c r="AF32" s="84">
        <v>61.4</v>
      </c>
      <c r="AG32" s="84">
        <v>36.5</v>
      </c>
      <c r="AH32" s="84">
        <v>20.9</v>
      </c>
      <c r="AI32" s="87">
        <f t="shared" si="15"/>
        <v>37439.9</v>
      </c>
      <c r="AJ32" s="87">
        <v>37470.5</v>
      </c>
      <c r="AK32" s="48">
        <f t="shared" si="7"/>
        <v>30.599999999998545</v>
      </c>
      <c r="AL32" s="90">
        <f t="shared" si="3"/>
        <v>8700.9611643535864</v>
      </c>
      <c r="AM32" s="84">
        <f t="shared" si="11"/>
        <v>2901.030966612951</v>
      </c>
      <c r="AN32" s="5">
        <v>135</v>
      </c>
      <c r="AO32" s="78">
        <f t="shared" si="4"/>
        <v>21215.862454999849</v>
      </c>
    </row>
    <row r="33" spans="1:41" x14ac:dyDescent="0.25">
      <c r="A33" s="79">
        <v>44071</v>
      </c>
      <c r="B33" s="9">
        <v>4707</v>
      </c>
      <c r="C33" s="87">
        <v>3495</v>
      </c>
      <c r="D33" s="87">
        <v>965</v>
      </c>
      <c r="E33" s="87">
        <v>4597</v>
      </c>
      <c r="F33" s="87">
        <v>5231</v>
      </c>
      <c r="G33" s="87">
        <v>3318</v>
      </c>
      <c r="H33" s="87">
        <v>4206</v>
      </c>
      <c r="I33" s="87">
        <v>2571</v>
      </c>
      <c r="J33" s="87">
        <v>7735</v>
      </c>
      <c r="K33" s="87">
        <f t="shared" si="12"/>
        <v>26519</v>
      </c>
      <c r="L33" s="14">
        <f t="shared" si="8"/>
        <v>5303.8</v>
      </c>
      <c r="M33" s="84">
        <v>110.60899999999999</v>
      </c>
      <c r="N33" s="84">
        <v>0.54800000000000004</v>
      </c>
      <c r="O33" s="84">
        <v>6.5860000000000003</v>
      </c>
      <c r="P33" s="82">
        <v>66.555999999999997</v>
      </c>
      <c r="Q33" s="84">
        <v>9.0220000000000002</v>
      </c>
      <c r="R33" s="84">
        <f t="shared" si="5"/>
        <v>73.69</v>
      </c>
      <c r="S33" s="84">
        <f t="shared" si="0"/>
        <v>577.7296</v>
      </c>
      <c r="T33" s="84">
        <f t="shared" si="1"/>
        <v>119.631</v>
      </c>
      <c r="U33" s="84">
        <f t="shared" si="13"/>
        <v>937.90703999999994</v>
      </c>
      <c r="V33" s="84">
        <v>288.8</v>
      </c>
      <c r="W33" s="84">
        <v>0</v>
      </c>
      <c r="X33" s="87" t="s">
        <v>63</v>
      </c>
      <c r="Y33" s="87">
        <v>691355.1</v>
      </c>
      <c r="Z33" s="5">
        <f t="shared" si="9"/>
        <v>503.90000000002328</v>
      </c>
      <c r="AA33" s="14">
        <f t="shared" si="6"/>
        <v>3260.2330000001507</v>
      </c>
      <c r="AB33" s="87">
        <v>41419700</v>
      </c>
      <c r="AC33" s="87">
        <f t="shared" si="14"/>
        <v>41388663</v>
      </c>
      <c r="AD33" s="5">
        <f t="shared" si="2"/>
        <v>31037</v>
      </c>
      <c r="AE33" s="84">
        <f t="shared" si="10"/>
        <v>10348.201355000001</v>
      </c>
      <c r="AF33" s="84">
        <v>54.5</v>
      </c>
      <c r="AG33" s="84">
        <v>32.5</v>
      </c>
      <c r="AH33" s="84">
        <v>20.5</v>
      </c>
      <c r="AI33" s="87">
        <f t="shared" si="15"/>
        <v>37470.5</v>
      </c>
      <c r="AJ33" s="88">
        <v>37499</v>
      </c>
      <c r="AK33" s="48">
        <f t="shared" si="7"/>
        <v>28.5</v>
      </c>
      <c r="AL33" s="90">
        <f t="shared" si="3"/>
        <v>8103.8363785649999</v>
      </c>
      <c r="AM33" s="84">
        <f t="shared" si="11"/>
        <v>2701.9406061592495</v>
      </c>
      <c r="AN33" s="5">
        <v>118</v>
      </c>
      <c r="AO33" s="78">
        <f t="shared" si="4"/>
        <v>19850.141395000152</v>
      </c>
    </row>
    <row r="34" spans="1:41" x14ac:dyDescent="0.25">
      <c r="A34" s="79">
        <v>44072</v>
      </c>
      <c r="B34" s="9">
        <v>4394</v>
      </c>
      <c r="C34" s="87">
        <v>3586</v>
      </c>
      <c r="D34" s="87">
        <v>983</v>
      </c>
      <c r="E34" s="87">
        <v>4758</v>
      </c>
      <c r="F34" s="87">
        <v>5198</v>
      </c>
      <c r="G34" s="87">
        <v>3216</v>
      </c>
      <c r="H34" s="87">
        <v>4318</v>
      </c>
      <c r="I34" s="87">
        <v>2641</v>
      </c>
      <c r="J34" s="87">
        <v>7388</v>
      </c>
      <c r="K34" s="87">
        <f t="shared" si="12"/>
        <v>26453</v>
      </c>
      <c r="L34" s="14">
        <f t="shared" si="8"/>
        <v>5290.6</v>
      </c>
      <c r="M34" s="84">
        <v>143.91499999999999</v>
      </c>
      <c r="N34" s="84">
        <v>0.92500000000000004</v>
      </c>
      <c r="O34" s="84">
        <v>6.8029999999999999</v>
      </c>
      <c r="P34" s="82">
        <v>58.814</v>
      </c>
      <c r="Q34" s="84">
        <v>10.835000000000001</v>
      </c>
      <c r="R34" s="84">
        <f t="shared" si="5"/>
        <v>66.542000000000002</v>
      </c>
      <c r="S34" s="84">
        <f t="shared" si="0"/>
        <v>521.68928000000005</v>
      </c>
      <c r="T34" s="84">
        <f t="shared" si="1"/>
        <v>154.75</v>
      </c>
      <c r="U34" s="84">
        <f t="shared" si="13"/>
        <v>1213.24</v>
      </c>
      <c r="V34" s="84">
        <v>274.10000000000002</v>
      </c>
      <c r="W34" s="84">
        <v>0</v>
      </c>
      <c r="X34" s="87" t="s">
        <v>63</v>
      </c>
      <c r="Y34" s="87">
        <v>691829.7</v>
      </c>
      <c r="Z34" s="5">
        <f t="shared" si="9"/>
        <v>474.59999999997672</v>
      </c>
      <c r="AA34" s="14">
        <f t="shared" si="6"/>
        <v>3070.6619999998493</v>
      </c>
      <c r="AB34" s="87">
        <v>41451218</v>
      </c>
      <c r="AC34" s="87">
        <f t="shared" si="14"/>
        <v>41419700</v>
      </c>
      <c r="AD34" s="5">
        <f t="shared" si="2"/>
        <v>31518</v>
      </c>
      <c r="AE34" s="84">
        <f t="shared" si="10"/>
        <v>10508.573970000001</v>
      </c>
      <c r="AF34" s="84">
        <v>53.9</v>
      </c>
      <c r="AG34" s="84">
        <v>32.9</v>
      </c>
      <c r="AH34" s="84">
        <v>20.3</v>
      </c>
      <c r="AI34" s="87">
        <f t="shared" si="15"/>
        <v>37499</v>
      </c>
      <c r="AJ34" s="88">
        <v>37528.6</v>
      </c>
      <c r="AK34" s="48">
        <f t="shared" si="7"/>
        <v>29.599999999998545</v>
      </c>
      <c r="AL34" s="90">
        <f t="shared" si="3"/>
        <v>8416.6160282635865</v>
      </c>
      <c r="AM34" s="84">
        <f t="shared" si="11"/>
        <v>2806.226033063504</v>
      </c>
      <c r="AN34" s="5">
        <v>82</v>
      </c>
      <c r="AO34" s="78">
        <f t="shared" si="4"/>
        <v>20083.075969999853</v>
      </c>
    </row>
    <row r="35" spans="1:41" x14ac:dyDescent="0.25">
      <c r="A35" s="79">
        <v>44073</v>
      </c>
      <c r="B35" s="9">
        <v>4596</v>
      </c>
      <c r="C35" s="87">
        <v>3208</v>
      </c>
      <c r="D35" s="87">
        <v>884</v>
      </c>
      <c r="E35" s="87">
        <v>4682</v>
      </c>
      <c r="F35" s="87">
        <v>5089</v>
      </c>
      <c r="G35" s="87">
        <v>3023</v>
      </c>
      <c r="H35" s="87">
        <v>4102</v>
      </c>
      <c r="I35" s="87">
        <v>2593</v>
      </c>
      <c r="J35" s="87">
        <v>7268</v>
      </c>
      <c r="K35" s="87">
        <f t="shared" ref="K35:K36" si="16">SUM(B35:H35)</f>
        <v>25584</v>
      </c>
      <c r="L35" s="14">
        <f t="shared" ref="L35:L36" si="17">K35*0.2</f>
        <v>5116.8</v>
      </c>
      <c r="M35" s="84">
        <v>112.02800000000001</v>
      </c>
      <c r="N35" s="84">
        <v>1.2130000000000001</v>
      </c>
      <c r="O35" s="84">
        <v>6.6</v>
      </c>
      <c r="P35" s="82">
        <v>60.944000000000003</v>
      </c>
      <c r="Q35" s="84">
        <v>10.755000000000001</v>
      </c>
      <c r="R35" s="84">
        <f t="shared" ref="R35:R36" si="18">N35+O35+P35</f>
        <v>68.757000000000005</v>
      </c>
      <c r="S35" s="84">
        <f t="shared" ref="S35:S36" si="19">(N35+O35+P35)*7.84</f>
        <v>539.05488000000003</v>
      </c>
      <c r="T35" s="84">
        <f t="shared" ref="T35:T36" si="20">M35+Q35</f>
        <v>122.783</v>
      </c>
      <c r="U35" s="84">
        <f t="shared" ref="U35:U36" si="21">T35*7.84</f>
        <v>962.61871999999994</v>
      </c>
      <c r="V35" s="84">
        <v>276.89999999999998</v>
      </c>
      <c r="W35" s="84">
        <v>0</v>
      </c>
      <c r="X35" s="87" t="s">
        <v>103</v>
      </c>
      <c r="Y35" s="87">
        <v>692291.2</v>
      </c>
      <c r="Z35" s="5">
        <f t="shared" ref="Z35:Z36" si="22">IF((Y35-Y34&lt;0), "0",Y35-Y34)</f>
        <v>461.5</v>
      </c>
      <c r="AA35" s="14">
        <f t="shared" ref="AA35:AA36" si="23">Z35*6.47</f>
        <v>2985.9049999999997</v>
      </c>
      <c r="AB35" s="87">
        <v>41483700</v>
      </c>
      <c r="AC35" s="87">
        <f t="shared" si="14"/>
        <v>41451218</v>
      </c>
      <c r="AD35" s="5">
        <f t="shared" si="2"/>
        <v>32482</v>
      </c>
      <c r="AE35" s="84">
        <f t="shared" si="10"/>
        <v>10829.98603</v>
      </c>
      <c r="AF35" s="84">
        <v>57</v>
      </c>
      <c r="AG35" s="84">
        <v>31.8</v>
      </c>
      <c r="AH35" s="84">
        <v>20.9</v>
      </c>
      <c r="AI35" s="87">
        <f t="shared" si="15"/>
        <v>37528.6</v>
      </c>
      <c r="AJ35" s="88">
        <v>37558.5</v>
      </c>
      <c r="AK35" s="48">
        <f t="shared" ref="AK35:AK36" si="24">IF((AJ35-AI35)&lt;0, "0",AJ35-AI35)</f>
        <v>29.900000000001455</v>
      </c>
      <c r="AL35" s="90">
        <f t="shared" ref="AL35:AL36" si="25">AK35*(284.34513609)</f>
        <v>8501.919569091413</v>
      </c>
      <c r="AM35" s="84">
        <f t="shared" ref="AM35:AM36" si="26">AL35*0.333415</f>
        <v>2834.6675131286138</v>
      </c>
      <c r="AN35" s="156">
        <v>94</v>
      </c>
      <c r="AO35" s="78">
        <f t="shared" ref="AO35" si="27">L35+U35+AA35+AE35</f>
        <v>19895.30975</v>
      </c>
    </row>
    <row r="36" spans="1:41" ht="21.75" thickBot="1" x14ac:dyDescent="0.3">
      <c r="A36" s="92">
        <v>44074</v>
      </c>
      <c r="B36" s="159">
        <v>5257</v>
      </c>
      <c r="C36" s="93">
        <v>3197</v>
      </c>
      <c r="D36" s="93">
        <v>886</v>
      </c>
      <c r="E36" s="93">
        <v>4583</v>
      </c>
      <c r="F36" s="93">
        <v>4977</v>
      </c>
      <c r="G36" s="93">
        <v>3143</v>
      </c>
      <c r="H36" s="93">
        <v>4275</v>
      </c>
      <c r="I36" s="93">
        <v>2634</v>
      </c>
      <c r="J36" s="93">
        <v>7502</v>
      </c>
      <c r="K36" s="93">
        <f t="shared" si="16"/>
        <v>26318</v>
      </c>
      <c r="L36" s="94">
        <f t="shared" si="17"/>
        <v>5263.6</v>
      </c>
      <c r="M36" s="95">
        <v>107.352</v>
      </c>
      <c r="N36" s="95">
        <v>1.034</v>
      </c>
      <c r="O36" s="95">
        <v>6.7610000000000001</v>
      </c>
      <c r="P36" s="96">
        <v>61.320999999999998</v>
      </c>
      <c r="Q36" s="95">
        <v>10.723000000000001</v>
      </c>
      <c r="R36" s="95">
        <f t="shared" si="18"/>
        <v>69.116</v>
      </c>
      <c r="S36" s="95">
        <f t="shared" si="19"/>
        <v>541.86943999999994</v>
      </c>
      <c r="T36" s="95">
        <f t="shared" si="20"/>
        <v>118.075</v>
      </c>
      <c r="U36" s="95">
        <f t="shared" si="21"/>
        <v>925.70799999999997</v>
      </c>
      <c r="V36" s="95">
        <v>275.8</v>
      </c>
      <c r="W36" s="95">
        <v>0</v>
      </c>
      <c r="X36" s="93" t="s">
        <v>104</v>
      </c>
      <c r="Y36" s="93">
        <v>692769.6</v>
      </c>
      <c r="Z36" s="97">
        <f t="shared" si="22"/>
        <v>478.40000000002328</v>
      </c>
      <c r="AA36" s="94">
        <f t="shared" si="23"/>
        <v>3095.2480000001506</v>
      </c>
      <c r="AB36" s="93">
        <v>41514385</v>
      </c>
      <c r="AC36" s="93">
        <f t="shared" si="14"/>
        <v>41483700</v>
      </c>
      <c r="AD36" s="97">
        <f t="shared" si="2"/>
        <v>30685</v>
      </c>
      <c r="AE36" s="95">
        <f t="shared" si="10"/>
        <v>10230.839275</v>
      </c>
      <c r="AF36" s="95">
        <v>55</v>
      </c>
      <c r="AG36" s="95">
        <v>30.8</v>
      </c>
      <c r="AH36" s="95">
        <v>19.899999999999999</v>
      </c>
      <c r="AI36" s="93">
        <f t="shared" si="15"/>
        <v>37558.5</v>
      </c>
      <c r="AJ36" s="98">
        <v>37586.800000000003</v>
      </c>
      <c r="AK36" s="99">
        <f t="shared" si="24"/>
        <v>28.30000000000291</v>
      </c>
      <c r="AL36" s="100">
        <f t="shared" si="25"/>
        <v>8046.9673513478274</v>
      </c>
      <c r="AM36" s="95">
        <f t="shared" si="26"/>
        <v>2682.9796194496362</v>
      </c>
      <c r="AN36" s="97">
        <v>102</v>
      </c>
      <c r="AO36" s="101">
        <f>L36+U36+AA36+AE36</f>
        <v>19515.395275000148</v>
      </c>
    </row>
    <row r="37" spans="1:41" x14ac:dyDescent="0.25">
      <c r="A37" s="76"/>
      <c r="D37" s="6">
        <f>SUM(D6:D36)</f>
        <v>27606</v>
      </c>
      <c r="E37" s="6" t="s">
        <v>93</v>
      </c>
      <c r="G37" s="6">
        <f t="shared" ref="G37:L37" si="28">SUM(G6:G36)</f>
        <v>104698</v>
      </c>
      <c r="H37" s="6">
        <f t="shared" si="28"/>
        <v>212496</v>
      </c>
      <c r="I37" s="6">
        <f t="shared" si="28"/>
        <v>79627</v>
      </c>
      <c r="J37" s="6">
        <f t="shared" si="28"/>
        <v>228178</v>
      </c>
      <c r="K37" s="6">
        <f t="shared" si="28"/>
        <v>898988</v>
      </c>
      <c r="L37" s="15">
        <f t="shared" si="28"/>
        <v>179797.59999999998</v>
      </c>
      <c r="R37" s="16">
        <f>SUM(R6:R36)</f>
        <v>2175.5340000000001</v>
      </c>
      <c r="T37" s="16">
        <f>SUM(T6:T36)</f>
        <v>4236.6859999999997</v>
      </c>
      <c r="U37" s="16">
        <f t="shared" si="13"/>
        <v>33215.618239999996</v>
      </c>
      <c r="Z37" s="17">
        <f>SUM(Z6:Z36)</f>
        <v>13676.79999999993</v>
      </c>
      <c r="AA37" s="17">
        <f>SUM(AA6:AA36)</f>
        <v>88488.895999999542</v>
      </c>
      <c r="AD37" s="17">
        <f>SUM(AD6:AD36)</f>
        <v>1076893</v>
      </c>
      <c r="AE37" s="16">
        <f>AD37*0.334569</f>
        <v>360295.01411699998</v>
      </c>
      <c r="AF37" s="16">
        <f>SUM(AF6:AF36)</f>
        <v>1796.4</v>
      </c>
      <c r="AG37" s="16">
        <f>SUM(AG6:AG36)</f>
        <v>1445.8999999999999</v>
      </c>
      <c r="AH37" s="16">
        <f>SUM(AH6:AH36)</f>
        <v>592.09999999999991</v>
      </c>
      <c r="AK37" s="42">
        <f>SUM(AK6:AK36)</f>
        <v>900.70000000000437</v>
      </c>
      <c r="AL37" s="42">
        <f>SUM(AL6:AL36)</f>
        <v>256109.66407626422</v>
      </c>
      <c r="AM37" s="42">
        <f>SUM(AM6:AM36)</f>
        <v>85390.803647987632</v>
      </c>
      <c r="AN37" s="42">
        <f>SUM(AN6:AN36)</f>
        <v>3251</v>
      </c>
      <c r="AO37" s="42">
        <f>SUM(AO6:AO36)</f>
        <v>660554.39383499953</v>
      </c>
    </row>
    <row r="38" spans="1:41" x14ac:dyDescent="0.25">
      <c r="D38" s="6" t="e">
        <f>#REF!*24</f>
        <v>#REF!</v>
      </c>
      <c r="E38" s="6" t="s">
        <v>1</v>
      </c>
      <c r="R38" s="16">
        <v>7.84</v>
      </c>
      <c r="T38" s="16" t="s">
        <v>99</v>
      </c>
      <c r="U38" s="16">
        <f>U37-R39</f>
        <v>16159.431679999994</v>
      </c>
    </row>
    <row r="39" spans="1:41" x14ac:dyDescent="0.25">
      <c r="D39" s="6" t="e">
        <f>D38*31</f>
        <v>#REF!</v>
      </c>
      <c r="E39" s="6" t="s">
        <v>2</v>
      </c>
      <c r="F39" s="6" t="s">
        <v>94</v>
      </c>
      <c r="G39" s="6" t="e">
        <f>D39*0.2</f>
        <v>#REF!</v>
      </c>
      <c r="R39" s="16">
        <f>R37*R38</f>
        <v>17056.186560000002</v>
      </c>
      <c r="U39" s="16">
        <f>U38/R38</f>
        <v>2061.1519999999991</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2020-09-02T06:36:07Z</dcterms:modified>
</cp:coreProperties>
</file>