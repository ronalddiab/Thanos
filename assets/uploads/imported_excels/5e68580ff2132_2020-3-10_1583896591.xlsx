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X13" i="7" l="1"/>
  <c r="BH13" i="7"/>
  <c r="BT10" i="7" l="1"/>
  <c r="AJ8" i="7" l="1"/>
  <c r="L8" i="7"/>
  <c r="CL7" i="7" l="1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I6" i="6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AG11" i="6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AO11" i="6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U6" i="6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<sst xmlns="http://schemas.openxmlformats.org/spreadsheetml/2006/main" count="296" uniqueCount="138">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</sst>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2020</v>
      </c>
      <c r="E2" s="12">
        <f>Submetering!E2+Submetering!F2+Submetering!G2+Submetering!H2-Submetering!AV2</f>
        <v>11200.000000000266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93.1</v>
      </c>
      <c r="J2" s="11">
        <v>10.487297712684205</v>
      </c>
      <c r="K2" s="13">
        <f>'FS Desroches Daily'!CN4</f>
        <v>40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2020</v>
      </c>
      <c r="E3" s="12">
        <f>Submetering!E3+Submetering!F3+Submetering!G3+Submetering!H3-Submetering!AV3</f>
        <v>11630.000000000497</v>
      </c>
      <c r="F3" s="11">
        <f>F2</f>
        <v>0.58765030286592534</v>
      </c>
      <c r="G3" s="12">
        <f>(Submetering!AX3+Submetering!AY3+Submetering!AZ3+Submetering!BA3+Submetering!BB3)</f>
        <v>31.135499999999997</v>
      </c>
      <c r="H3" s="11">
        <f>H2</f>
        <v>0.99</v>
      </c>
      <c r="I3" s="12">
        <f>'FS Desroches Daily'!CM5</f>
        <v>83</v>
      </c>
      <c r="J3" s="11">
        <f>J2</f>
        <v>10.487297712684205</v>
      </c>
      <c r="K3" s="13">
        <f>'FS Desroches Daily'!CN5</f>
        <v>39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2020</v>
      </c>
      <c r="E4" s="12">
        <f>Submetering!E4+Submetering!F4+Submetering!G4+Submetering!H4-Submetering!AV4</f>
        <v>11189.999999999163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86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2020</v>
      </c>
      <c r="E5" s="12">
        <f>Submetering!E5+Submetering!F5+Submetering!G5+Submetering!H5-Submetering!AV5</f>
        <v>11630.000000000417</v>
      </c>
      <c r="F5" s="11">
        <f t="shared" si="1"/>
        <v>0.58765030286592534</v>
      </c>
      <c r="G5" s="12">
        <f>(Submetering!AX5+Submetering!AY5+Submetering!AZ5+Submetering!BA5+Submetering!BB5)</f>
        <v>27.472499999999997</v>
      </c>
      <c r="H5" s="11">
        <f t="shared" si="2"/>
        <v>0.99</v>
      </c>
      <c r="I5" s="12">
        <f>'FS Desroches Daily'!CM7</f>
        <v>103</v>
      </c>
      <c r="J5" s="11">
        <f t="shared" si="3"/>
        <v>10.487297712684205</v>
      </c>
      <c r="K5" s="13">
        <f>'FS Desroches Daily'!CN7</f>
        <v>44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2020</v>
      </c>
      <c r="E6" s="12">
        <f>Submetering!E6+Submetering!F6+Submetering!G6+Submetering!H6-Submetering!AV6</f>
        <v>10429.999999999964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87.2</v>
      </c>
      <c r="J6" s="11">
        <f t="shared" si="3"/>
        <v>10.487297712684205</v>
      </c>
      <c r="K6" s="13">
        <f>'FS Desroches Daily'!CN8</f>
        <v>30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2020</v>
      </c>
      <c r="E7" s="12">
        <f>Submetering!E7+Submetering!F7+Submetering!G7+Submetering!H7-Submetering!AV7</f>
        <v>11279.999999999938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88.9</v>
      </c>
      <c r="J7" s="11">
        <f t="shared" si="3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2020</v>
      </c>
      <c r="E8" s="12">
        <f>Submetering!E8+Submetering!F8+Submetering!G8+Submetering!H8-Submetering!AV8</f>
        <v>12719.99999999994</v>
      </c>
      <c r="F8" s="11">
        <f t="shared" si="1"/>
        <v>0.58765030286592534</v>
      </c>
      <c r="G8" s="12">
        <f>(Submetering!AX8+Submetering!AY8+Submetering!AZ8+Submetering!BA8+Submetering!BB8)</f>
        <v>27.4725</v>
      </c>
      <c r="H8" s="11">
        <f t="shared" si="2"/>
        <v>0.99</v>
      </c>
      <c r="I8" s="12">
        <f>'FS Desroches Daily'!CM10</f>
        <v>93.8</v>
      </c>
      <c r="J8" s="11">
        <f t="shared" si="3"/>
        <v>10.487297712684205</v>
      </c>
      <c r="K8" s="13">
        <f>'FS Desroches Daily'!CN10</f>
        <v>35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2020</v>
      </c>
      <c r="E9" s="12">
        <f>Submetering!E9+Submetering!F9+Submetering!G9+Submetering!H9-Submetering!AV9</f>
        <v>11190.000000000275</v>
      </c>
      <c r="F9" s="11">
        <f t="shared" si="1"/>
        <v>0.58765030286592534</v>
      </c>
      <c r="G9" s="12">
        <f>(Submetering!AX9+Submetering!AY9+Submetering!AZ9+Submetering!BA9+Submetering!BB9)</f>
        <v>29.303999999999998</v>
      </c>
      <c r="H9" s="11">
        <f t="shared" si="2"/>
        <v>0.99</v>
      </c>
      <c r="I9" s="12">
        <f>'FS Desroches Daily'!CM11</f>
        <v>80.900000000000006</v>
      </c>
      <c r="J9" s="11">
        <f t="shared" si="3"/>
        <v>10.487297712684205</v>
      </c>
      <c r="K9" s="13">
        <f>'FS Desroches Daily'!CN11</f>
        <v>35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2020</v>
      </c>
      <c r="E10" s="12">
        <f>Submetering!E10+Submetering!F10+Submetering!G10+Submetering!H10-Submetering!AV10</f>
        <v>11100.000000000055</v>
      </c>
      <c r="F10" s="11">
        <f t="shared" si="1"/>
        <v>0.58765030286592534</v>
      </c>
      <c r="G10" s="12">
        <f>(Submetering!AX10+Submetering!AY10+Submetering!AZ10+Submetering!BA10+Submetering!BB10)</f>
        <v>27.472499999999997</v>
      </c>
      <c r="H10" s="11">
        <f t="shared" si="2"/>
        <v>0.99</v>
      </c>
      <c r="I10" s="12">
        <f>'FS Desroches Daily'!CM12</f>
        <v>95.9</v>
      </c>
      <c r="J10" s="11">
        <f t="shared" si="3"/>
        <v>10.487297712684205</v>
      </c>
      <c r="K10" s="13">
        <f>'FS Desroches Daily'!CN12</f>
        <v>36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2020</v>
      </c>
      <c r="E11" s="12">
        <f>Submetering!E11+Submetering!F11+Submetering!G11+Submetering!H11-Submetering!AV11</f>
        <v>10749.999999999542</v>
      </c>
      <c r="F11" s="11">
        <f t="shared" si="1"/>
        <v>0.58765030286592534</v>
      </c>
      <c r="G11" s="12">
        <f>(Submetering!AX11+Submetering!AY11+Submetering!AZ11+Submetering!BA11+Submetering!BB11)</f>
        <v>23.809499999999996</v>
      </c>
      <c r="H11" s="11">
        <f t="shared" si="2"/>
        <v>0.99</v>
      </c>
      <c r="I11" s="12">
        <f>'FS Desroches Daily'!CM13</f>
        <v>101.2</v>
      </c>
      <c r="J11" s="11">
        <f t="shared" si="3"/>
        <v>10.487297712684205</v>
      </c>
      <c r="K11" s="13">
        <f>'FS Desroches Daily'!CN13</f>
        <v>42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2020</v>
      </c>
      <c r="E12" s="12" t="e">
        <f>Submetering!E12+Submetering!F12+Submetering!G12+Submetering!H12-Submetering!AV12</f>
        <v>#VALUE!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3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7" sqref="C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3</v>
      </c>
      <c r="D2" s="31">
        <v>2020</v>
      </c>
      <c r="E2" s="35">
        <f>'FS Desroches Daily'!D4</f>
        <v>2200.0000000002019</v>
      </c>
      <c r="F2" s="36">
        <f>'FS Desroches Daily'!F4</f>
        <v>4399.9999999999591</v>
      </c>
      <c r="G2" s="35">
        <f>'FS Desroches Daily'!H4</f>
        <v>3400.0000000000696</v>
      </c>
      <c r="H2" s="36">
        <f>'FS Desroches Daily'!J4</f>
        <v>1700.0000000000348</v>
      </c>
      <c r="I2" s="35">
        <f>'FS Desroches Daily'!L4</f>
        <v>2299.9999999999686</v>
      </c>
      <c r="J2" s="36">
        <f>'FS Desroches Daily'!N4</f>
        <v>2199.9999999999795</v>
      </c>
      <c r="K2" s="13">
        <f>'FS Desroches Daily'!P4</f>
        <v>19</v>
      </c>
      <c r="L2" s="35">
        <f>'FS Desroches Daily'!R4</f>
        <v>9</v>
      </c>
      <c r="M2" s="35">
        <f>'FS Desroches Daily'!T4</f>
        <v>1635</v>
      </c>
      <c r="N2" s="35">
        <f>'FS Desroches Daily'!V4</f>
        <v>524</v>
      </c>
      <c r="O2" s="35">
        <f>'FS Desroches Daily'!X4</f>
        <v>529.99999999997272</v>
      </c>
      <c r="P2" s="35">
        <f>'FS Desroches Daily'!Z4</f>
        <v>3899.9999999997926</v>
      </c>
      <c r="Q2" s="35">
        <f>'FS Desroches Daily'!AB4</f>
        <v>620.00000000000455</v>
      </c>
      <c r="R2" s="35">
        <f>'FS Desroches Daily'!AD4</f>
        <v>469.99999999997044</v>
      </c>
      <c r="S2" s="35">
        <f>'FS Desroches Daily'!AF4</f>
        <v>950.00000000004547</v>
      </c>
      <c r="T2" s="35">
        <f>'FS Desroches Daily'!AH4</f>
        <v>2.0999999999999091</v>
      </c>
      <c r="U2" s="39">
        <f>'FS Desroches Daily'!AJ4</f>
        <v>339.99999999997499</v>
      </c>
      <c r="V2" s="39">
        <f>'FS Desroches Daily'!AL4</f>
        <v>0.23999999999998067</v>
      </c>
      <c r="W2" s="39">
        <f>'FS Desroches Daily'!AN4</f>
        <v>0.25999999999999091</v>
      </c>
      <c r="X2" s="39">
        <f>'FS Desroches Daily'!AP4</f>
        <v>0.17000000000001592</v>
      </c>
      <c r="Y2" s="39">
        <f>'FS Desroches Daily'!AR4</f>
        <v>219.99999999999886</v>
      </c>
      <c r="Z2" s="39">
        <f>'FS Desroches Daily'!AT4</f>
        <v>209.99999999997954</v>
      </c>
      <c r="AA2" s="39">
        <f>'FS Desroches Daily'!AT4</f>
        <v>209.99999999997954</v>
      </c>
      <c r="AB2" s="39">
        <f>'FS Desroches Daily'!AV4</f>
        <v>210.00000000000796</v>
      </c>
      <c r="AC2" s="39">
        <f>'FS Desroches Daily'!AZ4</f>
        <v>149.99999999997726</v>
      </c>
      <c r="AD2" s="39">
        <f>'FS Desroches Daily'!BB4</f>
        <v>30.000000000029559</v>
      </c>
      <c r="AE2" s="39">
        <f>'FS Desroches Daily'!BD4</f>
        <v>9.9999999999909051</v>
      </c>
      <c r="AF2" s="35">
        <f>'FS Desroches Daily'!BF4</f>
        <v>49</v>
      </c>
      <c r="AG2" s="36">
        <f>'FS Desroches Daily'!BH4</f>
        <v>30.000000000001137</v>
      </c>
      <c r="AH2" s="36">
        <f>'FS Desroches Daily'!BJ4</f>
        <v>40.000000000020464</v>
      </c>
      <c r="AI2" s="36">
        <f>'FS Desroches Daily'!BL4</f>
        <v>40.000000000020464</v>
      </c>
      <c r="AJ2" s="36">
        <f>'FS Desroches Daily'!BN4</f>
        <v>39.999999999992042</v>
      </c>
      <c r="AK2" s="36">
        <f>'FS Desroches Daily'!BP4</f>
        <v>40.000000000020464</v>
      </c>
      <c r="AL2" s="36">
        <f>'FS Desroches Daily'!BR4</f>
        <v>51</v>
      </c>
      <c r="AM2" s="36">
        <f>'FS Desroches Daily'!BT4</f>
        <v>39.999999999992042</v>
      </c>
      <c r="AN2" s="36">
        <f>'FS Desroches Daily'!BV4</f>
        <v>41</v>
      </c>
      <c r="AO2" s="36">
        <f>'FS Desroches Daily'!BX4</f>
        <v>30.000000000001137</v>
      </c>
      <c r="AP2" s="36">
        <f>'FS Desroches Daily'!BZ4</f>
        <v>61</v>
      </c>
      <c r="AQ2" s="35">
        <f>'FS Desroches Daily'!CB4</f>
        <v>40</v>
      </c>
      <c r="AR2" s="35">
        <f>'FS Desroches Daily'!CD4</f>
        <v>13.199999999998909</v>
      </c>
      <c r="AS2" s="35">
        <f>'FS Desroches Daily'!CF4</f>
        <v>12.300000000000182</v>
      </c>
      <c r="AT2" s="35">
        <f>'FS Desroches Daily'!CH4</f>
        <v>18.5</v>
      </c>
      <c r="AU2" s="35">
        <f>'FS Desroches Daily'!CJ4</f>
        <v>289</v>
      </c>
      <c r="AV2" s="35">
        <f>'FS Desroches Daily'!CL4</f>
        <v>500</v>
      </c>
      <c r="AW2" s="35">
        <f>'FS Desroches Daily'!CM4</f>
        <v>93.1</v>
      </c>
      <c r="AX2" s="35">
        <f>IF(LPG!F9-LPG!F8&lt;0,"0",(LPG!F9-LPG!F8)*1.8315)</f>
        <v>14.651999999999999</v>
      </c>
      <c r="AY2" s="35">
        <f>IF(LPG!H9-LPG!H8&lt;0,"0",(LPG!H9-LPG!H8)*1.8315)</f>
        <v>3.6629999999999998</v>
      </c>
      <c r="AZ2" s="35">
        <f>IF(LPG!J9-LPG!J8&lt;0,"0",(LPG!J9-LPG!J8)*1.8315)</f>
        <v>0</v>
      </c>
      <c r="BA2" s="35">
        <f>IF(LPG!M9-LPG!M8&lt;0,"0",(LPG!M9-LPG!M8)*1.8315)</f>
        <v>5.4944999999999995</v>
      </c>
      <c r="BB2" s="35">
        <f>IF(LPG!Q9-LPG!Q8&lt;0,"0",(LPG!Q9-LPG!Q8)*1.8315)</f>
        <v>3.6629999999999998</v>
      </c>
      <c r="BC2" s="13">
        <f>'FS Desroches Daily'!CN4</f>
        <v>40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3</v>
      </c>
      <c r="D3" s="31">
        <v>2020</v>
      </c>
      <c r="E3" s="35">
        <f>'FS Desroches Daily'!D5</f>
        <v>2799.9999999999136</v>
      </c>
      <c r="F3" s="36">
        <f>'FS Desroches Daily'!F5</f>
        <v>4200.0000000004256</v>
      </c>
      <c r="G3" s="35">
        <f>'FS Desroches Daily'!H5</f>
        <v>3400.0000000000696</v>
      </c>
      <c r="H3" s="36">
        <f>'FS Desroches Daily'!J5</f>
        <v>1800.0000000000239</v>
      </c>
      <c r="I3" s="35">
        <f>'FS Desroches Daily'!L5</f>
        <v>2400.0000000001796</v>
      </c>
      <c r="J3" s="36">
        <f>'FS Desroches Daily'!N5</f>
        <v>2199.9999999999795</v>
      </c>
      <c r="K3" s="13">
        <f>'FS Desroches Daily'!P5</f>
        <v>18</v>
      </c>
      <c r="L3" s="35">
        <f>'FS Desroches Daily'!R5</f>
        <v>10</v>
      </c>
      <c r="M3" s="35">
        <f>'FS Desroches Daily'!T5</f>
        <v>1680</v>
      </c>
      <c r="N3" s="35">
        <f>'FS Desroches Daily'!V5</f>
        <v>567</v>
      </c>
      <c r="O3" s="35">
        <f>'FS Desroches Daily'!X6</f>
        <v>570.00000000005002</v>
      </c>
      <c r="P3" s="35">
        <f>'FS Desroches Daily'!Z5</f>
        <v>3400.0000000000696</v>
      </c>
      <c r="Q3" s="35">
        <f>'FS Desroches Daily'!AB5</f>
        <v>569.99999999999318</v>
      </c>
      <c r="R3" s="35">
        <f>'FS Desroches Daily'!AD5</f>
        <v>480.00000000001819</v>
      </c>
      <c r="S3" s="35">
        <f>'FS Desroches Daily'!AF5</f>
        <v>899.99999999997726</v>
      </c>
      <c r="T3" s="35">
        <f>'FS Desroches Daily'!AH5</f>
        <v>2.2000000000000455</v>
      </c>
      <c r="U3" s="39">
        <f>'FS Desroches Daily'!AJ5</f>
        <v>520.00000000003865</v>
      </c>
      <c r="V3" s="39">
        <f>'FS Desroches Daily'!AL5</f>
        <v>0.24000000000000909</v>
      </c>
      <c r="W3" s="39">
        <f>'FS Desroches Daily'!AN5</f>
        <v>0.28999999999999204</v>
      </c>
      <c r="X3" s="39">
        <f>'FS Desroches Daily'!AP5</f>
        <v>0.19999999999998863</v>
      </c>
      <c r="Y3" s="39">
        <f>'FS Desroches Daily'!AR5</f>
        <v>259.99999999999091</v>
      </c>
      <c r="Z3" s="39">
        <f>'FS Desroches Daily'!AT5</f>
        <v>250</v>
      </c>
      <c r="AA3" s="39">
        <f>'FS Desroches Daily'!AT5</f>
        <v>250</v>
      </c>
      <c r="AB3" s="39">
        <f>'FS Desroches Daily'!AV5</f>
        <v>259.99999999999091</v>
      </c>
      <c r="AC3" s="39">
        <f>'FS Desroches Daily'!AZ5</f>
        <v>180.00000000000682</v>
      </c>
      <c r="AD3" s="39">
        <f>'FS Desroches Daily'!BB5</f>
        <v>60.000000000002274</v>
      </c>
      <c r="AE3" s="39">
        <f>'FS Desroches Daily'!BD5</f>
        <v>9.9999999999909051</v>
      </c>
      <c r="AF3" s="35">
        <f>'FS Desroches Daily'!BF5</f>
        <v>35</v>
      </c>
      <c r="AG3" s="36">
        <f>'FS Desroches Daily'!BH5</f>
        <v>39.999999999992042</v>
      </c>
      <c r="AH3" s="36">
        <f>'FS Desroches Daily'!BJ5</f>
        <v>60.000000000002274</v>
      </c>
      <c r="AI3" s="36">
        <f>'FS Desroches Daily'!BL5</f>
        <v>39.999999999992042</v>
      </c>
      <c r="AJ3" s="36">
        <f>'FS Desroches Daily'!BN5</f>
        <v>40.000000000020464</v>
      </c>
      <c r="AK3" s="36">
        <f>'FS Desroches Daily'!BP5</f>
        <v>60.000000000002274</v>
      </c>
      <c r="AL3" s="36">
        <f>'FS Desroches Daily'!BR5</f>
        <v>50</v>
      </c>
      <c r="AM3" s="36">
        <f>'FS Desroches Daily'!BT5</f>
        <v>39.999999999992042</v>
      </c>
      <c r="AN3" s="36">
        <f>'FS Desroches Daily'!BV5</f>
        <v>42</v>
      </c>
      <c r="AO3" s="36">
        <f>'FS Desroches Daily'!BX5</f>
        <v>49.999999999982947</v>
      </c>
      <c r="AP3" s="36">
        <f>'FS Desroches Daily'!BZ5</f>
        <v>61</v>
      </c>
      <c r="AQ3" s="35">
        <f>'FS Desroches Daily'!CB5</f>
        <v>38.099999999998545</v>
      </c>
      <c r="AR3" s="35">
        <f>'FS Desroches Daily'!CD5</f>
        <v>14.800000000001091</v>
      </c>
      <c r="AS3" s="35">
        <f>'FS Desroches Daily'!CF5</f>
        <v>4.1999999999998181</v>
      </c>
      <c r="AT3" s="35">
        <f>'FS Desroches Daily'!CH5</f>
        <v>35.400000000001455</v>
      </c>
      <c r="AU3" s="35">
        <f>'FS Desroches Daily'!CJ5</f>
        <v>319</v>
      </c>
      <c r="AV3" s="35">
        <f>'FS Desroches Daily'!CL5</f>
        <v>569.99999999993634</v>
      </c>
      <c r="AW3" s="35">
        <f>'FS Desroches Daily'!CM5</f>
        <v>83</v>
      </c>
      <c r="AX3" s="35">
        <f>IF(LPG!F10-LPG!F9&lt;0,"0",(LPG!F10-LPG!F9)*1.8315)</f>
        <v>14.651999999999999</v>
      </c>
      <c r="AY3" s="35">
        <f>IF(LPG!H10-LPG!H9&lt;0,"0",(LPG!H10-LPG!H9)*1.8315)</f>
        <v>5.4944999999999995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39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3</v>
      </c>
      <c r="D4" s="31">
        <v>2020</v>
      </c>
      <c r="E4" s="35">
        <f>'FS Desroches Daily'!D6</f>
        <v>2599.9999999999359</v>
      </c>
      <c r="F4" s="36">
        <f>'FS Desroches Daily'!F6</f>
        <v>4299.9999999997481</v>
      </c>
      <c r="G4" s="35">
        <f>'FS Desroches Daily'!H6</f>
        <v>3199.9999999996476</v>
      </c>
      <c r="H4" s="36">
        <f>'FS Desroches Daily'!J6</f>
        <v>1599.9999999998238</v>
      </c>
      <c r="I4" s="35">
        <f>'FS Desroches Daily'!L6</f>
        <v>2199.9999999999795</v>
      </c>
      <c r="J4" s="36">
        <f>'FS Desroches Daily'!N6</f>
        <v>1800.0000000000239</v>
      </c>
      <c r="K4" s="13">
        <f>'FS Desroches Daily'!P6</f>
        <v>18</v>
      </c>
      <c r="L4" s="35">
        <f>'FS Desroches Daily'!R6</f>
        <v>9</v>
      </c>
      <c r="M4" s="35">
        <f>'FS Desroches Daily'!T6</f>
        <v>1505</v>
      </c>
      <c r="N4" s="35">
        <f>'FS Desroches Daily'!V6</f>
        <v>585</v>
      </c>
      <c r="O4" s="35">
        <f>'FS Desroches Daily'!X7</f>
        <v>549.99999999995453</v>
      </c>
      <c r="P4" s="35">
        <f>'FS Desroches Daily'!Z6</f>
        <v>3800.0000000000255</v>
      </c>
      <c r="Q4" s="35">
        <f>'FS Desroches Daily'!AB6</f>
        <v>320.00000000005002</v>
      </c>
      <c r="R4" s="35">
        <f>'FS Desroches Daily'!AD6</f>
        <v>480.00000000001819</v>
      </c>
      <c r="S4" s="35">
        <f>'FS Desroches Daily'!AF6</f>
        <v>899.99999999997726</v>
      </c>
      <c r="T4" s="35">
        <f>'FS Desroches Daily'!AH6</f>
        <v>2.2999999999999545</v>
      </c>
      <c r="U4" s="39">
        <f>'FS Desroches Daily'!AJ6</f>
        <v>459.99999999997954</v>
      </c>
      <c r="V4" s="39">
        <f>'FS Desroches Daily'!AL6</f>
        <v>0.25</v>
      </c>
      <c r="W4" s="39">
        <f>'FS Desroches Daily'!AN6</f>
        <v>0.28000000000000114</v>
      </c>
      <c r="X4" s="39">
        <f>'FS Desroches Daily'!AP6</f>
        <v>0.23000000000001819</v>
      </c>
      <c r="Y4" s="39">
        <f>'FS Desroches Daily'!AR6</f>
        <v>250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259.99999999999091</v>
      </c>
      <c r="AC4" s="39">
        <f>'FS Desroches Daily'!AZ6</f>
        <v>189.99999999999773</v>
      </c>
      <c r="AD4" s="39">
        <f>'FS Desroches Daily'!BB6</f>
        <v>49.999999999954525</v>
      </c>
      <c r="AE4" s="39">
        <f>'FS Desroches Daily'!BD6</f>
        <v>20.000000000010232</v>
      </c>
      <c r="AF4" s="35">
        <f>'FS Desroches Daily'!BF6</f>
        <v>47</v>
      </c>
      <c r="AG4" s="36">
        <f>'FS Desroches Daily'!BH6</f>
        <v>20.000000000010232</v>
      </c>
      <c r="AH4" s="36">
        <f>'FS Desroches Daily'!BJ6</f>
        <v>60.000000000002274</v>
      </c>
      <c r="AI4" s="36">
        <f>'FS Desroches Daily'!BL6</f>
        <v>50.000000000011369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50</v>
      </c>
      <c r="AM4" s="36">
        <f>'FS Desroches Daily'!BT6</f>
        <v>40.000000000020464</v>
      </c>
      <c r="AN4" s="36">
        <f>'FS Desroches Daily'!BV6</f>
        <v>40</v>
      </c>
      <c r="AO4" s="36">
        <f>'FS Desroches Daily'!BX6</f>
        <v>40.000000000020464</v>
      </c>
      <c r="AP4" s="36">
        <f>'FS Desroches Daily'!BZ6</f>
        <v>63</v>
      </c>
      <c r="AQ4" s="35">
        <f>'FS Desroches Daily'!CB6</f>
        <v>42.80000000000291</v>
      </c>
      <c r="AR4" s="35">
        <f>'FS Desroches Daily'!CD6</f>
        <v>12</v>
      </c>
      <c r="AS4" s="35">
        <f>'FS Desroches Daily'!CF6</f>
        <v>4</v>
      </c>
      <c r="AT4" s="35">
        <f>'FS Desroches Daily'!CH6</f>
        <v>25.80000000000291</v>
      </c>
      <c r="AU4" s="35">
        <f>'FS Desroches Daily'!CJ6</f>
        <v>293</v>
      </c>
      <c r="AV4" s="35">
        <f>'FS Desroches Daily'!CL6</f>
        <v>509.99999999999091</v>
      </c>
      <c r="AW4" s="35">
        <f>'FS Desroches Daily'!CM6</f>
        <v>86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3</v>
      </c>
      <c r="D5" s="31">
        <v>2020</v>
      </c>
      <c r="E5" s="35">
        <f>'FS Desroches Daily'!D7</f>
        <v>2600.0000000001578</v>
      </c>
      <c r="F5" s="36">
        <f>'FS Desroches Daily'!F7</f>
        <v>4300.0000000001928</v>
      </c>
      <c r="G5" s="35">
        <f>'FS Desroches Daily'!H7</f>
        <v>3400.0000000000696</v>
      </c>
      <c r="H5" s="36">
        <f>'FS Desroches Daily'!J7</f>
        <v>1800.0000000000239</v>
      </c>
      <c r="I5" s="35">
        <f>'FS Desroches Daily'!L7</f>
        <v>2299.9999999999686</v>
      </c>
      <c r="J5" s="36">
        <f>'FS Desroches Daily'!N7</f>
        <v>2199.9999999999795</v>
      </c>
      <c r="K5" s="13">
        <f>'FS Desroches Daily'!P7</f>
        <v>15</v>
      </c>
      <c r="L5" s="35">
        <f>'FS Desroches Daily'!R7</f>
        <v>11</v>
      </c>
      <c r="M5" s="35">
        <f>'FS Desroches Daily'!T7</f>
        <v>1459</v>
      </c>
      <c r="N5" s="35">
        <f>'FS Desroches Daily'!V7</f>
        <v>676</v>
      </c>
      <c r="O5" s="35">
        <f>'FS Desroches Daily'!X8</f>
        <v>550.00000000001137</v>
      </c>
      <c r="P5" s="35">
        <f>'FS Desroches Daily'!Z7</f>
        <v>3700.0000000002588</v>
      </c>
      <c r="Q5" s="35">
        <f>'FS Desroches Daily'!AB7</f>
        <v>619.9999999999477</v>
      </c>
      <c r="R5" s="35">
        <f>'FS Desroches Daily'!AD7</f>
        <v>519.99999999998181</v>
      </c>
      <c r="S5" s="35">
        <f>'FS Desroches Daily'!AF7</f>
        <v>1000</v>
      </c>
      <c r="T5" s="35">
        <f>'FS Desroches Daily'!AH7</f>
        <v>2.2000000000000455</v>
      </c>
      <c r="U5" s="39">
        <f>'FS Desroches Daily'!AJ7</f>
        <v>399.99999999997726</v>
      </c>
      <c r="V5" s="39">
        <f>'FS Desroches Daily'!AL7</f>
        <v>0.25999999999999091</v>
      </c>
      <c r="W5" s="39">
        <f>'FS Desroches Daily'!AN7</f>
        <v>0.29000000000002046</v>
      </c>
      <c r="X5" s="39">
        <f>'FS Desroches Daily'!AP7</f>
        <v>0.21999999999999886</v>
      </c>
      <c r="Y5" s="39">
        <f>'FS Desroches Daily'!AR7</f>
        <v>229.99999999998977</v>
      </c>
      <c r="Z5" s="39">
        <f>'FS Desroches Daily'!AT7</f>
        <v>279.99999999997272</v>
      </c>
      <c r="AA5" s="39">
        <f>'FS Desroches Daily'!AT7</f>
        <v>279.99999999997272</v>
      </c>
      <c r="AB5" s="39">
        <f>'FS Desroches Daily'!AV7</f>
        <v>210.00000000000796</v>
      </c>
      <c r="AC5" s="39">
        <f>'FS Desroches Daily'!AZ7</f>
        <v>180.00000000000682</v>
      </c>
      <c r="AD5" s="39">
        <f>'FS Desroches Daily'!BB7</f>
        <v>40.000000000020464</v>
      </c>
      <c r="AE5" s="39">
        <f>'FS Desroches Daily'!BD7</f>
        <v>19.99999999998181</v>
      </c>
      <c r="AF5" s="35">
        <f>'FS Desroches Daily'!BF7</f>
        <v>43</v>
      </c>
      <c r="AG5" s="36">
        <f>'FS Desroches Daily'!BH7</f>
        <v>30.000000000001137</v>
      </c>
      <c r="AH5" s="36">
        <f>'FS Desroches Daily'!BJ7</f>
        <v>49.999999999954525</v>
      </c>
      <c r="AI5" s="36">
        <f>'FS Desroches Daily'!BL7</f>
        <v>59.999999999973852</v>
      </c>
      <c r="AJ5" s="36">
        <f>'FS Desroches Daily'!BN7</f>
        <v>50.000000000011369</v>
      </c>
      <c r="AK5" s="36">
        <f>'FS Desroches Daily'!BP7</f>
        <v>60.000000000002274</v>
      </c>
      <c r="AL5" s="36">
        <f>'FS Desroches Daily'!BR7</f>
        <v>50</v>
      </c>
      <c r="AM5" s="36">
        <f>'FS Desroches Daily'!BT7</f>
        <v>39.999999999992042</v>
      </c>
      <c r="AN5" s="36">
        <f>'FS Desroches Daily'!BV7</f>
        <v>52</v>
      </c>
      <c r="AO5" s="36">
        <f>'FS Desroches Daily'!BX7</f>
        <v>39.999999999992042</v>
      </c>
      <c r="AP5" s="36">
        <f>'FS Desroches Daily'!BZ7</f>
        <v>66</v>
      </c>
      <c r="AQ5" s="35">
        <f>'FS Desroches Daily'!CB7</f>
        <v>38.399999999997817</v>
      </c>
      <c r="AR5" s="35">
        <f>'FS Desroches Daily'!CD7</f>
        <v>13.399999999999636</v>
      </c>
      <c r="AS5" s="35">
        <f>'FS Desroches Daily'!CF7</f>
        <v>3.1000000000003638</v>
      </c>
      <c r="AT5" s="35">
        <f>'FS Desroches Daily'!CH7</f>
        <v>28.400000000001455</v>
      </c>
      <c r="AU5" s="35">
        <f>'FS Desroches Daily'!CJ7</f>
        <v>323</v>
      </c>
      <c r="AV5" s="35">
        <f>'FS Desroches Daily'!CL7</f>
        <v>470.00000000002728</v>
      </c>
      <c r="AW5" s="35">
        <f>'FS Desroches Daily'!CM7</f>
        <v>103</v>
      </c>
      <c r="AX5" s="35">
        <f>IF(LPG!F12-LPG!F11&lt;0,"0",(LPG!F12-LPG!F11)*1.8315)</f>
        <v>12.820499999999999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5.4944999999999995</v>
      </c>
      <c r="BB5" s="35">
        <f>IF(LPG!Q12-LPG!Q11&lt;0,"0",(LPG!Q12-LPG!Q11)*1.8315)</f>
        <v>5.4944999999999995</v>
      </c>
      <c r="BC5" s="13">
        <f>'FS Desroches Daily'!CN7</f>
        <v>44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3</v>
      </c>
      <c r="D6" s="31">
        <v>2020</v>
      </c>
      <c r="E6" s="35">
        <f>'FS Desroches Daily'!D8</f>
        <v>2099.9999999999909</v>
      </c>
      <c r="F6" s="36">
        <f>'FS Desroches Daily'!F8</f>
        <v>4199.9999999999818</v>
      </c>
      <c r="G6" s="35">
        <f>'FS Desroches Daily'!H8</f>
        <v>3099.9999999998809</v>
      </c>
      <c r="H6" s="36">
        <f>'FS Desroches Daily'!J8</f>
        <v>1600.0000000000459</v>
      </c>
      <c r="I6" s="35">
        <f>'FS Desroches Daily'!L8</f>
        <v>2199.9999999999795</v>
      </c>
      <c r="J6" s="36">
        <f>'FS Desroches Daily'!N8</f>
        <v>1800.0000000000239</v>
      </c>
      <c r="K6" s="13">
        <f>'FS Desroches Daily'!P8</f>
        <v>25</v>
      </c>
      <c r="L6" s="35">
        <f>'FS Desroches Daily'!R8</f>
        <v>8</v>
      </c>
      <c r="M6" s="35">
        <f>'FS Desroches Daily'!T8</f>
        <v>1402</v>
      </c>
      <c r="N6" s="35">
        <f>'FS Desroches Daily'!V8</f>
        <v>567</v>
      </c>
      <c r="O6" s="35">
        <f>'FS Desroches Daily'!X8</f>
        <v>550.00000000001137</v>
      </c>
      <c r="P6" s="35">
        <f>'FS Desroches Daily'!Z8</f>
        <v>3899.9999999997926</v>
      </c>
      <c r="Q6" s="35">
        <f>'FS Desroches Daily'!AB8</f>
        <v>560.00000000000227</v>
      </c>
      <c r="R6" s="35">
        <f>'FS Desroches Daily'!AD8</f>
        <v>360.00000000001364</v>
      </c>
      <c r="S6" s="35">
        <f>'FS Desroches Daily'!AF8</f>
        <v>860.00000000001364</v>
      </c>
      <c r="T6" s="35">
        <f>'FS Desroches Daily'!AH8</f>
        <v>2.2999999999999545</v>
      </c>
      <c r="U6" s="39">
        <f>'FS Desroches Daily'!AJ8</f>
        <v>460.00000000003638</v>
      </c>
      <c r="V6" s="39">
        <f>'FS Desroches Daily'!AL8</f>
        <v>0.21000000000000796</v>
      </c>
      <c r="W6" s="39">
        <f>'FS Desroches Daily'!AN8</f>
        <v>0.23999999999998067</v>
      </c>
      <c r="X6" s="39">
        <f>'FS Desroches Daily'!AP8</f>
        <v>0.16999999999998749</v>
      </c>
      <c r="Y6" s="39">
        <f>'FS Desroches Daily'!AR8</f>
        <v>189.99999999999773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169.99999999998749</v>
      </c>
      <c r="AC6" s="39">
        <f>'FS Desroches Daily'!AZ8</f>
        <v>139.99999999998636</v>
      </c>
      <c r="AD6" s="39">
        <f>'FS Desroches Daily'!BB8</f>
        <v>60.000000000002274</v>
      </c>
      <c r="AE6" s="39">
        <f>'FS Desroches Daily'!BD8</f>
        <v>30.000000000001137</v>
      </c>
      <c r="AF6" s="35">
        <f>'FS Desroches Daily'!BF8</f>
        <v>49</v>
      </c>
      <c r="AG6" s="36">
        <f>'FS Desroches Daily'!BH8</f>
        <v>30.000000000001137</v>
      </c>
      <c r="AH6" s="36">
        <f>'FS Desroches Daily'!BJ8</f>
        <v>50.000000000011369</v>
      </c>
      <c r="AI6" s="36">
        <f>'FS Desroches Daily'!BL8</f>
        <v>60.000000000002274</v>
      </c>
      <c r="AJ6" s="36">
        <f>'FS Desroches Daily'!BN8</f>
        <v>39.999999999992042</v>
      </c>
      <c r="AK6" s="36">
        <f>'FS Desroches Daily'!BP8</f>
        <v>50.000000000011369</v>
      </c>
      <c r="AL6" s="36">
        <f>'FS Desroches Daily'!BR8</f>
        <v>50</v>
      </c>
      <c r="AM6" s="36">
        <f>'FS Desroches Daily'!BT8</f>
        <v>39.999999999992042</v>
      </c>
      <c r="AN6" s="36">
        <f>'FS Desroches Daily'!BV8</f>
        <v>50</v>
      </c>
      <c r="AO6" s="36">
        <f>'FS Desroches Daily'!BX8</f>
        <v>60.000000000002274</v>
      </c>
      <c r="AP6" s="36">
        <f>'FS Desroches Daily'!BZ8</f>
        <v>78</v>
      </c>
      <c r="AQ6" s="35">
        <f>'FS Desroches Daily'!CB8</f>
        <v>48.100000000002183</v>
      </c>
      <c r="AR6" s="35">
        <f>'FS Desroches Daily'!CD8</f>
        <v>11.699999999998909</v>
      </c>
      <c r="AS6" s="35">
        <f>'FS Desroches Daily'!CF8</f>
        <v>4.0999999999994543</v>
      </c>
      <c r="AT6" s="35">
        <f>'FS Desroches Daily'!CH8</f>
        <v>44.099999999998545</v>
      </c>
      <c r="AU6" s="35">
        <f>'FS Desroches Daily'!CJ8</f>
        <v>314</v>
      </c>
      <c r="AV6" s="35">
        <f>'FS Desroches Daily'!CL8</f>
        <v>569.99999999993634</v>
      </c>
      <c r="AW6" s="35">
        <f>'FS Desroches Daily'!CM8</f>
        <v>87.2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3.6629999999999998</v>
      </c>
      <c r="BB6" s="35">
        <f>IF(LPG!Q13-LPG!Q12&lt;0,"0",(LPG!Q13-LPG!Q12)*1.8315)</f>
        <v>3.6629999999999998</v>
      </c>
      <c r="BC6" s="13">
        <f>'FS Desroches Daily'!CN8</f>
        <v>30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3</v>
      </c>
      <c r="D7" s="31">
        <v>2020</v>
      </c>
      <c r="E7" s="35">
        <f>'FS Desroches Daily'!D9</f>
        <v>2699.9999999999245</v>
      </c>
      <c r="F7" s="36">
        <f>'FS Desroches Daily'!F9</f>
        <v>4199.9999999999818</v>
      </c>
      <c r="G7" s="35">
        <f>'FS Desroches Daily'!H9</f>
        <v>3200.0000000000919</v>
      </c>
      <c r="H7" s="36">
        <f>'FS Desroches Daily'!J9</f>
        <v>1700.0000000000348</v>
      </c>
      <c r="I7" s="35">
        <f>'FS Desroches Daily'!L9</f>
        <v>2299.9999999999686</v>
      </c>
      <c r="J7" s="36">
        <f>'FS Desroches Daily'!N9</f>
        <v>2000.0000000000018</v>
      </c>
      <c r="K7" s="13">
        <f>'FS Desroches Daily'!P9</f>
        <v>20</v>
      </c>
      <c r="L7" s="35">
        <f>'FS Desroches Daily'!R9</f>
        <v>10</v>
      </c>
      <c r="M7" s="35">
        <f>'FS Desroches Daily'!T9</f>
        <v>1254</v>
      </c>
      <c r="N7" s="35">
        <f>'FS Desroches Daily'!V9</f>
        <v>496</v>
      </c>
      <c r="O7" s="35">
        <f>'FS Desroches Daily'!X9</f>
        <v>519.99999999998181</v>
      </c>
      <c r="P7" s="35">
        <f>'FS Desroches Daily'!Z9</f>
        <v>3700.0000000002588</v>
      </c>
      <c r="Q7" s="35">
        <f>'FS Desroches Daily'!AB9</f>
        <v>580.00000000004093</v>
      </c>
      <c r="R7" s="35">
        <f>'FS Desroches Daily'!AD9</f>
        <v>430.00000000000682</v>
      </c>
      <c r="S7" s="35">
        <f>'FS Desroches Daily'!AF9</f>
        <v>939.99999999999773</v>
      </c>
      <c r="T7" s="35">
        <f>'FS Desroches Daily'!AH9</f>
        <v>2.1000000000001364</v>
      </c>
      <c r="U7" s="39">
        <f>'FS Desroches Daily'!AJ9</f>
        <v>409.99999999996817</v>
      </c>
      <c r="V7" s="39">
        <f>'FS Desroches Daily'!AL9</f>
        <v>0.28999999999999204</v>
      </c>
      <c r="W7" s="39">
        <f>'FS Desroches Daily'!AN9</f>
        <v>0.24000000000000909</v>
      </c>
      <c r="X7" s="39">
        <f>'FS Desroches Daily'!AP9</f>
        <v>0.18999999999999773</v>
      </c>
      <c r="Y7" s="39">
        <f>'FS Desroches Daily'!AR9</f>
        <v>219.99999999999886</v>
      </c>
      <c r="Z7" s="39">
        <f>'FS Desroches Daily'!AT9</f>
        <v>280.00000000002956</v>
      </c>
      <c r="AA7" s="39">
        <f>'FS Desroches Daily'!AT9</f>
        <v>280.00000000002956</v>
      </c>
      <c r="AB7" s="39">
        <f>'FS Desroches Daily'!AV9</f>
        <v>199.99999999998863</v>
      </c>
      <c r="AC7" s="39">
        <f>'FS Desroches Daily'!AZ9</f>
        <v>170.00000000001592</v>
      </c>
      <c r="AD7" s="39">
        <f>'FS Desroches Daily'!BB9</f>
        <v>50.000000000011369</v>
      </c>
      <c r="AE7" s="39">
        <f>'FS Desroches Daily'!BD9</f>
        <v>40.000000000020464</v>
      </c>
      <c r="AF7" s="35">
        <f>'FS Desroches Daily'!BF9</f>
        <v>47</v>
      </c>
      <c r="AG7" s="36">
        <f>'FS Desroches Daily'!BH9</f>
        <v>30.000000000001137</v>
      </c>
      <c r="AH7" s="36">
        <f>'FS Desroches Daily'!BJ9</f>
        <v>50.000000000011369</v>
      </c>
      <c r="AI7" s="36">
        <f>'FS Desroches Daily'!BL9</f>
        <v>60.000000000002274</v>
      </c>
      <c r="AJ7" s="36">
        <f>'FS Desroches Daily'!BN9</f>
        <v>50.000000000011369</v>
      </c>
      <c r="AK7" s="36">
        <f>'FS Desroches Daily'!BP9</f>
        <v>49.999999999954525</v>
      </c>
      <c r="AL7" s="36">
        <f>'FS Desroches Daily'!BR9</f>
        <v>49</v>
      </c>
      <c r="AM7" s="36">
        <f>'FS Desroches Daily'!BT9</f>
        <v>30.000000000001137</v>
      </c>
      <c r="AN7" s="36">
        <f>'FS Desroches Daily'!BV9</f>
        <v>40</v>
      </c>
      <c r="AO7" s="36">
        <f>'FS Desroches Daily'!BX9</f>
        <v>49.999999999982947</v>
      </c>
      <c r="AP7" s="36">
        <f>'FS Desroches Daily'!BZ9</f>
        <v>68</v>
      </c>
      <c r="AQ7" s="35">
        <f>'FS Desroches Daily'!CB9</f>
        <v>51.19999999999709</v>
      </c>
      <c r="AR7" s="35">
        <f>'FS Desroches Daily'!CD9</f>
        <v>11.900000000001455</v>
      </c>
      <c r="AS7" s="35">
        <f>'FS Desroches Daily'!CF9</f>
        <v>10.800000000000182</v>
      </c>
      <c r="AT7" s="35">
        <f>'FS Desroches Daily'!CH9</f>
        <v>43.5</v>
      </c>
      <c r="AU7" s="35">
        <f>'FS Desroches Daily'!CJ9</f>
        <v>356</v>
      </c>
      <c r="AV7" s="35">
        <f>'FS Desroches Daily'!CL9</f>
        <v>520.0000000000955</v>
      </c>
      <c r="AW7" s="35">
        <f>'FS Desroches Daily'!CM9</f>
        <v>88.9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3</v>
      </c>
      <c r="D8" s="31">
        <v>2020</v>
      </c>
      <c r="E8" s="35">
        <f>'FS Desroches Daily'!D10</f>
        <v>3099.9999999998809</v>
      </c>
      <c r="F8" s="36">
        <f>'FS Desroches Daily'!F10</f>
        <v>4599.9999999999372</v>
      </c>
      <c r="G8" s="35">
        <f>'FS Desroches Daily'!H10</f>
        <v>3600.0000000000477</v>
      </c>
      <c r="H8" s="36">
        <f>'FS Desroches Daily'!J10</f>
        <v>2000.0000000000018</v>
      </c>
      <c r="I8" s="35">
        <f>'FS Desroches Daily'!L10</f>
        <v>2499.9999999999468</v>
      </c>
      <c r="J8" s="36">
        <f>'FS Desroches Daily'!N10</f>
        <v>2199.9999999999795</v>
      </c>
      <c r="K8" s="13">
        <f>'FS Desroches Daily'!P10</f>
        <v>20</v>
      </c>
      <c r="L8" s="35">
        <f>'FS Desroches Daily'!R10</f>
        <v>10</v>
      </c>
      <c r="M8" s="35">
        <f>'FS Desroches Daily'!T10</f>
        <v>1049</v>
      </c>
      <c r="N8" s="35">
        <f>'FS Desroches Daily'!V10</f>
        <v>441</v>
      </c>
      <c r="O8" s="35">
        <f>'FS Desroches Daily'!X10</f>
        <v>500</v>
      </c>
      <c r="P8" s="35">
        <f>'FS Desroches Daily'!Z10</f>
        <v>3099.9999999998809</v>
      </c>
      <c r="Q8" s="35">
        <f>'FS Desroches Daily'!AB10</f>
        <v>500</v>
      </c>
      <c r="R8" s="35">
        <f>'FS Desroches Daily'!AD10</f>
        <v>469.99999999997044</v>
      </c>
      <c r="S8" s="35">
        <f>'FS Desroches Daily'!AF10</f>
        <v>900.00000000003411</v>
      </c>
      <c r="T8" s="35">
        <f>'FS Desroches Daily'!AH10</f>
        <v>2.2999999999999545</v>
      </c>
      <c r="U8" s="39">
        <f>'FS Desroches Daily'!AJ10</f>
        <v>470.00000000002728</v>
      </c>
      <c r="V8" s="39">
        <f>'FS Desroches Daily'!AL10</f>
        <v>0.40000000000000568</v>
      </c>
      <c r="W8" s="39">
        <f>'FS Desroches Daily'!AN10</f>
        <v>0.30000000000001137</v>
      </c>
      <c r="X8" s="39">
        <f>'FS Desroches Daily'!AP10</f>
        <v>0.21999999999999886</v>
      </c>
      <c r="Y8" s="39">
        <f>'FS Desroches Daily'!AR10</f>
        <v>280.00000000000114</v>
      </c>
      <c r="Z8" s="39">
        <f>'FS Desroches Daily'!AT10</f>
        <v>349.99999999996589</v>
      </c>
      <c r="AA8" s="39">
        <f>'FS Desroches Daily'!AT10</f>
        <v>349.99999999996589</v>
      </c>
      <c r="AB8" s="39">
        <f>'FS Desroches Daily'!AV10</f>
        <v>230.00000000001819</v>
      </c>
      <c r="AC8" s="39">
        <f>'FS Desroches Daily'!AZ10</f>
        <v>199.99999999998863</v>
      </c>
      <c r="AD8" s="39">
        <f>'FS Desroches Daily'!BB10</f>
        <v>39.99999999996362</v>
      </c>
      <c r="AE8" s="39">
        <f>'FS Desroches Daily'!BD10</f>
        <v>19.99999999998181</v>
      </c>
      <c r="AF8" s="35">
        <f>'FS Desroches Daily'!BF10</f>
        <v>54</v>
      </c>
      <c r="AG8" s="36">
        <f>'FS Desroches Daily'!BH10</f>
        <v>39.999999999992042</v>
      </c>
      <c r="AH8" s="36">
        <f>'FS Desroches Daily'!BJ10</f>
        <v>60.000000000002274</v>
      </c>
      <c r="AI8" s="36">
        <f>'FS Desroches Daily'!BL10</f>
        <v>60.000000000002274</v>
      </c>
      <c r="AJ8" s="36">
        <f>'FS Desroches Daily'!BN10</f>
        <v>60.000000000002274</v>
      </c>
      <c r="AK8" s="36">
        <f>'FS Desroches Daily'!BP10</f>
        <v>60.000000000002274</v>
      </c>
      <c r="AL8" s="36">
        <f>'FS Desroches Daily'!BR10</f>
        <v>49</v>
      </c>
      <c r="AM8" s="36">
        <f>'FS Desroches Daily'!BT10</f>
        <v>69.999999999993179</v>
      </c>
      <c r="AN8" s="36">
        <f>'FS Desroches Daily'!BV10</f>
        <v>54</v>
      </c>
      <c r="AO8" s="36">
        <f>'FS Desroches Daily'!BX10</f>
        <v>60.000000000002274</v>
      </c>
      <c r="AP8" s="36">
        <f>'FS Desroches Daily'!BZ10</f>
        <v>79</v>
      </c>
      <c r="AQ8" s="35">
        <f>'FS Desroches Daily'!CB10</f>
        <v>36.700000000000728</v>
      </c>
      <c r="AR8" s="35">
        <f>'FS Desroches Daily'!CD10</f>
        <v>11.399999999999636</v>
      </c>
      <c r="AS8" s="35">
        <f>'FS Desroches Daily'!CF10</f>
        <v>1</v>
      </c>
      <c r="AT8" s="35">
        <f>'FS Desroches Daily'!CH10</f>
        <v>36.5</v>
      </c>
      <c r="AU8" s="35">
        <f>'FS Desroches Daily'!CJ10</f>
        <v>304</v>
      </c>
      <c r="AV8" s="35">
        <f>'FS Desroches Daily'!CL10</f>
        <v>579.99999999992724</v>
      </c>
      <c r="AW8" s="35">
        <f>'FS Desroches Daily'!CM10</f>
        <v>93.8</v>
      </c>
      <c r="AX8" s="35">
        <f>IF(LPG!F15-LPG!F14&lt;0,"0",(LPG!F15-LPG!F14)*1.8315)</f>
        <v>16.483499999999999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35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3</v>
      </c>
      <c r="D9" s="31">
        <v>2020</v>
      </c>
      <c r="E9" s="35">
        <f>'FS Desroches Daily'!D11</f>
        <v>2900.0000000001246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1800.0000000000239</v>
      </c>
      <c r="I9" s="35">
        <f>'FS Desroches Daily'!L11</f>
        <v>2299.9999999999686</v>
      </c>
      <c r="J9" s="36">
        <f>'FS Desroches Daily'!N11</f>
        <v>2099.9999999999909</v>
      </c>
      <c r="K9" s="13">
        <f>'FS Desroches Daily'!P11</f>
        <v>19</v>
      </c>
      <c r="L9" s="35">
        <f>'FS Desroches Daily'!R11</f>
        <v>10</v>
      </c>
      <c r="M9" s="35">
        <f>'FS Desroches Daily'!T11</f>
        <v>1719</v>
      </c>
      <c r="N9" s="35">
        <f>'FS Desroches Daily'!V11</f>
        <v>690</v>
      </c>
      <c r="O9" s="35">
        <f>'FS Desroches Daily'!X11</f>
        <v>470.00000000002728</v>
      </c>
      <c r="P9" s="35">
        <f>'FS Desroches Daily'!Z11</f>
        <v>4199.9999999999818</v>
      </c>
      <c r="Q9" s="35">
        <f>'FS Desroches Daily'!AB11</f>
        <v>419.99999999995907</v>
      </c>
      <c r="R9" s="35">
        <f>'FS Desroches Daily'!AD11</f>
        <v>430.00000000000682</v>
      </c>
      <c r="S9" s="35">
        <f>'FS Desroches Daily'!AF11</f>
        <v>1250</v>
      </c>
      <c r="T9" s="35">
        <f>'FS Desroches Daily'!AH11</f>
        <v>2.2999999999999545</v>
      </c>
      <c r="U9" s="39">
        <f>'FS Desroches Daily'!AJ11</f>
        <v>920.00000000001592</v>
      </c>
      <c r="V9" s="39">
        <f>'FS Desroches Daily'!AL11</f>
        <v>0.33000000000001251</v>
      </c>
      <c r="W9" s="39">
        <f>'FS Desroches Daily'!AN11</f>
        <v>0.28999999999999204</v>
      </c>
      <c r="X9" s="39">
        <f>'FS Desroches Daily'!AP11</f>
        <v>0.21999999999999886</v>
      </c>
      <c r="Y9" s="39">
        <f>'FS Desroches Daily'!AR11</f>
        <v>280.00000000000114</v>
      </c>
      <c r="Z9" s="39">
        <f>'FS Desroches Daily'!AT11</f>
        <v>319.99999999999318</v>
      </c>
      <c r="AA9" s="39">
        <f>'FS Desroches Daily'!AT11</f>
        <v>319.99999999999318</v>
      </c>
      <c r="AB9" s="39">
        <f>'FS Desroches Daily'!AV11</f>
        <v>209.99999999997954</v>
      </c>
      <c r="AC9" s="39">
        <f>'FS Desroches Daily'!AZ11</f>
        <v>199.99999999998863</v>
      </c>
      <c r="AD9" s="39">
        <f>'FS Desroches Daily'!BB11</f>
        <v>50.000000000011369</v>
      </c>
      <c r="AE9" s="39">
        <f>'FS Desroches Daily'!BD11</f>
        <v>0</v>
      </c>
      <c r="AF9" s="35">
        <f>'FS Desroches Daily'!BF11</f>
        <v>47</v>
      </c>
      <c r="AG9" s="36">
        <f>'FS Desroches Daily'!BH11</f>
        <v>30.000000000001137</v>
      </c>
      <c r="AH9" s="36">
        <f>'FS Desroches Daily'!BJ11</f>
        <v>50.000000000011369</v>
      </c>
      <c r="AI9" s="36">
        <f>'FS Desroches Daily'!BL11</f>
        <v>39.999999999992042</v>
      </c>
      <c r="AJ9" s="36">
        <f>'FS Desroches Daily'!BN11</f>
        <v>39.999999999992042</v>
      </c>
      <c r="AK9" s="36">
        <f>'FS Desroches Daily'!BP11</f>
        <v>50.000000000011369</v>
      </c>
      <c r="AL9" s="36">
        <f>'FS Desroches Daily'!BR11</f>
        <v>38</v>
      </c>
      <c r="AM9" s="36">
        <f>'FS Desroches Daily'!BT11</f>
        <v>40.000000000020464</v>
      </c>
      <c r="AN9" s="36">
        <f>'FS Desroches Daily'!BV11</f>
        <v>42</v>
      </c>
      <c r="AO9" s="36">
        <f>'FS Desroches Daily'!BX11</f>
        <v>50.000000000011369</v>
      </c>
      <c r="AP9" s="36">
        <f>'FS Desroches Daily'!BZ11</f>
        <v>61</v>
      </c>
      <c r="AQ9" s="35">
        <f>'FS Desroches Daily'!CB11</f>
        <v>41.100000000002183</v>
      </c>
      <c r="AR9" s="35">
        <f>'FS Desroches Daily'!CD11</f>
        <v>11.5</v>
      </c>
      <c r="AS9" s="35">
        <f>'FS Desroches Daily'!CF11</f>
        <v>8.3999999999996362</v>
      </c>
      <c r="AT9" s="35">
        <f>'FS Desroches Daily'!CH11</f>
        <v>33</v>
      </c>
      <c r="AU9" s="35">
        <f>'FS Desroches Daily'!CJ11</f>
        <v>305</v>
      </c>
      <c r="AV9" s="35">
        <f>'FS Desroches Daily'!CL11</f>
        <v>509.99999999999091</v>
      </c>
      <c r="AW9" s="35">
        <f>'FS Desroches Daily'!CM11</f>
        <v>80.900000000000006</v>
      </c>
      <c r="AX9" s="35">
        <f>IF(LPG!F16-LPG!F15&lt;0,"0",(LPG!F16-LPG!F15)*1.8315)</f>
        <v>12.820499999999999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7.3259999999999996</v>
      </c>
      <c r="BB9" s="35">
        <f>IF(LPG!Q16-LPG!Q15&lt;0,"0",(LPG!Q16-LPG!Q15)*1.8315)</f>
        <v>5.4944999999999995</v>
      </c>
      <c r="BC9" s="13">
        <f>'FS Desroches Daily'!CN11</f>
        <v>35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3</v>
      </c>
      <c r="D10" s="31">
        <v>2020</v>
      </c>
      <c r="E10" s="35">
        <f>'FS Desroches Daily'!D12</f>
        <v>2699.9999999999245</v>
      </c>
      <c r="F10" s="36">
        <f>'FS Desroches Daily'!F12</f>
        <v>3800.0000000000255</v>
      </c>
      <c r="G10" s="35">
        <f>'FS Desroches Daily'!H12</f>
        <v>3400.0000000000696</v>
      </c>
      <c r="H10" s="36">
        <f>'FS Desroches Daily'!J12</f>
        <v>1700.0000000000348</v>
      </c>
      <c r="I10" s="35">
        <f>'FS Desroches Daily'!L12</f>
        <v>2400.0000000001796</v>
      </c>
      <c r="J10" s="36">
        <f>'FS Desroches Daily'!N12</f>
        <v>2199.9999999999795</v>
      </c>
      <c r="K10" s="13">
        <f>'FS Desroches Daily'!P12</f>
        <v>19</v>
      </c>
      <c r="L10" s="35">
        <f>'FS Desroches Daily'!R12</f>
        <v>9</v>
      </c>
      <c r="M10" s="35">
        <f>'FS Desroches Daily'!T12</f>
        <v>1458</v>
      </c>
      <c r="N10" s="35">
        <f>'FS Desroches Daily'!V12</f>
        <v>566</v>
      </c>
      <c r="O10" s="35">
        <f>'FS Desroches Daily'!X12</f>
        <v>540.00000000002046</v>
      </c>
      <c r="P10" s="35">
        <f>'FS Desroches Daily'!Z12</f>
        <v>3299.9999999998586</v>
      </c>
      <c r="Q10" s="35">
        <f>'FS Desroches Daily'!AB12</f>
        <v>570.00000000005002</v>
      </c>
      <c r="R10" s="35">
        <f>'FS Desroches Daily'!AD12</f>
        <v>449.99999999998863</v>
      </c>
      <c r="S10" s="35">
        <f>'FS Desroches Daily'!AF12</f>
        <v>1109.9999999999568</v>
      </c>
      <c r="T10" s="35">
        <f>'FS Desroches Daily'!AH12</f>
        <v>2.5</v>
      </c>
      <c r="U10" s="39">
        <f>'FS Desroches Daily'!AJ12</f>
        <v>509.99999999999091</v>
      </c>
      <c r="V10" s="39">
        <f>'FS Desroches Daily'!AL12</f>
        <v>0.25999999999999091</v>
      </c>
      <c r="W10" s="39">
        <f>'FS Desroches Daily'!AN12</f>
        <v>0.28999999999999204</v>
      </c>
      <c r="X10" s="39">
        <f>'FS Desroches Daily'!AP12</f>
        <v>0.23000000000001819</v>
      </c>
      <c r="Y10" s="39">
        <f>'FS Desroches Daily'!AR12</f>
        <v>260.00000000001933</v>
      </c>
      <c r="Z10" s="39">
        <f>'FS Desroches Daily'!AT12</f>
        <v>330.00000000004093</v>
      </c>
      <c r="AA10" s="39">
        <f>'FS Desroches Daily'!AT12</f>
        <v>330.00000000004093</v>
      </c>
      <c r="AB10" s="39">
        <f>'FS Desroches Daily'!AV12</f>
        <v>190.00000000005457</v>
      </c>
      <c r="AC10" s="39">
        <f>'FS Desroches Daily'!AZ12</f>
        <v>189.99999999999773</v>
      </c>
      <c r="AD10" s="39">
        <f>'FS Desroches Daily'!BB12</f>
        <v>50.000000000011369</v>
      </c>
      <c r="AE10" s="39">
        <f>'FS Desroches Daily'!BD12</f>
        <v>10.000000000019327</v>
      </c>
      <c r="AF10" s="35">
        <f>'FS Desroches Daily'!BF12</f>
        <v>49</v>
      </c>
      <c r="AG10" s="36">
        <f>'FS Desroches Daily'!BH12</f>
        <v>30.000000000001137</v>
      </c>
      <c r="AH10" s="36">
        <f>'FS Desroches Daily'!BJ12</f>
        <v>39.99999999996362</v>
      </c>
      <c r="AI10" s="36">
        <f>'FS Desroches Daily'!BL12</f>
        <v>40.000000000020464</v>
      </c>
      <c r="AJ10" s="36">
        <f>'FS Desroches Daily'!BN12</f>
        <v>50.000000000011369</v>
      </c>
      <c r="AK10" s="36">
        <f>'FS Desroches Daily'!BP12</f>
        <v>50.000000000011369</v>
      </c>
      <c r="AL10" s="36">
        <f>'FS Desroches Daily'!BR12</f>
        <v>44</v>
      </c>
      <c r="AM10" s="36">
        <f>'FS Desroches Daily'!BT12</f>
        <v>39.999999999992042</v>
      </c>
      <c r="AN10" s="36">
        <f>'FS Desroches Daily'!BV12</f>
        <v>40</v>
      </c>
      <c r="AO10" s="36">
        <f>'FS Desroches Daily'!BX12</f>
        <v>69.999999999993179</v>
      </c>
      <c r="AP10" s="36">
        <f>'FS Desroches Daily'!BZ12</f>
        <v>63</v>
      </c>
      <c r="AQ10" s="35">
        <f>'FS Desroches Daily'!CB12</f>
        <v>34</v>
      </c>
      <c r="AR10" s="35">
        <f>'FS Desroches Daily'!CD12</f>
        <v>12.199999999998909</v>
      </c>
      <c r="AS10" s="35">
        <f>'FS Desroches Daily'!CF12</f>
        <v>7.1000000000003638</v>
      </c>
      <c r="AT10" s="35">
        <f>'FS Desroches Daily'!CH12</f>
        <v>43.799999999995634</v>
      </c>
      <c r="AU10" s="35">
        <f>'FS Desroches Daily'!CJ12</f>
        <v>328</v>
      </c>
      <c r="AV10" s="35">
        <f>'FS Desroches Daily'!CL12</f>
        <v>500</v>
      </c>
      <c r="AW10" s="35">
        <f>'FS Desroches Daily'!CM12</f>
        <v>95.9</v>
      </c>
      <c r="AX10" s="35">
        <f>IF(LPG!F17-LPG!F16&lt;0,"0",(LPG!F17-LPG!F16)*1.8315)</f>
        <v>14.651999999999999</v>
      </c>
      <c r="AY10" s="35">
        <f>IF(LPG!H17-LPG!H16&lt;0,"0",(LPG!H17-LPG!H16)*1.8315)</f>
        <v>3.6629999999999998</v>
      </c>
      <c r="AZ10" s="35">
        <f>IF(LPG!J17-LPG!J16&lt;0,"0",(LPG!J17-LPG!J16)*1.8315)</f>
        <v>0</v>
      </c>
      <c r="BA10" s="35">
        <f>IF(LPG!M17-LPG!M16&lt;0,"0",(LPG!M17-LPG!M16)*1.8315)</f>
        <v>5.4944999999999995</v>
      </c>
      <c r="BB10" s="35">
        <f>IF(LPG!Q17-LPG!Q16&lt;0,"0",(LPG!Q17-LPG!Q16)*1.8315)</f>
        <v>3.6629999999999998</v>
      </c>
      <c r="BC10" s="13">
        <f>'FS Desroches Daily'!CN12</f>
        <v>36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3</v>
      </c>
      <c r="D11" s="31">
        <v>2020</v>
      </c>
      <c r="E11" s="35">
        <f>'FS Desroches Daily'!D13</f>
        <v>2499.9999999999468</v>
      </c>
      <c r="F11" s="36">
        <f>'FS Desroches Daily'!F13</f>
        <v>3699.9999999998145</v>
      </c>
      <c r="G11" s="35">
        <f>'FS Desroches Daily'!H13</f>
        <v>3299.9999999998586</v>
      </c>
      <c r="H11" s="36">
        <f>'FS Desroches Daily'!J13</f>
        <v>1900.0000000000127</v>
      </c>
      <c r="I11" s="35">
        <f>'FS Desroches Daily'!L13</f>
        <v>2399.9999999999577</v>
      </c>
      <c r="J11" s="36">
        <f>'FS Desroches Daily'!N13</f>
        <v>2000.0000000000018</v>
      </c>
      <c r="K11" s="13">
        <f>'FS Desroches Daily'!P13</f>
        <v>22</v>
      </c>
      <c r="L11" s="35">
        <f>'FS Desroches Daily'!R13</f>
        <v>10</v>
      </c>
      <c r="M11" s="35">
        <f>'FS Desroches Daily'!T13</f>
        <v>1469</v>
      </c>
      <c r="N11" s="35">
        <f>'FS Desroches Daily'!V13</f>
        <v>547</v>
      </c>
      <c r="O11" s="35">
        <f>'FS Desroches Daily'!X13</f>
        <v>500</v>
      </c>
      <c r="P11" s="35">
        <f>'FS Desroches Daily'!Z13</f>
        <v>3200.0000000000919</v>
      </c>
      <c r="Q11" s="35">
        <f>'FS Desroches Daily'!AB13</f>
        <v>349.99999999996589</v>
      </c>
      <c r="R11" s="35">
        <f>'FS Desroches Daily'!AD13</f>
        <v>460.00000000003638</v>
      </c>
      <c r="S11" s="35">
        <f>'FS Desroches Daily'!AF13</f>
        <v>920.00000000001592</v>
      </c>
      <c r="T11" s="35">
        <f>'FS Desroches Daily'!AH13</f>
        <v>2.2999999999999545</v>
      </c>
      <c r="U11" s="39">
        <f>'FS Desroches Daily'!AJ13</f>
        <v>409.99999999996817</v>
      </c>
      <c r="V11" s="39">
        <f>'FS Desroches Daily'!AL13</f>
        <v>0.27000000000001023</v>
      </c>
      <c r="W11" s="39">
        <f>'FS Desroches Daily'!AN13</f>
        <v>0.25999999999999091</v>
      </c>
      <c r="X11" s="39">
        <f>'FS Desroches Daily'!AP13</f>
        <v>0.22999999999998977</v>
      </c>
      <c r="Y11" s="39">
        <f>'FS Desroches Daily'!AR13</f>
        <v>209.99999999997954</v>
      </c>
      <c r="Z11" s="39">
        <f>'FS Desroches Daily'!AT13</f>
        <v>279.99999999997272</v>
      </c>
      <c r="AA11" s="39">
        <f>'FS Desroches Daily'!AT13</f>
        <v>279.99999999997272</v>
      </c>
      <c r="AB11" s="39">
        <f>'FS Desroches Daily'!AV13</f>
        <v>159.99999999996817</v>
      </c>
      <c r="AC11" s="39">
        <f>'FS Desroches Daily'!AZ13</f>
        <v>189.99999999999773</v>
      </c>
      <c r="AD11" s="39">
        <f>'FS Desroches Daily'!BB13</f>
        <v>50.000000000011369</v>
      </c>
      <c r="AE11" s="39">
        <f>'FS Desroches Daily'!BD13</f>
        <v>19.99999999998181</v>
      </c>
      <c r="AF11" s="35">
        <f>'FS Desroches Daily'!BF13</f>
        <v>49</v>
      </c>
      <c r="AG11" s="36">
        <f>'FS Desroches Daily'!BH13</f>
        <v>39.999999999992042</v>
      </c>
      <c r="AH11" s="36">
        <f>'FS Desroches Daily'!BJ13</f>
        <v>50.000000000011369</v>
      </c>
      <c r="AI11" s="36">
        <f>'FS Desroches Daily'!BL13</f>
        <v>69.999999999993179</v>
      </c>
      <c r="AJ11" s="36">
        <f>'FS Desroches Daily'!BN13</f>
        <v>49.999999999982947</v>
      </c>
      <c r="AK11" s="36">
        <f>'FS Desroches Daily'!BP13</f>
        <v>50.000000000011369</v>
      </c>
      <c r="AL11" s="36">
        <f>'FS Desroches Daily'!BR13</f>
        <v>46</v>
      </c>
      <c r="AM11" s="36">
        <f>'FS Desroches Daily'!BT13</f>
        <v>50.000000000011369</v>
      </c>
      <c r="AN11" s="36">
        <f>'FS Desroches Daily'!BV13</f>
        <v>47</v>
      </c>
      <c r="AO11" s="36">
        <f>'FS Desroches Daily'!BX13</f>
        <v>69.999999999993179</v>
      </c>
      <c r="AP11" s="36">
        <f>'FS Desroches Daily'!BZ13</f>
        <v>71</v>
      </c>
      <c r="AQ11" s="35">
        <f>'FS Desroches Daily'!CB13</f>
        <v>45</v>
      </c>
      <c r="AR11" s="35">
        <f>'FS Desroches Daily'!CD13</f>
        <v>11.800000000001091</v>
      </c>
      <c r="AS11" s="35">
        <f>'FS Desroches Daily'!CF13</f>
        <v>1.6000000000003638</v>
      </c>
      <c r="AT11" s="35">
        <f>'FS Desroches Daily'!CH13</f>
        <v>44</v>
      </c>
      <c r="AU11" s="35">
        <f>'FS Desroches Daily'!CJ13</f>
        <v>317</v>
      </c>
      <c r="AV11" s="35">
        <f>'FS Desroches Daily'!CL13</f>
        <v>650.00000000009095</v>
      </c>
      <c r="AW11" s="35">
        <f>'FS Desroches Daily'!CM13</f>
        <v>101.2</v>
      </c>
      <c r="AX11" s="35">
        <f>IF(LPG!F18-LPG!F17&lt;0,"0",(LPG!F18-LPG!F17)*1.8315)</f>
        <v>14.651999999999999</v>
      </c>
      <c r="AY11" s="35">
        <f>IF(LPG!H18-LPG!H17&lt;0,"0",(LPG!H18-LPG!H17)*1.8315)</f>
        <v>3.6629999999999998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5.4944999999999995</v>
      </c>
      <c r="BC11" s="13">
        <f>'FS Desroches Daily'!CN13</f>
        <v>42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3</v>
      </c>
      <c r="D12" s="31">
        <v>2020</v>
      </c>
      <c r="E12" s="35" t="str">
        <f>'FS Desroches Daily'!D14</f>
        <v>0</v>
      </c>
      <c r="F12" s="36" t="str">
        <f>'FS Desroches Daily'!F14</f>
        <v>0</v>
      </c>
      <c r="G12" s="35" t="str">
        <f>'FS Desroches Daily'!H14</f>
        <v>0</v>
      </c>
      <c r="H12" s="36" t="str">
        <f>'FS Desroches Daily'!J14</f>
        <v>0</v>
      </c>
      <c r="I12" s="35" t="str">
        <f>'FS Desroches Daily'!L14</f>
        <v>0</v>
      </c>
      <c r="J12" s="36" t="str">
        <f>'FS Desroches Daily'!N14</f>
        <v/>
      </c>
      <c r="K12" s="13" t="str">
        <f>'FS Desroches Daily'!P14</f>
        <v/>
      </c>
      <c r="L12" s="35" t="str">
        <f>'FS Desroches Daily'!R14</f>
        <v/>
      </c>
      <c r="M12" s="35" t="str">
        <f>'FS Desroches Daily'!T14</f>
        <v/>
      </c>
      <c r="N12" s="35" t="str">
        <f>'FS Desroches Daily'!V14</f>
        <v/>
      </c>
      <c r="O12" s="35" t="str">
        <f>'FS Desroches Daily'!X14</f>
        <v/>
      </c>
      <c r="P12" s="35" t="str">
        <f>'FS Desroches Daily'!Z14</f>
        <v/>
      </c>
      <c r="Q12" s="35" t="str">
        <f>'FS Desroches Daily'!AB14</f>
        <v/>
      </c>
      <c r="R12" s="35" t="str">
        <f>'FS Desroches Daily'!AD14</f>
        <v/>
      </c>
      <c r="S12" s="35" t="str">
        <f>'FS Desroches Daily'!AF14</f>
        <v/>
      </c>
      <c r="T12" s="35" t="str">
        <f>'FS Desroches Daily'!AH14</f>
        <v/>
      </c>
      <c r="U12" s="39" t="str">
        <f>'FS Desroches Daily'!AJ14</f>
        <v/>
      </c>
      <c r="V12" s="39" t="str">
        <f>'FS Desroches Daily'!AL14</f>
        <v/>
      </c>
      <c r="W12" s="39" t="str">
        <f>'FS Desroches Daily'!AN14</f>
        <v/>
      </c>
      <c r="X12" s="39" t="str">
        <f>'FS Desroches Daily'!AP14</f>
        <v/>
      </c>
      <c r="Y12" s="39" t="str">
        <f>'FS Desroches Daily'!AR14</f>
        <v/>
      </c>
      <c r="Z12" s="39" t="str">
        <f>'FS Desroches Daily'!AT14</f>
        <v/>
      </c>
      <c r="AA12" s="39" t="str">
        <f>'FS Desroches Daily'!AT14</f>
        <v/>
      </c>
      <c r="AB12" s="39" t="str">
        <f>'FS Desroches Daily'!AV14</f>
        <v/>
      </c>
      <c r="AC12" s="39" t="str">
        <f>'FS Desroches Daily'!AZ14</f>
        <v/>
      </c>
      <c r="AD12" s="39" t="str">
        <f>'FS Desroches Daily'!BB14</f>
        <v/>
      </c>
      <c r="AE12" s="39" t="str">
        <f>'FS Desroches Daily'!BD14</f>
        <v/>
      </c>
      <c r="AF12" s="35" t="str">
        <f>'FS Desroches Daily'!BF14</f>
        <v/>
      </c>
      <c r="AG12" s="36" t="str">
        <f>'FS Desroches Daily'!BH14</f>
        <v/>
      </c>
      <c r="AH12" s="36" t="str">
        <f>'FS Desroches Daily'!BJ14</f>
        <v/>
      </c>
      <c r="AI12" s="36" t="str">
        <f>'FS Desroches Daily'!BL14</f>
        <v/>
      </c>
      <c r="AJ12" s="36" t="str">
        <f>'FS Desroches Daily'!BN14</f>
        <v/>
      </c>
      <c r="AK12" s="36" t="str">
        <f>'FS Desroches Daily'!BP14</f>
        <v/>
      </c>
      <c r="AL12" s="36" t="str">
        <f>'FS Desroches Daily'!BR14</f>
        <v/>
      </c>
      <c r="AM12" s="36" t="str">
        <f>'FS Desroches Daily'!BT14</f>
        <v/>
      </c>
      <c r="AN12" s="36" t="str">
        <f>'FS Desroches Daily'!BV14</f>
        <v/>
      </c>
      <c r="AO12" s="36" t="str">
        <f>'FS Desroches Daily'!BX14</f>
        <v/>
      </c>
      <c r="AP12" s="36" t="str">
        <f>'FS Desroches Daily'!BZ14</f>
        <v/>
      </c>
      <c r="AQ12" s="35" t="str">
        <f>'FS Desroches Daily'!CB14</f>
        <v/>
      </c>
      <c r="AR12" s="35" t="str">
        <f>'FS Desroches Daily'!CD14</f>
        <v/>
      </c>
      <c r="AS12" s="35" t="str">
        <f>'FS Desroches Daily'!CF14</f>
        <v/>
      </c>
      <c r="AT12" s="35" t="str">
        <f>'FS Desroches Daily'!CH14</f>
        <v/>
      </c>
      <c r="AU12" s="35" t="str">
        <f>'FS Desroches Daily'!CJ14</f>
        <v/>
      </c>
      <c r="AV12" s="35" t="str">
        <f>'FS Desroches Daily'!CL14</f>
        <v/>
      </c>
      <c r="AW12" s="35">
        <f>'FS Desroches Daily'!CM14</f>
        <v>0</v>
      </c>
      <c r="AX12" s="35" t="str">
        <f>IF(LPG!F19-LPG!F18&lt;0,"0",(LPG!F19-LPG!F18)*1.8315)</f>
        <v>0</v>
      </c>
      <c r="AY12" s="35" t="str">
        <f>IF(LPG!H19-LPG!H18&lt;0,"0",(LPG!H19-LPG!H18)*1.8315)</f>
        <v>0</v>
      </c>
      <c r="AZ12" s="35" t="str">
        <f>IF(LPG!J19-LPG!J18&lt;0,"0",(LPG!J19-LPG!J18)*1.8315)</f>
        <v>0</v>
      </c>
      <c r="BA12" s="35" t="str">
        <f>IF(LPG!M19-LPG!M18&lt;0,"0",(LPG!M19-LPG!M18)*1.8315)</f>
        <v>0</v>
      </c>
      <c r="BB12" s="35" t="str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3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3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3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3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3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Daily'!AU20</f>
        <v>0</v>
      </c>
      <c r="AA17" s="39">
        <f>'FS Desroches Daily'!AU20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3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3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3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3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3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3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3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3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3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3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3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3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3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3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3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26199.999999999996</v>
      </c>
      <c r="F33" s="17">
        <f t="shared" ref="F33:BC33" si="1">SUM(F2:F32)</f>
        <v>41500.000000000087</v>
      </c>
      <c r="G33" s="17">
        <f t="shared" si="1"/>
        <v>33199.999999999898</v>
      </c>
      <c r="H33" s="17">
        <f t="shared" si="1"/>
        <v>17600.000000000058</v>
      </c>
      <c r="I33" s="17">
        <f t="shared" si="1"/>
        <v>23300.000000000095</v>
      </c>
      <c r="J33" s="17">
        <f t="shared" si="1"/>
        <v>20699.999999999935</v>
      </c>
      <c r="K33" s="17">
        <f t="shared" si="1"/>
        <v>195</v>
      </c>
      <c r="L33" s="17">
        <f t="shared" si="1"/>
        <v>96</v>
      </c>
      <c r="M33" s="17">
        <f t="shared" si="1"/>
        <v>14630</v>
      </c>
      <c r="N33" s="17">
        <f t="shared" si="1"/>
        <v>5659</v>
      </c>
      <c r="O33" s="17">
        <f t="shared" si="1"/>
        <v>5280.0000000000291</v>
      </c>
      <c r="P33" s="17">
        <f t="shared" si="1"/>
        <v>36200.000000000015</v>
      </c>
      <c r="Q33" s="17">
        <f t="shared" si="1"/>
        <v>5110.0000000000146</v>
      </c>
      <c r="R33" s="17">
        <f t="shared" si="1"/>
        <v>4550.0000000000109</v>
      </c>
      <c r="S33" s="17">
        <f t="shared" si="1"/>
        <v>9730.0000000000182</v>
      </c>
      <c r="T33" s="17">
        <f t="shared" si="1"/>
        <v>22.599999999999909</v>
      </c>
      <c r="U33" s="39">
        <f t="shared" si="1"/>
        <v>4899.9999999999773</v>
      </c>
      <c r="V33" s="39">
        <f t="shared" si="1"/>
        <v>2.75</v>
      </c>
      <c r="W33" s="39">
        <f t="shared" si="1"/>
        <v>2.7399999999999807</v>
      </c>
      <c r="X33" s="39">
        <f t="shared" si="1"/>
        <v>2.0800000000000125</v>
      </c>
      <c r="Y33" s="39">
        <f t="shared" si="1"/>
        <v>2399.9999999999773</v>
      </c>
      <c r="Z33" s="39">
        <f t="shared" si="1"/>
        <v>2789.9999999999636</v>
      </c>
      <c r="AA33" s="39">
        <f t="shared" si="1"/>
        <v>2789.9999999999636</v>
      </c>
      <c r="AB33" s="39">
        <f t="shared" si="1"/>
        <v>2099.9999999999945</v>
      </c>
      <c r="AC33" s="39">
        <f t="shared" si="1"/>
        <v>1789.9999999999636</v>
      </c>
      <c r="AD33" s="39">
        <f t="shared" si="1"/>
        <v>480.00000000001819</v>
      </c>
      <c r="AE33" s="39">
        <f t="shared" si="1"/>
        <v>179.9999999999784</v>
      </c>
      <c r="AF33" s="17">
        <f t="shared" si="1"/>
        <v>469</v>
      </c>
      <c r="AG33" s="36">
        <f t="shared" si="1"/>
        <v>319.99999999999318</v>
      </c>
      <c r="AH33" s="36">
        <f t="shared" si="1"/>
        <v>509.99999999999091</v>
      </c>
      <c r="AI33" s="36">
        <f t="shared" si="1"/>
        <v>520.00000000001023</v>
      </c>
      <c r="AJ33" s="36">
        <f t="shared" si="1"/>
        <v>469.99999999999886</v>
      </c>
      <c r="AK33" s="36">
        <f t="shared" si="1"/>
        <v>530.00000000002956</v>
      </c>
      <c r="AL33" s="36">
        <f t="shared" si="1"/>
        <v>477</v>
      </c>
      <c r="AM33" s="36">
        <f t="shared" si="1"/>
        <v>430.00000000000682</v>
      </c>
      <c r="AN33" s="36">
        <f t="shared" si="1"/>
        <v>448</v>
      </c>
      <c r="AO33" s="36">
        <f t="shared" si="1"/>
        <v>519.99999999998181</v>
      </c>
      <c r="AP33" s="36">
        <f t="shared" si="1"/>
        <v>671</v>
      </c>
      <c r="AQ33" s="17">
        <f t="shared" si="1"/>
        <v>415.40000000000146</v>
      </c>
      <c r="AR33" s="17">
        <f t="shared" si="1"/>
        <v>123.89999999999964</v>
      </c>
      <c r="AS33" s="17">
        <f t="shared" si="1"/>
        <v>56.600000000000364</v>
      </c>
      <c r="AT33" s="17">
        <f t="shared" si="1"/>
        <v>353</v>
      </c>
      <c r="AU33" s="17">
        <f t="shared" si="1"/>
        <v>3148</v>
      </c>
      <c r="AV33" s="17">
        <f t="shared" si="1"/>
        <v>5379.9999999999955</v>
      </c>
      <c r="AW33" s="17">
        <f t="shared" si="1"/>
        <v>913</v>
      </c>
      <c r="AX33" s="17">
        <f t="shared" si="1"/>
        <v>142.85699999999997</v>
      </c>
      <c r="AY33" s="17">
        <f t="shared" si="1"/>
        <v>38.461499999999994</v>
      </c>
      <c r="AZ33" s="17">
        <f t="shared" si="1"/>
        <v>0</v>
      </c>
      <c r="BA33" s="17">
        <f t="shared" si="1"/>
        <v>38.461500000000001</v>
      </c>
      <c r="BB33" s="17">
        <f t="shared" si="1"/>
        <v>51.281999999999996</v>
      </c>
      <c r="BC33" s="17">
        <f t="shared" si="1"/>
        <v>371</v>
      </c>
    </row>
    <row r="35" spans="5:55" x14ac:dyDescent="0.25">
      <c r="E35" s="42">
        <f>E33/E37</f>
        <v>0.2010158204054075</v>
      </c>
      <c r="G35" s="33">
        <f>G33-M36</f>
        <v>12910.999999999898</v>
      </c>
      <c r="AE35" s="39">
        <f>SUM(U33:AE33)</f>
        <v>17437.569999999836</v>
      </c>
      <c r="AG35" s="36">
        <f>SUM(AG33:AP33)</f>
        <v>4896.0000000000109</v>
      </c>
    </row>
    <row r="36" spans="5:55" x14ac:dyDescent="0.25">
      <c r="G36" s="33">
        <f>G35-633*14</f>
        <v>4048.9999999998981</v>
      </c>
      <c r="M36" s="33">
        <f>M33+N33</f>
        <v>20289</v>
      </c>
    </row>
    <row r="37" spans="5:55" x14ac:dyDescent="0.25">
      <c r="E37" s="17">
        <f>E33+F33+G33+H33+J33-633*14</f>
        <v>130337.99999999997</v>
      </c>
      <c r="G37" s="41">
        <f>M36/E37</f>
        <v>0.1556645030612715</v>
      </c>
      <c r="M37" s="39">
        <f>AE35</f>
        <v>17437.569999999836</v>
      </c>
    </row>
    <row r="38" spans="5:55" x14ac:dyDescent="0.25">
      <c r="L38" s="31">
        <f>M38/E37</f>
        <v>3.7563872393315934E-2</v>
      </c>
      <c r="M38" s="33">
        <f>AG35</f>
        <v>4896.0000000000109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opLeftCell="CC1" zoomScale="70" zoomScaleNormal="70" workbookViewId="0">
      <pane ySplit="1" topLeftCell="A2" activePane="bottomLeft" state="frozen"/>
      <selection pane="bottomLeft" activeCell="CQ13" sqref="CQ13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43890</v>
      </c>
      <c r="B3" s="75"/>
      <c r="C3" s="64">
        <v>1.5452999999999999</v>
      </c>
      <c r="D3" s="65"/>
      <c r="E3" s="64">
        <v>2.5499999999999998</v>
      </c>
      <c r="F3" s="65"/>
      <c r="G3" s="64">
        <v>2.3504</v>
      </c>
      <c r="H3" s="65"/>
      <c r="I3" s="64">
        <v>1.1044</v>
      </c>
      <c r="J3" s="65"/>
      <c r="K3" s="64">
        <v>1.6880999999999999</v>
      </c>
      <c r="L3" s="65"/>
      <c r="M3" s="64">
        <v>1.0818000000000001</v>
      </c>
      <c r="N3" s="65"/>
      <c r="O3" s="64">
        <v>12002</v>
      </c>
      <c r="P3" s="65"/>
      <c r="Q3" s="64">
        <v>4832</v>
      </c>
      <c r="R3" s="65"/>
      <c r="S3" s="64">
        <v>783345</v>
      </c>
      <c r="T3" s="65"/>
      <c r="U3" s="64">
        <v>316756</v>
      </c>
      <c r="V3" s="65"/>
      <c r="W3" s="64">
        <v>306.86</v>
      </c>
      <c r="X3" s="65"/>
      <c r="Y3" s="64">
        <v>2.2641</v>
      </c>
      <c r="Z3" s="65"/>
      <c r="AA3" s="64">
        <v>307.64999999999998</v>
      </c>
      <c r="AB3" s="65"/>
      <c r="AC3" s="64">
        <v>277.67</v>
      </c>
      <c r="AD3" s="65"/>
      <c r="AE3" s="64">
        <v>423.65</v>
      </c>
      <c r="AF3" s="65"/>
      <c r="AG3" s="64">
        <v>1106.7</v>
      </c>
      <c r="AH3" s="65"/>
      <c r="AI3" s="64">
        <v>383.81</v>
      </c>
      <c r="AJ3" s="65"/>
      <c r="AK3" s="64">
        <v>133.36000000000001</v>
      </c>
      <c r="AL3" s="65"/>
      <c r="AM3" s="64">
        <v>135.43</v>
      </c>
      <c r="AN3" s="65"/>
      <c r="AO3" s="64">
        <v>133.22999999999999</v>
      </c>
      <c r="AP3" s="65"/>
      <c r="AQ3" s="64">
        <v>205.8</v>
      </c>
      <c r="AR3" s="65"/>
      <c r="AS3" s="64">
        <v>330.66</v>
      </c>
      <c r="AT3" s="65"/>
      <c r="AU3" s="64">
        <v>254.78</v>
      </c>
      <c r="AV3" s="65"/>
      <c r="AW3" s="64">
        <v>284.02</v>
      </c>
      <c r="AX3" s="65"/>
      <c r="AY3" s="64">
        <v>334.8</v>
      </c>
      <c r="AZ3" s="65"/>
      <c r="BA3" s="64">
        <v>356.38</v>
      </c>
      <c r="BB3" s="65"/>
      <c r="BC3" s="64">
        <v>202.36</v>
      </c>
      <c r="BD3" s="65"/>
      <c r="BE3" s="66">
        <v>25735</v>
      </c>
      <c r="BF3" s="65"/>
      <c r="BG3" s="67">
        <v>221.41</v>
      </c>
      <c r="BH3" s="65"/>
      <c r="BI3" s="66">
        <v>278.44</v>
      </c>
      <c r="BJ3" s="65"/>
      <c r="BK3" s="66">
        <v>226.48</v>
      </c>
      <c r="BL3" s="65"/>
      <c r="BM3" s="66">
        <v>209.19</v>
      </c>
      <c r="BN3" s="65"/>
      <c r="BO3" s="66">
        <v>273.08</v>
      </c>
      <c r="BP3" s="65"/>
      <c r="BQ3" s="66">
        <v>36038</v>
      </c>
      <c r="BR3" s="65"/>
      <c r="BS3" s="66">
        <v>190.37</v>
      </c>
      <c r="BT3" s="65"/>
      <c r="BU3" s="66">
        <v>26939</v>
      </c>
      <c r="BV3" s="65"/>
      <c r="BW3" s="66">
        <v>219.74</v>
      </c>
      <c r="BX3" s="65"/>
      <c r="BY3" s="80">
        <v>44194</v>
      </c>
      <c r="BZ3" s="65"/>
      <c r="CA3" s="64">
        <v>26430</v>
      </c>
      <c r="CB3" s="65"/>
      <c r="CC3" s="64">
        <v>10952.2</v>
      </c>
      <c r="CD3" s="65"/>
      <c r="CE3" s="64">
        <v>5346.5</v>
      </c>
      <c r="CF3" s="65"/>
      <c r="CG3" s="64">
        <v>40436.199999999997</v>
      </c>
      <c r="CH3" s="65"/>
      <c r="CI3" s="64">
        <v>833175</v>
      </c>
      <c r="CJ3" s="65"/>
      <c r="CK3" s="64">
        <v>525.44000000000005</v>
      </c>
      <c r="CL3" s="65"/>
      <c r="CM3" s="72">
        <v>81</v>
      </c>
      <c r="CN3" s="69">
        <v>42</v>
      </c>
      <c r="CO3" s="69">
        <v>87</v>
      </c>
    </row>
    <row r="4" spans="1:93" ht="25.5" customHeight="1" thickBot="1" x14ac:dyDescent="0.45">
      <c r="A4" s="70">
        <v>43891</v>
      </c>
      <c r="B4" s="48"/>
      <c r="C4" s="64">
        <v>1.5475000000000001</v>
      </c>
      <c r="D4" s="71">
        <f>IF((C4-C3&lt;0), "0",(C4-C3)*1000000)</f>
        <v>2200.0000000002019</v>
      </c>
      <c r="E4" s="64">
        <v>2.5543999999999998</v>
      </c>
      <c r="F4" s="71">
        <f>IF((E4-E3&lt;0), "0",(E4-E3)*1000000)</f>
        <v>4399.9999999999591</v>
      </c>
      <c r="G4" s="64">
        <v>2.3538000000000001</v>
      </c>
      <c r="H4" s="71">
        <f>IF((G4-G3&lt;0), "0",(G4-G3)*1000000)</f>
        <v>3400.0000000000696</v>
      </c>
      <c r="I4" s="64">
        <v>1.1061000000000001</v>
      </c>
      <c r="J4" s="71">
        <f>IF((I4-I3&lt;0), "0",(I4-I3)*1000000)</f>
        <v>1700.0000000000348</v>
      </c>
      <c r="K4" s="64">
        <v>1.6903999999999999</v>
      </c>
      <c r="L4" s="71">
        <f t="shared" ref="L4:L34" si="0">IF((K4-K3&lt;0), "0",(K4-K3)*1000000)</f>
        <v>2299.9999999999686</v>
      </c>
      <c r="M4" s="64">
        <v>1.0840000000000001</v>
      </c>
      <c r="N4" s="71">
        <f>IF((M4-M3&lt;0), "",(M4-M3)*1000000)</f>
        <v>2199.9999999999795</v>
      </c>
      <c r="O4" s="64">
        <v>12021</v>
      </c>
      <c r="P4" s="71">
        <f>IF((O4-O3&lt;0), "",O4-O3)</f>
        <v>19</v>
      </c>
      <c r="Q4" s="64">
        <v>4841</v>
      </c>
      <c r="R4" s="71">
        <f>IF((Q4-Q3&lt;0), "",Q4-Q3)</f>
        <v>9</v>
      </c>
      <c r="S4" s="64">
        <v>784980</v>
      </c>
      <c r="T4" s="71">
        <f>IF((S4-S3&lt;0), "",S4-S3)</f>
        <v>1635</v>
      </c>
      <c r="U4" s="64">
        <v>317280</v>
      </c>
      <c r="V4" s="71">
        <f>IF((U4-U3&lt;0), "",U4-U3)</f>
        <v>524</v>
      </c>
      <c r="W4" s="64">
        <v>307.39</v>
      </c>
      <c r="X4" s="71">
        <f>IF((W4-W3&lt;0), "",(W4-W3)*1000)</f>
        <v>529.99999999997272</v>
      </c>
      <c r="Y4" s="64">
        <v>2.2679999999999998</v>
      </c>
      <c r="Z4" s="71">
        <f>IF((Y4-Y3&lt;0), "",(Y4-Y3)*1000000)</f>
        <v>3899.9999999997926</v>
      </c>
      <c r="AA4" s="64">
        <v>308.27</v>
      </c>
      <c r="AB4" s="71">
        <f>IF((AA4-AA3&lt;0), "",(AA4-AA3)*1000)</f>
        <v>620.00000000000455</v>
      </c>
      <c r="AC4" s="64">
        <v>278.14</v>
      </c>
      <c r="AD4" s="71">
        <f>IF((AC4-AC3&lt;0), "",(AC4-AC3)*1000)</f>
        <v>469.99999999997044</v>
      </c>
      <c r="AE4" s="64">
        <v>424.6</v>
      </c>
      <c r="AF4" s="71">
        <f>IF((AE4-AE3&lt;0), "",(AE4-AE3)*1000)</f>
        <v>950.00000000004547</v>
      </c>
      <c r="AG4" s="64">
        <v>1108.8</v>
      </c>
      <c r="AH4" s="71">
        <f>IF((AG4-AG3&lt;0), "",AG4-AG3)</f>
        <v>2.0999999999999091</v>
      </c>
      <c r="AI4" s="64">
        <v>384.15</v>
      </c>
      <c r="AJ4" s="71">
        <f>IF((AI4-AI3&lt;0), "",(AI4-AI3)*1000)</f>
        <v>339.99999999997499</v>
      </c>
      <c r="AK4" s="64">
        <v>133.6</v>
      </c>
      <c r="AL4" s="71">
        <f>IF((AK4-AK3&lt;0), "",AK4-AK3)</f>
        <v>0.23999999999998067</v>
      </c>
      <c r="AM4" s="64">
        <v>135.69</v>
      </c>
      <c r="AN4" s="71">
        <f>IF((AM4-AM3&lt;0), "",AM4-AM3)</f>
        <v>0.25999999999999091</v>
      </c>
      <c r="AO4" s="64">
        <v>133.4</v>
      </c>
      <c r="AP4" s="71">
        <f>IF((AO4-AO3&lt;0), "",AO4-AO3)</f>
        <v>0.17000000000001592</v>
      </c>
      <c r="AQ4" s="64">
        <v>206.02</v>
      </c>
      <c r="AR4" s="71">
        <f>IF((AQ4-AQ3&lt;0), "",(AQ4-AQ3)*1000)</f>
        <v>219.99999999999886</v>
      </c>
      <c r="AS4" s="64">
        <v>330.87</v>
      </c>
      <c r="AT4" s="72">
        <f>IF((AS4-AS3&lt;0), "",(AS4-AS3)*1000)</f>
        <v>209.99999999997954</v>
      </c>
      <c r="AU4" s="64">
        <v>254.99</v>
      </c>
      <c r="AV4" s="71">
        <f>IF((AU4-AU3&lt;0), "",(AU4-AU3)*1000)</f>
        <v>210.00000000000796</v>
      </c>
      <c r="AW4" s="64">
        <v>284.14999999999998</v>
      </c>
      <c r="AX4" s="71">
        <f>IF((AW4-AW3&lt;0), "",(AW4-AW3)*1000)</f>
        <v>129.99999999999545</v>
      </c>
      <c r="AY4" s="64">
        <v>334.95</v>
      </c>
      <c r="AZ4" s="71">
        <f>IF((AY4-AY3&lt;0), "",(AY4-AY3)*1000)</f>
        <v>149.99999999997726</v>
      </c>
      <c r="BA4" s="64">
        <v>356.41</v>
      </c>
      <c r="BB4" s="71">
        <f>IF((BA4-BA3&lt;0), "",(BA4-BA3)*1000)</f>
        <v>30.000000000029559</v>
      </c>
      <c r="BC4" s="64">
        <v>202.37</v>
      </c>
      <c r="BD4" s="71">
        <f>IF((BC4-BC3&lt;0), "",(BC4-BC3)*1000)</f>
        <v>9.9999999999909051</v>
      </c>
      <c r="BE4" s="66">
        <v>25784</v>
      </c>
      <c r="BF4" s="71">
        <f>IF((BE4-BE3&lt;0), "",BE4-BE3)</f>
        <v>49</v>
      </c>
      <c r="BG4" s="67">
        <v>221.44</v>
      </c>
      <c r="BH4" s="71">
        <f>IF((BG4-BG3&lt;0), "",(BG4-BG3)*1000)</f>
        <v>30.000000000001137</v>
      </c>
      <c r="BI4" s="66">
        <v>278.48</v>
      </c>
      <c r="BJ4" s="71">
        <f>IF((BI4-BI3&lt;0), "",(BI4-BI3)*1000)</f>
        <v>40.000000000020464</v>
      </c>
      <c r="BK4" s="66">
        <v>226.52</v>
      </c>
      <c r="BL4" s="71">
        <f>IF((BK4-BK3&lt;0), "",(BK4-BK3)*1000)</f>
        <v>40.000000000020464</v>
      </c>
      <c r="BM4" s="66">
        <v>209.23</v>
      </c>
      <c r="BN4" s="71">
        <f>IF((BM4-BM3&lt;0), "",(BM4-BM3)*1000)</f>
        <v>39.999999999992042</v>
      </c>
      <c r="BO4" s="66">
        <v>273.12</v>
      </c>
      <c r="BP4" s="71">
        <f>IF((BO4-BO3&lt;0), "",(BO4-BO3)*1000)</f>
        <v>40.000000000020464</v>
      </c>
      <c r="BQ4" s="66">
        <v>36089</v>
      </c>
      <c r="BR4" s="71">
        <f>IF((BQ4-BQ3&lt;0), "",BQ4-BQ3)</f>
        <v>51</v>
      </c>
      <c r="BS4" s="66">
        <v>190.41</v>
      </c>
      <c r="BT4" s="71">
        <f>IF((BS4-BS3&lt;0), "",(BS4-BS3)*1000)</f>
        <v>39.999999999992042</v>
      </c>
      <c r="BU4" s="66">
        <v>26980</v>
      </c>
      <c r="BV4" s="72">
        <f t="shared" ref="BV4:BV35" si="1">IF((BU4-BU3&lt;0), "",BU4-BU3)</f>
        <v>41</v>
      </c>
      <c r="BW4" s="66">
        <v>219.77</v>
      </c>
      <c r="BX4" s="71">
        <f>IF((BW4-BW3&lt;0), "",(BW4-BW3)*1000)</f>
        <v>30.000000000001137</v>
      </c>
      <c r="BY4" s="80">
        <v>44255</v>
      </c>
      <c r="BZ4" s="71">
        <f>IF((BY4-BY3&lt;0), "",BY4-BY3)</f>
        <v>61</v>
      </c>
      <c r="CA4" s="64">
        <v>26470</v>
      </c>
      <c r="CB4" s="71">
        <f>IF((CA4-CA3&lt;0), "",CA4-CA3)</f>
        <v>40</v>
      </c>
      <c r="CC4" s="64">
        <v>10965.4</v>
      </c>
      <c r="CD4" s="71">
        <f>IF((CC4-CC3&lt;0), "",CC4-CC3)</f>
        <v>13.199999999998909</v>
      </c>
      <c r="CE4" s="64">
        <v>5358.8</v>
      </c>
      <c r="CF4" s="71">
        <f>IF((CE4-CE3&lt;0), "",CE4-CE3)</f>
        <v>12.300000000000182</v>
      </c>
      <c r="CG4" s="64">
        <v>40454.699999999997</v>
      </c>
      <c r="CH4" s="71">
        <f>IF((CG4-CG3&lt;0), "",CG4-CG3)</f>
        <v>18.5</v>
      </c>
      <c r="CI4" s="64">
        <v>833464</v>
      </c>
      <c r="CJ4" s="72">
        <f t="shared" ref="CJ4:CJ34" si="2">IF((CI4-CI3&lt;0), "",CI4-CI3)</f>
        <v>289</v>
      </c>
      <c r="CK4" s="64">
        <v>525.94000000000005</v>
      </c>
      <c r="CL4" s="71">
        <f>IF((CK4-CK3&lt;0), "",(CK4-CK3)*1000)</f>
        <v>500</v>
      </c>
      <c r="CM4" s="72">
        <v>93.1</v>
      </c>
      <c r="CN4" s="69">
        <v>40</v>
      </c>
      <c r="CO4" s="69">
        <v>83</v>
      </c>
    </row>
    <row r="5" spans="1:93" ht="25.5" customHeight="1" thickBot="1" x14ac:dyDescent="0.45">
      <c r="A5" s="70">
        <v>43892</v>
      </c>
      <c r="B5" s="48"/>
      <c r="C5" s="64">
        <v>1.5503</v>
      </c>
      <c r="D5" s="71">
        <f t="shared" ref="D5:D34" si="3">IF((C5-C4&lt;0), "0",(C5-C4)*1000000)</f>
        <v>2799.9999999999136</v>
      </c>
      <c r="E5" s="64">
        <v>2.5586000000000002</v>
      </c>
      <c r="F5" s="71">
        <f t="shared" ref="F5:F34" si="4">IF((E5-E4&lt;0), "0",(E5-E4)*1000000)</f>
        <v>4200.0000000004256</v>
      </c>
      <c r="G5" s="64">
        <v>2.3572000000000002</v>
      </c>
      <c r="H5" s="71">
        <f t="shared" ref="H5:H34" si="5">IF((G5-G4&lt;0), "0",(G5-G4)*1000000)</f>
        <v>3400.0000000000696</v>
      </c>
      <c r="I5" s="64">
        <v>1.1079000000000001</v>
      </c>
      <c r="J5" s="71">
        <f>IF((I5-I4&lt;0), "0",(I5-I4)*1000000)</f>
        <v>1800.0000000000239</v>
      </c>
      <c r="K5" s="64">
        <v>1.6928000000000001</v>
      </c>
      <c r="L5" s="71">
        <f t="shared" si="0"/>
        <v>2400.0000000001796</v>
      </c>
      <c r="M5" s="64">
        <v>1.0862000000000001</v>
      </c>
      <c r="N5" s="71">
        <f t="shared" ref="N5:N34" si="6">IF((M5-M4&lt;0), "",(M5-M4)*1000000)</f>
        <v>2199.9999999999795</v>
      </c>
      <c r="O5" s="64">
        <v>12039</v>
      </c>
      <c r="P5" s="72">
        <f t="shared" ref="P5:P32" si="7">IF((O5-O4&lt;0), "",O5-O4)</f>
        <v>18</v>
      </c>
      <c r="Q5" s="64">
        <v>4851</v>
      </c>
      <c r="R5" s="72">
        <f t="shared" ref="R5:R34" si="8">IF((Q5-Q4&lt;0), "",Q5-Q4)</f>
        <v>10</v>
      </c>
      <c r="S5" s="64">
        <v>786660</v>
      </c>
      <c r="T5" s="71">
        <f t="shared" ref="T5:T11" si="9">IF((S5-S4&lt;0), "",S5-S4)</f>
        <v>1680</v>
      </c>
      <c r="U5" s="64">
        <v>317847</v>
      </c>
      <c r="V5" s="72">
        <f t="shared" ref="V5:V34" si="10">IF((U5-U4&lt;0), "",U5-U4)</f>
        <v>567</v>
      </c>
      <c r="W5" s="64">
        <v>307.89999999999998</v>
      </c>
      <c r="X5" s="71">
        <f>IF((W5-W4&lt;0), "",(W5-W4)*1000)</f>
        <v>509.99999999999091</v>
      </c>
      <c r="Y5" s="64">
        <v>2.2713999999999999</v>
      </c>
      <c r="Z5" s="72">
        <f>IF((Y5-Y4&lt;0), "",(Y5-Y4)*1000000)</f>
        <v>3400.0000000000696</v>
      </c>
      <c r="AA5" s="64">
        <v>308.83999999999997</v>
      </c>
      <c r="AB5" s="72">
        <f>IF((AA5-AA4&lt;0), "",(AA5-AA4)*1000)</f>
        <v>569.99999999999318</v>
      </c>
      <c r="AC5" s="64">
        <v>278.62</v>
      </c>
      <c r="AD5" s="72">
        <f>IF((AC5-AC4&lt;0), "",(AC5-AC4)*1000)</f>
        <v>480.00000000001819</v>
      </c>
      <c r="AE5" s="64">
        <v>425.5</v>
      </c>
      <c r="AF5" s="72">
        <f>IF((AE5-AE4&lt;0), "",(AE5-AE4)*1000)</f>
        <v>899.99999999997726</v>
      </c>
      <c r="AG5" s="64">
        <v>1111</v>
      </c>
      <c r="AH5" s="72">
        <f t="shared" ref="AH5:AH34" si="11">IF((AG5-AG4&lt;0), "",AG5-AG4)</f>
        <v>2.2000000000000455</v>
      </c>
      <c r="AI5" s="64">
        <v>384.67</v>
      </c>
      <c r="AJ5" s="72">
        <f>IF((AI5-AI4&lt;0), "",(AI5-AI4)*1000)</f>
        <v>520.00000000003865</v>
      </c>
      <c r="AK5" s="64">
        <v>133.84</v>
      </c>
      <c r="AL5" s="72">
        <f t="shared" ref="AL5:AL34" si="12">IF((AK5-AK4&lt;0), "",AK5-AK4)</f>
        <v>0.24000000000000909</v>
      </c>
      <c r="AM5" s="64">
        <v>135.97999999999999</v>
      </c>
      <c r="AN5" s="72">
        <f t="shared" ref="AN5:AN34" si="13">IF((AM5-AM4&lt;0), "",AM5-AM4)</f>
        <v>0.28999999999999204</v>
      </c>
      <c r="AO5" s="64">
        <v>133.6</v>
      </c>
      <c r="AP5" s="72">
        <f t="shared" ref="AP5:AP34" si="14">IF((AO5-AO4&lt;0), "",AO5-AO4)</f>
        <v>0.19999999999998863</v>
      </c>
      <c r="AQ5" s="64">
        <v>206.28</v>
      </c>
      <c r="AR5" s="72">
        <f>IF((AQ5-AQ4&lt;0), "",(AQ5-AQ4)*1000)</f>
        <v>259.99999999999091</v>
      </c>
      <c r="AS5" s="64">
        <v>331.12</v>
      </c>
      <c r="AT5" s="72">
        <f>IF((AS5-AS4&lt;0), "",(AS5-AS4)*1000)</f>
        <v>250</v>
      </c>
      <c r="AU5" s="64">
        <v>255.25</v>
      </c>
      <c r="AV5" s="72">
        <f>IF((AU5-AU4&lt;0), "",(AU5-AU4)*1000)</f>
        <v>259.99999999999091</v>
      </c>
      <c r="AW5" s="64">
        <v>284.29000000000002</v>
      </c>
      <c r="AX5" s="72">
        <f>IF((AW5-AW4&lt;0), "",(AW5-AW4)*1000)</f>
        <v>140.0000000000432</v>
      </c>
      <c r="AY5" s="64">
        <v>335.13</v>
      </c>
      <c r="AZ5" s="72">
        <f>IF((AY5-AY4&lt;0), "",(AY5-AY4)*1000)</f>
        <v>180.00000000000682</v>
      </c>
      <c r="BA5" s="64">
        <v>356.47</v>
      </c>
      <c r="BB5" s="71">
        <f>IF((BA5-BA4&lt;0), "",(BA5-BA4)*1000)</f>
        <v>60.000000000002274</v>
      </c>
      <c r="BC5" s="64">
        <v>202.38</v>
      </c>
      <c r="BD5" s="72">
        <f>IF((BC5-BC4&lt;0), "",(BC5-BC4)*1000)</f>
        <v>9.9999999999909051</v>
      </c>
      <c r="BE5" s="66">
        <v>25819</v>
      </c>
      <c r="BF5" s="72">
        <f t="shared" ref="BF5:BF33" si="15">IF((BE5-BE4&lt;0), "",BE5-BE4)</f>
        <v>35</v>
      </c>
      <c r="BG5" s="67">
        <v>221.48</v>
      </c>
      <c r="BH5" s="72">
        <f>IF((BG5-BG4&lt;0), "",(BG5-BG4)*1000)</f>
        <v>39.999999999992042</v>
      </c>
      <c r="BI5" s="66">
        <v>278.54000000000002</v>
      </c>
      <c r="BJ5" s="72">
        <f>IF((BI5-BI4&lt;0), "",(BI5-BI4)*1000)</f>
        <v>60.000000000002274</v>
      </c>
      <c r="BK5" s="66">
        <v>226.56</v>
      </c>
      <c r="BL5" s="72">
        <f>IF((BK5-BK4&lt;0), "",(BK5-BK4)*1000)</f>
        <v>39.999999999992042</v>
      </c>
      <c r="BM5" s="66">
        <v>209.27</v>
      </c>
      <c r="BN5" s="72">
        <f>IF((BM5-BM4&lt;0), "",(BM5-BM4)*1000)</f>
        <v>40.000000000020464</v>
      </c>
      <c r="BO5" s="66">
        <v>273.18</v>
      </c>
      <c r="BP5" s="72">
        <f>IF((BO5-BO4&lt;0), "",(BO5-BO4)*1000)</f>
        <v>60.000000000002274</v>
      </c>
      <c r="BQ5" s="66">
        <v>36139</v>
      </c>
      <c r="BR5" s="72">
        <f t="shared" ref="BR5:BR34" si="16">IF((BQ5-BQ4&lt;0), "",BQ5-BQ4)</f>
        <v>50</v>
      </c>
      <c r="BS5" s="66">
        <v>190.45</v>
      </c>
      <c r="BT5" s="72">
        <f>IF((BS5-BS4&lt;0), "",(BS5-BS4)*1000)</f>
        <v>39.999999999992042</v>
      </c>
      <c r="BU5" s="66">
        <v>27022</v>
      </c>
      <c r="BV5" s="72">
        <f t="shared" si="1"/>
        <v>42</v>
      </c>
      <c r="BW5" s="66">
        <v>219.82</v>
      </c>
      <c r="BX5" s="72">
        <f>IF((BW5-BW4&lt;0), "",(BW5-BW4)*1000)</f>
        <v>49.999999999982947</v>
      </c>
      <c r="BY5" s="80">
        <v>44316</v>
      </c>
      <c r="BZ5" s="72">
        <f t="shared" ref="BZ5:BZ34" si="17">IF((BY5-BY4&lt;0), "",BY5-BY4)</f>
        <v>61</v>
      </c>
      <c r="CA5" s="64">
        <v>26508.1</v>
      </c>
      <c r="CB5" s="72">
        <f t="shared" ref="CB5:CB34" si="18">IF((CA5-CA4&lt;0), "",CA5-CA4)</f>
        <v>38.099999999998545</v>
      </c>
      <c r="CC5" s="64">
        <v>10980.2</v>
      </c>
      <c r="CD5" s="72">
        <f t="shared" ref="CD5:CD34" si="19">IF((CC5-CC4&lt;0), "",CC5-CC4)</f>
        <v>14.800000000001091</v>
      </c>
      <c r="CE5" s="64">
        <v>5363</v>
      </c>
      <c r="CF5" s="72">
        <f t="shared" ref="CF5:CF34" si="20">IF((CE5-CE4&lt;0), "",CE5-CE4)</f>
        <v>4.1999999999998181</v>
      </c>
      <c r="CG5" s="64">
        <v>40490.1</v>
      </c>
      <c r="CH5" s="72">
        <f t="shared" ref="CH5:CH34" si="21">IF((CG5-CG4&lt;0), "",CG5-CG4)</f>
        <v>35.400000000001455</v>
      </c>
      <c r="CI5" s="64">
        <v>833783</v>
      </c>
      <c r="CJ5" s="72">
        <f t="shared" si="2"/>
        <v>319</v>
      </c>
      <c r="CK5" s="64">
        <v>526.51</v>
      </c>
      <c r="CL5" s="71">
        <f t="shared" ref="CL5:CL34" si="22">IF((CK5-CK4&lt;0), "",(CK5-CK4)*1000)</f>
        <v>569.99999999993634</v>
      </c>
      <c r="CM5" s="72">
        <v>83</v>
      </c>
      <c r="CN5" s="69">
        <v>39</v>
      </c>
      <c r="CO5" s="69">
        <v>80</v>
      </c>
    </row>
    <row r="6" spans="1:93" ht="25.5" customHeight="1" thickBot="1" x14ac:dyDescent="0.45">
      <c r="A6" s="70">
        <v>43893</v>
      </c>
      <c r="B6" s="48"/>
      <c r="C6" s="64">
        <v>1.5528999999999999</v>
      </c>
      <c r="D6" s="71">
        <f t="shared" si="3"/>
        <v>2599.9999999999359</v>
      </c>
      <c r="E6" s="64">
        <v>2.5629</v>
      </c>
      <c r="F6" s="71">
        <f t="shared" si="4"/>
        <v>4299.9999999997481</v>
      </c>
      <c r="G6" s="64">
        <v>2.3603999999999998</v>
      </c>
      <c r="H6" s="71">
        <f t="shared" si="5"/>
        <v>3199.9999999996476</v>
      </c>
      <c r="I6" s="64">
        <v>1.1094999999999999</v>
      </c>
      <c r="J6" s="71">
        <f>IF((I6-I5&lt;0), "0",(I6-I5)*1000000)</f>
        <v>1599.9999999998238</v>
      </c>
      <c r="K6" s="64">
        <v>1.6950000000000001</v>
      </c>
      <c r="L6" s="71">
        <f t="shared" si="0"/>
        <v>2199.9999999999795</v>
      </c>
      <c r="M6" s="64">
        <v>1.0880000000000001</v>
      </c>
      <c r="N6" s="71">
        <f t="shared" si="6"/>
        <v>1800.0000000000239</v>
      </c>
      <c r="O6" s="64">
        <v>12057</v>
      </c>
      <c r="P6" s="72">
        <f t="shared" si="7"/>
        <v>18</v>
      </c>
      <c r="Q6" s="64">
        <v>4860</v>
      </c>
      <c r="R6" s="72">
        <f t="shared" si="8"/>
        <v>9</v>
      </c>
      <c r="S6" s="64">
        <v>788165</v>
      </c>
      <c r="T6" s="71">
        <f t="shared" si="9"/>
        <v>1505</v>
      </c>
      <c r="U6" s="64">
        <v>318432</v>
      </c>
      <c r="V6" s="72">
        <f t="shared" si="10"/>
        <v>585</v>
      </c>
      <c r="W6" s="64">
        <v>308.47000000000003</v>
      </c>
      <c r="X6" s="72">
        <f t="shared" ref="X6:X34" si="23">IF((W6-W5&lt;0), "",(W6-W5)*1000)</f>
        <v>570.00000000005002</v>
      </c>
      <c r="Y6" s="64">
        <v>2.2751999999999999</v>
      </c>
      <c r="Z6" s="72">
        <f t="shared" ref="Z6:Z34" si="24">IF((Y6-Y5&lt;0), "",(Y6-Y5)*1000000)</f>
        <v>3800.0000000000255</v>
      </c>
      <c r="AA6" s="64">
        <v>309.16000000000003</v>
      </c>
      <c r="AB6" s="72">
        <f t="shared" ref="AB6:AB34" si="25">IF((AA6-AA5&lt;0), "",(AA6-AA5)*1000)</f>
        <v>320.00000000005002</v>
      </c>
      <c r="AC6" s="64">
        <v>279.10000000000002</v>
      </c>
      <c r="AD6" s="72">
        <f t="shared" ref="AD6:AD34" si="26">IF((AC6-AC5&lt;0), "",(AC6-AC5)*1000)</f>
        <v>480.00000000001819</v>
      </c>
      <c r="AE6" s="64">
        <v>426.4</v>
      </c>
      <c r="AF6" s="72">
        <f t="shared" ref="AF6:AF34" si="27">IF((AE6-AE5&lt;0), "",(AE6-AE5)*1000)</f>
        <v>899.99999999997726</v>
      </c>
      <c r="AG6" s="64">
        <v>1113.3</v>
      </c>
      <c r="AH6" s="72">
        <f t="shared" si="11"/>
        <v>2.2999999999999545</v>
      </c>
      <c r="AI6" s="64">
        <v>385.13</v>
      </c>
      <c r="AJ6" s="72">
        <f t="shared" ref="AJ6:AJ34" si="28">IF((AI6-AI5&lt;0), "",(AI6-AI5)*1000)</f>
        <v>459.99999999997954</v>
      </c>
      <c r="AK6" s="64">
        <v>134.09</v>
      </c>
      <c r="AL6" s="72">
        <f t="shared" si="12"/>
        <v>0.25</v>
      </c>
      <c r="AM6" s="64">
        <v>136.26</v>
      </c>
      <c r="AN6" s="72">
        <f t="shared" si="13"/>
        <v>0.28000000000000114</v>
      </c>
      <c r="AO6" s="64">
        <v>133.83000000000001</v>
      </c>
      <c r="AP6" s="72">
        <f t="shared" si="14"/>
        <v>0.23000000000001819</v>
      </c>
      <c r="AQ6" s="64">
        <v>206.53</v>
      </c>
      <c r="AR6" s="72">
        <f t="shared" ref="AR6:AR34" si="29">IF((AQ6-AQ5&lt;0), "",(AQ6-AQ5)*1000)</f>
        <v>250</v>
      </c>
      <c r="AS6" s="64">
        <v>331.36</v>
      </c>
      <c r="AT6" s="72">
        <f t="shared" ref="AT6:AT34" si="30">IF((AS6-AS5&lt;0), "",(AS6-AS5)*1000)</f>
        <v>240.00000000000909</v>
      </c>
      <c r="AU6" s="64">
        <v>255.51</v>
      </c>
      <c r="AV6" s="72">
        <f t="shared" ref="AV6:AV34" si="31">IF((AU6-AU5&lt;0), "",(AU6-AU5)*1000)</f>
        <v>259.99999999999091</v>
      </c>
      <c r="AW6" s="64">
        <v>284.43</v>
      </c>
      <c r="AX6" s="72">
        <f t="shared" ref="AX6:AX37" si="32">IF((AW6-AW5&lt;0), "",(AW6-AW5)*1000)</f>
        <v>139.99999999998636</v>
      </c>
      <c r="AY6" s="64">
        <v>335.32</v>
      </c>
      <c r="AZ6" s="72">
        <f t="shared" ref="AZ6:AZ34" si="33">IF((AY6-AY5&lt;0), "",(AY6-AY5)*1000)</f>
        <v>189.99999999999773</v>
      </c>
      <c r="BA6" s="64">
        <v>356.52</v>
      </c>
      <c r="BB6" s="72">
        <f t="shared" ref="BB6:BB34" si="34">IF((BA6-BA5&lt;0), "",(BA6-BA5)*1000)</f>
        <v>49.999999999954525</v>
      </c>
      <c r="BC6" s="64">
        <v>202.4</v>
      </c>
      <c r="BD6" s="72">
        <f t="shared" ref="BD6:BD34" si="35">IF((BC6-BC5&lt;0), "",(BC6-BC5)*1000)</f>
        <v>20.000000000010232</v>
      </c>
      <c r="BE6" s="66">
        <v>25866</v>
      </c>
      <c r="BF6" s="72">
        <f t="shared" si="15"/>
        <v>47</v>
      </c>
      <c r="BG6" s="67">
        <v>221.5</v>
      </c>
      <c r="BH6" s="72">
        <f t="shared" ref="BH6:BH34" si="36">IF((BG6-BG5&lt;0), "",(BG6-BG5)*1000)</f>
        <v>20.000000000010232</v>
      </c>
      <c r="BI6" s="66">
        <v>278.60000000000002</v>
      </c>
      <c r="BJ6" s="72">
        <f t="shared" ref="BJ6:BJ35" si="37">IF((BI6-BI5&lt;0), "",(BI6-BI5)*1000)</f>
        <v>60.000000000002274</v>
      </c>
      <c r="BK6" s="66">
        <v>226.61</v>
      </c>
      <c r="BL6" s="72">
        <f t="shared" ref="BL6:BL35" si="38">IF((BK6-BK5&lt;0), "",(BK6-BK5)*1000)</f>
        <v>50.000000000011369</v>
      </c>
      <c r="BM6" s="66">
        <v>209.32</v>
      </c>
      <c r="BN6" s="72">
        <f t="shared" ref="BN6:BN34" si="39">IF((BM6-BM5&lt;0), "",(BM6-BM5)*1000)</f>
        <v>49.999999999982947</v>
      </c>
      <c r="BO6" s="66">
        <v>273.24</v>
      </c>
      <c r="BP6" s="72">
        <f t="shared" ref="BP6:BP34" si="40">IF((BO6-BO5&lt;0), "",(BO6-BO5)*1000)</f>
        <v>60.000000000002274</v>
      </c>
      <c r="BQ6" s="66">
        <v>36189</v>
      </c>
      <c r="BR6" s="72">
        <f t="shared" si="16"/>
        <v>50</v>
      </c>
      <c r="BS6" s="66">
        <v>190.49</v>
      </c>
      <c r="BT6" s="72">
        <f t="shared" ref="BT6:BT35" si="41">IF((BS6-BS5&lt;0), "",(BS6-BS5)*1000)</f>
        <v>40.000000000020464</v>
      </c>
      <c r="BU6" s="66">
        <v>27062</v>
      </c>
      <c r="BV6" s="72">
        <f t="shared" si="1"/>
        <v>40</v>
      </c>
      <c r="BW6" s="66">
        <v>219.86</v>
      </c>
      <c r="BX6" s="72">
        <f t="shared" ref="BX6:BX34" si="42">IF((BW6-BW5&lt;0), "",(BW6-BW5)*1000)</f>
        <v>40.000000000020464</v>
      </c>
      <c r="BY6" s="80">
        <v>44379</v>
      </c>
      <c r="BZ6" s="72">
        <f t="shared" si="17"/>
        <v>63</v>
      </c>
      <c r="CA6" s="64">
        <v>26550.9</v>
      </c>
      <c r="CB6" s="72">
        <f t="shared" si="18"/>
        <v>42.80000000000291</v>
      </c>
      <c r="CC6" s="64">
        <v>10992.2</v>
      </c>
      <c r="CD6" s="72">
        <f t="shared" si="19"/>
        <v>12</v>
      </c>
      <c r="CE6" s="64">
        <v>5367</v>
      </c>
      <c r="CF6" s="72">
        <f t="shared" si="20"/>
        <v>4</v>
      </c>
      <c r="CG6" s="64">
        <v>40515.9</v>
      </c>
      <c r="CH6" s="72">
        <f t="shared" si="21"/>
        <v>25.80000000000291</v>
      </c>
      <c r="CI6" s="64">
        <v>834076</v>
      </c>
      <c r="CJ6" s="72">
        <f t="shared" si="2"/>
        <v>293</v>
      </c>
      <c r="CK6" s="64">
        <v>527.02</v>
      </c>
      <c r="CL6" s="71">
        <f t="shared" si="22"/>
        <v>509.99999999999091</v>
      </c>
      <c r="CM6" s="72">
        <v>86</v>
      </c>
      <c r="CN6" s="69">
        <v>35</v>
      </c>
      <c r="CO6" s="69">
        <v>74</v>
      </c>
    </row>
    <row r="7" spans="1:93" ht="25.5" customHeight="1" thickBot="1" x14ac:dyDescent="0.45">
      <c r="A7" s="70">
        <v>43894</v>
      </c>
      <c r="B7" s="48"/>
      <c r="C7" s="64">
        <v>1.5555000000000001</v>
      </c>
      <c r="D7" s="71">
        <f t="shared" si="3"/>
        <v>2600.0000000001578</v>
      </c>
      <c r="E7" s="64">
        <v>2.5672000000000001</v>
      </c>
      <c r="F7" s="71">
        <f t="shared" si="4"/>
        <v>4300.0000000001928</v>
      </c>
      <c r="G7" s="64">
        <v>2.3637999999999999</v>
      </c>
      <c r="H7" s="71">
        <f t="shared" si="5"/>
        <v>3400.0000000000696</v>
      </c>
      <c r="I7" s="64">
        <v>1.1113</v>
      </c>
      <c r="J7" s="71">
        <f>IF((I7-I6&lt;0), "0",(I7-I6)*1000000)</f>
        <v>1800.0000000000239</v>
      </c>
      <c r="K7" s="64">
        <v>1.6973</v>
      </c>
      <c r="L7" s="71">
        <f t="shared" si="0"/>
        <v>2299.9999999999686</v>
      </c>
      <c r="M7" s="64">
        <v>1.0902000000000001</v>
      </c>
      <c r="N7" s="71">
        <f t="shared" si="6"/>
        <v>2199.9999999999795</v>
      </c>
      <c r="O7" s="64">
        <v>12072</v>
      </c>
      <c r="P7" s="72">
        <f t="shared" si="7"/>
        <v>15</v>
      </c>
      <c r="Q7" s="64">
        <v>4871</v>
      </c>
      <c r="R7" s="72">
        <f t="shared" si="8"/>
        <v>11</v>
      </c>
      <c r="S7" s="64">
        <v>789624</v>
      </c>
      <c r="T7" s="71">
        <f t="shared" si="9"/>
        <v>1459</v>
      </c>
      <c r="U7" s="64">
        <v>319108</v>
      </c>
      <c r="V7" s="72">
        <f t="shared" si="10"/>
        <v>676</v>
      </c>
      <c r="W7" s="64">
        <v>309.02</v>
      </c>
      <c r="X7" s="72">
        <f t="shared" si="23"/>
        <v>549.99999999995453</v>
      </c>
      <c r="Y7" s="64">
        <v>2.2789000000000001</v>
      </c>
      <c r="Z7" s="72">
        <f t="shared" si="24"/>
        <v>3700.0000000002588</v>
      </c>
      <c r="AA7" s="64">
        <v>309.77999999999997</v>
      </c>
      <c r="AB7" s="72">
        <f t="shared" si="25"/>
        <v>619.9999999999477</v>
      </c>
      <c r="AC7" s="64">
        <v>279.62</v>
      </c>
      <c r="AD7" s="72">
        <f t="shared" si="26"/>
        <v>519.99999999998181</v>
      </c>
      <c r="AE7" s="64">
        <v>427.4</v>
      </c>
      <c r="AF7" s="72">
        <f t="shared" si="27"/>
        <v>1000</v>
      </c>
      <c r="AG7" s="64">
        <v>1115.5</v>
      </c>
      <c r="AH7" s="72">
        <f t="shared" si="11"/>
        <v>2.2000000000000455</v>
      </c>
      <c r="AI7" s="64">
        <v>385.53</v>
      </c>
      <c r="AJ7" s="72">
        <f t="shared" si="28"/>
        <v>399.99999999997726</v>
      </c>
      <c r="AK7" s="64">
        <v>134.35</v>
      </c>
      <c r="AL7" s="72">
        <f t="shared" si="12"/>
        <v>0.25999999999999091</v>
      </c>
      <c r="AM7" s="64">
        <v>136.55000000000001</v>
      </c>
      <c r="AN7" s="72">
        <f t="shared" si="13"/>
        <v>0.29000000000002046</v>
      </c>
      <c r="AO7" s="64">
        <v>134.05000000000001</v>
      </c>
      <c r="AP7" s="72">
        <f t="shared" si="14"/>
        <v>0.21999999999999886</v>
      </c>
      <c r="AQ7" s="64">
        <v>206.76</v>
      </c>
      <c r="AR7" s="72">
        <f t="shared" si="29"/>
        <v>229.99999999998977</v>
      </c>
      <c r="AS7" s="64">
        <v>331.64</v>
      </c>
      <c r="AT7" s="72">
        <f t="shared" si="30"/>
        <v>279.99999999997272</v>
      </c>
      <c r="AU7" s="64">
        <v>255.72</v>
      </c>
      <c r="AV7" s="72">
        <f t="shared" si="31"/>
        <v>210.00000000000796</v>
      </c>
      <c r="AW7" s="64">
        <v>284.57</v>
      </c>
      <c r="AX7" s="72">
        <f t="shared" si="32"/>
        <v>139.99999999998636</v>
      </c>
      <c r="AY7" s="64">
        <v>335.5</v>
      </c>
      <c r="AZ7" s="72">
        <f t="shared" si="33"/>
        <v>180.00000000000682</v>
      </c>
      <c r="BA7" s="64">
        <v>356.56</v>
      </c>
      <c r="BB7" s="72">
        <f t="shared" si="34"/>
        <v>40.000000000020464</v>
      </c>
      <c r="BC7" s="64">
        <v>202.42</v>
      </c>
      <c r="BD7" s="72">
        <f t="shared" si="35"/>
        <v>19.99999999998181</v>
      </c>
      <c r="BE7" s="66">
        <v>25909</v>
      </c>
      <c r="BF7" s="72">
        <f t="shared" si="15"/>
        <v>43</v>
      </c>
      <c r="BG7" s="67">
        <v>221.53</v>
      </c>
      <c r="BH7" s="72">
        <f t="shared" si="36"/>
        <v>30.000000000001137</v>
      </c>
      <c r="BI7" s="66">
        <v>278.64999999999998</v>
      </c>
      <c r="BJ7" s="72">
        <f t="shared" si="37"/>
        <v>49.999999999954525</v>
      </c>
      <c r="BK7" s="66">
        <v>226.67</v>
      </c>
      <c r="BL7" s="72">
        <f t="shared" si="38"/>
        <v>59.999999999973852</v>
      </c>
      <c r="BM7" s="66">
        <v>209.37</v>
      </c>
      <c r="BN7" s="72">
        <f t="shared" si="39"/>
        <v>50.000000000011369</v>
      </c>
      <c r="BO7" s="66">
        <v>273.3</v>
      </c>
      <c r="BP7" s="72">
        <f t="shared" si="40"/>
        <v>60.000000000002274</v>
      </c>
      <c r="BQ7" s="66">
        <v>36239</v>
      </c>
      <c r="BR7" s="72">
        <f t="shared" si="16"/>
        <v>50</v>
      </c>
      <c r="BS7" s="66">
        <v>190.53</v>
      </c>
      <c r="BT7" s="72">
        <f t="shared" si="41"/>
        <v>39.999999999992042</v>
      </c>
      <c r="BU7" s="66">
        <v>27114</v>
      </c>
      <c r="BV7" s="72">
        <f t="shared" si="1"/>
        <v>52</v>
      </c>
      <c r="BW7" s="66">
        <v>219.9</v>
      </c>
      <c r="BX7" s="72">
        <f t="shared" si="42"/>
        <v>39.999999999992042</v>
      </c>
      <c r="BY7" s="80">
        <v>44445</v>
      </c>
      <c r="BZ7" s="72">
        <f t="shared" si="17"/>
        <v>66</v>
      </c>
      <c r="CA7" s="64">
        <v>26589.3</v>
      </c>
      <c r="CB7" s="72">
        <f t="shared" si="18"/>
        <v>38.399999999997817</v>
      </c>
      <c r="CC7" s="64">
        <v>11005.6</v>
      </c>
      <c r="CD7" s="72">
        <f t="shared" si="19"/>
        <v>13.399999999999636</v>
      </c>
      <c r="CE7" s="64">
        <v>5370.1</v>
      </c>
      <c r="CF7" s="72">
        <f t="shared" si="20"/>
        <v>3.1000000000003638</v>
      </c>
      <c r="CG7" s="64">
        <v>40544.300000000003</v>
      </c>
      <c r="CH7" s="72">
        <f t="shared" si="21"/>
        <v>28.400000000001455</v>
      </c>
      <c r="CI7" s="64">
        <v>834399</v>
      </c>
      <c r="CJ7" s="72">
        <f t="shared" si="2"/>
        <v>323</v>
      </c>
      <c r="CK7" s="64">
        <v>527.49</v>
      </c>
      <c r="CL7" s="71">
        <f t="shared" si="22"/>
        <v>470.00000000002728</v>
      </c>
      <c r="CM7" s="72">
        <v>103</v>
      </c>
      <c r="CN7" s="69">
        <v>44</v>
      </c>
      <c r="CO7" s="69">
        <v>74</v>
      </c>
    </row>
    <row r="8" spans="1:93" ht="25.5" customHeight="1" thickBot="1" x14ac:dyDescent="0.45">
      <c r="A8" s="70">
        <v>43895</v>
      </c>
      <c r="B8" s="48"/>
      <c r="C8" s="64">
        <v>1.5576000000000001</v>
      </c>
      <c r="D8" s="71">
        <f t="shared" si="3"/>
        <v>2099.9999999999909</v>
      </c>
      <c r="E8" s="64">
        <v>2.5714000000000001</v>
      </c>
      <c r="F8" s="71">
        <f t="shared" si="4"/>
        <v>4199.9999999999818</v>
      </c>
      <c r="G8" s="64">
        <v>2.3668999999999998</v>
      </c>
      <c r="H8" s="71">
        <f t="shared" si="5"/>
        <v>3099.9999999998809</v>
      </c>
      <c r="I8" s="64">
        <v>1.1129</v>
      </c>
      <c r="J8" s="71">
        <f>IF((I8-I7&lt;0), "0",(I8-I7)*1000000)</f>
        <v>1600.0000000000459</v>
      </c>
      <c r="K8" s="64">
        <v>1.6995</v>
      </c>
      <c r="L8" s="71">
        <f t="shared" si="0"/>
        <v>2199.9999999999795</v>
      </c>
      <c r="M8" s="64">
        <v>1.0920000000000001</v>
      </c>
      <c r="N8" s="71">
        <f t="shared" si="6"/>
        <v>1800.0000000000239</v>
      </c>
      <c r="O8" s="64">
        <v>12097</v>
      </c>
      <c r="P8" s="72">
        <f t="shared" si="7"/>
        <v>25</v>
      </c>
      <c r="Q8" s="64">
        <v>4879</v>
      </c>
      <c r="R8" s="72">
        <f t="shared" si="8"/>
        <v>8</v>
      </c>
      <c r="S8" s="64">
        <v>791026</v>
      </c>
      <c r="T8" s="71">
        <f t="shared" si="9"/>
        <v>1402</v>
      </c>
      <c r="U8" s="64">
        <v>319675</v>
      </c>
      <c r="V8" s="72">
        <f t="shared" si="10"/>
        <v>567</v>
      </c>
      <c r="W8" s="64">
        <v>309.57</v>
      </c>
      <c r="X8" s="72">
        <f t="shared" si="23"/>
        <v>550.00000000001137</v>
      </c>
      <c r="Y8" s="64">
        <v>2.2827999999999999</v>
      </c>
      <c r="Z8" s="72">
        <f t="shared" si="24"/>
        <v>3899.9999999997926</v>
      </c>
      <c r="AA8" s="64">
        <v>310.33999999999997</v>
      </c>
      <c r="AB8" s="72">
        <f t="shared" si="25"/>
        <v>560.00000000000227</v>
      </c>
      <c r="AC8" s="64">
        <v>279.98</v>
      </c>
      <c r="AD8" s="72">
        <f t="shared" si="26"/>
        <v>360.00000000001364</v>
      </c>
      <c r="AE8" s="64">
        <v>428.26</v>
      </c>
      <c r="AF8" s="72">
        <f t="shared" si="27"/>
        <v>860.00000000001364</v>
      </c>
      <c r="AG8" s="64">
        <v>1117.8</v>
      </c>
      <c r="AH8" s="72">
        <f t="shared" si="11"/>
        <v>2.2999999999999545</v>
      </c>
      <c r="AI8" s="64">
        <v>385.99</v>
      </c>
      <c r="AJ8" s="72">
        <f t="shared" si="28"/>
        <v>460.00000000003638</v>
      </c>
      <c r="AK8" s="64">
        <v>134.56</v>
      </c>
      <c r="AL8" s="72">
        <f t="shared" si="12"/>
        <v>0.21000000000000796</v>
      </c>
      <c r="AM8" s="64">
        <v>136.79</v>
      </c>
      <c r="AN8" s="72">
        <f t="shared" si="13"/>
        <v>0.23999999999998067</v>
      </c>
      <c r="AO8" s="64">
        <v>134.22</v>
      </c>
      <c r="AP8" s="72">
        <f t="shared" si="14"/>
        <v>0.16999999999998749</v>
      </c>
      <c r="AQ8" s="64">
        <v>206.95</v>
      </c>
      <c r="AR8" s="72">
        <f t="shared" si="29"/>
        <v>189.99999999999773</v>
      </c>
      <c r="AS8" s="64">
        <v>331.89</v>
      </c>
      <c r="AT8" s="72">
        <f t="shared" si="30"/>
        <v>250</v>
      </c>
      <c r="AU8" s="64">
        <v>255.89</v>
      </c>
      <c r="AV8" s="72">
        <f t="shared" si="31"/>
        <v>169.99999999998749</v>
      </c>
      <c r="AW8" s="64">
        <v>284.67</v>
      </c>
      <c r="AX8" s="72">
        <f t="shared" si="32"/>
        <v>100.00000000002274</v>
      </c>
      <c r="AY8" s="64">
        <v>335.64</v>
      </c>
      <c r="AZ8" s="72">
        <f t="shared" si="33"/>
        <v>139.99999999998636</v>
      </c>
      <c r="BA8" s="64">
        <v>356.62</v>
      </c>
      <c r="BB8" s="72">
        <f t="shared" si="34"/>
        <v>60.000000000002274</v>
      </c>
      <c r="BC8" s="64">
        <v>202.45</v>
      </c>
      <c r="BD8" s="72">
        <f t="shared" si="35"/>
        <v>30.000000000001137</v>
      </c>
      <c r="BE8" s="66">
        <v>25958</v>
      </c>
      <c r="BF8" s="72">
        <f t="shared" si="15"/>
        <v>49</v>
      </c>
      <c r="BG8" s="67">
        <v>221.56</v>
      </c>
      <c r="BH8" s="72">
        <f t="shared" si="36"/>
        <v>30.000000000001137</v>
      </c>
      <c r="BI8" s="66">
        <v>278.7</v>
      </c>
      <c r="BJ8" s="72">
        <f t="shared" si="37"/>
        <v>50.000000000011369</v>
      </c>
      <c r="BK8" s="66">
        <v>226.73</v>
      </c>
      <c r="BL8" s="72">
        <f t="shared" si="38"/>
        <v>60.000000000002274</v>
      </c>
      <c r="BM8" s="66">
        <v>209.41</v>
      </c>
      <c r="BN8" s="72">
        <f t="shared" si="39"/>
        <v>39.999999999992042</v>
      </c>
      <c r="BO8" s="66">
        <v>273.35000000000002</v>
      </c>
      <c r="BP8" s="72">
        <f t="shared" si="40"/>
        <v>50.000000000011369</v>
      </c>
      <c r="BQ8" s="66">
        <v>36289</v>
      </c>
      <c r="BR8" s="72">
        <f t="shared" si="16"/>
        <v>50</v>
      </c>
      <c r="BS8" s="66">
        <v>190.57</v>
      </c>
      <c r="BT8" s="72">
        <f t="shared" si="41"/>
        <v>39.999999999992042</v>
      </c>
      <c r="BU8" s="66">
        <v>27164</v>
      </c>
      <c r="BV8" s="72">
        <f t="shared" si="1"/>
        <v>50</v>
      </c>
      <c r="BW8" s="66">
        <v>219.96</v>
      </c>
      <c r="BX8" s="72">
        <f t="shared" si="42"/>
        <v>60.000000000002274</v>
      </c>
      <c r="BY8" s="80">
        <v>44523</v>
      </c>
      <c r="BZ8" s="72">
        <f t="shared" si="17"/>
        <v>78</v>
      </c>
      <c r="CA8" s="64">
        <v>26637.4</v>
      </c>
      <c r="CB8" s="72">
        <f t="shared" si="18"/>
        <v>48.100000000002183</v>
      </c>
      <c r="CC8" s="64">
        <v>11017.3</v>
      </c>
      <c r="CD8" s="72">
        <f t="shared" si="19"/>
        <v>11.699999999998909</v>
      </c>
      <c r="CE8" s="64">
        <v>5374.2</v>
      </c>
      <c r="CF8" s="72">
        <f t="shared" si="20"/>
        <v>4.0999999999994543</v>
      </c>
      <c r="CG8" s="64">
        <v>40588.400000000001</v>
      </c>
      <c r="CH8" s="72">
        <f t="shared" si="21"/>
        <v>44.099999999998545</v>
      </c>
      <c r="CI8" s="64">
        <v>834713</v>
      </c>
      <c r="CJ8" s="72">
        <f t="shared" si="2"/>
        <v>314</v>
      </c>
      <c r="CK8" s="64">
        <v>528.05999999999995</v>
      </c>
      <c r="CL8" s="71">
        <f t="shared" si="22"/>
        <v>569.99999999993634</v>
      </c>
      <c r="CM8" s="72">
        <v>87.2</v>
      </c>
      <c r="CN8" s="69">
        <v>30</v>
      </c>
      <c r="CO8" s="69">
        <v>65</v>
      </c>
    </row>
    <row r="9" spans="1:93" ht="25.5" customHeight="1" thickBot="1" x14ac:dyDescent="0.45">
      <c r="A9" s="70">
        <v>43896</v>
      </c>
      <c r="B9" s="48"/>
      <c r="C9" s="64">
        <v>1.5603</v>
      </c>
      <c r="D9" s="71">
        <f t="shared" si="3"/>
        <v>2699.9999999999245</v>
      </c>
      <c r="E9" s="64">
        <v>2.5756000000000001</v>
      </c>
      <c r="F9" s="71">
        <f t="shared" si="4"/>
        <v>4199.9999999999818</v>
      </c>
      <c r="G9" s="64">
        <v>2.3700999999999999</v>
      </c>
      <c r="H9" s="71">
        <f t="shared" si="5"/>
        <v>3200.0000000000919</v>
      </c>
      <c r="I9" s="64">
        <v>1.1146</v>
      </c>
      <c r="J9" s="71">
        <f t="shared" ref="J9:J34" si="43">IF((I9-I8&lt;0), "0",(I9-I8)*1000000)</f>
        <v>1700.0000000000348</v>
      </c>
      <c r="K9" s="64">
        <v>1.7018</v>
      </c>
      <c r="L9" s="71">
        <f t="shared" si="0"/>
        <v>2299.9999999999686</v>
      </c>
      <c r="M9" s="64">
        <v>1.0940000000000001</v>
      </c>
      <c r="N9" s="71">
        <f>IF((M9-M8&lt;0), "0",(M9-M8)*1000000)</f>
        <v>2000.0000000000018</v>
      </c>
      <c r="O9" s="64">
        <v>12117</v>
      </c>
      <c r="P9" s="72">
        <f>IF((O9-O8&lt;0), "0",O9-O8)</f>
        <v>20</v>
      </c>
      <c r="Q9" s="64">
        <v>4889</v>
      </c>
      <c r="R9" s="72">
        <f>IF((Q9-Q8&lt;0), "0",Q9-Q8)</f>
        <v>10</v>
      </c>
      <c r="S9" s="64">
        <v>792280</v>
      </c>
      <c r="T9" s="72">
        <f>IF((S9-S8&lt;0), "0",S9-S8)</f>
        <v>1254</v>
      </c>
      <c r="U9" s="64">
        <v>320171</v>
      </c>
      <c r="V9" s="72">
        <f>IF((U9-U8&lt;0), "0",U9-U8)</f>
        <v>496</v>
      </c>
      <c r="W9" s="64">
        <v>310.08999999999997</v>
      </c>
      <c r="X9" s="72">
        <f t="shared" si="23"/>
        <v>519.99999999998181</v>
      </c>
      <c r="Y9" s="64">
        <v>2.2865000000000002</v>
      </c>
      <c r="Z9" s="72">
        <f t="shared" si="24"/>
        <v>3700.0000000002588</v>
      </c>
      <c r="AA9" s="64">
        <v>310.92</v>
      </c>
      <c r="AB9" s="72">
        <f t="shared" si="25"/>
        <v>580.00000000004093</v>
      </c>
      <c r="AC9" s="64">
        <v>280.41000000000003</v>
      </c>
      <c r="AD9" s="72">
        <f t="shared" si="26"/>
        <v>430.00000000000682</v>
      </c>
      <c r="AE9" s="64">
        <v>429.2</v>
      </c>
      <c r="AF9" s="72">
        <f t="shared" si="27"/>
        <v>939.99999999999773</v>
      </c>
      <c r="AG9" s="64">
        <v>1119.9000000000001</v>
      </c>
      <c r="AH9" s="72">
        <f>IF((AG9-AG8&lt;0), "0",AG9-AG8)</f>
        <v>2.1000000000001364</v>
      </c>
      <c r="AI9" s="64">
        <v>386.4</v>
      </c>
      <c r="AJ9" s="72">
        <f t="shared" si="28"/>
        <v>409.99999999996817</v>
      </c>
      <c r="AK9" s="64">
        <v>134.85</v>
      </c>
      <c r="AL9" s="72">
        <f>IF((AK9-AK8&lt;0), "0",AK9-AK8)</f>
        <v>0.28999999999999204</v>
      </c>
      <c r="AM9" s="64">
        <v>137.03</v>
      </c>
      <c r="AN9" s="72">
        <f>IF((AM9-AM8&lt;0), "0",AM9-AM8)</f>
        <v>0.24000000000000909</v>
      </c>
      <c r="AO9" s="64">
        <v>134.41</v>
      </c>
      <c r="AP9" s="72">
        <f t="shared" si="14"/>
        <v>0.18999999999999773</v>
      </c>
      <c r="AQ9" s="64">
        <v>207.17</v>
      </c>
      <c r="AR9" s="72">
        <f t="shared" si="29"/>
        <v>219.99999999999886</v>
      </c>
      <c r="AS9" s="64">
        <v>332.17</v>
      </c>
      <c r="AT9" s="72">
        <f t="shared" si="30"/>
        <v>280.00000000002956</v>
      </c>
      <c r="AU9" s="64">
        <v>256.08999999999997</v>
      </c>
      <c r="AV9" s="72">
        <f t="shared" si="31"/>
        <v>199.99999999998863</v>
      </c>
      <c r="AW9" s="64">
        <v>284.79000000000002</v>
      </c>
      <c r="AX9" s="72">
        <f t="shared" si="32"/>
        <v>120.00000000000455</v>
      </c>
      <c r="AY9" s="64">
        <v>335.81</v>
      </c>
      <c r="AZ9" s="72">
        <f t="shared" si="33"/>
        <v>170.00000000001592</v>
      </c>
      <c r="BA9" s="64">
        <v>356.67</v>
      </c>
      <c r="BB9" s="72">
        <f t="shared" si="34"/>
        <v>50.000000000011369</v>
      </c>
      <c r="BC9" s="64">
        <v>202.49</v>
      </c>
      <c r="BD9" s="72">
        <f t="shared" si="35"/>
        <v>40.000000000020464</v>
      </c>
      <c r="BE9" s="66">
        <v>26005</v>
      </c>
      <c r="BF9" s="72">
        <f t="shared" si="15"/>
        <v>47</v>
      </c>
      <c r="BG9" s="67">
        <v>221.59</v>
      </c>
      <c r="BH9" s="72">
        <f t="shared" si="36"/>
        <v>30.000000000001137</v>
      </c>
      <c r="BI9" s="66">
        <v>278.75</v>
      </c>
      <c r="BJ9" s="72">
        <f t="shared" si="37"/>
        <v>50.000000000011369</v>
      </c>
      <c r="BK9" s="66">
        <v>226.79</v>
      </c>
      <c r="BL9" s="72">
        <f t="shared" si="38"/>
        <v>60.000000000002274</v>
      </c>
      <c r="BM9" s="66">
        <v>209.46</v>
      </c>
      <c r="BN9" s="72">
        <f t="shared" si="39"/>
        <v>50.000000000011369</v>
      </c>
      <c r="BO9" s="66">
        <v>273.39999999999998</v>
      </c>
      <c r="BP9" s="72">
        <f t="shared" si="40"/>
        <v>49.999999999954525</v>
      </c>
      <c r="BQ9" s="66">
        <v>36338</v>
      </c>
      <c r="BR9" s="72">
        <f t="shared" si="16"/>
        <v>49</v>
      </c>
      <c r="BS9" s="66">
        <v>190.6</v>
      </c>
      <c r="BT9" s="72">
        <f t="shared" si="41"/>
        <v>30.000000000001137</v>
      </c>
      <c r="BU9" s="66">
        <v>27204</v>
      </c>
      <c r="BV9" s="72">
        <f t="shared" si="1"/>
        <v>40</v>
      </c>
      <c r="BW9" s="66">
        <v>220.01</v>
      </c>
      <c r="BX9" s="72">
        <f t="shared" si="42"/>
        <v>49.999999999982947</v>
      </c>
      <c r="BY9" s="80">
        <v>44591</v>
      </c>
      <c r="BZ9" s="72">
        <f t="shared" si="17"/>
        <v>68</v>
      </c>
      <c r="CA9" s="64">
        <v>26688.6</v>
      </c>
      <c r="CB9" s="72">
        <f t="shared" si="18"/>
        <v>51.19999999999709</v>
      </c>
      <c r="CC9" s="64">
        <v>11029.2</v>
      </c>
      <c r="CD9" s="72">
        <f t="shared" si="19"/>
        <v>11.900000000001455</v>
      </c>
      <c r="CE9" s="64">
        <v>5385</v>
      </c>
      <c r="CF9" s="72">
        <f t="shared" si="20"/>
        <v>10.800000000000182</v>
      </c>
      <c r="CG9" s="64">
        <v>40631.9</v>
      </c>
      <c r="CH9" s="72">
        <f t="shared" si="21"/>
        <v>43.5</v>
      </c>
      <c r="CI9" s="64">
        <v>835069</v>
      </c>
      <c r="CJ9" s="72">
        <f t="shared" si="2"/>
        <v>356</v>
      </c>
      <c r="CK9" s="64">
        <v>528.58000000000004</v>
      </c>
      <c r="CL9" s="71">
        <f>IF((CK9-CK8&lt;0), "0",(CK9-CK8)*1000)</f>
        <v>520.0000000000955</v>
      </c>
      <c r="CM9" s="72">
        <v>88.9</v>
      </c>
      <c r="CN9" s="69">
        <v>35</v>
      </c>
      <c r="CO9" s="69">
        <v>78</v>
      </c>
    </row>
    <row r="10" spans="1:93" ht="25.5" customHeight="1" thickBot="1" x14ac:dyDescent="0.45">
      <c r="A10" s="70">
        <v>43897</v>
      </c>
      <c r="B10" s="48"/>
      <c r="C10" s="64">
        <v>1.5633999999999999</v>
      </c>
      <c r="D10" s="71">
        <f t="shared" si="3"/>
        <v>3099.9999999998809</v>
      </c>
      <c r="E10" s="64">
        <v>2.5802</v>
      </c>
      <c r="F10" s="71">
        <f t="shared" si="4"/>
        <v>4599.9999999999372</v>
      </c>
      <c r="G10" s="64">
        <v>2.3736999999999999</v>
      </c>
      <c r="H10" s="71">
        <f t="shared" si="5"/>
        <v>3600.0000000000477</v>
      </c>
      <c r="I10" s="64">
        <v>1.1166</v>
      </c>
      <c r="J10" s="71">
        <f t="shared" si="43"/>
        <v>2000.0000000000018</v>
      </c>
      <c r="K10" s="64">
        <v>1.7042999999999999</v>
      </c>
      <c r="L10" s="71">
        <f t="shared" si="0"/>
        <v>2499.9999999999468</v>
      </c>
      <c r="M10" s="64">
        <v>1.0962000000000001</v>
      </c>
      <c r="N10" s="71">
        <f t="shared" si="6"/>
        <v>2199.9999999999795</v>
      </c>
      <c r="O10" s="64">
        <v>12137</v>
      </c>
      <c r="P10" s="72">
        <f t="shared" si="7"/>
        <v>20</v>
      </c>
      <c r="Q10" s="64">
        <v>4899</v>
      </c>
      <c r="R10" s="72">
        <f t="shared" si="8"/>
        <v>10</v>
      </c>
      <c r="S10" s="64">
        <v>793329</v>
      </c>
      <c r="T10" s="71">
        <f t="shared" si="9"/>
        <v>1049</v>
      </c>
      <c r="U10" s="64">
        <v>320612</v>
      </c>
      <c r="V10" s="72">
        <f t="shared" si="10"/>
        <v>441</v>
      </c>
      <c r="W10" s="64">
        <v>310.58999999999997</v>
      </c>
      <c r="X10" s="72">
        <f t="shared" si="23"/>
        <v>500</v>
      </c>
      <c r="Y10" s="64">
        <v>2.2896000000000001</v>
      </c>
      <c r="Z10" s="72">
        <f t="shared" si="24"/>
        <v>3099.9999999998809</v>
      </c>
      <c r="AA10" s="64">
        <v>311.42</v>
      </c>
      <c r="AB10" s="72">
        <f t="shared" si="25"/>
        <v>500</v>
      </c>
      <c r="AC10" s="64">
        <v>280.88</v>
      </c>
      <c r="AD10" s="72">
        <f t="shared" si="26"/>
        <v>469.99999999997044</v>
      </c>
      <c r="AE10" s="64">
        <v>430.1</v>
      </c>
      <c r="AF10" s="72">
        <f t="shared" si="27"/>
        <v>900.00000000003411</v>
      </c>
      <c r="AG10" s="64">
        <v>1122.2</v>
      </c>
      <c r="AH10" s="72">
        <f t="shared" si="11"/>
        <v>2.2999999999999545</v>
      </c>
      <c r="AI10" s="64">
        <v>386.87</v>
      </c>
      <c r="AJ10" s="72">
        <f t="shared" si="28"/>
        <v>470.00000000002728</v>
      </c>
      <c r="AK10" s="64">
        <v>135.25</v>
      </c>
      <c r="AL10" s="72">
        <f t="shared" si="12"/>
        <v>0.40000000000000568</v>
      </c>
      <c r="AM10" s="64">
        <v>137.33000000000001</v>
      </c>
      <c r="AN10" s="72">
        <f t="shared" si="13"/>
        <v>0.30000000000001137</v>
      </c>
      <c r="AO10" s="64">
        <v>134.63</v>
      </c>
      <c r="AP10" s="72">
        <f t="shared" si="14"/>
        <v>0.21999999999999886</v>
      </c>
      <c r="AQ10" s="64">
        <v>207.45</v>
      </c>
      <c r="AR10" s="72">
        <f t="shared" si="29"/>
        <v>280.00000000000114</v>
      </c>
      <c r="AS10" s="64">
        <v>332.52</v>
      </c>
      <c r="AT10" s="72">
        <f t="shared" si="30"/>
        <v>349.99999999996589</v>
      </c>
      <c r="AU10" s="64">
        <v>256.32</v>
      </c>
      <c r="AV10" s="72">
        <f t="shared" si="31"/>
        <v>230.00000000001819</v>
      </c>
      <c r="AW10" s="64">
        <v>284.93</v>
      </c>
      <c r="AX10" s="72">
        <f t="shared" si="32"/>
        <v>139.99999999998636</v>
      </c>
      <c r="AY10" s="64">
        <v>336.01</v>
      </c>
      <c r="AZ10" s="72">
        <f t="shared" si="33"/>
        <v>199.99999999998863</v>
      </c>
      <c r="BA10" s="64">
        <v>356.71</v>
      </c>
      <c r="BB10" s="72">
        <f t="shared" si="34"/>
        <v>39.99999999996362</v>
      </c>
      <c r="BC10" s="64">
        <v>202.51</v>
      </c>
      <c r="BD10" s="72">
        <f t="shared" si="35"/>
        <v>19.99999999998181</v>
      </c>
      <c r="BE10" s="66">
        <v>26059</v>
      </c>
      <c r="BF10" s="72">
        <f t="shared" si="15"/>
        <v>54</v>
      </c>
      <c r="BG10" s="67">
        <v>221.63</v>
      </c>
      <c r="BH10" s="72">
        <f t="shared" si="36"/>
        <v>39.999999999992042</v>
      </c>
      <c r="BI10" s="66">
        <v>278.81</v>
      </c>
      <c r="BJ10" s="72">
        <f t="shared" si="37"/>
        <v>60.000000000002274</v>
      </c>
      <c r="BK10" s="66">
        <v>226.85</v>
      </c>
      <c r="BL10" s="72">
        <f t="shared" si="38"/>
        <v>60.000000000002274</v>
      </c>
      <c r="BM10" s="66">
        <v>209.52</v>
      </c>
      <c r="BN10" s="72">
        <f t="shared" si="39"/>
        <v>60.000000000002274</v>
      </c>
      <c r="BO10" s="66">
        <v>273.45999999999998</v>
      </c>
      <c r="BP10" s="72">
        <f t="shared" si="40"/>
        <v>60.000000000002274</v>
      </c>
      <c r="BQ10" s="66">
        <v>36387</v>
      </c>
      <c r="BR10" s="72">
        <f t="shared" si="16"/>
        <v>49</v>
      </c>
      <c r="BS10" s="66">
        <v>190.67</v>
      </c>
      <c r="BT10" s="72">
        <f t="shared" si="41"/>
        <v>69.999999999993179</v>
      </c>
      <c r="BU10" s="66">
        <v>27258</v>
      </c>
      <c r="BV10" s="72">
        <f t="shared" si="1"/>
        <v>54</v>
      </c>
      <c r="BW10" s="66">
        <v>220.07</v>
      </c>
      <c r="BX10" s="72">
        <f t="shared" si="42"/>
        <v>60.000000000002274</v>
      </c>
      <c r="BY10" s="80">
        <v>44670</v>
      </c>
      <c r="BZ10" s="72">
        <f t="shared" si="17"/>
        <v>79</v>
      </c>
      <c r="CA10" s="64">
        <v>26725.3</v>
      </c>
      <c r="CB10" s="72">
        <f t="shared" si="18"/>
        <v>36.700000000000728</v>
      </c>
      <c r="CC10" s="64">
        <v>11040.6</v>
      </c>
      <c r="CD10" s="72">
        <f t="shared" si="19"/>
        <v>11.399999999999636</v>
      </c>
      <c r="CE10" s="64">
        <v>5386</v>
      </c>
      <c r="CF10" s="72">
        <f t="shared" si="20"/>
        <v>1</v>
      </c>
      <c r="CG10" s="64">
        <v>40668.400000000001</v>
      </c>
      <c r="CH10" s="72">
        <f t="shared" si="21"/>
        <v>36.5</v>
      </c>
      <c r="CI10" s="64">
        <v>835373</v>
      </c>
      <c r="CJ10" s="72">
        <f t="shared" si="2"/>
        <v>304</v>
      </c>
      <c r="CK10" s="64">
        <v>529.16</v>
      </c>
      <c r="CL10" s="71">
        <f t="shared" si="22"/>
        <v>579.99999999992724</v>
      </c>
      <c r="CM10" s="72">
        <v>93.8</v>
      </c>
      <c r="CN10" s="69">
        <v>35</v>
      </c>
      <c r="CO10" s="69">
        <v>78</v>
      </c>
    </row>
    <row r="11" spans="1:93" ht="25.5" customHeight="1" thickBot="1" x14ac:dyDescent="0.45">
      <c r="A11" s="70">
        <v>43898</v>
      </c>
      <c r="B11" s="48"/>
      <c r="C11" s="64">
        <v>1.5663</v>
      </c>
      <c r="D11" s="71">
        <f t="shared" si="3"/>
        <v>2900.0000000001246</v>
      </c>
      <c r="E11" s="64">
        <v>2.5840000000000001</v>
      </c>
      <c r="F11" s="71">
        <f t="shared" si="4"/>
        <v>3800.0000000000255</v>
      </c>
      <c r="G11" s="64">
        <v>2.3769</v>
      </c>
      <c r="H11" s="71">
        <f t="shared" si="5"/>
        <v>3200.0000000000919</v>
      </c>
      <c r="I11" s="64">
        <v>1.1184000000000001</v>
      </c>
      <c r="J11" s="71">
        <f t="shared" si="43"/>
        <v>1800.0000000000239</v>
      </c>
      <c r="K11" s="64">
        <v>1.7065999999999999</v>
      </c>
      <c r="L11" s="71">
        <f t="shared" si="0"/>
        <v>2299.9999999999686</v>
      </c>
      <c r="M11" s="64">
        <v>1.0983000000000001</v>
      </c>
      <c r="N11" s="71">
        <f t="shared" si="6"/>
        <v>2099.9999999999909</v>
      </c>
      <c r="O11" s="64">
        <v>12156</v>
      </c>
      <c r="P11" s="72">
        <f t="shared" si="7"/>
        <v>19</v>
      </c>
      <c r="Q11" s="64">
        <v>4909</v>
      </c>
      <c r="R11" s="72">
        <f t="shared" si="8"/>
        <v>10</v>
      </c>
      <c r="S11" s="64">
        <v>795048</v>
      </c>
      <c r="T11" s="71">
        <f t="shared" si="9"/>
        <v>1719</v>
      </c>
      <c r="U11" s="64">
        <v>321302</v>
      </c>
      <c r="V11" s="72">
        <f t="shared" si="10"/>
        <v>690</v>
      </c>
      <c r="W11" s="64">
        <v>311.06</v>
      </c>
      <c r="X11" s="72">
        <f t="shared" si="23"/>
        <v>470.00000000002728</v>
      </c>
      <c r="Y11" s="64">
        <v>2.2938000000000001</v>
      </c>
      <c r="Z11" s="72">
        <f t="shared" si="24"/>
        <v>4199.9999999999818</v>
      </c>
      <c r="AA11" s="64">
        <v>311.83999999999997</v>
      </c>
      <c r="AB11" s="72">
        <f t="shared" si="25"/>
        <v>419.99999999995907</v>
      </c>
      <c r="AC11" s="64">
        <v>281.31</v>
      </c>
      <c r="AD11" s="72">
        <f t="shared" si="26"/>
        <v>430.00000000000682</v>
      </c>
      <c r="AE11" s="64">
        <v>431.35</v>
      </c>
      <c r="AF11" s="72">
        <f t="shared" si="27"/>
        <v>1250</v>
      </c>
      <c r="AG11" s="64">
        <v>1124.5</v>
      </c>
      <c r="AH11" s="72">
        <f t="shared" si="11"/>
        <v>2.2999999999999545</v>
      </c>
      <c r="AI11" s="64">
        <v>387.79</v>
      </c>
      <c r="AJ11" s="72">
        <f t="shared" si="28"/>
        <v>920.00000000001592</v>
      </c>
      <c r="AK11" s="64">
        <v>135.58000000000001</v>
      </c>
      <c r="AL11" s="72">
        <f t="shared" si="12"/>
        <v>0.33000000000001251</v>
      </c>
      <c r="AM11" s="64">
        <v>137.62</v>
      </c>
      <c r="AN11" s="72">
        <f t="shared" si="13"/>
        <v>0.28999999999999204</v>
      </c>
      <c r="AO11" s="64">
        <v>134.85</v>
      </c>
      <c r="AP11" s="72">
        <f t="shared" si="14"/>
        <v>0.21999999999999886</v>
      </c>
      <c r="AQ11" s="64">
        <v>207.73</v>
      </c>
      <c r="AR11" s="72">
        <f t="shared" si="29"/>
        <v>280.00000000000114</v>
      </c>
      <c r="AS11" s="64">
        <v>332.84</v>
      </c>
      <c r="AT11" s="72">
        <f t="shared" si="30"/>
        <v>319.99999999999318</v>
      </c>
      <c r="AU11" s="64">
        <v>256.52999999999997</v>
      </c>
      <c r="AV11" s="72">
        <f t="shared" si="31"/>
        <v>209.99999999997954</v>
      </c>
      <c r="AW11" s="64">
        <v>285.08999999999997</v>
      </c>
      <c r="AX11" s="72">
        <f t="shared" si="32"/>
        <v>159.99999999996817</v>
      </c>
      <c r="AY11" s="64">
        <v>336.21</v>
      </c>
      <c r="AZ11" s="72">
        <f t="shared" si="33"/>
        <v>199.99999999998863</v>
      </c>
      <c r="BA11" s="64">
        <v>356.76</v>
      </c>
      <c r="BB11" s="72">
        <f t="shared" si="34"/>
        <v>50.000000000011369</v>
      </c>
      <c r="BC11" s="64">
        <v>202.51</v>
      </c>
      <c r="BD11" s="72">
        <f t="shared" si="35"/>
        <v>0</v>
      </c>
      <c r="BE11" s="66">
        <v>26106</v>
      </c>
      <c r="BF11" s="72">
        <f t="shared" si="15"/>
        <v>47</v>
      </c>
      <c r="BG11" s="67">
        <v>221.66</v>
      </c>
      <c r="BH11" s="72">
        <f t="shared" si="36"/>
        <v>30.000000000001137</v>
      </c>
      <c r="BI11" s="66">
        <v>278.86</v>
      </c>
      <c r="BJ11" s="72">
        <f t="shared" si="37"/>
        <v>50.000000000011369</v>
      </c>
      <c r="BK11" s="66">
        <v>226.89</v>
      </c>
      <c r="BL11" s="72">
        <f t="shared" si="38"/>
        <v>39.999999999992042</v>
      </c>
      <c r="BM11" s="66">
        <v>209.56</v>
      </c>
      <c r="BN11" s="72">
        <f t="shared" si="39"/>
        <v>39.999999999992042</v>
      </c>
      <c r="BO11" s="66">
        <v>273.51</v>
      </c>
      <c r="BP11" s="72">
        <f t="shared" si="40"/>
        <v>50.000000000011369</v>
      </c>
      <c r="BQ11" s="66">
        <v>36425</v>
      </c>
      <c r="BR11" s="72">
        <f t="shared" si="16"/>
        <v>38</v>
      </c>
      <c r="BS11" s="66">
        <v>190.71</v>
      </c>
      <c r="BT11" s="72">
        <f t="shared" si="41"/>
        <v>40.000000000020464</v>
      </c>
      <c r="BU11" s="66">
        <v>27300</v>
      </c>
      <c r="BV11" s="72">
        <f t="shared" si="1"/>
        <v>42</v>
      </c>
      <c r="BW11" s="66">
        <v>220.12</v>
      </c>
      <c r="BX11" s="72">
        <f t="shared" si="42"/>
        <v>50.000000000011369</v>
      </c>
      <c r="BY11" s="80">
        <v>44731</v>
      </c>
      <c r="BZ11" s="72">
        <f t="shared" si="17"/>
        <v>61</v>
      </c>
      <c r="CA11" s="64">
        <v>26766.400000000001</v>
      </c>
      <c r="CB11" s="72">
        <f t="shared" si="18"/>
        <v>41.100000000002183</v>
      </c>
      <c r="CC11" s="64">
        <v>11052.1</v>
      </c>
      <c r="CD11" s="72">
        <f t="shared" si="19"/>
        <v>11.5</v>
      </c>
      <c r="CE11" s="64">
        <v>5394.4</v>
      </c>
      <c r="CF11" s="72">
        <f t="shared" si="20"/>
        <v>8.3999999999996362</v>
      </c>
      <c r="CG11" s="64">
        <v>40701.4</v>
      </c>
      <c r="CH11" s="72">
        <f t="shared" si="21"/>
        <v>33</v>
      </c>
      <c r="CI11" s="64">
        <v>835678</v>
      </c>
      <c r="CJ11" s="72">
        <f t="shared" si="2"/>
        <v>305</v>
      </c>
      <c r="CK11" s="64">
        <v>529.66999999999996</v>
      </c>
      <c r="CL11" s="71">
        <f t="shared" si="22"/>
        <v>509.99999999999091</v>
      </c>
      <c r="CM11" s="72">
        <v>80.900000000000006</v>
      </c>
      <c r="CN11" s="69">
        <v>35</v>
      </c>
      <c r="CO11" s="69">
        <v>76</v>
      </c>
    </row>
    <row r="12" spans="1:93" ht="25.5" customHeight="1" thickBot="1" x14ac:dyDescent="0.45">
      <c r="A12" s="70">
        <v>43899</v>
      </c>
      <c r="B12" s="48"/>
      <c r="C12" s="64">
        <v>1.569</v>
      </c>
      <c r="D12" s="71">
        <f t="shared" si="3"/>
        <v>2699.9999999999245</v>
      </c>
      <c r="E12" s="64">
        <v>2.5878000000000001</v>
      </c>
      <c r="F12" s="71">
        <f t="shared" si="4"/>
        <v>3800.0000000000255</v>
      </c>
      <c r="G12" s="64">
        <v>2.3803000000000001</v>
      </c>
      <c r="H12" s="71">
        <f t="shared" si="5"/>
        <v>3400.0000000000696</v>
      </c>
      <c r="I12" s="64">
        <v>1.1201000000000001</v>
      </c>
      <c r="J12" s="71">
        <f t="shared" si="43"/>
        <v>1700.0000000000348</v>
      </c>
      <c r="K12" s="64">
        <v>1.7090000000000001</v>
      </c>
      <c r="L12" s="71">
        <f t="shared" si="0"/>
        <v>2400.0000000001796</v>
      </c>
      <c r="M12" s="64">
        <v>1.1005</v>
      </c>
      <c r="N12" s="71">
        <f t="shared" si="6"/>
        <v>2199.9999999999795</v>
      </c>
      <c r="O12" s="64">
        <v>12175</v>
      </c>
      <c r="P12" s="72">
        <f t="shared" si="7"/>
        <v>19</v>
      </c>
      <c r="Q12" s="64">
        <v>4918</v>
      </c>
      <c r="R12" s="72">
        <f t="shared" si="8"/>
        <v>9</v>
      </c>
      <c r="S12" s="64">
        <v>796506</v>
      </c>
      <c r="T12" s="72">
        <f t="shared" ref="T12:T34" si="44">IF((S12-S11&lt;0), "",S12-S11)</f>
        <v>1458</v>
      </c>
      <c r="U12" s="64">
        <v>321868</v>
      </c>
      <c r="V12" s="72">
        <f t="shared" si="10"/>
        <v>566</v>
      </c>
      <c r="W12" s="64">
        <v>311.60000000000002</v>
      </c>
      <c r="X12" s="72">
        <f t="shared" si="23"/>
        <v>540.00000000002046</v>
      </c>
      <c r="Y12" s="64">
        <v>2.2970999999999999</v>
      </c>
      <c r="Z12" s="72">
        <f t="shared" si="24"/>
        <v>3299.9999999998586</v>
      </c>
      <c r="AA12" s="64">
        <v>312.41000000000003</v>
      </c>
      <c r="AB12" s="72">
        <f t="shared" si="25"/>
        <v>570.00000000005002</v>
      </c>
      <c r="AC12" s="64">
        <v>281.76</v>
      </c>
      <c r="AD12" s="72">
        <f t="shared" si="26"/>
        <v>449.99999999998863</v>
      </c>
      <c r="AE12" s="64">
        <v>432.46</v>
      </c>
      <c r="AF12" s="72">
        <f t="shared" si="27"/>
        <v>1109.9999999999568</v>
      </c>
      <c r="AG12" s="64">
        <v>1127</v>
      </c>
      <c r="AH12" s="72">
        <f t="shared" si="11"/>
        <v>2.5</v>
      </c>
      <c r="AI12" s="64">
        <v>388.3</v>
      </c>
      <c r="AJ12" s="72">
        <f t="shared" si="28"/>
        <v>509.99999999999091</v>
      </c>
      <c r="AK12" s="64">
        <v>135.84</v>
      </c>
      <c r="AL12" s="72">
        <f t="shared" si="12"/>
        <v>0.25999999999999091</v>
      </c>
      <c r="AM12" s="64">
        <v>137.91</v>
      </c>
      <c r="AN12" s="72">
        <f t="shared" si="13"/>
        <v>0.28999999999999204</v>
      </c>
      <c r="AO12" s="64">
        <v>135.08000000000001</v>
      </c>
      <c r="AP12" s="72">
        <f t="shared" si="14"/>
        <v>0.23000000000001819</v>
      </c>
      <c r="AQ12" s="64">
        <v>207.99</v>
      </c>
      <c r="AR12" s="72">
        <f t="shared" si="29"/>
        <v>260.00000000001933</v>
      </c>
      <c r="AS12" s="64">
        <v>333.17</v>
      </c>
      <c r="AT12" s="72">
        <f t="shared" si="30"/>
        <v>330.00000000004093</v>
      </c>
      <c r="AU12" s="64">
        <v>256.72000000000003</v>
      </c>
      <c r="AV12" s="72">
        <f t="shared" si="31"/>
        <v>190.00000000005457</v>
      </c>
      <c r="AW12" s="64">
        <v>285.25</v>
      </c>
      <c r="AX12" s="72">
        <f t="shared" si="32"/>
        <v>160.00000000002501</v>
      </c>
      <c r="AY12" s="64">
        <v>336.4</v>
      </c>
      <c r="AZ12" s="72">
        <f t="shared" si="33"/>
        <v>189.99999999999773</v>
      </c>
      <c r="BA12" s="64">
        <v>356.81</v>
      </c>
      <c r="BB12" s="72">
        <f t="shared" si="34"/>
        <v>50.000000000011369</v>
      </c>
      <c r="BC12" s="64">
        <v>202.52</v>
      </c>
      <c r="BD12" s="72">
        <f t="shared" si="35"/>
        <v>10.000000000019327</v>
      </c>
      <c r="BE12" s="66">
        <v>26155</v>
      </c>
      <c r="BF12" s="72">
        <f t="shared" si="15"/>
        <v>49</v>
      </c>
      <c r="BG12" s="67">
        <v>221.69</v>
      </c>
      <c r="BH12" s="72">
        <f t="shared" si="36"/>
        <v>30.000000000001137</v>
      </c>
      <c r="BI12" s="66">
        <v>278.89999999999998</v>
      </c>
      <c r="BJ12" s="72">
        <f t="shared" si="37"/>
        <v>39.99999999996362</v>
      </c>
      <c r="BK12" s="66">
        <v>226.93</v>
      </c>
      <c r="BL12" s="72">
        <f t="shared" si="38"/>
        <v>40.000000000020464</v>
      </c>
      <c r="BM12" s="66">
        <v>209.61</v>
      </c>
      <c r="BN12" s="72">
        <f t="shared" si="39"/>
        <v>50.000000000011369</v>
      </c>
      <c r="BO12" s="66">
        <v>273.56</v>
      </c>
      <c r="BP12" s="72">
        <f t="shared" si="40"/>
        <v>50.000000000011369</v>
      </c>
      <c r="BQ12" s="66">
        <v>36469</v>
      </c>
      <c r="BR12" s="72">
        <f t="shared" si="16"/>
        <v>44</v>
      </c>
      <c r="BS12" s="66">
        <v>190.75</v>
      </c>
      <c r="BT12" s="72">
        <f t="shared" si="41"/>
        <v>39.999999999992042</v>
      </c>
      <c r="BU12" s="66">
        <v>27340</v>
      </c>
      <c r="BV12" s="72">
        <f t="shared" si="1"/>
        <v>40</v>
      </c>
      <c r="BW12" s="66">
        <v>220.19</v>
      </c>
      <c r="BX12" s="72">
        <f t="shared" si="42"/>
        <v>69.999999999993179</v>
      </c>
      <c r="BY12" s="80">
        <v>44794</v>
      </c>
      <c r="BZ12" s="72">
        <f t="shared" si="17"/>
        <v>63</v>
      </c>
      <c r="CA12" s="64">
        <v>26800.400000000001</v>
      </c>
      <c r="CB12" s="72">
        <f t="shared" si="18"/>
        <v>34</v>
      </c>
      <c r="CC12" s="64">
        <v>11064.3</v>
      </c>
      <c r="CD12" s="72">
        <f t="shared" si="19"/>
        <v>12.199999999998909</v>
      </c>
      <c r="CE12" s="64">
        <v>5401.5</v>
      </c>
      <c r="CF12" s="72">
        <f t="shared" si="20"/>
        <v>7.1000000000003638</v>
      </c>
      <c r="CG12" s="64">
        <v>40745.199999999997</v>
      </c>
      <c r="CH12" s="72">
        <f t="shared" si="21"/>
        <v>43.799999999995634</v>
      </c>
      <c r="CI12" s="64">
        <v>836006</v>
      </c>
      <c r="CJ12" s="72">
        <f t="shared" si="2"/>
        <v>328</v>
      </c>
      <c r="CK12" s="64">
        <v>530.16999999999996</v>
      </c>
      <c r="CL12" s="71">
        <f t="shared" si="22"/>
        <v>500</v>
      </c>
      <c r="CM12" s="72">
        <v>95.9</v>
      </c>
      <c r="CN12" s="69">
        <v>36</v>
      </c>
      <c r="CO12" s="69">
        <v>76</v>
      </c>
    </row>
    <row r="13" spans="1:93" ht="25.5" customHeight="1" thickBot="1" x14ac:dyDescent="0.45">
      <c r="A13" s="70">
        <v>43900</v>
      </c>
      <c r="B13" s="48"/>
      <c r="C13" s="64">
        <v>1.5714999999999999</v>
      </c>
      <c r="D13" s="71">
        <f t="shared" si="3"/>
        <v>2499.9999999999468</v>
      </c>
      <c r="E13" s="64">
        <v>2.5914999999999999</v>
      </c>
      <c r="F13" s="71">
        <f t="shared" si="4"/>
        <v>3699.9999999998145</v>
      </c>
      <c r="G13" s="64">
        <v>2.3835999999999999</v>
      </c>
      <c r="H13" s="71">
        <f t="shared" si="5"/>
        <v>3299.9999999998586</v>
      </c>
      <c r="I13" s="64">
        <v>1.1220000000000001</v>
      </c>
      <c r="J13" s="71">
        <f t="shared" si="43"/>
        <v>1900.0000000000127</v>
      </c>
      <c r="K13" s="64">
        <v>1.7114</v>
      </c>
      <c r="L13" s="71">
        <f t="shared" si="0"/>
        <v>2399.9999999999577</v>
      </c>
      <c r="M13" s="64">
        <v>1.1025</v>
      </c>
      <c r="N13" s="71">
        <f t="shared" si="6"/>
        <v>2000.0000000000018</v>
      </c>
      <c r="O13" s="64">
        <v>12197</v>
      </c>
      <c r="P13" s="72">
        <f t="shared" si="7"/>
        <v>22</v>
      </c>
      <c r="Q13" s="64">
        <v>4928</v>
      </c>
      <c r="R13" s="72">
        <f t="shared" si="8"/>
        <v>10</v>
      </c>
      <c r="S13" s="64">
        <v>797975</v>
      </c>
      <c r="T13" s="72">
        <f t="shared" si="44"/>
        <v>1469</v>
      </c>
      <c r="U13" s="64">
        <v>322415</v>
      </c>
      <c r="V13" s="72">
        <f t="shared" si="10"/>
        <v>547</v>
      </c>
      <c r="W13" s="64">
        <v>312.10000000000002</v>
      </c>
      <c r="X13" s="72">
        <f t="shared" si="23"/>
        <v>500</v>
      </c>
      <c r="Y13" s="64">
        <v>2.3003</v>
      </c>
      <c r="Z13" s="72">
        <f t="shared" si="24"/>
        <v>3200.0000000000919</v>
      </c>
      <c r="AA13" s="64">
        <v>312.76</v>
      </c>
      <c r="AB13" s="72">
        <f t="shared" si="25"/>
        <v>349.99999999996589</v>
      </c>
      <c r="AC13" s="64">
        <v>282.22000000000003</v>
      </c>
      <c r="AD13" s="72">
        <f t="shared" si="26"/>
        <v>460.00000000003638</v>
      </c>
      <c r="AE13" s="64">
        <v>433.38</v>
      </c>
      <c r="AF13" s="72">
        <f t="shared" si="27"/>
        <v>920.00000000001592</v>
      </c>
      <c r="AG13" s="64">
        <v>1129.3</v>
      </c>
      <c r="AH13" s="72">
        <f t="shared" si="11"/>
        <v>2.2999999999999545</v>
      </c>
      <c r="AI13" s="64">
        <v>388.71</v>
      </c>
      <c r="AJ13" s="72">
        <f t="shared" si="28"/>
        <v>409.99999999996817</v>
      </c>
      <c r="AK13" s="64">
        <v>136.11000000000001</v>
      </c>
      <c r="AL13" s="72">
        <f t="shared" si="12"/>
        <v>0.27000000000001023</v>
      </c>
      <c r="AM13" s="64">
        <v>138.16999999999999</v>
      </c>
      <c r="AN13" s="72">
        <f t="shared" si="13"/>
        <v>0.25999999999999091</v>
      </c>
      <c r="AO13" s="64">
        <v>135.31</v>
      </c>
      <c r="AP13" s="72">
        <f t="shared" si="14"/>
        <v>0.22999999999998977</v>
      </c>
      <c r="AQ13" s="64">
        <v>208.2</v>
      </c>
      <c r="AR13" s="72">
        <f t="shared" si="29"/>
        <v>209.99999999997954</v>
      </c>
      <c r="AS13" s="64">
        <v>333.45</v>
      </c>
      <c r="AT13" s="72">
        <f t="shared" si="30"/>
        <v>279.99999999997272</v>
      </c>
      <c r="AU13" s="64">
        <v>256.88</v>
      </c>
      <c r="AV13" s="72">
        <f t="shared" si="31"/>
        <v>159.99999999996817</v>
      </c>
      <c r="AW13" s="64">
        <v>285.39</v>
      </c>
      <c r="AX13" s="72">
        <f t="shared" si="32"/>
        <v>139.99999999998636</v>
      </c>
      <c r="AY13" s="64">
        <v>336.59</v>
      </c>
      <c r="AZ13" s="72">
        <f t="shared" si="33"/>
        <v>189.99999999999773</v>
      </c>
      <c r="BA13" s="64">
        <v>356.86</v>
      </c>
      <c r="BB13" s="72">
        <f t="shared" si="34"/>
        <v>50.000000000011369</v>
      </c>
      <c r="BC13" s="64">
        <v>202.54</v>
      </c>
      <c r="BD13" s="72">
        <f t="shared" si="35"/>
        <v>19.99999999998181</v>
      </c>
      <c r="BE13" s="66">
        <v>26204</v>
      </c>
      <c r="BF13" s="72">
        <f t="shared" si="15"/>
        <v>49</v>
      </c>
      <c r="BG13" s="67">
        <v>221.73</v>
      </c>
      <c r="BH13" s="72">
        <f t="shared" si="36"/>
        <v>39.999999999992042</v>
      </c>
      <c r="BI13" s="66">
        <v>278.95</v>
      </c>
      <c r="BJ13" s="72">
        <f t="shared" si="37"/>
        <v>50.000000000011369</v>
      </c>
      <c r="BK13" s="66">
        <v>227</v>
      </c>
      <c r="BL13" s="72">
        <f t="shared" si="38"/>
        <v>69.999999999993179</v>
      </c>
      <c r="BM13" s="66">
        <v>209.66</v>
      </c>
      <c r="BN13" s="72">
        <f t="shared" si="39"/>
        <v>49.999999999982947</v>
      </c>
      <c r="BO13" s="66">
        <v>273.61</v>
      </c>
      <c r="BP13" s="72">
        <f t="shared" si="40"/>
        <v>50.000000000011369</v>
      </c>
      <c r="BQ13" s="66">
        <v>36515</v>
      </c>
      <c r="BR13" s="72">
        <f t="shared" si="16"/>
        <v>46</v>
      </c>
      <c r="BS13" s="66">
        <v>190.8</v>
      </c>
      <c r="BT13" s="72">
        <f t="shared" si="41"/>
        <v>50.000000000011369</v>
      </c>
      <c r="BU13" s="66">
        <v>27387</v>
      </c>
      <c r="BV13" s="72">
        <f t="shared" si="1"/>
        <v>47</v>
      </c>
      <c r="BW13" s="66">
        <v>220.26</v>
      </c>
      <c r="BX13" s="72">
        <f t="shared" si="42"/>
        <v>69.999999999993179</v>
      </c>
      <c r="BY13" s="80">
        <v>44865</v>
      </c>
      <c r="BZ13" s="72">
        <f t="shared" si="17"/>
        <v>71</v>
      </c>
      <c r="CA13" s="64">
        <v>26845.4</v>
      </c>
      <c r="CB13" s="72">
        <f t="shared" si="18"/>
        <v>45</v>
      </c>
      <c r="CC13" s="64">
        <v>11076.1</v>
      </c>
      <c r="CD13" s="72">
        <f t="shared" si="19"/>
        <v>11.800000000001091</v>
      </c>
      <c r="CE13" s="64">
        <v>5403.1</v>
      </c>
      <c r="CF13" s="72">
        <f t="shared" si="20"/>
        <v>1.6000000000003638</v>
      </c>
      <c r="CG13" s="64">
        <v>40789.199999999997</v>
      </c>
      <c r="CH13" s="72">
        <f t="shared" si="21"/>
        <v>44</v>
      </c>
      <c r="CI13" s="64">
        <v>836323</v>
      </c>
      <c r="CJ13" s="72">
        <f t="shared" si="2"/>
        <v>317</v>
      </c>
      <c r="CK13" s="64">
        <v>530.82000000000005</v>
      </c>
      <c r="CL13" s="71">
        <f t="shared" si="22"/>
        <v>650.00000000009095</v>
      </c>
      <c r="CM13" s="72">
        <v>101.2</v>
      </c>
      <c r="CN13" s="69">
        <v>42</v>
      </c>
      <c r="CO13" s="69">
        <v>90</v>
      </c>
    </row>
    <row r="14" spans="1:93" ht="25.5" customHeight="1" thickBot="1" x14ac:dyDescent="0.45">
      <c r="A14" s="70">
        <v>43901</v>
      </c>
      <c r="B14" s="48"/>
      <c r="C14" s="64"/>
      <c r="D14" s="71" t="str">
        <f t="shared" si="3"/>
        <v>0</v>
      </c>
      <c r="E14" s="64"/>
      <c r="F14" s="71" t="str">
        <f t="shared" si="4"/>
        <v>0</v>
      </c>
      <c r="G14" s="64"/>
      <c r="H14" s="71" t="str">
        <f t="shared" si="5"/>
        <v>0</v>
      </c>
      <c r="I14" s="64"/>
      <c r="J14" s="71" t="str">
        <f t="shared" si="43"/>
        <v>0</v>
      </c>
      <c r="K14" s="64"/>
      <c r="L14" s="71" t="str">
        <f t="shared" si="0"/>
        <v>0</v>
      </c>
      <c r="M14" s="64"/>
      <c r="N14" s="71" t="str">
        <f t="shared" si="6"/>
        <v/>
      </c>
      <c r="O14" s="64"/>
      <c r="P14" s="72" t="str">
        <f t="shared" si="7"/>
        <v/>
      </c>
      <c r="Q14" s="64"/>
      <c r="R14" s="72" t="str">
        <f t="shared" si="8"/>
        <v/>
      </c>
      <c r="S14" s="64"/>
      <c r="T14" s="72" t="str">
        <f t="shared" si="44"/>
        <v/>
      </c>
      <c r="U14" s="64"/>
      <c r="V14" s="72" t="str">
        <f t="shared" si="10"/>
        <v/>
      </c>
      <c r="W14" s="64"/>
      <c r="X14" s="72" t="str">
        <f>IF((W14-W13&lt;0), "",(W14-W13)*1000)</f>
        <v/>
      </c>
      <c r="Y14" s="64"/>
      <c r="Z14" s="72" t="str">
        <f t="shared" si="24"/>
        <v/>
      </c>
      <c r="AA14" s="64"/>
      <c r="AB14" s="72" t="str">
        <f t="shared" si="25"/>
        <v/>
      </c>
      <c r="AC14" s="64"/>
      <c r="AD14" s="72" t="str">
        <f t="shared" si="26"/>
        <v/>
      </c>
      <c r="AE14" s="64"/>
      <c r="AF14" s="72" t="str">
        <f t="shared" si="27"/>
        <v/>
      </c>
      <c r="AG14" s="64"/>
      <c r="AH14" s="72" t="str">
        <f t="shared" si="11"/>
        <v/>
      </c>
      <c r="AI14" s="64"/>
      <c r="AJ14" s="72" t="str">
        <f t="shared" si="28"/>
        <v/>
      </c>
      <c r="AK14" s="64"/>
      <c r="AL14" s="72" t="str">
        <f t="shared" si="12"/>
        <v/>
      </c>
      <c r="AM14" s="64"/>
      <c r="AN14" s="72" t="str">
        <f t="shared" si="13"/>
        <v/>
      </c>
      <c r="AO14" s="64"/>
      <c r="AP14" s="72" t="str">
        <f t="shared" si="14"/>
        <v/>
      </c>
      <c r="AQ14" s="64"/>
      <c r="AR14" s="72" t="str">
        <f t="shared" si="29"/>
        <v/>
      </c>
      <c r="AS14" s="64"/>
      <c r="AT14" s="72" t="str">
        <f t="shared" si="30"/>
        <v/>
      </c>
      <c r="AU14" s="64"/>
      <c r="AV14" s="72" t="str">
        <f t="shared" si="31"/>
        <v/>
      </c>
      <c r="AW14" s="64"/>
      <c r="AX14" s="72" t="str">
        <f t="shared" si="32"/>
        <v/>
      </c>
      <c r="AY14" s="64"/>
      <c r="AZ14" s="72" t="str">
        <f t="shared" si="33"/>
        <v/>
      </c>
      <c r="BA14" s="64"/>
      <c r="BB14" s="72" t="str">
        <f t="shared" si="34"/>
        <v/>
      </c>
      <c r="BC14" s="64"/>
      <c r="BD14" s="72" t="str">
        <f t="shared" si="35"/>
        <v/>
      </c>
      <c r="BE14" s="66"/>
      <c r="BF14" s="72" t="str">
        <f t="shared" si="15"/>
        <v/>
      </c>
      <c r="BG14" s="67"/>
      <c r="BH14" s="72" t="str">
        <f t="shared" si="36"/>
        <v/>
      </c>
      <c r="BI14" s="66"/>
      <c r="BJ14" s="72" t="str">
        <f t="shared" si="37"/>
        <v/>
      </c>
      <c r="BK14" s="66"/>
      <c r="BL14" s="72" t="str">
        <f t="shared" si="38"/>
        <v/>
      </c>
      <c r="BM14" s="66"/>
      <c r="BN14" s="72" t="str">
        <f t="shared" si="39"/>
        <v/>
      </c>
      <c r="BO14" s="66"/>
      <c r="BP14" s="72" t="str">
        <f t="shared" si="40"/>
        <v/>
      </c>
      <c r="BQ14" s="66"/>
      <c r="BR14" s="72" t="str">
        <f t="shared" si="16"/>
        <v/>
      </c>
      <c r="BS14" s="66"/>
      <c r="BT14" s="72" t="str">
        <f t="shared" si="41"/>
        <v/>
      </c>
      <c r="BU14" s="66"/>
      <c r="BV14" s="72" t="str">
        <f t="shared" si="1"/>
        <v/>
      </c>
      <c r="BW14" s="66"/>
      <c r="BX14" s="72" t="str">
        <f t="shared" si="42"/>
        <v/>
      </c>
      <c r="BY14" s="80"/>
      <c r="BZ14" s="72" t="str">
        <f t="shared" si="17"/>
        <v/>
      </c>
      <c r="CA14" s="64"/>
      <c r="CB14" s="72" t="str">
        <f t="shared" si="18"/>
        <v/>
      </c>
      <c r="CC14" s="64"/>
      <c r="CD14" s="72" t="str">
        <f t="shared" si="19"/>
        <v/>
      </c>
      <c r="CE14" s="64"/>
      <c r="CF14" s="72" t="str">
        <f t="shared" si="20"/>
        <v/>
      </c>
      <c r="CG14" s="64"/>
      <c r="CH14" s="72" t="str">
        <f t="shared" si="21"/>
        <v/>
      </c>
      <c r="CI14" s="64"/>
      <c r="CJ14" s="72" t="str">
        <f t="shared" si="2"/>
        <v/>
      </c>
      <c r="CK14" s="64"/>
      <c r="CL14" s="71" t="str">
        <f t="shared" si="22"/>
        <v/>
      </c>
      <c r="CM14" s="72"/>
      <c r="CN14" s="69"/>
      <c r="CO14" s="69"/>
    </row>
    <row r="15" spans="1:93" ht="25.5" customHeight="1" thickBot="1" x14ac:dyDescent="0.45">
      <c r="A15" s="70">
        <v>43902</v>
      </c>
      <c r="B15" s="48"/>
      <c r="C15" s="64"/>
      <c r="D15" s="71">
        <f t="shared" si="3"/>
        <v>0</v>
      </c>
      <c r="E15" s="64"/>
      <c r="F15" s="71">
        <f t="shared" si="4"/>
        <v>0</v>
      </c>
      <c r="G15" s="64"/>
      <c r="H15" s="71">
        <f t="shared" si="5"/>
        <v>0</v>
      </c>
      <c r="I15" s="64"/>
      <c r="J15" s="71">
        <f t="shared" si="43"/>
        <v>0</v>
      </c>
      <c r="K15" s="64"/>
      <c r="L15" s="71">
        <f t="shared" si="0"/>
        <v>0</v>
      </c>
      <c r="M15" s="64"/>
      <c r="N15" s="71">
        <f t="shared" si="6"/>
        <v>0</v>
      </c>
      <c r="O15" s="64"/>
      <c r="P15" s="72">
        <f t="shared" si="7"/>
        <v>0</v>
      </c>
      <c r="Q15" s="64"/>
      <c r="R15" s="72">
        <f t="shared" si="8"/>
        <v>0</v>
      </c>
      <c r="S15" s="64"/>
      <c r="T15" s="72">
        <f t="shared" si="44"/>
        <v>0</v>
      </c>
      <c r="U15" s="64"/>
      <c r="V15" s="72">
        <f t="shared" si="10"/>
        <v>0</v>
      </c>
      <c r="W15" s="64"/>
      <c r="X15" s="72">
        <f t="shared" si="23"/>
        <v>0</v>
      </c>
      <c r="Y15" s="64"/>
      <c r="Z15" s="72">
        <f t="shared" si="24"/>
        <v>0</v>
      </c>
      <c r="AA15" s="64"/>
      <c r="AB15" s="72">
        <f t="shared" si="25"/>
        <v>0</v>
      </c>
      <c r="AC15" s="64"/>
      <c r="AD15" s="72">
        <f t="shared" si="26"/>
        <v>0</v>
      </c>
      <c r="AE15" s="64"/>
      <c r="AF15" s="72">
        <f t="shared" si="27"/>
        <v>0</v>
      </c>
      <c r="AG15" s="64"/>
      <c r="AH15" s="72">
        <f t="shared" si="11"/>
        <v>0</v>
      </c>
      <c r="AI15" s="64"/>
      <c r="AJ15" s="72">
        <f t="shared" si="28"/>
        <v>0</v>
      </c>
      <c r="AK15" s="64"/>
      <c r="AL15" s="72">
        <f t="shared" si="12"/>
        <v>0</v>
      </c>
      <c r="AM15" s="64"/>
      <c r="AN15" s="72">
        <f t="shared" si="13"/>
        <v>0</v>
      </c>
      <c r="AO15" s="64"/>
      <c r="AP15" s="72">
        <f t="shared" si="14"/>
        <v>0</v>
      </c>
      <c r="AQ15" s="64"/>
      <c r="AR15" s="72">
        <f t="shared" si="29"/>
        <v>0</v>
      </c>
      <c r="AS15" s="64"/>
      <c r="AT15" s="72">
        <f t="shared" si="30"/>
        <v>0</v>
      </c>
      <c r="AU15" s="64"/>
      <c r="AV15" s="72">
        <f t="shared" si="31"/>
        <v>0</v>
      </c>
      <c r="AW15" s="64"/>
      <c r="AX15" s="72">
        <f t="shared" si="32"/>
        <v>0</v>
      </c>
      <c r="AY15" s="64"/>
      <c r="AZ15" s="72">
        <f t="shared" si="33"/>
        <v>0</v>
      </c>
      <c r="BA15" s="64"/>
      <c r="BB15" s="72">
        <f t="shared" si="34"/>
        <v>0</v>
      </c>
      <c r="BC15" s="64"/>
      <c r="BD15" s="72">
        <f t="shared" si="35"/>
        <v>0</v>
      </c>
      <c r="BE15" s="66"/>
      <c r="BF15" s="72">
        <f t="shared" si="15"/>
        <v>0</v>
      </c>
      <c r="BG15" s="67"/>
      <c r="BH15" s="72">
        <f t="shared" si="36"/>
        <v>0</v>
      </c>
      <c r="BI15" s="66"/>
      <c r="BJ15" s="72">
        <f t="shared" si="37"/>
        <v>0</v>
      </c>
      <c r="BK15" s="66"/>
      <c r="BL15" s="72">
        <f t="shared" si="38"/>
        <v>0</v>
      </c>
      <c r="BM15" s="66"/>
      <c r="BN15" s="72">
        <f t="shared" si="39"/>
        <v>0</v>
      </c>
      <c r="BO15" s="66"/>
      <c r="BP15" s="72">
        <f t="shared" si="40"/>
        <v>0</v>
      </c>
      <c r="BQ15" s="66"/>
      <c r="BR15" s="72">
        <f t="shared" si="16"/>
        <v>0</v>
      </c>
      <c r="BS15" s="66"/>
      <c r="BT15" s="72">
        <f t="shared" si="41"/>
        <v>0</v>
      </c>
      <c r="BU15" s="66"/>
      <c r="BV15" s="72">
        <f t="shared" si="1"/>
        <v>0</v>
      </c>
      <c r="BW15" s="66"/>
      <c r="BX15" s="72">
        <f t="shared" si="42"/>
        <v>0</v>
      </c>
      <c r="BY15" s="80"/>
      <c r="BZ15" s="72">
        <f t="shared" si="17"/>
        <v>0</v>
      </c>
      <c r="CA15" s="64"/>
      <c r="CB15" s="72">
        <f t="shared" si="18"/>
        <v>0</v>
      </c>
      <c r="CC15" s="64"/>
      <c r="CD15" s="72">
        <f t="shared" si="19"/>
        <v>0</v>
      </c>
      <c r="CE15" s="64"/>
      <c r="CF15" s="72">
        <f t="shared" si="20"/>
        <v>0</v>
      </c>
      <c r="CG15" s="64"/>
      <c r="CH15" s="72">
        <f t="shared" si="21"/>
        <v>0</v>
      </c>
      <c r="CI15" s="64"/>
      <c r="CJ15" s="72">
        <f t="shared" si="2"/>
        <v>0</v>
      </c>
      <c r="CK15" s="64"/>
      <c r="CL15" s="71">
        <f t="shared" si="22"/>
        <v>0</v>
      </c>
      <c r="CM15" s="72"/>
      <c r="CN15" s="69"/>
      <c r="CO15" s="69"/>
    </row>
    <row r="16" spans="1:93" ht="25.5" customHeight="1" thickBot="1" x14ac:dyDescent="0.45">
      <c r="A16" s="70">
        <v>43903</v>
      </c>
      <c r="B16" s="48"/>
      <c r="C16" s="64"/>
      <c r="D16" s="71">
        <f t="shared" si="3"/>
        <v>0</v>
      </c>
      <c r="E16" s="64"/>
      <c r="F16" s="71">
        <f t="shared" si="4"/>
        <v>0</v>
      </c>
      <c r="G16" s="64"/>
      <c r="H16" s="71">
        <f t="shared" si="5"/>
        <v>0</v>
      </c>
      <c r="I16" s="64"/>
      <c r="J16" s="71">
        <f t="shared" si="43"/>
        <v>0</v>
      </c>
      <c r="K16" s="64"/>
      <c r="L16" s="71">
        <f t="shared" si="0"/>
        <v>0</v>
      </c>
      <c r="M16" s="64"/>
      <c r="N16" s="71">
        <f t="shared" si="6"/>
        <v>0</v>
      </c>
      <c r="O16" s="64"/>
      <c r="P16" s="72">
        <f t="shared" si="7"/>
        <v>0</v>
      </c>
      <c r="Q16" s="64"/>
      <c r="R16" s="72">
        <f t="shared" si="8"/>
        <v>0</v>
      </c>
      <c r="S16" s="64"/>
      <c r="T16" s="72">
        <f t="shared" si="44"/>
        <v>0</v>
      </c>
      <c r="U16" s="64"/>
      <c r="V16" s="72">
        <f t="shared" si="10"/>
        <v>0</v>
      </c>
      <c r="W16" s="64"/>
      <c r="X16" s="72">
        <f t="shared" si="23"/>
        <v>0</v>
      </c>
      <c r="Y16" s="64"/>
      <c r="Z16" s="72">
        <f t="shared" si="24"/>
        <v>0</v>
      </c>
      <c r="AA16" s="64"/>
      <c r="AB16" s="72">
        <f t="shared" si="25"/>
        <v>0</v>
      </c>
      <c r="AC16" s="64"/>
      <c r="AD16" s="72">
        <f t="shared" si="26"/>
        <v>0</v>
      </c>
      <c r="AE16" s="64"/>
      <c r="AF16" s="72">
        <f t="shared" si="27"/>
        <v>0</v>
      </c>
      <c r="AG16" s="64"/>
      <c r="AH16" s="72">
        <f t="shared" si="11"/>
        <v>0</v>
      </c>
      <c r="AI16" s="64"/>
      <c r="AJ16" s="72">
        <f t="shared" si="28"/>
        <v>0</v>
      </c>
      <c r="AK16" s="64"/>
      <c r="AL16" s="72">
        <f t="shared" si="12"/>
        <v>0</v>
      </c>
      <c r="AM16" s="64"/>
      <c r="AN16" s="72">
        <f t="shared" si="13"/>
        <v>0</v>
      </c>
      <c r="AO16" s="64"/>
      <c r="AP16" s="72">
        <f t="shared" si="14"/>
        <v>0</v>
      </c>
      <c r="AQ16" s="64"/>
      <c r="AR16" s="72">
        <f t="shared" si="29"/>
        <v>0</v>
      </c>
      <c r="AS16" s="64"/>
      <c r="AT16" s="72">
        <f t="shared" si="30"/>
        <v>0</v>
      </c>
      <c r="AU16" s="64"/>
      <c r="AV16" s="72">
        <f t="shared" si="31"/>
        <v>0</v>
      </c>
      <c r="AW16" s="64"/>
      <c r="AX16" s="72">
        <f t="shared" si="32"/>
        <v>0</v>
      </c>
      <c r="AY16" s="64"/>
      <c r="AZ16" s="72">
        <f t="shared" si="33"/>
        <v>0</v>
      </c>
      <c r="BA16" s="64"/>
      <c r="BB16" s="72">
        <f t="shared" si="34"/>
        <v>0</v>
      </c>
      <c r="BC16" s="64"/>
      <c r="BD16" s="72">
        <f t="shared" si="35"/>
        <v>0</v>
      </c>
      <c r="BE16" s="66"/>
      <c r="BF16" s="72">
        <f t="shared" si="15"/>
        <v>0</v>
      </c>
      <c r="BG16" s="67"/>
      <c r="BH16" s="72">
        <f t="shared" si="36"/>
        <v>0</v>
      </c>
      <c r="BI16" s="66"/>
      <c r="BJ16" s="72">
        <f t="shared" si="37"/>
        <v>0</v>
      </c>
      <c r="BK16" s="66"/>
      <c r="BL16" s="72">
        <f t="shared" si="38"/>
        <v>0</v>
      </c>
      <c r="BM16" s="66"/>
      <c r="BN16" s="72">
        <f t="shared" si="39"/>
        <v>0</v>
      </c>
      <c r="BO16" s="66"/>
      <c r="BP16" s="72">
        <f t="shared" si="40"/>
        <v>0</v>
      </c>
      <c r="BQ16" s="66"/>
      <c r="BR16" s="72">
        <f t="shared" si="16"/>
        <v>0</v>
      </c>
      <c r="BS16" s="66"/>
      <c r="BT16" s="72">
        <f t="shared" si="41"/>
        <v>0</v>
      </c>
      <c r="BU16" s="66"/>
      <c r="BV16" s="72">
        <f t="shared" si="1"/>
        <v>0</v>
      </c>
      <c r="BW16" s="66"/>
      <c r="BX16" s="72">
        <f t="shared" si="42"/>
        <v>0</v>
      </c>
      <c r="BY16" s="80"/>
      <c r="BZ16" s="72">
        <f t="shared" si="17"/>
        <v>0</v>
      </c>
      <c r="CA16" s="64"/>
      <c r="CB16" s="72">
        <f t="shared" si="18"/>
        <v>0</v>
      </c>
      <c r="CC16" s="64"/>
      <c r="CD16" s="72">
        <f t="shared" si="19"/>
        <v>0</v>
      </c>
      <c r="CE16" s="64"/>
      <c r="CF16" s="72">
        <f t="shared" si="20"/>
        <v>0</v>
      </c>
      <c r="CG16" s="64"/>
      <c r="CH16" s="72">
        <f t="shared" si="21"/>
        <v>0</v>
      </c>
      <c r="CI16" s="64"/>
      <c r="CJ16" s="72">
        <f t="shared" si="2"/>
        <v>0</v>
      </c>
      <c r="CK16" s="64"/>
      <c r="CL16" s="71">
        <f t="shared" si="22"/>
        <v>0</v>
      </c>
      <c r="CM16" s="72"/>
      <c r="CN16" s="69"/>
      <c r="CO16" s="69"/>
    </row>
    <row r="17" spans="1:93" ht="25.5" customHeight="1" thickBot="1" x14ac:dyDescent="0.45">
      <c r="A17" s="70">
        <v>43904</v>
      </c>
      <c r="B17" s="48"/>
      <c r="C17" s="64"/>
      <c r="D17" s="71">
        <f t="shared" si="3"/>
        <v>0</v>
      </c>
      <c r="E17" s="64"/>
      <c r="F17" s="71">
        <f t="shared" si="4"/>
        <v>0</v>
      </c>
      <c r="G17" s="64"/>
      <c r="H17" s="71">
        <f t="shared" si="5"/>
        <v>0</v>
      </c>
      <c r="I17" s="64"/>
      <c r="J17" s="71">
        <f t="shared" si="43"/>
        <v>0</v>
      </c>
      <c r="K17" s="64"/>
      <c r="L17" s="71">
        <f t="shared" si="0"/>
        <v>0</v>
      </c>
      <c r="M17" s="64"/>
      <c r="N17" s="71">
        <f t="shared" si="6"/>
        <v>0</v>
      </c>
      <c r="O17" s="64"/>
      <c r="P17" s="72">
        <f t="shared" si="7"/>
        <v>0</v>
      </c>
      <c r="Q17" s="64"/>
      <c r="R17" s="72">
        <f t="shared" si="8"/>
        <v>0</v>
      </c>
      <c r="S17" s="64"/>
      <c r="T17" s="72">
        <f t="shared" si="44"/>
        <v>0</v>
      </c>
      <c r="U17" s="64"/>
      <c r="V17" s="72">
        <f t="shared" si="10"/>
        <v>0</v>
      </c>
      <c r="W17" s="64"/>
      <c r="X17" s="72">
        <f t="shared" si="23"/>
        <v>0</v>
      </c>
      <c r="Y17" s="64"/>
      <c r="Z17" s="72">
        <f t="shared" si="24"/>
        <v>0</v>
      </c>
      <c r="AA17" s="64"/>
      <c r="AB17" s="72">
        <f t="shared" si="25"/>
        <v>0</v>
      </c>
      <c r="AC17" s="64"/>
      <c r="AD17" s="72">
        <f t="shared" si="26"/>
        <v>0</v>
      </c>
      <c r="AE17" s="64"/>
      <c r="AF17" s="72">
        <f t="shared" si="27"/>
        <v>0</v>
      </c>
      <c r="AG17" s="64"/>
      <c r="AH17" s="72">
        <f t="shared" si="11"/>
        <v>0</v>
      </c>
      <c r="AI17" s="64"/>
      <c r="AJ17" s="72">
        <f t="shared" si="28"/>
        <v>0</v>
      </c>
      <c r="AK17" s="64"/>
      <c r="AL17" s="72">
        <f t="shared" si="12"/>
        <v>0</v>
      </c>
      <c r="AM17" s="64"/>
      <c r="AN17" s="72">
        <f t="shared" si="13"/>
        <v>0</v>
      </c>
      <c r="AO17" s="64"/>
      <c r="AP17" s="72">
        <f t="shared" si="14"/>
        <v>0</v>
      </c>
      <c r="AQ17" s="64"/>
      <c r="AR17" s="72">
        <f t="shared" si="29"/>
        <v>0</v>
      </c>
      <c r="AS17" s="64"/>
      <c r="AT17" s="72">
        <f t="shared" si="30"/>
        <v>0</v>
      </c>
      <c r="AU17" s="64"/>
      <c r="AV17" s="72">
        <f t="shared" si="31"/>
        <v>0</v>
      </c>
      <c r="AW17" s="64"/>
      <c r="AX17" s="72">
        <f t="shared" si="32"/>
        <v>0</v>
      </c>
      <c r="AY17" s="64"/>
      <c r="AZ17" s="72">
        <f t="shared" si="33"/>
        <v>0</v>
      </c>
      <c r="BA17" s="64"/>
      <c r="BB17" s="72">
        <f t="shared" si="34"/>
        <v>0</v>
      </c>
      <c r="BC17" s="64"/>
      <c r="BD17" s="72">
        <f t="shared" si="35"/>
        <v>0</v>
      </c>
      <c r="BE17" s="66"/>
      <c r="BF17" s="72">
        <f t="shared" si="15"/>
        <v>0</v>
      </c>
      <c r="BG17" s="67"/>
      <c r="BH17" s="72">
        <f t="shared" si="36"/>
        <v>0</v>
      </c>
      <c r="BI17" s="66"/>
      <c r="BJ17" s="72">
        <f t="shared" si="37"/>
        <v>0</v>
      </c>
      <c r="BK17" s="66"/>
      <c r="BL17" s="72">
        <f t="shared" si="38"/>
        <v>0</v>
      </c>
      <c r="BM17" s="66"/>
      <c r="BN17" s="72">
        <f t="shared" si="39"/>
        <v>0</v>
      </c>
      <c r="BO17" s="66"/>
      <c r="BP17" s="72">
        <f t="shared" si="40"/>
        <v>0</v>
      </c>
      <c r="BQ17" s="66"/>
      <c r="BR17" s="72">
        <f t="shared" si="16"/>
        <v>0</v>
      </c>
      <c r="BS17" s="66"/>
      <c r="BT17" s="72">
        <f t="shared" si="41"/>
        <v>0</v>
      </c>
      <c r="BU17" s="66"/>
      <c r="BV17" s="72">
        <f t="shared" si="1"/>
        <v>0</v>
      </c>
      <c r="BW17" s="66"/>
      <c r="BX17" s="72">
        <f t="shared" si="42"/>
        <v>0</v>
      </c>
      <c r="BY17" s="80"/>
      <c r="BZ17" s="72">
        <f t="shared" si="17"/>
        <v>0</v>
      </c>
      <c r="CA17" s="64"/>
      <c r="CB17" s="72">
        <f t="shared" si="18"/>
        <v>0</v>
      </c>
      <c r="CC17" s="64"/>
      <c r="CD17" s="72">
        <f t="shared" si="19"/>
        <v>0</v>
      </c>
      <c r="CE17" s="64"/>
      <c r="CF17" s="72">
        <f t="shared" si="20"/>
        <v>0</v>
      </c>
      <c r="CG17" s="64"/>
      <c r="CH17" s="72">
        <f t="shared" si="21"/>
        <v>0</v>
      </c>
      <c r="CI17" s="64"/>
      <c r="CJ17" s="72">
        <f t="shared" si="2"/>
        <v>0</v>
      </c>
      <c r="CK17" s="64"/>
      <c r="CL17" s="71">
        <f t="shared" si="22"/>
        <v>0</v>
      </c>
      <c r="CM17" s="72"/>
      <c r="CN17" s="69"/>
      <c r="CO17" s="69"/>
    </row>
    <row r="18" spans="1:93" ht="25.5" customHeight="1" thickBot="1" x14ac:dyDescent="0.45">
      <c r="A18" s="70">
        <v>43905</v>
      </c>
      <c r="B18" s="48"/>
      <c r="C18" s="64"/>
      <c r="D18" s="71">
        <f t="shared" si="3"/>
        <v>0</v>
      </c>
      <c r="E18" s="64"/>
      <c r="F18" s="71">
        <f t="shared" si="4"/>
        <v>0</v>
      </c>
      <c r="G18" s="64"/>
      <c r="H18" s="71">
        <f t="shared" si="5"/>
        <v>0</v>
      </c>
      <c r="I18" s="64"/>
      <c r="J18" s="71">
        <f t="shared" si="43"/>
        <v>0</v>
      </c>
      <c r="K18" s="64"/>
      <c r="L18" s="71">
        <f t="shared" si="0"/>
        <v>0</v>
      </c>
      <c r="M18" s="64"/>
      <c r="N18" s="71">
        <f t="shared" si="6"/>
        <v>0</v>
      </c>
      <c r="O18" s="64"/>
      <c r="P18" s="72">
        <f t="shared" si="7"/>
        <v>0</v>
      </c>
      <c r="Q18" s="64"/>
      <c r="R18" s="72">
        <f t="shared" si="8"/>
        <v>0</v>
      </c>
      <c r="S18" s="64"/>
      <c r="T18" s="72">
        <f t="shared" si="44"/>
        <v>0</v>
      </c>
      <c r="U18" s="64"/>
      <c r="V18" s="72">
        <f t="shared" si="10"/>
        <v>0</v>
      </c>
      <c r="W18" s="64"/>
      <c r="X18" s="72">
        <f t="shared" si="23"/>
        <v>0</v>
      </c>
      <c r="Y18" s="64"/>
      <c r="Z18" s="72">
        <f t="shared" si="24"/>
        <v>0</v>
      </c>
      <c r="AA18" s="64"/>
      <c r="AB18" s="72">
        <f t="shared" si="25"/>
        <v>0</v>
      </c>
      <c r="AC18" s="64"/>
      <c r="AD18" s="72">
        <f t="shared" si="26"/>
        <v>0</v>
      </c>
      <c r="AE18" s="64"/>
      <c r="AF18" s="72">
        <f t="shared" si="27"/>
        <v>0</v>
      </c>
      <c r="AG18" s="64"/>
      <c r="AH18" s="72">
        <f t="shared" si="11"/>
        <v>0</v>
      </c>
      <c r="AI18" s="64"/>
      <c r="AJ18" s="72">
        <f t="shared" si="28"/>
        <v>0</v>
      </c>
      <c r="AK18" s="64"/>
      <c r="AL18" s="72">
        <f t="shared" si="12"/>
        <v>0</v>
      </c>
      <c r="AM18" s="64"/>
      <c r="AN18" s="72">
        <f t="shared" si="13"/>
        <v>0</v>
      </c>
      <c r="AO18" s="64"/>
      <c r="AP18" s="72">
        <f t="shared" si="14"/>
        <v>0</v>
      </c>
      <c r="AQ18" s="64"/>
      <c r="AR18" s="72">
        <f t="shared" si="29"/>
        <v>0</v>
      </c>
      <c r="AS18" s="64"/>
      <c r="AT18" s="72">
        <f t="shared" si="30"/>
        <v>0</v>
      </c>
      <c r="AU18" s="64"/>
      <c r="AV18" s="72">
        <f t="shared" si="31"/>
        <v>0</v>
      </c>
      <c r="AW18" s="64"/>
      <c r="AX18" s="72">
        <f t="shared" si="32"/>
        <v>0</v>
      </c>
      <c r="AY18" s="64"/>
      <c r="AZ18" s="72">
        <f t="shared" si="33"/>
        <v>0</v>
      </c>
      <c r="BA18" s="64"/>
      <c r="BB18" s="72">
        <f t="shared" si="34"/>
        <v>0</v>
      </c>
      <c r="BC18" s="64"/>
      <c r="BD18" s="72">
        <f t="shared" si="35"/>
        <v>0</v>
      </c>
      <c r="BE18" s="66"/>
      <c r="BF18" s="72">
        <f t="shared" si="15"/>
        <v>0</v>
      </c>
      <c r="BG18" s="67"/>
      <c r="BH18" s="72">
        <f t="shared" si="36"/>
        <v>0</v>
      </c>
      <c r="BI18" s="66"/>
      <c r="BJ18" s="72">
        <f t="shared" si="37"/>
        <v>0</v>
      </c>
      <c r="BK18" s="66"/>
      <c r="BL18" s="72">
        <f t="shared" si="38"/>
        <v>0</v>
      </c>
      <c r="BM18" s="66"/>
      <c r="BN18" s="72">
        <f t="shared" si="39"/>
        <v>0</v>
      </c>
      <c r="BO18" s="66"/>
      <c r="BP18" s="72">
        <f t="shared" si="40"/>
        <v>0</v>
      </c>
      <c r="BQ18" s="66"/>
      <c r="BR18" s="72">
        <f t="shared" si="16"/>
        <v>0</v>
      </c>
      <c r="BS18" s="66"/>
      <c r="BT18" s="72">
        <f t="shared" si="41"/>
        <v>0</v>
      </c>
      <c r="BU18" s="66"/>
      <c r="BV18" s="72">
        <f t="shared" si="1"/>
        <v>0</v>
      </c>
      <c r="BW18" s="66"/>
      <c r="BX18" s="72">
        <f t="shared" si="42"/>
        <v>0</v>
      </c>
      <c r="BY18" s="80"/>
      <c r="BZ18" s="72">
        <f t="shared" si="17"/>
        <v>0</v>
      </c>
      <c r="CA18" s="64"/>
      <c r="CB18" s="72">
        <f t="shared" si="18"/>
        <v>0</v>
      </c>
      <c r="CC18" s="64"/>
      <c r="CD18" s="72">
        <f t="shared" si="19"/>
        <v>0</v>
      </c>
      <c r="CE18" s="64"/>
      <c r="CF18" s="72">
        <f t="shared" si="20"/>
        <v>0</v>
      </c>
      <c r="CG18" s="64"/>
      <c r="CH18" s="72">
        <f t="shared" si="21"/>
        <v>0</v>
      </c>
      <c r="CI18" s="64"/>
      <c r="CJ18" s="72">
        <f t="shared" si="2"/>
        <v>0</v>
      </c>
      <c r="CK18" s="64"/>
      <c r="CL18" s="71">
        <f t="shared" si="22"/>
        <v>0</v>
      </c>
      <c r="CM18" s="72"/>
      <c r="CN18" s="69"/>
      <c r="CO18" s="69"/>
    </row>
    <row r="19" spans="1:93" ht="25.5" customHeight="1" thickBot="1" x14ac:dyDescent="0.45">
      <c r="A19" s="70">
        <v>43906</v>
      </c>
      <c r="B19" s="48"/>
      <c r="C19" s="64"/>
      <c r="D19" s="71">
        <f t="shared" si="3"/>
        <v>0</v>
      </c>
      <c r="E19" s="64"/>
      <c r="F19" s="71">
        <f t="shared" si="4"/>
        <v>0</v>
      </c>
      <c r="G19" s="64"/>
      <c r="H19" s="71">
        <f t="shared" si="5"/>
        <v>0</v>
      </c>
      <c r="I19" s="64"/>
      <c r="J19" s="71">
        <f t="shared" si="43"/>
        <v>0</v>
      </c>
      <c r="K19" s="64"/>
      <c r="L19" s="71">
        <f t="shared" si="0"/>
        <v>0</v>
      </c>
      <c r="M19" s="64"/>
      <c r="N19" s="71">
        <f t="shared" si="6"/>
        <v>0</v>
      </c>
      <c r="O19" s="64"/>
      <c r="P19" s="72">
        <f t="shared" si="7"/>
        <v>0</v>
      </c>
      <c r="Q19" s="64"/>
      <c r="R19" s="72">
        <f t="shared" si="8"/>
        <v>0</v>
      </c>
      <c r="S19" s="64"/>
      <c r="T19" s="72">
        <f t="shared" si="44"/>
        <v>0</v>
      </c>
      <c r="U19" s="64"/>
      <c r="V19" s="72">
        <f t="shared" si="10"/>
        <v>0</v>
      </c>
      <c r="W19" s="64"/>
      <c r="X19" s="72">
        <f t="shared" si="23"/>
        <v>0</v>
      </c>
      <c r="Y19" s="64"/>
      <c r="Z19" s="72">
        <f t="shared" si="24"/>
        <v>0</v>
      </c>
      <c r="AA19" s="64"/>
      <c r="AB19" s="72">
        <f t="shared" si="25"/>
        <v>0</v>
      </c>
      <c r="AC19" s="64"/>
      <c r="AD19" s="72">
        <f t="shared" si="26"/>
        <v>0</v>
      </c>
      <c r="AE19" s="64"/>
      <c r="AF19" s="72">
        <f t="shared" si="27"/>
        <v>0</v>
      </c>
      <c r="AG19" s="64"/>
      <c r="AH19" s="72">
        <f t="shared" si="11"/>
        <v>0</v>
      </c>
      <c r="AI19" s="64"/>
      <c r="AJ19" s="72">
        <f t="shared" si="28"/>
        <v>0</v>
      </c>
      <c r="AK19" s="64"/>
      <c r="AL19" s="72">
        <f t="shared" si="12"/>
        <v>0</v>
      </c>
      <c r="AM19" s="64"/>
      <c r="AN19" s="72">
        <f t="shared" si="13"/>
        <v>0</v>
      </c>
      <c r="AO19" s="64"/>
      <c r="AP19" s="72">
        <f t="shared" si="14"/>
        <v>0</v>
      </c>
      <c r="AQ19" s="64"/>
      <c r="AR19" s="72">
        <f t="shared" si="29"/>
        <v>0</v>
      </c>
      <c r="AS19" s="64"/>
      <c r="AT19" s="72">
        <f t="shared" si="30"/>
        <v>0</v>
      </c>
      <c r="AU19" s="64"/>
      <c r="AV19" s="72">
        <f t="shared" si="31"/>
        <v>0</v>
      </c>
      <c r="AW19" s="64"/>
      <c r="AX19" s="72">
        <f t="shared" si="32"/>
        <v>0</v>
      </c>
      <c r="AY19" s="64"/>
      <c r="AZ19" s="72">
        <f t="shared" si="33"/>
        <v>0</v>
      </c>
      <c r="BA19" s="64"/>
      <c r="BB19" s="72">
        <f t="shared" si="34"/>
        <v>0</v>
      </c>
      <c r="BC19" s="64"/>
      <c r="BD19" s="72">
        <f t="shared" si="35"/>
        <v>0</v>
      </c>
      <c r="BE19" s="66"/>
      <c r="BF19" s="72">
        <f t="shared" si="15"/>
        <v>0</v>
      </c>
      <c r="BG19" s="67"/>
      <c r="BH19" s="72">
        <f t="shared" si="36"/>
        <v>0</v>
      </c>
      <c r="BI19" s="66"/>
      <c r="BJ19" s="72">
        <f t="shared" si="37"/>
        <v>0</v>
      </c>
      <c r="BK19" s="66"/>
      <c r="BL19" s="72">
        <f t="shared" si="38"/>
        <v>0</v>
      </c>
      <c r="BM19" s="66"/>
      <c r="BN19" s="72">
        <f t="shared" si="39"/>
        <v>0</v>
      </c>
      <c r="BO19" s="66"/>
      <c r="BP19" s="72">
        <f t="shared" si="40"/>
        <v>0</v>
      </c>
      <c r="BQ19" s="66"/>
      <c r="BR19" s="72">
        <f t="shared" si="16"/>
        <v>0</v>
      </c>
      <c r="BS19" s="66"/>
      <c r="BT19" s="72">
        <f t="shared" si="41"/>
        <v>0</v>
      </c>
      <c r="BU19" s="66"/>
      <c r="BV19" s="72">
        <f t="shared" si="1"/>
        <v>0</v>
      </c>
      <c r="BW19" s="66"/>
      <c r="BX19" s="72">
        <f t="shared" si="42"/>
        <v>0</v>
      </c>
      <c r="BY19" s="80"/>
      <c r="BZ19" s="72">
        <f t="shared" si="17"/>
        <v>0</v>
      </c>
      <c r="CA19" s="64"/>
      <c r="CB19" s="72">
        <f t="shared" si="18"/>
        <v>0</v>
      </c>
      <c r="CC19" s="64"/>
      <c r="CD19" s="72">
        <f t="shared" si="19"/>
        <v>0</v>
      </c>
      <c r="CE19" s="64"/>
      <c r="CF19" s="72">
        <f t="shared" si="20"/>
        <v>0</v>
      </c>
      <c r="CG19" s="64"/>
      <c r="CH19" s="72">
        <f t="shared" si="21"/>
        <v>0</v>
      </c>
      <c r="CI19" s="64"/>
      <c r="CJ19" s="72">
        <f t="shared" si="2"/>
        <v>0</v>
      </c>
      <c r="CK19" s="64"/>
      <c r="CL19" s="71">
        <f t="shared" si="22"/>
        <v>0</v>
      </c>
      <c r="CM19" s="72"/>
      <c r="CN19" s="69"/>
      <c r="CO19" s="69"/>
    </row>
    <row r="20" spans="1:93" ht="25.5" customHeight="1" thickBot="1" x14ac:dyDescent="0.45">
      <c r="A20" s="70">
        <v>43907</v>
      </c>
      <c r="B20" s="48"/>
      <c r="C20" s="64"/>
      <c r="D20" s="71">
        <f t="shared" si="3"/>
        <v>0</v>
      </c>
      <c r="E20" s="64"/>
      <c r="F20" s="71">
        <f t="shared" si="4"/>
        <v>0</v>
      </c>
      <c r="G20" s="64"/>
      <c r="H20" s="71">
        <f t="shared" si="5"/>
        <v>0</v>
      </c>
      <c r="I20" s="64"/>
      <c r="J20" s="71">
        <f t="shared" si="43"/>
        <v>0</v>
      </c>
      <c r="K20" s="64"/>
      <c r="L20" s="71">
        <f t="shared" si="0"/>
        <v>0</v>
      </c>
      <c r="M20" s="64"/>
      <c r="N20" s="71">
        <f t="shared" si="6"/>
        <v>0</v>
      </c>
      <c r="O20" s="64"/>
      <c r="P20" s="72">
        <f t="shared" si="7"/>
        <v>0</v>
      </c>
      <c r="Q20" s="64"/>
      <c r="R20" s="72">
        <f t="shared" si="8"/>
        <v>0</v>
      </c>
      <c r="S20" s="64"/>
      <c r="T20" s="72">
        <f t="shared" si="44"/>
        <v>0</v>
      </c>
      <c r="U20" s="64"/>
      <c r="V20" s="72">
        <f t="shared" si="10"/>
        <v>0</v>
      </c>
      <c r="W20" s="64"/>
      <c r="X20" s="72">
        <f t="shared" si="23"/>
        <v>0</v>
      </c>
      <c r="Y20" s="64"/>
      <c r="Z20" s="72">
        <f t="shared" si="24"/>
        <v>0</v>
      </c>
      <c r="AA20" s="64"/>
      <c r="AB20" s="72">
        <f t="shared" si="25"/>
        <v>0</v>
      </c>
      <c r="AC20" s="64"/>
      <c r="AD20" s="72">
        <f t="shared" si="26"/>
        <v>0</v>
      </c>
      <c r="AE20" s="64"/>
      <c r="AF20" s="72">
        <f t="shared" si="27"/>
        <v>0</v>
      </c>
      <c r="AG20" s="64"/>
      <c r="AH20" s="72">
        <f t="shared" si="11"/>
        <v>0</v>
      </c>
      <c r="AI20" s="64"/>
      <c r="AJ20" s="72">
        <f t="shared" si="28"/>
        <v>0</v>
      </c>
      <c r="AK20" s="64"/>
      <c r="AL20" s="72">
        <f t="shared" si="12"/>
        <v>0</v>
      </c>
      <c r="AM20" s="64"/>
      <c r="AN20" s="72">
        <f t="shared" si="13"/>
        <v>0</v>
      </c>
      <c r="AO20" s="64"/>
      <c r="AP20" s="72">
        <f t="shared" si="14"/>
        <v>0</v>
      </c>
      <c r="AQ20" s="64"/>
      <c r="AR20" s="72">
        <f t="shared" si="29"/>
        <v>0</v>
      </c>
      <c r="AS20" s="64"/>
      <c r="AT20" s="72">
        <f t="shared" si="30"/>
        <v>0</v>
      </c>
      <c r="AU20" s="64"/>
      <c r="AV20" s="72">
        <f t="shared" si="31"/>
        <v>0</v>
      </c>
      <c r="AW20" s="64"/>
      <c r="AX20" s="72">
        <f t="shared" si="32"/>
        <v>0</v>
      </c>
      <c r="AY20" s="64"/>
      <c r="AZ20" s="72">
        <f t="shared" si="33"/>
        <v>0</v>
      </c>
      <c r="BA20" s="64"/>
      <c r="BB20" s="72">
        <f t="shared" si="34"/>
        <v>0</v>
      </c>
      <c r="BC20" s="64"/>
      <c r="BD20" s="72">
        <f t="shared" si="35"/>
        <v>0</v>
      </c>
      <c r="BE20" s="66"/>
      <c r="BF20" s="72">
        <f t="shared" si="15"/>
        <v>0</v>
      </c>
      <c r="BG20" s="67"/>
      <c r="BH20" s="72">
        <f t="shared" si="36"/>
        <v>0</v>
      </c>
      <c r="BI20" s="66"/>
      <c r="BJ20" s="72">
        <f t="shared" si="37"/>
        <v>0</v>
      </c>
      <c r="BK20" s="66"/>
      <c r="BL20" s="72">
        <f t="shared" si="38"/>
        <v>0</v>
      </c>
      <c r="BM20" s="66"/>
      <c r="BN20" s="72">
        <f t="shared" si="39"/>
        <v>0</v>
      </c>
      <c r="BO20" s="66"/>
      <c r="BP20" s="72">
        <f t="shared" si="40"/>
        <v>0</v>
      </c>
      <c r="BQ20" s="66"/>
      <c r="BR20" s="72">
        <f t="shared" si="16"/>
        <v>0</v>
      </c>
      <c r="BS20" s="66"/>
      <c r="BT20" s="72">
        <f t="shared" si="41"/>
        <v>0</v>
      </c>
      <c r="BU20" s="66"/>
      <c r="BV20" s="72">
        <f t="shared" si="1"/>
        <v>0</v>
      </c>
      <c r="BW20" s="66"/>
      <c r="BX20" s="72">
        <f t="shared" si="42"/>
        <v>0</v>
      </c>
      <c r="BY20" s="80"/>
      <c r="BZ20" s="72">
        <f t="shared" si="17"/>
        <v>0</v>
      </c>
      <c r="CA20" s="64"/>
      <c r="CB20" s="72">
        <f t="shared" si="18"/>
        <v>0</v>
      </c>
      <c r="CC20" s="64"/>
      <c r="CD20" s="72">
        <f t="shared" si="19"/>
        <v>0</v>
      </c>
      <c r="CE20" s="64"/>
      <c r="CF20" s="72">
        <f t="shared" si="20"/>
        <v>0</v>
      </c>
      <c r="CG20" s="64"/>
      <c r="CH20" s="72">
        <f t="shared" si="21"/>
        <v>0</v>
      </c>
      <c r="CI20" s="64"/>
      <c r="CJ20" s="72">
        <f t="shared" si="2"/>
        <v>0</v>
      </c>
      <c r="CK20" s="64"/>
      <c r="CL20" s="71">
        <f t="shared" si="22"/>
        <v>0</v>
      </c>
      <c r="CM20" s="72"/>
      <c r="CN20" s="69"/>
      <c r="CO20" s="69"/>
    </row>
    <row r="21" spans="1:93" ht="25.5" customHeight="1" thickBot="1" x14ac:dyDescent="0.45">
      <c r="A21" s="70">
        <v>43908</v>
      </c>
      <c r="B21" s="48"/>
      <c r="C21" s="64"/>
      <c r="D21" s="71">
        <f t="shared" si="3"/>
        <v>0</v>
      </c>
      <c r="E21" s="64"/>
      <c r="F21" s="71">
        <f t="shared" si="4"/>
        <v>0</v>
      </c>
      <c r="G21" s="64"/>
      <c r="H21" s="71">
        <f t="shared" si="5"/>
        <v>0</v>
      </c>
      <c r="I21" s="64"/>
      <c r="J21" s="71">
        <f t="shared" si="43"/>
        <v>0</v>
      </c>
      <c r="K21" s="64"/>
      <c r="L21" s="71">
        <f t="shared" si="0"/>
        <v>0</v>
      </c>
      <c r="M21" s="64"/>
      <c r="N21" s="71">
        <f t="shared" si="6"/>
        <v>0</v>
      </c>
      <c r="O21" s="64"/>
      <c r="P21" s="72">
        <f t="shared" si="7"/>
        <v>0</v>
      </c>
      <c r="Q21" s="64"/>
      <c r="R21" s="72">
        <f t="shared" si="8"/>
        <v>0</v>
      </c>
      <c r="S21" s="64"/>
      <c r="T21" s="72">
        <f t="shared" si="44"/>
        <v>0</v>
      </c>
      <c r="U21" s="64"/>
      <c r="V21" s="72">
        <f t="shared" si="10"/>
        <v>0</v>
      </c>
      <c r="W21" s="64"/>
      <c r="X21" s="72">
        <f t="shared" si="23"/>
        <v>0</v>
      </c>
      <c r="Y21" s="64"/>
      <c r="Z21" s="72">
        <f t="shared" si="24"/>
        <v>0</v>
      </c>
      <c r="AA21" s="64"/>
      <c r="AB21" s="72">
        <f t="shared" si="25"/>
        <v>0</v>
      </c>
      <c r="AC21" s="64"/>
      <c r="AD21" s="72">
        <f t="shared" si="26"/>
        <v>0</v>
      </c>
      <c r="AE21" s="64"/>
      <c r="AF21" s="72">
        <f t="shared" si="27"/>
        <v>0</v>
      </c>
      <c r="AG21" s="64"/>
      <c r="AH21" s="72">
        <f t="shared" si="11"/>
        <v>0</v>
      </c>
      <c r="AI21" s="64"/>
      <c r="AJ21" s="72">
        <f t="shared" si="28"/>
        <v>0</v>
      </c>
      <c r="AK21" s="64"/>
      <c r="AL21" s="72">
        <f t="shared" si="12"/>
        <v>0</v>
      </c>
      <c r="AM21" s="64"/>
      <c r="AN21" s="72">
        <f t="shared" si="13"/>
        <v>0</v>
      </c>
      <c r="AO21" s="64"/>
      <c r="AP21" s="72">
        <f t="shared" si="14"/>
        <v>0</v>
      </c>
      <c r="AQ21" s="64"/>
      <c r="AR21" s="72">
        <f t="shared" si="29"/>
        <v>0</v>
      </c>
      <c r="AS21" s="64"/>
      <c r="AT21" s="72">
        <f t="shared" si="30"/>
        <v>0</v>
      </c>
      <c r="AU21" s="64"/>
      <c r="AV21" s="72">
        <f t="shared" si="31"/>
        <v>0</v>
      </c>
      <c r="AW21" s="64"/>
      <c r="AX21" s="72">
        <f t="shared" si="32"/>
        <v>0</v>
      </c>
      <c r="AY21" s="64"/>
      <c r="AZ21" s="72">
        <f t="shared" si="33"/>
        <v>0</v>
      </c>
      <c r="BA21" s="64"/>
      <c r="BB21" s="72">
        <f t="shared" si="34"/>
        <v>0</v>
      </c>
      <c r="BC21" s="64"/>
      <c r="BD21" s="72">
        <f t="shared" si="35"/>
        <v>0</v>
      </c>
      <c r="BE21" s="66"/>
      <c r="BF21" s="72">
        <f t="shared" si="15"/>
        <v>0</v>
      </c>
      <c r="BG21" s="67"/>
      <c r="BH21" s="72">
        <f t="shared" si="36"/>
        <v>0</v>
      </c>
      <c r="BI21" s="66"/>
      <c r="BJ21" s="72">
        <f t="shared" si="37"/>
        <v>0</v>
      </c>
      <c r="BK21" s="66"/>
      <c r="BL21" s="72">
        <f t="shared" si="38"/>
        <v>0</v>
      </c>
      <c r="BM21" s="66"/>
      <c r="BN21" s="72">
        <f t="shared" si="39"/>
        <v>0</v>
      </c>
      <c r="BO21" s="66"/>
      <c r="BP21" s="72">
        <f t="shared" si="40"/>
        <v>0</v>
      </c>
      <c r="BQ21" s="66"/>
      <c r="BR21" s="72">
        <f t="shared" si="16"/>
        <v>0</v>
      </c>
      <c r="BS21" s="66"/>
      <c r="BT21" s="72">
        <f t="shared" si="41"/>
        <v>0</v>
      </c>
      <c r="BU21" s="66"/>
      <c r="BV21" s="72">
        <f t="shared" si="1"/>
        <v>0</v>
      </c>
      <c r="BW21" s="66"/>
      <c r="BX21" s="72">
        <f t="shared" si="42"/>
        <v>0</v>
      </c>
      <c r="BY21" s="80"/>
      <c r="BZ21" s="72">
        <f t="shared" si="17"/>
        <v>0</v>
      </c>
      <c r="CA21" s="64"/>
      <c r="CB21" s="72">
        <f t="shared" si="18"/>
        <v>0</v>
      </c>
      <c r="CC21" s="64"/>
      <c r="CD21" s="72">
        <f t="shared" si="19"/>
        <v>0</v>
      </c>
      <c r="CE21" s="64"/>
      <c r="CF21" s="72">
        <f t="shared" si="20"/>
        <v>0</v>
      </c>
      <c r="CG21" s="64"/>
      <c r="CH21" s="72">
        <f t="shared" si="21"/>
        <v>0</v>
      </c>
      <c r="CI21" s="64"/>
      <c r="CJ21" s="72">
        <f t="shared" si="2"/>
        <v>0</v>
      </c>
      <c r="CK21" s="64"/>
      <c r="CL21" s="71">
        <f t="shared" si="22"/>
        <v>0</v>
      </c>
      <c r="CM21" s="72"/>
      <c r="CN21" s="69"/>
      <c r="CO21" s="69"/>
    </row>
    <row r="22" spans="1:93" ht="25.5" customHeight="1" thickBot="1" x14ac:dyDescent="0.45">
      <c r="A22" s="70">
        <v>43909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6"/>
      <c r="BJ22" s="72">
        <f t="shared" si="37"/>
        <v>0</v>
      </c>
      <c r="BK22" s="66"/>
      <c r="BL22" s="72">
        <f t="shared" si="38"/>
        <v>0</v>
      </c>
      <c r="BM22" s="66"/>
      <c r="BN22" s="72">
        <f t="shared" si="39"/>
        <v>0</v>
      </c>
      <c r="BO22" s="66"/>
      <c r="BP22" s="72">
        <f t="shared" si="40"/>
        <v>0</v>
      </c>
      <c r="BQ22" s="66"/>
      <c r="BR22" s="72">
        <f t="shared" si="16"/>
        <v>0</v>
      </c>
      <c r="BS22" s="66"/>
      <c r="BT22" s="72">
        <f t="shared" si="41"/>
        <v>0</v>
      </c>
      <c r="BU22" s="66"/>
      <c r="BV22" s="72">
        <f t="shared" si="1"/>
        <v>0</v>
      </c>
      <c r="BW22" s="66"/>
      <c r="BX22" s="72">
        <f t="shared" si="42"/>
        <v>0</v>
      </c>
      <c r="BY22" s="80"/>
      <c r="BZ22" s="72">
        <f t="shared" si="17"/>
        <v>0</v>
      </c>
      <c r="CA22" s="64"/>
      <c r="CB22" s="72">
        <f t="shared" si="18"/>
        <v>0</v>
      </c>
      <c r="CC22" s="64"/>
      <c r="CD22" s="72">
        <f t="shared" si="19"/>
        <v>0</v>
      </c>
      <c r="CE22" s="64"/>
      <c r="CF22" s="72">
        <f t="shared" si="20"/>
        <v>0</v>
      </c>
      <c r="CG22" s="64"/>
      <c r="CH22" s="72">
        <f t="shared" si="21"/>
        <v>0</v>
      </c>
      <c r="CI22" s="64"/>
      <c r="CJ22" s="72">
        <f t="shared" si="2"/>
        <v>0</v>
      </c>
      <c r="CK22" s="64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43910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6"/>
      <c r="BJ23" s="72">
        <f t="shared" si="37"/>
        <v>0</v>
      </c>
      <c r="BK23" s="66"/>
      <c r="BL23" s="72">
        <f t="shared" si="38"/>
        <v>0</v>
      </c>
      <c r="BM23" s="66"/>
      <c r="BN23" s="72">
        <f t="shared" si="39"/>
        <v>0</v>
      </c>
      <c r="BO23" s="66"/>
      <c r="BP23" s="72">
        <f t="shared" si="40"/>
        <v>0</v>
      </c>
      <c r="BQ23" s="66"/>
      <c r="BR23" s="72">
        <f t="shared" si="16"/>
        <v>0</v>
      </c>
      <c r="BS23" s="66"/>
      <c r="BT23" s="72">
        <f t="shared" si="41"/>
        <v>0</v>
      </c>
      <c r="BU23" s="66"/>
      <c r="BV23" s="72">
        <f t="shared" si="1"/>
        <v>0</v>
      </c>
      <c r="BW23" s="66"/>
      <c r="BX23" s="72">
        <f t="shared" si="42"/>
        <v>0</v>
      </c>
      <c r="BY23" s="80"/>
      <c r="BZ23" s="72">
        <f t="shared" si="17"/>
        <v>0</v>
      </c>
      <c r="CA23" s="64"/>
      <c r="CB23" s="72">
        <f t="shared" si="18"/>
        <v>0</v>
      </c>
      <c r="CC23" s="64"/>
      <c r="CD23" s="72">
        <f t="shared" si="19"/>
        <v>0</v>
      </c>
      <c r="CE23" s="64"/>
      <c r="CF23" s="72">
        <f t="shared" si="20"/>
        <v>0</v>
      </c>
      <c r="CG23" s="64"/>
      <c r="CH23" s="72">
        <f t="shared" si="21"/>
        <v>0</v>
      </c>
      <c r="CI23" s="64"/>
      <c r="CJ23" s="72">
        <f t="shared" si="2"/>
        <v>0</v>
      </c>
      <c r="CK23" s="64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43911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6"/>
      <c r="BJ24" s="72">
        <f t="shared" si="37"/>
        <v>0</v>
      </c>
      <c r="BK24" s="66"/>
      <c r="BL24" s="72">
        <f t="shared" si="38"/>
        <v>0</v>
      </c>
      <c r="BM24" s="66"/>
      <c r="BN24" s="72">
        <f t="shared" si="39"/>
        <v>0</v>
      </c>
      <c r="BO24" s="66"/>
      <c r="BP24" s="72">
        <f t="shared" si="40"/>
        <v>0</v>
      </c>
      <c r="BQ24" s="66"/>
      <c r="BR24" s="72">
        <f t="shared" si="16"/>
        <v>0</v>
      </c>
      <c r="BS24" s="66"/>
      <c r="BT24" s="72">
        <f t="shared" si="41"/>
        <v>0</v>
      </c>
      <c r="BU24" s="66"/>
      <c r="BV24" s="72">
        <f t="shared" si="1"/>
        <v>0</v>
      </c>
      <c r="BW24" s="66"/>
      <c r="BX24" s="72">
        <f t="shared" si="42"/>
        <v>0</v>
      </c>
      <c r="BY24" s="80"/>
      <c r="BZ24" s="72">
        <f t="shared" si="17"/>
        <v>0</v>
      </c>
      <c r="CA24" s="64"/>
      <c r="CB24" s="72">
        <f t="shared" si="18"/>
        <v>0</v>
      </c>
      <c r="CC24" s="64"/>
      <c r="CD24" s="72">
        <f t="shared" si="19"/>
        <v>0</v>
      </c>
      <c r="CE24" s="64"/>
      <c r="CF24" s="72">
        <f t="shared" si="20"/>
        <v>0</v>
      </c>
      <c r="CG24" s="64"/>
      <c r="CH24" s="72">
        <f t="shared" si="21"/>
        <v>0</v>
      </c>
      <c r="CI24" s="64"/>
      <c r="CJ24" s="72">
        <f t="shared" si="2"/>
        <v>0</v>
      </c>
      <c r="CK24" s="64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43912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6"/>
      <c r="BJ25" s="72">
        <f t="shared" si="37"/>
        <v>0</v>
      </c>
      <c r="BK25" s="66"/>
      <c r="BL25" s="72">
        <f t="shared" si="38"/>
        <v>0</v>
      </c>
      <c r="BM25" s="66"/>
      <c r="BN25" s="72">
        <f t="shared" si="39"/>
        <v>0</v>
      </c>
      <c r="BO25" s="66"/>
      <c r="BP25" s="72">
        <f t="shared" si="40"/>
        <v>0</v>
      </c>
      <c r="BQ25" s="66"/>
      <c r="BR25" s="72">
        <f t="shared" si="16"/>
        <v>0</v>
      </c>
      <c r="BS25" s="66"/>
      <c r="BT25" s="72">
        <f t="shared" si="41"/>
        <v>0</v>
      </c>
      <c r="BU25" s="66"/>
      <c r="BV25" s="72">
        <f t="shared" si="1"/>
        <v>0</v>
      </c>
      <c r="BW25" s="66"/>
      <c r="BX25" s="72">
        <f t="shared" si="42"/>
        <v>0</v>
      </c>
      <c r="BY25" s="80"/>
      <c r="BZ25" s="72">
        <f t="shared" si="17"/>
        <v>0</v>
      </c>
      <c r="CA25" s="64"/>
      <c r="CB25" s="72">
        <f t="shared" si="18"/>
        <v>0</v>
      </c>
      <c r="CC25" s="64"/>
      <c r="CD25" s="72">
        <f t="shared" si="19"/>
        <v>0</v>
      </c>
      <c r="CE25" s="64"/>
      <c r="CF25" s="72">
        <f t="shared" si="20"/>
        <v>0</v>
      </c>
      <c r="CG25" s="64"/>
      <c r="CH25" s="72">
        <f t="shared" si="21"/>
        <v>0</v>
      </c>
      <c r="CI25" s="64"/>
      <c r="CJ25" s="72">
        <f t="shared" si="2"/>
        <v>0</v>
      </c>
      <c r="CK25" s="64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43913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6"/>
      <c r="BJ26" s="72">
        <f t="shared" si="37"/>
        <v>0</v>
      </c>
      <c r="BK26" s="66"/>
      <c r="BL26" s="72">
        <f t="shared" si="38"/>
        <v>0</v>
      </c>
      <c r="BM26" s="66"/>
      <c r="BN26" s="72">
        <f t="shared" si="39"/>
        <v>0</v>
      </c>
      <c r="BO26" s="66"/>
      <c r="BP26" s="72">
        <f t="shared" si="40"/>
        <v>0</v>
      </c>
      <c r="BQ26" s="66"/>
      <c r="BR26" s="72">
        <f t="shared" si="16"/>
        <v>0</v>
      </c>
      <c r="BS26" s="66"/>
      <c r="BT26" s="72">
        <f t="shared" si="41"/>
        <v>0</v>
      </c>
      <c r="BU26" s="66"/>
      <c r="BV26" s="72">
        <f t="shared" si="1"/>
        <v>0</v>
      </c>
      <c r="BW26" s="66"/>
      <c r="BX26" s="72">
        <f t="shared" si="42"/>
        <v>0</v>
      </c>
      <c r="BY26" s="80"/>
      <c r="BZ26" s="72">
        <f t="shared" si="17"/>
        <v>0</v>
      </c>
      <c r="CA26" s="64"/>
      <c r="CB26" s="72">
        <f t="shared" si="18"/>
        <v>0</v>
      </c>
      <c r="CC26" s="64"/>
      <c r="CD26" s="72">
        <f t="shared" si="19"/>
        <v>0</v>
      </c>
      <c r="CE26" s="64"/>
      <c r="CF26" s="72">
        <f t="shared" si="20"/>
        <v>0</v>
      </c>
      <c r="CG26" s="64"/>
      <c r="CH26" s="72">
        <f t="shared" si="21"/>
        <v>0</v>
      </c>
      <c r="CI26" s="64"/>
      <c r="CJ26" s="72">
        <f t="shared" si="2"/>
        <v>0</v>
      </c>
      <c r="CK26" s="64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43914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6"/>
      <c r="BJ27" s="72">
        <f t="shared" si="37"/>
        <v>0</v>
      </c>
      <c r="BK27" s="66"/>
      <c r="BL27" s="72">
        <f t="shared" si="38"/>
        <v>0</v>
      </c>
      <c r="BM27" s="66"/>
      <c r="BN27" s="72">
        <f t="shared" si="39"/>
        <v>0</v>
      </c>
      <c r="BO27" s="66"/>
      <c r="BP27" s="72">
        <f t="shared" si="40"/>
        <v>0</v>
      </c>
      <c r="BQ27" s="66"/>
      <c r="BR27" s="72">
        <f t="shared" si="16"/>
        <v>0</v>
      </c>
      <c r="BS27" s="66"/>
      <c r="BT27" s="72">
        <f t="shared" si="41"/>
        <v>0</v>
      </c>
      <c r="BU27" s="66"/>
      <c r="BV27" s="72">
        <f t="shared" si="1"/>
        <v>0</v>
      </c>
      <c r="BW27" s="66"/>
      <c r="BX27" s="72">
        <f t="shared" si="42"/>
        <v>0</v>
      </c>
      <c r="BY27" s="80"/>
      <c r="BZ27" s="72">
        <f t="shared" si="17"/>
        <v>0</v>
      </c>
      <c r="CA27" s="64"/>
      <c r="CB27" s="72">
        <f t="shared" si="18"/>
        <v>0</v>
      </c>
      <c r="CC27" s="64"/>
      <c r="CD27" s="72">
        <f t="shared" si="19"/>
        <v>0</v>
      </c>
      <c r="CE27" s="64"/>
      <c r="CF27" s="72">
        <f t="shared" si="20"/>
        <v>0</v>
      </c>
      <c r="CG27" s="64"/>
      <c r="CH27" s="72">
        <f t="shared" si="21"/>
        <v>0</v>
      </c>
      <c r="CI27" s="64"/>
      <c r="CJ27" s="72">
        <f t="shared" si="2"/>
        <v>0</v>
      </c>
      <c r="CK27" s="64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43915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6"/>
      <c r="BJ28" s="72">
        <f t="shared" si="37"/>
        <v>0</v>
      </c>
      <c r="BK28" s="66"/>
      <c r="BL28" s="72">
        <f t="shared" si="38"/>
        <v>0</v>
      </c>
      <c r="BM28" s="66"/>
      <c r="BN28" s="72">
        <f t="shared" si="39"/>
        <v>0</v>
      </c>
      <c r="BO28" s="66"/>
      <c r="BP28" s="72">
        <f t="shared" si="40"/>
        <v>0</v>
      </c>
      <c r="BQ28" s="66"/>
      <c r="BR28" s="72">
        <f t="shared" si="16"/>
        <v>0</v>
      </c>
      <c r="BS28" s="66"/>
      <c r="BT28" s="72">
        <f t="shared" si="41"/>
        <v>0</v>
      </c>
      <c r="BU28" s="66"/>
      <c r="BV28" s="72">
        <f t="shared" si="1"/>
        <v>0</v>
      </c>
      <c r="BW28" s="66"/>
      <c r="BX28" s="72">
        <f t="shared" si="42"/>
        <v>0</v>
      </c>
      <c r="BY28" s="80"/>
      <c r="BZ28" s="72">
        <f t="shared" si="17"/>
        <v>0</v>
      </c>
      <c r="CA28" s="64"/>
      <c r="CB28" s="72">
        <f t="shared" si="18"/>
        <v>0</v>
      </c>
      <c r="CC28" s="64"/>
      <c r="CD28" s="72">
        <f t="shared" si="19"/>
        <v>0</v>
      </c>
      <c r="CE28" s="64"/>
      <c r="CF28" s="72">
        <f t="shared" si="20"/>
        <v>0</v>
      </c>
      <c r="CG28" s="64"/>
      <c r="CH28" s="72">
        <f t="shared" si="21"/>
        <v>0</v>
      </c>
      <c r="CI28" s="64"/>
      <c r="CJ28" s="72">
        <f t="shared" si="2"/>
        <v>0</v>
      </c>
      <c r="CK28" s="64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43916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6"/>
      <c r="BJ29" s="72">
        <f t="shared" si="37"/>
        <v>0</v>
      </c>
      <c r="BK29" s="66"/>
      <c r="BL29" s="72">
        <f t="shared" si="38"/>
        <v>0</v>
      </c>
      <c r="BM29" s="66"/>
      <c r="BN29" s="72">
        <f t="shared" si="39"/>
        <v>0</v>
      </c>
      <c r="BO29" s="66"/>
      <c r="BP29" s="72">
        <f t="shared" si="40"/>
        <v>0</v>
      </c>
      <c r="BQ29" s="66"/>
      <c r="BR29" s="72">
        <f t="shared" si="16"/>
        <v>0</v>
      </c>
      <c r="BS29" s="66"/>
      <c r="BT29" s="72">
        <f t="shared" si="41"/>
        <v>0</v>
      </c>
      <c r="BU29" s="66"/>
      <c r="BV29" s="72">
        <f t="shared" si="1"/>
        <v>0</v>
      </c>
      <c r="BW29" s="66"/>
      <c r="BX29" s="72">
        <f t="shared" si="42"/>
        <v>0</v>
      </c>
      <c r="BY29" s="80"/>
      <c r="BZ29" s="72">
        <f t="shared" si="17"/>
        <v>0</v>
      </c>
      <c r="CA29" s="64"/>
      <c r="CB29" s="72">
        <f t="shared" si="18"/>
        <v>0</v>
      </c>
      <c r="CC29" s="64"/>
      <c r="CD29" s="72">
        <f t="shared" si="19"/>
        <v>0</v>
      </c>
      <c r="CE29" s="64"/>
      <c r="CF29" s="72">
        <f t="shared" si="20"/>
        <v>0</v>
      </c>
      <c r="CG29" s="64"/>
      <c r="CH29" s="72">
        <f t="shared" si="21"/>
        <v>0</v>
      </c>
      <c r="CI29" s="64"/>
      <c r="CJ29" s="72">
        <f t="shared" si="2"/>
        <v>0</v>
      </c>
      <c r="CK29" s="64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43917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6"/>
      <c r="BJ30" s="72">
        <f t="shared" si="37"/>
        <v>0</v>
      </c>
      <c r="BK30" s="66"/>
      <c r="BL30" s="72">
        <f t="shared" si="38"/>
        <v>0</v>
      </c>
      <c r="BM30" s="66"/>
      <c r="BN30" s="72">
        <f t="shared" si="39"/>
        <v>0</v>
      </c>
      <c r="BO30" s="66"/>
      <c r="BP30" s="72">
        <f t="shared" si="40"/>
        <v>0</v>
      </c>
      <c r="BQ30" s="66"/>
      <c r="BR30" s="72">
        <f t="shared" si="16"/>
        <v>0</v>
      </c>
      <c r="BS30" s="66"/>
      <c r="BT30" s="72">
        <f t="shared" si="41"/>
        <v>0</v>
      </c>
      <c r="BU30" s="66"/>
      <c r="BV30" s="72">
        <f t="shared" si="1"/>
        <v>0</v>
      </c>
      <c r="BW30" s="66"/>
      <c r="BX30" s="72">
        <f t="shared" si="42"/>
        <v>0</v>
      </c>
      <c r="BY30" s="80"/>
      <c r="BZ30" s="72">
        <f t="shared" si="17"/>
        <v>0</v>
      </c>
      <c r="CA30" s="64"/>
      <c r="CB30" s="72">
        <f t="shared" si="18"/>
        <v>0</v>
      </c>
      <c r="CC30" s="64"/>
      <c r="CD30" s="72">
        <f t="shared" si="19"/>
        <v>0</v>
      </c>
      <c r="CE30" s="64"/>
      <c r="CF30" s="72">
        <f t="shared" si="20"/>
        <v>0</v>
      </c>
      <c r="CG30" s="64"/>
      <c r="CH30" s="72">
        <f t="shared" si="21"/>
        <v>0</v>
      </c>
      <c r="CI30" s="64"/>
      <c r="CJ30" s="72">
        <f t="shared" si="2"/>
        <v>0</v>
      </c>
      <c r="CK30" s="64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43918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6"/>
      <c r="BJ31" s="72">
        <f t="shared" si="37"/>
        <v>0</v>
      </c>
      <c r="BK31" s="66"/>
      <c r="BL31" s="72">
        <f t="shared" si="38"/>
        <v>0</v>
      </c>
      <c r="BM31" s="66"/>
      <c r="BN31" s="72">
        <f t="shared" si="39"/>
        <v>0</v>
      </c>
      <c r="BO31" s="66"/>
      <c r="BP31" s="72">
        <f t="shared" si="40"/>
        <v>0</v>
      </c>
      <c r="BQ31" s="66"/>
      <c r="BR31" s="72">
        <f t="shared" si="16"/>
        <v>0</v>
      </c>
      <c r="BS31" s="66"/>
      <c r="BT31" s="72">
        <f t="shared" si="41"/>
        <v>0</v>
      </c>
      <c r="BU31" s="66"/>
      <c r="BV31" s="72">
        <f t="shared" si="1"/>
        <v>0</v>
      </c>
      <c r="BW31" s="66"/>
      <c r="BX31" s="72">
        <f t="shared" si="42"/>
        <v>0</v>
      </c>
      <c r="BY31" s="80"/>
      <c r="BZ31" s="72">
        <f t="shared" si="17"/>
        <v>0</v>
      </c>
      <c r="CA31" s="64"/>
      <c r="CB31" s="74">
        <f t="shared" si="18"/>
        <v>0</v>
      </c>
      <c r="CC31" s="64"/>
      <c r="CD31" s="74">
        <f t="shared" si="19"/>
        <v>0</v>
      </c>
      <c r="CE31" s="64"/>
      <c r="CF31" s="74">
        <f t="shared" si="20"/>
        <v>0</v>
      </c>
      <c r="CG31" s="64"/>
      <c r="CH31" s="74">
        <f t="shared" si="21"/>
        <v>0</v>
      </c>
      <c r="CI31" s="64"/>
      <c r="CJ31" s="74">
        <f t="shared" si="2"/>
        <v>0</v>
      </c>
      <c r="CK31" s="64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43919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6"/>
      <c r="BJ32" s="72">
        <f t="shared" si="37"/>
        <v>0</v>
      </c>
      <c r="BK32" s="66"/>
      <c r="BL32" s="72">
        <f t="shared" si="38"/>
        <v>0</v>
      </c>
      <c r="BM32" s="66"/>
      <c r="BN32" s="72">
        <f t="shared" si="39"/>
        <v>0</v>
      </c>
      <c r="BO32" s="66"/>
      <c r="BP32" s="72">
        <f t="shared" si="40"/>
        <v>0</v>
      </c>
      <c r="BQ32" s="66"/>
      <c r="BR32" s="72">
        <f t="shared" si="16"/>
        <v>0</v>
      </c>
      <c r="BS32" s="66"/>
      <c r="BT32" s="72">
        <f t="shared" si="41"/>
        <v>0</v>
      </c>
      <c r="BU32" s="66"/>
      <c r="BV32" s="72">
        <f t="shared" si="1"/>
        <v>0</v>
      </c>
      <c r="BW32" s="66"/>
      <c r="BX32" s="72">
        <f t="shared" si="42"/>
        <v>0</v>
      </c>
      <c r="BY32" s="80"/>
      <c r="BZ32" s="72">
        <f t="shared" si="17"/>
        <v>0</v>
      </c>
      <c r="CA32" s="64"/>
      <c r="CB32" s="74">
        <f t="shared" si="18"/>
        <v>0</v>
      </c>
      <c r="CC32" s="64"/>
      <c r="CD32" s="74">
        <f t="shared" si="19"/>
        <v>0</v>
      </c>
      <c r="CE32" s="64"/>
      <c r="CF32" s="74">
        <f t="shared" si="20"/>
        <v>0</v>
      </c>
      <c r="CG32" s="64"/>
      <c r="CH32" s="74">
        <f t="shared" si="21"/>
        <v>0</v>
      </c>
      <c r="CI32" s="64"/>
      <c r="CJ32" s="74">
        <f t="shared" si="2"/>
        <v>0</v>
      </c>
      <c r="CK32" s="64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43920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6"/>
      <c r="BJ33" s="72">
        <f t="shared" si="37"/>
        <v>0</v>
      </c>
      <c r="BK33" s="66"/>
      <c r="BL33" s="72">
        <f t="shared" si="38"/>
        <v>0</v>
      </c>
      <c r="BM33" s="66"/>
      <c r="BN33" s="72">
        <f t="shared" si="39"/>
        <v>0</v>
      </c>
      <c r="BO33" s="66"/>
      <c r="BP33" s="72">
        <f t="shared" si="40"/>
        <v>0</v>
      </c>
      <c r="BQ33" s="66"/>
      <c r="BR33" s="72">
        <f t="shared" si="16"/>
        <v>0</v>
      </c>
      <c r="BS33" s="66"/>
      <c r="BT33" s="72">
        <f t="shared" si="41"/>
        <v>0</v>
      </c>
      <c r="BU33" s="66"/>
      <c r="BV33" s="72">
        <f t="shared" si="1"/>
        <v>0</v>
      </c>
      <c r="BW33" s="66"/>
      <c r="BX33" s="72">
        <f t="shared" si="42"/>
        <v>0</v>
      </c>
      <c r="BY33" s="80"/>
      <c r="BZ33" s="72">
        <f t="shared" si="17"/>
        <v>0</v>
      </c>
      <c r="CA33" s="64"/>
      <c r="CB33" s="74">
        <f t="shared" si="18"/>
        <v>0</v>
      </c>
      <c r="CC33" s="64"/>
      <c r="CD33" s="74">
        <f t="shared" si="19"/>
        <v>0</v>
      </c>
      <c r="CE33" s="64"/>
      <c r="CF33" s="74">
        <f t="shared" si="20"/>
        <v>0</v>
      </c>
      <c r="CG33" s="64"/>
      <c r="CH33" s="74">
        <f t="shared" si="21"/>
        <v>0</v>
      </c>
      <c r="CI33" s="64"/>
      <c r="CJ33" s="74">
        <f t="shared" si="2"/>
        <v>0</v>
      </c>
      <c r="CK33" s="64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43921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6"/>
      <c r="BJ34" s="72">
        <f t="shared" si="37"/>
        <v>0</v>
      </c>
      <c r="BK34" s="66"/>
      <c r="BL34" s="72">
        <f t="shared" si="38"/>
        <v>0</v>
      </c>
      <c r="BM34" s="66"/>
      <c r="BN34" s="72">
        <f t="shared" si="39"/>
        <v>0</v>
      </c>
      <c r="BO34" s="66"/>
      <c r="BP34" s="72">
        <f t="shared" si="40"/>
        <v>0</v>
      </c>
      <c r="BQ34" s="66"/>
      <c r="BR34" s="72">
        <f t="shared" si="16"/>
        <v>0</v>
      </c>
      <c r="BS34" s="66"/>
      <c r="BT34" s="72">
        <f t="shared" si="41"/>
        <v>0</v>
      </c>
      <c r="BU34" s="66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195</v>
      </c>
      <c r="R35" s="76">
        <f>SUM(R4:R33)</f>
        <v>96</v>
      </c>
      <c r="AX35" s="72">
        <f t="shared" si="32"/>
        <v>0</v>
      </c>
      <c r="BF35" s="76">
        <f>SUM(BF4:BF33)</f>
        <v>469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topLeftCell="A4" zoomScaleNormal="100" workbookViewId="0">
      <selection activeCell="D18" sqref="D1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5" t="s">
        <v>0</v>
      </c>
      <c r="B4" s="88" t="s">
        <v>53</v>
      </c>
      <c r="C4" s="88" t="s">
        <v>54</v>
      </c>
      <c r="D4" s="91" t="s">
        <v>55</v>
      </c>
      <c r="E4" s="94" t="s">
        <v>56</v>
      </c>
      <c r="F4" s="95"/>
      <c r="G4" s="95"/>
      <c r="H4" s="95"/>
      <c r="I4" s="95"/>
      <c r="J4" s="96"/>
      <c r="K4" s="104" t="s">
        <v>57</v>
      </c>
      <c r="L4" s="105"/>
      <c r="M4" s="106"/>
      <c r="N4" s="97" t="s">
        <v>36</v>
      </c>
      <c r="O4" s="97"/>
      <c r="P4" s="97"/>
      <c r="Q4" s="97"/>
    </row>
    <row r="5" spans="1:17" ht="33.75" customHeight="1" x14ac:dyDescent="0.25">
      <c r="A5" s="86"/>
      <c r="B5" s="89"/>
      <c r="C5" s="89"/>
      <c r="D5" s="92"/>
      <c r="E5" s="94" t="s">
        <v>58</v>
      </c>
      <c r="F5" s="96"/>
      <c r="G5" s="94" t="s">
        <v>59</v>
      </c>
      <c r="H5" s="96"/>
      <c r="I5" s="94" t="s">
        <v>60</v>
      </c>
      <c r="J5" s="96"/>
      <c r="K5" s="98" t="s">
        <v>61</v>
      </c>
      <c r="L5" s="99"/>
      <c r="M5" s="100"/>
      <c r="N5" s="101" t="s">
        <v>62</v>
      </c>
      <c r="O5" s="102"/>
      <c r="P5" s="102"/>
      <c r="Q5" s="103"/>
    </row>
    <row r="6" spans="1:17" x14ac:dyDescent="0.25">
      <c r="A6" s="87"/>
      <c r="B6" s="90"/>
      <c r="C6" s="90"/>
      <c r="D6" s="93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43890</v>
      </c>
      <c r="B8" s="44">
        <v>49</v>
      </c>
      <c r="C8" s="44">
        <v>42</v>
      </c>
      <c r="D8" s="44">
        <v>87</v>
      </c>
      <c r="E8" s="45">
        <v>0</v>
      </c>
      <c r="F8" s="45">
        <v>4586</v>
      </c>
      <c r="G8" s="45">
        <v>60</v>
      </c>
      <c r="H8" s="45">
        <v>1326</v>
      </c>
      <c r="I8" s="45">
        <v>15</v>
      </c>
      <c r="J8" s="45">
        <v>263</v>
      </c>
      <c r="K8" s="46">
        <v>0</v>
      </c>
      <c r="L8" s="46">
        <v>30</v>
      </c>
      <c r="M8" s="46">
        <v>1098</v>
      </c>
      <c r="N8" s="43">
        <v>80</v>
      </c>
      <c r="O8" s="43">
        <v>0</v>
      </c>
      <c r="P8" s="43">
        <v>10</v>
      </c>
      <c r="Q8" s="43">
        <v>2185</v>
      </c>
    </row>
    <row r="9" spans="1:17" x14ac:dyDescent="0.25">
      <c r="A9" s="27">
        <v>43891</v>
      </c>
      <c r="B9" s="44">
        <v>45</v>
      </c>
      <c r="C9" s="44">
        <v>40</v>
      </c>
      <c r="D9" s="44">
        <v>83</v>
      </c>
      <c r="E9" s="45">
        <v>0</v>
      </c>
      <c r="F9" s="45">
        <v>4594</v>
      </c>
      <c r="G9" s="45">
        <v>50</v>
      </c>
      <c r="H9" s="45">
        <v>1328</v>
      </c>
      <c r="I9" s="45">
        <v>15</v>
      </c>
      <c r="J9" s="45">
        <v>263</v>
      </c>
      <c r="K9" s="46">
        <v>0</v>
      </c>
      <c r="L9" s="46">
        <v>30</v>
      </c>
      <c r="M9" s="46">
        <v>1101</v>
      </c>
      <c r="N9" s="43">
        <v>80</v>
      </c>
      <c r="O9" s="43">
        <v>0</v>
      </c>
      <c r="P9" s="43">
        <v>10</v>
      </c>
      <c r="Q9" s="43">
        <v>2187</v>
      </c>
    </row>
    <row r="10" spans="1:17" x14ac:dyDescent="0.25">
      <c r="A10" s="27">
        <v>43892</v>
      </c>
      <c r="B10" s="44">
        <v>45</v>
      </c>
      <c r="C10" s="44">
        <v>39</v>
      </c>
      <c r="D10" s="44">
        <v>80</v>
      </c>
      <c r="E10" s="45">
        <v>0</v>
      </c>
      <c r="F10" s="45">
        <v>4602</v>
      </c>
      <c r="G10" s="45">
        <v>35</v>
      </c>
      <c r="H10" s="45">
        <v>1331</v>
      </c>
      <c r="I10" s="45">
        <v>15</v>
      </c>
      <c r="J10" s="45">
        <v>263</v>
      </c>
      <c r="K10" s="46">
        <v>0</v>
      </c>
      <c r="L10" s="46">
        <v>25</v>
      </c>
      <c r="M10" s="46">
        <v>1104</v>
      </c>
      <c r="N10" s="43">
        <v>80</v>
      </c>
      <c r="O10" s="43">
        <v>0</v>
      </c>
      <c r="P10" s="43">
        <v>10</v>
      </c>
      <c r="Q10" s="43">
        <v>2190</v>
      </c>
    </row>
    <row r="11" spans="1:17" x14ac:dyDescent="0.25">
      <c r="A11" s="27">
        <v>43893</v>
      </c>
      <c r="B11" s="44">
        <v>45</v>
      </c>
      <c r="C11" s="44">
        <v>35</v>
      </c>
      <c r="D11" s="44">
        <v>74</v>
      </c>
      <c r="E11" s="45">
        <v>0</v>
      </c>
      <c r="F11" s="45">
        <v>4609</v>
      </c>
      <c r="G11" s="45">
        <v>80</v>
      </c>
      <c r="H11" s="45">
        <v>1333</v>
      </c>
      <c r="I11" s="45">
        <v>15</v>
      </c>
      <c r="J11" s="45">
        <v>263</v>
      </c>
      <c r="K11" s="46">
        <v>0</v>
      </c>
      <c r="L11" s="46">
        <v>25</v>
      </c>
      <c r="M11" s="46">
        <v>1104</v>
      </c>
      <c r="N11" s="43">
        <v>0</v>
      </c>
      <c r="O11" s="43">
        <v>30</v>
      </c>
      <c r="P11" s="43">
        <v>10</v>
      </c>
      <c r="Q11" s="43">
        <v>2193</v>
      </c>
    </row>
    <row r="12" spans="1:17" x14ac:dyDescent="0.25">
      <c r="A12" s="27">
        <v>43894</v>
      </c>
      <c r="B12" s="44">
        <v>44</v>
      </c>
      <c r="C12" s="44">
        <v>34</v>
      </c>
      <c r="D12" s="44">
        <v>74</v>
      </c>
      <c r="E12" s="45">
        <v>0</v>
      </c>
      <c r="F12" s="45">
        <v>4616</v>
      </c>
      <c r="G12" s="45">
        <v>75</v>
      </c>
      <c r="H12" s="45">
        <v>1335</v>
      </c>
      <c r="I12" s="45">
        <v>15</v>
      </c>
      <c r="J12" s="45">
        <v>263</v>
      </c>
      <c r="K12" s="46">
        <v>0</v>
      </c>
      <c r="L12" s="46">
        <v>20</v>
      </c>
      <c r="M12" s="46">
        <v>1107</v>
      </c>
      <c r="N12" s="43">
        <v>0</v>
      </c>
      <c r="O12" s="43">
        <v>30</v>
      </c>
      <c r="P12" s="43">
        <v>5</v>
      </c>
      <c r="Q12" s="43">
        <v>2196</v>
      </c>
    </row>
    <row r="13" spans="1:17" x14ac:dyDescent="0.25">
      <c r="A13" s="27">
        <v>43895</v>
      </c>
      <c r="B13" s="44">
        <v>37</v>
      </c>
      <c r="C13" s="44">
        <v>30</v>
      </c>
      <c r="D13" s="44">
        <v>65</v>
      </c>
      <c r="E13" s="45">
        <v>0</v>
      </c>
      <c r="F13" s="45">
        <v>4623</v>
      </c>
      <c r="G13" s="45">
        <v>60</v>
      </c>
      <c r="H13" s="45">
        <v>1337</v>
      </c>
      <c r="I13" s="45">
        <v>15</v>
      </c>
      <c r="J13" s="45">
        <v>263</v>
      </c>
      <c r="K13" s="46">
        <v>0</v>
      </c>
      <c r="L13" s="46">
        <v>20</v>
      </c>
      <c r="M13" s="46">
        <v>1109</v>
      </c>
      <c r="N13" s="43">
        <v>0</v>
      </c>
      <c r="O13" s="43">
        <v>30</v>
      </c>
      <c r="P13" s="43">
        <v>0</v>
      </c>
      <c r="Q13" s="43">
        <v>2198</v>
      </c>
    </row>
    <row r="14" spans="1:17" x14ac:dyDescent="0.25">
      <c r="A14" s="27">
        <v>43896</v>
      </c>
      <c r="B14" s="44">
        <v>44</v>
      </c>
      <c r="C14" s="44">
        <v>35</v>
      </c>
      <c r="D14" s="44">
        <v>78</v>
      </c>
      <c r="E14" s="45">
        <v>0</v>
      </c>
      <c r="F14" s="45">
        <v>4632</v>
      </c>
      <c r="G14" s="45">
        <v>50</v>
      </c>
      <c r="H14" s="45">
        <v>1339</v>
      </c>
      <c r="I14" s="45">
        <v>15</v>
      </c>
      <c r="J14" s="45">
        <v>263</v>
      </c>
      <c r="K14" s="46">
        <v>0</v>
      </c>
      <c r="L14" s="46">
        <v>15</v>
      </c>
      <c r="M14" s="46">
        <v>1112</v>
      </c>
      <c r="N14" s="43">
        <v>0</v>
      </c>
      <c r="O14" s="43">
        <v>25</v>
      </c>
      <c r="P14" s="43">
        <v>0</v>
      </c>
      <c r="Q14" s="43">
        <v>2201</v>
      </c>
    </row>
    <row r="15" spans="1:17" x14ac:dyDescent="0.25">
      <c r="A15" s="27">
        <v>43897</v>
      </c>
      <c r="B15" s="44">
        <v>44</v>
      </c>
      <c r="C15" s="44">
        <v>35</v>
      </c>
      <c r="D15" s="44">
        <v>78</v>
      </c>
      <c r="E15" s="45">
        <v>0</v>
      </c>
      <c r="F15" s="45">
        <v>4641</v>
      </c>
      <c r="G15" s="45">
        <v>40</v>
      </c>
      <c r="H15" s="45">
        <v>1341</v>
      </c>
      <c r="I15" s="45">
        <v>15</v>
      </c>
      <c r="J15" s="45">
        <v>263</v>
      </c>
      <c r="K15" s="46">
        <v>0</v>
      </c>
      <c r="L15" s="46">
        <v>15</v>
      </c>
      <c r="M15" s="46">
        <v>1112</v>
      </c>
      <c r="N15" s="43">
        <v>0</v>
      </c>
      <c r="O15" s="43">
        <v>25</v>
      </c>
      <c r="P15" s="43">
        <v>0</v>
      </c>
      <c r="Q15" s="43">
        <v>2205</v>
      </c>
    </row>
    <row r="16" spans="1:17" x14ac:dyDescent="0.25">
      <c r="A16" s="27">
        <v>43898</v>
      </c>
      <c r="B16" s="44">
        <v>44</v>
      </c>
      <c r="C16" s="44">
        <v>35</v>
      </c>
      <c r="D16" s="44">
        <v>76</v>
      </c>
      <c r="E16" s="45">
        <v>0</v>
      </c>
      <c r="F16" s="45">
        <v>4648</v>
      </c>
      <c r="G16" s="45">
        <v>25</v>
      </c>
      <c r="H16" s="45">
        <v>1343</v>
      </c>
      <c r="I16" s="45">
        <v>15</v>
      </c>
      <c r="J16" s="45">
        <v>263</v>
      </c>
      <c r="K16" s="46">
        <v>0</v>
      </c>
      <c r="L16" s="46">
        <v>10</v>
      </c>
      <c r="M16" s="46">
        <v>1116</v>
      </c>
      <c r="N16" s="43">
        <v>0</v>
      </c>
      <c r="O16" s="43">
        <v>25</v>
      </c>
      <c r="P16" s="43">
        <v>0</v>
      </c>
      <c r="Q16" s="43">
        <v>2208</v>
      </c>
    </row>
    <row r="17" spans="1:17" x14ac:dyDescent="0.25">
      <c r="A17" s="27">
        <v>43899</v>
      </c>
      <c r="B17" s="44">
        <v>44</v>
      </c>
      <c r="C17" s="44">
        <v>36</v>
      </c>
      <c r="D17" s="44">
        <v>76</v>
      </c>
      <c r="E17" s="45">
        <v>0</v>
      </c>
      <c r="F17" s="45">
        <v>4656</v>
      </c>
      <c r="G17" s="45">
        <v>15</v>
      </c>
      <c r="H17" s="45">
        <v>1345</v>
      </c>
      <c r="I17" s="45">
        <v>15</v>
      </c>
      <c r="J17" s="45">
        <v>263</v>
      </c>
      <c r="K17" s="46">
        <v>0</v>
      </c>
      <c r="L17" s="46">
        <v>10</v>
      </c>
      <c r="M17" s="46">
        <v>1119</v>
      </c>
      <c r="N17" s="43">
        <v>0</v>
      </c>
      <c r="O17" s="43">
        <v>20</v>
      </c>
      <c r="P17" s="43">
        <v>0</v>
      </c>
      <c r="Q17" s="43">
        <v>2210</v>
      </c>
    </row>
    <row r="18" spans="1:17" x14ac:dyDescent="0.25">
      <c r="A18" s="27">
        <v>43900</v>
      </c>
      <c r="B18" s="44">
        <v>51</v>
      </c>
      <c r="C18" s="44">
        <v>42</v>
      </c>
      <c r="D18" s="44">
        <v>90</v>
      </c>
      <c r="E18" s="45">
        <v>0</v>
      </c>
      <c r="F18" s="45">
        <v>4664</v>
      </c>
      <c r="G18" s="45">
        <v>9</v>
      </c>
      <c r="H18" s="45">
        <v>1347</v>
      </c>
      <c r="I18" s="45">
        <v>15</v>
      </c>
      <c r="J18" s="45">
        <v>263</v>
      </c>
      <c r="K18" s="46">
        <v>0</v>
      </c>
      <c r="L18" s="46">
        <v>10</v>
      </c>
      <c r="M18" s="46">
        <v>1119</v>
      </c>
      <c r="N18" s="43">
        <v>0</v>
      </c>
      <c r="O18" s="43">
        <v>20</v>
      </c>
      <c r="P18" s="43">
        <v>0</v>
      </c>
      <c r="Q18" s="43">
        <v>2213</v>
      </c>
    </row>
    <row r="19" spans="1:17" x14ac:dyDescent="0.25">
      <c r="A19" s="27">
        <v>43901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27">
        <v>43902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27">
        <v>43903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27">
        <v>43904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27">
        <v>43905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27">
        <v>43906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27">
        <v>43907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27">
        <v>43908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43909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43910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43911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43912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43913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43914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43915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43916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43917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43918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43919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43920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43921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2020-03-11T03:14:20Z</dcterms:modified>
</cp:coreProperties>
</file>