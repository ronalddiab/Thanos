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6" i="7"/>
  <c r="AL17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M4" i="7" l="1"/>
  <c r="CQ13" i="7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4" i="7"/>
  <c r="CM7" i="7" l="1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<sst xmlns="http://schemas.openxmlformats.org/spreadsheetml/2006/main" count="308" uniqueCount="145">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</sst>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3509.9999999998058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25.2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3579.9999999992983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24.7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3430.0000000003224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18.300000000000004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3060.0000000002938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3219.999999999608</v>
      </c>
      <c r="F14" s="11">
        <f t="shared" si="1"/>
        <v>0.58765030286592534</v>
      </c>
      <c r="G14" s="12">
        <f>(Submetering!AX14+Submetering!AY14+Submetering!AZ14+Submetering!BA14+Submetering!BB14)</f>
        <v>8749.0755000000008</v>
      </c>
      <c r="H14" s="11">
        <f t="shared" si="2"/>
        <v>0.99</v>
      </c>
      <c r="I14" s="12">
        <f>'FS Desroches Daily'!CM16</f>
        <v>28.099999999999994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3040.0000000002783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17.900000000000006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3520.0000000002415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31.099999999999994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3129.9999999995762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89.2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 t="e">
        <f>Submetering!E18+Submetering!F18+Submetering!G18+Submetering!H18+Submetering!J18-Submetering!AV18</f>
        <v>#VALUE!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 t="e">
        <f>'FS Desroches Daily'!CM20</f>
        <v>#VALUE!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31" sqref="BE3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599.99999999993395</v>
      </c>
      <c r="F10" s="32">
        <f>'FS Desroches Daily'!F12</f>
        <v>499.99999999972289</v>
      </c>
      <c r="G10" s="31">
        <f>'FS Desroches Daily'!H12</f>
        <v>1500.0000000000568</v>
      </c>
      <c r="H10" s="32">
        <f>'FS Desroches Daily'!J12</f>
        <v>800.00000000013392</v>
      </c>
      <c r="I10" s="31">
        <f>'FS Desroches Daily'!L12</f>
        <v>1600.0000000000459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235.69999999995343</v>
      </c>
      <c r="N10" s="31">
        <f>'FS Desroches Daily'!V12</f>
        <v>118.20000000001164</v>
      </c>
      <c r="O10" s="31">
        <f>'FS Desroches Daily'!X12</f>
        <v>69.999999999993179</v>
      </c>
      <c r="P10" s="31">
        <f>'FS Desroches Daily'!Z12</f>
        <v>399.99999999995595</v>
      </c>
      <c r="Q10" s="31">
        <f>'FS Desroches Daily'!AB12</f>
        <v>59.99999999994543</v>
      </c>
      <c r="R10" s="31">
        <f>'FS Desroches Daily'!AD12</f>
        <v>110.00000000001364</v>
      </c>
      <c r="S10" s="31">
        <f>'FS Desroches Daily'!AF12</f>
        <v>170.00000000001592</v>
      </c>
      <c r="T10" s="31">
        <f>'FS Desroches Daily'!AH12</f>
        <v>1</v>
      </c>
      <c r="U10" s="35">
        <f>'FS Desroches Daily'!AJ12</f>
        <v>209.99999999997954</v>
      </c>
      <c r="V10" s="35">
        <f>'FS Desroches Daily'!AL12</f>
        <v>30.000000000001137</v>
      </c>
      <c r="W10" s="35">
        <f>'FS Desroches Daily'!AN12</f>
        <v>30.000000000001137</v>
      </c>
      <c r="X10" s="35">
        <f>'FS Desroches Daily'!AP12</f>
        <v>29.999999999972715</v>
      </c>
      <c r="Y10" s="35">
        <f>'FS Desroches Daily'!AR12</f>
        <v>20.000000000010232</v>
      </c>
      <c r="Z10" s="35">
        <f>'FS Desroches Daily'!AT12</f>
        <v>9.9999999999909051</v>
      </c>
      <c r="AA10" s="35">
        <f>'FS Desroches Daily'!AT12</f>
        <v>9.9999999999909051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21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9.9999999999909051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12</v>
      </c>
      <c r="AM10" s="32">
        <f>'FS Desroches Daily'!BT12</f>
        <v>0</v>
      </c>
      <c r="AN10" s="32">
        <f>'FS Desroches Daily'!BV12</f>
        <v>9</v>
      </c>
      <c r="AO10" s="32">
        <f>'FS Desroches Daily'!BX12</f>
        <v>19.99999999998181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39.30000000000291</v>
      </c>
      <c r="AU10" s="31">
        <f>'FS Desroches Daily'!CJ12</f>
        <v>203</v>
      </c>
      <c r="AV10" s="31">
        <f>'FS Desroches Daily'!CL12</f>
        <v>389.99999999998636</v>
      </c>
      <c r="AW10" s="31">
        <f>'FS Desroches Daily'!CM12</f>
        <v>25.2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699.99999999992292</v>
      </c>
      <c r="F11" s="32">
        <f>'FS Desroches Daily'!F13</f>
        <v>599.99999999993395</v>
      </c>
      <c r="G11" s="31">
        <f>'FS Desroches Daily'!H13</f>
        <v>1499.9999999996128</v>
      </c>
      <c r="H11" s="32">
        <f>'FS Desroches Daily'!J13</f>
        <v>699.99999999992292</v>
      </c>
      <c r="I11" s="31">
        <f>'FS Desroches Daily'!L13</f>
        <v>1700.0000000000348</v>
      </c>
      <c r="J11" s="32">
        <f>'FS Desroches Daily'!N13</f>
        <v>399.99999999995595</v>
      </c>
      <c r="K11" s="13">
        <f>'FS Desroches Daily'!P13</f>
        <v>0</v>
      </c>
      <c r="L11" s="31">
        <f>'FS Desroches Daily'!R13</f>
        <v>3</v>
      </c>
      <c r="M11" s="31">
        <f>'FS Desroches Daily'!T13</f>
        <v>171</v>
      </c>
      <c r="N11" s="31">
        <f>'FS Desroches Daily'!V13</f>
        <v>41.299999999988358</v>
      </c>
      <c r="O11" s="31">
        <f>'FS Desroches Daily'!X13</f>
        <v>69.999999999993179</v>
      </c>
      <c r="P11" s="31">
        <f>'FS Desroches Daily'!Z13</f>
        <v>399.99999999995595</v>
      </c>
      <c r="Q11" s="31">
        <f>'FS Desroches Daily'!AB13</f>
        <v>60.000000000002274</v>
      </c>
      <c r="R11" s="31">
        <f>'FS Desroches Daily'!AD13</f>
        <v>120.00000000000455</v>
      </c>
      <c r="S11" s="31">
        <f>'FS Desroches Daily'!AF13</f>
        <v>149.99999999997726</v>
      </c>
      <c r="T11" s="31">
        <f>'FS Desroches Daily'!AH13</f>
        <v>1.5</v>
      </c>
      <c r="U11" s="35">
        <f>'FS Desroches Daily'!AJ13</f>
        <v>189.99999999999773</v>
      </c>
      <c r="V11" s="35">
        <f>'FS Desroches Daily'!AL13</f>
        <v>30.000000000001137</v>
      </c>
      <c r="W11" s="35">
        <f>'FS Desroches Daily'!AN13</f>
        <v>40.000000000020464</v>
      </c>
      <c r="X11" s="35">
        <f>'FS Desroches Daily'!AP13</f>
        <v>20.000000000010232</v>
      </c>
      <c r="Y11" s="35">
        <f>'FS Desroches Daily'!AR13</f>
        <v>30.000000000001137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40.000000000020464</v>
      </c>
      <c r="AC11" s="35">
        <f>'FS Desroches Daily'!AZ13</f>
        <v>19.99999999998181</v>
      </c>
      <c r="AD11" s="35">
        <f>'FS Desroches Daily'!BB13</f>
        <v>9.9999999999909051</v>
      </c>
      <c r="AE11" s="35">
        <f>'FS Desroches Daily'!BD13</f>
        <v>20.000000000010232</v>
      </c>
      <c r="AF11" s="31">
        <f>'FS Desroches Daily'!BF13</f>
        <v>18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10.000000000019327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0</v>
      </c>
      <c r="AN11" s="32">
        <f>'FS Desroches Daily'!BV13</f>
        <v>8</v>
      </c>
      <c r="AO11" s="32">
        <f>'FS Desroches Daily'!BX13</f>
        <v>10.000000000019327</v>
      </c>
      <c r="AP11" s="32">
        <f>'FS Desroches Daily'!BZ13</f>
        <v>12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43.099999999998545</v>
      </c>
      <c r="AU11" s="31">
        <f>'FS Desroches Daily'!CJ13</f>
        <v>200</v>
      </c>
      <c r="AV11" s="31">
        <f>'FS Desroches Daily'!CL13</f>
        <v>320.00000000005002</v>
      </c>
      <c r="AW11" s="31">
        <f>'FS Desroches Daily'!CM13</f>
        <v>24.7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600.00000000015598</v>
      </c>
      <c r="F12" s="32">
        <f>'FS Desroches Daily'!F14</f>
        <v>500.00000000016701</v>
      </c>
      <c r="G12" s="31">
        <f>'FS Desroches Daily'!H14</f>
        <v>1700.0000000000348</v>
      </c>
      <c r="H12" s="32">
        <f>'FS Desroches Daily'!J14</f>
        <v>699.99999999992292</v>
      </c>
      <c r="I12" s="31">
        <f>'FS Desroches Daily'!L14</f>
        <v>1699.9999999998129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3</v>
      </c>
      <c r="M12" s="31">
        <f>'FS Desroches Daily'!T14</f>
        <v>153.30000000004657</v>
      </c>
      <c r="N12" s="31">
        <f>'FS Desroches Daily'!V14</f>
        <v>62.700000000011642</v>
      </c>
      <c r="O12" s="31">
        <f>'FS Desroches Daily'!X14</f>
        <v>69.999999999993179</v>
      </c>
      <c r="P12" s="31">
        <f>'FS Desroches Daily'!Z14</f>
        <v>300.000000000189</v>
      </c>
      <c r="Q12" s="31">
        <f>'FS Desroches Daily'!AB14</f>
        <v>60.000000000002274</v>
      </c>
      <c r="R12" s="31">
        <f>'FS Desroches Daily'!AD14</f>
        <v>109.9999999999568</v>
      </c>
      <c r="S12" s="31">
        <f>'FS Desroches Daily'!AF14</f>
        <v>180.00000000000682</v>
      </c>
      <c r="T12" s="31">
        <f>'FS Desroches Daily'!AH14</f>
        <v>1.3999999999998636</v>
      </c>
      <c r="U12" s="35">
        <f>'FS Desroches Daily'!AJ14</f>
        <v>220.00000000002728</v>
      </c>
      <c r="V12" s="35">
        <f>'FS Desroches Daily'!AL14</f>
        <v>39.999999999992042</v>
      </c>
      <c r="W12" s="35">
        <f>'FS Desroches Daily'!AN14</f>
        <v>30.000000000001137</v>
      </c>
      <c r="X12" s="35">
        <f>'FS Desroches Daily'!AP14</f>
        <v>30.000000000001137</v>
      </c>
      <c r="Y12" s="35">
        <f>'FS Desroches Daily'!AR14</f>
        <v>20.000000000010232</v>
      </c>
      <c r="Z12" s="35">
        <f>'FS Desroches Daily'!AT14</f>
        <v>19.99999999998181</v>
      </c>
      <c r="AA12" s="35">
        <f>'FS Desroches Daily'!AT14</f>
        <v>19.99999999998181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22</v>
      </c>
      <c r="AG12" s="32">
        <f>'FS Desroches Daily'!BH14</f>
        <v>9.9999999999909051</v>
      </c>
      <c r="AH12" s="32">
        <f>'FS Desroches Daily'!BJ14</f>
        <v>10.000000000047748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9.9999999999909051</v>
      </c>
      <c r="AL12" s="32">
        <f>'FS Desroches Daily'!BR14</f>
        <v>12</v>
      </c>
      <c r="AM12" s="32">
        <f>'FS Desroches Daily'!BT14</f>
        <v>9.9999999999909051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16.900000000001455</v>
      </c>
      <c r="AU12" s="31">
        <f>'FS Desroches Daily'!CJ14</f>
        <v>203</v>
      </c>
      <c r="AV12" s="31">
        <f>'FS Desroches Daily'!CL14</f>
        <v>469.9999999999136</v>
      </c>
      <c r="AW12" s="31">
        <f>'FS Desroches Daily'!CM14</f>
        <v>18.300000000000004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499.99999999994492</v>
      </c>
      <c r="F13" s="32">
        <f>'FS Desroches Daily'!F15</f>
        <v>599.99999999993395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1500.0000000000568</v>
      </c>
      <c r="J13" s="32">
        <f>'FS Desroches Daily'!N15</f>
        <v>400.00000000017798</v>
      </c>
      <c r="K13" s="13">
        <f>'FS Desroches Daily'!P15</f>
        <v>3</v>
      </c>
      <c r="L13" s="31">
        <f>'FS Desroches Daily'!R15</f>
        <v>3</v>
      </c>
      <c r="M13" s="31">
        <f>'FS Desroches Daily'!T15</f>
        <v>90.900000000023283</v>
      </c>
      <c r="N13" s="31">
        <f>'FS Desroches Daily'!V15</f>
        <v>44.100000000034925</v>
      </c>
      <c r="O13" s="31">
        <f>'FS Desroches Daily'!X15</f>
        <v>60.000000000002274</v>
      </c>
      <c r="P13" s="31">
        <f>'FS Desroches Daily'!Z15</f>
        <v>399.99999999995595</v>
      </c>
      <c r="Q13" s="31">
        <f>'FS Desroches Daily'!AB15</f>
        <v>50.000000000011369</v>
      </c>
      <c r="R13" s="31">
        <f>'FS Desroches Daily'!AD15</f>
        <v>110.00000000001364</v>
      </c>
      <c r="S13" s="31">
        <f>'FS Desroches Daily'!AF15</f>
        <v>129.99999999999545</v>
      </c>
      <c r="T13" s="31">
        <f>'FS Desroches Daily'!AH15</f>
        <v>1.1000000000001364</v>
      </c>
      <c r="U13" s="35">
        <f>'FS Desroches Daily'!AJ15</f>
        <v>169.99999999995907</v>
      </c>
      <c r="V13" s="35">
        <f>'FS Desroches Daily'!AL15</f>
        <v>20.000000000010232</v>
      </c>
      <c r="W13" s="35">
        <f>'FS Desroches Daily'!AN15</f>
        <v>30.000000000001137</v>
      </c>
      <c r="X13" s="35">
        <f>'FS Desroches Daily'!AP15</f>
        <v>20.000000000010232</v>
      </c>
      <c r="Y13" s="35">
        <f>'FS Desroches Daily'!AR15</f>
        <v>9.9999999999909051</v>
      </c>
      <c r="Z13" s="35">
        <f>'FS Desroches Daily'!AT15</f>
        <v>20.000000000038654</v>
      </c>
      <c r="AA13" s="35">
        <f>'FS Desroches Daily'!AT15</f>
        <v>20.000000000038654</v>
      </c>
      <c r="AB13" s="35">
        <f>'FS Desroches Daily'!AV15</f>
        <v>20.000000000038654</v>
      </c>
      <c r="AC13" s="35">
        <f>'FS Desroches Daily'!AZ15</f>
        <v>10.000000000047748</v>
      </c>
      <c r="AD13" s="35">
        <f>'FS Desroches Daily'!BB15</f>
        <v>9.9999999999909051</v>
      </c>
      <c r="AE13" s="35">
        <f>'FS Desroches Daily'!BD15</f>
        <v>20.000000000010232</v>
      </c>
      <c r="AF13" s="31">
        <f>'FS Desroches Daily'!BF15</f>
        <v>18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0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13</v>
      </c>
      <c r="AM13" s="32">
        <f>'FS Desroches Daily'!BT15</f>
        <v>0</v>
      </c>
      <c r="AN13" s="32">
        <f>'FS Desroches Daily'!BV15</f>
        <v>28</v>
      </c>
      <c r="AO13" s="32">
        <f>'FS Desroches Daily'!BX15</f>
        <v>20.000000000010232</v>
      </c>
      <c r="AP13" s="32">
        <f>'FS Desroches Daily'!BZ15</f>
        <v>12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36.299999999995634</v>
      </c>
      <c r="AU13" s="31">
        <f>'FS Desroches Daily'!CJ15</f>
        <v>174</v>
      </c>
      <c r="AV13" s="31">
        <f>'FS Desroches Daily'!CL15</f>
        <v>240.00000000000909</v>
      </c>
      <c r="AW13" s="31">
        <f>'FS Desroches Daily'!CM15</f>
        <v>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599.99999999993395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599.99999999993395</v>
      </c>
      <c r="I14" s="31">
        <f>'FS Desroches Daily'!L16</f>
        <v>1600.0000000000459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3</v>
      </c>
      <c r="M14" s="31">
        <f>'FS Desroches Daily'!T16</f>
        <v>153.29999999993015</v>
      </c>
      <c r="N14" s="31">
        <f>'FS Desroches Daily'!V16</f>
        <v>70.599999999976717</v>
      </c>
      <c r="O14" s="31">
        <f>'FS Desroches Daily'!X16</f>
        <v>100.00000000002274</v>
      </c>
      <c r="P14" s="31">
        <f>'FS Desroches Daily'!Z16</f>
        <v>399.99999999995595</v>
      </c>
      <c r="Q14" s="31">
        <f>'FS Desroches Daily'!AB16</f>
        <v>40.000000000020464</v>
      </c>
      <c r="R14" s="31">
        <f>'FS Desroches Daily'!AD16</f>
        <v>90.000000000031832</v>
      </c>
      <c r="S14" s="31">
        <f>'FS Desroches Daily'!AF16</f>
        <v>139.99999999998636</v>
      </c>
      <c r="T14" s="31">
        <f>'FS Desroches Daily'!AH16</f>
        <v>1</v>
      </c>
      <c r="U14" s="35">
        <f>'FS Desroches Daily'!AJ16</f>
        <v>180.00000000000682</v>
      </c>
      <c r="V14" s="35">
        <f>'FS Desroches Daily'!AL16</f>
        <v>39.999999999992042</v>
      </c>
      <c r="W14" s="35">
        <f>'FS Desroches Daily'!AN16</f>
        <v>39.999999999992042</v>
      </c>
      <c r="X14" s="35">
        <f>'FS Desroches Daily'!AP16</f>
        <v>30.000000000001137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9.9999999999909051</v>
      </c>
      <c r="AE14" s="35">
        <f>'FS Desroches Daily'!BD16</f>
        <v>9.9999999999909051</v>
      </c>
      <c r="AF14" s="31">
        <f>'FS Desroches Daily'!BF16</f>
        <v>25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10.000000000019327</v>
      </c>
      <c r="AN14" s="32">
        <f>'FS Desroches Daily'!BV16</f>
        <v>23</v>
      </c>
      <c r="AO14" s="32">
        <f>'FS Desroches Daily'!BX16</f>
        <v>9.9999999999909051</v>
      </c>
      <c r="AP14" s="32">
        <f>'FS Desroches Daily'!BZ16</f>
        <v>11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24.700000000004366</v>
      </c>
      <c r="AU14" s="31">
        <f>'FS Desroches Daily'!CJ16</f>
        <v>185</v>
      </c>
      <c r="AV14" s="31">
        <f>'FS Desroches Daily'!CL16</f>
        <v>379.99999999999545</v>
      </c>
      <c r="AW14" s="31">
        <f>'FS Desroches Daily'!CM16</f>
        <v>28.099999999999994</v>
      </c>
      <c r="AX14" s="31">
        <f>IF(LPG!F21-LPG!G21&lt;0,"0",(LPG!F21-LPG!G21)*1.8315)</f>
        <v>8745.4125000000004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600.00000000015598</v>
      </c>
      <c r="F15" s="32">
        <f>'FS Desroches Daily'!F17</f>
        <v>399.99999999995595</v>
      </c>
      <c r="G15" s="31">
        <f>'FS Desroches Daily'!H17</f>
        <v>1400.0000000002899</v>
      </c>
      <c r="H15" s="32">
        <f>'FS Desroches Daily'!J17</f>
        <v>599.99999999993395</v>
      </c>
      <c r="I15" s="31">
        <f>'FS Desroches Daily'!L17</f>
        <v>1500.0000000000568</v>
      </c>
      <c r="J15" s="32">
        <f>'FS Desroches Daily'!N17</f>
        <v>399.99999999995595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81.599999999976717</v>
      </c>
      <c r="N15" s="31">
        <f>'FS Desroches Daily'!V17</f>
        <v>42.200000000011642</v>
      </c>
      <c r="O15" s="31">
        <f>'FS Desroches Daily'!X17</f>
        <v>69.999999999993179</v>
      </c>
      <c r="P15" s="31">
        <f>'FS Desroches Daily'!Z17</f>
        <v>300.000000000189</v>
      </c>
      <c r="Q15" s="31">
        <f>'FS Desroches Daily'!AB17</f>
        <v>50.000000000011369</v>
      </c>
      <c r="R15" s="31">
        <f>'FS Desroches Daily'!AD17</f>
        <v>79.999999999984084</v>
      </c>
      <c r="S15" s="31">
        <f>'FS Desroches Daily'!AF17</f>
        <v>160.00000000002501</v>
      </c>
      <c r="T15" s="31">
        <f>'FS Desroches Daily'!AH17</f>
        <v>0.79999999999995453</v>
      </c>
      <c r="U15" s="35">
        <f>'FS Desroches Daily'!AJ17</f>
        <v>170.00000000001592</v>
      </c>
      <c r="V15" s="35">
        <f>'FS Desroches Daily'!AL17</f>
        <v>20.000000000010232</v>
      </c>
      <c r="W15" s="35">
        <f>'FS Desroches Daily'!AN17</f>
        <v>30.000000000001137</v>
      </c>
      <c r="X15" s="35">
        <f>'FS Desroches Daily'!AP17</f>
        <v>19.99999999998181</v>
      </c>
      <c r="Y15" s="35">
        <f>'FS Desroches Daily'!AR17</f>
        <v>19.99999999998181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9.9999999999909051</v>
      </c>
      <c r="AC15" s="35">
        <f>'FS Desroches Daily'!AZ17</f>
        <v>19.99999999998181</v>
      </c>
      <c r="AD15" s="35">
        <f>'FS Desroches Daily'!BB17</f>
        <v>9.9999999999909051</v>
      </c>
      <c r="AE15" s="35">
        <f>'FS Desroches Daily'!BD17</f>
        <v>20.000000000010232</v>
      </c>
      <c r="AF15" s="31">
        <f>'FS Desroches Daily'!BF17</f>
        <v>15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10.000000000019327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0</v>
      </c>
      <c r="AN15" s="32">
        <f>'FS Desroches Daily'!BV17</f>
        <v>19</v>
      </c>
      <c r="AO15" s="32">
        <f>'FS Desroches Daily'!BX17</f>
        <v>9.9999999999909051</v>
      </c>
      <c r="AP15" s="32">
        <f>'FS Desroches Daily'!BZ17</f>
        <v>6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65.799999999995634</v>
      </c>
      <c r="AU15" s="31">
        <f>'FS Desroches Daily'!CJ17</f>
        <v>180</v>
      </c>
      <c r="AV15" s="31">
        <f>'FS Desroches Daily'!CL17</f>
        <v>360.00000000001364</v>
      </c>
      <c r="AW15" s="31">
        <f>'FS Desroches Daily'!CM17</f>
        <v>17.900000000000006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599.99999999993395</v>
      </c>
      <c r="F16" s="32">
        <f>'FS Desroches Daily'!F18</f>
        <v>600.00000000037801</v>
      </c>
      <c r="G16" s="31">
        <f>'FS Desroches Daily'!H18</f>
        <v>1399.9999999998458</v>
      </c>
      <c r="H16" s="32">
        <f>'FS Desroches Daily'!J18</f>
        <v>800.00000000013392</v>
      </c>
      <c r="I16" s="31">
        <f>'FS Desroches Daily'!L18</f>
        <v>1800.0000000000239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3</v>
      </c>
      <c r="M16" s="31">
        <f>'FS Desroches Daily'!T18</f>
        <v>247</v>
      </c>
      <c r="N16" s="31">
        <f>'FS Desroches Daily'!V18</f>
        <v>103.39999999996508</v>
      </c>
      <c r="O16" s="31">
        <f>'FS Desroches Daily'!X18</f>
        <v>99.999999999965894</v>
      </c>
      <c r="P16" s="31">
        <f>'FS Desroches Daily'!Z18</f>
        <v>399.99999999995595</v>
      </c>
      <c r="Q16" s="31">
        <f>'FS Desroches Daily'!AB18</f>
        <v>60.000000000002274</v>
      </c>
      <c r="R16" s="31">
        <f>'FS Desroches Daily'!AD18</f>
        <v>120.00000000000455</v>
      </c>
      <c r="S16" s="31">
        <f>'FS Desroches Daily'!AF18</f>
        <v>149.99999999997726</v>
      </c>
      <c r="T16" s="31">
        <f>'FS Desroches Daily'!AH18</f>
        <v>1.4000000000000909</v>
      </c>
      <c r="U16" s="35">
        <f>'FS Desroches Daily'!AJ18</f>
        <v>180.00000000000682</v>
      </c>
      <c r="V16" s="35">
        <f>'FS Desroches Daily'!AL18</f>
        <v>49.999999999982947</v>
      </c>
      <c r="W16" s="35">
        <f>'FS Desroches Daily'!AN18</f>
        <v>30.000000000001137</v>
      </c>
      <c r="X16" s="35">
        <f>'FS Desroches Daily'!AP18</f>
        <v>30.000000000001137</v>
      </c>
      <c r="Y16" s="35">
        <f>'FS Desroches Daily'!AR18</f>
        <v>20.000000000010232</v>
      </c>
      <c r="Z16" s="35">
        <f>'FS Desroches Daily'!AT18</f>
        <v>20.000000000038654</v>
      </c>
      <c r="AA16" s="35">
        <f>'FS Desroches Daily'!AT18</f>
        <v>20.000000000038654</v>
      </c>
      <c r="AB16" s="35">
        <f>'FS Desroches Daily'!AV18</f>
        <v>19.99999999998181</v>
      </c>
      <c r="AC16" s="35">
        <f>'FS Desroches Daily'!AZ18</f>
        <v>20.000000000038654</v>
      </c>
      <c r="AD16" s="35">
        <f>'FS Desroches Daily'!BB18</f>
        <v>20.000000000038654</v>
      </c>
      <c r="AE16" s="35">
        <f>'FS Desroches Daily'!BD18</f>
        <v>20.000000000010232</v>
      </c>
      <c r="AF16" s="31">
        <f>'FS Desroches Daily'!BF18</f>
        <v>23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9.9999999999909051</v>
      </c>
      <c r="AJ16" s="32">
        <f>'FS Desroches Daily'!BN18</f>
        <v>9.9999999999909051</v>
      </c>
      <c r="AK16" s="32">
        <f>'FS Desroches Daily'!BP18</f>
        <v>19.99999999998181</v>
      </c>
      <c r="AL16" s="32">
        <f>'FS Desroches Daily'!BR18</f>
        <v>13</v>
      </c>
      <c r="AM16" s="32">
        <f>'FS Desroches Daily'!BT18</f>
        <v>0</v>
      </c>
      <c r="AN16" s="32">
        <f>'FS Desroches Daily'!BV18</f>
        <v>25</v>
      </c>
      <c r="AO16" s="32">
        <f>'FS Desroches Daily'!BX18</f>
        <v>10.000000000019327</v>
      </c>
      <c r="AP16" s="32">
        <f>'FS Desroches Daily'!BZ18</f>
        <v>12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41.600000000005821</v>
      </c>
      <c r="AU16" s="31">
        <f>'FS Desroches Daily'!CJ18</f>
        <v>189</v>
      </c>
      <c r="AV16" s="31">
        <f>'FS Desroches Daily'!CL18</f>
        <v>379.99999999999545</v>
      </c>
      <c r="AW16" s="31">
        <f>'FS Desroches Daily'!CM18</f>
        <v>31.099999999999994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599.99999999993395</v>
      </c>
      <c r="F17" s="32">
        <f>'FS Desroches Daily'!F19</f>
        <v>499.99999999972289</v>
      </c>
      <c r="G17" s="31">
        <f>'FS Desroches Daily'!H19</f>
        <v>1500.0000000000568</v>
      </c>
      <c r="H17" s="32">
        <f>'FS Desroches Daily'!J19</f>
        <v>599.99999999993395</v>
      </c>
      <c r="I17" s="31">
        <f>'FS Desroches Daily'!L19</f>
        <v>1599.9999999998238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2</v>
      </c>
      <c r="M17" s="31">
        <f>'FS Desroches Daily'!T19</f>
        <v>210.40000000002328</v>
      </c>
      <c r="N17" s="31">
        <f>'FS Desroches Daily'!V19</f>
        <v>81.300000000046566</v>
      </c>
      <c r="O17" s="31">
        <f>'FS Desroches Daily'!X19</f>
        <v>70.000000000050022</v>
      </c>
      <c r="P17" s="31">
        <f>'FS Desroches Daily'!Z19</f>
        <v>299.99999999974489</v>
      </c>
      <c r="Q17" s="31">
        <f>'FS Desroches Daily'!AB19</f>
        <v>49.999999999954525</v>
      </c>
      <c r="R17" s="31">
        <f>'FS Desroches Daily'!AD19</f>
        <v>69.999999999993179</v>
      </c>
      <c r="S17" s="31">
        <f>'FS Desroches Daily'!AF19</f>
        <v>170.00000000001592</v>
      </c>
      <c r="T17" s="31">
        <f>'FS Desroches Daily'!AH19</f>
        <v>0.89999999999986358</v>
      </c>
      <c r="U17" s="35">
        <f>'FS Desroches Daily'!AJ19</f>
        <v>199.99999999998863</v>
      </c>
      <c r="V17" s="35">
        <f>'FS Desroches Daily'!AL19</f>
        <v>20.000000000010232</v>
      </c>
      <c r="W17" s="35">
        <f>'FS Desroches Daily'!AN19</f>
        <v>60.000000000002274</v>
      </c>
      <c r="X17" s="35">
        <f>'FS Desroches Daily'!AP19</f>
        <v>30.000000000001137</v>
      </c>
      <c r="Y17" s="35">
        <f>'FS Desroches Daily'!AR19</f>
        <v>20.000000000010232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20.000000000038654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9.9999999999909051</v>
      </c>
      <c r="AF17" s="31">
        <f>'FS Desroches Daily'!BF19</f>
        <v>19</v>
      </c>
      <c r="AG17" s="32">
        <f>'FS Desroches Daily'!BH19</f>
        <v>10.000000000019327</v>
      </c>
      <c r="AH17" s="32">
        <f>'FS Desroches Daily'!BJ19</f>
        <v>20.000000000038654</v>
      </c>
      <c r="AI17" s="32">
        <f>'FS Desroches Daily'!BL19</f>
        <v>0</v>
      </c>
      <c r="AJ17" s="32">
        <f>'FS Desroches Daily'!BN19</f>
        <v>9.9999999999909051</v>
      </c>
      <c r="AK17" s="32">
        <f>'FS Desroches Daily'!BP19</f>
        <v>9.9999999999909051</v>
      </c>
      <c r="AL17" s="32">
        <f>'FS Desroches Daily'!BR19</f>
        <v>9</v>
      </c>
      <c r="AM17" s="32">
        <f>'FS Desroches Daily'!BT19</f>
        <v>0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35.799999999995634</v>
      </c>
      <c r="AU17" s="31">
        <f>'FS Desroches Daily'!CJ19</f>
        <v>176</v>
      </c>
      <c r="AV17" s="31">
        <f>'FS Desroches Daily'!CL19</f>
        <v>470.00000000002728</v>
      </c>
      <c r="AW17" s="31">
        <f>'FS Desroches Daily'!CM19</f>
        <v>89.2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 t="str">
        <f>'FS Desroches Daily'!D20</f>
        <v>0</v>
      </c>
      <c r="F18" s="32" t="str">
        <f>'FS Desroches Daily'!F20</f>
        <v>0</v>
      </c>
      <c r="G18" s="31" t="str">
        <f>'FS Desroches Daily'!H20</f>
        <v>0</v>
      </c>
      <c r="H18" s="32" t="str">
        <f>'FS Desroches Daily'!J20</f>
        <v>0</v>
      </c>
      <c r="I18" s="31" t="str">
        <f>'FS Desroches Daily'!L20</f>
        <v>0</v>
      </c>
      <c r="J18" s="32" t="str">
        <f>'FS Desroches Daily'!N20</f>
        <v/>
      </c>
      <c r="K18" s="13" t="str">
        <f>'FS Desroches Daily'!P20</f>
        <v/>
      </c>
      <c r="L18" s="31" t="str">
        <f>'FS Desroches Daily'!R20</f>
        <v/>
      </c>
      <c r="M18" s="31" t="str">
        <f>'FS Desroches Daily'!T20</f>
        <v/>
      </c>
      <c r="N18" s="31" t="str">
        <f>'FS Desroches Daily'!V20</f>
        <v/>
      </c>
      <c r="O18" s="31" t="str">
        <f>'FS Desroches Daily'!X20</f>
        <v/>
      </c>
      <c r="P18" s="31" t="str">
        <f>'FS Desroches Daily'!Z20</f>
        <v/>
      </c>
      <c r="Q18" s="31" t="str">
        <f>'FS Desroches Daily'!AB20</f>
        <v/>
      </c>
      <c r="R18" s="31" t="str">
        <f>'FS Desroches Daily'!AD20</f>
        <v/>
      </c>
      <c r="S18" s="31" t="str">
        <f>'FS Desroches Daily'!AF20</f>
        <v/>
      </c>
      <c r="T18" s="31" t="str">
        <f>'FS Desroches Daily'!AH20</f>
        <v/>
      </c>
      <c r="U18" s="35" t="str">
        <f>'FS Desroches Daily'!AJ20</f>
        <v/>
      </c>
      <c r="V18" s="35" t="str">
        <f>'FS Desroches Daily'!AL20</f>
        <v/>
      </c>
      <c r="W18" s="35" t="str">
        <f>'FS Desroches Daily'!AN20</f>
        <v/>
      </c>
      <c r="X18" s="35" t="str">
        <f>'FS Desroches Daily'!AP20</f>
        <v/>
      </c>
      <c r="Y18" s="35" t="str">
        <f>'FS Desroches Daily'!AR20</f>
        <v/>
      </c>
      <c r="Z18" s="35" t="str">
        <f>'FS Desroches Daily'!AT20</f>
        <v/>
      </c>
      <c r="AA18" s="35" t="str">
        <f>'FS Desroches Daily'!AT20</f>
        <v/>
      </c>
      <c r="AB18" s="35" t="str">
        <f>'FS Desroches Daily'!AV20</f>
        <v/>
      </c>
      <c r="AC18" s="35" t="str">
        <f>'FS Desroches Daily'!AZ20</f>
        <v/>
      </c>
      <c r="AD18" s="35" t="str">
        <f>'FS Desroches Daily'!BB20</f>
        <v/>
      </c>
      <c r="AE18" s="35" t="str">
        <f>'FS Desroches Daily'!BD20</f>
        <v/>
      </c>
      <c r="AF18" s="31" t="str">
        <f>'FS Desroches Daily'!BF20</f>
        <v/>
      </c>
      <c r="AG18" s="32" t="str">
        <f>'FS Desroches Daily'!BH20</f>
        <v/>
      </c>
      <c r="AH18" s="32" t="str">
        <f>'FS Desroches Daily'!BJ20</f>
        <v/>
      </c>
      <c r="AI18" s="32" t="str">
        <f>'FS Desroches Daily'!BL20</f>
        <v/>
      </c>
      <c r="AJ18" s="32" t="str">
        <f>'FS Desroches Daily'!BN20</f>
        <v/>
      </c>
      <c r="AK18" s="32" t="str">
        <f>'FS Desroches Daily'!BP20</f>
        <v/>
      </c>
      <c r="AL18" s="32" t="str">
        <f>'FS Desroches Daily'!BR20</f>
        <v/>
      </c>
      <c r="AM18" s="32" t="str">
        <f>'FS Desroches Daily'!BT20</f>
        <v/>
      </c>
      <c r="AN18" s="32" t="str">
        <f>'FS Desroches Daily'!BV20</f>
        <v/>
      </c>
      <c r="AO18" s="32" t="str">
        <f>'FS Desroches Daily'!BX20</f>
        <v/>
      </c>
      <c r="AP18" s="32" t="str">
        <f>'FS Desroches Daily'!BZ20</f>
        <v/>
      </c>
      <c r="AQ18" s="31" t="str">
        <f>'FS Desroches Daily'!CB20</f>
        <v/>
      </c>
      <c r="AR18" s="31" t="str">
        <f>'FS Desroches Daily'!CD20</f>
        <v/>
      </c>
      <c r="AS18" s="31" t="str">
        <f>'FS Desroches Daily'!CF20</f>
        <v/>
      </c>
      <c r="AT18" s="31" t="str">
        <f>'FS Desroches Daily'!CH20</f>
        <v/>
      </c>
      <c r="AU18" s="31" t="str">
        <f>'FS Desroches Daily'!CJ20</f>
        <v/>
      </c>
      <c r="AV18" s="31" t="str">
        <f>'FS Desroches Daily'!CL20</f>
        <v/>
      </c>
      <c r="AW18" s="31" t="e">
        <f>'FS Desroches Daily'!CM20</f>
        <v>#VALUE!</v>
      </c>
      <c r="AX18" s="31" t="str">
        <f>IF(LPG!F25-LPG!F24&lt;0,"0",(LPG!F25-LPG!F24)*1.8315)</f>
        <v>0</v>
      </c>
      <c r="AY18" s="31" t="str">
        <f>IF(LPG!H25-LPG!H24&lt;0,"0",(LPG!H25-LPG!H24)*1.8315)</f>
        <v>0</v>
      </c>
      <c r="AZ18" s="31" t="str">
        <f>IF(LPG!J25-LPG!J24&lt;0,"0",(LPG!J25-LPG!J24)*1.8315)</f>
        <v>0</v>
      </c>
      <c r="BA18" s="31" t="str">
        <f>IF(LPG!M25-LPG!M24&lt;0,"0",(LPG!M25-LPG!M24)*1.8315)</f>
        <v>0</v>
      </c>
      <c r="BB18" s="31" t="str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13700.000000000051</v>
      </c>
      <c r="F33" s="17">
        <f t="shared" ref="F33:BC33" si="1">SUM(F2:F32)</f>
        <v>8799.99999999992</v>
      </c>
      <c r="G33" s="17">
        <f t="shared" si="1"/>
        <v>24299.999999999771</v>
      </c>
      <c r="H33" s="17">
        <f t="shared" si="1"/>
        <v>12199.999999999991</v>
      </c>
      <c r="I33" s="17">
        <f t="shared" si="1"/>
        <v>26499.999999999978</v>
      </c>
      <c r="J33" s="17">
        <f t="shared" si="1"/>
        <v>6699.99999999993</v>
      </c>
      <c r="K33" s="17">
        <f t="shared" si="1"/>
        <v>11</v>
      </c>
      <c r="L33" s="17">
        <f t="shared" si="1"/>
        <v>45</v>
      </c>
      <c r="M33" s="17">
        <f t="shared" si="1"/>
        <v>3007.5999999999767</v>
      </c>
      <c r="N33" s="17">
        <f t="shared" si="1"/>
        <v>1285.7000000000116</v>
      </c>
      <c r="O33" s="17">
        <f t="shared" si="1"/>
        <v>1210.0000000000364</v>
      </c>
      <c r="P33" s="17">
        <f t="shared" si="1"/>
        <v>5899.9999999995725</v>
      </c>
      <c r="Q33" s="17">
        <f t="shared" si="1"/>
        <v>889.99999999998636</v>
      </c>
      <c r="R33" s="17">
        <f t="shared" si="1"/>
        <v>1600.0000000000227</v>
      </c>
      <c r="S33" s="17">
        <f t="shared" si="1"/>
        <v>2500</v>
      </c>
      <c r="T33" s="17">
        <f t="shared" si="1"/>
        <v>18.899999999999864</v>
      </c>
      <c r="U33" s="35">
        <f t="shared" si="1"/>
        <v>7269.9999999999836</v>
      </c>
      <c r="V33" s="35">
        <f t="shared" si="1"/>
        <v>520.00000000001023</v>
      </c>
      <c r="W33" s="35">
        <f t="shared" si="1"/>
        <v>550.00000000001137</v>
      </c>
      <c r="X33" s="35">
        <f t="shared" si="1"/>
        <v>430.00000000000682</v>
      </c>
      <c r="Y33" s="35">
        <f t="shared" si="1"/>
        <v>340.00000000000341</v>
      </c>
      <c r="Z33" s="35">
        <f t="shared" si="1"/>
        <v>290.00000000002046</v>
      </c>
      <c r="AA33" s="35">
        <f t="shared" si="1"/>
        <v>290.00000000002046</v>
      </c>
      <c r="AB33" s="35">
        <f t="shared" si="1"/>
        <v>300.00000000001137</v>
      </c>
      <c r="AC33" s="35">
        <f t="shared" si="1"/>
        <v>290.00000000002046</v>
      </c>
      <c r="AD33" s="35">
        <f t="shared" si="1"/>
        <v>220.00000000002728</v>
      </c>
      <c r="AE33" s="35">
        <f t="shared" si="1"/>
        <v>280.00000000000114</v>
      </c>
      <c r="AF33" s="17">
        <f t="shared" si="1"/>
        <v>324</v>
      </c>
      <c r="AG33" s="32">
        <f t="shared" si="1"/>
        <v>210.00000000000796</v>
      </c>
      <c r="AH33" s="32">
        <f t="shared" si="1"/>
        <v>310.00000000000227</v>
      </c>
      <c r="AI33" s="32">
        <f t="shared" si="1"/>
        <v>120.00000000000455</v>
      </c>
      <c r="AJ33" s="32">
        <f t="shared" si="1"/>
        <v>359.99999999998522</v>
      </c>
      <c r="AK33" s="32">
        <f t="shared" si="1"/>
        <v>379.99999999999545</v>
      </c>
      <c r="AL33" s="32">
        <f t="shared" si="1"/>
        <v>201</v>
      </c>
      <c r="AM33" s="32">
        <f t="shared" si="1"/>
        <v>90.000000000003411</v>
      </c>
      <c r="AN33" s="32">
        <f t="shared" si="1"/>
        <v>213</v>
      </c>
      <c r="AO33" s="32">
        <f t="shared" si="1"/>
        <v>240.00000000000909</v>
      </c>
      <c r="AP33" s="32">
        <f t="shared" si="1"/>
        <v>156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676.09999999999854</v>
      </c>
      <c r="AU33" s="17">
        <f t="shared" si="1"/>
        <v>3130</v>
      </c>
      <c r="AV33" s="17">
        <f t="shared" si="1"/>
        <v>6019.9999999999818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84.248999999999981</v>
      </c>
      <c r="BC33" s="17">
        <f t="shared" si="1"/>
        <v>0</v>
      </c>
    </row>
    <row r="35" spans="5:55" x14ac:dyDescent="0.25">
      <c r="E35" s="38">
        <f>E33/E37</f>
        <v>0.24103592666878024</v>
      </c>
      <c r="G35" s="29">
        <f>G33-M36</f>
        <v>20006.699999999782</v>
      </c>
      <c r="AE35" s="35">
        <f>SUM(U33:AE33)</f>
        <v>10780.000000000116</v>
      </c>
      <c r="AG35" s="32">
        <f>SUM(AG33:AP33)</f>
        <v>2280.0000000000082</v>
      </c>
    </row>
    <row r="36" spans="5:55" x14ac:dyDescent="0.25">
      <c r="G36" s="29">
        <f>G35-633*14</f>
        <v>11144.699999999782</v>
      </c>
      <c r="M36" s="29">
        <f>M33+N33</f>
        <v>4293.2999999999884</v>
      </c>
    </row>
    <row r="37" spans="5:55" x14ac:dyDescent="0.25">
      <c r="E37" s="17">
        <f>E33+F33+G33+H33+J33-633*14</f>
        <v>56837.999999999665</v>
      </c>
      <c r="G37" s="37">
        <f>M36/E37</f>
        <v>7.5535733136282299E-2</v>
      </c>
      <c r="M37" s="35">
        <f>AE35</f>
        <v>10780.000000000116</v>
      </c>
    </row>
    <row r="38" spans="5:55" x14ac:dyDescent="0.25">
      <c r="L38" s="27">
        <f>M38/E37</f>
        <v>4.0114008233928383E-2</v>
      </c>
      <c r="M38" s="29">
        <f>AG35</f>
        <v>2280.0000000000082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F1" zoomScale="60" zoomScaleNormal="60" workbookViewId="0">
      <pane ySplit="1" topLeftCell="A3" activePane="bottomLeft" state="frozen"/>
      <selection pane="bottomLeft" activeCell="BG24" sqref="BG2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79" t="s">
        <v>119</v>
      </c>
      <c r="X1" s="80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0</v>
      </c>
      <c r="CO4" s="62">
        <v>0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0</v>
      </c>
      <c r="CO5" s="62">
        <v>0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4.7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0</v>
      </c>
      <c r="CO6" s="62">
        <v>0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>
        <v>1.7352000000000001</v>
      </c>
      <c r="D7" s="64">
        <f t="shared" si="0"/>
        <v>1300.0000000000789</v>
      </c>
      <c r="E7" s="58">
        <v>2.73</v>
      </c>
      <c r="F7" s="64">
        <f t="shared" si="1"/>
        <v>599.99999999993395</v>
      </c>
      <c r="G7" s="58">
        <v>2.6053000000000002</v>
      </c>
      <c r="H7" s="64">
        <f t="shared" si="2"/>
        <v>1700.0000000000348</v>
      </c>
      <c r="I7" s="58">
        <v>1.2617</v>
      </c>
      <c r="J7" s="64">
        <f t="shared" si="3"/>
        <v>900.0000000001229</v>
      </c>
      <c r="K7" s="58">
        <v>1.9630000000000001</v>
      </c>
      <c r="L7" s="64">
        <f t="shared" si="4"/>
        <v>1900.0000000000127</v>
      </c>
      <c r="M7" s="58">
        <v>1.2157</v>
      </c>
      <c r="N7" s="64">
        <f t="shared" si="5"/>
        <v>499.99999999994492</v>
      </c>
      <c r="O7" s="58">
        <v>12598</v>
      </c>
      <c r="P7" s="67">
        <f t="shared" si="42"/>
        <v>0</v>
      </c>
      <c r="Q7" s="58">
        <v>5550</v>
      </c>
      <c r="R7" s="67">
        <f t="shared" si="6"/>
        <v>4</v>
      </c>
      <c r="S7" s="58">
        <v>836896.5</v>
      </c>
      <c r="T7" s="67">
        <f t="shared" si="7"/>
        <v>180.40000000002328</v>
      </c>
      <c r="U7" s="58">
        <v>341111.8</v>
      </c>
      <c r="V7" s="67">
        <f t="shared" si="8"/>
        <v>92.700000000011642</v>
      </c>
      <c r="W7" s="58">
        <v>334.82</v>
      </c>
      <c r="X7" s="65">
        <f t="shared" si="9"/>
        <v>99.999999999965894</v>
      </c>
      <c r="Y7" s="58">
        <v>2.4047999999999998</v>
      </c>
      <c r="Z7" s="65">
        <f t="shared" si="10"/>
        <v>399.99999999995595</v>
      </c>
      <c r="AA7" s="58">
        <v>329.02</v>
      </c>
      <c r="AB7" s="65">
        <f t="shared" si="11"/>
        <v>69.999999999993179</v>
      </c>
      <c r="AC7" s="58">
        <v>311.89</v>
      </c>
      <c r="AD7" s="65">
        <f t="shared" si="12"/>
        <v>99.999999999965894</v>
      </c>
      <c r="AE7" s="58">
        <v>488.16</v>
      </c>
      <c r="AF7" s="65">
        <f t="shared" si="13"/>
        <v>189.99999999999773</v>
      </c>
      <c r="AG7" s="58">
        <v>1274.5999999999999</v>
      </c>
      <c r="AH7" s="67">
        <f t="shared" si="14"/>
        <v>1.5999999999999091</v>
      </c>
      <c r="AI7" s="58">
        <v>428.14</v>
      </c>
      <c r="AJ7" s="65">
        <f t="shared" si="15"/>
        <v>860.00000000001364</v>
      </c>
      <c r="AK7" s="58">
        <v>151.54</v>
      </c>
      <c r="AL7" s="65">
        <f t="shared" si="15"/>
        <v>49.999999999982947</v>
      </c>
      <c r="AM7" s="58">
        <v>151.08000000000001</v>
      </c>
      <c r="AN7" s="65">
        <f t="shared" si="15"/>
        <v>30.000000000001137</v>
      </c>
      <c r="AO7" s="58">
        <v>147.51</v>
      </c>
      <c r="AP7" s="65">
        <f t="shared" si="15"/>
        <v>30.000000000001137</v>
      </c>
      <c r="AQ7" s="58">
        <v>218.61</v>
      </c>
      <c r="AR7" s="65">
        <f t="shared" si="16"/>
        <v>30.000000000001137</v>
      </c>
      <c r="AS7" s="58">
        <v>344.94</v>
      </c>
      <c r="AT7" s="65">
        <f t="shared" si="17"/>
        <v>19.99999999998181</v>
      </c>
      <c r="AU7" s="58">
        <v>266.06</v>
      </c>
      <c r="AV7" s="65">
        <f t="shared" si="18"/>
        <v>19.99999999998181</v>
      </c>
      <c r="AW7" s="58">
        <v>293.63</v>
      </c>
      <c r="AX7" s="65">
        <f t="shared" si="19"/>
        <v>19.99999999998181</v>
      </c>
      <c r="AY7" s="58">
        <v>344.9</v>
      </c>
      <c r="AZ7" s="65">
        <f t="shared" si="20"/>
        <v>19.99999999998181</v>
      </c>
      <c r="BA7" s="58">
        <v>364.7</v>
      </c>
      <c r="BB7" s="65">
        <f t="shared" si="21"/>
        <v>19.99999999998181</v>
      </c>
      <c r="BC7" s="58">
        <v>231.36</v>
      </c>
      <c r="BD7" s="65">
        <f t="shared" si="22"/>
        <v>20.000000000010232</v>
      </c>
      <c r="BE7" s="59">
        <v>29711</v>
      </c>
      <c r="BF7" s="67">
        <f t="shared" si="39"/>
        <v>22</v>
      </c>
      <c r="BG7" s="60">
        <v>225.18</v>
      </c>
      <c r="BH7" s="65">
        <f t="shared" si="23"/>
        <v>20.000000000010232</v>
      </c>
      <c r="BI7" s="60">
        <v>283.02999999999997</v>
      </c>
      <c r="BJ7" s="65">
        <f t="shared" si="40"/>
        <v>19.99999999998181</v>
      </c>
      <c r="BK7" s="60">
        <v>230.67</v>
      </c>
      <c r="BL7" s="65">
        <f t="shared" si="24"/>
        <v>9.9999999999909051</v>
      </c>
      <c r="BM7" s="60">
        <v>214.04</v>
      </c>
      <c r="BN7" s="65">
        <f t="shared" si="25"/>
        <v>39.999999999992042</v>
      </c>
      <c r="BO7" s="60">
        <v>278.89</v>
      </c>
      <c r="BP7" s="65">
        <f t="shared" si="26"/>
        <v>39.99999999996362</v>
      </c>
      <c r="BQ7" s="60">
        <v>39057</v>
      </c>
      <c r="BR7" s="65">
        <f t="shared" si="27"/>
        <v>17</v>
      </c>
      <c r="BS7" s="60">
        <v>193.46</v>
      </c>
      <c r="BT7" s="65">
        <f t="shared" si="43"/>
        <v>0</v>
      </c>
      <c r="BU7" s="60">
        <v>30238</v>
      </c>
      <c r="BV7" s="65">
        <f t="shared" si="29"/>
        <v>8</v>
      </c>
      <c r="BW7" s="60">
        <v>224.17</v>
      </c>
      <c r="BX7" s="65">
        <f t="shared" si="30"/>
        <v>19.99999999998181</v>
      </c>
      <c r="BY7" s="60">
        <v>49170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47189.599999999999</v>
      </c>
      <c r="CH7" s="67">
        <f t="shared" si="35"/>
        <v>49.299999999995634</v>
      </c>
      <c r="CI7" s="60">
        <v>863176</v>
      </c>
      <c r="CJ7" s="67">
        <f t="shared" si="36"/>
        <v>223</v>
      </c>
      <c r="CK7" s="60">
        <v>580.47</v>
      </c>
      <c r="CL7" s="64">
        <f t="shared" si="37"/>
        <v>430.00000000006366</v>
      </c>
      <c r="CM7" s="65">
        <f t="shared" si="41"/>
        <v>28.900000000001455</v>
      </c>
      <c r="CN7" s="62">
        <v>0</v>
      </c>
      <c r="CO7" s="62">
        <v>0</v>
      </c>
      <c r="CP7" s="68">
        <v>34378.6</v>
      </c>
      <c r="CQ7" s="67">
        <f t="shared" si="38"/>
        <v>19.900000000001455</v>
      </c>
      <c r="CR7" s="68">
        <v>9604</v>
      </c>
      <c r="CS7" s="67">
        <f t="shared" si="38"/>
        <v>9</v>
      </c>
      <c r="CT7" s="75">
        <v>2040</v>
      </c>
      <c r="CU7" s="67">
        <f t="shared" si="38"/>
        <v>17</v>
      </c>
      <c r="CV7" s="68">
        <v>5061</v>
      </c>
      <c r="CW7" s="67">
        <f t="shared" si="38"/>
        <v>87</v>
      </c>
    </row>
    <row r="8" spans="1:102" ht="25.5" customHeight="1" thickBot="1" x14ac:dyDescent="0.45">
      <c r="A8" s="63">
        <v>44017</v>
      </c>
      <c r="B8" s="44"/>
      <c r="C8" s="58">
        <v>1.7362</v>
      </c>
      <c r="D8" s="64">
        <f t="shared" si="0"/>
        <v>999.99999999988984</v>
      </c>
      <c r="E8" s="58">
        <v>2.7303999999999999</v>
      </c>
      <c r="F8" s="64">
        <f t="shared" si="1"/>
        <v>399.99999999995595</v>
      </c>
      <c r="G8" s="58">
        <v>2.6065999999999998</v>
      </c>
      <c r="H8" s="64">
        <f t="shared" si="2"/>
        <v>1299.9999999996348</v>
      </c>
      <c r="I8" s="58">
        <v>1.2625</v>
      </c>
      <c r="J8" s="64">
        <f t="shared" si="3"/>
        <v>799.99999999991189</v>
      </c>
      <c r="K8" s="58">
        <v>1.9645999999999999</v>
      </c>
      <c r="L8" s="64">
        <f t="shared" si="4"/>
        <v>1599.9999999998238</v>
      </c>
      <c r="M8" s="58">
        <v>1.216</v>
      </c>
      <c r="N8" s="64">
        <f t="shared" si="5"/>
        <v>299.99999999996697</v>
      </c>
      <c r="O8" s="58">
        <v>12600</v>
      </c>
      <c r="P8" s="67">
        <f t="shared" si="42"/>
        <v>2</v>
      </c>
      <c r="Q8" s="58">
        <v>5552</v>
      </c>
      <c r="R8" s="67">
        <f t="shared" si="6"/>
        <v>2</v>
      </c>
      <c r="S8" s="58">
        <v>837011.1</v>
      </c>
      <c r="T8" s="67">
        <f t="shared" si="7"/>
        <v>114.59999999997672</v>
      </c>
      <c r="U8" s="58">
        <v>341170.2</v>
      </c>
      <c r="V8" s="67">
        <f t="shared" si="8"/>
        <v>58.400000000023283</v>
      </c>
      <c r="W8" s="58">
        <v>334.88</v>
      </c>
      <c r="X8" s="65">
        <f t="shared" si="9"/>
        <v>60.000000000002274</v>
      </c>
      <c r="Y8" s="58">
        <v>2.4051</v>
      </c>
      <c r="Z8" s="65">
        <f t="shared" si="10"/>
        <v>300.000000000189</v>
      </c>
      <c r="AA8" s="58">
        <v>329.07</v>
      </c>
      <c r="AB8" s="65">
        <f t="shared" si="11"/>
        <v>50.000000000011369</v>
      </c>
      <c r="AC8" s="58">
        <v>311.97000000000003</v>
      </c>
      <c r="AD8" s="65">
        <f t="shared" si="12"/>
        <v>80.000000000040927</v>
      </c>
      <c r="AE8" s="58">
        <v>488.29</v>
      </c>
      <c r="AF8" s="65">
        <f t="shared" si="13"/>
        <v>129.99999999999545</v>
      </c>
      <c r="AG8" s="58">
        <v>1275.5</v>
      </c>
      <c r="AH8" s="67">
        <f t="shared" si="14"/>
        <v>0.90000000000009095</v>
      </c>
      <c r="AI8" s="58">
        <v>428.8</v>
      </c>
      <c r="AJ8" s="65">
        <f t="shared" si="15"/>
        <v>660.00000000002501</v>
      </c>
      <c r="AK8" s="58">
        <v>151.56</v>
      </c>
      <c r="AL8" s="65">
        <f t="shared" si="15"/>
        <v>20.000000000010232</v>
      </c>
      <c r="AM8" s="58">
        <v>151.11000000000001</v>
      </c>
      <c r="AN8" s="65">
        <f t="shared" si="15"/>
        <v>30.000000000001137</v>
      </c>
      <c r="AO8" s="58">
        <v>147.53</v>
      </c>
      <c r="AP8" s="65">
        <f t="shared" si="15"/>
        <v>20.000000000010232</v>
      </c>
      <c r="AQ8" s="58">
        <v>218.62</v>
      </c>
      <c r="AR8" s="65">
        <f t="shared" si="16"/>
        <v>9.9999999999909051</v>
      </c>
      <c r="AS8" s="58">
        <v>344.96</v>
      </c>
      <c r="AT8" s="65">
        <f t="shared" si="17"/>
        <v>19.99999999998181</v>
      </c>
      <c r="AU8" s="58">
        <v>266.07</v>
      </c>
      <c r="AV8" s="65">
        <f t="shared" si="18"/>
        <v>9.9999999999909051</v>
      </c>
      <c r="AW8" s="58">
        <v>293.64</v>
      </c>
      <c r="AX8" s="65">
        <f t="shared" si="19"/>
        <v>9.9999999999909051</v>
      </c>
      <c r="AY8" s="58">
        <v>344.92</v>
      </c>
      <c r="AZ8" s="65">
        <f t="shared" si="20"/>
        <v>20.000000000038654</v>
      </c>
      <c r="BA8" s="58">
        <v>364.71</v>
      </c>
      <c r="BB8" s="65">
        <f t="shared" si="21"/>
        <v>9.9999999999909051</v>
      </c>
      <c r="BC8" s="58">
        <v>231.37</v>
      </c>
      <c r="BD8" s="65">
        <f t="shared" si="22"/>
        <v>9.9999999999909051</v>
      </c>
      <c r="BE8" s="59">
        <v>29732</v>
      </c>
      <c r="BF8" s="67">
        <f t="shared" si="39"/>
        <v>21</v>
      </c>
      <c r="BG8" s="60">
        <v>225.2</v>
      </c>
      <c r="BH8" s="65">
        <f t="shared" si="23"/>
        <v>19.99999999998181</v>
      </c>
      <c r="BI8" s="60">
        <v>283.06</v>
      </c>
      <c r="BJ8" s="65">
        <f t="shared" si="40"/>
        <v>30.000000000029559</v>
      </c>
      <c r="BK8" s="60">
        <v>230.68</v>
      </c>
      <c r="BL8" s="65">
        <f t="shared" si="24"/>
        <v>10.000000000019327</v>
      </c>
      <c r="BM8" s="60">
        <v>214.07</v>
      </c>
      <c r="BN8" s="65">
        <f t="shared" si="25"/>
        <v>30.000000000001137</v>
      </c>
      <c r="BO8" s="60">
        <v>278.92</v>
      </c>
      <c r="BP8" s="65">
        <f t="shared" si="26"/>
        <v>30.000000000029559</v>
      </c>
      <c r="BQ8" s="60">
        <v>39071</v>
      </c>
      <c r="BR8" s="65">
        <f t="shared" si="27"/>
        <v>14</v>
      </c>
      <c r="BS8" s="60">
        <v>193.47</v>
      </c>
      <c r="BT8" s="65">
        <f t="shared" si="43"/>
        <v>9.9999999999909051</v>
      </c>
      <c r="BU8" s="60">
        <v>30245</v>
      </c>
      <c r="BV8" s="65">
        <f t="shared" si="29"/>
        <v>7</v>
      </c>
      <c r="BW8" s="60">
        <v>224.19</v>
      </c>
      <c r="BX8" s="65">
        <f t="shared" si="30"/>
        <v>20.000000000010232</v>
      </c>
      <c r="BY8" s="60">
        <v>49181</v>
      </c>
      <c r="BZ8" s="67">
        <f t="shared" si="31"/>
        <v>11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47232.6</v>
      </c>
      <c r="CH8" s="67">
        <f t="shared" si="35"/>
        <v>43</v>
      </c>
      <c r="CI8" s="60">
        <v>863362</v>
      </c>
      <c r="CJ8" s="67">
        <f t="shared" si="36"/>
        <v>186</v>
      </c>
      <c r="CK8" s="60">
        <v>580.79</v>
      </c>
      <c r="CL8" s="64">
        <f t="shared" si="37"/>
        <v>319.99999999993634</v>
      </c>
      <c r="CM8" s="65">
        <f t="shared" si="41"/>
        <v>15.099999999998545</v>
      </c>
      <c r="CN8" s="62">
        <v>0</v>
      </c>
      <c r="CO8" s="62">
        <v>0</v>
      </c>
      <c r="CP8" s="68">
        <v>34387.699999999997</v>
      </c>
      <c r="CQ8" s="67">
        <f t="shared" si="38"/>
        <v>9.0999999999985448</v>
      </c>
      <c r="CR8" s="68">
        <v>9610</v>
      </c>
      <c r="CS8" s="67">
        <f t="shared" si="38"/>
        <v>6</v>
      </c>
      <c r="CT8" s="75">
        <v>2052</v>
      </c>
      <c r="CU8" s="67">
        <f t="shared" si="38"/>
        <v>12</v>
      </c>
      <c r="CV8" s="68">
        <v>5121</v>
      </c>
      <c r="CW8" s="67">
        <f t="shared" si="38"/>
        <v>60</v>
      </c>
    </row>
    <row r="9" spans="1:102" ht="25.5" customHeight="1" thickBot="1" x14ac:dyDescent="0.45">
      <c r="A9" s="63">
        <v>44018</v>
      </c>
      <c r="B9" s="44"/>
      <c r="C9" s="58">
        <v>1.7373000000000001</v>
      </c>
      <c r="D9" s="64">
        <f t="shared" si="0"/>
        <v>1100.000000000101</v>
      </c>
      <c r="E9" s="58">
        <v>2.7311000000000001</v>
      </c>
      <c r="F9" s="64">
        <f t="shared" si="1"/>
        <v>700.00000000014495</v>
      </c>
      <c r="G9" s="58">
        <v>2.6084999999999998</v>
      </c>
      <c r="H9" s="64">
        <f t="shared" si="2"/>
        <v>1900.0000000000127</v>
      </c>
      <c r="I9" s="58">
        <v>1.2633000000000001</v>
      </c>
      <c r="J9" s="64">
        <f t="shared" si="3"/>
        <v>800.00000000013392</v>
      </c>
      <c r="K9" s="58">
        <v>1.9661999999999999</v>
      </c>
      <c r="L9" s="64">
        <f t="shared" si="4"/>
        <v>1600.0000000000459</v>
      </c>
      <c r="M9" s="58">
        <v>1.2163999999999999</v>
      </c>
      <c r="N9" s="64">
        <f t="shared" si="5"/>
        <v>399.99999999995595</v>
      </c>
      <c r="O9" s="58">
        <v>12600</v>
      </c>
      <c r="P9" s="67">
        <f t="shared" si="42"/>
        <v>0</v>
      </c>
      <c r="Q9" s="58">
        <v>5555</v>
      </c>
      <c r="R9" s="67">
        <f t="shared" si="6"/>
        <v>3</v>
      </c>
      <c r="S9" s="58">
        <v>837373.2</v>
      </c>
      <c r="T9" s="67">
        <f t="shared" si="7"/>
        <v>362.09999999997672</v>
      </c>
      <c r="U9" s="58">
        <v>341318</v>
      </c>
      <c r="V9" s="67">
        <f t="shared" si="8"/>
        <v>147.79999999998836</v>
      </c>
      <c r="W9" s="58">
        <v>334.96</v>
      </c>
      <c r="X9" s="65">
        <f t="shared" si="9"/>
        <v>79.999999999984084</v>
      </c>
      <c r="Y9" s="58">
        <v>2.4055</v>
      </c>
      <c r="Z9" s="65">
        <f t="shared" si="10"/>
        <v>399.99999999995595</v>
      </c>
      <c r="AA9" s="58">
        <v>329.12</v>
      </c>
      <c r="AB9" s="65">
        <f t="shared" si="11"/>
        <v>50.000000000011369</v>
      </c>
      <c r="AC9" s="58">
        <v>312.07</v>
      </c>
      <c r="AD9" s="65">
        <f t="shared" si="12"/>
        <v>99.999999999965894</v>
      </c>
      <c r="AE9" s="58">
        <v>488.46</v>
      </c>
      <c r="AF9" s="65">
        <f t="shared" si="13"/>
        <v>169.99999999995907</v>
      </c>
      <c r="AG9" s="58">
        <v>1276.5999999999999</v>
      </c>
      <c r="AH9" s="67">
        <f t="shared" si="14"/>
        <v>1.0999999999999091</v>
      </c>
      <c r="AI9" s="58">
        <v>429.5</v>
      </c>
      <c r="AJ9" s="65">
        <f t="shared" si="15"/>
        <v>699.99999999998863</v>
      </c>
      <c r="AK9" s="58">
        <v>151.6</v>
      </c>
      <c r="AL9" s="65">
        <f t="shared" si="15"/>
        <v>39.999999999992042</v>
      </c>
      <c r="AM9" s="58">
        <v>151.13999999999999</v>
      </c>
      <c r="AN9" s="65">
        <f t="shared" si="15"/>
        <v>29.999999999972715</v>
      </c>
      <c r="AO9" s="58">
        <v>147.56</v>
      </c>
      <c r="AP9" s="65">
        <f t="shared" si="15"/>
        <v>30.000000000001137</v>
      </c>
      <c r="AQ9" s="58">
        <v>218.64</v>
      </c>
      <c r="AR9" s="65">
        <f t="shared" si="16"/>
        <v>19.99999999998181</v>
      </c>
      <c r="AS9" s="58">
        <v>344.98</v>
      </c>
      <c r="AT9" s="65">
        <f t="shared" si="17"/>
        <v>20.000000000038654</v>
      </c>
      <c r="AU9" s="58">
        <v>266.08999999999997</v>
      </c>
      <c r="AV9" s="65">
        <f t="shared" si="18"/>
        <v>19.99999999998181</v>
      </c>
      <c r="AW9" s="58">
        <v>293.66000000000003</v>
      </c>
      <c r="AX9" s="65">
        <f t="shared" si="19"/>
        <v>20.000000000038654</v>
      </c>
      <c r="AY9" s="58">
        <v>344.94</v>
      </c>
      <c r="AZ9" s="65">
        <f t="shared" si="20"/>
        <v>19.99999999998181</v>
      </c>
      <c r="BA9" s="58">
        <v>364.73</v>
      </c>
      <c r="BB9" s="65">
        <f t="shared" si="21"/>
        <v>20.000000000038654</v>
      </c>
      <c r="BC9" s="58">
        <v>231.39</v>
      </c>
      <c r="BD9" s="65">
        <f t="shared" si="22"/>
        <v>19.99999999998181</v>
      </c>
      <c r="BE9" s="59">
        <v>29745</v>
      </c>
      <c r="BF9" s="67">
        <f t="shared" si="39"/>
        <v>13</v>
      </c>
      <c r="BG9" s="60">
        <v>225.21</v>
      </c>
      <c r="BH9" s="65">
        <f t="shared" si="23"/>
        <v>10.000000000019327</v>
      </c>
      <c r="BI9" s="60">
        <v>283.08</v>
      </c>
      <c r="BJ9" s="65">
        <f t="shared" si="40"/>
        <v>19.99999999998181</v>
      </c>
      <c r="BK9" s="60">
        <v>230.69</v>
      </c>
      <c r="BL9" s="65">
        <f t="shared" si="24"/>
        <v>9.9999999999909051</v>
      </c>
      <c r="BM9" s="60">
        <v>214.1</v>
      </c>
      <c r="BN9" s="65">
        <f t="shared" si="25"/>
        <v>30.000000000001137</v>
      </c>
      <c r="BO9" s="60">
        <v>278.95</v>
      </c>
      <c r="BP9" s="65">
        <f t="shared" si="26"/>
        <v>29.999999999972715</v>
      </c>
      <c r="BQ9" s="60">
        <v>39085</v>
      </c>
      <c r="BR9" s="65">
        <f t="shared" si="27"/>
        <v>14</v>
      </c>
      <c r="BS9" s="60">
        <v>193.48</v>
      </c>
      <c r="BT9" s="65">
        <f t="shared" si="43"/>
        <v>9.9999999999909051</v>
      </c>
      <c r="BU9" s="60">
        <v>30252</v>
      </c>
      <c r="BV9" s="65">
        <f t="shared" si="29"/>
        <v>7</v>
      </c>
      <c r="BW9" s="60">
        <v>224.21</v>
      </c>
      <c r="BX9" s="65">
        <f t="shared" si="30"/>
        <v>20.000000000010232</v>
      </c>
      <c r="BY9" s="60">
        <v>49194</v>
      </c>
      <c r="BZ9" s="67">
        <f t="shared" si="31"/>
        <v>13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47284.2</v>
      </c>
      <c r="CH9" s="67">
        <f t="shared" si="35"/>
        <v>51.599999999998545</v>
      </c>
      <c r="CI9" s="60">
        <v>863569</v>
      </c>
      <c r="CJ9" s="67">
        <f t="shared" si="36"/>
        <v>207</v>
      </c>
      <c r="CK9" s="60">
        <v>581.25</v>
      </c>
      <c r="CL9" s="64">
        <f t="shared" si="37"/>
        <v>460.00000000003638</v>
      </c>
      <c r="CM9" s="65">
        <f t="shared" si="41"/>
        <v>33.900000000001455</v>
      </c>
      <c r="CN9" s="62">
        <v>0</v>
      </c>
      <c r="CO9" s="62">
        <v>0</v>
      </c>
      <c r="CP9" s="68">
        <v>34410.6</v>
      </c>
      <c r="CQ9" s="67">
        <f t="shared" si="38"/>
        <v>22.900000000001455</v>
      </c>
      <c r="CR9" s="68">
        <v>9621</v>
      </c>
      <c r="CS9" s="67">
        <f t="shared" si="38"/>
        <v>11</v>
      </c>
      <c r="CT9" s="75">
        <v>2066</v>
      </c>
      <c r="CU9" s="67">
        <f t="shared" si="38"/>
        <v>14</v>
      </c>
      <c r="CV9" s="68">
        <v>5185</v>
      </c>
      <c r="CW9" s="67">
        <f t="shared" si="38"/>
        <v>64</v>
      </c>
    </row>
    <row r="10" spans="1:102" ht="25.5" customHeight="1" thickBot="1" x14ac:dyDescent="0.45">
      <c r="A10" s="63">
        <v>44019</v>
      </c>
      <c r="B10" s="44"/>
      <c r="C10" s="58">
        <v>1.7384999999999999</v>
      </c>
      <c r="D10" s="64">
        <f t="shared" si="0"/>
        <v>1199.9999999998679</v>
      </c>
      <c r="E10" s="58">
        <v>2.7315999999999998</v>
      </c>
      <c r="F10" s="64">
        <f t="shared" si="1"/>
        <v>499.99999999972289</v>
      </c>
      <c r="G10" s="58">
        <v>2.61</v>
      </c>
      <c r="H10" s="64">
        <f t="shared" si="2"/>
        <v>1500.0000000000568</v>
      </c>
      <c r="I10" s="58">
        <v>1.264</v>
      </c>
      <c r="J10" s="64">
        <f t="shared" si="3"/>
        <v>699.99999999992292</v>
      </c>
      <c r="K10" s="58">
        <v>1.9678</v>
      </c>
      <c r="L10" s="64">
        <f t="shared" si="4"/>
        <v>1600.0000000000459</v>
      </c>
      <c r="M10" s="58">
        <v>1.2169000000000001</v>
      </c>
      <c r="N10" s="64">
        <f t="shared" si="5"/>
        <v>500.00000000016701</v>
      </c>
      <c r="O10" s="58">
        <v>12601</v>
      </c>
      <c r="P10" s="67">
        <f t="shared" si="42"/>
        <v>1</v>
      </c>
      <c r="Q10" s="58">
        <v>5558</v>
      </c>
      <c r="R10" s="67">
        <f t="shared" si="6"/>
        <v>3</v>
      </c>
      <c r="S10" s="58">
        <v>837590.2</v>
      </c>
      <c r="T10" s="67">
        <f t="shared" si="7"/>
        <v>217</v>
      </c>
      <c r="U10" s="58">
        <v>341437.9</v>
      </c>
      <c r="V10" s="67">
        <f t="shared" si="8"/>
        <v>119.90000000002328</v>
      </c>
      <c r="W10" s="58">
        <v>335.04</v>
      </c>
      <c r="X10" s="65">
        <f t="shared" si="9"/>
        <v>80.000000000040927</v>
      </c>
      <c r="Y10" s="58">
        <v>2.4058999999999999</v>
      </c>
      <c r="Z10" s="65">
        <f t="shared" si="10"/>
        <v>399.99999999995595</v>
      </c>
      <c r="AA10" s="58">
        <v>329.17</v>
      </c>
      <c r="AB10" s="65">
        <f t="shared" si="11"/>
        <v>50.000000000011369</v>
      </c>
      <c r="AC10" s="58">
        <v>312.19</v>
      </c>
      <c r="AD10" s="65">
        <f t="shared" si="12"/>
        <v>120.00000000000455</v>
      </c>
      <c r="AE10" s="58">
        <v>488.6</v>
      </c>
      <c r="AF10" s="65">
        <f t="shared" si="13"/>
        <v>140.0000000000432</v>
      </c>
      <c r="AG10" s="58">
        <v>1277.8</v>
      </c>
      <c r="AH10" s="67">
        <f t="shared" si="14"/>
        <v>1.2000000000000455</v>
      </c>
      <c r="AI10" s="58">
        <v>430.24</v>
      </c>
      <c r="AJ10" s="65">
        <f t="shared" si="15"/>
        <v>740.00000000000909</v>
      </c>
      <c r="AK10" s="58">
        <v>151.62</v>
      </c>
      <c r="AL10" s="65">
        <f t="shared" si="15"/>
        <v>20.000000000010232</v>
      </c>
      <c r="AM10" s="58">
        <v>151.16999999999999</v>
      </c>
      <c r="AN10" s="65">
        <f t="shared" si="15"/>
        <v>30.000000000001137</v>
      </c>
      <c r="AO10" s="58">
        <v>147.58000000000001</v>
      </c>
      <c r="AP10" s="65">
        <f t="shared" si="15"/>
        <v>20.000000000010232</v>
      </c>
      <c r="AQ10" s="58">
        <v>218.68</v>
      </c>
      <c r="AR10" s="65">
        <f t="shared" si="16"/>
        <v>40.000000000020464</v>
      </c>
      <c r="AS10" s="58">
        <v>345</v>
      </c>
      <c r="AT10" s="65">
        <f t="shared" si="17"/>
        <v>19.99999999998181</v>
      </c>
      <c r="AU10" s="58">
        <v>266.10000000000002</v>
      </c>
      <c r="AV10" s="65">
        <f t="shared" si="18"/>
        <v>10.000000000047748</v>
      </c>
      <c r="AW10" s="58">
        <v>293.67</v>
      </c>
      <c r="AX10" s="65">
        <f t="shared" si="19"/>
        <v>9.9999999999909051</v>
      </c>
      <c r="AY10" s="58">
        <v>344.95</v>
      </c>
      <c r="AZ10" s="65">
        <f t="shared" si="20"/>
        <v>9.9999999999909051</v>
      </c>
      <c r="BA10" s="58">
        <v>364.74</v>
      </c>
      <c r="BB10" s="65">
        <f t="shared" si="21"/>
        <v>9.9999999999909051</v>
      </c>
      <c r="BC10" s="58">
        <v>231.41</v>
      </c>
      <c r="BD10" s="65">
        <f t="shared" si="22"/>
        <v>20.000000000010232</v>
      </c>
      <c r="BE10" s="59">
        <v>29752</v>
      </c>
      <c r="BF10" s="67">
        <f t="shared" si="39"/>
        <v>7</v>
      </c>
      <c r="BG10" s="60">
        <v>225.23</v>
      </c>
      <c r="BH10" s="65">
        <f t="shared" si="23"/>
        <v>19.99999999998181</v>
      </c>
      <c r="BI10" s="60">
        <v>283.10000000000002</v>
      </c>
      <c r="BJ10" s="65">
        <f t="shared" si="40"/>
        <v>20.000000000038654</v>
      </c>
      <c r="BK10" s="60">
        <v>230.7</v>
      </c>
      <c r="BL10" s="65">
        <f t="shared" si="24"/>
        <v>9.9999999999909051</v>
      </c>
      <c r="BM10" s="60">
        <v>214.12</v>
      </c>
      <c r="BN10" s="65">
        <f t="shared" si="25"/>
        <v>20.000000000010232</v>
      </c>
      <c r="BO10" s="60">
        <v>278.98</v>
      </c>
      <c r="BP10" s="65">
        <f t="shared" si="26"/>
        <v>30.000000000029559</v>
      </c>
      <c r="BQ10" s="60">
        <v>39096</v>
      </c>
      <c r="BR10" s="65">
        <f t="shared" si="27"/>
        <v>11</v>
      </c>
      <c r="BS10" s="60">
        <v>193.49</v>
      </c>
      <c r="BT10" s="65">
        <f t="shared" si="43"/>
        <v>10.000000000019327</v>
      </c>
      <c r="BU10" s="60">
        <v>30257</v>
      </c>
      <c r="BV10" s="65">
        <f t="shared" si="29"/>
        <v>5</v>
      </c>
      <c r="BW10" s="60">
        <v>224.22</v>
      </c>
      <c r="BX10" s="65">
        <f t="shared" si="30"/>
        <v>9.9999999999909051</v>
      </c>
      <c r="BY10" s="60">
        <v>49201</v>
      </c>
      <c r="BZ10" s="67">
        <f t="shared" si="31"/>
        <v>7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47329.3</v>
      </c>
      <c r="CH10" s="67">
        <f t="shared" si="35"/>
        <v>45.100000000005821</v>
      </c>
      <c r="CI10" s="60">
        <v>863775</v>
      </c>
      <c r="CJ10" s="67">
        <f t="shared" si="36"/>
        <v>206</v>
      </c>
      <c r="CK10" s="60">
        <v>581.55999999999995</v>
      </c>
      <c r="CL10" s="64">
        <f t="shared" si="37"/>
        <v>309.99999999994543</v>
      </c>
      <c r="CM10" s="65">
        <f t="shared" si="41"/>
        <v>26.599999999998545</v>
      </c>
      <c r="CN10" s="62">
        <v>0</v>
      </c>
      <c r="CO10" s="62">
        <v>0</v>
      </c>
      <c r="CP10" s="68">
        <v>34428.199999999997</v>
      </c>
      <c r="CQ10" s="67">
        <f>IF((CP10-CP9&lt;0), "",CP10-CP9)</f>
        <v>17.599999999998545</v>
      </c>
      <c r="CR10" s="68">
        <v>9630</v>
      </c>
      <c r="CS10" s="67">
        <f t="shared" si="38"/>
        <v>9</v>
      </c>
      <c r="CT10" s="75">
        <v>2080</v>
      </c>
      <c r="CU10" s="67">
        <f t="shared" si="38"/>
        <v>14</v>
      </c>
      <c r="CV10" s="68">
        <v>5257</v>
      </c>
      <c r="CW10" s="67">
        <f t="shared" si="38"/>
        <v>72</v>
      </c>
    </row>
    <row r="11" spans="1:102" ht="25.5" customHeight="1" thickBot="1" x14ac:dyDescent="0.45">
      <c r="A11" s="63">
        <v>44020</v>
      </c>
      <c r="B11" s="44"/>
      <c r="C11" s="58">
        <v>1.7394000000000001</v>
      </c>
      <c r="D11" s="64">
        <f t="shared" si="0"/>
        <v>900.0000000001229</v>
      </c>
      <c r="E11" s="58">
        <v>2.7322000000000002</v>
      </c>
      <c r="F11" s="64">
        <f t="shared" si="1"/>
        <v>600.00000000037801</v>
      </c>
      <c r="G11" s="58">
        <v>2.6116000000000001</v>
      </c>
      <c r="H11" s="64">
        <f t="shared" si="2"/>
        <v>1600.0000000002678</v>
      </c>
      <c r="I11" s="58">
        <v>1.2648999999999999</v>
      </c>
      <c r="J11" s="64">
        <f t="shared" si="3"/>
        <v>899.99999999990087</v>
      </c>
      <c r="K11" s="58">
        <v>1.9695</v>
      </c>
      <c r="L11" s="64">
        <f t="shared" si="4"/>
        <v>1700.0000000000348</v>
      </c>
      <c r="M11" s="58">
        <v>1.2173</v>
      </c>
      <c r="N11" s="64">
        <f t="shared" si="5"/>
        <v>399.99999999995595</v>
      </c>
      <c r="O11" s="58">
        <v>12601</v>
      </c>
      <c r="P11" s="67">
        <f t="shared" ref="P11:P34" si="44">IF((O11-O10&lt;0), "",O11-O10)</f>
        <v>0</v>
      </c>
      <c r="Q11" s="58">
        <v>5560</v>
      </c>
      <c r="R11" s="67">
        <f t="shared" si="6"/>
        <v>2</v>
      </c>
      <c r="S11" s="58">
        <v>837883.4</v>
      </c>
      <c r="T11" s="67">
        <f t="shared" si="7"/>
        <v>293.20000000006985</v>
      </c>
      <c r="U11" s="58">
        <v>341556.1</v>
      </c>
      <c r="V11" s="67">
        <f t="shared" si="8"/>
        <v>118.19999999995343</v>
      </c>
      <c r="W11" s="58">
        <v>335.11</v>
      </c>
      <c r="X11" s="65">
        <f t="shared" si="9"/>
        <v>69.999999999993179</v>
      </c>
      <c r="Y11" s="58">
        <v>2.4062999999999999</v>
      </c>
      <c r="Z11" s="65">
        <f t="shared" si="10"/>
        <v>399.99999999995595</v>
      </c>
      <c r="AA11" s="58">
        <v>329.22</v>
      </c>
      <c r="AB11" s="65">
        <f t="shared" si="11"/>
        <v>50.000000000011369</v>
      </c>
      <c r="AC11" s="58">
        <v>312.31</v>
      </c>
      <c r="AD11" s="65">
        <f t="shared" si="12"/>
        <v>120.00000000000455</v>
      </c>
      <c r="AE11" s="58">
        <v>488.76</v>
      </c>
      <c r="AF11" s="65">
        <f t="shared" si="13"/>
        <v>159.99999999996817</v>
      </c>
      <c r="AG11" s="58">
        <v>1279.2</v>
      </c>
      <c r="AH11" s="67">
        <f t="shared" si="14"/>
        <v>1.4000000000000909</v>
      </c>
      <c r="AI11" s="58">
        <v>430.79</v>
      </c>
      <c r="AJ11" s="65">
        <f t="shared" si="15"/>
        <v>550.00000000001137</v>
      </c>
      <c r="AK11" s="58">
        <v>151.66</v>
      </c>
      <c r="AL11" s="65">
        <f t="shared" si="15"/>
        <v>39.999999999992042</v>
      </c>
      <c r="AM11" s="58">
        <v>151.19999999999999</v>
      </c>
      <c r="AN11" s="65">
        <f t="shared" si="15"/>
        <v>30.000000000001137</v>
      </c>
      <c r="AO11" s="58">
        <v>147.61000000000001</v>
      </c>
      <c r="AP11" s="65">
        <f t="shared" si="15"/>
        <v>30.000000000001137</v>
      </c>
      <c r="AQ11" s="58">
        <v>218.7</v>
      </c>
      <c r="AR11" s="65">
        <f t="shared" si="16"/>
        <v>19.99999999998181</v>
      </c>
      <c r="AS11" s="58">
        <v>345.02</v>
      </c>
      <c r="AT11" s="65">
        <f t="shared" si="17"/>
        <v>19.99999999998181</v>
      </c>
      <c r="AU11" s="58">
        <v>266.13</v>
      </c>
      <c r="AV11" s="65">
        <f t="shared" si="18"/>
        <v>29.999999999972715</v>
      </c>
      <c r="AW11" s="58">
        <v>293.68</v>
      </c>
      <c r="AX11" s="65">
        <f t="shared" si="19"/>
        <v>9.9999999999909051</v>
      </c>
      <c r="AY11" s="58">
        <v>344.97</v>
      </c>
      <c r="AZ11" s="65">
        <f t="shared" si="20"/>
        <v>20.000000000038654</v>
      </c>
      <c r="BA11" s="58">
        <v>364.75</v>
      </c>
      <c r="BB11" s="65">
        <f t="shared" si="21"/>
        <v>9.9999999999909051</v>
      </c>
      <c r="BC11" s="58">
        <v>231.43</v>
      </c>
      <c r="BD11" s="65">
        <f>IF((BC11-BC10&lt;0), "",(BC11-BC10)*1000)</f>
        <v>20.000000000010232</v>
      </c>
      <c r="BE11" s="59">
        <v>29764</v>
      </c>
      <c r="BF11" s="67">
        <f t="shared" si="39"/>
        <v>12</v>
      </c>
      <c r="BG11" s="60">
        <v>225.24</v>
      </c>
      <c r="BH11" s="65">
        <f t="shared" si="23"/>
        <v>10.000000000019327</v>
      </c>
      <c r="BI11" s="60">
        <v>283.12</v>
      </c>
      <c r="BJ11" s="65">
        <f t="shared" si="40"/>
        <v>19.99999999998181</v>
      </c>
      <c r="BK11" s="60">
        <v>230.72</v>
      </c>
      <c r="BL11" s="65">
        <f t="shared" si="24"/>
        <v>20.000000000010232</v>
      </c>
      <c r="BM11" s="60">
        <v>214.15</v>
      </c>
      <c r="BN11" s="65">
        <f t="shared" si="25"/>
        <v>30.000000000001137</v>
      </c>
      <c r="BO11" s="60">
        <v>279.01</v>
      </c>
      <c r="BP11" s="65">
        <f t="shared" si="26"/>
        <v>29.999999999972715</v>
      </c>
      <c r="BQ11" s="60">
        <v>39110</v>
      </c>
      <c r="BR11" s="65">
        <f t="shared" si="27"/>
        <v>14</v>
      </c>
      <c r="BS11" s="60">
        <v>193.5</v>
      </c>
      <c r="BT11" s="65">
        <f t="shared" si="43"/>
        <v>9.9999999999909051</v>
      </c>
      <c r="BU11" s="60">
        <v>30262</v>
      </c>
      <c r="BV11" s="65">
        <f t="shared" si="29"/>
        <v>5</v>
      </c>
      <c r="BW11" s="60">
        <v>224.24</v>
      </c>
      <c r="BX11" s="65">
        <f t="shared" si="30"/>
        <v>20.000000000010232</v>
      </c>
      <c r="BY11" s="60">
        <v>49212</v>
      </c>
      <c r="BZ11" s="67">
        <f t="shared" si="31"/>
        <v>11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47372.6</v>
      </c>
      <c r="CH11" s="67">
        <f t="shared" si="35"/>
        <v>43.299999999995634</v>
      </c>
      <c r="CI11" s="60">
        <v>863976</v>
      </c>
      <c r="CJ11" s="67">
        <f t="shared" si="36"/>
        <v>201</v>
      </c>
      <c r="CK11" s="60">
        <v>581.87</v>
      </c>
      <c r="CL11" s="64">
        <f t="shared" si="37"/>
        <v>310.00000000005912</v>
      </c>
      <c r="CM11" s="65">
        <f t="shared" si="41"/>
        <v>15</v>
      </c>
      <c r="CN11" s="62">
        <v>0</v>
      </c>
      <c r="CO11" s="62">
        <v>0</v>
      </c>
      <c r="CP11" s="68">
        <v>8</v>
      </c>
      <c r="CQ11" s="67">
        <v>8</v>
      </c>
      <c r="CR11" s="68">
        <v>9637</v>
      </c>
      <c r="CS11" s="67">
        <f t="shared" si="38"/>
        <v>7</v>
      </c>
      <c r="CT11" s="75">
        <v>2092</v>
      </c>
      <c r="CU11" s="67">
        <f t="shared" si="38"/>
        <v>12</v>
      </c>
      <c r="CV11" s="68">
        <v>5324</v>
      </c>
      <c r="CW11" s="67">
        <f t="shared" si="38"/>
        <v>67</v>
      </c>
    </row>
    <row r="12" spans="1:102" ht="25.5" customHeight="1" thickBot="1" x14ac:dyDescent="0.45">
      <c r="A12" s="63">
        <v>44021</v>
      </c>
      <c r="B12" s="44"/>
      <c r="C12" s="58">
        <v>1.74</v>
      </c>
      <c r="D12" s="64">
        <f t="shared" si="0"/>
        <v>599.99999999993395</v>
      </c>
      <c r="E12" s="58">
        <v>2.7326999999999999</v>
      </c>
      <c r="F12" s="64">
        <f t="shared" si="1"/>
        <v>499.99999999972289</v>
      </c>
      <c r="G12" s="58">
        <v>2.6131000000000002</v>
      </c>
      <c r="H12" s="64">
        <f t="shared" si="2"/>
        <v>1500.0000000000568</v>
      </c>
      <c r="I12" s="58">
        <v>1.2657</v>
      </c>
      <c r="J12" s="64">
        <f t="shared" si="3"/>
        <v>800.00000000013392</v>
      </c>
      <c r="K12" s="58">
        <v>1.9711000000000001</v>
      </c>
      <c r="L12" s="64">
        <f t="shared" si="4"/>
        <v>1600.0000000000459</v>
      </c>
      <c r="M12" s="58">
        <v>1.2178</v>
      </c>
      <c r="N12" s="64">
        <f t="shared" si="5"/>
        <v>499.99999999994492</v>
      </c>
      <c r="O12" s="58">
        <v>12602</v>
      </c>
      <c r="P12" s="67">
        <f t="shared" si="44"/>
        <v>1</v>
      </c>
      <c r="Q12" s="58">
        <v>5563</v>
      </c>
      <c r="R12" s="67">
        <f t="shared" si="6"/>
        <v>3</v>
      </c>
      <c r="S12" s="58">
        <v>838119.1</v>
      </c>
      <c r="T12" s="67">
        <f t="shared" si="7"/>
        <v>235.69999999995343</v>
      </c>
      <c r="U12" s="58">
        <v>341674.3</v>
      </c>
      <c r="V12" s="67">
        <f t="shared" si="8"/>
        <v>118.20000000001164</v>
      </c>
      <c r="W12" s="58">
        <v>335.18</v>
      </c>
      <c r="X12" s="65">
        <f t="shared" si="9"/>
        <v>69.999999999993179</v>
      </c>
      <c r="Y12" s="58">
        <v>2.4066999999999998</v>
      </c>
      <c r="Z12" s="65">
        <f t="shared" si="10"/>
        <v>399.99999999995595</v>
      </c>
      <c r="AA12" s="58">
        <v>329.28</v>
      </c>
      <c r="AB12" s="65">
        <f t="shared" si="11"/>
        <v>59.99999999994543</v>
      </c>
      <c r="AC12" s="58">
        <v>312.42</v>
      </c>
      <c r="AD12" s="65">
        <f t="shared" si="12"/>
        <v>110.00000000001364</v>
      </c>
      <c r="AE12" s="58">
        <v>488.93</v>
      </c>
      <c r="AF12" s="65">
        <f t="shared" si="13"/>
        <v>170.00000000001592</v>
      </c>
      <c r="AG12" s="58">
        <v>1280.2</v>
      </c>
      <c r="AH12" s="67">
        <f t="shared" si="14"/>
        <v>1</v>
      </c>
      <c r="AI12" s="58">
        <v>431</v>
      </c>
      <c r="AJ12" s="65">
        <f t="shared" si="15"/>
        <v>209.99999999997954</v>
      </c>
      <c r="AK12" s="58">
        <v>151.69</v>
      </c>
      <c r="AL12" s="65">
        <f t="shared" si="15"/>
        <v>30.000000000001137</v>
      </c>
      <c r="AM12" s="58">
        <v>151.22999999999999</v>
      </c>
      <c r="AN12" s="65">
        <f t="shared" si="15"/>
        <v>30.000000000001137</v>
      </c>
      <c r="AO12" s="58">
        <v>147.63999999999999</v>
      </c>
      <c r="AP12" s="65">
        <f t="shared" si="15"/>
        <v>29.999999999972715</v>
      </c>
      <c r="AQ12" s="58">
        <v>218.72</v>
      </c>
      <c r="AR12" s="65">
        <f t="shared" si="16"/>
        <v>20.000000000010232</v>
      </c>
      <c r="AS12" s="58">
        <v>345.03</v>
      </c>
      <c r="AT12" s="65">
        <f t="shared" si="17"/>
        <v>9.9999999999909051</v>
      </c>
      <c r="AU12" s="58">
        <v>266.14999999999998</v>
      </c>
      <c r="AV12" s="65">
        <f t="shared" si="18"/>
        <v>19.99999999998181</v>
      </c>
      <c r="AW12" s="58">
        <v>293.69</v>
      </c>
      <c r="AX12" s="65">
        <f t="shared" si="19"/>
        <v>9.9999999999909051</v>
      </c>
      <c r="AY12" s="58">
        <v>344.99</v>
      </c>
      <c r="AZ12" s="65">
        <f t="shared" si="20"/>
        <v>19.99999999998181</v>
      </c>
      <c r="BA12" s="58">
        <v>364.77</v>
      </c>
      <c r="BB12" s="65">
        <f t="shared" si="21"/>
        <v>19.99999999998181</v>
      </c>
      <c r="BC12" s="58">
        <v>231.44</v>
      </c>
      <c r="BD12" s="65">
        <f t="shared" si="22"/>
        <v>9.9999999999909051</v>
      </c>
      <c r="BE12" s="59">
        <v>29785</v>
      </c>
      <c r="BF12" s="67">
        <f t="shared" si="39"/>
        <v>21</v>
      </c>
      <c r="BG12" s="60">
        <v>225.26</v>
      </c>
      <c r="BH12" s="65">
        <f t="shared" si="23"/>
        <v>19.99999999998181</v>
      </c>
      <c r="BI12" s="60">
        <v>283.14</v>
      </c>
      <c r="BJ12" s="65">
        <f t="shared" si="40"/>
        <v>19.99999999998181</v>
      </c>
      <c r="BK12" s="60">
        <v>230.73</v>
      </c>
      <c r="BL12" s="65">
        <f t="shared" si="24"/>
        <v>9.9999999999909051</v>
      </c>
      <c r="BM12" s="60">
        <v>214.18</v>
      </c>
      <c r="BN12" s="65">
        <f t="shared" si="25"/>
        <v>30.000000000001137</v>
      </c>
      <c r="BO12" s="60">
        <v>279.04000000000002</v>
      </c>
      <c r="BP12" s="65">
        <f t="shared" si="26"/>
        <v>30.000000000029559</v>
      </c>
      <c r="BQ12" s="60">
        <v>39122</v>
      </c>
      <c r="BR12" s="65">
        <f t="shared" si="27"/>
        <v>12</v>
      </c>
      <c r="BS12" s="60">
        <v>193.5</v>
      </c>
      <c r="BT12" s="65">
        <f t="shared" si="43"/>
        <v>0</v>
      </c>
      <c r="BU12" s="60">
        <v>30271</v>
      </c>
      <c r="BV12" s="65">
        <f t="shared" si="29"/>
        <v>9</v>
      </c>
      <c r="BW12" s="60">
        <v>224.26</v>
      </c>
      <c r="BX12" s="65">
        <f t="shared" si="30"/>
        <v>19.99999999998181</v>
      </c>
      <c r="BY12" s="60">
        <v>49221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47411.9</v>
      </c>
      <c r="CH12" s="67">
        <f t="shared" si="35"/>
        <v>39.30000000000291</v>
      </c>
      <c r="CI12" s="60">
        <v>864179</v>
      </c>
      <c r="CJ12" s="67">
        <f t="shared" si="36"/>
        <v>203</v>
      </c>
      <c r="CK12" s="60">
        <v>582.26</v>
      </c>
      <c r="CL12" s="64">
        <f t="shared" si="37"/>
        <v>389.99999999998636</v>
      </c>
      <c r="CM12" s="65">
        <f t="shared" si="41"/>
        <v>25.2</v>
      </c>
      <c r="CN12" s="62">
        <v>0</v>
      </c>
      <c r="CO12" s="62">
        <v>0</v>
      </c>
      <c r="CP12" s="68">
        <v>25.2</v>
      </c>
      <c r="CQ12" s="67">
        <f>IF((CP12-CP11&lt;0), "",CP12-CP11)</f>
        <v>17.2</v>
      </c>
      <c r="CR12" s="68">
        <v>9645</v>
      </c>
      <c r="CS12" s="67">
        <f t="shared" si="38"/>
        <v>8</v>
      </c>
      <c r="CT12" s="75">
        <v>2105</v>
      </c>
      <c r="CU12" s="67">
        <f t="shared" si="38"/>
        <v>13</v>
      </c>
      <c r="CV12" s="68">
        <v>5347</v>
      </c>
      <c r="CW12" s="67">
        <f t="shared" si="38"/>
        <v>23</v>
      </c>
    </row>
    <row r="13" spans="1:102" ht="25.5" customHeight="1" thickBot="1" x14ac:dyDescent="0.45">
      <c r="A13" s="63">
        <v>44022</v>
      </c>
      <c r="B13" s="44"/>
      <c r="C13" s="58">
        <v>1.7406999999999999</v>
      </c>
      <c r="D13" s="64">
        <f t="shared" si="0"/>
        <v>699.99999999992292</v>
      </c>
      <c r="E13" s="58">
        <v>2.7332999999999998</v>
      </c>
      <c r="F13" s="64">
        <f t="shared" si="1"/>
        <v>599.99999999993395</v>
      </c>
      <c r="G13" s="58">
        <v>2.6145999999999998</v>
      </c>
      <c r="H13" s="64">
        <f t="shared" si="2"/>
        <v>1499.9999999996128</v>
      </c>
      <c r="I13" s="58">
        <v>1.2664</v>
      </c>
      <c r="J13" s="64">
        <f t="shared" si="3"/>
        <v>699.99999999992292</v>
      </c>
      <c r="K13" s="58">
        <v>1.9728000000000001</v>
      </c>
      <c r="L13" s="64">
        <f t="shared" si="4"/>
        <v>1700.0000000000348</v>
      </c>
      <c r="M13" s="58">
        <v>1.2181999999999999</v>
      </c>
      <c r="N13" s="64">
        <f t="shared" si="5"/>
        <v>399.99999999995595</v>
      </c>
      <c r="O13" s="58">
        <v>12602</v>
      </c>
      <c r="P13" s="67">
        <f t="shared" si="44"/>
        <v>0</v>
      </c>
      <c r="Q13" s="58">
        <v>5566</v>
      </c>
      <c r="R13" s="67">
        <f t="shared" si="6"/>
        <v>3</v>
      </c>
      <c r="S13" s="58">
        <v>838290.1</v>
      </c>
      <c r="T13" s="67">
        <f t="shared" si="7"/>
        <v>171</v>
      </c>
      <c r="U13" s="58">
        <v>341715.6</v>
      </c>
      <c r="V13" s="67">
        <f t="shared" si="8"/>
        <v>41.299999999988358</v>
      </c>
      <c r="W13" s="58">
        <v>335.25</v>
      </c>
      <c r="X13" s="65">
        <f t="shared" si="9"/>
        <v>69.999999999993179</v>
      </c>
      <c r="Y13" s="58">
        <v>2.4070999999999998</v>
      </c>
      <c r="Z13" s="65">
        <f t="shared" si="10"/>
        <v>399.99999999995595</v>
      </c>
      <c r="AA13" s="58">
        <v>329.34</v>
      </c>
      <c r="AB13" s="65">
        <f t="shared" si="11"/>
        <v>60.000000000002274</v>
      </c>
      <c r="AC13" s="58">
        <v>312.54000000000002</v>
      </c>
      <c r="AD13" s="65">
        <f t="shared" si="12"/>
        <v>120.00000000000455</v>
      </c>
      <c r="AE13" s="58">
        <v>489.08</v>
      </c>
      <c r="AF13" s="65">
        <f t="shared" si="13"/>
        <v>149.99999999997726</v>
      </c>
      <c r="AG13" s="58">
        <v>1281.7</v>
      </c>
      <c r="AH13" s="67">
        <f t="shared" si="14"/>
        <v>1.5</v>
      </c>
      <c r="AI13" s="58">
        <v>431.19</v>
      </c>
      <c r="AJ13" s="65">
        <f t="shared" si="15"/>
        <v>189.99999999999773</v>
      </c>
      <c r="AK13" s="58">
        <v>151.72</v>
      </c>
      <c r="AL13" s="65">
        <f t="shared" si="15"/>
        <v>30.000000000001137</v>
      </c>
      <c r="AM13" s="58">
        <v>151.27000000000001</v>
      </c>
      <c r="AN13" s="65">
        <f t="shared" si="15"/>
        <v>40.000000000020464</v>
      </c>
      <c r="AO13" s="58">
        <v>147.66</v>
      </c>
      <c r="AP13" s="65">
        <f t="shared" si="15"/>
        <v>20.000000000010232</v>
      </c>
      <c r="AQ13" s="58">
        <v>218.75</v>
      </c>
      <c r="AR13" s="65">
        <f t="shared" si="16"/>
        <v>30.000000000001137</v>
      </c>
      <c r="AS13" s="58">
        <v>345.06</v>
      </c>
      <c r="AT13" s="65">
        <f t="shared" si="17"/>
        <v>30.000000000029559</v>
      </c>
      <c r="AU13" s="58">
        <v>266.19</v>
      </c>
      <c r="AV13" s="65">
        <f t="shared" si="18"/>
        <v>40.000000000020464</v>
      </c>
      <c r="AW13" s="58">
        <v>293.70999999999998</v>
      </c>
      <c r="AX13" s="65">
        <f t="shared" si="19"/>
        <v>19.99999999998181</v>
      </c>
      <c r="AY13" s="58">
        <v>345.01</v>
      </c>
      <c r="AZ13" s="65">
        <f t="shared" si="20"/>
        <v>19.99999999998181</v>
      </c>
      <c r="BA13" s="58">
        <v>364.78</v>
      </c>
      <c r="BB13" s="65">
        <f t="shared" si="21"/>
        <v>9.9999999999909051</v>
      </c>
      <c r="BC13" s="58">
        <v>231.46</v>
      </c>
      <c r="BD13" s="65">
        <f t="shared" si="22"/>
        <v>20.000000000010232</v>
      </c>
      <c r="BE13" s="59">
        <v>29803</v>
      </c>
      <c r="BF13" s="67">
        <f t="shared" si="39"/>
        <v>18</v>
      </c>
      <c r="BG13" s="60">
        <v>225.27</v>
      </c>
      <c r="BH13" s="65">
        <f t="shared" si="23"/>
        <v>10.000000000019327</v>
      </c>
      <c r="BI13" s="60">
        <v>283.14999999999998</v>
      </c>
      <c r="BJ13" s="65">
        <f t="shared" si="40"/>
        <v>9.9999999999909051</v>
      </c>
      <c r="BK13" s="60">
        <v>230.74</v>
      </c>
      <c r="BL13" s="65">
        <f t="shared" si="24"/>
        <v>10.000000000019327</v>
      </c>
      <c r="BM13" s="60">
        <v>214.22</v>
      </c>
      <c r="BN13" s="65">
        <f t="shared" si="25"/>
        <v>39.999999999992042</v>
      </c>
      <c r="BO13" s="60">
        <v>279.06</v>
      </c>
      <c r="BP13" s="65">
        <f t="shared" si="26"/>
        <v>19.99999999998181</v>
      </c>
      <c r="BQ13" s="60">
        <v>39135</v>
      </c>
      <c r="BR13" s="65">
        <f t="shared" si="27"/>
        <v>13</v>
      </c>
      <c r="BS13" s="60">
        <v>193.5</v>
      </c>
      <c r="BT13" s="65">
        <f t="shared" si="43"/>
        <v>0</v>
      </c>
      <c r="BU13" s="60">
        <v>30279</v>
      </c>
      <c r="BV13" s="65">
        <f t="shared" si="29"/>
        <v>8</v>
      </c>
      <c r="BW13" s="60">
        <v>224.27</v>
      </c>
      <c r="BX13" s="65">
        <f t="shared" si="30"/>
        <v>10.000000000019327</v>
      </c>
      <c r="BY13" s="60">
        <v>49233</v>
      </c>
      <c r="BZ13" s="67">
        <f t="shared" si="31"/>
        <v>12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47455</v>
      </c>
      <c r="CH13" s="67">
        <f t="shared" si="35"/>
        <v>43.099999999998545</v>
      </c>
      <c r="CI13" s="60">
        <v>864379</v>
      </c>
      <c r="CJ13" s="67">
        <f t="shared" si="36"/>
        <v>200</v>
      </c>
      <c r="CK13" s="60">
        <v>582.58000000000004</v>
      </c>
      <c r="CL13" s="64">
        <f t="shared" si="37"/>
        <v>320.00000000005002</v>
      </c>
      <c r="CM13" s="65">
        <f t="shared" si="41"/>
        <v>24.7</v>
      </c>
      <c r="CN13" s="62">
        <v>0</v>
      </c>
      <c r="CO13" s="62">
        <v>0</v>
      </c>
      <c r="CP13" s="68">
        <v>43.9</v>
      </c>
      <c r="CQ13" s="67">
        <f>IF((CP13-CP12&lt;0), "",CP13-CP12)</f>
        <v>18.7</v>
      </c>
      <c r="CR13" s="68">
        <v>9651</v>
      </c>
      <c r="CS13" s="67">
        <f t="shared" si="38"/>
        <v>6</v>
      </c>
      <c r="CT13" s="75">
        <v>2117</v>
      </c>
      <c r="CU13" s="67">
        <f t="shared" si="38"/>
        <v>12</v>
      </c>
      <c r="CV13" s="68">
        <v>5370</v>
      </c>
      <c r="CW13" s="67">
        <f t="shared" si="38"/>
        <v>23</v>
      </c>
    </row>
    <row r="14" spans="1:102" ht="25.5" customHeight="1" thickBot="1" x14ac:dyDescent="0.45">
      <c r="A14" s="63">
        <v>44023</v>
      </c>
      <c r="B14" s="44"/>
      <c r="C14" s="58">
        <v>1.7413000000000001</v>
      </c>
      <c r="D14" s="64">
        <f t="shared" si="0"/>
        <v>600.00000000015598</v>
      </c>
      <c r="E14" s="58">
        <v>2.7338</v>
      </c>
      <c r="F14" s="64">
        <f t="shared" si="1"/>
        <v>500.00000000016701</v>
      </c>
      <c r="G14" s="58">
        <v>2.6162999999999998</v>
      </c>
      <c r="H14" s="64">
        <f t="shared" si="2"/>
        <v>1700.0000000000348</v>
      </c>
      <c r="I14" s="58">
        <v>1.2670999999999999</v>
      </c>
      <c r="J14" s="64">
        <f t="shared" si="3"/>
        <v>699.99999999992292</v>
      </c>
      <c r="K14" s="58">
        <v>1.9744999999999999</v>
      </c>
      <c r="L14" s="64">
        <f t="shared" si="4"/>
        <v>1699.9999999998129</v>
      </c>
      <c r="M14" s="58">
        <v>1.2185999999999999</v>
      </c>
      <c r="N14" s="64">
        <f t="shared" si="5"/>
        <v>399.99999999995595</v>
      </c>
      <c r="O14" s="58">
        <v>12602</v>
      </c>
      <c r="P14" s="67">
        <f t="shared" si="44"/>
        <v>0</v>
      </c>
      <c r="Q14" s="58">
        <v>5569</v>
      </c>
      <c r="R14" s="67">
        <f t="shared" si="6"/>
        <v>3</v>
      </c>
      <c r="S14" s="58">
        <v>838443.4</v>
      </c>
      <c r="T14" s="67">
        <f t="shared" si="7"/>
        <v>153.30000000004657</v>
      </c>
      <c r="U14" s="58">
        <v>341778.3</v>
      </c>
      <c r="V14" s="67">
        <f t="shared" si="8"/>
        <v>62.700000000011642</v>
      </c>
      <c r="W14" s="58">
        <v>335.32</v>
      </c>
      <c r="X14" s="65">
        <f t="shared" si="9"/>
        <v>69.999999999993179</v>
      </c>
      <c r="Y14" s="58">
        <v>2.4074</v>
      </c>
      <c r="Z14" s="65">
        <f t="shared" si="10"/>
        <v>300.000000000189</v>
      </c>
      <c r="AA14" s="58">
        <v>329.4</v>
      </c>
      <c r="AB14" s="65">
        <f t="shared" si="11"/>
        <v>60.000000000002274</v>
      </c>
      <c r="AC14" s="58">
        <v>312.64999999999998</v>
      </c>
      <c r="AD14" s="65">
        <f t="shared" si="12"/>
        <v>109.9999999999568</v>
      </c>
      <c r="AE14" s="58">
        <v>489.26</v>
      </c>
      <c r="AF14" s="65">
        <f t="shared" si="13"/>
        <v>180.00000000000682</v>
      </c>
      <c r="AG14" s="58">
        <v>1283.0999999999999</v>
      </c>
      <c r="AH14" s="67">
        <f t="shared" si="14"/>
        <v>1.3999999999998636</v>
      </c>
      <c r="AI14" s="58">
        <v>431.41</v>
      </c>
      <c r="AJ14" s="65">
        <f t="shared" si="15"/>
        <v>220.00000000002728</v>
      </c>
      <c r="AK14" s="58">
        <v>151.76</v>
      </c>
      <c r="AL14" s="65">
        <f t="shared" si="15"/>
        <v>39.999999999992042</v>
      </c>
      <c r="AM14" s="58">
        <v>151.30000000000001</v>
      </c>
      <c r="AN14" s="65">
        <f t="shared" si="15"/>
        <v>30.000000000001137</v>
      </c>
      <c r="AO14" s="58">
        <v>147.69</v>
      </c>
      <c r="AP14" s="65">
        <f t="shared" si="15"/>
        <v>30.000000000001137</v>
      </c>
      <c r="AQ14" s="58">
        <v>218.77</v>
      </c>
      <c r="AR14" s="65">
        <f t="shared" si="16"/>
        <v>20.000000000010232</v>
      </c>
      <c r="AS14" s="58">
        <v>345.08</v>
      </c>
      <c r="AT14" s="65">
        <f t="shared" si="17"/>
        <v>19.99999999998181</v>
      </c>
      <c r="AU14" s="58">
        <v>266.20999999999998</v>
      </c>
      <c r="AV14" s="65">
        <f t="shared" si="18"/>
        <v>19.99999999998181</v>
      </c>
      <c r="AW14" s="58">
        <v>293.73</v>
      </c>
      <c r="AX14" s="65">
        <f t="shared" si="19"/>
        <v>20.000000000038654</v>
      </c>
      <c r="AY14" s="58">
        <v>345.03</v>
      </c>
      <c r="AZ14" s="65">
        <f t="shared" si="20"/>
        <v>19.99999999998181</v>
      </c>
      <c r="BA14" s="58">
        <v>364.8</v>
      </c>
      <c r="BB14" s="65">
        <f t="shared" si="21"/>
        <v>20.000000000038654</v>
      </c>
      <c r="BC14" s="58">
        <v>231.48</v>
      </c>
      <c r="BD14" s="65">
        <f t="shared" si="22"/>
        <v>19.99999999998181</v>
      </c>
      <c r="BE14" s="59">
        <v>29825</v>
      </c>
      <c r="BF14" s="67">
        <f t="shared" si="39"/>
        <v>22</v>
      </c>
      <c r="BG14" s="60">
        <v>225.28</v>
      </c>
      <c r="BH14" s="65">
        <f t="shared" si="23"/>
        <v>9.9999999999909051</v>
      </c>
      <c r="BI14" s="60">
        <v>283.16000000000003</v>
      </c>
      <c r="BJ14" s="65">
        <f t="shared" si="40"/>
        <v>10.000000000047748</v>
      </c>
      <c r="BK14" s="60">
        <v>230.74</v>
      </c>
      <c r="BL14" s="65">
        <f t="shared" si="24"/>
        <v>0</v>
      </c>
      <c r="BM14" s="60">
        <v>214.24</v>
      </c>
      <c r="BN14" s="65">
        <f t="shared" si="25"/>
        <v>20.000000000010232</v>
      </c>
      <c r="BO14" s="60">
        <v>279.07</v>
      </c>
      <c r="BP14" s="65">
        <f t="shared" si="26"/>
        <v>9.9999999999909051</v>
      </c>
      <c r="BQ14" s="60">
        <v>39147</v>
      </c>
      <c r="BR14" s="65">
        <f t="shared" si="27"/>
        <v>12</v>
      </c>
      <c r="BS14" s="60">
        <v>193.51</v>
      </c>
      <c r="BT14" s="65">
        <f t="shared" si="43"/>
        <v>9.9999999999909051</v>
      </c>
      <c r="BU14" s="60">
        <v>30305</v>
      </c>
      <c r="BV14" s="65">
        <f t="shared" si="29"/>
        <v>26</v>
      </c>
      <c r="BW14" s="60">
        <v>224.28</v>
      </c>
      <c r="BX14" s="65">
        <f t="shared" si="30"/>
        <v>9.9999999999909051</v>
      </c>
      <c r="BY14" s="60">
        <v>49242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47471.9</v>
      </c>
      <c r="CH14" s="67">
        <f t="shared" si="35"/>
        <v>16.900000000001455</v>
      </c>
      <c r="CI14" s="60">
        <v>864582</v>
      </c>
      <c r="CJ14" s="67">
        <f t="shared" si="36"/>
        <v>203</v>
      </c>
      <c r="CK14" s="60">
        <v>583.04999999999995</v>
      </c>
      <c r="CL14" s="64">
        <f t="shared" si="37"/>
        <v>469.9999999999136</v>
      </c>
      <c r="CM14" s="65">
        <f t="shared" si="41"/>
        <v>18.300000000000004</v>
      </c>
      <c r="CN14" s="62">
        <v>0</v>
      </c>
      <c r="CO14" s="62">
        <v>0</v>
      </c>
      <c r="CP14" s="68">
        <v>56.2</v>
      </c>
      <c r="CQ14" s="67">
        <f t="shared" si="38"/>
        <v>12.300000000000004</v>
      </c>
      <c r="CR14" s="68">
        <v>9657</v>
      </c>
      <c r="CS14" s="67">
        <f t="shared" si="38"/>
        <v>6</v>
      </c>
      <c r="CT14" s="75">
        <v>2130</v>
      </c>
      <c r="CU14" s="67">
        <f t="shared" si="38"/>
        <v>13</v>
      </c>
      <c r="CV14" s="68">
        <v>5402</v>
      </c>
      <c r="CW14" s="67">
        <f t="shared" si="38"/>
        <v>32</v>
      </c>
    </row>
    <row r="15" spans="1:102" ht="25.5" customHeight="1" thickBot="1" x14ac:dyDescent="0.45">
      <c r="A15" s="63">
        <v>44024</v>
      </c>
      <c r="B15" s="44"/>
      <c r="C15" s="58">
        <v>1.7418</v>
      </c>
      <c r="D15" s="64">
        <f t="shared" si="0"/>
        <v>499.99999999994492</v>
      </c>
      <c r="E15" s="58">
        <v>2.7343999999999999</v>
      </c>
      <c r="F15" s="64">
        <f t="shared" si="1"/>
        <v>599.99999999993395</v>
      </c>
      <c r="G15" s="58">
        <v>2.6173999999999999</v>
      </c>
      <c r="H15" s="64">
        <f t="shared" si="2"/>
        <v>1100.000000000101</v>
      </c>
      <c r="I15" s="58">
        <v>1.2678</v>
      </c>
      <c r="J15" s="64">
        <f t="shared" si="3"/>
        <v>700.00000000014495</v>
      </c>
      <c r="K15" s="58">
        <v>1.976</v>
      </c>
      <c r="L15" s="64">
        <f t="shared" si="4"/>
        <v>1500.0000000000568</v>
      </c>
      <c r="M15" s="58">
        <v>1.2190000000000001</v>
      </c>
      <c r="N15" s="64">
        <f t="shared" si="5"/>
        <v>400.00000000017798</v>
      </c>
      <c r="O15" s="58">
        <v>12605</v>
      </c>
      <c r="P15" s="67">
        <f t="shared" si="44"/>
        <v>3</v>
      </c>
      <c r="Q15" s="58">
        <v>5572</v>
      </c>
      <c r="R15" s="67">
        <f t="shared" si="6"/>
        <v>3</v>
      </c>
      <c r="S15" s="58">
        <v>838534.3</v>
      </c>
      <c r="T15" s="67">
        <f t="shared" si="7"/>
        <v>90.900000000023283</v>
      </c>
      <c r="U15" s="58">
        <v>341822.4</v>
      </c>
      <c r="V15" s="67">
        <f t="shared" si="8"/>
        <v>44.100000000034925</v>
      </c>
      <c r="W15" s="58">
        <v>335.38</v>
      </c>
      <c r="X15" s="65">
        <f t="shared" si="9"/>
        <v>60.000000000002274</v>
      </c>
      <c r="Y15" s="58">
        <v>2.4077999999999999</v>
      </c>
      <c r="Z15" s="65">
        <f t="shared" si="10"/>
        <v>399.99999999995595</v>
      </c>
      <c r="AA15" s="58">
        <v>329.45</v>
      </c>
      <c r="AB15" s="65">
        <f t="shared" si="11"/>
        <v>50.000000000011369</v>
      </c>
      <c r="AC15" s="58">
        <v>312.76</v>
      </c>
      <c r="AD15" s="65">
        <f t="shared" si="12"/>
        <v>110.00000000001364</v>
      </c>
      <c r="AE15" s="58">
        <v>489.39</v>
      </c>
      <c r="AF15" s="65">
        <f t="shared" si="13"/>
        <v>129.99999999999545</v>
      </c>
      <c r="AG15" s="58">
        <v>1284.2</v>
      </c>
      <c r="AH15" s="67">
        <f t="shared" si="14"/>
        <v>1.1000000000001364</v>
      </c>
      <c r="AI15" s="58">
        <v>431.58</v>
      </c>
      <c r="AJ15" s="65">
        <f t="shared" si="15"/>
        <v>169.99999999995907</v>
      </c>
      <c r="AK15" s="58">
        <v>151.78</v>
      </c>
      <c r="AL15" s="65">
        <f t="shared" si="15"/>
        <v>20.000000000010232</v>
      </c>
      <c r="AM15" s="58">
        <v>151.33000000000001</v>
      </c>
      <c r="AN15" s="65">
        <f t="shared" si="15"/>
        <v>30.000000000001137</v>
      </c>
      <c r="AO15" s="58">
        <v>147.71</v>
      </c>
      <c r="AP15" s="65">
        <f t="shared" si="15"/>
        <v>20.000000000010232</v>
      </c>
      <c r="AQ15" s="58">
        <v>218.78</v>
      </c>
      <c r="AR15" s="65">
        <f t="shared" si="16"/>
        <v>9.9999999999909051</v>
      </c>
      <c r="AS15" s="58">
        <v>345.1</v>
      </c>
      <c r="AT15" s="65">
        <f t="shared" si="17"/>
        <v>20.000000000038654</v>
      </c>
      <c r="AU15" s="58">
        <v>266.23</v>
      </c>
      <c r="AV15" s="65">
        <f t="shared" si="18"/>
        <v>20.000000000038654</v>
      </c>
      <c r="AW15" s="58">
        <v>293.75</v>
      </c>
      <c r="AX15" s="65">
        <f t="shared" si="19"/>
        <v>19.99999999998181</v>
      </c>
      <c r="AY15" s="58">
        <v>345.04</v>
      </c>
      <c r="AZ15" s="65">
        <f t="shared" si="20"/>
        <v>10.000000000047748</v>
      </c>
      <c r="BA15" s="58">
        <v>364.81</v>
      </c>
      <c r="BB15" s="65">
        <f t="shared" si="21"/>
        <v>9.9999999999909051</v>
      </c>
      <c r="BC15" s="58">
        <v>231.5</v>
      </c>
      <c r="BD15" s="65">
        <f t="shared" si="22"/>
        <v>20.000000000010232</v>
      </c>
      <c r="BE15" s="59">
        <v>29843</v>
      </c>
      <c r="BF15" s="67">
        <f t="shared" si="39"/>
        <v>18</v>
      </c>
      <c r="BG15" s="60">
        <v>225.29</v>
      </c>
      <c r="BH15" s="65">
        <f t="shared" si="23"/>
        <v>9.9999999999909051</v>
      </c>
      <c r="BI15" s="60">
        <v>283.17</v>
      </c>
      <c r="BJ15" s="65">
        <f t="shared" si="40"/>
        <v>9.9999999999909051</v>
      </c>
      <c r="BK15" s="60">
        <v>230.74</v>
      </c>
      <c r="BL15" s="65">
        <f t="shared" si="24"/>
        <v>0</v>
      </c>
      <c r="BM15" s="60">
        <v>214.25</v>
      </c>
      <c r="BN15" s="65">
        <f t="shared" si="25"/>
        <v>9.9999999999909051</v>
      </c>
      <c r="BO15" s="60">
        <v>279.08999999999997</v>
      </c>
      <c r="BP15" s="65">
        <f t="shared" si="26"/>
        <v>19.99999999998181</v>
      </c>
      <c r="BQ15" s="60">
        <v>39160</v>
      </c>
      <c r="BR15" s="65">
        <f t="shared" si="27"/>
        <v>13</v>
      </c>
      <c r="BS15" s="60">
        <v>193.51</v>
      </c>
      <c r="BT15" s="65">
        <f t="shared" si="43"/>
        <v>0</v>
      </c>
      <c r="BU15" s="60">
        <v>30333</v>
      </c>
      <c r="BV15" s="65">
        <f t="shared" si="29"/>
        <v>28</v>
      </c>
      <c r="BW15" s="60">
        <v>224.3</v>
      </c>
      <c r="BX15" s="65">
        <f t="shared" si="30"/>
        <v>20.000000000010232</v>
      </c>
      <c r="BY15" s="60">
        <v>49254</v>
      </c>
      <c r="BZ15" s="67">
        <f t="shared" si="31"/>
        <v>12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47508.2</v>
      </c>
      <c r="CH15" s="67">
        <f t="shared" si="35"/>
        <v>36.299999999995634</v>
      </c>
      <c r="CI15" s="60">
        <v>864756</v>
      </c>
      <c r="CJ15" s="67">
        <f t="shared" si="36"/>
        <v>174</v>
      </c>
      <c r="CK15" s="60">
        <v>583.29</v>
      </c>
      <c r="CL15" s="64">
        <f t="shared" si="37"/>
        <v>240.00000000000909</v>
      </c>
      <c r="CM15" s="65">
        <f t="shared" si="41"/>
        <v>8</v>
      </c>
      <c r="CN15" s="62">
        <v>0</v>
      </c>
      <c r="CO15" s="62">
        <v>0</v>
      </c>
      <c r="CP15" s="68">
        <v>60.2</v>
      </c>
      <c r="CQ15" s="67">
        <f t="shared" si="38"/>
        <v>4</v>
      </c>
      <c r="CR15" s="68">
        <v>9661</v>
      </c>
      <c r="CS15" s="67">
        <f t="shared" si="38"/>
        <v>4</v>
      </c>
      <c r="CT15" s="75">
        <v>2140</v>
      </c>
      <c r="CU15" s="67">
        <f t="shared" si="38"/>
        <v>10</v>
      </c>
      <c r="CV15" s="68">
        <v>5420</v>
      </c>
      <c r="CW15" s="67">
        <f t="shared" si="38"/>
        <v>18</v>
      </c>
    </row>
    <row r="16" spans="1:102" ht="25.5" customHeight="1" thickBot="1" x14ac:dyDescent="0.45">
      <c r="A16" s="63">
        <v>44025</v>
      </c>
      <c r="B16" s="44"/>
      <c r="C16" s="58">
        <v>1.7423999999999999</v>
      </c>
      <c r="D16" s="64">
        <f t="shared" si="0"/>
        <v>599.99999999993395</v>
      </c>
      <c r="E16" s="58">
        <v>2.7349999999999999</v>
      </c>
      <c r="F16" s="64">
        <f t="shared" si="1"/>
        <v>599.99999999993395</v>
      </c>
      <c r="G16" s="58">
        <v>2.6187999999999998</v>
      </c>
      <c r="H16" s="64">
        <f t="shared" si="2"/>
        <v>1399.9999999998458</v>
      </c>
      <c r="I16" s="58">
        <v>1.2684</v>
      </c>
      <c r="J16" s="64">
        <f t="shared" si="3"/>
        <v>599.99999999993395</v>
      </c>
      <c r="K16" s="58">
        <v>1.9776</v>
      </c>
      <c r="L16" s="64">
        <f t="shared" si="4"/>
        <v>1600.0000000000459</v>
      </c>
      <c r="M16" s="58">
        <v>1.2194</v>
      </c>
      <c r="N16" s="64">
        <f t="shared" si="5"/>
        <v>399.99999999995595</v>
      </c>
      <c r="O16" s="58">
        <v>12605</v>
      </c>
      <c r="P16" s="67">
        <f t="shared" si="44"/>
        <v>0</v>
      </c>
      <c r="Q16" s="58">
        <v>5575</v>
      </c>
      <c r="R16" s="67">
        <f t="shared" si="6"/>
        <v>3</v>
      </c>
      <c r="S16" s="58">
        <v>838687.6</v>
      </c>
      <c r="T16" s="67">
        <f t="shared" si="7"/>
        <v>153.29999999993015</v>
      </c>
      <c r="U16" s="58">
        <v>341893</v>
      </c>
      <c r="V16" s="67">
        <f t="shared" si="8"/>
        <v>70.599999999976717</v>
      </c>
      <c r="W16" s="58">
        <v>335.48</v>
      </c>
      <c r="X16" s="65">
        <f t="shared" si="9"/>
        <v>100.00000000002274</v>
      </c>
      <c r="Y16" s="58">
        <v>2.4081999999999999</v>
      </c>
      <c r="Z16" s="65">
        <f t="shared" si="10"/>
        <v>399.99999999995595</v>
      </c>
      <c r="AA16" s="58">
        <v>329.49</v>
      </c>
      <c r="AB16" s="65">
        <f t="shared" si="11"/>
        <v>40.000000000020464</v>
      </c>
      <c r="AC16" s="58">
        <v>312.85000000000002</v>
      </c>
      <c r="AD16" s="65">
        <f t="shared" si="12"/>
        <v>90.000000000031832</v>
      </c>
      <c r="AE16" s="58">
        <v>489.53</v>
      </c>
      <c r="AF16" s="65">
        <f t="shared" si="13"/>
        <v>139.99999999998636</v>
      </c>
      <c r="AG16" s="58">
        <v>1285.2</v>
      </c>
      <c r="AH16" s="67">
        <f t="shared" si="14"/>
        <v>1</v>
      </c>
      <c r="AI16" s="58">
        <v>431.76</v>
      </c>
      <c r="AJ16" s="65">
        <f t="shared" si="15"/>
        <v>180.00000000000682</v>
      </c>
      <c r="AK16" s="58">
        <v>151.82</v>
      </c>
      <c r="AL16" s="65">
        <f t="shared" si="15"/>
        <v>39.999999999992042</v>
      </c>
      <c r="AM16" s="58">
        <v>151.37</v>
      </c>
      <c r="AN16" s="65">
        <f t="shared" si="15"/>
        <v>39.999999999992042</v>
      </c>
      <c r="AO16" s="58">
        <v>147.74</v>
      </c>
      <c r="AP16" s="65">
        <f t="shared" si="15"/>
        <v>30.000000000001137</v>
      </c>
      <c r="AQ16" s="58">
        <v>218.8</v>
      </c>
      <c r="AR16" s="65">
        <f t="shared" si="16"/>
        <v>20.000000000010232</v>
      </c>
      <c r="AS16" s="58">
        <v>345.12</v>
      </c>
      <c r="AT16" s="65">
        <f t="shared" si="17"/>
        <v>19.99999999998181</v>
      </c>
      <c r="AU16" s="58">
        <v>266.25</v>
      </c>
      <c r="AV16" s="65">
        <f t="shared" si="18"/>
        <v>19.99999999998181</v>
      </c>
      <c r="AW16" s="58">
        <v>293.77</v>
      </c>
      <c r="AX16" s="65">
        <f t="shared" si="19"/>
        <v>19.99999999998181</v>
      </c>
      <c r="AY16" s="58">
        <v>345.06</v>
      </c>
      <c r="AZ16" s="65">
        <f t="shared" si="20"/>
        <v>19.99999999998181</v>
      </c>
      <c r="BA16" s="58">
        <v>364.82</v>
      </c>
      <c r="BB16" s="65">
        <f t="shared" si="21"/>
        <v>9.9999999999909051</v>
      </c>
      <c r="BC16" s="58">
        <v>231.51</v>
      </c>
      <c r="BD16" s="65">
        <f t="shared" si="22"/>
        <v>9.9999999999909051</v>
      </c>
      <c r="BE16" s="59">
        <v>29868</v>
      </c>
      <c r="BF16" s="67">
        <f t="shared" si="39"/>
        <v>25</v>
      </c>
      <c r="BG16" s="60">
        <v>225.3</v>
      </c>
      <c r="BH16" s="65">
        <f t="shared" si="23"/>
        <v>10.000000000019327</v>
      </c>
      <c r="BI16" s="60">
        <v>283.18</v>
      </c>
      <c r="BJ16" s="65">
        <f t="shared" si="40"/>
        <v>9.9999999999909051</v>
      </c>
      <c r="BK16" s="60">
        <v>230.74</v>
      </c>
      <c r="BL16" s="65">
        <f t="shared" si="24"/>
        <v>0</v>
      </c>
      <c r="BM16" s="60">
        <v>214.26</v>
      </c>
      <c r="BN16" s="65">
        <f t="shared" si="25"/>
        <v>9.9999999999909051</v>
      </c>
      <c r="BO16" s="60">
        <v>279.11</v>
      </c>
      <c r="BP16" s="65">
        <f t="shared" si="26"/>
        <v>20.000000000038654</v>
      </c>
      <c r="BQ16" s="60">
        <v>39171</v>
      </c>
      <c r="BR16" s="65">
        <f t="shared" si="27"/>
        <v>11</v>
      </c>
      <c r="BS16" s="60">
        <v>193.52</v>
      </c>
      <c r="BT16" s="65">
        <f t="shared" si="43"/>
        <v>10.000000000019327</v>
      </c>
      <c r="BU16" s="60">
        <v>30356</v>
      </c>
      <c r="BV16" s="65">
        <f t="shared" si="29"/>
        <v>23</v>
      </c>
      <c r="BW16" s="60">
        <v>224.31</v>
      </c>
      <c r="BX16" s="65">
        <f t="shared" si="30"/>
        <v>9.9999999999909051</v>
      </c>
      <c r="BY16" s="60">
        <v>49265</v>
      </c>
      <c r="BZ16" s="67">
        <f t="shared" si="31"/>
        <v>11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47532.9</v>
      </c>
      <c r="CH16" s="67">
        <f t="shared" si="35"/>
        <v>24.700000000004366</v>
      </c>
      <c r="CI16" s="60">
        <v>864941</v>
      </c>
      <c r="CJ16" s="67">
        <f t="shared" si="36"/>
        <v>185</v>
      </c>
      <c r="CK16" s="60">
        <v>583.66999999999996</v>
      </c>
      <c r="CL16" s="64">
        <f t="shared" si="37"/>
        <v>379.99999999999545</v>
      </c>
      <c r="CM16" s="65">
        <f t="shared" si="41"/>
        <v>28.099999999999994</v>
      </c>
      <c r="CN16" s="62">
        <v>0</v>
      </c>
      <c r="CO16" s="62">
        <v>0</v>
      </c>
      <c r="CP16" s="68">
        <v>75.3</v>
      </c>
      <c r="CQ16" s="67">
        <f t="shared" si="38"/>
        <v>15.099999999999994</v>
      </c>
      <c r="CR16" s="68">
        <v>9674</v>
      </c>
      <c r="CS16" s="67">
        <f t="shared" si="38"/>
        <v>13</v>
      </c>
      <c r="CT16" s="75">
        <v>2151</v>
      </c>
      <c r="CU16" s="67">
        <f t="shared" si="38"/>
        <v>11</v>
      </c>
      <c r="CV16" s="68">
        <v>5442</v>
      </c>
      <c r="CW16" s="67">
        <f t="shared" si="38"/>
        <v>22</v>
      </c>
    </row>
    <row r="17" spans="1:101" ht="25.5" customHeight="1" thickBot="1" x14ac:dyDescent="0.45">
      <c r="A17" s="63">
        <v>44026</v>
      </c>
      <c r="B17" s="44"/>
      <c r="C17" s="58">
        <v>1.7430000000000001</v>
      </c>
      <c r="D17" s="64">
        <f t="shared" si="0"/>
        <v>600.00000000015598</v>
      </c>
      <c r="E17" s="58">
        <v>2.7353999999999998</v>
      </c>
      <c r="F17" s="64">
        <f t="shared" si="1"/>
        <v>399.99999999995595</v>
      </c>
      <c r="G17" s="58">
        <v>2.6202000000000001</v>
      </c>
      <c r="H17" s="64">
        <f t="shared" si="2"/>
        <v>1400.0000000002899</v>
      </c>
      <c r="I17" s="58">
        <v>1.2689999999999999</v>
      </c>
      <c r="J17" s="64">
        <f t="shared" si="3"/>
        <v>599.99999999993395</v>
      </c>
      <c r="K17" s="58">
        <v>1.9791000000000001</v>
      </c>
      <c r="L17" s="64">
        <f t="shared" si="4"/>
        <v>1500.0000000000568</v>
      </c>
      <c r="M17" s="58">
        <v>1.2198</v>
      </c>
      <c r="N17" s="64">
        <f t="shared" si="5"/>
        <v>399.99999999995595</v>
      </c>
      <c r="O17" s="58">
        <v>12606</v>
      </c>
      <c r="P17" s="67">
        <f t="shared" si="44"/>
        <v>1</v>
      </c>
      <c r="Q17" s="58">
        <v>5577</v>
      </c>
      <c r="R17" s="67">
        <f t="shared" si="6"/>
        <v>2</v>
      </c>
      <c r="S17" s="58">
        <v>838769.2</v>
      </c>
      <c r="T17" s="67">
        <f t="shared" si="7"/>
        <v>81.599999999976717</v>
      </c>
      <c r="U17" s="58">
        <v>341935.2</v>
      </c>
      <c r="V17" s="67">
        <f t="shared" si="8"/>
        <v>42.200000000011642</v>
      </c>
      <c r="W17" s="58">
        <v>335.55</v>
      </c>
      <c r="X17" s="65">
        <f t="shared" si="9"/>
        <v>69.999999999993179</v>
      </c>
      <c r="Y17" s="58">
        <v>2.4085000000000001</v>
      </c>
      <c r="Z17" s="65">
        <f t="shared" si="10"/>
        <v>300.000000000189</v>
      </c>
      <c r="AA17" s="58">
        <v>329.54</v>
      </c>
      <c r="AB17" s="65">
        <f t="shared" si="11"/>
        <v>50.000000000011369</v>
      </c>
      <c r="AC17" s="58">
        <v>312.93</v>
      </c>
      <c r="AD17" s="65">
        <f t="shared" si="12"/>
        <v>79.999999999984084</v>
      </c>
      <c r="AE17" s="58">
        <v>489.69</v>
      </c>
      <c r="AF17" s="65">
        <f t="shared" si="13"/>
        <v>160.00000000002501</v>
      </c>
      <c r="AG17" s="58">
        <v>1286</v>
      </c>
      <c r="AH17" s="67">
        <f t="shared" si="14"/>
        <v>0.79999999999995453</v>
      </c>
      <c r="AI17" s="58">
        <v>431.93</v>
      </c>
      <c r="AJ17" s="65">
        <f t="shared" si="15"/>
        <v>170.00000000001592</v>
      </c>
      <c r="AK17" s="58">
        <v>151.84</v>
      </c>
      <c r="AL17" s="65">
        <f t="shared" si="15"/>
        <v>20.000000000010232</v>
      </c>
      <c r="AM17" s="58">
        <v>151.4</v>
      </c>
      <c r="AN17" s="65">
        <f t="shared" si="15"/>
        <v>30.000000000001137</v>
      </c>
      <c r="AO17" s="58">
        <v>147.76</v>
      </c>
      <c r="AP17" s="65">
        <f t="shared" si="15"/>
        <v>19.99999999998181</v>
      </c>
      <c r="AQ17" s="58">
        <v>218.82</v>
      </c>
      <c r="AR17" s="65">
        <f t="shared" si="16"/>
        <v>19.99999999998181</v>
      </c>
      <c r="AS17" s="58">
        <v>345.14</v>
      </c>
      <c r="AT17" s="65">
        <f t="shared" si="17"/>
        <v>19.99999999998181</v>
      </c>
      <c r="AU17" s="58">
        <v>266.26</v>
      </c>
      <c r="AV17" s="65">
        <f t="shared" si="18"/>
        <v>9.9999999999909051</v>
      </c>
      <c r="AW17" s="58">
        <v>293.77999999999997</v>
      </c>
      <c r="AX17" s="65">
        <f t="shared" si="19"/>
        <v>9.9999999999909051</v>
      </c>
      <c r="AY17" s="58">
        <v>345.08</v>
      </c>
      <c r="AZ17" s="65">
        <f t="shared" si="20"/>
        <v>19.99999999998181</v>
      </c>
      <c r="BA17" s="58">
        <v>364.83</v>
      </c>
      <c r="BB17" s="65">
        <f t="shared" si="21"/>
        <v>9.9999999999909051</v>
      </c>
      <c r="BC17" s="58">
        <v>231.53</v>
      </c>
      <c r="BD17" s="65">
        <f t="shared" si="22"/>
        <v>20.000000000010232</v>
      </c>
      <c r="BE17" s="59">
        <v>29883</v>
      </c>
      <c r="BF17" s="67">
        <f t="shared" si="39"/>
        <v>15</v>
      </c>
      <c r="BG17" s="60">
        <v>225.31</v>
      </c>
      <c r="BH17" s="65">
        <f t="shared" si="23"/>
        <v>9.9999999999909051</v>
      </c>
      <c r="BI17" s="60">
        <v>283.19</v>
      </c>
      <c r="BJ17" s="65">
        <f t="shared" si="40"/>
        <v>9.9999999999909051</v>
      </c>
      <c r="BK17" s="60">
        <v>230.74</v>
      </c>
      <c r="BL17" s="65">
        <f t="shared" si="24"/>
        <v>0</v>
      </c>
      <c r="BM17" s="60">
        <v>214.27</v>
      </c>
      <c r="BN17" s="65">
        <f t="shared" si="25"/>
        <v>10.000000000019327</v>
      </c>
      <c r="BO17" s="60">
        <v>279.12</v>
      </c>
      <c r="BP17" s="65">
        <f t="shared" si="26"/>
        <v>9.9999999999909051</v>
      </c>
      <c r="BQ17" s="60">
        <v>39180</v>
      </c>
      <c r="BR17" s="65">
        <f t="shared" si="27"/>
        <v>9</v>
      </c>
      <c r="BS17" s="60">
        <v>193.52</v>
      </c>
      <c r="BT17" s="65">
        <f t="shared" si="43"/>
        <v>0</v>
      </c>
      <c r="BU17" s="60">
        <v>30375</v>
      </c>
      <c r="BV17" s="65">
        <f t="shared" si="29"/>
        <v>19</v>
      </c>
      <c r="BW17" s="60">
        <v>224.32</v>
      </c>
      <c r="BX17" s="65">
        <f t="shared" si="30"/>
        <v>9.9999999999909051</v>
      </c>
      <c r="BY17" s="60">
        <v>49271</v>
      </c>
      <c r="BZ17" s="67">
        <f t="shared" si="31"/>
        <v>6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47598.7</v>
      </c>
      <c r="CH17" s="67">
        <f t="shared" si="35"/>
        <v>65.799999999995634</v>
      </c>
      <c r="CI17" s="60">
        <v>865121</v>
      </c>
      <c r="CJ17" s="67">
        <f t="shared" si="36"/>
        <v>180</v>
      </c>
      <c r="CK17" s="60">
        <v>584.03</v>
      </c>
      <c r="CL17" s="64">
        <f t="shared" si="37"/>
        <v>360.00000000001364</v>
      </c>
      <c r="CM17" s="65">
        <f t="shared" si="41"/>
        <v>17.900000000000006</v>
      </c>
      <c r="CN17" s="62">
        <v>0</v>
      </c>
      <c r="CO17" s="62">
        <v>0</v>
      </c>
      <c r="CP17" s="68">
        <v>90.2</v>
      </c>
      <c r="CQ17" s="67">
        <f t="shared" si="38"/>
        <v>14.900000000000006</v>
      </c>
      <c r="CR17" s="68">
        <v>9677</v>
      </c>
      <c r="CS17" s="67">
        <f t="shared" si="38"/>
        <v>3</v>
      </c>
      <c r="CT17" s="75">
        <v>2162</v>
      </c>
      <c r="CU17" s="67">
        <f t="shared" si="38"/>
        <v>11</v>
      </c>
      <c r="CV17" s="68">
        <v>5462</v>
      </c>
      <c r="CW17" s="67">
        <f t="shared" si="38"/>
        <v>20</v>
      </c>
    </row>
    <row r="18" spans="1:101" ht="25.5" customHeight="1" thickBot="1" x14ac:dyDescent="0.45">
      <c r="A18" s="63">
        <v>44027</v>
      </c>
      <c r="B18" s="44"/>
      <c r="C18" s="58">
        <v>1.7436</v>
      </c>
      <c r="D18" s="64">
        <f t="shared" si="0"/>
        <v>599.99999999993395</v>
      </c>
      <c r="E18" s="58">
        <v>2.7360000000000002</v>
      </c>
      <c r="F18" s="64">
        <f t="shared" si="1"/>
        <v>600.00000000037801</v>
      </c>
      <c r="G18" s="58">
        <v>2.6215999999999999</v>
      </c>
      <c r="H18" s="64">
        <f t="shared" si="2"/>
        <v>1399.9999999998458</v>
      </c>
      <c r="I18" s="58">
        <v>1.2698</v>
      </c>
      <c r="J18" s="64">
        <f t="shared" si="3"/>
        <v>800.00000000013392</v>
      </c>
      <c r="K18" s="58">
        <v>1.9809000000000001</v>
      </c>
      <c r="L18" s="64">
        <f t="shared" si="4"/>
        <v>1800.0000000000239</v>
      </c>
      <c r="M18" s="58">
        <v>1.2202999999999999</v>
      </c>
      <c r="N18" s="64">
        <f t="shared" si="5"/>
        <v>499.99999999994492</v>
      </c>
      <c r="O18" s="58">
        <v>12606</v>
      </c>
      <c r="P18" s="67">
        <f t="shared" si="44"/>
        <v>0</v>
      </c>
      <c r="Q18" s="58">
        <v>5580</v>
      </c>
      <c r="R18" s="67">
        <f t="shared" si="6"/>
        <v>3</v>
      </c>
      <c r="S18" s="58">
        <v>839016.2</v>
      </c>
      <c r="T18" s="67">
        <f t="shared" si="7"/>
        <v>247</v>
      </c>
      <c r="U18" s="58">
        <v>342038.6</v>
      </c>
      <c r="V18" s="67">
        <f t="shared" si="8"/>
        <v>103.39999999996508</v>
      </c>
      <c r="W18" s="58">
        <v>335.65</v>
      </c>
      <c r="X18" s="65">
        <f t="shared" si="9"/>
        <v>99.999999999965894</v>
      </c>
      <c r="Y18" s="58">
        <v>2.4089</v>
      </c>
      <c r="Z18" s="65">
        <f t="shared" si="10"/>
        <v>399.99999999995595</v>
      </c>
      <c r="AA18" s="58">
        <v>329.6</v>
      </c>
      <c r="AB18" s="65">
        <f t="shared" si="11"/>
        <v>60.000000000002274</v>
      </c>
      <c r="AC18" s="58">
        <v>313.05</v>
      </c>
      <c r="AD18" s="65">
        <f t="shared" si="12"/>
        <v>120.00000000000455</v>
      </c>
      <c r="AE18" s="58">
        <v>489.84</v>
      </c>
      <c r="AF18" s="65">
        <f t="shared" si="13"/>
        <v>149.99999999997726</v>
      </c>
      <c r="AG18" s="58">
        <v>1287.4000000000001</v>
      </c>
      <c r="AH18" s="67">
        <f t="shared" si="14"/>
        <v>1.4000000000000909</v>
      </c>
      <c r="AI18" s="58">
        <v>432.11</v>
      </c>
      <c r="AJ18" s="65">
        <f t="shared" si="15"/>
        <v>180.00000000000682</v>
      </c>
      <c r="AK18" s="58">
        <v>151.88999999999999</v>
      </c>
      <c r="AL18" s="65">
        <f t="shared" si="15"/>
        <v>49.999999999982947</v>
      </c>
      <c r="AM18" s="58">
        <v>151.43</v>
      </c>
      <c r="AN18" s="65">
        <f t="shared" si="15"/>
        <v>30.000000000001137</v>
      </c>
      <c r="AO18" s="58">
        <v>147.79</v>
      </c>
      <c r="AP18" s="65">
        <f t="shared" si="15"/>
        <v>30.000000000001137</v>
      </c>
      <c r="AQ18" s="58">
        <v>218.84</v>
      </c>
      <c r="AR18" s="65">
        <f t="shared" si="16"/>
        <v>20.000000000010232</v>
      </c>
      <c r="AS18" s="58">
        <v>345.16</v>
      </c>
      <c r="AT18" s="65">
        <f t="shared" si="17"/>
        <v>20.000000000038654</v>
      </c>
      <c r="AU18" s="58">
        <v>266.27999999999997</v>
      </c>
      <c r="AV18" s="65">
        <f t="shared" si="18"/>
        <v>19.99999999998181</v>
      </c>
      <c r="AW18" s="58">
        <v>293.8</v>
      </c>
      <c r="AX18" s="65">
        <f t="shared" si="19"/>
        <v>20.000000000038654</v>
      </c>
      <c r="AY18" s="58">
        <v>345.1</v>
      </c>
      <c r="AZ18" s="65">
        <f t="shared" si="20"/>
        <v>20.000000000038654</v>
      </c>
      <c r="BA18" s="58">
        <v>364.85</v>
      </c>
      <c r="BB18" s="65">
        <f t="shared" si="21"/>
        <v>20.000000000038654</v>
      </c>
      <c r="BC18" s="58">
        <v>231.55</v>
      </c>
      <c r="BD18" s="65">
        <f t="shared" si="22"/>
        <v>20.000000000010232</v>
      </c>
      <c r="BE18" s="59">
        <v>29906</v>
      </c>
      <c r="BF18" s="67">
        <f t="shared" si="39"/>
        <v>23</v>
      </c>
      <c r="BG18" s="60">
        <v>225.32</v>
      </c>
      <c r="BH18" s="65">
        <f t="shared" si="23"/>
        <v>9.9999999999909051</v>
      </c>
      <c r="BI18" s="60">
        <v>283.2</v>
      </c>
      <c r="BJ18" s="65">
        <f t="shared" si="40"/>
        <v>9.9999999999909051</v>
      </c>
      <c r="BK18" s="60">
        <v>230.75</v>
      </c>
      <c r="BL18" s="65">
        <f t="shared" si="24"/>
        <v>9.9999999999909051</v>
      </c>
      <c r="BM18" s="60">
        <v>214.28</v>
      </c>
      <c r="BN18" s="65">
        <f t="shared" si="25"/>
        <v>9.9999999999909051</v>
      </c>
      <c r="BO18" s="60">
        <v>279.14</v>
      </c>
      <c r="BP18" s="65">
        <f t="shared" si="26"/>
        <v>19.99999999998181</v>
      </c>
      <c r="BQ18" s="60">
        <v>39193</v>
      </c>
      <c r="BR18" s="65">
        <f t="shared" si="27"/>
        <v>13</v>
      </c>
      <c r="BS18" s="60">
        <v>193.52</v>
      </c>
      <c r="BT18" s="65">
        <f t="shared" si="43"/>
        <v>0</v>
      </c>
      <c r="BU18" s="60">
        <v>30400</v>
      </c>
      <c r="BV18" s="65">
        <f t="shared" si="29"/>
        <v>25</v>
      </c>
      <c r="BW18" s="60">
        <v>224.33</v>
      </c>
      <c r="BX18" s="65">
        <f t="shared" si="30"/>
        <v>10.000000000019327</v>
      </c>
      <c r="BY18" s="60">
        <v>49283</v>
      </c>
      <c r="BZ18" s="67">
        <f t="shared" si="31"/>
        <v>12</v>
      </c>
      <c r="CA18" s="60">
        <v>27508.400000000001</v>
      </c>
      <c r="CB18" s="67">
        <f t="shared" si="32"/>
        <v>0</v>
      </c>
      <c r="CC18" s="60">
        <v>11251.4</v>
      </c>
      <c r="CD18" s="67">
        <f t="shared" si="33"/>
        <v>0</v>
      </c>
      <c r="CE18" s="60">
        <v>5488.9</v>
      </c>
      <c r="CF18" s="67">
        <f t="shared" si="34"/>
        <v>0</v>
      </c>
      <c r="CG18" s="60">
        <v>47640.3</v>
      </c>
      <c r="CH18" s="67">
        <f t="shared" si="35"/>
        <v>41.600000000005821</v>
      </c>
      <c r="CI18" s="60">
        <v>865310</v>
      </c>
      <c r="CJ18" s="67">
        <f t="shared" si="36"/>
        <v>189</v>
      </c>
      <c r="CK18" s="60">
        <v>584.41</v>
      </c>
      <c r="CL18" s="64">
        <f t="shared" si="37"/>
        <v>379.99999999999545</v>
      </c>
      <c r="CM18" s="65">
        <f t="shared" si="41"/>
        <v>31.099999999999994</v>
      </c>
      <c r="CN18" s="62">
        <v>0</v>
      </c>
      <c r="CO18" s="62">
        <v>0</v>
      </c>
      <c r="CP18" s="68">
        <v>104.3</v>
      </c>
      <c r="CQ18" s="67">
        <f t="shared" si="38"/>
        <v>14.099999999999994</v>
      </c>
      <c r="CR18" s="68">
        <v>9694</v>
      </c>
      <c r="CS18" s="67">
        <f t="shared" si="38"/>
        <v>17</v>
      </c>
      <c r="CT18" s="75">
        <v>2175</v>
      </c>
      <c r="CU18" s="67">
        <f t="shared" si="38"/>
        <v>13</v>
      </c>
      <c r="CV18" s="68">
        <v>5486</v>
      </c>
      <c r="CW18" s="67">
        <f t="shared" si="38"/>
        <v>24</v>
      </c>
    </row>
    <row r="19" spans="1:101" ht="25.5" customHeight="1" thickBot="1" x14ac:dyDescent="0.45">
      <c r="A19" s="63">
        <v>44028</v>
      </c>
      <c r="B19" s="44"/>
      <c r="C19" s="58">
        <v>1.7442</v>
      </c>
      <c r="D19" s="64">
        <f t="shared" si="0"/>
        <v>599.99999999993395</v>
      </c>
      <c r="E19" s="58">
        <v>2.7364999999999999</v>
      </c>
      <c r="F19" s="64">
        <f t="shared" si="1"/>
        <v>499.99999999972289</v>
      </c>
      <c r="G19" s="58">
        <v>2.6231</v>
      </c>
      <c r="H19" s="64">
        <f t="shared" si="2"/>
        <v>1500.0000000000568</v>
      </c>
      <c r="I19" s="58">
        <v>1.2704</v>
      </c>
      <c r="J19" s="64">
        <f t="shared" si="3"/>
        <v>599.99999999993395</v>
      </c>
      <c r="K19" s="58">
        <v>1.9824999999999999</v>
      </c>
      <c r="L19" s="64">
        <f t="shared" si="4"/>
        <v>1599.9999999998238</v>
      </c>
      <c r="M19" s="58">
        <v>1.2206999999999999</v>
      </c>
      <c r="N19" s="64">
        <f t="shared" si="5"/>
        <v>399.99999999995595</v>
      </c>
      <c r="O19" s="58">
        <v>12607</v>
      </c>
      <c r="P19" s="67">
        <f t="shared" si="44"/>
        <v>1</v>
      </c>
      <c r="Q19" s="58">
        <v>5582</v>
      </c>
      <c r="R19" s="67">
        <f t="shared" si="6"/>
        <v>2</v>
      </c>
      <c r="S19" s="58">
        <v>839226.6</v>
      </c>
      <c r="T19" s="67">
        <f t="shared" si="7"/>
        <v>210.40000000002328</v>
      </c>
      <c r="U19" s="58">
        <v>342119.9</v>
      </c>
      <c r="V19" s="67">
        <f t="shared" si="8"/>
        <v>81.300000000046566</v>
      </c>
      <c r="W19" s="58">
        <v>335.72</v>
      </c>
      <c r="X19" s="65">
        <f t="shared" si="9"/>
        <v>70.000000000050022</v>
      </c>
      <c r="Y19" s="58">
        <v>2.4091999999999998</v>
      </c>
      <c r="Z19" s="65">
        <f t="shared" si="10"/>
        <v>299.99999999974489</v>
      </c>
      <c r="AA19" s="58">
        <v>329.65</v>
      </c>
      <c r="AB19" s="65">
        <f t="shared" si="11"/>
        <v>49.999999999954525</v>
      </c>
      <c r="AC19" s="58">
        <v>313.12</v>
      </c>
      <c r="AD19" s="65">
        <f t="shared" si="12"/>
        <v>69.999999999993179</v>
      </c>
      <c r="AE19" s="58">
        <v>490.01</v>
      </c>
      <c r="AF19" s="65">
        <f t="shared" si="13"/>
        <v>170.00000000001592</v>
      </c>
      <c r="AG19" s="58">
        <v>1288.3</v>
      </c>
      <c r="AH19" s="67">
        <f t="shared" si="14"/>
        <v>0.89999999999986358</v>
      </c>
      <c r="AI19" s="58">
        <v>432.31</v>
      </c>
      <c r="AJ19" s="65">
        <f t="shared" si="15"/>
        <v>199.99999999998863</v>
      </c>
      <c r="AK19" s="58">
        <v>151.91</v>
      </c>
      <c r="AL19" s="65">
        <f t="shared" si="15"/>
        <v>20.000000000010232</v>
      </c>
      <c r="AM19" s="58">
        <v>151.49</v>
      </c>
      <c r="AN19" s="65">
        <f t="shared" si="15"/>
        <v>60.000000000002274</v>
      </c>
      <c r="AO19" s="58">
        <v>147.82</v>
      </c>
      <c r="AP19" s="65">
        <f t="shared" si="15"/>
        <v>30.000000000001137</v>
      </c>
      <c r="AQ19" s="58">
        <v>218.86</v>
      </c>
      <c r="AR19" s="65">
        <f t="shared" si="16"/>
        <v>20.000000000010232</v>
      </c>
      <c r="AS19" s="58">
        <v>345.18</v>
      </c>
      <c r="AT19" s="65">
        <f t="shared" si="17"/>
        <v>19.99999999998181</v>
      </c>
      <c r="AU19" s="58">
        <v>266.3</v>
      </c>
      <c r="AV19" s="65">
        <f t="shared" si="18"/>
        <v>20.000000000038654</v>
      </c>
      <c r="AW19" s="58">
        <v>293.82</v>
      </c>
      <c r="AX19" s="65">
        <f t="shared" si="19"/>
        <v>19.99999999998181</v>
      </c>
      <c r="AY19" s="58">
        <v>345.11</v>
      </c>
      <c r="AZ19" s="65">
        <f t="shared" si="20"/>
        <v>9.9999999999909051</v>
      </c>
      <c r="BA19" s="58">
        <v>364.86</v>
      </c>
      <c r="BB19" s="65">
        <f t="shared" si="21"/>
        <v>9.9999999999909051</v>
      </c>
      <c r="BC19" s="58">
        <v>231.56</v>
      </c>
      <c r="BD19" s="65">
        <f t="shared" si="22"/>
        <v>9.9999999999909051</v>
      </c>
      <c r="BE19" s="59">
        <v>29925</v>
      </c>
      <c r="BF19" s="67">
        <f t="shared" si="39"/>
        <v>19</v>
      </c>
      <c r="BG19" s="60">
        <v>225.33</v>
      </c>
      <c r="BH19" s="65">
        <f t="shared" si="23"/>
        <v>10.000000000019327</v>
      </c>
      <c r="BI19" s="60">
        <v>283.22000000000003</v>
      </c>
      <c r="BJ19" s="65">
        <f t="shared" si="40"/>
        <v>20.000000000038654</v>
      </c>
      <c r="BK19" s="60">
        <v>230.75</v>
      </c>
      <c r="BL19" s="65">
        <f t="shared" si="24"/>
        <v>0</v>
      </c>
      <c r="BM19" s="60">
        <v>214.29</v>
      </c>
      <c r="BN19" s="65">
        <f t="shared" si="25"/>
        <v>9.9999999999909051</v>
      </c>
      <c r="BO19" s="60">
        <v>279.14999999999998</v>
      </c>
      <c r="BP19" s="65">
        <f t="shared" si="26"/>
        <v>9.9999999999909051</v>
      </c>
      <c r="BQ19" s="60">
        <v>39202</v>
      </c>
      <c r="BR19" s="65">
        <f t="shared" si="27"/>
        <v>9</v>
      </c>
      <c r="BS19" s="60">
        <v>193.52</v>
      </c>
      <c r="BT19" s="65">
        <f t="shared" si="43"/>
        <v>0</v>
      </c>
      <c r="BU19" s="60">
        <v>30419</v>
      </c>
      <c r="BV19" s="65">
        <f t="shared" si="29"/>
        <v>19</v>
      </c>
      <c r="BW19" s="60">
        <v>224.34</v>
      </c>
      <c r="BX19" s="65">
        <f t="shared" si="30"/>
        <v>9.9999999999909051</v>
      </c>
      <c r="BY19" s="60">
        <v>49289</v>
      </c>
      <c r="BZ19" s="67">
        <f t="shared" si="31"/>
        <v>6</v>
      </c>
      <c r="CA19" s="60">
        <v>27508.400000000001</v>
      </c>
      <c r="CB19" s="67">
        <f t="shared" si="32"/>
        <v>0</v>
      </c>
      <c r="CC19" s="60">
        <v>11251.4</v>
      </c>
      <c r="CD19" s="67">
        <f t="shared" si="33"/>
        <v>0</v>
      </c>
      <c r="CE19" s="60">
        <v>5488.9</v>
      </c>
      <c r="CF19" s="67">
        <f t="shared" si="34"/>
        <v>0</v>
      </c>
      <c r="CG19" s="60">
        <v>47676.1</v>
      </c>
      <c r="CH19" s="67">
        <f t="shared" si="35"/>
        <v>35.799999999995634</v>
      </c>
      <c r="CI19" s="60">
        <v>865486</v>
      </c>
      <c r="CJ19" s="67">
        <f t="shared" si="36"/>
        <v>176</v>
      </c>
      <c r="CK19" s="60">
        <v>584.88</v>
      </c>
      <c r="CL19" s="64">
        <f t="shared" si="37"/>
        <v>470.00000000002728</v>
      </c>
      <c r="CM19" s="65">
        <f t="shared" si="41"/>
        <v>89.2</v>
      </c>
      <c r="CN19" s="62">
        <v>0</v>
      </c>
      <c r="CO19" s="62">
        <v>0</v>
      </c>
      <c r="CP19" s="68">
        <v>122.5</v>
      </c>
      <c r="CQ19" s="67">
        <f t="shared" si="38"/>
        <v>18.200000000000003</v>
      </c>
      <c r="CR19" s="68">
        <v>9765</v>
      </c>
      <c r="CS19" s="67">
        <f t="shared" si="38"/>
        <v>71</v>
      </c>
      <c r="CT19" s="75">
        <v>2189</v>
      </c>
      <c r="CU19" s="67">
        <f t="shared" si="38"/>
        <v>14</v>
      </c>
      <c r="CV19" s="68">
        <v>5514</v>
      </c>
      <c r="CW19" s="67">
        <f t="shared" si="38"/>
        <v>28</v>
      </c>
    </row>
    <row r="20" spans="1:101" ht="25.5" customHeight="1" thickBot="1" x14ac:dyDescent="0.45">
      <c r="A20" s="63">
        <v>44029</v>
      </c>
      <c r="B20" s="44"/>
      <c r="C20" s="58"/>
      <c r="D20" s="64" t="str">
        <f t="shared" si="0"/>
        <v>0</v>
      </c>
      <c r="E20" s="58"/>
      <c r="F20" s="64" t="str">
        <f t="shared" si="1"/>
        <v>0</v>
      </c>
      <c r="G20" s="58"/>
      <c r="H20" s="64" t="str">
        <f t="shared" si="2"/>
        <v>0</v>
      </c>
      <c r="I20" s="58"/>
      <c r="J20" s="64" t="str">
        <f t="shared" si="3"/>
        <v>0</v>
      </c>
      <c r="K20" s="58"/>
      <c r="L20" s="64" t="str">
        <f t="shared" si="4"/>
        <v>0</v>
      </c>
      <c r="M20" s="58"/>
      <c r="N20" s="64" t="str">
        <f t="shared" si="5"/>
        <v/>
      </c>
      <c r="O20" s="58"/>
      <c r="P20" s="67" t="str">
        <f t="shared" si="44"/>
        <v/>
      </c>
      <c r="Q20" s="58"/>
      <c r="R20" s="67" t="str">
        <f t="shared" si="6"/>
        <v/>
      </c>
      <c r="S20" s="58"/>
      <c r="T20" s="67" t="str">
        <f t="shared" si="7"/>
        <v/>
      </c>
      <c r="U20" s="58"/>
      <c r="V20" s="67" t="str">
        <f t="shared" si="8"/>
        <v/>
      </c>
      <c r="W20" s="58"/>
      <c r="X20" s="65" t="str">
        <f t="shared" si="9"/>
        <v/>
      </c>
      <c r="Y20" s="58"/>
      <c r="Z20" s="65" t="str">
        <f t="shared" si="10"/>
        <v/>
      </c>
      <c r="AA20" s="58"/>
      <c r="AB20" s="65" t="str">
        <f t="shared" si="11"/>
        <v/>
      </c>
      <c r="AC20" s="58"/>
      <c r="AD20" s="65" t="str">
        <f t="shared" si="12"/>
        <v/>
      </c>
      <c r="AE20" s="58"/>
      <c r="AF20" s="65" t="str">
        <f t="shared" si="13"/>
        <v/>
      </c>
      <c r="AG20" s="58"/>
      <c r="AH20" s="67" t="str">
        <f t="shared" si="14"/>
        <v/>
      </c>
      <c r="AI20" s="58"/>
      <c r="AJ20" s="65" t="str">
        <f t="shared" si="15"/>
        <v/>
      </c>
      <c r="AK20" s="58"/>
      <c r="AL20" s="65" t="str">
        <f t="shared" si="15"/>
        <v/>
      </c>
      <c r="AM20" s="58"/>
      <c r="AN20" s="65" t="str">
        <f t="shared" si="15"/>
        <v/>
      </c>
      <c r="AO20" s="58"/>
      <c r="AP20" s="65" t="str">
        <f t="shared" si="15"/>
        <v/>
      </c>
      <c r="AQ20" s="58"/>
      <c r="AR20" s="65" t="str">
        <f t="shared" si="16"/>
        <v/>
      </c>
      <c r="AS20" s="58"/>
      <c r="AT20" s="65" t="str">
        <f t="shared" si="17"/>
        <v/>
      </c>
      <c r="AU20" s="58"/>
      <c r="AV20" s="65" t="str">
        <f t="shared" si="18"/>
        <v/>
      </c>
      <c r="AW20" s="58"/>
      <c r="AX20" s="65" t="str">
        <f t="shared" si="19"/>
        <v/>
      </c>
      <c r="AY20" s="58"/>
      <c r="AZ20" s="65" t="str">
        <f t="shared" si="20"/>
        <v/>
      </c>
      <c r="BA20" s="58"/>
      <c r="BB20" s="65" t="str">
        <f t="shared" si="21"/>
        <v/>
      </c>
      <c r="BC20" s="58"/>
      <c r="BD20" s="65" t="str">
        <f t="shared" si="22"/>
        <v/>
      </c>
      <c r="BE20" s="59"/>
      <c r="BF20" s="67" t="str">
        <f t="shared" si="39"/>
        <v/>
      </c>
      <c r="BG20" s="60"/>
      <c r="BH20" s="65" t="str">
        <f t="shared" si="23"/>
        <v/>
      </c>
      <c r="BI20" s="60"/>
      <c r="BJ20" s="65" t="str">
        <f t="shared" si="40"/>
        <v/>
      </c>
      <c r="BK20" s="60"/>
      <c r="BL20" s="65" t="str">
        <f t="shared" si="24"/>
        <v/>
      </c>
      <c r="BM20" s="60"/>
      <c r="BN20" s="65" t="str">
        <f t="shared" si="25"/>
        <v/>
      </c>
      <c r="BO20" s="60"/>
      <c r="BP20" s="65" t="str">
        <f t="shared" si="26"/>
        <v/>
      </c>
      <c r="BQ20" s="60"/>
      <c r="BR20" s="65" t="str">
        <f t="shared" si="27"/>
        <v/>
      </c>
      <c r="BS20" s="60"/>
      <c r="BT20" s="65" t="str">
        <f t="shared" si="43"/>
        <v/>
      </c>
      <c r="BU20" s="60"/>
      <c r="BV20" s="65" t="str">
        <f t="shared" si="29"/>
        <v/>
      </c>
      <c r="BW20" s="60"/>
      <c r="BX20" s="65" t="str">
        <f t="shared" si="30"/>
        <v/>
      </c>
      <c r="BY20" s="60"/>
      <c r="BZ20" s="67" t="str">
        <f t="shared" si="31"/>
        <v/>
      </c>
      <c r="CA20" s="60"/>
      <c r="CB20" s="67" t="str">
        <f t="shared" si="32"/>
        <v/>
      </c>
      <c r="CC20" s="60"/>
      <c r="CD20" s="67" t="str">
        <f t="shared" si="33"/>
        <v/>
      </c>
      <c r="CE20" s="60"/>
      <c r="CF20" s="67" t="str">
        <f t="shared" si="34"/>
        <v/>
      </c>
      <c r="CG20" s="60"/>
      <c r="CH20" s="67" t="str">
        <f t="shared" si="35"/>
        <v/>
      </c>
      <c r="CI20" s="60"/>
      <c r="CJ20" s="67" t="str">
        <f t="shared" si="36"/>
        <v/>
      </c>
      <c r="CK20" s="60"/>
      <c r="CL20" s="64" t="str">
        <f t="shared" si="37"/>
        <v/>
      </c>
      <c r="CM20" s="65" t="e">
        <f t="shared" si="41"/>
        <v>#VALUE!</v>
      </c>
      <c r="CN20" s="62">
        <v>0</v>
      </c>
      <c r="CO20" s="62">
        <v>0</v>
      </c>
      <c r="CP20" s="68"/>
      <c r="CQ20" s="67" t="str">
        <f t="shared" si="38"/>
        <v/>
      </c>
      <c r="CR20" s="68"/>
      <c r="CS20" s="67" t="str">
        <f t="shared" si="38"/>
        <v/>
      </c>
      <c r="CT20" s="75"/>
      <c r="CU20" s="67" t="str">
        <f t="shared" si="38"/>
        <v/>
      </c>
      <c r="CV20" s="68"/>
      <c r="CW20" s="67" t="str">
        <f t="shared" si="38"/>
        <v/>
      </c>
    </row>
    <row r="21" spans="1:101" ht="25.5" customHeight="1" thickBot="1" x14ac:dyDescent="0.45">
      <c r="A21" s="63">
        <v>44030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3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44031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3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44032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3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44033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3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44034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3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44035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3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44036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3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44037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44038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44039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44040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44041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44042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44043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6" zoomScaleNormal="100" workbookViewId="0">
      <selection activeCell="R24" sqref="R2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84" t="s">
        <v>0</v>
      </c>
      <c r="B4" s="87" t="s">
        <v>52</v>
      </c>
      <c r="C4" s="87" t="s">
        <v>53</v>
      </c>
      <c r="D4" s="90" t="s">
        <v>54</v>
      </c>
      <c r="E4" s="93" t="s">
        <v>55</v>
      </c>
      <c r="F4" s="94"/>
      <c r="G4" s="94"/>
      <c r="H4" s="94"/>
      <c r="I4" s="94"/>
      <c r="J4" s="95"/>
      <c r="K4" s="103" t="s">
        <v>56</v>
      </c>
      <c r="L4" s="104"/>
      <c r="M4" s="105"/>
      <c r="N4" s="96" t="s">
        <v>35</v>
      </c>
      <c r="O4" s="96"/>
      <c r="P4" s="96"/>
      <c r="Q4" s="96"/>
    </row>
    <row r="5" spans="1:17" ht="33.75" customHeight="1" x14ac:dyDescent="0.25">
      <c r="A5" s="85"/>
      <c r="B5" s="88"/>
      <c r="C5" s="88"/>
      <c r="D5" s="91"/>
      <c r="E5" s="93" t="s">
        <v>57</v>
      </c>
      <c r="F5" s="95"/>
      <c r="G5" s="93" t="s">
        <v>58</v>
      </c>
      <c r="H5" s="95"/>
      <c r="I5" s="93" t="s">
        <v>59</v>
      </c>
      <c r="J5" s="95"/>
      <c r="K5" s="97" t="s">
        <v>60</v>
      </c>
      <c r="L5" s="98"/>
      <c r="M5" s="99"/>
      <c r="N5" s="100" t="s">
        <v>61</v>
      </c>
      <c r="O5" s="101"/>
      <c r="P5" s="101"/>
      <c r="Q5" s="102"/>
    </row>
    <row r="6" spans="1:17" x14ac:dyDescent="0.25">
      <c r="A6" s="86"/>
      <c r="B6" s="89"/>
      <c r="C6" s="89"/>
      <c r="D6" s="92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>
        <v>15</v>
      </c>
      <c r="F12" s="41">
        <v>4775</v>
      </c>
      <c r="G12" s="41">
        <v>0</v>
      </c>
      <c r="H12" s="41">
        <v>1374</v>
      </c>
      <c r="I12" s="41">
        <v>85</v>
      </c>
      <c r="J12" s="41">
        <v>273</v>
      </c>
      <c r="K12" s="42">
        <v>85</v>
      </c>
      <c r="L12" s="42">
        <v>45</v>
      </c>
      <c r="M12" s="42">
        <v>1152</v>
      </c>
      <c r="N12" s="39">
        <v>84</v>
      </c>
      <c r="O12" s="39">
        <v>87</v>
      </c>
      <c r="P12" s="39">
        <v>70</v>
      </c>
      <c r="Q12" s="39">
        <v>2635</v>
      </c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>
        <v>15</v>
      </c>
      <c r="F13" s="41">
        <v>4775</v>
      </c>
      <c r="G13" s="41">
        <v>0</v>
      </c>
      <c r="H13" s="41">
        <v>1374</v>
      </c>
      <c r="I13" s="41">
        <v>85</v>
      </c>
      <c r="J13" s="41">
        <v>273</v>
      </c>
      <c r="K13" s="42">
        <v>85</v>
      </c>
      <c r="L13" s="42">
        <v>45</v>
      </c>
      <c r="M13" s="42">
        <v>1152</v>
      </c>
      <c r="N13" s="39">
        <v>84</v>
      </c>
      <c r="O13" s="39">
        <v>87</v>
      </c>
      <c r="P13" s="39">
        <v>67</v>
      </c>
      <c r="Q13" s="39">
        <v>2639</v>
      </c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>
        <v>15</v>
      </c>
      <c r="F14" s="41">
        <v>4775</v>
      </c>
      <c r="G14" s="41">
        <v>0</v>
      </c>
      <c r="H14" s="41">
        <v>1374</v>
      </c>
      <c r="I14" s="41">
        <v>85</v>
      </c>
      <c r="J14" s="41">
        <v>273</v>
      </c>
      <c r="K14" s="42">
        <v>85</v>
      </c>
      <c r="L14" s="42">
        <v>45</v>
      </c>
      <c r="M14" s="42">
        <v>1152</v>
      </c>
      <c r="N14" s="39">
        <v>84</v>
      </c>
      <c r="O14" s="39">
        <v>87</v>
      </c>
      <c r="P14" s="39">
        <v>63</v>
      </c>
      <c r="Q14" s="39">
        <v>2642</v>
      </c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>
        <v>15</v>
      </c>
      <c r="F15" s="41">
        <v>4775</v>
      </c>
      <c r="G15" s="41">
        <v>0</v>
      </c>
      <c r="H15" s="41">
        <v>1374</v>
      </c>
      <c r="I15" s="41">
        <v>85</v>
      </c>
      <c r="J15" s="41">
        <v>273</v>
      </c>
      <c r="K15" s="42">
        <v>85</v>
      </c>
      <c r="L15" s="42">
        <v>45</v>
      </c>
      <c r="M15" s="42">
        <v>1152</v>
      </c>
      <c r="N15" s="39">
        <v>84</v>
      </c>
      <c r="O15" s="39">
        <v>87</v>
      </c>
      <c r="P15" s="39">
        <v>56</v>
      </c>
      <c r="Q15" s="39">
        <v>2646</v>
      </c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>
        <v>15</v>
      </c>
      <c r="F16" s="41">
        <v>4775</v>
      </c>
      <c r="G16" s="41">
        <v>0</v>
      </c>
      <c r="H16" s="41">
        <v>1374</v>
      </c>
      <c r="I16" s="41">
        <v>85</v>
      </c>
      <c r="J16" s="41">
        <v>273</v>
      </c>
      <c r="K16" s="42">
        <v>85</v>
      </c>
      <c r="L16" s="42">
        <v>45</v>
      </c>
      <c r="M16" s="42">
        <v>1152</v>
      </c>
      <c r="N16" s="39">
        <v>84</v>
      </c>
      <c r="O16" s="39">
        <v>87</v>
      </c>
      <c r="P16" s="39">
        <v>54</v>
      </c>
      <c r="Q16" s="39">
        <v>2649</v>
      </c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>
        <v>15</v>
      </c>
      <c r="F17" s="41">
        <v>4775</v>
      </c>
      <c r="G17" s="41">
        <v>0</v>
      </c>
      <c r="H17" s="41">
        <v>1374</v>
      </c>
      <c r="I17" s="41">
        <v>85</v>
      </c>
      <c r="J17" s="41">
        <v>273</v>
      </c>
      <c r="K17" s="42">
        <v>85</v>
      </c>
      <c r="L17" s="42">
        <v>45</v>
      </c>
      <c r="M17" s="42">
        <v>1152</v>
      </c>
      <c r="N17" s="39">
        <v>84</v>
      </c>
      <c r="O17" s="39">
        <v>87</v>
      </c>
      <c r="P17" s="39">
        <v>51</v>
      </c>
      <c r="Q17" s="39">
        <v>2651</v>
      </c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>
        <v>15</v>
      </c>
      <c r="F18" s="41">
        <v>4775</v>
      </c>
      <c r="G18" s="41">
        <v>0</v>
      </c>
      <c r="H18" s="41">
        <v>1374</v>
      </c>
      <c r="I18" s="41">
        <v>85</v>
      </c>
      <c r="J18" s="41">
        <v>273</v>
      </c>
      <c r="K18" s="42">
        <v>85</v>
      </c>
      <c r="L18" s="42">
        <v>45</v>
      </c>
      <c r="M18" s="42">
        <v>1152</v>
      </c>
      <c r="N18" s="39">
        <v>84</v>
      </c>
      <c r="O18" s="39">
        <v>87</v>
      </c>
      <c r="P18" s="39">
        <v>46</v>
      </c>
      <c r="Q18" s="39">
        <v>2654</v>
      </c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>
        <v>15</v>
      </c>
      <c r="F19" s="41">
        <v>4775</v>
      </c>
      <c r="G19" s="41">
        <v>0</v>
      </c>
      <c r="H19" s="41">
        <v>1374</v>
      </c>
      <c r="I19" s="41">
        <v>85</v>
      </c>
      <c r="J19" s="41">
        <v>273</v>
      </c>
      <c r="K19" s="42">
        <v>85</v>
      </c>
      <c r="L19" s="42">
        <v>45</v>
      </c>
      <c r="M19" s="42">
        <v>1152</v>
      </c>
      <c r="N19" s="39">
        <v>84</v>
      </c>
      <c r="O19" s="39">
        <v>87</v>
      </c>
      <c r="P19" s="39">
        <v>44</v>
      </c>
      <c r="Q19" s="39">
        <v>2657</v>
      </c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>
        <v>15</v>
      </c>
      <c r="F20" s="41">
        <v>4775</v>
      </c>
      <c r="G20" s="41">
        <v>0</v>
      </c>
      <c r="H20" s="41">
        <v>1374</v>
      </c>
      <c r="I20" s="41">
        <v>85</v>
      </c>
      <c r="J20" s="41">
        <v>273</v>
      </c>
      <c r="K20" s="42">
        <v>85</v>
      </c>
      <c r="L20" s="42">
        <v>45</v>
      </c>
      <c r="M20" s="42">
        <v>1152</v>
      </c>
      <c r="N20" s="39">
        <v>84</v>
      </c>
      <c r="O20" s="39">
        <v>87</v>
      </c>
      <c r="P20" s="39">
        <v>42</v>
      </c>
      <c r="Q20" s="39">
        <v>2659</v>
      </c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>
        <v>15</v>
      </c>
      <c r="F21" s="41">
        <v>4775</v>
      </c>
      <c r="G21" s="41">
        <v>0</v>
      </c>
      <c r="H21" s="41">
        <v>1374</v>
      </c>
      <c r="I21" s="41">
        <v>85</v>
      </c>
      <c r="J21" s="41">
        <v>273</v>
      </c>
      <c r="K21" s="42">
        <v>85</v>
      </c>
      <c r="L21" s="42">
        <v>45</v>
      </c>
      <c r="M21" s="42">
        <v>1152</v>
      </c>
      <c r="N21" s="39">
        <v>84</v>
      </c>
      <c r="O21" s="39">
        <v>87</v>
      </c>
      <c r="P21" s="39">
        <v>40</v>
      </c>
      <c r="Q21" s="39">
        <v>2661</v>
      </c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>
        <v>15</v>
      </c>
      <c r="F22" s="41">
        <v>4775</v>
      </c>
      <c r="G22" s="41">
        <v>0</v>
      </c>
      <c r="H22" s="41">
        <v>1374</v>
      </c>
      <c r="I22" s="41">
        <v>85</v>
      </c>
      <c r="J22" s="41">
        <v>273</v>
      </c>
      <c r="K22" s="42">
        <v>85</v>
      </c>
      <c r="L22" s="42">
        <v>45</v>
      </c>
      <c r="M22" s="42">
        <v>1152</v>
      </c>
      <c r="N22" s="39">
        <v>84</v>
      </c>
      <c r="O22" s="39">
        <v>87</v>
      </c>
      <c r="P22" s="39">
        <v>36</v>
      </c>
      <c r="Q22" s="39">
        <v>2663</v>
      </c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>
        <v>15</v>
      </c>
      <c r="F23" s="41">
        <v>4775</v>
      </c>
      <c r="G23" s="41">
        <v>0</v>
      </c>
      <c r="H23" s="41">
        <v>1374</v>
      </c>
      <c r="I23" s="41">
        <v>85</v>
      </c>
      <c r="J23" s="41">
        <v>273</v>
      </c>
      <c r="K23" s="42">
        <v>85</v>
      </c>
      <c r="L23" s="42">
        <v>45</v>
      </c>
      <c r="M23" s="42">
        <v>1152</v>
      </c>
      <c r="N23" s="39">
        <v>84</v>
      </c>
      <c r="O23" s="39">
        <v>87</v>
      </c>
      <c r="P23" s="39">
        <v>33</v>
      </c>
      <c r="Q23" s="39">
        <v>2666</v>
      </c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>
        <v>15</v>
      </c>
      <c r="F24" s="41">
        <v>4775</v>
      </c>
      <c r="G24" s="41">
        <v>0</v>
      </c>
      <c r="H24" s="41">
        <v>1374</v>
      </c>
      <c r="I24" s="41">
        <v>85</v>
      </c>
      <c r="J24" s="41">
        <v>273</v>
      </c>
      <c r="K24" s="42">
        <v>85</v>
      </c>
      <c r="L24" s="42">
        <v>45</v>
      </c>
      <c r="M24" s="42">
        <v>1152</v>
      </c>
      <c r="N24" s="39">
        <v>84</v>
      </c>
      <c r="O24" s="39">
        <v>87</v>
      </c>
      <c r="P24" s="39">
        <v>30</v>
      </c>
      <c r="Q24" s="39">
        <v>2668</v>
      </c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2020-07-17T12:58:52Z</dcterms:modified>
</cp:coreProperties>
</file>