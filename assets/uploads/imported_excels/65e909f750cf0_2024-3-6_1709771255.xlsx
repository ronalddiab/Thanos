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112" documentId="8_{570E39A5-4344-4CF9-9BBE-67993DB36049}" xr6:coauthVersionLast="36" xr6:coauthVersionMax="36" xr10:uidLastSave="{8D4F64B0-0AF7-4D50-AAB7-664EF3A13190}"/>
  <bookViews>
    <workbookView xWindow="-100" yWindow="-100" windowWidth="18190" windowHeight="11470" tabRatio="614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<sst xmlns="http://schemas.openxmlformats.org/spreadsheetml/2006/main" count="150" uniqueCount="43">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</sst>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workbookViewId="0">
      <selection activeCell="L15" sqref="L15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0</v>
      </c>
      <c r="F8" s="10">
        <v>0.2989</v>
      </c>
      <c r="G8" s="13">
        <f>-'Submetering '!J8+'Submetering '!K8</f>
        <v>0</v>
      </c>
      <c r="H8" s="10">
        <v>0.23150000000000001</v>
      </c>
      <c r="I8" s="13">
        <f>'Submetering '!L8+'Submetering '!M8</f>
        <v>0</v>
      </c>
      <c r="J8" s="10">
        <v>2.74</v>
      </c>
      <c r="K8" s="9"/>
      <c r="L8" s="9"/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0</v>
      </c>
      <c r="F9" s="10">
        <v>0.2989</v>
      </c>
      <c r="G9" s="13">
        <f>-'Submetering '!J9+'Submetering '!K9</f>
        <v>0</v>
      </c>
      <c r="H9" s="10">
        <v>0.23150000000000001</v>
      </c>
      <c r="I9" s="13">
        <f>'Submetering '!L9+'Submetering '!M9</f>
        <v>0</v>
      </c>
      <c r="J9" s="10">
        <v>2.74</v>
      </c>
      <c r="K9" s="9"/>
      <c r="L9" s="9"/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0</v>
      </c>
      <c r="F10" s="10">
        <v>0.2989</v>
      </c>
      <c r="G10" s="13">
        <f>-'Submetering '!J10+'Submetering '!K10</f>
        <v>0</v>
      </c>
      <c r="H10" s="10">
        <v>0.23150000000000001</v>
      </c>
      <c r="I10" s="13">
        <f>'Submetering '!L10+'Submetering '!M10</f>
        <v>0</v>
      </c>
      <c r="J10" s="10">
        <v>2.74</v>
      </c>
      <c r="K10" s="9"/>
      <c r="L10" s="9"/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0</v>
      </c>
      <c r="F11" s="10">
        <v>0.2989</v>
      </c>
      <c r="G11" s="13">
        <f>-'Submetering '!J11+'Submetering '!K11</f>
        <v>0</v>
      </c>
      <c r="H11" s="10">
        <v>0.23150000000000001</v>
      </c>
      <c r="I11" s="13">
        <f>'Submetering '!L11+'Submetering '!M11</f>
        <v>0</v>
      </c>
      <c r="J11" s="10">
        <v>2.74</v>
      </c>
      <c r="K11" s="9"/>
      <c r="L11" s="9"/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0</v>
      </c>
      <c r="F12" s="10">
        <v>0.2989</v>
      </c>
      <c r="G12" s="13">
        <f>-'Submetering '!J12+'Submetering '!K12</f>
        <v>0</v>
      </c>
      <c r="H12" s="10">
        <v>0.23150000000000001</v>
      </c>
      <c r="I12" s="13">
        <f>'Submetering '!L12+'Submetering '!M12</f>
        <v>0</v>
      </c>
      <c r="J12" s="10">
        <v>2.74</v>
      </c>
      <c r="K12" s="9"/>
      <c r="L12" s="9"/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0</v>
      </c>
      <c r="F13" s="10">
        <v>0.2989</v>
      </c>
      <c r="G13" s="13">
        <f>-'Submetering '!J13+'Submetering '!K13</f>
        <v>0</v>
      </c>
      <c r="H13" s="10">
        <v>0.23150000000000001</v>
      </c>
      <c r="I13" s="13">
        <f>'Submetering '!L13+'Submetering '!M13</f>
        <v>0</v>
      </c>
      <c r="J13" s="10">
        <v>2.74</v>
      </c>
      <c r="K13" s="9"/>
      <c r="L13" s="9"/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0</v>
      </c>
      <c r="F14" s="10">
        <v>0.2989</v>
      </c>
      <c r="G14" s="13">
        <f>-'Submetering '!J14+'Submetering '!K14</f>
        <v>0</v>
      </c>
      <c r="H14" s="10">
        <v>0.23150000000000001</v>
      </c>
      <c r="I14" s="13">
        <f>'Submetering '!L14+'Submetering '!M14</f>
        <v>0</v>
      </c>
      <c r="J14" s="10">
        <v>2.74</v>
      </c>
      <c r="K14" s="9"/>
      <c r="L14" s="9"/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0</v>
      </c>
      <c r="F15" s="10">
        <v>0.2989</v>
      </c>
      <c r="G15" s="13">
        <f>-'Submetering '!J15+'Submetering '!K15</f>
        <v>0</v>
      </c>
      <c r="H15" s="10">
        <v>0.23150000000000001</v>
      </c>
      <c r="I15" s="13">
        <f>'Submetering '!L15+'Submetering '!M15</f>
        <v>0</v>
      </c>
      <c r="J15" s="10">
        <v>2.74</v>
      </c>
      <c r="K15" s="9"/>
      <c r="L15" s="9"/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0</v>
      </c>
      <c r="F16" s="10">
        <v>0.2989</v>
      </c>
      <c r="G16" s="13">
        <f>-'Submetering '!J16+'Submetering '!K16</f>
        <v>0</v>
      </c>
      <c r="H16" s="10">
        <v>0.23150000000000001</v>
      </c>
      <c r="I16" s="13">
        <f>'Submetering '!L16+'Submetering '!M16</f>
        <v>0</v>
      </c>
      <c r="J16" s="10">
        <v>2.74</v>
      </c>
      <c r="K16" s="9"/>
      <c r="L16" s="9"/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0</v>
      </c>
      <c r="F17" s="10">
        <v>0.2989</v>
      </c>
      <c r="G17" s="13">
        <f>-'Submetering '!J17+'Submetering '!K17</f>
        <v>0</v>
      </c>
      <c r="H17" s="10">
        <v>0.23150000000000001</v>
      </c>
      <c r="I17" s="13">
        <f>'Submetering '!L17+'Submetering '!M17</f>
        <v>0</v>
      </c>
      <c r="J17" s="10">
        <v>2.74</v>
      </c>
      <c r="K17" s="9"/>
      <c r="L17" s="9"/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0</v>
      </c>
      <c r="F18" s="10">
        <v>0.2989</v>
      </c>
      <c r="G18" s="13">
        <f>-'Submetering '!J18+'Submetering '!K18</f>
        <v>0</v>
      </c>
      <c r="H18" s="10">
        <v>0.23150000000000001</v>
      </c>
      <c r="I18" s="13">
        <f>'Submetering '!L18+'Submetering '!M18</f>
        <v>0</v>
      </c>
      <c r="J18" s="10">
        <v>2.74</v>
      </c>
      <c r="K18" s="9"/>
      <c r="L18" s="9"/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0</v>
      </c>
      <c r="F19" s="10">
        <v>0.2989</v>
      </c>
      <c r="G19" s="13">
        <f>-'Submetering '!J19+'Submetering '!K19</f>
        <v>0</v>
      </c>
      <c r="H19" s="10">
        <v>0.23150000000000001</v>
      </c>
      <c r="I19" s="13">
        <f>'Submetering '!L19+'Submetering '!M19</f>
        <v>0</v>
      </c>
      <c r="J19" s="10">
        <v>2.74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K1" zoomScale="80" zoomScaleNormal="80" workbookViewId="0">
      <selection activeCell="Z7" sqref="Z7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0</v>
      </c>
      <c r="F8" s="33">
        <f>(IF((Electrical!C9-Electrical!C8)&lt;0,"0",(Electrical!C9-Electrical!C8)))*15</f>
        <v>0</v>
      </c>
      <c r="G8" s="33">
        <f>(IF((Electrical!D9-Electrical!D8)&lt;0,"0",(Electrical!D9-Electrical!D8)))*15</f>
        <v>0</v>
      </c>
      <c r="H8" s="33" t="str">
        <f>IF((Electrical!E9-Electrical!E8)&lt;0,"0",(Electrical!E9-Electrical!E8))</f>
        <v>0</v>
      </c>
      <c r="I8" s="33" t="str">
        <f>IF((Electrical!F9-Electrical!F8)&lt;0,"0",(Electrical!F9-Electrical!F8))</f>
        <v>0</v>
      </c>
      <c r="J8" s="33">
        <f>IF((Gas!B9-Gas!B8)&lt;0,"0",(Gas!B9-Gas!B8))</f>
        <v>0</v>
      </c>
      <c r="K8" s="33" t="str">
        <f>IF((Gas!C9-Gas!C8)&lt;0,"0",(Gas!C9-Gas!C8))</f>
        <v>0</v>
      </c>
      <c r="L8" s="33">
        <f>(IF((Water!B9-Water!B8)&lt;0,"0",(Water!B9-Water!B8)))*10</f>
        <v>0</v>
      </c>
      <c r="M8" s="33" t="str">
        <f>IF((Water!C9-Water!C8)&lt;0,"0",(Water!C9-Water!C8))</f>
        <v>0</v>
      </c>
      <c r="N8" s="33">
        <f>IF((Water!D9-Water!D8)&lt;0,"0",(Water!D9-Water!D8))</f>
        <v>0</v>
      </c>
      <c r="O8" s="33" t="str">
        <f>IF((Water!E9-Water!E8)&lt;0,"0",(Water!E9-Water!E8))</f>
        <v>0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 t="str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 t="str">
        <f>IF((Water!N9-Water!N8)&lt;0,"0",(Water!N9-Water!N8))</f>
        <v>0</v>
      </c>
      <c r="Y8" s="9"/>
      <c r="Z8" s="9"/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0</v>
      </c>
      <c r="F9" s="33">
        <f>(IF((Electrical!C10-Electrical!C9)&lt;0,"0",(Electrical!C10-Electrical!C9)))*15</f>
        <v>0</v>
      </c>
      <c r="G9" s="33">
        <f>(IF((Electrical!D10-Electrical!D9)&lt;0,"0",(Electrical!D10-Electrical!D9)))*15</f>
        <v>0</v>
      </c>
      <c r="H9" s="33">
        <f>IF((Electrical!E10-Electrical!E9)&lt;0,"0",(Electrical!E10-Electrical!E9))</f>
        <v>0</v>
      </c>
      <c r="I9" s="33">
        <f>IF((Electrical!F10-Electrical!F9)&lt;0,"0",(Electrical!F10-Electrical!F9))</f>
        <v>0</v>
      </c>
      <c r="J9" s="33">
        <f>IF((Gas!B10-Gas!B9)&lt;0,"0",(Gas!B10-Gas!B9))</f>
        <v>0</v>
      </c>
      <c r="K9" s="33">
        <f>IF((Gas!C10-Gas!C9)&lt;0,"0",(Gas!C10-Gas!C9))</f>
        <v>0</v>
      </c>
      <c r="L9" s="33">
        <f>(IF((Water!B10-Water!B9)&lt;0,"0",(Water!B10-Water!B9)))*10</f>
        <v>0</v>
      </c>
      <c r="M9" s="33">
        <f>IF((Water!C10-Water!C9)&lt;0,"0",(Water!C10-Water!C9))</f>
        <v>0</v>
      </c>
      <c r="N9" s="33">
        <f>IF((Water!D10-Water!D9)&lt;0,"0",(Water!D10-Water!D9))</f>
        <v>0</v>
      </c>
      <c r="O9" s="33">
        <f>IF((Water!E10-Water!E9)&lt;0,"0",(Water!E10-Water!E9))</f>
        <v>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0</v>
      </c>
      <c r="Y9" s="9"/>
      <c r="Z9" s="9"/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0</v>
      </c>
      <c r="F10" s="33">
        <f>(IF((Electrical!C11-Electrical!C10)&lt;0,"0",(Electrical!C11-Electrical!C10)))*15</f>
        <v>0</v>
      </c>
      <c r="G10" s="33">
        <f>(IF((Electrical!D11-Electrical!D10)&lt;0,"0",(Electrical!D11-Electrical!D10)))*15</f>
        <v>0</v>
      </c>
      <c r="H10" s="33">
        <f>IF((Electrical!E11-Electrical!E10)&lt;0,"0",(Electrical!E11-Electrical!E10))</f>
        <v>0</v>
      </c>
      <c r="I10" s="33">
        <f>IF((Electrical!F11-Electrical!F10)&lt;0,"0",(Electrical!F11-Electrical!F10))</f>
        <v>0</v>
      </c>
      <c r="J10" s="33">
        <f>IF((Gas!B11-Gas!B10)&lt;0,"0",(Gas!B11-Gas!B10))</f>
        <v>0</v>
      </c>
      <c r="K10" s="33">
        <f>IF((Gas!C11-Gas!C10)&lt;0,"0",(Gas!C11-Gas!C10))</f>
        <v>0</v>
      </c>
      <c r="L10" s="33">
        <f>(IF((Water!B11-Water!B10)&lt;0,"0",(Water!B11-Water!B10)))*10</f>
        <v>0</v>
      </c>
      <c r="M10" s="33">
        <f>IF((Water!C11-Water!C10)&lt;0,"0",(Water!C11-Water!C10))</f>
        <v>0</v>
      </c>
      <c r="N10" s="33">
        <f>IF((Water!D11-Water!D10)&lt;0,"0",(Water!D11-Water!D10))</f>
        <v>0</v>
      </c>
      <c r="O10" s="33">
        <f>IF((Water!E11-Water!E10)&lt;0,"0",(Water!E11-Water!E10))</f>
        <v>0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0</v>
      </c>
      <c r="Y10" s="9"/>
      <c r="Z10" s="9"/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0</v>
      </c>
      <c r="F11" s="33">
        <f>(IF((Electrical!C12-Electrical!C11)&lt;0,"0",(Electrical!C12-Electrical!C11)))*15</f>
        <v>0</v>
      </c>
      <c r="G11" s="33">
        <f>(IF((Electrical!D12-Electrical!D11)&lt;0,"0",(Electrical!D12-Electrical!D11)))*15</f>
        <v>0</v>
      </c>
      <c r="H11" s="33">
        <f>IF((Electrical!E12-Electrical!E11)&lt;0,"0",(Electrical!E12-Electrical!E11))</f>
        <v>0</v>
      </c>
      <c r="I11" s="33">
        <f>IF((Electrical!F12-Electrical!F11)&lt;0,"0",(Electrical!F12-Electrical!F11))</f>
        <v>0</v>
      </c>
      <c r="J11" s="33">
        <f>IF((Gas!B12-Gas!B11)&lt;0,"0",(Gas!B12-Gas!B11))</f>
        <v>0</v>
      </c>
      <c r="K11" s="33">
        <f>IF((Gas!C12-Gas!C11)&lt;0,"0",(Gas!C12-Gas!C11))</f>
        <v>0</v>
      </c>
      <c r="L11" s="33">
        <f>(IF((Water!B12-Water!B11)&lt;0,"0",(Water!B12-Water!B11)))*10</f>
        <v>0</v>
      </c>
      <c r="M11" s="33">
        <f>IF((Water!C12-Water!C11)&lt;0,"0",(Water!C12-Water!C11))</f>
        <v>0</v>
      </c>
      <c r="N11" s="33">
        <f>IF((Water!D12-Water!D11)&lt;0,"0",(Water!D12-Water!D11))</f>
        <v>0</v>
      </c>
      <c r="O11" s="33">
        <f>IF((Water!E12-Water!E11)&lt;0,"0",(Water!E12-Water!E11))</f>
        <v>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0</v>
      </c>
      <c r="Y11" s="9"/>
      <c r="Z11" s="9"/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0</v>
      </c>
      <c r="F12" s="33">
        <f>(IF((Electrical!C13-Electrical!C12)&lt;0,"0",(Electrical!C13-Electrical!C12)))*15</f>
        <v>0</v>
      </c>
      <c r="G12" s="33">
        <f>(IF((Electrical!D13-Electrical!D12)&lt;0,"0",(Electrical!D13-Electrical!D12)))*15</f>
        <v>0</v>
      </c>
      <c r="H12" s="33">
        <f>IF((Electrical!E13-Electrical!E12)&lt;0,"0",(Electrical!E13-Electrical!E12))</f>
        <v>0</v>
      </c>
      <c r="I12" s="33">
        <f>IF((Electrical!F13-Electrical!F12)&lt;0,"0",(Electrical!F13-Electrical!F12))</f>
        <v>0</v>
      </c>
      <c r="J12" s="33">
        <f>IF((Gas!B13-Gas!B12)&lt;0,"0",(Gas!B13-Gas!B12))</f>
        <v>0</v>
      </c>
      <c r="K12" s="33">
        <f>IF((Gas!C13-Gas!C12)&lt;0,"0",(Gas!C13-Gas!C12))</f>
        <v>0</v>
      </c>
      <c r="L12" s="33">
        <f>(IF((Water!B13-Water!B12)&lt;0,"0",(Water!B13-Water!B12)))*10</f>
        <v>0</v>
      </c>
      <c r="M12" s="33">
        <f>IF((Water!C13-Water!C12)&lt;0,"0",(Water!C13-Water!C12))</f>
        <v>0</v>
      </c>
      <c r="N12" s="33">
        <f>IF((Water!D13-Water!D12)&lt;0,"0",(Water!D13-Water!D12))</f>
        <v>0</v>
      </c>
      <c r="O12" s="33">
        <f>IF((Water!E13-Water!E12)&lt;0,"0",(Water!E13-Water!E12))</f>
        <v>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0</v>
      </c>
      <c r="Y12" s="9"/>
      <c r="Z12" s="9"/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0</v>
      </c>
      <c r="F13" s="33">
        <f>(IF((Electrical!C14-Electrical!C13)&lt;0,"0",(Electrical!C14-Electrical!C13)))*15</f>
        <v>0</v>
      </c>
      <c r="G13" s="33">
        <f>(IF((Electrical!D14-Electrical!D13)&lt;0,"0",(Electrical!D14-Electrical!D13)))*15</f>
        <v>0</v>
      </c>
      <c r="H13" s="33">
        <f>IF((Electrical!E14-Electrical!E13)&lt;0,"0",(Electrical!E14-Electrical!E13))</f>
        <v>0</v>
      </c>
      <c r="I13" s="33">
        <f>IF((Electrical!F14-Electrical!F13)&lt;0,"0",(Electrical!F14-Electrical!F13))</f>
        <v>0</v>
      </c>
      <c r="J13" s="33">
        <f>IF((Gas!B14-Gas!B13)&lt;0,"0",(Gas!B14-Gas!B13))</f>
        <v>0</v>
      </c>
      <c r="K13" s="33">
        <f>IF((Gas!C14-Gas!C13)&lt;0,"0",(Gas!C14-Gas!C13))</f>
        <v>0</v>
      </c>
      <c r="L13" s="33">
        <f>(IF((Water!B14-Water!B13)&lt;0,"0",(Water!B14-Water!B13)))*10</f>
        <v>0</v>
      </c>
      <c r="M13" s="33">
        <f>IF((Water!C14-Water!C13)&lt;0,"0",(Water!C14-Water!C13))</f>
        <v>0</v>
      </c>
      <c r="N13" s="33">
        <f>IF((Water!D14-Water!D13)&lt;0,"0",(Water!D14-Water!D13))</f>
        <v>0</v>
      </c>
      <c r="O13" s="33">
        <f>IF((Water!E14-Water!E13)&lt;0,"0",(Water!E14-Water!E13))</f>
        <v>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0</v>
      </c>
      <c r="Y13" s="9"/>
      <c r="Z13" s="9"/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0</v>
      </c>
      <c r="F14" s="33">
        <f>(IF((Electrical!C15-Electrical!C14)&lt;0,"0",(Electrical!C15-Electrical!C14)))*15</f>
        <v>0</v>
      </c>
      <c r="G14" s="33">
        <f>(IF((Electrical!D15-Electrical!D14)&lt;0,"0",(Electrical!D15-Electrical!D14)))*15</f>
        <v>0</v>
      </c>
      <c r="H14" s="33">
        <f>IF((Electrical!E15-Electrical!E14)&lt;0,"0",(Electrical!E15-Electrical!E14))</f>
        <v>0</v>
      </c>
      <c r="I14" s="33">
        <f>IF((Electrical!F15-Electrical!F14)&lt;0,"0",(Electrical!F15-Electrical!F14))</f>
        <v>0</v>
      </c>
      <c r="J14" s="33">
        <f>IF((Gas!B15-Gas!B14)&lt;0,"0",(Gas!B15-Gas!B14))</f>
        <v>0</v>
      </c>
      <c r="K14" s="33">
        <f>IF((Gas!C15-Gas!C14)&lt;0,"0",(Gas!C15-Gas!C14))</f>
        <v>0</v>
      </c>
      <c r="L14" s="33">
        <f>(IF((Water!B15-Water!B14)&lt;0,"0",(Water!B15-Water!B14)))*10</f>
        <v>0</v>
      </c>
      <c r="M14" s="33">
        <f>IF((Water!C15-Water!C14)&lt;0,"0",(Water!C15-Water!C14))</f>
        <v>0</v>
      </c>
      <c r="N14" s="33">
        <f>IF((Water!D15-Water!D14)&lt;0,"0",(Water!D15-Water!D14))</f>
        <v>0</v>
      </c>
      <c r="O14" s="33">
        <f>IF((Water!E15-Water!E14)&lt;0,"0",(Water!E15-Water!E14))</f>
        <v>0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0</v>
      </c>
      <c r="Y14" s="9"/>
      <c r="Z14" s="9"/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0</v>
      </c>
      <c r="F15" s="33">
        <f>(IF((Electrical!C16-Electrical!C15)&lt;0,"0",(Electrical!C16-Electrical!C15)))*15</f>
        <v>0</v>
      </c>
      <c r="G15" s="33">
        <f>(IF((Electrical!D16-Electrical!D15)&lt;0,"0",(Electrical!D16-Electrical!D15)))*15</f>
        <v>0</v>
      </c>
      <c r="H15" s="33">
        <f>IF((Electrical!E16-Electrical!E15)&lt;0,"0",(Electrical!E16-Electrical!E15))</f>
        <v>0</v>
      </c>
      <c r="I15" s="33">
        <f>IF((Electrical!F16-Electrical!F15)&lt;0,"0",(Electrical!F16-Electrical!F15))</f>
        <v>0</v>
      </c>
      <c r="J15" s="33">
        <f>IF((Gas!B16-Gas!B15)&lt;0,"0",(Gas!B16-Gas!B15))</f>
        <v>0</v>
      </c>
      <c r="K15" s="33">
        <f>IF((Gas!C16-Gas!C15)&lt;0,"0",(Gas!C16-Gas!C15))</f>
        <v>0</v>
      </c>
      <c r="L15" s="33">
        <f>(IF((Water!B16-Water!B15)&lt;0,"0",(Water!B16-Water!B15)))*10</f>
        <v>0</v>
      </c>
      <c r="M15" s="33">
        <f>IF((Water!C16-Water!C15)&lt;0,"0",(Water!C16-Water!C15))</f>
        <v>0</v>
      </c>
      <c r="N15" s="33">
        <f>IF((Water!D16-Water!D15)&lt;0,"0",(Water!D16-Water!D15))</f>
        <v>0</v>
      </c>
      <c r="O15" s="33">
        <f>IF((Water!E16-Water!E15)&lt;0,"0",(Water!E16-Water!E15))</f>
        <v>0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0</v>
      </c>
      <c r="Y15" s="9"/>
      <c r="Z15" s="9"/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0</v>
      </c>
      <c r="F16" s="33">
        <f>(IF((Electrical!C17-Electrical!C16)&lt;0,"0",(Electrical!C17-Electrical!C16)))*15</f>
        <v>0</v>
      </c>
      <c r="G16" s="33">
        <f>(IF((Electrical!D17-Electrical!D16)&lt;0,"0",(Electrical!D17-Electrical!D16)))*15</f>
        <v>0</v>
      </c>
      <c r="H16" s="33">
        <f>IF((Electrical!E17-Electrical!E16)&lt;0,"0",(Electrical!E17-Electrical!E16))</f>
        <v>0</v>
      </c>
      <c r="I16" s="33">
        <f>IF((Electrical!F17-Electrical!F16)&lt;0,"0",(Electrical!F17-Electrical!F16))</f>
        <v>0</v>
      </c>
      <c r="J16" s="33">
        <f>IF((Gas!B17-Gas!B16)&lt;0,"0",(Gas!B17-Gas!B16))</f>
        <v>0</v>
      </c>
      <c r="K16" s="33">
        <f>IF((Gas!C17-Gas!C16)&lt;0,"0",(Gas!C17-Gas!C16))</f>
        <v>0</v>
      </c>
      <c r="L16" s="33">
        <f>(IF((Water!B17-Water!B16)&lt;0,"0",(Water!B17-Water!B16)))*10</f>
        <v>0</v>
      </c>
      <c r="M16" s="33">
        <f>IF((Water!C17-Water!C16)&lt;0,"0",(Water!C17-Water!C16))</f>
        <v>0</v>
      </c>
      <c r="N16" s="33">
        <f>IF((Water!D17-Water!D16)&lt;0,"0",(Water!D17-Water!D16))</f>
        <v>0</v>
      </c>
      <c r="O16" s="33">
        <f>IF((Water!E17-Water!E16)&lt;0,"0",(Water!E17-Water!E16))</f>
        <v>0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0</v>
      </c>
      <c r="Y16" s="9"/>
      <c r="Z16" s="9"/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0</v>
      </c>
      <c r="F17" s="33">
        <f>(IF((Electrical!C18-Electrical!C17)&lt;0,"0",(Electrical!C18-Electrical!C17)))*15</f>
        <v>0</v>
      </c>
      <c r="G17" s="33">
        <f>(IF((Electrical!D18-Electrical!D17)&lt;0,"0",(Electrical!D18-Electrical!D17)))*15</f>
        <v>0</v>
      </c>
      <c r="H17" s="33">
        <f>IF((Electrical!E18-Electrical!E17)&lt;0,"0",(Electrical!E18-Electrical!E17))</f>
        <v>0</v>
      </c>
      <c r="I17" s="33">
        <f>IF((Electrical!F18-Electrical!F17)&lt;0,"0",(Electrical!F18-Electrical!F17))</f>
        <v>0</v>
      </c>
      <c r="J17" s="33">
        <f>IF((Gas!B18-Gas!B17)&lt;0,"0",(Gas!B18-Gas!B17))</f>
        <v>0</v>
      </c>
      <c r="K17" s="33">
        <f>IF((Gas!C18-Gas!C17)&lt;0,"0",(Gas!C18-Gas!C17))</f>
        <v>0</v>
      </c>
      <c r="L17" s="33">
        <f>(IF((Water!B18-Water!B17)&lt;0,"0",(Water!B18-Water!B17)))*10</f>
        <v>0</v>
      </c>
      <c r="M17" s="33">
        <f>IF((Water!C18-Water!C17)&lt;0,"0",(Water!C18-Water!C17))</f>
        <v>0</v>
      </c>
      <c r="N17" s="33">
        <f>IF((Water!D18-Water!D17)&lt;0,"0",(Water!D18-Water!D17))</f>
        <v>0</v>
      </c>
      <c r="O17" s="33">
        <f>IF((Water!E18-Water!E17)&lt;0,"0",(Water!E18-Water!E17))</f>
        <v>0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0</v>
      </c>
      <c r="Y17" s="9"/>
      <c r="Z17" s="9"/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0</v>
      </c>
      <c r="F18" s="33">
        <f>(IF((Electrical!C19-Electrical!C18)&lt;0,"0",(Electrical!C19-Electrical!C18)))*15</f>
        <v>0</v>
      </c>
      <c r="G18" s="33">
        <f>(IF((Electrical!D19-Electrical!D18)&lt;0,"0",(Electrical!D19-Electrical!D18)))*15</f>
        <v>0</v>
      </c>
      <c r="H18" s="33">
        <f>IF((Electrical!E19-Electrical!E18)&lt;0,"0",(Electrical!E19-Electrical!E18))</f>
        <v>0</v>
      </c>
      <c r="I18" s="33">
        <f>IF((Electrical!F19-Electrical!F18)&lt;0,"0",(Electrical!F19-Electrical!F18))</f>
        <v>0</v>
      </c>
      <c r="J18" s="33">
        <f>IF((Gas!B19-Gas!B18)&lt;0,"0",(Gas!B19-Gas!B18))</f>
        <v>0</v>
      </c>
      <c r="K18" s="33">
        <f>IF((Gas!C19-Gas!C18)&lt;0,"0",(Gas!C19-Gas!C18))</f>
        <v>0</v>
      </c>
      <c r="L18" s="33">
        <f>(IF((Water!B19-Water!B18)&lt;0,"0",(Water!B19-Water!B18)))*10</f>
        <v>0</v>
      </c>
      <c r="M18" s="33">
        <f>IF((Water!C19-Water!C18)&lt;0,"0",(Water!C19-Water!C18))</f>
        <v>0</v>
      </c>
      <c r="N18" s="33">
        <f>IF((Water!D19-Water!D18)&lt;0,"0",(Water!D19-Water!D18))</f>
        <v>0</v>
      </c>
      <c r="O18" s="33">
        <f>IF((Water!E19-Water!E18)&lt;0,"0",(Water!E19-Water!E18))</f>
        <v>0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0</v>
      </c>
      <c r="Y18" s="9"/>
      <c r="Z18" s="9"/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>
        <f>IF((Electrical!E20-Electrical!E19)&lt;0,"0",(Electrical!E20-Electrical!E19))</f>
        <v>0</v>
      </c>
      <c r="I19" s="33">
        <f>IF((Electrical!F20-Electrical!F19)&lt;0,"0",(Electrical!F20-Electrical!F19))</f>
        <v>0</v>
      </c>
      <c r="J19" s="33">
        <f>IF((Gas!B20-Gas!B19)&lt;0,"0",(Gas!B20-Gas!B19))</f>
        <v>0</v>
      </c>
      <c r="K19" s="33">
        <f>IF((Gas!C20-Gas!C19)&lt;0,"0",(Gas!C20-Gas!C19))</f>
        <v>0</v>
      </c>
      <c r="L19" s="33">
        <f>(IF((Water!B20-Water!B19)&lt;0,"0",(Water!B20-Water!B19)))*10</f>
        <v>0</v>
      </c>
      <c r="M19" s="33">
        <f>IF((Water!C20-Water!C19)&lt;0,"0",(Water!C20-Water!C19))</f>
        <v>0</v>
      </c>
      <c r="N19" s="33">
        <f>IF((Water!D20-Water!D19)&lt;0,"0",(Water!D20-Water!D19))</f>
        <v>0</v>
      </c>
      <c r="O19" s="33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abSelected="1" zoomScale="70" zoomScaleNormal="70" workbookViewId="0">
      <selection activeCell="J11" sqref="J11:K11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/>
      <c r="C9" s="28"/>
      <c r="D9" s="45"/>
      <c r="E9" s="45"/>
      <c r="F9" s="45"/>
      <c r="G9" s="5"/>
    </row>
    <row r="10" spans="1:7" x14ac:dyDescent="0.35">
      <c r="A10" s="7">
        <v>8</v>
      </c>
      <c r="B10" s="28"/>
      <c r="C10" s="28"/>
      <c r="D10" s="45"/>
      <c r="E10" s="45"/>
      <c r="F10" s="45"/>
      <c r="G10" s="5"/>
    </row>
    <row r="11" spans="1:7" x14ac:dyDescent="0.35">
      <c r="A11" s="7">
        <v>9</v>
      </c>
      <c r="B11" s="28"/>
      <c r="C11" s="28"/>
      <c r="D11" s="45"/>
      <c r="E11" s="45"/>
      <c r="F11" s="45"/>
      <c r="G11" s="5"/>
    </row>
    <row r="12" spans="1:7" x14ac:dyDescent="0.35">
      <c r="A12" s="7">
        <v>10</v>
      </c>
      <c r="B12" s="28"/>
      <c r="C12" s="28"/>
      <c r="D12" s="45"/>
      <c r="E12" s="45"/>
      <c r="F12" s="45"/>
      <c r="G12" s="5"/>
    </row>
    <row r="13" spans="1:7" x14ac:dyDescent="0.35">
      <c r="A13" s="7">
        <v>11</v>
      </c>
      <c r="B13" s="28"/>
      <c r="C13" s="28"/>
      <c r="D13" s="45"/>
      <c r="E13" s="45"/>
      <c r="F13" s="45"/>
      <c r="G13" s="5"/>
    </row>
    <row r="14" spans="1:7" x14ac:dyDescent="0.35">
      <c r="A14" s="7">
        <v>12</v>
      </c>
      <c r="B14" s="28"/>
      <c r="C14" s="28"/>
      <c r="D14" s="45"/>
      <c r="E14" s="45"/>
      <c r="F14" s="45"/>
      <c r="G14" s="5"/>
    </row>
    <row r="15" spans="1:7" x14ac:dyDescent="0.35">
      <c r="A15" s="7">
        <v>13</v>
      </c>
      <c r="B15" s="28"/>
      <c r="C15" s="28"/>
      <c r="D15" s="45"/>
      <c r="E15" s="45"/>
      <c r="F15" s="45"/>
      <c r="G15" s="5"/>
    </row>
    <row r="16" spans="1:7" x14ac:dyDescent="0.35">
      <c r="A16" s="7">
        <v>14</v>
      </c>
      <c r="B16" s="28"/>
      <c r="C16" s="28"/>
      <c r="D16" s="45"/>
      <c r="E16" s="45"/>
      <c r="F16" s="45"/>
      <c r="G16" s="5"/>
    </row>
    <row r="17" spans="1:7" x14ac:dyDescent="0.35">
      <c r="A17" s="7">
        <v>15</v>
      </c>
      <c r="B17" s="28"/>
      <c r="C17" s="28"/>
      <c r="D17" s="45"/>
      <c r="E17" s="45"/>
      <c r="F17" s="45"/>
      <c r="G17" s="5"/>
    </row>
    <row r="18" spans="1:7" x14ac:dyDescent="0.35">
      <c r="A18" s="7">
        <v>16</v>
      </c>
      <c r="B18" s="28"/>
      <c r="C18" s="28"/>
      <c r="D18" s="45"/>
      <c r="E18" s="45"/>
      <c r="F18" s="45"/>
      <c r="G18" s="5"/>
    </row>
    <row r="19" spans="1:7" x14ac:dyDescent="0.35">
      <c r="A19" s="7">
        <v>17</v>
      </c>
      <c r="B19" s="28"/>
      <c r="C19" s="28"/>
      <c r="D19" s="45"/>
      <c r="E19" s="45"/>
      <c r="F19" s="45"/>
      <c r="G19" s="5"/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H18" sqref="H18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/>
      <c r="D9" s="5"/>
    </row>
    <row r="10" spans="1:4" x14ac:dyDescent="0.35">
      <c r="A10" s="4">
        <v>8</v>
      </c>
      <c r="B10" s="5">
        <v>0</v>
      </c>
      <c r="C10" s="5"/>
      <c r="D10" s="5"/>
    </row>
    <row r="11" spans="1:4" x14ac:dyDescent="0.35">
      <c r="A11" s="4">
        <v>9</v>
      </c>
      <c r="B11" s="5">
        <v>0</v>
      </c>
      <c r="C11" s="5"/>
      <c r="D11" s="5"/>
    </row>
    <row r="12" spans="1:4" x14ac:dyDescent="0.35">
      <c r="A12" s="4">
        <v>10</v>
      </c>
      <c r="B12" s="5">
        <v>0</v>
      </c>
      <c r="C12" s="5"/>
      <c r="D12" s="5"/>
    </row>
    <row r="13" spans="1:4" x14ac:dyDescent="0.35">
      <c r="A13" s="4">
        <v>11</v>
      </c>
      <c r="B13" s="5">
        <v>0</v>
      </c>
      <c r="C13" s="5"/>
      <c r="D13" s="5"/>
    </row>
    <row r="14" spans="1:4" x14ac:dyDescent="0.35">
      <c r="A14" s="4">
        <v>12</v>
      </c>
      <c r="B14" s="5">
        <v>0</v>
      </c>
      <c r="C14" s="5"/>
      <c r="D14" s="5"/>
    </row>
    <row r="15" spans="1:4" x14ac:dyDescent="0.35">
      <c r="A15" s="4">
        <v>13</v>
      </c>
      <c r="B15" s="5">
        <v>0</v>
      </c>
      <c r="C15" s="5"/>
      <c r="D15" s="5"/>
    </row>
    <row r="16" spans="1:4" x14ac:dyDescent="0.35">
      <c r="A16" s="4">
        <v>14</v>
      </c>
      <c r="B16" s="5">
        <v>0</v>
      </c>
      <c r="C16" s="5"/>
      <c r="D16" s="5"/>
    </row>
    <row r="17" spans="1:4" x14ac:dyDescent="0.35">
      <c r="A17" s="4">
        <v>15</v>
      </c>
      <c r="B17" s="5">
        <v>0</v>
      </c>
      <c r="C17" s="5"/>
      <c r="D17" s="5"/>
    </row>
    <row r="18" spans="1:4" x14ac:dyDescent="0.35">
      <c r="A18" s="4">
        <v>16</v>
      </c>
      <c r="B18" s="5">
        <v>0</v>
      </c>
      <c r="C18" s="5"/>
      <c r="D18" s="5"/>
    </row>
    <row r="19" spans="1:4" x14ac:dyDescent="0.35">
      <c r="A19" s="4">
        <v>17</v>
      </c>
      <c r="B19" s="5">
        <v>0</v>
      </c>
      <c r="C19" s="5"/>
      <c r="D19" s="5"/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E1" zoomScale="85" zoomScaleNormal="85" workbookViewId="0">
      <selection activeCell="O8" sqref="O8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/>
      <c r="C9" s="5"/>
      <c r="D9" s="5">
        <v>0</v>
      </c>
      <c r="E9" s="5"/>
      <c r="F9" s="5">
        <v>0</v>
      </c>
      <c r="G9" s="5">
        <v>0</v>
      </c>
      <c r="H9" s="5">
        <v>0</v>
      </c>
      <c r="I9" s="5">
        <v>0</v>
      </c>
      <c r="J9" s="5"/>
      <c r="K9" s="5">
        <v>0</v>
      </c>
      <c r="L9" s="5">
        <v>0</v>
      </c>
      <c r="M9" s="5">
        <v>0</v>
      </c>
      <c r="N9" s="5"/>
      <c r="O9" s="5"/>
    </row>
    <row r="10" spans="1:15" x14ac:dyDescent="0.35">
      <c r="A10" s="4">
        <v>8</v>
      </c>
      <c r="B10" s="5"/>
      <c r="C10" s="5"/>
      <c r="D10" s="5">
        <v>0</v>
      </c>
      <c r="E10" s="5"/>
      <c r="F10" s="5">
        <v>0</v>
      </c>
      <c r="G10" s="5">
        <v>0</v>
      </c>
      <c r="H10" s="5">
        <v>0</v>
      </c>
      <c r="I10" s="5">
        <v>0</v>
      </c>
      <c r="J10" s="5"/>
      <c r="K10" s="5">
        <v>0</v>
      </c>
      <c r="L10" s="5">
        <v>0</v>
      </c>
      <c r="M10" s="5">
        <v>0</v>
      </c>
      <c r="N10" s="5"/>
      <c r="O10" s="5"/>
    </row>
    <row r="11" spans="1:15" x14ac:dyDescent="0.35">
      <c r="A11" s="4">
        <v>9</v>
      </c>
      <c r="B11" s="5"/>
      <c r="C11" s="5"/>
      <c r="D11" s="5">
        <v>0</v>
      </c>
      <c r="E11" s="5"/>
      <c r="F11" s="5">
        <v>0</v>
      </c>
      <c r="G11" s="5">
        <v>0</v>
      </c>
      <c r="H11" s="5">
        <v>0</v>
      </c>
      <c r="I11" s="5">
        <v>0</v>
      </c>
      <c r="J11" s="5"/>
      <c r="K11" s="5">
        <v>0</v>
      </c>
      <c r="L11" s="5">
        <v>0</v>
      </c>
      <c r="M11" s="5">
        <v>0</v>
      </c>
      <c r="N11" s="5"/>
      <c r="O11" s="5"/>
    </row>
    <row r="12" spans="1:15" x14ac:dyDescent="0.35">
      <c r="A12" s="4">
        <v>10</v>
      </c>
      <c r="B12" s="5"/>
      <c r="C12" s="5"/>
      <c r="D12" s="5">
        <v>0</v>
      </c>
      <c r="E12" s="5"/>
      <c r="F12" s="5">
        <v>0</v>
      </c>
      <c r="G12" s="5">
        <v>0</v>
      </c>
      <c r="H12" s="5">
        <v>0</v>
      </c>
      <c r="I12" s="5">
        <v>0</v>
      </c>
      <c r="J12" s="5"/>
      <c r="K12" s="5">
        <v>0</v>
      </c>
      <c r="L12" s="5">
        <v>0</v>
      </c>
      <c r="M12" s="5">
        <v>0</v>
      </c>
      <c r="N12" s="5"/>
      <c r="O12" s="5"/>
    </row>
    <row r="13" spans="1:15" x14ac:dyDescent="0.35">
      <c r="A13" s="4">
        <v>11</v>
      </c>
      <c r="B13" s="5"/>
      <c r="C13" s="5"/>
      <c r="D13" s="5">
        <v>0</v>
      </c>
      <c r="E13" s="5"/>
      <c r="F13" s="5">
        <v>0</v>
      </c>
      <c r="G13" s="5">
        <v>0</v>
      </c>
      <c r="H13" s="5">
        <v>0</v>
      </c>
      <c r="I13" s="5">
        <v>0</v>
      </c>
      <c r="J13" s="5"/>
      <c r="K13" s="5">
        <v>0</v>
      </c>
      <c r="L13" s="5">
        <v>0</v>
      </c>
      <c r="M13" s="5">
        <v>0</v>
      </c>
      <c r="N13" s="5"/>
      <c r="O13" s="5"/>
    </row>
    <row r="14" spans="1:15" x14ac:dyDescent="0.35">
      <c r="A14" s="4">
        <v>12</v>
      </c>
      <c r="B14" s="5"/>
      <c r="C14" s="5"/>
      <c r="D14" s="5">
        <v>0</v>
      </c>
      <c r="E14" s="5"/>
      <c r="F14" s="5">
        <v>0</v>
      </c>
      <c r="G14" s="5">
        <v>0</v>
      </c>
      <c r="H14" s="5">
        <v>0</v>
      </c>
      <c r="I14" s="5">
        <v>0</v>
      </c>
      <c r="J14" s="5"/>
      <c r="K14" s="5">
        <v>0</v>
      </c>
      <c r="L14" s="5">
        <v>0</v>
      </c>
      <c r="M14" s="5">
        <v>0</v>
      </c>
      <c r="N14" s="5"/>
      <c r="O14" s="5"/>
    </row>
    <row r="15" spans="1:15" x14ac:dyDescent="0.35">
      <c r="A15" s="4">
        <v>13</v>
      </c>
      <c r="B15" s="5"/>
      <c r="C15" s="5"/>
      <c r="D15" s="5">
        <v>0</v>
      </c>
      <c r="E15" s="5"/>
      <c r="F15" s="5">
        <v>0</v>
      </c>
      <c r="G15" s="5">
        <v>0</v>
      </c>
      <c r="H15" s="5">
        <v>0</v>
      </c>
      <c r="I15" s="5">
        <v>0</v>
      </c>
      <c r="J15" s="5"/>
      <c r="K15" s="5">
        <v>0</v>
      </c>
      <c r="L15" s="5">
        <v>0</v>
      </c>
      <c r="M15" s="5">
        <v>0</v>
      </c>
      <c r="N15" s="5"/>
      <c r="O15" s="5"/>
    </row>
    <row r="16" spans="1:15" x14ac:dyDescent="0.35">
      <c r="A16" s="4">
        <v>14</v>
      </c>
      <c r="B16" s="5"/>
      <c r="C16" s="5"/>
      <c r="D16" s="5">
        <v>0</v>
      </c>
      <c r="E16" s="5"/>
      <c r="F16" s="5">
        <v>0</v>
      </c>
      <c r="G16" s="5">
        <v>0</v>
      </c>
      <c r="H16" s="5">
        <v>0</v>
      </c>
      <c r="I16" s="5">
        <v>0</v>
      </c>
      <c r="J16" s="5"/>
      <c r="K16" s="5">
        <v>0</v>
      </c>
      <c r="L16" s="5">
        <v>0</v>
      </c>
      <c r="M16" s="5">
        <v>0</v>
      </c>
      <c r="N16" s="5"/>
      <c r="O16" s="5"/>
    </row>
    <row r="17" spans="1:15" x14ac:dyDescent="0.35">
      <c r="A17" s="4">
        <v>15</v>
      </c>
      <c r="B17" s="5"/>
      <c r="C17" s="5"/>
      <c r="D17" s="5">
        <v>0</v>
      </c>
      <c r="E17" s="5"/>
      <c r="F17" s="5">
        <v>0</v>
      </c>
      <c r="G17" s="5">
        <v>0</v>
      </c>
      <c r="H17" s="5">
        <v>0</v>
      </c>
      <c r="I17" s="5">
        <v>0</v>
      </c>
      <c r="J17" s="5"/>
      <c r="K17" s="5">
        <v>0</v>
      </c>
      <c r="L17" s="5">
        <v>0</v>
      </c>
      <c r="M17" s="5">
        <v>0</v>
      </c>
      <c r="N17" s="5"/>
      <c r="O17" s="5"/>
    </row>
    <row r="18" spans="1:15" x14ac:dyDescent="0.35">
      <c r="A18" s="4">
        <v>16</v>
      </c>
      <c r="B18" s="5"/>
      <c r="C18" s="5"/>
      <c r="D18" s="5">
        <v>0</v>
      </c>
      <c r="E18" s="5"/>
      <c r="F18" s="5">
        <v>0</v>
      </c>
      <c r="G18" s="5">
        <v>0</v>
      </c>
      <c r="H18" s="5">
        <v>0</v>
      </c>
      <c r="I18" s="5">
        <v>0</v>
      </c>
      <c r="J18" s="5"/>
      <c r="K18" s="5">
        <v>0</v>
      </c>
      <c r="L18" s="5">
        <v>0</v>
      </c>
      <c r="M18" s="5">
        <v>0</v>
      </c>
      <c r="N18" s="5"/>
      <c r="O18" s="5"/>
    </row>
    <row r="19" spans="1:15" x14ac:dyDescent="0.35">
      <c r="A19" s="4">
        <v>17</v>
      </c>
      <c r="B19" s="5"/>
      <c r="C19" s="5"/>
      <c r="D19" s="5">
        <v>0</v>
      </c>
      <c r="E19" s="5"/>
      <c r="F19" s="5">
        <v>0</v>
      </c>
      <c r="G19" s="5">
        <v>0</v>
      </c>
      <c r="H19" s="5">
        <v>0</v>
      </c>
      <c r="I19" s="5">
        <v>0</v>
      </c>
      <c r="J19" s="5"/>
      <c r="K19" s="5">
        <v>0</v>
      </c>
      <c r="L19" s="5">
        <v>0</v>
      </c>
      <c r="M19" s="5">
        <v>0</v>
      </c>
      <c r="N19" s="5"/>
      <c r="O19" s="5"/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purl.org/dc/terms/"/>
    <ds:schemaRef ds:uri="c0c63084-832f-4b13-a501-c844d9f3bfed"/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2024-03-07T00:24:17Z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