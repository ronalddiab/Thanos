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DFF18B72-BC83-4777-A0A7-7A53EBC26D5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X14" i="8" s="1"/>
  <c r="G24" i="8"/>
  <c r="G25" i="8"/>
  <c r="C25" i="8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O23" i="8"/>
  <c r="C23" i="8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 s="1"/>
  <c r="X18" i="2"/>
  <c r="L19" i="3" s="1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N22" i="2"/>
  <c r="N23" i="2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J26" i="4" s="1"/>
  <c r="W27" i="2"/>
  <c r="W2" i="2"/>
  <c r="V3" i="2"/>
  <c r="V4" i="2"/>
  <c r="V5" i="2"/>
  <c r="V9" i="2"/>
  <c r="V10" i="2"/>
  <c r="V11" i="2"/>
  <c r="K12" i="3" s="1"/>
  <c r="V12" i="2"/>
  <c r="J13" i="4" s="1"/>
  <c r="V13" i="2"/>
  <c r="V15" i="2"/>
  <c r="V16" i="2"/>
  <c r="J17" i="4" s="1"/>
  <c r="V17" i="2"/>
  <c r="V18" i="2"/>
  <c r="V19" i="2"/>
  <c r="V20" i="2"/>
  <c r="V22" i="2"/>
  <c r="V23" i="2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L21" i="3"/>
  <c r="C23" i="3"/>
  <c r="C22" i="3"/>
  <c r="N31" i="8"/>
  <c r="H23" i="3"/>
  <c r="D23" i="3"/>
  <c r="J14" i="8"/>
  <c r="C11" i="3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V11" i="8"/>
  <c r="E14" i="3"/>
  <c r="D17" i="8"/>
  <c r="C28" i="3"/>
  <c r="D3" i="3"/>
  <c r="G16" i="4"/>
  <c r="L28" i="3"/>
  <c r="H21" i="3"/>
  <c r="K10" i="4"/>
  <c r="G28" i="4"/>
  <c r="F3" i="3"/>
  <c r="C3" i="4"/>
  <c r="I29" i="3"/>
  <c r="G23" i="4"/>
  <c r="H32" i="4"/>
  <c r="I32" i="4"/>
  <c r="D11" i="3"/>
  <c r="L22" i="3"/>
  <c r="I6" i="3"/>
  <c r="E32" i="3"/>
  <c r="J29" i="4"/>
  <c r="M25" i="3"/>
  <c r="M22" i="3"/>
  <c r="F14" i="3"/>
  <c r="M10" i="3"/>
  <c r="H30" i="2"/>
  <c r="E3" i="3"/>
  <c r="D6" i="3"/>
  <c r="M13" i="3"/>
  <c r="G13" i="4"/>
  <c r="H29" i="2"/>
  <c r="M30" i="3"/>
  <c r="M28" i="3"/>
  <c r="D5" i="3"/>
  <c r="J12" i="4"/>
  <c r="M8" i="3"/>
  <c r="D18" i="4"/>
  <c r="F31" i="3"/>
  <c r="G6" i="4"/>
  <c r="G20" i="4"/>
  <c r="H29" i="4"/>
  <c r="M31" i="3"/>
  <c r="F25" i="3"/>
  <c r="H6" i="3"/>
  <c r="D13" i="3"/>
  <c r="M32" i="3"/>
  <c r="F32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M21" i="3"/>
  <c r="M23" i="3"/>
  <c r="M16" i="3"/>
  <c r="C33" i="3"/>
  <c r="M11" i="3"/>
  <c r="M7" i="3"/>
  <c r="M24" i="3"/>
  <c r="L12" i="3"/>
  <c r="F30" i="3"/>
  <c r="C24" i="4" l="1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G19" i="4"/>
  <c r="I15" i="4"/>
  <c r="J25" i="3"/>
  <c r="K28" i="3"/>
  <c r="J16" i="4"/>
  <c r="J5" i="3"/>
  <c r="X33" i="2"/>
  <c r="H8" i="4"/>
  <c r="H26" i="2"/>
  <c r="F13" i="4"/>
  <c r="F4" i="4"/>
  <c r="I14" i="4"/>
  <c r="H10" i="3"/>
  <c r="I24" i="4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24" i="4" l="1"/>
  <c r="L22" i="4"/>
  <c r="L20" i="4"/>
  <c r="L18" i="4"/>
  <c r="L17" i="4"/>
  <c r="L14" i="4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<sst xmlns="http://schemas.openxmlformats.org/spreadsheetml/2006/main" count="236" uniqueCount="130">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</sst>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-686220.00000000012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13" zoomScale="115" zoomScaleNormal="115" workbookViewId="0">
      <selection activeCell="N23" sqref="N23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>
        <v>80.2</v>
      </c>
      <c r="N15" s="58">
        <v>171</v>
      </c>
      <c r="O15" s="58">
        <v>382</v>
      </c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20149.999999998618</v>
      </c>
      <c r="F16" s="90"/>
      <c r="G16" s="84">
        <v>5592</v>
      </c>
      <c r="H16" s="116"/>
      <c r="I16" s="52">
        <v>400</v>
      </c>
      <c r="J16" s="118"/>
      <c r="K16" s="81"/>
      <c r="L16" s="119"/>
      <c r="M16" s="58">
        <v>76</v>
      </c>
      <c r="N16" s="58">
        <v>154</v>
      </c>
      <c r="O16" s="58">
        <v>395</v>
      </c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23719.999999999036</v>
      </c>
      <c r="F17" s="90"/>
      <c r="G17" s="84">
        <v>6122</v>
      </c>
      <c r="H17" s="116"/>
      <c r="I17" s="52">
        <v>453</v>
      </c>
      <c r="J17" s="118"/>
      <c r="K17" s="81"/>
      <c r="L17" s="119"/>
      <c r="M17" s="58">
        <v>71.900000000000006</v>
      </c>
      <c r="N17" s="58">
        <v>142</v>
      </c>
      <c r="O17" s="58">
        <v>483</v>
      </c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18270.000000000891</v>
      </c>
      <c r="F18" s="90"/>
      <c r="G18" s="84">
        <v>5609</v>
      </c>
      <c r="H18" s="116"/>
      <c r="I18" s="52">
        <v>345</v>
      </c>
      <c r="J18" s="118"/>
      <c r="K18" s="81"/>
      <c r="L18" s="119"/>
      <c r="M18" s="58">
        <v>30.2</v>
      </c>
      <c r="N18" s="58">
        <v>74</v>
      </c>
      <c r="O18" s="58">
        <v>191</v>
      </c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19860.000000001182</v>
      </c>
      <c r="F19" s="90"/>
      <c r="G19" s="84">
        <v>5766</v>
      </c>
      <c r="H19" s="116"/>
      <c r="I19" s="52">
        <v>366</v>
      </c>
      <c r="J19" s="118"/>
      <c r="K19" s="81"/>
      <c r="L19" s="119"/>
      <c r="M19" s="58">
        <v>28.1</v>
      </c>
      <c r="N19" s="58">
        <v>68</v>
      </c>
      <c r="O19" s="58">
        <v>188</v>
      </c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20600.000000000236</v>
      </c>
      <c r="F20" s="90"/>
      <c r="G20" s="84">
        <v>5380</v>
      </c>
      <c r="H20" s="116"/>
      <c r="I20" s="52">
        <v>391</v>
      </c>
      <c r="J20" s="118"/>
      <c r="K20" s="81"/>
      <c r="L20" s="119"/>
      <c r="M20" s="58">
        <v>27.1</v>
      </c>
      <c r="N20" s="58">
        <v>73</v>
      </c>
      <c r="O20" s="58">
        <v>158</v>
      </c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16619.999999998527</v>
      </c>
      <c r="F21" s="90"/>
      <c r="G21" s="84">
        <v>4966</v>
      </c>
      <c r="H21" s="116"/>
      <c r="I21" s="52">
        <v>395</v>
      </c>
      <c r="J21" s="118"/>
      <c r="K21" s="81"/>
      <c r="L21" s="119"/>
      <c r="M21" s="58">
        <v>29.2</v>
      </c>
      <c r="N21" s="58">
        <v>75</v>
      </c>
      <c r="O21" s="58">
        <v>204</v>
      </c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19099.999999999887</v>
      </c>
      <c r="F22" s="90"/>
      <c r="G22" s="84">
        <v>4669</v>
      </c>
      <c r="H22" s="116"/>
      <c r="I22" s="52">
        <v>380</v>
      </c>
      <c r="J22" s="118"/>
      <c r="K22" s="81"/>
      <c r="L22" s="119"/>
      <c r="M22" s="58">
        <v>33.299999999999997</v>
      </c>
      <c r="N22" s="58">
        <v>84</v>
      </c>
      <c r="O22" s="58">
        <v>195</v>
      </c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19250.000000000186</v>
      </c>
      <c r="F23" s="90"/>
      <c r="G23" s="84">
        <v>5418</v>
      </c>
      <c r="H23" s="116"/>
      <c r="I23" s="52">
        <v>368</v>
      </c>
      <c r="J23" s="118"/>
      <c r="K23" s="81"/>
      <c r="L23" s="119"/>
      <c r="M23" s="58">
        <v>37.5</v>
      </c>
      <c r="N23" s="58">
        <v>91</v>
      </c>
      <c r="O23" s="58">
        <v>244</v>
      </c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448830.00000000017</v>
      </c>
      <c r="F33" s="113">
        <v>0</v>
      </c>
      <c r="G33" s="80">
        <f>SUM(G2:G32)</f>
        <v>124585</v>
      </c>
      <c r="H33" s="113">
        <v>0</v>
      </c>
      <c r="I33" s="80">
        <f>SUM(I2:I32)</f>
        <v>9595</v>
      </c>
      <c r="J33" s="113">
        <v>0</v>
      </c>
      <c r="K33" s="79">
        <f>SUM(K2:K31)</f>
        <v>0</v>
      </c>
      <c r="L33" s="120">
        <v>0</v>
      </c>
      <c r="M33" s="80">
        <f>SUM(M2:M32)</f>
        <v>1432.3</v>
      </c>
      <c r="N33" s="80">
        <f>SUM(N2:N32)</f>
        <v>3496</v>
      </c>
      <c r="O33" s="80">
        <f>SUM(O2:O32)</f>
        <v>9455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H19" sqref="H19:W20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570.00000000005002</v>
      </c>
      <c r="F16" s="2">
        <f>('Kwh Reading'!F19-'Kwh Reading'!F18)*1000000</f>
        <v>2600.0000000001578</v>
      </c>
      <c r="G16" s="2">
        <f>('Kwh Reading'!C19-'Kwh Reading'!C18)*1000</f>
        <v>269.99999999998181</v>
      </c>
      <c r="H16" s="2">
        <f t="shared" si="0"/>
        <v>1599.9999999999659</v>
      </c>
      <c r="I16" s="2">
        <f>('Kwh Reading'!J19-'Kwh Reading'!J18)*1000</f>
        <v>730.00000000001819</v>
      </c>
      <c r="J16" s="2">
        <f>('Kwh Reading'!K19-'Kwh Reading'!K18)*1000</f>
        <v>439.99999999994088</v>
      </c>
      <c r="K16" s="2">
        <f>('Kwh Reading'!L19-'Kwh Reading'!L18)*1000</f>
        <v>430.00000000000682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279.99999999997272</v>
      </c>
      <c r="O16" s="2">
        <f>('Kwh Reading'!B19-'Kwh Reading'!B18)*1000000</f>
        <v>1100.000000000101</v>
      </c>
      <c r="P16" s="2">
        <f>('Kwh Reading'!M19-'Kwh Reading'!M18)*1000</f>
        <v>470.00000000002728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600.00000000015598</v>
      </c>
      <c r="T16" s="2">
        <f>('Kwh Reading'!Q19-'Kwh Reading'!Q18)*1000</f>
        <v>409.99999999996817</v>
      </c>
      <c r="U16" s="2">
        <f>('Kwh Reading'!N19-'Kwh Reading'!N18)*1000</f>
        <v>460.00000000003638</v>
      </c>
      <c r="V16" s="26">
        <f>'Kwh Reading'!E19-'Kwh Reading'!E18</f>
        <v>2827.4599999990314</v>
      </c>
      <c r="W16" s="26">
        <f>'Kwh Reading'!D19-'Kwh Reading'!D18</f>
        <v>1626.9499999999825</v>
      </c>
      <c r="X16" s="21">
        <f>('Kwh Reading'!O19-'Kwh Reading'!O18)*1000</f>
        <v>259.99999999999091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559.99999999994543</v>
      </c>
      <c r="F17" s="2">
        <f>('Kwh Reading'!F20-'Kwh Reading'!F19)*1000000</f>
        <v>2699.9999999999245</v>
      </c>
      <c r="G17" s="2">
        <f>('Kwh Reading'!C20-'Kwh Reading'!C19)*1000</f>
        <v>280.00000000002956</v>
      </c>
      <c r="H17" s="2">
        <f t="shared" si="0"/>
        <v>1870.0000000000045</v>
      </c>
      <c r="I17" s="2">
        <f>('Kwh Reading'!J20-'Kwh Reading'!J19)*1000</f>
        <v>919.99999999995907</v>
      </c>
      <c r="J17" s="2">
        <f>('Kwh Reading'!K20-'Kwh Reading'!K19)*1000</f>
        <v>470.00000000002728</v>
      </c>
      <c r="K17" s="2">
        <f>('Kwh Reading'!L20-'Kwh Reading'!L19)*1000</f>
        <v>480.00000000001819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329.99999999998408</v>
      </c>
      <c r="O17" s="2">
        <f>('Kwh Reading'!B20-'Kwh Reading'!B19)*1000000</f>
        <v>1199.9999999998679</v>
      </c>
      <c r="P17" s="2">
        <f>('Kwh Reading'!M20-'Kwh Reading'!M19)*1000</f>
        <v>560.00000000005912</v>
      </c>
      <c r="Q17" s="2">
        <f>('Kwh Reading'!H20-'Kwh Reading'!H19)*1000000</f>
        <v>700.00000000014495</v>
      </c>
      <c r="R17" s="2">
        <f>('Kwh Reading'!P20-'Kwh Reading'!P19)*1000000</f>
        <v>599.99999999993395</v>
      </c>
      <c r="S17" s="2">
        <f>('Kwh Reading'!G20-'Kwh Reading'!G19)*1000000</f>
        <v>599.99999999993395</v>
      </c>
      <c r="T17" s="2">
        <f>('Kwh Reading'!Q20-'Kwh Reading'!Q19)*1000</f>
        <v>460.00000000003638</v>
      </c>
      <c r="U17" s="2">
        <f>('Kwh Reading'!N20-'Kwh Reading'!N19)*1000</f>
        <v>519.99999999998181</v>
      </c>
      <c r="V17" s="26">
        <f>'Kwh Reading'!E20-'Kwh Reading'!E19</f>
        <v>2943.0400000009686</v>
      </c>
      <c r="W17" s="26">
        <f>'Kwh Reading'!D20-'Kwh Reading'!D19</f>
        <v>1847.390000000014</v>
      </c>
      <c r="X17" s="21">
        <f>('Kwh Reading'!O20-'Kwh Reading'!O19)*1000</f>
        <v>250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590.00000000003183</v>
      </c>
      <c r="F18" s="2">
        <f>('Kwh Reading'!F21-'Kwh Reading'!F20)*1000000</f>
        <v>2400.0000000001796</v>
      </c>
      <c r="G18" s="2">
        <f>('Kwh Reading'!C21-'Kwh Reading'!C20)*1000</f>
        <v>269.99999999998181</v>
      </c>
      <c r="H18" s="2">
        <f t="shared" si="0"/>
        <v>1609.9999999999568</v>
      </c>
      <c r="I18" s="2">
        <f>('Kwh Reading'!J21-'Kwh Reading'!J20)*1000</f>
        <v>689.99999999994088</v>
      </c>
      <c r="J18" s="2">
        <f>('Kwh Reading'!K21-'Kwh Reading'!K20)*1000</f>
        <v>460.00000000003638</v>
      </c>
      <c r="K18" s="21">
        <f>('Kwh Reading'!L21-'Kwh Reading'!L20)*1000</f>
        <v>459.99999999997954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300.00000000001137</v>
      </c>
      <c r="O18" s="2">
        <f>('Kwh Reading'!B21-'Kwh Reading'!B20)*1000000</f>
        <v>1200.0000000000898</v>
      </c>
      <c r="P18" s="2">
        <f>('Kwh Reading'!M21-'Kwh Reading'!M20)*1000</f>
        <v>429.99999999994998</v>
      </c>
      <c r="Q18" s="2">
        <f>('Kwh Reading'!H21-'Kwh Reading'!H20)*1000000</f>
        <v>499.99999999994492</v>
      </c>
      <c r="R18" s="2">
        <f>('Kwh Reading'!P21-'Kwh Reading'!P20)*1000000</f>
        <v>499.99999999994492</v>
      </c>
      <c r="S18" s="2">
        <f>('Kwh Reading'!G21-'Kwh Reading'!G20)*1000000</f>
        <v>499.99999999994492</v>
      </c>
      <c r="T18" s="2">
        <f>('Kwh Reading'!Q21-'Kwh Reading'!Q20)*1000</f>
        <v>389.99999999998636</v>
      </c>
      <c r="U18" s="2">
        <f>('Kwh Reading'!N21-'Kwh Reading'!N20)*1000</f>
        <v>399.99999999997726</v>
      </c>
      <c r="V18" s="26">
        <f>'Kwh Reading'!E21-'Kwh Reading'!E20</f>
        <v>2974.6399999987334</v>
      </c>
      <c r="W18" s="26">
        <f>'Kwh Reading'!D21-'Kwh Reading'!D20</f>
        <v>1636.7200000000012</v>
      </c>
      <c r="X18" s="21">
        <f>('Kwh Reading'!O21-'Kwh Reading'!O20)*1000</f>
        <v>220.00000000002728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549.99999999995453</v>
      </c>
      <c r="F19" s="2">
        <f>('Kwh Reading'!F22-'Kwh Reading'!F21)*1000000</f>
        <v>2699.9999999999245</v>
      </c>
      <c r="G19" s="2">
        <f>('Kwh Reading'!C22-'Kwh Reading'!C21)*1000</f>
        <v>270.00000000003865</v>
      </c>
      <c r="H19" s="2">
        <f t="shared" si="0"/>
        <v>1170.0000000000728</v>
      </c>
      <c r="I19" s="2">
        <f>('Kwh Reading'!J22-'Kwh Reading'!J21)*1000</f>
        <v>460.00000000003638</v>
      </c>
      <c r="J19" s="2">
        <f>('Kwh Reading'!K22-'Kwh Reading'!K21)*1000</f>
        <v>379.99999999999545</v>
      </c>
      <c r="K19" s="2">
        <f>('Kwh Reading'!L22-'Kwh Reading'!L21)*1000</f>
        <v>330.00000000004093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310.00000000000227</v>
      </c>
      <c r="O19" s="2">
        <f>('Kwh Reading'!B22-'Kwh Reading'!B21)*1000000</f>
        <v>1199.9999999998679</v>
      </c>
      <c r="P19" s="2">
        <f>('Kwh Reading'!M22-'Kwh Reading'!M21)*1000</f>
        <v>490.00000000000909</v>
      </c>
      <c r="Q19" s="2">
        <f>('Kwh Reading'!H22-'Kwh Reading'!H21)*1000000</f>
        <v>699.99999999992292</v>
      </c>
      <c r="R19" s="2">
        <f>('Kwh Reading'!P22-'Kwh Reading'!P21)*1000000</f>
        <v>500.00000000016701</v>
      </c>
      <c r="S19" s="2">
        <f>('Kwh Reading'!G22-'Kwh Reading'!G21)*1000000</f>
        <v>600.00000000015598</v>
      </c>
      <c r="T19" s="2">
        <f>('Kwh Reading'!Q22-'Kwh Reading'!Q21)*1000</f>
        <v>399.99999999997726</v>
      </c>
      <c r="U19" s="2">
        <f>('Kwh Reading'!N22-'Kwh Reading'!N21)*1000</f>
        <v>450.00000000004547</v>
      </c>
      <c r="V19" s="26">
        <f>'Kwh Reading'!E22-'Kwh Reading'!E21</f>
        <v>2984.7000000011176</v>
      </c>
      <c r="W19" s="26">
        <f>'Kwh Reading'!D22-'Kwh Reading'!D21</f>
        <v>1700.9499999999825</v>
      </c>
      <c r="X19" s="21">
        <f>('Kwh Reading'!O22-'Kwh Reading'!O21)*1000</f>
        <v>229.99999999996135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440.00000000005457</v>
      </c>
      <c r="F20" s="2">
        <f>('Kwh Reading'!F23-'Kwh Reading'!F22)*1000000</f>
        <v>2499.9999999999468</v>
      </c>
      <c r="G20" s="2">
        <f>('Kwh Reading'!C23-'Kwh Reading'!C22)*1000</f>
        <v>269.99999999998181</v>
      </c>
      <c r="H20" s="2">
        <f t="shared" si="0"/>
        <v>1060.0000000000023</v>
      </c>
      <c r="I20" s="2">
        <f>('Kwh Reading'!J23-'Kwh Reading'!J22)*1000</f>
        <v>440.00000000005457</v>
      </c>
      <c r="J20" s="2">
        <f>('Kwh Reading'!K23-'Kwh Reading'!K22)*1000</f>
        <v>299.99999999995453</v>
      </c>
      <c r="K20" s="2">
        <f>('Kwh Reading'!L23-'Kwh Reading'!L22)*1000</f>
        <v>319.99999999999318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300.00000000001137</v>
      </c>
      <c r="O20" s="2">
        <f>('Kwh Reading'!B23-'Kwh Reading'!B22)*1000000</f>
        <v>1200.0000000000898</v>
      </c>
      <c r="P20" s="21">
        <f>('Kwh Reading'!M23-'Kwh Reading'!M22)*1000</f>
        <v>450.00000000004547</v>
      </c>
      <c r="Q20" s="2">
        <f>('Kwh Reading'!H23-'Kwh Reading'!H22)*1000000</f>
        <v>599.99999999993395</v>
      </c>
      <c r="R20" s="2">
        <f>('Kwh Reading'!P23-'Kwh Reading'!P22)*1000000</f>
        <v>499.99999999994492</v>
      </c>
      <c r="S20" s="2">
        <f>('Kwh Reading'!G23-'Kwh Reading'!G22)*1000000</f>
        <v>499.99999999994492</v>
      </c>
      <c r="T20" s="2">
        <f>('Kwh Reading'!Q23-'Kwh Reading'!Q22)*1000</f>
        <v>379.99999999999545</v>
      </c>
      <c r="U20" s="2">
        <f>('Kwh Reading'!N23-'Kwh Reading'!N22)*1000</f>
        <v>399.99999999997726</v>
      </c>
      <c r="V20" s="26">
        <f>'Kwh Reading'!E23-'Kwh Reading'!E22</f>
        <v>2789.359999999404</v>
      </c>
      <c r="W20" s="26">
        <f>'Kwh Reading'!D23-'Kwh Reading'!D22</f>
        <v>1772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450.00000000004547</v>
      </c>
      <c r="F21" s="2">
        <f>('Kwh Reading'!F24-'Kwh Reading'!F23)*1000000</f>
        <v>2499.9999999999468</v>
      </c>
      <c r="G21" s="2">
        <f>('Kwh Reading'!C24-'Kwh Reading'!C23)*1000</f>
        <v>230.00000000001819</v>
      </c>
      <c r="H21" s="2">
        <f t="shared" si="0"/>
        <v>979.9999999999045</v>
      </c>
      <c r="I21" s="2">
        <f>('Kwh Reading'!J24-'Kwh Reading'!J23)*1000</f>
        <v>439.99999999994088</v>
      </c>
      <c r="J21" s="2">
        <f>('Kwh Reading'!K24-'Kwh Reading'!K23)*1000</f>
        <v>269.99999999998181</v>
      </c>
      <c r="K21" s="2">
        <f>('Kwh Reading'!L24-'Kwh Reading'!L23)*1000</f>
        <v>269.99999999998181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290.00000000002046</v>
      </c>
      <c r="O21" s="2">
        <f>('Kwh Reading'!B24-'Kwh Reading'!B23)*1000000</f>
        <v>1100.000000000101</v>
      </c>
      <c r="P21" s="2">
        <f>('Kwh Reading'!M24-'Kwh Reading'!M23)*1000</f>
        <v>419.99999999995907</v>
      </c>
      <c r="Q21" s="2">
        <f>('Kwh Reading'!H24-'Kwh Reading'!H23)*1000000</f>
        <v>500.00000000016701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340.00000000003183</v>
      </c>
      <c r="V21" s="26">
        <f>'Kwh Reading'!E24-'Kwh Reading'!E23</f>
        <v>2407.8100000005215</v>
      </c>
      <c r="W21" s="110">
        <f>'Kwh Reading'!D24-'Kwh Reading'!D23</f>
        <v>1323.75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500</v>
      </c>
      <c r="F22" s="2">
        <f>('Kwh Reading'!F25-'Kwh Reading'!F24)*1000000</f>
        <v>2499.9999999999468</v>
      </c>
      <c r="G22" s="2">
        <f>('Kwh Reading'!C25-'Kwh Reading'!C24)*1000</f>
        <v>259.99999999999091</v>
      </c>
      <c r="H22" s="2">
        <f t="shared" si="0"/>
        <v>1180.0000000000068</v>
      </c>
      <c r="I22" s="2">
        <f>('Kwh Reading'!J25-'Kwh Reading'!J24)*1000</f>
        <v>519.99999999998181</v>
      </c>
      <c r="J22" s="2">
        <f>('Kwh Reading'!K25-'Kwh Reading'!K24)*1000</f>
        <v>350.00000000002274</v>
      </c>
      <c r="K22" s="2">
        <f>('Kwh Reading'!L25-'Kwh Reading'!L24)*1000</f>
        <v>310.00000000000227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259.99999999999091</v>
      </c>
      <c r="O22" s="2">
        <f>('Kwh Reading'!B25-'Kwh Reading'!B24)*1000000</f>
        <v>999.99999999988984</v>
      </c>
      <c r="P22" s="2">
        <f>('Kwh Reading'!M25-'Kwh Reading'!M24)*1000</f>
        <v>340.00000000003183</v>
      </c>
      <c r="Q22" s="2">
        <f>('Kwh Reading'!H25-'Kwh Reading'!H24)*1000000</f>
        <v>499.99999999994492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299.99999999995453</v>
      </c>
      <c r="U22" s="2">
        <f>('Kwh Reading'!N25-'Kwh Reading'!N24)*1000</f>
        <v>309.99999999994543</v>
      </c>
      <c r="V22" s="2">
        <f>'Kwh Reading'!E25-'Kwh Reading'!E24</f>
        <v>1892.859999999404</v>
      </c>
      <c r="W22" s="2">
        <f>'Kwh Reading'!D25-'Kwh Reading'!D24</f>
        <v>1274.8300000000163</v>
      </c>
      <c r="X22" s="21">
        <f>('Kwh Reading'!O25-'Kwh Reading'!O24)*1000</f>
        <v>240.00000000000909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489.99999999989541</v>
      </c>
      <c r="F23" s="2">
        <f>('Kwh Reading'!F26-'Kwh Reading'!F25)*1000000</f>
        <v>2400.0000000001796</v>
      </c>
      <c r="G23" s="2">
        <f>('Kwh Reading'!C26-'Kwh Reading'!C25)*1000</f>
        <v>269.99999999998181</v>
      </c>
      <c r="H23" s="2">
        <f t="shared" si="0"/>
        <v>1110.0000000000136</v>
      </c>
      <c r="I23" s="2">
        <f>('Kwh Reading'!J26-'Kwh Reading'!J25)*1000</f>
        <v>580.00000000004093</v>
      </c>
      <c r="J23" s="2">
        <f>('Kwh Reading'!K26-'Kwh Reading'!K25)*1000</f>
        <v>269.99999999998181</v>
      </c>
      <c r="K23" s="2">
        <f>('Kwh Reading'!L26-'Kwh Reading'!L25)*1000</f>
        <v>259.99999999999091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300.00000000001137</v>
      </c>
      <c r="O23" s="2">
        <f>('Kwh Reading'!B26-'Kwh Reading'!B25)*1000000</f>
        <v>1100.000000000101</v>
      </c>
      <c r="P23" s="2">
        <f>('Kwh Reading'!M26-'Kwh Reading'!M25)*1000</f>
        <v>449.99999999993179</v>
      </c>
      <c r="Q23" s="2">
        <f>('Kwh Reading'!H26-'Kwh Reading'!H25)*1000000</f>
        <v>699.99999999992292</v>
      </c>
      <c r="R23" s="2">
        <f>('Kwh Reading'!P26-'Kwh Reading'!P25)*1000000</f>
        <v>499.99999999994492</v>
      </c>
      <c r="S23" s="2">
        <f>('Kwh Reading'!G26-'Kwh Reading'!G25)*1000000</f>
        <v>600.00000000015598</v>
      </c>
      <c r="T23" s="2">
        <f>('Kwh Reading'!Q26-'Kwh Reading'!Q25)*1000</f>
        <v>340.00000000003183</v>
      </c>
      <c r="U23" s="2">
        <f>('Kwh Reading'!N26-'Kwh Reading'!N25)*1000</f>
        <v>399.99999999997726</v>
      </c>
      <c r="V23" s="2">
        <f>'Kwh Reading'!E26-'Kwh Reading'!E25</f>
        <v>2692.1300000008196</v>
      </c>
      <c r="W23" s="2">
        <f>'Kwh Reading'!D26-'Kwh Reading'!D25</f>
        <v>1806.9100000000035</v>
      </c>
      <c r="X23" s="21">
        <f>('Kwh Reading'!O26-'Kwh Reading'!O25)*1000</f>
        <v>189.99999999999773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-698180</v>
      </c>
      <c r="F24" s="2">
        <f>('Kwh Reading'!F27-'Kwh Reading'!F26)*1000000</f>
        <v>-3866400</v>
      </c>
      <c r="G24" s="2">
        <f>('Kwh Reading'!C27-'Kwh Reading'!C26)*1000</f>
        <v>-374000</v>
      </c>
      <c r="H24" s="2">
        <f t="shared" si="0"/>
        <v>-1495420</v>
      </c>
      <c r="I24" s="2">
        <f>('Kwh Reading'!J27-'Kwh Reading'!J26)*1000</f>
        <v>-586250</v>
      </c>
      <c r="J24" s="2">
        <f>('Kwh Reading'!K27-'Kwh Reading'!K26)*1000</f>
        <v>-535410</v>
      </c>
      <c r="K24" s="2">
        <f>('Kwh Reading'!L27-'Kwh Reading'!L26)*1000</f>
        <v>-373760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-406790</v>
      </c>
      <c r="O24" s="2">
        <f>('Kwh Reading'!B27-'Kwh Reading'!B26)*1000000</f>
        <v>-1626100</v>
      </c>
      <c r="P24" s="2">
        <f>('Kwh Reading'!M27-'Kwh Reading'!M26)*1000</f>
        <v>-898160</v>
      </c>
      <c r="Q24" s="2">
        <f>('Kwh Reading'!H27-'Kwh Reading'!H26)*1000000</f>
        <v>-1123500</v>
      </c>
      <c r="R24" s="2">
        <f>('Kwh Reading'!P27-'Kwh Reading'!P26)*1000000</f>
        <v>-1087600</v>
      </c>
      <c r="S24" s="2">
        <f>('Kwh Reading'!G27-'Kwh Reading'!G26)*1000000</f>
        <v>-1192900</v>
      </c>
      <c r="T24" s="2">
        <f>('Kwh Reading'!Q27-'Kwh Reading'!Q26)*1000</f>
        <v>-788140</v>
      </c>
      <c r="U24" s="2">
        <f>('Kwh Reading'!N27-'Kwh Reading'!N26)*1000</f>
        <v>-811160</v>
      </c>
      <c r="V24" s="2">
        <f>'Kwh Reading'!E27-'Kwh Reading'!E26</f>
        <v>-9700860.9800000004</v>
      </c>
      <c r="W24" s="2">
        <f>'Kwh Reading'!D27-'Kwh Reading'!D26</f>
        <v>-169872.45</v>
      </c>
      <c r="X24" s="21">
        <f>('Kwh Reading'!O27-'Kwh Reading'!O26)*1000</f>
        <v>-274380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-686220.00000000012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-568930</v>
      </c>
      <c r="J33" s="60">
        <f t="shared" ref="J33:X33" si="2">SUM(J2:J31)</f>
        <v>-525350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-400019.99999999994</v>
      </c>
      <c r="O33" s="60">
        <f t="shared" si="2"/>
        <v>-1601900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26" sqref="T2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1.6181000000000001</v>
      </c>
      <c r="C19" s="85">
        <v>372.15</v>
      </c>
      <c r="D19" s="85">
        <v>158509.9</v>
      </c>
      <c r="E19" s="85">
        <v>9682176.4399999995</v>
      </c>
      <c r="F19" s="85">
        <v>3.8487</v>
      </c>
      <c r="G19" s="85">
        <v>1.1891</v>
      </c>
      <c r="H19" s="85">
        <v>1.1193</v>
      </c>
      <c r="I19" s="85">
        <v>404.7</v>
      </c>
      <c r="J19" s="85">
        <v>582.20000000000005</v>
      </c>
      <c r="K19" s="85">
        <v>532.91</v>
      </c>
      <c r="L19" s="85">
        <v>371.33</v>
      </c>
      <c r="M19" s="85">
        <v>895.02</v>
      </c>
      <c r="N19" s="85">
        <v>808.34</v>
      </c>
      <c r="O19" s="85">
        <v>272.83</v>
      </c>
      <c r="P19" s="85">
        <v>1.0842000000000001</v>
      </c>
      <c r="Q19" s="85">
        <v>785.52</v>
      </c>
      <c r="R19" s="85">
        <v>0</v>
      </c>
      <c r="S19" s="85">
        <v>0</v>
      </c>
      <c r="T19" s="85">
        <v>694.6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1.6193</v>
      </c>
      <c r="C20" s="85">
        <v>372.43</v>
      </c>
      <c r="D20" s="85">
        <v>160357.29</v>
      </c>
      <c r="E20" s="85">
        <v>9685119.4800000004</v>
      </c>
      <c r="F20" s="85">
        <v>3.8513999999999999</v>
      </c>
      <c r="G20" s="85">
        <v>1.1897</v>
      </c>
      <c r="H20" s="85">
        <v>1.1200000000000001</v>
      </c>
      <c r="I20" s="85">
        <v>405.03</v>
      </c>
      <c r="J20" s="85">
        <v>583.12</v>
      </c>
      <c r="K20" s="85">
        <v>533.38</v>
      </c>
      <c r="L20" s="85">
        <v>371.81</v>
      </c>
      <c r="M20" s="85">
        <v>895.58</v>
      </c>
      <c r="N20" s="85">
        <v>808.86</v>
      </c>
      <c r="O20" s="85">
        <v>273.08</v>
      </c>
      <c r="P20" s="85">
        <v>1.0848</v>
      </c>
      <c r="Q20" s="85">
        <v>785.98</v>
      </c>
      <c r="R20" s="85">
        <v>0</v>
      </c>
      <c r="S20" s="85">
        <v>0</v>
      </c>
      <c r="T20" s="85">
        <v>695.16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1.6205000000000001</v>
      </c>
      <c r="C21" s="85">
        <v>372.7</v>
      </c>
      <c r="D21" s="85">
        <v>161994.01</v>
      </c>
      <c r="E21" s="85">
        <v>9688094.1199999992</v>
      </c>
      <c r="F21" s="85">
        <v>3.8538000000000001</v>
      </c>
      <c r="G21" s="85">
        <v>1.1901999999999999</v>
      </c>
      <c r="H21" s="85">
        <v>1.1205000000000001</v>
      </c>
      <c r="I21" s="85">
        <v>405.33</v>
      </c>
      <c r="J21" s="85">
        <v>583.80999999999995</v>
      </c>
      <c r="K21" s="85">
        <v>533.84</v>
      </c>
      <c r="L21" s="85">
        <v>372.27</v>
      </c>
      <c r="M21" s="85">
        <v>896.01</v>
      </c>
      <c r="N21" s="85">
        <v>809.26</v>
      </c>
      <c r="O21" s="85">
        <v>273.3</v>
      </c>
      <c r="P21" s="85">
        <v>1.0852999999999999</v>
      </c>
      <c r="Q21" s="85">
        <v>786.37</v>
      </c>
      <c r="R21" s="85">
        <v>0</v>
      </c>
      <c r="S21" s="85">
        <v>0</v>
      </c>
      <c r="T21" s="85">
        <v>695.75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1.6216999999999999</v>
      </c>
      <c r="C22" s="85">
        <v>372.97</v>
      </c>
      <c r="D22" s="85">
        <v>163694.96</v>
      </c>
      <c r="E22" s="85">
        <v>9691078.8200000003</v>
      </c>
      <c r="F22" s="85">
        <v>3.8565</v>
      </c>
      <c r="G22" s="85">
        <v>1.1908000000000001</v>
      </c>
      <c r="H22" s="85">
        <v>1.1212</v>
      </c>
      <c r="I22" s="85">
        <v>405.64</v>
      </c>
      <c r="J22" s="85">
        <v>584.27</v>
      </c>
      <c r="K22" s="85">
        <v>534.22</v>
      </c>
      <c r="L22" s="85">
        <v>372.6</v>
      </c>
      <c r="M22" s="85">
        <v>896.5</v>
      </c>
      <c r="N22" s="85">
        <v>809.71</v>
      </c>
      <c r="O22" s="85">
        <v>273.52999999999997</v>
      </c>
      <c r="P22" s="85">
        <v>1.0858000000000001</v>
      </c>
      <c r="Q22" s="85">
        <v>786.77</v>
      </c>
      <c r="R22" s="85">
        <v>0</v>
      </c>
      <c r="S22" s="85">
        <v>0</v>
      </c>
      <c r="T22" s="85">
        <v>696.3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1.6229</v>
      </c>
      <c r="C23" s="85">
        <v>373.24</v>
      </c>
      <c r="D23" s="85">
        <v>165466.96</v>
      </c>
      <c r="E23" s="85">
        <v>9693868.1799999997</v>
      </c>
      <c r="F23" s="85">
        <v>3.859</v>
      </c>
      <c r="G23" s="85">
        <v>1.1913</v>
      </c>
      <c r="H23" s="85">
        <v>1.1217999999999999</v>
      </c>
      <c r="I23" s="85">
        <v>405.94</v>
      </c>
      <c r="J23" s="85">
        <v>584.71</v>
      </c>
      <c r="K23" s="85">
        <v>534.52</v>
      </c>
      <c r="L23" s="85">
        <v>372.92</v>
      </c>
      <c r="M23" s="85">
        <v>896.95</v>
      </c>
      <c r="N23" s="85">
        <v>810.11</v>
      </c>
      <c r="O23" s="85">
        <v>273.75</v>
      </c>
      <c r="P23" s="85">
        <v>1.0863</v>
      </c>
      <c r="Q23" s="85">
        <v>787.15</v>
      </c>
      <c r="R23" s="85">
        <v>0</v>
      </c>
      <c r="S23" s="85">
        <v>0</v>
      </c>
      <c r="T23" s="85">
        <v>696.74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1.6240000000000001</v>
      </c>
      <c r="C24" s="85">
        <v>373.47</v>
      </c>
      <c r="D24" s="85">
        <v>166790.71</v>
      </c>
      <c r="E24" s="85">
        <v>9696275.9900000002</v>
      </c>
      <c r="F24" s="85">
        <v>3.8614999999999999</v>
      </c>
      <c r="G24" s="85">
        <v>1.1918</v>
      </c>
      <c r="H24" s="85">
        <v>1.1223000000000001</v>
      </c>
      <c r="I24" s="85">
        <v>406.23</v>
      </c>
      <c r="J24" s="85">
        <v>585.15</v>
      </c>
      <c r="K24" s="85">
        <v>534.79</v>
      </c>
      <c r="L24" s="85">
        <v>373.19</v>
      </c>
      <c r="M24" s="85">
        <v>897.37</v>
      </c>
      <c r="N24" s="85">
        <v>810.45</v>
      </c>
      <c r="O24" s="85">
        <v>273.95</v>
      </c>
      <c r="P24" s="85">
        <v>1.0867</v>
      </c>
      <c r="Q24" s="85">
        <v>787.5</v>
      </c>
      <c r="R24" s="85">
        <v>0</v>
      </c>
      <c r="S24" s="85">
        <v>0</v>
      </c>
      <c r="T24" s="85">
        <v>697.19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1.625</v>
      </c>
      <c r="C25" s="85">
        <v>373.73</v>
      </c>
      <c r="D25" s="85">
        <v>168065.54</v>
      </c>
      <c r="E25" s="85">
        <v>9698168.8499999996</v>
      </c>
      <c r="F25" s="85">
        <v>3.8639999999999999</v>
      </c>
      <c r="G25" s="85">
        <v>1.1922999999999999</v>
      </c>
      <c r="H25" s="85">
        <v>1.1228</v>
      </c>
      <c r="I25" s="85">
        <v>406.49</v>
      </c>
      <c r="J25" s="85">
        <v>585.66999999999996</v>
      </c>
      <c r="K25" s="85">
        <v>535.14</v>
      </c>
      <c r="L25" s="85">
        <v>373.5</v>
      </c>
      <c r="M25" s="85">
        <v>897.71</v>
      </c>
      <c r="N25" s="85">
        <v>810.76</v>
      </c>
      <c r="O25" s="85">
        <v>274.19</v>
      </c>
      <c r="P25" s="85">
        <v>1.0871</v>
      </c>
      <c r="Q25" s="85">
        <v>787.8</v>
      </c>
      <c r="R25" s="85">
        <v>0</v>
      </c>
      <c r="S25" s="85">
        <v>0</v>
      </c>
      <c r="T25" s="85">
        <v>697.69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1.6261000000000001</v>
      </c>
      <c r="C26" s="85">
        <v>374</v>
      </c>
      <c r="D26" s="85">
        <v>169872.45</v>
      </c>
      <c r="E26" s="85">
        <v>9700860.9800000004</v>
      </c>
      <c r="F26" s="85">
        <v>3.8664000000000001</v>
      </c>
      <c r="G26" s="85">
        <v>1.1929000000000001</v>
      </c>
      <c r="H26" s="85">
        <v>1.1234999999999999</v>
      </c>
      <c r="I26" s="85">
        <v>406.79</v>
      </c>
      <c r="J26" s="85">
        <v>586.25</v>
      </c>
      <c r="K26" s="85">
        <v>535.41</v>
      </c>
      <c r="L26" s="85">
        <v>373.76</v>
      </c>
      <c r="M26" s="85">
        <v>898.16</v>
      </c>
      <c r="N26" s="85">
        <v>811.16</v>
      </c>
      <c r="O26" s="85">
        <v>274.38</v>
      </c>
      <c r="P26" s="85">
        <v>1.0875999999999999</v>
      </c>
      <c r="Q26" s="85">
        <v>788.14</v>
      </c>
      <c r="R26" s="85">
        <v>0</v>
      </c>
      <c r="S26" s="85">
        <v>0</v>
      </c>
      <c r="T26" s="85">
        <v>698.18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4" sqref="C24:J24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20149.999999998618</v>
      </c>
      <c r="C17" s="1">
        <f>Submeters!E16</f>
        <v>570.00000000005002</v>
      </c>
      <c r="D17" s="1">
        <f>Submeters!F16</f>
        <v>2600.0000000001578</v>
      </c>
      <c r="E17" s="1">
        <f>Submeters!G16</f>
        <v>269.99999999998181</v>
      </c>
      <c r="F17" s="1">
        <f>(Submeters!I16+Submeters!J16+Submeters!K16)</f>
        <v>1599.9999999999659</v>
      </c>
      <c r="G17" s="1">
        <f>(Submeters!L16+Submeters!M16)</f>
        <v>0</v>
      </c>
      <c r="H17" s="1">
        <f>(Submeters!N16+Submeters!O16)</f>
        <v>1380.0000000000737</v>
      </c>
      <c r="I17" s="1">
        <f>(Submeters!P16+Submeters!Q16+Submeters!R16+Submeters!S16+Submeters!T16+Submeters!U16)</f>
        <v>3040.0000000000668</v>
      </c>
      <c r="J17" s="1">
        <f>(Submeters!V16+Submeters!W16)</f>
        <v>4454.409999999014</v>
      </c>
      <c r="K17" s="1">
        <f>Submeters!X16</f>
        <v>259.99999999999091</v>
      </c>
      <c r="L17" s="24">
        <f t="shared" si="0"/>
        <v>5975.5899999993162</v>
      </c>
    </row>
    <row r="18" spans="1:12" x14ac:dyDescent="0.25">
      <c r="A18" s="10">
        <f>'Kwh Reading'!A19</f>
        <v>44942</v>
      </c>
      <c r="B18" s="65">
        <f>TOTAL!E17</f>
        <v>23719.999999999036</v>
      </c>
      <c r="C18" s="1">
        <f>Submeters!E17</f>
        <v>559.99999999994543</v>
      </c>
      <c r="D18" s="1">
        <f>Submeters!F17</f>
        <v>2699.9999999999245</v>
      </c>
      <c r="E18" s="1">
        <f>Submeters!G17</f>
        <v>280.00000000002956</v>
      </c>
      <c r="F18" s="1">
        <f>(Submeters!I17+Submeters!J17+Submeters!K17)</f>
        <v>1870.0000000000045</v>
      </c>
      <c r="G18" s="1">
        <f>(Submeters!L17+Submeters!M17)</f>
        <v>0</v>
      </c>
      <c r="H18" s="1">
        <f>(Submeters!N17+Submeters!O17)</f>
        <v>1529.999999999852</v>
      </c>
      <c r="I18" s="1">
        <f>(Submeters!P17+Submeters!Q17+Submeters!R17+Submeters!S17+Submeters!T17+Submeters!U17)</f>
        <v>3440.0000000000905</v>
      </c>
      <c r="J18" s="1">
        <f>(Submeters!V17+Submeters!W17)</f>
        <v>4790.4300000009825</v>
      </c>
      <c r="K18" s="1">
        <f>Submeters!X17</f>
        <v>250</v>
      </c>
      <c r="L18" s="24">
        <f t="shared" si="0"/>
        <v>8299.5699999982098</v>
      </c>
    </row>
    <row r="19" spans="1:12" x14ac:dyDescent="0.25">
      <c r="A19" s="10">
        <f>'Kwh Reading'!A20</f>
        <v>44943</v>
      </c>
      <c r="B19" s="65">
        <f>TOTAL!E18</f>
        <v>18270.000000000891</v>
      </c>
      <c r="C19" s="1">
        <f>Submeters!E18</f>
        <v>590.00000000003183</v>
      </c>
      <c r="D19" s="1">
        <f>Submeters!F18</f>
        <v>2400.0000000001796</v>
      </c>
      <c r="E19" s="1">
        <f>Submeters!G18</f>
        <v>269.99999999998181</v>
      </c>
      <c r="F19" s="1">
        <f>(Submeters!I18+Submeters!J18+Submeters!K18)</f>
        <v>1609.9999999999568</v>
      </c>
      <c r="G19" s="1">
        <f>(Submeters!L18+Submeters!M18)</f>
        <v>0</v>
      </c>
      <c r="H19" s="1">
        <f>(Submeters!N18+Submeters!O18)</f>
        <v>1500.0000000001012</v>
      </c>
      <c r="I19" s="1">
        <f>(Submeters!P18+Submeters!Q18+Submeters!R18+Submeters!S18+Submeters!T18+Submeters!U18)</f>
        <v>2719.9999999997485</v>
      </c>
      <c r="J19" s="1">
        <f>(Submeters!V18+Submeters!W18)</f>
        <v>4611.3599999987346</v>
      </c>
      <c r="K19" s="1">
        <f>Submeters!X18</f>
        <v>220.00000000002728</v>
      </c>
      <c r="L19" s="24">
        <f t="shared" si="0"/>
        <v>4348.6400000021276</v>
      </c>
    </row>
    <row r="20" spans="1:12" x14ac:dyDescent="0.25">
      <c r="A20" s="10">
        <f>'Kwh Reading'!A21</f>
        <v>44944</v>
      </c>
      <c r="B20" s="65">
        <f>TOTAL!E19</f>
        <v>19860.000000001182</v>
      </c>
      <c r="C20" s="1">
        <f>Submeters!E19</f>
        <v>549.99999999995453</v>
      </c>
      <c r="D20" s="1">
        <f>Submeters!F19</f>
        <v>2699.9999999999245</v>
      </c>
      <c r="E20" s="1">
        <f>Submeters!G19</f>
        <v>270.00000000003865</v>
      </c>
      <c r="F20" s="1">
        <f>(Submeters!I19+Submeters!J19+Submeters!K19)</f>
        <v>1170.0000000000728</v>
      </c>
      <c r="G20" s="1">
        <f>(Submeters!L19+Submeters!M19)</f>
        <v>0</v>
      </c>
      <c r="H20" s="1">
        <f>(Submeters!N19+Submeters!O19)</f>
        <v>1509.9999999998702</v>
      </c>
      <c r="I20" s="1">
        <f>(Submeters!P19+Submeters!Q19+Submeters!R19+Submeters!S19+Submeters!T19+Submeters!U19)</f>
        <v>3140.0000000002779</v>
      </c>
      <c r="J20" s="1">
        <f>(Submeters!V19+Submeters!W19)</f>
        <v>4685.6500000011001</v>
      </c>
      <c r="K20" s="1">
        <f>Submeters!X19</f>
        <v>229.99999999996135</v>
      </c>
      <c r="L20" s="24">
        <f t="shared" si="0"/>
        <v>5604.349999999984</v>
      </c>
    </row>
    <row r="21" spans="1:12" x14ac:dyDescent="0.25">
      <c r="A21" s="10">
        <f>'Kwh Reading'!A22</f>
        <v>44945</v>
      </c>
      <c r="B21" s="65">
        <f>TOTAL!E20</f>
        <v>20600.000000000236</v>
      </c>
      <c r="C21" s="1">
        <f>Submeters!E20</f>
        <v>440.00000000005457</v>
      </c>
      <c r="D21" s="1">
        <f>Submeters!F20</f>
        <v>2499.9999999999468</v>
      </c>
      <c r="E21" s="1">
        <f>Submeters!G20</f>
        <v>269.99999999998181</v>
      </c>
      <c r="F21" s="1">
        <f>(Submeters!I20+Submeters!J20+Submeters!K20)</f>
        <v>1060.0000000000023</v>
      </c>
      <c r="G21" s="1">
        <f>(Submeters!L20+Submeters!M20)</f>
        <v>0</v>
      </c>
      <c r="H21" s="1">
        <f>(Submeters!N20+Submeters!O20)</f>
        <v>1500.0000000001012</v>
      </c>
      <c r="I21" s="1">
        <f>(Submeters!P20+Submeters!Q20+Submeters!R20+Submeters!S20+Submeters!T20+Submeters!U20)</f>
        <v>2829.9999999998422</v>
      </c>
      <c r="J21" s="1">
        <f>(Submeters!V20+Submeters!W20)</f>
        <v>4561.359999999404</v>
      </c>
      <c r="K21" s="1">
        <f>Submeters!X20</f>
        <v>220.00000000002728</v>
      </c>
      <c r="L21" s="24">
        <f t="shared" si="0"/>
        <v>7218.640000000878</v>
      </c>
    </row>
    <row r="22" spans="1:12" x14ac:dyDescent="0.25">
      <c r="A22" s="10">
        <f>'Kwh Reading'!A23</f>
        <v>44946</v>
      </c>
      <c r="B22" s="65">
        <f>TOTAL!E21</f>
        <v>16619.999999998527</v>
      </c>
      <c r="C22" s="1">
        <f>Submeters!E21</f>
        <v>450.00000000004547</v>
      </c>
      <c r="D22" s="1">
        <f>Submeters!F21</f>
        <v>2499.9999999999468</v>
      </c>
      <c r="E22" s="1">
        <f>Submeters!G21</f>
        <v>230.00000000001819</v>
      </c>
      <c r="F22" s="1">
        <f>(Submeters!I21+Submeters!J21+Submeters!K21)</f>
        <v>979.9999999999045</v>
      </c>
      <c r="G22" s="1">
        <f>(Submeters!L21+Submeters!M21)</f>
        <v>0</v>
      </c>
      <c r="H22" s="1">
        <f>(Submeters!N21+Submeters!O21)</f>
        <v>1390.0000000001214</v>
      </c>
      <c r="I22" s="1">
        <f>(Submeters!P21+Submeters!Q21+Submeters!R21+Submeters!S21+Submeters!T21+Submeters!U21)</f>
        <v>2510.0000000000819</v>
      </c>
      <c r="J22" s="1">
        <f>(Submeters!V21+Submeters!W21)</f>
        <v>3731.5600000005215</v>
      </c>
      <c r="K22" s="1">
        <f>Submeters!X21</f>
        <v>199.99999999998863</v>
      </c>
      <c r="L22" s="24">
        <f t="shared" si="0"/>
        <v>4628.4399999978959</v>
      </c>
    </row>
    <row r="23" spans="1:12" x14ac:dyDescent="0.25">
      <c r="A23" s="10">
        <f>'Kwh Reading'!A24</f>
        <v>44947</v>
      </c>
      <c r="B23" s="65">
        <f>TOTAL!E22</f>
        <v>19099.999999999887</v>
      </c>
      <c r="C23" s="1">
        <f>Submeters!E22</f>
        <v>500</v>
      </c>
      <c r="D23" s="1">
        <f>Submeters!F22</f>
        <v>2499.9999999999468</v>
      </c>
      <c r="E23" s="1">
        <f>Submeters!G22</f>
        <v>259.99999999999091</v>
      </c>
      <c r="F23" s="1">
        <f>(Submeters!I22+Submeters!J22+Submeters!K22)</f>
        <v>1180.0000000000068</v>
      </c>
      <c r="G23" s="1">
        <f>(Submeters!L22+Submeters!M22)</f>
        <v>0</v>
      </c>
      <c r="H23" s="1">
        <f>(Submeters!N22+Submeters!O22)</f>
        <v>1259.9999999998809</v>
      </c>
      <c r="I23" s="1">
        <f>(Submeters!P22+Submeters!Q22+Submeters!R22+Submeters!S22+Submeters!T22+Submeters!U22)</f>
        <v>2349.9999999997776</v>
      </c>
      <c r="J23" s="1">
        <f>(Submeters!V22+Submeters!W22)</f>
        <v>3167.6899999994203</v>
      </c>
      <c r="K23" s="1">
        <f>Submeters!X22</f>
        <v>240.00000000000909</v>
      </c>
      <c r="L23" s="24">
        <f t="shared" si="0"/>
        <v>7642.3100000008544</v>
      </c>
    </row>
    <row r="24" spans="1:12" x14ac:dyDescent="0.25">
      <c r="A24" s="10">
        <f>'Kwh Reading'!A25</f>
        <v>44948</v>
      </c>
      <c r="B24" s="65">
        <f>TOTAL!E23</f>
        <v>19250.000000000186</v>
      </c>
      <c r="C24" s="1">
        <f>Submeters!E23</f>
        <v>489.99999999989541</v>
      </c>
      <c r="D24" s="1">
        <f>Submeters!F23</f>
        <v>2400.0000000001796</v>
      </c>
      <c r="E24" s="1">
        <f>Submeters!G23</f>
        <v>269.99999999998181</v>
      </c>
      <c r="F24" s="1">
        <f>(Submeters!I23+Submeters!J23+Submeters!K23)</f>
        <v>1110.0000000000136</v>
      </c>
      <c r="G24" s="1">
        <f>(Submeters!L23+Submeters!M23)</f>
        <v>0</v>
      </c>
      <c r="H24" s="1">
        <f>(Submeters!N23+Submeters!O23)</f>
        <v>1400.0000000001123</v>
      </c>
      <c r="I24" s="1">
        <f>(Submeters!P23+Submeters!Q23+Submeters!R23+Submeters!S23+Submeters!T23+Submeters!U23)</f>
        <v>2989.9999999999645</v>
      </c>
      <c r="J24" s="1">
        <f>(Submeters!V23+Submeters!W23)</f>
        <v>4499.0400000008231</v>
      </c>
      <c r="K24" s="1">
        <f>Submeters!X23</f>
        <v>189.99999999999773</v>
      </c>
      <c r="L24" s="24">
        <f t="shared" si="0"/>
        <v>5900.9599999992188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-698180</v>
      </c>
      <c r="D25" s="1">
        <f>Submeters!F24</f>
        <v>-3866400</v>
      </c>
      <c r="E25" s="1">
        <f>Submeters!G24</f>
        <v>-374000</v>
      </c>
      <c r="F25" s="1">
        <f>(Submeters!I24+Submeters!J24+Submeters!K24)</f>
        <v>-1495420</v>
      </c>
      <c r="G25" s="1">
        <f>(Submeters!L24+Submeters!M24)</f>
        <v>0</v>
      </c>
      <c r="H25" s="1">
        <f>(Submeters!N24+Submeters!O24)</f>
        <v>-2032890</v>
      </c>
      <c r="I25" s="1">
        <f>(Submeters!P24+Submeters!Q24+Submeters!R24+Submeters!S24+Submeters!T24+Submeters!U24)</f>
        <v>-5901460</v>
      </c>
      <c r="J25" s="1">
        <f>(Submeters!V24+Submeters!W24)</f>
        <v>-9870733.4299999997</v>
      </c>
      <c r="K25" s="1">
        <f>Submeters!X24</f>
        <v>-274380</v>
      </c>
      <c r="L25" s="24">
        <f t="shared" si="0"/>
        <v>24513463.43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448830.00000000017</v>
      </c>
      <c r="C33" s="60">
        <f>SUM(C3:C32)</f>
        <v>-686220.00000000012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-9776594.3899999987</v>
      </c>
      <c r="K33" s="60">
        <f t="shared" si="1"/>
        <v>-268880</v>
      </c>
      <c r="L33" s="60">
        <f t="shared" si="1"/>
        <v>24658154.390000001</v>
      </c>
      <c r="M33" s="66">
        <f>C33+D33+E33+F33+G33+H33+I33+J33+K33+L33</f>
        <v>448830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5" sqref="R25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0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0</v>
      </c>
      <c r="L17" s="25">
        <v>19644</v>
      </c>
      <c r="M17" s="25">
        <v>28844</v>
      </c>
      <c r="N17" s="25">
        <v>9144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29244</v>
      </c>
      <c r="C18" s="25">
        <v>45328</v>
      </c>
      <c r="D18" s="25">
        <v>304594</v>
      </c>
      <c r="E18" s="25">
        <v>287744</v>
      </c>
      <c r="F18" s="25">
        <v>26764</v>
      </c>
      <c r="G18" s="25">
        <v>125262</v>
      </c>
      <c r="H18" s="45">
        <v>1323</v>
      </c>
      <c r="I18" s="109">
        <v>80609</v>
      </c>
      <c r="J18" s="25">
        <v>24177</v>
      </c>
      <c r="K18" s="25">
        <v>0</v>
      </c>
      <c r="L18" s="25">
        <v>19647</v>
      </c>
      <c r="M18" s="25">
        <v>28852</v>
      </c>
      <c r="N18" s="25">
        <v>9148</v>
      </c>
      <c r="O18" s="25">
        <v>2515</v>
      </c>
      <c r="P18" s="25">
        <v>33206</v>
      </c>
      <c r="Q18" s="25">
        <v>2446</v>
      </c>
      <c r="R18" s="25">
        <v>1097</v>
      </c>
      <c r="U18" s="82"/>
    </row>
    <row r="19" spans="1:21" x14ac:dyDescent="0.25">
      <c r="A19" s="44">
        <v>44943</v>
      </c>
      <c r="B19" s="25">
        <v>29452</v>
      </c>
      <c r="C19" s="25">
        <v>45578</v>
      </c>
      <c r="D19" s="25">
        <v>304819</v>
      </c>
      <c r="E19" s="25">
        <v>287832</v>
      </c>
      <c r="F19" s="25">
        <v>26794</v>
      </c>
      <c r="G19" s="25">
        <v>125307</v>
      </c>
      <c r="H19" s="45">
        <v>1361</v>
      </c>
      <c r="I19" s="109">
        <v>80628</v>
      </c>
      <c r="J19" s="25">
        <v>24185</v>
      </c>
      <c r="K19" s="25">
        <v>0</v>
      </c>
      <c r="L19" s="25">
        <v>19650</v>
      </c>
      <c r="M19" s="25">
        <v>28859</v>
      </c>
      <c r="N19" s="25">
        <v>9150</v>
      </c>
      <c r="O19" s="25">
        <v>2518</v>
      </c>
      <c r="P19" s="25">
        <v>33218</v>
      </c>
      <c r="Q19" s="25">
        <v>2450</v>
      </c>
      <c r="R19" s="25">
        <v>1100</v>
      </c>
    </row>
    <row r="20" spans="1:21" x14ac:dyDescent="0.25">
      <c r="A20" s="44">
        <v>44944</v>
      </c>
      <c r="B20" s="25">
        <v>29604</v>
      </c>
      <c r="C20" s="25">
        <v>45771</v>
      </c>
      <c r="D20" s="25">
        <v>304973</v>
      </c>
      <c r="E20" s="25">
        <v>287911</v>
      </c>
      <c r="F20" s="25">
        <v>26832</v>
      </c>
      <c r="G20" s="25">
        <v>125332</v>
      </c>
      <c r="H20" s="45">
        <v>1390</v>
      </c>
      <c r="I20" s="109">
        <v>80643</v>
      </c>
      <c r="J20" s="25">
        <v>24190</v>
      </c>
      <c r="K20" s="25">
        <v>0</v>
      </c>
      <c r="L20" s="25">
        <v>19654</v>
      </c>
      <c r="M20" s="25">
        <v>28867</v>
      </c>
      <c r="N20" s="25">
        <v>9151</v>
      </c>
      <c r="O20" s="25">
        <v>2519</v>
      </c>
      <c r="P20" s="25">
        <v>33229</v>
      </c>
      <c r="Q20" s="25">
        <v>2457</v>
      </c>
      <c r="R20" s="25">
        <v>1106</v>
      </c>
    </row>
    <row r="21" spans="1:21" x14ac:dyDescent="0.25">
      <c r="A21" s="44">
        <v>44945</v>
      </c>
      <c r="B21" s="25">
        <v>29741</v>
      </c>
      <c r="C21" s="25">
        <v>45999</v>
      </c>
      <c r="D21" s="25">
        <v>305155</v>
      </c>
      <c r="E21" s="25">
        <v>287996</v>
      </c>
      <c r="F21" s="25">
        <v>26867</v>
      </c>
      <c r="G21" s="25">
        <v>125355</v>
      </c>
      <c r="H21" s="45">
        <v>1421</v>
      </c>
      <c r="I21" s="109">
        <v>80646</v>
      </c>
      <c r="J21" s="25">
        <v>24197</v>
      </c>
      <c r="K21" s="25">
        <v>0</v>
      </c>
      <c r="L21" s="25">
        <v>19657</v>
      </c>
      <c r="M21" s="25">
        <v>28874</v>
      </c>
      <c r="N21" s="25">
        <v>9154</v>
      </c>
      <c r="O21" s="25">
        <v>2522</v>
      </c>
      <c r="P21" s="25">
        <v>33229</v>
      </c>
      <c r="Q21" s="25">
        <v>2466</v>
      </c>
      <c r="R21" s="25">
        <v>1109</v>
      </c>
    </row>
    <row r="22" spans="1:21" x14ac:dyDescent="0.25">
      <c r="A22" s="44">
        <v>44946</v>
      </c>
      <c r="B22" s="25">
        <v>29894</v>
      </c>
      <c r="C22" s="25">
        <v>46238</v>
      </c>
      <c r="D22" s="25">
        <v>305339</v>
      </c>
      <c r="E22" s="25">
        <v>288076</v>
      </c>
      <c r="F22" s="25">
        <v>26897</v>
      </c>
      <c r="G22" s="25">
        <v>125377</v>
      </c>
      <c r="H22" s="45">
        <v>1457</v>
      </c>
      <c r="I22" s="109">
        <v>80679</v>
      </c>
      <c r="J22" s="25">
        <v>24203</v>
      </c>
      <c r="K22" s="25">
        <v>0</v>
      </c>
      <c r="L22" s="25">
        <v>19660</v>
      </c>
      <c r="M22" s="25">
        <v>28880</v>
      </c>
      <c r="N22" s="25">
        <v>9155</v>
      </c>
      <c r="O22" s="25">
        <v>2524</v>
      </c>
      <c r="P22" s="25">
        <v>33235</v>
      </c>
      <c r="Q22" s="25">
        <v>2467</v>
      </c>
      <c r="R22" s="25">
        <v>1113</v>
      </c>
    </row>
    <row r="23" spans="1:21" x14ac:dyDescent="0.25">
      <c r="A23" s="44">
        <v>44947</v>
      </c>
      <c r="B23" s="25">
        <v>30033</v>
      </c>
      <c r="C23" s="25">
        <v>46485</v>
      </c>
      <c r="D23" s="25">
        <v>305509</v>
      </c>
      <c r="E23" s="25">
        <v>288158</v>
      </c>
      <c r="F23" s="25">
        <v>26933</v>
      </c>
      <c r="G23" s="25">
        <v>125399</v>
      </c>
      <c r="H23" s="45">
        <v>1509</v>
      </c>
      <c r="I23" s="109">
        <v>80706</v>
      </c>
      <c r="J23" s="25">
        <v>24209</v>
      </c>
      <c r="K23" s="25">
        <v>0</v>
      </c>
      <c r="L23" s="25">
        <v>19663</v>
      </c>
      <c r="M23" s="25">
        <v>28888</v>
      </c>
      <c r="N23" s="25">
        <v>9157</v>
      </c>
      <c r="O23" s="25">
        <v>2526</v>
      </c>
      <c r="P23" s="25">
        <v>33239</v>
      </c>
      <c r="Q23" s="25">
        <v>2470</v>
      </c>
      <c r="R23" s="25">
        <v>1117</v>
      </c>
      <c r="S23" s="8" t="s">
        <v>114</v>
      </c>
    </row>
    <row r="24" spans="1:21" x14ac:dyDescent="0.25">
      <c r="A24" s="44">
        <v>44948</v>
      </c>
      <c r="B24" s="25">
        <v>30210</v>
      </c>
      <c r="C24" s="25">
        <v>46691</v>
      </c>
      <c r="D24" s="25">
        <v>305701</v>
      </c>
      <c r="E24" s="25">
        <v>288241</v>
      </c>
      <c r="F24" s="25">
        <v>26967</v>
      </c>
      <c r="G24" s="25">
        <v>125424</v>
      </c>
      <c r="H24" s="45">
        <v>1538</v>
      </c>
      <c r="I24" s="109">
        <v>80717</v>
      </c>
      <c r="J24" s="25">
        <v>24215</v>
      </c>
      <c r="K24" s="25">
        <v>0</v>
      </c>
      <c r="L24" s="25">
        <v>19667</v>
      </c>
      <c r="M24" s="25">
        <v>28896</v>
      </c>
      <c r="N24" s="25">
        <v>9159</v>
      </c>
      <c r="O24" s="25">
        <v>2528</v>
      </c>
      <c r="P24" s="25">
        <v>33282</v>
      </c>
      <c r="Q24" s="25">
        <v>2470</v>
      </c>
      <c r="R24" s="25">
        <v>1118</v>
      </c>
      <c r="S24" s="8" t="s">
        <v>116</v>
      </c>
    </row>
    <row r="25" spans="1:21" x14ac:dyDescent="0.25">
      <c r="A25" s="44">
        <v>44949</v>
      </c>
      <c r="B25" s="25">
        <v>30369</v>
      </c>
      <c r="C25" s="25">
        <v>46897</v>
      </c>
      <c r="D25" s="25">
        <v>305869</v>
      </c>
      <c r="E25" s="25">
        <v>288326</v>
      </c>
      <c r="F25" s="25">
        <v>27002</v>
      </c>
      <c r="G25" s="25">
        <v>125447</v>
      </c>
      <c r="H25" s="45">
        <v>1569</v>
      </c>
      <c r="I25" s="109">
        <v>80737</v>
      </c>
      <c r="J25" s="25">
        <v>24221</v>
      </c>
      <c r="K25" s="25">
        <v>0</v>
      </c>
      <c r="L25" s="25">
        <v>19670</v>
      </c>
      <c r="M25" s="25">
        <v>28902</v>
      </c>
      <c r="N25" s="25">
        <v>9163</v>
      </c>
      <c r="O25" s="25">
        <v>2530</v>
      </c>
      <c r="P25" s="25">
        <v>33298</v>
      </c>
      <c r="Q25" s="25">
        <v>2483</v>
      </c>
      <c r="R25" s="25">
        <v>1122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C1" zoomScale="90" zoomScaleNormal="90" workbookViewId="0">
      <pane ySplit="3" topLeftCell="A7" activePane="bottomLeft" state="frozen"/>
      <selection activeCell="C25" sqref="C25"/>
      <selection pane="bottomLeft" activeCell="Y25" sqref="Y25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25</v>
      </c>
      <c r="J12" s="55">
        <f t="shared" si="5"/>
        <v>5.8411214953271028E-2</v>
      </c>
      <c r="K12" s="71">
        <f>('Water Reading'!I12-'Water Reading'!I11)-('Water Reading'!P12-'Water Reading'!P11)</f>
        <v>6</v>
      </c>
      <c r="L12" s="55">
        <f t="shared" si="6"/>
        <v>1.4018691588785047E-2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400</v>
      </c>
      <c r="C18" s="53">
        <f>('Water Reading'!B18-'Water Reading'!B17)+('Water Reading'!C18-'Water Reading'!C17)</f>
        <v>402</v>
      </c>
      <c r="D18" s="54">
        <f t="shared" si="2"/>
        <v>1.0049999999999999</v>
      </c>
      <c r="E18" s="68">
        <f>'Water Reading'!H18-'Water Reading'!H17</f>
        <v>31</v>
      </c>
      <c r="F18" s="69">
        <f t="shared" si="3"/>
        <v>7.7114427860696513E-2</v>
      </c>
      <c r="G18" s="73">
        <f>('Water Reading'!D18-'Water Reading'!D17)-('Water Reading'!R18-'Water Reading'!R17)-('Water Reading'!Q18-'Water Reading'!Q17)</f>
        <v>186</v>
      </c>
      <c r="H18" s="69">
        <f t="shared" si="4"/>
        <v>0.46268656716417911</v>
      </c>
      <c r="I18" s="70">
        <f>'Water Reading'!P18-'Water Reading'!P17</f>
        <v>6</v>
      </c>
      <c r="J18" s="55">
        <f t="shared" si="5"/>
        <v>1.4925373134328358E-2</v>
      </c>
      <c r="K18" s="71">
        <f>('Water Reading'!I18-'Water Reading'!I17)-('Water Reading'!P18-'Water Reading'!P17)</f>
        <v>6</v>
      </c>
      <c r="L18" s="55">
        <f t="shared" si="6"/>
        <v>1.4925373134328358E-2</v>
      </c>
      <c r="M18" s="70">
        <f>'Water Reading'!R18-'Water Reading'!R17</f>
        <v>7</v>
      </c>
      <c r="N18" s="72">
        <f t="shared" si="7"/>
        <v>1.7412935323383085E-2</v>
      </c>
      <c r="O18" s="70">
        <f>'Water Reading'!Q18-'Water Reading'!Q17</f>
        <v>6</v>
      </c>
      <c r="P18" s="77">
        <f t="shared" si="8"/>
        <v>1.4925373134328358E-2</v>
      </c>
      <c r="Q18" s="71">
        <f>'Water Reading'!F18-'Water Reading'!F17</f>
        <v>36</v>
      </c>
      <c r="R18" s="78">
        <f t="shared" si="9"/>
        <v>8.9552238805970144E-2</v>
      </c>
      <c r="S18" s="70">
        <f>'Water Reading'!E18-'Water Reading'!E17</f>
        <v>84</v>
      </c>
      <c r="T18" s="78">
        <f t="shared" si="10"/>
        <v>0.20895522388059701</v>
      </c>
      <c r="U18" s="70">
        <f>'Water Reading'!G18-'Water Reading'!G17</f>
        <v>31</v>
      </c>
      <c r="V18" s="78">
        <f t="shared" si="11"/>
        <v>7.7114427860696513E-2</v>
      </c>
      <c r="W18" s="71">
        <f>'Water Reading'!J18-'Water Reading'!J17</f>
        <v>7</v>
      </c>
      <c r="X18" s="78">
        <f t="shared" si="12"/>
        <v>1.7412935323383085E-2</v>
      </c>
      <c r="Y18" s="53">
        <f t="shared" si="0"/>
        <v>400</v>
      </c>
      <c r="Z18" s="54">
        <f t="shared" si="1"/>
        <v>1</v>
      </c>
    </row>
    <row r="19" spans="1:26" x14ac:dyDescent="0.25">
      <c r="A19" s="6">
        <f>'Water Reading'!A18</f>
        <v>44942</v>
      </c>
      <c r="B19" s="52">
        <f>TOTAL!I17</f>
        <v>453</v>
      </c>
      <c r="C19" s="53">
        <f>('Water Reading'!B19-'Water Reading'!B18)+('Water Reading'!C19-'Water Reading'!C18)</f>
        <v>458</v>
      </c>
      <c r="D19" s="54">
        <f t="shared" si="2"/>
        <v>1.011037527593819</v>
      </c>
      <c r="E19" s="68">
        <f>'Water Reading'!H19-'Water Reading'!H18</f>
        <v>38</v>
      </c>
      <c r="F19" s="69">
        <f t="shared" si="3"/>
        <v>8.296943231441048E-2</v>
      </c>
      <c r="G19" s="73">
        <f>('Water Reading'!D19-'Water Reading'!D18)-('Water Reading'!R19-'Water Reading'!R18)-('Water Reading'!Q19-'Water Reading'!Q18)</f>
        <v>218</v>
      </c>
      <c r="H19" s="69">
        <f t="shared" si="4"/>
        <v>0.4759825327510917</v>
      </c>
      <c r="I19" s="70">
        <f>'Water Reading'!P19-'Water Reading'!P18</f>
        <v>12</v>
      </c>
      <c r="J19" s="55">
        <f t="shared" si="5"/>
        <v>2.6200873362445413E-2</v>
      </c>
      <c r="K19" s="71">
        <f>('Water Reading'!I19-'Water Reading'!I18)-('Water Reading'!P19-'Water Reading'!P18)</f>
        <v>7</v>
      </c>
      <c r="L19" s="55">
        <f t="shared" si="6"/>
        <v>1.5283842794759825E-2</v>
      </c>
      <c r="M19" s="70">
        <f>'Water Reading'!R19-'Water Reading'!R18</f>
        <v>3</v>
      </c>
      <c r="N19" s="72">
        <f t="shared" si="7"/>
        <v>6.5502183406113534E-3</v>
      </c>
      <c r="O19" s="70">
        <f>'Water Reading'!Q19-'Water Reading'!Q18</f>
        <v>4</v>
      </c>
      <c r="P19" s="77">
        <f t="shared" si="8"/>
        <v>8.7336244541484712E-3</v>
      </c>
      <c r="Q19" s="71">
        <f>'Water Reading'!F19-'Water Reading'!F18</f>
        <v>30</v>
      </c>
      <c r="R19" s="78">
        <f t="shared" si="9"/>
        <v>6.5502183406113537E-2</v>
      </c>
      <c r="S19" s="70">
        <f>'Water Reading'!E19-'Water Reading'!E18</f>
        <v>88</v>
      </c>
      <c r="T19" s="78">
        <f t="shared" si="10"/>
        <v>0.19213973799126638</v>
      </c>
      <c r="U19" s="70">
        <f>'Water Reading'!G19-'Water Reading'!G18</f>
        <v>45</v>
      </c>
      <c r="V19" s="78">
        <f t="shared" si="11"/>
        <v>9.8253275109170299E-2</v>
      </c>
      <c r="W19" s="71">
        <f>'Water Reading'!J19-'Water Reading'!J18</f>
        <v>8</v>
      </c>
      <c r="X19" s="78">
        <f t="shared" si="12"/>
        <v>1.7467248908296942E-2</v>
      </c>
      <c r="Y19" s="53">
        <f t="shared" si="0"/>
        <v>453</v>
      </c>
      <c r="Z19" s="54">
        <f t="shared" si="1"/>
        <v>1</v>
      </c>
    </row>
    <row r="20" spans="1:26" x14ac:dyDescent="0.25">
      <c r="A20" s="6">
        <f>'Water Reading'!A19</f>
        <v>44943</v>
      </c>
      <c r="B20" s="52">
        <f>TOTAL!I18</f>
        <v>345</v>
      </c>
      <c r="C20" s="53">
        <f>('Water Reading'!B20-'Water Reading'!B19)+('Water Reading'!C20-'Water Reading'!C19)</f>
        <v>345</v>
      </c>
      <c r="D20" s="54">
        <f t="shared" si="2"/>
        <v>1</v>
      </c>
      <c r="E20" s="68">
        <f>'Water Reading'!H20-'Water Reading'!H19</f>
        <v>29</v>
      </c>
      <c r="F20" s="69">
        <f t="shared" si="3"/>
        <v>8.4057971014492749E-2</v>
      </c>
      <c r="G20" s="73">
        <f>('Water Reading'!D20-'Water Reading'!D19)-('Water Reading'!R20-'Water Reading'!R19)-('Water Reading'!Q20-'Water Reading'!Q19)</f>
        <v>141</v>
      </c>
      <c r="H20" s="69">
        <f t="shared" si="4"/>
        <v>0.40869565217391307</v>
      </c>
      <c r="I20" s="70">
        <f>'Water Reading'!P20-'Water Reading'!P19</f>
        <v>11</v>
      </c>
      <c r="J20" s="55">
        <f t="shared" si="5"/>
        <v>3.1884057971014491E-2</v>
      </c>
      <c r="K20" s="71">
        <f>('Water Reading'!I20-'Water Reading'!I19)-('Water Reading'!P20-'Water Reading'!P19)</f>
        <v>4</v>
      </c>
      <c r="L20" s="55">
        <f t="shared" si="6"/>
        <v>1.1594202898550725E-2</v>
      </c>
      <c r="M20" s="70">
        <f>'Water Reading'!R20-'Water Reading'!R19</f>
        <v>6</v>
      </c>
      <c r="N20" s="72">
        <f t="shared" si="7"/>
        <v>1.7391304347826087E-2</v>
      </c>
      <c r="O20" s="70">
        <f>'Water Reading'!Q20-'Water Reading'!Q19</f>
        <v>7</v>
      </c>
      <c r="P20" s="77">
        <f t="shared" si="8"/>
        <v>2.0289855072463767E-2</v>
      </c>
      <c r="Q20" s="71">
        <f>'Water Reading'!F20-'Water Reading'!F19</f>
        <v>38</v>
      </c>
      <c r="R20" s="78">
        <f t="shared" si="9"/>
        <v>0.11014492753623188</v>
      </c>
      <c r="S20" s="70">
        <f>'Water Reading'!E20-'Water Reading'!E19</f>
        <v>79</v>
      </c>
      <c r="T20" s="78">
        <f t="shared" si="10"/>
        <v>0.22898550724637681</v>
      </c>
      <c r="U20" s="70">
        <f>'Water Reading'!G20-'Water Reading'!G19</f>
        <v>25</v>
      </c>
      <c r="V20" s="78">
        <f t="shared" si="11"/>
        <v>7.2463768115942032E-2</v>
      </c>
      <c r="W20" s="94">
        <f>'Water Reading'!J20-'Water Reading'!J19</f>
        <v>5</v>
      </c>
      <c r="X20" s="78">
        <f t="shared" si="12"/>
        <v>1.4492753623188406E-2</v>
      </c>
      <c r="Y20" s="53">
        <f t="shared" si="0"/>
        <v>345</v>
      </c>
      <c r="Z20" s="54">
        <f t="shared" si="1"/>
        <v>1</v>
      </c>
    </row>
    <row r="21" spans="1:26" x14ac:dyDescent="0.25">
      <c r="A21" s="6">
        <f>'Water Reading'!A20</f>
        <v>44944</v>
      </c>
      <c r="B21" s="52">
        <f>TOTAL!I19</f>
        <v>366</v>
      </c>
      <c r="C21" s="53">
        <f>('Water Reading'!B21-'Water Reading'!B20)+('Water Reading'!C21-'Water Reading'!C20)</f>
        <v>365</v>
      </c>
      <c r="D21" s="54">
        <f t="shared" si="2"/>
        <v>0.99726775956284153</v>
      </c>
      <c r="E21" s="68">
        <f>'Water Reading'!H21-'Water Reading'!H20</f>
        <v>31</v>
      </c>
      <c r="F21" s="69">
        <f t="shared" si="3"/>
        <v>8.4931506849315067E-2</v>
      </c>
      <c r="G21" s="73">
        <f>('Water Reading'!D21-'Water Reading'!D20)-('Water Reading'!R21-'Water Reading'!R20)-('Water Reading'!Q21-'Water Reading'!Q20)</f>
        <v>170</v>
      </c>
      <c r="H21" s="69">
        <f t="shared" si="4"/>
        <v>0.46575342465753422</v>
      </c>
      <c r="I21" s="70">
        <f>'Water Reading'!P21-'Water Reading'!P20</f>
        <v>0</v>
      </c>
      <c r="J21" s="55">
        <f t="shared" si="5"/>
        <v>0</v>
      </c>
      <c r="K21" s="71">
        <f>('Water Reading'!I21-'Water Reading'!I20)-('Water Reading'!P21-'Water Reading'!P20)</f>
        <v>3</v>
      </c>
      <c r="L21" s="55">
        <f t="shared" si="6"/>
        <v>8.21917808219178E-3</v>
      </c>
      <c r="M21" s="70">
        <f>'Water Reading'!R21-'Water Reading'!R20</f>
        <v>3</v>
      </c>
      <c r="N21" s="72">
        <f t="shared" si="7"/>
        <v>8.21917808219178E-3</v>
      </c>
      <c r="O21" s="70">
        <f>'Water Reading'!Q21-'Water Reading'!Q20</f>
        <v>9</v>
      </c>
      <c r="P21" s="77">
        <f t="shared" si="8"/>
        <v>2.4657534246575342E-2</v>
      </c>
      <c r="Q21" s="71">
        <f>'Water Reading'!F21-'Water Reading'!F20</f>
        <v>35</v>
      </c>
      <c r="R21" s="78">
        <f t="shared" si="9"/>
        <v>9.5890410958904104E-2</v>
      </c>
      <c r="S21" s="70">
        <f>'Water Reading'!E21-'Water Reading'!E20</f>
        <v>85</v>
      </c>
      <c r="T21" s="78">
        <f t="shared" si="10"/>
        <v>0.23287671232876711</v>
      </c>
      <c r="U21" s="70">
        <f>'Water Reading'!G21-'Water Reading'!G20</f>
        <v>23</v>
      </c>
      <c r="V21" s="78">
        <f t="shared" si="11"/>
        <v>6.3013698630136991E-2</v>
      </c>
      <c r="W21" s="71">
        <f>'Water Reading'!J21-'Water Reading'!J20</f>
        <v>7</v>
      </c>
      <c r="X21" s="78">
        <f t="shared" si="12"/>
        <v>1.9178082191780823E-2</v>
      </c>
      <c r="Y21" s="53">
        <f t="shared" si="0"/>
        <v>366</v>
      </c>
      <c r="Z21" s="54">
        <f t="shared" si="1"/>
        <v>1</v>
      </c>
    </row>
    <row r="22" spans="1:26" x14ac:dyDescent="0.25">
      <c r="A22" s="6">
        <f>'Water Reading'!A21</f>
        <v>44945</v>
      </c>
      <c r="B22" s="52">
        <f>TOTAL!I20</f>
        <v>391</v>
      </c>
      <c r="C22" s="53">
        <f>('Water Reading'!B22-'Water Reading'!B21)+('Water Reading'!C22-'Water Reading'!C21)</f>
        <v>392</v>
      </c>
      <c r="D22" s="54">
        <f t="shared" si="2"/>
        <v>1.0025575447570332</v>
      </c>
      <c r="E22" s="68">
        <f>'Water Reading'!H22-'Water Reading'!H21</f>
        <v>36</v>
      </c>
      <c r="F22" s="69">
        <f t="shared" si="3"/>
        <v>9.1836734693877556E-2</v>
      </c>
      <c r="G22" s="73">
        <f>('Water Reading'!D22-'Water Reading'!D21)-('Water Reading'!R22-'Water Reading'!R21)-('Water Reading'!Q22-'Water Reading'!Q21)</f>
        <v>179</v>
      </c>
      <c r="H22" s="69">
        <f t="shared" si="4"/>
        <v>0.45663265306122447</v>
      </c>
      <c r="I22" s="99">
        <f>'Water Reading'!P22-'Water Reading'!P21</f>
        <v>6</v>
      </c>
      <c r="J22" s="55">
        <f t="shared" si="5"/>
        <v>1.5306122448979591E-2</v>
      </c>
      <c r="K22" s="71">
        <f>('Water Reading'!I22-'Water Reading'!I21)-('Water Reading'!P22-'Water Reading'!P21)</f>
        <v>27</v>
      </c>
      <c r="L22" s="55">
        <f t="shared" si="6"/>
        <v>6.8877551020408156E-2</v>
      </c>
      <c r="M22" s="70">
        <f>'Water Reading'!R22-'Water Reading'!R21</f>
        <v>4</v>
      </c>
      <c r="N22" s="72">
        <f t="shared" si="7"/>
        <v>1.020408163265306E-2</v>
      </c>
      <c r="O22" s="70">
        <f>'Water Reading'!Q22-'Water Reading'!Q21</f>
        <v>1</v>
      </c>
      <c r="P22" s="77">
        <f t="shared" si="8"/>
        <v>2.5510204081632651E-3</v>
      </c>
      <c r="Q22" s="71">
        <f>'Water Reading'!F22-'Water Reading'!F21</f>
        <v>30</v>
      </c>
      <c r="R22" s="78">
        <f t="shared" si="9"/>
        <v>7.6530612244897961E-2</v>
      </c>
      <c r="S22" s="70">
        <f>'Water Reading'!E22-'Water Reading'!E21</f>
        <v>80</v>
      </c>
      <c r="T22" s="78">
        <f t="shared" si="10"/>
        <v>0.20408163265306123</v>
      </c>
      <c r="U22" s="70">
        <f>'Water Reading'!G22-'Water Reading'!G21</f>
        <v>22</v>
      </c>
      <c r="V22" s="78">
        <f t="shared" si="11"/>
        <v>5.6122448979591837E-2</v>
      </c>
      <c r="W22" s="71">
        <f>'Water Reading'!J22-'Water Reading'!J21</f>
        <v>6</v>
      </c>
      <c r="X22" s="78">
        <f t="shared" si="12"/>
        <v>1.5306122448979591E-2</v>
      </c>
      <c r="Y22" s="53">
        <f t="shared" si="0"/>
        <v>391</v>
      </c>
      <c r="Z22" s="54">
        <f t="shared" si="1"/>
        <v>1</v>
      </c>
    </row>
    <row r="23" spans="1:26" x14ac:dyDescent="0.25">
      <c r="A23" s="6">
        <f>'Water Reading'!A22</f>
        <v>44946</v>
      </c>
      <c r="B23" s="52">
        <f>TOTAL!I21</f>
        <v>395</v>
      </c>
      <c r="C23" s="53">
        <f>('Water Reading'!B23-'Water Reading'!B22)+('Water Reading'!C23-'Water Reading'!C22)</f>
        <v>386</v>
      </c>
      <c r="D23" s="54">
        <f t="shared" si="2"/>
        <v>0.97721518987341771</v>
      </c>
      <c r="E23" s="68">
        <f>'Water Reading'!H23-'Water Reading'!H22</f>
        <v>52</v>
      </c>
      <c r="F23" s="69">
        <f t="shared" si="3"/>
        <v>0.13471502590673576</v>
      </c>
      <c r="G23" s="73">
        <f>('Water Reading'!D23-'Water Reading'!D22)-('Water Reading'!R23-'Water Reading'!R22)-('Water Reading'!Q23-'Water Reading'!Q22)</f>
        <v>163</v>
      </c>
      <c r="H23" s="69">
        <f t="shared" si="4"/>
        <v>0.42227979274611399</v>
      </c>
      <c r="I23" s="99">
        <f>'Water Reading'!P23-'Water Reading'!P22</f>
        <v>4</v>
      </c>
      <c r="J23" s="55">
        <f t="shared" si="5"/>
        <v>1.0362694300518135E-2</v>
      </c>
      <c r="K23" s="71">
        <f>('Water Reading'!I23-'Water Reading'!I22)-('Water Reading'!P23-'Water Reading'!P22)</f>
        <v>23</v>
      </c>
      <c r="L23" s="55">
        <f t="shared" si="6"/>
        <v>5.9585492227979271E-2</v>
      </c>
      <c r="M23" s="70">
        <f>'Water Reading'!R23-'Water Reading'!R22</f>
        <v>4</v>
      </c>
      <c r="N23" s="72">
        <f t="shared" si="7"/>
        <v>1.0362694300518135E-2</v>
      </c>
      <c r="O23" s="99">
        <f>'Water Reading'!Q23-'Water Reading'!Q22</f>
        <v>3</v>
      </c>
      <c r="P23" s="77">
        <f t="shared" si="8"/>
        <v>7.7720207253886009E-3</v>
      </c>
      <c r="Q23" s="71">
        <f>'Water Reading'!F23-'Water Reading'!F22</f>
        <v>36</v>
      </c>
      <c r="R23" s="78">
        <f t="shared" si="9"/>
        <v>9.3264248704663211E-2</v>
      </c>
      <c r="S23" s="70">
        <f>'Water Reading'!E23-'Water Reading'!E22</f>
        <v>82</v>
      </c>
      <c r="T23" s="78">
        <f t="shared" si="10"/>
        <v>0.21243523316062177</v>
      </c>
      <c r="U23" s="70">
        <f>'Water Reading'!G23-'Water Reading'!G22</f>
        <v>22</v>
      </c>
      <c r="V23" s="78">
        <f t="shared" si="11"/>
        <v>5.6994818652849742E-2</v>
      </c>
      <c r="W23" s="71">
        <f>'Water Reading'!J23-'Water Reading'!J22</f>
        <v>6</v>
      </c>
      <c r="X23" s="78">
        <f t="shared" si="12"/>
        <v>1.5544041450777202E-2</v>
      </c>
      <c r="Y23" s="53">
        <f t="shared" si="0"/>
        <v>395</v>
      </c>
      <c r="Z23" s="54">
        <f t="shared" si="1"/>
        <v>1</v>
      </c>
    </row>
    <row r="24" spans="1:26" x14ac:dyDescent="0.25">
      <c r="A24" s="6">
        <f>'Water Reading'!A23</f>
        <v>44947</v>
      </c>
      <c r="B24" s="52">
        <f>TOTAL!I22</f>
        <v>380</v>
      </c>
      <c r="C24" s="53">
        <f>('Water Reading'!B24-'Water Reading'!B23)+('Water Reading'!C24-'Water Reading'!C23)</f>
        <v>383</v>
      </c>
      <c r="D24" s="54">
        <f t="shared" si="2"/>
        <v>1.0078947368421052</v>
      </c>
      <c r="E24" s="68">
        <f>'Water Reading'!H24-'Water Reading'!H23</f>
        <v>29</v>
      </c>
      <c r="F24" s="69">
        <f t="shared" si="3"/>
        <v>7.5718015665796348E-2</v>
      </c>
      <c r="G24" s="73">
        <f>('Water Reading'!D24-'Water Reading'!D23)-('Water Reading'!R24-'Water Reading'!R23)-('Water Reading'!Q24-'Water Reading'!Q23)</f>
        <v>191</v>
      </c>
      <c r="H24" s="69">
        <f t="shared" si="4"/>
        <v>0.49869451697127937</v>
      </c>
      <c r="I24" s="70">
        <f>'Water Reading'!P24-'Water Reading'!P23</f>
        <v>43</v>
      </c>
      <c r="J24" s="55">
        <f t="shared" si="5"/>
        <v>0.1122715404699739</v>
      </c>
      <c r="K24" s="71">
        <f>('Water Reading'!I24-'Water Reading'!I23)-('Water Reading'!P24-'Water Reading'!P23)</f>
        <v>-32</v>
      </c>
      <c r="L24" s="55">
        <f t="shared" si="6"/>
        <v>-8.3550913838120106E-2</v>
      </c>
      <c r="M24" s="70">
        <f>'Water Reading'!R24-'Water Reading'!R23</f>
        <v>1</v>
      </c>
      <c r="N24" s="72">
        <f t="shared" si="7"/>
        <v>2.6109660574412533E-3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34</v>
      </c>
      <c r="R24" s="78">
        <f t="shared" si="9"/>
        <v>8.877284595300261E-2</v>
      </c>
      <c r="S24" s="70">
        <f>'Water Reading'!E24-'Water Reading'!E23</f>
        <v>83</v>
      </c>
      <c r="T24" s="78">
        <f t="shared" si="10"/>
        <v>0.21671018276762402</v>
      </c>
      <c r="U24" s="70">
        <f>'Water Reading'!G24-'Water Reading'!G23</f>
        <v>25</v>
      </c>
      <c r="V24" s="78">
        <f t="shared" si="11"/>
        <v>6.5274151436031339E-2</v>
      </c>
      <c r="W24" s="71">
        <f>'Water Reading'!J24-'Water Reading'!J23</f>
        <v>6</v>
      </c>
      <c r="X24" s="78">
        <f t="shared" si="12"/>
        <v>1.5665796344647518E-2</v>
      </c>
      <c r="Y24" s="53">
        <f t="shared" si="0"/>
        <v>380</v>
      </c>
      <c r="Z24" s="54">
        <f t="shared" si="1"/>
        <v>1</v>
      </c>
    </row>
    <row r="25" spans="1:26" x14ac:dyDescent="0.25">
      <c r="A25" s="6">
        <f>'Water Reading'!A24</f>
        <v>44948</v>
      </c>
      <c r="B25" s="52">
        <f>TOTAL!I23</f>
        <v>368</v>
      </c>
      <c r="C25" s="53">
        <f>('Water Reading'!B25-'Water Reading'!B24)+('Water Reading'!C25-'Water Reading'!C24)</f>
        <v>365</v>
      </c>
      <c r="D25" s="54">
        <f t="shared" si="2"/>
        <v>0.99184782608695654</v>
      </c>
      <c r="E25" s="68">
        <f>'Water Reading'!H25-'Water Reading'!H24</f>
        <v>31</v>
      </c>
      <c r="F25" s="69">
        <f t="shared" si="3"/>
        <v>8.4931506849315067E-2</v>
      </c>
      <c r="G25" s="73">
        <f>('Water Reading'!D25-'Water Reading'!D24)-('Water Reading'!R25-'Water Reading'!R24)-('Water Reading'!Q25-'Water Reading'!Q24)</f>
        <v>151</v>
      </c>
      <c r="H25" s="69">
        <f t="shared" si="4"/>
        <v>0.41369863013698632</v>
      </c>
      <c r="I25" s="70">
        <f>'Water Reading'!P25-'Water Reading'!P24</f>
        <v>16</v>
      </c>
      <c r="J25" s="55">
        <f t="shared" si="5"/>
        <v>4.3835616438356165E-2</v>
      </c>
      <c r="K25" s="71">
        <f>('Water Reading'!I25-'Water Reading'!I24)-('Water Reading'!P25-'Water Reading'!P24)</f>
        <v>4</v>
      </c>
      <c r="L25" s="55">
        <f t="shared" si="6"/>
        <v>1.0958904109589041E-2</v>
      </c>
      <c r="M25" s="70">
        <f>'Water Reading'!R25-'Water Reading'!R24</f>
        <v>4</v>
      </c>
      <c r="N25" s="72">
        <f t="shared" si="7"/>
        <v>1.0958904109589041E-2</v>
      </c>
      <c r="O25" s="70">
        <f>'Water Reading'!Q25-'Water Reading'!Q24</f>
        <v>13</v>
      </c>
      <c r="P25" s="77">
        <f t="shared" si="8"/>
        <v>3.5616438356164383E-2</v>
      </c>
      <c r="Q25" s="71">
        <f>'Water Reading'!F25-'Water Reading'!F24</f>
        <v>35</v>
      </c>
      <c r="R25" s="78">
        <f t="shared" si="9"/>
        <v>9.5890410958904104E-2</v>
      </c>
      <c r="S25" s="70">
        <f>'Water Reading'!E25-'Water Reading'!E24</f>
        <v>85</v>
      </c>
      <c r="T25" s="78">
        <f t="shared" si="10"/>
        <v>0.23287671232876711</v>
      </c>
      <c r="U25" s="70">
        <f>'Water Reading'!G25-'Water Reading'!G24</f>
        <v>23</v>
      </c>
      <c r="V25" s="78">
        <f t="shared" si="11"/>
        <v>6.3013698630136991E-2</v>
      </c>
      <c r="W25" s="94">
        <f>'Water Reading'!J25-'Water Reading'!J24</f>
        <v>6</v>
      </c>
      <c r="X25" s="78">
        <f t="shared" si="12"/>
        <v>1.643835616438356E-2</v>
      </c>
      <c r="Y25" s="53">
        <f t="shared" si="0"/>
        <v>368</v>
      </c>
      <c r="Z25" s="54">
        <f t="shared" si="1"/>
        <v>1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-77266</v>
      </c>
      <c r="D26" s="54" t="e">
        <f t="shared" si="2"/>
        <v>#DIV/0!</v>
      </c>
      <c r="E26" s="68">
        <f>'Water Reading'!H26-'Water Reading'!H25</f>
        <v>-1569</v>
      </c>
      <c r="F26" s="69">
        <f t="shared" si="3"/>
        <v>2.0306473740066781E-2</v>
      </c>
      <c r="G26" s="73">
        <f>('Water Reading'!D26-'Water Reading'!D25)-('Water Reading'!R26-'Water Reading'!R25)-('Water Reading'!Q26-'Water Reading'!Q25)</f>
        <v>-302264</v>
      </c>
      <c r="H26" s="69">
        <f t="shared" si="4"/>
        <v>3.9119923381564985</v>
      </c>
      <c r="I26" s="70">
        <f>'Water Reading'!P26-'Water Reading'!P25</f>
        <v>-33298</v>
      </c>
      <c r="J26" s="55">
        <f t="shared" si="5"/>
        <v>0.430952812362488</v>
      </c>
      <c r="K26" s="71">
        <f>('Water Reading'!I26-'Water Reading'!I25)-('Water Reading'!P26-'Water Reading'!P25)</f>
        <v>-47439</v>
      </c>
      <c r="L26" s="55">
        <f t="shared" si="6"/>
        <v>0.6139699220873347</v>
      </c>
      <c r="M26" s="70">
        <f>'Water Reading'!R26-'Water Reading'!R25</f>
        <v>-1122</v>
      </c>
      <c r="N26" s="72">
        <f t="shared" si="7"/>
        <v>1.4521264204177776E-2</v>
      </c>
      <c r="O26" s="70">
        <f>'Water Reading'!Q26-'Water Reading'!Q25</f>
        <v>-2483</v>
      </c>
      <c r="P26" s="77">
        <f t="shared" si="8"/>
        <v>3.2135738876090392E-2</v>
      </c>
      <c r="Q26" s="71">
        <f>'Water Reading'!F26-'Water Reading'!F25</f>
        <v>-27002</v>
      </c>
      <c r="R26" s="78">
        <f t="shared" si="9"/>
        <v>0.34946807133797531</v>
      </c>
      <c r="S26" s="70">
        <f>'Water Reading'!E26-'Water Reading'!E25</f>
        <v>-288326</v>
      </c>
      <c r="T26" s="78">
        <f t="shared" si="10"/>
        <v>3.7316025159837443</v>
      </c>
      <c r="U26" s="70">
        <f>'Water Reading'!G26-'Water Reading'!G25</f>
        <v>-125447</v>
      </c>
      <c r="V26" s="78">
        <f t="shared" si="11"/>
        <v>1.6235731110708462</v>
      </c>
      <c r="W26" s="71">
        <f>'Water Reading'!J26-'Water Reading'!J25</f>
        <v>-24221</v>
      </c>
      <c r="X26" s="78">
        <f t="shared" si="12"/>
        <v>0.31347552610462559</v>
      </c>
      <c r="Y26" s="53">
        <f t="shared" si="0"/>
        <v>-853171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2023-01-23T06:46:37Z</dcterms:modified>
  <cp:category/>
  <cp:contentStatus/>
</cp:coreProperties>
</file>