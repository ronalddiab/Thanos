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0"/>
  <workbookPr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Waste record\"/>
    </mc:Choice>
  </mc:AlternateContent>
  <xr:revisionPtr revIDLastSave="0" documentId="13_ncr:1_{FEB5121D-E96B-48F4-9E0C-D3FE18F9DE81}" xr6:coauthVersionLast="36" xr6:coauthVersionMax="36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externalReferences>
    <externalReference r:id="rId2"/>
    <externalReference r:id="rId3"/>
  </externalReferences>
  <calcPr calcId="191028" iterate="1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2" i="1" l="1"/>
  <c r="AG20" i="1" l="1"/>
  <c r="AG19" i="1"/>
  <c r="AG18" i="1"/>
  <c r="AG17" i="1"/>
  <c r="AG16" i="1"/>
  <c r="AG15" i="1"/>
  <c r="AG14" i="1"/>
  <c r="AE20" i="1"/>
  <c r="AE19" i="1"/>
  <c r="AE18" i="1"/>
  <c r="AE17" i="1"/>
  <c r="AE16" i="1"/>
  <c r="AE15" i="1"/>
  <c r="AE14" i="1"/>
  <c r="AA21" i="1"/>
  <c r="AA20" i="1"/>
  <c r="AA19" i="1"/>
  <c r="AA18" i="1"/>
  <c r="AA17" i="1"/>
  <c r="AA16" i="1"/>
  <c r="AA15" i="1"/>
  <c r="AA14" i="1"/>
  <c r="Y20" i="1"/>
  <c r="Y19" i="1"/>
  <c r="Y18" i="1"/>
  <c r="Y17" i="1"/>
  <c r="Y16" i="1"/>
  <c r="Y15" i="1"/>
  <c r="Y14" i="1"/>
  <c r="W20" i="1"/>
  <c r="W19" i="1"/>
  <c r="W18" i="1"/>
  <c r="W17" i="1"/>
  <c r="W16" i="1"/>
  <c r="W15" i="1"/>
  <c r="W14" i="1"/>
  <c r="U20" i="1"/>
  <c r="U19" i="1"/>
  <c r="U18" i="1"/>
  <c r="U17" i="1"/>
  <c r="U16" i="1"/>
  <c r="U15" i="1"/>
  <c r="U14" i="1"/>
  <c r="S21" i="1"/>
  <c r="S20" i="1"/>
  <c r="S19" i="1"/>
  <c r="S18" i="1"/>
  <c r="S17" i="1"/>
  <c r="S16" i="1"/>
  <c r="S15" i="1"/>
  <c r="S14" i="1"/>
  <c r="M20" i="1"/>
  <c r="M19" i="1"/>
  <c r="M18" i="1"/>
  <c r="M17" i="1"/>
  <c r="M16" i="1"/>
  <c r="M15" i="1"/>
  <c r="M14" i="1"/>
  <c r="K20" i="1"/>
  <c r="K19" i="1"/>
  <c r="K18" i="1"/>
  <c r="K17" i="1"/>
  <c r="K16" i="1"/>
  <c r="K15" i="1"/>
  <c r="K14" i="1"/>
  <c r="E20" i="1"/>
  <c r="E19" i="1"/>
  <c r="E18" i="1"/>
  <c r="E17" i="1"/>
  <c r="E16" i="1"/>
  <c r="E15" i="1"/>
  <c r="E14" i="1"/>
  <c r="E21" i="1"/>
  <c r="E23" i="1"/>
  <c r="E24" i="1"/>
  <c r="AF25" i="1"/>
  <c r="AF24" i="1"/>
  <c r="AF23" i="1"/>
  <c r="AF22" i="1"/>
  <c r="AF21" i="1"/>
  <c r="AF20" i="1"/>
  <c r="AF19" i="1"/>
  <c r="AF18" i="1"/>
  <c r="AF17" i="1"/>
  <c r="AF16" i="1"/>
  <c r="AF15" i="1"/>
  <c r="AF14" i="1"/>
  <c r="AF13" i="1"/>
  <c r="AF12" i="1"/>
  <c r="AF11" i="1"/>
  <c r="AF10" i="1"/>
  <c r="AF9" i="1"/>
  <c r="AF8" i="1"/>
  <c r="AF7" i="1"/>
  <c r="AF6" i="1"/>
  <c r="AF5" i="1"/>
  <c r="AF4" i="1"/>
  <c r="AF3" i="1"/>
  <c r="AF2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AD4" i="1"/>
  <c r="AD3" i="1"/>
  <c r="AD2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Z3" i="1"/>
  <c r="Z2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X8" i="1"/>
  <c r="X7" i="1"/>
  <c r="X6" i="1"/>
  <c r="X5" i="1"/>
  <c r="X4" i="1"/>
  <c r="X3" i="1"/>
  <c r="X2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V4" i="1"/>
  <c r="V3" i="1"/>
  <c r="V2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  <c r="T2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  <c r="J9" i="1"/>
  <c r="J4" i="1"/>
  <c r="J13" i="1"/>
  <c r="J12" i="1"/>
  <c r="J11" i="1"/>
  <c r="J10" i="1"/>
  <c r="J8" i="1"/>
  <c r="J7" i="1"/>
  <c r="J6" i="1"/>
  <c r="J5" i="1"/>
  <c r="J3" i="1"/>
  <c r="J2" i="1"/>
  <c r="J25" i="1"/>
  <c r="J24" i="1"/>
  <c r="J23" i="1"/>
  <c r="J22" i="1"/>
  <c r="J21" i="1"/>
  <c r="J20" i="1"/>
  <c r="J19" i="1"/>
  <c r="J18" i="1"/>
  <c r="J17" i="1"/>
  <c r="J16" i="1"/>
  <c r="J15" i="1"/>
  <c r="J14" i="1"/>
  <c r="H13" i="1"/>
  <c r="H12" i="1"/>
  <c r="H11" i="1"/>
  <c r="H10" i="1"/>
  <c r="H9" i="1"/>
  <c r="H8" i="1"/>
  <c r="H7" i="1"/>
  <c r="H6" i="1"/>
  <c r="H5" i="1"/>
  <c r="H4" i="1"/>
  <c r="H3" i="1"/>
  <c r="H2" i="1"/>
  <c r="H25" i="1"/>
  <c r="H24" i="1"/>
  <c r="H23" i="1"/>
  <c r="H21" i="1"/>
  <c r="H20" i="1"/>
  <c r="H19" i="1"/>
  <c r="H18" i="1"/>
  <c r="H17" i="1"/>
  <c r="H16" i="1"/>
  <c r="H15" i="1"/>
  <c r="H14" i="1"/>
  <c r="H22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D13" i="1"/>
  <c r="D12" i="1"/>
  <c r="D11" i="1"/>
  <c r="D10" i="1"/>
  <c r="D9" i="1"/>
  <c r="D8" i="1"/>
  <c r="D7" i="1"/>
  <c r="D6" i="1"/>
  <c r="D5" i="1"/>
  <c r="D4" i="1"/>
  <c r="D3" i="1"/>
  <c r="D2" i="1"/>
  <c r="D25" i="1"/>
  <c r="D24" i="1"/>
  <c r="D23" i="1"/>
  <c r="D14" i="1"/>
  <c r="D15" i="1"/>
  <c r="D16" i="1"/>
  <c r="D17" i="1"/>
  <c r="D18" i="1"/>
  <c r="D19" i="1"/>
  <c r="D20" i="1"/>
  <c r="D21" i="1"/>
  <c r="D22" i="1"/>
  <c r="AG25" i="1" l="1"/>
  <c r="AG24" i="1"/>
  <c r="AG23" i="1"/>
  <c r="AE25" i="1"/>
  <c r="AE24" i="1"/>
  <c r="AE23" i="1"/>
  <c r="AA25" i="1"/>
  <c r="AA24" i="1"/>
  <c r="AA23" i="1"/>
  <c r="Y25" i="1"/>
  <c r="Y24" i="1"/>
  <c r="Y23" i="1"/>
  <c r="W25" i="1"/>
  <c r="W24" i="1"/>
  <c r="W23" i="1"/>
  <c r="U25" i="1"/>
  <c r="U24" i="1"/>
  <c r="U23" i="1"/>
  <c r="S25" i="1"/>
  <c r="S24" i="1"/>
  <c r="S23" i="1"/>
  <c r="M25" i="1"/>
  <c r="M24" i="1"/>
  <c r="M23" i="1"/>
  <c r="E25" i="1"/>
  <c r="K25" i="1"/>
  <c r="K24" i="1"/>
  <c r="K23" i="1"/>
  <c r="AG22" i="1"/>
  <c r="AE22" i="1"/>
  <c r="AA22" i="1"/>
  <c r="Y22" i="1"/>
  <c r="W22" i="1"/>
  <c r="U22" i="1"/>
  <c r="S22" i="1"/>
  <c r="M22" i="1"/>
  <c r="AG21" i="1"/>
  <c r="AE21" i="1"/>
  <c r="Y21" i="1"/>
  <c r="W21" i="1"/>
  <c r="U21" i="1"/>
  <c r="M21" i="1"/>
  <c r="K2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Mitsuyoshi Yuki</author>
  </authors>
  <commentList>
    <comment ref="D1" authorId="0" shapeId="0" xr:uid="{136BC3B7-38C9-43EA-B18A-CAB3E1ECA1C9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ﾋﾞﾝ+カン</t>
        </r>
      </text>
    </comment>
    <comment ref="F1" authorId="0" shapeId="0" xr:uid="{75677A34-6C9F-4DF2-9803-1BF4D328F73A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段ボール</t>
        </r>
      </text>
    </comment>
    <comment ref="H1" authorId="0" shapeId="0" xr:uid="{CF6EDA61-4ADA-47D2-82E1-E69AC85E334D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新聞+雑誌+上質+ﾐｯｸｽ</t>
        </r>
      </text>
    </comment>
    <comment ref="J1" authorId="0" shapeId="0" xr:uid="{92BB3D24-6D34-45F1-8C12-9E51B44B335C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ﾍﾟｯﾄﾎﾞﾙ</t>
        </r>
      </text>
    </comment>
    <comment ref="L1" authorId="0" shapeId="0" xr:uid="{9F51AC74-2EA1-4CF3-B828-50F550DFE2BE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発泡</t>
        </r>
      </text>
    </comment>
    <comment ref="N1" authorId="0" shapeId="0" xr:uid="{85749360-D3AC-4658-B185-8C4CFDB4F01E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家電</t>
        </r>
      </text>
    </comment>
    <comment ref="P1" authorId="0" shapeId="0" xr:uid="{F518EC33-9D36-49DE-8C3E-9CC2715C244F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廃油</t>
        </r>
      </text>
    </comment>
    <comment ref="R1" authorId="0" shapeId="0" xr:uid="{F09DA310-88DA-4E2F-A46E-DCDFF8F50104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グリーストラップ</t>
        </r>
      </text>
    </comment>
    <comment ref="T1" authorId="0" shapeId="0" xr:uid="{F07C3192-4372-4676-A9AE-1B619214E62C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乾電池</t>
        </r>
      </text>
    </comment>
    <comment ref="V1" authorId="0" shapeId="0" xr:uid="{1D81A356-23A1-4C29-9D59-FC79D40D7F16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蛍光灯</t>
        </r>
      </text>
    </comment>
    <comment ref="X1" authorId="0" shapeId="0" xr:uid="{AB9500E7-2145-4CDF-A202-1497DC292996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生ごみ</t>
        </r>
      </text>
    </comment>
    <comment ref="Z1" authorId="0" shapeId="0" xr:uid="{9547E28B-0C10-474C-BF25-E1AD9662A23E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一般廃棄物　可燃ｺﾞﾐ</t>
        </r>
      </text>
    </comment>
    <comment ref="AB1" authorId="0" shapeId="0" xr:uid="{18BE63F0-E804-44EF-826B-9E71DCCAD297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注射器</t>
        </r>
      </text>
    </comment>
    <comment ref="AD1" authorId="0" shapeId="0" xr:uid="{3834AA6E-6F24-4332-93E7-82D9C971B74E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粗大</t>
        </r>
      </text>
    </comment>
    <comment ref="AF1" authorId="0" shapeId="0" xr:uid="{0D627862-81BF-4E79-80AD-D980BE96B47A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不燃ごみ</t>
        </r>
      </text>
    </comment>
  </commentList>
</comments>
</file>

<file path=xl/sharedStrings.xml><?xml version="1.0" encoding="utf-8"?>
<sst xmlns="http://schemas.openxmlformats.org/spreadsheetml/2006/main" count="285" uniqueCount="34">
  <si>
    <t>Site Name</t>
  </si>
  <si>
    <t>Month</t>
  </si>
  <si>
    <t>Year</t>
  </si>
  <si>
    <t>Total (per Unit) bottles cans</t>
  </si>
  <si>
    <t>Total cost bottles cans</t>
  </si>
  <si>
    <t>Total cost paper</t>
  </si>
  <si>
    <t>Total (per Unit) plastic pet</t>
  </si>
  <si>
    <t>Total cost plastic pet</t>
  </si>
  <si>
    <t>Total (per Unit) other plastics</t>
  </si>
  <si>
    <t>Total cost other plastics</t>
  </si>
  <si>
    <t>Total cost e waste</t>
  </si>
  <si>
    <t>Total cost liquid food waste</t>
  </si>
  <si>
    <t>Total (per Unit) kitchen grease</t>
  </si>
  <si>
    <t>Total cost kitchen grease</t>
  </si>
  <si>
    <t>Total (per Unit) batteries</t>
  </si>
  <si>
    <t>Total cost batteries</t>
  </si>
  <si>
    <t>Total (per Unit) light bulbs</t>
  </si>
  <si>
    <t>Total (per Unit) food waste</t>
  </si>
  <si>
    <t>Total (per Unit) hazardous and universal waste</t>
  </si>
  <si>
    <t>Total cost hazardous and universal waste</t>
  </si>
  <si>
    <t>Tokyo at Otemachi</t>
  </si>
  <si>
    <t>Total cost cardboard</t>
  </si>
  <si>
    <t>Total cost food waste</t>
  </si>
  <si>
    <t>Total cost general municipal solid waste</t>
  </si>
  <si>
    <t>Total (per Unit) liquid food waste</t>
    <phoneticPr fontId="1"/>
  </si>
  <si>
    <t>Total cost light bulbs</t>
    <phoneticPr fontId="1"/>
  </si>
  <si>
    <t>Total (per Unit) cardboard</t>
    <phoneticPr fontId="1"/>
  </si>
  <si>
    <t>Total (per Unit) paper</t>
    <phoneticPr fontId="1"/>
  </si>
  <si>
    <t>Total (per Unit) durable goods</t>
  </si>
  <si>
    <t>Total cost durable goods</t>
  </si>
  <si>
    <t>Total (per Unit) plastic hdpe</t>
  </si>
  <si>
    <t>Total cost plastic hdpe</t>
  </si>
  <si>
    <t>Total (per Unit) e waste</t>
    <phoneticPr fontId="1"/>
  </si>
  <si>
    <t>Total (per Unit) general municipal solid waste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</si>
</sst>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7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b/>
      <sz val="11"/>
      <color theme="1"/>
      <name val="游ゴシック"/>
      <family val="2"/>
      <scheme val="minor"/>
    </font>
    <font>
      <sz val="9"/>
      <color indexed="81"/>
      <name val="MS P ゴシック"/>
      <family val="2"/>
    </font>
    <font>
      <b/>
      <sz val="9"/>
      <color indexed="81"/>
      <name val="MS P ゴシック"/>
      <family val="2"/>
    </font>
    <font>
      <sz val="9"/>
      <color indexed="81"/>
      <name val="HGGothicE"/>
      <family val="3"/>
      <charset val="128"/>
    </font>
    <font>
      <sz val="11"/>
      <color theme="1"/>
      <name val="游ゴシック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38" fontId="6" fillId="0" borderId="0" applyFont="0" applyFill="0" applyBorder="0" applyAlignment="0" applyProtection="0">
      <alignment vertical="center"/>
    </xf>
  </cellStyleXfs>
  <cellXfs count="17">
    <xf numFmtId="0" fontId="0" fillId="0" borderId="0" xfId="0"/>
    <xf numFmtId="1" fontId="0" fillId="0" borderId="0" xfId="0" applyNumberFormat="1"/>
    <xf numFmtId="1" fontId="0" fillId="0" borderId="0" xfId="0" applyNumberFormat="1" applyFont="1"/>
    <xf numFmtId="0" fontId="0" fillId="0" borderId="0" xfId="0" applyFill="1"/>
    <xf numFmtId="0" fontId="2" fillId="0" borderId="0" xfId="0" applyFont="1" applyAlignment="1">
      <alignment wrapText="1"/>
    </xf>
    <xf numFmtId="0" fontId="2" fillId="0" borderId="0" xfId="0" applyFont="1" applyFill="1" applyAlignment="1">
      <alignment wrapText="1"/>
    </xf>
    <xf numFmtId="0" fontId="0" fillId="0" borderId="0" xfId="0" applyAlignment="1">
      <alignment wrapText="1"/>
    </xf>
    <xf numFmtId="0" fontId="0" fillId="2" borderId="0" xfId="0" applyFill="1"/>
    <xf numFmtId="1" fontId="0" fillId="0" borderId="0" xfId="0" applyNumberFormat="1" applyFill="1"/>
    <xf numFmtId="176" fontId="0" fillId="0" borderId="0" xfId="0" applyNumberFormat="1" applyFill="1"/>
    <xf numFmtId="0" fontId="2" fillId="3" borderId="0" xfId="0" applyFont="1" applyFill="1" applyAlignment="1">
      <alignment wrapText="1"/>
    </xf>
    <xf numFmtId="1" fontId="0" fillId="2" borderId="0" xfId="0" applyNumberFormat="1" applyFill="1"/>
    <xf numFmtId="38" fontId="2" fillId="0" borderId="0" xfId="1" applyFont="1" applyFill="1" applyAlignment="1">
      <alignment wrapText="1"/>
    </xf>
    <xf numFmtId="38" fontId="0" fillId="0" borderId="0" xfId="1" applyFont="1" applyFill="1" applyAlignment="1"/>
    <xf numFmtId="38" fontId="0" fillId="2" borderId="0" xfId="1" applyFont="1" applyFill="1" applyAlignment="1"/>
    <xf numFmtId="38" fontId="0" fillId="0" borderId="0" xfId="1" applyFont="1" applyAlignment="1"/>
    <xf numFmtId="38" fontId="0" fillId="3" borderId="0" xfId="1" applyFont="1" applyFill="1" applyAlignment="1"/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8.%20Waste%20Records%20&#24259;&#26820;&#29289;&#25490;&#20986;&#35352;&#37682;/2021%20waste%20record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8.%20Waste%20Records%20&#24259;&#26820;&#29289;&#25490;&#20986;&#35352;&#37682;/2022%20waste%20record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glish"/>
      <sheetName val="Total Waste per Night Guests"/>
      <sheetName val="Food Waste per Food Cver"/>
    </sheetNames>
    <sheetDataSet>
      <sheetData sheetId="0">
        <row r="10">
          <cell r="D10">
            <v>2245.6</v>
          </cell>
          <cell r="E10">
            <v>4991.6000000000004</v>
          </cell>
          <cell r="G10">
            <v>1403.1</v>
          </cell>
          <cell r="H10">
            <v>43.3</v>
          </cell>
          <cell r="I10">
            <v>8.3000000000000007</v>
          </cell>
          <cell r="J10"/>
          <cell r="K10">
            <v>4.7</v>
          </cell>
          <cell r="L10">
            <v>96.6</v>
          </cell>
          <cell r="M10">
            <v>55.4</v>
          </cell>
          <cell r="N10">
            <v>23.2</v>
          </cell>
          <cell r="O10"/>
          <cell r="P10">
            <v>842.6</v>
          </cell>
          <cell r="Q10">
            <v>1487.2</v>
          </cell>
          <cell r="R10">
            <v>175.6</v>
          </cell>
          <cell r="S10">
            <v>116.5</v>
          </cell>
          <cell r="T10">
            <v>354.6</v>
          </cell>
          <cell r="W10">
            <v>108.7</v>
          </cell>
          <cell r="Y10"/>
        </row>
        <row r="13">
          <cell r="D13">
            <v>2379.3000000000002</v>
          </cell>
          <cell r="E13">
            <v>4761.3</v>
          </cell>
          <cell r="G13">
            <v>1084.9000000000001</v>
          </cell>
          <cell r="H13">
            <v>25.1</v>
          </cell>
          <cell r="I13">
            <v>6.5</v>
          </cell>
          <cell r="J13"/>
          <cell r="K13"/>
          <cell r="L13">
            <v>82.9</v>
          </cell>
          <cell r="M13">
            <v>59.2</v>
          </cell>
          <cell r="N13">
            <v>45.7</v>
          </cell>
          <cell r="O13"/>
          <cell r="P13">
            <v>793</v>
          </cell>
          <cell r="Q13">
            <v>1473.3</v>
          </cell>
          <cell r="R13">
            <v>236.5</v>
          </cell>
          <cell r="S13">
            <v>118.4</v>
          </cell>
          <cell r="T13">
            <v>245.7</v>
          </cell>
          <cell r="W13">
            <v>149.6</v>
          </cell>
          <cell r="Y13"/>
        </row>
        <row r="16">
          <cell r="D16">
            <v>3444</v>
          </cell>
          <cell r="E16">
            <v>6992.7</v>
          </cell>
          <cell r="G16">
            <v>1493.7</v>
          </cell>
          <cell r="H16">
            <v>90.2</v>
          </cell>
          <cell r="I16">
            <v>17.2</v>
          </cell>
          <cell r="J16">
            <v>0.5</v>
          </cell>
          <cell r="K16">
            <v>0.4</v>
          </cell>
          <cell r="L16">
            <v>119.8</v>
          </cell>
          <cell r="M16">
            <v>90.1</v>
          </cell>
          <cell r="N16"/>
          <cell r="O16"/>
          <cell r="P16">
            <v>1346.9</v>
          </cell>
          <cell r="Q16">
            <v>2489.1999999999998</v>
          </cell>
          <cell r="R16">
            <v>302.2</v>
          </cell>
          <cell r="S16">
            <v>134.69999999999999</v>
          </cell>
          <cell r="T16">
            <v>261.8</v>
          </cell>
          <cell r="W16">
            <v>200.5</v>
          </cell>
          <cell r="Y16"/>
        </row>
        <row r="19">
          <cell r="D19">
            <v>3481.7</v>
          </cell>
          <cell r="E19">
            <v>7230.7</v>
          </cell>
          <cell r="G19">
            <v>1652.9</v>
          </cell>
          <cell r="H19">
            <v>45</v>
          </cell>
          <cell r="I19">
            <v>21.3</v>
          </cell>
          <cell r="J19">
            <v>0.3</v>
          </cell>
          <cell r="K19">
            <v>14.7</v>
          </cell>
          <cell r="L19">
            <v>126.7</v>
          </cell>
          <cell r="M19">
            <v>85.1</v>
          </cell>
          <cell r="N19"/>
          <cell r="O19">
            <v>4.4000000000000004</v>
          </cell>
          <cell r="P19">
            <v>1506.5</v>
          </cell>
          <cell r="Q19">
            <v>3025</v>
          </cell>
          <cell r="R19">
            <v>340.5</v>
          </cell>
          <cell r="S19">
            <v>166.3</v>
          </cell>
          <cell r="T19">
            <v>456.7</v>
          </cell>
          <cell r="W19">
            <v>209.6</v>
          </cell>
          <cell r="Y19"/>
        </row>
        <row r="22">
          <cell r="D22">
            <v>4105.8</v>
          </cell>
          <cell r="E22">
            <v>6988.6</v>
          </cell>
          <cell r="G22">
            <v>1849</v>
          </cell>
          <cell r="H22">
            <v>21.4</v>
          </cell>
          <cell r="I22">
            <v>6.1</v>
          </cell>
          <cell r="J22"/>
          <cell r="K22">
            <v>2.2000000000000002</v>
          </cell>
          <cell r="L22">
            <v>153.4</v>
          </cell>
          <cell r="M22">
            <v>108.8</v>
          </cell>
          <cell r="N22">
            <v>29.7</v>
          </cell>
          <cell r="O22">
            <v>3.8</v>
          </cell>
          <cell r="P22">
            <v>1435.2</v>
          </cell>
          <cell r="Q22">
            <v>2292.1</v>
          </cell>
          <cell r="R22">
            <v>480.7</v>
          </cell>
          <cell r="S22">
            <v>165.7</v>
          </cell>
          <cell r="T22">
            <v>375.7</v>
          </cell>
          <cell r="W22">
            <v>482.5</v>
          </cell>
          <cell r="Y22"/>
        </row>
        <row r="25">
          <cell r="D25">
            <v>3900.1</v>
          </cell>
          <cell r="E25">
            <v>6268.9</v>
          </cell>
          <cell r="G25">
            <v>1611.8</v>
          </cell>
          <cell r="H25">
            <v>49.5</v>
          </cell>
          <cell r="I25">
            <v>11.1</v>
          </cell>
          <cell r="J25"/>
          <cell r="K25"/>
          <cell r="L25">
            <v>224.5</v>
          </cell>
          <cell r="M25">
            <v>98.3</v>
          </cell>
          <cell r="N25">
            <v>24</v>
          </cell>
          <cell r="O25">
            <v>2.4</v>
          </cell>
          <cell r="P25">
            <v>1294.5</v>
          </cell>
          <cell r="Q25">
            <v>2078.5</v>
          </cell>
          <cell r="R25">
            <v>291.2</v>
          </cell>
          <cell r="S25">
            <v>133.5</v>
          </cell>
          <cell r="T25">
            <v>314.3</v>
          </cell>
          <cell r="W25">
            <v>337.8</v>
          </cell>
          <cell r="Y25"/>
        </row>
        <row r="28">
          <cell r="D28">
            <v>4697.8999999999996</v>
          </cell>
          <cell r="E28">
            <v>8283.6</v>
          </cell>
          <cell r="G28">
            <v>1817.7</v>
          </cell>
          <cell r="H28">
            <v>29.6</v>
          </cell>
          <cell r="I28">
            <v>19.8</v>
          </cell>
          <cell r="J28"/>
          <cell r="K28">
            <v>1.9</v>
          </cell>
          <cell r="L28">
            <v>322</v>
          </cell>
          <cell r="M28">
            <v>126.6</v>
          </cell>
          <cell r="N28">
            <v>58</v>
          </cell>
          <cell r="O28"/>
          <cell r="P28">
            <v>1697.3</v>
          </cell>
          <cell r="Q28">
            <v>2499.1999999999998</v>
          </cell>
          <cell r="R28">
            <v>386.7</v>
          </cell>
          <cell r="S28">
            <v>182.1</v>
          </cell>
          <cell r="T28">
            <v>330.1</v>
          </cell>
          <cell r="W28">
            <v>359.4</v>
          </cell>
          <cell r="Y28"/>
        </row>
        <row r="31">
          <cell r="D31">
            <v>4948.3999999999996</v>
          </cell>
          <cell r="E31">
            <v>7838.7</v>
          </cell>
          <cell r="G31">
            <v>2202.6</v>
          </cell>
          <cell r="H31">
            <v>18.3</v>
          </cell>
          <cell r="I31">
            <v>20.8</v>
          </cell>
          <cell r="J31"/>
          <cell r="K31">
            <v>0.4</v>
          </cell>
          <cell r="L31">
            <v>420.3</v>
          </cell>
          <cell r="M31">
            <v>129.30000000000001</v>
          </cell>
          <cell r="N31">
            <v>28.6</v>
          </cell>
          <cell r="O31"/>
          <cell r="P31">
            <v>1909.6</v>
          </cell>
          <cell r="Q31">
            <v>2566.1999999999998</v>
          </cell>
          <cell r="R31">
            <v>339.5</v>
          </cell>
          <cell r="S31">
            <v>133.4</v>
          </cell>
          <cell r="T31">
            <v>354.4</v>
          </cell>
          <cell r="W31">
            <v>436.6</v>
          </cell>
          <cell r="Y31"/>
        </row>
        <row r="34">
          <cell r="D34">
            <v>4672.6000000000004</v>
          </cell>
          <cell r="E34">
            <v>6839</v>
          </cell>
          <cell r="G34">
            <v>1919.6</v>
          </cell>
          <cell r="H34">
            <v>46.7</v>
          </cell>
          <cell r="I34">
            <v>21.5</v>
          </cell>
          <cell r="J34"/>
          <cell r="K34">
            <v>1.4</v>
          </cell>
          <cell r="L34">
            <v>358</v>
          </cell>
          <cell r="M34">
            <v>98.4</v>
          </cell>
          <cell r="N34">
            <v>7.2</v>
          </cell>
          <cell r="O34"/>
          <cell r="P34">
            <v>1752.9</v>
          </cell>
          <cell r="Q34">
            <v>2446.8000000000002</v>
          </cell>
          <cell r="R34">
            <v>299.60000000000002</v>
          </cell>
          <cell r="S34">
            <v>203.1</v>
          </cell>
          <cell r="T34">
            <v>216.9</v>
          </cell>
          <cell r="W34">
            <v>383.8</v>
          </cell>
          <cell r="Y34"/>
        </row>
        <row r="37">
          <cell r="D37">
            <v>5131.7</v>
          </cell>
          <cell r="E37">
            <v>8041.7</v>
          </cell>
          <cell r="G37">
            <v>2265.6999999999998</v>
          </cell>
          <cell r="H37">
            <v>28.9</v>
          </cell>
          <cell r="I37">
            <v>22.2</v>
          </cell>
          <cell r="J37"/>
          <cell r="K37"/>
          <cell r="L37">
            <v>442.7</v>
          </cell>
          <cell r="M37">
            <v>127.3</v>
          </cell>
          <cell r="N37">
            <v>63.2</v>
          </cell>
          <cell r="O37">
            <v>22.3</v>
          </cell>
          <cell r="P37">
            <v>2043.2</v>
          </cell>
          <cell r="Q37">
            <v>3298.8</v>
          </cell>
          <cell r="R37">
            <v>243.1</v>
          </cell>
          <cell r="S37">
            <v>231</v>
          </cell>
          <cell r="T37">
            <v>261.60000000000002</v>
          </cell>
          <cell r="W37">
            <v>415.3</v>
          </cell>
          <cell r="Y37"/>
        </row>
        <row r="40">
          <cell r="D40">
            <v>5262.1</v>
          </cell>
          <cell r="E40">
            <v>8498.5</v>
          </cell>
          <cell r="G40">
            <v>2267.6</v>
          </cell>
          <cell r="H40">
            <v>153</v>
          </cell>
          <cell r="I40">
            <v>12</v>
          </cell>
          <cell r="J40"/>
          <cell r="K40"/>
          <cell r="L40">
            <v>509.5</v>
          </cell>
          <cell r="M40">
            <v>146.69999999999999</v>
          </cell>
          <cell r="N40">
            <v>6.4</v>
          </cell>
          <cell r="O40"/>
          <cell r="P40">
            <v>2060.6</v>
          </cell>
          <cell r="Q40">
            <v>3447.6</v>
          </cell>
          <cell r="R40">
            <v>213.3</v>
          </cell>
          <cell r="S40">
            <v>186.8</v>
          </cell>
          <cell r="T40">
            <v>330.2</v>
          </cell>
          <cell r="W40">
            <v>463.3</v>
          </cell>
          <cell r="Y40"/>
        </row>
        <row r="43">
          <cell r="D43">
            <v>6096</v>
          </cell>
          <cell r="E43">
            <v>8613</v>
          </cell>
          <cell r="G43">
            <v>2319.5</v>
          </cell>
          <cell r="H43">
            <v>19.5</v>
          </cell>
          <cell r="I43">
            <v>16.100000000000001</v>
          </cell>
          <cell r="J43"/>
          <cell r="K43">
            <v>0.4</v>
          </cell>
          <cell r="L43">
            <v>501.8</v>
          </cell>
          <cell r="M43">
            <v>139.30000000000001</v>
          </cell>
          <cell r="N43">
            <v>17.7</v>
          </cell>
          <cell r="O43">
            <v>0.2</v>
          </cell>
          <cell r="P43">
            <v>2366.9</v>
          </cell>
          <cell r="Q43">
            <v>4110</v>
          </cell>
          <cell r="R43">
            <v>211</v>
          </cell>
          <cell r="S43">
            <v>181.1</v>
          </cell>
          <cell r="T43">
            <v>299.60000000000002</v>
          </cell>
          <cell r="W43">
            <v>507.2</v>
          </cell>
          <cell r="Y43"/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glish"/>
      <sheetName val="Total Waste per Night Guests"/>
      <sheetName val="Food Waste per Food Cver"/>
    </sheetNames>
    <sheetDataSet>
      <sheetData sheetId="0">
        <row r="10">
          <cell r="D10">
            <v>4581.3999999999996</v>
          </cell>
          <cell r="E10">
            <v>6794.1</v>
          </cell>
          <cell r="G10">
            <v>1991.1</v>
          </cell>
          <cell r="H10">
            <v>31.5</v>
          </cell>
          <cell r="I10">
            <v>12.9</v>
          </cell>
          <cell r="K10">
            <v>2.4</v>
          </cell>
          <cell r="L10">
            <v>392.2</v>
          </cell>
          <cell r="M10">
            <v>113.2</v>
          </cell>
          <cell r="N10">
            <v>31.1</v>
          </cell>
          <cell r="O10">
            <v>2.5</v>
          </cell>
          <cell r="P10">
            <v>1672.6</v>
          </cell>
          <cell r="Q10">
            <v>2939.2</v>
          </cell>
          <cell r="R10">
            <v>171.9</v>
          </cell>
          <cell r="S10">
            <v>192.3</v>
          </cell>
          <cell r="T10">
            <v>288.5</v>
          </cell>
          <cell r="W10">
            <v>391.7</v>
          </cell>
        </row>
        <row r="12">
          <cell r="D12">
            <v>91628</v>
          </cell>
          <cell r="E12">
            <v>203823</v>
          </cell>
          <cell r="G12">
            <v>91590</v>
          </cell>
          <cell r="H12">
            <v>7875</v>
          </cell>
          <cell r="I12">
            <v>593</v>
          </cell>
          <cell r="J12">
            <v>0</v>
          </cell>
          <cell r="K12">
            <v>624</v>
          </cell>
          <cell r="L12">
            <v>5883</v>
          </cell>
          <cell r="Q12">
            <v>73480</v>
          </cell>
          <cell r="R12">
            <v>1719</v>
          </cell>
          <cell r="W12">
            <v>101842</v>
          </cell>
        </row>
        <row r="13">
          <cell r="D13">
            <v>4330.3999999999996</v>
          </cell>
          <cell r="E13">
            <v>6056</v>
          </cell>
          <cell r="G13">
            <v>1892.3</v>
          </cell>
          <cell r="H13">
            <v>88.8</v>
          </cell>
          <cell r="I13">
            <v>7</v>
          </cell>
          <cell r="K13">
            <v>4.5999999999999996</v>
          </cell>
          <cell r="L13">
            <v>367</v>
          </cell>
          <cell r="M13">
            <v>7.2</v>
          </cell>
          <cell r="O13">
            <v>0.3</v>
          </cell>
          <cell r="P13">
            <v>1505.3</v>
          </cell>
          <cell r="Q13">
            <v>2457.1</v>
          </cell>
          <cell r="R13">
            <v>216.4</v>
          </cell>
          <cell r="S13">
            <v>171.9</v>
          </cell>
          <cell r="T13">
            <v>229.3</v>
          </cell>
          <cell r="W13">
            <v>368.7</v>
          </cell>
        </row>
        <row r="15">
          <cell r="D15">
            <v>86608</v>
          </cell>
          <cell r="E15">
            <v>181680</v>
          </cell>
          <cell r="G15">
            <v>87045</v>
          </cell>
          <cell r="H15">
            <v>22200</v>
          </cell>
          <cell r="I15">
            <v>322</v>
          </cell>
          <cell r="J15">
            <v>0</v>
          </cell>
          <cell r="K15">
            <v>1196</v>
          </cell>
          <cell r="L15">
            <v>5505</v>
          </cell>
          <cell r="Q15">
            <v>61427</v>
          </cell>
          <cell r="R15">
            <v>2164</v>
          </cell>
          <cell r="W15">
            <v>95862</v>
          </cell>
        </row>
        <row r="16">
          <cell r="D16">
            <v>5457.5</v>
          </cell>
          <cell r="E16">
            <v>7717</v>
          </cell>
          <cell r="G16">
            <v>2392.9</v>
          </cell>
          <cell r="H16">
            <v>93.7</v>
          </cell>
          <cell r="I16">
            <v>10.3</v>
          </cell>
          <cell r="K16">
            <v>0.5</v>
          </cell>
          <cell r="L16">
            <v>335.1</v>
          </cell>
          <cell r="M16">
            <v>127.1</v>
          </cell>
          <cell r="N16">
            <v>27.5</v>
          </cell>
          <cell r="O16">
            <v>0.6</v>
          </cell>
          <cell r="P16">
            <v>1932</v>
          </cell>
          <cell r="Q16">
            <v>3443.4</v>
          </cell>
          <cell r="R16">
            <v>310.8</v>
          </cell>
          <cell r="S16">
            <v>197.7</v>
          </cell>
          <cell r="T16">
            <v>259.2</v>
          </cell>
          <cell r="W16">
            <v>493.9</v>
          </cell>
        </row>
        <row r="18">
          <cell r="D18">
            <v>109150</v>
          </cell>
          <cell r="E18">
            <v>231510</v>
          </cell>
          <cell r="G18">
            <v>110073</v>
          </cell>
          <cell r="H18">
            <v>23425</v>
          </cell>
          <cell r="I18">
            <v>473</v>
          </cell>
          <cell r="J18">
            <v>0</v>
          </cell>
          <cell r="K18">
            <v>130</v>
          </cell>
          <cell r="L18">
            <v>5026</v>
          </cell>
          <cell r="Q18">
            <v>86085</v>
          </cell>
          <cell r="R18">
            <v>3108</v>
          </cell>
          <cell r="W18">
            <v>128414</v>
          </cell>
        </row>
        <row r="19">
          <cell r="D19">
            <v>5290.9</v>
          </cell>
          <cell r="E19">
            <v>7737.8</v>
          </cell>
          <cell r="G19">
            <v>2360.6999999999998</v>
          </cell>
          <cell r="H19">
            <v>41.3</v>
          </cell>
          <cell r="I19">
            <v>32.1</v>
          </cell>
          <cell r="J19">
            <v>3</v>
          </cell>
          <cell r="K19">
            <v>51.4</v>
          </cell>
          <cell r="L19">
            <v>144.19999999999999</v>
          </cell>
          <cell r="M19">
            <v>107.8</v>
          </cell>
          <cell r="N19">
            <v>69.8</v>
          </cell>
          <cell r="P19">
            <v>2210.1999999999998</v>
          </cell>
          <cell r="Q19">
            <v>3567.4</v>
          </cell>
          <cell r="R19">
            <v>527.70000000000005</v>
          </cell>
          <cell r="S19">
            <v>234.9</v>
          </cell>
          <cell r="T19">
            <v>41.3</v>
          </cell>
          <cell r="W19">
            <v>450</v>
          </cell>
        </row>
        <row r="21">
          <cell r="D21">
            <v>105818</v>
          </cell>
          <cell r="E21">
            <v>232134</v>
          </cell>
          <cell r="G21">
            <v>108592</v>
          </cell>
          <cell r="H21">
            <v>10325</v>
          </cell>
          <cell r="I21">
            <v>1476</v>
          </cell>
          <cell r="J21">
            <v>780</v>
          </cell>
          <cell r="K21">
            <v>13364</v>
          </cell>
          <cell r="L21">
            <v>2163</v>
          </cell>
          <cell r="Q21">
            <v>89185</v>
          </cell>
          <cell r="R21">
            <v>5277</v>
          </cell>
          <cell r="W21">
            <v>117000</v>
          </cell>
        </row>
        <row r="22">
          <cell r="D22">
            <v>5804.4</v>
          </cell>
          <cell r="E22">
            <v>9470.6</v>
          </cell>
          <cell r="G22">
            <v>2707</v>
          </cell>
          <cell r="H22">
            <v>75.599999999999994</v>
          </cell>
          <cell r="I22">
            <v>20.9</v>
          </cell>
          <cell r="J22">
            <v>1.7</v>
          </cell>
          <cell r="K22">
            <v>15.8</v>
          </cell>
          <cell r="L22">
            <v>164.1</v>
          </cell>
          <cell r="M22">
            <v>133.69999999999999</v>
          </cell>
          <cell r="N22">
            <v>22.1</v>
          </cell>
          <cell r="P22">
            <v>2243.6</v>
          </cell>
          <cell r="Q22">
            <v>4111.3999999999996</v>
          </cell>
          <cell r="R22">
            <v>595.1</v>
          </cell>
          <cell r="S22">
            <v>180.3</v>
          </cell>
          <cell r="T22">
            <v>325.10000000000002</v>
          </cell>
          <cell r="W22">
            <v>529.4</v>
          </cell>
        </row>
        <row r="24">
          <cell r="D24">
            <v>116088</v>
          </cell>
          <cell r="E24">
            <v>284118</v>
          </cell>
          <cell r="G24">
            <v>124522</v>
          </cell>
          <cell r="H24">
            <v>18900</v>
          </cell>
          <cell r="I24">
            <v>961</v>
          </cell>
          <cell r="J24">
            <v>442</v>
          </cell>
          <cell r="K24">
            <v>4108</v>
          </cell>
          <cell r="L24">
            <v>2461</v>
          </cell>
          <cell r="Q24">
            <v>102785</v>
          </cell>
          <cell r="R24">
            <v>5951</v>
          </cell>
          <cell r="W24">
            <v>137644</v>
          </cell>
        </row>
        <row r="25">
          <cell r="D25">
            <v>5620.2</v>
          </cell>
          <cell r="E25">
            <v>8897.1</v>
          </cell>
          <cell r="G25">
            <v>2167.6999999999998</v>
          </cell>
          <cell r="H25">
            <v>76.400000000000006</v>
          </cell>
          <cell r="I25">
            <v>21.2</v>
          </cell>
          <cell r="J25">
            <v>0.2</v>
          </cell>
          <cell r="K25">
            <v>0.1</v>
          </cell>
          <cell r="L25">
            <v>229.5</v>
          </cell>
          <cell r="M25">
            <v>109.1</v>
          </cell>
          <cell r="N25">
            <v>46.2</v>
          </cell>
          <cell r="P25">
            <v>1952.2</v>
          </cell>
          <cell r="Q25">
            <v>3724.8</v>
          </cell>
          <cell r="R25">
            <v>530.6</v>
          </cell>
          <cell r="S25">
            <v>202.3</v>
          </cell>
          <cell r="T25">
            <v>313.10000000000002</v>
          </cell>
          <cell r="W25">
            <v>526.29999999999995</v>
          </cell>
        </row>
        <row r="27">
          <cell r="D27">
            <v>112404</v>
          </cell>
          <cell r="E27">
            <v>266913</v>
          </cell>
          <cell r="G27">
            <v>99714</v>
          </cell>
          <cell r="H27">
            <v>19100</v>
          </cell>
          <cell r="I27">
            <v>975</v>
          </cell>
          <cell r="J27">
            <v>52</v>
          </cell>
          <cell r="K27">
            <v>26</v>
          </cell>
          <cell r="L27">
            <v>3442</v>
          </cell>
          <cell r="Q27">
            <v>93120</v>
          </cell>
          <cell r="R27">
            <v>5306</v>
          </cell>
          <cell r="W27">
            <v>136838</v>
          </cell>
        </row>
        <row r="28">
          <cell r="D28">
            <v>5774.6</v>
          </cell>
          <cell r="E28">
            <v>8991.4</v>
          </cell>
          <cell r="G28">
            <v>2087.6999999999998</v>
          </cell>
          <cell r="H28">
            <v>73.099999999999994</v>
          </cell>
          <cell r="I28">
            <v>34.700000000000003</v>
          </cell>
          <cell r="J28">
            <v>7.3</v>
          </cell>
          <cell r="K28">
            <v>8.5</v>
          </cell>
          <cell r="L28">
            <v>165.5</v>
          </cell>
          <cell r="M28">
            <v>102.5</v>
          </cell>
          <cell r="N28">
            <v>27.2</v>
          </cell>
          <cell r="P28">
            <v>2070.8000000000002</v>
          </cell>
          <cell r="Q28">
            <v>4083.6</v>
          </cell>
          <cell r="R28">
            <v>565.4</v>
          </cell>
          <cell r="S28">
            <v>232.5</v>
          </cell>
          <cell r="T28">
            <v>287.5</v>
          </cell>
          <cell r="W28">
            <v>573</v>
          </cell>
        </row>
        <row r="30">
          <cell r="D30">
            <v>115492</v>
          </cell>
          <cell r="E30">
            <v>269742</v>
          </cell>
          <cell r="G30">
            <v>96034</v>
          </cell>
          <cell r="H30">
            <v>18275</v>
          </cell>
          <cell r="I30">
            <v>1596</v>
          </cell>
          <cell r="J30">
            <v>1898</v>
          </cell>
          <cell r="K30">
            <v>2210</v>
          </cell>
          <cell r="L30">
            <v>2482</v>
          </cell>
          <cell r="Q30">
            <v>102090</v>
          </cell>
          <cell r="R30">
            <v>5654</v>
          </cell>
          <cell r="W30">
            <v>148980</v>
          </cell>
        </row>
        <row r="31">
          <cell r="D31">
            <v>6398.3</v>
          </cell>
          <cell r="E31">
            <v>9068.9</v>
          </cell>
          <cell r="G31">
            <v>2136.3000000000002</v>
          </cell>
          <cell r="H31">
            <v>97</v>
          </cell>
          <cell r="I31">
            <v>31.4</v>
          </cell>
          <cell r="K31">
            <v>0.7</v>
          </cell>
          <cell r="L31">
            <v>178.6</v>
          </cell>
          <cell r="M31">
            <v>118.4</v>
          </cell>
          <cell r="N31">
            <v>15</v>
          </cell>
          <cell r="P31">
            <v>2262.5</v>
          </cell>
          <cell r="Q31">
            <v>3977</v>
          </cell>
          <cell r="R31">
            <v>681</v>
          </cell>
          <cell r="S31">
            <v>231.8</v>
          </cell>
          <cell r="T31">
            <v>326.8</v>
          </cell>
          <cell r="W31">
            <v>597.9</v>
          </cell>
        </row>
        <row r="33">
          <cell r="D33">
            <v>127966</v>
          </cell>
          <cell r="E33">
            <v>272067</v>
          </cell>
          <cell r="G33">
            <v>98269</v>
          </cell>
          <cell r="H33">
            <v>24250</v>
          </cell>
          <cell r="I33">
            <v>1444</v>
          </cell>
          <cell r="J33">
            <v>0</v>
          </cell>
          <cell r="K33">
            <v>182</v>
          </cell>
          <cell r="L33">
            <v>2679</v>
          </cell>
          <cell r="Q33">
            <v>99425</v>
          </cell>
          <cell r="R33">
            <v>6810</v>
          </cell>
          <cell r="W33">
            <v>155454</v>
          </cell>
        </row>
        <row r="34">
          <cell r="D34">
            <v>7453.6</v>
          </cell>
          <cell r="E34">
            <v>7392.7</v>
          </cell>
          <cell r="G34">
            <v>2056.3000000000002</v>
          </cell>
          <cell r="H34">
            <v>208.5</v>
          </cell>
          <cell r="I34">
            <v>20.2</v>
          </cell>
          <cell r="K34">
            <v>0.8</v>
          </cell>
          <cell r="L34">
            <v>163.30000000000001</v>
          </cell>
          <cell r="M34">
            <v>76.099999999999994</v>
          </cell>
          <cell r="N34">
            <v>12.6</v>
          </cell>
          <cell r="O34">
            <v>0.8</v>
          </cell>
          <cell r="P34">
            <v>2197.4</v>
          </cell>
          <cell r="Q34">
            <v>3869.7</v>
          </cell>
          <cell r="R34">
            <v>614</v>
          </cell>
          <cell r="S34">
            <v>200.9</v>
          </cell>
          <cell r="T34">
            <v>181</v>
          </cell>
          <cell r="W34">
            <v>563.5</v>
          </cell>
        </row>
        <row r="36">
          <cell r="D36">
            <v>149072</v>
          </cell>
          <cell r="E36">
            <v>221781</v>
          </cell>
          <cell r="G36">
            <v>94589</v>
          </cell>
          <cell r="H36">
            <v>52125</v>
          </cell>
          <cell r="I36">
            <v>929</v>
          </cell>
          <cell r="J36">
            <v>0</v>
          </cell>
          <cell r="K36">
            <v>208</v>
          </cell>
          <cell r="Q36">
            <v>96742</v>
          </cell>
          <cell r="R36">
            <v>6140</v>
          </cell>
          <cell r="W36">
            <v>146510</v>
          </cell>
        </row>
        <row r="39">
          <cell r="D39">
            <v>0</v>
          </cell>
          <cell r="E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Q39">
            <v>0</v>
          </cell>
          <cell r="R39">
            <v>0</v>
          </cell>
          <cell r="W39">
            <v>0</v>
          </cell>
        </row>
        <row r="42">
          <cell r="D42">
            <v>0</v>
          </cell>
          <cell r="E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Q42">
            <v>0</v>
          </cell>
          <cell r="R42">
            <v>0</v>
          </cell>
          <cell r="W42">
            <v>0</v>
          </cell>
        </row>
        <row r="45">
          <cell r="D45">
            <v>0</v>
          </cell>
          <cell r="E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Q45">
            <v>0</v>
          </cell>
          <cell r="R45">
            <v>0</v>
          </cell>
          <cell r="W45">
            <v>0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6"/>
  <sheetViews>
    <sheetView tabSelected="1" topLeftCell="B1" workbookViewId="0">
      <pane ySplit="1" topLeftCell="A15" activePane="bottomLeft" state="frozen"/>
      <selection pane="bottomLeft" activeCell="M21" sqref="M21"/>
    </sheetView>
  </sheetViews>
  <sheetFormatPr defaultRowHeight="18.75"/>
  <cols>
    <col min="1" max="1" width="17.75" bestFit="1" customWidth="1"/>
    <col min="2" max="3" width="8.375" customWidth="1"/>
    <col min="4" max="4" width="9.375" style="3" customWidth="1"/>
    <col min="5" max="5" width="9.375" style="13" customWidth="1"/>
    <col min="6" max="6" width="9.375" style="3" customWidth="1"/>
    <col min="7" max="7" width="9.375" style="13" customWidth="1"/>
    <col min="8" max="8" width="9.375" style="3" customWidth="1"/>
    <col min="9" max="9" width="9.375" style="13" customWidth="1"/>
    <col min="10" max="10" width="9.375" style="3" customWidth="1"/>
    <col min="11" max="11" width="9.375" style="13" customWidth="1"/>
    <col min="12" max="12" width="9.375" style="3" customWidth="1"/>
    <col min="13" max="13" width="9.375" style="13" customWidth="1"/>
    <col min="14" max="14" width="10.75" style="3" bestFit="1" customWidth="1"/>
    <col min="15" max="15" width="9.375" style="13" customWidth="1"/>
    <col min="16" max="18" width="9.375" style="3" customWidth="1"/>
    <col min="19" max="19" width="9.375" style="13" customWidth="1"/>
    <col min="20" max="20" width="9.375" style="3" customWidth="1"/>
    <col min="21" max="21" width="9.375" style="13" customWidth="1"/>
    <col min="22" max="24" width="9.375" style="3" customWidth="1"/>
    <col min="25" max="25" width="9.375" style="13" customWidth="1"/>
    <col min="26" max="26" width="9.375" style="3" customWidth="1"/>
    <col min="27" max="27" width="9.375" style="13" customWidth="1"/>
    <col min="28" max="29" width="9.375" style="3" customWidth="1"/>
    <col min="31" max="31" width="9" style="15"/>
    <col min="33" max="33" width="9" style="15"/>
  </cols>
  <sheetData>
    <row r="1" spans="1:33" s="6" customFormat="1" ht="134.25" customHeight="1">
      <c r="A1" s="4" t="s">
        <v>0</v>
      </c>
      <c r="B1" s="4" t="s">
        <v>1</v>
      </c>
      <c r="C1" s="4" t="s">
        <v>2</v>
      </c>
      <c r="D1" s="10" t="s">
        <v>3</v>
      </c>
      <c r="E1" s="12" t="s">
        <v>4</v>
      </c>
      <c r="F1" s="10" t="s">
        <v>26</v>
      </c>
      <c r="G1" s="12" t="s">
        <v>21</v>
      </c>
      <c r="H1" s="10" t="s">
        <v>27</v>
      </c>
      <c r="I1" s="12" t="s">
        <v>5</v>
      </c>
      <c r="J1" s="10" t="s">
        <v>6</v>
      </c>
      <c r="K1" s="12" t="s">
        <v>7</v>
      </c>
      <c r="L1" s="10" t="s">
        <v>8</v>
      </c>
      <c r="M1" s="12" t="s">
        <v>9</v>
      </c>
      <c r="N1" s="10" t="s">
        <v>32</v>
      </c>
      <c r="O1" s="12" t="s">
        <v>10</v>
      </c>
      <c r="P1" s="10" t="s">
        <v>24</v>
      </c>
      <c r="Q1" s="5" t="s">
        <v>11</v>
      </c>
      <c r="R1" s="10" t="s">
        <v>12</v>
      </c>
      <c r="S1" s="12" t="s">
        <v>13</v>
      </c>
      <c r="T1" s="10" t="s">
        <v>14</v>
      </c>
      <c r="U1" s="12" t="s">
        <v>15</v>
      </c>
      <c r="V1" s="10" t="s">
        <v>16</v>
      </c>
      <c r="W1" s="5" t="s">
        <v>25</v>
      </c>
      <c r="X1" s="10" t="s">
        <v>17</v>
      </c>
      <c r="Y1" s="12" t="s">
        <v>22</v>
      </c>
      <c r="Z1" s="10" t="s">
        <v>33</v>
      </c>
      <c r="AA1" s="12" t="s">
        <v>23</v>
      </c>
      <c r="AB1" s="10" t="s">
        <v>18</v>
      </c>
      <c r="AC1" s="5" t="s">
        <v>19</v>
      </c>
      <c r="AD1" s="10" t="s">
        <v>28</v>
      </c>
      <c r="AE1" s="12" t="s">
        <v>29</v>
      </c>
      <c r="AF1" s="10" t="s">
        <v>30</v>
      </c>
      <c r="AG1" s="12" t="s">
        <v>31</v>
      </c>
    </row>
    <row r="2" spans="1:33">
      <c r="A2" t="s">
        <v>20</v>
      </c>
      <c r="B2" s="1">
        <v>1</v>
      </c>
      <c r="C2" s="1">
        <v>2021</v>
      </c>
      <c r="D2" s="9">
        <f>[1]English!$R$10+[1]English!$Q$10</f>
        <v>1662.8</v>
      </c>
      <c r="E2" s="13">
        <v>38936</v>
      </c>
      <c r="F2" s="9">
        <f>[1]English!$P$10</f>
        <v>842.6</v>
      </c>
      <c r="G2" s="13">
        <v>0</v>
      </c>
      <c r="H2" s="3">
        <f>[1]English!$M$10+[1]English!$N$10+[1]English!$O$10+[1]English!$S$10</f>
        <v>195.1</v>
      </c>
      <c r="I2" s="13">
        <v>0</v>
      </c>
      <c r="J2" s="9">
        <f>[1]English!$L$10</f>
        <v>96.6</v>
      </c>
      <c r="K2" s="13">
        <v>1449</v>
      </c>
      <c r="L2" s="9">
        <f>[1]English!$I$10</f>
        <v>8.3000000000000007</v>
      </c>
      <c r="M2" s="13">
        <v>381</v>
      </c>
      <c r="N2" s="9">
        <f>[1]English!$Y$10</f>
        <v>0</v>
      </c>
      <c r="O2" s="13">
        <v>0</v>
      </c>
      <c r="P2" s="9">
        <f>[1]English!$T$10</f>
        <v>354.6</v>
      </c>
      <c r="Q2" s="3">
        <v>0</v>
      </c>
      <c r="R2" s="9">
        <f>[1]English!$W$10</f>
        <v>108.7</v>
      </c>
      <c r="S2" s="13">
        <v>28262</v>
      </c>
      <c r="T2" s="9">
        <f>[1]English!$K$10</f>
        <v>4.7</v>
      </c>
      <c r="U2" s="13">
        <v>1222</v>
      </c>
      <c r="V2" s="9">
        <f>[1]English!$J$10</f>
        <v>0</v>
      </c>
      <c r="W2" s="3">
        <v>0</v>
      </c>
      <c r="X2" s="9">
        <f>[1]English!$E$10</f>
        <v>4991.6000000000004</v>
      </c>
      <c r="Y2" s="13">
        <v>149748</v>
      </c>
      <c r="Z2" s="9">
        <f>[1]English!$D$10</f>
        <v>2245.6</v>
      </c>
      <c r="AA2" s="13">
        <v>44912</v>
      </c>
      <c r="AB2" s="9">
        <v>0</v>
      </c>
      <c r="AC2" s="3">
        <v>0</v>
      </c>
      <c r="AD2" s="9">
        <f>[1]English!$H$10</f>
        <v>43.3</v>
      </c>
      <c r="AE2" s="13">
        <v>10825</v>
      </c>
      <c r="AF2" s="9">
        <f>[1]English!$G$10</f>
        <v>1403.1</v>
      </c>
      <c r="AG2" s="13">
        <v>64542</v>
      </c>
    </row>
    <row r="3" spans="1:33">
      <c r="A3" t="s">
        <v>20</v>
      </c>
      <c r="B3" s="1">
        <v>2</v>
      </c>
      <c r="C3" s="1">
        <v>2021</v>
      </c>
      <c r="D3" s="9">
        <f>[1]English!$R$13+[1]English!$Q$13</f>
        <v>1709.8</v>
      </c>
      <c r="E3" s="13">
        <v>39197</v>
      </c>
      <c r="F3" s="9">
        <f>[1]English!$P$13</f>
        <v>793</v>
      </c>
      <c r="G3" s="13">
        <v>0</v>
      </c>
      <c r="H3" s="3">
        <f>[1]English!$M$13+[1]English!$N$13+[1]English!$O$13+[1]English!$S$13</f>
        <v>223.3</v>
      </c>
      <c r="I3" s="13">
        <v>0</v>
      </c>
      <c r="J3" s="9">
        <f>[1]English!$L$13</f>
        <v>82.9</v>
      </c>
      <c r="K3" s="13">
        <v>1243</v>
      </c>
      <c r="L3" s="9">
        <f>[1]English!$I$13</f>
        <v>6.5</v>
      </c>
      <c r="M3" s="13">
        <v>299</v>
      </c>
      <c r="N3" s="9">
        <f>[1]English!$Y$13</f>
        <v>0</v>
      </c>
      <c r="O3" s="13">
        <v>0</v>
      </c>
      <c r="P3" s="9">
        <f>[1]English!$T$13</f>
        <v>245.7</v>
      </c>
      <c r="Q3" s="3">
        <v>0</v>
      </c>
      <c r="R3" s="9">
        <f>[1]English!$W$13</f>
        <v>149.6</v>
      </c>
      <c r="S3" s="13">
        <v>38896</v>
      </c>
      <c r="T3" s="9">
        <f>[1]English!$K$13</f>
        <v>0</v>
      </c>
      <c r="U3" s="13">
        <v>0</v>
      </c>
      <c r="V3" s="9">
        <f>[1]English!$J$13</f>
        <v>0</v>
      </c>
      <c r="W3" s="3">
        <v>0</v>
      </c>
      <c r="X3" s="9">
        <f>[1]English!$E$13</f>
        <v>4761.3</v>
      </c>
      <c r="Y3" s="13">
        <v>142839</v>
      </c>
      <c r="Z3" s="9">
        <f>[1]English!$D$13</f>
        <v>2379.3000000000002</v>
      </c>
      <c r="AA3" s="13">
        <v>47586</v>
      </c>
      <c r="AB3" s="9">
        <v>0</v>
      </c>
      <c r="AC3" s="3">
        <v>0</v>
      </c>
      <c r="AD3" s="9">
        <f>[1]English!$H$13</f>
        <v>25.1</v>
      </c>
      <c r="AE3" s="13">
        <v>6275</v>
      </c>
      <c r="AF3" s="9">
        <f>[1]English!$G$13</f>
        <v>1084.9000000000001</v>
      </c>
      <c r="AG3" s="13">
        <v>49905</v>
      </c>
    </row>
    <row r="4" spans="1:33">
      <c r="A4" t="s">
        <v>20</v>
      </c>
      <c r="B4" s="1">
        <v>3</v>
      </c>
      <c r="C4" s="1">
        <v>2021</v>
      </c>
      <c r="D4" s="9">
        <f>[1]English!$R$16+[1]English!$Q$16</f>
        <v>2791.3999999999996</v>
      </c>
      <c r="E4" s="13">
        <v>65252</v>
      </c>
      <c r="F4" s="9">
        <f>[1]English!$P$16</f>
        <v>1346.9</v>
      </c>
      <c r="G4" s="13">
        <v>0</v>
      </c>
      <c r="H4" s="3">
        <f>[1]English!$M$16+[1]English!$N$16+[1]English!$O$16+[1]English!$S$16</f>
        <v>224.79999999999998</v>
      </c>
      <c r="I4" s="13">
        <v>0</v>
      </c>
      <c r="J4" s="9">
        <f>[1]English!$L$16</f>
        <v>119.8</v>
      </c>
      <c r="K4" s="13">
        <v>1797</v>
      </c>
      <c r="L4" s="9">
        <f>[1]English!$I$16</f>
        <v>17.2</v>
      </c>
      <c r="M4" s="13">
        <v>791</v>
      </c>
      <c r="N4" s="9">
        <f>[1]English!$Y$16</f>
        <v>0</v>
      </c>
      <c r="O4" s="13">
        <v>0</v>
      </c>
      <c r="P4" s="9">
        <f>[1]English!$T$16</f>
        <v>261.8</v>
      </c>
      <c r="Q4" s="3">
        <v>0</v>
      </c>
      <c r="R4" s="9">
        <f>[1]English!$W$16</f>
        <v>200.5</v>
      </c>
      <c r="S4" s="13">
        <v>52130</v>
      </c>
      <c r="T4" s="9">
        <f>[1]English!$K$16</f>
        <v>0.4</v>
      </c>
      <c r="U4" s="13">
        <v>104</v>
      </c>
      <c r="V4" s="9">
        <f>[1]English!$J$16</f>
        <v>0.5</v>
      </c>
      <c r="W4" s="3">
        <v>130</v>
      </c>
      <c r="X4" s="9">
        <f>[1]English!$E$16</f>
        <v>6992.7</v>
      </c>
      <c r="Y4" s="13">
        <v>209781</v>
      </c>
      <c r="Z4" s="9">
        <f>[1]English!$D$16</f>
        <v>3444</v>
      </c>
      <c r="AA4" s="13">
        <v>68880</v>
      </c>
      <c r="AB4" s="9">
        <v>0</v>
      </c>
      <c r="AC4" s="3">
        <v>0</v>
      </c>
      <c r="AD4" s="9">
        <f>[1]English!$H$16</f>
        <v>90.2</v>
      </c>
      <c r="AE4" s="13">
        <v>22550</v>
      </c>
      <c r="AF4" s="9">
        <f>[1]English!$G$16</f>
        <v>1493.7</v>
      </c>
      <c r="AG4" s="13">
        <v>68710</v>
      </c>
    </row>
    <row r="5" spans="1:33">
      <c r="A5" t="s">
        <v>20</v>
      </c>
      <c r="B5" s="2">
        <v>4</v>
      </c>
      <c r="C5" s="1">
        <v>2021</v>
      </c>
      <c r="D5" s="9">
        <f>[1]English!$R$19+[1]English!$Q$19</f>
        <v>3365.5</v>
      </c>
      <c r="E5" s="13">
        <v>79030</v>
      </c>
      <c r="F5" s="9">
        <f>[1]English!$P$19</f>
        <v>1506.5</v>
      </c>
      <c r="G5" s="13">
        <v>0</v>
      </c>
      <c r="H5" s="3">
        <f>[1]English!$M$19+[1]English!$N$19+[1]English!$O$19+[1]English!$S$19</f>
        <v>255.8</v>
      </c>
      <c r="I5" s="13">
        <v>0</v>
      </c>
      <c r="J5" s="9">
        <f>[1]English!$L$19</f>
        <v>126.7</v>
      </c>
      <c r="K5" s="13">
        <v>1900</v>
      </c>
      <c r="L5" s="9">
        <f>[1]English!$I$19</f>
        <v>21.3</v>
      </c>
      <c r="M5" s="13">
        <v>979</v>
      </c>
      <c r="N5" s="9">
        <f>[1]English!$Y$19</f>
        <v>0</v>
      </c>
      <c r="O5" s="13">
        <v>0</v>
      </c>
      <c r="P5" s="9">
        <f>[1]English!$T$19</f>
        <v>456.7</v>
      </c>
      <c r="Q5" s="3">
        <v>0</v>
      </c>
      <c r="R5" s="9">
        <f>[1]English!$W$19</f>
        <v>209.6</v>
      </c>
      <c r="S5" s="13">
        <v>54496</v>
      </c>
      <c r="T5" s="9">
        <f>[1]English!$K$19</f>
        <v>14.7</v>
      </c>
      <c r="U5" s="13">
        <v>3822</v>
      </c>
      <c r="V5" s="9">
        <f>[1]English!$J$19</f>
        <v>0.3</v>
      </c>
      <c r="W5" s="3">
        <v>78</v>
      </c>
      <c r="X5" s="9">
        <f>[1]English!$E$19</f>
        <v>7230.7</v>
      </c>
      <c r="Y5" s="13">
        <v>216921</v>
      </c>
      <c r="Z5" s="9">
        <f>[1]English!$D$19</f>
        <v>3481.7</v>
      </c>
      <c r="AA5" s="13">
        <v>69634</v>
      </c>
      <c r="AB5" s="9">
        <v>0</v>
      </c>
      <c r="AC5" s="3">
        <v>0</v>
      </c>
      <c r="AD5" s="9">
        <f>[1]English!$H$19</f>
        <v>45</v>
      </c>
      <c r="AE5" s="15">
        <v>11250</v>
      </c>
      <c r="AF5" s="9">
        <f>[1]English!$G$19</f>
        <v>1652.9</v>
      </c>
      <c r="AG5" s="13">
        <v>76033</v>
      </c>
    </row>
    <row r="6" spans="1:33">
      <c r="A6" t="s">
        <v>20</v>
      </c>
      <c r="B6" s="1">
        <v>5</v>
      </c>
      <c r="C6" s="1">
        <v>2021</v>
      </c>
      <c r="D6" s="9">
        <f>[1]English!$R$22+[1]English!$Q$22</f>
        <v>2772.7999999999997</v>
      </c>
      <c r="E6" s="13">
        <v>62109</v>
      </c>
      <c r="F6" s="9">
        <f>[1]English!$P$22</f>
        <v>1435.2</v>
      </c>
      <c r="G6" s="13">
        <v>0</v>
      </c>
      <c r="H6" s="3">
        <f>[1]English!$M$22+[1]English!$N$22+[1]English!$O$22+[1]English!$S$22</f>
        <v>308</v>
      </c>
      <c r="I6" s="13">
        <v>0</v>
      </c>
      <c r="J6" s="9">
        <f>[1]English!$L$22</f>
        <v>153.4</v>
      </c>
      <c r="K6" s="13">
        <v>2301</v>
      </c>
      <c r="L6" s="9">
        <f>[1]English!$I$22</f>
        <v>6.1</v>
      </c>
      <c r="M6" s="13">
        <v>280</v>
      </c>
      <c r="N6" s="9">
        <f>[1]English!$Y$22</f>
        <v>0</v>
      </c>
      <c r="O6" s="13">
        <v>0</v>
      </c>
      <c r="P6" s="9">
        <f>[1]English!$T$22</f>
        <v>375.7</v>
      </c>
      <c r="Q6" s="3">
        <v>0</v>
      </c>
      <c r="R6" s="9">
        <f>[1]English!$W$22</f>
        <v>482.5</v>
      </c>
      <c r="S6" s="13">
        <v>125450</v>
      </c>
      <c r="T6" s="9">
        <f>[1]English!$K$22</f>
        <v>2.2000000000000002</v>
      </c>
      <c r="U6" s="13">
        <v>572</v>
      </c>
      <c r="V6" s="9">
        <f>[1]English!$J$22</f>
        <v>0</v>
      </c>
      <c r="W6" s="3">
        <v>0</v>
      </c>
      <c r="X6" s="9">
        <f>[1]English!$E$22</f>
        <v>6988.6</v>
      </c>
      <c r="Y6" s="13">
        <v>209658</v>
      </c>
      <c r="Z6" s="9">
        <f>[1]English!$D$22</f>
        <v>4105.8</v>
      </c>
      <c r="AA6" s="13">
        <v>82116</v>
      </c>
      <c r="AB6" s="9">
        <v>0</v>
      </c>
      <c r="AC6" s="3">
        <v>0</v>
      </c>
      <c r="AD6" s="9">
        <f>[1]English!$H$22</f>
        <v>21.4</v>
      </c>
      <c r="AE6" s="15">
        <v>5350</v>
      </c>
      <c r="AF6" s="9">
        <f>[1]English!$G$22</f>
        <v>1849</v>
      </c>
      <c r="AG6" s="13">
        <v>85054</v>
      </c>
    </row>
    <row r="7" spans="1:33">
      <c r="A7" t="s">
        <v>20</v>
      </c>
      <c r="B7" s="1">
        <v>6</v>
      </c>
      <c r="C7" s="1">
        <v>2021</v>
      </c>
      <c r="D7" s="9">
        <f>[1]English!$R$25+[1]English!$Q$25</f>
        <v>2369.6999999999998</v>
      </c>
      <c r="E7" s="13">
        <v>54874</v>
      </c>
      <c r="F7" s="9">
        <f>[1]English!$P$25</f>
        <v>1294.5</v>
      </c>
      <c r="G7" s="13">
        <v>0</v>
      </c>
      <c r="H7" s="3">
        <f>[1]English!$M$25+[1]English!$N$25+[1]English!$O$25+[1]English!$S$25</f>
        <v>258.2</v>
      </c>
      <c r="I7" s="13">
        <v>0</v>
      </c>
      <c r="J7" s="9">
        <f>[1]English!$L$25</f>
        <v>224.5</v>
      </c>
      <c r="K7" s="13">
        <v>3367</v>
      </c>
      <c r="L7" s="9">
        <f>[1]English!$I$25</f>
        <v>11.1</v>
      </c>
      <c r="M7" s="13">
        <v>510</v>
      </c>
      <c r="N7" s="9">
        <f>[1]English!$Y$25</f>
        <v>0</v>
      </c>
      <c r="O7" s="13">
        <v>0</v>
      </c>
      <c r="P7" s="9">
        <f>[1]English!$T$25</f>
        <v>314.3</v>
      </c>
      <c r="Q7" s="3">
        <v>0</v>
      </c>
      <c r="R7" s="9">
        <f>[1]English!$W$25</f>
        <v>337.8</v>
      </c>
      <c r="S7" s="13">
        <v>87828</v>
      </c>
      <c r="T7" s="9">
        <f>[1]English!$K$25</f>
        <v>0</v>
      </c>
      <c r="U7" s="13">
        <v>0</v>
      </c>
      <c r="V7" s="9">
        <f>[1]English!$J$25</f>
        <v>0</v>
      </c>
      <c r="W7" s="3">
        <v>0</v>
      </c>
      <c r="X7" s="9">
        <f>[1]English!$E$25</f>
        <v>6268.9</v>
      </c>
      <c r="Y7" s="13">
        <v>188067</v>
      </c>
      <c r="Z7" s="9">
        <f>[1]English!$D$25</f>
        <v>3900.1</v>
      </c>
      <c r="AA7" s="13">
        <v>78002</v>
      </c>
      <c r="AB7" s="9">
        <v>0</v>
      </c>
      <c r="AC7" s="3">
        <v>0</v>
      </c>
      <c r="AD7" s="9">
        <f>[1]English!$H$25</f>
        <v>49.5</v>
      </c>
      <c r="AE7" s="15">
        <v>12375</v>
      </c>
      <c r="AF7" s="9">
        <f>[1]English!$G$25</f>
        <v>1611.8</v>
      </c>
      <c r="AG7" s="13">
        <v>74142</v>
      </c>
    </row>
    <row r="8" spans="1:33">
      <c r="A8" t="s">
        <v>20</v>
      </c>
      <c r="B8" s="1">
        <v>7</v>
      </c>
      <c r="C8" s="1">
        <v>2021</v>
      </c>
      <c r="D8" s="9">
        <f>[1]English!$R$28+[1]English!$Q$28</f>
        <v>2885.8999999999996</v>
      </c>
      <c r="E8" s="13">
        <v>66347</v>
      </c>
      <c r="F8" s="9">
        <f>[1]English!$P$28</f>
        <v>1697.3</v>
      </c>
      <c r="G8" s="13">
        <v>0</v>
      </c>
      <c r="H8" s="3">
        <f>[1]English!$M$28+[1]English!$N$28+[1]English!$O$28+[1]English!$S$28</f>
        <v>366.7</v>
      </c>
      <c r="I8" s="13">
        <v>0</v>
      </c>
      <c r="J8" s="9">
        <f>[1]English!$L$28</f>
        <v>322</v>
      </c>
      <c r="K8" s="13">
        <v>4830</v>
      </c>
      <c r="L8" s="9">
        <f>[1]English!$I$28</f>
        <v>19.8</v>
      </c>
      <c r="M8" s="13">
        <v>910</v>
      </c>
      <c r="N8" s="9">
        <f>[1]English!$Y$28</f>
        <v>0</v>
      </c>
      <c r="O8" s="13">
        <v>0</v>
      </c>
      <c r="P8" s="9">
        <f>[1]English!$T$28</f>
        <v>330.1</v>
      </c>
      <c r="Q8" s="3">
        <v>0</v>
      </c>
      <c r="R8" s="9">
        <f>[1]English!$W$28</f>
        <v>359.4</v>
      </c>
      <c r="S8" s="13">
        <v>93444</v>
      </c>
      <c r="T8" s="9">
        <f>[1]English!$K$28</f>
        <v>1.9</v>
      </c>
      <c r="U8" s="13">
        <v>494</v>
      </c>
      <c r="V8" s="9">
        <f>[1]English!$J$28</f>
        <v>0</v>
      </c>
      <c r="W8" s="3">
        <v>0</v>
      </c>
      <c r="X8" s="9">
        <f>[1]English!$E$28</f>
        <v>8283.6</v>
      </c>
      <c r="Y8" s="13">
        <v>248508</v>
      </c>
      <c r="Z8" s="9">
        <f>[1]English!$D$28</f>
        <v>4697.8999999999996</v>
      </c>
      <c r="AA8" s="13">
        <v>93958</v>
      </c>
      <c r="AB8" s="9">
        <v>0</v>
      </c>
      <c r="AC8" s="3">
        <v>0</v>
      </c>
      <c r="AD8" s="9">
        <f>[1]English!$H$28</f>
        <v>29.6</v>
      </c>
      <c r="AE8" s="15">
        <v>7400</v>
      </c>
      <c r="AF8" s="9">
        <f>[1]English!$G$28</f>
        <v>1817.7</v>
      </c>
      <c r="AG8" s="13">
        <v>83614</v>
      </c>
    </row>
    <row r="9" spans="1:33">
      <c r="A9" t="s">
        <v>20</v>
      </c>
      <c r="B9" s="1">
        <v>8</v>
      </c>
      <c r="C9" s="1">
        <v>2021</v>
      </c>
      <c r="D9" s="9">
        <f>[1]English!$R$31+[1]English!$Q$31</f>
        <v>2905.7</v>
      </c>
      <c r="E9" s="13">
        <v>67550</v>
      </c>
      <c r="F9" s="9">
        <f>[1]English!$P$31</f>
        <v>1909.6</v>
      </c>
      <c r="G9" s="13">
        <v>0</v>
      </c>
      <c r="H9" s="3">
        <f>[1]English!$M$31+[1]English!$N$31+[1]English!$O$31+[1]English!$S$31</f>
        <v>291.3</v>
      </c>
      <c r="I9" s="13">
        <v>0</v>
      </c>
      <c r="J9" s="9">
        <f>[1]English!$L$31</f>
        <v>420.3</v>
      </c>
      <c r="K9" s="13">
        <v>6304</v>
      </c>
      <c r="L9" s="9">
        <f>[1]English!$I$31</f>
        <v>20.8</v>
      </c>
      <c r="M9" s="13">
        <v>956</v>
      </c>
      <c r="N9" s="9">
        <f>[1]English!$Y$31</f>
        <v>0</v>
      </c>
      <c r="O9" s="13">
        <v>0</v>
      </c>
      <c r="P9" s="9">
        <f>[1]English!$T$31</f>
        <v>354.4</v>
      </c>
      <c r="Q9" s="3">
        <v>0</v>
      </c>
      <c r="R9" s="9">
        <f>[1]English!$W$31</f>
        <v>436.6</v>
      </c>
      <c r="S9" s="13">
        <v>113516</v>
      </c>
      <c r="T9" s="9">
        <f>[1]English!$K$31</f>
        <v>0.4</v>
      </c>
      <c r="U9" s="13">
        <v>104</v>
      </c>
      <c r="V9" s="9">
        <f>[1]English!$J$31</f>
        <v>0</v>
      </c>
      <c r="W9" s="3">
        <v>0</v>
      </c>
      <c r="X9" s="9">
        <f>[1]English!$E$31</f>
        <v>7838.7</v>
      </c>
      <c r="Y9" s="13">
        <v>235161</v>
      </c>
      <c r="Z9" s="9">
        <f>[1]English!$D$31</f>
        <v>4948.3999999999996</v>
      </c>
      <c r="AA9" s="13">
        <v>98968</v>
      </c>
      <c r="AB9" s="9">
        <v>0</v>
      </c>
      <c r="AC9" s="3">
        <v>0</v>
      </c>
      <c r="AD9" s="9">
        <f>[1]English!$H$31</f>
        <v>18.3</v>
      </c>
      <c r="AE9" s="15">
        <v>4575</v>
      </c>
      <c r="AF9" s="9">
        <f>[1]English!$G$31</f>
        <v>2202.6</v>
      </c>
      <c r="AG9" s="13">
        <v>101319</v>
      </c>
    </row>
    <row r="10" spans="1:33">
      <c r="A10" t="s">
        <v>20</v>
      </c>
      <c r="B10" s="1">
        <v>9</v>
      </c>
      <c r="C10" s="1">
        <v>2021</v>
      </c>
      <c r="D10" s="9">
        <f>[1]English!$R$34+[1]English!$Q$34</f>
        <v>2746.4</v>
      </c>
      <c r="E10" s="13">
        <v>64166</v>
      </c>
      <c r="F10" s="9">
        <f>[1]English!$P$34</f>
        <v>1752.9</v>
      </c>
      <c r="G10" s="13">
        <v>0</v>
      </c>
      <c r="H10" s="3">
        <f>[1]English!$M$34+[1]English!$N$34+[1]English!$O$34+[1]English!$S$34</f>
        <v>308.7</v>
      </c>
      <c r="I10" s="13">
        <v>0</v>
      </c>
      <c r="J10" s="9">
        <f>[1]English!$L$34</f>
        <v>358</v>
      </c>
      <c r="K10" s="13">
        <v>5370</v>
      </c>
      <c r="L10" s="9">
        <f>[1]English!$I$34</f>
        <v>21.5</v>
      </c>
      <c r="M10" s="13">
        <v>989</v>
      </c>
      <c r="N10" s="9">
        <f>[1]English!$Y$34</f>
        <v>0</v>
      </c>
      <c r="O10" s="13">
        <v>0</v>
      </c>
      <c r="P10" s="9">
        <f>[1]English!$T$34</f>
        <v>216.9</v>
      </c>
      <c r="Q10" s="3">
        <v>0</v>
      </c>
      <c r="R10" s="9">
        <f>[1]English!$W$34</f>
        <v>383.8</v>
      </c>
      <c r="S10" s="13">
        <v>99788</v>
      </c>
      <c r="T10" s="9">
        <f>[1]English!$K$34</f>
        <v>1.4</v>
      </c>
      <c r="U10" s="13">
        <v>364</v>
      </c>
      <c r="V10" s="9">
        <f>[1]English!$J$34</f>
        <v>0</v>
      </c>
      <c r="W10" s="3">
        <v>0</v>
      </c>
      <c r="X10" s="9">
        <f>[1]English!$E$34</f>
        <v>6839</v>
      </c>
      <c r="Y10" s="13">
        <v>205170</v>
      </c>
      <c r="Z10" s="9">
        <f>[1]English!$D$34</f>
        <v>4672.6000000000004</v>
      </c>
      <c r="AA10" s="13">
        <v>93452</v>
      </c>
      <c r="AB10" s="9">
        <v>0</v>
      </c>
      <c r="AC10" s="3">
        <v>0</v>
      </c>
      <c r="AD10" s="9">
        <f>[1]English!$H$34</f>
        <v>46.7</v>
      </c>
      <c r="AE10" s="15">
        <v>11675</v>
      </c>
      <c r="AF10" s="9">
        <f>[1]English!$G$34</f>
        <v>1919.6</v>
      </c>
      <c r="AG10" s="13">
        <v>88301</v>
      </c>
    </row>
    <row r="11" spans="1:33" s="3" customFormat="1">
      <c r="A11" s="3" t="s">
        <v>20</v>
      </c>
      <c r="B11" s="8">
        <v>10</v>
      </c>
      <c r="C11" s="8">
        <v>2021</v>
      </c>
      <c r="D11" s="9">
        <f>[1]English!$R$37+[1]English!$Q$37</f>
        <v>3541.9</v>
      </c>
      <c r="E11" s="13">
        <v>84901</v>
      </c>
      <c r="F11" s="9">
        <f>[1]English!$P$37</f>
        <v>2043.2</v>
      </c>
      <c r="G11" s="13">
        <v>0</v>
      </c>
      <c r="H11" s="3">
        <f>[1]English!$M$37+[1]English!$N$37+[1]English!$O$37+[1]English!$S$37</f>
        <v>443.8</v>
      </c>
      <c r="I11" s="13">
        <v>0</v>
      </c>
      <c r="J11" s="9">
        <f>[1]English!$L$37</f>
        <v>442.7</v>
      </c>
      <c r="K11" s="13">
        <v>6640</v>
      </c>
      <c r="L11" s="9">
        <f>[1]English!$I$37</f>
        <v>22.2</v>
      </c>
      <c r="M11" s="13">
        <v>1021</v>
      </c>
      <c r="N11" s="9">
        <f>[1]English!$Y$37</f>
        <v>0</v>
      </c>
      <c r="O11" s="13">
        <v>0</v>
      </c>
      <c r="P11" s="9">
        <f>[1]English!$T$37</f>
        <v>261.60000000000002</v>
      </c>
      <c r="Q11" s="3">
        <v>0</v>
      </c>
      <c r="R11" s="9">
        <f>[1]English!$W$37</f>
        <v>415.3</v>
      </c>
      <c r="S11" s="13">
        <v>107978</v>
      </c>
      <c r="T11" s="9">
        <f>[1]English!$K$37</f>
        <v>0</v>
      </c>
      <c r="U11" s="13">
        <v>0</v>
      </c>
      <c r="V11" s="9">
        <f>[1]English!$J$37</f>
        <v>0</v>
      </c>
      <c r="W11" s="3">
        <v>0</v>
      </c>
      <c r="X11" s="9">
        <f>[1]English!$E$37</f>
        <v>8041.7</v>
      </c>
      <c r="Y11" s="13">
        <v>241251</v>
      </c>
      <c r="Z11" s="9">
        <f>[1]English!$D$37</f>
        <v>5131.7</v>
      </c>
      <c r="AA11" s="13">
        <v>102634</v>
      </c>
      <c r="AB11" s="9">
        <v>0</v>
      </c>
      <c r="AC11" s="3">
        <v>0</v>
      </c>
      <c r="AD11" s="9">
        <f>[1]English!$H$37</f>
        <v>28.9</v>
      </c>
      <c r="AE11" s="13">
        <v>7225</v>
      </c>
      <c r="AF11" s="9">
        <f>[1]English!$G$37</f>
        <v>2265.6999999999998</v>
      </c>
      <c r="AG11" s="13">
        <v>104222</v>
      </c>
    </row>
    <row r="12" spans="1:33" s="3" customFormat="1">
      <c r="A12" s="3" t="s">
        <v>20</v>
      </c>
      <c r="B12" s="8">
        <v>11</v>
      </c>
      <c r="C12" s="8">
        <v>2021</v>
      </c>
      <c r="D12" s="9">
        <f>[1]English!$R$40+[1]English!$Q$40</f>
        <v>3660.9</v>
      </c>
      <c r="E12" s="13">
        <v>88323</v>
      </c>
      <c r="F12" s="9">
        <f>[1]English!$P$40</f>
        <v>2060.6</v>
      </c>
      <c r="G12" s="13">
        <v>0</v>
      </c>
      <c r="H12" s="3">
        <f>[1]English!$M$40+[1]English!$N$40+[1]English!$O$40+[1]English!$S$40</f>
        <v>339.9</v>
      </c>
      <c r="I12" s="13">
        <v>0</v>
      </c>
      <c r="J12" s="9">
        <f>[1]English!$L$40</f>
        <v>509.5</v>
      </c>
      <c r="K12" s="13">
        <v>7642</v>
      </c>
      <c r="L12" s="9">
        <f>[1]English!$I$40</f>
        <v>12</v>
      </c>
      <c r="M12" s="13">
        <v>552</v>
      </c>
      <c r="N12" s="9">
        <f>[1]English!$Y$40</f>
        <v>0</v>
      </c>
      <c r="O12" s="13">
        <v>0</v>
      </c>
      <c r="P12" s="9">
        <f>[1]English!$T$40</f>
        <v>330.2</v>
      </c>
      <c r="Q12" s="3">
        <v>0</v>
      </c>
      <c r="R12" s="9">
        <f>[1]English!$W$40</f>
        <v>463.3</v>
      </c>
      <c r="S12" s="13">
        <v>120458</v>
      </c>
      <c r="T12" s="9">
        <f>[1]English!$K$40</f>
        <v>0</v>
      </c>
      <c r="U12" s="13">
        <v>0</v>
      </c>
      <c r="V12" s="9">
        <f>[1]English!$J$40</f>
        <v>0</v>
      </c>
      <c r="W12" s="3">
        <v>0</v>
      </c>
      <c r="X12" s="9">
        <f>[1]English!$E$40</f>
        <v>8498.5</v>
      </c>
      <c r="Y12" s="13">
        <v>254955</v>
      </c>
      <c r="Z12" s="9">
        <f>[1]English!$D$40</f>
        <v>5262.1</v>
      </c>
      <c r="AA12" s="13">
        <v>105242</v>
      </c>
      <c r="AB12" s="9">
        <v>0</v>
      </c>
      <c r="AC12" s="3">
        <v>0</v>
      </c>
      <c r="AD12" s="9">
        <f>[1]English!$H$40</f>
        <v>153</v>
      </c>
      <c r="AE12" s="13">
        <v>38250</v>
      </c>
      <c r="AF12" s="9">
        <f>[1]English!$G$40</f>
        <v>2267.6</v>
      </c>
      <c r="AG12" s="13">
        <v>104309</v>
      </c>
    </row>
    <row r="13" spans="1:33" s="3" customFormat="1">
      <c r="A13" s="3" t="s">
        <v>20</v>
      </c>
      <c r="B13" s="8">
        <v>12</v>
      </c>
      <c r="C13" s="8">
        <v>2021</v>
      </c>
      <c r="D13" s="9">
        <f>[1]English!$R$43+[1]English!$Q$43</f>
        <v>4321</v>
      </c>
      <c r="E13" s="13">
        <v>104860</v>
      </c>
      <c r="F13" s="9">
        <f>[1]English!$P$43</f>
        <v>2366.9</v>
      </c>
      <c r="G13" s="13">
        <v>0</v>
      </c>
      <c r="H13" s="3">
        <f>[1]English!$M$43+[1]English!$N$43+[1]English!$O$43+[1]English!$S$43</f>
        <v>338.29999999999995</v>
      </c>
      <c r="I13" s="13">
        <v>0</v>
      </c>
      <c r="J13" s="9">
        <f>[1]English!$L$43</f>
        <v>501.8</v>
      </c>
      <c r="K13" s="13">
        <v>7527</v>
      </c>
      <c r="L13" s="9">
        <f>[1]English!$I$43</f>
        <v>16.100000000000001</v>
      </c>
      <c r="M13" s="13">
        <v>740</v>
      </c>
      <c r="N13" s="9">
        <f>[1]English!$Y$43</f>
        <v>0</v>
      </c>
      <c r="O13" s="13">
        <v>0</v>
      </c>
      <c r="P13" s="9">
        <f>[1]English!$T$43</f>
        <v>299.60000000000002</v>
      </c>
      <c r="Q13" s="3">
        <v>0</v>
      </c>
      <c r="R13" s="9">
        <f>[1]English!$W$43</f>
        <v>507.2</v>
      </c>
      <c r="S13" s="13">
        <v>131872</v>
      </c>
      <c r="T13" s="9">
        <f>[1]English!$K$43</f>
        <v>0.4</v>
      </c>
      <c r="U13" s="13">
        <v>104</v>
      </c>
      <c r="V13" s="9">
        <f>[1]English!$J$43</f>
        <v>0</v>
      </c>
      <c r="W13" s="3">
        <v>0</v>
      </c>
      <c r="X13" s="9">
        <f>[1]English!$E$43</f>
        <v>8613</v>
      </c>
      <c r="Y13" s="13">
        <v>258390</v>
      </c>
      <c r="Z13" s="9">
        <f>[1]English!$D$43</f>
        <v>6096</v>
      </c>
      <c r="AA13" s="13">
        <v>121920</v>
      </c>
      <c r="AB13" s="9">
        <v>0</v>
      </c>
      <c r="AC13" s="3">
        <v>0</v>
      </c>
      <c r="AD13" s="9">
        <f>[1]English!$H$43</f>
        <v>19.5</v>
      </c>
      <c r="AE13" s="13">
        <v>4875</v>
      </c>
      <c r="AF13" s="9">
        <f>[1]English!$G$43</f>
        <v>2319.5</v>
      </c>
      <c r="AG13" s="13">
        <v>106697</v>
      </c>
    </row>
    <row r="14" spans="1:33">
      <c r="A14" t="s">
        <v>20</v>
      </c>
      <c r="B14" s="11">
        <v>1</v>
      </c>
      <c r="C14" s="11">
        <v>2022</v>
      </c>
      <c r="D14" s="9">
        <f>[2]English!$R$10+[2]English!$Q$10</f>
        <v>3111.1</v>
      </c>
      <c r="E14" s="14">
        <f>[2]English!$Q$12+[2]English!$R$12</f>
        <v>75199</v>
      </c>
      <c r="F14" s="9">
        <f>[2]English!$P$10</f>
        <v>1672.6</v>
      </c>
      <c r="G14" s="13">
        <v>0</v>
      </c>
      <c r="H14" s="3">
        <f>[2]English!$M$10+[2]English!$N$10+[2]English!$O$10+[2]English!$S$10</f>
        <v>339.1</v>
      </c>
      <c r="I14" s="13">
        <v>0</v>
      </c>
      <c r="J14" s="9">
        <f>[2]English!$L$10</f>
        <v>392.2</v>
      </c>
      <c r="K14" s="14">
        <f>[2]English!$L$12</f>
        <v>5883</v>
      </c>
      <c r="L14" s="9">
        <f>[2]English!$I$10</f>
        <v>12.9</v>
      </c>
      <c r="M14" s="14">
        <f>[2]English!$I$12</f>
        <v>593</v>
      </c>
      <c r="N14" s="9">
        <f>[2]English!$Y$10</f>
        <v>0</v>
      </c>
      <c r="O14" s="13">
        <v>0</v>
      </c>
      <c r="P14" s="9">
        <f>[2]English!$T$10</f>
        <v>288.5</v>
      </c>
      <c r="Q14" s="3">
        <v>0</v>
      </c>
      <c r="R14" s="9">
        <f>[2]English!$W$10</f>
        <v>391.7</v>
      </c>
      <c r="S14" s="14">
        <f>[2]English!$W$12</f>
        <v>101842</v>
      </c>
      <c r="T14" s="9">
        <f>[2]English!$K$10</f>
        <v>2.4</v>
      </c>
      <c r="U14" s="14">
        <f>[2]English!$K$12</f>
        <v>624</v>
      </c>
      <c r="V14" s="9">
        <f>[2]English!$J$10</f>
        <v>0</v>
      </c>
      <c r="W14" s="7">
        <f>[2]English!$J$12</f>
        <v>0</v>
      </c>
      <c r="X14" s="9">
        <f>[2]English!$E$10</f>
        <v>6794.1</v>
      </c>
      <c r="Y14" s="14">
        <f>[2]English!$E$12</f>
        <v>203823</v>
      </c>
      <c r="Z14" s="9">
        <f>[2]English!$D$10</f>
        <v>4581.3999999999996</v>
      </c>
      <c r="AA14" s="14">
        <f>[2]English!$D$12</f>
        <v>91628</v>
      </c>
      <c r="AB14" s="9">
        <v>0</v>
      </c>
      <c r="AC14" s="3">
        <v>0</v>
      </c>
      <c r="AD14" s="9">
        <f>[2]English!$H$10</f>
        <v>31.5</v>
      </c>
      <c r="AE14" s="14">
        <f>[2]English!$H$12</f>
        <v>7875</v>
      </c>
      <c r="AF14" s="9">
        <f>[2]English!$G$10</f>
        <v>1991.1</v>
      </c>
      <c r="AG14" s="14">
        <f>[2]English!$G$12</f>
        <v>91590</v>
      </c>
    </row>
    <row r="15" spans="1:33">
      <c r="A15" t="s">
        <v>20</v>
      </c>
      <c r="B15" s="11">
        <v>2</v>
      </c>
      <c r="C15" s="11">
        <v>2022</v>
      </c>
      <c r="D15" s="9">
        <f>[2]English!$R$13+[2]English!$Q$13</f>
        <v>2673.5</v>
      </c>
      <c r="E15" s="14">
        <f>[2]English!$Q$15+[2]English!$R$15</f>
        <v>63591</v>
      </c>
      <c r="F15" s="9">
        <f>[2]English!$P$13</f>
        <v>1505.3</v>
      </c>
      <c r="G15" s="13">
        <v>0</v>
      </c>
      <c r="H15" s="3">
        <f>[2]English!$M$13+[2]English!$N$13+[2]English!$O$13+[2]English!$S$13</f>
        <v>179.4</v>
      </c>
      <c r="I15" s="13">
        <v>0</v>
      </c>
      <c r="J15" s="9">
        <f>[2]English!$L$13</f>
        <v>367</v>
      </c>
      <c r="K15" s="14">
        <f>[2]English!$L$15</f>
        <v>5505</v>
      </c>
      <c r="L15" s="9">
        <f>[2]English!$I$13</f>
        <v>7</v>
      </c>
      <c r="M15" s="14">
        <f>[2]English!$I$15</f>
        <v>322</v>
      </c>
      <c r="N15" s="9">
        <f>[2]English!$Y$13</f>
        <v>0</v>
      </c>
      <c r="O15" s="13">
        <v>0</v>
      </c>
      <c r="P15" s="9">
        <f>[2]English!$T$13</f>
        <v>229.3</v>
      </c>
      <c r="Q15" s="3">
        <v>0</v>
      </c>
      <c r="R15" s="9">
        <f>[2]English!$W$13</f>
        <v>368.7</v>
      </c>
      <c r="S15" s="14">
        <f>[2]English!$W$15</f>
        <v>95862</v>
      </c>
      <c r="T15" s="9">
        <f>[2]English!$K$13</f>
        <v>4.5999999999999996</v>
      </c>
      <c r="U15" s="14">
        <f>[2]English!$K$15</f>
        <v>1196</v>
      </c>
      <c r="V15" s="9">
        <f>[2]English!$J$13</f>
        <v>0</v>
      </c>
      <c r="W15" s="7">
        <f>[2]English!$J$15</f>
        <v>0</v>
      </c>
      <c r="X15" s="9">
        <f>[2]English!$E$13</f>
        <v>6056</v>
      </c>
      <c r="Y15" s="14">
        <f>[2]English!$E$15</f>
        <v>181680</v>
      </c>
      <c r="Z15" s="9">
        <f>[2]English!$D$13</f>
        <v>4330.3999999999996</v>
      </c>
      <c r="AA15" s="14">
        <f>[2]English!$D$15</f>
        <v>86608</v>
      </c>
      <c r="AB15" s="9">
        <v>0</v>
      </c>
      <c r="AC15" s="3">
        <v>0</v>
      </c>
      <c r="AD15" s="9">
        <f>[2]English!$H$13</f>
        <v>88.8</v>
      </c>
      <c r="AE15" s="14">
        <f>[2]English!$H$15</f>
        <v>22200</v>
      </c>
      <c r="AF15" s="9">
        <f>[2]English!$G$13</f>
        <v>1892.3</v>
      </c>
      <c r="AG15" s="14">
        <f>[2]English!$G$15</f>
        <v>87045</v>
      </c>
    </row>
    <row r="16" spans="1:33">
      <c r="A16" t="s">
        <v>20</v>
      </c>
      <c r="B16" s="11">
        <v>3</v>
      </c>
      <c r="C16" s="11">
        <v>2022</v>
      </c>
      <c r="D16" s="9">
        <f>[2]English!$R$16+[2]English!$Q$16</f>
        <v>3754.2000000000003</v>
      </c>
      <c r="E16" s="14">
        <f>[2]English!$Q$18+[2]English!$R$18</f>
        <v>89193</v>
      </c>
      <c r="F16" s="9">
        <f>[2]English!$P$16</f>
        <v>1932</v>
      </c>
      <c r="G16" s="13">
        <v>0</v>
      </c>
      <c r="H16" s="3">
        <f>[2]English!$M$16+[2]English!$N$16+[2]English!$O$16+[2]English!$S$16</f>
        <v>352.9</v>
      </c>
      <c r="I16" s="13">
        <v>0</v>
      </c>
      <c r="J16" s="9">
        <f>[2]English!$L$16</f>
        <v>335.1</v>
      </c>
      <c r="K16" s="14">
        <f>[2]English!$L$18</f>
        <v>5026</v>
      </c>
      <c r="L16" s="9">
        <f>[2]English!$I$16</f>
        <v>10.3</v>
      </c>
      <c r="M16" s="14">
        <f>[2]English!$I$18</f>
        <v>473</v>
      </c>
      <c r="N16" s="9">
        <f>[2]English!$Y$16</f>
        <v>0</v>
      </c>
      <c r="O16" s="13">
        <v>0</v>
      </c>
      <c r="P16" s="9">
        <f>[2]English!$T$16</f>
        <v>259.2</v>
      </c>
      <c r="Q16" s="3">
        <v>0</v>
      </c>
      <c r="R16" s="9">
        <f>[2]English!$W$16</f>
        <v>493.9</v>
      </c>
      <c r="S16" s="14">
        <f>[2]English!$W$18</f>
        <v>128414</v>
      </c>
      <c r="T16" s="9">
        <f>[2]English!$K$16</f>
        <v>0.5</v>
      </c>
      <c r="U16" s="14">
        <f>[2]English!$K$18</f>
        <v>130</v>
      </c>
      <c r="V16" s="9">
        <f>[2]English!$J$16</f>
        <v>0</v>
      </c>
      <c r="W16" s="7">
        <f>[2]English!$J$18</f>
        <v>0</v>
      </c>
      <c r="X16" s="9">
        <f>[2]English!$E$16</f>
        <v>7717</v>
      </c>
      <c r="Y16" s="14">
        <f>[2]English!$E$18</f>
        <v>231510</v>
      </c>
      <c r="Z16" s="9">
        <f>[2]English!$D$16</f>
        <v>5457.5</v>
      </c>
      <c r="AA16" s="14">
        <f>[2]English!$D$18</f>
        <v>109150</v>
      </c>
      <c r="AB16" s="9">
        <v>0</v>
      </c>
      <c r="AC16" s="3">
        <v>0</v>
      </c>
      <c r="AD16" s="9">
        <f>[2]English!$H$16</f>
        <v>93.7</v>
      </c>
      <c r="AE16" s="14">
        <f>[2]English!$H$18</f>
        <v>23425</v>
      </c>
      <c r="AF16" s="9">
        <f>[2]English!$G$16</f>
        <v>2392.9</v>
      </c>
      <c r="AG16" s="14">
        <f>[2]English!$G$18</f>
        <v>110073</v>
      </c>
    </row>
    <row r="17" spans="1:33">
      <c r="A17" t="s">
        <v>20</v>
      </c>
      <c r="B17" s="11">
        <v>4</v>
      </c>
      <c r="C17" s="11">
        <v>2022</v>
      </c>
      <c r="D17" s="9">
        <f>[2]English!$R$19+[2]English!$Q$19</f>
        <v>4095.1000000000004</v>
      </c>
      <c r="E17" s="14">
        <f>[2]English!$Q$21+[2]English!$R$21</f>
        <v>94462</v>
      </c>
      <c r="F17" s="9">
        <f>[2]English!$P$19</f>
        <v>2210.1999999999998</v>
      </c>
      <c r="G17" s="13">
        <v>0</v>
      </c>
      <c r="H17" s="3">
        <f>[2]English!$M$19+[2]English!$N$19+[2]English!$O$19+[2]English!$S$19</f>
        <v>412.5</v>
      </c>
      <c r="I17" s="13">
        <v>0</v>
      </c>
      <c r="J17" s="9">
        <f>[2]English!$L$19</f>
        <v>144.19999999999999</v>
      </c>
      <c r="K17" s="14">
        <f>[2]English!$L$21</f>
        <v>2163</v>
      </c>
      <c r="L17" s="9">
        <f>[2]English!$I$19</f>
        <v>32.1</v>
      </c>
      <c r="M17" s="14">
        <f>[2]English!$I$21</f>
        <v>1476</v>
      </c>
      <c r="N17" s="9">
        <f>[2]English!$Y$19</f>
        <v>0</v>
      </c>
      <c r="O17" s="13">
        <v>0</v>
      </c>
      <c r="P17" s="9">
        <f>[2]English!$T$19</f>
        <v>41.3</v>
      </c>
      <c r="Q17" s="3">
        <v>0</v>
      </c>
      <c r="R17" s="9">
        <f>[2]English!$W$19</f>
        <v>450</v>
      </c>
      <c r="S17" s="14">
        <f>[2]English!$W$21</f>
        <v>117000</v>
      </c>
      <c r="T17" s="9">
        <f>[2]English!$K$19</f>
        <v>51.4</v>
      </c>
      <c r="U17" s="14">
        <f>[2]English!$K$21</f>
        <v>13364</v>
      </c>
      <c r="V17" s="9">
        <f>[2]English!$J$19</f>
        <v>3</v>
      </c>
      <c r="W17" s="7">
        <f>[2]English!$J$21</f>
        <v>780</v>
      </c>
      <c r="X17" s="9">
        <f>[2]English!$E$19</f>
        <v>7737.8</v>
      </c>
      <c r="Y17" s="14">
        <f>[2]English!$E$21</f>
        <v>232134</v>
      </c>
      <c r="Z17" s="9">
        <f>[2]English!$D$19</f>
        <v>5290.9</v>
      </c>
      <c r="AA17" s="14">
        <f>[2]English!$D$21</f>
        <v>105818</v>
      </c>
      <c r="AB17" s="9">
        <v>0</v>
      </c>
      <c r="AC17" s="3">
        <v>0</v>
      </c>
      <c r="AD17" s="9">
        <f>[2]English!$H$19</f>
        <v>41.3</v>
      </c>
      <c r="AE17" s="14">
        <f>[2]English!$H$21</f>
        <v>10325</v>
      </c>
      <c r="AF17" s="9">
        <f>[2]English!$G$19</f>
        <v>2360.6999999999998</v>
      </c>
      <c r="AG17" s="14">
        <f>[2]English!$G$21</f>
        <v>108592</v>
      </c>
    </row>
    <row r="18" spans="1:33">
      <c r="A18" t="s">
        <v>20</v>
      </c>
      <c r="B18" s="11">
        <v>5</v>
      </c>
      <c r="C18" s="11">
        <v>2022</v>
      </c>
      <c r="D18" s="9">
        <f>[2]English!$R$22+[2]English!$Q$22</f>
        <v>4706.5</v>
      </c>
      <c r="E18" s="14">
        <f>[2]English!$Q$24+[2]English!$R$24</f>
        <v>108736</v>
      </c>
      <c r="F18" s="9">
        <f>[2]English!$P$22</f>
        <v>2243.6</v>
      </c>
      <c r="G18" s="13">
        <v>0</v>
      </c>
      <c r="H18" s="3">
        <f>[2]English!$M$22+[2]English!$N$22+[2]English!$O$22+[2]English!$S$22</f>
        <v>336.1</v>
      </c>
      <c r="I18" s="13">
        <v>0</v>
      </c>
      <c r="J18" s="9">
        <f>[2]English!$L$22</f>
        <v>164.1</v>
      </c>
      <c r="K18" s="14">
        <f>[2]English!$L$24</f>
        <v>2461</v>
      </c>
      <c r="L18" s="9">
        <f>[2]English!$I$22</f>
        <v>20.9</v>
      </c>
      <c r="M18" s="14">
        <f>[2]English!$I$24</f>
        <v>961</v>
      </c>
      <c r="N18" s="9">
        <f>[2]English!$Y$22</f>
        <v>0</v>
      </c>
      <c r="O18" s="13">
        <v>0</v>
      </c>
      <c r="P18" s="9">
        <f>[2]English!$T$22</f>
        <v>325.10000000000002</v>
      </c>
      <c r="Q18" s="3">
        <v>0</v>
      </c>
      <c r="R18" s="9">
        <f>[2]English!$W$22</f>
        <v>529.4</v>
      </c>
      <c r="S18" s="14">
        <f>[2]English!$W$24</f>
        <v>137644</v>
      </c>
      <c r="T18" s="9">
        <f>[2]English!$K$22</f>
        <v>15.8</v>
      </c>
      <c r="U18" s="14">
        <f>[2]English!$K$24</f>
        <v>4108</v>
      </c>
      <c r="V18" s="9">
        <f>[2]English!$J$22</f>
        <v>1.7</v>
      </c>
      <c r="W18" s="7">
        <f>[2]English!$J$24</f>
        <v>442</v>
      </c>
      <c r="X18" s="9">
        <f>[2]English!$E$22</f>
        <v>9470.6</v>
      </c>
      <c r="Y18" s="14">
        <f>[2]English!$E$24</f>
        <v>284118</v>
      </c>
      <c r="Z18" s="9">
        <f>[2]English!$D$22</f>
        <v>5804.4</v>
      </c>
      <c r="AA18" s="14">
        <f>[2]English!$D$24</f>
        <v>116088</v>
      </c>
      <c r="AB18" s="9">
        <v>0</v>
      </c>
      <c r="AC18" s="3">
        <v>0</v>
      </c>
      <c r="AD18" s="9">
        <f>[2]English!$H$22</f>
        <v>75.599999999999994</v>
      </c>
      <c r="AE18" s="14">
        <f>[2]English!$H$24</f>
        <v>18900</v>
      </c>
      <c r="AF18" s="9">
        <f>[2]English!$G$22</f>
        <v>2707</v>
      </c>
      <c r="AG18" s="14">
        <f>[2]English!$G$24</f>
        <v>124522</v>
      </c>
    </row>
    <row r="19" spans="1:33">
      <c r="A19" t="s">
        <v>20</v>
      </c>
      <c r="B19" s="11">
        <v>6</v>
      </c>
      <c r="C19" s="11">
        <v>2022</v>
      </c>
      <c r="D19" s="9">
        <f>[2]English!$R$25+[2]English!$Q$25</f>
        <v>4255.4000000000005</v>
      </c>
      <c r="E19" s="14">
        <f>[2]English!$Q$27+[2]English!$R$27</f>
        <v>98426</v>
      </c>
      <c r="F19" s="9">
        <f>[2]English!$P$25</f>
        <v>1952.2</v>
      </c>
      <c r="G19" s="13">
        <v>0</v>
      </c>
      <c r="H19" s="3">
        <f>[2]English!$M$25+[2]English!$N$25+[2]English!$O$25+[2]English!$S$25</f>
        <v>357.6</v>
      </c>
      <c r="I19" s="13">
        <v>0</v>
      </c>
      <c r="J19" s="9">
        <f>[2]English!$L$25</f>
        <v>229.5</v>
      </c>
      <c r="K19" s="14">
        <f>[2]English!$L$27</f>
        <v>3442</v>
      </c>
      <c r="L19" s="9">
        <f>[2]English!$I$25</f>
        <v>21.2</v>
      </c>
      <c r="M19" s="14">
        <f>[2]English!$I$27</f>
        <v>975</v>
      </c>
      <c r="N19" s="9">
        <f>[2]English!$Y$25</f>
        <v>0</v>
      </c>
      <c r="O19" s="13">
        <v>0</v>
      </c>
      <c r="P19" s="9">
        <f>[2]English!$T$25</f>
        <v>313.10000000000002</v>
      </c>
      <c r="Q19" s="3">
        <v>0</v>
      </c>
      <c r="R19" s="9">
        <f>[2]English!$W$25</f>
        <v>526.29999999999995</v>
      </c>
      <c r="S19" s="14">
        <f>[2]English!$W$27</f>
        <v>136838</v>
      </c>
      <c r="T19" s="9">
        <f>[2]English!$K$25</f>
        <v>0.1</v>
      </c>
      <c r="U19" s="14">
        <f>[2]English!$K$27</f>
        <v>26</v>
      </c>
      <c r="V19" s="9">
        <f>[2]English!$J$25</f>
        <v>0.2</v>
      </c>
      <c r="W19" s="7">
        <f>[2]English!$J$27</f>
        <v>52</v>
      </c>
      <c r="X19" s="9">
        <f>[2]English!$E$25</f>
        <v>8897.1</v>
      </c>
      <c r="Y19" s="14">
        <f>[2]English!$E$27</f>
        <v>266913</v>
      </c>
      <c r="Z19" s="9">
        <f>[2]English!$D$25</f>
        <v>5620.2</v>
      </c>
      <c r="AA19" s="14">
        <f>[2]English!$D$27</f>
        <v>112404</v>
      </c>
      <c r="AB19" s="9">
        <v>0</v>
      </c>
      <c r="AC19" s="3">
        <v>0</v>
      </c>
      <c r="AD19" s="9">
        <f>[2]English!$H$25</f>
        <v>76.400000000000006</v>
      </c>
      <c r="AE19" s="14">
        <f>[2]English!$H$27</f>
        <v>19100</v>
      </c>
      <c r="AF19" s="9">
        <f>[2]English!$G$25</f>
        <v>2167.6999999999998</v>
      </c>
      <c r="AG19" s="14">
        <f>[2]English!$G$27</f>
        <v>99714</v>
      </c>
    </row>
    <row r="20" spans="1:33">
      <c r="A20" t="s">
        <v>20</v>
      </c>
      <c r="B20" s="11">
        <v>7</v>
      </c>
      <c r="C20" s="11">
        <v>2022</v>
      </c>
      <c r="D20" s="9">
        <f>[2]English!$R$28+[2]English!$Q$28</f>
        <v>4649</v>
      </c>
      <c r="E20" s="14">
        <f>[2]English!$Q$30+[2]English!$R$30</f>
        <v>107744</v>
      </c>
      <c r="F20" s="9">
        <f>[2]English!$P$28</f>
        <v>2070.8000000000002</v>
      </c>
      <c r="G20" s="13">
        <v>0</v>
      </c>
      <c r="H20" s="3">
        <f>[2]English!$M$28+[2]English!$N$28+[2]English!$O$28+[2]English!$S$28</f>
        <v>362.2</v>
      </c>
      <c r="I20" s="13">
        <v>0</v>
      </c>
      <c r="J20" s="9">
        <f>[2]English!$L$28</f>
        <v>165.5</v>
      </c>
      <c r="K20" s="14">
        <f>[2]English!$L$30</f>
        <v>2482</v>
      </c>
      <c r="L20" s="9">
        <f>[2]English!$I$28</f>
        <v>34.700000000000003</v>
      </c>
      <c r="M20" s="14">
        <f>[2]English!$I$30</f>
        <v>1596</v>
      </c>
      <c r="N20" s="9">
        <f>[2]English!$Y$28</f>
        <v>0</v>
      </c>
      <c r="O20" s="13">
        <v>0</v>
      </c>
      <c r="P20" s="9">
        <f>[2]English!$T$28</f>
        <v>287.5</v>
      </c>
      <c r="Q20" s="3">
        <v>0</v>
      </c>
      <c r="R20" s="9">
        <f>[2]English!$W$28</f>
        <v>573</v>
      </c>
      <c r="S20" s="14">
        <f>[2]English!$W$30</f>
        <v>148980</v>
      </c>
      <c r="T20" s="9">
        <f>[2]English!$K$28</f>
        <v>8.5</v>
      </c>
      <c r="U20" s="14">
        <f>[2]English!$K$30</f>
        <v>2210</v>
      </c>
      <c r="V20" s="9">
        <f>[2]English!$J$28</f>
        <v>7.3</v>
      </c>
      <c r="W20" s="7">
        <f>[2]English!$J$30</f>
        <v>1898</v>
      </c>
      <c r="X20" s="9">
        <f>[2]English!$E$28</f>
        <v>8991.4</v>
      </c>
      <c r="Y20" s="14">
        <f>[2]English!$E$30</f>
        <v>269742</v>
      </c>
      <c r="Z20" s="9">
        <f>[2]English!$D$28</f>
        <v>5774.6</v>
      </c>
      <c r="AA20" s="14">
        <f>[2]English!$D$30</f>
        <v>115492</v>
      </c>
      <c r="AB20" s="9">
        <v>0</v>
      </c>
      <c r="AC20" s="3">
        <v>0</v>
      </c>
      <c r="AD20" s="9">
        <f>[2]English!$H$28</f>
        <v>73.099999999999994</v>
      </c>
      <c r="AE20" s="14">
        <f>[2]English!$H$30</f>
        <v>18275</v>
      </c>
      <c r="AF20" s="9">
        <f>[2]English!$G$28</f>
        <v>2087.6999999999998</v>
      </c>
      <c r="AG20" s="14">
        <f>[2]English!$G$30</f>
        <v>96034</v>
      </c>
    </row>
    <row r="21" spans="1:33">
      <c r="A21" t="s">
        <v>20</v>
      </c>
      <c r="B21" s="11">
        <v>8</v>
      </c>
      <c r="C21" s="11">
        <v>2022</v>
      </c>
      <c r="D21" s="9">
        <f>[2]English!$R$31+[2]English!$Q$31</f>
        <v>4658</v>
      </c>
      <c r="E21" s="14">
        <f>[2]English!$Q$33+[2]English!$R$33</f>
        <v>106235</v>
      </c>
      <c r="F21" s="9">
        <f>[2]English!$P$31</f>
        <v>2262.5</v>
      </c>
      <c r="G21" s="13">
        <v>0</v>
      </c>
      <c r="H21" s="3">
        <f>[2]English!$M$31+[2]English!$N$31+[2]English!$O$31+[2]English!$S$31</f>
        <v>365.20000000000005</v>
      </c>
      <c r="I21" s="13">
        <v>0</v>
      </c>
      <c r="J21" s="9">
        <f>[2]English!$L$31</f>
        <v>178.6</v>
      </c>
      <c r="K21" s="14">
        <f>[2]English!$L$33</f>
        <v>2679</v>
      </c>
      <c r="L21" s="9">
        <f>[2]English!$I$31</f>
        <v>31.4</v>
      </c>
      <c r="M21" s="14">
        <f>[2]English!$I$33</f>
        <v>1444</v>
      </c>
      <c r="N21" s="9">
        <f>[2]English!$Y$31</f>
        <v>0</v>
      </c>
      <c r="O21" s="13">
        <v>0</v>
      </c>
      <c r="P21" s="9">
        <f>[2]English!$T$31</f>
        <v>326.8</v>
      </c>
      <c r="Q21" s="3">
        <v>0</v>
      </c>
      <c r="R21" s="9">
        <f>[2]English!$W$31</f>
        <v>597.9</v>
      </c>
      <c r="S21" s="14">
        <f>[2]English!$W$33</f>
        <v>155454</v>
      </c>
      <c r="T21" s="9">
        <f>[2]English!$K$31</f>
        <v>0.7</v>
      </c>
      <c r="U21" s="14">
        <f>[2]English!$K$33</f>
        <v>182</v>
      </c>
      <c r="V21" s="9">
        <f>[2]English!$J$31</f>
        <v>0</v>
      </c>
      <c r="W21" s="7">
        <f>[2]English!$J$33</f>
        <v>0</v>
      </c>
      <c r="X21" s="9">
        <f>[2]English!$E$31</f>
        <v>9068.9</v>
      </c>
      <c r="Y21" s="14">
        <f>[2]English!$E$33</f>
        <v>272067</v>
      </c>
      <c r="Z21" s="9">
        <f>[2]English!$D$31</f>
        <v>6398.3</v>
      </c>
      <c r="AA21" s="14">
        <f>[2]English!$D$33</f>
        <v>127966</v>
      </c>
      <c r="AB21" s="9">
        <v>0</v>
      </c>
      <c r="AC21" s="3">
        <v>0</v>
      </c>
      <c r="AD21" s="9">
        <f>[2]English!$H$31</f>
        <v>97</v>
      </c>
      <c r="AE21" s="14">
        <f>[2]English!$H$33</f>
        <v>24250</v>
      </c>
      <c r="AF21" s="9">
        <f>[2]English!$G$31</f>
        <v>2136.3000000000002</v>
      </c>
      <c r="AG21" s="14">
        <f>[2]English!$G$33</f>
        <v>98269</v>
      </c>
    </row>
    <row r="22" spans="1:33">
      <c r="A22" t="s">
        <v>20</v>
      </c>
      <c r="B22" s="11">
        <v>9</v>
      </c>
      <c r="C22" s="11">
        <v>2022</v>
      </c>
      <c r="D22" s="9">
        <f>[2]English!$R$34+[2]English!$Q$34</f>
        <v>4483.7</v>
      </c>
      <c r="E22" s="14">
        <f>[2]English!$Q$36+[2]English!$R$36</f>
        <v>102882</v>
      </c>
      <c r="F22" s="9">
        <f>[2]English!$P$34</f>
        <v>2197.4</v>
      </c>
      <c r="G22" s="13">
        <v>0</v>
      </c>
      <c r="H22" s="3">
        <f>[2]English!$M$34+[2]English!$N$34+[2]English!$O$34+[2]English!$S$34</f>
        <v>290.39999999999998</v>
      </c>
      <c r="I22" s="13">
        <v>0</v>
      </c>
      <c r="J22" s="9">
        <f>[2]English!$L$34</f>
        <v>163.30000000000001</v>
      </c>
      <c r="K22" s="16">
        <v>220</v>
      </c>
      <c r="L22" s="9">
        <f>[2]English!$I$34</f>
        <v>20.2</v>
      </c>
      <c r="M22" s="14">
        <f>[2]English!$I$36</f>
        <v>929</v>
      </c>
      <c r="N22" s="9">
        <f>[2]English!$Y$34</f>
        <v>0</v>
      </c>
      <c r="O22" s="13">
        <v>0</v>
      </c>
      <c r="P22" s="9">
        <f>[2]English!$T$34</f>
        <v>181</v>
      </c>
      <c r="Q22" s="3">
        <v>0</v>
      </c>
      <c r="R22" s="9">
        <f>[2]English!$W$34</f>
        <v>563.5</v>
      </c>
      <c r="S22" s="14">
        <f>[2]English!$W$36</f>
        <v>146510</v>
      </c>
      <c r="T22" s="9">
        <f>[2]English!$K$34</f>
        <v>0.8</v>
      </c>
      <c r="U22" s="14">
        <f>[2]English!$K$36</f>
        <v>208</v>
      </c>
      <c r="V22" s="9">
        <f>[2]English!$J$34</f>
        <v>0</v>
      </c>
      <c r="W22" s="7">
        <f>[2]English!$J$36</f>
        <v>0</v>
      </c>
      <c r="X22" s="9">
        <f>[2]English!$E$34</f>
        <v>7392.7</v>
      </c>
      <c r="Y22" s="14">
        <f>[2]English!$E$36</f>
        <v>221781</v>
      </c>
      <c r="Z22" s="9">
        <f>[2]English!$D$34</f>
        <v>7453.6</v>
      </c>
      <c r="AA22" s="14">
        <f>[2]English!$D$36</f>
        <v>149072</v>
      </c>
      <c r="AB22" s="9">
        <v>0</v>
      </c>
      <c r="AC22" s="3">
        <v>0</v>
      </c>
      <c r="AD22" s="9">
        <f>[2]English!$H$34</f>
        <v>208.5</v>
      </c>
      <c r="AE22" s="14">
        <f>[2]English!$H$36</f>
        <v>52125</v>
      </c>
      <c r="AF22" s="9">
        <f>[2]English!$G$34</f>
        <v>2056.3000000000002</v>
      </c>
      <c r="AG22" s="14">
        <f>[2]English!$G$36</f>
        <v>94589</v>
      </c>
    </row>
    <row r="23" spans="1:33">
      <c r="A23" t="s">
        <v>20</v>
      </c>
      <c r="B23" s="11">
        <v>10</v>
      </c>
      <c r="C23" s="11">
        <v>2022</v>
      </c>
      <c r="D23" s="9">
        <f>[2]English!$R$37+[2]English!$Q$37</f>
        <v>0</v>
      </c>
      <c r="E23" s="14">
        <f>[2]English!$Q$39+[2]English!$R$39</f>
        <v>0</v>
      </c>
      <c r="F23" s="9">
        <f>[2]English!$P$37</f>
        <v>0</v>
      </c>
      <c r="G23" s="13">
        <v>0</v>
      </c>
      <c r="H23" s="3">
        <f>[2]English!$M$37+[2]English!$N$37+[2]English!$O$37+[2]English!$S$37</f>
        <v>0</v>
      </c>
      <c r="I23" s="13">
        <v>0</v>
      </c>
      <c r="J23" s="9">
        <f>[2]English!$L$37</f>
        <v>0</v>
      </c>
      <c r="K23" s="14">
        <f>[2]English!$L$39</f>
        <v>0</v>
      </c>
      <c r="L23" s="9">
        <f>[2]English!$I$37</f>
        <v>0</v>
      </c>
      <c r="M23" s="14">
        <f>[2]English!$I$39</f>
        <v>0</v>
      </c>
      <c r="N23" s="9">
        <f>[2]English!$Y$37</f>
        <v>0</v>
      </c>
      <c r="O23" s="13">
        <v>0</v>
      </c>
      <c r="P23" s="9">
        <f>[2]English!$T$37</f>
        <v>0</v>
      </c>
      <c r="Q23" s="3">
        <v>0</v>
      </c>
      <c r="R23" s="9">
        <f>[2]English!$W$37</f>
        <v>0</v>
      </c>
      <c r="S23" s="14">
        <f>[2]English!$W$39</f>
        <v>0</v>
      </c>
      <c r="T23" s="9">
        <f>[2]English!$K$37</f>
        <v>0</v>
      </c>
      <c r="U23" s="14">
        <f>[2]English!$K$39</f>
        <v>0</v>
      </c>
      <c r="V23" s="9">
        <f>[2]English!$J$37</f>
        <v>0</v>
      </c>
      <c r="W23" s="7">
        <f>[2]English!$J$39</f>
        <v>0</v>
      </c>
      <c r="X23" s="9">
        <f>[2]English!$E$37</f>
        <v>0</v>
      </c>
      <c r="Y23" s="14">
        <f>[2]English!$E$39</f>
        <v>0</v>
      </c>
      <c r="Z23" s="9">
        <f>[2]English!$D$37</f>
        <v>0</v>
      </c>
      <c r="AA23" s="14">
        <f>[2]English!$D$39</f>
        <v>0</v>
      </c>
      <c r="AB23" s="9">
        <v>0</v>
      </c>
      <c r="AC23" s="3">
        <v>0</v>
      </c>
      <c r="AD23" s="9">
        <f>[2]English!$H$37</f>
        <v>0</v>
      </c>
      <c r="AE23" s="14">
        <f>[2]English!$H$39</f>
        <v>0</v>
      </c>
      <c r="AF23" s="9">
        <f>[2]English!$G$37</f>
        <v>0</v>
      </c>
      <c r="AG23" s="14">
        <f>[2]English!$G$39</f>
        <v>0</v>
      </c>
    </row>
    <row r="24" spans="1:33">
      <c r="A24" t="s">
        <v>20</v>
      </c>
      <c r="B24" s="11">
        <v>11</v>
      </c>
      <c r="C24" s="11">
        <v>2022</v>
      </c>
      <c r="D24" s="9">
        <f>[2]English!$R$40+[2]English!$Q$40</f>
        <v>0</v>
      </c>
      <c r="E24" s="14">
        <f>[2]English!$Q$42+[2]English!$R$42</f>
        <v>0</v>
      </c>
      <c r="F24" s="9">
        <f>[2]English!$P$40</f>
        <v>0</v>
      </c>
      <c r="G24" s="13">
        <v>0</v>
      </c>
      <c r="H24" s="3">
        <f>[2]English!$M$40+[2]English!$N$40+[2]English!$O$40+[2]English!$S$40</f>
        <v>0</v>
      </c>
      <c r="I24" s="13">
        <v>0</v>
      </c>
      <c r="J24" s="9">
        <f>[2]English!$L$40</f>
        <v>0</v>
      </c>
      <c r="K24" s="14">
        <f>[2]English!$L$42</f>
        <v>0</v>
      </c>
      <c r="L24" s="9">
        <f>[2]English!$I$40</f>
        <v>0</v>
      </c>
      <c r="M24" s="14">
        <f>[2]English!$I$42</f>
        <v>0</v>
      </c>
      <c r="N24" s="9">
        <f>[2]English!$Y$40</f>
        <v>0</v>
      </c>
      <c r="O24" s="13">
        <v>0</v>
      </c>
      <c r="P24" s="9">
        <f>[2]English!$T$40</f>
        <v>0</v>
      </c>
      <c r="Q24" s="3">
        <v>0</v>
      </c>
      <c r="R24" s="9">
        <f>[2]English!$W$40</f>
        <v>0</v>
      </c>
      <c r="S24" s="14">
        <f>[2]English!$W$42</f>
        <v>0</v>
      </c>
      <c r="T24" s="9">
        <f>[2]English!$K$40</f>
        <v>0</v>
      </c>
      <c r="U24" s="14">
        <f>[2]English!$K$42</f>
        <v>0</v>
      </c>
      <c r="V24" s="9">
        <f>[2]English!$J$40</f>
        <v>0</v>
      </c>
      <c r="W24" s="7">
        <f>[2]English!$J$42</f>
        <v>0</v>
      </c>
      <c r="X24" s="9">
        <f>[2]English!$E$40</f>
        <v>0</v>
      </c>
      <c r="Y24" s="14">
        <f>[2]English!$E$42</f>
        <v>0</v>
      </c>
      <c r="Z24" s="9">
        <f>[2]English!$D$40</f>
        <v>0</v>
      </c>
      <c r="AA24" s="14">
        <f>[2]English!$D$42</f>
        <v>0</v>
      </c>
      <c r="AB24" s="9">
        <v>0</v>
      </c>
      <c r="AC24" s="3">
        <v>0</v>
      </c>
      <c r="AD24" s="9">
        <f>[2]English!$H$40</f>
        <v>0</v>
      </c>
      <c r="AE24" s="14">
        <f>[2]English!$H$42</f>
        <v>0</v>
      </c>
      <c r="AF24" s="9">
        <f>[2]English!$G$40</f>
        <v>0</v>
      </c>
      <c r="AG24" s="14">
        <f>[2]English!$G$42</f>
        <v>0</v>
      </c>
    </row>
    <row r="25" spans="1:33">
      <c r="A25" t="s">
        <v>20</v>
      </c>
      <c r="B25" s="11">
        <v>12</v>
      </c>
      <c r="C25" s="11">
        <v>2022</v>
      </c>
      <c r="D25" s="9">
        <f>[2]English!$R$43+[2]English!$Q$43</f>
        <v>0</v>
      </c>
      <c r="E25" s="14">
        <f>[2]English!$Q$45+[2]English!$R$45</f>
        <v>0</v>
      </c>
      <c r="F25" s="9">
        <f>[2]English!$P$43</f>
        <v>0</v>
      </c>
      <c r="G25" s="13">
        <v>0</v>
      </c>
      <c r="H25" s="3">
        <f>[2]English!$M$43+[2]English!$N$43+[2]English!$O$43+[2]English!$S$43</f>
        <v>0</v>
      </c>
      <c r="I25" s="13">
        <v>0</v>
      </c>
      <c r="J25" s="9">
        <f>[2]English!$L$43</f>
        <v>0</v>
      </c>
      <c r="K25" s="14">
        <f>[2]English!$L$45</f>
        <v>0</v>
      </c>
      <c r="L25" s="9">
        <f>[2]English!$I$43</f>
        <v>0</v>
      </c>
      <c r="M25" s="14">
        <f>[2]English!$I$45</f>
        <v>0</v>
      </c>
      <c r="N25" s="9">
        <f>[2]English!$Y$43</f>
        <v>0</v>
      </c>
      <c r="O25" s="13">
        <v>0</v>
      </c>
      <c r="P25" s="9">
        <f>[2]English!$T$43</f>
        <v>0</v>
      </c>
      <c r="Q25" s="3">
        <v>0</v>
      </c>
      <c r="R25" s="9">
        <f>[2]English!$W$43</f>
        <v>0</v>
      </c>
      <c r="S25" s="14">
        <f>[2]English!$W$45</f>
        <v>0</v>
      </c>
      <c r="T25" s="9">
        <f>[2]English!$K$43</f>
        <v>0</v>
      </c>
      <c r="U25" s="14">
        <f>[2]English!$K$45</f>
        <v>0</v>
      </c>
      <c r="V25" s="9">
        <f>[2]English!$J$43</f>
        <v>0</v>
      </c>
      <c r="W25" s="7">
        <f>[2]English!$J$45</f>
        <v>0</v>
      </c>
      <c r="X25" s="9">
        <f>[2]English!$E$43</f>
        <v>0</v>
      </c>
      <c r="Y25" s="14">
        <f>[2]English!$E$45</f>
        <v>0</v>
      </c>
      <c r="Z25" s="9">
        <f>[2]English!$D$43</f>
        <v>0</v>
      </c>
      <c r="AA25" s="14">
        <f>[2]English!$D$45</f>
        <v>0</v>
      </c>
      <c r="AB25" s="9">
        <v>0</v>
      </c>
      <c r="AC25" s="3">
        <v>0</v>
      </c>
      <c r="AD25" s="9">
        <f>[2]English!$H$43</f>
        <v>0</v>
      </c>
      <c r="AE25" s="14">
        <f>[2]English!$H$45</f>
        <v>0</v>
      </c>
      <c r="AF25" s="9">
        <f>[2]English!$G$43</f>
        <v>0</v>
      </c>
      <c r="AG25" s="14">
        <f>[2]English!$G$45</f>
        <v>0</v>
      </c>
    </row>
    <row r="26" spans="1:33">
      <c r="B26" s="1"/>
    </row>
  </sheetData>
  <phoneticPr fontId="1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Mitsuyoshi Yuki</cp:lastModifiedBy>
  <dcterms:created xsi:type="dcterms:W3CDTF">2022-01-28T13:49:17Z</dcterms:created>
  <dcterms:modified xsi:type="dcterms:W3CDTF">2022-10-13T01:34:46Z</dcterms:modified>
</cp:coreProperties>
</file>