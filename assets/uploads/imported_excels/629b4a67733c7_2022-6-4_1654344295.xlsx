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3"/>
  <workbookPr/>
  <mc:AlternateContent xmlns:mc="http://schemas.openxmlformats.org/markup-compatibility/2006">
    <mc:Choice Requires="x15">
      <x15ac:absPath xmlns:x15ac="http://schemas.microsoft.com/office/spreadsheetml/2010/11/ac" url="Q:\Engineering\Duty Engineer\HEP Energy Report\Separate Data FSH\FSH\"/>
    </mc:Choice>
  </mc:AlternateContent>
  <xr:revisionPtr revIDLastSave="0" documentId="13_ncr:1_{3516335B-1DCE-49E6-976F-BC0110623746}" xr6:coauthVersionLast="36" xr6:coauthVersionMax="36" xr10:uidLastSave="{00000000-0000-0000-0000-000000000000}"/>
  <bookViews>
    <workbookView xWindow="0" yWindow="0" windowWidth="28440" windowHeight="8370" tabRatio="193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J2" i="1" l="1"/>
  <c r="N2" i="1"/>
  <c r="J3" i="1"/>
  <c r="N3" i="1"/>
  <c r="J4" i="1"/>
  <c r="N4" i="1"/>
  <c r="J5" i="1"/>
  <c r="N5" i="1"/>
  <c r="J6" i="1"/>
  <c r="N6" i="1"/>
  <c r="J7" i="1"/>
  <c r="N7" i="1"/>
  <c r="J8" i="1"/>
  <c r="N8" i="1"/>
  <c r="J9" i="1"/>
  <c r="N9" i="1"/>
  <c r="J10" i="1"/>
  <c r="N10" i="1"/>
  <c r="J11" i="1"/>
  <c r="N11" i="1"/>
  <c r="J12" i="1"/>
  <c r="N12" i="1"/>
  <c r="J13" i="1"/>
  <c r="N13" i="1"/>
  <c r="S15" i="2" l="1"/>
  <c r="R15" i="2"/>
  <c r="M15" i="2"/>
  <c r="H15" i="2"/>
  <c r="O15" i="2"/>
  <c r="N15" i="2"/>
  <c r="J15" i="2"/>
  <c r="I15" i="2"/>
  <c r="P13" i="2"/>
  <c r="P12" i="2"/>
  <c r="P11" i="2"/>
  <c r="P10" i="2"/>
  <c r="P9" i="2"/>
  <c r="P8" i="2"/>
  <c r="P7" i="2"/>
  <c r="P6" i="2"/>
  <c r="P5" i="2"/>
  <c r="P4" i="2"/>
  <c r="P3" i="2"/>
  <c r="P2" i="2"/>
  <c r="K13" i="2"/>
  <c r="K12" i="2"/>
  <c r="K11" i="2"/>
  <c r="K10" i="2"/>
  <c r="K9" i="2"/>
  <c r="K8" i="2"/>
  <c r="K7" i="2"/>
  <c r="K6" i="2"/>
  <c r="K5" i="2"/>
  <c r="K4" i="2"/>
  <c r="K3" i="2"/>
  <c r="K2" i="2"/>
  <c r="F13" i="2"/>
  <c r="F12" i="2"/>
  <c r="F11" i="2"/>
  <c r="F10" i="2"/>
  <c r="F9" i="2"/>
  <c r="F8" i="2"/>
  <c r="F7" i="2"/>
  <c r="F6" i="2"/>
  <c r="F5" i="2"/>
  <c r="F4" i="2"/>
  <c r="F3" i="2"/>
  <c r="F2" i="2"/>
  <c r="F15" i="2" s="1"/>
  <c r="E15" i="2"/>
  <c r="D15" i="2"/>
  <c r="Q13" i="2"/>
  <c r="L13" i="2"/>
  <c r="G13" i="2"/>
  <c r="Q12" i="2"/>
  <c r="L12" i="2"/>
  <c r="G12" i="2"/>
  <c r="Q11" i="2"/>
  <c r="L11" i="2"/>
  <c r="G11" i="2"/>
  <c r="Q10" i="2"/>
  <c r="L10" i="2"/>
  <c r="G10" i="2"/>
  <c r="Q9" i="2"/>
  <c r="L9" i="2"/>
  <c r="G9" i="2"/>
  <c r="Q8" i="2"/>
  <c r="L8" i="2"/>
  <c r="G8" i="2"/>
  <c r="Q7" i="2"/>
  <c r="L7" i="2"/>
  <c r="G7" i="2"/>
  <c r="Q6" i="2"/>
  <c r="L6" i="2"/>
  <c r="G6" i="2"/>
  <c r="Q5" i="2"/>
  <c r="L5" i="2"/>
  <c r="G5" i="2"/>
  <c r="Q4" i="2"/>
  <c r="L4" i="2"/>
  <c r="G4" i="2"/>
  <c r="Q3" i="2"/>
  <c r="L3" i="2"/>
  <c r="G3" i="2"/>
  <c r="G15" i="2" s="1"/>
  <c r="Q2" i="2"/>
  <c r="Q15" i="2" s="1"/>
  <c r="L2" i="2"/>
  <c r="L15" i="2" s="1"/>
  <c r="G2" i="2"/>
  <c r="P15" i="2" l="1"/>
  <c r="K15" i="2"/>
  <c r="F13" i="1"/>
  <c r="F12" i="1"/>
  <c r="F11" i="1"/>
  <c r="F10" i="1"/>
  <c r="F9" i="1" l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<sst xmlns="http://schemas.openxmlformats.org/spreadsheetml/2006/main" count="60" uniqueCount="19">
  <si>
    <t>Site Name</t>
  </si>
  <si>
    <t>Month</t>
  </si>
  <si>
    <t>Year</t>
  </si>
  <si>
    <t>Purchased Electricity Kwh</t>
  </si>
  <si>
    <t>Purchased Electricity Tariff ($/Kwh)</t>
  </si>
  <si>
    <t xml:space="preserve">Electricity Total Budgeted </t>
  </si>
  <si>
    <t xml:space="preserve">Electricity Total Budgeted Cost ($) </t>
  </si>
  <si>
    <t>Natural Gas Hot-Water Boilers (m3) m3</t>
  </si>
  <si>
    <t>Natural Gas Hot-Water Boilers (m3) $/m3</t>
  </si>
  <si>
    <t xml:space="preserve">Natural Gas Total Budgeted </t>
  </si>
  <si>
    <t xml:space="preserve">Natural Gas Total Budgeted Cost ($) </t>
  </si>
  <si>
    <t>Water Utility Supply (m3) m3</t>
  </si>
  <si>
    <t>Water Utility Supply (m3) $/m3</t>
  </si>
  <si>
    <t>Water Total Budgeted</t>
  </si>
  <si>
    <t>Water Total Budgeted Cost ($)</t>
  </si>
  <si>
    <t xml:space="preserve">Room Nights </t>
  </si>
  <si>
    <t>Food Covers</t>
  </si>
  <si>
    <t>Forex</t>
  </si>
  <si>
    <t>Hong Kong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</si>
</sst>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0.0000"/>
    <numFmt numFmtId="166" formatCode="_(&quot;$&quot;* #,##0_);_(&quot;$&quot;* \(#,##0\);_(&quot;$&quot;* &quot;-&quot;??_);_(@_)"/>
    <numFmt numFmtId="167" formatCode="#,##0.0000"/>
  </numFmts>
  <fonts count="7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ill="0" applyBorder="0" applyAlignment="0" applyProtection="0"/>
    <xf numFmtId="44" fontId="1" fillId="0" borderId="0" applyFont="0" applyFill="0" applyBorder="0" applyAlignment="0" applyProtection="0"/>
  </cellStyleXfs>
  <cellXfs count="40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1" applyNumberFormat="1" applyFont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1" fontId="3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2" fontId="0" fillId="0" borderId="0" xfId="1" applyNumberFormat="1" applyFont="1" applyAlignment="1">
      <alignment horizontal="center"/>
    </xf>
    <xf numFmtId="164" fontId="0" fillId="0" borderId="0" xfId="1" applyNumberFormat="1" applyFont="1" applyAlignment="1">
      <alignment horizontal="center"/>
    </xf>
    <xf numFmtId="4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 applyFont="1" applyFill="1" applyAlignment="1">
      <alignment horizontal="center"/>
    </xf>
    <xf numFmtId="3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2" applyNumberFormat="1" applyFont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164" fontId="2" fillId="0" borderId="0" xfId="0" applyNumberFormat="1" applyFont="1" applyBorder="1" applyAlignment="1">
      <alignment horizontal="center" vertical="center" wrapText="1"/>
    </xf>
    <xf numFmtId="1" fontId="0" fillId="0" borderId="0" xfId="0" applyNumberFormat="1" applyFont="1" applyFill="1" applyBorder="1" applyAlignment="1">
      <alignment horizontal="center"/>
    </xf>
    <xf numFmtId="167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/>
    </xf>
    <xf numFmtId="4" fontId="0" fillId="0" borderId="0" xfId="0" applyNumberFormat="1" applyBorder="1" applyAlignment="1">
      <alignment horizontal="center"/>
    </xf>
    <xf numFmtId="1" fontId="3" fillId="0" borderId="0" xfId="1" applyNumberFormat="1" applyFont="1" applyBorder="1" applyAlignment="1"/>
    <xf numFmtId="1" fontId="3" fillId="0" borderId="0" xfId="1" applyNumberFormat="1" applyFont="1" applyBorder="1" applyAlignment="1">
      <alignment vertical="center"/>
    </xf>
    <xf numFmtId="1" fontId="5" fillId="0" borderId="0" xfId="0" applyNumberFormat="1" applyFont="1" applyBorder="1" applyAlignment="1">
      <alignment horizontal="center" vertical="center"/>
    </xf>
    <xf numFmtId="1" fontId="0" fillId="0" borderId="0" xfId="0" applyNumberFormat="1" applyBorder="1" applyAlignment="1">
      <alignment horizontal="center" vertical="center"/>
    </xf>
    <xf numFmtId="165" fontId="0" fillId="0" borderId="0" xfId="0" applyNumberFormat="1" applyBorder="1" applyAlignment="1">
      <alignment horizontal="center" vertical="center"/>
    </xf>
    <xf numFmtId="1" fontId="3" fillId="0" borderId="0" xfId="1" applyNumberFormat="1" applyFont="1" applyBorder="1" applyAlignment="1">
      <alignment horizontal="center"/>
    </xf>
    <xf numFmtId="1" fontId="3" fillId="0" borderId="0" xfId="1" applyNumberFormat="1" applyFont="1" applyBorder="1" applyAlignment="1">
      <alignment horizontal="center" vertical="center"/>
    </xf>
    <xf numFmtId="1" fontId="5" fillId="2" borderId="0" xfId="0" applyNumberFormat="1" applyFont="1" applyFill="1" applyBorder="1" applyAlignment="1">
      <alignment horizontal="center" vertical="center"/>
    </xf>
    <xf numFmtId="1" fontId="6" fillId="2" borderId="0" xfId="0" applyNumberFormat="1" applyFont="1" applyFill="1" applyAlignment="1">
      <alignment horizontal="right" wrapText="1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9"/>
  <sheetViews>
    <sheetView tabSelected="1" zoomScale="115" zoomScaleNormal="115" workbookViewId="0">
      <pane xSplit="3" topLeftCell="N1" activePane="topRight" state="frozen"/>
      <selection pane="topRight" activeCell="N21" sqref="N21"/>
    </sheetView>
  </sheetViews>
  <sheetFormatPr defaultColWidth="11.5703125" defaultRowHeight="12.75" x14ac:dyDescent="0.2"/>
  <cols>
    <col min="1" max="1" width="12.42578125" style="4" bestFit="1" customWidth="1"/>
    <col min="2" max="2" width="6.85546875" style="4" customWidth="1"/>
    <col min="3" max="3" width="13.42578125" style="4" customWidth="1"/>
    <col min="4" max="5" width="12.5703125" style="4" customWidth="1"/>
    <col min="6" max="7" width="12.85546875" style="4" bestFit="1" customWidth="1"/>
    <col min="8" max="8" width="11.5703125" style="4"/>
    <col min="9" max="9" width="12.85546875" style="6" customWidth="1"/>
    <col min="10" max="10" width="11.7109375" style="4" bestFit="1" customWidth="1"/>
    <col min="11" max="11" width="12.85546875" style="4" bestFit="1" customWidth="1"/>
    <col min="12" max="16384" width="11.5703125" style="4"/>
  </cols>
  <sheetData>
    <row r="1" spans="1:27" s="15" customFormat="1" ht="51" x14ac:dyDescent="0.2">
      <c r="A1" s="1" t="s">
        <v>0</v>
      </c>
      <c r="B1" s="1" t="s">
        <v>1</v>
      </c>
      <c r="C1" s="20" t="s">
        <v>2</v>
      </c>
      <c r="D1" s="21" t="s">
        <v>3</v>
      </c>
      <c r="E1" s="21" t="s">
        <v>4</v>
      </c>
      <c r="F1" s="22" t="s">
        <v>5</v>
      </c>
      <c r="G1" s="22" t="s">
        <v>6</v>
      </c>
      <c r="H1" s="21" t="s">
        <v>7</v>
      </c>
      <c r="I1" s="23" t="s">
        <v>8</v>
      </c>
      <c r="J1" s="22" t="s">
        <v>9</v>
      </c>
      <c r="K1" s="22" t="s">
        <v>10</v>
      </c>
      <c r="L1" s="21" t="s">
        <v>11</v>
      </c>
      <c r="M1" s="21" t="s">
        <v>12</v>
      </c>
      <c r="N1" s="22" t="s">
        <v>13</v>
      </c>
      <c r="O1" s="22" t="s">
        <v>14</v>
      </c>
      <c r="P1" s="21" t="s">
        <v>15</v>
      </c>
      <c r="Q1" s="21" t="s">
        <v>16</v>
      </c>
      <c r="R1" s="20" t="s">
        <v>17</v>
      </c>
    </row>
    <row r="2" spans="1:27" x14ac:dyDescent="0.2">
      <c r="A2" s="4" t="s">
        <v>18</v>
      </c>
      <c r="B2" s="16">
        <v>1</v>
      </c>
      <c r="C2" s="24">
        <v>2021</v>
      </c>
      <c r="D2" s="30">
        <v>991275</v>
      </c>
      <c r="E2" s="25">
        <v>1.2664908627777358</v>
      </c>
      <c r="F2" s="28">
        <f t="shared" ref="F2:F13" si="0">G2/E2</f>
        <v>1137471.2935870735</v>
      </c>
      <c r="G2" s="29">
        <v>1440597</v>
      </c>
      <c r="H2" s="31">
        <v>104998.1092981093</v>
      </c>
      <c r="I2" s="32">
        <v>8.2462195346939566</v>
      </c>
      <c r="J2" s="33">
        <f>K2/I2</f>
        <v>133953.50382713228</v>
      </c>
      <c r="K2" s="34">
        <v>1104610</v>
      </c>
      <c r="L2" s="35">
        <v>13015.64</v>
      </c>
      <c r="M2" s="32">
        <v>8.2898735674926467</v>
      </c>
      <c r="N2" s="33">
        <f>O2/M2</f>
        <v>21095.255383115964</v>
      </c>
      <c r="O2" s="34">
        <v>174877</v>
      </c>
      <c r="P2" s="36">
        <v>2333</v>
      </c>
      <c r="Q2" s="37">
        <v>21198</v>
      </c>
      <c r="R2" s="26">
        <v>0.13</v>
      </c>
    </row>
    <row r="3" spans="1:27" x14ac:dyDescent="0.2">
      <c r="A3" s="4" t="s">
        <v>18</v>
      </c>
      <c r="B3" s="16">
        <v>2</v>
      </c>
      <c r="C3" s="24">
        <v>2021</v>
      </c>
      <c r="D3" s="30">
        <v>914750</v>
      </c>
      <c r="E3" s="25">
        <v>1.283870281497677</v>
      </c>
      <c r="F3" s="28">
        <f t="shared" si="0"/>
        <v>931082.38209668605</v>
      </c>
      <c r="G3" s="29">
        <v>1195389</v>
      </c>
      <c r="H3" s="31">
        <v>79799.222999222999</v>
      </c>
      <c r="I3" s="32">
        <v>8.4878524444604562</v>
      </c>
      <c r="J3" s="33">
        <f t="shared" ref="J3:J13" si="1">K3/I3</f>
        <v>75044.895533700575</v>
      </c>
      <c r="K3" s="34">
        <v>636970</v>
      </c>
      <c r="L3" s="30">
        <v>14477.2</v>
      </c>
      <c r="M3" s="32">
        <v>8.3014001326223301</v>
      </c>
      <c r="N3" s="33">
        <f t="shared" ref="N3:N13" si="2">O3/M3</f>
        <v>14651.504331424019</v>
      </c>
      <c r="O3" s="34">
        <v>121628</v>
      </c>
      <c r="P3" s="36">
        <v>3227</v>
      </c>
      <c r="Q3" s="38">
        <v>25887</v>
      </c>
      <c r="R3" s="26">
        <v>0.13</v>
      </c>
      <c r="S3" s="17"/>
      <c r="T3" s="17"/>
      <c r="U3" s="14"/>
      <c r="V3" s="14"/>
    </row>
    <row r="4" spans="1:27" x14ac:dyDescent="0.2">
      <c r="A4" s="4" t="s">
        <v>18</v>
      </c>
      <c r="B4" s="16">
        <v>3</v>
      </c>
      <c r="C4" s="24">
        <v>2021</v>
      </c>
      <c r="D4" s="30">
        <v>1061735</v>
      </c>
      <c r="E4" s="25">
        <v>1.2738626870170053</v>
      </c>
      <c r="F4" s="28">
        <f t="shared" si="0"/>
        <v>1084432.4228028501</v>
      </c>
      <c r="G4" s="29">
        <v>1381418</v>
      </c>
      <c r="H4" s="31">
        <v>78946.801346801352</v>
      </c>
      <c r="I4" s="32">
        <v>8.7442572494796824</v>
      </c>
      <c r="J4" s="33">
        <f t="shared" si="1"/>
        <v>79345.675705193251</v>
      </c>
      <c r="K4" s="34">
        <v>693819</v>
      </c>
      <c r="L4" s="30">
        <v>14665.1</v>
      </c>
      <c r="M4" s="32">
        <v>8.3185051585055678</v>
      </c>
      <c r="N4" s="33">
        <f t="shared" si="2"/>
        <v>15828.324619763096</v>
      </c>
      <c r="O4" s="34">
        <v>131668</v>
      </c>
      <c r="P4" s="36">
        <v>2166</v>
      </c>
      <c r="Q4" s="38">
        <v>25699</v>
      </c>
      <c r="R4" s="27">
        <v>0.13</v>
      </c>
      <c r="S4" s="14"/>
      <c r="T4" s="14"/>
      <c r="U4" s="14"/>
      <c r="V4" s="14"/>
      <c r="W4" s="14"/>
    </row>
    <row r="5" spans="1:27" x14ac:dyDescent="0.2">
      <c r="A5" s="4" t="s">
        <v>18</v>
      </c>
      <c r="B5" s="16">
        <v>4</v>
      </c>
      <c r="C5" s="24">
        <v>2021</v>
      </c>
      <c r="D5" s="30">
        <v>1173769</v>
      </c>
      <c r="E5" s="25">
        <v>1.2748731564728666</v>
      </c>
      <c r="F5" s="28">
        <f t="shared" si="0"/>
        <v>1033143.5667247361</v>
      </c>
      <c r="G5" s="29">
        <v>1317127</v>
      </c>
      <c r="H5" s="31">
        <v>81538.927738927741</v>
      </c>
      <c r="I5" s="32">
        <v>8.5449026535011221</v>
      </c>
      <c r="J5" s="33">
        <f t="shared" si="1"/>
        <v>68875.448190022231</v>
      </c>
      <c r="K5" s="34">
        <v>588534</v>
      </c>
      <c r="L5" s="30">
        <v>17052.75</v>
      </c>
      <c r="M5" s="32">
        <v>8.2746571667326378</v>
      </c>
      <c r="N5" s="33">
        <f t="shared" si="2"/>
        <v>13893.143568798021</v>
      </c>
      <c r="O5" s="34">
        <v>114961</v>
      </c>
      <c r="P5" s="36">
        <v>3182</v>
      </c>
      <c r="Q5" s="39">
        <v>26988</v>
      </c>
      <c r="R5" s="27">
        <v>0.13</v>
      </c>
      <c r="S5" s="14"/>
      <c r="T5" s="14"/>
      <c r="U5" s="14"/>
      <c r="V5" s="14"/>
      <c r="W5" s="14"/>
      <c r="X5" s="14"/>
    </row>
    <row r="6" spans="1:27" x14ac:dyDescent="0.2">
      <c r="A6" s="4" t="s">
        <v>18</v>
      </c>
      <c r="B6" s="16">
        <v>5</v>
      </c>
      <c r="C6" s="24">
        <v>2021</v>
      </c>
      <c r="D6" s="30">
        <v>1438882</v>
      </c>
      <c r="E6" s="25">
        <v>1.2956966728334915</v>
      </c>
      <c r="F6" s="28">
        <f t="shared" si="0"/>
        <v>1214683.9866140918</v>
      </c>
      <c r="G6" s="29">
        <v>1573862</v>
      </c>
      <c r="H6" s="31">
        <v>80263.351463351471</v>
      </c>
      <c r="I6" s="32">
        <v>8.5572021037971346</v>
      </c>
      <c r="J6" s="33">
        <f t="shared" si="1"/>
        <v>69595.060719173402</v>
      </c>
      <c r="K6" s="34">
        <v>595539</v>
      </c>
      <c r="L6" s="30">
        <v>17412.21</v>
      </c>
      <c r="M6" s="32">
        <v>8.2973752326671928</v>
      </c>
      <c r="N6" s="33">
        <f t="shared" si="2"/>
        <v>14336.220390717768</v>
      </c>
      <c r="O6" s="34">
        <v>118953</v>
      </c>
      <c r="P6" s="36">
        <v>3000</v>
      </c>
      <c r="Q6" s="39">
        <v>27473</v>
      </c>
      <c r="R6" s="27">
        <v>0.13</v>
      </c>
      <c r="S6" s="14"/>
      <c r="T6" s="14"/>
      <c r="U6" s="14"/>
      <c r="V6" s="14"/>
      <c r="W6" s="14"/>
      <c r="X6" s="14"/>
      <c r="Y6" s="14"/>
    </row>
    <row r="7" spans="1:27" x14ac:dyDescent="0.2">
      <c r="A7" s="4" t="s">
        <v>18</v>
      </c>
      <c r="B7" s="16">
        <v>6</v>
      </c>
      <c r="C7" s="24">
        <v>2021</v>
      </c>
      <c r="D7" s="30">
        <v>1431549</v>
      </c>
      <c r="E7" s="25">
        <v>1.3075503039015779</v>
      </c>
      <c r="F7" s="28">
        <f t="shared" si="0"/>
        <v>1342344.5314208856</v>
      </c>
      <c r="G7" s="29">
        <v>1755183</v>
      </c>
      <c r="H7" s="31">
        <v>80914.633514633519</v>
      </c>
      <c r="I7" s="32">
        <v>8.9057128321501704</v>
      </c>
      <c r="J7" s="33">
        <f t="shared" si="1"/>
        <v>62487.867112782304</v>
      </c>
      <c r="K7" s="34">
        <v>556499</v>
      </c>
      <c r="L7" s="30">
        <v>16599.46</v>
      </c>
      <c r="M7" s="32">
        <v>8.2796434341840026</v>
      </c>
      <c r="N7" s="33">
        <f t="shared" si="2"/>
        <v>15014.173132958294</v>
      </c>
      <c r="O7" s="34">
        <v>124312</v>
      </c>
      <c r="P7" s="36">
        <v>3463</v>
      </c>
      <c r="Q7" s="39">
        <v>27406</v>
      </c>
      <c r="R7" s="27">
        <v>0.13</v>
      </c>
      <c r="S7" s="14"/>
      <c r="T7" s="14"/>
      <c r="U7" s="14"/>
      <c r="V7" s="14"/>
      <c r="W7" s="14"/>
      <c r="X7" s="14"/>
      <c r="Y7" s="14"/>
      <c r="Z7" s="14"/>
      <c r="AA7" s="14"/>
    </row>
    <row r="8" spans="1:27" x14ac:dyDescent="0.2">
      <c r="A8" s="4" t="s">
        <v>18</v>
      </c>
      <c r="B8" s="16">
        <v>7</v>
      </c>
      <c r="C8" s="24">
        <v>2021</v>
      </c>
      <c r="D8" s="30">
        <v>1534362</v>
      </c>
      <c r="E8" s="25">
        <v>1.3051112514517436</v>
      </c>
      <c r="F8" s="28">
        <f t="shared" si="0"/>
        <v>1375123.3835457885</v>
      </c>
      <c r="G8" s="29">
        <v>1794689</v>
      </c>
      <c r="H8" s="31">
        <v>83231.934731934729</v>
      </c>
      <c r="I8" s="32">
        <v>8.8652366711943209</v>
      </c>
      <c r="J8" s="33">
        <f t="shared" si="1"/>
        <v>68315.265848216732</v>
      </c>
      <c r="K8" s="34">
        <v>605631</v>
      </c>
      <c r="L8" s="30">
        <v>19744.560000000001</v>
      </c>
      <c r="M8" s="32">
        <v>8.2294409194228688</v>
      </c>
      <c r="N8" s="33">
        <f t="shared" si="2"/>
        <v>13612.953917148538</v>
      </c>
      <c r="O8" s="34">
        <v>112027</v>
      </c>
      <c r="P8" s="36">
        <v>3895</v>
      </c>
      <c r="Q8" s="39">
        <v>35674</v>
      </c>
      <c r="R8" s="27">
        <v>0.13</v>
      </c>
      <c r="S8" s="14"/>
      <c r="T8" s="14"/>
      <c r="U8" s="14"/>
      <c r="V8" s="14"/>
      <c r="W8" s="14"/>
      <c r="X8" s="14"/>
      <c r="Y8" s="14"/>
      <c r="Z8" s="14"/>
      <c r="AA8" s="14"/>
    </row>
    <row r="9" spans="1:27" x14ac:dyDescent="0.2">
      <c r="A9" s="4" t="s">
        <v>18</v>
      </c>
      <c r="B9" s="16">
        <v>8</v>
      </c>
      <c r="C9" s="24">
        <v>2021</v>
      </c>
      <c r="D9" s="30">
        <v>1496435</v>
      </c>
      <c r="E9" s="25">
        <v>1.3215467360760742</v>
      </c>
      <c r="F9" s="28">
        <f t="shared" si="0"/>
        <v>1211642.3553467316</v>
      </c>
      <c r="G9" s="29">
        <v>1601242</v>
      </c>
      <c r="H9" s="31">
        <v>82112.250712250709</v>
      </c>
      <c r="I9" s="32">
        <v>8.8346421357047191</v>
      </c>
      <c r="J9" s="33">
        <f t="shared" si="1"/>
        <v>73688.666728102864</v>
      </c>
      <c r="K9" s="34">
        <v>651013</v>
      </c>
      <c r="L9" s="30">
        <v>20406.580000000002</v>
      </c>
      <c r="M9" s="32">
        <v>8.2140187135717984</v>
      </c>
      <c r="N9" s="33">
        <f t="shared" si="2"/>
        <v>12666.75955194615</v>
      </c>
      <c r="O9" s="34">
        <v>104045</v>
      </c>
      <c r="P9" s="36">
        <v>3844</v>
      </c>
      <c r="Q9" s="39">
        <v>37688</v>
      </c>
      <c r="R9" s="27">
        <v>0.13</v>
      </c>
      <c r="S9" s="14"/>
      <c r="T9" s="14"/>
      <c r="U9" s="14"/>
      <c r="V9" s="14"/>
      <c r="W9" s="14"/>
      <c r="X9" s="14"/>
      <c r="Y9" s="14"/>
      <c r="Z9" s="14"/>
      <c r="AA9" s="14"/>
    </row>
    <row r="10" spans="1:27" x14ac:dyDescent="0.2">
      <c r="A10" s="4" t="s">
        <v>18</v>
      </c>
      <c r="B10" s="16">
        <v>9</v>
      </c>
      <c r="C10" s="24">
        <v>2021</v>
      </c>
      <c r="D10" s="30">
        <v>1408719</v>
      </c>
      <c r="E10" s="25">
        <v>1.3201114913620104</v>
      </c>
      <c r="F10" s="28">
        <f t="shared" si="0"/>
        <v>1319676.4147568983</v>
      </c>
      <c r="G10" s="29">
        <v>1742120</v>
      </c>
      <c r="H10" s="31">
        <v>80211.784511784514</v>
      </c>
      <c r="I10" s="32">
        <v>9.0509074747406899</v>
      </c>
      <c r="J10" s="33">
        <f t="shared" si="1"/>
        <v>84140.955161163947</v>
      </c>
      <c r="K10" s="34">
        <v>761552</v>
      </c>
      <c r="L10" s="30">
        <v>16391.96</v>
      </c>
      <c r="M10" s="32">
        <v>8.3788802559303459</v>
      </c>
      <c r="N10" s="33">
        <f t="shared" si="2"/>
        <v>13908.541050878193</v>
      </c>
      <c r="O10" s="34">
        <v>116538</v>
      </c>
      <c r="P10" s="36">
        <v>3819</v>
      </c>
      <c r="Q10" s="31">
        <v>34024</v>
      </c>
      <c r="R10" s="26">
        <v>0.13</v>
      </c>
    </row>
    <row r="11" spans="1:27" x14ac:dyDescent="0.2">
      <c r="A11" s="4" t="s">
        <v>18</v>
      </c>
      <c r="B11" s="16">
        <v>10</v>
      </c>
      <c r="C11" s="24">
        <v>2021</v>
      </c>
      <c r="D11" s="30">
        <v>1344223.4</v>
      </c>
      <c r="E11" s="25">
        <v>1.3815508212697385</v>
      </c>
      <c r="F11" s="28">
        <f t="shared" si="0"/>
        <v>1118948.3413858262</v>
      </c>
      <c r="G11" s="29">
        <v>1545884</v>
      </c>
      <c r="H11" s="31">
        <v>86641.568919968922</v>
      </c>
      <c r="I11" s="32">
        <v>9.2304581416008702</v>
      </c>
      <c r="J11" s="33">
        <f t="shared" si="1"/>
        <v>86875.644491132844</v>
      </c>
      <c r="K11" s="34">
        <v>801902</v>
      </c>
      <c r="L11" s="30">
        <v>17547.671399999999</v>
      </c>
      <c r="M11" s="32">
        <v>8.3529765920964305</v>
      </c>
      <c r="N11" s="33">
        <f t="shared" si="2"/>
        <v>14213.136920835444</v>
      </c>
      <c r="O11" s="34">
        <v>118722</v>
      </c>
      <c r="P11" s="36">
        <v>4185</v>
      </c>
      <c r="Q11" s="31">
        <v>38214</v>
      </c>
      <c r="R11" s="26">
        <v>0.13</v>
      </c>
    </row>
    <row r="12" spans="1:27" x14ac:dyDescent="0.2">
      <c r="A12" s="4" t="s">
        <v>18</v>
      </c>
      <c r="B12" s="16">
        <v>11</v>
      </c>
      <c r="C12" s="24">
        <v>2021</v>
      </c>
      <c r="D12" s="30">
        <v>1140173</v>
      </c>
      <c r="E12" s="25">
        <v>1.4043279309367964</v>
      </c>
      <c r="F12" s="28">
        <f t="shared" si="0"/>
        <v>1016425.6998348071</v>
      </c>
      <c r="G12" s="29">
        <v>1427395</v>
      </c>
      <c r="H12" s="31">
        <v>96784.175084175091</v>
      </c>
      <c r="I12" s="32">
        <v>9.2433274264304259</v>
      </c>
      <c r="J12" s="33">
        <f t="shared" si="1"/>
        <v>92216.034407987201</v>
      </c>
      <c r="K12" s="34">
        <v>852383</v>
      </c>
      <c r="L12" s="30">
        <v>16730.509999999998</v>
      </c>
      <c r="M12" s="32">
        <v>8.3743543980428576</v>
      </c>
      <c r="N12" s="33">
        <f t="shared" si="2"/>
        <v>13796.765041016444</v>
      </c>
      <c r="O12" s="34">
        <v>115539</v>
      </c>
      <c r="P12" s="36">
        <v>4215</v>
      </c>
      <c r="Q12" s="31">
        <v>37849</v>
      </c>
      <c r="R12" s="26">
        <v>0.13</v>
      </c>
    </row>
    <row r="13" spans="1:27" x14ac:dyDescent="0.2">
      <c r="A13" s="4" t="s">
        <v>18</v>
      </c>
      <c r="B13" s="16">
        <v>12</v>
      </c>
      <c r="C13" s="24">
        <v>2021</v>
      </c>
      <c r="D13" s="30">
        <v>1079687</v>
      </c>
      <c r="E13" s="25">
        <v>1.4296723680103585</v>
      </c>
      <c r="F13" s="28">
        <f t="shared" si="0"/>
        <v>1209197.3228844516</v>
      </c>
      <c r="G13" s="29">
        <v>1728756</v>
      </c>
      <c r="H13" s="31">
        <v>121124.57912457913</v>
      </c>
      <c r="I13" s="32">
        <v>9.1325438486128867</v>
      </c>
      <c r="J13" s="33">
        <f t="shared" si="1"/>
        <v>123523.08608639645</v>
      </c>
      <c r="K13" s="34">
        <v>1128080</v>
      </c>
      <c r="L13" s="30">
        <v>19937.63</v>
      </c>
      <c r="M13" s="32">
        <v>8.3226501846006773</v>
      </c>
      <c r="N13" s="33">
        <f t="shared" si="2"/>
        <v>14208.935540605562</v>
      </c>
      <c r="O13" s="34">
        <v>118256</v>
      </c>
      <c r="P13" s="36">
        <v>4591</v>
      </c>
      <c r="Q13" s="31">
        <v>44016</v>
      </c>
      <c r="R13" s="26">
        <v>0.13</v>
      </c>
    </row>
    <row r="14" spans="1:27" x14ac:dyDescent="0.2">
      <c r="B14" s="5"/>
      <c r="C14" s="5"/>
      <c r="D14" s="5"/>
      <c r="E14" s="5"/>
      <c r="F14" s="5"/>
      <c r="G14" s="5"/>
      <c r="H14" s="5"/>
      <c r="J14" s="5"/>
      <c r="K14" s="5"/>
      <c r="L14" s="5"/>
      <c r="M14" s="5"/>
      <c r="N14" s="5"/>
      <c r="Q14" s="11"/>
    </row>
    <row r="15" spans="1:27" x14ac:dyDescent="0.2">
      <c r="B15" s="5"/>
      <c r="C15" s="5"/>
      <c r="D15" s="5"/>
      <c r="E15" s="5"/>
      <c r="F15" s="5"/>
      <c r="G15" s="5"/>
      <c r="H15" s="5"/>
      <c r="J15" s="5"/>
      <c r="K15" s="5"/>
      <c r="L15" s="5"/>
      <c r="M15" s="5"/>
      <c r="N15" s="5"/>
      <c r="Q15" s="11"/>
    </row>
    <row r="16" spans="1:27" x14ac:dyDescent="0.2">
      <c r="B16" s="5"/>
      <c r="C16" s="5"/>
      <c r="D16" s="5"/>
      <c r="E16" s="5"/>
      <c r="F16" s="5"/>
      <c r="G16" s="5"/>
      <c r="H16" s="5"/>
      <c r="J16" s="5"/>
      <c r="K16" s="5"/>
      <c r="L16" s="5"/>
      <c r="M16" s="5"/>
      <c r="N16" s="5"/>
      <c r="Q16" s="11"/>
    </row>
    <row r="17" spans="2:17" x14ac:dyDescent="0.2">
      <c r="B17" s="5"/>
      <c r="C17" s="5"/>
      <c r="D17" s="5"/>
      <c r="E17" s="5"/>
      <c r="F17" s="5"/>
      <c r="G17" s="5"/>
      <c r="H17" s="5"/>
      <c r="J17" s="5"/>
      <c r="K17" s="5"/>
      <c r="L17" s="5"/>
      <c r="M17" s="5"/>
      <c r="N17" s="5"/>
      <c r="Q17" s="11"/>
    </row>
    <row r="18" spans="2:17" x14ac:dyDescent="0.2">
      <c r="B18" s="5"/>
      <c r="C18" s="5"/>
      <c r="D18" s="5"/>
      <c r="E18" s="5"/>
      <c r="F18" s="5"/>
      <c r="G18" s="5"/>
      <c r="H18" s="5"/>
      <c r="J18" s="5"/>
      <c r="K18" s="5"/>
      <c r="L18" s="5"/>
      <c r="M18" s="5"/>
      <c r="N18" s="5"/>
      <c r="Q18" s="11"/>
    </row>
    <row r="19" spans="2:17" x14ac:dyDescent="0.2">
      <c r="B19" s="5"/>
      <c r="C19" s="5"/>
      <c r="D19" s="5"/>
      <c r="E19" s="5"/>
      <c r="F19" s="5"/>
      <c r="G19" s="5"/>
      <c r="H19" s="5"/>
      <c r="J19" s="5"/>
      <c r="K19" s="5"/>
      <c r="L19" s="5"/>
      <c r="M19" s="5"/>
      <c r="N19" s="5"/>
      <c r="Q19" s="11"/>
    </row>
    <row r="20" spans="2:17" x14ac:dyDescent="0.2">
      <c r="B20" s="5"/>
      <c r="C20" s="5"/>
      <c r="D20" s="5"/>
      <c r="E20" s="5"/>
      <c r="F20" s="5"/>
      <c r="G20" s="5"/>
      <c r="H20" s="5"/>
      <c r="J20" s="5"/>
      <c r="K20" s="5"/>
      <c r="L20" s="5"/>
      <c r="M20" s="5"/>
      <c r="N20" s="5"/>
      <c r="Q20" s="11"/>
    </row>
    <row r="21" spans="2:17" x14ac:dyDescent="0.2">
      <c r="B21" s="5"/>
      <c r="C21" s="5"/>
      <c r="D21" s="5"/>
      <c r="E21" s="5"/>
      <c r="F21" s="5"/>
      <c r="G21" s="5"/>
      <c r="H21" s="5"/>
      <c r="J21" s="5"/>
      <c r="K21" s="5"/>
      <c r="L21" s="5"/>
      <c r="M21" s="5"/>
      <c r="N21" s="5"/>
      <c r="Q21" s="11"/>
    </row>
    <row r="22" spans="2:17" x14ac:dyDescent="0.2">
      <c r="B22" s="5"/>
      <c r="C22" s="5"/>
      <c r="D22" s="5"/>
      <c r="E22" s="5"/>
      <c r="F22" s="5"/>
      <c r="G22" s="5"/>
      <c r="H22" s="5"/>
      <c r="J22" s="5"/>
      <c r="K22" s="5"/>
      <c r="L22" s="5"/>
      <c r="M22" s="5"/>
      <c r="N22" s="5"/>
      <c r="Q22" s="11"/>
    </row>
    <row r="23" spans="2:17" x14ac:dyDescent="0.2">
      <c r="B23" s="5"/>
      <c r="C23" s="5"/>
      <c r="D23" s="5"/>
      <c r="E23" s="5"/>
      <c r="F23" s="5"/>
      <c r="G23" s="5"/>
      <c r="H23" s="5"/>
      <c r="J23" s="5"/>
      <c r="K23" s="5"/>
      <c r="L23" s="5"/>
      <c r="M23" s="5"/>
      <c r="N23" s="5"/>
      <c r="Q23" s="11"/>
    </row>
    <row r="24" spans="2:17" x14ac:dyDescent="0.2">
      <c r="B24" s="5"/>
      <c r="C24" s="5"/>
      <c r="D24" s="5"/>
      <c r="E24" s="5"/>
      <c r="F24" s="5"/>
      <c r="G24" s="5"/>
      <c r="H24" s="5"/>
      <c r="J24" s="5"/>
      <c r="K24" s="5"/>
      <c r="L24" s="5"/>
      <c r="M24" s="5"/>
      <c r="N24" s="5"/>
      <c r="Q24" s="11"/>
    </row>
    <row r="25" spans="2:17" x14ac:dyDescent="0.2">
      <c r="B25" s="5"/>
      <c r="C25" s="5"/>
      <c r="D25" s="5"/>
      <c r="E25" s="5"/>
      <c r="F25" s="5"/>
      <c r="G25" s="5"/>
      <c r="H25" s="5"/>
      <c r="J25" s="5"/>
      <c r="K25" s="5"/>
      <c r="L25" s="5"/>
      <c r="M25" s="5"/>
      <c r="N25" s="5"/>
      <c r="Q25" s="11"/>
    </row>
    <row r="26" spans="2:17" x14ac:dyDescent="0.2">
      <c r="B26" s="5"/>
      <c r="C26" s="5"/>
      <c r="D26" s="5"/>
      <c r="E26" s="5"/>
      <c r="F26" s="5"/>
      <c r="G26" s="5"/>
      <c r="H26" s="5"/>
      <c r="J26" s="5"/>
      <c r="K26" s="5"/>
      <c r="L26" s="5"/>
      <c r="M26" s="5"/>
      <c r="N26" s="5"/>
      <c r="Q26" s="11"/>
    </row>
    <row r="27" spans="2:17" x14ac:dyDescent="0.2">
      <c r="B27" s="5"/>
      <c r="C27" s="5"/>
      <c r="D27" s="5"/>
      <c r="E27" s="5"/>
      <c r="F27" s="5"/>
      <c r="G27" s="5"/>
      <c r="H27" s="5"/>
      <c r="J27" s="5"/>
      <c r="K27" s="5"/>
      <c r="L27" s="5"/>
      <c r="M27" s="5"/>
      <c r="N27" s="5"/>
    </row>
    <row r="28" spans="2:17" x14ac:dyDescent="0.2">
      <c r="B28" s="5"/>
      <c r="C28" s="5"/>
      <c r="D28" s="5"/>
      <c r="E28" s="5"/>
      <c r="F28" s="5"/>
      <c r="G28" s="5"/>
      <c r="H28" s="5"/>
      <c r="J28" s="5"/>
      <c r="K28" s="5"/>
      <c r="L28" s="5"/>
      <c r="M28" s="5"/>
      <c r="N28" s="5"/>
    </row>
    <row r="29" spans="2:17" x14ac:dyDescent="0.2">
      <c r="B29" s="5"/>
      <c r="C29" s="5"/>
      <c r="D29" s="5"/>
      <c r="E29" s="5"/>
      <c r="F29" s="5"/>
      <c r="G29" s="5"/>
      <c r="H29" s="5"/>
      <c r="J29" s="5"/>
      <c r="K29" s="5"/>
      <c r="L29" s="5"/>
      <c r="M29" s="5"/>
      <c r="N29" s="5"/>
    </row>
    <row r="30" spans="2:17" x14ac:dyDescent="0.2">
      <c r="B30" s="5"/>
      <c r="C30" s="5"/>
      <c r="D30" s="5"/>
      <c r="E30" s="5"/>
      <c r="F30" s="5"/>
      <c r="G30" s="5"/>
      <c r="H30" s="5"/>
      <c r="J30" s="5"/>
      <c r="K30" s="5"/>
      <c r="L30" s="5"/>
      <c r="M30" s="5"/>
      <c r="N30" s="5"/>
    </row>
    <row r="31" spans="2:17" x14ac:dyDescent="0.2">
      <c r="B31" s="5"/>
      <c r="C31" s="5"/>
      <c r="D31" s="5"/>
      <c r="E31" s="5"/>
      <c r="F31" s="5"/>
      <c r="G31" s="5"/>
      <c r="H31" s="5"/>
      <c r="J31" s="5"/>
      <c r="K31" s="5"/>
      <c r="L31" s="5"/>
      <c r="M31" s="5"/>
      <c r="N31" s="5"/>
    </row>
    <row r="32" spans="2:17" x14ac:dyDescent="0.2">
      <c r="B32" s="5"/>
      <c r="C32" s="5"/>
      <c r="D32" s="5"/>
      <c r="E32" s="5"/>
      <c r="F32" s="5"/>
      <c r="G32" s="5"/>
      <c r="H32" s="5"/>
      <c r="J32" s="5"/>
      <c r="K32" s="5"/>
      <c r="L32" s="5"/>
      <c r="M32" s="5"/>
      <c r="N32" s="5"/>
    </row>
    <row r="33" spans="2:14" x14ac:dyDescent="0.2">
      <c r="B33" s="5"/>
      <c r="C33" s="5"/>
      <c r="D33" s="5"/>
      <c r="E33" s="5"/>
      <c r="F33" s="5"/>
      <c r="G33" s="5"/>
      <c r="H33" s="5"/>
      <c r="J33" s="5"/>
      <c r="K33" s="5"/>
      <c r="L33" s="5"/>
      <c r="M33" s="5"/>
      <c r="N33" s="5"/>
    </row>
    <row r="34" spans="2:14" x14ac:dyDescent="0.2">
      <c r="B34" s="5"/>
      <c r="C34" s="5"/>
      <c r="D34" s="5"/>
      <c r="E34" s="5"/>
      <c r="F34" s="5"/>
      <c r="G34" s="5"/>
      <c r="H34" s="5"/>
      <c r="J34" s="5"/>
      <c r="K34" s="5"/>
      <c r="L34" s="5"/>
      <c r="M34" s="5"/>
      <c r="N34" s="5"/>
    </row>
    <row r="35" spans="2:14" x14ac:dyDescent="0.2">
      <c r="B35" s="5"/>
      <c r="C35" s="5"/>
      <c r="D35" s="5"/>
      <c r="E35" s="5"/>
      <c r="F35" s="5"/>
      <c r="G35" s="5"/>
      <c r="H35" s="5"/>
      <c r="J35" s="5"/>
      <c r="K35" s="5"/>
      <c r="L35" s="5"/>
      <c r="M35" s="5"/>
      <c r="N35" s="5"/>
    </row>
    <row r="36" spans="2:14" x14ac:dyDescent="0.2">
      <c r="B36" s="5"/>
      <c r="C36" s="5"/>
      <c r="D36" s="5"/>
      <c r="E36" s="5"/>
      <c r="F36" s="5"/>
      <c r="G36" s="5"/>
      <c r="H36" s="5"/>
      <c r="J36" s="5"/>
      <c r="K36" s="5"/>
      <c r="L36" s="5"/>
      <c r="M36" s="5"/>
      <c r="N36" s="5"/>
    </row>
    <row r="37" spans="2:14" x14ac:dyDescent="0.2">
      <c r="B37" s="5"/>
      <c r="C37" s="5"/>
      <c r="D37" s="5"/>
      <c r="E37" s="5"/>
      <c r="F37" s="5"/>
      <c r="G37" s="5"/>
      <c r="H37" s="5"/>
      <c r="J37" s="5"/>
      <c r="K37" s="5"/>
      <c r="L37" s="5"/>
      <c r="M37" s="5"/>
      <c r="N37" s="5"/>
    </row>
    <row r="38" spans="2:14" x14ac:dyDescent="0.2">
      <c r="B38" s="5"/>
      <c r="C38" s="5"/>
      <c r="D38" s="5"/>
      <c r="E38" s="5"/>
      <c r="F38" s="5"/>
      <c r="G38" s="5"/>
      <c r="H38" s="5"/>
      <c r="J38" s="5"/>
      <c r="K38" s="5"/>
      <c r="L38" s="5"/>
      <c r="M38" s="5"/>
      <c r="N38" s="5"/>
    </row>
    <row r="39" spans="2:14" x14ac:dyDescent="0.2">
      <c r="B39" s="5"/>
      <c r="C39" s="5"/>
      <c r="D39" s="5"/>
      <c r="E39" s="5"/>
      <c r="F39" s="5"/>
      <c r="G39" s="5"/>
      <c r="H39" s="5"/>
      <c r="J39" s="5"/>
      <c r="K39" s="5"/>
      <c r="L39" s="5"/>
      <c r="M39" s="5"/>
      <c r="N39" s="5"/>
    </row>
    <row r="40" spans="2:14" x14ac:dyDescent="0.2">
      <c r="B40" s="5"/>
      <c r="C40" s="5"/>
      <c r="D40" s="5"/>
      <c r="E40" s="5"/>
      <c r="F40" s="5"/>
      <c r="G40" s="5"/>
      <c r="H40" s="5"/>
      <c r="J40" s="5"/>
      <c r="K40" s="5"/>
      <c r="L40" s="5"/>
      <c r="M40" s="5"/>
      <c r="N40" s="5"/>
    </row>
    <row r="41" spans="2:14" x14ac:dyDescent="0.2">
      <c r="B41" s="5"/>
      <c r="C41" s="5"/>
      <c r="D41" s="5"/>
      <c r="E41" s="5"/>
      <c r="F41" s="5"/>
      <c r="G41" s="5"/>
      <c r="H41" s="5"/>
      <c r="J41" s="5"/>
      <c r="K41" s="5"/>
      <c r="L41" s="5"/>
      <c r="M41" s="5"/>
      <c r="N41" s="5"/>
    </row>
    <row r="42" spans="2:14" x14ac:dyDescent="0.2">
      <c r="B42" s="5"/>
      <c r="C42" s="5"/>
      <c r="D42" s="5"/>
      <c r="E42" s="5"/>
      <c r="F42" s="5"/>
      <c r="G42" s="5"/>
      <c r="H42" s="5"/>
      <c r="J42" s="5"/>
      <c r="K42" s="5"/>
      <c r="L42" s="5"/>
      <c r="M42" s="5"/>
      <c r="N42" s="5"/>
    </row>
    <row r="43" spans="2:14" x14ac:dyDescent="0.2">
      <c r="B43" s="5"/>
      <c r="C43" s="5"/>
      <c r="D43" s="5"/>
      <c r="E43" s="5"/>
      <c r="F43" s="5"/>
      <c r="G43" s="5"/>
      <c r="H43" s="5"/>
      <c r="J43" s="5"/>
      <c r="K43" s="5"/>
      <c r="L43" s="5"/>
      <c r="M43" s="5"/>
      <c r="N43" s="5"/>
    </row>
    <row r="44" spans="2:14" x14ac:dyDescent="0.2">
      <c r="B44" s="5"/>
      <c r="C44" s="5"/>
      <c r="D44" s="5"/>
      <c r="E44" s="5"/>
      <c r="F44" s="5"/>
      <c r="G44" s="5"/>
      <c r="H44" s="5"/>
      <c r="J44" s="5"/>
      <c r="K44" s="5"/>
      <c r="L44" s="5"/>
      <c r="M44" s="5"/>
      <c r="N44" s="5"/>
    </row>
    <row r="45" spans="2:14" x14ac:dyDescent="0.2">
      <c r="B45" s="5"/>
      <c r="C45" s="5"/>
      <c r="D45" s="5"/>
      <c r="E45" s="5"/>
      <c r="F45" s="5"/>
      <c r="G45" s="5"/>
      <c r="H45" s="5"/>
      <c r="J45" s="5"/>
      <c r="K45" s="5"/>
      <c r="L45" s="5"/>
      <c r="M45" s="5"/>
      <c r="N45" s="5"/>
    </row>
    <row r="46" spans="2:14" x14ac:dyDescent="0.2">
      <c r="B46" s="5"/>
      <c r="C46" s="5"/>
      <c r="D46" s="5"/>
      <c r="E46" s="5"/>
      <c r="F46" s="5"/>
      <c r="G46" s="5"/>
      <c r="H46" s="5"/>
      <c r="J46" s="5"/>
      <c r="K46" s="5"/>
      <c r="L46" s="5"/>
      <c r="M46" s="5"/>
      <c r="N46" s="5"/>
    </row>
    <row r="47" spans="2:14" x14ac:dyDescent="0.2">
      <c r="B47" s="5"/>
      <c r="C47" s="5"/>
      <c r="D47" s="5"/>
      <c r="E47" s="5"/>
      <c r="F47" s="5"/>
      <c r="G47" s="5"/>
      <c r="H47" s="5"/>
      <c r="J47" s="5"/>
      <c r="K47" s="5"/>
      <c r="L47" s="5"/>
      <c r="M47" s="5"/>
      <c r="N47" s="5"/>
    </row>
    <row r="48" spans="2:14" x14ac:dyDescent="0.2">
      <c r="B48" s="5"/>
      <c r="C48" s="5"/>
      <c r="D48" s="5"/>
      <c r="E48" s="5"/>
      <c r="F48" s="5"/>
      <c r="G48" s="5"/>
      <c r="H48" s="5"/>
      <c r="J48" s="5"/>
      <c r="K48" s="5"/>
      <c r="L48" s="5"/>
      <c r="M48" s="5"/>
      <c r="N48" s="5"/>
    </row>
    <row r="49" spans="2:14" x14ac:dyDescent="0.2">
      <c r="B49" s="5"/>
      <c r="C49" s="5"/>
      <c r="D49" s="5"/>
      <c r="E49" s="5"/>
      <c r="F49" s="5"/>
      <c r="G49" s="5"/>
      <c r="H49" s="5"/>
      <c r="J49" s="5"/>
      <c r="K49" s="5"/>
      <c r="L49" s="5"/>
      <c r="M49" s="5"/>
      <c r="N49" s="5"/>
    </row>
    <row r="50" spans="2:14" x14ac:dyDescent="0.2">
      <c r="B50" s="5"/>
      <c r="C50" s="5"/>
      <c r="D50" s="5"/>
      <c r="E50" s="5"/>
      <c r="F50" s="5"/>
      <c r="G50" s="5"/>
      <c r="H50" s="5"/>
      <c r="J50" s="5"/>
      <c r="K50" s="5"/>
      <c r="L50" s="5"/>
      <c r="M50" s="5"/>
      <c r="N50" s="5"/>
    </row>
    <row r="51" spans="2:14" x14ac:dyDescent="0.2">
      <c r="B51" s="5"/>
      <c r="C51" s="5"/>
      <c r="D51" s="5"/>
      <c r="E51" s="5"/>
      <c r="F51" s="5"/>
      <c r="G51" s="5"/>
      <c r="H51" s="5"/>
      <c r="J51" s="5"/>
      <c r="K51" s="5"/>
      <c r="L51" s="5"/>
      <c r="M51" s="5"/>
      <c r="N51" s="5"/>
    </row>
    <row r="52" spans="2:14" x14ac:dyDescent="0.2">
      <c r="B52" s="5"/>
      <c r="C52" s="5"/>
      <c r="D52" s="5"/>
      <c r="E52" s="5"/>
      <c r="F52" s="5"/>
      <c r="G52" s="5"/>
      <c r="H52" s="5"/>
      <c r="J52" s="5"/>
      <c r="K52" s="5"/>
      <c r="L52" s="5"/>
      <c r="M52" s="5"/>
      <c r="N52" s="5"/>
    </row>
    <row r="53" spans="2:14" x14ac:dyDescent="0.2">
      <c r="B53" s="5"/>
      <c r="C53" s="5"/>
      <c r="D53" s="5"/>
      <c r="E53" s="5"/>
      <c r="F53" s="5"/>
      <c r="G53" s="5"/>
      <c r="H53" s="5"/>
      <c r="J53" s="5"/>
      <c r="K53" s="5"/>
      <c r="L53" s="5"/>
      <c r="M53" s="5"/>
      <c r="N53" s="5"/>
    </row>
    <row r="54" spans="2:14" x14ac:dyDescent="0.2">
      <c r="B54" s="5"/>
      <c r="C54" s="5"/>
      <c r="D54" s="5"/>
      <c r="E54" s="5"/>
      <c r="F54" s="5"/>
      <c r="G54" s="5"/>
      <c r="H54" s="5"/>
      <c r="J54" s="5"/>
      <c r="K54" s="5"/>
      <c r="L54" s="5"/>
      <c r="M54" s="5"/>
      <c r="N54" s="5"/>
    </row>
    <row r="55" spans="2:14" x14ac:dyDescent="0.2">
      <c r="B55" s="5"/>
      <c r="C55" s="5"/>
      <c r="D55" s="5"/>
      <c r="E55" s="5"/>
      <c r="F55" s="5"/>
      <c r="G55" s="5"/>
      <c r="H55" s="5"/>
      <c r="J55" s="5"/>
      <c r="K55" s="5"/>
      <c r="L55" s="5"/>
      <c r="M55" s="5"/>
      <c r="N55" s="5"/>
    </row>
    <row r="56" spans="2:14" x14ac:dyDescent="0.2">
      <c r="B56" s="5"/>
      <c r="C56" s="5"/>
      <c r="D56" s="5"/>
      <c r="E56" s="5"/>
      <c r="F56" s="5"/>
      <c r="G56" s="5"/>
      <c r="H56" s="5"/>
      <c r="J56" s="5"/>
      <c r="K56" s="5"/>
      <c r="L56" s="5"/>
      <c r="M56" s="5"/>
      <c r="N56" s="5"/>
    </row>
    <row r="57" spans="2:14" x14ac:dyDescent="0.2">
      <c r="B57" s="5"/>
      <c r="C57" s="5"/>
      <c r="D57" s="5"/>
      <c r="E57" s="5"/>
      <c r="F57" s="5"/>
      <c r="G57" s="5"/>
      <c r="H57" s="5"/>
      <c r="J57" s="5"/>
      <c r="K57" s="5"/>
      <c r="L57" s="5"/>
      <c r="M57" s="5"/>
      <c r="N57" s="5"/>
    </row>
    <row r="58" spans="2:14" x14ac:dyDescent="0.2">
      <c r="B58" s="5"/>
      <c r="C58" s="5"/>
      <c r="D58" s="5"/>
      <c r="E58" s="5"/>
      <c r="F58" s="5"/>
      <c r="G58" s="5"/>
      <c r="H58" s="5"/>
      <c r="J58" s="5"/>
      <c r="K58" s="5"/>
      <c r="L58" s="5"/>
      <c r="M58" s="5"/>
      <c r="N58" s="5"/>
    </row>
    <row r="59" spans="2:14" x14ac:dyDescent="0.2">
      <c r="B59" s="5"/>
      <c r="C59" s="5"/>
      <c r="D59" s="5"/>
      <c r="E59" s="5"/>
      <c r="F59" s="5"/>
      <c r="G59" s="5"/>
      <c r="H59" s="5"/>
      <c r="J59" s="5"/>
      <c r="K59" s="5"/>
      <c r="L59" s="5"/>
      <c r="M59" s="5"/>
      <c r="N59" s="5"/>
    </row>
    <row r="60" spans="2:14" x14ac:dyDescent="0.2">
      <c r="B60" s="5"/>
      <c r="C60" s="5"/>
      <c r="D60" s="5"/>
      <c r="E60" s="5"/>
      <c r="F60" s="5"/>
      <c r="G60" s="5"/>
      <c r="H60" s="5"/>
      <c r="J60" s="5"/>
      <c r="K60" s="5"/>
      <c r="L60" s="5"/>
      <c r="M60" s="5"/>
      <c r="N60" s="5"/>
    </row>
    <row r="61" spans="2:14" x14ac:dyDescent="0.2">
      <c r="B61" s="5"/>
      <c r="C61" s="5"/>
      <c r="D61" s="5"/>
      <c r="E61" s="5"/>
      <c r="F61" s="5"/>
      <c r="G61" s="5"/>
      <c r="H61" s="5"/>
      <c r="J61" s="5"/>
      <c r="K61" s="5"/>
      <c r="L61" s="5"/>
      <c r="M61" s="5"/>
      <c r="N61" s="5"/>
    </row>
    <row r="62" spans="2:14" x14ac:dyDescent="0.2">
      <c r="B62" s="5"/>
      <c r="C62" s="5"/>
      <c r="D62" s="5"/>
      <c r="E62" s="5"/>
      <c r="F62" s="5"/>
      <c r="G62" s="5"/>
      <c r="H62" s="5"/>
      <c r="J62" s="5"/>
      <c r="K62" s="5"/>
      <c r="L62" s="5"/>
      <c r="M62" s="5"/>
      <c r="N62" s="5"/>
    </row>
    <row r="63" spans="2:14" x14ac:dyDescent="0.2">
      <c r="B63" s="5"/>
      <c r="C63" s="5"/>
      <c r="D63" s="5"/>
      <c r="E63" s="5"/>
      <c r="F63" s="5"/>
      <c r="G63" s="5"/>
      <c r="H63" s="5"/>
      <c r="J63" s="5"/>
      <c r="K63" s="5"/>
      <c r="L63" s="5"/>
      <c r="M63" s="5"/>
      <c r="N63" s="5"/>
    </row>
    <row r="64" spans="2:14" x14ac:dyDescent="0.2">
      <c r="B64" s="5"/>
      <c r="C64" s="5"/>
      <c r="D64" s="5"/>
      <c r="E64" s="5"/>
      <c r="F64" s="5"/>
      <c r="G64" s="5"/>
      <c r="H64" s="5"/>
      <c r="J64" s="5"/>
      <c r="K64" s="5"/>
      <c r="L64" s="5"/>
      <c r="M64" s="5"/>
      <c r="N64" s="5"/>
    </row>
    <row r="65" spans="2:14" x14ac:dyDescent="0.2">
      <c r="B65" s="5"/>
      <c r="C65" s="5"/>
      <c r="D65" s="5"/>
      <c r="E65" s="5"/>
      <c r="F65" s="5"/>
      <c r="G65" s="5"/>
      <c r="H65" s="5"/>
      <c r="J65" s="5"/>
      <c r="K65" s="5"/>
      <c r="L65" s="5"/>
      <c r="M65" s="5"/>
      <c r="N65" s="5"/>
    </row>
    <row r="66" spans="2:14" x14ac:dyDescent="0.2">
      <c r="B66" s="5"/>
      <c r="C66" s="5"/>
      <c r="D66" s="5"/>
      <c r="E66" s="5"/>
      <c r="F66" s="5"/>
      <c r="G66" s="5"/>
      <c r="H66" s="5"/>
      <c r="J66" s="5"/>
      <c r="K66" s="5"/>
      <c r="L66" s="5"/>
      <c r="M66" s="5"/>
      <c r="N66" s="5"/>
    </row>
    <row r="67" spans="2:14" x14ac:dyDescent="0.2">
      <c r="B67" s="5"/>
      <c r="C67" s="5"/>
      <c r="D67" s="5"/>
      <c r="E67" s="5"/>
      <c r="F67" s="5"/>
      <c r="G67" s="5"/>
      <c r="H67" s="5"/>
      <c r="J67" s="5"/>
      <c r="K67" s="5"/>
      <c r="L67" s="5"/>
      <c r="M67" s="5"/>
      <c r="N67" s="5"/>
    </row>
    <row r="68" spans="2:14" x14ac:dyDescent="0.2">
      <c r="B68" s="5"/>
      <c r="C68" s="5"/>
      <c r="D68" s="5"/>
      <c r="E68" s="5"/>
      <c r="F68" s="5"/>
      <c r="G68" s="5"/>
      <c r="H68" s="5"/>
      <c r="J68" s="5"/>
      <c r="K68" s="5"/>
      <c r="L68" s="5"/>
      <c r="M68" s="5"/>
      <c r="N68" s="5"/>
    </row>
    <row r="69" spans="2:14" x14ac:dyDescent="0.2">
      <c r="B69" s="5"/>
      <c r="C69" s="5"/>
      <c r="D69" s="5"/>
      <c r="E69" s="5"/>
      <c r="F69" s="5"/>
      <c r="G69" s="5"/>
      <c r="H69" s="5"/>
      <c r="J69" s="5"/>
      <c r="K69" s="5"/>
      <c r="L69" s="5"/>
      <c r="M69" s="5"/>
      <c r="N69" s="5"/>
    </row>
    <row r="70" spans="2:14" x14ac:dyDescent="0.2">
      <c r="B70" s="5"/>
      <c r="C70" s="5"/>
      <c r="D70" s="5"/>
      <c r="E70" s="5"/>
      <c r="F70" s="5"/>
      <c r="G70" s="5"/>
      <c r="H70" s="5"/>
      <c r="J70" s="5"/>
      <c r="K70" s="5"/>
      <c r="L70" s="5"/>
      <c r="M70" s="5"/>
      <c r="N70" s="5"/>
    </row>
    <row r="71" spans="2:14" x14ac:dyDescent="0.2">
      <c r="B71" s="5"/>
      <c r="C71" s="5"/>
      <c r="D71" s="5"/>
      <c r="E71" s="5"/>
      <c r="F71" s="5"/>
      <c r="G71" s="5"/>
      <c r="H71" s="5"/>
      <c r="J71" s="5"/>
      <c r="K71" s="5"/>
      <c r="L71" s="5"/>
      <c r="M71" s="5"/>
      <c r="N71" s="5"/>
    </row>
    <row r="72" spans="2:14" x14ac:dyDescent="0.2">
      <c r="B72" s="5"/>
      <c r="C72" s="5"/>
      <c r="D72" s="5"/>
      <c r="E72" s="5"/>
      <c r="F72" s="5"/>
      <c r="G72" s="5"/>
      <c r="H72" s="5"/>
      <c r="J72" s="5"/>
      <c r="K72" s="5"/>
      <c r="L72" s="5"/>
      <c r="M72" s="5"/>
      <c r="N72" s="5"/>
    </row>
    <row r="73" spans="2:14" x14ac:dyDescent="0.2">
      <c r="B73" s="5"/>
      <c r="C73" s="5"/>
      <c r="D73" s="5"/>
      <c r="E73" s="5"/>
      <c r="F73" s="5"/>
      <c r="G73" s="5"/>
      <c r="H73" s="5"/>
      <c r="J73" s="5"/>
      <c r="K73" s="5"/>
      <c r="L73" s="5"/>
      <c r="M73" s="5"/>
      <c r="N73" s="5"/>
    </row>
    <row r="74" spans="2:14" x14ac:dyDescent="0.2">
      <c r="B74" s="5"/>
      <c r="C74" s="5"/>
      <c r="D74" s="5"/>
      <c r="E74" s="5"/>
      <c r="F74" s="5"/>
      <c r="G74" s="5"/>
      <c r="H74" s="5"/>
      <c r="J74" s="5"/>
      <c r="K74" s="5"/>
      <c r="L74" s="5"/>
      <c r="M74" s="5"/>
      <c r="N74" s="5"/>
    </row>
    <row r="75" spans="2:14" x14ac:dyDescent="0.2">
      <c r="B75" s="5"/>
      <c r="C75" s="5"/>
      <c r="D75" s="5"/>
      <c r="E75" s="5"/>
      <c r="F75" s="5"/>
      <c r="G75" s="5"/>
      <c r="H75" s="5"/>
      <c r="J75" s="5"/>
      <c r="K75" s="5"/>
      <c r="L75" s="5"/>
      <c r="M75" s="5"/>
      <c r="N75" s="5"/>
    </row>
    <row r="76" spans="2:14" x14ac:dyDescent="0.2">
      <c r="B76" s="5"/>
      <c r="C76" s="5"/>
      <c r="D76" s="5"/>
      <c r="E76" s="5"/>
      <c r="F76" s="5"/>
      <c r="G76" s="5"/>
      <c r="H76" s="5"/>
      <c r="J76" s="5"/>
      <c r="K76" s="5"/>
      <c r="L76" s="5"/>
      <c r="M76" s="5"/>
      <c r="N76" s="5"/>
    </row>
    <row r="77" spans="2:14" x14ac:dyDescent="0.2">
      <c r="B77" s="5"/>
      <c r="C77" s="5"/>
      <c r="D77" s="5"/>
      <c r="E77" s="5"/>
      <c r="F77" s="5"/>
      <c r="G77" s="5"/>
      <c r="H77" s="5"/>
      <c r="J77" s="5"/>
      <c r="K77" s="5"/>
      <c r="L77" s="5"/>
      <c r="M77" s="5"/>
      <c r="N77" s="5"/>
    </row>
    <row r="78" spans="2:14" x14ac:dyDescent="0.2">
      <c r="B78" s="5"/>
      <c r="C78" s="5"/>
      <c r="D78" s="5"/>
      <c r="E78" s="5"/>
      <c r="F78" s="5"/>
      <c r="G78" s="5"/>
      <c r="H78" s="5"/>
      <c r="J78" s="5"/>
      <c r="K78" s="5"/>
      <c r="L78" s="5"/>
      <c r="M78" s="5"/>
      <c r="N78" s="5"/>
    </row>
    <row r="79" spans="2:14" x14ac:dyDescent="0.2">
      <c r="B79" s="5"/>
      <c r="C79" s="5"/>
      <c r="D79" s="5"/>
      <c r="E79" s="5"/>
      <c r="F79" s="5"/>
      <c r="G79" s="5"/>
      <c r="H79" s="5"/>
      <c r="J79" s="5"/>
      <c r="K79" s="5"/>
      <c r="L79" s="5"/>
      <c r="M79" s="5"/>
      <c r="N79" s="5"/>
    </row>
    <row r="80" spans="2:14" x14ac:dyDescent="0.2">
      <c r="B80" s="5"/>
      <c r="C80" s="5"/>
      <c r="D80" s="5"/>
      <c r="E80" s="5"/>
      <c r="F80" s="5"/>
      <c r="G80" s="5"/>
      <c r="H80" s="5"/>
      <c r="J80" s="5"/>
      <c r="K80" s="5"/>
      <c r="L80" s="5"/>
      <c r="M80" s="5"/>
      <c r="N80" s="5"/>
    </row>
    <row r="81" spans="2:14" x14ac:dyDescent="0.2">
      <c r="B81" s="5"/>
      <c r="C81" s="5"/>
      <c r="D81" s="5"/>
      <c r="E81" s="5"/>
      <c r="F81" s="5"/>
      <c r="G81" s="5"/>
      <c r="H81" s="5"/>
      <c r="J81" s="5"/>
      <c r="K81" s="5"/>
      <c r="L81" s="5"/>
      <c r="M81" s="5"/>
      <c r="N81" s="5"/>
    </row>
    <row r="82" spans="2:14" x14ac:dyDescent="0.2">
      <c r="B82" s="5"/>
      <c r="C82" s="5"/>
      <c r="D82" s="5"/>
      <c r="E82" s="5"/>
      <c r="F82" s="5"/>
      <c r="G82" s="5"/>
      <c r="H82" s="5"/>
      <c r="J82" s="5"/>
      <c r="K82" s="5"/>
      <c r="L82" s="5"/>
      <c r="M82" s="5"/>
      <c r="N82" s="5"/>
    </row>
    <row r="83" spans="2:14" x14ac:dyDescent="0.2">
      <c r="B83" s="5"/>
      <c r="C83" s="5"/>
      <c r="D83" s="5"/>
      <c r="E83" s="5"/>
      <c r="F83" s="5"/>
      <c r="G83" s="5"/>
      <c r="H83" s="5"/>
      <c r="J83" s="5"/>
      <c r="K83" s="5"/>
      <c r="L83" s="5"/>
      <c r="M83" s="5"/>
      <c r="N83" s="5"/>
    </row>
    <row r="84" spans="2:14" x14ac:dyDescent="0.2">
      <c r="B84" s="5"/>
      <c r="C84" s="5"/>
      <c r="D84" s="5"/>
      <c r="E84" s="5"/>
      <c r="F84" s="5"/>
      <c r="G84" s="5"/>
      <c r="H84" s="5"/>
      <c r="J84" s="5"/>
      <c r="K84" s="5"/>
      <c r="L84" s="5"/>
      <c r="M84" s="5"/>
      <c r="N84" s="5"/>
    </row>
    <row r="85" spans="2:14" x14ac:dyDescent="0.2">
      <c r="B85" s="5"/>
      <c r="C85" s="5"/>
      <c r="D85" s="5"/>
      <c r="E85" s="5"/>
      <c r="F85" s="5"/>
      <c r="G85" s="5"/>
      <c r="H85" s="5"/>
      <c r="J85" s="5"/>
      <c r="K85" s="5"/>
      <c r="L85" s="5"/>
      <c r="M85" s="5"/>
      <c r="N85" s="5"/>
    </row>
    <row r="86" spans="2:14" x14ac:dyDescent="0.2">
      <c r="B86" s="5"/>
      <c r="C86" s="5"/>
      <c r="D86" s="5"/>
      <c r="E86" s="5"/>
      <c r="F86" s="5"/>
      <c r="G86" s="5"/>
      <c r="H86" s="5"/>
      <c r="J86" s="5"/>
      <c r="K86" s="5"/>
      <c r="L86" s="5"/>
      <c r="M86" s="5"/>
      <c r="N86" s="5"/>
    </row>
    <row r="87" spans="2:14" x14ac:dyDescent="0.2">
      <c r="B87" s="5"/>
      <c r="C87" s="5"/>
      <c r="D87" s="5"/>
      <c r="E87" s="5"/>
      <c r="F87" s="5"/>
      <c r="G87" s="5"/>
      <c r="H87" s="5"/>
      <c r="J87" s="5"/>
      <c r="K87" s="5"/>
      <c r="L87" s="5"/>
      <c r="M87" s="5"/>
      <c r="N87" s="5"/>
    </row>
    <row r="88" spans="2:14" x14ac:dyDescent="0.2">
      <c r="B88" s="5"/>
      <c r="C88" s="5"/>
      <c r="D88" s="5"/>
      <c r="E88" s="5"/>
      <c r="F88" s="5"/>
      <c r="G88" s="5"/>
      <c r="H88" s="5"/>
      <c r="J88" s="5"/>
      <c r="K88" s="5"/>
      <c r="L88" s="5"/>
      <c r="M88" s="5"/>
      <c r="N88" s="5"/>
    </row>
    <row r="89" spans="2:14" x14ac:dyDescent="0.2">
      <c r="B89" s="5"/>
      <c r="C89" s="5"/>
      <c r="D89" s="5"/>
      <c r="E89" s="5"/>
      <c r="F89" s="5"/>
      <c r="G89" s="5"/>
      <c r="H89" s="5"/>
      <c r="J89" s="5"/>
      <c r="K89" s="5"/>
      <c r="L89" s="5"/>
      <c r="M89" s="5"/>
      <c r="N89" s="5"/>
    </row>
    <row r="90" spans="2:14" x14ac:dyDescent="0.2">
      <c r="B90" s="5"/>
      <c r="C90" s="5"/>
      <c r="D90" s="5"/>
      <c r="E90" s="5"/>
      <c r="F90" s="5"/>
      <c r="G90" s="5"/>
      <c r="H90" s="5"/>
      <c r="J90" s="5"/>
      <c r="K90" s="5"/>
      <c r="L90" s="5"/>
      <c r="M90" s="5"/>
      <c r="N90" s="5"/>
    </row>
    <row r="91" spans="2:14" x14ac:dyDescent="0.2">
      <c r="B91" s="5"/>
      <c r="C91" s="5"/>
      <c r="D91" s="5"/>
      <c r="E91" s="5"/>
      <c r="F91" s="5"/>
      <c r="G91" s="5"/>
      <c r="H91" s="5"/>
      <c r="J91" s="5"/>
      <c r="K91" s="5"/>
      <c r="L91" s="5"/>
      <c r="M91" s="5"/>
      <c r="N91" s="5"/>
    </row>
    <row r="92" spans="2:14" x14ac:dyDescent="0.2">
      <c r="B92" s="5"/>
      <c r="C92" s="5"/>
      <c r="D92" s="5"/>
      <c r="E92" s="5"/>
      <c r="F92" s="5"/>
      <c r="G92" s="5"/>
      <c r="H92" s="5"/>
      <c r="J92" s="5"/>
      <c r="K92" s="5"/>
      <c r="L92" s="5"/>
      <c r="M92" s="5"/>
      <c r="N92" s="5"/>
    </row>
    <row r="93" spans="2:14" x14ac:dyDescent="0.2">
      <c r="B93" s="5"/>
      <c r="C93" s="5"/>
      <c r="D93" s="5"/>
      <c r="E93" s="5"/>
      <c r="F93" s="5"/>
      <c r="G93" s="5"/>
      <c r="H93" s="5"/>
      <c r="J93" s="5"/>
      <c r="K93" s="5"/>
      <c r="L93" s="5"/>
      <c r="M93" s="5"/>
      <c r="N93" s="5"/>
    </row>
    <row r="94" spans="2:14" x14ac:dyDescent="0.2">
      <c r="B94" s="5"/>
      <c r="C94" s="5"/>
      <c r="D94" s="5"/>
      <c r="E94" s="5"/>
      <c r="F94" s="5"/>
      <c r="G94" s="5"/>
      <c r="H94" s="5"/>
      <c r="J94" s="5"/>
      <c r="K94" s="5"/>
      <c r="L94" s="5"/>
      <c r="M94" s="5"/>
      <c r="N94" s="5"/>
    </row>
    <row r="95" spans="2:14" x14ac:dyDescent="0.2">
      <c r="B95" s="5"/>
      <c r="C95" s="5"/>
      <c r="D95" s="5"/>
      <c r="E95" s="5"/>
      <c r="F95" s="5"/>
      <c r="G95" s="5"/>
      <c r="H95" s="5"/>
      <c r="J95" s="5"/>
      <c r="K95" s="5"/>
      <c r="L95" s="5"/>
      <c r="M95" s="5"/>
      <c r="N95" s="5"/>
    </row>
    <row r="96" spans="2:14" x14ac:dyDescent="0.2">
      <c r="B96" s="5"/>
      <c r="C96" s="5"/>
      <c r="D96" s="5"/>
      <c r="E96" s="5"/>
      <c r="F96" s="5"/>
      <c r="G96" s="5"/>
      <c r="H96" s="5"/>
      <c r="J96" s="5"/>
      <c r="K96" s="5"/>
      <c r="L96" s="5"/>
      <c r="M96" s="5"/>
      <c r="N96" s="5"/>
    </row>
    <row r="97" spans="2:14" x14ac:dyDescent="0.2">
      <c r="B97" s="5"/>
      <c r="C97" s="5"/>
      <c r="D97" s="5"/>
      <c r="E97" s="5"/>
      <c r="F97" s="5"/>
      <c r="G97" s="5"/>
      <c r="H97" s="5"/>
      <c r="J97" s="5"/>
      <c r="K97" s="5"/>
      <c r="L97" s="5"/>
      <c r="M97" s="5"/>
      <c r="N97" s="5"/>
    </row>
    <row r="98" spans="2:14" x14ac:dyDescent="0.2">
      <c r="B98" s="5"/>
      <c r="C98" s="5"/>
      <c r="D98" s="5"/>
      <c r="E98" s="5"/>
      <c r="F98" s="5"/>
      <c r="G98" s="5"/>
      <c r="H98" s="5"/>
      <c r="J98" s="5"/>
      <c r="K98" s="5"/>
      <c r="L98" s="5"/>
      <c r="M98" s="5"/>
      <c r="N98" s="5"/>
    </row>
    <row r="99" spans="2:14" x14ac:dyDescent="0.2">
      <c r="B99" s="5"/>
      <c r="C99" s="5"/>
      <c r="D99" s="5"/>
      <c r="E99" s="5"/>
      <c r="F99" s="5"/>
      <c r="G99" s="5"/>
      <c r="H99" s="5"/>
      <c r="J99" s="5"/>
      <c r="K99" s="5"/>
      <c r="L99" s="5"/>
      <c r="M99" s="5"/>
      <c r="N99" s="5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99"/>
  <sheetViews>
    <sheetView workbookViewId="0">
      <selection activeCell="L15" sqref="L15"/>
    </sheetView>
  </sheetViews>
  <sheetFormatPr defaultColWidth="11.5703125" defaultRowHeight="12.75" x14ac:dyDescent="0.2"/>
  <cols>
    <col min="1" max="1" width="12.42578125" style="4" bestFit="1" customWidth="1"/>
    <col min="2" max="2" width="6.85546875" style="4" customWidth="1"/>
    <col min="3" max="3" width="13.42578125" style="4" customWidth="1"/>
    <col min="4" max="5" width="12.5703125" style="4" customWidth="1"/>
    <col min="6" max="6" width="15.5703125" style="4" customWidth="1"/>
    <col min="7" max="9" width="11.5703125" style="4"/>
    <col min="10" max="11" width="12.85546875" style="6" customWidth="1"/>
    <col min="12" max="16384" width="11.5703125" style="4"/>
  </cols>
  <sheetData>
    <row r="1" spans="1:30" s="15" customFormat="1" ht="51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/>
      <c r="G1" s="8" t="s">
        <v>5</v>
      </c>
      <c r="H1" s="8" t="s">
        <v>6</v>
      </c>
      <c r="I1" s="2" t="s">
        <v>7</v>
      </c>
      <c r="J1" s="3" t="s">
        <v>8</v>
      </c>
      <c r="K1" s="3"/>
      <c r="L1" s="8" t="s">
        <v>9</v>
      </c>
      <c r="M1" s="8" t="s">
        <v>10</v>
      </c>
      <c r="N1" s="2" t="s">
        <v>11</v>
      </c>
      <c r="O1" s="2" t="s">
        <v>12</v>
      </c>
      <c r="P1" s="2"/>
      <c r="Q1" s="8" t="s">
        <v>13</v>
      </c>
      <c r="R1" s="8" t="s">
        <v>14</v>
      </c>
      <c r="S1" s="2" t="s">
        <v>15</v>
      </c>
      <c r="T1" s="2" t="s">
        <v>16</v>
      </c>
      <c r="U1" s="1" t="s">
        <v>17</v>
      </c>
    </row>
    <row r="2" spans="1:30" x14ac:dyDescent="0.2">
      <c r="A2" s="4" t="s">
        <v>18</v>
      </c>
      <c r="B2" s="16">
        <v>1</v>
      </c>
      <c r="C2" s="16">
        <v>2021</v>
      </c>
      <c r="D2" s="5">
        <v>1095330</v>
      </c>
      <c r="E2" s="18">
        <v>1.2646999999999999</v>
      </c>
      <c r="F2" s="19">
        <f>D2*E2</f>
        <v>1385263.851</v>
      </c>
      <c r="G2" s="9">
        <f t="shared" ref="G2:G13" si="0">H2/E2</f>
        <v>1984842.2550802564</v>
      </c>
      <c r="H2" s="9">
        <v>2510230</v>
      </c>
      <c r="I2" s="5">
        <v>164682.67000000001</v>
      </c>
      <c r="J2" s="6">
        <v>8.2553000000000001</v>
      </c>
      <c r="K2" s="19">
        <f>I2*J2</f>
        <v>1359504.845651</v>
      </c>
      <c r="L2" s="9">
        <f>M2/J2</f>
        <v>218589.14878926266</v>
      </c>
      <c r="M2" s="9">
        <v>1804519</v>
      </c>
      <c r="N2" s="5">
        <v>18057.22</v>
      </c>
      <c r="O2" s="10">
        <v>8.2898999999999994</v>
      </c>
      <c r="P2" s="19">
        <f>N2*O2</f>
        <v>149692.54807799999</v>
      </c>
      <c r="Q2" s="9">
        <f>R2/O2</f>
        <v>23451.428847151354</v>
      </c>
      <c r="R2" s="9">
        <v>194410</v>
      </c>
      <c r="S2" s="5">
        <v>10903</v>
      </c>
      <c r="T2" s="4">
        <v>21198</v>
      </c>
      <c r="U2" s="4">
        <v>0.13</v>
      </c>
    </row>
    <row r="3" spans="1:30" x14ac:dyDescent="0.2">
      <c r="A3" s="4" t="s">
        <v>18</v>
      </c>
      <c r="B3" s="16">
        <v>2</v>
      </c>
      <c r="C3" s="16">
        <v>2021</v>
      </c>
      <c r="D3" s="5">
        <v>1547345</v>
      </c>
      <c r="E3" s="18">
        <v>1.2847999999999999</v>
      </c>
      <c r="F3" s="19">
        <f t="shared" ref="F3:F13" si="1">D3*E3</f>
        <v>1988028.8559999999</v>
      </c>
      <c r="G3" s="9">
        <f t="shared" si="0"/>
        <v>1611580.0124533002</v>
      </c>
      <c r="H3" s="9">
        <v>2070558</v>
      </c>
      <c r="I3" s="5">
        <v>130278.97</v>
      </c>
      <c r="J3" s="6">
        <v>8.5018999999999991</v>
      </c>
      <c r="K3" s="19">
        <f t="shared" ref="K3:K13" si="2">I3*J3</f>
        <v>1107618.775043</v>
      </c>
      <c r="L3" s="9">
        <f t="shared" ref="L3:L13" si="3">M3/J3</f>
        <v>151908.27932579778</v>
      </c>
      <c r="M3" s="9">
        <v>1291509</v>
      </c>
      <c r="N3" s="5">
        <v>18403</v>
      </c>
      <c r="O3" s="10">
        <v>8.3013999999999992</v>
      </c>
      <c r="P3" s="19">
        <f t="shared" ref="P3:P13" si="4">N3*O3</f>
        <v>152770.6642</v>
      </c>
      <c r="Q3" s="9">
        <f t="shared" ref="Q3:Q13" si="5">R3/O3</f>
        <v>17594.743055388248</v>
      </c>
      <c r="R3" s="9">
        <v>146061</v>
      </c>
      <c r="S3" s="5">
        <v>10906</v>
      </c>
      <c r="T3" s="5">
        <v>25887</v>
      </c>
      <c r="U3" s="4">
        <v>0.13</v>
      </c>
      <c r="V3" s="17"/>
      <c r="W3" s="17"/>
      <c r="X3" s="14"/>
      <c r="Y3" s="14"/>
    </row>
    <row r="4" spans="1:30" x14ac:dyDescent="0.2">
      <c r="A4" s="4" t="s">
        <v>18</v>
      </c>
      <c r="B4" s="16">
        <v>3</v>
      </c>
      <c r="C4" s="16">
        <v>2021</v>
      </c>
      <c r="D4" s="5">
        <v>1827515</v>
      </c>
      <c r="E4" s="18">
        <v>1.28</v>
      </c>
      <c r="F4" s="19">
        <f t="shared" si="1"/>
        <v>2339219.2000000002</v>
      </c>
      <c r="G4" s="9">
        <f t="shared" si="0"/>
        <v>1844343.75</v>
      </c>
      <c r="H4" s="9">
        <v>2360760</v>
      </c>
      <c r="I4" s="5">
        <v>129650</v>
      </c>
      <c r="J4" s="6">
        <v>8.7759</v>
      </c>
      <c r="K4" s="19">
        <f t="shared" si="2"/>
        <v>1137795.4350000001</v>
      </c>
      <c r="L4" s="9">
        <f t="shared" si="3"/>
        <v>153970.98873050057</v>
      </c>
      <c r="M4" s="9">
        <v>1351234</v>
      </c>
      <c r="N4" s="5">
        <v>19139.82</v>
      </c>
      <c r="O4" s="10">
        <v>8.3185000000000002</v>
      </c>
      <c r="P4" s="19">
        <f t="shared" si="4"/>
        <v>159214.59267000001</v>
      </c>
      <c r="Q4" s="9">
        <f t="shared" si="5"/>
        <v>20418.3446534832</v>
      </c>
      <c r="R4" s="9">
        <v>169850</v>
      </c>
      <c r="S4" s="5">
        <v>10606</v>
      </c>
      <c r="T4" s="5">
        <v>25699</v>
      </c>
      <c r="U4" s="14">
        <v>0.13</v>
      </c>
      <c r="V4" s="14"/>
      <c r="W4" s="14"/>
      <c r="X4" s="14"/>
      <c r="Y4" s="14"/>
      <c r="Z4" s="14"/>
    </row>
    <row r="5" spans="1:30" x14ac:dyDescent="0.2">
      <c r="A5" s="4" t="s">
        <v>18</v>
      </c>
      <c r="B5" s="16">
        <v>4</v>
      </c>
      <c r="C5" s="16">
        <v>2021</v>
      </c>
      <c r="D5" s="5">
        <v>2022132</v>
      </c>
      <c r="E5" s="18">
        <v>1.2803</v>
      </c>
      <c r="F5" s="19">
        <f t="shared" si="1"/>
        <v>2588935.5995999998</v>
      </c>
      <c r="G5" s="9">
        <f t="shared" si="0"/>
        <v>1765857.2209638366</v>
      </c>
      <c r="H5" s="9">
        <v>2260827</v>
      </c>
      <c r="I5" s="5">
        <v>137188.47</v>
      </c>
      <c r="J5" s="6">
        <v>8.5687999999999995</v>
      </c>
      <c r="K5" s="19">
        <f t="shared" si="2"/>
        <v>1175540.561736</v>
      </c>
      <c r="L5" s="9">
        <f t="shared" si="3"/>
        <v>137784.05377649146</v>
      </c>
      <c r="M5" s="9">
        <v>1180644</v>
      </c>
      <c r="N5" s="5">
        <v>21446.68</v>
      </c>
      <c r="O5" s="10">
        <v>8.2746999999999993</v>
      </c>
      <c r="P5" s="19">
        <f t="shared" si="4"/>
        <v>177464.84299599999</v>
      </c>
      <c r="Q5" s="9">
        <f t="shared" si="5"/>
        <v>17400.268287672061</v>
      </c>
      <c r="R5" s="9">
        <v>143982</v>
      </c>
      <c r="S5" s="11">
        <v>11254</v>
      </c>
      <c r="T5" s="11">
        <v>26988</v>
      </c>
      <c r="U5" s="14">
        <v>0.13</v>
      </c>
      <c r="V5" s="14"/>
      <c r="W5" s="14"/>
      <c r="X5" s="14"/>
      <c r="Y5" s="14"/>
      <c r="Z5" s="14"/>
      <c r="AA5" s="14"/>
    </row>
    <row r="6" spans="1:30" x14ac:dyDescent="0.2">
      <c r="A6" s="4" t="s">
        <v>18</v>
      </c>
      <c r="B6" s="16">
        <v>5</v>
      </c>
      <c r="C6" s="16">
        <v>2021</v>
      </c>
      <c r="D6" s="5">
        <v>2555216</v>
      </c>
      <c r="E6" s="18">
        <v>1.3024</v>
      </c>
      <c r="F6" s="19">
        <f t="shared" si="1"/>
        <v>3327913.3184000002</v>
      </c>
      <c r="G6" s="9">
        <f t="shared" si="0"/>
        <v>2254080.9275184274</v>
      </c>
      <c r="H6" s="9">
        <v>2935715</v>
      </c>
      <c r="I6" s="7">
        <v>134452.93965293965</v>
      </c>
      <c r="J6" s="13">
        <v>8.5851000000000006</v>
      </c>
      <c r="K6" s="19">
        <f t="shared" si="2"/>
        <v>1154291.9322144522</v>
      </c>
      <c r="L6" s="9">
        <f t="shared" si="3"/>
        <v>130876.63510034827</v>
      </c>
      <c r="M6" s="9">
        <v>1123589</v>
      </c>
      <c r="N6" s="5">
        <v>21905.53</v>
      </c>
      <c r="O6" s="12">
        <v>8.2973999999999997</v>
      </c>
      <c r="P6" s="19">
        <f t="shared" si="4"/>
        <v>181758.94462199998</v>
      </c>
      <c r="Q6" s="9">
        <f t="shared" si="5"/>
        <v>18979.921421168077</v>
      </c>
      <c r="R6" s="9">
        <v>157484</v>
      </c>
      <c r="S6" s="11">
        <v>11203</v>
      </c>
      <c r="T6" s="11">
        <v>27473</v>
      </c>
      <c r="U6" s="14">
        <v>0.13</v>
      </c>
      <c r="V6" s="14"/>
      <c r="W6" s="14"/>
      <c r="X6" s="14"/>
      <c r="Y6" s="14"/>
      <c r="Z6" s="14"/>
      <c r="AA6" s="14"/>
      <c r="AB6" s="14"/>
    </row>
    <row r="7" spans="1:30" x14ac:dyDescent="0.2">
      <c r="A7" s="4" t="s">
        <v>18</v>
      </c>
      <c r="B7" s="16">
        <v>6</v>
      </c>
      <c r="C7" s="16">
        <v>2021</v>
      </c>
      <c r="D7" s="5">
        <v>2547636</v>
      </c>
      <c r="E7" s="18">
        <v>1.3137000000000001</v>
      </c>
      <c r="F7" s="19">
        <f t="shared" si="1"/>
        <v>3346829.4132000003</v>
      </c>
      <c r="G7" s="9">
        <f t="shared" si="0"/>
        <v>2516745.8323818222</v>
      </c>
      <c r="H7" s="9">
        <v>3306249</v>
      </c>
      <c r="I7" s="5">
        <v>132271.85</v>
      </c>
      <c r="J7" s="6">
        <v>8.9313000000000002</v>
      </c>
      <c r="K7" s="19">
        <f t="shared" si="2"/>
        <v>1181359.573905</v>
      </c>
      <c r="L7" s="9">
        <f t="shared" si="3"/>
        <v>113866.51439320143</v>
      </c>
      <c r="M7" s="9">
        <v>1016976</v>
      </c>
      <c r="N7" s="5">
        <v>20370.759999999998</v>
      </c>
      <c r="O7" s="10">
        <v>8.2992000000000008</v>
      </c>
      <c r="P7" s="19">
        <f t="shared" si="4"/>
        <v>169061.01139200001</v>
      </c>
      <c r="Q7" s="9">
        <f t="shared" si="5"/>
        <v>19422.112974744552</v>
      </c>
      <c r="R7" s="9">
        <v>161188</v>
      </c>
      <c r="S7" s="11">
        <v>11469</v>
      </c>
      <c r="T7" s="11">
        <v>27406</v>
      </c>
      <c r="U7" s="14">
        <v>0.13</v>
      </c>
      <c r="V7" s="14"/>
      <c r="W7" s="14"/>
      <c r="X7" s="14"/>
      <c r="Y7" s="14"/>
      <c r="Z7" s="14"/>
      <c r="AA7" s="14"/>
      <c r="AB7" s="14"/>
      <c r="AC7" s="14"/>
      <c r="AD7" s="14"/>
    </row>
    <row r="8" spans="1:30" x14ac:dyDescent="0.2">
      <c r="A8" s="4" t="s">
        <v>18</v>
      </c>
      <c r="B8" s="16">
        <v>7</v>
      </c>
      <c r="C8" s="16">
        <v>2021</v>
      </c>
      <c r="D8" s="5">
        <v>2774514</v>
      </c>
      <c r="E8" s="18">
        <v>1.3051112514517436</v>
      </c>
      <c r="F8" s="19">
        <f t="shared" si="1"/>
        <v>3621049.4387103827</v>
      </c>
      <c r="G8" s="9">
        <f t="shared" si="0"/>
        <v>2566837.8816546174</v>
      </c>
      <c r="H8" s="9">
        <v>3350009</v>
      </c>
      <c r="I8" s="5">
        <v>135627.45402745402</v>
      </c>
      <c r="J8" s="6">
        <v>8.885322803125554</v>
      </c>
      <c r="K8" s="19">
        <f t="shared" si="2"/>
        <v>1205093.71</v>
      </c>
      <c r="L8" s="9">
        <f t="shared" si="3"/>
        <v>125116.55734206318</v>
      </c>
      <c r="M8" s="9">
        <v>1111701</v>
      </c>
      <c r="N8" s="5">
        <v>25503.079999999998</v>
      </c>
      <c r="O8" s="10">
        <v>8.2326357201937483</v>
      </c>
      <c r="P8" s="19">
        <f t="shared" si="4"/>
        <v>209957.56738295878</v>
      </c>
      <c r="Q8" s="9">
        <f t="shared" si="5"/>
        <v>14953.898627875</v>
      </c>
      <c r="R8" s="9">
        <v>123110</v>
      </c>
      <c r="S8" s="11">
        <v>12427</v>
      </c>
      <c r="T8" s="11">
        <v>35674</v>
      </c>
      <c r="U8" s="14">
        <v>0.13</v>
      </c>
      <c r="V8" s="14"/>
      <c r="W8" s="14"/>
      <c r="X8" s="14"/>
      <c r="Y8" s="14"/>
      <c r="Z8" s="14"/>
      <c r="AA8" s="14"/>
      <c r="AB8" s="14"/>
      <c r="AC8" s="14"/>
      <c r="AD8" s="14"/>
    </row>
    <row r="9" spans="1:30" x14ac:dyDescent="0.2">
      <c r="A9" s="4" t="s">
        <v>18</v>
      </c>
      <c r="B9" s="16">
        <v>8</v>
      </c>
      <c r="C9" s="16">
        <v>2021</v>
      </c>
      <c r="D9" s="5">
        <v>2703551</v>
      </c>
      <c r="E9" s="18">
        <v>1.3215467360760742</v>
      </c>
      <c r="F9" s="19">
        <f t="shared" si="1"/>
        <v>3572868.9998652064</v>
      </c>
      <c r="G9" s="9">
        <f t="shared" si="0"/>
        <v>2284156.8274481627</v>
      </c>
      <c r="H9" s="9">
        <v>3018620</v>
      </c>
      <c r="I9" s="5">
        <v>136538.25433825434</v>
      </c>
      <c r="J9" s="6">
        <v>8.8016500271257581</v>
      </c>
      <c r="K9" s="19">
        <f t="shared" si="2"/>
        <v>1201761.93</v>
      </c>
      <c r="L9" s="9">
        <f t="shared" si="3"/>
        <v>124987.58716940766</v>
      </c>
      <c r="M9" s="9">
        <v>1100097</v>
      </c>
      <c r="N9" s="5">
        <v>26225.460000000003</v>
      </c>
      <c r="O9" s="10">
        <v>8.2228387534614757</v>
      </c>
      <c r="P9" s="19">
        <f t="shared" si="4"/>
        <v>215647.72881535382</v>
      </c>
      <c r="Q9" s="9">
        <f t="shared" si="5"/>
        <v>17145.903528833016</v>
      </c>
      <c r="R9" s="9">
        <v>140988</v>
      </c>
      <c r="S9" s="11">
        <v>12155</v>
      </c>
      <c r="T9" s="11">
        <v>37688</v>
      </c>
      <c r="U9" s="14">
        <v>0.13</v>
      </c>
      <c r="V9" s="14"/>
      <c r="W9" s="14"/>
      <c r="X9" s="14"/>
      <c r="Y9" s="14"/>
      <c r="Z9" s="14"/>
      <c r="AA9" s="14"/>
      <c r="AB9" s="14"/>
      <c r="AC9" s="14"/>
      <c r="AD9" s="14"/>
    </row>
    <row r="10" spans="1:30" x14ac:dyDescent="0.2">
      <c r="A10" s="4" t="s">
        <v>18</v>
      </c>
      <c r="B10" s="16">
        <v>9</v>
      </c>
      <c r="C10" s="16">
        <v>2021</v>
      </c>
      <c r="D10" s="5">
        <v>2554939</v>
      </c>
      <c r="E10" s="18">
        <v>1.3201114913620104</v>
      </c>
      <c r="F10" s="19">
        <f t="shared" si="1"/>
        <v>3372804.3336289637</v>
      </c>
      <c r="G10" s="9">
        <f t="shared" si="0"/>
        <v>2355326.8192461687</v>
      </c>
      <c r="H10" s="9">
        <v>3109294</v>
      </c>
      <c r="I10" s="5">
        <v>130239.00543900544</v>
      </c>
      <c r="J10" s="6">
        <v>9.1111073522112243</v>
      </c>
      <c r="K10" s="19">
        <f t="shared" si="2"/>
        <v>1186621.56</v>
      </c>
      <c r="L10" s="9">
        <f t="shared" si="3"/>
        <v>139929.97236396116</v>
      </c>
      <c r="M10" s="9">
        <v>1274917</v>
      </c>
      <c r="N10" s="5">
        <v>21188.71</v>
      </c>
      <c r="O10" s="10">
        <v>8.3788802559303459</v>
      </c>
      <c r="P10" s="19">
        <f t="shared" si="4"/>
        <v>177537.66386763388</v>
      </c>
      <c r="Q10" s="9">
        <f t="shared" si="5"/>
        <v>18600.576119904821</v>
      </c>
      <c r="R10" s="9">
        <v>155852</v>
      </c>
      <c r="S10" s="11">
        <v>11341</v>
      </c>
      <c r="T10" s="11">
        <v>34024</v>
      </c>
      <c r="U10" s="4">
        <v>0.13</v>
      </c>
    </row>
    <row r="11" spans="1:30" x14ac:dyDescent="0.2">
      <c r="A11" s="4" t="s">
        <v>18</v>
      </c>
      <c r="B11" s="16">
        <v>10</v>
      </c>
      <c r="C11" s="16">
        <v>2021</v>
      </c>
      <c r="D11" s="5">
        <v>2410805</v>
      </c>
      <c r="E11" s="18">
        <v>1.3815999999999999</v>
      </c>
      <c r="F11" s="19">
        <f t="shared" si="1"/>
        <v>3330768.1880000001</v>
      </c>
      <c r="G11" s="9">
        <f t="shared" si="0"/>
        <v>2299852.3451071223</v>
      </c>
      <c r="H11" s="9">
        <v>3177476</v>
      </c>
      <c r="I11" s="5">
        <v>141050.14700854701</v>
      </c>
      <c r="J11" s="6">
        <v>9.2509999999999994</v>
      </c>
      <c r="K11" s="19">
        <f t="shared" si="2"/>
        <v>1304854.9099760682</v>
      </c>
      <c r="L11" s="9">
        <f t="shared" si="3"/>
        <v>161768.67365690196</v>
      </c>
      <c r="M11" s="9">
        <v>1496522</v>
      </c>
      <c r="N11" s="5">
        <v>22822.269800000002</v>
      </c>
      <c r="O11" s="10">
        <v>8.3529765920964305</v>
      </c>
      <c r="P11" s="19">
        <f t="shared" si="4"/>
        <v>190633.8854179093</v>
      </c>
      <c r="Q11" s="9">
        <f t="shared" si="5"/>
        <v>20355.378483986195</v>
      </c>
      <c r="R11" s="9">
        <v>170028</v>
      </c>
      <c r="S11" s="11">
        <v>12851</v>
      </c>
      <c r="T11" s="11">
        <v>38214</v>
      </c>
      <c r="U11" s="4">
        <v>0.13</v>
      </c>
    </row>
    <row r="12" spans="1:30" x14ac:dyDescent="0.2">
      <c r="A12" s="4" t="s">
        <v>18</v>
      </c>
      <c r="B12" s="16">
        <v>11</v>
      </c>
      <c r="C12" s="16">
        <v>2021</v>
      </c>
      <c r="D12" s="5">
        <v>2015986</v>
      </c>
      <c r="E12" s="18">
        <v>1.4043279309367964</v>
      </c>
      <c r="F12" s="19">
        <f t="shared" si="1"/>
        <v>2831105.4481775486</v>
      </c>
      <c r="G12" s="9">
        <f t="shared" si="0"/>
        <v>1995367.9893917274</v>
      </c>
      <c r="H12" s="9">
        <v>2802151</v>
      </c>
      <c r="I12" s="5">
        <v>157303.52240352239</v>
      </c>
      <c r="J12" s="6">
        <v>9.254790660475388</v>
      </c>
      <c r="K12" s="19">
        <f t="shared" si="2"/>
        <v>1455811.17</v>
      </c>
      <c r="L12" s="9">
        <f t="shared" si="3"/>
        <v>163894.68499572593</v>
      </c>
      <c r="M12" s="9">
        <v>1516811</v>
      </c>
      <c r="N12" s="5">
        <v>21946.68</v>
      </c>
      <c r="O12" s="10">
        <v>8.3743543980428576</v>
      </c>
      <c r="P12" s="19">
        <f t="shared" si="4"/>
        <v>183789.27618043922</v>
      </c>
      <c r="Q12" s="9">
        <f t="shared" si="5"/>
        <v>20276.548128854458</v>
      </c>
      <c r="R12" s="9">
        <v>169803</v>
      </c>
      <c r="S12" s="11">
        <v>13078</v>
      </c>
      <c r="T12" s="11">
        <v>37849</v>
      </c>
      <c r="U12" s="4">
        <v>0.13</v>
      </c>
    </row>
    <row r="13" spans="1:30" x14ac:dyDescent="0.2">
      <c r="A13" s="4" t="s">
        <v>18</v>
      </c>
      <c r="B13" s="16">
        <v>12</v>
      </c>
      <c r="C13" s="16">
        <v>2021</v>
      </c>
      <c r="D13" s="5">
        <v>1896081</v>
      </c>
      <c r="E13" s="18">
        <v>1.4296723680103585</v>
      </c>
      <c r="F13" s="19">
        <f t="shared" si="1"/>
        <v>2710774.6132094483</v>
      </c>
      <c r="G13" s="9">
        <f t="shared" si="0"/>
        <v>2090593.6680860189</v>
      </c>
      <c r="H13" s="9">
        <v>2988864</v>
      </c>
      <c r="I13" s="5">
        <v>188388.70758870759</v>
      </c>
      <c r="J13" s="6">
        <v>9.145125745866471</v>
      </c>
      <c r="K13" s="19">
        <f t="shared" si="2"/>
        <v>1722838.42</v>
      </c>
      <c r="L13" s="9">
        <f t="shared" si="3"/>
        <v>205108.16932701232</v>
      </c>
      <c r="M13" s="9">
        <v>1875740</v>
      </c>
      <c r="N13" s="5">
        <v>26077.41</v>
      </c>
      <c r="O13" s="10">
        <v>8.3226501846006773</v>
      </c>
      <c r="P13" s="19">
        <f t="shared" si="4"/>
        <v>217033.16115040754</v>
      </c>
      <c r="Q13" s="9">
        <f t="shared" si="5"/>
        <v>20385.814162167688</v>
      </c>
      <c r="R13" s="9">
        <v>169664</v>
      </c>
      <c r="S13" s="11">
        <v>14149</v>
      </c>
      <c r="T13" s="11">
        <v>44016</v>
      </c>
      <c r="U13" s="4">
        <v>0.13</v>
      </c>
    </row>
    <row r="14" spans="1:30" x14ac:dyDescent="0.2">
      <c r="B14" s="5"/>
      <c r="C14" s="5"/>
      <c r="D14" s="5"/>
      <c r="E14" s="5"/>
      <c r="F14" s="5"/>
      <c r="G14" s="5"/>
      <c r="H14" s="5"/>
      <c r="I14" s="5"/>
      <c r="K14" s="5"/>
      <c r="L14" s="5"/>
      <c r="M14" s="5"/>
      <c r="N14" s="5"/>
      <c r="O14" s="5"/>
      <c r="P14" s="5"/>
      <c r="Q14" s="5"/>
      <c r="T14" s="11"/>
    </row>
    <row r="15" spans="1:30" x14ac:dyDescent="0.2">
      <c r="B15" s="5"/>
      <c r="C15" s="5"/>
      <c r="D15" s="5">
        <f>SUM(D2:D14)</f>
        <v>25951050</v>
      </c>
      <c r="E15" s="18">
        <f>AVERAGE(E2:E13)</f>
        <v>1.3240224814864154</v>
      </c>
      <c r="F15" s="19">
        <f>SUM(F2:F14)</f>
        <v>34415561.259791553</v>
      </c>
      <c r="G15" s="5">
        <f>SUM(G2:G14)</f>
        <v>25569585.529331464</v>
      </c>
      <c r="H15" s="5">
        <f>SUM(H2:H14)</f>
        <v>33890753</v>
      </c>
      <c r="I15" s="5">
        <f>SUM(I2:I14)</f>
        <v>1717671.9904584303</v>
      </c>
      <c r="J15" s="18">
        <f>AVERAGE(J2:J13)</f>
        <v>8.8389413824003658</v>
      </c>
      <c r="K15" s="19">
        <f>SUM(K2:K14)</f>
        <v>15193092.823525522</v>
      </c>
      <c r="L15" s="5">
        <f>SUM(L2:L14)</f>
        <v>1827801.2649706744</v>
      </c>
      <c r="M15" s="5">
        <f>SUM(M2:M14)</f>
        <v>16144259</v>
      </c>
      <c r="N15" s="5">
        <f>SUM(N2:N14)</f>
        <v>263086.61979999999</v>
      </c>
      <c r="O15" s="18">
        <f>AVERAGE(O2:O13)</f>
        <v>8.3054529920271261</v>
      </c>
      <c r="P15" s="19">
        <f>SUM(P2:P14)</f>
        <v>2184561.8867727024</v>
      </c>
      <c r="Q15" s="5">
        <f>SUM(Q2:Q14)</f>
        <v>228984.93829122867</v>
      </c>
      <c r="R15" s="5">
        <f>SUM(R2:R14)</f>
        <v>1902420</v>
      </c>
      <c r="S15" s="5">
        <f>SUM(S2:S14)</f>
        <v>142342</v>
      </c>
      <c r="T15" s="11"/>
    </row>
    <row r="16" spans="1:30" x14ac:dyDescent="0.2">
      <c r="B16" s="5"/>
      <c r="C16" s="5"/>
      <c r="D16" s="5"/>
      <c r="E16" s="5"/>
      <c r="F16" s="5"/>
      <c r="G16" s="5"/>
      <c r="H16" s="5"/>
      <c r="I16" s="5"/>
      <c r="L16" s="5"/>
      <c r="M16" s="5"/>
      <c r="N16" s="5"/>
      <c r="O16" s="5"/>
      <c r="P16" s="5"/>
      <c r="Q16" s="5"/>
      <c r="T16" s="11"/>
    </row>
    <row r="17" spans="2:20" x14ac:dyDescent="0.2">
      <c r="B17" s="5"/>
      <c r="C17" s="5"/>
      <c r="D17" s="5"/>
      <c r="E17" s="18">
        <v>1.325</v>
      </c>
      <c r="F17" s="5"/>
      <c r="G17" s="5"/>
      <c r="H17" s="5"/>
      <c r="I17" s="5"/>
      <c r="L17" s="5"/>
      <c r="M17" s="5"/>
      <c r="N17" s="5"/>
      <c r="O17" s="5"/>
      <c r="P17" s="5"/>
      <c r="Q17" s="5"/>
      <c r="T17" s="11"/>
    </row>
    <row r="18" spans="2:20" x14ac:dyDescent="0.2">
      <c r="B18" s="5"/>
      <c r="C18" s="5"/>
      <c r="D18" s="5"/>
      <c r="E18" s="5"/>
      <c r="F18" s="5"/>
      <c r="G18" s="5"/>
      <c r="H18" s="5"/>
      <c r="I18" s="5"/>
      <c r="L18" s="5"/>
      <c r="M18" s="5"/>
      <c r="N18" s="5"/>
      <c r="O18" s="5"/>
      <c r="P18" s="5"/>
      <c r="Q18" s="5"/>
      <c r="T18" s="11"/>
    </row>
    <row r="19" spans="2:20" x14ac:dyDescent="0.2">
      <c r="B19" s="5"/>
      <c r="C19" s="5"/>
      <c r="D19" s="5"/>
      <c r="E19" s="5"/>
      <c r="F19" s="5"/>
      <c r="G19" s="5"/>
      <c r="H19" s="5"/>
      <c r="I19" s="5"/>
      <c r="L19" s="5"/>
      <c r="M19" s="5"/>
      <c r="N19" s="5"/>
      <c r="O19" s="5"/>
      <c r="P19" s="5"/>
      <c r="Q19" s="5"/>
      <c r="T19" s="11"/>
    </row>
    <row r="20" spans="2:20" x14ac:dyDescent="0.2">
      <c r="B20" s="5"/>
      <c r="C20" s="5"/>
      <c r="D20" s="5"/>
      <c r="E20" s="5"/>
      <c r="F20" s="5"/>
      <c r="G20" s="5"/>
      <c r="H20" s="5"/>
      <c r="I20" s="5"/>
      <c r="L20" s="5"/>
      <c r="M20" s="5"/>
      <c r="N20" s="5"/>
      <c r="O20" s="5"/>
      <c r="P20" s="5"/>
      <c r="Q20" s="5"/>
      <c r="T20" s="11"/>
    </row>
    <row r="21" spans="2:20" x14ac:dyDescent="0.2">
      <c r="B21" s="5"/>
      <c r="C21" s="5"/>
      <c r="D21" s="5"/>
      <c r="E21" s="5"/>
      <c r="F21" s="5"/>
      <c r="G21" s="5"/>
      <c r="H21" s="5"/>
      <c r="I21" s="5"/>
      <c r="L21" s="5"/>
      <c r="M21" s="5"/>
      <c r="N21" s="5"/>
      <c r="O21" s="5"/>
      <c r="P21" s="5"/>
      <c r="Q21" s="5"/>
      <c r="T21" s="11"/>
    </row>
    <row r="22" spans="2:20" x14ac:dyDescent="0.2">
      <c r="B22" s="5"/>
      <c r="C22" s="5"/>
      <c r="D22" s="5"/>
      <c r="E22" s="5"/>
      <c r="F22" s="5"/>
      <c r="G22" s="5"/>
      <c r="H22" s="5"/>
      <c r="I22" s="5"/>
      <c r="L22" s="5"/>
      <c r="M22" s="5"/>
      <c r="N22" s="5"/>
      <c r="O22" s="5"/>
      <c r="P22" s="5"/>
      <c r="Q22" s="5"/>
      <c r="T22" s="11"/>
    </row>
    <row r="23" spans="2:20" x14ac:dyDescent="0.2">
      <c r="B23" s="5"/>
      <c r="C23" s="5"/>
      <c r="D23" s="5"/>
      <c r="E23" s="5"/>
      <c r="F23" s="5"/>
      <c r="G23" s="5"/>
      <c r="H23" s="5"/>
      <c r="I23" s="5"/>
      <c r="L23" s="5"/>
      <c r="M23" s="5"/>
      <c r="N23" s="5"/>
      <c r="O23" s="5"/>
      <c r="P23" s="5"/>
      <c r="Q23" s="5"/>
      <c r="T23" s="11"/>
    </row>
    <row r="24" spans="2:20" x14ac:dyDescent="0.2">
      <c r="B24" s="5"/>
      <c r="C24" s="5"/>
      <c r="D24" s="5"/>
      <c r="E24" s="5"/>
      <c r="F24" s="5"/>
      <c r="G24" s="5"/>
      <c r="H24" s="5"/>
      <c r="I24" s="5"/>
      <c r="L24" s="5"/>
      <c r="M24" s="5"/>
      <c r="N24" s="5"/>
      <c r="O24" s="5"/>
      <c r="P24" s="5"/>
      <c r="Q24" s="5"/>
      <c r="T24" s="11"/>
    </row>
    <row r="25" spans="2:20" x14ac:dyDescent="0.2">
      <c r="B25" s="5"/>
      <c r="C25" s="5"/>
      <c r="D25" s="5"/>
      <c r="E25" s="5"/>
      <c r="F25" s="5"/>
      <c r="G25" s="5"/>
      <c r="H25" s="5"/>
      <c r="I25" s="5"/>
      <c r="L25" s="5"/>
      <c r="M25" s="5"/>
      <c r="N25" s="5"/>
      <c r="O25" s="5"/>
      <c r="P25" s="5"/>
      <c r="Q25" s="5"/>
      <c r="T25" s="11"/>
    </row>
    <row r="26" spans="2:20" x14ac:dyDescent="0.2">
      <c r="B26" s="5"/>
      <c r="C26" s="5"/>
      <c r="D26" s="5"/>
      <c r="E26" s="5"/>
      <c r="F26" s="5"/>
      <c r="G26" s="5"/>
      <c r="H26" s="5"/>
      <c r="I26" s="5"/>
      <c r="L26" s="5"/>
      <c r="M26" s="5"/>
      <c r="N26" s="5"/>
      <c r="O26" s="5"/>
      <c r="P26" s="5"/>
      <c r="Q26" s="5"/>
      <c r="T26" s="11"/>
    </row>
    <row r="27" spans="2:20" x14ac:dyDescent="0.2">
      <c r="B27" s="5"/>
      <c r="C27" s="5"/>
      <c r="D27" s="5"/>
      <c r="E27" s="5"/>
      <c r="F27" s="5"/>
      <c r="G27" s="5"/>
      <c r="H27" s="5"/>
      <c r="I27" s="5"/>
      <c r="L27" s="5"/>
      <c r="M27" s="5"/>
      <c r="N27" s="5"/>
      <c r="O27" s="5"/>
      <c r="P27" s="5"/>
      <c r="Q27" s="5"/>
    </row>
    <row r="28" spans="2:20" x14ac:dyDescent="0.2">
      <c r="B28" s="5"/>
      <c r="C28" s="5"/>
      <c r="D28" s="5"/>
      <c r="E28" s="5"/>
      <c r="F28" s="5"/>
      <c r="G28" s="5"/>
      <c r="H28" s="5"/>
      <c r="I28" s="5"/>
      <c r="L28" s="5"/>
      <c r="M28" s="5"/>
      <c r="N28" s="5"/>
      <c r="O28" s="5"/>
      <c r="P28" s="5"/>
      <c r="Q28" s="5"/>
    </row>
    <row r="29" spans="2:20" x14ac:dyDescent="0.2">
      <c r="B29" s="5"/>
      <c r="C29" s="5"/>
      <c r="D29" s="5"/>
      <c r="E29" s="5"/>
      <c r="F29" s="5"/>
      <c r="G29" s="5"/>
      <c r="H29" s="5"/>
      <c r="I29" s="5"/>
      <c r="L29" s="5"/>
      <c r="M29" s="5"/>
      <c r="N29" s="5"/>
      <c r="O29" s="5"/>
      <c r="P29" s="5"/>
      <c r="Q29" s="5"/>
    </row>
    <row r="30" spans="2:20" x14ac:dyDescent="0.2">
      <c r="B30" s="5"/>
      <c r="C30" s="5"/>
      <c r="D30" s="5"/>
      <c r="E30" s="5"/>
      <c r="F30" s="5"/>
      <c r="G30" s="5"/>
      <c r="H30" s="5"/>
      <c r="I30" s="5"/>
      <c r="L30" s="5"/>
      <c r="M30" s="5"/>
      <c r="N30" s="5"/>
      <c r="O30" s="5"/>
      <c r="P30" s="5"/>
      <c r="Q30" s="5"/>
    </row>
    <row r="31" spans="2:20" x14ac:dyDescent="0.2">
      <c r="B31" s="5"/>
      <c r="C31" s="5"/>
      <c r="D31" s="5"/>
      <c r="E31" s="5"/>
      <c r="F31" s="5"/>
      <c r="G31" s="5"/>
      <c r="H31" s="5"/>
      <c r="I31" s="5"/>
      <c r="L31" s="5"/>
      <c r="M31" s="5"/>
      <c r="N31" s="5"/>
      <c r="O31" s="5"/>
      <c r="P31" s="5"/>
      <c r="Q31" s="5"/>
    </row>
    <row r="32" spans="2:20" x14ac:dyDescent="0.2">
      <c r="B32" s="5"/>
      <c r="C32" s="5"/>
      <c r="D32" s="5"/>
      <c r="E32" s="5"/>
      <c r="F32" s="5"/>
      <c r="G32" s="5"/>
      <c r="H32" s="5"/>
      <c r="I32" s="5"/>
      <c r="L32" s="5"/>
      <c r="M32" s="5"/>
      <c r="N32" s="5"/>
      <c r="O32" s="5"/>
      <c r="P32" s="5"/>
      <c r="Q32" s="5"/>
    </row>
    <row r="33" spans="2:17" x14ac:dyDescent="0.2">
      <c r="B33" s="5"/>
      <c r="C33" s="5"/>
      <c r="D33" s="5"/>
      <c r="E33" s="5"/>
      <c r="F33" s="5"/>
      <c r="G33" s="5"/>
      <c r="H33" s="5"/>
      <c r="I33" s="5"/>
      <c r="L33" s="5"/>
      <c r="M33" s="5"/>
      <c r="N33" s="5"/>
      <c r="O33" s="5"/>
      <c r="P33" s="5"/>
      <c r="Q33" s="5"/>
    </row>
    <row r="34" spans="2:17" x14ac:dyDescent="0.2">
      <c r="B34" s="5"/>
      <c r="C34" s="5"/>
      <c r="D34" s="5"/>
      <c r="E34" s="5"/>
      <c r="F34" s="5"/>
      <c r="G34" s="5"/>
      <c r="H34" s="5"/>
      <c r="I34" s="5"/>
      <c r="L34" s="5"/>
      <c r="M34" s="5"/>
      <c r="N34" s="5"/>
      <c r="O34" s="5"/>
      <c r="P34" s="5"/>
      <c r="Q34" s="5"/>
    </row>
    <row r="35" spans="2:17" x14ac:dyDescent="0.2">
      <c r="B35" s="5"/>
      <c r="C35" s="5"/>
      <c r="D35" s="5"/>
      <c r="E35" s="5"/>
      <c r="F35" s="5"/>
      <c r="G35" s="5"/>
      <c r="H35" s="5"/>
      <c r="I35" s="5"/>
      <c r="L35" s="5"/>
      <c r="M35" s="5"/>
      <c r="N35" s="5"/>
      <c r="O35" s="5"/>
      <c r="P35" s="5"/>
      <c r="Q35" s="5"/>
    </row>
    <row r="36" spans="2:17" x14ac:dyDescent="0.2">
      <c r="B36" s="5"/>
      <c r="C36" s="5"/>
      <c r="D36" s="5"/>
      <c r="E36" s="5"/>
      <c r="F36" s="5"/>
      <c r="G36" s="5"/>
      <c r="H36" s="5"/>
      <c r="I36" s="5"/>
      <c r="L36" s="5"/>
      <c r="M36" s="5"/>
      <c r="N36" s="5"/>
      <c r="O36" s="5"/>
      <c r="P36" s="5"/>
      <c r="Q36" s="5"/>
    </row>
    <row r="37" spans="2:17" x14ac:dyDescent="0.2">
      <c r="B37" s="5"/>
      <c r="C37" s="5"/>
      <c r="D37" s="5"/>
      <c r="E37" s="5"/>
      <c r="F37" s="5"/>
      <c r="G37" s="5"/>
      <c r="H37" s="5"/>
      <c r="I37" s="5"/>
      <c r="L37" s="5"/>
      <c r="M37" s="5"/>
      <c r="N37" s="5"/>
      <c r="O37" s="5"/>
      <c r="P37" s="5"/>
      <c r="Q37" s="5"/>
    </row>
    <row r="38" spans="2:17" x14ac:dyDescent="0.2">
      <c r="B38" s="5"/>
      <c r="C38" s="5"/>
      <c r="D38" s="5"/>
      <c r="E38" s="5"/>
      <c r="F38" s="5"/>
      <c r="G38" s="5"/>
      <c r="H38" s="5"/>
      <c r="I38" s="5"/>
      <c r="L38" s="5"/>
      <c r="M38" s="5"/>
      <c r="N38" s="5"/>
      <c r="O38" s="5"/>
      <c r="P38" s="5"/>
      <c r="Q38" s="5"/>
    </row>
    <row r="39" spans="2:17" x14ac:dyDescent="0.2">
      <c r="B39" s="5"/>
      <c r="C39" s="5"/>
      <c r="D39" s="5"/>
      <c r="E39" s="5"/>
      <c r="F39" s="5"/>
      <c r="G39" s="5"/>
      <c r="H39" s="5"/>
      <c r="I39" s="5"/>
      <c r="L39" s="5"/>
      <c r="M39" s="5"/>
      <c r="N39" s="5"/>
      <c r="O39" s="5"/>
      <c r="P39" s="5"/>
      <c r="Q39" s="5"/>
    </row>
    <row r="40" spans="2:17" x14ac:dyDescent="0.2">
      <c r="B40" s="5"/>
      <c r="C40" s="5"/>
      <c r="D40" s="5"/>
      <c r="E40" s="5"/>
      <c r="F40" s="5"/>
      <c r="G40" s="5"/>
      <c r="H40" s="5"/>
      <c r="I40" s="5"/>
      <c r="L40" s="5"/>
      <c r="M40" s="5"/>
      <c r="N40" s="5"/>
      <c r="O40" s="5"/>
      <c r="P40" s="5"/>
      <c r="Q40" s="5"/>
    </row>
    <row r="41" spans="2:17" x14ac:dyDescent="0.2">
      <c r="B41" s="5"/>
      <c r="C41" s="5"/>
      <c r="D41" s="5"/>
      <c r="E41" s="5"/>
      <c r="F41" s="5"/>
      <c r="G41" s="5"/>
      <c r="H41" s="5"/>
      <c r="I41" s="5"/>
      <c r="L41" s="5"/>
      <c r="M41" s="5"/>
      <c r="N41" s="5"/>
      <c r="O41" s="5"/>
      <c r="P41" s="5"/>
      <c r="Q41" s="5"/>
    </row>
    <row r="42" spans="2:17" x14ac:dyDescent="0.2">
      <c r="B42" s="5"/>
      <c r="C42" s="5"/>
      <c r="D42" s="5"/>
      <c r="E42" s="5"/>
      <c r="F42" s="5"/>
      <c r="G42" s="5"/>
      <c r="H42" s="5"/>
      <c r="I42" s="5"/>
      <c r="L42" s="5"/>
      <c r="M42" s="5"/>
      <c r="N42" s="5"/>
      <c r="O42" s="5"/>
      <c r="P42" s="5"/>
      <c r="Q42" s="5"/>
    </row>
    <row r="43" spans="2:17" x14ac:dyDescent="0.2">
      <c r="B43" s="5"/>
      <c r="C43" s="5"/>
      <c r="D43" s="5"/>
      <c r="E43" s="5"/>
      <c r="F43" s="5"/>
      <c r="G43" s="5"/>
      <c r="H43" s="5"/>
      <c r="I43" s="5"/>
      <c r="L43" s="5"/>
      <c r="M43" s="5"/>
      <c r="N43" s="5"/>
      <c r="O43" s="5"/>
      <c r="P43" s="5"/>
      <c r="Q43" s="5"/>
    </row>
    <row r="44" spans="2:17" x14ac:dyDescent="0.2">
      <c r="B44" s="5"/>
      <c r="C44" s="5"/>
      <c r="D44" s="5"/>
      <c r="E44" s="5"/>
      <c r="F44" s="5"/>
      <c r="G44" s="5"/>
      <c r="H44" s="5"/>
      <c r="I44" s="5"/>
      <c r="L44" s="5"/>
      <c r="M44" s="5"/>
      <c r="N44" s="5"/>
      <c r="O44" s="5"/>
      <c r="P44" s="5"/>
      <c r="Q44" s="5"/>
    </row>
    <row r="45" spans="2:17" x14ac:dyDescent="0.2">
      <c r="B45" s="5"/>
      <c r="C45" s="5"/>
      <c r="D45" s="5"/>
      <c r="E45" s="5"/>
      <c r="F45" s="5"/>
      <c r="G45" s="5"/>
      <c r="H45" s="5"/>
      <c r="I45" s="5"/>
      <c r="L45" s="5"/>
      <c r="M45" s="5"/>
      <c r="N45" s="5"/>
      <c r="O45" s="5"/>
      <c r="P45" s="5"/>
      <c r="Q45" s="5"/>
    </row>
    <row r="46" spans="2:17" x14ac:dyDescent="0.2">
      <c r="B46" s="5"/>
      <c r="C46" s="5"/>
      <c r="D46" s="5"/>
      <c r="E46" s="5"/>
      <c r="F46" s="5"/>
      <c r="G46" s="5"/>
      <c r="H46" s="5"/>
      <c r="I46" s="5"/>
      <c r="L46" s="5"/>
      <c r="M46" s="5"/>
      <c r="N46" s="5"/>
      <c r="O46" s="5"/>
      <c r="P46" s="5"/>
      <c r="Q46" s="5"/>
    </row>
    <row r="47" spans="2:17" x14ac:dyDescent="0.2">
      <c r="B47" s="5"/>
      <c r="C47" s="5"/>
      <c r="D47" s="5"/>
      <c r="E47" s="5"/>
      <c r="F47" s="5"/>
      <c r="G47" s="5"/>
      <c r="H47" s="5"/>
      <c r="I47" s="5"/>
      <c r="L47" s="5"/>
      <c r="M47" s="5"/>
      <c r="N47" s="5"/>
      <c r="O47" s="5"/>
      <c r="P47" s="5"/>
      <c r="Q47" s="5"/>
    </row>
    <row r="48" spans="2:17" x14ac:dyDescent="0.2">
      <c r="B48" s="5"/>
      <c r="C48" s="5"/>
      <c r="D48" s="5"/>
      <c r="E48" s="5"/>
      <c r="F48" s="5"/>
      <c r="G48" s="5"/>
      <c r="H48" s="5"/>
      <c r="I48" s="5"/>
      <c r="L48" s="5"/>
      <c r="M48" s="5"/>
      <c r="N48" s="5"/>
      <c r="O48" s="5"/>
      <c r="P48" s="5"/>
      <c r="Q48" s="5"/>
    </row>
    <row r="49" spans="2:17" x14ac:dyDescent="0.2">
      <c r="B49" s="5"/>
      <c r="C49" s="5"/>
      <c r="D49" s="5"/>
      <c r="E49" s="5"/>
      <c r="F49" s="5"/>
      <c r="G49" s="5"/>
      <c r="H49" s="5"/>
      <c r="I49" s="5"/>
      <c r="L49" s="5"/>
      <c r="M49" s="5"/>
      <c r="N49" s="5"/>
      <c r="O49" s="5"/>
      <c r="P49" s="5"/>
      <c r="Q49" s="5"/>
    </row>
    <row r="50" spans="2:17" x14ac:dyDescent="0.2">
      <c r="B50" s="5"/>
      <c r="C50" s="5"/>
      <c r="D50" s="5"/>
      <c r="E50" s="5"/>
      <c r="F50" s="5"/>
      <c r="G50" s="5"/>
      <c r="H50" s="5"/>
      <c r="I50" s="5"/>
      <c r="L50" s="5"/>
      <c r="M50" s="5"/>
      <c r="N50" s="5"/>
      <c r="O50" s="5"/>
      <c r="P50" s="5"/>
      <c r="Q50" s="5"/>
    </row>
    <row r="51" spans="2:17" x14ac:dyDescent="0.2">
      <c r="B51" s="5"/>
      <c r="C51" s="5"/>
      <c r="D51" s="5"/>
      <c r="E51" s="5"/>
      <c r="F51" s="5"/>
      <c r="G51" s="5"/>
      <c r="H51" s="5"/>
      <c r="I51" s="5"/>
      <c r="L51" s="5"/>
      <c r="M51" s="5"/>
      <c r="N51" s="5"/>
      <c r="O51" s="5"/>
      <c r="P51" s="5"/>
      <c r="Q51" s="5"/>
    </row>
    <row r="52" spans="2:17" x14ac:dyDescent="0.2">
      <c r="B52" s="5"/>
      <c r="C52" s="5"/>
      <c r="D52" s="5"/>
      <c r="E52" s="5"/>
      <c r="F52" s="5"/>
      <c r="G52" s="5"/>
      <c r="H52" s="5"/>
      <c r="I52" s="5"/>
      <c r="L52" s="5"/>
      <c r="M52" s="5"/>
      <c r="N52" s="5"/>
      <c r="O52" s="5"/>
      <c r="P52" s="5"/>
      <c r="Q52" s="5"/>
    </row>
    <row r="53" spans="2:17" x14ac:dyDescent="0.2">
      <c r="B53" s="5"/>
      <c r="C53" s="5"/>
      <c r="D53" s="5"/>
      <c r="E53" s="5"/>
      <c r="F53" s="5"/>
      <c r="G53" s="5"/>
      <c r="H53" s="5"/>
      <c r="I53" s="5"/>
      <c r="L53" s="5"/>
      <c r="M53" s="5"/>
      <c r="N53" s="5"/>
      <c r="O53" s="5"/>
      <c r="P53" s="5"/>
      <c r="Q53" s="5"/>
    </row>
    <row r="54" spans="2:17" x14ac:dyDescent="0.2">
      <c r="B54" s="5"/>
      <c r="C54" s="5"/>
      <c r="D54" s="5"/>
      <c r="E54" s="5"/>
      <c r="F54" s="5"/>
      <c r="G54" s="5"/>
      <c r="H54" s="5"/>
      <c r="I54" s="5"/>
      <c r="L54" s="5"/>
      <c r="M54" s="5"/>
      <c r="N54" s="5"/>
      <c r="O54" s="5"/>
      <c r="P54" s="5"/>
      <c r="Q54" s="5"/>
    </row>
    <row r="55" spans="2:17" x14ac:dyDescent="0.2">
      <c r="B55" s="5"/>
      <c r="C55" s="5"/>
      <c r="D55" s="5"/>
      <c r="E55" s="5"/>
      <c r="F55" s="5"/>
      <c r="G55" s="5"/>
      <c r="H55" s="5"/>
      <c r="I55" s="5"/>
      <c r="L55" s="5"/>
      <c r="M55" s="5"/>
      <c r="N55" s="5"/>
      <c r="O55" s="5"/>
      <c r="P55" s="5"/>
      <c r="Q55" s="5"/>
    </row>
    <row r="56" spans="2:17" x14ac:dyDescent="0.2">
      <c r="B56" s="5"/>
      <c r="C56" s="5"/>
      <c r="D56" s="5"/>
      <c r="E56" s="5"/>
      <c r="F56" s="5"/>
      <c r="G56" s="5"/>
      <c r="H56" s="5"/>
      <c r="I56" s="5"/>
      <c r="L56" s="5"/>
      <c r="M56" s="5"/>
      <c r="N56" s="5"/>
      <c r="O56" s="5"/>
      <c r="P56" s="5"/>
      <c r="Q56" s="5"/>
    </row>
    <row r="57" spans="2:17" x14ac:dyDescent="0.2">
      <c r="B57" s="5"/>
      <c r="C57" s="5"/>
      <c r="D57" s="5"/>
      <c r="E57" s="5"/>
      <c r="F57" s="5"/>
      <c r="G57" s="5"/>
      <c r="H57" s="5"/>
      <c r="I57" s="5"/>
      <c r="L57" s="5"/>
      <c r="M57" s="5"/>
      <c r="N57" s="5"/>
      <c r="O57" s="5"/>
      <c r="P57" s="5"/>
      <c r="Q57" s="5"/>
    </row>
    <row r="58" spans="2:17" x14ac:dyDescent="0.2">
      <c r="B58" s="5"/>
      <c r="C58" s="5"/>
      <c r="D58" s="5"/>
      <c r="E58" s="5"/>
      <c r="F58" s="5"/>
      <c r="G58" s="5"/>
      <c r="H58" s="5"/>
      <c r="I58" s="5"/>
      <c r="L58" s="5"/>
      <c r="M58" s="5"/>
      <c r="N58" s="5"/>
      <c r="O58" s="5"/>
      <c r="P58" s="5"/>
      <c r="Q58" s="5"/>
    </row>
    <row r="59" spans="2:17" x14ac:dyDescent="0.2">
      <c r="B59" s="5"/>
      <c r="C59" s="5"/>
      <c r="D59" s="5"/>
      <c r="E59" s="5"/>
      <c r="F59" s="5"/>
      <c r="G59" s="5"/>
      <c r="H59" s="5"/>
      <c r="I59" s="5"/>
      <c r="L59" s="5"/>
      <c r="M59" s="5"/>
      <c r="N59" s="5"/>
      <c r="O59" s="5"/>
      <c r="P59" s="5"/>
      <c r="Q59" s="5"/>
    </row>
    <row r="60" spans="2:17" x14ac:dyDescent="0.2">
      <c r="B60" s="5"/>
      <c r="C60" s="5"/>
      <c r="D60" s="5"/>
      <c r="E60" s="5"/>
      <c r="F60" s="5"/>
      <c r="G60" s="5"/>
      <c r="H60" s="5"/>
      <c r="I60" s="5"/>
      <c r="L60" s="5"/>
      <c r="M60" s="5"/>
      <c r="N60" s="5"/>
      <c r="O60" s="5"/>
      <c r="P60" s="5"/>
      <c r="Q60" s="5"/>
    </row>
    <row r="61" spans="2:17" x14ac:dyDescent="0.2">
      <c r="B61" s="5"/>
      <c r="C61" s="5"/>
      <c r="D61" s="5"/>
      <c r="E61" s="5"/>
      <c r="F61" s="5"/>
      <c r="G61" s="5"/>
      <c r="H61" s="5"/>
      <c r="I61" s="5"/>
      <c r="L61" s="5"/>
      <c r="M61" s="5"/>
      <c r="N61" s="5"/>
      <c r="O61" s="5"/>
      <c r="P61" s="5"/>
      <c r="Q61" s="5"/>
    </row>
    <row r="62" spans="2:17" x14ac:dyDescent="0.2">
      <c r="B62" s="5"/>
      <c r="C62" s="5"/>
      <c r="D62" s="5"/>
      <c r="E62" s="5"/>
      <c r="F62" s="5"/>
      <c r="G62" s="5"/>
      <c r="H62" s="5"/>
      <c r="I62" s="5"/>
      <c r="L62" s="5"/>
      <c r="M62" s="5"/>
      <c r="N62" s="5"/>
      <c r="O62" s="5"/>
      <c r="P62" s="5"/>
      <c r="Q62" s="5"/>
    </row>
    <row r="63" spans="2:17" x14ac:dyDescent="0.2">
      <c r="B63" s="5"/>
      <c r="C63" s="5"/>
      <c r="D63" s="5"/>
      <c r="E63" s="5"/>
      <c r="F63" s="5"/>
      <c r="G63" s="5"/>
      <c r="H63" s="5"/>
      <c r="I63" s="5"/>
      <c r="L63" s="5"/>
      <c r="M63" s="5"/>
      <c r="N63" s="5"/>
      <c r="O63" s="5"/>
      <c r="P63" s="5"/>
      <c r="Q63" s="5"/>
    </row>
    <row r="64" spans="2:17" x14ac:dyDescent="0.2">
      <c r="B64" s="5"/>
      <c r="C64" s="5"/>
      <c r="D64" s="5"/>
      <c r="E64" s="5"/>
      <c r="F64" s="5"/>
      <c r="G64" s="5"/>
      <c r="H64" s="5"/>
      <c r="I64" s="5"/>
      <c r="L64" s="5"/>
      <c r="M64" s="5"/>
      <c r="N64" s="5"/>
      <c r="O64" s="5"/>
      <c r="P64" s="5"/>
      <c r="Q64" s="5"/>
    </row>
    <row r="65" spans="2:17" x14ac:dyDescent="0.2">
      <c r="B65" s="5"/>
      <c r="C65" s="5"/>
      <c r="D65" s="5"/>
      <c r="E65" s="5"/>
      <c r="F65" s="5"/>
      <c r="G65" s="5"/>
      <c r="H65" s="5"/>
      <c r="I65" s="5"/>
      <c r="L65" s="5"/>
      <c r="M65" s="5"/>
      <c r="N65" s="5"/>
      <c r="O65" s="5"/>
      <c r="P65" s="5"/>
      <c r="Q65" s="5"/>
    </row>
    <row r="66" spans="2:17" x14ac:dyDescent="0.2">
      <c r="B66" s="5"/>
      <c r="C66" s="5"/>
      <c r="D66" s="5"/>
      <c r="E66" s="5"/>
      <c r="F66" s="5"/>
      <c r="G66" s="5"/>
      <c r="H66" s="5"/>
      <c r="I66" s="5"/>
      <c r="L66" s="5"/>
      <c r="M66" s="5"/>
      <c r="N66" s="5"/>
      <c r="O66" s="5"/>
      <c r="P66" s="5"/>
      <c r="Q66" s="5"/>
    </row>
    <row r="67" spans="2:17" x14ac:dyDescent="0.2">
      <c r="B67" s="5"/>
      <c r="C67" s="5"/>
      <c r="D67" s="5"/>
      <c r="E67" s="5"/>
      <c r="F67" s="5"/>
      <c r="G67" s="5"/>
      <c r="H67" s="5"/>
      <c r="I67" s="5"/>
      <c r="L67" s="5"/>
      <c r="M67" s="5"/>
      <c r="N67" s="5"/>
      <c r="O67" s="5"/>
      <c r="P67" s="5"/>
      <c r="Q67" s="5"/>
    </row>
    <row r="68" spans="2:17" x14ac:dyDescent="0.2">
      <c r="B68" s="5"/>
      <c r="C68" s="5"/>
      <c r="D68" s="5"/>
      <c r="E68" s="5"/>
      <c r="F68" s="5"/>
      <c r="G68" s="5"/>
      <c r="H68" s="5"/>
      <c r="I68" s="5"/>
      <c r="L68" s="5"/>
      <c r="M68" s="5"/>
      <c r="N68" s="5"/>
      <c r="O68" s="5"/>
      <c r="P68" s="5"/>
      <c r="Q68" s="5"/>
    </row>
    <row r="69" spans="2:17" x14ac:dyDescent="0.2">
      <c r="B69" s="5"/>
      <c r="C69" s="5"/>
      <c r="D69" s="5"/>
      <c r="E69" s="5"/>
      <c r="F69" s="5"/>
      <c r="G69" s="5"/>
      <c r="H69" s="5"/>
      <c r="I69" s="5"/>
      <c r="L69" s="5"/>
      <c r="M69" s="5"/>
      <c r="N69" s="5"/>
      <c r="O69" s="5"/>
      <c r="P69" s="5"/>
      <c r="Q69" s="5"/>
    </row>
    <row r="70" spans="2:17" x14ac:dyDescent="0.2">
      <c r="B70" s="5"/>
      <c r="C70" s="5"/>
      <c r="D70" s="5"/>
      <c r="E70" s="5"/>
      <c r="F70" s="5"/>
      <c r="G70" s="5"/>
      <c r="H70" s="5"/>
      <c r="I70" s="5"/>
      <c r="L70" s="5"/>
      <c r="M70" s="5"/>
      <c r="N70" s="5"/>
      <c r="O70" s="5"/>
      <c r="P70" s="5"/>
      <c r="Q70" s="5"/>
    </row>
    <row r="71" spans="2:17" x14ac:dyDescent="0.2">
      <c r="B71" s="5"/>
      <c r="C71" s="5"/>
      <c r="D71" s="5"/>
      <c r="E71" s="5"/>
      <c r="F71" s="5"/>
      <c r="G71" s="5"/>
      <c r="H71" s="5"/>
      <c r="I71" s="5"/>
      <c r="L71" s="5"/>
      <c r="M71" s="5"/>
      <c r="N71" s="5"/>
      <c r="O71" s="5"/>
      <c r="P71" s="5"/>
      <c r="Q71" s="5"/>
    </row>
    <row r="72" spans="2:17" x14ac:dyDescent="0.2">
      <c r="B72" s="5"/>
      <c r="C72" s="5"/>
      <c r="D72" s="5"/>
      <c r="E72" s="5"/>
      <c r="F72" s="5"/>
      <c r="G72" s="5"/>
      <c r="H72" s="5"/>
      <c r="I72" s="5"/>
      <c r="L72" s="5"/>
      <c r="M72" s="5"/>
      <c r="N72" s="5"/>
      <c r="O72" s="5"/>
      <c r="P72" s="5"/>
      <c r="Q72" s="5"/>
    </row>
    <row r="73" spans="2:17" x14ac:dyDescent="0.2">
      <c r="B73" s="5"/>
      <c r="C73" s="5"/>
      <c r="D73" s="5"/>
      <c r="E73" s="5"/>
      <c r="F73" s="5"/>
      <c r="G73" s="5"/>
      <c r="H73" s="5"/>
      <c r="I73" s="5"/>
      <c r="L73" s="5"/>
      <c r="M73" s="5"/>
      <c r="N73" s="5"/>
      <c r="O73" s="5"/>
      <c r="P73" s="5"/>
      <c r="Q73" s="5"/>
    </row>
    <row r="74" spans="2:17" x14ac:dyDescent="0.2">
      <c r="B74" s="5"/>
      <c r="C74" s="5"/>
      <c r="D74" s="5"/>
      <c r="E74" s="5"/>
      <c r="F74" s="5"/>
      <c r="G74" s="5"/>
      <c r="H74" s="5"/>
      <c r="I74" s="5"/>
      <c r="L74" s="5"/>
      <c r="M74" s="5"/>
      <c r="N74" s="5"/>
      <c r="O74" s="5"/>
      <c r="P74" s="5"/>
      <c r="Q74" s="5"/>
    </row>
    <row r="75" spans="2:17" x14ac:dyDescent="0.2">
      <c r="B75" s="5"/>
      <c r="C75" s="5"/>
      <c r="D75" s="5"/>
      <c r="E75" s="5"/>
      <c r="F75" s="5"/>
      <c r="G75" s="5"/>
      <c r="H75" s="5"/>
      <c r="I75" s="5"/>
      <c r="L75" s="5"/>
      <c r="M75" s="5"/>
      <c r="N75" s="5"/>
      <c r="O75" s="5"/>
      <c r="P75" s="5"/>
      <c r="Q75" s="5"/>
    </row>
    <row r="76" spans="2:17" x14ac:dyDescent="0.2">
      <c r="B76" s="5"/>
      <c r="C76" s="5"/>
      <c r="D76" s="5"/>
      <c r="E76" s="5"/>
      <c r="F76" s="5"/>
      <c r="G76" s="5"/>
      <c r="H76" s="5"/>
      <c r="I76" s="5"/>
      <c r="L76" s="5"/>
      <c r="M76" s="5"/>
      <c r="N76" s="5"/>
      <c r="O76" s="5"/>
      <c r="P76" s="5"/>
      <c r="Q76" s="5"/>
    </row>
    <row r="77" spans="2:17" x14ac:dyDescent="0.2">
      <c r="B77" s="5"/>
      <c r="C77" s="5"/>
      <c r="D77" s="5"/>
      <c r="E77" s="5"/>
      <c r="F77" s="5"/>
      <c r="G77" s="5"/>
      <c r="H77" s="5"/>
      <c r="I77" s="5"/>
      <c r="L77" s="5"/>
      <c r="M77" s="5"/>
      <c r="N77" s="5"/>
      <c r="O77" s="5"/>
      <c r="P77" s="5"/>
      <c r="Q77" s="5"/>
    </row>
    <row r="78" spans="2:17" x14ac:dyDescent="0.2">
      <c r="B78" s="5"/>
      <c r="C78" s="5"/>
      <c r="D78" s="5"/>
      <c r="E78" s="5"/>
      <c r="F78" s="5"/>
      <c r="G78" s="5"/>
      <c r="H78" s="5"/>
      <c r="I78" s="5"/>
      <c r="L78" s="5"/>
      <c r="M78" s="5"/>
      <c r="N78" s="5"/>
      <c r="O78" s="5"/>
      <c r="P78" s="5"/>
      <c r="Q78" s="5"/>
    </row>
    <row r="79" spans="2:17" x14ac:dyDescent="0.2">
      <c r="B79" s="5"/>
      <c r="C79" s="5"/>
      <c r="D79" s="5"/>
      <c r="E79" s="5"/>
      <c r="F79" s="5"/>
      <c r="G79" s="5"/>
      <c r="H79" s="5"/>
      <c r="I79" s="5"/>
      <c r="L79" s="5"/>
      <c r="M79" s="5"/>
      <c r="N79" s="5"/>
      <c r="O79" s="5"/>
      <c r="P79" s="5"/>
      <c r="Q79" s="5"/>
    </row>
    <row r="80" spans="2:17" x14ac:dyDescent="0.2">
      <c r="B80" s="5"/>
      <c r="C80" s="5"/>
      <c r="D80" s="5"/>
      <c r="E80" s="5"/>
      <c r="F80" s="5"/>
      <c r="G80" s="5"/>
      <c r="H80" s="5"/>
      <c r="I80" s="5"/>
      <c r="L80" s="5"/>
      <c r="M80" s="5"/>
      <c r="N80" s="5"/>
      <c r="O80" s="5"/>
      <c r="P80" s="5"/>
      <c r="Q80" s="5"/>
    </row>
    <row r="81" spans="2:17" x14ac:dyDescent="0.2">
      <c r="B81" s="5"/>
      <c r="C81" s="5"/>
      <c r="D81" s="5"/>
      <c r="E81" s="5"/>
      <c r="F81" s="5"/>
      <c r="G81" s="5"/>
      <c r="H81" s="5"/>
      <c r="I81" s="5"/>
      <c r="L81" s="5"/>
      <c r="M81" s="5"/>
      <c r="N81" s="5"/>
      <c r="O81" s="5"/>
      <c r="P81" s="5"/>
      <c r="Q81" s="5"/>
    </row>
    <row r="82" spans="2:17" x14ac:dyDescent="0.2">
      <c r="B82" s="5"/>
      <c r="C82" s="5"/>
      <c r="D82" s="5"/>
      <c r="E82" s="5"/>
      <c r="F82" s="5"/>
      <c r="G82" s="5"/>
      <c r="H82" s="5"/>
      <c r="I82" s="5"/>
      <c r="L82" s="5"/>
      <c r="M82" s="5"/>
      <c r="N82" s="5"/>
      <c r="O82" s="5"/>
      <c r="P82" s="5"/>
      <c r="Q82" s="5"/>
    </row>
    <row r="83" spans="2:17" x14ac:dyDescent="0.2">
      <c r="B83" s="5"/>
      <c r="C83" s="5"/>
      <c r="D83" s="5"/>
      <c r="E83" s="5"/>
      <c r="F83" s="5"/>
      <c r="G83" s="5"/>
      <c r="H83" s="5"/>
      <c r="I83" s="5"/>
      <c r="L83" s="5"/>
      <c r="M83" s="5"/>
      <c r="N83" s="5"/>
      <c r="O83" s="5"/>
      <c r="P83" s="5"/>
      <c r="Q83" s="5"/>
    </row>
    <row r="84" spans="2:17" x14ac:dyDescent="0.2">
      <c r="B84" s="5"/>
      <c r="C84" s="5"/>
      <c r="D84" s="5"/>
      <c r="E84" s="5"/>
      <c r="F84" s="5"/>
      <c r="G84" s="5"/>
      <c r="H84" s="5"/>
      <c r="I84" s="5"/>
      <c r="L84" s="5"/>
      <c r="M84" s="5"/>
      <c r="N84" s="5"/>
      <c r="O84" s="5"/>
      <c r="P84" s="5"/>
      <c r="Q84" s="5"/>
    </row>
    <row r="85" spans="2:17" x14ac:dyDescent="0.2">
      <c r="B85" s="5"/>
      <c r="C85" s="5"/>
      <c r="D85" s="5"/>
      <c r="E85" s="5"/>
      <c r="F85" s="5"/>
      <c r="G85" s="5"/>
      <c r="H85" s="5"/>
      <c r="I85" s="5"/>
      <c r="L85" s="5"/>
      <c r="M85" s="5"/>
      <c r="N85" s="5"/>
      <c r="O85" s="5"/>
      <c r="P85" s="5"/>
      <c r="Q85" s="5"/>
    </row>
    <row r="86" spans="2:17" x14ac:dyDescent="0.2">
      <c r="B86" s="5"/>
      <c r="C86" s="5"/>
      <c r="D86" s="5"/>
      <c r="E86" s="5"/>
      <c r="F86" s="5"/>
      <c r="G86" s="5"/>
      <c r="H86" s="5"/>
      <c r="I86" s="5"/>
      <c r="L86" s="5"/>
      <c r="M86" s="5"/>
      <c r="N86" s="5"/>
      <c r="O86" s="5"/>
      <c r="P86" s="5"/>
      <c r="Q86" s="5"/>
    </row>
    <row r="87" spans="2:17" x14ac:dyDescent="0.2">
      <c r="B87" s="5"/>
      <c r="C87" s="5"/>
      <c r="D87" s="5"/>
      <c r="E87" s="5"/>
      <c r="F87" s="5"/>
      <c r="G87" s="5"/>
      <c r="H87" s="5"/>
      <c r="I87" s="5"/>
      <c r="L87" s="5"/>
      <c r="M87" s="5"/>
      <c r="N87" s="5"/>
      <c r="O87" s="5"/>
      <c r="P87" s="5"/>
      <c r="Q87" s="5"/>
    </row>
    <row r="88" spans="2:17" x14ac:dyDescent="0.2">
      <c r="B88" s="5"/>
      <c r="C88" s="5"/>
      <c r="D88" s="5"/>
      <c r="E88" s="5"/>
      <c r="F88" s="5"/>
      <c r="G88" s="5"/>
      <c r="H88" s="5"/>
      <c r="I88" s="5"/>
      <c r="L88" s="5"/>
      <c r="M88" s="5"/>
      <c r="N88" s="5"/>
      <c r="O88" s="5"/>
      <c r="P88" s="5"/>
      <c r="Q88" s="5"/>
    </row>
    <row r="89" spans="2:17" x14ac:dyDescent="0.2">
      <c r="B89" s="5"/>
      <c r="C89" s="5"/>
      <c r="D89" s="5"/>
      <c r="E89" s="5"/>
      <c r="F89" s="5"/>
      <c r="G89" s="5"/>
      <c r="H89" s="5"/>
      <c r="I89" s="5"/>
      <c r="L89" s="5"/>
      <c r="M89" s="5"/>
      <c r="N89" s="5"/>
      <c r="O89" s="5"/>
      <c r="P89" s="5"/>
      <c r="Q89" s="5"/>
    </row>
    <row r="90" spans="2:17" x14ac:dyDescent="0.2">
      <c r="B90" s="5"/>
      <c r="C90" s="5"/>
      <c r="D90" s="5"/>
      <c r="E90" s="5"/>
      <c r="F90" s="5"/>
      <c r="G90" s="5"/>
      <c r="H90" s="5"/>
      <c r="I90" s="5"/>
      <c r="L90" s="5"/>
      <c r="M90" s="5"/>
      <c r="N90" s="5"/>
      <c r="O90" s="5"/>
      <c r="P90" s="5"/>
      <c r="Q90" s="5"/>
    </row>
    <row r="91" spans="2:17" x14ac:dyDescent="0.2">
      <c r="B91" s="5"/>
      <c r="C91" s="5"/>
      <c r="D91" s="5"/>
      <c r="E91" s="5"/>
      <c r="F91" s="5"/>
      <c r="G91" s="5"/>
      <c r="H91" s="5"/>
      <c r="I91" s="5"/>
      <c r="L91" s="5"/>
      <c r="M91" s="5"/>
      <c r="N91" s="5"/>
      <c r="O91" s="5"/>
      <c r="P91" s="5"/>
      <c r="Q91" s="5"/>
    </row>
    <row r="92" spans="2:17" x14ac:dyDescent="0.2">
      <c r="B92" s="5"/>
      <c r="C92" s="5"/>
      <c r="D92" s="5"/>
      <c r="E92" s="5"/>
      <c r="F92" s="5"/>
      <c r="G92" s="5"/>
      <c r="H92" s="5"/>
      <c r="I92" s="5"/>
      <c r="L92" s="5"/>
      <c r="M92" s="5"/>
      <c r="N92" s="5"/>
      <c r="O92" s="5"/>
      <c r="P92" s="5"/>
      <c r="Q92" s="5"/>
    </row>
    <row r="93" spans="2:17" x14ac:dyDescent="0.2">
      <c r="B93" s="5"/>
      <c r="C93" s="5"/>
      <c r="D93" s="5"/>
      <c r="E93" s="5"/>
      <c r="F93" s="5"/>
      <c r="G93" s="5"/>
      <c r="H93" s="5"/>
      <c r="I93" s="5"/>
      <c r="L93" s="5"/>
      <c r="M93" s="5"/>
      <c r="N93" s="5"/>
      <c r="O93" s="5"/>
      <c r="P93" s="5"/>
      <c r="Q93" s="5"/>
    </row>
    <row r="94" spans="2:17" x14ac:dyDescent="0.2">
      <c r="B94" s="5"/>
      <c r="C94" s="5"/>
      <c r="D94" s="5"/>
      <c r="E94" s="5"/>
      <c r="F94" s="5"/>
      <c r="G94" s="5"/>
      <c r="H94" s="5"/>
      <c r="I94" s="5"/>
      <c r="L94" s="5"/>
      <c r="M94" s="5"/>
      <c r="N94" s="5"/>
      <c r="O94" s="5"/>
      <c r="P94" s="5"/>
      <c r="Q94" s="5"/>
    </row>
    <row r="95" spans="2:17" x14ac:dyDescent="0.2">
      <c r="B95" s="5"/>
      <c r="C95" s="5"/>
      <c r="D95" s="5"/>
      <c r="E95" s="5"/>
      <c r="F95" s="5"/>
      <c r="G95" s="5"/>
      <c r="H95" s="5"/>
      <c r="I95" s="5"/>
      <c r="L95" s="5"/>
      <c r="M95" s="5"/>
      <c r="N95" s="5"/>
      <c r="O95" s="5"/>
      <c r="P95" s="5"/>
      <c r="Q95" s="5"/>
    </row>
    <row r="96" spans="2:17" x14ac:dyDescent="0.2">
      <c r="B96" s="5"/>
      <c r="C96" s="5"/>
      <c r="D96" s="5"/>
      <c r="E96" s="5"/>
      <c r="F96" s="5"/>
      <c r="G96" s="5"/>
      <c r="H96" s="5"/>
      <c r="I96" s="5"/>
      <c r="L96" s="5"/>
      <c r="M96" s="5"/>
      <c r="N96" s="5"/>
      <c r="O96" s="5"/>
      <c r="P96" s="5"/>
      <c r="Q96" s="5"/>
    </row>
    <row r="97" spans="2:17" x14ac:dyDescent="0.2">
      <c r="B97" s="5"/>
      <c r="C97" s="5"/>
      <c r="D97" s="5"/>
      <c r="E97" s="5"/>
      <c r="F97" s="5"/>
      <c r="G97" s="5"/>
      <c r="H97" s="5"/>
      <c r="I97" s="5"/>
      <c r="L97" s="5"/>
      <c r="M97" s="5"/>
      <c r="N97" s="5"/>
      <c r="O97" s="5"/>
      <c r="P97" s="5"/>
      <c r="Q97" s="5"/>
    </row>
    <row r="98" spans="2:17" x14ac:dyDescent="0.2">
      <c r="B98" s="5"/>
      <c r="C98" s="5"/>
      <c r="D98" s="5"/>
      <c r="E98" s="5"/>
      <c r="F98" s="5"/>
      <c r="G98" s="5"/>
      <c r="H98" s="5"/>
      <c r="I98" s="5"/>
      <c r="L98" s="5"/>
      <c r="M98" s="5"/>
      <c r="N98" s="5"/>
      <c r="O98" s="5"/>
      <c r="P98" s="5"/>
      <c r="Q98" s="5"/>
    </row>
    <row r="99" spans="2:17" x14ac:dyDescent="0.2">
      <c r="B99" s="5"/>
      <c r="C99" s="5"/>
      <c r="D99" s="5"/>
      <c r="E99" s="5"/>
      <c r="F99" s="5"/>
      <c r="G99" s="5"/>
      <c r="H99" s="5"/>
      <c r="I99" s="5"/>
      <c r="L99" s="5"/>
      <c r="M99" s="5"/>
      <c r="N99" s="5"/>
      <c r="O99" s="5"/>
      <c r="P99" s="5"/>
      <c r="Q99" s="5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5703125" defaultRowHeight="12.75" x14ac:dyDescent="0.2"/>
  <sheetData/>
  <sheetProtection selectLockedCells="1" selectUnlockedCells="1"/>
  <pageMargins left="0.78749999999999998" right="0.78749999999999998" top="1.0527777777777778" bottom="1.0527777777777778" header="0.78749999999999998" footer="0.78749999999999998"/>
  <pageSetup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Savio Leung</cp:lastModifiedBy>
  <cp:revision/>
  <dcterms:created xsi:type="dcterms:W3CDTF">2016-09-19T10:41:46Z</dcterms:created>
  <dcterms:modified xsi:type="dcterms:W3CDTF">2022-04-08T09:11:58Z</dcterms:modified>
  <cp:category/>
  <cp:contentStatus/>
</cp:coreProperties>
</file>