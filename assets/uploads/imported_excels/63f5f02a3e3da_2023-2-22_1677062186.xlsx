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Oct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AZ18" i="7"/>
  <c r="BA18" i="7" s="1"/>
  <c r="AZ19" i="7"/>
  <c r="BA19" i="7" s="1"/>
  <c r="AZ20" i="7"/>
  <c r="BA20" i="7" s="1"/>
  <c r="AZ21" i="7"/>
  <c r="BA21" i="7" s="1"/>
  <c r="AZ22" i="7"/>
  <c r="BA22" i="7" s="1"/>
  <c r="AZ23" i="7"/>
  <c r="BA23" i="7" s="1"/>
  <c r="AZ24" i="7"/>
  <c r="BA24" i="7" s="1"/>
  <c r="AZ25" i="7"/>
  <c r="BA25" i="7" s="1"/>
  <c r="AZ26" i="7"/>
  <c r="BA26" i="7" s="1"/>
  <c r="AZ27" i="7"/>
  <c r="BA27" i="7" s="1"/>
  <c r="AZ28" i="7"/>
  <c r="BA28" i="7" s="1"/>
  <c r="AZ29" i="7"/>
  <c r="BA29" i="7" s="1"/>
  <c r="AZ30" i="7"/>
  <c r="BA30" i="7" s="1"/>
  <c r="AZ31" i="7"/>
  <c r="BA31" i="7" s="1"/>
  <c r="AZ32" i="7"/>
  <c r="BA32" i="7" s="1"/>
  <c r="AZ33" i="7"/>
  <c r="BA33" i="7" s="1"/>
  <c r="AZ34" i="7"/>
  <c r="BA34" i="7" s="1"/>
  <c r="AZ35" i="7"/>
  <c r="BA35" i="7" s="1"/>
  <c r="AZ36" i="7"/>
  <c r="BA36" i="7" s="1"/>
  <c r="AZ37" i="7"/>
  <c r="BA37" i="7" s="1"/>
  <c r="AZ38" i="7"/>
  <c r="AZ7" i="7"/>
  <c r="BA7" i="7" s="1"/>
  <c r="S23" i="9" l="1"/>
  <c r="BB28" i="7"/>
  <c r="S13" i="9"/>
  <c r="BB18" i="7"/>
  <c r="S31" i="9"/>
  <c r="BB36" i="7"/>
  <c r="S27" i="9"/>
  <c r="BB32" i="7"/>
  <c r="S19" i="9"/>
  <c r="BB24" i="7"/>
  <c r="S15" i="9"/>
  <c r="BB20" i="7"/>
  <c r="S11" i="9"/>
  <c r="BB16" i="7"/>
  <c r="S7" i="9"/>
  <c r="BB12" i="7"/>
  <c r="S3" i="9"/>
  <c r="BB8" i="7"/>
  <c r="S2" i="9"/>
  <c r="BA38" i="7"/>
  <c r="BB38" i="7" s="1"/>
  <c r="BB7" i="7"/>
  <c r="S30" i="9"/>
  <c r="BB35" i="7"/>
  <c r="S26" i="9"/>
  <c r="BB31" i="7"/>
  <c r="S22" i="9"/>
  <c r="BB27" i="7"/>
  <c r="S18" i="9"/>
  <c r="BB23" i="7"/>
  <c r="S14" i="9"/>
  <c r="BB19" i="7"/>
  <c r="S10" i="9"/>
  <c r="BB15" i="7"/>
  <c r="S6" i="9"/>
  <c r="BB11" i="7"/>
  <c r="S29" i="9"/>
  <c r="BB34" i="7"/>
  <c r="S25" i="9"/>
  <c r="BB30" i="7"/>
  <c r="S21" i="9"/>
  <c r="BB26" i="7"/>
  <c r="S17" i="9"/>
  <c r="BB22" i="7"/>
  <c r="S9" i="9"/>
  <c r="BB14" i="7"/>
  <c r="S5" i="9"/>
  <c r="BB10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<sst xmlns="http://schemas.openxmlformats.org/spreadsheetml/2006/main" count="139" uniqueCount="59">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</sst>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" fillId="0" borderId="11" xfId="0" quotePrefix="1" applyNumberFormat="1" applyFont="1" applyBorder="1"/>
    <xf numFmtId="0" fontId="0" fillId="5" borderId="2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Submetering!S2</f>
        <v>542.178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95</v>
      </c>
    </row>
    <row r="3" spans="1:11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Submetering!S3</f>
        <v>542.72400000000005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111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Submetering!S4</f>
        <v>518.154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93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Submetering!S5</f>
        <v>535.35299999999995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Submetering!S6</f>
        <v>496.041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122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Submetering!S7</f>
        <v>584.76599999999996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154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Submetering!S8</f>
        <v>544.90800000000002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148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Submetering!S9</f>
        <v>445.536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156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65410</v>
      </c>
      <c r="F10" s="11">
        <v>5.0000000000000001E-3</v>
      </c>
      <c r="G10" s="12">
        <f>Submetering!S10</f>
        <v>556.64699999999993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87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62350</v>
      </c>
      <c r="F11" s="11">
        <v>5.0000000000000001E-3</v>
      </c>
      <c r="G11" s="12">
        <f>Submetering!S11</f>
        <v>492.21899999999999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115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61530</v>
      </c>
      <c r="F12" s="11">
        <v>5.0000000000000001E-3</v>
      </c>
      <c r="G12" s="12">
        <f>Submetering!S12</f>
        <v>509.14499999999998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107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61760</v>
      </c>
      <c r="F13" s="11">
        <v>5.0000000000000001E-3</v>
      </c>
      <c r="G13" s="12">
        <f>Submetering!S13</f>
        <v>456.18300000000005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104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62510</v>
      </c>
      <c r="F14" s="11">
        <v>5.0000000000000001E-3</v>
      </c>
      <c r="G14" s="12">
        <f>Submetering!S14</f>
        <v>481.29900000000004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125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64160</v>
      </c>
      <c r="F15" s="11">
        <v>5.0000000000000001E-3</v>
      </c>
      <c r="G15" s="12">
        <f>Submetering!S15</f>
        <v>449.358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124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61750</v>
      </c>
      <c r="F16" s="11">
        <v>5.0000000000000001E-3</v>
      </c>
      <c r="G16" s="12">
        <f>Submetering!S16</f>
        <v>529.34699999999998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77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64840</v>
      </c>
      <c r="F17" s="11">
        <v>5.0000000000000001E-3</v>
      </c>
      <c r="G17" s="12">
        <f>Submetering!S17</f>
        <v>462.73500000000001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71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60560</v>
      </c>
      <c r="F18" s="11">
        <v>5.0000000000000001E-3</v>
      </c>
      <c r="G18" s="12">
        <f>Submetering!S18</f>
        <v>351.07799999999997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60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62640</v>
      </c>
      <c r="F19" s="11">
        <v>5.0000000000000001E-3</v>
      </c>
      <c r="G19" s="12">
        <f>Submetering!S19</f>
        <v>566.47500000000002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72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62100</v>
      </c>
      <c r="F20" s="11">
        <v>5.0000000000000001E-3</v>
      </c>
      <c r="G20" s="12">
        <f>Submetering!S20</f>
        <v>345.89100000000002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80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62840</v>
      </c>
      <c r="F21" s="11">
        <v>5.0000000000000001E-3</v>
      </c>
      <c r="G21" s="12">
        <f>Submetering!S21</f>
        <v>434.61599999999999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148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67160</v>
      </c>
      <c r="F22" s="11">
        <v>5.0000000000000001E-3</v>
      </c>
      <c r="G22" s="12">
        <f>Submetering!S22</f>
        <v>466.83000000000004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140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67530</v>
      </c>
      <c r="F23" s="11">
        <v>5.0000000000000001E-3</v>
      </c>
      <c r="G23" s="12">
        <f>Submetering!S23</f>
        <v>547.36500000000001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81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66280</v>
      </c>
      <c r="F24" s="11">
        <v>5.0000000000000001E-3</v>
      </c>
      <c r="G24" s="12">
        <f>Submetering!S24</f>
        <v>480.20699999999999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82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Submetering!S25</f>
        <v>503.685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78</v>
      </c>
    </row>
    <row r="26" spans="1:11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59010</v>
      </c>
      <c r="F26" s="11">
        <v>5.0000000000000001E-3</v>
      </c>
      <c r="G26" s="12">
        <f>Submetering!S26</f>
        <v>491.4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78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60010</v>
      </c>
      <c r="F27" s="11">
        <v>5.0000000000000001E-3</v>
      </c>
      <c r="G27" s="12">
        <f>Submetering!S27</f>
        <v>617.25300000000004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75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61850</v>
      </c>
      <c r="F28" s="11">
        <v>5.0000000000000001E-3</v>
      </c>
      <c r="G28" s="12">
        <f>Submetering!S28</f>
        <v>472.56299999999999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109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65730</v>
      </c>
      <c r="F29" s="11">
        <v>5.0000000000000001E-3</v>
      </c>
      <c r="G29" s="12">
        <f>Submetering!S29</f>
        <v>305.48700000000002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154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65430</v>
      </c>
      <c r="F30" s="11">
        <v>5.0000000000000001E-3</v>
      </c>
      <c r="G30" s="12">
        <f>Submetering!S30</f>
        <v>905.26799999999992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105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59760</v>
      </c>
      <c r="F31" s="11">
        <v>5.0000000000000001E-3</v>
      </c>
      <c r="G31" s="12">
        <f>Submetering!S31</f>
        <v>549.00299999999993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74</v>
      </c>
    </row>
    <row r="32" spans="1:11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62500</v>
      </c>
      <c r="F32" s="11">
        <v>5.0000000000000001E-3</v>
      </c>
      <c r="G32" s="12">
        <f>Submetering!S32</f>
        <v>631.44899999999996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Hotel!AT7</f>
        <v>0</v>
      </c>
      <c r="S2" s="4">
        <f>Hotel!BA7</f>
        <v>542.178</v>
      </c>
      <c r="T2" s="4">
        <f>Hotel!AX7</f>
        <v>0</v>
      </c>
      <c r="U2" s="4">
        <f>Hotel!B7</f>
        <v>95</v>
      </c>
    </row>
    <row r="3" spans="1:21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Hotel!AT8</f>
        <v>0</v>
      </c>
      <c r="S3" s="4">
        <f>Hotel!BA8</f>
        <v>542.72400000000005</v>
      </c>
      <c r="T3" s="4">
        <f>Hotel!AX8</f>
        <v>0</v>
      </c>
      <c r="U3" s="4">
        <f>Hotel!B8</f>
        <v>111</v>
      </c>
    </row>
    <row r="4" spans="1:21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Hotel!AT9</f>
        <v>0</v>
      </c>
      <c r="S4" s="4">
        <f>Hotel!BA9</f>
        <v>518.154</v>
      </c>
      <c r="T4" s="4">
        <f>Hotel!AX9</f>
        <v>0</v>
      </c>
      <c r="U4" s="4">
        <f>Hotel!B9</f>
        <v>93</v>
      </c>
    </row>
    <row r="5" spans="1:21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Hotel!AT10</f>
        <v>0</v>
      </c>
      <c r="S5" s="4">
        <f>Hotel!BA10</f>
        <v>535.35299999999995</v>
      </c>
      <c r="T5" s="4">
        <f>Hotel!AX10</f>
        <v>0</v>
      </c>
      <c r="U5" s="4">
        <f>Hotel!B10</f>
        <v>119</v>
      </c>
    </row>
    <row r="6" spans="1:21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Hotel!AT11</f>
        <v>0</v>
      </c>
      <c r="S6" s="4">
        <f>Hotel!BA11</f>
        <v>496.041</v>
      </c>
      <c r="T6" s="4">
        <f>Hotel!AX11</f>
        <v>0</v>
      </c>
      <c r="U6" s="4">
        <f>Hotel!B11</f>
        <v>122</v>
      </c>
    </row>
    <row r="7" spans="1:21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Hotel!AT12</f>
        <v>0</v>
      </c>
      <c r="S7" s="4">
        <f>Hotel!BA12</f>
        <v>584.76599999999996</v>
      </c>
      <c r="T7" s="4">
        <f>Hotel!AX12</f>
        <v>0</v>
      </c>
      <c r="U7" s="4">
        <f>Hotel!B12</f>
        <v>154</v>
      </c>
    </row>
    <row r="8" spans="1:21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Hotel!AT13</f>
        <v>0</v>
      </c>
      <c r="S8" s="4">
        <f>Hotel!BA13</f>
        <v>544.90800000000002</v>
      </c>
      <c r="T8" s="4">
        <f>Hotel!AX13</f>
        <v>0</v>
      </c>
      <c r="U8" s="4">
        <f>Hotel!B13</f>
        <v>148</v>
      </c>
    </row>
    <row r="9" spans="1:21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Hotel!AT14</f>
        <v>0</v>
      </c>
      <c r="S9" s="4">
        <f>Hotel!BA14</f>
        <v>445.536</v>
      </c>
      <c r="T9" s="4">
        <f>Hotel!AX14</f>
        <v>0</v>
      </c>
      <c r="U9" s="4">
        <f>Hotel!B14</f>
        <v>156</v>
      </c>
    </row>
    <row r="10" spans="1:21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1050</v>
      </c>
      <c r="F10" s="4">
        <f>Hotel!R15</f>
        <v>13800</v>
      </c>
      <c r="G10" s="4">
        <f>Hotel!S15</f>
        <v>3480</v>
      </c>
      <c r="H10" s="4">
        <f>Hotel!T15</f>
        <v>1670</v>
      </c>
      <c r="I10" s="4">
        <f>Hotel!U15</f>
        <v>5030</v>
      </c>
      <c r="J10" s="4">
        <f>Hotel!V15</f>
        <v>4510</v>
      </c>
      <c r="K10" s="4">
        <f>Hotel!W15</f>
        <v>3200</v>
      </c>
      <c r="L10" s="4">
        <f>Hotel!X15</f>
        <v>4480</v>
      </c>
      <c r="M10" s="4">
        <f>Hotel!Y15</f>
        <v>4980</v>
      </c>
      <c r="N10" s="4">
        <f>Hotel!Z15</f>
        <v>2760</v>
      </c>
      <c r="O10" s="4">
        <f>Hotel!AA15</f>
        <v>3280</v>
      </c>
      <c r="P10" s="4">
        <f>Hotel!AB15</f>
        <v>7220</v>
      </c>
      <c r="Q10" s="4">
        <f>Hotel!AC15</f>
        <v>9950</v>
      </c>
      <c r="R10" s="4">
        <f>Hotel!AT15</f>
        <v>0</v>
      </c>
      <c r="S10" s="4">
        <f>Hotel!BA15</f>
        <v>556.64699999999993</v>
      </c>
      <c r="T10" s="4">
        <f>Hotel!AX15</f>
        <v>0</v>
      </c>
      <c r="U10" s="4">
        <f>Hotel!B15</f>
        <v>87</v>
      </c>
    </row>
    <row r="11" spans="1:21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970</v>
      </c>
      <c r="F11" s="4">
        <f>Hotel!R16</f>
        <v>13390</v>
      </c>
      <c r="G11" s="4">
        <f>Hotel!S16</f>
        <v>3360</v>
      </c>
      <c r="H11" s="4">
        <f>Hotel!T16</f>
        <v>1580</v>
      </c>
      <c r="I11" s="4">
        <f>Hotel!U16</f>
        <v>4480</v>
      </c>
      <c r="J11" s="4">
        <f>Hotel!V16</f>
        <v>4080</v>
      </c>
      <c r="K11" s="4">
        <f>Hotel!W16</f>
        <v>3670</v>
      </c>
      <c r="L11" s="4">
        <f>Hotel!X16</f>
        <v>4520</v>
      </c>
      <c r="M11" s="4">
        <f>Hotel!Y16</f>
        <v>4840</v>
      </c>
      <c r="N11" s="4">
        <f>Hotel!Z16</f>
        <v>2470</v>
      </c>
      <c r="O11" s="4">
        <f>Hotel!AA16</f>
        <v>2930</v>
      </c>
      <c r="P11" s="4">
        <f>Hotel!AB16</f>
        <v>6650</v>
      </c>
      <c r="Q11" s="4">
        <f>Hotel!AC16</f>
        <v>9410</v>
      </c>
      <c r="R11" s="4">
        <f>Hotel!AT16</f>
        <v>0</v>
      </c>
      <c r="S11" s="4">
        <f>Hotel!BA16</f>
        <v>492.21899999999999</v>
      </c>
      <c r="T11" s="4">
        <f>Hotel!AX16</f>
        <v>0</v>
      </c>
      <c r="U11" s="4">
        <f>Hotel!B16</f>
        <v>115</v>
      </c>
    </row>
    <row r="12" spans="1:21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1020</v>
      </c>
      <c r="F12" s="4">
        <f>Hotel!R17</f>
        <v>12630</v>
      </c>
      <c r="G12" s="4">
        <f>Hotel!S17</f>
        <v>3030</v>
      </c>
      <c r="H12" s="4">
        <f>Hotel!T17</f>
        <v>1580</v>
      </c>
      <c r="I12" s="4">
        <f>Hotel!U17</f>
        <v>4410</v>
      </c>
      <c r="J12" s="4">
        <f>Hotel!V17</f>
        <v>4010</v>
      </c>
      <c r="K12" s="4">
        <f>Hotel!W17</f>
        <v>3130</v>
      </c>
      <c r="L12" s="4">
        <f>Hotel!X17</f>
        <v>4720</v>
      </c>
      <c r="M12" s="4">
        <f>Hotel!Y17</f>
        <v>4990</v>
      </c>
      <c r="N12" s="4">
        <f>Hotel!Z17</f>
        <v>2530</v>
      </c>
      <c r="O12" s="4">
        <f>Hotel!AA17</f>
        <v>2920</v>
      </c>
      <c r="P12" s="4">
        <f>Hotel!AB17</f>
        <v>6930</v>
      </c>
      <c r="Q12" s="4">
        <f>Hotel!AC17</f>
        <v>9630</v>
      </c>
      <c r="R12" s="4">
        <f>Hotel!AT17</f>
        <v>0</v>
      </c>
      <c r="S12" s="4">
        <f>Hotel!BA17</f>
        <v>509.14499999999998</v>
      </c>
      <c r="T12" s="4">
        <f>Hotel!AX17</f>
        <v>0</v>
      </c>
      <c r="U12" s="4">
        <f>Hotel!B17</f>
        <v>107</v>
      </c>
    </row>
    <row r="13" spans="1:21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930</v>
      </c>
      <c r="F13" s="4">
        <f>Hotel!R18</f>
        <v>12550</v>
      </c>
      <c r="G13" s="4">
        <f>Hotel!S18</f>
        <v>2420</v>
      </c>
      <c r="H13" s="4">
        <f>Hotel!T18</f>
        <v>1560</v>
      </c>
      <c r="I13" s="4">
        <f>Hotel!U18</f>
        <v>4390</v>
      </c>
      <c r="J13" s="4">
        <f>Hotel!V18</f>
        <v>3990</v>
      </c>
      <c r="K13" s="4">
        <f>Hotel!W18</f>
        <v>3130</v>
      </c>
      <c r="L13" s="4">
        <f>Hotel!X18</f>
        <v>4630</v>
      </c>
      <c r="M13" s="4">
        <f>Hotel!Y18</f>
        <v>5020</v>
      </c>
      <c r="N13" s="4">
        <f>Hotel!Z18</f>
        <v>2400</v>
      </c>
      <c r="O13" s="4">
        <f>Hotel!AA18</f>
        <v>2900</v>
      </c>
      <c r="P13" s="4">
        <f>Hotel!AB18</f>
        <v>6830</v>
      </c>
      <c r="Q13" s="4">
        <f>Hotel!AC18</f>
        <v>11010</v>
      </c>
      <c r="R13" s="4">
        <f>Hotel!AT18</f>
        <v>0</v>
      </c>
      <c r="S13" s="4">
        <f>Hotel!BA18</f>
        <v>456.18300000000005</v>
      </c>
      <c r="T13" s="4">
        <f>Hotel!AX18</f>
        <v>0</v>
      </c>
      <c r="U13" s="4">
        <f>Hotel!B18</f>
        <v>104</v>
      </c>
    </row>
    <row r="14" spans="1:21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1020</v>
      </c>
      <c r="F14" s="4">
        <f>Hotel!R19</f>
        <v>12240</v>
      </c>
      <c r="G14" s="4">
        <f>Hotel!S19</f>
        <v>2870</v>
      </c>
      <c r="H14" s="4">
        <f>Hotel!T19</f>
        <v>1560</v>
      </c>
      <c r="I14" s="4">
        <f>Hotel!U19</f>
        <v>4520</v>
      </c>
      <c r="J14" s="4">
        <f>Hotel!V19</f>
        <v>4080</v>
      </c>
      <c r="K14" s="4">
        <f>Hotel!W19</f>
        <v>3930</v>
      </c>
      <c r="L14" s="4">
        <f>Hotel!X19</f>
        <v>4450</v>
      </c>
      <c r="M14" s="4">
        <f>Hotel!Y19</f>
        <v>5160</v>
      </c>
      <c r="N14" s="4">
        <f>Hotel!Z19</f>
        <v>2610</v>
      </c>
      <c r="O14" s="4">
        <f>Hotel!AA19</f>
        <v>3080</v>
      </c>
      <c r="P14" s="4">
        <f>Hotel!AB19</f>
        <v>6900</v>
      </c>
      <c r="Q14" s="4">
        <f>Hotel!AC19</f>
        <v>10090</v>
      </c>
      <c r="R14" s="4">
        <f>Hotel!AT19</f>
        <v>0</v>
      </c>
      <c r="S14" s="4">
        <f>Hotel!BA19</f>
        <v>481.29900000000004</v>
      </c>
      <c r="T14" s="4">
        <f>Hotel!AX19</f>
        <v>0</v>
      </c>
      <c r="U14" s="4">
        <f>Hotel!B19</f>
        <v>125</v>
      </c>
    </row>
    <row r="15" spans="1:21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920</v>
      </c>
      <c r="F15" s="4">
        <f>Hotel!R20</f>
        <v>13080</v>
      </c>
      <c r="G15" s="4">
        <f>Hotel!S20</f>
        <v>2450</v>
      </c>
      <c r="H15" s="4">
        <f>Hotel!T20</f>
        <v>1570</v>
      </c>
      <c r="I15" s="4">
        <f>Hotel!U20</f>
        <v>4740</v>
      </c>
      <c r="J15" s="4">
        <f>Hotel!V20</f>
        <v>4230</v>
      </c>
      <c r="K15" s="4">
        <f>Hotel!W20</f>
        <v>3860</v>
      </c>
      <c r="L15" s="4">
        <f>Hotel!X20</f>
        <v>4470</v>
      </c>
      <c r="M15" s="4">
        <f>Hotel!Y20</f>
        <v>5370</v>
      </c>
      <c r="N15" s="4">
        <f>Hotel!Z20</f>
        <v>2730</v>
      </c>
      <c r="O15" s="4">
        <f>Hotel!AA20</f>
        <v>3140</v>
      </c>
      <c r="P15" s="4">
        <f>Hotel!AB20</f>
        <v>7120</v>
      </c>
      <c r="Q15" s="4">
        <f>Hotel!AC20</f>
        <v>10480</v>
      </c>
      <c r="R15" s="4">
        <f>Hotel!AT20</f>
        <v>0</v>
      </c>
      <c r="S15" s="4">
        <f>Hotel!BA20</f>
        <v>449.358</v>
      </c>
      <c r="T15" s="4">
        <f>Hotel!AX20</f>
        <v>0</v>
      </c>
      <c r="U15" s="4">
        <f>Hotel!B20</f>
        <v>124</v>
      </c>
    </row>
    <row r="16" spans="1:21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990</v>
      </c>
      <c r="F16" s="4">
        <f>Hotel!R21</f>
        <v>12430</v>
      </c>
      <c r="G16" s="4">
        <f>Hotel!S21</f>
        <v>3060</v>
      </c>
      <c r="H16" s="4">
        <f>Hotel!T21</f>
        <v>1530</v>
      </c>
      <c r="I16" s="4">
        <f>Hotel!U21</f>
        <v>4660</v>
      </c>
      <c r="J16" s="4">
        <f>Hotel!V21</f>
        <v>4010</v>
      </c>
      <c r="K16" s="4">
        <f>Hotel!W21</f>
        <v>3140</v>
      </c>
      <c r="L16" s="4">
        <f>Hotel!X21</f>
        <v>4450</v>
      </c>
      <c r="M16" s="4">
        <f>Hotel!Y21</f>
        <v>5240</v>
      </c>
      <c r="N16" s="4">
        <f>Hotel!Z21</f>
        <v>2560</v>
      </c>
      <c r="O16" s="4">
        <f>Hotel!AA21</f>
        <v>2930</v>
      </c>
      <c r="P16" s="4">
        <f>Hotel!AB21</f>
        <v>6830</v>
      </c>
      <c r="Q16" s="4">
        <f>Hotel!AC21</f>
        <v>9920</v>
      </c>
      <c r="R16" s="4">
        <f>Hotel!AT21</f>
        <v>0</v>
      </c>
      <c r="S16" s="4">
        <f>Hotel!BA21</f>
        <v>529.34699999999998</v>
      </c>
      <c r="T16" s="4">
        <f>Hotel!AX21</f>
        <v>0</v>
      </c>
      <c r="U16" s="4">
        <f>Hotel!B21</f>
        <v>77</v>
      </c>
    </row>
    <row r="17" spans="1:21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1060</v>
      </c>
      <c r="F17" s="4">
        <f>Hotel!R22</f>
        <v>14480</v>
      </c>
      <c r="G17" s="4">
        <f>Hotel!S22</f>
        <v>3700</v>
      </c>
      <c r="H17" s="4">
        <f>Hotel!T22</f>
        <v>1660</v>
      </c>
      <c r="I17" s="4">
        <f>Hotel!U22</f>
        <v>4560</v>
      </c>
      <c r="J17" s="4">
        <f>Hotel!V22</f>
        <v>4160</v>
      </c>
      <c r="K17" s="4">
        <f>Hotel!W22</f>
        <v>3100</v>
      </c>
      <c r="L17" s="4">
        <f>Hotel!X22</f>
        <v>4350</v>
      </c>
      <c r="M17" s="4">
        <f>Hotel!Y22</f>
        <v>5440</v>
      </c>
      <c r="N17" s="4">
        <f>Hotel!Z22</f>
        <v>2560</v>
      </c>
      <c r="O17" s="4">
        <f>Hotel!AA22</f>
        <v>3000</v>
      </c>
      <c r="P17" s="4">
        <f>Hotel!AB22</f>
        <v>7090</v>
      </c>
      <c r="Q17" s="4">
        <f>Hotel!AC22</f>
        <v>9680</v>
      </c>
      <c r="R17" s="4">
        <f>Hotel!AT22</f>
        <v>0</v>
      </c>
      <c r="S17" s="4">
        <f>Hotel!BA22</f>
        <v>462.73500000000001</v>
      </c>
      <c r="T17" s="4">
        <f>Hotel!AX22</f>
        <v>0</v>
      </c>
      <c r="U17" s="4">
        <f>Hotel!B22</f>
        <v>71</v>
      </c>
    </row>
    <row r="18" spans="1:21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990</v>
      </c>
      <c r="F18" s="4">
        <f>Hotel!R23</f>
        <v>13190</v>
      </c>
      <c r="G18" s="4">
        <f>Hotel!S23</f>
        <v>3290</v>
      </c>
      <c r="H18" s="4">
        <f>Hotel!T23</f>
        <v>1550</v>
      </c>
      <c r="I18" s="4">
        <f>Hotel!U23</f>
        <v>4360</v>
      </c>
      <c r="J18" s="4">
        <f>Hotel!V23</f>
        <v>3890</v>
      </c>
      <c r="K18" s="4">
        <f>Hotel!W23</f>
        <v>3180</v>
      </c>
      <c r="L18" s="4">
        <f>Hotel!X23</f>
        <v>4310</v>
      </c>
      <c r="M18" s="4">
        <f>Hotel!Y23</f>
        <v>5130</v>
      </c>
      <c r="N18" s="4">
        <f>Hotel!Z23</f>
        <v>2320</v>
      </c>
      <c r="O18" s="4">
        <f>Hotel!AA23</f>
        <v>2680</v>
      </c>
      <c r="P18" s="4">
        <f>Hotel!AB23</f>
        <v>6630</v>
      </c>
      <c r="Q18" s="4">
        <f>Hotel!AC23</f>
        <v>9040</v>
      </c>
      <c r="R18" s="4">
        <f>Hotel!AT23</f>
        <v>0</v>
      </c>
      <c r="S18" s="4">
        <f>Hotel!BA23</f>
        <v>351.07799999999997</v>
      </c>
      <c r="T18" s="4">
        <f>Hotel!AX23</f>
        <v>0</v>
      </c>
      <c r="U18" s="4">
        <f>Hotel!B23</f>
        <v>60</v>
      </c>
    </row>
    <row r="19" spans="1:21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1020</v>
      </c>
      <c r="F19" s="4">
        <f>Hotel!R24</f>
        <v>13760</v>
      </c>
      <c r="G19" s="4">
        <f>Hotel!S24</f>
        <v>3460</v>
      </c>
      <c r="H19" s="4">
        <f>Hotel!T24</f>
        <v>1600</v>
      </c>
      <c r="I19" s="4">
        <f>Hotel!U24</f>
        <v>4420</v>
      </c>
      <c r="J19" s="4">
        <f>Hotel!V24</f>
        <v>3960</v>
      </c>
      <c r="K19" s="4">
        <f>Hotel!W24</f>
        <v>3470</v>
      </c>
      <c r="L19" s="4">
        <f>Hotel!X24</f>
        <v>4380</v>
      </c>
      <c r="M19" s="4">
        <f>Hotel!Y24</f>
        <v>5170</v>
      </c>
      <c r="N19" s="4">
        <f>Hotel!Z24</f>
        <v>2410</v>
      </c>
      <c r="O19" s="4">
        <f>Hotel!AA24</f>
        <v>2750</v>
      </c>
      <c r="P19" s="4">
        <f>Hotel!AB24</f>
        <v>6930</v>
      </c>
      <c r="Q19" s="4">
        <f>Hotel!AC24</f>
        <v>9310</v>
      </c>
      <c r="R19" s="4">
        <f>Hotel!AT24</f>
        <v>0</v>
      </c>
      <c r="S19" s="4">
        <f>Hotel!BA24</f>
        <v>566.47500000000002</v>
      </c>
      <c r="T19" s="4">
        <f>Hotel!AX24</f>
        <v>0</v>
      </c>
      <c r="U19" s="4">
        <f>Hotel!B24</f>
        <v>72</v>
      </c>
    </row>
    <row r="20" spans="1:21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1030</v>
      </c>
      <c r="F20" s="4">
        <f>Hotel!R25</f>
        <v>12610</v>
      </c>
      <c r="G20" s="4">
        <f>Hotel!S25</f>
        <v>3000</v>
      </c>
      <c r="H20" s="4">
        <f>Hotel!T25</f>
        <v>1580</v>
      </c>
      <c r="I20" s="4">
        <f>Hotel!U25</f>
        <v>4560</v>
      </c>
      <c r="J20" s="4">
        <f>Hotel!V25</f>
        <v>4030</v>
      </c>
      <c r="K20" s="4">
        <f>Hotel!W25</f>
        <v>3390</v>
      </c>
      <c r="L20" s="4">
        <f>Hotel!X25</f>
        <v>4480</v>
      </c>
      <c r="M20" s="4">
        <f>Hotel!Y25</f>
        <v>5290</v>
      </c>
      <c r="N20" s="4">
        <f>Hotel!Z25</f>
        <v>2500</v>
      </c>
      <c r="O20" s="4">
        <f>Hotel!AA25</f>
        <v>2860</v>
      </c>
      <c r="P20" s="4">
        <f>Hotel!AB25</f>
        <v>6970</v>
      </c>
      <c r="Q20" s="4">
        <f>Hotel!AC25</f>
        <v>9800</v>
      </c>
      <c r="R20" s="4">
        <f>Hotel!AT25</f>
        <v>0</v>
      </c>
      <c r="S20" s="4">
        <f>Hotel!BA25</f>
        <v>345.89100000000002</v>
      </c>
      <c r="T20" s="4">
        <f>Hotel!AX25</f>
        <v>0</v>
      </c>
      <c r="U20" s="4">
        <f>Hotel!B25</f>
        <v>80</v>
      </c>
    </row>
    <row r="21" spans="1:21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890</v>
      </c>
      <c r="F21" s="4">
        <f>Hotel!R26</f>
        <v>12970</v>
      </c>
      <c r="G21" s="4">
        <f>Hotel!S26</f>
        <v>2440</v>
      </c>
      <c r="H21" s="4">
        <f>Hotel!T26</f>
        <v>1540</v>
      </c>
      <c r="I21" s="4">
        <f>Hotel!U26</f>
        <v>4600</v>
      </c>
      <c r="J21" s="4">
        <f>Hotel!V26</f>
        <v>4180</v>
      </c>
      <c r="K21" s="4">
        <f>Hotel!W26</f>
        <v>3180</v>
      </c>
      <c r="L21" s="4">
        <f>Hotel!X26</f>
        <v>4490</v>
      </c>
      <c r="M21" s="4">
        <f>Hotel!Y26</f>
        <v>5360</v>
      </c>
      <c r="N21" s="4">
        <f>Hotel!Z26</f>
        <v>2570</v>
      </c>
      <c r="O21" s="4">
        <f>Hotel!AA26</f>
        <v>2920</v>
      </c>
      <c r="P21" s="4">
        <f>Hotel!AB26</f>
        <v>6990</v>
      </c>
      <c r="Q21" s="4">
        <f>Hotel!AC26</f>
        <v>10710</v>
      </c>
      <c r="R21" s="4">
        <f>Hotel!AT26</f>
        <v>0</v>
      </c>
      <c r="S21" s="4">
        <f>Hotel!BA26</f>
        <v>434.61599999999999</v>
      </c>
      <c r="T21" s="4">
        <f>Hotel!AX26</f>
        <v>0</v>
      </c>
      <c r="U21" s="4">
        <f>Hotel!B26</f>
        <v>148</v>
      </c>
    </row>
    <row r="22" spans="1:21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1010</v>
      </c>
      <c r="F22" s="4">
        <f>Hotel!R27</f>
        <v>14210</v>
      </c>
      <c r="G22" s="4">
        <f>Hotel!S27</f>
        <v>3620</v>
      </c>
      <c r="H22" s="4">
        <f>Hotel!T27</f>
        <v>1590</v>
      </c>
      <c r="I22" s="4">
        <f>Hotel!U27</f>
        <v>4780</v>
      </c>
      <c r="J22" s="4">
        <f>Hotel!V27</f>
        <v>4310</v>
      </c>
      <c r="K22" s="4">
        <f>Hotel!W27</f>
        <v>3850</v>
      </c>
      <c r="L22" s="4">
        <f>Hotel!X27</f>
        <v>4610</v>
      </c>
      <c r="M22" s="4">
        <f>Hotel!Y27</f>
        <v>5760</v>
      </c>
      <c r="N22" s="4">
        <f>Hotel!Z27</f>
        <v>2760</v>
      </c>
      <c r="O22" s="4">
        <f>Hotel!AA27</f>
        <v>3120</v>
      </c>
      <c r="P22" s="4">
        <f>Hotel!AB27</f>
        <v>7360</v>
      </c>
      <c r="Q22" s="4">
        <f>Hotel!AC27</f>
        <v>10180</v>
      </c>
      <c r="R22" s="4">
        <f>Hotel!AT27</f>
        <v>0</v>
      </c>
      <c r="S22" s="4">
        <f>Hotel!BA27</f>
        <v>466.83000000000004</v>
      </c>
      <c r="T22" s="4">
        <f>Hotel!AX27</f>
        <v>0</v>
      </c>
      <c r="U22" s="4">
        <f>Hotel!B27</f>
        <v>140</v>
      </c>
    </row>
    <row r="23" spans="1:21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1000</v>
      </c>
      <c r="F23" s="4">
        <f>Hotel!R28</f>
        <v>15250</v>
      </c>
      <c r="G23" s="4">
        <f>Hotel!S28</f>
        <v>4060</v>
      </c>
      <c r="H23" s="4">
        <f>Hotel!T28</f>
        <v>1620</v>
      </c>
      <c r="I23" s="4">
        <f>Hotel!U28</f>
        <v>4730</v>
      </c>
      <c r="J23" s="4">
        <f>Hotel!V28</f>
        <v>4270</v>
      </c>
      <c r="K23" s="4">
        <f>Hotel!W28</f>
        <v>3730</v>
      </c>
      <c r="L23" s="4">
        <f>Hotel!X28</f>
        <v>4420</v>
      </c>
      <c r="M23" s="4">
        <f>Hotel!Y28</f>
        <v>5600</v>
      </c>
      <c r="N23" s="4">
        <f>Hotel!Z28</f>
        <v>2660</v>
      </c>
      <c r="O23" s="4">
        <f>Hotel!AA28</f>
        <v>2960</v>
      </c>
      <c r="P23" s="4">
        <f>Hotel!AB28</f>
        <v>7680</v>
      </c>
      <c r="Q23" s="4">
        <f>Hotel!AC28</f>
        <v>9550</v>
      </c>
      <c r="R23" s="4">
        <f>Hotel!AT28</f>
        <v>0</v>
      </c>
      <c r="S23" s="4">
        <f>Hotel!BA28</f>
        <v>547.36500000000001</v>
      </c>
      <c r="T23" s="4">
        <f>Hotel!AX28</f>
        <v>0</v>
      </c>
      <c r="U23" s="4">
        <f>Hotel!B28</f>
        <v>81</v>
      </c>
    </row>
    <row r="24" spans="1:21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1060</v>
      </c>
      <c r="F24" s="4">
        <f>Hotel!R29</f>
        <v>13720</v>
      </c>
      <c r="G24" s="4">
        <f>Hotel!S29</f>
        <v>3360</v>
      </c>
      <c r="H24" s="4">
        <f>Hotel!T29</f>
        <v>1650</v>
      </c>
      <c r="I24" s="4">
        <f>Hotel!U29</f>
        <v>4790</v>
      </c>
      <c r="J24" s="4">
        <f>Hotel!V29</f>
        <v>4200</v>
      </c>
      <c r="K24" s="4">
        <f>Hotel!W29</f>
        <v>3700</v>
      </c>
      <c r="L24" s="4">
        <f>Hotel!X29</f>
        <v>4260</v>
      </c>
      <c r="M24" s="4">
        <f>Hotel!Y29</f>
        <v>5570</v>
      </c>
      <c r="N24" s="4">
        <f>Hotel!Z29</f>
        <v>2650</v>
      </c>
      <c r="O24" s="4">
        <f>Hotel!AA29</f>
        <v>2870</v>
      </c>
      <c r="P24" s="4">
        <f>Hotel!AB29</f>
        <v>7750</v>
      </c>
      <c r="Q24" s="4">
        <f>Hotel!AC29</f>
        <v>10700</v>
      </c>
      <c r="R24" s="4">
        <f>Hotel!AT29</f>
        <v>0</v>
      </c>
      <c r="S24" s="4">
        <f>Hotel!BA29</f>
        <v>480.20699999999999</v>
      </c>
      <c r="T24" s="4">
        <f>Hotel!AX29</f>
        <v>0</v>
      </c>
      <c r="U24" s="4">
        <f>Hotel!B29</f>
        <v>82</v>
      </c>
    </row>
    <row r="25" spans="1:21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1040</v>
      </c>
      <c r="F25" s="4">
        <f>Hotel!R30</f>
        <v>12940</v>
      </c>
      <c r="G25" s="4">
        <f>Hotel!S30</f>
        <v>3090</v>
      </c>
      <c r="H25" s="4">
        <f>Hotel!T30</f>
        <v>1610</v>
      </c>
      <c r="I25" s="4">
        <f>Hotel!U30</f>
        <v>4620</v>
      </c>
      <c r="J25" s="4">
        <f>Hotel!V30</f>
        <v>4240</v>
      </c>
      <c r="K25" s="4">
        <f>Hotel!W30</f>
        <v>3680</v>
      </c>
      <c r="L25" s="4">
        <f>Hotel!X30</f>
        <v>4170</v>
      </c>
      <c r="M25" s="4">
        <f>Hotel!Y30</f>
        <v>5420</v>
      </c>
      <c r="N25" s="4">
        <f>Hotel!Z30</f>
        <v>2490</v>
      </c>
      <c r="O25" s="4">
        <f>Hotel!AA30</f>
        <v>2830</v>
      </c>
      <c r="P25" s="4">
        <f>Hotel!AB30</f>
        <v>7680</v>
      </c>
      <c r="Q25" s="4">
        <f>Hotel!AC30</f>
        <v>10410</v>
      </c>
      <c r="R25" s="4">
        <f>Hotel!AT30</f>
        <v>0</v>
      </c>
      <c r="S25" s="4">
        <f>Hotel!BA30</f>
        <v>503.685</v>
      </c>
      <c r="T25" s="4">
        <f>Hotel!AX30</f>
        <v>0</v>
      </c>
      <c r="U25" s="4">
        <f>Hotel!B30</f>
        <v>78</v>
      </c>
    </row>
    <row r="26" spans="1:21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880</v>
      </c>
      <c r="F26" s="4">
        <f>Hotel!R31</f>
        <v>11910</v>
      </c>
      <c r="G26" s="4">
        <f>Hotel!S31</f>
        <v>2200</v>
      </c>
      <c r="H26" s="4">
        <f>Hotel!T31</f>
        <v>1470</v>
      </c>
      <c r="I26" s="4">
        <f>Hotel!U31</f>
        <v>4360</v>
      </c>
      <c r="J26" s="4">
        <f>Hotel!V31</f>
        <v>3940</v>
      </c>
      <c r="K26" s="4">
        <f>Hotel!W31</f>
        <v>3320</v>
      </c>
      <c r="L26" s="4">
        <f>Hotel!X31</f>
        <v>3960</v>
      </c>
      <c r="M26" s="4">
        <f>Hotel!Y31</f>
        <v>4950</v>
      </c>
      <c r="N26" s="4">
        <f>Hotel!Z31</f>
        <v>2320</v>
      </c>
      <c r="O26" s="4">
        <f>Hotel!AA31</f>
        <v>2700</v>
      </c>
      <c r="P26" s="4">
        <f>Hotel!AB31</f>
        <v>7220</v>
      </c>
      <c r="Q26" s="4">
        <f>Hotel!AC31</f>
        <v>9780</v>
      </c>
      <c r="R26" s="4">
        <f>Hotel!AT31</f>
        <v>0</v>
      </c>
      <c r="S26" s="4">
        <f>Hotel!BA31</f>
        <v>491.4</v>
      </c>
      <c r="T26" s="4">
        <f>Hotel!AX31</f>
        <v>0</v>
      </c>
      <c r="U26" s="4">
        <f>Hotel!B31</f>
        <v>78</v>
      </c>
    </row>
    <row r="27" spans="1:21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5400</v>
      </c>
      <c r="F27" s="4">
        <f>Hotel!R32</f>
        <v>7210</v>
      </c>
      <c r="G27" s="4">
        <f>Hotel!S32</f>
        <v>2270</v>
      </c>
      <c r="H27" s="4">
        <f>Hotel!T32</f>
        <v>1530</v>
      </c>
      <c r="I27" s="4">
        <f>Hotel!U32</f>
        <v>4340</v>
      </c>
      <c r="J27" s="4">
        <f>Hotel!V32</f>
        <v>4090</v>
      </c>
      <c r="K27" s="4">
        <f>Hotel!W32</f>
        <v>2950</v>
      </c>
      <c r="L27" s="4">
        <f>Hotel!X32</f>
        <v>4390</v>
      </c>
      <c r="M27" s="4">
        <f>Hotel!Y32</f>
        <v>5060</v>
      </c>
      <c r="N27" s="4">
        <f>Hotel!Z32</f>
        <v>2320</v>
      </c>
      <c r="O27" s="4">
        <f>Hotel!AA32</f>
        <v>2850</v>
      </c>
      <c r="P27" s="4">
        <f>Hotel!AB32</f>
        <v>7460</v>
      </c>
      <c r="Q27" s="4">
        <f>Hotel!AC32</f>
        <v>10140</v>
      </c>
      <c r="R27" s="4">
        <f>Hotel!AT32</f>
        <v>0</v>
      </c>
      <c r="S27" s="4">
        <f>Hotel!BA32</f>
        <v>617.25300000000004</v>
      </c>
      <c r="T27" s="4">
        <f>Hotel!AX32</f>
        <v>0</v>
      </c>
      <c r="U27" s="4">
        <f>Hotel!B32</f>
        <v>75</v>
      </c>
    </row>
    <row r="28" spans="1:21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10830</v>
      </c>
      <c r="F28" s="4">
        <f>Hotel!R33</f>
        <v>2910</v>
      </c>
      <c r="G28" s="4">
        <f>Hotel!S33</f>
        <v>1870</v>
      </c>
      <c r="H28" s="4">
        <f>Hotel!T33</f>
        <v>1600</v>
      </c>
      <c r="I28" s="4">
        <f>Hotel!U33</f>
        <v>4660</v>
      </c>
      <c r="J28" s="4">
        <f>Hotel!V33</f>
        <v>4290</v>
      </c>
      <c r="K28" s="4">
        <f>Hotel!W33</f>
        <v>3220</v>
      </c>
      <c r="L28" s="4">
        <f>Hotel!X33</f>
        <v>4490</v>
      </c>
      <c r="M28" s="4">
        <f>Hotel!Y33</f>
        <v>5320</v>
      </c>
      <c r="N28" s="4">
        <f>Hotel!Z33</f>
        <v>2490</v>
      </c>
      <c r="O28" s="4">
        <f>Hotel!AA33</f>
        <v>2940</v>
      </c>
      <c r="P28" s="4">
        <f>Hotel!AB33</f>
        <v>7420</v>
      </c>
      <c r="Q28" s="4">
        <f>Hotel!AC33</f>
        <v>9810</v>
      </c>
      <c r="R28" s="4">
        <f>Hotel!AT33</f>
        <v>0</v>
      </c>
      <c r="S28" s="4">
        <f>Hotel!BA33</f>
        <v>472.56299999999999</v>
      </c>
      <c r="T28" s="4">
        <f>Hotel!AX33</f>
        <v>0</v>
      </c>
      <c r="U28" s="4">
        <f>Hotel!B33</f>
        <v>109</v>
      </c>
    </row>
    <row r="29" spans="1:21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10110</v>
      </c>
      <c r="F29" s="4">
        <f>Hotel!R34</f>
        <v>3720</v>
      </c>
      <c r="G29" s="4">
        <f>Hotel!S34</f>
        <v>3360</v>
      </c>
      <c r="H29" s="4">
        <f>Hotel!T34</f>
        <v>1640</v>
      </c>
      <c r="I29" s="4">
        <f>Hotel!U34</f>
        <v>4860</v>
      </c>
      <c r="J29" s="4">
        <f>Hotel!V34</f>
        <v>4140</v>
      </c>
      <c r="K29" s="4">
        <f>Hotel!W34</f>
        <v>3590</v>
      </c>
      <c r="L29" s="4">
        <f>Hotel!X34</f>
        <v>4440</v>
      </c>
      <c r="M29" s="4">
        <f>Hotel!Y34</f>
        <v>5640</v>
      </c>
      <c r="N29" s="4">
        <f>Hotel!Z34</f>
        <v>2780</v>
      </c>
      <c r="O29" s="4">
        <f>Hotel!AA34</f>
        <v>3160</v>
      </c>
      <c r="P29" s="4">
        <f>Hotel!AB34</f>
        <v>7630</v>
      </c>
      <c r="Q29" s="4">
        <f>Hotel!AC34</f>
        <v>10660</v>
      </c>
      <c r="R29" s="4">
        <f>Hotel!AT34</f>
        <v>0</v>
      </c>
      <c r="S29" s="4">
        <f>Hotel!BA34</f>
        <v>305.48700000000002</v>
      </c>
      <c r="T29" s="4">
        <f>Hotel!AX34</f>
        <v>0</v>
      </c>
      <c r="U29" s="4">
        <f>Hotel!B34</f>
        <v>154</v>
      </c>
    </row>
    <row r="30" spans="1:21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9910</v>
      </c>
      <c r="F30" s="4">
        <f>Hotel!R35</f>
        <v>3700</v>
      </c>
      <c r="G30" s="4">
        <f>Hotel!S35</f>
        <v>3200</v>
      </c>
      <c r="H30" s="4">
        <f>Hotel!T35</f>
        <v>1620</v>
      </c>
      <c r="I30" s="4">
        <f>Hotel!U35</f>
        <v>4970</v>
      </c>
      <c r="J30" s="4">
        <f>Hotel!V35</f>
        <v>4140</v>
      </c>
      <c r="K30" s="4">
        <f>Hotel!W35</f>
        <v>3960</v>
      </c>
      <c r="L30" s="4">
        <f>Hotel!X35</f>
        <v>4430</v>
      </c>
      <c r="M30" s="4">
        <f>Hotel!Y35</f>
        <v>5790</v>
      </c>
      <c r="N30" s="4">
        <f>Hotel!Z35</f>
        <v>2690</v>
      </c>
      <c r="O30" s="4">
        <f>Hotel!AA35</f>
        <v>3020</v>
      </c>
      <c r="P30" s="4">
        <f>Hotel!AB35</f>
        <v>7830</v>
      </c>
      <c r="Q30" s="4">
        <f>Hotel!AC35</f>
        <v>10170</v>
      </c>
      <c r="R30" s="4">
        <f>Hotel!AT35</f>
        <v>0</v>
      </c>
      <c r="S30" s="4">
        <f>Hotel!BA35</f>
        <v>905.26799999999992</v>
      </c>
      <c r="T30" s="4">
        <f>Hotel!AX35</f>
        <v>0</v>
      </c>
      <c r="U30" s="4">
        <f>Hotel!B35</f>
        <v>105</v>
      </c>
    </row>
    <row r="31" spans="1:21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9220</v>
      </c>
      <c r="F31" s="4">
        <f>Hotel!R36</f>
        <v>3600</v>
      </c>
      <c r="G31" s="4">
        <f>Hotel!S36</f>
        <v>3070</v>
      </c>
      <c r="H31" s="4">
        <f>Hotel!T36</f>
        <v>1570</v>
      </c>
      <c r="I31" s="4">
        <f>Hotel!U36</f>
        <v>4550</v>
      </c>
      <c r="J31" s="4">
        <f>Hotel!V36</f>
        <v>4010</v>
      </c>
      <c r="K31" s="4">
        <f>Hotel!W36</f>
        <v>3080</v>
      </c>
      <c r="L31" s="4">
        <f>Hotel!X36</f>
        <v>4060</v>
      </c>
      <c r="M31" s="4">
        <f>Hotel!Y36</f>
        <v>5210</v>
      </c>
      <c r="N31" s="4">
        <f>Hotel!Z36</f>
        <v>2420</v>
      </c>
      <c r="O31" s="4">
        <f>Hotel!AA36</f>
        <v>2890</v>
      </c>
      <c r="P31" s="4">
        <f>Hotel!AB36</f>
        <v>7720</v>
      </c>
      <c r="Q31" s="4">
        <f>Hotel!AC36</f>
        <v>8360</v>
      </c>
      <c r="R31" s="4">
        <f>Hotel!AT36</f>
        <v>0</v>
      </c>
      <c r="S31" s="4">
        <f>Hotel!BA36</f>
        <v>549.00299999999993</v>
      </c>
      <c r="T31" s="4">
        <f>Hotel!AX36</f>
        <v>0</v>
      </c>
      <c r="U31" s="4">
        <f>Hotel!B36</f>
        <v>74</v>
      </c>
    </row>
    <row r="32" spans="1:21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9880</v>
      </c>
      <c r="F32" s="4">
        <f>Hotel!R37</f>
        <v>3710</v>
      </c>
      <c r="G32" s="4">
        <f>Hotel!S37</f>
        <v>3090</v>
      </c>
      <c r="H32" s="4">
        <f>Hotel!T37</f>
        <v>1630</v>
      </c>
      <c r="I32" s="4">
        <f>Hotel!U37</f>
        <v>4480</v>
      </c>
      <c r="J32" s="4">
        <f>Hotel!V37</f>
        <v>3870</v>
      </c>
      <c r="K32" s="4">
        <f>Hotel!W37</f>
        <v>2930</v>
      </c>
      <c r="L32" s="4">
        <f>Hotel!X37</f>
        <v>4330</v>
      </c>
      <c r="M32" s="4">
        <f>Hotel!Y37</f>
        <v>5280</v>
      </c>
      <c r="N32" s="4">
        <f>Hotel!Z37</f>
        <v>2460</v>
      </c>
      <c r="O32" s="4">
        <f>Hotel!AA37</f>
        <v>2650</v>
      </c>
      <c r="P32" s="4">
        <f>Hotel!AB37</f>
        <v>7730</v>
      </c>
      <c r="Q32" s="4">
        <f>Hotel!AC37</f>
        <v>10460</v>
      </c>
      <c r="R32" s="4">
        <f>Hotel!AT37</f>
        <v>0</v>
      </c>
      <c r="S32" s="4">
        <f>Hotel!BA37</f>
        <v>631.44899999999996</v>
      </c>
      <c r="T32" s="4">
        <f>Hotel!AX37</f>
        <v>0</v>
      </c>
      <c r="U32" s="4">
        <f>Hotel!B37</f>
        <v>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zoomScale="93" zoomScaleNormal="93" workbookViewId="0">
      <selection activeCell="J22" sqref="J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60" customWidth="1"/>
    <col min="47" max="47" width="7.28515625" customWidth="1"/>
    <col min="48" max="50" width="11.85546875" style="63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44834</v>
      </c>
      <c r="B2" s="40">
        <v>123</v>
      </c>
      <c r="C2" s="80">
        <v>8474080</v>
      </c>
      <c r="D2" s="80">
        <v>20597570</v>
      </c>
      <c r="E2" s="80">
        <v>3636060</v>
      </c>
      <c r="F2" s="80">
        <v>4280090</v>
      </c>
      <c r="G2" s="80">
        <v>12609080</v>
      </c>
      <c r="H2" s="80">
        <v>7411650</v>
      </c>
      <c r="I2" s="80">
        <v>6431480</v>
      </c>
      <c r="J2" s="80">
        <v>7995880</v>
      </c>
      <c r="K2" s="80">
        <v>11668370</v>
      </c>
      <c r="L2" s="80">
        <v>5080970</v>
      </c>
      <c r="M2" s="80">
        <v>9381600</v>
      </c>
      <c r="N2" s="80">
        <v>15450770</v>
      </c>
      <c r="O2" s="80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64">
        <v>298912</v>
      </c>
      <c r="AW2" s="64"/>
      <c r="AX2" s="64">
        <v>298912</v>
      </c>
      <c r="AY2" s="55">
        <v>240981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71" t="s">
        <v>23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Q4" s="73" t="s">
        <v>24</v>
      </c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5"/>
      <c r="AD4" s="28" t="s">
        <v>25</v>
      </c>
      <c r="AF4" s="76" t="s">
        <v>26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29" t="s">
        <v>27</v>
      </c>
      <c r="AT4" s="77" t="s">
        <v>51</v>
      </c>
      <c r="AV4" s="78" t="s">
        <v>53</v>
      </c>
      <c r="AW4" s="78" t="s">
        <v>55</v>
      </c>
      <c r="AX4" s="78" t="s">
        <v>56</v>
      </c>
      <c r="AY4" s="67" t="s">
        <v>28</v>
      </c>
      <c r="AZ4" s="68" t="s">
        <v>29</v>
      </c>
      <c r="BA4" s="68" t="s">
        <v>48</v>
      </c>
      <c r="BB4" s="70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7"/>
      <c r="AV5" s="78"/>
      <c r="AW5" s="78"/>
      <c r="AX5" s="78"/>
      <c r="AY5" s="67"/>
      <c r="AZ5" s="69"/>
      <c r="BA5" s="69"/>
      <c r="BB5" s="70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64">
        <v>298912</v>
      </c>
      <c r="AW6" s="64"/>
      <c r="AX6" s="64" t="s">
        <v>57</v>
      </c>
      <c r="AY6" s="55">
        <v>240981</v>
      </c>
    </row>
    <row r="7" spans="1:54" x14ac:dyDescent="0.25">
      <c r="A7" s="23">
        <v>44835</v>
      </c>
      <c r="B7" s="40">
        <v>95</v>
      </c>
      <c r="C7" s="50">
        <v>8475130</v>
      </c>
      <c r="D7" s="50">
        <v>20610420</v>
      </c>
      <c r="E7" s="50">
        <v>3639190</v>
      </c>
      <c r="F7" s="50">
        <v>4281680</v>
      </c>
      <c r="G7" s="50">
        <v>12614130</v>
      </c>
      <c r="H7" s="50">
        <v>7415980</v>
      </c>
      <c r="I7" s="50">
        <v>6435240</v>
      </c>
      <c r="J7" s="50">
        <v>8000780</v>
      </c>
      <c r="K7" s="50">
        <v>11674120</v>
      </c>
      <c r="L7" s="50">
        <v>5083710</v>
      </c>
      <c r="M7" s="50">
        <v>9384960</v>
      </c>
      <c r="N7" s="50">
        <v>15458110</v>
      </c>
      <c r="O7" s="50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T7" s="61"/>
      <c r="AV7" s="65">
        <v>0</v>
      </c>
      <c r="AW7" s="64">
        <f t="shared" ref="AW7:AW39" si="14">(AV8-AV7)*1000</f>
        <v>0</v>
      </c>
      <c r="AX7" s="66">
        <f>AW7*$AX$44</f>
        <v>0</v>
      </c>
      <c r="AY7" s="53">
        <v>242967</v>
      </c>
      <c r="AZ7" s="37">
        <f>(IF((AY7-AY6&lt;0),"0",AY7-AY6))*100</f>
        <v>198600</v>
      </c>
      <c r="BA7" s="37">
        <f>AZ7*$AZ$44*60%</f>
        <v>542.178</v>
      </c>
      <c r="BB7" s="59">
        <f>BA7*0.4444</f>
        <v>240.94390319999999</v>
      </c>
    </row>
    <row r="8" spans="1:54" x14ac:dyDescent="0.25">
      <c r="A8" s="23">
        <v>44836</v>
      </c>
      <c r="B8" s="40">
        <v>111</v>
      </c>
      <c r="C8" s="51">
        <v>8476070</v>
      </c>
      <c r="D8" s="51">
        <v>20621790</v>
      </c>
      <c r="E8" s="51">
        <v>3641960</v>
      </c>
      <c r="F8" s="51">
        <v>4283110</v>
      </c>
      <c r="G8" s="51">
        <v>12618680</v>
      </c>
      <c r="H8" s="51">
        <v>7419630</v>
      </c>
      <c r="I8" s="51">
        <v>6438390</v>
      </c>
      <c r="J8" s="51">
        <v>8004930</v>
      </c>
      <c r="K8" s="51">
        <v>11678740</v>
      </c>
      <c r="L8" s="51">
        <v>5085990</v>
      </c>
      <c r="M8" s="51">
        <v>9387950</v>
      </c>
      <c r="N8" s="51">
        <v>15464440</v>
      </c>
      <c r="O8" s="51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T8" s="61"/>
      <c r="AV8" s="65">
        <v>0</v>
      </c>
      <c r="AW8" s="64">
        <f t="shared" si="14"/>
        <v>0</v>
      </c>
      <c r="AX8" s="66">
        <f t="shared" ref="AX8:AX39" si="17">AW8*$AX$44</f>
        <v>0</v>
      </c>
      <c r="AY8" s="54">
        <v>244955</v>
      </c>
      <c r="AZ8" s="37">
        <f t="shared" ref="AZ8:AZ38" si="18">(IF((AY8-AY7&lt;0),"0",AY8-AY7))*100</f>
        <v>198800</v>
      </c>
      <c r="BA8" s="37">
        <f t="shared" ref="BA8:BA39" si="19">AZ8*$AZ$44*60%</f>
        <v>542.72400000000005</v>
      </c>
      <c r="BB8" s="59">
        <f t="shared" ref="BB8:BB38" si="20">BA8*0.4444</f>
        <v>241.18654560000002</v>
      </c>
    </row>
    <row r="9" spans="1:54" x14ac:dyDescent="0.25">
      <c r="A9" s="23">
        <v>44837</v>
      </c>
      <c r="B9" s="40">
        <v>93</v>
      </c>
      <c r="C9" s="50">
        <v>8477110</v>
      </c>
      <c r="D9" s="50">
        <v>20634230</v>
      </c>
      <c r="E9" s="50">
        <v>3644970</v>
      </c>
      <c r="F9" s="50">
        <v>4284680</v>
      </c>
      <c r="G9" s="50">
        <v>12623400</v>
      </c>
      <c r="H9" s="50">
        <v>7423260</v>
      </c>
      <c r="I9" s="50">
        <v>6441350</v>
      </c>
      <c r="J9" s="50">
        <v>8009720</v>
      </c>
      <c r="K9" s="50">
        <v>11683900</v>
      </c>
      <c r="L9" s="50">
        <v>5088450</v>
      </c>
      <c r="M9" s="50">
        <v>9391030</v>
      </c>
      <c r="N9" s="50">
        <v>15471490</v>
      </c>
      <c r="O9" s="50">
        <v>21646500</v>
      </c>
      <c r="Q9" s="37">
        <f t="shared" ref="Q9:Q30" si="21">IF((C9-C8&lt;0), "0",C9-C8)</f>
        <v>1040</v>
      </c>
      <c r="R9" s="37">
        <f t="shared" ref="R9:R37" si="22">IF((D9-D8&lt;0), "0",D9-D8)</f>
        <v>12440</v>
      </c>
      <c r="S9" s="37">
        <f t="shared" si="16"/>
        <v>3010</v>
      </c>
      <c r="T9" s="37">
        <f t="shared" ref="T9:T35" si="23">IF((F9-F8&lt;0), "0",F9-F8)</f>
        <v>1570</v>
      </c>
      <c r="U9" s="37">
        <f t="shared" ref="U9:U35" si="24">IF((G9-G8&lt;0), "0",G9-G8)</f>
        <v>4720</v>
      </c>
      <c r="V9" s="37">
        <f t="shared" ref="V9:V35" si="25">IF((H9-H8&lt;0), "0",H9-H8)</f>
        <v>3630</v>
      </c>
      <c r="W9" s="37">
        <f t="shared" ref="W9:W35" si="26">IF((I9-I8&lt;0), "0",I9-I8)</f>
        <v>2960</v>
      </c>
      <c r="X9" s="37">
        <f t="shared" ref="X9:X37" si="27">IF((J9-J8&lt;0), "0",J9-J8)</f>
        <v>4790</v>
      </c>
      <c r="Y9" s="37">
        <f t="shared" ref="Y9:Y35" si="28">IF((K9-K8&lt;0), "0",K9-K8)</f>
        <v>5160</v>
      </c>
      <c r="Z9" s="37">
        <f t="shared" ref="Z9:Z35" si="29">IF((L9-L8&lt;0), "0",L9-L8)</f>
        <v>2460</v>
      </c>
      <c r="AA9" s="37">
        <f t="shared" ref="AA9:AA35" si="30">IF((M9-M8&lt;0), "0",M9-M8)</f>
        <v>3080</v>
      </c>
      <c r="AB9" s="37">
        <f t="shared" ref="AB9:AB37" si="31">IF((N9-N8&lt;0), "0",N9-N8)</f>
        <v>7050</v>
      </c>
      <c r="AC9" s="37">
        <f t="shared" ref="AC9:AC37" si="32">IF((O9-O8&lt;0), "0",O9-O8)</f>
        <v>9110</v>
      </c>
      <c r="AD9" s="35">
        <f t="shared" ref="AD9:AD37" si="33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4">SUM(AF9:AR9)</f>
        <v>305.10000000000008</v>
      </c>
      <c r="AT9" s="61"/>
      <c r="AV9" s="65">
        <v>0</v>
      </c>
      <c r="AW9" s="64">
        <f t="shared" si="14"/>
        <v>0</v>
      </c>
      <c r="AX9" s="66">
        <f t="shared" si="17"/>
        <v>0</v>
      </c>
      <c r="AY9" s="79">
        <v>246853</v>
      </c>
      <c r="AZ9" s="37">
        <f t="shared" si="18"/>
        <v>189800</v>
      </c>
      <c r="BA9" s="37">
        <f t="shared" si="19"/>
        <v>518.154</v>
      </c>
      <c r="BB9" s="59">
        <f t="shared" si="20"/>
        <v>230.2676376</v>
      </c>
    </row>
    <row r="10" spans="1:54" x14ac:dyDescent="0.25">
      <c r="A10" s="23">
        <v>44838</v>
      </c>
      <c r="B10" s="40">
        <v>119</v>
      </c>
      <c r="C10" s="51">
        <v>8478150</v>
      </c>
      <c r="D10" s="51">
        <v>20647080</v>
      </c>
      <c r="E10" s="51">
        <v>3648160</v>
      </c>
      <c r="F10" s="51">
        <v>4286250</v>
      </c>
      <c r="G10" s="51">
        <v>12627980</v>
      </c>
      <c r="H10" s="51">
        <v>7426890</v>
      </c>
      <c r="I10" s="51">
        <v>6444570</v>
      </c>
      <c r="J10" s="51">
        <v>8014310</v>
      </c>
      <c r="K10" s="51">
        <v>11688970</v>
      </c>
      <c r="L10" s="51">
        <v>5090870</v>
      </c>
      <c r="M10" s="51">
        <v>9393860</v>
      </c>
      <c r="N10" s="51">
        <v>15478430</v>
      </c>
      <c r="O10" s="51">
        <v>21655200</v>
      </c>
      <c r="Q10" s="37">
        <f t="shared" si="21"/>
        <v>1040</v>
      </c>
      <c r="R10" s="37">
        <f t="shared" si="22"/>
        <v>12850</v>
      </c>
      <c r="S10" s="37">
        <f t="shared" si="16"/>
        <v>3190</v>
      </c>
      <c r="T10" s="37">
        <f t="shared" si="23"/>
        <v>1570</v>
      </c>
      <c r="U10" s="37">
        <f t="shared" si="24"/>
        <v>4580</v>
      </c>
      <c r="V10" s="37">
        <f t="shared" si="25"/>
        <v>3630</v>
      </c>
      <c r="W10" s="37">
        <f t="shared" si="26"/>
        <v>3220</v>
      </c>
      <c r="X10" s="37">
        <f t="shared" si="27"/>
        <v>4590</v>
      </c>
      <c r="Y10" s="37">
        <f t="shared" si="28"/>
        <v>5070</v>
      </c>
      <c r="Z10" s="37">
        <f t="shared" si="29"/>
        <v>2420</v>
      </c>
      <c r="AA10" s="37">
        <f t="shared" si="30"/>
        <v>2830</v>
      </c>
      <c r="AB10" s="37">
        <f t="shared" si="31"/>
        <v>6940</v>
      </c>
      <c r="AC10" s="37">
        <f t="shared" si="32"/>
        <v>8700</v>
      </c>
      <c r="AD10" s="35">
        <f t="shared" si="33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4"/>
        <v>303.14999999999998</v>
      </c>
      <c r="AT10" s="61"/>
      <c r="AV10" s="65">
        <v>0</v>
      </c>
      <c r="AW10" s="64">
        <f t="shared" si="14"/>
        <v>0</v>
      </c>
      <c r="AX10" s="66">
        <f t="shared" si="17"/>
        <v>0</v>
      </c>
      <c r="AY10" s="54">
        <v>248814</v>
      </c>
      <c r="AZ10" s="37">
        <f t="shared" si="18"/>
        <v>196100</v>
      </c>
      <c r="BA10" s="37">
        <f t="shared" si="19"/>
        <v>535.35299999999995</v>
      </c>
      <c r="BB10" s="59">
        <f t="shared" si="20"/>
        <v>237.9108732</v>
      </c>
    </row>
    <row r="11" spans="1:54" x14ac:dyDescent="0.25">
      <c r="A11" s="23">
        <v>44839</v>
      </c>
      <c r="B11" s="40">
        <v>122</v>
      </c>
      <c r="C11" s="50">
        <v>8479040</v>
      </c>
      <c r="D11" s="50">
        <v>20659910</v>
      </c>
      <c r="E11" s="50">
        <v>3650170</v>
      </c>
      <c r="F11" s="50">
        <v>4287700</v>
      </c>
      <c r="G11" s="50">
        <v>12632520</v>
      </c>
      <c r="H11" s="50">
        <v>7430480</v>
      </c>
      <c r="I11" s="50">
        <v>6447630</v>
      </c>
      <c r="J11" s="50">
        <v>8018980</v>
      </c>
      <c r="K11" s="50">
        <v>11693810</v>
      </c>
      <c r="L11" s="50">
        <v>5093310</v>
      </c>
      <c r="M11" s="50">
        <v>9396740</v>
      </c>
      <c r="N11" s="50">
        <v>15485110</v>
      </c>
      <c r="O11" s="50">
        <v>21664000</v>
      </c>
      <c r="Q11" s="37">
        <f t="shared" si="21"/>
        <v>890</v>
      </c>
      <c r="R11" s="37">
        <f t="shared" si="22"/>
        <v>12830</v>
      </c>
      <c r="S11" s="37">
        <f t="shared" si="16"/>
        <v>2010</v>
      </c>
      <c r="T11" s="37">
        <f t="shared" si="23"/>
        <v>1450</v>
      </c>
      <c r="U11" s="37">
        <f t="shared" si="24"/>
        <v>4540</v>
      </c>
      <c r="V11" s="37">
        <f t="shared" si="25"/>
        <v>3590</v>
      </c>
      <c r="W11" s="37">
        <f t="shared" si="26"/>
        <v>3060</v>
      </c>
      <c r="X11" s="37">
        <f t="shared" si="27"/>
        <v>4670</v>
      </c>
      <c r="Y11" s="37">
        <f t="shared" si="28"/>
        <v>4840</v>
      </c>
      <c r="Z11" s="37">
        <f t="shared" si="29"/>
        <v>2440</v>
      </c>
      <c r="AA11" s="37">
        <f t="shared" si="30"/>
        <v>2880</v>
      </c>
      <c r="AB11" s="37">
        <f t="shared" si="31"/>
        <v>6680</v>
      </c>
      <c r="AC11" s="37">
        <f t="shared" si="32"/>
        <v>8800</v>
      </c>
      <c r="AD11" s="35">
        <f t="shared" si="33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4"/>
        <v>293.39999999999998</v>
      </c>
      <c r="AT11" s="61"/>
      <c r="AV11" s="65">
        <v>0</v>
      </c>
      <c r="AW11" s="64">
        <f t="shared" si="14"/>
        <v>0</v>
      </c>
      <c r="AX11" s="66">
        <f t="shared" si="17"/>
        <v>0</v>
      </c>
      <c r="AY11" s="53">
        <v>250631</v>
      </c>
      <c r="AZ11" s="37">
        <f t="shared" si="18"/>
        <v>181700</v>
      </c>
      <c r="BA11" s="37">
        <f t="shared" si="19"/>
        <v>496.041</v>
      </c>
      <c r="BB11" s="59">
        <f t="shared" si="20"/>
        <v>220.4406204</v>
      </c>
    </row>
    <row r="12" spans="1:54" x14ac:dyDescent="0.25">
      <c r="A12" s="23">
        <v>44840</v>
      </c>
      <c r="B12" s="40">
        <v>154</v>
      </c>
      <c r="C12" s="51">
        <v>8480020</v>
      </c>
      <c r="D12" s="51">
        <v>20671980</v>
      </c>
      <c r="E12" s="51">
        <v>3652920</v>
      </c>
      <c r="F12" s="51">
        <v>4288950</v>
      </c>
      <c r="G12" s="51">
        <v>12637420</v>
      </c>
      <c r="H12" s="51">
        <v>7434260</v>
      </c>
      <c r="I12" s="51">
        <v>6451100</v>
      </c>
      <c r="J12" s="51">
        <v>8023550</v>
      </c>
      <c r="K12" s="51">
        <v>11698670</v>
      </c>
      <c r="L12" s="51">
        <v>5095930</v>
      </c>
      <c r="M12" s="51">
        <v>9399730</v>
      </c>
      <c r="N12" s="51">
        <v>15492210</v>
      </c>
      <c r="O12" s="51">
        <v>21674260</v>
      </c>
      <c r="Q12" s="37">
        <f t="shared" si="21"/>
        <v>980</v>
      </c>
      <c r="R12" s="37">
        <f t="shared" si="22"/>
        <v>12070</v>
      </c>
      <c r="S12" s="37">
        <f t="shared" si="16"/>
        <v>2750</v>
      </c>
      <c r="T12" s="37">
        <f t="shared" ref="T12:W14" si="35">IF((F12-F11&lt;0), "0",F12-F11)</f>
        <v>1250</v>
      </c>
      <c r="U12" s="37">
        <f t="shared" si="35"/>
        <v>4900</v>
      </c>
      <c r="V12" s="37">
        <f t="shared" si="35"/>
        <v>3780</v>
      </c>
      <c r="W12" s="37">
        <f t="shared" si="35"/>
        <v>3470</v>
      </c>
      <c r="X12" s="37">
        <f t="shared" si="27"/>
        <v>4570</v>
      </c>
      <c r="Y12" s="37">
        <f t="shared" si="28"/>
        <v>4860</v>
      </c>
      <c r="Z12" s="37">
        <f>IF((L12-L11&lt;0), "0",L12-L11)</f>
        <v>2620</v>
      </c>
      <c r="AA12" s="37">
        <f t="shared" si="30"/>
        <v>2990</v>
      </c>
      <c r="AB12" s="37">
        <f t="shared" si="31"/>
        <v>7100</v>
      </c>
      <c r="AC12" s="37">
        <f t="shared" si="32"/>
        <v>10260</v>
      </c>
      <c r="AD12" s="35">
        <f t="shared" si="33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4"/>
        <v>308</v>
      </c>
      <c r="AT12" s="61"/>
      <c r="AV12" s="65">
        <v>0</v>
      </c>
      <c r="AW12" s="64">
        <f t="shared" si="14"/>
        <v>0</v>
      </c>
      <c r="AX12" s="66">
        <f t="shared" si="17"/>
        <v>0</v>
      </c>
      <c r="AY12" s="54">
        <v>252773</v>
      </c>
      <c r="AZ12" s="37">
        <f t="shared" si="18"/>
        <v>214200</v>
      </c>
      <c r="BA12" s="37">
        <f t="shared" si="19"/>
        <v>584.76599999999996</v>
      </c>
      <c r="BB12" s="59">
        <f t="shared" si="20"/>
        <v>259.87001040000001</v>
      </c>
    </row>
    <row r="13" spans="1:54" x14ac:dyDescent="0.25">
      <c r="A13" s="23">
        <v>44841</v>
      </c>
      <c r="B13" s="40">
        <v>148</v>
      </c>
      <c r="C13" s="57">
        <v>8481040</v>
      </c>
      <c r="D13" s="57">
        <v>20684650</v>
      </c>
      <c r="E13" s="57">
        <v>3655800</v>
      </c>
      <c r="F13" s="57">
        <v>4290540</v>
      </c>
      <c r="G13" s="57">
        <v>12642440</v>
      </c>
      <c r="H13" s="57">
        <v>7438080</v>
      </c>
      <c r="I13" s="57">
        <v>6454460</v>
      </c>
      <c r="J13" s="57">
        <v>8028370</v>
      </c>
      <c r="K13" s="57">
        <v>11703800</v>
      </c>
      <c r="L13" s="57">
        <v>5098680</v>
      </c>
      <c r="M13" s="57">
        <v>9403030</v>
      </c>
      <c r="N13" s="57">
        <v>15499340</v>
      </c>
      <c r="O13" s="57">
        <v>21684240</v>
      </c>
      <c r="Q13" s="37">
        <f t="shared" si="21"/>
        <v>1020</v>
      </c>
      <c r="R13" s="37">
        <f t="shared" si="22"/>
        <v>12670</v>
      </c>
      <c r="S13" s="37">
        <f t="shared" si="16"/>
        <v>2880</v>
      </c>
      <c r="T13" s="37">
        <f t="shared" si="35"/>
        <v>1590</v>
      </c>
      <c r="U13" s="37">
        <f t="shared" si="35"/>
        <v>5020</v>
      </c>
      <c r="V13" s="37">
        <f t="shared" si="35"/>
        <v>3820</v>
      </c>
      <c r="W13" s="37">
        <f t="shared" si="35"/>
        <v>3360</v>
      </c>
      <c r="X13" s="37">
        <f t="shared" si="27"/>
        <v>4820</v>
      </c>
      <c r="Y13" s="37">
        <f t="shared" si="28"/>
        <v>5130</v>
      </c>
      <c r="Z13" s="37">
        <f>IF((L13-L12&lt;0), "0",L13-L12)</f>
        <v>2750</v>
      </c>
      <c r="AA13" s="37">
        <f t="shared" si="30"/>
        <v>3300</v>
      </c>
      <c r="AB13" s="37">
        <f t="shared" si="31"/>
        <v>7130</v>
      </c>
      <c r="AC13" s="37">
        <f t="shared" si="32"/>
        <v>9980</v>
      </c>
      <c r="AD13" s="35">
        <f t="shared" si="33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4"/>
        <v>317.34999999999997</v>
      </c>
      <c r="AT13" s="61"/>
      <c r="AV13" s="65">
        <v>0</v>
      </c>
      <c r="AW13" s="64">
        <f t="shared" si="14"/>
        <v>0</v>
      </c>
      <c r="AX13" s="66">
        <f t="shared" si="17"/>
        <v>0</v>
      </c>
      <c r="AY13" s="58">
        <v>254769</v>
      </c>
      <c r="AZ13" s="37">
        <f t="shared" si="18"/>
        <v>199600</v>
      </c>
      <c r="BA13" s="37">
        <f t="shared" si="19"/>
        <v>544.90800000000002</v>
      </c>
      <c r="BB13" s="59">
        <f t="shared" si="20"/>
        <v>242.15711520000002</v>
      </c>
    </row>
    <row r="14" spans="1:54" x14ac:dyDescent="0.25">
      <c r="A14" s="23">
        <v>44842</v>
      </c>
      <c r="B14" s="40">
        <v>156</v>
      </c>
      <c r="C14" s="51">
        <v>8482070</v>
      </c>
      <c r="D14" s="51">
        <v>20697350</v>
      </c>
      <c r="E14" s="51">
        <v>3658910</v>
      </c>
      <c r="F14" s="51">
        <v>4292140</v>
      </c>
      <c r="G14" s="51">
        <v>12647620</v>
      </c>
      <c r="H14" s="51">
        <v>7442300</v>
      </c>
      <c r="I14" s="51">
        <v>6458080</v>
      </c>
      <c r="J14" s="51">
        <v>8033080</v>
      </c>
      <c r="K14" s="51">
        <v>11708980</v>
      </c>
      <c r="L14" s="51">
        <v>5101510</v>
      </c>
      <c r="M14" s="51">
        <v>9406390</v>
      </c>
      <c r="N14" s="51">
        <v>15506410</v>
      </c>
      <c r="O14" s="51">
        <v>21693870</v>
      </c>
      <c r="P14" s="49"/>
      <c r="Q14" s="37">
        <f t="shared" si="21"/>
        <v>1030</v>
      </c>
      <c r="R14" s="37">
        <f t="shared" si="22"/>
        <v>12700</v>
      </c>
      <c r="S14" s="37">
        <f t="shared" si="16"/>
        <v>3110</v>
      </c>
      <c r="T14" s="37">
        <f t="shared" si="35"/>
        <v>1600</v>
      </c>
      <c r="U14" s="37">
        <f t="shared" si="35"/>
        <v>5180</v>
      </c>
      <c r="V14" s="37">
        <f t="shared" si="35"/>
        <v>4220</v>
      </c>
      <c r="W14" s="37">
        <f t="shared" si="35"/>
        <v>3620</v>
      </c>
      <c r="X14" s="37">
        <f t="shared" si="27"/>
        <v>4710</v>
      </c>
      <c r="Y14" s="37">
        <f t="shared" si="28"/>
        <v>5180</v>
      </c>
      <c r="Z14" s="37">
        <f>IF((L14-L13&lt;0), "0",L14-L13)</f>
        <v>2830</v>
      </c>
      <c r="AA14" s="37">
        <f t="shared" si="30"/>
        <v>3360</v>
      </c>
      <c r="AB14" s="37">
        <f t="shared" si="31"/>
        <v>7070</v>
      </c>
      <c r="AC14" s="37">
        <f t="shared" si="32"/>
        <v>9630</v>
      </c>
      <c r="AD14" s="35">
        <f t="shared" si="33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4"/>
        <v>321.20000000000005</v>
      </c>
      <c r="AT14" s="61"/>
      <c r="AV14" s="65">
        <v>0</v>
      </c>
      <c r="AW14" s="64">
        <f t="shared" si="14"/>
        <v>0</v>
      </c>
      <c r="AX14" s="66">
        <f t="shared" si="17"/>
        <v>0</v>
      </c>
      <c r="AY14" s="54">
        <v>256401</v>
      </c>
      <c r="AZ14" s="37">
        <f t="shared" si="18"/>
        <v>163200</v>
      </c>
      <c r="BA14" s="37">
        <f t="shared" si="19"/>
        <v>445.536</v>
      </c>
      <c r="BB14" s="59">
        <f t="shared" si="20"/>
        <v>197.9961984</v>
      </c>
    </row>
    <row r="15" spans="1:54" x14ac:dyDescent="0.25">
      <c r="A15" s="23">
        <v>44843</v>
      </c>
      <c r="B15" s="40">
        <v>87</v>
      </c>
      <c r="C15" s="50">
        <v>8483120</v>
      </c>
      <c r="D15" s="50">
        <v>20711150</v>
      </c>
      <c r="E15" s="50">
        <v>3662390</v>
      </c>
      <c r="F15" s="50">
        <v>4293810</v>
      </c>
      <c r="G15" s="50">
        <v>12652650</v>
      </c>
      <c r="H15" s="50">
        <v>7446810</v>
      </c>
      <c r="I15" s="50">
        <v>6461280</v>
      </c>
      <c r="J15" s="50">
        <v>8037560</v>
      </c>
      <c r="K15" s="50">
        <v>11713960</v>
      </c>
      <c r="L15" s="50">
        <v>5104270</v>
      </c>
      <c r="M15" s="50">
        <v>9409670</v>
      </c>
      <c r="N15" s="50">
        <v>15513630</v>
      </c>
      <c r="O15" s="50">
        <v>21703820</v>
      </c>
      <c r="Q15" s="37">
        <f t="shared" si="21"/>
        <v>1050</v>
      </c>
      <c r="R15" s="37">
        <f t="shared" si="22"/>
        <v>13800</v>
      </c>
      <c r="S15" s="37">
        <f t="shared" si="16"/>
        <v>3480</v>
      </c>
      <c r="T15" s="37">
        <f t="shared" si="23"/>
        <v>1670</v>
      </c>
      <c r="U15" s="37">
        <f t="shared" si="24"/>
        <v>5030</v>
      </c>
      <c r="V15" s="37">
        <f t="shared" si="25"/>
        <v>4510</v>
      </c>
      <c r="W15" s="37">
        <f t="shared" si="26"/>
        <v>3200</v>
      </c>
      <c r="X15" s="37">
        <f t="shared" si="27"/>
        <v>4480</v>
      </c>
      <c r="Y15" s="37">
        <f t="shared" si="28"/>
        <v>4980</v>
      </c>
      <c r="Z15" s="37">
        <f t="shared" si="29"/>
        <v>2760</v>
      </c>
      <c r="AA15" s="37">
        <f t="shared" si="30"/>
        <v>3280</v>
      </c>
      <c r="AB15" s="37">
        <f t="shared" si="31"/>
        <v>7220</v>
      </c>
      <c r="AC15" s="37">
        <f t="shared" si="32"/>
        <v>9950</v>
      </c>
      <c r="AD15" s="35">
        <f t="shared" si="33"/>
        <v>65410</v>
      </c>
      <c r="AF15" s="20">
        <f t="shared" si="1"/>
        <v>5.25</v>
      </c>
      <c r="AG15" s="20">
        <f t="shared" si="2"/>
        <v>69</v>
      </c>
      <c r="AH15" s="20">
        <f t="shared" si="3"/>
        <v>17.400000000000002</v>
      </c>
      <c r="AI15" s="20">
        <f t="shared" si="4"/>
        <v>8.35</v>
      </c>
      <c r="AJ15" s="20">
        <f t="shared" si="5"/>
        <v>25.150000000000002</v>
      </c>
      <c r="AK15" s="20">
        <f t="shared" si="6"/>
        <v>22.55</v>
      </c>
      <c r="AL15" s="20">
        <f t="shared" si="7"/>
        <v>16</v>
      </c>
      <c r="AM15" s="20">
        <f t="shared" si="8"/>
        <v>22.400000000000002</v>
      </c>
      <c r="AN15" s="20">
        <f t="shared" si="9"/>
        <v>24.900000000000002</v>
      </c>
      <c r="AO15" s="20">
        <f t="shared" si="10"/>
        <v>13.8</v>
      </c>
      <c r="AP15" s="20">
        <f t="shared" si="11"/>
        <v>16.399999999999999</v>
      </c>
      <c r="AQ15" s="20">
        <f t="shared" si="12"/>
        <v>36.1</v>
      </c>
      <c r="AR15" s="20">
        <f t="shared" si="13"/>
        <v>49.75</v>
      </c>
      <c r="AS15" s="35">
        <f t="shared" si="34"/>
        <v>327.05000000000007</v>
      </c>
      <c r="AT15" s="61"/>
      <c r="AV15" s="65">
        <v>0</v>
      </c>
      <c r="AW15" s="64">
        <f t="shared" si="14"/>
        <v>0</v>
      </c>
      <c r="AX15" s="66">
        <f t="shared" si="17"/>
        <v>0</v>
      </c>
      <c r="AY15" s="53">
        <v>258440</v>
      </c>
      <c r="AZ15" s="37">
        <f t="shared" si="18"/>
        <v>203900</v>
      </c>
      <c r="BA15" s="37">
        <f t="shared" si="19"/>
        <v>556.64699999999993</v>
      </c>
      <c r="BB15" s="59">
        <f t="shared" si="20"/>
        <v>247.37392679999999</v>
      </c>
    </row>
    <row r="16" spans="1:54" x14ac:dyDescent="0.25">
      <c r="A16" s="23">
        <v>44844</v>
      </c>
      <c r="B16" s="40">
        <v>115</v>
      </c>
      <c r="C16" s="51">
        <v>8484090</v>
      </c>
      <c r="D16" s="51">
        <v>20724540</v>
      </c>
      <c r="E16" s="51">
        <v>3665750</v>
      </c>
      <c r="F16" s="51">
        <v>4295390</v>
      </c>
      <c r="G16" s="51">
        <v>12657130</v>
      </c>
      <c r="H16" s="51">
        <v>7450890</v>
      </c>
      <c r="I16" s="51">
        <v>6464950</v>
      </c>
      <c r="J16" s="51">
        <v>8042080</v>
      </c>
      <c r="K16" s="51">
        <v>11718800</v>
      </c>
      <c r="L16" s="51">
        <v>5106740</v>
      </c>
      <c r="M16" s="51">
        <v>9412600</v>
      </c>
      <c r="N16" s="51">
        <v>15520280</v>
      </c>
      <c r="O16" s="51">
        <v>21713230</v>
      </c>
      <c r="Q16" s="37">
        <f t="shared" si="21"/>
        <v>970</v>
      </c>
      <c r="R16" s="37">
        <f t="shared" si="22"/>
        <v>13390</v>
      </c>
      <c r="S16" s="37">
        <f t="shared" si="16"/>
        <v>3360</v>
      </c>
      <c r="T16" s="37">
        <f t="shared" si="23"/>
        <v>1580</v>
      </c>
      <c r="U16" s="37">
        <f>IF((G16-G15&lt;0), "0",G16-G15)</f>
        <v>4480</v>
      </c>
      <c r="V16" s="37">
        <f>IF((H16-H15&lt;0), "0",H16-H15)</f>
        <v>4080</v>
      </c>
      <c r="W16" s="37">
        <f t="shared" si="26"/>
        <v>3670</v>
      </c>
      <c r="X16" s="37">
        <f t="shared" si="27"/>
        <v>4520</v>
      </c>
      <c r="Y16" s="37">
        <f t="shared" si="28"/>
        <v>4840</v>
      </c>
      <c r="Z16" s="37">
        <f t="shared" si="29"/>
        <v>2470</v>
      </c>
      <c r="AA16" s="37">
        <f t="shared" si="30"/>
        <v>2930</v>
      </c>
      <c r="AB16" s="37">
        <f t="shared" si="31"/>
        <v>6650</v>
      </c>
      <c r="AC16" s="37">
        <f t="shared" si="32"/>
        <v>9410</v>
      </c>
      <c r="AD16" s="35">
        <f t="shared" si="33"/>
        <v>62350</v>
      </c>
      <c r="AF16" s="20">
        <f t="shared" si="1"/>
        <v>4.8500000000000005</v>
      </c>
      <c r="AG16" s="20">
        <f t="shared" si="2"/>
        <v>66.95</v>
      </c>
      <c r="AH16" s="20">
        <f t="shared" si="3"/>
        <v>16.8</v>
      </c>
      <c r="AI16" s="20">
        <f t="shared" si="4"/>
        <v>7.9</v>
      </c>
      <c r="AJ16" s="20">
        <f t="shared" si="5"/>
        <v>22.400000000000002</v>
      </c>
      <c r="AK16" s="20">
        <f t="shared" si="6"/>
        <v>20.400000000000002</v>
      </c>
      <c r="AL16" s="20">
        <f t="shared" si="7"/>
        <v>18.350000000000001</v>
      </c>
      <c r="AM16" s="20">
        <f t="shared" si="8"/>
        <v>22.6</v>
      </c>
      <c r="AN16" s="20">
        <f t="shared" si="9"/>
        <v>24.2</v>
      </c>
      <c r="AO16" s="20">
        <f t="shared" si="10"/>
        <v>12.35</v>
      </c>
      <c r="AP16" s="20">
        <f t="shared" si="11"/>
        <v>14.65</v>
      </c>
      <c r="AQ16" s="20">
        <f t="shared" si="12"/>
        <v>33.25</v>
      </c>
      <c r="AR16" s="20">
        <f t="shared" si="13"/>
        <v>47.050000000000004</v>
      </c>
      <c r="AS16" s="35">
        <f t="shared" si="34"/>
        <v>311.75</v>
      </c>
      <c r="AT16" s="61"/>
      <c r="AV16" s="65">
        <v>0</v>
      </c>
      <c r="AW16" s="64">
        <f t="shared" si="14"/>
        <v>0</v>
      </c>
      <c r="AX16" s="66">
        <f t="shared" si="17"/>
        <v>0</v>
      </c>
      <c r="AY16" s="54">
        <v>260243</v>
      </c>
      <c r="AZ16" s="37">
        <f t="shared" si="18"/>
        <v>180300</v>
      </c>
      <c r="BA16" s="37">
        <f t="shared" si="19"/>
        <v>492.21899999999999</v>
      </c>
      <c r="BB16" s="59">
        <f t="shared" si="20"/>
        <v>218.74212360000001</v>
      </c>
    </row>
    <row r="17" spans="1:54" x14ac:dyDescent="0.25">
      <c r="A17" s="23">
        <v>44845</v>
      </c>
      <c r="B17" s="40">
        <v>107</v>
      </c>
      <c r="C17" s="50">
        <v>8485110</v>
      </c>
      <c r="D17" s="50">
        <v>20737170</v>
      </c>
      <c r="E17" s="50">
        <v>3668780</v>
      </c>
      <c r="F17" s="50">
        <v>4296970</v>
      </c>
      <c r="G17" s="50">
        <v>12661540</v>
      </c>
      <c r="H17" s="50">
        <v>7454900</v>
      </c>
      <c r="I17" s="50">
        <v>6468080</v>
      </c>
      <c r="J17" s="50">
        <v>8046800</v>
      </c>
      <c r="K17" s="50">
        <v>11723790</v>
      </c>
      <c r="L17" s="50">
        <v>5109270</v>
      </c>
      <c r="M17" s="50">
        <v>9415520</v>
      </c>
      <c r="N17" s="50">
        <v>15527210</v>
      </c>
      <c r="O17" s="50">
        <v>21722860</v>
      </c>
      <c r="Q17" s="37">
        <f t="shared" si="21"/>
        <v>1020</v>
      </c>
      <c r="R17" s="37">
        <f t="shared" si="22"/>
        <v>12630</v>
      </c>
      <c r="S17" s="37">
        <f t="shared" si="16"/>
        <v>3030</v>
      </c>
      <c r="T17" s="37">
        <f t="shared" si="23"/>
        <v>1580</v>
      </c>
      <c r="U17" s="37">
        <f>IF((G17-G16&lt;0), "0",G17-G16)</f>
        <v>4410</v>
      </c>
      <c r="V17" s="37">
        <f>IF((H17-H16&lt;0), "0",H17-H16)</f>
        <v>4010</v>
      </c>
      <c r="W17" s="37">
        <f t="shared" si="26"/>
        <v>3130</v>
      </c>
      <c r="X17" s="37">
        <f t="shared" si="27"/>
        <v>4720</v>
      </c>
      <c r="Y17" s="37">
        <f t="shared" si="28"/>
        <v>4990</v>
      </c>
      <c r="Z17" s="37">
        <f t="shared" si="29"/>
        <v>2530</v>
      </c>
      <c r="AA17" s="37">
        <f t="shared" si="30"/>
        <v>2920</v>
      </c>
      <c r="AB17" s="37">
        <f t="shared" si="31"/>
        <v>6930</v>
      </c>
      <c r="AC17" s="37">
        <f t="shared" si="32"/>
        <v>9630</v>
      </c>
      <c r="AD17" s="35">
        <f t="shared" si="33"/>
        <v>61530</v>
      </c>
      <c r="AF17" s="20">
        <f t="shared" si="1"/>
        <v>5.1000000000000005</v>
      </c>
      <c r="AG17" s="20">
        <f t="shared" si="2"/>
        <v>63.15</v>
      </c>
      <c r="AH17" s="20">
        <f t="shared" si="3"/>
        <v>15.15</v>
      </c>
      <c r="AI17" s="20">
        <f t="shared" si="4"/>
        <v>7.9</v>
      </c>
      <c r="AJ17" s="20">
        <f t="shared" si="5"/>
        <v>22.05</v>
      </c>
      <c r="AK17" s="20">
        <f t="shared" si="6"/>
        <v>20.05</v>
      </c>
      <c r="AL17" s="20">
        <f t="shared" si="7"/>
        <v>15.65</v>
      </c>
      <c r="AM17" s="20">
        <f t="shared" si="8"/>
        <v>23.6</v>
      </c>
      <c r="AN17" s="20">
        <f t="shared" si="9"/>
        <v>24.95</v>
      </c>
      <c r="AO17" s="20">
        <f t="shared" si="10"/>
        <v>12.65</v>
      </c>
      <c r="AP17" s="20">
        <f t="shared" si="11"/>
        <v>14.6</v>
      </c>
      <c r="AQ17" s="20">
        <f t="shared" si="12"/>
        <v>34.65</v>
      </c>
      <c r="AR17" s="20">
        <f t="shared" si="13"/>
        <v>48.15</v>
      </c>
      <c r="AS17" s="35">
        <f t="shared" si="34"/>
        <v>307.64999999999998</v>
      </c>
      <c r="AT17" s="61"/>
      <c r="AV17" s="65">
        <v>0</v>
      </c>
      <c r="AW17" s="64">
        <f t="shared" si="14"/>
        <v>0</v>
      </c>
      <c r="AX17" s="66">
        <f t="shared" si="17"/>
        <v>0</v>
      </c>
      <c r="AY17" s="56">
        <v>262108</v>
      </c>
      <c r="AZ17" s="37">
        <f t="shared" si="18"/>
        <v>186500</v>
      </c>
      <c r="BA17" s="37">
        <f t="shared" si="19"/>
        <v>509.14499999999998</v>
      </c>
      <c r="BB17" s="59">
        <f t="shared" si="20"/>
        <v>226.264038</v>
      </c>
    </row>
    <row r="18" spans="1:54" x14ac:dyDescent="0.25">
      <c r="A18" s="23">
        <v>44846</v>
      </c>
      <c r="B18" s="40">
        <v>104</v>
      </c>
      <c r="C18" s="51">
        <v>8486040</v>
      </c>
      <c r="D18" s="51">
        <v>20749720</v>
      </c>
      <c r="E18" s="51">
        <v>3671200</v>
      </c>
      <c r="F18" s="51">
        <v>4298530</v>
      </c>
      <c r="G18" s="51">
        <v>12665930</v>
      </c>
      <c r="H18" s="51">
        <v>7458890</v>
      </c>
      <c r="I18" s="51">
        <v>6471210</v>
      </c>
      <c r="J18" s="51">
        <v>8051430</v>
      </c>
      <c r="K18" s="51">
        <v>11728810</v>
      </c>
      <c r="L18" s="51">
        <v>5111670</v>
      </c>
      <c r="M18" s="51">
        <v>9418420</v>
      </c>
      <c r="N18" s="51">
        <v>15534040</v>
      </c>
      <c r="O18" s="51">
        <v>21733870</v>
      </c>
      <c r="Q18" s="37">
        <f t="shared" si="21"/>
        <v>930</v>
      </c>
      <c r="R18" s="37">
        <f t="shared" si="22"/>
        <v>12550</v>
      </c>
      <c r="S18" s="37">
        <f t="shared" si="16"/>
        <v>2420</v>
      </c>
      <c r="T18" s="37">
        <f t="shared" si="23"/>
        <v>1560</v>
      </c>
      <c r="U18" s="37">
        <f t="shared" si="24"/>
        <v>4390</v>
      </c>
      <c r="V18" s="37">
        <f t="shared" si="25"/>
        <v>3990</v>
      </c>
      <c r="W18" s="37">
        <f t="shared" si="26"/>
        <v>3130</v>
      </c>
      <c r="X18" s="37">
        <f t="shared" si="27"/>
        <v>4630</v>
      </c>
      <c r="Y18" s="37">
        <f t="shared" si="28"/>
        <v>5020</v>
      </c>
      <c r="Z18" s="37">
        <f t="shared" si="29"/>
        <v>2400</v>
      </c>
      <c r="AA18" s="37">
        <f t="shared" si="30"/>
        <v>2900</v>
      </c>
      <c r="AB18" s="37">
        <f t="shared" si="31"/>
        <v>6830</v>
      </c>
      <c r="AC18" s="37">
        <f t="shared" si="32"/>
        <v>11010</v>
      </c>
      <c r="AD18" s="35">
        <f t="shared" si="33"/>
        <v>61760</v>
      </c>
      <c r="AF18" s="20">
        <f t="shared" si="1"/>
        <v>4.6500000000000004</v>
      </c>
      <c r="AG18" s="20">
        <f t="shared" si="2"/>
        <v>62.75</v>
      </c>
      <c r="AH18" s="20">
        <f t="shared" si="3"/>
        <v>12.1</v>
      </c>
      <c r="AI18" s="20">
        <f t="shared" si="4"/>
        <v>7.8</v>
      </c>
      <c r="AJ18" s="20">
        <f t="shared" si="5"/>
        <v>21.95</v>
      </c>
      <c r="AK18" s="20">
        <f t="shared" si="6"/>
        <v>19.95</v>
      </c>
      <c r="AL18" s="20">
        <f t="shared" si="7"/>
        <v>15.65</v>
      </c>
      <c r="AM18" s="20">
        <f t="shared" si="8"/>
        <v>23.150000000000002</v>
      </c>
      <c r="AN18" s="20">
        <f t="shared" si="9"/>
        <v>25.1</v>
      </c>
      <c r="AO18" s="20">
        <f t="shared" si="10"/>
        <v>12</v>
      </c>
      <c r="AP18" s="20">
        <f t="shared" si="11"/>
        <v>14.5</v>
      </c>
      <c r="AQ18" s="20">
        <f t="shared" si="12"/>
        <v>34.15</v>
      </c>
      <c r="AR18" s="20">
        <f t="shared" si="13"/>
        <v>55.050000000000004</v>
      </c>
      <c r="AS18" s="35">
        <f t="shared" si="34"/>
        <v>308.8</v>
      </c>
      <c r="AT18" s="61"/>
      <c r="AV18" s="65">
        <v>0</v>
      </c>
      <c r="AW18" s="64">
        <f t="shared" si="14"/>
        <v>0</v>
      </c>
      <c r="AX18" s="66">
        <f t="shared" si="17"/>
        <v>0</v>
      </c>
      <c r="AY18" s="54">
        <v>263779</v>
      </c>
      <c r="AZ18" s="37">
        <f t="shared" si="18"/>
        <v>167100</v>
      </c>
      <c r="BA18" s="37">
        <f t="shared" si="19"/>
        <v>456.18300000000005</v>
      </c>
      <c r="BB18" s="59">
        <f t="shared" si="20"/>
        <v>202.72772520000004</v>
      </c>
    </row>
    <row r="19" spans="1:54" x14ac:dyDescent="0.25">
      <c r="A19" s="23">
        <v>44847</v>
      </c>
      <c r="B19" s="40">
        <v>125</v>
      </c>
      <c r="C19" s="50">
        <v>8487060</v>
      </c>
      <c r="D19" s="50">
        <v>20761960</v>
      </c>
      <c r="E19" s="50">
        <v>3674070</v>
      </c>
      <c r="F19" s="50">
        <v>4300090</v>
      </c>
      <c r="G19" s="50">
        <v>12670450</v>
      </c>
      <c r="H19" s="50">
        <v>7462970</v>
      </c>
      <c r="I19" s="50">
        <v>6475140</v>
      </c>
      <c r="J19" s="50">
        <v>8055880</v>
      </c>
      <c r="K19" s="50">
        <v>11733970</v>
      </c>
      <c r="L19" s="50">
        <v>5114280</v>
      </c>
      <c r="M19" s="50">
        <v>9421500</v>
      </c>
      <c r="N19" s="50">
        <v>15540940</v>
      </c>
      <c r="O19" s="50">
        <v>21743960</v>
      </c>
      <c r="Q19" s="37">
        <f t="shared" si="21"/>
        <v>1020</v>
      </c>
      <c r="R19" s="37">
        <f t="shared" si="22"/>
        <v>12240</v>
      </c>
      <c r="S19" s="37">
        <f t="shared" si="16"/>
        <v>2870</v>
      </c>
      <c r="T19" s="37">
        <f t="shared" si="23"/>
        <v>1560</v>
      </c>
      <c r="U19" s="37">
        <f t="shared" si="24"/>
        <v>4520</v>
      </c>
      <c r="V19" s="37">
        <f t="shared" si="25"/>
        <v>4080</v>
      </c>
      <c r="W19" s="37">
        <f t="shared" si="26"/>
        <v>3930</v>
      </c>
      <c r="X19" s="37">
        <f t="shared" si="27"/>
        <v>4450</v>
      </c>
      <c r="Y19" s="37">
        <f t="shared" si="28"/>
        <v>5160</v>
      </c>
      <c r="Z19" s="37">
        <f t="shared" si="29"/>
        <v>2610</v>
      </c>
      <c r="AA19" s="37">
        <f t="shared" si="30"/>
        <v>3080</v>
      </c>
      <c r="AB19" s="37">
        <f t="shared" si="31"/>
        <v>6900</v>
      </c>
      <c r="AC19" s="37">
        <f t="shared" si="32"/>
        <v>10090</v>
      </c>
      <c r="AD19" s="35">
        <f t="shared" si="33"/>
        <v>62510</v>
      </c>
      <c r="AF19" s="20">
        <f t="shared" si="1"/>
        <v>5.1000000000000005</v>
      </c>
      <c r="AG19" s="20">
        <f t="shared" si="2"/>
        <v>61.2</v>
      </c>
      <c r="AH19" s="20">
        <f t="shared" si="3"/>
        <v>14.35</v>
      </c>
      <c r="AI19" s="20">
        <f t="shared" si="4"/>
        <v>7.8</v>
      </c>
      <c r="AJ19" s="20">
        <f t="shared" si="5"/>
        <v>22.6</v>
      </c>
      <c r="AK19" s="20">
        <f t="shared" si="6"/>
        <v>20.400000000000002</v>
      </c>
      <c r="AL19" s="20">
        <f t="shared" si="7"/>
        <v>19.650000000000002</v>
      </c>
      <c r="AM19" s="20">
        <f t="shared" si="8"/>
        <v>22.25</v>
      </c>
      <c r="AN19" s="20">
        <f t="shared" si="9"/>
        <v>25.8</v>
      </c>
      <c r="AO19" s="20">
        <f t="shared" si="10"/>
        <v>13.05</v>
      </c>
      <c r="AP19" s="20">
        <f t="shared" si="11"/>
        <v>15.4</v>
      </c>
      <c r="AQ19" s="20">
        <f t="shared" si="12"/>
        <v>34.5</v>
      </c>
      <c r="AR19" s="20">
        <f t="shared" si="13"/>
        <v>50.45</v>
      </c>
      <c r="AS19" s="35">
        <f t="shared" si="34"/>
        <v>312.55</v>
      </c>
      <c r="AT19" s="61"/>
      <c r="AV19" s="65">
        <v>0</v>
      </c>
      <c r="AW19" s="64">
        <f t="shared" si="14"/>
        <v>0</v>
      </c>
      <c r="AX19" s="66">
        <f t="shared" si="17"/>
        <v>0</v>
      </c>
      <c r="AY19" s="53">
        <v>265542</v>
      </c>
      <c r="AZ19" s="37">
        <f t="shared" si="18"/>
        <v>176300</v>
      </c>
      <c r="BA19" s="37">
        <f t="shared" si="19"/>
        <v>481.29900000000004</v>
      </c>
      <c r="BB19" s="59">
        <f t="shared" si="20"/>
        <v>213.88927560000002</v>
      </c>
    </row>
    <row r="20" spans="1:54" x14ac:dyDescent="0.25">
      <c r="A20" s="23">
        <v>44848</v>
      </c>
      <c r="B20" s="40">
        <v>124</v>
      </c>
      <c r="C20" s="51">
        <v>8487980</v>
      </c>
      <c r="D20" s="51">
        <v>20775040</v>
      </c>
      <c r="E20" s="51">
        <v>3676520</v>
      </c>
      <c r="F20" s="51">
        <v>4301660</v>
      </c>
      <c r="G20" s="51">
        <v>12675190</v>
      </c>
      <c r="H20" s="51">
        <v>7467200</v>
      </c>
      <c r="I20" s="51">
        <v>6479000</v>
      </c>
      <c r="J20" s="51">
        <v>8060350</v>
      </c>
      <c r="K20" s="51">
        <v>11739340</v>
      </c>
      <c r="L20" s="51">
        <v>5117010</v>
      </c>
      <c r="M20" s="51">
        <v>9424640</v>
      </c>
      <c r="N20" s="51">
        <v>15548060</v>
      </c>
      <c r="O20" s="51">
        <v>21754440</v>
      </c>
      <c r="Q20" s="37">
        <f t="shared" si="21"/>
        <v>920</v>
      </c>
      <c r="R20" s="37">
        <f t="shared" si="22"/>
        <v>13080</v>
      </c>
      <c r="S20" s="37">
        <f t="shared" si="16"/>
        <v>2450</v>
      </c>
      <c r="T20" s="37">
        <f t="shared" si="23"/>
        <v>1570</v>
      </c>
      <c r="U20" s="37">
        <f t="shared" si="24"/>
        <v>4740</v>
      </c>
      <c r="V20" s="37">
        <f t="shared" si="25"/>
        <v>4230</v>
      </c>
      <c r="W20" s="37">
        <f t="shared" si="26"/>
        <v>3860</v>
      </c>
      <c r="X20" s="37">
        <f t="shared" si="27"/>
        <v>4470</v>
      </c>
      <c r="Y20" s="37">
        <f t="shared" si="28"/>
        <v>5370</v>
      </c>
      <c r="Z20" s="37">
        <f t="shared" si="29"/>
        <v>2730</v>
      </c>
      <c r="AA20" s="37">
        <f t="shared" si="30"/>
        <v>3140</v>
      </c>
      <c r="AB20" s="37">
        <f t="shared" si="31"/>
        <v>7120</v>
      </c>
      <c r="AC20" s="37">
        <f t="shared" si="32"/>
        <v>10480</v>
      </c>
      <c r="AD20" s="35">
        <f t="shared" si="33"/>
        <v>64160</v>
      </c>
      <c r="AF20" s="20">
        <f t="shared" si="1"/>
        <v>4.6000000000000005</v>
      </c>
      <c r="AG20" s="20">
        <f t="shared" si="2"/>
        <v>65.400000000000006</v>
      </c>
      <c r="AH20" s="20">
        <f t="shared" si="3"/>
        <v>12.25</v>
      </c>
      <c r="AI20" s="20">
        <f t="shared" si="4"/>
        <v>7.8500000000000005</v>
      </c>
      <c r="AJ20" s="20">
        <f t="shared" si="5"/>
        <v>23.7</v>
      </c>
      <c r="AK20" s="20">
        <f t="shared" si="6"/>
        <v>21.150000000000002</v>
      </c>
      <c r="AL20" s="20">
        <f t="shared" si="7"/>
        <v>19.3</v>
      </c>
      <c r="AM20" s="20">
        <f t="shared" si="8"/>
        <v>22.35</v>
      </c>
      <c r="AN20" s="20">
        <f t="shared" si="9"/>
        <v>26.85</v>
      </c>
      <c r="AO20" s="20">
        <f t="shared" si="10"/>
        <v>13.65</v>
      </c>
      <c r="AP20" s="20">
        <f t="shared" si="11"/>
        <v>15.700000000000001</v>
      </c>
      <c r="AQ20" s="20">
        <f t="shared" si="12"/>
        <v>35.6</v>
      </c>
      <c r="AR20" s="20">
        <f t="shared" si="13"/>
        <v>52.4</v>
      </c>
      <c r="AS20" s="35">
        <f t="shared" si="34"/>
        <v>320.79999999999995</v>
      </c>
      <c r="AT20" s="61"/>
      <c r="AV20" s="65">
        <v>0</v>
      </c>
      <c r="AW20" s="64">
        <f t="shared" si="14"/>
        <v>0</v>
      </c>
      <c r="AX20" s="66">
        <f t="shared" si="17"/>
        <v>0</v>
      </c>
      <c r="AY20" s="54">
        <v>267188</v>
      </c>
      <c r="AZ20" s="37">
        <f t="shared" si="18"/>
        <v>164600</v>
      </c>
      <c r="BA20" s="37">
        <f t="shared" si="19"/>
        <v>449.358</v>
      </c>
      <c r="BB20" s="59">
        <f t="shared" si="20"/>
        <v>199.69469520000001</v>
      </c>
    </row>
    <row r="21" spans="1:54" x14ac:dyDescent="0.25">
      <c r="A21" s="23">
        <v>44849</v>
      </c>
      <c r="B21" s="40">
        <v>77</v>
      </c>
      <c r="C21" s="50">
        <v>8488970</v>
      </c>
      <c r="D21" s="50">
        <v>20787470</v>
      </c>
      <c r="E21" s="50">
        <v>3679580</v>
      </c>
      <c r="F21" s="50">
        <v>4303190</v>
      </c>
      <c r="G21" s="50">
        <v>12679850</v>
      </c>
      <c r="H21" s="50">
        <v>7471210</v>
      </c>
      <c r="I21" s="50">
        <v>6482140</v>
      </c>
      <c r="J21" s="50">
        <v>8064800</v>
      </c>
      <c r="K21" s="50">
        <v>11744580</v>
      </c>
      <c r="L21" s="50">
        <v>5119570</v>
      </c>
      <c r="M21" s="50">
        <v>9427570</v>
      </c>
      <c r="N21" s="50">
        <v>15554890</v>
      </c>
      <c r="O21" s="50">
        <v>21764360</v>
      </c>
      <c r="Q21" s="37">
        <f t="shared" si="21"/>
        <v>990</v>
      </c>
      <c r="R21" s="37">
        <f t="shared" si="22"/>
        <v>12430</v>
      </c>
      <c r="S21" s="37">
        <f t="shared" si="16"/>
        <v>3060</v>
      </c>
      <c r="T21" s="37">
        <f t="shared" si="23"/>
        <v>1530</v>
      </c>
      <c r="U21" s="37">
        <f t="shared" si="24"/>
        <v>4660</v>
      </c>
      <c r="V21" s="37">
        <f t="shared" si="25"/>
        <v>4010</v>
      </c>
      <c r="W21" s="37">
        <f t="shared" si="26"/>
        <v>3140</v>
      </c>
      <c r="X21" s="37">
        <f t="shared" si="27"/>
        <v>4450</v>
      </c>
      <c r="Y21" s="37">
        <f t="shared" si="28"/>
        <v>5240</v>
      </c>
      <c r="Z21" s="37">
        <f t="shared" si="29"/>
        <v>2560</v>
      </c>
      <c r="AA21" s="37">
        <f t="shared" si="30"/>
        <v>2930</v>
      </c>
      <c r="AB21" s="37">
        <f t="shared" si="31"/>
        <v>6830</v>
      </c>
      <c r="AC21" s="37">
        <f t="shared" si="32"/>
        <v>9920</v>
      </c>
      <c r="AD21" s="35">
        <f t="shared" si="33"/>
        <v>61750</v>
      </c>
      <c r="AF21" s="20">
        <f t="shared" si="1"/>
        <v>4.95</v>
      </c>
      <c r="AG21" s="20">
        <f t="shared" si="2"/>
        <v>62.15</v>
      </c>
      <c r="AH21" s="20">
        <f t="shared" si="3"/>
        <v>15.3</v>
      </c>
      <c r="AI21" s="20">
        <f t="shared" si="4"/>
        <v>7.65</v>
      </c>
      <c r="AJ21" s="20">
        <f t="shared" si="5"/>
        <v>23.3</v>
      </c>
      <c r="AK21" s="20">
        <f t="shared" si="6"/>
        <v>20.05</v>
      </c>
      <c r="AL21" s="20">
        <f t="shared" si="7"/>
        <v>15.700000000000001</v>
      </c>
      <c r="AM21" s="20">
        <f t="shared" si="8"/>
        <v>22.25</v>
      </c>
      <c r="AN21" s="20">
        <f t="shared" si="9"/>
        <v>26.2</v>
      </c>
      <c r="AO21" s="20">
        <f t="shared" si="10"/>
        <v>12.8</v>
      </c>
      <c r="AP21" s="20">
        <f t="shared" si="11"/>
        <v>14.65</v>
      </c>
      <c r="AQ21" s="20">
        <f t="shared" si="12"/>
        <v>34.15</v>
      </c>
      <c r="AR21" s="20">
        <f t="shared" si="13"/>
        <v>49.6</v>
      </c>
      <c r="AS21" s="35">
        <f t="shared" si="34"/>
        <v>308.75</v>
      </c>
      <c r="AT21" s="61"/>
      <c r="AV21" s="65">
        <v>0</v>
      </c>
      <c r="AW21" s="64">
        <f t="shared" si="14"/>
        <v>0</v>
      </c>
      <c r="AX21" s="66">
        <f t="shared" si="17"/>
        <v>0</v>
      </c>
      <c r="AY21" s="53">
        <v>269127</v>
      </c>
      <c r="AZ21" s="37">
        <f t="shared" si="18"/>
        <v>193900</v>
      </c>
      <c r="BA21" s="37">
        <f t="shared" si="19"/>
        <v>529.34699999999998</v>
      </c>
      <c r="BB21" s="59">
        <f t="shared" si="20"/>
        <v>235.24180680000001</v>
      </c>
    </row>
    <row r="22" spans="1:54" x14ac:dyDescent="0.25">
      <c r="A22" s="23">
        <v>44850</v>
      </c>
      <c r="B22" s="40">
        <v>71</v>
      </c>
      <c r="C22" s="51">
        <v>8490030</v>
      </c>
      <c r="D22" s="51">
        <v>20801950</v>
      </c>
      <c r="E22" s="51">
        <v>3683280</v>
      </c>
      <c r="F22" s="51">
        <v>4304850</v>
      </c>
      <c r="G22" s="51">
        <v>12684410</v>
      </c>
      <c r="H22" s="51">
        <v>7475370</v>
      </c>
      <c r="I22" s="51">
        <v>6485240</v>
      </c>
      <c r="J22" s="51">
        <v>8069150</v>
      </c>
      <c r="K22" s="51">
        <v>11750020</v>
      </c>
      <c r="L22" s="51">
        <v>5122130</v>
      </c>
      <c r="M22" s="51">
        <v>9430570</v>
      </c>
      <c r="N22" s="51">
        <v>15561980</v>
      </c>
      <c r="O22" s="51">
        <v>21774040</v>
      </c>
      <c r="Q22" s="37">
        <f t="shared" si="21"/>
        <v>1060</v>
      </c>
      <c r="R22" s="37">
        <f t="shared" si="22"/>
        <v>14480</v>
      </c>
      <c r="S22" s="37">
        <f t="shared" si="16"/>
        <v>3700</v>
      </c>
      <c r="T22" s="37">
        <f t="shared" si="23"/>
        <v>1660</v>
      </c>
      <c r="U22" s="37">
        <f t="shared" si="24"/>
        <v>4560</v>
      </c>
      <c r="V22" s="37">
        <f t="shared" si="25"/>
        <v>4160</v>
      </c>
      <c r="W22" s="37">
        <f t="shared" si="26"/>
        <v>3100</v>
      </c>
      <c r="X22" s="37">
        <f t="shared" si="27"/>
        <v>4350</v>
      </c>
      <c r="Y22" s="37">
        <f t="shared" si="28"/>
        <v>5440</v>
      </c>
      <c r="Z22" s="37">
        <f t="shared" si="29"/>
        <v>2560</v>
      </c>
      <c r="AA22" s="37">
        <f t="shared" si="30"/>
        <v>3000</v>
      </c>
      <c r="AB22" s="37">
        <f t="shared" si="31"/>
        <v>7090</v>
      </c>
      <c r="AC22" s="37">
        <f t="shared" si="32"/>
        <v>9680</v>
      </c>
      <c r="AD22" s="35">
        <f t="shared" si="33"/>
        <v>64840</v>
      </c>
      <c r="AF22" s="20">
        <f t="shared" si="1"/>
        <v>5.3</v>
      </c>
      <c r="AG22" s="20">
        <f t="shared" si="2"/>
        <v>72.400000000000006</v>
      </c>
      <c r="AH22" s="20">
        <f t="shared" si="3"/>
        <v>18.5</v>
      </c>
      <c r="AI22" s="20">
        <f t="shared" si="4"/>
        <v>8.3000000000000007</v>
      </c>
      <c r="AJ22" s="20">
        <f t="shared" si="5"/>
        <v>22.8</v>
      </c>
      <c r="AK22" s="20">
        <f t="shared" si="6"/>
        <v>20.8</v>
      </c>
      <c r="AL22" s="20">
        <f t="shared" si="7"/>
        <v>15.5</v>
      </c>
      <c r="AM22" s="20">
        <f t="shared" si="8"/>
        <v>21.75</v>
      </c>
      <c r="AN22" s="20">
        <f t="shared" si="9"/>
        <v>27.2</v>
      </c>
      <c r="AO22" s="20">
        <f t="shared" si="10"/>
        <v>12.8</v>
      </c>
      <c r="AP22" s="20">
        <f t="shared" si="11"/>
        <v>15</v>
      </c>
      <c r="AQ22" s="20">
        <f t="shared" si="12"/>
        <v>35.450000000000003</v>
      </c>
      <c r="AR22" s="20">
        <f t="shared" si="13"/>
        <v>48.4</v>
      </c>
      <c r="AS22" s="35">
        <f t="shared" si="34"/>
        <v>324.2</v>
      </c>
      <c r="AT22" s="61"/>
      <c r="AV22" s="65">
        <v>0</v>
      </c>
      <c r="AW22" s="64">
        <f t="shared" si="14"/>
        <v>0</v>
      </c>
      <c r="AX22" s="66">
        <f t="shared" si="17"/>
        <v>0</v>
      </c>
      <c r="AY22" s="54">
        <v>270822</v>
      </c>
      <c r="AZ22" s="37">
        <f t="shared" si="18"/>
        <v>169500</v>
      </c>
      <c r="BA22" s="37">
        <f t="shared" si="19"/>
        <v>462.73500000000001</v>
      </c>
      <c r="BB22" s="59">
        <f t="shared" si="20"/>
        <v>205.63943400000002</v>
      </c>
    </row>
    <row r="23" spans="1:54" x14ac:dyDescent="0.25">
      <c r="A23" s="23">
        <v>44851</v>
      </c>
      <c r="B23" s="40">
        <v>60</v>
      </c>
      <c r="C23" s="24">
        <v>8491020</v>
      </c>
      <c r="D23" s="24">
        <v>20815140</v>
      </c>
      <c r="E23" s="24">
        <v>3686570</v>
      </c>
      <c r="F23" s="24">
        <v>4306400</v>
      </c>
      <c r="G23" s="24">
        <v>12688770</v>
      </c>
      <c r="H23" s="24">
        <v>7479260</v>
      </c>
      <c r="I23" s="24">
        <v>6488420</v>
      </c>
      <c r="J23" s="24">
        <v>8073460</v>
      </c>
      <c r="K23" s="24">
        <v>11755150</v>
      </c>
      <c r="L23" s="24">
        <v>5124450</v>
      </c>
      <c r="M23" s="24">
        <v>9433250</v>
      </c>
      <c r="N23" s="24">
        <v>15568610</v>
      </c>
      <c r="O23" s="24">
        <v>21783080</v>
      </c>
      <c r="Q23" s="37">
        <f t="shared" si="21"/>
        <v>990</v>
      </c>
      <c r="R23" s="37">
        <f t="shared" si="22"/>
        <v>13190</v>
      </c>
      <c r="S23" s="37">
        <f t="shared" si="16"/>
        <v>3290</v>
      </c>
      <c r="T23" s="37">
        <f t="shared" si="23"/>
        <v>1550</v>
      </c>
      <c r="U23" s="37">
        <f t="shared" si="24"/>
        <v>4360</v>
      </c>
      <c r="V23" s="37">
        <f t="shared" si="25"/>
        <v>3890</v>
      </c>
      <c r="W23" s="37">
        <f t="shared" si="26"/>
        <v>3180</v>
      </c>
      <c r="X23" s="37">
        <f t="shared" si="27"/>
        <v>4310</v>
      </c>
      <c r="Y23" s="37">
        <f t="shared" si="28"/>
        <v>5130</v>
      </c>
      <c r="Z23" s="37">
        <f t="shared" si="29"/>
        <v>2320</v>
      </c>
      <c r="AA23" s="37">
        <f t="shared" si="30"/>
        <v>2680</v>
      </c>
      <c r="AB23" s="37">
        <f t="shared" si="31"/>
        <v>6630</v>
      </c>
      <c r="AC23" s="37">
        <f t="shared" si="32"/>
        <v>9040</v>
      </c>
      <c r="AD23" s="35">
        <f t="shared" si="33"/>
        <v>60560</v>
      </c>
      <c r="AF23" s="20">
        <f t="shared" si="1"/>
        <v>4.95</v>
      </c>
      <c r="AG23" s="20">
        <f t="shared" si="2"/>
        <v>65.95</v>
      </c>
      <c r="AH23" s="20">
        <f t="shared" si="3"/>
        <v>16.45</v>
      </c>
      <c r="AI23" s="20">
        <f t="shared" si="4"/>
        <v>7.75</v>
      </c>
      <c r="AJ23" s="20">
        <f t="shared" si="5"/>
        <v>21.8</v>
      </c>
      <c r="AK23" s="20">
        <f t="shared" si="6"/>
        <v>19.45</v>
      </c>
      <c r="AL23" s="20">
        <f t="shared" si="7"/>
        <v>15.9</v>
      </c>
      <c r="AM23" s="20">
        <f t="shared" si="8"/>
        <v>21.55</v>
      </c>
      <c r="AN23" s="20">
        <f t="shared" si="9"/>
        <v>25.650000000000002</v>
      </c>
      <c r="AO23" s="20">
        <f t="shared" si="10"/>
        <v>11.6</v>
      </c>
      <c r="AP23" s="20">
        <f t="shared" si="11"/>
        <v>13.4</v>
      </c>
      <c r="AQ23" s="20">
        <f t="shared" si="12"/>
        <v>33.15</v>
      </c>
      <c r="AR23" s="20">
        <f t="shared" si="13"/>
        <v>45.2</v>
      </c>
      <c r="AS23" s="35">
        <f t="shared" si="34"/>
        <v>302.8</v>
      </c>
      <c r="AT23" s="61"/>
      <c r="AV23" s="65">
        <v>0</v>
      </c>
      <c r="AW23" s="64">
        <f t="shared" si="14"/>
        <v>0</v>
      </c>
      <c r="AX23" s="66">
        <f t="shared" si="17"/>
        <v>0</v>
      </c>
      <c r="AY23" s="52">
        <v>272108</v>
      </c>
      <c r="AZ23" s="37">
        <f t="shared" si="18"/>
        <v>128600</v>
      </c>
      <c r="BA23" s="37">
        <f t="shared" si="19"/>
        <v>351.07799999999997</v>
      </c>
      <c r="BB23" s="59">
        <f t="shared" si="20"/>
        <v>156.01906320000001</v>
      </c>
    </row>
    <row r="24" spans="1:54" x14ac:dyDescent="0.25">
      <c r="A24" s="23">
        <v>44852</v>
      </c>
      <c r="B24" s="40">
        <v>72</v>
      </c>
      <c r="C24" s="51">
        <v>8492040</v>
      </c>
      <c r="D24" s="51">
        <v>20828900</v>
      </c>
      <c r="E24" s="51">
        <v>3690030</v>
      </c>
      <c r="F24" s="51">
        <v>4308000</v>
      </c>
      <c r="G24" s="51">
        <v>12693190</v>
      </c>
      <c r="H24" s="51">
        <v>7483220</v>
      </c>
      <c r="I24" s="51">
        <v>6491890</v>
      </c>
      <c r="J24" s="51">
        <v>8077840</v>
      </c>
      <c r="K24" s="51">
        <v>11760320</v>
      </c>
      <c r="L24" s="51">
        <v>5126860</v>
      </c>
      <c r="M24" s="51">
        <v>9436000</v>
      </c>
      <c r="N24" s="51">
        <v>15575540</v>
      </c>
      <c r="O24" s="51">
        <v>21792390</v>
      </c>
      <c r="Q24" s="37">
        <f t="shared" si="21"/>
        <v>1020</v>
      </c>
      <c r="R24" s="37">
        <f t="shared" si="22"/>
        <v>13760</v>
      </c>
      <c r="S24" s="37">
        <f t="shared" si="16"/>
        <v>3460</v>
      </c>
      <c r="T24" s="37">
        <f t="shared" si="23"/>
        <v>1600</v>
      </c>
      <c r="U24" s="37">
        <f t="shared" si="24"/>
        <v>4420</v>
      </c>
      <c r="V24" s="37">
        <f t="shared" si="25"/>
        <v>3960</v>
      </c>
      <c r="W24" s="37">
        <f t="shared" si="26"/>
        <v>3470</v>
      </c>
      <c r="X24" s="37">
        <f t="shared" si="27"/>
        <v>4380</v>
      </c>
      <c r="Y24" s="37">
        <f t="shared" si="28"/>
        <v>5170</v>
      </c>
      <c r="Z24" s="37">
        <f t="shared" si="29"/>
        <v>2410</v>
      </c>
      <c r="AA24" s="37">
        <f t="shared" si="30"/>
        <v>2750</v>
      </c>
      <c r="AB24" s="37">
        <f t="shared" si="31"/>
        <v>6930</v>
      </c>
      <c r="AC24" s="37">
        <f t="shared" si="32"/>
        <v>9310</v>
      </c>
      <c r="AD24" s="35">
        <f t="shared" si="33"/>
        <v>62640</v>
      </c>
      <c r="AF24" s="20">
        <f t="shared" si="1"/>
        <v>5.1000000000000005</v>
      </c>
      <c r="AG24" s="20">
        <f t="shared" si="2"/>
        <v>68.8</v>
      </c>
      <c r="AH24" s="20">
        <f t="shared" si="3"/>
        <v>17.3</v>
      </c>
      <c r="AI24" s="20">
        <f t="shared" si="4"/>
        <v>8</v>
      </c>
      <c r="AJ24" s="20">
        <f t="shared" si="5"/>
        <v>22.1</v>
      </c>
      <c r="AK24" s="20">
        <f t="shared" si="6"/>
        <v>19.8</v>
      </c>
      <c r="AL24" s="20">
        <f t="shared" si="7"/>
        <v>17.350000000000001</v>
      </c>
      <c r="AM24" s="20">
        <f t="shared" si="8"/>
        <v>21.900000000000002</v>
      </c>
      <c r="AN24" s="20">
        <f t="shared" si="9"/>
        <v>25.85</v>
      </c>
      <c r="AO24" s="20">
        <f t="shared" si="10"/>
        <v>12.05</v>
      </c>
      <c r="AP24" s="20">
        <f t="shared" si="11"/>
        <v>13.75</v>
      </c>
      <c r="AQ24" s="20">
        <f t="shared" si="12"/>
        <v>34.65</v>
      </c>
      <c r="AR24" s="20">
        <f t="shared" si="13"/>
        <v>46.550000000000004</v>
      </c>
      <c r="AS24" s="35">
        <f t="shared" si="34"/>
        <v>313.2</v>
      </c>
      <c r="AT24" s="61"/>
      <c r="AV24" s="65">
        <v>0</v>
      </c>
      <c r="AW24" s="64">
        <f t="shared" si="14"/>
        <v>0</v>
      </c>
      <c r="AX24" s="66">
        <f t="shared" si="17"/>
        <v>0</v>
      </c>
      <c r="AY24" s="54">
        <v>274183</v>
      </c>
      <c r="AZ24" s="37">
        <f t="shared" si="18"/>
        <v>207500</v>
      </c>
      <c r="BA24" s="37">
        <f t="shared" si="19"/>
        <v>566.47500000000002</v>
      </c>
      <c r="BB24" s="59">
        <f t="shared" si="20"/>
        <v>251.74149000000003</v>
      </c>
    </row>
    <row r="25" spans="1:54" x14ac:dyDescent="0.25">
      <c r="A25" s="23">
        <v>44853</v>
      </c>
      <c r="B25" s="40">
        <v>80</v>
      </c>
      <c r="C25" s="24">
        <v>8493070</v>
      </c>
      <c r="D25" s="24">
        <v>20841510</v>
      </c>
      <c r="E25" s="24">
        <v>3693030</v>
      </c>
      <c r="F25" s="24">
        <v>4309580</v>
      </c>
      <c r="G25" s="24">
        <v>12697750</v>
      </c>
      <c r="H25" s="24">
        <v>7487250</v>
      </c>
      <c r="I25" s="24">
        <v>6495280</v>
      </c>
      <c r="J25" s="24">
        <v>8082320</v>
      </c>
      <c r="K25" s="24">
        <v>11765610</v>
      </c>
      <c r="L25" s="24">
        <v>5129360</v>
      </c>
      <c r="M25" s="24">
        <v>9438860</v>
      </c>
      <c r="N25" s="24">
        <v>15582510</v>
      </c>
      <c r="O25" s="24">
        <v>21802190</v>
      </c>
      <c r="Q25" s="37">
        <f t="shared" ref="Q25:AC27" si="36">IF((C25-C24&lt;0), "0",C25-C24)</f>
        <v>1030</v>
      </c>
      <c r="R25" s="37">
        <f t="shared" si="22"/>
        <v>12610</v>
      </c>
      <c r="S25" s="37">
        <f t="shared" si="36"/>
        <v>3000</v>
      </c>
      <c r="T25" s="37">
        <f t="shared" si="36"/>
        <v>1580</v>
      </c>
      <c r="U25" s="37">
        <f t="shared" si="36"/>
        <v>4560</v>
      </c>
      <c r="V25" s="37">
        <f t="shared" si="36"/>
        <v>4030</v>
      </c>
      <c r="W25" s="37">
        <f t="shared" si="36"/>
        <v>3390</v>
      </c>
      <c r="X25" s="37">
        <f t="shared" si="36"/>
        <v>4480</v>
      </c>
      <c r="Y25" s="37">
        <f t="shared" si="36"/>
        <v>5290</v>
      </c>
      <c r="Z25" s="37">
        <f t="shared" si="36"/>
        <v>2500</v>
      </c>
      <c r="AA25" s="37">
        <f t="shared" si="36"/>
        <v>2860</v>
      </c>
      <c r="AB25" s="37">
        <f t="shared" si="36"/>
        <v>6970</v>
      </c>
      <c r="AC25" s="37">
        <f t="shared" si="36"/>
        <v>9800</v>
      </c>
      <c r="AD25" s="35">
        <f t="shared" si="33"/>
        <v>62100</v>
      </c>
      <c r="AF25" s="20">
        <f t="shared" si="1"/>
        <v>5.15</v>
      </c>
      <c r="AG25" s="20">
        <f t="shared" si="2"/>
        <v>63.050000000000004</v>
      </c>
      <c r="AH25" s="20">
        <f t="shared" si="3"/>
        <v>15</v>
      </c>
      <c r="AI25" s="20">
        <f t="shared" si="4"/>
        <v>7.9</v>
      </c>
      <c r="AJ25" s="20">
        <f t="shared" si="5"/>
        <v>22.8</v>
      </c>
      <c r="AK25" s="20">
        <f t="shared" si="6"/>
        <v>20.150000000000002</v>
      </c>
      <c r="AL25" s="20">
        <f t="shared" si="7"/>
        <v>16.95</v>
      </c>
      <c r="AM25" s="20">
        <f t="shared" si="8"/>
        <v>22.400000000000002</v>
      </c>
      <c r="AN25" s="20">
        <f t="shared" si="9"/>
        <v>26.45</v>
      </c>
      <c r="AO25" s="20">
        <f t="shared" si="10"/>
        <v>12.5</v>
      </c>
      <c r="AP25" s="20">
        <f t="shared" si="11"/>
        <v>14.3</v>
      </c>
      <c r="AQ25" s="20">
        <f t="shared" si="12"/>
        <v>34.85</v>
      </c>
      <c r="AR25" s="20">
        <f t="shared" si="13"/>
        <v>49</v>
      </c>
      <c r="AS25" s="35">
        <f t="shared" si="34"/>
        <v>310.5</v>
      </c>
      <c r="AT25" s="61"/>
      <c r="AV25" s="65">
        <v>0</v>
      </c>
      <c r="AW25" s="64">
        <f t="shared" si="14"/>
        <v>0</v>
      </c>
      <c r="AX25" s="66">
        <f t="shared" si="17"/>
        <v>0</v>
      </c>
      <c r="AY25" s="52">
        <v>275450</v>
      </c>
      <c r="AZ25" s="37">
        <f t="shared" si="18"/>
        <v>126700</v>
      </c>
      <c r="BA25" s="37">
        <f t="shared" si="19"/>
        <v>345.89100000000002</v>
      </c>
      <c r="BB25" s="59">
        <f t="shared" si="20"/>
        <v>153.71396040000002</v>
      </c>
    </row>
    <row r="26" spans="1:54" x14ac:dyDescent="0.25">
      <c r="A26" s="23">
        <v>44854</v>
      </c>
      <c r="B26" s="40">
        <v>148</v>
      </c>
      <c r="C26" s="51">
        <v>8493960</v>
      </c>
      <c r="D26" s="51">
        <v>20854480</v>
      </c>
      <c r="E26" s="51">
        <v>3695470</v>
      </c>
      <c r="F26" s="51">
        <v>4311120</v>
      </c>
      <c r="G26" s="51">
        <v>12702350</v>
      </c>
      <c r="H26" s="51">
        <v>7491430</v>
      </c>
      <c r="I26" s="51">
        <v>6498460</v>
      </c>
      <c r="J26" s="51">
        <v>8086810</v>
      </c>
      <c r="K26" s="51">
        <v>11770970</v>
      </c>
      <c r="L26" s="51">
        <v>5131930</v>
      </c>
      <c r="M26" s="51">
        <v>9441780</v>
      </c>
      <c r="N26" s="51">
        <v>15589500</v>
      </c>
      <c r="O26" s="51">
        <v>21812900</v>
      </c>
      <c r="Q26" s="37">
        <f t="shared" si="36"/>
        <v>890</v>
      </c>
      <c r="R26" s="37">
        <f t="shared" si="22"/>
        <v>12970</v>
      </c>
      <c r="S26" s="37">
        <f t="shared" si="36"/>
        <v>2440</v>
      </c>
      <c r="T26" s="37">
        <f t="shared" si="36"/>
        <v>1540</v>
      </c>
      <c r="U26" s="37">
        <f t="shared" si="36"/>
        <v>4600</v>
      </c>
      <c r="V26" s="37">
        <f t="shared" si="36"/>
        <v>4180</v>
      </c>
      <c r="W26" s="37">
        <f t="shared" si="36"/>
        <v>3180</v>
      </c>
      <c r="X26" s="37">
        <f t="shared" si="36"/>
        <v>4490</v>
      </c>
      <c r="Y26" s="37">
        <f t="shared" si="36"/>
        <v>5360</v>
      </c>
      <c r="Z26" s="37">
        <f t="shared" si="36"/>
        <v>2570</v>
      </c>
      <c r="AA26" s="37">
        <f t="shared" si="36"/>
        <v>2920</v>
      </c>
      <c r="AB26" s="37">
        <f t="shared" si="36"/>
        <v>6990</v>
      </c>
      <c r="AC26" s="37">
        <f t="shared" si="36"/>
        <v>10710</v>
      </c>
      <c r="AD26" s="35">
        <f t="shared" si="33"/>
        <v>62840</v>
      </c>
      <c r="AF26" s="20">
        <f t="shared" si="1"/>
        <v>4.45</v>
      </c>
      <c r="AG26" s="20">
        <f t="shared" si="2"/>
        <v>64.849999999999994</v>
      </c>
      <c r="AH26" s="20">
        <f t="shared" si="3"/>
        <v>12.200000000000001</v>
      </c>
      <c r="AI26" s="20">
        <f t="shared" si="4"/>
        <v>7.7</v>
      </c>
      <c r="AJ26" s="20">
        <f t="shared" si="5"/>
        <v>23</v>
      </c>
      <c r="AK26" s="20">
        <f t="shared" si="6"/>
        <v>20.900000000000002</v>
      </c>
      <c r="AL26" s="20">
        <f t="shared" si="7"/>
        <v>15.9</v>
      </c>
      <c r="AM26" s="20">
        <f t="shared" si="8"/>
        <v>22.45</v>
      </c>
      <c r="AN26" s="20">
        <f t="shared" si="9"/>
        <v>26.8</v>
      </c>
      <c r="AO26" s="20">
        <f t="shared" si="10"/>
        <v>12.85</v>
      </c>
      <c r="AP26" s="20">
        <f t="shared" si="11"/>
        <v>14.6</v>
      </c>
      <c r="AQ26" s="20">
        <f t="shared" si="12"/>
        <v>34.950000000000003</v>
      </c>
      <c r="AR26" s="20">
        <f t="shared" si="13"/>
        <v>53.550000000000004</v>
      </c>
      <c r="AS26" s="35">
        <f t="shared" si="34"/>
        <v>314.2</v>
      </c>
      <c r="AT26" s="61"/>
      <c r="AV26" s="65">
        <v>0</v>
      </c>
      <c r="AW26" s="64">
        <f t="shared" si="14"/>
        <v>0</v>
      </c>
      <c r="AX26" s="66">
        <f t="shared" si="17"/>
        <v>0</v>
      </c>
      <c r="AY26" s="54">
        <v>277042</v>
      </c>
      <c r="AZ26" s="37">
        <f t="shared" si="18"/>
        <v>159200</v>
      </c>
      <c r="BA26" s="37">
        <f t="shared" si="19"/>
        <v>434.61599999999999</v>
      </c>
      <c r="BB26" s="59">
        <f t="shared" si="20"/>
        <v>193.1433504</v>
      </c>
    </row>
    <row r="27" spans="1:54" x14ac:dyDescent="0.25">
      <c r="A27" s="23">
        <v>44855</v>
      </c>
      <c r="B27" s="40">
        <v>140</v>
      </c>
      <c r="C27" s="24">
        <v>8494970</v>
      </c>
      <c r="D27" s="24">
        <v>20868690</v>
      </c>
      <c r="E27" s="24">
        <v>3699090</v>
      </c>
      <c r="F27" s="24">
        <v>4312710</v>
      </c>
      <c r="G27" s="24">
        <v>12707130</v>
      </c>
      <c r="H27" s="24">
        <v>7495740</v>
      </c>
      <c r="I27" s="24">
        <v>6502310</v>
      </c>
      <c r="J27" s="24">
        <v>8091420</v>
      </c>
      <c r="K27" s="24">
        <v>11776730</v>
      </c>
      <c r="L27" s="24">
        <v>5134690</v>
      </c>
      <c r="M27" s="24">
        <v>9444900</v>
      </c>
      <c r="N27" s="24">
        <v>15596860</v>
      </c>
      <c r="O27" s="24">
        <v>21823080</v>
      </c>
      <c r="Q27" s="37">
        <f t="shared" si="36"/>
        <v>1010</v>
      </c>
      <c r="R27" s="37">
        <f t="shared" si="22"/>
        <v>14210</v>
      </c>
      <c r="S27" s="37">
        <f t="shared" si="36"/>
        <v>3620</v>
      </c>
      <c r="T27" s="37">
        <f t="shared" si="36"/>
        <v>1590</v>
      </c>
      <c r="U27" s="37">
        <f t="shared" si="36"/>
        <v>4780</v>
      </c>
      <c r="V27" s="37">
        <f t="shared" si="36"/>
        <v>4310</v>
      </c>
      <c r="W27" s="37">
        <f t="shared" si="36"/>
        <v>3850</v>
      </c>
      <c r="X27" s="37">
        <f t="shared" si="36"/>
        <v>4610</v>
      </c>
      <c r="Y27" s="37">
        <f t="shared" si="36"/>
        <v>5760</v>
      </c>
      <c r="Z27" s="37">
        <f t="shared" si="36"/>
        <v>2760</v>
      </c>
      <c r="AA27" s="37">
        <f t="shared" si="36"/>
        <v>3120</v>
      </c>
      <c r="AB27" s="37">
        <f t="shared" si="36"/>
        <v>7360</v>
      </c>
      <c r="AC27" s="37">
        <f t="shared" si="36"/>
        <v>10180</v>
      </c>
      <c r="AD27" s="35">
        <f t="shared" si="33"/>
        <v>67160</v>
      </c>
      <c r="AF27" s="20">
        <f t="shared" si="1"/>
        <v>5.05</v>
      </c>
      <c r="AG27" s="20">
        <f t="shared" si="2"/>
        <v>71.05</v>
      </c>
      <c r="AH27" s="20">
        <f t="shared" si="3"/>
        <v>18.100000000000001</v>
      </c>
      <c r="AI27" s="20">
        <f t="shared" si="4"/>
        <v>7.95</v>
      </c>
      <c r="AJ27" s="20">
        <f t="shared" si="5"/>
        <v>23.900000000000002</v>
      </c>
      <c r="AK27" s="20">
        <f t="shared" si="6"/>
        <v>21.55</v>
      </c>
      <c r="AL27" s="20">
        <f t="shared" si="7"/>
        <v>19.25</v>
      </c>
      <c r="AM27" s="20">
        <f t="shared" si="8"/>
        <v>23.05</v>
      </c>
      <c r="AN27" s="20">
        <f t="shared" si="9"/>
        <v>28.8</v>
      </c>
      <c r="AO27" s="20">
        <f t="shared" si="10"/>
        <v>13.8</v>
      </c>
      <c r="AP27" s="20">
        <f t="shared" si="11"/>
        <v>15.6</v>
      </c>
      <c r="AQ27" s="20">
        <f t="shared" si="12"/>
        <v>36.800000000000004</v>
      </c>
      <c r="AR27" s="20">
        <f t="shared" si="13"/>
        <v>50.9</v>
      </c>
      <c r="AS27" s="35">
        <f t="shared" si="34"/>
        <v>335.8</v>
      </c>
      <c r="AT27" s="61"/>
      <c r="AV27" s="65">
        <v>0</v>
      </c>
      <c r="AW27" s="64">
        <f t="shared" si="14"/>
        <v>0</v>
      </c>
      <c r="AX27" s="66">
        <f t="shared" si="17"/>
        <v>0</v>
      </c>
      <c r="AY27" s="52">
        <v>278752</v>
      </c>
      <c r="AZ27" s="37">
        <f t="shared" si="18"/>
        <v>171000</v>
      </c>
      <c r="BA27" s="37">
        <f t="shared" si="19"/>
        <v>466.83000000000004</v>
      </c>
      <c r="BB27" s="59">
        <f t="shared" si="20"/>
        <v>207.45925200000002</v>
      </c>
    </row>
    <row r="28" spans="1:54" x14ac:dyDescent="0.25">
      <c r="A28" s="23">
        <v>44856</v>
      </c>
      <c r="B28" s="40">
        <v>81</v>
      </c>
      <c r="C28" s="24">
        <v>8495970</v>
      </c>
      <c r="D28" s="24">
        <v>20883940</v>
      </c>
      <c r="E28" s="24">
        <v>3703150</v>
      </c>
      <c r="F28" s="24">
        <v>4314330</v>
      </c>
      <c r="G28" s="24">
        <v>12711860</v>
      </c>
      <c r="H28" s="24">
        <v>7500010</v>
      </c>
      <c r="I28" s="24">
        <v>6506040</v>
      </c>
      <c r="J28" s="24">
        <v>8095840</v>
      </c>
      <c r="K28" s="24">
        <v>11782330</v>
      </c>
      <c r="L28" s="24">
        <v>5137350</v>
      </c>
      <c r="M28" s="24">
        <v>9447860</v>
      </c>
      <c r="N28" s="24">
        <v>15604540</v>
      </c>
      <c r="O28" s="24">
        <v>21832630</v>
      </c>
      <c r="Q28" s="37">
        <f t="shared" si="21"/>
        <v>1000</v>
      </c>
      <c r="R28" s="37">
        <f t="shared" si="22"/>
        <v>15250</v>
      </c>
      <c r="S28" s="37">
        <f t="shared" si="16"/>
        <v>4060</v>
      </c>
      <c r="T28" s="37">
        <f t="shared" si="23"/>
        <v>1620</v>
      </c>
      <c r="U28" s="37">
        <f t="shared" si="24"/>
        <v>4730</v>
      </c>
      <c r="V28" s="37">
        <f t="shared" si="25"/>
        <v>4270</v>
      </c>
      <c r="W28" s="37">
        <f t="shared" si="26"/>
        <v>3730</v>
      </c>
      <c r="X28" s="37">
        <f t="shared" si="27"/>
        <v>4420</v>
      </c>
      <c r="Y28" s="37">
        <f t="shared" si="28"/>
        <v>5600</v>
      </c>
      <c r="Z28" s="37">
        <f t="shared" si="29"/>
        <v>2660</v>
      </c>
      <c r="AA28" s="37">
        <f t="shared" si="30"/>
        <v>2960</v>
      </c>
      <c r="AB28" s="37">
        <f t="shared" si="31"/>
        <v>7680</v>
      </c>
      <c r="AC28" s="37">
        <f t="shared" si="32"/>
        <v>9550</v>
      </c>
      <c r="AD28" s="35">
        <f t="shared" si="33"/>
        <v>67530</v>
      </c>
      <c r="AF28" s="20">
        <f t="shared" si="1"/>
        <v>5</v>
      </c>
      <c r="AG28" s="20">
        <f t="shared" si="2"/>
        <v>76.25</v>
      </c>
      <c r="AH28" s="20">
        <f t="shared" si="3"/>
        <v>20.3</v>
      </c>
      <c r="AI28" s="20">
        <f t="shared" si="4"/>
        <v>8.1</v>
      </c>
      <c r="AJ28" s="20">
        <f t="shared" si="5"/>
        <v>23.650000000000002</v>
      </c>
      <c r="AK28" s="20">
        <f t="shared" si="6"/>
        <v>21.35</v>
      </c>
      <c r="AL28" s="20">
        <f t="shared" si="7"/>
        <v>18.650000000000002</v>
      </c>
      <c r="AM28" s="20">
        <f t="shared" si="8"/>
        <v>22.1</v>
      </c>
      <c r="AN28" s="20">
        <f t="shared" si="9"/>
        <v>28</v>
      </c>
      <c r="AO28" s="20">
        <f t="shared" si="10"/>
        <v>13.3</v>
      </c>
      <c r="AP28" s="20">
        <f t="shared" si="11"/>
        <v>14.8</v>
      </c>
      <c r="AQ28" s="20">
        <f t="shared" si="12"/>
        <v>38.4</v>
      </c>
      <c r="AR28" s="20">
        <f t="shared" si="13"/>
        <v>47.75</v>
      </c>
      <c r="AS28" s="35">
        <f t="shared" si="34"/>
        <v>337.65</v>
      </c>
      <c r="AT28" s="61"/>
      <c r="AV28" s="65">
        <v>0</v>
      </c>
      <c r="AW28" s="64">
        <f t="shared" si="14"/>
        <v>0</v>
      </c>
      <c r="AX28" s="66">
        <f t="shared" si="17"/>
        <v>0</v>
      </c>
      <c r="AY28" s="52">
        <v>280757</v>
      </c>
      <c r="AZ28" s="37">
        <f t="shared" si="18"/>
        <v>200500</v>
      </c>
      <c r="BA28" s="37">
        <f t="shared" si="19"/>
        <v>547.36500000000001</v>
      </c>
      <c r="BB28" s="59">
        <f t="shared" si="20"/>
        <v>243.24900600000001</v>
      </c>
    </row>
    <row r="29" spans="1:54" x14ac:dyDescent="0.25">
      <c r="A29" s="23">
        <v>44857</v>
      </c>
      <c r="B29" s="40">
        <v>82</v>
      </c>
      <c r="C29" s="57">
        <v>8497030</v>
      </c>
      <c r="D29" s="57">
        <v>20897660</v>
      </c>
      <c r="E29" s="57">
        <v>3706510</v>
      </c>
      <c r="F29" s="57">
        <v>4315980</v>
      </c>
      <c r="G29" s="57">
        <v>12716650</v>
      </c>
      <c r="H29" s="57">
        <v>7504210</v>
      </c>
      <c r="I29" s="57">
        <v>6509740</v>
      </c>
      <c r="J29" s="57">
        <v>8100100</v>
      </c>
      <c r="K29" s="57">
        <v>11787900</v>
      </c>
      <c r="L29" s="57">
        <v>5140000</v>
      </c>
      <c r="M29" s="57">
        <v>9450730</v>
      </c>
      <c r="N29" s="57">
        <v>15612290</v>
      </c>
      <c r="O29" s="57">
        <v>21843330</v>
      </c>
      <c r="Q29" s="37">
        <f t="shared" si="21"/>
        <v>1060</v>
      </c>
      <c r="R29" s="37">
        <f t="shared" si="22"/>
        <v>13720</v>
      </c>
      <c r="S29" s="37">
        <f t="shared" si="16"/>
        <v>3360</v>
      </c>
      <c r="T29" s="37">
        <f t="shared" si="23"/>
        <v>1650</v>
      </c>
      <c r="U29" s="37">
        <f t="shared" si="24"/>
        <v>4790</v>
      </c>
      <c r="V29" s="37">
        <f t="shared" si="25"/>
        <v>4200</v>
      </c>
      <c r="W29" s="37">
        <f t="shared" si="26"/>
        <v>3700</v>
      </c>
      <c r="X29" s="37">
        <f t="shared" si="27"/>
        <v>4260</v>
      </c>
      <c r="Y29" s="37">
        <f t="shared" si="28"/>
        <v>5570</v>
      </c>
      <c r="Z29" s="37">
        <f t="shared" si="29"/>
        <v>2650</v>
      </c>
      <c r="AA29" s="37">
        <f t="shared" si="30"/>
        <v>2870</v>
      </c>
      <c r="AB29" s="37">
        <f t="shared" si="31"/>
        <v>7750</v>
      </c>
      <c r="AC29" s="37">
        <f t="shared" si="32"/>
        <v>10700</v>
      </c>
      <c r="AD29" s="35">
        <f t="shared" si="33"/>
        <v>66280</v>
      </c>
      <c r="AF29" s="20">
        <f t="shared" si="1"/>
        <v>5.3</v>
      </c>
      <c r="AG29" s="20">
        <f t="shared" si="2"/>
        <v>68.600000000000009</v>
      </c>
      <c r="AH29" s="20">
        <f t="shared" si="3"/>
        <v>16.8</v>
      </c>
      <c r="AI29" s="20">
        <f t="shared" si="4"/>
        <v>8.25</v>
      </c>
      <c r="AJ29" s="20">
        <f t="shared" si="5"/>
        <v>23.95</v>
      </c>
      <c r="AK29" s="20">
        <f t="shared" si="6"/>
        <v>21</v>
      </c>
      <c r="AL29" s="20">
        <f t="shared" si="7"/>
        <v>18.5</v>
      </c>
      <c r="AM29" s="20">
        <f t="shared" si="8"/>
        <v>21.3</v>
      </c>
      <c r="AN29" s="20">
        <f t="shared" si="9"/>
        <v>27.85</v>
      </c>
      <c r="AO29" s="20">
        <f t="shared" si="10"/>
        <v>13.25</v>
      </c>
      <c r="AP29" s="20">
        <f t="shared" si="11"/>
        <v>14.35</v>
      </c>
      <c r="AQ29" s="20">
        <f t="shared" si="12"/>
        <v>38.75</v>
      </c>
      <c r="AR29" s="20">
        <f t="shared" si="13"/>
        <v>53.5</v>
      </c>
      <c r="AS29" s="35">
        <f t="shared" si="34"/>
        <v>331.4</v>
      </c>
      <c r="AT29" s="61"/>
      <c r="AV29" s="65">
        <v>0</v>
      </c>
      <c r="AW29" s="64">
        <f t="shared" si="14"/>
        <v>0</v>
      </c>
      <c r="AX29" s="66">
        <f t="shared" si="17"/>
        <v>0</v>
      </c>
      <c r="AY29" s="58">
        <v>282516</v>
      </c>
      <c r="AZ29" s="37">
        <f t="shared" si="18"/>
        <v>175900</v>
      </c>
      <c r="BA29" s="37">
        <f t="shared" si="19"/>
        <v>480.20699999999999</v>
      </c>
      <c r="BB29" s="59">
        <f t="shared" si="20"/>
        <v>213.4039908</v>
      </c>
    </row>
    <row r="30" spans="1:54" x14ac:dyDescent="0.25">
      <c r="A30" s="23">
        <v>44858</v>
      </c>
      <c r="B30" s="40">
        <v>78</v>
      </c>
      <c r="C30" s="51">
        <v>8498070</v>
      </c>
      <c r="D30" s="51">
        <v>20910600</v>
      </c>
      <c r="E30" s="51">
        <v>3709600</v>
      </c>
      <c r="F30" s="51">
        <v>4317590</v>
      </c>
      <c r="G30" s="51">
        <v>12721270</v>
      </c>
      <c r="H30" s="51">
        <v>7508450</v>
      </c>
      <c r="I30" s="51">
        <v>6513420</v>
      </c>
      <c r="J30" s="51">
        <v>8104270</v>
      </c>
      <c r="K30" s="51">
        <v>11793320</v>
      </c>
      <c r="L30" s="51">
        <v>5142490</v>
      </c>
      <c r="M30" s="51">
        <v>9453560</v>
      </c>
      <c r="N30" s="51">
        <v>15619970</v>
      </c>
      <c r="O30" s="51">
        <v>21853740</v>
      </c>
      <c r="Q30" s="37">
        <f t="shared" si="21"/>
        <v>1040</v>
      </c>
      <c r="R30" s="37">
        <f t="shared" si="22"/>
        <v>12940</v>
      </c>
      <c r="S30" s="37">
        <f t="shared" si="16"/>
        <v>3090</v>
      </c>
      <c r="T30" s="37">
        <f t="shared" si="23"/>
        <v>1610</v>
      </c>
      <c r="U30" s="37">
        <f t="shared" si="24"/>
        <v>4620</v>
      </c>
      <c r="V30" s="37">
        <f t="shared" si="25"/>
        <v>4240</v>
      </c>
      <c r="W30" s="37">
        <f t="shared" si="26"/>
        <v>3680</v>
      </c>
      <c r="X30" s="37">
        <f t="shared" si="27"/>
        <v>4170</v>
      </c>
      <c r="Y30" s="37">
        <f t="shared" si="28"/>
        <v>5420</v>
      </c>
      <c r="Z30" s="37">
        <f t="shared" si="29"/>
        <v>2490</v>
      </c>
      <c r="AA30" s="37">
        <f t="shared" si="30"/>
        <v>2830</v>
      </c>
      <c r="AB30" s="37">
        <f t="shared" si="31"/>
        <v>7680</v>
      </c>
      <c r="AC30" s="37">
        <f t="shared" si="32"/>
        <v>10410</v>
      </c>
      <c r="AD30" s="35">
        <f t="shared" si="33"/>
        <v>64220</v>
      </c>
      <c r="AF30" s="20">
        <f t="shared" si="1"/>
        <v>5.2</v>
      </c>
      <c r="AG30" s="20">
        <f t="shared" si="2"/>
        <v>64.7</v>
      </c>
      <c r="AH30" s="20">
        <f t="shared" si="3"/>
        <v>15.450000000000001</v>
      </c>
      <c r="AI30" s="20">
        <f t="shared" si="4"/>
        <v>8.0500000000000007</v>
      </c>
      <c r="AJ30" s="20">
        <f t="shared" si="5"/>
        <v>23.1</v>
      </c>
      <c r="AK30" s="20">
        <f t="shared" si="6"/>
        <v>21.2</v>
      </c>
      <c r="AL30" s="20">
        <f t="shared" si="7"/>
        <v>18.400000000000002</v>
      </c>
      <c r="AM30" s="20">
        <f t="shared" si="8"/>
        <v>20.85</v>
      </c>
      <c r="AN30" s="20">
        <f t="shared" si="9"/>
        <v>27.1</v>
      </c>
      <c r="AO30" s="20">
        <f t="shared" si="10"/>
        <v>12.450000000000001</v>
      </c>
      <c r="AP30" s="20">
        <f t="shared" si="11"/>
        <v>14.15</v>
      </c>
      <c r="AQ30" s="20">
        <f t="shared" si="12"/>
        <v>38.4</v>
      </c>
      <c r="AR30" s="20">
        <f t="shared" si="13"/>
        <v>52.050000000000004</v>
      </c>
      <c r="AS30" s="35">
        <f t="shared" si="34"/>
        <v>321.09999999999997</v>
      </c>
      <c r="AT30" s="61"/>
      <c r="AV30" s="65">
        <v>0</v>
      </c>
      <c r="AW30" s="64">
        <f t="shared" si="14"/>
        <v>0</v>
      </c>
      <c r="AX30" s="66">
        <f t="shared" si="17"/>
        <v>0</v>
      </c>
      <c r="AY30" s="54">
        <v>284361</v>
      </c>
      <c r="AZ30" s="37">
        <f t="shared" si="18"/>
        <v>184500</v>
      </c>
      <c r="BA30" s="37">
        <f t="shared" si="19"/>
        <v>503.685</v>
      </c>
      <c r="BB30" s="59">
        <f t="shared" si="20"/>
        <v>223.837614</v>
      </c>
    </row>
    <row r="31" spans="1:54" x14ac:dyDescent="0.25">
      <c r="A31" s="23">
        <v>44859</v>
      </c>
      <c r="B31" s="40">
        <v>78</v>
      </c>
      <c r="C31" s="50">
        <v>8498950</v>
      </c>
      <c r="D31" s="50">
        <v>20922510</v>
      </c>
      <c r="E31" s="50">
        <v>3711800</v>
      </c>
      <c r="F31" s="50">
        <v>4319060</v>
      </c>
      <c r="G31" s="50">
        <v>12725630</v>
      </c>
      <c r="H31" s="50">
        <v>7512390</v>
      </c>
      <c r="I31" s="50">
        <v>6516740</v>
      </c>
      <c r="J31" s="50">
        <v>8108230</v>
      </c>
      <c r="K31" s="50">
        <v>11798270</v>
      </c>
      <c r="L31" s="50">
        <v>5144810</v>
      </c>
      <c r="M31" s="50">
        <v>9456260</v>
      </c>
      <c r="N31" s="50">
        <v>15627190</v>
      </c>
      <c r="O31" s="50">
        <v>21863520</v>
      </c>
      <c r="Q31" s="37">
        <f>IF((C31-C30&lt;0), "0",C31-C30)</f>
        <v>880</v>
      </c>
      <c r="R31" s="37">
        <f t="shared" si="22"/>
        <v>11910</v>
      </c>
      <c r="S31" s="37">
        <f t="shared" si="16"/>
        <v>2200</v>
      </c>
      <c r="T31" s="37">
        <f t="shared" si="23"/>
        <v>1470</v>
      </c>
      <c r="U31" s="37">
        <f t="shared" si="24"/>
        <v>4360</v>
      </c>
      <c r="V31" s="37">
        <f t="shared" si="25"/>
        <v>3940</v>
      </c>
      <c r="W31" s="37">
        <f t="shared" si="26"/>
        <v>3320</v>
      </c>
      <c r="X31" s="37">
        <f t="shared" si="27"/>
        <v>3960</v>
      </c>
      <c r="Y31" s="37">
        <f t="shared" si="28"/>
        <v>4950</v>
      </c>
      <c r="Z31" s="37">
        <f t="shared" si="29"/>
        <v>2320</v>
      </c>
      <c r="AA31" s="37">
        <f t="shared" si="30"/>
        <v>2700</v>
      </c>
      <c r="AB31" s="37">
        <f t="shared" si="31"/>
        <v>7220</v>
      </c>
      <c r="AC31" s="37">
        <f t="shared" si="32"/>
        <v>9780</v>
      </c>
      <c r="AD31" s="35">
        <f t="shared" si="33"/>
        <v>59010</v>
      </c>
      <c r="AF31" s="20">
        <f t="shared" si="1"/>
        <v>4.4000000000000004</v>
      </c>
      <c r="AG31" s="20">
        <f t="shared" si="2"/>
        <v>59.550000000000004</v>
      </c>
      <c r="AH31" s="20">
        <f t="shared" si="3"/>
        <v>11</v>
      </c>
      <c r="AI31" s="20">
        <f t="shared" si="4"/>
        <v>7.3500000000000005</v>
      </c>
      <c r="AJ31" s="20">
        <f t="shared" si="5"/>
        <v>21.8</v>
      </c>
      <c r="AK31" s="20">
        <f t="shared" si="6"/>
        <v>19.7</v>
      </c>
      <c r="AL31" s="20">
        <f t="shared" si="7"/>
        <v>16.600000000000001</v>
      </c>
      <c r="AM31" s="20">
        <f t="shared" si="8"/>
        <v>19.8</v>
      </c>
      <c r="AN31" s="20">
        <f t="shared" si="9"/>
        <v>24.75</v>
      </c>
      <c r="AO31" s="20">
        <f t="shared" si="10"/>
        <v>11.6</v>
      </c>
      <c r="AP31" s="20">
        <f t="shared" si="11"/>
        <v>13.5</v>
      </c>
      <c r="AQ31" s="20">
        <f t="shared" si="12"/>
        <v>36.1</v>
      </c>
      <c r="AR31" s="20">
        <f t="shared" si="13"/>
        <v>48.9</v>
      </c>
      <c r="AS31" s="35">
        <f t="shared" si="34"/>
        <v>295.05</v>
      </c>
      <c r="AT31" s="61"/>
      <c r="AV31" s="65">
        <v>0</v>
      </c>
      <c r="AW31" s="64">
        <f t="shared" si="14"/>
        <v>0</v>
      </c>
      <c r="AX31" s="66">
        <f t="shared" si="17"/>
        <v>0</v>
      </c>
      <c r="AY31" s="56">
        <v>286161</v>
      </c>
      <c r="AZ31" s="37">
        <f t="shared" si="18"/>
        <v>180000</v>
      </c>
      <c r="BA31" s="37">
        <f t="shared" si="19"/>
        <v>491.4</v>
      </c>
      <c r="BB31" s="59">
        <f t="shared" si="20"/>
        <v>218.37816000000001</v>
      </c>
    </row>
    <row r="32" spans="1:54" x14ac:dyDescent="0.25">
      <c r="A32" s="23">
        <v>44860</v>
      </c>
      <c r="B32" s="40">
        <v>75</v>
      </c>
      <c r="C32" s="24">
        <v>8504350</v>
      </c>
      <c r="D32" s="51">
        <v>20929720</v>
      </c>
      <c r="E32" s="51">
        <v>3714070</v>
      </c>
      <c r="F32" s="51">
        <v>4320590</v>
      </c>
      <c r="G32" s="51">
        <v>12729970</v>
      </c>
      <c r="H32" s="51">
        <v>7516480</v>
      </c>
      <c r="I32" s="51">
        <v>6519690</v>
      </c>
      <c r="J32" s="51">
        <v>8112620</v>
      </c>
      <c r="K32" s="51">
        <v>11803330</v>
      </c>
      <c r="L32" s="51">
        <v>5147130</v>
      </c>
      <c r="M32" s="51">
        <v>9459110</v>
      </c>
      <c r="N32" s="51">
        <v>15634650</v>
      </c>
      <c r="O32" s="51">
        <v>21873660</v>
      </c>
      <c r="Q32" s="37">
        <f>IF((C32-C31&lt;0), "0",C32-C31)</f>
        <v>5400</v>
      </c>
      <c r="R32" s="37">
        <f t="shared" si="22"/>
        <v>7210</v>
      </c>
      <c r="S32" s="37">
        <f t="shared" si="16"/>
        <v>2270</v>
      </c>
      <c r="T32" s="37">
        <f t="shared" si="23"/>
        <v>1530</v>
      </c>
      <c r="U32" s="37">
        <f t="shared" si="24"/>
        <v>4340</v>
      </c>
      <c r="V32" s="37">
        <f t="shared" si="25"/>
        <v>4090</v>
      </c>
      <c r="W32" s="37">
        <f t="shared" si="26"/>
        <v>2950</v>
      </c>
      <c r="X32" s="37">
        <f t="shared" si="27"/>
        <v>4390</v>
      </c>
      <c r="Y32" s="37">
        <f t="shared" si="28"/>
        <v>5060</v>
      </c>
      <c r="Z32" s="37">
        <f t="shared" si="29"/>
        <v>2320</v>
      </c>
      <c r="AA32" s="37">
        <f t="shared" si="30"/>
        <v>2850</v>
      </c>
      <c r="AB32" s="37">
        <f t="shared" si="31"/>
        <v>7460</v>
      </c>
      <c r="AC32" s="37">
        <f t="shared" si="32"/>
        <v>10140</v>
      </c>
      <c r="AD32" s="35">
        <f t="shared" si="33"/>
        <v>60010</v>
      </c>
      <c r="AF32" s="20">
        <f t="shared" si="1"/>
        <v>27</v>
      </c>
      <c r="AG32" s="20">
        <f t="shared" si="2"/>
        <v>36.050000000000004</v>
      </c>
      <c r="AH32" s="20">
        <f t="shared" si="3"/>
        <v>11.35</v>
      </c>
      <c r="AI32" s="20">
        <f t="shared" si="4"/>
        <v>7.65</v>
      </c>
      <c r="AJ32" s="20">
        <f t="shared" si="5"/>
        <v>21.7</v>
      </c>
      <c r="AK32" s="20">
        <f t="shared" si="6"/>
        <v>20.45</v>
      </c>
      <c r="AL32" s="20">
        <f t="shared" si="7"/>
        <v>14.75</v>
      </c>
      <c r="AM32" s="20">
        <f t="shared" si="8"/>
        <v>21.95</v>
      </c>
      <c r="AN32" s="20">
        <f t="shared" si="9"/>
        <v>25.3</v>
      </c>
      <c r="AO32" s="20">
        <f t="shared" si="10"/>
        <v>11.6</v>
      </c>
      <c r="AP32" s="20">
        <f t="shared" si="11"/>
        <v>14.25</v>
      </c>
      <c r="AQ32" s="20">
        <f t="shared" si="12"/>
        <v>37.300000000000004</v>
      </c>
      <c r="AR32" s="20">
        <f t="shared" si="13"/>
        <v>50.7</v>
      </c>
      <c r="AS32" s="35">
        <f t="shared" si="34"/>
        <v>300.05</v>
      </c>
      <c r="AT32" s="61"/>
      <c r="AV32" s="65">
        <v>0</v>
      </c>
      <c r="AW32" s="64">
        <f t="shared" si="14"/>
        <v>0</v>
      </c>
      <c r="AX32" s="66">
        <f t="shared" si="17"/>
        <v>0</v>
      </c>
      <c r="AY32" s="54">
        <v>288422</v>
      </c>
      <c r="AZ32" s="37">
        <f t="shared" si="18"/>
        <v>226100</v>
      </c>
      <c r="BA32" s="37">
        <f t="shared" si="19"/>
        <v>617.25300000000004</v>
      </c>
      <c r="BB32" s="59">
        <f t="shared" si="20"/>
        <v>274.30723320000004</v>
      </c>
    </row>
    <row r="33" spans="1:54" x14ac:dyDescent="0.25">
      <c r="A33" s="23">
        <v>44861</v>
      </c>
      <c r="B33" s="40">
        <v>109</v>
      </c>
      <c r="C33" s="24">
        <v>8515180</v>
      </c>
      <c r="D33" s="50">
        <v>20932630</v>
      </c>
      <c r="E33" s="50">
        <v>3715940</v>
      </c>
      <c r="F33" s="50">
        <v>4322190</v>
      </c>
      <c r="G33" s="50">
        <v>12734630</v>
      </c>
      <c r="H33" s="50">
        <v>7520770</v>
      </c>
      <c r="I33" s="50">
        <v>6522910</v>
      </c>
      <c r="J33" s="50">
        <v>8117110</v>
      </c>
      <c r="K33" s="50">
        <v>11808650</v>
      </c>
      <c r="L33" s="50">
        <v>5149620</v>
      </c>
      <c r="M33" s="50">
        <v>9462050</v>
      </c>
      <c r="N33" s="50">
        <v>15642070</v>
      </c>
      <c r="O33" s="50">
        <v>21883470</v>
      </c>
      <c r="Q33" s="37">
        <f>IF((C33-C32&lt;0), "0",C33-C32)</f>
        <v>10830</v>
      </c>
      <c r="R33" s="37">
        <f t="shared" si="22"/>
        <v>2910</v>
      </c>
      <c r="S33" s="37">
        <f t="shared" si="16"/>
        <v>1870</v>
      </c>
      <c r="T33" s="37">
        <f t="shared" si="23"/>
        <v>1600</v>
      </c>
      <c r="U33" s="37">
        <f t="shared" si="24"/>
        <v>4660</v>
      </c>
      <c r="V33" s="37">
        <f t="shared" si="25"/>
        <v>4290</v>
      </c>
      <c r="W33" s="37">
        <f t="shared" si="26"/>
        <v>3220</v>
      </c>
      <c r="X33" s="37">
        <f t="shared" si="27"/>
        <v>4490</v>
      </c>
      <c r="Y33" s="37">
        <f t="shared" si="28"/>
        <v>5320</v>
      </c>
      <c r="Z33" s="37">
        <f t="shared" si="29"/>
        <v>2490</v>
      </c>
      <c r="AA33" s="37">
        <f t="shared" si="30"/>
        <v>2940</v>
      </c>
      <c r="AB33" s="37">
        <f t="shared" si="31"/>
        <v>7420</v>
      </c>
      <c r="AC33" s="37">
        <f t="shared" si="32"/>
        <v>9810</v>
      </c>
      <c r="AD33" s="35">
        <f t="shared" si="33"/>
        <v>61850</v>
      </c>
      <c r="AF33" s="20">
        <f t="shared" si="1"/>
        <v>54.15</v>
      </c>
      <c r="AG33" s="20">
        <f t="shared" si="2"/>
        <v>14.55</v>
      </c>
      <c r="AH33" s="20">
        <f t="shared" si="3"/>
        <v>9.35</v>
      </c>
      <c r="AI33" s="20">
        <f t="shared" si="4"/>
        <v>8</v>
      </c>
      <c r="AJ33" s="20">
        <f t="shared" si="5"/>
        <v>23.3</v>
      </c>
      <c r="AK33" s="20">
        <f t="shared" si="6"/>
        <v>21.45</v>
      </c>
      <c r="AL33" s="20">
        <f t="shared" si="7"/>
        <v>16.100000000000001</v>
      </c>
      <c r="AM33" s="20">
        <f t="shared" si="8"/>
        <v>22.45</v>
      </c>
      <c r="AN33" s="20">
        <f t="shared" si="9"/>
        <v>26.6</v>
      </c>
      <c r="AO33" s="20">
        <f t="shared" si="10"/>
        <v>12.450000000000001</v>
      </c>
      <c r="AP33" s="20">
        <f t="shared" si="11"/>
        <v>14.700000000000001</v>
      </c>
      <c r="AQ33" s="20">
        <f t="shared" si="12"/>
        <v>37.1</v>
      </c>
      <c r="AR33" s="20">
        <f t="shared" si="13"/>
        <v>49.050000000000004</v>
      </c>
      <c r="AS33" s="35">
        <f t="shared" si="34"/>
        <v>309.24999999999994</v>
      </c>
      <c r="AT33" s="61"/>
      <c r="AV33" s="65">
        <v>0</v>
      </c>
      <c r="AW33" s="64">
        <f t="shared" si="14"/>
        <v>0</v>
      </c>
      <c r="AX33" s="66">
        <f t="shared" si="17"/>
        <v>0</v>
      </c>
      <c r="AY33" s="53">
        <v>290153</v>
      </c>
      <c r="AZ33" s="37">
        <f t="shared" si="18"/>
        <v>173100</v>
      </c>
      <c r="BA33" s="37">
        <f t="shared" si="19"/>
        <v>472.56299999999999</v>
      </c>
      <c r="BB33" s="59">
        <f t="shared" si="20"/>
        <v>210.0069972</v>
      </c>
    </row>
    <row r="34" spans="1:54" x14ac:dyDescent="0.25">
      <c r="A34" s="23">
        <v>44862</v>
      </c>
      <c r="B34" s="48">
        <v>154</v>
      </c>
      <c r="C34" s="47">
        <v>8525290</v>
      </c>
      <c r="D34" s="51">
        <v>20936350</v>
      </c>
      <c r="E34" s="51">
        <v>3719300</v>
      </c>
      <c r="F34" s="51">
        <v>4323830</v>
      </c>
      <c r="G34" s="51">
        <v>12739490</v>
      </c>
      <c r="H34" s="51">
        <v>7524910</v>
      </c>
      <c r="I34" s="51">
        <v>6526500</v>
      </c>
      <c r="J34" s="51">
        <v>8121550</v>
      </c>
      <c r="K34" s="51">
        <v>11814290</v>
      </c>
      <c r="L34" s="51">
        <v>5152400</v>
      </c>
      <c r="M34" s="51">
        <v>9465210</v>
      </c>
      <c r="N34" s="51">
        <v>15649700</v>
      </c>
      <c r="O34" s="51">
        <v>21894130</v>
      </c>
      <c r="Q34" s="37">
        <f>IF((C34-C33&lt;0), "0",C34-C33)</f>
        <v>10110</v>
      </c>
      <c r="R34" s="37">
        <f t="shared" si="22"/>
        <v>3720</v>
      </c>
      <c r="S34" s="37">
        <f t="shared" si="16"/>
        <v>3360</v>
      </c>
      <c r="T34" s="37">
        <f t="shared" si="23"/>
        <v>1640</v>
      </c>
      <c r="U34" s="37">
        <f t="shared" si="24"/>
        <v>4860</v>
      </c>
      <c r="V34" s="37">
        <f t="shared" si="25"/>
        <v>4140</v>
      </c>
      <c r="W34" s="37">
        <f t="shared" si="26"/>
        <v>3590</v>
      </c>
      <c r="X34" s="37">
        <f t="shared" si="27"/>
        <v>4440</v>
      </c>
      <c r="Y34" s="37">
        <f t="shared" si="28"/>
        <v>5640</v>
      </c>
      <c r="Z34" s="37">
        <f t="shared" si="29"/>
        <v>2780</v>
      </c>
      <c r="AA34" s="37">
        <f t="shared" si="30"/>
        <v>3160</v>
      </c>
      <c r="AB34" s="37">
        <f t="shared" si="31"/>
        <v>7630</v>
      </c>
      <c r="AC34" s="37">
        <f t="shared" si="32"/>
        <v>10660</v>
      </c>
      <c r="AD34" s="35">
        <f t="shared" si="33"/>
        <v>65730</v>
      </c>
      <c r="AF34" s="20">
        <f>Q34*$D$39</f>
        <v>50.550000000000004</v>
      </c>
      <c r="AG34" s="20">
        <f t="shared" si="2"/>
        <v>18.600000000000001</v>
      </c>
      <c r="AH34" s="20">
        <f t="shared" si="3"/>
        <v>16.8</v>
      </c>
      <c r="AI34" s="20">
        <f t="shared" si="4"/>
        <v>8.1999999999999993</v>
      </c>
      <c r="AJ34" s="20">
        <f t="shared" si="5"/>
        <v>24.3</v>
      </c>
      <c r="AK34" s="20">
        <f t="shared" si="6"/>
        <v>20.7</v>
      </c>
      <c r="AL34" s="20">
        <f t="shared" si="7"/>
        <v>17.95</v>
      </c>
      <c r="AM34" s="20">
        <f t="shared" si="8"/>
        <v>22.2</v>
      </c>
      <c r="AN34" s="20">
        <f t="shared" si="9"/>
        <v>28.2</v>
      </c>
      <c r="AO34" s="20">
        <f t="shared" si="10"/>
        <v>13.9</v>
      </c>
      <c r="AP34" s="20">
        <f t="shared" si="11"/>
        <v>15.8</v>
      </c>
      <c r="AQ34" s="20">
        <f t="shared" si="12"/>
        <v>38.15</v>
      </c>
      <c r="AR34" s="20">
        <f t="shared" si="13"/>
        <v>53.300000000000004</v>
      </c>
      <c r="AS34" s="35">
        <f>SUM(AF34:AR34)</f>
        <v>328.65</v>
      </c>
      <c r="AT34" s="61"/>
      <c r="AV34" s="65">
        <v>0</v>
      </c>
      <c r="AW34" s="64">
        <f t="shared" si="14"/>
        <v>0</v>
      </c>
      <c r="AX34" s="66">
        <f t="shared" si="17"/>
        <v>0</v>
      </c>
      <c r="AY34" s="54">
        <v>291272</v>
      </c>
      <c r="AZ34" s="37">
        <f t="shared" si="18"/>
        <v>111900</v>
      </c>
      <c r="BA34" s="37">
        <f t="shared" si="19"/>
        <v>305.48700000000002</v>
      </c>
      <c r="BB34" s="59">
        <f t="shared" si="20"/>
        <v>135.75842280000001</v>
      </c>
    </row>
    <row r="35" spans="1:54" x14ac:dyDescent="0.25">
      <c r="A35" s="23">
        <v>44863</v>
      </c>
      <c r="B35" s="40">
        <v>105</v>
      </c>
      <c r="C35" s="57">
        <v>8535200</v>
      </c>
      <c r="D35" s="57">
        <v>20940050</v>
      </c>
      <c r="E35" s="57">
        <v>3722500</v>
      </c>
      <c r="F35" s="57">
        <v>4325450</v>
      </c>
      <c r="G35" s="57">
        <v>12744460</v>
      </c>
      <c r="H35" s="57">
        <v>7529050</v>
      </c>
      <c r="I35" s="57">
        <v>6530460</v>
      </c>
      <c r="J35" s="57">
        <v>8125980</v>
      </c>
      <c r="K35" s="57">
        <v>11820080</v>
      </c>
      <c r="L35" s="57">
        <v>5155090</v>
      </c>
      <c r="M35" s="57">
        <v>9468230</v>
      </c>
      <c r="N35" s="57">
        <v>15657530</v>
      </c>
      <c r="O35" s="57">
        <v>21904300</v>
      </c>
      <c r="Q35" s="37">
        <f>IF((C35-C34&lt;0), "0",C35-C34)</f>
        <v>9910</v>
      </c>
      <c r="R35" s="37">
        <f t="shared" si="22"/>
        <v>3700</v>
      </c>
      <c r="S35" s="37">
        <f t="shared" si="16"/>
        <v>3200</v>
      </c>
      <c r="T35" s="37">
        <f t="shared" si="23"/>
        <v>1620</v>
      </c>
      <c r="U35" s="37">
        <f t="shared" si="24"/>
        <v>4970</v>
      </c>
      <c r="V35" s="37">
        <f t="shared" si="25"/>
        <v>4140</v>
      </c>
      <c r="W35" s="37">
        <f t="shared" si="26"/>
        <v>3960</v>
      </c>
      <c r="X35" s="37">
        <f t="shared" si="27"/>
        <v>4430</v>
      </c>
      <c r="Y35" s="37">
        <f t="shared" si="28"/>
        <v>5790</v>
      </c>
      <c r="Z35" s="37">
        <f t="shared" si="29"/>
        <v>2690</v>
      </c>
      <c r="AA35" s="37">
        <f t="shared" si="30"/>
        <v>3020</v>
      </c>
      <c r="AB35" s="37">
        <f t="shared" si="31"/>
        <v>7830</v>
      </c>
      <c r="AC35" s="37">
        <f t="shared" si="32"/>
        <v>10170</v>
      </c>
      <c r="AD35" s="35">
        <f t="shared" si="33"/>
        <v>65430</v>
      </c>
      <c r="AF35" s="20">
        <f t="shared" si="1"/>
        <v>49.550000000000004</v>
      </c>
      <c r="AG35" s="20">
        <f t="shared" si="2"/>
        <v>18.5</v>
      </c>
      <c r="AH35" s="20">
        <f t="shared" si="3"/>
        <v>16</v>
      </c>
      <c r="AI35" s="20">
        <f t="shared" si="4"/>
        <v>8.1</v>
      </c>
      <c r="AJ35" s="20">
        <f t="shared" si="5"/>
        <v>24.85</v>
      </c>
      <c r="AK35" s="20">
        <f t="shared" si="6"/>
        <v>20.7</v>
      </c>
      <c r="AL35" s="20">
        <f t="shared" si="7"/>
        <v>19.8</v>
      </c>
      <c r="AM35" s="20">
        <f t="shared" si="8"/>
        <v>22.150000000000002</v>
      </c>
      <c r="AN35" s="20">
        <f t="shared" si="9"/>
        <v>28.95</v>
      </c>
      <c r="AO35" s="20">
        <f t="shared" si="10"/>
        <v>13.450000000000001</v>
      </c>
      <c r="AP35" s="20">
        <f t="shared" si="11"/>
        <v>15.1</v>
      </c>
      <c r="AQ35" s="20">
        <f t="shared" si="12"/>
        <v>39.15</v>
      </c>
      <c r="AR35" s="20">
        <f t="shared" si="13"/>
        <v>50.85</v>
      </c>
      <c r="AS35" s="35">
        <f>SUM(AF35:AR35)</f>
        <v>327.14999999999998</v>
      </c>
      <c r="AT35" s="61"/>
      <c r="AV35" s="65">
        <v>0</v>
      </c>
      <c r="AW35" s="64">
        <f t="shared" si="14"/>
        <v>0</v>
      </c>
      <c r="AX35" s="66">
        <f t="shared" si="17"/>
        <v>0</v>
      </c>
      <c r="AY35" s="58">
        <v>294588</v>
      </c>
      <c r="AZ35" s="37">
        <f t="shared" si="18"/>
        <v>331600</v>
      </c>
      <c r="BA35" s="37">
        <f t="shared" si="19"/>
        <v>905.26799999999992</v>
      </c>
      <c r="BB35" s="59">
        <f t="shared" si="20"/>
        <v>402.30109919999995</v>
      </c>
    </row>
    <row r="36" spans="1:54" x14ac:dyDescent="0.25">
      <c r="A36" s="23">
        <v>44864</v>
      </c>
      <c r="B36" s="40">
        <v>74</v>
      </c>
      <c r="C36" s="80">
        <v>8544420</v>
      </c>
      <c r="D36" s="80">
        <v>20943650</v>
      </c>
      <c r="E36" s="80">
        <v>3725570</v>
      </c>
      <c r="F36" s="80">
        <v>4327020</v>
      </c>
      <c r="G36" s="80">
        <v>12749010</v>
      </c>
      <c r="H36" s="80">
        <v>7533060</v>
      </c>
      <c r="I36" s="80">
        <v>6533540</v>
      </c>
      <c r="J36" s="80">
        <v>8130040</v>
      </c>
      <c r="K36" s="80">
        <v>11825290</v>
      </c>
      <c r="L36" s="80">
        <v>5157510</v>
      </c>
      <c r="M36" s="80">
        <v>9471120</v>
      </c>
      <c r="N36" s="80">
        <v>15665250</v>
      </c>
      <c r="O36" s="80">
        <v>21912660</v>
      </c>
      <c r="Q36" s="37">
        <f t="shared" ref="Q36:AA36" si="37">IF((C36-C35&lt;0), "0",C36-C35)</f>
        <v>9220</v>
      </c>
      <c r="R36" s="37">
        <f t="shared" si="22"/>
        <v>3600</v>
      </c>
      <c r="S36" s="37">
        <f t="shared" si="37"/>
        <v>3070</v>
      </c>
      <c r="T36" s="37">
        <f t="shared" si="37"/>
        <v>1570</v>
      </c>
      <c r="U36" s="37">
        <f t="shared" si="37"/>
        <v>4550</v>
      </c>
      <c r="V36" s="37">
        <f t="shared" si="37"/>
        <v>4010</v>
      </c>
      <c r="W36" s="37">
        <f t="shared" si="37"/>
        <v>3080</v>
      </c>
      <c r="X36" s="37">
        <f t="shared" si="27"/>
        <v>4060</v>
      </c>
      <c r="Y36" s="37">
        <f t="shared" si="37"/>
        <v>5210</v>
      </c>
      <c r="Z36" s="37">
        <f t="shared" si="37"/>
        <v>2420</v>
      </c>
      <c r="AA36" s="37">
        <f t="shared" si="37"/>
        <v>2890</v>
      </c>
      <c r="AB36" s="37">
        <f t="shared" si="31"/>
        <v>7720</v>
      </c>
      <c r="AC36" s="37">
        <f t="shared" si="32"/>
        <v>8360</v>
      </c>
      <c r="AD36" s="35">
        <f t="shared" si="33"/>
        <v>59760</v>
      </c>
      <c r="AF36" s="20">
        <f t="shared" si="1"/>
        <v>46.1</v>
      </c>
      <c r="AG36" s="20">
        <f t="shared" si="2"/>
        <v>18</v>
      </c>
      <c r="AH36" s="20">
        <f t="shared" si="3"/>
        <v>15.35</v>
      </c>
      <c r="AI36" s="20">
        <f t="shared" si="4"/>
        <v>7.8500000000000005</v>
      </c>
      <c r="AJ36" s="20">
        <f t="shared" si="5"/>
        <v>22.75</v>
      </c>
      <c r="AK36" s="20">
        <f t="shared" si="6"/>
        <v>20.05</v>
      </c>
      <c r="AL36" s="20">
        <f t="shared" si="7"/>
        <v>15.4</v>
      </c>
      <c r="AM36" s="20">
        <f t="shared" si="8"/>
        <v>20.3</v>
      </c>
      <c r="AN36" s="20">
        <f t="shared" si="9"/>
        <v>26.05</v>
      </c>
      <c r="AO36" s="20">
        <f t="shared" si="10"/>
        <v>12.1</v>
      </c>
      <c r="AP36" s="20">
        <f t="shared" si="11"/>
        <v>14.450000000000001</v>
      </c>
      <c r="AQ36" s="20">
        <f t="shared" si="12"/>
        <v>38.6</v>
      </c>
      <c r="AR36" s="20">
        <f t="shared" si="13"/>
        <v>41.800000000000004</v>
      </c>
      <c r="AS36" s="35">
        <f>SUM(AF36:AR36)</f>
        <v>298.8</v>
      </c>
      <c r="AT36" s="61"/>
      <c r="AV36" s="65">
        <v>0</v>
      </c>
      <c r="AW36" s="64">
        <f t="shared" si="14"/>
        <v>0</v>
      </c>
      <c r="AX36" s="66">
        <f t="shared" si="17"/>
        <v>0</v>
      </c>
      <c r="AY36" s="55">
        <v>296599</v>
      </c>
      <c r="AZ36" s="37">
        <f t="shared" si="18"/>
        <v>201100</v>
      </c>
      <c r="BA36" s="37">
        <f t="shared" si="19"/>
        <v>549.00299999999993</v>
      </c>
      <c r="BB36" s="59">
        <f t="shared" si="20"/>
        <v>243.97693319999999</v>
      </c>
    </row>
    <row r="37" spans="1:54" x14ac:dyDescent="0.25">
      <c r="A37" s="23">
        <v>44865</v>
      </c>
      <c r="B37" s="40">
        <v>80</v>
      </c>
      <c r="C37" s="24">
        <v>8554300</v>
      </c>
      <c r="D37" s="24">
        <v>20947360</v>
      </c>
      <c r="E37" s="24">
        <v>3728660</v>
      </c>
      <c r="F37" s="24">
        <v>4328650</v>
      </c>
      <c r="G37" s="24">
        <v>12753490</v>
      </c>
      <c r="H37" s="24">
        <v>7536930</v>
      </c>
      <c r="I37" s="24">
        <v>6536470</v>
      </c>
      <c r="J37" s="24">
        <v>8134370</v>
      </c>
      <c r="K37" s="24">
        <v>11830570</v>
      </c>
      <c r="L37" s="24">
        <v>5159970</v>
      </c>
      <c r="M37" s="24">
        <v>9473770</v>
      </c>
      <c r="N37" s="24">
        <v>15672980</v>
      </c>
      <c r="O37" s="24">
        <v>21923120</v>
      </c>
      <c r="Q37" s="37">
        <f t="shared" ref="Q37" si="38">IF((C37-C36&lt;0), "0",C37-C36)</f>
        <v>9880</v>
      </c>
      <c r="R37" s="37">
        <f t="shared" si="22"/>
        <v>3710</v>
      </c>
      <c r="S37" s="37">
        <f t="shared" ref="S37" si="39">IF((E37-E36&lt;0), "0",E37-E36)</f>
        <v>3090</v>
      </c>
      <c r="T37" s="37">
        <f t="shared" ref="T37" si="40">IF((F37-F36&lt;0), "0",F37-F36)</f>
        <v>1630</v>
      </c>
      <c r="U37" s="37">
        <f t="shared" ref="U37" si="41">IF((G37-G36&lt;0), "0",G37-G36)</f>
        <v>4480</v>
      </c>
      <c r="V37" s="37">
        <f t="shared" ref="V37" si="42">IF((H37-H36&lt;0), "0",H37-H36)</f>
        <v>3870</v>
      </c>
      <c r="W37" s="37">
        <f t="shared" ref="W37" si="43">IF((I37-I36&lt;0), "0",I37-I36)</f>
        <v>2930</v>
      </c>
      <c r="X37" s="37">
        <f t="shared" si="27"/>
        <v>4330</v>
      </c>
      <c r="Y37" s="37">
        <f t="shared" ref="Y37" si="44">IF((K37-K36&lt;0), "0",K37-K36)</f>
        <v>5280</v>
      </c>
      <c r="Z37" s="37">
        <f t="shared" ref="Z37" si="45">IF((L37-L36&lt;0), "0",L37-L36)</f>
        <v>2460</v>
      </c>
      <c r="AA37" s="37">
        <f t="shared" ref="AA37" si="46">IF((M37-M36&lt;0), "0",M37-M36)</f>
        <v>2650</v>
      </c>
      <c r="AB37" s="37">
        <f t="shared" si="31"/>
        <v>7730</v>
      </c>
      <c r="AC37" s="37">
        <f t="shared" si="32"/>
        <v>10460</v>
      </c>
      <c r="AD37" s="35">
        <f t="shared" si="33"/>
        <v>62500</v>
      </c>
      <c r="AF37" s="20">
        <f t="shared" ref="AF37" si="47">Q37*$D$39</f>
        <v>49.4</v>
      </c>
      <c r="AG37" s="20">
        <f t="shared" ref="AG37" si="48">R37*$D$39</f>
        <v>18.55</v>
      </c>
      <c r="AH37" s="20">
        <f t="shared" ref="AH37" si="49">S37*$D$39</f>
        <v>15.450000000000001</v>
      </c>
      <c r="AI37" s="20">
        <f t="shared" ref="AI37" si="50">T37*$D$39</f>
        <v>8.15</v>
      </c>
      <c r="AJ37" s="20">
        <f t="shared" ref="AJ37" si="51">U37*$D$39</f>
        <v>22.400000000000002</v>
      </c>
      <c r="AK37" s="20">
        <f t="shared" ref="AK37" si="52">V37*$D$39</f>
        <v>19.350000000000001</v>
      </c>
      <c r="AL37" s="20">
        <f t="shared" ref="AL37" si="53">W37*$D$39</f>
        <v>14.65</v>
      </c>
      <c r="AM37" s="20">
        <f t="shared" ref="AM37" si="54">X37*$D$39</f>
        <v>21.650000000000002</v>
      </c>
      <c r="AN37" s="20">
        <f t="shared" ref="AN37" si="55">Y37*$D$39</f>
        <v>26.400000000000002</v>
      </c>
      <c r="AO37" s="20">
        <f t="shared" ref="AO37" si="56">Z37*$D$39</f>
        <v>12.3</v>
      </c>
      <c r="AP37" s="20">
        <f t="shared" ref="AP37" si="57">AA37*$D$39</f>
        <v>13.25</v>
      </c>
      <c r="AQ37" s="20">
        <f t="shared" ref="AQ37" si="58">AB37*$D$39</f>
        <v>38.65</v>
      </c>
      <c r="AR37" s="20">
        <f t="shared" ref="AR37" si="59">AC37*$D$39</f>
        <v>52.300000000000004</v>
      </c>
      <c r="AS37" s="35">
        <f>SUM(AF37:AR37)</f>
        <v>312.50000000000006</v>
      </c>
      <c r="AT37" s="61"/>
      <c r="AV37" s="65">
        <v>0</v>
      </c>
      <c r="AW37" s="64">
        <f t="shared" si="14"/>
        <v>0</v>
      </c>
      <c r="AX37" s="66">
        <f t="shared" si="17"/>
        <v>0</v>
      </c>
      <c r="AY37" s="52">
        <v>298912</v>
      </c>
      <c r="AZ37" s="37">
        <f t="shared" si="18"/>
        <v>231300</v>
      </c>
      <c r="BA37" s="37">
        <f t="shared" si="19"/>
        <v>631.44899999999996</v>
      </c>
      <c r="BB37" s="59">
        <f t="shared" si="20"/>
        <v>280.6159356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80220</v>
      </c>
      <c r="R38" s="38">
        <f t="shared" ref="R38:AD38" si="60">SUM(R7:R37)</f>
        <v>349790</v>
      </c>
      <c r="S38" s="38">
        <f t="shared" si="60"/>
        <v>92600</v>
      </c>
      <c r="T38" s="38">
        <f t="shared" si="60"/>
        <v>48560</v>
      </c>
      <c r="U38" s="38">
        <f t="shared" si="60"/>
        <v>144410</v>
      </c>
      <c r="V38" s="38">
        <f t="shared" si="60"/>
        <v>125280</v>
      </c>
      <c r="W38" s="38">
        <f t="shared" si="60"/>
        <v>104990</v>
      </c>
      <c r="X38" s="38">
        <f t="shared" si="60"/>
        <v>138490</v>
      </c>
      <c r="Y38" s="38">
        <f t="shared" si="60"/>
        <v>162200</v>
      </c>
      <c r="Z38" s="38">
        <f t="shared" si="60"/>
        <v>79000</v>
      </c>
      <c r="AA38" s="38">
        <f t="shared" si="60"/>
        <v>92170</v>
      </c>
      <c r="AB38" s="38">
        <f t="shared" si="60"/>
        <v>222210</v>
      </c>
      <c r="AC38" s="38">
        <f t="shared" si="60"/>
        <v>307650</v>
      </c>
      <c r="AD38" s="38">
        <f t="shared" si="60"/>
        <v>1947570</v>
      </c>
      <c r="AF38" s="35">
        <f>SUM(AF7:AF37)</f>
        <v>401.1</v>
      </c>
      <c r="AG38" s="35">
        <f t="shared" ref="AG38:AT38" si="61">SUM(AG7:AG37)</f>
        <v>1748.9499999999996</v>
      </c>
      <c r="AH38" s="35">
        <f t="shared" si="61"/>
        <v>463.00000000000011</v>
      </c>
      <c r="AI38" s="35">
        <f t="shared" si="61"/>
        <v>242.79999999999998</v>
      </c>
      <c r="AJ38" s="35">
        <f t="shared" si="61"/>
        <v>722.05000000000007</v>
      </c>
      <c r="AK38" s="35">
        <f t="shared" si="61"/>
        <v>626.40000000000009</v>
      </c>
      <c r="AL38" s="35">
        <f t="shared" si="61"/>
        <v>524.94999999999993</v>
      </c>
      <c r="AM38" s="35">
        <f t="shared" si="61"/>
        <v>692.45</v>
      </c>
      <c r="AN38" s="35">
        <f t="shared" si="61"/>
        <v>811</v>
      </c>
      <c r="AO38" s="35">
        <f t="shared" si="61"/>
        <v>395.00000000000011</v>
      </c>
      <c r="AP38" s="35">
        <f t="shared" si="61"/>
        <v>460.85000000000008</v>
      </c>
      <c r="AQ38" s="35">
        <f t="shared" si="61"/>
        <v>1111.05</v>
      </c>
      <c r="AR38" s="35">
        <f t="shared" si="61"/>
        <v>1538.2499999999998</v>
      </c>
      <c r="AS38" s="35">
        <f t="shared" si="61"/>
        <v>9737.8499999999985</v>
      </c>
      <c r="AT38" s="62">
        <f t="shared" si="61"/>
        <v>0</v>
      </c>
      <c r="AV38" s="65">
        <v>0</v>
      </c>
      <c r="AW38" s="64">
        <f t="shared" si="14"/>
        <v>0</v>
      </c>
      <c r="AX38" s="66">
        <f t="shared" si="17"/>
        <v>0</v>
      </c>
      <c r="AY38" s="46"/>
      <c r="AZ38" s="37">
        <f t="shared" si="18"/>
        <v>0</v>
      </c>
      <c r="BA38" s="37">
        <f>SUM(BA7:BA37)</f>
        <v>15815.163</v>
      </c>
      <c r="BB38" s="59">
        <f t="shared" si="20"/>
        <v>7028.2584372000001</v>
      </c>
    </row>
    <row r="39" spans="1:54" x14ac:dyDescent="0.25">
      <c r="B39" s="39">
        <f>SUM(B7:B37)</f>
        <v>3224</v>
      </c>
      <c r="D39">
        <v>5.0000000000000001E-3</v>
      </c>
      <c r="AV39" s="65">
        <v>0</v>
      </c>
      <c r="AW39" s="64">
        <f t="shared" si="14"/>
        <v>0</v>
      </c>
      <c r="AX39" s="66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63">
        <v>0.52800000000000002</v>
      </c>
      <c r="AX44" s="63">
        <v>3.79E-3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2023-02-12T09:45:15Z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