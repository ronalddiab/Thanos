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D9B26A05-40B3-4D3C-8C0B-CF43BBB1FC9D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<sst xmlns="http://schemas.openxmlformats.org/spreadsheetml/2006/main" count="66" uniqueCount="32">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</sst>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>
            <v>92</v>
          </cell>
          <cell r="N387">
            <v>110</v>
          </cell>
          <cell r="O387">
            <v>164</v>
          </cell>
          <cell r="P387">
            <v>168</v>
          </cell>
          <cell r="Q387">
            <v>138</v>
          </cell>
          <cell r="R387">
            <v>131</v>
          </cell>
          <cell r="S387">
            <v>151</v>
          </cell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>
            <v>136</v>
          </cell>
          <cell r="N388">
            <v>180</v>
          </cell>
          <cell r="O388">
            <v>316</v>
          </cell>
          <cell r="P388">
            <v>325</v>
          </cell>
          <cell r="Q388">
            <v>231</v>
          </cell>
          <cell r="R388">
            <v>206</v>
          </cell>
          <cell r="S388">
            <v>222</v>
          </cell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161.4</v>
          </cell>
          <cell r="N23">
            <v>172.1</v>
          </cell>
          <cell r="O23">
            <v>185.8</v>
          </cell>
          <cell r="P23">
            <v>200</v>
          </cell>
          <cell r="Q23">
            <v>185.4</v>
          </cell>
          <cell r="R23">
            <v>178.9</v>
          </cell>
          <cell r="S23">
            <v>176.4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129</v>
          </cell>
          <cell r="N41">
            <v>144</v>
          </cell>
          <cell r="O41">
            <v>151</v>
          </cell>
          <cell r="P41">
            <v>196</v>
          </cell>
          <cell r="Q41">
            <v>187</v>
          </cell>
          <cell r="R41">
            <v>154</v>
          </cell>
          <cell r="S41">
            <v>160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43.892400000000002</v>
          </cell>
          <cell r="N91">
            <v>474.20459999999997</v>
          </cell>
          <cell r="O91">
            <v>312.52499999999998</v>
          </cell>
          <cell r="P91">
            <v>555.6</v>
          </cell>
          <cell r="Q91">
            <v>500.03999999999996</v>
          </cell>
          <cell r="R91">
            <v>111.11999999999999</v>
          </cell>
          <cell r="S91">
            <v>171.95820000000001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27865.562399999999</v>
          </cell>
          <cell r="N115">
            <v>17551.126199999999</v>
          </cell>
          <cell r="O115">
            <v>20018.8236</v>
          </cell>
          <cell r="P115">
            <v>19479.891599999999</v>
          </cell>
          <cell r="Q115">
            <v>16242.132599999999</v>
          </cell>
          <cell r="R115">
            <v>19844.643</v>
          </cell>
          <cell r="S115">
            <v>24568.909799999998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15874</v>
          </cell>
          <cell r="N147">
            <v>16109</v>
          </cell>
          <cell r="O147">
            <v>16427</v>
          </cell>
          <cell r="P147">
            <v>16703</v>
          </cell>
          <cell r="Q147">
            <v>16713</v>
          </cell>
          <cell r="R147">
            <v>16383</v>
          </cell>
          <cell r="S147">
            <v>16437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31.5</v>
          </cell>
        </row>
        <row r="23">
          <cell r="M23">
            <v>153.9338958803734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R11" sqref="R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2022</v>
      </c>
      <c r="E2" s="9">
        <f>'Otemachi Daily'!D5</f>
        <v>16143</v>
      </c>
      <c r="F2" s="34">
        <f>[1]見込!$G$3</f>
        <v>31.5</v>
      </c>
      <c r="G2" s="9">
        <f>'Otemachi Daily'!F5</f>
        <v>153.6</v>
      </c>
      <c r="H2" s="34">
        <f>[1]見込!$M$23</f>
        <v>153.9338958803734</v>
      </c>
      <c r="I2" s="9">
        <f>'Otemachi Daily'!H5</f>
        <v>29081.215199999999</v>
      </c>
      <c r="J2" s="34">
        <v>10.79</v>
      </c>
      <c r="K2" s="9">
        <f>'Otemachi Daily'!J5</f>
        <v>87.506999999999991</v>
      </c>
      <c r="L2" s="34">
        <v>7.22</v>
      </c>
      <c r="M2" s="9">
        <f>'Otemachi Daily'!L5</f>
        <v>141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16181</v>
      </c>
      <c r="F3" s="34">
        <f>[1]見込!$G$3</f>
        <v>31.5</v>
      </c>
      <c r="G3" s="9">
        <f>'Otemachi Daily'!F6</f>
        <v>184.4</v>
      </c>
      <c r="H3" s="34">
        <f>[1]見込!$M$23</f>
        <v>153.9338958803734</v>
      </c>
      <c r="I3" s="9">
        <f>'Otemachi Daily'!H6</f>
        <v>16926.353999999999</v>
      </c>
      <c r="J3" s="34">
        <v>10.79</v>
      </c>
      <c r="K3" s="9">
        <f>'Otemachi Daily'!J6</f>
        <v>892.8492</v>
      </c>
      <c r="L3" s="34">
        <v>7.22</v>
      </c>
      <c r="M3" s="9">
        <f>'Otemachi Daily'!L6</f>
        <v>138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16469</v>
      </c>
      <c r="F4" s="34">
        <f>[1]見込!$G$3</f>
        <v>31.5</v>
      </c>
      <c r="G4" s="9">
        <f>'Otemachi Daily'!F7</f>
        <v>202.1</v>
      </c>
      <c r="H4" s="34">
        <f>[1]見込!$M$23</f>
        <v>153.9338958803734</v>
      </c>
      <c r="I4" s="9">
        <f>'Otemachi Daily'!H7</f>
        <v>18049.7772</v>
      </c>
      <c r="J4" s="34">
        <v>10.79</v>
      </c>
      <c r="K4" s="9">
        <f>'Otemachi Daily'!J7</f>
        <v>472.5378</v>
      </c>
      <c r="L4" s="34">
        <v>7.22</v>
      </c>
      <c r="M4" s="9">
        <f>'Otemachi Daily'!L7</f>
        <v>166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16608</v>
      </c>
      <c r="F5" s="34">
        <f>[1]見込!$G$3</f>
        <v>31.5</v>
      </c>
      <c r="G5" s="9">
        <f>'Otemachi Daily'!F8</f>
        <v>177.2</v>
      </c>
      <c r="H5" s="34">
        <f>[1]見込!$M$23</f>
        <v>153.9338958803734</v>
      </c>
      <c r="I5" s="9">
        <f>'Otemachi Daily'!H8</f>
        <v>22365.678</v>
      </c>
      <c r="J5" s="34">
        <v>10.79</v>
      </c>
      <c r="K5" s="9">
        <f>'Otemachi Daily'!J8</f>
        <v>250.01999999999998</v>
      </c>
      <c r="L5" s="34">
        <v>7.22</v>
      </c>
      <c r="M5" s="9">
        <f>'Otemachi Daily'!L8</f>
        <v>181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f>'Otemachi Daily'!D9</f>
        <v>16419</v>
      </c>
      <c r="F6" s="34">
        <f>[1]見込!$G$3</f>
        <v>31.5</v>
      </c>
      <c r="G6" s="9">
        <f>'Otemachi Daily'!F9</f>
        <v>189.5</v>
      </c>
      <c r="H6" s="34">
        <f>[1]見込!$M$23</f>
        <v>153.9338958803734</v>
      </c>
      <c r="I6" s="9">
        <f>'Otemachi Daily'!H9</f>
        <v>23403.260999999999</v>
      </c>
      <c r="J6" s="34">
        <v>10.79</v>
      </c>
      <c r="K6" s="9">
        <f>'Otemachi Daily'!J9</f>
        <v>222.23999999999998</v>
      </c>
      <c r="L6" s="34">
        <v>7.22</v>
      </c>
      <c r="M6" s="9">
        <f>'Otemachi Daily'!L9</f>
        <v>152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f>'Otemachi Daily'!D10</f>
        <v>16350</v>
      </c>
      <c r="F7" s="34">
        <f>[1]見込!$G$3</f>
        <v>31.5</v>
      </c>
      <c r="G7" s="9">
        <f>'Otemachi Daily'!F10</f>
        <v>180.5</v>
      </c>
      <c r="H7" s="34">
        <f>[1]見込!$M$23</f>
        <v>153.9338958803734</v>
      </c>
      <c r="I7" s="9">
        <f>'Otemachi Daily'!H10</f>
        <v>28574.230199999998</v>
      </c>
      <c r="J7" s="34">
        <v>10.79</v>
      </c>
      <c r="K7" s="9">
        <f>'Otemachi Daily'!J10</f>
        <v>1.6667999999999998</v>
      </c>
      <c r="L7" s="34">
        <v>7.22</v>
      </c>
      <c r="M7" s="9">
        <f>'Otemachi Daily'!L10</f>
        <v>131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f>'Otemachi Daily'!D11</f>
        <v>15874</v>
      </c>
      <c r="F8" s="34">
        <f>[1]見込!$G$3</f>
        <v>31.5</v>
      </c>
      <c r="G8" s="9">
        <f>'Otemachi Daily'!F11</f>
        <v>161.4</v>
      </c>
      <c r="H8" s="34">
        <f>[1]見込!$M$23</f>
        <v>153.9338958803734</v>
      </c>
      <c r="I8" s="9">
        <f>'Otemachi Daily'!H11</f>
        <v>27865.562399999999</v>
      </c>
      <c r="J8" s="34">
        <v>10.79</v>
      </c>
      <c r="K8" s="9">
        <f>'Otemachi Daily'!J11</f>
        <v>43.892400000000002</v>
      </c>
      <c r="L8" s="34">
        <v>7.22</v>
      </c>
      <c r="M8" s="9">
        <f>'Otemachi Daily'!L11</f>
        <v>129</v>
      </c>
      <c r="N8" s="34">
        <v>741</v>
      </c>
      <c r="O8" s="9">
        <f>'Otemachi Daily'!M11</f>
        <v>92</v>
      </c>
      <c r="P8" s="9">
        <f>'Otemachi Daily'!N11</f>
        <v>136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16109</v>
      </c>
      <c r="F9" s="34">
        <f>[1]見込!$G$3</f>
        <v>31.5</v>
      </c>
      <c r="G9" s="9">
        <f>'Otemachi Daily'!F12</f>
        <v>172.1</v>
      </c>
      <c r="H9" s="34">
        <f>[1]見込!$M$23</f>
        <v>153.9338958803734</v>
      </c>
      <c r="I9" s="9">
        <f>'Otemachi Daily'!H12</f>
        <v>17551.126199999999</v>
      </c>
      <c r="J9" s="34">
        <v>10.79</v>
      </c>
      <c r="K9" s="9">
        <f>'Otemachi Daily'!J12</f>
        <v>474.20459999999997</v>
      </c>
      <c r="L9" s="34">
        <v>7.22</v>
      </c>
      <c r="M9" s="9">
        <f>'Otemachi Daily'!L12</f>
        <v>144</v>
      </c>
      <c r="N9" s="34">
        <v>741</v>
      </c>
      <c r="O9" s="9">
        <f>'Otemachi Daily'!M12</f>
        <v>110</v>
      </c>
      <c r="P9" s="9">
        <f>'Otemachi Daily'!N12</f>
        <v>180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16427</v>
      </c>
      <c r="F10" s="34">
        <f>[1]見込!$G$3</f>
        <v>31.5</v>
      </c>
      <c r="G10" s="9">
        <f>'Otemachi Daily'!F13</f>
        <v>185.8</v>
      </c>
      <c r="H10" s="34">
        <f>[1]見込!$M$23</f>
        <v>153.9338958803734</v>
      </c>
      <c r="I10" s="9">
        <f>'Otemachi Daily'!H13</f>
        <v>20018.8236</v>
      </c>
      <c r="J10" s="34">
        <v>10.79</v>
      </c>
      <c r="K10" s="9">
        <f>'Otemachi Daily'!J13</f>
        <v>312.52499999999998</v>
      </c>
      <c r="L10" s="34">
        <v>7.22</v>
      </c>
      <c r="M10" s="9">
        <f>'Otemachi Daily'!L13</f>
        <v>151</v>
      </c>
      <c r="N10" s="34">
        <v>741</v>
      </c>
      <c r="O10" s="9">
        <f>'Otemachi Daily'!M13</f>
        <v>164</v>
      </c>
      <c r="P10" s="9">
        <f>'Otemachi Daily'!N13</f>
        <v>316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16703</v>
      </c>
      <c r="F11" s="34">
        <f>[1]見込!$G$3</f>
        <v>31.5</v>
      </c>
      <c r="G11" s="9">
        <f>'Otemachi Daily'!F14</f>
        <v>200</v>
      </c>
      <c r="H11" s="34">
        <f>[1]見込!$M$23</f>
        <v>153.9338958803734</v>
      </c>
      <c r="I11" s="9">
        <f>'Otemachi Daily'!H14</f>
        <v>19479.891599999999</v>
      </c>
      <c r="J11" s="34">
        <v>10.79</v>
      </c>
      <c r="K11" s="9">
        <f>'Otemachi Daily'!J14</f>
        <v>555.6</v>
      </c>
      <c r="L11" s="34">
        <v>7.22</v>
      </c>
      <c r="M11" s="9">
        <f>'Otemachi Daily'!L14</f>
        <v>196</v>
      </c>
      <c r="N11" s="34">
        <v>741</v>
      </c>
      <c r="O11" s="9">
        <f>'Otemachi Daily'!M14</f>
        <v>168</v>
      </c>
      <c r="P11" s="9">
        <f>'Otemachi Daily'!N14</f>
        <v>325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16713</v>
      </c>
      <c r="F12" s="34">
        <f>[1]見込!$G$3</f>
        <v>31.5</v>
      </c>
      <c r="G12" s="9">
        <f>'Otemachi Daily'!F15</f>
        <v>185.4</v>
      </c>
      <c r="H12" s="34">
        <f>[1]見込!$M$23</f>
        <v>153.9338958803734</v>
      </c>
      <c r="I12" s="9">
        <f>'Otemachi Daily'!H15</f>
        <v>16242.132599999999</v>
      </c>
      <c r="J12" s="34">
        <v>10.79</v>
      </c>
      <c r="K12" s="9">
        <f>'Otemachi Daily'!J15</f>
        <v>500.03999999999996</v>
      </c>
      <c r="L12" s="34">
        <v>7.22</v>
      </c>
      <c r="M12" s="9">
        <f>'Otemachi Daily'!L15</f>
        <v>187</v>
      </c>
      <c r="N12" s="34">
        <v>741</v>
      </c>
      <c r="O12" s="9">
        <f>'Otemachi Daily'!M15</f>
        <v>138</v>
      </c>
      <c r="P12" s="9">
        <f>'Otemachi Daily'!N15</f>
        <v>231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f>'Otemachi Daily'!D16</f>
        <v>16383</v>
      </c>
      <c r="F13" s="34">
        <f>[1]見込!$G$3</f>
        <v>31.5</v>
      </c>
      <c r="G13" s="9">
        <f>'Otemachi Daily'!F16</f>
        <v>178.9</v>
      </c>
      <c r="H13" s="34">
        <f>[1]見込!$M$23</f>
        <v>153.9338958803734</v>
      </c>
      <c r="I13" s="9">
        <f>'Otemachi Daily'!H16</f>
        <v>19844.643</v>
      </c>
      <c r="J13" s="34">
        <v>10.79</v>
      </c>
      <c r="K13" s="9">
        <f>'Otemachi Daily'!J16</f>
        <v>111.11999999999999</v>
      </c>
      <c r="L13" s="34">
        <v>7.22</v>
      </c>
      <c r="M13" s="9">
        <f>'Otemachi Daily'!L16</f>
        <v>154</v>
      </c>
      <c r="N13" s="34">
        <v>741</v>
      </c>
      <c r="O13" s="9">
        <f>'Otemachi Daily'!M16</f>
        <v>131</v>
      </c>
      <c r="P13" s="9">
        <f>'Otemachi Daily'!N16</f>
        <v>206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16437</v>
      </c>
      <c r="F14" s="34">
        <f>[1]見込!$G$3</f>
        <v>31.5</v>
      </c>
      <c r="G14" s="9">
        <f>'Otemachi Daily'!F17</f>
        <v>176.4</v>
      </c>
      <c r="H14" s="34">
        <f>[1]見込!$M$23</f>
        <v>153.9338958803734</v>
      </c>
      <c r="I14" s="9">
        <f>'Otemachi Daily'!H17</f>
        <v>24568.909799999998</v>
      </c>
      <c r="J14" s="34">
        <v>10.79</v>
      </c>
      <c r="K14" s="9">
        <f>'Otemachi Daily'!J17</f>
        <v>171.95820000000001</v>
      </c>
      <c r="L14" s="34">
        <v>7.22</v>
      </c>
      <c r="M14" s="9">
        <f>'Otemachi Daily'!L17</f>
        <v>160</v>
      </c>
      <c r="N14" s="34">
        <v>741</v>
      </c>
      <c r="O14" s="9">
        <f>'Otemachi Daily'!M17</f>
        <v>151</v>
      </c>
      <c r="P14" s="9">
        <f>'Otemachi Daily'!N17</f>
        <v>222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0</v>
      </c>
      <c r="F15" s="34">
        <f>[1]見込!$G$3</f>
        <v>31.5</v>
      </c>
      <c r="G15" s="9">
        <f>'Otemachi Daily'!F18</f>
        <v>0</v>
      </c>
      <c r="H15" s="34">
        <f>[1]見込!$M$23</f>
        <v>153.9338958803734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f>'Otemachi Daily'!D19</f>
        <v>0</v>
      </c>
      <c r="F16" s="34">
        <f>[1]見込!$G$3</f>
        <v>31.5</v>
      </c>
      <c r="G16" s="9">
        <f>'Otemachi Daily'!F19</f>
        <v>0</v>
      </c>
      <c r="H16" s="34">
        <f>[1]見込!$M$23</f>
        <v>153.9338958803734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f>'Otemachi Daily'!D20</f>
        <v>0</v>
      </c>
      <c r="F17" s="34">
        <f>[1]見込!$G$3</f>
        <v>31.5</v>
      </c>
      <c r="G17" s="9">
        <f>'Otemachi Daily'!F20</f>
        <v>0</v>
      </c>
      <c r="H17" s="34">
        <f>[1]見込!$M$23</f>
        <v>153.9338958803734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0</v>
      </c>
      <c r="F18" s="34">
        <f>[1]見込!$G$3</f>
        <v>31.5</v>
      </c>
      <c r="G18" s="9">
        <f>'Otemachi Daily'!F21</f>
        <v>0</v>
      </c>
      <c r="H18" s="34">
        <f>[1]見込!$M$23</f>
        <v>153.9338958803734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0</v>
      </c>
      <c r="F19" s="34">
        <f>[1]見込!$G$3</f>
        <v>31.5</v>
      </c>
      <c r="G19" s="9">
        <f>'Otemachi Daily'!F22</f>
        <v>0</v>
      </c>
      <c r="H19" s="34">
        <f>[1]見込!$M$23</f>
        <v>153.9338958803734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0</v>
      </c>
      <c r="F20" s="34">
        <f>[1]見込!$G$3</f>
        <v>31.5</v>
      </c>
      <c r="G20" s="9">
        <f>'Otemachi Daily'!F23</f>
        <v>0</v>
      </c>
      <c r="H20" s="34">
        <f>[1]見込!$M$23</f>
        <v>153.9338958803734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f>'Otemachi Daily'!D24</f>
        <v>0</v>
      </c>
      <c r="F21" s="34">
        <f>[1]見込!$G$3</f>
        <v>31.5</v>
      </c>
      <c r="G21" s="9">
        <f>'Otemachi Daily'!F24</f>
        <v>0</v>
      </c>
      <c r="H21" s="34">
        <f>[1]見込!$M$23</f>
        <v>153.9338958803734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f>'Otemachi Daily'!D25</f>
        <v>0</v>
      </c>
      <c r="F22" s="34">
        <f>[1]見込!$G$3</f>
        <v>31.5</v>
      </c>
      <c r="G22" s="9">
        <f>'Otemachi Daily'!F25</f>
        <v>0</v>
      </c>
      <c r="H22" s="34">
        <f>[1]見込!$M$23</f>
        <v>153.9338958803734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0</v>
      </c>
      <c r="F23" s="34">
        <f>[1]見込!$G$3</f>
        <v>31.5</v>
      </c>
      <c r="G23" s="9">
        <f>'Otemachi Daily'!F26</f>
        <v>0</v>
      </c>
      <c r="H23" s="34">
        <f>[1]見込!$M$23</f>
        <v>153.9338958803734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0</v>
      </c>
      <c r="F24" s="34">
        <f>[1]見込!$G$3</f>
        <v>31.5</v>
      </c>
      <c r="G24" s="9">
        <f>'Otemachi Daily'!F27</f>
        <v>0</v>
      </c>
      <c r="H24" s="34">
        <f>[1]見込!$M$23</f>
        <v>153.9338958803734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0</v>
      </c>
      <c r="F25" s="34">
        <f>[1]見込!$G$3</f>
        <v>31.5</v>
      </c>
      <c r="G25" s="9">
        <f>'Otemachi Daily'!F28</f>
        <v>0</v>
      </c>
      <c r="H25" s="34">
        <f>[1]見込!$M$23</f>
        <v>153.9338958803734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2022</v>
      </c>
      <c r="E26" s="9">
        <f>'Otemachi Daily'!D29</f>
        <v>0</v>
      </c>
      <c r="F26" s="34">
        <f>[1]見込!$G$3</f>
        <v>31.5</v>
      </c>
      <c r="G26" s="9">
        <f>'Otemachi Daily'!F29</f>
        <v>0</v>
      </c>
      <c r="H26" s="34">
        <f>[1]見込!$M$23</f>
        <v>153.9338958803734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f>'Otemachi Daily'!D30</f>
        <v>0</v>
      </c>
      <c r="F27" s="34">
        <f>[1]見込!$G$3</f>
        <v>31.5</v>
      </c>
      <c r="G27" s="9">
        <f>'Otemachi Daily'!F30</f>
        <v>0</v>
      </c>
      <c r="H27" s="34">
        <f>[1]見込!$M$23</f>
        <v>153.9338958803734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f>'Otemachi Daily'!D31</f>
        <v>0</v>
      </c>
      <c r="F28" s="34">
        <f>[1]見込!$G$3</f>
        <v>31.5</v>
      </c>
      <c r="G28" s="9">
        <f>'Otemachi Daily'!F31</f>
        <v>0</v>
      </c>
      <c r="H28" s="34">
        <f>[1]見込!$M$23</f>
        <v>153.9338958803734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f>'Otemachi Daily'!D32</f>
        <v>0</v>
      </c>
      <c r="F29" s="34">
        <f>[1]見込!$G$3</f>
        <v>31.5</v>
      </c>
      <c r="G29" s="9">
        <f>'Otemachi Daily'!F32</f>
        <v>0</v>
      </c>
      <c r="H29" s="34">
        <f>[1]見込!$M$23</f>
        <v>153.9338958803734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f>'Otemachi Daily'!D33</f>
        <v>0</v>
      </c>
      <c r="F30" s="34">
        <f>[1]見込!$G$3</f>
        <v>31.5</v>
      </c>
      <c r="G30" s="9">
        <f>'Otemachi Daily'!F33</f>
        <v>0</v>
      </c>
      <c r="H30" s="34">
        <f>[1]見込!$M$23</f>
        <v>153.9338958803734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0</v>
      </c>
      <c r="F31" s="34">
        <f>[1]見込!$G$3</f>
        <v>31.5</v>
      </c>
      <c r="G31" s="9">
        <f>'Otemachi Daily'!F34</f>
        <v>0</v>
      </c>
      <c r="H31" s="34">
        <f>[1]見込!$M$23</f>
        <v>153.9338958803734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2022</v>
      </c>
      <c r="E32" s="9">
        <f>'Otemachi Daily'!D35</f>
        <v>0</v>
      </c>
      <c r="F32" s="34">
        <f>[1]見込!$G$3</f>
        <v>31.5</v>
      </c>
      <c r="G32" s="9">
        <f>'Otemachi Daily'!F35</f>
        <v>0</v>
      </c>
      <c r="H32" s="34">
        <f>[1]見込!$M$23</f>
        <v>153.9338958803734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Q32" sqref="Q32:Q33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44805</v>
      </c>
      <c r="B5" s="38"/>
      <c r="C5" s="35">
        <f>[1]コスト!$G$147</f>
        <v>16143</v>
      </c>
      <c r="D5" s="35">
        <f>C5</f>
        <v>16143</v>
      </c>
      <c r="E5" s="35">
        <f>[1]コスト!$G$23</f>
        <v>153.6</v>
      </c>
      <c r="F5" s="35">
        <f>E5</f>
        <v>153.6</v>
      </c>
      <c r="G5" s="35">
        <f>[1]コスト!$G$115</f>
        <v>29081.215199999999</v>
      </c>
      <c r="H5" s="35">
        <f>G5</f>
        <v>29081.215199999999</v>
      </c>
      <c r="I5" s="35">
        <f>[1]コスト!$G$91</f>
        <v>87.506999999999991</v>
      </c>
      <c r="J5" s="35">
        <f>I5</f>
        <v>87.506999999999991</v>
      </c>
      <c r="K5" s="35">
        <f>[1]コスト!$G$41</f>
        <v>141</v>
      </c>
      <c r="L5" s="35">
        <f>K5</f>
        <v>141</v>
      </c>
      <c r="M5" s="35">
        <f>[1]使用量!$G$387</f>
        <v>107</v>
      </c>
      <c r="N5" s="35">
        <f>[1]使用量!$G$388</f>
        <v>173</v>
      </c>
      <c r="O5" s="26"/>
      <c r="P5" s="37"/>
      <c r="Q5" s="37"/>
    </row>
    <row r="6" spans="1:17" ht="45" customHeight="1">
      <c r="A6" s="28">
        <v>44806</v>
      </c>
      <c r="B6" s="38"/>
      <c r="C6" s="35">
        <f>[1]コスト!$H$147</f>
        <v>16181</v>
      </c>
      <c r="D6" s="35">
        <f t="shared" ref="D6:F35" si="0">C6</f>
        <v>16181</v>
      </c>
      <c r="E6" s="35">
        <f>[1]コスト!$H$23</f>
        <v>184.4</v>
      </c>
      <c r="F6" s="35">
        <f t="shared" si="0"/>
        <v>184.4</v>
      </c>
      <c r="G6" s="35">
        <f>[1]コスト!$H$115</f>
        <v>16926.353999999999</v>
      </c>
      <c r="H6" s="35">
        <f t="shared" ref="H6" si="1">G6</f>
        <v>16926.353999999999</v>
      </c>
      <c r="I6" s="35">
        <f>[1]コスト!$H$91</f>
        <v>892.8492</v>
      </c>
      <c r="J6" s="35">
        <f t="shared" ref="J6" si="2">I6</f>
        <v>892.8492</v>
      </c>
      <c r="K6" s="35">
        <f>[1]コスト!$H$41</f>
        <v>138</v>
      </c>
      <c r="L6" s="35">
        <f t="shared" ref="L6" si="3">K6</f>
        <v>138</v>
      </c>
      <c r="M6" s="35">
        <f>[1]使用量!$H$387</f>
        <v>92</v>
      </c>
      <c r="N6" s="35">
        <f>[1]使用量!$H$388</f>
        <v>171</v>
      </c>
      <c r="O6" s="26"/>
      <c r="P6" s="37"/>
      <c r="Q6" s="37"/>
    </row>
    <row r="7" spans="1:17" ht="45" customHeight="1">
      <c r="A7" s="28">
        <v>44807</v>
      </c>
      <c r="B7" s="38"/>
      <c r="C7" s="35">
        <f>[1]コスト!$I$147</f>
        <v>16469</v>
      </c>
      <c r="D7" s="35">
        <f t="shared" si="0"/>
        <v>16469</v>
      </c>
      <c r="E7" s="35">
        <f>[1]コスト!$I$23</f>
        <v>202.1</v>
      </c>
      <c r="F7" s="35">
        <f t="shared" si="0"/>
        <v>202.1</v>
      </c>
      <c r="G7" s="35">
        <f>[1]コスト!$I$115</f>
        <v>18049.7772</v>
      </c>
      <c r="H7" s="35">
        <f t="shared" ref="H7" si="4">G7</f>
        <v>18049.7772</v>
      </c>
      <c r="I7" s="35">
        <f>[1]コスト!$I$91</f>
        <v>472.5378</v>
      </c>
      <c r="J7" s="35">
        <f t="shared" ref="J7" si="5">I7</f>
        <v>472.5378</v>
      </c>
      <c r="K7" s="35">
        <f>[1]コスト!$I$41</f>
        <v>166</v>
      </c>
      <c r="L7" s="35">
        <f t="shared" ref="L7" si="6">K7</f>
        <v>166</v>
      </c>
      <c r="M7" s="35">
        <f>[1]使用量!$I$387</f>
        <v>134</v>
      </c>
      <c r="N7" s="35">
        <f>[1]使用量!$I$388</f>
        <v>270</v>
      </c>
      <c r="P7" s="37"/>
      <c r="Q7" s="37"/>
    </row>
    <row r="8" spans="1:17" ht="45" customHeight="1">
      <c r="A8" s="28">
        <v>44808</v>
      </c>
      <c r="B8" s="38"/>
      <c r="C8" s="35">
        <f>[1]コスト!$J$147</f>
        <v>16608</v>
      </c>
      <c r="D8" s="35">
        <f t="shared" si="0"/>
        <v>16608</v>
      </c>
      <c r="E8" s="35">
        <f>[1]コスト!$J$23</f>
        <v>177.2</v>
      </c>
      <c r="F8" s="35">
        <f t="shared" si="0"/>
        <v>177.2</v>
      </c>
      <c r="G8" s="35">
        <f>[1]コスト!$J$115</f>
        <v>22365.678</v>
      </c>
      <c r="H8" s="35">
        <f t="shared" ref="H8" si="7">G8</f>
        <v>22365.678</v>
      </c>
      <c r="I8" s="35">
        <f>[1]コスト!$J$91</f>
        <v>250.01999999999998</v>
      </c>
      <c r="J8" s="35">
        <f t="shared" ref="J8" si="8">I8</f>
        <v>250.01999999999998</v>
      </c>
      <c r="K8" s="35">
        <f>[1]コスト!$J$41</f>
        <v>181</v>
      </c>
      <c r="L8" s="35">
        <f t="shared" ref="L8" si="9">K8</f>
        <v>181</v>
      </c>
      <c r="M8" s="35">
        <f>[1]使用量!$J$387</f>
        <v>101</v>
      </c>
      <c r="N8" s="35">
        <f>[1]使用量!$J$388</f>
        <v>170</v>
      </c>
      <c r="P8" s="37"/>
      <c r="Q8" s="37"/>
    </row>
    <row r="9" spans="1:17" ht="45" customHeight="1">
      <c r="A9" s="28">
        <v>44809</v>
      </c>
      <c r="B9" s="38"/>
      <c r="C9" s="35">
        <f>[1]コスト!$K$147</f>
        <v>16419</v>
      </c>
      <c r="D9" s="35">
        <f t="shared" si="0"/>
        <v>16419</v>
      </c>
      <c r="E9" s="35">
        <f>[1]コスト!$K$23</f>
        <v>189.5</v>
      </c>
      <c r="F9" s="35">
        <f t="shared" si="0"/>
        <v>189.5</v>
      </c>
      <c r="G9" s="35">
        <f>[1]コスト!$K$115</f>
        <v>23403.260999999999</v>
      </c>
      <c r="H9" s="35">
        <f t="shared" ref="H9" si="10">G9</f>
        <v>23403.260999999999</v>
      </c>
      <c r="I9" s="35">
        <f>[1]コスト!$K$91</f>
        <v>222.23999999999998</v>
      </c>
      <c r="J9" s="35">
        <f t="shared" ref="J9" si="11">I9</f>
        <v>222.23999999999998</v>
      </c>
      <c r="K9" s="35">
        <f>[1]コスト!$K$41</f>
        <v>152</v>
      </c>
      <c r="L9" s="35">
        <f t="shared" ref="L9" si="12">K9</f>
        <v>152</v>
      </c>
      <c r="M9" s="35">
        <f>[1]使用量!$K$387</f>
        <v>91</v>
      </c>
      <c r="N9" s="35">
        <f>[1]使用量!$K$388</f>
        <v>144</v>
      </c>
      <c r="P9" s="37"/>
      <c r="Q9" s="37"/>
    </row>
    <row r="10" spans="1:17" ht="45" customHeight="1">
      <c r="A10" s="28">
        <v>44810</v>
      </c>
      <c r="B10" s="38"/>
      <c r="C10" s="35">
        <f>[1]コスト!$L$147</f>
        <v>16350</v>
      </c>
      <c r="D10" s="35">
        <f t="shared" si="0"/>
        <v>16350</v>
      </c>
      <c r="E10" s="35">
        <f>[1]コスト!$L$23</f>
        <v>180.5</v>
      </c>
      <c r="F10" s="35">
        <f t="shared" si="0"/>
        <v>180.5</v>
      </c>
      <c r="G10" s="35">
        <f>[1]コスト!$L$115</f>
        <v>28574.230199999998</v>
      </c>
      <c r="H10" s="35">
        <f t="shared" ref="H10" si="13">G10</f>
        <v>28574.230199999998</v>
      </c>
      <c r="I10" s="35">
        <f>[1]コスト!$L$91</f>
        <v>1.6667999999999998</v>
      </c>
      <c r="J10" s="35">
        <f t="shared" ref="J10" si="14">I10</f>
        <v>1.6667999999999998</v>
      </c>
      <c r="K10" s="35">
        <f>[1]コスト!$L$41</f>
        <v>131</v>
      </c>
      <c r="L10" s="35">
        <f t="shared" ref="L10" si="15">K10</f>
        <v>131</v>
      </c>
      <c r="M10" s="35">
        <f>[1]使用量!$L$387</f>
        <v>101</v>
      </c>
      <c r="N10" s="35">
        <f>[1]使用量!$L$388</f>
        <v>153</v>
      </c>
      <c r="P10" s="37"/>
      <c r="Q10" s="37"/>
    </row>
    <row r="11" spans="1:17" ht="45" customHeight="1">
      <c r="A11" s="28">
        <v>44811</v>
      </c>
      <c r="B11" s="38"/>
      <c r="C11" s="35">
        <f>[1]コスト!$M$147</f>
        <v>15874</v>
      </c>
      <c r="D11" s="35">
        <f t="shared" si="0"/>
        <v>15874</v>
      </c>
      <c r="E11" s="35">
        <f>[1]コスト!$M$23</f>
        <v>161.4</v>
      </c>
      <c r="F11" s="35">
        <f t="shared" si="0"/>
        <v>161.4</v>
      </c>
      <c r="G11" s="35">
        <f>[1]コスト!$M$115</f>
        <v>27865.562399999999</v>
      </c>
      <c r="H11" s="35">
        <f t="shared" ref="H11" si="16">G11</f>
        <v>27865.562399999999</v>
      </c>
      <c r="I11" s="35">
        <f>[1]コスト!$M$91</f>
        <v>43.892400000000002</v>
      </c>
      <c r="J11" s="35">
        <f t="shared" ref="J11" si="17">I11</f>
        <v>43.892400000000002</v>
      </c>
      <c r="K11" s="35">
        <f>[1]コスト!$M$41</f>
        <v>129</v>
      </c>
      <c r="L11" s="35">
        <f t="shared" ref="L11" si="18">K11</f>
        <v>129</v>
      </c>
      <c r="M11" s="35">
        <f>[1]使用量!$M$387</f>
        <v>92</v>
      </c>
      <c r="N11" s="35">
        <f>[1]使用量!$M$388</f>
        <v>136</v>
      </c>
      <c r="P11" s="37"/>
      <c r="Q11" s="37"/>
    </row>
    <row r="12" spans="1:17" ht="45" customHeight="1">
      <c r="A12" s="28">
        <v>44812</v>
      </c>
      <c r="B12" s="38"/>
      <c r="C12" s="35">
        <f>[1]コスト!$N$147</f>
        <v>16109</v>
      </c>
      <c r="D12" s="35">
        <f t="shared" si="0"/>
        <v>16109</v>
      </c>
      <c r="E12" s="35">
        <f>[1]コスト!$N$23</f>
        <v>172.1</v>
      </c>
      <c r="F12" s="35">
        <f t="shared" si="0"/>
        <v>172.1</v>
      </c>
      <c r="G12" s="35">
        <f>[1]コスト!$N$115</f>
        <v>17551.126199999999</v>
      </c>
      <c r="H12" s="35">
        <f t="shared" ref="H12" si="19">G12</f>
        <v>17551.126199999999</v>
      </c>
      <c r="I12" s="35">
        <f>[1]コスト!$N$91</f>
        <v>474.20459999999997</v>
      </c>
      <c r="J12" s="35">
        <f t="shared" ref="J12" si="20">I12</f>
        <v>474.20459999999997</v>
      </c>
      <c r="K12" s="35">
        <f>[1]コスト!$N$41</f>
        <v>144</v>
      </c>
      <c r="L12" s="35">
        <f t="shared" ref="L12" si="21">K12</f>
        <v>144</v>
      </c>
      <c r="M12" s="35">
        <f>[1]使用量!$N$387</f>
        <v>110</v>
      </c>
      <c r="N12" s="35">
        <f>[1]使用量!$N$388</f>
        <v>180</v>
      </c>
      <c r="P12" s="37"/>
      <c r="Q12" s="37"/>
    </row>
    <row r="13" spans="1:17" ht="45" customHeight="1">
      <c r="A13" s="28">
        <v>44813</v>
      </c>
      <c r="B13" s="38"/>
      <c r="C13" s="35">
        <f>[1]コスト!$O$147</f>
        <v>16427</v>
      </c>
      <c r="D13" s="35">
        <f t="shared" si="0"/>
        <v>16427</v>
      </c>
      <c r="E13" s="35">
        <f>[1]コスト!$O$23</f>
        <v>185.8</v>
      </c>
      <c r="F13" s="35">
        <f t="shared" si="0"/>
        <v>185.8</v>
      </c>
      <c r="G13" s="35">
        <f>[1]コスト!$O$115</f>
        <v>20018.8236</v>
      </c>
      <c r="H13" s="35">
        <f t="shared" ref="H13" si="22">G13</f>
        <v>20018.8236</v>
      </c>
      <c r="I13" s="35">
        <f>[1]コスト!$O$91</f>
        <v>312.52499999999998</v>
      </c>
      <c r="J13" s="35">
        <f t="shared" ref="J13" si="23">I13</f>
        <v>312.52499999999998</v>
      </c>
      <c r="K13" s="35">
        <f>[1]コスト!$O$41</f>
        <v>151</v>
      </c>
      <c r="L13" s="35">
        <f t="shared" ref="L13" si="24">K13</f>
        <v>151</v>
      </c>
      <c r="M13" s="35">
        <f>[1]使用量!$O$387</f>
        <v>164</v>
      </c>
      <c r="N13" s="35">
        <f>[1]使用量!$O$388</f>
        <v>316</v>
      </c>
      <c r="P13" s="37"/>
      <c r="Q13" s="37"/>
    </row>
    <row r="14" spans="1:17" ht="45" customHeight="1">
      <c r="A14" s="28">
        <v>44814</v>
      </c>
      <c r="B14" s="38"/>
      <c r="C14" s="35">
        <f>[1]コスト!$P$147</f>
        <v>16703</v>
      </c>
      <c r="D14" s="35">
        <f t="shared" si="0"/>
        <v>16703</v>
      </c>
      <c r="E14" s="35">
        <f>[1]コスト!$P$23</f>
        <v>200</v>
      </c>
      <c r="F14" s="35">
        <f t="shared" si="0"/>
        <v>200</v>
      </c>
      <c r="G14" s="35">
        <f>[1]コスト!$P$115</f>
        <v>19479.891599999999</v>
      </c>
      <c r="H14" s="35">
        <f t="shared" ref="H14" si="25">G14</f>
        <v>19479.891599999999</v>
      </c>
      <c r="I14" s="35">
        <f>[1]コスト!$P$91</f>
        <v>555.6</v>
      </c>
      <c r="J14" s="35">
        <f t="shared" ref="J14" si="26">I14</f>
        <v>555.6</v>
      </c>
      <c r="K14" s="35">
        <f>[1]コスト!$P$41</f>
        <v>196</v>
      </c>
      <c r="L14" s="35">
        <f t="shared" ref="L14" si="27">K14</f>
        <v>196</v>
      </c>
      <c r="M14" s="35">
        <f>[1]使用量!$P$387</f>
        <v>168</v>
      </c>
      <c r="N14" s="35">
        <f>[1]使用量!$P$388</f>
        <v>325</v>
      </c>
      <c r="P14" s="37"/>
      <c r="Q14" s="37"/>
    </row>
    <row r="15" spans="1:17" ht="45" customHeight="1">
      <c r="A15" s="28">
        <v>44815</v>
      </c>
      <c r="B15" s="38"/>
      <c r="C15" s="35">
        <f>[1]コスト!$Q$147</f>
        <v>16713</v>
      </c>
      <c r="D15" s="35">
        <f t="shared" si="0"/>
        <v>16713</v>
      </c>
      <c r="E15" s="35">
        <f>[1]コスト!$Q$23</f>
        <v>185.4</v>
      </c>
      <c r="F15" s="35">
        <f t="shared" si="0"/>
        <v>185.4</v>
      </c>
      <c r="G15" s="35">
        <f>[1]コスト!$Q$115</f>
        <v>16242.132599999999</v>
      </c>
      <c r="H15" s="35">
        <f t="shared" ref="H15" si="28">G15</f>
        <v>16242.132599999999</v>
      </c>
      <c r="I15" s="35">
        <f>[1]コスト!$Q$91</f>
        <v>500.03999999999996</v>
      </c>
      <c r="J15" s="35">
        <f t="shared" ref="J15" si="29">I15</f>
        <v>500.03999999999996</v>
      </c>
      <c r="K15" s="35">
        <f>[1]コスト!$Q$41</f>
        <v>187</v>
      </c>
      <c r="L15" s="35">
        <f t="shared" ref="L15" si="30">K15</f>
        <v>187</v>
      </c>
      <c r="M15" s="35">
        <f>[1]使用量!$Q$387</f>
        <v>138</v>
      </c>
      <c r="N15" s="35">
        <f>[1]使用量!$Q$388</f>
        <v>231</v>
      </c>
      <c r="P15" s="37"/>
      <c r="Q15" s="37"/>
    </row>
    <row r="16" spans="1:17" ht="45" customHeight="1">
      <c r="A16" s="28">
        <v>44816</v>
      </c>
      <c r="B16" s="38"/>
      <c r="C16" s="35">
        <f>[1]コスト!$R$147</f>
        <v>16383</v>
      </c>
      <c r="D16" s="35">
        <f t="shared" si="0"/>
        <v>16383</v>
      </c>
      <c r="E16" s="35">
        <f>[1]コスト!$R$23</f>
        <v>178.9</v>
      </c>
      <c r="F16" s="35">
        <f t="shared" si="0"/>
        <v>178.9</v>
      </c>
      <c r="G16" s="35">
        <f>[1]コスト!$R$115</f>
        <v>19844.643</v>
      </c>
      <c r="H16" s="35">
        <f t="shared" ref="H16" si="31">G16</f>
        <v>19844.643</v>
      </c>
      <c r="I16" s="35">
        <f>[1]コスト!$R$91</f>
        <v>111.11999999999999</v>
      </c>
      <c r="J16" s="35">
        <f t="shared" ref="J16" si="32">I16</f>
        <v>111.11999999999999</v>
      </c>
      <c r="K16" s="35">
        <f>[1]コスト!$R$41</f>
        <v>154</v>
      </c>
      <c r="L16" s="35">
        <f t="shared" ref="L16" si="33">K16</f>
        <v>154</v>
      </c>
      <c r="M16" s="35">
        <f>[1]使用量!$R$387</f>
        <v>131</v>
      </c>
      <c r="N16" s="35">
        <f>[1]使用量!$R$388</f>
        <v>206</v>
      </c>
      <c r="P16" s="37"/>
      <c r="Q16" s="37"/>
    </row>
    <row r="17" spans="1:26" ht="45" customHeight="1">
      <c r="A17" s="28">
        <v>44817</v>
      </c>
      <c r="B17" s="38"/>
      <c r="C17" s="35">
        <f>[1]コスト!$S$147</f>
        <v>16437</v>
      </c>
      <c r="D17" s="35">
        <f t="shared" si="0"/>
        <v>16437</v>
      </c>
      <c r="E17" s="35">
        <f>[1]コスト!$S$23</f>
        <v>176.4</v>
      </c>
      <c r="F17" s="35">
        <f t="shared" si="0"/>
        <v>176.4</v>
      </c>
      <c r="G17" s="35">
        <f>[1]コスト!$S$115</f>
        <v>24568.909799999998</v>
      </c>
      <c r="H17" s="35">
        <f t="shared" ref="H17" si="34">G17</f>
        <v>24568.909799999998</v>
      </c>
      <c r="I17" s="35">
        <f>[1]コスト!$S$91</f>
        <v>171.95820000000001</v>
      </c>
      <c r="J17" s="35">
        <f t="shared" ref="J17" si="35">I17</f>
        <v>171.95820000000001</v>
      </c>
      <c r="K17" s="35">
        <f>[1]コスト!$S$41</f>
        <v>160</v>
      </c>
      <c r="L17" s="35">
        <f t="shared" ref="L17" si="36">K17</f>
        <v>160</v>
      </c>
      <c r="M17" s="35">
        <f>[1]使用量!$S$387</f>
        <v>151</v>
      </c>
      <c r="N17" s="35">
        <f>[1]使用量!$S$388</f>
        <v>222</v>
      </c>
      <c r="P17" s="37"/>
      <c r="Q17" s="37"/>
    </row>
    <row r="18" spans="1:26" ht="45" customHeight="1">
      <c r="A18" s="28">
        <v>44818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44819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44820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44821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44822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44823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44824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44825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44826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44827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44828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44829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44830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44831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44832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44833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44834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2022-09-14T09:02:20Z</dcterms:modified>
</cp:coreProperties>
</file>