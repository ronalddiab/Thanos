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64D55129-8098-4B31-93DE-4AA715FD8B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0" i="3" l="1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9" i="3"/>
  <c r="C36" i="2" l="1"/>
  <c r="D36" i="2"/>
  <c r="F8" i="2"/>
  <c r="F9" i="2"/>
  <c r="G9" i="2" s="1"/>
  <c r="F10" i="2"/>
  <c r="F11" i="2"/>
  <c r="G11" i="2" s="1"/>
  <c r="K11" i="2" s="1"/>
  <c r="L11" i="2" s="1"/>
  <c r="F12" i="2"/>
  <c r="F13" i="2"/>
  <c r="G13" i="2" s="1"/>
  <c r="F14" i="2"/>
  <c r="G14" i="2" s="1"/>
  <c r="K14" i="2" s="1"/>
  <c r="L14" i="2" s="1"/>
  <c r="F15" i="2"/>
  <c r="F16" i="2"/>
  <c r="G16" i="2" s="1"/>
  <c r="F17" i="2"/>
  <c r="F18" i="2"/>
  <c r="F19" i="2"/>
  <c r="G19" i="2" s="1"/>
  <c r="F20" i="2"/>
  <c r="G20" i="2" s="1"/>
  <c r="F21" i="2"/>
  <c r="G21" i="2" s="1"/>
  <c r="F22" i="2"/>
  <c r="G22" i="2" s="1"/>
  <c r="F23" i="2"/>
  <c r="G23" i="2" s="1"/>
  <c r="F24" i="2"/>
  <c r="F25" i="2"/>
  <c r="F26" i="2"/>
  <c r="G26" i="2" s="1"/>
  <c r="F27" i="2"/>
  <c r="F28" i="2"/>
  <c r="G28" i="2" s="1"/>
  <c r="F29" i="2"/>
  <c r="G29" i="2" s="1"/>
  <c r="F30" i="2"/>
  <c r="G30" i="2" s="1"/>
  <c r="F31" i="2"/>
  <c r="G31" i="2" s="1"/>
  <c r="F32" i="2"/>
  <c r="F33" i="2"/>
  <c r="G33" i="2" s="1"/>
  <c r="F34" i="2"/>
  <c r="G34" i="2" s="1"/>
  <c r="F35" i="2"/>
  <c r="I8" i="2"/>
  <c r="I9" i="2"/>
  <c r="E3" i="1" s="1"/>
  <c r="I10" i="2"/>
  <c r="J10" i="2" s="1"/>
  <c r="I11" i="2"/>
  <c r="I12" i="2"/>
  <c r="I13" i="2"/>
  <c r="J13" i="2" s="1"/>
  <c r="I14" i="2"/>
  <c r="I15" i="2"/>
  <c r="J15" i="2" s="1"/>
  <c r="I16" i="2"/>
  <c r="J16" i="2" s="1"/>
  <c r="I17" i="2"/>
  <c r="J17" i="2" s="1"/>
  <c r="I18" i="2"/>
  <c r="I19" i="2"/>
  <c r="J19" i="2" s="1"/>
  <c r="I20" i="2"/>
  <c r="I21" i="2"/>
  <c r="I22" i="2"/>
  <c r="J22" i="2" s="1"/>
  <c r="I23" i="2"/>
  <c r="J23" i="2" s="1"/>
  <c r="I24" i="2"/>
  <c r="J24" i="2" s="1"/>
  <c r="I25" i="2"/>
  <c r="E19" i="1" s="1"/>
  <c r="I26" i="2"/>
  <c r="J26" i="2" s="1"/>
  <c r="I27" i="2"/>
  <c r="J27" i="2" s="1"/>
  <c r="I28" i="2"/>
  <c r="I29" i="2"/>
  <c r="J29" i="2" s="1"/>
  <c r="I30" i="2"/>
  <c r="J30" i="2" s="1"/>
  <c r="I31" i="2"/>
  <c r="J31" i="2" s="1"/>
  <c r="I32" i="2"/>
  <c r="I33" i="2"/>
  <c r="J33" i="2" s="1"/>
  <c r="I34" i="2"/>
  <c r="I35" i="2"/>
  <c r="J35" i="2" s="1"/>
  <c r="G8" i="2"/>
  <c r="J8" i="2"/>
  <c r="G10" i="2"/>
  <c r="J11" i="2"/>
  <c r="G12" i="2"/>
  <c r="J12" i="2"/>
  <c r="J14" i="2"/>
  <c r="G15" i="2"/>
  <c r="G17" i="2"/>
  <c r="K17" i="2" s="1"/>
  <c r="L17" i="2" s="1"/>
  <c r="G18" i="2"/>
  <c r="J18" i="2"/>
  <c r="J20" i="2"/>
  <c r="G24" i="2"/>
  <c r="G25" i="2"/>
  <c r="G27" i="2"/>
  <c r="J28" i="2"/>
  <c r="J32" i="2"/>
  <c r="J34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G33" i="4"/>
  <c r="J26" i="1"/>
  <c r="J30" i="1" s="1"/>
  <c r="G2" i="1"/>
  <c r="J8" i="3"/>
  <c r="J13" i="3" s="1"/>
  <c r="G9" i="3"/>
  <c r="M8" i="3"/>
  <c r="M26" i="3" s="1"/>
  <c r="G3" i="1"/>
  <c r="J10" i="3"/>
  <c r="G10" i="3"/>
  <c r="G4" i="1"/>
  <c r="J11" i="3"/>
  <c r="G11" i="3"/>
  <c r="G5" i="1"/>
  <c r="J12" i="3"/>
  <c r="G12" i="3"/>
  <c r="G6" i="1"/>
  <c r="G13" i="3"/>
  <c r="G7" i="1"/>
  <c r="M14" i="3"/>
  <c r="G14" i="3"/>
  <c r="G8" i="1"/>
  <c r="J15" i="3"/>
  <c r="M15" i="3"/>
  <c r="G15" i="3"/>
  <c r="G9" i="1"/>
  <c r="M16" i="3"/>
  <c r="G16" i="3"/>
  <c r="G10" i="1"/>
  <c r="G17" i="3"/>
  <c r="I18" i="3"/>
  <c r="J18" i="3" s="1"/>
  <c r="G18" i="3"/>
  <c r="I19" i="3"/>
  <c r="G12" i="1" s="1"/>
  <c r="J19" i="3"/>
  <c r="G19" i="3"/>
  <c r="I20" i="3"/>
  <c r="J20" i="3" s="1"/>
  <c r="G20" i="3"/>
  <c r="I21" i="3"/>
  <c r="J21" i="3" s="1"/>
  <c r="G21" i="3"/>
  <c r="I22" i="3"/>
  <c r="G15" i="1" s="1"/>
  <c r="M22" i="3"/>
  <c r="G22" i="3"/>
  <c r="I23" i="3"/>
  <c r="G16" i="1" s="1"/>
  <c r="J23" i="3"/>
  <c r="M23" i="3"/>
  <c r="G23" i="3"/>
  <c r="I24" i="3"/>
  <c r="G17" i="1"/>
  <c r="M24" i="3"/>
  <c r="G24" i="3"/>
  <c r="I25" i="3"/>
  <c r="G25" i="3"/>
  <c r="I26" i="3"/>
  <c r="J26" i="3" s="1"/>
  <c r="G26" i="3"/>
  <c r="I27" i="3"/>
  <c r="G20" i="1"/>
  <c r="G27" i="3"/>
  <c r="I28" i="3"/>
  <c r="G21" i="1" s="1"/>
  <c r="M28" i="3"/>
  <c r="G28" i="3"/>
  <c r="I29" i="3"/>
  <c r="G22" i="1" s="1"/>
  <c r="J29" i="3"/>
  <c r="G29" i="3"/>
  <c r="I30" i="3"/>
  <c r="G23" i="1" s="1"/>
  <c r="G30" i="3"/>
  <c r="I31" i="3"/>
  <c r="G24" i="1" s="1"/>
  <c r="G31" i="3"/>
  <c r="I32" i="3"/>
  <c r="G25" i="1" s="1"/>
  <c r="G32" i="3"/>
  <c r="I33" i="3"/>
  <c r="J33" i="3" s="1"/>
  <c r="G33" i="3"/>
  <c r="I34" i="3"/>
  <c r="G27" i="1" s="1"/>
  <c r="M34" i="3"/>
  <c r="G34" i="3"/>
  <c r="I35" i="3"/>
  <c r="G28" i="1" s="1"/>
  <c r="J35" i="3"/>
  <c r="M35" i="3"/>
  <c r="G35" i="3"/>
  <c r="I36" i="3"/>
  <c r="G29" i="1" s="1"/>
  <c r="G36" i="3"/>
  <c r="I2" i="1"/>
  <c r="F10" i="4"/>
  <c r="I3" i="1" s="1"/>
  <c r="F11" i="4"/>
  <c r="I4" i="1" s="1"/>
  <c r="F12" i="4"/>
  <c r="I5" i="1" s="1"/>
  <c r="F13" i="4"/>
  <c r="I6" i="1" s="1"/>
  <c r="F14" i="4"/>
  <c r="I7" i="1" s="1"/>
  <c r="F15" i="4"/>
  <c r="I8" i="1" s="1"/>
  <c r="F16" i="4"/>
  <c r="I9" i="1" s="1"/>
  <c r="F17" i="4"/>
  <c r="I10" i="1" s="1"/>
  <c r="F18" i="4"/>
  <c r="I11" i="1" s="1"/>
  <c r="F19" i="4"/>
  <c r="I12" i="1"/>
  <c r="F20" i="4"/>
  <c r="I13" i="1" s="1"/>
  <c r="F21" i="4"/>
  <c r="I14" i="1" s="1"/>
  <c r="F22" i="4"/>
  <c r="I15" i="1" s="1"/>
  <c r="F23" i="4"/>
  <c r="I16" i="1"/>
  <c r="F24" i="4"/>
  <c r="I17" i="1" s="1"/>
  <c r="F25" i="4"/>
  <c r="I18" i="1" s="1"/>
  <c r="F26" i="4"/>
  <c r="I19" i="1" s="1"/>
  <c r="I20" i="1"/>
  <c r="I21" i="1"/>
  <c r="I22" i="1"/>
  <c r="I23" i="1"/>
  <c r="I24" i="1"/>
  <c r="I25" i="1"/>
  <c r="I26" i="1"/>
  <c r="I27" i="1"/>
  <c r="I28" i="1"/>
  <c r="I29" i="1"/>
  <c r="K2" i="1"/>
  <c r="F9" i="5"/>
  <c r="H9" i="5"/>
  <c r="J9" i="5"/>
  <c r="K9" i="5" s="1"/>
  <c r="K3" i="1"/>
  <c r="F10" i="5"/>
  <c r="H10" i="5"/>
  <c r="J10" i="5"/>
  <c r="K4" i="1"/>
  <c r="F11" i="5"/>
  <c r="H11" i="5"/>
  <c r="J11" i="5"/>
  <c r="K5" i="1"/>
  <c r="F12" i="5"/>
  <c r="H12" i="5"/>
  <c r="J12" i="5"/>
  <c r="K6" i="1"/>
  <c r="F13" i="5"/>
  <c r="H13" i="5"/>
  <c r="J13" i="5"/>
  <c r="K7" i="1"/>
  <c r="F14" i="5"/>
  <c r="H14" i="5"/>
  <c r="J14" i="5"/>
  <c r="K8" i="1"/>
  <c r="F15" i="5"/>
  <c r="H15" i="5"/>
  <c r="J15" i="5"/>
  <c r="K15" i="5" s="1"/>
  <c r="K9" i="1"/>
  <c r="F16" i="5"/>
  <c r="H16" i="5"/>
  <c r="J16" i="5"/>
  <c r="K10" i="1"/>
  <c r="F17" i="5"/>
  <c r="H17" i="5"/>
  <c r="J17" i="5"/>
  <c r="K11" i="1"/>
  <c r="F18" i="5"/>
  <c r="H18" i="5"/>
  <c r="J18" i="5"/>
  <c r="K12" i="1"/>
  <c r="F19" i="5"/>
  <c r="H19" i="5"/>
  <c r="J19" i="5"/>
  <c r="K13" i="1"/>
  <c r="F20" i="5"/>
  <c r="H20" i="5"/>
  <c r="J20" i="5"/>
  <c r="K14" i="1"/>
  <c r="F21" i="5"/>
  <c r="H21" i="5"/>
  <c r="J21" i="5"/>
  <c r="K21" i="5" s="1"/>
  <c r="K15" i="1"/>
  <c r="F22" i="5"/>
  <c r="H22" i="5"/>
  <c r="J22" i="5"/>
  <c r="K16" i="1"/>
  <c r="F23" i="5"/>
  <c r="H23" i="5"/>
  <c r="J23" i="5"/>
  <c r="K17" i="1"/>
  <c r="F24" i="5"/>
  <c r="H24" i="5"/>
  <c r="J24" i="5"/>
  <c r="K18" i="1"/>
  <c r="F25" i="5"/>
  <c r="H25" i="5"/>
  <c r="J25" i="5"/>
  <c r="K19" i="1"/>
  <c r="F26" i="5"/>
  <c r="H26" i="5"/>
  <c r="J26" i="5"/>
  <c r="K20" i="1"/>
  <c r="F27" i="5"/>
  <c r="H27" i="5"/>
  <c r="J27" i="5"/>
  <c r="K27" i="5" s="1"/>
  <c r="K21" i="1"/>
  <c r="F28" i="5"/>
  <c r="H28" i="5"/>
  <c r="J28" i="5"/>
  <c r="K22" i="1"/>
  <c r="F29" i="5"/>
  <c r="H29" i="5"/>
  <c r="J29" i="5"/>
  <c r="K23" i="1"/>
  <c r="F30" i="5"/>
  <c r="H30" i="5"/>
  <c r="J30" i="5"/>
  <c r="K24" i="1"/>
  <c r="F31" i="5"/>
  <c r="H31" i="5"/>
  <c r="J31" i="5"/>
  <c r="K25" i="1"/>
  <c r="F32" i="5"/>
  <c r="H32" i="5"/>
  <c r="J32" i="5"/>
  <c r="K26" i="1"/>
  <c r="F33" i="5"/>
  <c r="H33" i="5"/>
  <c r="J33" i="5"/>
  <c r="K33" i="5" s="1"/>
  <c r="L33" i="5" s="1"/>
  <c r="K27" i="1"/>
  <c r="F34" i="5"/>
  <c r="H34" i="5"/>
  <c r="J34" i="5"/>
  <c r="K28" i="1"/>
  <c r="F35" i="5"/>
  <c r="H35" i="5"/>
  <c r="J35" i="5"/>
  <c r="K29" i="1"/>
  <c r="F36" i="5"/>
  <c r="H36" i="5"/>
  <c r="J36" i="5"/>
  <c r="E2" i="1"/>
  <c r="E5" i="1"/>
  <c r="E6" i="1"/>
  <c r="E8" i="1"/>
  <c r="E9" i="1"/>
  <c r="E10" i="1"/>
  <c r="E12" i="1"/>
  <c r="E13" i="1"/>
  <c r="E17" i="1"/>
  <c r="E18" i="1"/>
  <c r="E21" i="1"/>
  <c r="E24" i="1"/>
  <c r="E25" i="1"/>
  <c r="G15" i="4"/>
  <c r="J8" i="1" s="1"/>
  <c r="G17" i="4"/>
  <c r="J10" i="1" s="1"/>
  <c r="G18" i="4"/>
  <c r="J11" i="1" s="1"/>
  <c r="G19" i="4"/>
  <c r="J12" i="1" s="1"/>
  <c r="G21" i="4"/>
  <c r="J14" i="1" s="1"/>
  <c r="G22" i="4"/>
  <c r="J15" i="1" s="1"/>
  <c r="G23" i="4"/>
  <c r="J16" i="1" s="1"/>
  <c r="G25" i="4"/>
  <c r="J18" i="1" s="1"/>
  <c r="G27" i="4"/>
  <c r="H27" i="4" s="1"/>
  <c r="J20" i="1"/>
  <c r="G28" i="4"/>
  <c r="H28" i="4" s="1"/>
  <c r="J21" i="1"/>
  <c r="G29" i="4"/>
  <c r="J22" i="1" s="1"/>
  <c r="G30" i="4"/>
  <c r="H30" i="4" s="1"/>
  <c r="G31" i="4"/>
  <c r="H31" i="4" s="1"/>
  <c r="J25" i="1"/>
  <c r="G34" i="4"/>
  <c r="J27" i="1" s="1"/>
  <c r="G35" i="4"/>
  <c r="J28" i="1"/>
  <c r="G36" i="4"/>
  <c r="J29" i="1" s="1"/>
  <c r="G13" i="4"/>
  <c r="H13" i="4" s="1"/>
  <c r="G9" i="4"/>
  <c r="J2" i="1" s="1"/>
  <c r="G11" i="4"/>
  <c r="H11" i="4" s="1"/>
  <c r="H17" i="4"/>
  <c r="H19" i="4"/>
  <c r="H21" i="4"/>
  <c r="H22" i="4"/>
  <c r="H25" i="4"/>
  <c r="H29" i="4"/>
  <c r="H32" i="4"/>
  <c r="H33" i="4"/>
  <c r="H35" i="4"/>
  <c r="D10" i="4"/>
  <c r="D10" i="5" s="1"/>
  <c r="D11" i="4"/>
  <c r="D11" i="5"/>
  <c r="D12" i="4"/>
  <c r="D13" i="4"/>
  <c r="D13" i="5" s="1"/>
  <c r="D14" i="4"/>
  <c r="D14" i="5" s="1"/>
  <c r="D15" i="4"/>
  <c r="D15" i="5" s="1"/>
  <c r="D16" i="4"/>
  <c r="D16" i="5" s="1"/>
  <c r="D17" i="4"/>
  <c r="D17" i="5" s="1"/>
  <c r="D18" i="4"/>
  <c r="D18" i="5" s="1"/>
  <c r="D19" i="4"/>
  <c r="D19" i="5" s="1"/>
  <c r="D20" i="4"/>
  <c r="D20" i="5" s="1"/>
  <c r="D21" i="4"/>
  <c r="D21" i="5" s="1"/>
  <c r="D22" i="4"/>
  <c r="D22" i="5" s="1"/>
  <c r="D23" i="4"/>
  <c r="D23" i="5" s="1"/>
  <c r="D24" i="4"/>
  <c r="D24" i="5" s="1"/>
  <c r="D25" i="4"/>
  <c r="D25" i="5" s="1"/>
  <c r="D26" i="4"/>
  <c r="D26" i="5" s="1"/>
  <c r="D27" i="4"/>
  <c r="D27" i="5" s="1"/>
  <c r="D28" i="4"/>
  <c r="D28" i="5" s="1"/>
  <c r="D29" i="4"/>
  <c r="D29" i="5"/>
  <c r="D30" i="4"/>
  <c r="D30" i="5" s="1"/>
  <c r="D31" i="4"/>
  <c r="D31" i="5"/>
  <c r="D32" i="4"/>
  <c r="D32" i="5" s="1"/>
  <c r="D33" i="4"/>
  <c r="D33" i="5" s="1"/>
  <c r="D34" i="4"/>
  <c r="D34" i="5" s="1"/>
  <c r="D35" i="4"/>
  <c r="D35" i="5" s="1"/>
  <c r="D36" i="4"/>
  <c r="D36" i="5" s="1"/>
  <c r="D9" i="4"/>
  <c r="C37" i="3"/>
  <c r="C11" i="4"/>
  <c r="C11" i="5" s="1"/>
  <c r="C12" i="4"/>
  <c r="C12" i="5"/>
  <c r="C13" i="4"/>
  <c r="C13" i="5" s="1"/>
  <c r="C14" i="4"/>
  <c r="C14" i="5" s="1"/>
  <c r="C15" i="4"/>
  <c r="C15" i="5" s="1"/>
  <c r="C16" i="4"/>
  <c r="C16" i="5"/>
  <c r="C17" i="4"/>
  <c r="C17" i="5" s="1"/>
  <c r="C18" i="4"/>
  <c r="C18" i="5" s="1"/>
  <c r="C19" i="4"/>
  <c r="C19" i="5" s="1"/>
  <c r="C20" i="4"/>
  <c r="C20" i="5"/>
  <c r="C21" i="4"/>
  <c r="C21" i="5" s="1"/>
  <c r="C22" i="4"/>
  <c r="C22" i="5" s="1"/>
  <c r="C23" i="4"/>
  <c r="C23" i="5"/>
  <c r="C24" i="4"/>
  <c r="C24" i="5" s="1"/>
  <c r="C25" i="4"/>
  <c r="C25" i="5" s="1"/>
  <c r="C26" i="4"/>
  <c r="C26" i="5" s="1"/>
  <c r="C27" i="4"/>
  <c r="C27" i="5"/>
  <c r="C28" i="4"/>
  <c r="C28" i="5"/>
  <c r="C29" i="4"/>
  <c r="C29" i="5" s="1"/>
  <c r="C30" i="4"/>
  <c r="C30" i="5"/>
  <c r="C31" i="4"/>
  <c r="C31" i="5"/>
  <c r="C32" i="4"/>
  <c r="C32" i="5"/>
  <c r="C33" i="4"/>
  <c r="C33" i="5" s="1"/>
  <c r="C34" i="4"/>
  <c r="C34" i="5" s="1"/>
  <c r="C35" i="4"/>
  <c r="C35" i="5" s="1"/>
  <c r="C36" i="4"/>
  <c r="C36" i="5" s="1"/>
  <c r="C9" i="4"/>
  <c r="I37" i="5"/>
  <c r="G37" i="5"/>
  <c r="O37" i="3"/>
  <c r="F37" i="3"/>
  <c r="U8" i="3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37" i="3"/>
  <c r="C10" i="4"/>
  <c r="C10" i="5" s="1"/>
  <c r="D9" i="5"/>
  <c r="K27" i="2" l="1"/>
  <c r="L27" i="2" s="1"/>
  <c r="E7" i="1"/>
  <c r="G19" i="1"/>
  <c r="K24" i="2"/>
  <c r="L24" i="2" s="1"/>
  <c r="E15" i="1"/>
  <c r="K15" i="2"/>
  <c r="L15" i="2" s="1"/>
  <c r="M15" i="2" s="1"/>
  <c r="E29" i="1"/>
  <c r="J9" i="2"/>
  <c r="G10" i="4"/>
  <c r="H10" i="4" s="1"/>
  <c r="G26" i="4"/>
  <c r="J30" i="3"/>
  <c r="M25" i="3"/>
  <c r="M20" i="3"/>
  <c r="K13" i="2"/>
  <c r="L13" i="2" s="1"/>
  <c r="M13" i="2" s="1"/>
  <c r="K9" i="2"/>
  <c r="L9" i="2" s="1"/>
  <c r="E11" i="1"/>
  <c r="J25" i="3"/>
  <c r="G18" i="1"/>
  <c r="G13" i="1"/>
  <c r="K8" i="2"/>
  <c r="L8" i="2" s="1"/>
  <c r="E26" i="1"/>
  <c r="K16" i="2"/>
  <c r="L16" i="2" s="1"/>
  <c r="M16" i="2" s="1"/>
  <c r="O38" i="3"/>
  <c r="H36" i="4"/>
  <c r="K36" i="5"/>
  <c r="K18" i="5"/>
  <c r="L11" i="1" s="1"/>
  <c r="K12" i="5"/>
  <c r="L12" i="5" s="1"/>
  <c r="K19" i="2"/>
  <c r="L19" i="2" s="1"/>
  <c r="K18" i="2"/>
  <c r="L18" i="2" s="1"/>
  <c r="M18" i="2" s="1"/>
  <c r="K12" i="2"/>
  <c r="L12" i="2" s="1"/>
  <c r="F6" i="1" s="1"/>
  <c r="K10" i="2"/>
  <c r="L10" i="2" s="1"/>
  <c r="F9" i="1"/>
  <c r="M10" i="2"/>
  <c r="F8" i="1"/>
  <c r="M14" i="2"/>
  <c r="M19" i="2"/>
  <c r="F13" i="1"/>
  <c r="K23" i="2"/>
  <c r="L23" i="2" s="1"/>
  <c r="M12" i="2"/>
  <c r="M9" i="2"/>
  <c r="F3" i="1"/>
  <c r="M8" i="2"/>
  <c r="F2" i="1"/>
  <c r="F5" i="1"/>
  <c r="M11" i="2"/>
  <c r="F11" i="1"/>
  <c r="M17" i="2"/>
  <c r="I38" i="5"/>
  <c r="J4" i="1"/>
  <c r="K35" i="5"/>
  <c r="L35" i="5" s="1"/>
  <c r="K26" i="5"/>
  <c r="L19" i="1" s="1"/>
  <c r="K23" i="5"/>
  <c r="L16" i="1" s="1"/>
  <c r="K20" i="5"/>
  <c r="L20" i="5" s="1"/>
  <c r="K17" i="5"/>
  <c r="K14" i="5"/>
  <c r="L14" i="5" s="1"/>
  <c r="K11" i="5"/>
  <c r="L11" i="5" s="1"/>
  <c r="M36" i="3"/>
  <c r="G26" i="1"/>
  <c r="M31" i="3"/>
  <c r="G14" i="1"/>
  <c r="G11" i="1"/>
  <c r="G30" i="1" s="1"/>
  <c r="M11" i="3"/>
  <c r="M9" i="3"/>
  <c r="K29" i="2"/>
  <c r="L29" i="2" s="1"/>
  <c r="F23" i="1" s="1"/>
  <c r="J36" i="3"/>
  <c r="J31" i="3"/>
  <c r="J3" i="1"/>
  <c r="J24" i="1"/>
  <c r="E23" i="1"/>
  <c r="E4" i="1"/>
  <c r="F4" i="1" s="1"/>
  <c r="M29" i="3"/>
  <c r="J24" i="3"/>
  <c r="M19" i="3"/>
  <c r="J16" i="3"/>
  <c r="J9" i="3"/>
  <c r="M30" i="1"/>
  <c r="H9" i="4"/>
  <c r="J23" i="1"/>
  <c r="K34" i="5"/>
  <c r="K28" i="5"/>
  <c r="L21" i="1" s="1"/>
  <c r="K25" i="5"/>
  <c r="L25" i="5" s="1"/>
  <c r="K22" i="5"/>
  <c r="K19" i="5"/>
  <c r="L12" i="1" s="1"/>
  <c r="K16" i="5"/>
  <c r="L16" i="5" s="1"/>
  <c r="K13" i="5"/>
  <c r="L6" i="1" s="1"/>
  <c r="K10" i="5"/>
  <c r="J34" i="3"/>
  <c r="M27" i="3"/>
  <c r="J22" i="3"/>
  <c r="J14" i="3"/>
  <c r="N30" i="1"/>
  <c r="I36" i="2"/>
  <c r="M32" i="3"/>
  <c r="J27" i="3"/>
  <c r="M12" i="3"/>
  <c r="P8" i="3"/>
  <c r="J32" i="3"/>
  <c r="M17" i="3"/>
  <c r="H34" i="4"/>
  <c r="M30" i="3"/>
  <c r="J17" i="3"/>
  <c r="M10" i="3"/>
  <c r="H18" i="4"/>
  <c r="D37" i="4"/>
  <c r="C37" i="4"/>
  <c r="M33" i="3"/>
  <c r="J28" i="3"/>
  <c r="M21" i="3"/>
  <c r="M18" i="3"/>
  <c r="M13" i="3"/>
  <c r="G32" i="2"/>
  <c r="K32" i="2" s="1"/>
  <c r="L32" i="2" s="1"/>
  <c r="M32" i="2" s="1"/>
  <c r="G14" i="4"/>
  <c r="L7" i="1"/>
  <c r="L20" i="1"/>
  <c r="L10" i="1"/>
  <c r="L17" i="5"/>
  <c r="L13" i="5"/>
  <c r="L9" i="1"/>
  <c r="K32" i="5"/>
  <c r="L25" i="1" s="1"/>
  <c r="K30" i="5"/>
  <c r="L30" i="5" s="1"/>
  <c r="L13" i="1"/>
  <c r="L5" i="1"/>
  <c r="L8" i="1"/>
  <c r="L15" i="5"/>
  <c r="L27" i="1"/>
  <c r="L34" i="5"/>
  <c r="L19" i="5"/>
  <c r="L4" i="1"/>
  <c r="L10" i="5"/>
  <c r="L3" i="1"/>
  <c r="L9" i="5"/>
  <c r="L2" i="1"/>
  <c r="K31" i="5"/>
  <c r="L24" i="1" s="1"/>
  <c r="K29" i="5"/>
  <c r="L29" i="5" s="1"/>
  <c r="L28" i="1"/>
  <c r="K24" i="5"/>
  <c r="L24" i="5" s="1"/>
  <c r="L27" i="5"/>
  <c r="L36" i="5"/>
  <c r="L29" i="1"/>
  <c r="D12" i="5"/>
  <c r="D37" i="5" s="1"/>
  <c r="C9" i="5"/>
  <c r="C37" i="5" s="1"/>
  <c r="K34" i="2"/>
  <c r="L34" i="2" s="1"/>
  <c r="M34" i="2" s="1"/>
  <c r="G35" i="2"/>
  <c r="K35" i="2" s="1"/>
  <c r="L35" i="2" s="1"/>
  <c r="E28" i="1"/>
  <c r="L22" i="5"/>
  <c r="L15" i="1"/>
  <c r="K30" i="1"/>
  <c r="L21" i="5"/>
  <c r="L14" i="1"/>
  <c r="J37" i="5"/>
  <c r="L26" i="1"/>
  <c r="L18" i="1"/>
  <c r="I30" i="1"/>
  <c r="H23" i="4"/>
  <c r="H15" i="4"/>
  <c r="J6" i="1"/>
  <c r="F37" i="4"/>
  <c r="G24" i="4"/>
  <c r="G20" i="4"/>
  <c r="G16" i="4"/>
  <c r="G12" i="4"/>
  <c r="K26" i="2"/>
  <c r="L26" i="2" s="1"/>
  <c r="K28" i="2"/>
  <c r="L28" i="2" s="1"/>
  <c r="M28" i="2" s="1"/>
  <c r="K20" i="2"/>
  <c r="L20" i="2" s="1"/>
  <c r="M20" i="2" s="1"/>
  <c r="K31" i="2"/>
  <c r="L31" i="2" s="1"/>
  <c r="J25" i="2"/>
  <c r="J21" i="2"/>
  <c r="K21" i="2" s="1"/>
  <c r="L21" i="2" s="1"/>
  <c r="K25" i="2"/>
  <c r="L25" i="2" s="1"/>
  <c r="M25" i="2" s="1"/>
  <c r="E20" i="1"/>
  <c r="K33" i="2"/>
  <c r="L33" i="2" s="1"/>
  <c r="M33" i="2" s="1"/>
  <c r="E27" i="1"/>
  <c r="K30" i="2"/>
  <c r="L30" i="2" s="1"/>
  <c r="F24" i="1" s="1"/>
  <c r="K22" i="2"/>
  <c r="L22" i="2" s="1"/>
  <c r="E16" i="1"/>
  <c r="F17" i="1"/>
  <c r="M23" i="2"/>
  <c r="F25" i="1"/>
  <c r="M31" i="2"/>
  <c r="M24" i="2"/>
  <c r="F18" i="1"/>
  <c r="M27" i="2"/>
  <c r="F21" i="1"/>
  <c r="M26" i="2"/>
  <c r="F36" i="2"/>
  <c r="I38" i="2" s="1"/>
  <c r="E22" i="1"/>
  <c r="E14" i="1"/>
  <c r="J19" i="1" l="1"/>
  <c r="H26" i="4"/>
  <c r="M30" i="2"/>
  <c r="F20" i="1"/>
  <c r="L18" i="5"/>
  <c r="F12" i="1"/>
  <c r="F7" i="1"/>
  <c r="F10" i="1"/>
  <c r="F22" i="1"/>
  <c r="L28" i="5"/>
  <c r="Q11" i="3"/>
  <c r="L17" i="1"/>
  <c r="L30" i="1" s="1"/>
  <c r="Q36" i="3"/>
  <c r="Q34" i="3"/>
  <c r="M29" i="2"/>
  <c r="M36" i="2" s="1"/>
  <c r="L23" i="1"/>
  <c r="F27" i="1"/>
  <c r="L22" i="1"/>
  <c r="L26" i="5"/>
  <c r="H14" i="4"/>
  <c r="J7" i="1"/>
  <c r="P16" i="3"/>
  <c r="Q16" i="3" s="1"/>
  <c r="P24" i="3"/>
  <c r="Q24" i="3" s="1"/>
  <c r="P11" i="3"/>
  <c r="P31" i="3"/>
  <c r="Q31" i="3" s="1"/>
  <c r="P36" i="3"/>
  <c r="P26" i="3"/>
  <c r="Q26" i="3" s="1"/>
  <c r="P13" i="3"/>
  <c r="Q13" i="3" s="1"/>
  <c r="P18" i="3"/>
  <c r="Q18" i="3" s="1"/>
  <c r="P21" i="3"/>
  <c r="Q21" i="3" s="1"/>
  <c r="P33" i="3"/>
  <c r="Q33" i="3" s="1"/>
  <c r="P28" i="3"/>
  <c r="Q28" i="3" s="1"/>
  <c r="P15" i="3"/>
  <c r="Q15" i="3" s="1"/>
  <c r="P23" i="3"/>
  <c r="Q23" i="3" s="1"/>
  <c r="P35" i="3"/>
  <c r="Q35" i="3" s="1"/>
  <c r="P10" i="3"/>
  <c r="Q10" i="3" s="1"/>
  <c r="P30" i="3"/>
  <c r="Q30" i="3" s="1"/>
  <c r="P9" i="3"/>
  <c r="Q9" i="3" s="1"/>
  <c r="P17" i="3"/>
  <c r="Q17" i="3" s="1"/>
  <c r="P20" i="3"/>
  <c r="Q20" i="3" s="1"/>
  <c r="P25" i="3"/>
  <c r="Q25" i="3" s="1"/>
  <c r="P32" i="3"/>
  <c r="Q32" i="3" s="1"/>
  <c r="P12" i="3"/>
  <c r="Q12" i="3" s="1"/>
  <c r="P27" i="3"/>
  <c r="Q27" i="3" s="1"/>
  <c r="P14" i="3"/>
  <c r="Q14" i="3" s="1"/>
  <c r="P22" i="3"/>
  <c r="Q22" i="3" s="1"/>
  <c r="P34" i="3"/>
  <c r="P19" i="3"/>
  <c r="Q19" i="3" s="1"/>
  <c r="P29" i="3"/>
  <c r="Q29" i="3" s="1"/>
  <c r="F16" i="1"/>
  <c r="L23" i="5"/>
  <c r="F26" i="1"/>
  <c r="F14" i="1"/>
  <c r="L31" i="5"/>
  <c r="L32" i="5"/>
  <c r="F28" i="1"/>
  <c r="M35" i="2"/>
  <c r="F29" i="1"/>
  <c r="H20" i="4"/>
  <c r="J13" i="1"/>
  <c r="J5" i="1"/>
  <c r="H12" i="4"/>
  <c r="J17" i="1"/>
  <c r="H24" i="4"/>
  <c r="J9" i="1"/>
  <c r="H16" i="4"/>
  <c r="L36" i="2"/>
  <c r="M21" i="2"/>
  <c r="F15" i="1"/>
  <c r="M22" i="2"/>
  <c r="F19" i="1"/>
  <c r="E30" i="1"/>
  <c r="H6" i="1" l="1"/>
  <c r="R13" i="3"/>
  <c r="R33" i="3"/>
  <c r="H26" i="1"/>
  <c r="R30" i="3"/>
  <c r="H23" i="1"/>
  <c r="H7" i="1"/>
  <c r="R14" i="3"/>
  <c r="R27" i="3"/>
  <c r="H20" i="1"/>
  <c r="R28" i="3"/>
  <c r="H21" i="1"/>
  <c r="H5" i="1"/>
  <c r="R12" i="3"/>
  <c r="H25" i="1"/>
  <c r="R32" i="3"/>
  <c r="H10" i="1"/>
  <c r="R17" i="3"/>
  <c r="R36" i="3"/>
  <c r="H29" i="1"/>
  <c r="R22" i="3"/>
  <c r="H15" i="1"/>
  <c r="H18" i="1"/>
  <c r="R25" i="3"/>
  <c r="R20" i="3"/>
  <c r="H13" i="1"/>
  <c r="H19" i="1"/>
  <c r="R26" i="3"/>
  <c r="R15" i="3"/>
  <c r="H8" i="1"/>
  <c r="R21" i="3"/>
  <c r="H14" i="1"/>
  <c r="R29" i="3"/>
  <c r="H22" i="1"/>
  <c r="H17" i="1"/>
  <c r="R24" i="3"/>
  <c r="H3" i="1"/>
  <c r="R10" i="3"/>
  <c r="H28" i="1"/>
  <c r="R35" i="3"/>
  <c r="H9" i="1"/>
  <c r="R16" i="3"/>
  <c r="R34" i="3"/>
  <c r="H27" i="1"/>
  <c r="H24" i="1"/>
  <c r="R31" i="3"/>
  <c r="R18" i="3"/>
  <c r="H11" i="1"/>
  <c r="H2" i="1"/>
  <c r="R9" i="3"/>
  <c r="H12" i="1"/>
  <c r="R19" i="3"/>
  <c r="H4" i="1"/>
  <c r="R11" i="3"/>
  <c r="L37" i="5"/>
  <c r="H16" i="1"/>
  <c r="R23" i="3"/>
  <c r="F30" i="1"/>
  <c r="H37" i="4"/>
  <c r="R37" i="3" l="1"/>
  <c r="H30" i="1"/>
</calcChain>
</file>

<file path=xl/sharedStrings.xml><?xml version="1.0" encoding="utf-8"?>
<sst xmlns="http://schemas.openxmlformats.org/spreadsheetml/2006/main" count="113" uniqueCount="60">
  <si>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</si>
  <si>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</si>
  <si>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</si>
  <si>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</si>
  <si>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</si>
  <si>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</si>
  <si>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</si>
  <si>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</si>
  <si>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</si>
  <si>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</si>
  <si>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</si>
  <si>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</si>
  <si>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</si>
  <si>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</si>
  <si>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</si>
  <si>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</si>
  <si>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</si>
  <si>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</si>
  <si>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</si>
  <si>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</si>
  <si>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</si>
  <si>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</si>
  <si>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</si>
  <si>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</si>
  <si>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</si>
  <si>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</si>
  <si>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</si>
  <si>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</si>
  <si>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</si>
  <si>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</si>
  <si>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</si>
  <si>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</si>
  <si>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</si>
  <si>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</si>
  <si>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</si>
  <si>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</si>
  <si>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</si>
  <si>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</si>
  <si>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</si>
  <si>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</si>
  <si>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</si>
  <si>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</si>
  <si>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</si>
  <si>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</si>
  <si>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</si>
  <si>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</si>
  <si>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</si>
  <si>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</si>
  <si>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</si>
  <si>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</si>
  <si>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</si>
  <si>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</si>
  <si>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</si>
  <si>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</si>
  <si>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</si>
  <si>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</si>
  <si>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</si>
  <si>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</si>
  <si>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</si>
  <si>
    <t>Total Fuel Oil  (Liter)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</si>
</sst>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(* #,##0_);_(* \(#,##0\);_(* &quot;-&quot;??_);_(@_)"/>
    <numFmt numFmtId="168" formatCode="[$$-409]#,##0.00"/>
    <numFmt numFmtId="169" formatCode="[$IDR]\ #,##0_);\([$IDR]\ #,##0\)"/>
    <numFmt numFmtId="170" formatCode="_(* #,##0.00_);_(* \(#,##0.00\);_(* &quot;-&quot;_);_(@_)"/>
    <numFmt numFmtId="171" formatCode="&quot;$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3" borderId="0" xfId="0" applyFill="1"/>
    <xf numFmtId="0" fontId="0" fillId="3" borderId="0" xfId="0" applyFill="1" applyBorder="1"/>
    <xf numFmtId="0" fontId="0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7" fontId="1" fillId="0" borderId="1" xfId="4" applyNumberFormat="1" applyFont="1" applyBorder="1"/>
    <xf numFmtId="166" fontId="11" fillId="0" borderId="1" xfId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166" fontId="10" fillId="0" borderId="1" xfId="1" applyFont="1" applyFill="1" applyBorder="1" applyAlignment="1">
      <alignment horizontal="center" shrinkToFit="1"/>
    </xf>
    <xf numFmtId="166" fontId="10" fillId="0" borderId="1" xfId="0" applyNumberFormat="1" applyFont="1" applyFill="1" applyBorder="1" applyAlignment="1">
      <alignment shrinkToFit="1"/>
    </xf>
    <xf numFmtId="168" fontId="0" fillId="0" borderId="1" xfId="0" applyNumberFormat="1" applyBorder="1"/>
    <xf numFmtId="168" fontId="0" fillId="0" borderId="3" xfId="0" applyNumberFormat="1" applyBorder="1"/>
    <xf numFmtId="164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9" fontId="9" fillId="0" borderId="0" xfId="2" applyNumberFormat="1" applyFont="1" applyFill="1" applyBorder="1" applyAlignment="1">
      <alignment shrinkToFit="1"/>
    </xf>
    <xf numFmtId="168" fontId="12" fillId="0" borderId="0" xfId="2" applyNumberFormat="1" applyFont="1" applyFill="1" applyBorder="1" applyAlignment="1">
      <alignment shrinkToFit="1"/>
    </xf>
    <xf numFmtId="168" fontId="0" fillId="0" borderId="0" xfId="0" applyNumberFormat="1" applyBorder="1"/>
    <xf numFmtId="165" fontId="0" fillId="0" borderId="0" xfId="3" applyFont="1"/>
    <xf numFmtId="41" fontId="0" fillId="0" borderId="0" xfId="0" applyNumberFormat="1"/>
    <xf numFmtId="44" fontId="0" fillId="0" borderId="0" xfId="0" applyNumberFormat="1"/>
    <xf numFmtId="43" fontId="0" fillId="0" borderId="0" xfId="0" applyNumberFormat="1"/>
    <xf numFmtId="0" fontId="11" fillId="0" borderId="0" xfId="0" applyFont="1" applyFill="1" applyBorder="1" applyAlignment="1">
      <alignment horizontal="center" shrinkToFit="1"/>
    </xf>
    <xf numFmtId="166" fontId="10" fillId="0" borderId="0" xfId="1" applyFont="1" applyFill="1" applyBorder="1" applyAlignment="1">
      <alignment horizontal="center" shrinkToFit="1"/>
    </xf>
    <xf numFmtId="167" fontId="10" fillId="0" borderId="0" xfId="1" applyNumberFormat="1" applyFont="1" applyFill="1" applyBorder="1" applyAlignment="1">
      <alignment horizontal="center" shrinkToFit="1"/>
    </xf>
    <xf numFmtId="166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1" fillId="0" borderId="1" xfId="0" applyFont="1" applyFill="1" applyBorder="1" applyAlignment="1">
      <alignment horizontal="center" shrinkToFit="1"/>
    </xf>
    <xf numFmtId="167" fontId="10" fillId="0" borderId="1" xfId="1" applyNumberFormat="1" applyFont="1" applyFill="1" applyBorder="1" applyAlignment="1">
      <alignment horizontal="center" shrinkToFit="1"/>
    </xf>
    <xf numFmtId="43" fontId="11" fillId="0" borderId="1" xfId="1" applyNumberFormat="1" applyFont="1" applyFill="1" applyBorder="1" applyAlignment="1">
      <alignment horizontal="center" shrinkToFit="1"/>
    </xf>
    <xf numFmtId="164" fontId="11" fillId="0" borderId="1" xfId="2" applyFont="1" applyFill="1" applyBorder="1" applyAlignment="1">
      <alignment horizontal="center" vertical="center" shrinkToFit="1"/>
    </xf>
    <xf numFmtId="44" fontId="11" fillId="0" borderId="1" xfId="1" applyNumberFormat="1" applyFont="1" applyFill="1" applyBorder="1" applyAlignment="1">
      <alignment horizontal="center" shrinkToFit="1"/>
    </xf>
    <xf numFmtId="164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Fill="1" applyBorder="1" applyAlignment="1">
      <alignment horizontal="center" shrinkToFit="1"/>
    </xf>
    <xf numFmtId="166" fontId="11" fillId="0" borderId="0" xfId="1" applyFont="1" applyFill="1" applyBorder="1" applyAlignment="1">
      <alignment horizontal="center" shrinkToFit="1"/>
    </xf>
    <xf numFmtId="167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41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7" fontId="7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10" fillId="0" borderId="0" xfId="1" applyNumberFormat="1" applyFont="1" applyFill="1" applyBorder="1" applyAlignment="1">
      <alignment horizontal="center" vertical="center" shrinkToFit="1"/>
    </xf>
    <xf numFmtId="166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6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166" fontId="13" fillId="0" borderId="1" xfId="1" applyFont="1" applyBorder="1"/>
    <xf numFmtId="0" fontId="14" fillId="0" borderId="1" xfId="0" applyFont="1" applyBorder="1"/>
    <xf numFmtId="171" fontId="9" fillId="0" borderId="0" xfId="2" applyNumberFormat="1" applyFont="1" applyFill="1" applyBorder="1" applyAlignment="1">
      <alignment shrinkToFit="1"/>
    </xf>
    <xf numFmtId="166" fontId="9" fillId="0" borderId="0" xfId="1" applyFont="1" applyFill="1" applyBorder="1" applyAlignment="1">
      <alignment shrinkToFit="1"/>
    </xf>
    <xf numFmtId="166" fontId="7" fillId="0" borderId="0" xfId="1" applyFont="1" applyAlignment="1">
      <alignment vertical="center"/>
    </xf>
    <xf numFmtId="166" fontId="0" fillId="0" borderId="0" xfId="1" applyFont="1" applyAlignment="1">
      <alignment horizontal="center" vertical="center"/>
    </xf>
    <xf numFmtId="171" fontId="0" fillId="0" borderId="1" xfId="0" applyNumberFormat="1" applyBorder="1"/>
    <xf numFmtId="167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170" fontId="11" fillId="3" borderId="1" xfId="0" applyNumberFormat="1" applyFont="1" applyFill="1" applyBorder="1" applyAlignment="1">
      <alignment horizontal="center" shrinkToFit="1"/>
    </xf>
    <xf numFmtId="0" fontId="11" fillId="0" borderId="1" xfId="0" applyFont="1" applyFill="1" applyBorder="1" applyAlignment="1">
      <alignment horizontal="center" vertical="center" shrinkToFit="1"/>
    </xf>
    <xf numFmtId="2" fontId="11" fillId="0" borderId="1" xfId="0" applyNumberFormat="1" applyFont="1" applyFill="1" applyBorder="1" applyAlignment="1">
      <alignment horizontal="center" vertical="center" shrinkToFit="1"/>
    </xf>
    <xf numFmtId="1" fontId="0" fillId="0" borderId="0" xfId="0" applyNumberFormat="1"/>
    <xf numFmtId="7" fontId="11" fillId="0" borderId="1" xfId="1" applyNumberFormat="1" applyFont="1" applyFill="1" applyBorder="1" applyAlignment="1">
      <alignment horizontal="center" shrinkToFit="1"/>
    </xf>
    <xf numFmtId="171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41" fontId="15" fillId="0" borderId="0" xfId="0" applyNumberFormat="1" applyFont="1" applyAlignment="1"/>
    <xf numFmtId="41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7" fontId="16" fillId="0" borderId="0" xfId="1" applyNumberFormat="1" applyFont="1" applyFill="1" applyBorder="1" applyAlignment="1">
      <alignment horizontal="center" shrinkToFit="1"/>
    </xf>
    <xf numFmtId="44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66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</cellXfs>
  <cellStyles count="5">
    <cellStyle name="Comma" xfId="1" builtinId="3"/>
    <cellStyle name="Comma [0]" xfId="2" builtinId="6"/>
    <cellStyle name="Comma 4" xfId="4" xr:uid="{00000000-0005-0000-0000-000002000000}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" sqref="I2"/>
    </sheetView>
  </sheetViews>
  <sheetFormatPr defaultRowHeight="15" x14ac:dyDescent="0.25"/>
  <cols>
    <col min="1" max="1" width="12.7109375" bestFit="1" customWidth="1"/>
    <col min="2" max="2" width="4.28515625" bestFit="1" customWidth="1"/>
    <col min="3" max="3" width="7" bestFit="1" customWidth="1"/>
    <col min="4" max="4" width="5" bestFit="1" customWidth="1"/>
    <col min="5" max="5" width="10.7109375" customWidth="1"/>
    <col min="6" max="6" width="12.140625" customWidth="1"/>
    <col min="7" max="7" width="8.42578125" bestFit="1" customWidth="1"/>
    <col min="8" max="8" width="11.5703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59</v>
      </c>
      <c r="J1" s="4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x14ac:dyDescent="0.25">
      <c r="A2" s="6" t="s">
        <v>13</v>
      </c>
      <c r="B2" s="7">
        <v>1</v>
      </c>
      <c r="C2" s="8">
        <v>2</v>
      </c>
      <c r="D2" s="7">
        <v>2022</v>
      </c>
      <c r="E2" s="9">
        <f>Electricity!F8+Electricity!I8</f>
        <v>7460.0000000002638</v>
      </c>
      <c r="F2" s="10">
        <f>Electricity!L8/TOTAL!E2</f>
        <v>1230.6626005361934</v>
      </c>
      <c r="G2" s="9">
        <f>Gas!F9+Gas!I9+Gas!L9+Gas!O9</f>
        <v>18.58000000000051</v>
      </c>
      <c r="H2" s="10">
        <f>Gas!Q9/TOTAL!G2</f>
        <v>15839.999999999998</v>
      </c>
      <c r="I2" s="9">
        <f>'Fuel Diesel'!F9</f>
        <v>0</v>
      </c>
      <c r="J2" s="11" t="e">
        <f>'Fuel Diesel'!G9/'Fuel Diesel'!F9</f>
        <v>#DIV/0!</v>
      </c>
      <c r="K2" s="9">
        <f>Water!E9+Water!G9+Water!I9</f>
        <v>133</v>
      </c>
      <c r="L2" s="10">
        <f>Water!K9/TOTAL!K2</f>
        <v>4000</v>
      </c>
      <c r="M2" s="9">
        <f>Electricity!C8</f>
        <v>5</v>
      </c>
      <c r="N2" s="9">
        <f>Electricity!D8</f>
        <v>61</v>
      </c>
    </row>
    <row r="3" spans="1:14" x14ac:dyDescent="0.25">
      <c r="A3" s="6" t="s">
        <v>13</v>
      </c>
      <c r="B3" s="7">
        <f>B2+1</f>
        <v>2</v>
      </c>
      <c r="C3" s="8">
        <v>2</v>
      </c>
      <c r="D3" s="7">
        <v>2022</v>
      </c>
      <c r="E3" s="9">
        <f>Electricity!F9+Electricity!I9</f>
        <v>7759.9999999998772</v>
      </c>
      <c r="F3" s="10">
        <f>Electricity!L9/TOTAL!E3</f>
        <v>1225.6530283505133</v>
      </c>
      <c r="G3" s="9">
        <f>Gas!F10+Gas!I10+Gas!L10+Gas!O10</f>
        <v>18.509999999998982</v>
      </c>
      <c r="H3" s="10">
        <f>Gas!Q10/TOTAL!G3</f>
        <v>15839.999999999998</v>
      </c>
      <c r="I3" s="9">
        <f>'Fuel Diesel'!F10</f>
        <v>0</v>
      </c>
      <c r="J3" s="11" t="e">
        <f>'Fuel Diesel'!G10/'Fuel Diesel'!F10</f>
        <v>#DIV/0!</v>
      </c>
      <c r="K3" s="9">
        <f>Water!E10+Water!G10+Water!I10</f>
        <v>111</v>
      </c>
      <c r="L3" s="10">
        <f>Water!K10/TOTAL!K3</f>
        <v>4000</v>
      </c>
      <c r="M3" s="9">
        <f>Electricity!C9</f>
        <v>3</v>
      </c>
      <c r="N3" s="9">
        <f>Electricity!D9</f>
        <v>28</v>
      </c>
    </row>
    <row r="4" spans="1:14" x14ac:dyDescent="0.25">
      <c r="A4" s="6" t="s">
        <v>13</v>
      </c>
      <c r="B4" s="7">
        <f t="shared" ref="B4:B29" si="0">B3+1</f>
        <v>3</v>
      </c>
      <c r="C4" s="8">
        <v>2</v>
      </c>
      <c r="D4" s="7">
        <v>2022</v>
      </c>
      <c r="E4" s="9">
        <f>Electricity!F10+Electricity!I10</f>
        <v>6680.0000000000637</v>
      </c>
      <c r="F4" s="10">
        <f>Electricity!L10/TOTAL!E4</f>
        <v>1243.0650449101811</v>
      </c>
      <c r="G4" s="9">
        <f>Gas!F11+Gas!I11+Gas!L11+Gas!O11</f>
        <v>17.879999999999782</v>
      </c>
      <c r="H4" s="10">
        <f>Gas!Q11/TOTAL!G4</f>
        <v>15839.999999999998</v>
      </c>
      <c r="I4" s="9">
        <f>'Fuel Diesel'!F11</f>
        <v>0</v>
      </c>
      <c r="J4" s="11" t="e">
        <f>'Fuel Diesel'!G11/'Fuel Diesel'!F11</f>
        <v>#DIV/0!</v>
      </c>
      <c r="K4" s="9">
        <f>Water!E11+Water!G11+Water!I11</f>
        <v>103</v>
      </c>
      <c r="L4" s="10">
        <f>Water!K11/TOTAL!K4</f>
        <v>4000</v>
      </c>
      <c r="M4" s="9">
        <f>Electricity!C10</f>
        <v>4</v>
      </c>
      <c r="N4" s="9">
        <f>Electricity!D10</f>
        <v>27</v>
      </c>
    </row>
    <row r="5" spans="1:14" x14ac:dyDescent="0.25">
      <c r="A5" s="6" t="s">
        <v>13</v>
      </c>
      <c r="B5" s="7">
        <f t="shared" si="0"/>
        <v>4</v>
      </c>
      <c r="C5" s="8">
        <v>2</v>
      </c>
      <c r="D5" s="7">
        <v>2022</v>
      </c>
      <c r="E5" s="9">
        <f>Electricity!F11+Electricity!I11</f>
        <v>7259.9999999999909</v>
      </c>
      <c r="F5" s="10">
        <f>Electricity!L11/TOTAL!E5</f>
        <v>1236.3242424242435</v>
      </c>
      <c r="G5" s="9">
        <f>Gas!F12+Gas!I12+Gas!L12+Gas!O12</f>
        <v>17.299999999999855</v>
      </c>
      <c r="H5" s="10">
        <f>Gas!Q12/TOTAL!G5</f>
        <v>15839.999999999998</v>
      </c>
      <c r="I5" s="9">
        <f>'Fuel Diesel'!F12</f>
        <v>0</v>
      </c>
      <c r="J5" s="11" t="e">
        <f>'Fuel Diesel'!G12/'Fuel Diesel'!F12</f>
        <v>#DIV/0!</v>
      </c>
      <c r="K5" s="9">
        <f>Water!E12+Water!G12+Water!I12</f>
        <v>103</v>
      </c>
      <c r="L5" s="10">
        <f>Water!K12/TOTAL!K5</f>
        <v>4000</v>
      </c>
      <c r="M5" s="9">
        <f>Electricity!C11</f>
        <v>4</v>
      </c>
      <c r="N5" s="9">
        <f>Electricity!D11</f>
        <v>12</v>
      </c>
    </row>
    <row r="6" spans="1:14" x14ac:dyDescent="0.25">
      <c r="A6" s="6" t="s">
        <v>13</v>
      </c>
      <c r="B6" s="7">
        <f t="shared" si="0"/>
        <v>5</v>
      </c>
      <c r="C6" s="8">
        <v>2</v>
      </c>
      <c r="D6" s="7">
        <v>2022</v>
      </c>
      <c r="E6" s="9">
        <f>Electricity!F12+Electricity!I12</f>
        <v>7319.9999999999363</v>
      </c>
      <c r="F6" s="10">
        <f>Electricity!L12/TOTAL!E6</f>
        <v>1232.4147540983652</v>
      </c>
      <c r="G6" s="9">
        <f>Gas!F13+Gas!I13+Gas!L13+Gas!O13</f>
        <v>16.39</v>
      </c>
      <c r="H6" s="10">
        <f>Gas!Q13/TOTAL!G6</f>
        <v>15839.999999999998</v>
      </c>
      <c r="I6" s="9">
        <f>'Fuel Diesel'!F13</f>
        <v>0</v>
      </c>
      <c r="J6" s="11" t="e">
        <f>'Fuel Diesel'!G13/'Fuel Diesel'!F13</f>
        <v>#DIV/0!</v>
      </c>
      <c r="K6" s="9">
        <f>Water!E13+Water!G13+Water!I13</f>
        <v>95</v>
      </c>
      <c r="L6" s="10">
        <f>Water!K13/TOTAL!K6</f>
        <v>4000</v>
      </c>
      <c r="M6" s="9">
        <f>Electricity!C12</f>
        <v>3</v>
      </c>
      <c r="N6" s="9">
        <f>Electricity!D12</f>
        <v>14</v>
      </c>
    </row>
    <row r="7" spans="1:14" x14ac:dyDescent="0.25">
      <c r="A7" s="6" t="s">
        <v>13</v>
      </c>
      <c r="B7" s="7">
        <f t="shared" si="0"/>
        <v>6</v>
      </c>
      <c r="C7" s="8">
        <v>2</v>
      </c>
      <c r="D7" s="7">
        <v>2022</v>
      </c>
      <c r="E7" s="9">
        <f>Electricity!F13+Electricity!I13</f>
        <v>6940.0000000001683</v>
      </c>
      <c r="F7" s="10">
        <f>Electricity!L13/TOTAL!E7</f>
        <v>1234.2443804034533</v>
      </c>
      <c r="G7" s="9">
        <f>Gas!F14+Gas!I14+Gas!L14+Gas!O14</f>
        <v>18.160000000000437</v>
      </c>
      <c r="H7" s="10">
        <f>Gas!Q14/TOTAL!G7</f>
        <v>15839.999999999998</v>
      </c>
      <c r="I7" s="9">
        <f>'Fuel Diesel'!F14</f>
        <v>0</v>
      </c>
      <c r="J7" s="11" t="e">
        <f>'Fuel Diesel'!G14/'Fuel Diesel'!F14</f>
        <v>#DIV/0!</v>
      </c>
      <c r="K7" s="9">
        <f>Water!E14+Water!G14+Water!I14</f>
        <v>117</v>
      </c>
      <c r="L7" s="10">
        <f>Water!K14/TOTAL!K7</f>
        <v>4000</v>
      </c>
      <c r="M7" s="9">
        <f>Electricity!C13</f>
        <v>2</v>
      </c>
      <c r="N7" s="9">
        <f>Electricity!D13</f>
        <v>14</v>
      </c>
    </row>
    <row r="8" spans="1:14" x14ac:dyDescent="0.25">
      <c r="A8" s="6" t="s">
        <v>13</v>
      </c>
      <c r="B8" s="7">
        <f t="shared" si="0"/>
        <v>7</v>
      </c>
      <c r="C8" s="8">
        <v>2</v>
      </c>
      <c r="D8" s="7">
        <v>2022</v>
      </c>
      <c r="E8" s="9">
        <f>Electricity!F14+Electricity!I14</f>
        <v>6879.9999999996544</v>
      </c>
      <c r="F8" s="10">
        <f>Electricity!L14/TOTAL!E8</f>
        <v>1228.4521802325567</v>
      </c>
      <c r="G8" s="9">
        <f>Gas!F15+Gas!I15+Gas!L15+Gas!O15</f>
        <v>16.400000000000219</v>
      </c>
      <c r="H8" s="10">
        <f>Gas!Q15/TOTAL!G8</f>
        <v>15839.999999999998</v>
      </c>
      <c r="I8" s="9">
        <f>'Fuel Diesel'!F15</f>
        <v>29</v>
      </c>
      <c r="J8" s="11">
        <f>'Fuel Diesel'!G15/'Fuel Diesel'!F15</f>
        <v>10700</v>
      </c>
      <c r="K8" s="9">
        <f>Water!E15+Water!G15+Water!I15</f>
        <v>108</v>
      </c>
      <c r="L8" s="10">
        <f>Water!K15/TOTAL!K8</f>
        <v>4000</v>
      </c>
      <c r="M8" s="9">
        <f>Electricity!C14</f>
        <v>2</v>
      </c>
      <c r="N8" s="9">
        <f>Electricity!D14</f>
        <v>4</v>
      </c>
    </row>
    <row r="9" spans="1:14" x14ac:dyDescent="0.25">
      <c r="A9" s="6" t="s">
        <v>13</v>
      </c>
      <c r="B9" s="7">
        <f t="shared" si="0"/>
        <v>8</v>
      </c>
      <c r="C9" s="8">
        <v>2</v>
      </c>
      <c r="D9" s="7">
        <v>2022</v>
      </c>
      <c r="E9" s="9">
        <f>Electricity!F15+Electricity!I15</f>
        <v>6780.0000000003138</v>
      </c>
      <c r="F9" s="10">
        <f>Electricity!L15/TOTAL!E9</f>
        <v>1233.1308259586983</v>
      </c>
      <c r="G9" s="9">
        <f>Gas!F16+Gas!I16+Gas!L16+Gas!O16</f>
        <v>15.859999999999346</v>
      </c>
      <c r="H9" s="10">
        <f>Gas!Q16/TOTAL!G9</f>
        <v>15839.999999999998</v>
      </c>
      <c r="I9" s="9">
        <f>'Fuel Diesel'!F16</f>
        <v>0</v>
      </c>
      <c r="J9" s="11" t="e">
        <f>'Fuel Diesel'!G16/'Fuel Diesel'!F16</f>
        <v>#DIV/0!</v>
      </c>
      <c r="K9" s="9">
        <f>Water!E16+Water!G16+Water!I16</f>
        <v>93</v>
      </c>
      <c r="L9" s="10">
        <f>Water!K16/TOTAL!K9</f>
        <v>4000</v>
      </c>
      <c r="M9" s="9">
        <f>Electricity!C15</f>
        <v>0</v>
      </c>
      <c r="N9" s="9">
        <f>Electricity!D15</f>
        <v>4</v>
      </c>
    </row>
    <row r="10" spans="1:14" x14ac:dyDescent="0.25">
      <c r="A10" s="6" t="s">
        <v>13</v>
      </c>
      <c r="B10" s="7">
        <f t="shared" si="0"/>
        <v>9</v>
      </c>
      <c r="C10" s="8">
        <v>2</v>
      </c>
      <c r="D10" s="7">
        <v>2022</v>
      </c>
      <c r="E10" s="9">
        <f>Electricity!F16+Electricity!I16</f>
        <v>6580.0000000000409</v>
      </c>
      <c r="F10" s="10">
        <f>Electricity!L16/TOTAL!E10</f>
        <v>1234.2593465045609</v>
      </c>
      <c r="G10" s="9">
        <f>Gas!F17+Gas!I17+Gas!L17+Gas!O17</f>
        <v>16.030000000001237</v>
      </c>
      <c r="H10" s="10">
        <f>Gas!Q17/TOTAL!G10</f>
        <v>15839.999999999998</v>
      </c>
      <c r="I10" s="9">
        <f>'Fuel Diesel'!F17</f>
        <v>0</v>
      </c>
      <c r="J10" s="11" t="e">
        <f>'Fuel Diesel'!G17/'Fuel Diesel'!F17</f>
        <v>#DIV/0!</v>
      </c>
      <c r="K10" s="9">
        <f>Water!E17+Water!G17+Water!I17</f>
        <v>103</v>
      </c>
      <c r="L10" s="10">
        <f>Water!K17/TOTAL!K10</f>
        <v>4000</v>
      </c>
      <c r="M10" s="9">
        <f>Electricity!C16</f>
        <v>1</v>
      </c>
      <c r="N10" s="9">
        <f>Electricity!D16</f>
        <v>6</v>
      </c>
    </row>
    <row r="11" spans="1:14" x14ac:dyDescent="0.25">
      <c r="A11" s="6" t="s">
        <v>13</v>
      </c>
      <c r="B11" s="7">
        <f t="shared" si="0"/>
        <v>10</v>
      </c>
      <c r="C11" s="8">
        <v>2</v>
      </c>
      <c r="D11" s="7">
        <v>2022</v>
      </c>
      <c r="E11" s="9">
        <f>Electricity!F17+Electricity!I17</f>
        <v>6600.0000000000227</v>
      </c>
      <c r="F11" s="10">
        <f>Electricity!L17/TOTAL!E11</f>
        <v>1235.6966666666669</v>
      </c>
      <c r="G11" s="9">
        <f>Gas!F18+Gas!I18+Gas!L18+Gas!O18</f>
        <v>19.910000000000437</v>
      </c>
      <c r="H11" s="10">
        <f>Gas!Q18/TOTAL!G11</f>
        <v>15839.999999999998</v>
      </c>
      <c r="I11" s="9">
        <f>'Fuel Diesel'!F18</f>
        <v>0</v>
      </c>
      <c r="J11" s="11" t="e">
        <f>'Fuel Diesel'!G18/'Fuel Diesel'!F18</f>
        <v>#DIV/0!</v>
      </c>
      <c r="K11" s="9">
        <f>Water!E18+Water!G18+Water!I18</f>
        <v>109</v>
      </c>
      <c r="L11" s="10">
        <f>Water!K18/TOTAL!K11</f>
        <v>4000</v>
      </c>
      <c r="M11" s="9">
        <f>Electricity!C17</f>
        <v>5</v>
      </c>
      <c r="N11" s="9">
        <f>Electricity!D17</f>
        <v>11</v>
      </c>
    </row>
    <row r="12" spans="1:14" x14ac:dyDescent="0.25">
      <c r="A12" s="6" t="s">
        <v>13</v>
      </c>
      <c r="B12" s="7">
        <f t="shared" si="0"/>
        <v>11</v>
      </c>
      <c r="C12" s="8">
        <v>2</v>
      </c>
      <c r="D12" s="7">
        <v>2022</v>
      </c>
      <c r="E12" s="9">
        <f>Electricity!F18+Electricity!I18</f>
        <v>6499.9999999996589</v>
      </c>
      <c r="F12" s="10">
        <f>Electricity!L18/TOTAL!E12</f>
        <v>1231.9263846153949</v>
      </c>
      <c r="G12" s="9">
        <f>Gas!F19+Gas!I19+Gas!L19+Gas!O19</f>
        <v>14.3999999999984</v>
      </c>
      <c r="H12" s="10">
        <f>Gas!Q19/TOTAL!G12</f>
        <v>15839.999999999998</v>
      </c>
      <c r="I12" s="9">
        <f>'Fuel Diesel'!F19</f>
        <v>0</v>
      </c>
      <c r="J12" s="11" t="e">
        <f>'Fuel Diesel'!G19/'Fuel Diesel'!F19</f>
        <v>#DIV/0!</v>
      </c>
      <c r="K12" s="9">
        <f>Water!E19+Water!G19+Water!I19</f>
        <v>119</v>
      </c>
      <c r="L12" s="10">
        <f>Water!K19/TOTAL!K12</f>
        <v>4000</v>
      </c>
      <c r="M12" s="9">
        <f>Electricity!C18</f>
        <v>1</v>
      </c>
      <c r="N12" s="9">
        <f>Electricity!D18</f>
        <v>15</v>
      </c>
    </row>
    <row r="13" spans="1:14" x14ac:dyDescent="0.25">
      <c r="A13" s="6" t="s">
        <v>13</v>
      </c>
      <c r="B13" s="7">
        <f t="shared" si="0"/>
        <v>12</v>
      </c>
      <c r="C13" s="8">
        <v>2</v>
      </c>
      <c r="D13" s="7">
        <v>2022</v>
      </c>
      <c r="E13" s="9">
        <f>Electricity!F19+Electricity!I19</f>
        <v>6600.0000000000227</v>
      </c>
      <c r="F13" s="10">
        <f>Electricity!L19/TOTAL!E13</f>
        <v>1237.4224999999983</v>
      </c>
      <c r="G13" s="9">
        <f>Gas!F20+Gas!I20+Gas!L20+Gas!O20</f>
        <v>14.910000000000437</v>
      </c>
      <c r="H13" s="10">
        <f>Gas!Q20/TOTAL!G13</f>
        <v>15839.999999999998</v>
      </c>
      <c r="I13" s="9">
        <f>'Fuel Diesel'!F20</f>
        <v>0</v>
      </c>
      <c r="J13" s="11" t="e">
        <f>'Fuel Diesel'!G20/'Fuel Diesel'!F20</f>
        <v>#DIV/0!</v>
      </c>
      <c r="K13" s="9">
        <f>Water!E20+Water!G20+Water!I20</f>
        <v>134</v>
      </c>
      <c r="L13" s="10">
        <f>Water!K20/TOTAL!K13</f>
        <v>4000</v>
      </c>
      <c r="M13" s="9">
        <f>Electricity!C19</f>
        <v>3</v>
      </c>
      <c r="N13" s="9">
        <f>Electricity!D19</f>
        <v>18</v>
      </c>
    </row>
    <row r="14" spans="1:14" x14ac:dyDescent="0.25">
      <c r="A14" s="6" t="s">
        <v>13</v>
      </c>
      <c r="B14" s="7">
        <f t="shared" si="0"/>
        <v>13</v>
      </c>
      <c r="C14" s="8">
        <v>2</v>
      </c>
      <c r="D14" s="7">
        <v>2022</v>
      </c>
      <c r="E14" s="9">
        <f>Electricity!F20+Electricity!I20</f>
        <v>6659.9999999999682</v>
      </c>
      <c r="F14" s="10">
        <f>Electricity!L20/TOTAL!E14</f>
        <v>1238.2465465465443</v>
      </c>
      <c r="G14" s="9">
        <f>Gas!F21+Gas!I21+Gas!L21+Gas!O21</f>
        <v>16.33000000000051</v>
      </c>
      <c r="H14" s="10">
        <f>Gas!Q21/TOTAL!G14</f>
        <v>15839.999999999998</v>
      </c>
      <c r="I14" s="9">
        <f>'Fuel Diesel'!F21</f>
        <v>20</v>
      </c>
      <c r="J14" s="11">
        <f>'Fuel Diesel'!G21/'Fuel Diesel'!F21</f>
        <v>10700</v>
      </c>
      <c r="K14" s="9">
        <f>Water!E21+Water!G21+Water!I21</f>
        <v>218</v>
      </c>
      <c r="L14" s="10">
        <f>Water!K21/TOTAL!K14</f>
        <v>4000</v>
      </c>
      <c r="M14" s="9">
        <f>Electricity!C20</f>
        <v>4</v>
      </c>
      <c r="N14" s="9">
        <f>Electricity!D20</f>
        <v>27</v>
      </c>
    </row>
    <row r="15" spans="1:14" x14ac:dyDescent="0.25">
      <c r="A15" s="6" t="s">
        <v>13</v>
      </c>
      <c r="B15" s="7">
        <f t="shared" si="0"/>
        <v>14</v>
      </c>
      <c r="C15" s="8">
        <v>2</v>
      </c>
      <c r="D15" s="7">
        <v>2022</v>
      </c>
      <c r="E15" s="9">
        <f>Electricity!F21+Electricity!I21</f>
        <v>6700.0000000003865</v>
      </c>
      <c r="F15" s="10">
        <f>Electricity!L21/TOTAL!E15</f>
        <v>1232.5541044776085</v>
      </c>
      <c r="G15" s="9">
        <f>Gas!F22+Gas!I22+Gas!L22+Gas!O22</f>
        <v>17.560000000000073</v>
      </c>
      <c r="H15" s="10">
        <f>Gas!Q22/TOTAL!G15</f>
        <v>15839.999999999998</v>
      </c>
      <c r="I15" s="9">
        <f>'Fuel Diesel'!F22</f>
        <v>0</v>
      </c>
      <c r="J15" s="11" t="e">
        <f>'Fuel Diesel'!G22/'Fuel Diesel'!F22</f>
        <v>#DIV/0!</v>
      </c>
      <c r="K15" s="9">
        <f>Water!E22+Water!G22+Water!I22</f>
        <v>179</v>
      </c>
      <c r="L15" s="10">
        <f>Water!K22/TOTAL!K15</f>
        <v>4000</v>
      </c>
      <c r="M15" s="9">
        <f>Electricity!C21</f>
        <v>6</v>
      </c>
      <c r="N15" s="9">
        <f>Electricity!D21</f>
        <v>48</v>
      </c>
    </row>
    <row r="16" spans="1:14" x14ac:dyDescent="0.25">
      <c r="A16" s="6" t="s">
        <v>13</v>
      </c>
      <c r="B16" s="7">
        <f t="shared" si="0"/>
        <v>15</v>
      </c>
      <c r="C16" s="8">
        <v>2</v>
      </c>
      <c r="D16" s="7">
        <v>2022</v>
      </c>
      <c r="E16" s="9">
        <f>Electricity!F22+Electricity!I22</f>
        <v>6759.9999999998772</v>
      </c>
      <c r="F16" s="10">
        <f>Electricity!L22/TOTAL!E16</f>
        <v>1236.7791420118335</v>
      </c>
      <c r="G16" s="9">
        <f>Gas!F23+Gas!I23+Gas!L23+Gas!O23</f>
        <v>19.58000000000051</v>
      </c>
      <c r="H16" s="10">
        <f>Gas!Q23/TOTAL!G16</f>
        <v>15839.999999999998</v>
      </c>
      <c r="I16" s="9">
        <f>'Fuel Diesel'!F23</f>
        <v>0</v>
      </c>
      <c r="J16" s="11" t="e">
        <f>'Fuel Diesel'!G23/'Fuel Diesel'!F23</f>
        <v>#DIV/0!</v>
      </c>
      <c r="K16" s="9">
        <f>Water!E23+Water!G23+Water!I23</f>
        <v>117</v>
      </c>
      <c r="L16" s="10">
        <f>Water!K23/TOTAL!K16</f>
        <v>4000</v>
      </c>
      <c r="M16" s="9">
        <f>Electricity!C22</f>
        <v>5</v>
      </c>
      <c r="N16" s="9">
        <f>Electricity!D22</f>
        <v>30</v>
      </c>
    </row>
    <row r="17" spans="1:14" x14ac:dyDescent="0.25">
      <c r="A17" s="6" t="s">
        <v>13</v>
      </c>
      <c r="B17" s="7">
        <f t="shared" si="0"/>
        <v>16</v>
      </c>
      <c r="C17" s="8">
        <v>2</v>
      </c>
      <c r="D17" s="7">
        <v>2022</v>
      </c>
      <c r="E17" s="9">
        <f>Electricity!F23+Electricity!I23</f>
        <v>7080.0000000000409</v>
      </c>
      <c r="F17" s="10">
        <f>Electricity!L23/TOTAL!E17</f>
        <v>1225.9266949152573</v>
      </c>
      <c r="G17" s="9">
        <f>Gas!F24+Gas!I24+Gas!L24+Gas!O24</f>
        <v>14.969999999999928</v>
      </c>
      <c r="H17" s="10">
        <f>Gas!Q24/TOTAL!G17</f>
        <v>15839.999999999998</v>
      </c>
      <c r="I17" s="9">
        <f>'Fuel Diesel'!F24</f>
        <v>0</v>
      </c>
      <c r="J17" s="11" t="e">
        <f>'Fuel Diesel'!G24/'Fuel Diesel'!F24</f>
        <v>#DIV/0!</v>
      </c>
      <c r="K17" s="9">
        <f>Water!E24+Water!G24+Water!I24</f>
        <v>114</v>
      </c>
      <c r="L17" s="10">
        <f>Water!K24/TOTAL!K17</f>
        <v>4000</v>
      </c>
      <c r="M17" s="9">
        <f>Electricity!C23</f>
        <v>3</v>
      </c>
      <c r="N17" s="9">
        <f>Electricity!D23</f>
        <v>15</v>
      </c>
    </row>
    <row r="18" spans="1:14" x14ac:dyDescent="0.25">
      <c r="A18" s="6" t="s">
        <v>13</v>
      </c>
      <c r="B18" s="7">
        <f t="shared" si="0"/>
        <v>17</v>
      </c>
      <c r="C18" s="8">
        <v>2</v>
      </c>
      <c r="D18" s="7">
        <v>2022</v>
      </c>
      <c r="E18" s="9">
        <f>Electricity!F24+Electricity!I24</f>
        <v>6319.999999999709</v>
      </c>
      <c r="F18" s="10">
        <f>Electricity!L24/TOTAL!E18</f>
        <v>1229.1647151898776</v>
      </c>
      <c r="G18" s="9">
        <f>Gas!F25+Gas!I25+Gas!L25+Gas!O25</f>
        <v>15.609999999999346</v>
      </c>
      <c r="H18" s="10">
        <f>Gas!Q25/TOTAL!G18</f>
        <v>15839.999999999998</v>
      </c>
      <c r="I18" s="9">
        <f>'Fuel Diesel'!F25</f>
        <v>0</v>
      </c>
      <c r="J18" s="11" t="e">
        <f>'Fuel Diesel'!G25/'Fuel Diesel'!F25</f>
        <v>#DIV/0!</v>
      </c>
      <c r="K18" s="9">
        <f>Water!E25+Water!G25+Water!I25</f>
        <v>108</v>
      </c>
      <c r="L18" s="10">
        <f>Water!K25/TOTAL!K18</f>
        <v>4000</v>
      </c>
      <c r="M18" s="9">
        <f>Electricity!C24</f>
        <v>1</v>
      </c>
      <c r="N18" s="9">
        <f>Electricity!D24</f>
        <v>12</v>
      </c>
    </row>
    <row r="19" spans="1:14" x14ac:dyDescent="0.25">
      <c r="A19" s="6" t="s">
        <v>13</v>
      </c>
      <c r="B19" s="7">
        <f t="shared" si="0"/>
        <v>18</v>
      </c>
      <c r="C19" s="8">
        <v>2</v>
      </c>
      <c r="D19" s="7">
        <v>2022</v>
      </c>
      <c r="E19" s="9">
        <f>Electricity!F25+Electricity!I25</f>
        <v>6240.0000000002365</v>
      </c>
      <c r="F19" s="10">
        <f>Electricity!L25/TOTAL!E19</f>
        <v>1233.9708333333265</v>
      </c>
      <c r="G19" s="9">
        <f>Gas!F26+Gas!I26+Gas!L26+Gas!O26</f>
        <v>16.469999999999928</v>
      </c>
      <c r="H19" s="10">
        <f>Gas!Q26/TOTAL!G19</f>
        <v>15839.999999999998</v>
      </c>
      <c r="I19" s="9">
        <f>'Fuel Diesel'!F26</f>
        <v>0</v>
      </c>
      <c r="J19" s="11" t="e">
        <f>'Fuel Diesel'!G26/'Fuel Diesel'!F26</f>
        <v>#DIV/0!</v>
      </c>
      <c r="K19" s="9">
        <f>Water!E26+Water!G26+Water!I26</f>
        <v>102</v>
      </c>
      <c r="L19" s="10">
        <f>Water!K26/TOTAL!K19</f>
        <v>4000</v>
      </c>
      <c r="M19" s="9">
        <f>Electricity!C25</f>
        <v>2</v>
      </c>
      <c r="N19" s="9">
        <f>Electricity!D25</f>
        <v>8</v>
      </c>
    </row>
    <row r="20" spans="1:14" x14ac:dyDescent="0.25">
      <c r="A20" s="6" t="s">
        <v>13</v>
      </c>
      <c r="B20" s="7">
        <f t="shared" si="0"/>
        <v>19</v>
      </c>
      <c r="C20" s="8">
        <v>2</v>
      </c>
      <c r="D20" s="7">
        <v>2022</v>
      </c>
      <c r="E20" s="9">
        <f>Electricity!F26+Electricity!I26</f>
        <v>6359.9999999997863</v>
      </c>
      <c r="F20" s="10">
        <f>Electricity!L26/TOTAL!E20</f>
        <v>1237.5527515723325</v>
      </c>
      <c r="G20" s="9">
        <f>Gas!F27+Gas!I27+Gas!L27+Gas!O27</f>
        <v>16.699999999999491</v>
      </c>
      <c r="H20" s="10">
        <f>Gas!Q27/TOTAL!G20</f>
        <v>15839.999999999998</v>
      </c>
      <c r="I20" s="9">
        <f>'Fuel Diesel'!F27</f>
        <v>0</v>
      </c>
      <c r="J20" s="11" t="e">
        <f>'Fuel Diesel'!G27/'Fuel Diesel'!F27</f>
        <v>#DIV/0!</v>
      </c>
      <c r="K20" s="9">
        <f>Water!E27+Water!G27+Water!I27</f>
        <v>89</v>
      </c>
      <c r="L20" s="10">
        <f>Water!K27/TOTAL!K20</f>
        <v>4000</v>
      </c>
      <c r="M20" s="9">
        <f>Electricity!C26</f>
        <v>3</v>
      </c>
      <c r="N20" s="9">
        <f>Electricity!D26</f>
        <v>18</v>
      </c>
    </row>
    <row r="21" spans="1:14" x14ac:dyDescent="0.25">
      <c r="A21" s="6" t="s">
        <v>13</v>
      </c>
      <c r="B21" s="7">
        <f t="shared" si="0"/>
        <v>20</v>
      </c>
      <c r="C21" s="8">
        <v>2</v>
      </c>
      <c r="D21" s="7">
        <v>2022</v>
      </c>
      <c r="E21" s="9">
        <f>Electricity!F27+Electricity!I27</f>
        <v>6580.0000000000409</v>
      </c>
      <c r="F21" s="10">
        <f>Electricity!L27/TOTAL!E21</f>
        <v>1234.2593465045609</v>
      </c>
      <c r="G21" s="9">
        <f>Gas!F28+Gas!I28+Gas!L28+Gas!O28</f>
        <v>16.930000000000874</v>
      </c>
      <c r="H21" s="10">
        <f>Gas!Q28/TOTAL!G21</f>
        <v>15839.999999999998</v>
      </c>
      <c r="I21" s="9">
        <f>'Fuel Diesel'!F28</f>
        <v>0</v>
      </c>
      <c r="J21" s="11" t="e">
        <f>'Fuel Diesel'!G28/'Fuel Diesel'!F28</f>
        <v>#DIV/0!</v>
      </c>
      <c r="K21" s="9">
        <f>Water!E28+Water!G28+Water!I28</f>
        <v>125</v>
      </c>
      <c r="L21" s="10">
        <f>Water!K28/TOTAL!K21</f>
        <v>4000</v>
      </c>
      <c r="M21" s="9">
        <f>Electricity!C27</f>
        <v>3</v>
      </c>
      <c r="N21" s="9">
        <f>Electricity!D27</f>
        <v>21</v>
      </c>
    </row>
    <row r="22" spans="1:14" x14ac:dyDescent="0.25">
      <c r="A22" s="6" t="s">
        <v>13</v>
      </c>
      <c r="B22" s="7">
        <f t="shared" si="0"/>
        <v>21</v>
      </c>
      <c r="C22" s="8">
        <v>2</v>
      </c>
      <c r="D22" s="7">
        <v>2022</v>
      </c>
      <c r="E22" s="9">
        <f>Electricity!F28+Electricity!I28</f>
        <v>5600.0000000002501</v>
      </c>
      <c r="F22" s="10">
        <f>Electricity!L28/TOTAL!E22</f>
        <v>1228.5467857142814</v>
      </c>
      <c r="G22" s="9">
        <f>Gas!F29+Gas!I29+Gas!L29+Gas!O29</f>
        <v>15.009999999998982</v>
      </c>
      <c r="H22" s="10">
        <f>Gas!Q29/TOTAL!G22</f>
        <v>15839.999999999998</v>
      </c>
      <c r="I22" s="9">
        <f>'Fuel Diesel'!F29</f>
        <v>0</v>
      </c>
      <c r="J22" s="11" t="e">
        <f>'Fuel Diesel'!G29/'Fuel Diesel'!F29</f>
        <v>#DIV/0!</v>
      </c>
      <c r="K22" s="9">
        <f>Water!E29+Water!G29+Water!I29</f>
        <v>100</v>
      </c>
      <c r="L22" s="10">
        <f>Water!K29/TOTAL!K22</f>
        <v>4000</v>
      </c>
      <c r="M22" s="9">
        <f>Electricity!C28</f>
        <v>0</v>
      </c>
      <c r="N22" s="9">
        <f>Electricity!D28</f>
        <v>6</v>
      </c>
    </row>
    <row r="23" spans="1:14" x14ac:dyDescent="0.25">
      <c r="A23" s="6" t="s">
        <v>13</v>
      </c>
      <c r="B23" s="7">
        <f t="shared" si="0"/>
        <v>22</v>
      </c>
      <c r="C23" s="8">
        <v>2</v>
      </c>
      <c r="D23" s="7">
        <v>2022</v>
      </c>
      <c r="E23" s="9">
        <f>Electricity!F29+Electricity!I29</f>
        <v>5699.9999999997044</v>
      </c>
      <c r="F23" s="10">
        <f>Electricity!L29/TOTAL!E23</f>
        <v>1232.9716666666657</v>
      </c>
      <c r="G23" s="9">
        <f>Gas!F30+Gas!I30+Gas!L30+Gas!O30</f>
        <v>12.420000000000655</v>
      </c>
      <c r="H23" s="10">
        <f>Gas!Q30/TOTAL!G23</f>
        <v>15839.999999999998</v>
      </c>
      <c r="I23" s="9">
        <f>'Fuel Diesel'!F30</f>
        <v>0</v>
      </c>
      <c r="J23" s="11" t="e">
        <f>'Fuel Diesel'!G30/'Fuel Diesel'!F30</f>
        <v>#DIV/0!</v>
      </c>
      <c r="K23" s="9">
        <f>Water!E30+Water!G30+Water!I30</f>
        <v>101</v>
      </c>
      <c r="L23" s="10">
        <f>Water!K30/TOTAL!K23</f>
        <v>4000</v>
      </c>
      <c r="M23" s="9">
        <f>Electricity!C29</f>
        <v>0</v>
      </c>
      <c r="N23" s="9">
        <f>Electricity!D29</f>
        <v>0</v>
      </c>
    </row>
    <row r="24" spans="1:14" x14ac:dyDescent="0.25">
      <c r="A24" s="6" t="s">
        <v>13</v>
      </c>
      <c r="B24" s="7">
        <f t="shared" si="0"/>
        <v>23</v>
      </c>
      <c r="C24" s="8">
        <v>2</v>
      </c>
      <c r="D24" s="7">
        <v>2022</v>
      </c>
      <c r="E24" s="9">
        <f>Electricity!F30+Electricity!I30</f>
        <v>5880.0000000001091</v>
      </c>
      <c r="F24" s="10">
        <f>Electricity!L30/TOTAL!E24</f>
        <v>1235.9079931972772</v>
      </c>
      <c r="G24" s="9">
        <f>Gas!F31+Gas!I31+Gas!L31+Gas!O31</f>
        <v>16.090000000000728</v>
      </c>
      <c r="H24" s="10">
        <f>Gas!Q31/TOTAL!G24</f>
        <v>15839.999999999998</v>
      </c>
      <c r="I24" s="9">
        <f>'Fuel Diesel'!F31</f>
        <v>0</v>
      </c>
      <c r="J24" s="11" t="e">
        <f>'Fuel Diesel'!G31/'Fuel Diesel'!F31</f>
        <v>#DIV/0!</v>
      </c>
      <c r="K24" s="9">
        <f>Water!E31+Water!G31+Water!I31</f>
        <v>116</v>
      </c>
      <c r="L24" s="10">
        <f>Water!K31/TOTAL!K24</f>
        <v>4000</v>
      </c>
      <c r="M24" s="9">
        <f>Electricity!C30</f>
        <v>1</v>
      </c>
      <c r="N24" s="9">
        <f>Electricity!D30</f>
        <v>6</v>
      </c>
    </row>
    <row r="25" spans="1:14" x14ac:dyDescent="0.25">
      <c r="A25" s="6" t="s">
        <v>13</v>
      </c>
      <c r="B25" s="7">
        <f t="shared" si="0"/>
        <v>24</v>
      </c>
      <c r="C25" s="8">
        <v>2</v>
      </c>
      <c r="D25" s="7">
        <v>2022</v>
      </c>
      <c r="E25" s="9">
        <f>Electricity!F31+Electricity!I31</f>
        <v>6600.0000000001364</v>
      </c>
      <c r="F25" s="10">
        <f>Electricity!L31/TOTAL!E25</f>
        <v>1239.1483333333385</v>
      </c>
      <c r="G25" s="9">
        <f>Gas!F32+Gas!I32+Gas!L32+Gas!O32</f>
        <v>17.579999999998691</v>
      </c>
      <c r="H25" s="10">
        <f>Gas!Q32/TOTAL!G25</f>
        <v>15839.999999999998</v>
      </c>
      <c r="I25" s="9">
        <f>'Fuel Diesel'!F32</f>
        <v>0</v>
      </c>
      <c r="J25" s="11" t="e">
        <f>'Fuel Diesel'!G32/'Fuel Diesel'!F32</f>
        <v>#DIV/0!</v>
      </c>
      <c r="K25" s="9">
        <f>Water!E32+Water!G32+Water!I32</f>
        <v>134</v>
      </c>
      <c r="L25" s="10">
        <f>Water!K32/TOTAL!K25</f>
        <v>4000</v>
      </c>
      <c r="M25" s="9">
        <f>Electricity!C31</f>
        <v>5</v>
      </c>
      <c r="N25" s="9">
        <f>Electricity!D31</f>
        <v>13</v>
      </c>
    </row>
    <row r="26" spans="1:14" x14ac:dyDescent="0.25">
      <c r="A26" s="6" t="s">
        <v>13</v>
      </c>
      <c r="B26" s="7">
        <f>B25+1</f>
        <v>25</v>
      </c>
      <c r="C26" s="8">
        <v>2</v>
      </c>
      <c r="D26" s="7">
        <v>2022</v>
      </c>
      <c r="E26" s="9">
        <f>Electricity!F32+Electricity!I32</f>
        <v>6440.0000000000546</v>
      </c>
      <c r="F26" s="10">
        <f>Electricity!L32/TOTAL!E26</f>
        <v>1232.7916925465784</v>
      </c>
      <c r="G26" s="9">
        <f>Gas!F33+Gas!I33+Gas!L33+Gas!O33</f>
        <v>16.629999999999782</v>
      </c>
      <c r="H26" s="10">
        <f>Gas!Q33/TOTAL!G26</f>
        <v>15839.999999999998</v>
      </c>
      <c r="I26" s="9">
        <f>'Fuel Diesel'!F33</f>
        <v>0</v>
      </c>
      <c r="J26" s="11" t="e">
        <f>'Fuel Diesel'!G33/'Fuel Diesel'!F33</f>
        <v>#DIV/0!</v>
      </c>
      <c r="K26" s="9">
        <f>Water!E33+Water!G33+Water!I33</f>
        <v>191</v>
      </c>
      <c r="L26" s="10">
        <f>Water!K33/TOTAL!K26</f>
        <v>4000</v>
      </c>
      <c r="M26" s="9">
        <f>Electricity!C32</f>
        <v>9</v>
      </c>
      <c r="N26" s="9">
        <f>Electricity!D32</f>
        <v>20</v>
      </c>
    </row>
    <row r="27" spans="1:14" x14ac:dyDescent="0.25">
      <c r="A27" s="6" t="s">
        <v>13</v>
      </c>
      <c r="B27" s="7">
        <f t="shared" si="0"/>
        <v>26</v>
      </c>
      <c r="C27" s="8">
        <v>2</v>
      </c>
      <c r="D27" s="7">
        <v>2022</v>
      </c>
      <c r="E27" s="9">
        <f>Electricity!F33+Electricity!I33</f>
        <v>6759.9999999998772</v>
      </c>
      <c r="F27" s="10">
        <f>Electricity!L33/TOTAL!E27</f>
        <v>1235.0941568047344</v>
      </c>
      <c r="G27" s="9">
        <f>Gas!F34+Gas!I34+Gas!L34+Gas!O34</f>
        <v>16.030000000001237</v>
      </c>
      <c r="H27" s="10">
        <f>Gas!Q34/TOTAL!G27</f>
        <v>15839.999999999998</v>
      </c>
      <c r="I27" s="9">
        <f>'Fuel Diesel'!F34</f>
        <v>0</v>
      </c>
      <c r="J27" s="11" t="e">
        <f>'Fuel Diesel'!G34/'Fuel Diesel'!F34</f>
        <v>#DIV/0!</v>
      </c>
      <c r="K27" s="9">
        <f>Water!E34+Water!G34+Water!I34</f>
        <v>144</v>
      </c>
      <c r="L27" s="10">
        <f>Water!K34/TOTAL!K27</f>
        <v>4000</v>
      </c>
      <c r="M27" s="9">
        <f>Electricity!C33</f>
        <v>7</v>
      </c>
      <c r="N27" s="9">
        <f>Electricity!D33</f>
        <v>50</v>
      </c>
    </row>
    <row r="28" spans="1:14" x14ac:dyDescent="0.25">
      <c r="A28" s="6" t="s">
        <v>13</v>
      </c>
      <c r="B28" s="7">
        <f t="shared" si="0"/>
        <v>27</v>
      </c>
      <c r="C28" s="8">
        <v>2</v>
      </c>
      <c r="D28" s="7">
        <v>2022</v>
      </c>
      <c r="E28" s="9">
        <f>Electricity!F34+Electricity!I34</f>
        <v>6860</v>
      </c>
      <c r="F28" s="10">
        <f>Electricity!L34/TOTAL!E28</f>
        <v>1235.3545189504373</v>
      </c>
      <c r="G28" s="9">
        <f>Gas!F35+Gas!I35+Gas!L35+Gas!O35</f>
        <v>18.29</v>
      </c>
      <c r="H28" s="10">
        <f>Gas!Q35/TOTAL!G28</f>
        <v>15840</v>
      </c>
      <c r="I28" s="9">
        <f>'Fuel Diesel'!F35</f>
        <v>0</v>
      </c>
      <c r="J28" s="11" t="e">
        <f>'Fuel Diesel'!G35/'Fuel Diesel'!F35</f>
        <v>#DIV/0!</v>
      </c>
      <c r="K28" s="9">
        <f>Water!E35+Water!G35+Water!I35</f>
        <v>128</v>
      </c>
      <c r="L28" s="10">
        <f>Water!K35/TOTAL!K28</f>
        <v>4000</v>
      </c>
      <c r="M28" s="9">
        <f>Electricity!C34</f>
        <v>7</v>
      </c>
      <c r="N28" s="9">
        <f>Electricity!D34</f>
        <v>33</v>
      </c>
    </row>
    <row r="29" spans="1:14" x14ac:dyDescent="0.25">
      <c r="A29" s="6" t="s">
        <v>13</v>
      </c>
      <c r="B29" s="7">
        <f t="shared" si="0"/>
        <v>28</v>
      </c>
      <c r="C29" s="8">
        <v>2</v>
      </c>
      <c r="D29" s="7">
        <v>2022</v>
      </c>
      <c r="E29" s="9">
        <f>Electricity!F35+Electricity!I35</f>
        <v>6960</v>
      </c>
      <c r="F29" s="10">
        <f>Electricity!L35/TOTAL!E29</f>
        <v>1235.6073994252874</v>
      </c>
      <c r="G29" s="9">
        <f>Gas!F36+Gas!I36+Gas!L36+Gas!O36</f>
        <v>18.440000000000001</v>
      </c>
      <c r="H29" s="10">
        <f>Gas!Q36/TOTAL!G29</f>
        <v>15839.999999999998</v>
      </c>
      <c r="I29" s="9">
        <f>'Fuel Diesel'!F36</f>
        <v>0</v>
      </c>
      <c r="J29" s="11" t="e">
        <f>'Fuel Diesel'!G36/'Fuel Diesel'!F36</f>
        <v>#DIV/0!</v>
      </c>
      <c r="K29" s="9">
        <f>Water!E36+Water!G36+Water!I36</f>
        <v>127</v>
      </c>
      <c r="L29" s="10">
        <f>Water!K36/TOTAL!K29</f>
        <v>4000</v>
      </c>
      <c r="M29" s="9">
        <f>Electricity!C35</f>
        <v>6</v>
      </c>
      <c r="N29" s="9">
        <f>Electricity!D35</f>
        <v>27</v>
      </c>
    </row>
    <row r="30" spans="1:14" x14ac:dyDescent="0.25">
      <c r="E30" s="85">
        <f>SUM(E2:E29)</f>
        <v>186860.00000000026</v>
      </c>
      <c r="F30" s="85">
        <f>SUM(F2:F29)/31</f>
        <v>1114.4235043835733</v>
      </c>
      <c r="G30" s="85">
        <f>SUM(G2:G29)</f>
        <v>468.97000000000014</v>
      </c>
      <c r="H30" s="95">
        <f>SUM(H2:H29)/31</f>
        <v>14307.096774193547</v>
      </c>
      <c r="I30" s="85">
        <f>SUM(I2:I29)</f>
        <v>49</v>
      </c>
      <c r="J30" s="95" t="e">
        <f>J26</f>
        <v>#DIV/0!</v>
      </c>
      <c r="K30" s="85">
        <f>SUM(K2:K29)</f>
        <v>3421</v>
      </c>
      <c r="L30" s="95">
        <f>SUM(L2:L29)/31</f>
        <v>3612.9032258064517</v>
      </c>
      <c r="M30" s="85">
        <f>SUM(M2:M29)</f>
        <v>95</v>
      </c>
      <c r="N30" s="85">
        <f>SUM(N2:N29)</f>
        <v>548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9"/>
  <sheetViews>
    <sheetView topLeftCell="B1" workbookViewId="0">
      <selection activeCell="Q12" sqref="Q12"/>
    </sheetView>
  </sheetViews>
  <sheetFormatPr defaultRowHeight="15" x14ac:dyDescent="0.25"/>
  <cols>
    <col min="1" max="1" width="2.5703125" style="12" customWidth="1"/>
    <col min="2" max="2" width="5.85546875" customWidth="1"/>
    <col min="3" max="3" width="6.5703125" customWidth="1"/>
    <col min="4" max="4" width="7.5703125" style="21" customWidth="1"/>
    <col min="5" max="5" width="9.42578125" style="33" customWidth="1"/>
    <col min="6" max="6" width="11.28515625" style="33" customWidth="1"/>
    <col min="7" max="7" width="16.5703125" style="33" customWidth="1"/>
    <col min="8" max="8" width="10.28515625" style="33" customWidth="1"/>
    <col min="9" max="9" width="11.140625" style="33" customWidth="1"/>
    <col min="10" max="10" width="16.7109375" style="33" customWidth="1"/>
    <col min="11" max="11" width="16.28515625" style="33" customWidth="1"/>
    <col min="12" max="12" width="18" customWidth="1"/>
    <col min="13" max="13" width="16.7109375" customWidth="1"/>
    <col min="14" max="14" width="2.5703125" style="12" customWidth="1"/>
    <col min="16" max="16" width="16.7109375" customWidth="1"/>
  </cols>
  <sheetData>
    <row r="1" spans="1:14" ht="15.75" x14ac:dyDescent="0.25">
      <c r="B1" s="97" t="s">
        <v>14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13"/>
      <c r="N1" s="14"/>
    </row>
    <row r="2" spans="1:14" ht="15.75" x14ac:dyDescent="0.25">
      <c r="B2" s="97" t="s">
        <v>15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13"/>
      <c r="N2" s="14"/>
    </row>
    <row r="3" spans="1:14" x14ac:dyDescent="0.25">
      <c r="B3" s="15"/>
      <c r="C3" s="16"/>
      <c r="D3" s="17"/>
      <c r="E3" s="16"/>
      <c r="F3" s="16"/>
      <c r="G3" s="16"/>
      <c r="H3" s="16"/>
      <c r="I3" s="16"/>
      <c r="J3" s="16"/>
      <c r="K3" s="16"/>
      <c r="L3" s="16"/>
      <c r="M3" s="13"/>
      <c r="N3" s="14"/>
    </row>
    <row r="4" spans="1:14" x14ac:dyDescent="0.25">
      <c r="A4" s="18"/>
      <c r="B4" s="98">
        <v>44593</v>
      </c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18"/>
    </row>
    <row r="5" spans="1:14" x14ac:dyDescent="0.25">
      <c r="A5" s="19"/>
      <c r="B5" s="96" t="s">
        <v>16</v>
      </c>
      <c r="C5" s="96" t="s">
        <v>17</v>
      </c>
      <c r="D5" s="96" t="s">
        <v>12</v>
      </c>
      <c r="E5" s="99" t="s">
        <v>18</v>
      </c>
      <c r="F5" s="99"/>
      <c r="G5" s="99"/>
      <c r="H5" s="100" t="s">
        <v>19</v>
      </c>
      <c r="I5" s="100"/>
      <c r="J5" s="100"/>
      <c r="K5" s="96" t="s">
        <v>20</v>
      </c>
      <c r="L5" s="96" t="s">
        <v>21</v>
      </c>
      <c r="M5" s="96" t="s">
        <v>22</v>
      </c>
      <c r="N5" s="20"/>
    </row>
    <row r="6" spans="1:14" s="21" customFormat="1" x14ac:dyDescent="0.25">
      <c r="A6" s="19"/>
      <c r="B6" s="96"/>
      <c r="C6" s="96"/>
      <c r="D6" s="96"/>
      <c r="E6" s="96" t="s">
        <v>23</v>
      </c>
      <c r="F6" s="96" t="s">
        <v>24</v>
      </c>
      <c r="G6" s="96" t="s">
        <v>25</v>
      </c>
      <c r="H6" s="96" t="s">
        <v>23</v>
      </c>
      <c r="I6" s="96" t="s">
        <v>24</v>
      </c>
      <c r="J6" s="96" t="s">
        <v>26</v>
      </c>
      <c r="K6" s="96"/>
      <c r="L6" s="96"/>
      <c r="M6" s="96"/>
      <c r="N6" s="20"/>
    </row>
    <row r="7" spans="1:14" x14ac:dyDescent="0.25">
      <c r="A7" s="22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23"/>
    </row>
    <row r="8" spans="1:14" x14ac:dyDescent="0.25">
      <c r="A8" s="22"/>
      <c r="B8" s="24">
        <v>1</v>
      </c>
      <c r="C8" s="25">
        <v>5</v>
      </c>
      <c r="D8" s="25">
        <v>61</v>
      </c>
      <c r="E8" s="26">
        <v>3.1300000000001091</v>
      </c>
      <c r="F8" s="27">
        <f t="shared" ref="F8:F35" si="0">E8*2000</f>
        <v>6260.0000000002183</v>
      </c>
      <c r="G8" s="28">
        <f t="shared" ref="G8:G35" si="1">F8*1035.5</f>
        <v>6482230.0000002263</v>
      </c>
      <c r="H8" s="26">
        <v>0.60000000000002274</v>
      </c>
      <c r="I8" s="27">
        <f t="shared" ref="I8:I35" si="2">H8*2000</f>
        <v>1200.0000000000455</v>
      </c>
      <c r="J8" s="28">
        <f t="shared" ref="J8:J35" si="3">I8*1553.25</f>
        <v>1863900.0000000705</v>
      </c>
      <c r="K8" s="26">
        <f t="shared" ref="K8:K35" si="4">G8+J8</f>
        <v>8346130.0000002971</v>
      </c>
      <c r="L8" s="29">
        <f t="shared" ref="L8:L35" si="5">K8*1.1</f>
        <v>9180743.0000003278</v>
      </c>
      <c r="M8" s="30">
        <f>L8/14381</f>
        <v>638.39392253670314</v>
      </c>
      <c r="N8" s="31"/>
    </row>
    <row r="9" spans="1:14" x14ac:dyDescent="0.25">
      <c r="A9" s="22"/>
      <c r="B9" s="24">
        <v>2</v>
      </c>
      <c r="C9" s="25">
        <v>3</v>
      </c>
      <c r="D9" s="25">
        <v>28</v>
      </c>
      <c r="E9" s="26">
        <v>3.2899999999999636</v>
      </c>
      <c r="F9" s="27">
        <f t="shared" si="0"/>
        <v>6579.9999999999272</v>
      </c>
      <c r="G9" s="28">
        <f t="shared" si="1"/>
        <v>6813589.9999999246</v>
      </c>
      <c r="H9" s="26">
        <v>0.58999999999997499</v>
      </c>
      <c r="I9" s="27">
        <f t="shared" si="2"/>
        <v>1179.99999999995</v>
      </c>
      <c r="J9" s="28">
        <f t="shared" si="3"/>
        <v>1832834.9999999222</v>
      </c>
      <c r="K9" s="26">
        <f t="shared" si="4"/>
        <v>8646424.9999998473</v>
      </c>
      <c r="L9" s="29">
        <f t="shared" si="5"/>
        <v>9511067.4999998324</v>
      </c>
      <c r="M9" s="30">
        <f t="shared" ref="M9:M35" si="6">L9/14381</f>
        <v>661.36343091577999</v>
      </c>
      <c r="N9" s="31"/>
    </row>
    <row r="10" spans="1:14" x14ac:dyDescent="0.25">
      <c r="A10" s="22"/>
      <c r="B10" s="24">
        <v>3</v>
      </c>
      <c r="C10" s="25">
        <v>4</v>
      </c>
      <c r="D10" s="25">
        <v>27</v>
      </c>
      <c r="E10" s="26">
        <v>2.7300000000000182</v>
      </c>
      <c r="F10" s="27">
        <f t="shared" si="0"/>
        <v>5460.0000000000364</v>
      </c>
      <c r="G10" s="28">
        <f t="shared" si="1"/>
        <v>5653830.0000000373</v>
      </c>
      <c r="H10" s="26">
        <v>0.61000000000001364</v>
      </c>
      <c r="I10" s="27">
        <f t="shared" si="2"/>
        <v>1220.0000000000273</v>
      </c>
      <c r="J10" s="28">
        <f t="shared" si="3"/>
        <v>1894965.0000000424</v>
      </c>
      <c r="K10" s="26">
        <f t="shared" si="4"/>
        <v>7548795.0000000801</v>
      </c>
      <c r="L10" s="29">
        <f t="shared" si="5"/>
        <v>8303674.5000000885</v>
      </c>
      <c r="M10" s="30">
        <f t="shared" si="6"/>
        <v>577.4059175300805</v>
      </c>
      <c r="N10" s="31"/>
    </row>
    <row r="11" spans="1:14" x14ac:dyDescent="0.25">
      <c r="A11" s="22"/>
      <c r="B11" s="24">
        <v>4</v>
      </c>
      <c r="C11" s="25">
        <v>4</v>
      </c>
      <c r="D11" s="25">
        <v>12</v>
      </c>
      <c r="E11" s="26">
        <v>3.0099999999999909</v>
      </c>
      <c r="F11" s="27">
        <f t="shared" si="0"/>
        <v>6019.9999999999818</v>
      </c>
      <c r="G11" s="28">
        <f t="shared" si="1"/>
        <v>6233709.9999999814</v>
      </c>
      <c r="H11" s="26">
        <v>0.62000000000000455</v>
      </c>
      <c r="I11" s="27">
        <f t="shared" si="2"/>
        <v>1240.0000000000091</v>
      </c>
      <c r="J11" s="28">
        <f t="shared" si="3"/>
        <v>1926030.0000000142</v>
      </c>
      <c r="K11" s="26">
        <f t="shared" si="4"/>
        <v>8159739.9999999953</v>
      </c>
      <c r="L11" s="29">
        <f t="shared" si="5"/>
        <v>8975713.9999999963</v>
      </c>
      <c r="M11" s="30">
        <f t="shared" si="6"/>
        <v>624.13698630136957</v>
      </c>
      <c r="N11" s="31"/>
    </row>
    <row r="12" spans="1:14" x14ac:dyDescent="0.25">
      <c r="A12" s="22"/>
      <c r="B12" s="24">
        <v>5</v>
      </c>
      <c r="C12" s="25">
        <v>3</v>
      </c>
      <c r="D12" s="25">
        <v>14</v>
      </c>
      <c r="E12" s="26">
        <v>3.0599999999999454</v>
      </c>
      <c r="F12" s="27">
        <f t="shared" si="0"/>
        <v>6119.9999999998909</v>
      </c>
      <c r="G12" s="28">
        <f t="shared" si="1"/>
        <v>6337259.9999998873</v>
      </c>
      <c r="H12" s="26">
        <v>0.60000000000002274</v>
      </c>
      <c r="I12" s="27">
        <f t="shared" si="2"/>
        <v>1200.0000000000455</v>
      </c>
      <c r="J12" s="28">
        <f t="shared" si="3"/>
        <v>1863900.0000000705</v>
      </c>
      <c r="K12" s="26">
        <f t="shared" si="4"/>
        <v>8201159.9999999581</v>
      </c>
      <c r="L12" s="29">
        <f t="shared" si="5"/>
        <v>9021275.9999999553</v>
      </c>
      <c r="M12" s="30">
        <f t="shared" si="6"/>
        <v>627.30519435365795</v>
      </c>
      <c r="N12" s="31"/>
    </row>
    <row r="13" spans="1:14" x14ac:dyDescent="0.25">
      <c r="A13" s="22"/>
      <c r="B13" s="24">
        <v>6</v>
      </c>
      <c r="C13" s="25">
        <v>2</v>
      </c>
      <c r="D13" s="25">
        <v>14</v>
      </c>
      <c r="E13" s="26">
        <v>2.8900000000001</v>
      </c>
      <c r="F13" s="27">
        <f t="shared" si="0"/>
        <v>5780.0000000002001</v>
      </c>
      <c r="G13" s="28">
        <f t="shared" si="1"/>
        <v>5985190.0000002068</v>
      </c>
      <c r="H13" s="26">
        <v>0.57999999999998408</v>
      </c>
      <c r="I13" s="27">
        <f t="shared" si="2"/>
        <v>1159.9999999999682</v>
      </c>
      <c r="J13" s="28">
        <f t="shared" si="3"/>
        <v>1801769.9999999506</v>
      </c>
      <c r="K13" s="26">
        <f t="shared" si="4"/>
        <v>7786960.0000001574</v>
      </c>
      <c r="L13" s="29">
        <f t="shared" si="5"/>
        <v>8565656.0000001732</v>
      </c>
      <c r="M13" s="30">
        <f t="shared" si="6"/>
        <v>595.62311383076099</v>
      </c>
      <c r="N13" s="31"/>
    </row>
    <row r="14" spans="1:14" x14ac:dyDescent="0.25">
      <c r="A14" s="22"/>
      <c r="B14" s="24">
        <v>7</v>
      </c>
      <c r="C14" s="25">
        <v>2</v>
      </c>
      <c r="D14" s="25">
        <v>4</v>
      </c>
      <c r="E14" s="26">
        <v>2.8999999999998636</v>
      </c>
      <c r="F14" s="27">
        <f t="shared" si="0"/>
        <v>5799.9999999997272</v>
      </c>
      <c r="G14" s="28">
        <f t="shared" si="1"/>
        <v>6005899.9999997178</v>
      </c>
      <c r="H14" s="26">
        <v>0.53999999999996362</v>
      </c>
      <c r="I14" s="27">
        <f t="shared" si="2"/>
        <v>1079.9999999999272</v>
      </c>
      <c r="J14" s="28">
        <f t="shared" si="3"/>
        <v>1677509.9999998871</v>
      </c>
      <c r="K14" s="26">
        <f t="shared" si="4"/>
        <v>7683409.9999996051</v>
      </c>
      <c r="L14" s="29">
        <f t="shared" si="5"/>
        <v>8451750.999999566</v>
      </c>
      <c r="M14" s="30">
        <f t="shared" si="6"/>
        <v>587.70259369999064</v>
      </c>
      <c r="N14" s="31"/>
    </row>
    <row r="15" spans="1:14" x14ac:dyDescent="0.25">
      <c r="A15" s="22"/>
      <c r="B15" s="24">
        <v>8</v>
      </c>
      <c r="C15" s="25">
        <v>0</v>
      </c>
      <c r="D15" s="25">
        <v>4</v>
      </c>
      <c r="E15" s="26">
        <v>2.8300000000001546</v>
      </c>
      <c r="F15" s="27">
        <f t="shared" si="0"/>
        <v>5660.0000000003092</v>
      </c>
      <c r="G15" s="28">
        <f t="shared" si="1"/>
        <v>5860930.0000003204</v>
      </c>
      <c r="H15" s="26">
        <v>0.56000000000000227</v>
      </c>
      <c r="I15" s="27">
        <f t="shared" si="2"/>
        <v>1120.0000000000045</v>
      </c>
      <c r="J15" s="28">
        <f t="shared" si="3"/>
        <v>1739640.000000007</v>
      </c>
      <c r="K15" s="26">
        <f t="shared" si="4"/>
        <v>7600570.0000003278</v>
      </c>
      <c r="L15" s="29">
        <f t="shared" si="5"/>
        <v>8360627.0000003614</v>
      </c>
      <c r="M15" s="30">
        <f t="shared" si="6"/>
        <v>581.36617759546357</v>
      </c>
      <c r="N15" s="31"/>
    </row>
    <row r="16" spans="1:14" x14ac:dyDescent="0.25">
      <c r="A16" s="22"/>
      <c r="B16" s="24">
        <v>9</v>
      </c>
      <c r="C16" s="25">
        <v>1</v>
      </c>
      <c r="D16" s="25">
        <v>6</v>
      </c>
      <c r="E16" s="26">
        <v>2.7400000000000091</v>
      </c>
      <c r="F16" s="27">
        <f t="shared" si="0"/>
        <v>5480.0000000000182</v>
      </c>
      <c r="G16" s="28">
        <f t="shared" si="1"/>
        <v>5674540.0000000186</v>
      </c>
      <c r="H16" s="26">
        <v>0.55000000000001137</v>
      </c>
      <c r="I16" s="27">
        <f t="shared" si="2"/>
        <v>1100.0000000000227</v>
      </c>
      <c r="J16" s="28">
        <f t="shared" si="3"/>
        <v>1708575.0000000354</v>
      </c>
      <c r="K16" s="26">
        <f t="shared" si="4"/>
        <v>7383115.000000054</v>
      </c>
      <c r="L16" s="29">
        <f t="shared" si="5"/>
        <v>8121426.5000000605</v>
      </c>
      <c r="M16" s="30">
        <f t="shared" si="6"/>
        <v>564.73308532091369</v>
      </c>
      <c r="N16" s="31"/>
    </row>
    <row r="17" spans="1:14" x14ac:dyDescent="0.25">
      <c r="A17" s="22"/>
      <c r="B17" s="24">
        <v>10</v>
      </c>
      <c r="C17" s="25">
        <v>5</v>
      </c>
      <c r="D17" s="25">
        <v>11</v>
      </c>
      <c r="E17" s="26">
        <v>2.7400000000000091</v>
      </c>
      <c r="F17" s="27">
        <f t="shared" si="0"/>
        <v>5480.0000000000182</v>
      </c>
      <c r="G17" s="28">
        <f t="shared" si="1"/>
        <v>5674540.0000000186</v>
      </c>
      <c r="H17" s="26">
        <v>0.56000000000000227</v>
      </c>
      <c r="I17" s="27">
        <f t="shared" si="2"/>
        <v>1120.0000000000045</v>
      </c>
      <c r="J17" s="28">
        <f t="shared" si="3"/>
        <v>1739640.000000007</v>
      </c>
      <c r="K17" s="26">
        <f t="shared" si="4"/>
        <v>7414180.0000000261</v>
      </c>
      <c r="L17" s="29">
        <f t="shared" si="5"/>
        <v>8155598.0000000298</v>
      </c>
      <c r="M17" s="30">
        <f t="shared" si="6"/>
        <v>567.10924136013</v>
      </c>
      <c r="N17" s="31"/>
    </row>
    <row r="18" spans="1:14" x14ac:dyDescent="0.25">
      <c r="A18" s="22"/>
      <c r="B18" s="24">
        <v>11</v>
      </c>
      <c r="C18" s="25">
        <v>1</v>
      </c>
      <c r="D18" s="25">
        <v>15</v>
      </c>
      <c r="E18" s="26">
        <v>2.7199999999997999</v>
      </c>
      <c r="F18" s="27">
        <f t="shared" si="0"/>
        <v>5439.9999999995998</v>
      </c>
      <c r="G18" s="28">
        <f t="shared" si="1"/>
        <v>5633119.9999995856</v>
      </c>
      <c r="H18" s="26">
        <v>0.53000000000002956</v>
      </c>
      <c r="I18" s="27">
        <f t="shared" si="2"/>
        <v>1060.0000000000591</v>
      </c>
      <c r="J18" s="28">
        <f t="shared" si="3"/>
        <v>1646445.0000000917</v>
      </c>
      <c r="K18" s="26">
        <f t="shared" si="4"/>
        <v>7279564.9999996778</v>
      </c>
      <c r="L18" s="29">
        <f t="shared" si="5"/>
        <v>8007521.4999996461</v>
      </c>
      <c r="M18" s="30">
        <f t="shared" si="6"/>
        <v>556.81256519015687</v>
      </c>
      <c r="N18" s="31"/>
    </row>
    <row r="19" spans="1:14" x14ac:dyDescent="0.25">
      <c r="A19" s="22"/>
      <c r="B19" s="24">
        <v>12</v>
      </c>
      <c r="C19" s="25">
        <v>3</v>
      </c>
      <c r="D19" s="25">
        <v>18</v>
      </c>
      <c r="E19" s="26">
        <v>2.7300000000000182</v>
      </c>
      <c r="F19" s="27">
        <f t="shared" si="0"/>
        <v>5460.0000000000364</v>
      </c>
      <c r="G19" s="28">
        <f t="shared" si="1"/>
        <v>5653830.0000000373</v>
      </c>
      <c r="H19" s="26">
        <v>0.56999999999999318</v>
      </c>
      <c r="I19" s="27">
        <f t="shared" si="2"/>
        <v>1139.9999999999864</v>
      </c>
      <c r="J19" s="28">
        <f t="shared" si="3"/>
        <v>1770704.9999999788</v>
      </c>
      <c r="K19" s="26">
        <f t="shared" si="4"/>
        <v>7424535.0000000158</v>
      </c>
      <c r="L19" s="29">
        <f t="shared" si="5"/>
        <v>8166988.5000000177</v>
      </c>
      <c r="M19" s="30">
        <f t="shared" si="6"/>
        <v>567.90129337320195</v>
      </c>
      <c r="N19" s="31"/>
    </row>
    <row r="20" spans="1:14" x14ac:dyDescent="0.25">
      <c r="A20" s="22"/>
      <c r="B20" s="24">
        <v>13</v>
      </c>
      <c r="C20" s="25">
        <v>4</v>
      </c>
      <c r="D20" s="25">
        <v>27</v>
      </c>
      <c r="E20" s="26">
        <v>2.75</v>
      </c>
      <c r="F20" s="27">
        <f t="shared" si="0"/>
        <v>5500</v>
      </c>
      <c r="G20" s="28">
        <f t="shared" si="1"/>
        <v>5695250</v>
      </c>
      <c r="H20" s="26">
        <v>0.57999999999998408</v>
      </c>
      <c r="I20" s="27">
        <f t="shared" si="2"/>
        <v>1159.9999999999682</v>
      </c>
      <c r="J20" s="28">
        <f t="shared" si="3"/>
        <v>1801769.9999999506</v>
      </c>
      <c r="K20" s="26">
        <f t="shared" si="4"/>
        <v>7497019.9999999506</v>
      </c>
      <c r="L20" s="29">
        <f t="shared" si="5"/>
        <v>8246721.999999946</v>
      </c>
      <c r="M20" s="30">
        <f t="shared" si="6"/>
        <v>573.44565746470664</v>
      </c>
      <c r="N20" s="31"/>
    </row>
    <row r="21" spans="1:14" x14ac:dyDescent="0.25">
      <c r="A21" s="22"/>
      <c r="B21" s="24">
        <v>14</v>
      </c>
      <c r="C21" s="25">
        <v>6</v>
      </c>
      <c r="D21" s="25">
        <v>48</v>
      </c>
      <c r="E21" s="26">
        <v>2.8000000000001819</v>
      </c>
      <c r="F21" s="27">
        <f t="shared" si="0"/>
        <v>5600.0000000003638</v>
      </c>
      <c r="G21" s="28">
        <f t="shared" si="1"/>
        <v>5798800.0000003763</v>
      </c>
      <c r="H21" s="26">
        <v>0.55000000000001137</v>
      </c>
      <c r="I21" s="27">
        <f t="shared" si="2"/>
        <v>1100.0000000000227</v>
      </c>
      <c r="J21" s="28">
        <f t="shared" si="3"/>
        <v>1708575.0000000354</v>
      </c>
      <c r="K21" s="26">
        <f t="shared" si="4"/>
        <v>7507375.0000004116</v>
      </c>
      <c r="L21" s="29">
        <f t="shared" si="5"/>
        <v>8258112.5000004536</v>
      </c>
      <c r="M21" s="30">
        <f t="shared" si="6"/>
        <v>574.23770947781475</v>
      </c>
      <c r="N21" s="31"/>
    </row>
    <row r="22" spans="1:14" x14ac:dyDescent="0.25">
      <c r="A22" s="22"/>
      <c r="B22" s="24">
        <v>15</v>
      </c>
      <c r="C22" s="25">
        <v>5</v>
      </c>
      <c r="D22" s="25">
        <v>30</v>
      </c>
      <c r="E22" s="26">
        <v>2.7999999999999545</v>
      </c>
      <c r="F22" s="27">
        <f t="shared" si="0"/>
        <v>5599.9999999999091</v>
      </c>
      <c r="G22" s="28">
        <f t="shared" si="1"/>
        <v>5798799.9999999059</v>
      </c>
      <c r="H22" s="26">
        <v>0.57999999999998408</v>
      </c>
      <c r="I22" s="27">
        <f t="shared" si="2"/>
        <v>1159.9999999999682</v>
      </c>
      <c r="J22" s="28">
        <f t="shared" si="3"/>
        <v>1801769.9999999506</v>
      </c>
      <c r="K22" s="26">
        <f t="shared" si="4"/>
        <v>7600569.9999998566</v>
      </c>
      <c r="L22" s="29">
        <f t="shared" si="5"/>
        <v>8360626.9999998426</v>
      </c>
      <c r="M22" s="30">
        <f t="shared" si="6"/>
        <v>581.36617759542753</v>
      </c>
      <c r="N22" s="31"/>
    </row>
    <row r="23" spans="1:14" x14ac:dyDescent="0.25">
      <c r="A23" s="22"/>
      <c r="B23" s="24">
        <v>16</v>
      </c>
      <c r="C23" s="25">
        <v>3</v>
      </c>
      <c r="D23" s="25">
        <v>15</v>
      </c>
      <c r="E23" s="26">
        <v>3</v>
      </c>
      <c r="F23" s="27">
        <f t="shared" si="0"/>
        <v>6000</v>
      </c>
      <c r="G23" s="28">
        <f t="shared" si="1"/>
        <v>6213000</v>
      </c>
      <c r="H23" s="26">
        <v>0.54000000000002046</v>
      </c>
      <c r="I23" s="27">
        <f t="shared" si="2"/>
        <v>1080.0000000000409</v>
      </c>
      <c r="J23" s="28">
        <f t="shared" si="3"/>
        <v>1677510.0000000636</v>
      </c>
      <c r="K23" s="26">
        <f t="shared" si="4"/>
        <v>7890510.0000000633</v>
      </c>
      <c r="L23" s="29">
        <f t="shared" si="5"/>
        <v>8679561.0000000708</v>
      </c>
      <c r="M23" s="30">
        <f t="shared" si="6"/>
        <v>603.54363396148187</v>
      </c>
      <c r="N23" s="31"/>
    </row>
    <row r="24" spans="1:14" x14ac:dyDescent="0.25">
      <c r="A24" s="22"/>
      <c r="B24" s="24">
        <v>17</v>
      </c>
      <c r="C24" s="25">
        <v>1</v>
      </c>
      <c r="D24" s="25">
        <v>12</v>
      </c>
      <c r="E24" s="26">
        <v>2.6599999999998545</v>
      </c>
      <c r="F24" s="27">
        <f t="shared" si="0"/>
        <v>5319.999999999709</v>
      </c>
      <c r="G24" s="28">
        <f t="shared" si="1"/>
        <v>5508859.9999996983</v>
      </c>
      <c r="H24" s="26">
        <v>0.5</v>
      </c>
      <c r="I24" s="27">
        <f t="shared" si="2"/>
        <v>1000</v>
      </c>
      <c r="J24" s="28">
        <f t="shared" si="3"/>
        <v>1553250</v>
      </c>
      <c r="K24" s="26">
        <f t="shared" si="4"/>
        <v>7062109.9999996983</v>
      </c>
      <c r="L24" s="29">
        <f t="shared" si="5"/>
        <v>7768320.9999996684</v>
      </c>
      <c r="M24" s="30">
        <f t="shared" si="6"/>
        <v>540.1794729156295</v>
      </c>
      <c r="N24" s="31"/>
    </row>
    <row r="25" spans="1:14" x14ac:dyDescent="0.25">
      <c r="A25" s="22"/>
      <c r="B25" s="24">
        <v>18</v>
      </c>
      <c r="C25" s="25">
        <v>2</v>
      </c>
      <c r="D25" s="25">
        <v>8</v>
      </c>
      <c r="E25" s="26">
        <v>2.6000000000001364</v>
      </c>
      <c r="F25" s="27">
        <f t="shared" si="0"/>
        <v>5200.0000000002728</v>
      </c>
      <c r="G25" s="28">
        <f t="shared" si="1"/>
        <v>5384600.0000002822</v>
      </c>
      <c r="H25" s="26">
        <v>0.51999999999998181</v>
      </c>
      <c r="I25" s="27">
        <f t="shared" si="2"/>
        <v>1039.9999999999636</v>
      </c>
      <c r="J25" s="28">
        <f t="shared" si="3"/>
        <v>1615379.9999999434</v>
      </c>
      <c r="K25" s="26">
        <f t="shared" si="4"/>
        <v>6999980.0000002254</v>
      </c>
      <c r="L25" s="29">
        <f t="shared" si="5"/>
        <v>7699978.0000002487</v>
      </c>
      <c r="M25" s="30">
        <f t="shared" si="6"/>
        <v>535.42716083723303</v>
      </c>
      <c r="N25" s="31"/>
    </row>
    <row r="26" spans="1:14" x14ac:dyDescent="0.25">
      <c r="A26" s="22"/>
      <c r="B26" s="24">
        <v>19</v>
      </c>
      <c r="C26" s="25">
        <v>3</v>
      </c>
      <c r="D26" s="25">
        <v>18</v>
      </c>
      <c r="E26" s="26">
        <v>2.6299999999998818</v>
      </c>
      <c r="F26" s="27">
        <f t="shared" si="0"/>
        <v>5259.9999999997635</v>
      </c>
      <c r="G26" s="28">
        <f t="shared" si="1"/>
        <v>5446729.9999997551</v>
      </c>
      <c r="H26" s="26">
        <v>0.55000000000001137</v>
      </c>
      <c r="I26" s="27">
        <f t="shared" si="2"/>
        <v>1100.0000000000227</v>
      </c>
      <c r="J26" s="28">
        <f t="shared" si="3"/>
        <v>1708575.0000000354</v>
      </c>
      <c r="K26" s="26">
        <f t="shared" si="4"/>
        <v>7155304.9999997905</v>
      </c>
      <c r="L26" s="29">
        <f t="shared" si="5"/>
        <v>7870835.49999977</v>
      </c>
      <c r="M26" s="30">
        <f t="shared" si="6"/>
        <v>547.30794103329185</v>
      </c>
      <c r="N26" s="31"/>
    </row>
    <row r="27" spans="1:14" x14ac:dyDescent="0.25">
      <c r="A27" s="22"/>
      <c r="B27" s="24">
        <v>20</v>
      </c>
      <c r="C27" s="25">
        <v>3</v>
      </c>
      <c r="D27" s="25">
        <v>21</v>
      </c>
      <c r="E27" s="26">
        <v>2.7400000000000091</v>
      </c>
      <c r="F27" s="27">
        <f t="shared" si="0"/>
        <v>5480.0000000000182</v>
      </c>
      <c r="G27" s="28">
        <f t="shared" si="1"/>
        <v>5674540.0000000186</v>
      </c>
      <c r="H27" s="26">
        <v>0.55000000000001137</v>
      </c>
      <c r="I27" s="27">
        <f t="shared" si="2"/>
        <v>1100.0000000000227</v>
      </c>
      <c r="J27" s="28">
        <f t="shared" si="3"/>
        <v>1708575.0000000354</v>
      </c>
      <c r="K27" s="26">
        <f t="shared" si="4"/>
        <v>7383115.000000054</v>
      </c>
      <c r="L27" s="29">
        <f t="shared" si="5"/>
        <v>8121426.5000000605</v>
      </c>
      <c r="M27" s="30">
        <f t="shared" si="6"/>
        <v>564.73308532091369</v>
      </c>
      <c r="N27" s="31"/>
    </row>
    <row r="28" spans="1:14" x14ac:dyDescent="0.25">
      <c r="A28" s="22"/>
      <c r="B28" s="24">
        <v>21</v>
      </c>
      <c r="C28" s="25">
        <v>0</v>
      </c>
      <c r="D28" s="25">
        <v>6</v>
      </c>
      <c r="E28" s="26">
        <v>2.3600000000001273</v>
      </c>
      <c r="F28" s="27">
        <f t="shared" si="0"/>
        <v>4720.0000000002547</v>
      </c>
      <c r="G28" s="28">
        <f t="shared" si="1"/>
        <v>4887560.0000002636</v>
      </c>
      <c r="H28" s="26">
        <v>0.43999999999999773</v>
      </c>
      <c r="I28" s="27">
        <f t="shared" si="2"/>
        <v>879.99999999999545</v>
      </c>
      <c r="J28" s="28">
        <f t="shared" si="3"/>
        <v>1366859.999999993</v>
      </c>
      <c r="K28" s="26">
        <f t="shared" si="4"/>
        <v>6254420.000000257</v>
      </c>
      <c r="L28" s="29">
        <f t="shared" si="5"/>
        <v>6879862.0000002831</v>
      </c>
      <c r="M28" s="30">
        <f t="shared" si="6"/>
        <v>478.39941589599351</v>
      </c>
      <c r="N28" s="31"/>
    </row>
    <row r="29" spans="1:14" x14ac:dyDescent="0.25">
      <c r="A29" s="22"/>
      <c r="B29" s="24">
        <v>22</v>
      </c>
      <c r="C29" s="25">
        <v>0</v>
      </c>
      <c r="D29" s="25">
        <v>0</v>
      </c>
      <c r="E29" s="26">
        <v>2.3799999999998818</v>
      </c>
      <c r="F29" s="27">
        <f t="shared" si="0"/>
        <v>4759.9999999997635</v>
      </c>
      <c r="G29" s="28">
        <f t="shared" si="1"/>
        <v>4928979.9999997551</v>
      </c>
      <c r="H29" s="26">
        <v>0.46999999999997044</v>
      </c>
      <c r="I29" s="27">
        <f t="shared" si="2"/>
        <v>939.99999999994088</v>
      </c>
      <c r="J29" s="28">
        <f t="shared" si="3"/>
        <v>1460054.9999999083</v>
      </c>
      <c r="K29" s="26">
        <f t="shared" si="4"/>
        <v>6389034.9999996629</v>
      </c>
      <c r="L29" s="29">
        <f t="shared" si="5"/>
        <v>7027938.4999996293</v>
      </c>
      <c r="M29" s="30">
        <f t="shared" si="6"/>
        <v>488.69609206589456</v>
      </c>
      <c r="N29" s="31"/>
    </row>
    <row r="30" spans="1:14" x14ac:dyDescent="0.25">
      <c r="A30" s="22"/>
      <c r="B30" s="24">
        <v>23</v>
      </c>
      <c r="C30" s="25">
        <v>1</v>
      </c>
      <c r="D30" s="25">
        <v>6</v>
      </c>
      <c r="E30" s="26">
        <v>2.4400000000000546</v>
      </c>
      <c r="F30" s="27">
        <f t="shared" si="0"/>
        <v>4880.0000000001091</v>
      </c>
      <c r="G30" s="28">
        <f t="shared" si="1"/>
        <v>5053240.0000001127</v>
      </c>
      <c r="H30" s="26">
        <v>0.5</v>
      </c>
      <c r="I30" s="27">
        <f t="shared" si="2"/>
        <v>1000</v>
      </c>
      <c r="J30" s="28">
        <f t="shared" si="3"/>
        <v>1553250</v>
      </c>
      <c r="K30" s="26">
        <f t="shared" si="4"/>
        <v>6606490.0000001127</v>
      </c>
      <c r="L30" s="29">
        <f t="shared" si="5"/>
        <v>7267139.0000001248</v>
      </c>
      <c r="M30" s="30">
        <f t="shared" si="6"/>
        <v>505.32918434045786</v>
      </c>
      <c r="N30" s="31"/>
    </row>
    <row r="31" spans="1:14" x14ac:dyDescent="0.25">
      <c r="A31" s="22"/>
      <c r="B31" s="24">
        <v>24</v>
      </c>
      <c r="C31" s="25">
        <v>5</v>
      </c>
      <c r="D31" s="25">
        <v>13</v>
      </c>
      <c r="E31" s="26">
        <v>2.7200000000000273</v>
      </c>
      <c r="F31" s="27">
        <f t="shared" si="0"/>
        <v>5440.0000000000546</v>
      </c>
      <c r="G31" s="28">
        <f t="shared" si="1"/>
        <v>5633120.0000000568</v>
      </c>
      <c r="H31" s="26">
        <v>0.58000000000004093</v>
      </c>
      <c r="I31" s="27">
        <f t="shared" si="2"/>
        <v>1160.0000000000819</v>
      </c>
      <c r="J31" s="28">
        <f t="shared" si="3"/>
        <v>1801770.0000001271</v>
      </c>
      <c r="K31" s="26">
        <f t="shared" si="4"/>
        <v>7434890.0000001844</v>
      </c>
      <c r="L31" s="29">
        <f t="shared" si="5"/>
        <v>8178379.000000204</v>
      </c>
      <c r="M31" s="30">
        <f t="shared" si="6"/>
        <v>568.69334538628777</v>
      </c>
      <c r="N31" s="31"/>
    </row>
    <row r="32" spans="1:14" x14ac:dyDescent="0.25">
      <c r="A32" s="22"/>
      <c r="B32" s="24">
        <v>25</v>
      </c>
      <c r="C32" s="25">
        <v>9</v>
      </c>
      <c r="D32" s="25">
        <v>20</v>
      </c>
      <c r="E32" s="26">
        <v>2.6900000000000546</v>
      </c>
      <c r="F32" s="27">
        <f t="shared" si="0"/>
        <v>5380.0000000001091</v>
      </c>
      <c r="G32" s="28">
        <f t="shared" si="1"/>
        <v>5570990.0000001127</v>
      </c>
      <c r="H32" s="26">
        <v>0.52999999999997272</v>
      </c>
      <c r="I32" s="27">
        <f t="shared" si="2"/>
        <v>1059.9999999999454</v>
      </c>
      <c r="J32" s="28">
        <f t="shared" si="3"/>
        <v>1646444.9999999152</v>
      </c>
      <c r="K32" s="26">
        <f t="shared" si="4"/>
        <v>7217435.0000000279</v>
      </c>
      <c r="L32" s="29">
        <f t="shared" si="5"/>
        <v>7939178.5000000317</v>
      </c>
      <c r="M32" s="30">
        <f t="shared" si="6"/>
        <v>552.06025311174687</v>
      </c>
      <c r="N32" s="31"/>
    </row>
    <row r="33" spans="1:16" x14ac:dyDescent="0.25">
      <c r="A33" s="22"/>
      <c r="B33" s="24">
        <v>26</v>
      </c>
      <c r="C33" s="25">
        <v>7</v>
      </c>
      <c r="D33" s="25">
        <v>50</v>
      </c>
      <c r="E33" s="26">
        <v>2.8099999999999454</v>
      </c>
      <c r="F33" s="27">
        <f t="shared" si="0"/>
        <v>5619.9999999998909</v>
      </c>
      <c r="G33" s="28">
        <f t="shared" si="1"/>
        <v>5819509.9999998873</v>
      </c>
      <c r="H33" s="26">
        <v>0.56999999999999318</v>
      </c>
      <c r="I33" s="27">
        <f t="shared" si="2"/>
        <v>1139.9999999999864</v>
      </c>
      <c r="J33" s="28">
        <f t="shared" si="3"/>
        <v>1770704.9999999788</v>
      </c>
      <c r="K33" s="26">
        <f t="shared" si="4"/>
        <v>7590214.9999998659</v>
      </c>
      <c r="L33" s="29">
        <f t="shared" si="5"/>
        <v>8349236.4999998529</v>
      </c>
      <c r="M33" s="30">
        <f t="shared" si="6"/>
        <v>580.57412558235535</v>
      </c>
      <c r="N33" s="31"/>
    </row>
    <row r="34" spans="1:16" x14ac:dyDescent="0.25">
      <c r="A34" s="22"/>
      <c r="B34" s="24">
        <v>27</v>
      </c>
      <c r="C34" s="25">
        <v>7</v>
      </c>
      <c r="D34" s="25">
        <v>33</v>
      </c>
      <c r="E34" s="26">
        <v>2.85</v>
      </c>
      <c r="F34" s="27">
        <f t="shared" si="0"/>
        <v>5700</v>
      </c>
      <c r="G34" s="28">
        <f t="shared" si="1"/>
        <v>5902350</v>
      </c>
      <c r="H34" s="26">
        <v>0.57999999999999996</v>
      </c>
      <c r="I34" s="27">
        <f t="shared" si="2"/>
        <v>1160</v>
      </c>
      <c r="J34" s="28">
        <f t="shared" si="3"/>
        <v>1801770</v>
      </c>
      <c r="K34" s="26">
        <f t="shared" si="4"/>
        <v>7704120</v>
      </c>
      <c r="L34" s="29">
        <f t="shared" si="5"/>
        <v>8474532</v>
      </c>
      <c r="M34" s="30">
        <f t="shared" si="6"/>
        <v>589.28669772616649</v>
      </c>
      <c r="N34" s="31"/>
    </row>
    <row r="35" spans="1:16" x14ac:dyDescent="0.25">
      <c r="A35" s="22"/>
      <c r="B35" s="24">
        <v>28</v>
      </c>
      <c r="C35" s="25">
        <v>6</v>
      </c>
      <c r="D35" s="25">
        <v>27</v>
      </c>
      <c r="E35" s="26">
        <v>2.89</v>
      </c>
      <c r="F35" s="27">
        <f t="shared" si="0"/>
        <v>5780</v>
      </c>
      <c r="G35" s="28">
        <f t="shared" si="1"/>
        <v>5985190</v>
      </c>
      <c r="H35" s="26">
        <v>0.59</v>
      </c>
      <c r="I35" s="27">
        <f t="shared" si="2"/>
        <v>1180</v>
      </c>
      <c r="J35" s="28">
        <f t="shared" si="3"/>
        <v>1832835</v>
      </c>
      <c r="K35" s="26">
        <f t="shared" si="4"/>
        <v>7818025</v>
      </c>
      <c r="L35" s="29">
        <f t="shared" si="5"/>
        <v>8599827.5</v>
      </c>
      <c r="M35" s="30">
        <f t="shared" si="6"/>
        <v>597.99926986996729</v>
      </c>
      <c r="N35" s="31"/>
    </row>
    <row r="36" spans="1:16" x14ac:dyDescent="0.25">
      <c r="C36" s="32">
        <f>SUM(C8:C35)</f>
        <v>95</v>
      </c>
      <c r="D36" s="32">
        <f>SUM(D8:D35)</f>
        <v>548</v>
      </c>
      <c r="E36" s="33">
        <v>3.2799999999999727</v>
      </c>
      <c r="F36" s="32">
        <f>SUM(F8:F35)</f>
        <v>155780.0000000002</v>
      </c>
      <c r="I36" s="32">
        <f>SUM(I8:I35)</f>
        <v>31080.000000000004</v>
      </c>
      <c r="L36" s="34">
        <f>SUM(L8:L35)</f>
        <v>230543720.00000021</v>
      </c>
      <c r="M36" s="35">
        <f>SUM(M8:M35)</f>
        <v>16031.132744593579</v>
      </c>
      <c r="N36" s="36"/>
      <c r="P36" s="37"/>
    </row>
    <row r="38" spans="1:16" x14ac:dyDescent="0.25">
      <c r="G38" s="88" t="s">
        <v>27</v>
      </c>
      <c r="H38" s="89"/>
      <c r="I38" s="90">
        <f>F36+I36</f>
        <v>186860.0000000002</v>
      </c>
      <c r="M38" s="38"/>
      <c r="P38" s="39"/>
    </row>
    <row r="39" spans="1:16" x14ac:dyDescent="0.25">
      <c r="M39" s="40"/>
    </row>
  </sheetData>
  <mergeCells count="17">
    <mergeCell ref="F6:F7"/>
    <mergeCell ref="G6:G7"/>
    <mergeCell ref="H6:H7"/>
    <mergeCell ref="I6:I7"/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1"/>
  <sheetViews>
    <sheetView workbookViewId="0">
      <selection activeCell="U22" sqref="U22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style="33" customWidth="1"/>
    <col min="4" max="4" width="8.42578125" style="21" customWidth="1"/>
    <col min="5" max="5" width="11" style="33" customWidth="1"/>
    <col min="6" max="6" width="9.5703125" style="33" customWidth="1"/>
    <col min="7" max="7" width="11.140625" style="33" customWidth="1"/>
    <col min="8" max="8" width="9.42578125" style="33" customWidth="1"/>
    <col min="9" max="9" width="7.140625" style="33" customWidth="1"/>
    <col min="10" max="10" width="13.7109375" style="33" customWidth="1"/>
    <col min="11" max="11" width="11.140625" style="33" customWidth="1"/>
    <col min="12" max="12" width="6.7109375" style="33" customWidth="1"/>
    <col min="13" max="13" width="13.7109375" style="64" customWidth="1"/>
    <col min="14" max="14" width="8.7109375" style="33" customWidth="1"/>
    <col min="15" max="15" width="6.42578125" style="33" customWidth="1"/>
    <col min="16" max="16" width="11.140625" style="33" customWidth="1"/>
    <col min="17" max="17" width="15" style="21" customWidth="1"/>
    <col min="18" max="18" width="16.28515625" style="33" customWidth="1"/>
    <col min="19" max="19" width="2.5703125" style="12" customWidth="1"/>
    <col min="21" max="21" width="21.5703125" customWidth="1"/>
  </cols>
  <sheetData>
    <row r="1" spans="1:21" ht="15.75" x14ac:dyDescent="0.25">
      <c r="B1" s="97" t="s">
        <v>28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</row>
    <row r="2" spans="1:21" ht="15.75" x14ac:dyDescent="0.25">
      <c r="B2" s="97" t="s">
        <v>15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</row>
    <row r="3" spans="1:21" x14ac:dyDescent="0.25">
      <c r="E3" s="41"/>
      <c r="F3" s="42"/>
      <c r="G3" s="42"/>
      <c r="H3" s="42"/>
      <c r="I3" s="42"/>
      <c r="J3" s="42"/>
      <c r="K3" s="42"/>
      <c r="L3" s="42"/>
      <c r="M3" s="43"/>
      <c r="N3" s="41"/>
      <c r="O3" s="42"/>
      <c r="P3" s="42"/>
      <c r="Q3" s="44"/>
    </row>
    <row r="4" spans="1:21" x14ac:dyDescent="0.25">
      <c r="A4" s="18"/>
      <c r="B4" s="101">
        <v>44593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8"/>
    </row>
    <row r="5" spans="1:21" x14ac:dyDescent="0.25">
      <c r="A5" s="19"/>
      <c r="B5" s="96" t="s">
        <v>16</v>
      </c>
      <c r="C5" s="96" t="s">
        <v>17</v>
      </c>
      <c r="D5" s="96" t="s">
        <v>12</v>
      </c>
      <c r="E5" s="102" t="s">
        <v>29</v>
      </c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3" t="s">
        <v>30</v>
      </c>
      <c r="R5" s="103"/>
      <c r="S5" s="20"/>
    </row>
    <row r="6" spans="1:21" s="21" customFormat="1" x14ac:dyDescent="0.25">
      <c r="A6" s="19"/>
      <c r="B6" s="96"/>
      <c r="C6" s="96"/>
      <c r="D6" s="96"/>
      <c r="E6" s="102" t="s">
        <v>31</v>
      </c>
      <c r="F6" s="102"/>
      <c r="G6" s="102"/>
      <c r="H6" s="102" t="s">
        <v>32</v>
      </c>
      <c r="I6" s="102"/>
      <c r="J6" s="102"/>
      <c r="K6" s="102" t="s">
        <v>33</v>
      </c>
      <c r="L6" s="102"/>
      <c r="M6" s="102"/>
      <c r="N6" s="104" t="s">
        <v>34</v>
      </c>
      <c r="O6" s="104"/>
      <c r="P6" s="104"/>
      <c r="Q6" s="103"/>
      <c r="R6" s="103"/>
      <c r="S6" s="20"/>
    </row>
    <row r="7" spans="1:21" ht="22.5" x14ac:dyDescent="0.25">
      <c r="A7" s="22"/>
      <c r="B7" s="96"/>
      <c r="C7" s="96"/>
      <c r="D7" s="96"/>
      <c r="E7" s="96" t="s">
        <v>35</v>
      </c>
      <c r="F7" s="105" t="s">
        <v>36</v>
      </c>
      <c r="G7" s="45" t="s">
        <v>37</v>
      </c>
      <c r="H7" s="96" t="s">
        <v>38</v>
      </c>
      <c r="I7" s="96" t="s">
        <v>36</v>
      </c>
      <c r="J7" s="45" t="s">
        <v>37</v>
      </c>
      <c r="K7" s="96" t="s">
        <v>35</v>
      </c>
      <c r="L7" s="96" t="s">
        <v>36</v>
      </c>
      <c r="M7" s="45" t="s">
        <v>39</v>
      </c>
      <c r="N7" s="96" t="s">
        <v>40</v>
      </c>
      <c r="O7" s="96" t="s">
        <v>36</v>
      </c>
      <c r="P7" s="45" t="s">
        <v>39</v>
      </c>
      <c r="Q7" s="103"/>
      <c r="R7" s="103"/>
      <c r="S7" s="23"/>
    </row>
    <row r="8" spans="1:21" x14ac:dyDescent="0.25">
      <c r="A8" s="22"/>
      <c r="B8" s="96"/>
      <c r="C8" s="96"/>
      <c r="D8" s="96"/>
      <c r="E8" s="96"/>
      <c r="F8" s="106"/>
      <c r="G8" s="46">
        <v>15840</v>
      </c>
      <c r="H8" s="96"/>
      <c r="I8" s="96"/>
      <c r="J8" s="46">
        <f>G8</f>
        <v>15840</v>
      </c>
      <c r="K8" s="96"/>
      <c r="L8" s="96"/>
      <c r="M8" s="46">
        <f>J8</f>
        <v>15840</v>
      </c>
      <c r="N8" s="96"/>
      <c r="O8" s="96"/>
      <c r="P8" s="46">
        <f>J8</f>
        <v>15840</v>
      </c>
      <c r="Q8" s="47" t="s">
        <v>41</v>
      </c>
      <c r="R8" s="45" t="s">
        <v>22</v>
      </c>
      <c r="S8" s="23"/>
      <c r="U8">
        <f>792000/50</f>
        <v>15840</v>
      </c>
    </row>
    <row r="9" spans="1:21" x14ac:dyDescent="0.25">
      <c r="A9" s="22"/>
      <c r="B9" s="24">
        <v>1</v>
      </c>
      <c r="C9" s="48">
        <f>Electricity!C8</f>
        <v>5</v>
      </c>
      <c r="D9" s="49">
        <f>Electricity!D8</f>
        <v>61</v>
      </c>
      <c r="E9" s="83">
        <v>8516.61</v>
      </c>
      <c r="F9" s="26">
        <v>11.440000000000509</v>
      </c>
      <c r="G9" s="51">
        <f>F9*$G$8</f>
        <v>181209.60000000807</v>
      </c>
      <c r="H9" s="50"/>
      <c r="I9" s="51">
        <v>0</v>
      </c>
      <c r="J9" s="51">
        <f>I9*$J$8</f>
        <v>0</v>
      </c>
      <c r="K9" s="50"/>
      <c r="L9" s="26">
        <v>0</v>
      </c>
      <c r="M9" s="27">
        <f>L9*$M$8</f>
        <v>0</v>
      </c>
      <c r="N9" s="50"/>
      <c r="O9" s="26">
        <v>7.14</v>
      </c>
      <c r="P9" s="52">
        <f>O9*$P$8</f>
        <v>113097.59999999999</v>
      </c>
      <c r="Q9" s="53">
        <f>P9+G9+J9+M9</f>
        <v>294307.20000000804</v>
      </c>
      <c r="R9" s="54">
        <f>Q9/14381</f>
        <v>20.465002433767335</v>
      </c>
      <c r="S9" s="23"/>
    </row>
    <row r="10" spans="1:21" x14ac:dyDescent="0.25">
      <c r="A10" s="22"/>
      <c r="B10" s="24">
        <v>2</v>
      </c>
      <c r="C10" s="48">
        <f>Electricity!C9</f>
        <v>3</v>
      </c>
      <c r="D10" s="49">
        <f>Electricity!D9</f>
        <v>28</v>
      </c>
      <c r="E10" s="83">
        <v>8527.98</v>
      </c>
      <c r="F10" s="26">
        <v>11.369999999998981</v>
      </c>
      <c r="G10" s="51">
        <f>F10*$G$8</f>
        <v>180100.79999998386</v>
      </c>
      <c r="H10" s="50"/>
      <c r="I10" s="51">
        <v>0</v>
      </c>
      <c r="J10" s="51">
        <f>I10*$J$8</f>
        <v>0</v>
      </c>
      <c r="K10" s="50"/>
      <c r="L10" s="26">
        <v>0</v>
      </c>
      <c r="M10" s="27">
        <f t="shared" ref="M10:M36" si="0">L10*$M$8</f>
        <v>0</v>
      </c>
      <c r="N10" s="50"/>
      <c r="O10" s="26">
        <v>7.14</v>
      </c>
      <c r="P10" s="52">
        <f>O10*$P$8</f>
        <v>113097.59999999999</v>
      </c>
      <c r="Q10" s="53">
        <f>J10+M10+G10+P10</f>
        <v>293198.39999998384</v>
      </c>
      <c r="R10" s="54">
        <f t="shared" ref="R10:R36" si="1">Q10/14381</f>
        <v>20.387900702314433</v>
      </c>
      <c r="S10" s="23"/>
    </row>
    <row r="11" spans="1:21" x14ac:dyDescent="0.25">
      <c r="A11" s="22"/>
      <c r="B11" s="24">
        <v>3</v>
      </c>
      <c r="C11" s="48">
        <f>Electricity!C10</f>
        <v>4</v>
      </c>
      <c r="D11" s="49">
        <f>Electricity!D10</f>
        <v>27</v>
      </c>
      <c r="E11" s="83">
        <v>8538.7199999999993</v>
      </c>
      <c r="F11" s="26">
        <v>10.739999999999782</v>
      </c>
      <c r="G11" s="51">
        <f t="shared" ref="G11:G36" si="2">F11*$G$8</f>
        <v>170121.59999999654</v>
      </c>
      <c r="H11" s="50"/>
      <c r="I11" s="51">
        <v>0</v>
      </c>
      <c r="J11" s="51">
        <f t="shared" ref="J11:J36" si="3">I11*$J$8</f>
        <v>0</v>
      </c>
      <c r="K11" s="50"/>
      <c r="L11" s="26">
        <v>0</v>
      </c>
      <c r="M11" s="27">
        <f t="shared" si="0"/>
        <v>0</v>
      </c>
      <c r="N11" s="50"/>
      <c r="O11" s="26">
        <v>7.14</v>
      </c>
      <c r="P11" s="52">
        <f t="shared" ref="P11:P36" si="4">O11*$P$8</f>
        <v>113097.59999999999</v>
      </c>
      <c r="Q11" s="53">
        <f t="shared" ref="Q11:Q36" si="5">J11+M11+G11+P11</f>
        <v>283219.19999999652</v>
      </c>
      <c r="R11" s="54">
        <f t="shared" si="1"/>
        <v>19.693985119254329</v>
      </c>
      <c r="S11" s="23"/>
    </row>
    <row r="12" spans="1:21" x14ac:dyDescent="0.25">
      <c r="A12" s="22"/>
      <c r="B12" s="24">
        <v>4</v>
      </c>
      <c r="C12" s="48">
        <f>Electricity!C11</f>
        <v>4</v>
      </c>
      <c r="D12" s="49">
        <f>Electricity!D11</f>
        <v>12</v>
      </c>
      <c r="E12" s="83">
        <v>8548.8799999999992</v>
      </c>
      <c r="F12" s="26">
        <v>10.159999999999854</v>
      </c>
      <c r="G12" s="51">
        <f t="shared" si="2"/>
        <v>160934.39999999769</v>
      </c>
      <c r="H12" s="50"/>
      <c r="I12" s="51">
        <v>0</v>
      </c>
      <c r="J12" s="51">
        <f t="shared" si="3"/>
        <v>0</v>
      </c>
      <c r="K12" s="50"/>
      <c r="L12" s="26">
        <v>0</v>
      </c>
      <c r="M12" s="27">
        <f t="shared" si="0"/>
        <v>0</v>
      </c>
      <c r="N12" s="50"/>
      <c r="O12" s="26">
        <v>7.14</v>
      </c>
      <c r="P12" s="52">
        <f t="shared" si="4"/>
        <v>113097.59999999999</v>
      </c>
      <c r="Q12" s="53">
        <f t="shared" si="5"/>
        <v>274031.99999999767</v>
      </c>
      <c r="R12" s="54">
        <f t="shared" si="1"/>
        <v>19.055142201515729</v>
      </c>
      <c r="S12" s="23"/>
    </row>
    <row r="13" spans="1:21" x14ac:dyDescent="0.25">
      <c r="A13" s="22"/>
      <c r="B13" s="24">
        <v>5</v>
      </c>
      <c r="C13" s="48">
        <f>Electricity!C12</f>
        <v>3</v>
      </c>
      <c r="D13" s="49">
        <f>Electricity!D12</f>
        <v>14</v>
      </c>
      <c r="E13" s="83">
        <v>8558.1299999999992</v>
      </c>
      <c r="F13" s="26">
        <v>9.25</v>
      </c>
      <c r="G13" s="51">
        <f t="shared" si="2"/>
        <v>146520</v>
      </c>
      <c r="H13" s="50"/>
      <c r="I13" s="51">
        <v>0</v>
      </c>
      <c r="J13" s="51">
        <f t="shared" si="3"/>
        <v>0</v>
      </c>
      <c r="K13" s="50"/>
      <c r="L13" s="26">
        <v>0</v>
      </c>
      <c r="M13" s="27">
        <f t="shared" si="0"/>
        <v>0</v>
      </c>
      <c r="N13" s="50"/>
      <c r="O13" s="26">
        <v>7.14</v>
      </c>
      <c r="P13" s="52">
        <f t="shared" si="4"/>
        <v>113097.59999999999</v>
      </c>
      <c r="Q13" s="53">
        <f t="shared" si="5"/>
        <v>259617.59999999998</v>
      </c>
      <c r="R13" s="54">
        <f t="shared" si="1"/>
        <v>18.052819692650022</v>
      </c>
      <c r="S13" s="23"/>
    </row>
    <row r="14" spans="1:21" x14ac:dyDescent="0.25">
      <c r="A14" s="22"/>
      <c r="B14" s="24">
        <v>6</v>
      </c>
      <c r="C14" s="48">
        <f>Electricity!C13</f>
        <v>2</v>
      </c>
      <c r="D14" s="49">
        <f>Electricity!D13</f>
        <v>14</v>
      </c>
      <c r="E14" s="83">
        <v>8569.15</v>
      </c>
      <c r="F14" s="26">
        <v>11.020000000000437</v>
      </c>
      <c r="G14" s="51">
        <f t="shared" si="2"/>
        <v>174556.80000000692</v>
      </c>
      <c r="H14" s="50"/>
      <c r="I14" s="51">
        <v>0</v>
      </c>
      <c r="J14" s="51">
        <f t="shared" si="3"/>
        <v>0</v>
      </c>
      <c r="K14" s="50"/>
      <c r="L14" s="26">
        <v>0</v>
      </c>
      <c r="M14" s="27">
        <f t="shared" si="0"/>
        <v>0</v>
      </c>
      <c r="N14" s="50"/>
      <c r="O14" s="26">
        <v>7.14</v>
      </c>
      <c r="P14" s="52">
        <f t="shared" si="4"/>
        <v>113097.59999999999</v>
      </c>
      <c r="Q14" s="53">
        <f t="shared" si="5"/>
        <v>287654.40000000689</v>
      </c>
      <c r="R14" s="54">
        <f t="shared" si="1"/>
        <v>20.002392045059931</v>
      </c>
      <c r="S14" s="23"/>
    </row>
    <row r="15" spans="1:21" x14ac:dyDescent="0.25">
      <c r="A15" s="22"/>
      <c r="B15" s="24">
        <v>7</v>
      </c>
      <c r="C15" s="48">
        <f>Electricity!C14</f>
        <v>2</v>
      </c>
      <c r="D15" s="49">
        <f>Electricity!D14</f>
        <v>4</v>
      </c>
      <c r="E15" s="83">
        <v>8578.41</v>
      </c>
      <c r="F15" s="26">
        <v>9.2600000000002183</v>
      </c>
      <c r="G15" s="51">
        <f t="shared" si="2"/>
        <v>146678.40000000346</v>
      </c>
      <c r="H15" s="50"/>
      <c r="I15" s="51">
        <v>0</v>
      </c>
      <c r="J15" s="51">
        <f t="shared" si="3"/>
        <v>0</v>
      </c>
      <c r="K15" s="50"/>
      <c r="L15" s="26">
        <v>0</v>
      </c>
      <c r="M15" s="27">
        <f t="shared" si="0"/>
        <v>0</v>
      </c>
      <c r="N15" s="50"/>
      <c r="O15" s="26">
        <v>7.14</v>
      </c>
      <c r="P15" s="52">
        <f t="shared" si="4"/>
        <v>113097.59999999999</v>
      </c>
      <c r="Q15" s="53">
        <f t="shared" si="5"/>
        <v>259776.00000000343</v>
      </c>
      <c r="R15" s="54">
        <f t="shared" si="1"/>
        <v>18.063834225714722</v>
      </c>
      <c r="S15" s="23"/>
    </row>
    <row r="16" spans="1:21" x14ac:dyDescent="0.25">
      <c r="A16" s="22"/>
      <c r="B16" s="24">
        <v>8</v>
      </c>
      <c r="C16" s="48">
        <f>Electricity!C15</f>
        <v>0</v>
      </c>
      <c r="D16" s="49">
        <f>Electricity!D15</f>
        <v>4</v>
      </c>
      <c r="E16" s="83">
        <v>8587.1299999999992</v>
      </c>
      <c r="F16" s="26">
        <v>8.7199999999993452</v>
      </c>
      <c r="G16" s="51">
        <f t="shared" si="2"/>
        <v>138124.79999998963</v>
      </c>
      <c r="H16" s="50"/>
      <c r="I16" s="51">
        <v>0</v>
      </c>
      <c r="J16" s="51">
        <f t="shared" si="3"/>
        <v>0</v>
      </c>
      <c r="K16" s="50"/>
      <c r="L16" s="26">
        <v>0</v>
      </c>
      <c r="M16" s="27">
        <f t="shared" si="0"/>
        <v>0</v>
      </c>
      <c r="N16" s="50"/>
      <c r="O16" s="26">
        <v>7.14</v>
      </c>
      <c r="P16" s="52">
        <f t="shared" si="4"/>
        <v>113097.59999999999</v>
      </c>
      <c r="Q16" s="53">
        <f t="shared" si="5"/>
        <v>251222.3999999896</v>
      </c>
      <c r="R16" s="54">
        <f t="shared" si="1"/>
        <v>17.469049440232919</v>
      </c>
      <c r="S16" s="23"/>
    </row>
    <row r="17" spans="1:19" x14ac:dyDescent="0.25">
      <c r="A17" s="22"/>
      <c r="B17" s="24">
        <v>9</v>
      </c>
      <c r="C17" s="48">
        <f>Electricity!C16</f>
        <v>1</v>
      </c>
      <c r="D17" s="49">
        <f>Electricity!D16</f>
        <v>6</v>
      </c>
      <c r="E17" s="84">
        <v>8596.02</v>
      </c>
      <c r="F17" s="26">
        <v>8.8900000000012369</v>
      </c>
      <c r="G17" s="51">
        <f t="shared" si="2"/>
        <v>140817.60000001959</v>
      </c>
      <c r="H17" s="50"/>
      <c r="I17" s="51">
        <v>0</v>
      </c>
      <c r="J17" s="51">
        <f t="shared" si="3"/>
        <v>0</v>
      </c>
      <c r="K17" s="50"/>
      <c r="L17" s="26">
        <v>0</v>
      </c>
      <c r="M17" s="27">
        <f t="shared" si="0"/>
        <v>0</v>
      </c>
      <c r="N17" s="50"/>
      <c r="O17" s="26">
        <v>7.14</v>
      </c>
      <c r="P17" s="52">
        <f t="shared" si="4"/>
        <v>113097.59999999999</v>
      </c>
      <c r="Q17" s="53">
        <f t="shared" si="5"/>
        <v>253915.20000001957</v>
      </c>
      <c r="R17" s="54">
        <f t="shared" si="1"/>
        <v>17.656296502330822</v>
      </c>
      <c r="S17" s="23"/>
    </row>
    <row r="18" spans="1:19" x14ac:dyDescent="0.25">
      <c r="A18" s="22"/>
      <c r="B18" s="24">
        <v>10</v>
      </c>
      <c r="C18" s="48">
        <f>Electricity!C17</f>
        <v>5</v>
      </c>
      <c r="D18" s="49">
        <f>Electricity!D17</f>
        <v>11</v>
      </c>
      <c r="E18" s="83">
        <v>8608.7900000000009</v>
      </c>
      <c r="F18" s="26">
        <v>12.770000000000437</v>
      </c>
      <c r="G18" s="51">
        <f t="shared" si="2"/>
        <v>202276.80000000692</v>
      </c>
      <c r="H18" s="50"/>
      <c r="I18" s="51">
        <f t="shared" ref="I18:I36" si="6">H18-H17</f>
        <v>0</v>
      </c>
      <c r="J18" s="51">
        <f t="shared" si="3"/>
        <v>0</v>
      </c>
      <c r="K18" s="50"/>
      <c r="L18" s="26">
        <v>0</v>
      </c>
      <c r="M18" s="27">
        <f t="shared" si="0"/>
        <v>0</v>
      </c>
      <c r="N18" s="50"/>
      <c r="O18" s="26">
        <v>7.14</v>
      </c>
      <c r="P18" s="52">
        <f t="shared" si="4"/>
        <v>113097.59999999999</v>
      </c>
      <c r="Q18" s="53">
        <f t="shared" si="5"/>
        <v>315374.40000000689</v>
      </c>
      <c r="R18" s="54">
        <f t="shared" si="1"/>
        <v>21.929935331340442</v>
      </c>
      <c r="S18" s="23"/>
    </row>
    <row r="19" spans="1:19" x14ac:dyDescent="0.25">
      <c r="A19" s="22"/>
      <c r="B19" s="24">
        <v>11</v>
      </c>
      <c r="C19" s="48">
        <f>Electricity!C18</f>
        <v>1</v>
      </c>
      <c r="D19" s="49">
        <f>Electricity!D18</f>
        <v>15</v>
      </c>
      <c r="E19" s="83">
        <v>8616.0499999999993</v>
      </c>
      <c r="F19" s="26">
        <v>7.2599999999983993</v>
      </c>
      <c r="G19" s="51">
        <f t="shared" si="2"/>
        <v>114998.39999997464</v>
      </c>
      <c r="H19" s="50"/>
      <c r="I19" s="51">
        <f t="shared" si="6"/>
        <v>0</v>
      </c>
      <c r="J19" s="51">
        <f t="shared" si="3"/>
        <v>0</v>
      </c>
      <c r="K19" s="50"/>
      <c r="L19" s="26">
        <v>0</v>
      </c>
      <c r="M19" s="27">
        <f t="shared" si="0"/>
        <v>0</v>
      </c>
      <c r="N19" s="50"/>
      <c r="O19" s="26">
        <v>7.14</v>
      </c>
      <c r="P19" s="52">
        <f t="shared" si="4"/>
        <v>113097.59999999999</v>
      </c>
      <c r="Q19" s="53">
        <f t="shared" si="5"/>
        <v>228095.99999997462</v>
      </c>
      <c r="R19" s="54">
        <f t="shared" si="1"/>
        <v>15.86092761282071</v>
      </c>
      <c r="S19" s="23"/>
    </row>
    <row r="20" spans="1:19" x14ac:dyDescent="0.25">
      <c r="A20" s="22"/>
      <c r="B20" s="24">
        <v>12</v>
      </c>
      <c r="C20" s="48">
        <f>Electricity!C19</f>
        <v>3</v>
      </c>
      <c r="D20" s="49">
        <f>Electricity!D19</f>
        <v>18</v>
      </c>
      <c r="E20" s="83">
        <v>8623.82</v>
      </c>
      <c r="F20" s="26">
        <v>7.7700000000004366</v>
      </c>
      <c r="G20" s="51">
        <f t="shared" si="2"/>
        <v>123076.80000000692</v>
      </c>
      <c r="H20" s="50"/>
      <c r="I20" s="51">
        <f t="shared" si="6"/>
        <v>0</v>
      </c>
      <c r="J20" s="51">
        <f t="shared" si="3"/>
        <v>0</v>
      </c>
      <c r="K20" s="50"/>
      <c r="L20" s="26">
        <v>0</v>
      </c>
      <c r="M20" s="27">
        <f t="shared" si="0"/>
        <v>0</v>
      </c>
      <c r="N20" s="50"/>
      <c r="O20" s="26">
        <v>7.14</v>
      </c>
      <c r="P20" s="52">
        <f t="shared" si="4"/>
        <v>113097.59999999999</v>
      </c>
      <c r="Q20" s="53">
        <f t="shared" si="5"/>
        <v>236174.40000000689</v>
      </c>
      <c r="R20" s="54">
        <f t="shared" si="1"/>
        <v>16.422668799110415</v>
      </c>
      <c r="S20" s="23"/>
    </row>
    <row r="21" spans="1:19" x14ac:dyDescent="0.25">
      <c r="A21" s="22"/>
      <c r="B21" s="24">
        <v>13</v>
      </c>
      <c r="C21" s="48">
        <f>Electricity!C20</f>
        <v>4</v>
      </c>
      <c r="D21" s="49">
        <f>Electricity!D20</f>
        <v>27</v>
      </c>
      <c r="E21" s="83">
        <v>8633.01</v>
      </c>
      <c r="F21" s="26">
        <v>9.1900000000005093</v>
      </c>
      <c r="G21" s="51">
        <f t="shared" si="2"/>
        <v>145569.60000000807</v>
      </c>
      <c r="H21" s="50"/>
      <c r="I21" s="51">
        <f t="shared" si="6"/>
        <v>0</v>
      </c>
      <c r="J21" s="51">
        <f t="shared" si="3"/>
        <v>0</v>
      </c>
      <c r="K21" s="50"/>
      <c r="L21" s="26">
        <v>0</v>
      </c>
      <c r="M21" s="27">
        <f t="shared" si="0"/>
        <v>0</v>
      </c>
      <c r="N21" s="50"/>
      <c r="O21" s="26">
        <v>7.14</v>
      </c>
      <c r="P21" s="52">
        <f t="shared" si="4"/>
        <v>113097.59999999999</v>
      </c>
      <c r="Q21" s="53">
        <f t="shared" si="5"/>
        <v>258667.20000000804</v>
      </c>
      <c r="R21" s="54">
        <f t="shared" si="1"/>
        <v>17.986732494263823</v>
      </c>
      <c r="S21" s="23"/>
    </row>
    <row r="22" spans="1:19" x14ac:dyDescent="0.25">
      <c r="A22" s="22"/>
      <c r="B22" s="24">
        <v>14</v>
      </c>
      <c r="C22" s="48">
        <f>Electricity!C21</f>
        <v>6</v>
      </c>
      <c r="D22" s="49">
        <f>Electricity!D21</f>
        <v>48</v>
      </c>
      <c r="E22" s="83">
        <v>8643.43</v>
      </c>
      <c r="F22" s="26">
        <v>10.420000000000073</v>
      </c>
      <c r="G22" s="51">
        <f t="shared" si="2"/>
        <v>165052.80000000115</v>
      </c>
      <c r="H22" s="50"/>
      <c r="I22" s="51">
        <f t="shared" si="6"/>
        <v>0</v>
      </c>
      <c r="J22" s="51">
        <f t="shared" si="3"/>
        <v>0</v>
      </c>
      <c r="K22" s="50"/>
      <c r="L22" s="26">
        <v>0</v>
      </c>
      <c r="M22" s="27">
        <f t="shared" si="0"/>
        <v>0</v>
      </c>
      <c r="N22" s="50"/>
      <c r="O22" s="26">
        <v>7.14</v>
      </c>
      <c r="P22" s="52">
        <f t="shared" si="4"/>
        <v>113097.59999999999</v>
      </c>
      <c r="Q22" s="53">
        <f t="shared" si="5"/>
        <v>278150.40000000113</v>
      </c>
      <c r="R22" s="54">
        <f t="shared" si="1"/>
        <v>19.341520061191929</v>
      </c>
      <c r="S22" s="23"/>
    </row>
    <row r="23" spans="1:19" x14ac:dyDescent="0.25">
      <c r="A23" s="22"/>
      <c r="B23" s="24">
        <v>15</v>
      </c>
      <c r="C23" s="48">
        <f>Electricity!C22</f>
        <v>5</v>
      </c>
      <c r="D23" s="49">
        <f>Electricity!D22</f>
        <v>30</v>
      </c>
      <c r="E23" s="83">
        <v>8655.8700000000008</v>
      </c>
      <c r="F23" s="26">
        <v>12.440000000000509</v>
      </c>
      <c r="G23" s="51">
        <f t="shared" si="2"/>
        <v>197049.60000000807</v>
      </c>
      <c r="H23" s="50"/>
      <c r="I23" s="51">
        <f t="shared" si="6"/>
        <v>0</v>
      </c>
      <c r="J23" s="51">
        <f t="shared" si="3"/>
        <v>0</v>
      </c>
      <c r="K23" s="50"/>
      <c r="L23" s="26">
        <v>0</v>
      </c>
      <c r="M23" s="27">
        <f t="shared" si="0"/>
        <v>0</v>
      </c>
      <c r="N23" s="50"/>
      <c r="O23" s="26">
        <v>7.14</v>
      </c>
      <c r="P23" s="52">
        <f t="shared" si="4"/>
        <v>113097.59999999999</v>
      </c>
      <c r="Q23" s="53">
        <f t="shared" si="5"/>
        <v>310147.20000000804</v>
      </c>
      <c r="R23" s="54">
        <f t="shared" si="1"/>
        <v>21.566455740213339</v>
      </c>
      <c r="S23" s="23"/>
    </row>
    <row r="24" spans="1:19" x14ac:dyDescent="0.25">
      <c r="A24" s="22"/>
      <c r="B24" s="24">
        <v>16</v>
      </c>
      <c r="C24" s="48">
        <f>Electricity!C23</f>
        <v>3</v>
      </c>
      <c r="D24" s="49">
        <f>Electricity!D23</f>
        <v>15</v>
      </c>
      <c r="E24" s="83">
        <v>8663.7000000000007</v>
      </c>
      <c r="F24" s="26">
        <v>7.8299999999999272</v>
      </c>
      <c r="G24" s="51">
        <f t="shared" si="2"/>
        <v>124027.19999999885</v>
      </c>
      <c r="H24" s="50"/>
      <c r="I24" s="51">
        <f t="shared" si="6"/>
        <v>0</v>
      </c>
      <c r="J24" s="51">
        <f t="shared" si="3"/>
        <v>0</v>
      </c>
      <c r="K24" s="50"/>
      <c r="L24" s="26">
        <v>0</v>
      </c>
      <c r="M24" s="27">
        <f t="shared" si="0"/>
        <v>0</v>
      </c>
      <c r="N24" s="50"/>
      <c r="O24" s="26">
        <v>7.14</v>
      </c>
      <c r="P24" s="52">
        <f t="shared" si="4"/>
        <v>113097.59999999999</v>
      </c>
      <c r="Q24" s="53">
        <f t="shared" si="5"/>
        <v>237124.79999999882</v>
      </c>
      <c r="R24" s="54">
        <f t="shared" si="1"/>
        <v>16.488755997496614</v>
      </c>
      <c r="S24" s="23"/>
    </row>
    <row r="25" spans="1:19" x14ac:dyDescent="0.25">
      <c r="A25" s="22"/>
      <c r="B25" s="24">
        <v>17</v>
      </c>
      <c r="C25" s="48">
        <f>Electricity!C24</f>
        <v>1</v>
      </c>
      <c r="D25" s="49">
        <f>Electricity!D24</f>
        <v>12</v>
      </c>
      <c r="E25" s="83">
        <v>8672.17</v>
      </c>
      <c r="F25" s="26">
        <v>8.4699999999993452</v>
      </c>
      <c r="G25" s="51">
        <f t="shared" si="2"/>
        <v>134164.79999998963</v>
      </c>
      <c r="H25" s="50"/>
      <c r="I25" s="51">
        <f t="shared" si="6"/>
        <v>0</v>
      </c>
      <c r="J25" s="51">
        <f t="shared" si="3"/>
        <v>0</v>
      </c>
      <c r="K25" s="50"/>
      <c r="L25" s="26">
        <v>0</v>
      </c>
      <c r="M25" s="27">
        <f t="shared" si="0"/>
        <v>0</v>
      </c>
      <c r="N25" s="50"/>
      <c r="O25" s="26">
        <v>7.14</v>
      </c>
      <c r="P25" s="52">
        <f t="shared" si="4"/>
        <v>113097.59999999999</v>
      </c>
      <c r="Q25" s="53">
        <f t="shared" si="5"/>
        <v>247262.3999999896</v>
      </c>
      <c r="R25" s="54">
        <f t="shared" si="1"/>
        <v>17.193686113621418</v>
      </c>
      <c r="S25" s="23"/>
    </row>
    <row r="26" spans="1:19" x14ac:dyDescent="0.25">
      <c r="A26" s="22"/>
      <c r="B26" s="24">
        <v>18</v>
      </c>
      <c r="C26" s="48">
        <f>Electricity!C25</f>
        <v>2</v>
      </c>
      <c r="D26" s="49">
        <f>Electricity!D25</f>
        <v>8</v>
      </c>
      <c r="E26" s="83">
        <v>8681.5</v>
      </c>
      <c r="F26" s="26">
        <v>9.3299999999999272</v>
      </c>
      <c r="G26" s="51">
        <f t="shared" si="2"/>
        <v>147787.19999999885</v>
      </c>
      <c r="H26" s="50"/>
      <c r="I26" s="51">
        <f t="shared" si="6"/>
        <v>0</v>
      </c>
      <c r="J26" s="51">
        <f t="shared" si="3"/>
        <v>0</v>
      </c>
      <c r="K26" s="50"/>
      <c r="L26" s="26">
        <v>0</v>
      </c>
      <c r="M26" s="27">
        <f t="shared" si="0"/>
        <v>0</v>
      </c>
      <c r="N26" s="50"/>
      <c r="O26" s="26">
        <v>7.14</v>
      </c>
      <c r="P26" s="52">
        <f t="shared" si="4"/>
        <v>113097.59999999999</v>
      </c>
      <c r="Q26" s="53">
        <f t="shared" si="5"/>
        <v>260884.79999999882</v>
      </c>
      <c r="R26" s="54">
        <f t="shared" si="1"/>
        <v>18.140935957165624</v>
      </c>
      <c r="S26" s="23"/>
    </row>
    <row r="27" spans="1:19" x14ac:dyDescent="0.25">
      <c r="A27" s="22"/>
      <c r="B27" s="24">
        <v>19</v>
      </c>
      <c r="C27" s="48">
        <f>Electricity!C26</f>
        <v>3</v>
      </c>
      <c r="D27" s="49">
        <f>Electricity!D26</f>
        <v>18</v>
      </c>
      <c r="E27" s="83">
        <v>8691.06</v>
      </c>
      <c r="F27" s="26">
        <v>9.5599999999994907</v>
      </c>
      <c r="G27" s="51">
        <f t="shared" si="2"/>
        <v>151430.39999999193</v>
      </c>
      <c r="H27" s="50"/>
      <c r="I27" s="51">
        <f t="shared" si="6"/>
        <v>0</v>
      </c>
      <c r="J27" s="51">
        <f t="shared" si="3"/>
        <v>0</v>
      </c>
      <c r="K27" s="50"/>
      <c r="L27" s="26">
        <v>0</v>
      </c>
      <c r="M27" s="27">
        <f t="shared" si="0"/>
        <v>0</v>
      </c>
      <c r="N27" s="50"/>
      <c r="O27" s="26">
        <v>7.14</v>
      </c>
      <c r="P27" s="52">
        <f t="shared" si="4"/>
        <v>113097.59999999999</v>
      </c>
      <c r="Q27" s="53">
        <f t="shared" si="5"/>
        <v>264527.99999999191</v>
      </c>
      <c r="R27" s="54">
        <f t="shared" si="1"/>
        <v>18.394270217647723</v>
      </c>
      <c r="S27" s="23"/>
    </row>
    <row r="28" spans="1:19" x14ac:dyDescent="0.25">
      <c r="A28" s="22"/>
      <c r="B28" s="24">
        <v>20</v>
      </c>
      <c r="C28" s="48">
        <f>Electricity!C27</f>
        <v>3</v>
      </c>
      <c r="D28" s="49">
        <f>Electricity!D27</f>
        <v>21</v>
      </c>
      <c r="E28" s="83">
        <v>8700.85</v>
      </c>
      <c r="F28" s="26">
        <v>9.7900000000008731</v>
      </c>
      <c r="G28" s="51">
        <f t="shared" si="2"/>
        <v>155073.60000001383</v>
      </c>
      <c r="H28" s="50"/>
      <c r="I28" s="51">
        <f t="shared" si="6"/>
        <v>0</v>
      </c>
      <c r="J28" s="51">
        <f t="shared" si="3"/>
        <v>0</v>
      </c>
      <c r="K28" s="50"/>
      <c r="L28" s="26">
        <v>0</v>
      </c>
      <c r="M28" s="27">
        <f t="shared" si="0"/>
        <v>0</v>
      </c>
      <c r="N28" s="50"/>
      <c r="O28" s="26">
        <v>7.14</v>
      </c>
      <c r="P28" s="52">
        <f t="shared" si="4"/>
        <v>113097.59999999999</v>
      </c>
      <c r="Q28" s="53">
        <f t="shared" si="5"/>
        <v>268171.20000001381</v>
      </c>
      <c r="R28" s="54">
        <f t="shared" si="1"/>
        <v>18.647604478131829</v>
      </c>
      <c r="S28" s="23"/>
    </row>
    <row r="29" spans="1:19" x14ac:dyDescent="0.25">
      <c r="A29" s="22"/>
      <c r="B29" s="24">
        <v>21</v>
      </c>
      <c r="C29" s="48">
        <f>Electricity!C28</f>
        <v>0</v>
      </c>
      <c r="D29" s="49">
        <f>Electricity!D28</f>
        <v>6</v>
      </c>
      <c r="E29" s="83">
        <v>8708.7199999999993</v>
      </c>
      <c r="F29" s="26">
        <v>7.8699999999989814</v>
      </c>
      <c r="G29" s="51">
        <f t="shared" si="2"/>
        <v>124660.79999998386</v>
      </c>
      <c r="H29" s="50"/>
      <c r="I29" s="51">
        <f t="shared" si="6"/>
        <v>0</v>
      </c>
      <c r="J29" s="51">
        <f t="shared" si="3"/>
        <v>0</v>
      </c>
      <c r="K29" s="50"/>
      <c r="L29" s="26">
        <v>0</v>
      </c>
      <c r="M29" s="27">
        <f t="shared" si="0"/>
        <v>0</v>
      </c>
      <c r="N29" s="50"/>
      <c r="O29" s="26">
        <v>7.14</v>
      </c>
      <c r="P29" s="52">
        <f t="shared" si="4"/>
        <v>113097.59999999999</v>
      </c>
      <c r="Q29" s="53">
        <f t="shared" si="5"/>
        <v>237758.39999998384</v>
      </c>
      <c r="R29" s="54">
        <f t="shared" si="1"/>
        <v>16.532814129753415</v>
      </c>
      <c r="S29" s="23"/>
    </row>
    <row r="30" spans="1:19" x14ac:dyDescent="0.25">
      <c r="A30" s="22"/>
      <c r="B30" s="24">
        <v>22</v>
      </c>
      <c r="C30" s="48">
        <f>Electricity!C29</f>
        <v>0</v>
      </c>
      <c r="D30" s="49">
        <f>Electricity!D29</f>
        <v>0</v>
      </c>
      <c r="E30" s="83">
        <v>8714</v>
      </c>
      <c r="F30" s="26">
        <v>5.2800000000006548</v>
      </c>
      <c r="G30" s="51">
        <f t="shared" si="2"/>
        <v>83635.200000010373</v>
      </c>
      <c r="H30" s="50"/>
      <c r="I30" s="51">
        <f t="shared" si="6"/>
        <v>0</v>
      </c>
      <c r="J30" s="51">
        <f t="shared" si="3"/>
        <v>0</v>
      </c>
      <c r="K30" s="50"/>
      <c r="L30" s="26">
        <v>0</v>
      </c>
      <c r="M30" s="27">
        <f t="shared" si="0"/>
        <v>0</v>
      </c>
      <c r="N30" s="50"/>
      <c r="O30" s="26">
        <v>7.14</v>
      </c>
      <c r="P30" s="52">
        <f t="shared" si="4"/>
        <v>113097.59999999999</v>
      </c>
      <c r="Q30" s="53">
        <f t="shared" si="5"/>
        <v>196732.80000001035</v>
      </c>
      <c r="R30" s="54">
        <f t="shared" si="1"/>
        <v>13.680050066060103</v>
      </c>
      <c r="S30" s="23"/>
    </row>
    <row r="31" spans="1:19" x14ac:dyDescent="0.25">
      <c r="A31" s="22"/>
      <c r="B31" s="24">
        <v>23</v>
      </c>
      <c r="C31" s="48">
        <f>Electricity!C30</f>
        <v>1</v>
      </c>
      <c r="D31" s="49">
        <f>Electricity!D30</f>
        <v>6</v>
      </c>
      <c r="E31" s="83">
        <v>8722.9500000000007</v>
      </c>
      <c r="F31" s="26">
        <v>8.9500000000007276</v>
      </c>
      <c r="G31" s="51">
        <f t="shared" si="2"/>
        <v>141768.00000001153</v>
      </c>
      <c r="H31" s="50"/>
      <c r="I31" s="51">
        <f t="shared" si="6"/>
        <v>0</v>
      </c>
      <c r="J31" s="51">
        <f t="shared" si="3"/>
        <v>0</v>
      </c>
      <c r="K31" s="50"/>
      <c r="L31" s="26">
        <v>0</v>
      </c>
      <c r="M31" s="27">
        <f t="shared" si="0"/>
        <v>0</v>
      </c>
      <c r="N31" s="50"/>
      <c r="O31" s="26">
        <v>7.14</v>
      </c>
      <c r="P31" s="52">
        <f t="shared" si="4"/>
        <v>113097.59999999999</v>
      </c>
      <c r="Q31" s="53">
        <f t="shared" si="5"/>
        <v>254865.6000000115</v>
      </c>
      <c r="R31" s="54">
        <f t="shared" si="1"/>
        <v>17.722383700717021</v>
      </c>
      <c r="S31" s="23"/>
    </row>
    <row r="32" spans="1:19" x14ac:dyDescent="0.25">
      <c r="A32" s="22"/>
      <c r="B32" s="24">
        <v>24</v>
      </c>
      <c r="C32" s="48">
        <f>Electricity!C31</f>
        <v>5</v>
      </c>
      <c r="D32" s="49">
        <f>Electricity!D31</f>
        <v>13</v>
      </c>
      <c r="E32" s="83">
        <v>8733.39</v>
      </c>
      <c r="F32" s="82">
        <v>10.43999999999869</v>
      </c>
      <c r="G32" s="51">
        <f t="shared" si="2"/>
        <v>165369.59999997925</v>
      </c>
      <c r="H32" s="50"/>
      <c r="I32" s="51">
        <f t="shared" si="6"/>
        <v>0</v>
      </c>
      <c r="J32" s="51">
        <f t="shared" si="3"/>
        <v>0</v>
      </c>
      <c r="K32" s="50"/>
      <c r="L32" s="26">
        <v>0</v>
      </c>
      <c r="M32" s="27">
        <f t="shared" si="0"/>
        <v>0</v>
      </c>
      <c r="N32" s="50"/>
      <c r="O32" s="26">
        <v>7.14</v>
      </c>
      <c r="P32" s="52">
        <f t="shared" si="4"/>
        <v>113097.59999999999</v>
      </c>
      <c r="Q32" s="53">
        <f t="shared" si="5"/>
        <v>278467.19999997923</v>
      </c>
      <c r="R32" s="54">
        <f t="shared" si="1"/>
        <v>19.363549127319327</v>
      </c>
      <c r="S32" s="23"/>
    </row>
    <row r="33" spans="1:21" x14ac:dyDescent="0.25">
      <c r="A33" s="22"/>
      <c r="B33" s="24">
        <v>25</v>
      </c>
      <c r="C33" s="48">
        <f>Electricity!C32</f>
        <v>9</v>
      </c>
      <c r="D33" s="49">
        <f>Electricity!D32</f>
        <v>20</v>
      </c>
      <c r="E33" s="83">
        <v>8742.8799999999992</v>
      </c>
      <c r="F33" s="82">
        <v>9.4899999999997817</v>
      </c>
      <c r="G33" s="51">
        <f t="shared" si="2"/>
        <v>150321.59999999654</v>
      </c>
      <c r="H33" s="50"/>
      <c r="I33" s="51">
        <f t="shared" si="6"/>
        <v>0</v>
      </c>
      <c r="J33" s="51">
        <f t="shared" si="3"/>
        <v>0</v>
      </c>
      <c r="K33" s="50"/>
      <c r="L33" s="26">
        <v>0</v>
      </c>
      <c r="M33" s="27">
        <f t="shared" si="0"/>
        <v>0</v>
      </c>
      <c r="N33" s="50"/>
      <c r="O33" s="26">
        <v>7.14</v>
      </c>
      <c r="P33" s="52">
        <f t="shared" si="4"/>
        <v>113097.59999999999</v>
      </c>
      <c r="Q33" s="53">
        <f t="shared" si="5"/>
        <v>263419.19999999652</v>
      </c>
      <c r="R33" s="54">
        <f t="shared" si="1"/>
        <v>18.317168486196824</v>
      </c>
      <c r="S33" s="23"/>
    </row>
    <row r="34" spans="1:21" x14ac:dyDescent="0.25">
      <c r="A34" s="22"/>
      <c r="B34" s="24">
        <v>26</v>
      </c>
      <c r="C34" s="48">
        <f>Electricity!C33</f>
        <v>7</v>
      </c>
      <c r="D34" s="49">
        <f>Electricity!D33</f>
        <v>50</v>
      </c>
      <c r="E34" s="83">
        <v>8751.77</v>
      </c>
      <c r="F34" s="82">
        <v>8.8900000000012369</v>
      </c>
      <c r="G34" s="51">
        <f t="shared" si="2"/>
        <v>140817.60000001959</v>
      </c>
      <c r="H34" s="50"/>
      <c r="I34" s="51">
        <f t="shared" si="6"/>
        <v>0</v>
      </c>
      <c r="J34" s="51">
        <f t="shared" si="3"/>
        <v>0</v>
      </c>
      <c r="K34" s="50"/>
      <c r="L34" s="26">
        <v>0</v>
      </c>
      <c r="M34" s="27">
        <f t="shared" si="0"/>
        <v>0</v>
      </c>
      <c r="N34" s="50"/>
      <c r="O34" s="26">
        <v>7.14</v>
      </c>
      <c r="P34" s="52">
        <f t="shared" si="4"/>
        <v>113097.59999999999</v>
      </c>
      <c r="Q34" s="53">
        <f t="shared" si="5"/>
        <v>253915.20000001957</v>
      </c>
      <c r="R34" s="54">
        <f t="shared" si="1"/>
        <v>17.656296502330822</v>
      </c>
      <c r="S34" s="23"/>
    </row>
    <row r="35" spans="1:21" x14ac:dyDescent="0.25">
      <c r="A35" s="22"/>
      <c r="B35" s="24">
        <v>27</v>
      </c>
      <c r="C35" s="48">
        <f>Electricity!C34</f>
        <v>7</v>
      </c>
      <c r="D35" s="49">
        <f>Electricity!D34</f>
        <v>33</v>
      </c>
      <c r="E35" s="83">
        <v>8762.92</v>
      </c>
      <c r="F35" s="82">
        <v>11.15</v>
      </c>
      <c r="G35" s="51">
        <f t="shared" si="2"/>
        <v>176616</v>
      </c>
      <c r="H35" s="50"/>
      <c r="I35" s="51">
        <f t="shared" si="6"/>
        <v>0</v>
      </c>
      <c r="J35" s="51">
        <f t="shared" si="3"/>
        <v>0</v>
      </c>
      <c r="K35" s="50"/>
      <c r="L35" s="26">
        <v>0</v>
      </c>
      <c r="M35" s="27">
        <f t="shared" si="0"/>
        <v>0</v>
      </c>
      <c r="N35" s="50"/>
      <c r="O35" s="26">
        <v>7.14</v>
      </c>
      <c r="P35" s="52">
        <f t="shared" si="4"/>
        <v>113097.59999999999</v>
      </c>
      <c r="Q35" s="53">
        <f t="shared" si="5"/>
        <v>289713.59999999998</v>
      </c>
      <c r="R35" s="54">
        <f t="shared" si="1"/>
        <v>20.145580974897431</v>
      </c>
      <c r="S35" s="23"/>
    </row>
    <row r="36" spans="1:21" x14ac:dyDescent="0.25">
      <c r="A36" s="22"/>
      <c r="B36" s="24">
        <v>28</v>
      </c>
      <c r="C36" s="48">
        <f>Electricity!C35</f>
        <v>6</v>
      </c>
      <c r="D36" s="49">
        <f>Electricity!D35</f>
        <v>27</v>
      </c>
      <c r="E36" s="83">
        <v>8774.2199999999993</v>
      </c>
      <c r="F36" s="82">
        <v>11.3</v>
      </c>
      <c r="G36" s="51">
        <f t="shared" si="2"/>
        <v>178992</v>
      </c>
      <c r="H36" s="50"/>
      <c r="I36" s="51">
        <f t="shared" si="6"/>
        <v>0</v>
      </c>
      <c r="J36" s="51">
        <f t="shared" si="3"/>
        <v>0</v>
      </c>
      <c r="K36" s="50"/>
      <c r="L36" s="26">
        <v>0</v>
      </c>
      <c r="M36" s="27">
        <f t="shared" si="0"/>
        <v>0</v>
      </c>
      <c r="N36" s="50"/>
      <c r="O36" s="26">
        <v>7.14</v>
      </c>
      <c r="P36" s="52">
        <f t="shared" si="4"/>
        <v>113097.59999999999</v>
      </c>
      <c r="Q36" s="53">
        <f t="shared" si="5"/>
        <v>292089.59999999998</v>
      </c>
      <c r="R36" s="54">
        <f t="shared" si="1"/>
        <v>20.310798970864333</v>
      </c>
      <c r="S36" s="23"/>
    </row>
    <row r="37" spans="1:21" s="12" customFormat="1" x14ac:dyDescent="0.25">
      <c r="C37" s="55">
        <f>SUM(C9:C36)</f>
        <v>95</v>
      </c>
      <c r="D37" s="55">
        <f>SUM(D9:D36)</f>
        <v>548</v>
      </c>
      <c r="E37" s="32"/>
      <c r="F37" s="32">
        <f>SUM(F9:F36)</f>
        <v>269.05000000000035</v>
      </c>
      <c r="G37" s="42"/>
      <c r="H37" s="42"/>
      <c r="I37" s="32" t="s">
        <v>42</v>
      </c>
      <c r="J37" s="42"/>
      <c r="K37" s="42"/>
      <c r="L37" s="32" t="s">
        <v>42</v>
      </c>
      <c r="M37" s="42"/>
      <c r="N37" s="41"/>
      <c r="O37" s="32">
        <f>SUM(O9:O36)</f>
        <v>199.91999999999985</v>
      </c>
      <c r="P37" s="42"/>
      <c r="R37" s="94">
        <f>SUM(R9:R36)</f>
        <v>516.54855712398341</v>
      </c>
      <c r="U37" s="37"/>
    </row>
    <row r="38" spans="1:21" x14ac:dyDescent="0.25">
      <c r="E38" s="56"/>
      <c r="F38" s="57"/>
      <c r="G38" s="43"/>
      <c r="H38" s="43"/>
      <c r="I38" s="43"/>
      <c r="J38" s="43"/>
      <c r="K38" s="43"/>
      <c r="L38" s="43"/>
      <c r="M38" s="43"/>
      <c r="N38" s="61" t="s">
        <v>43</v>
      </c>
      <c r="O38" s="65">
        <f>F37+O37</f>
        <v>468.9700000000002</v>
      </c>
      <c r="P38" s="58"/>
      <c r="Q38" s="32"/>
      <c r="R38" s="43"/>
      <c r="U38" s="39"/>
    </row>
    <row r="39" spans="1:21" x14ac:dyDescent="0.25">
      <c r="B39" s="59"/>
      <c r="E39" s="41"/>
      <c r="F39" s="42"/>
      <c r="G39" s="42"/>
      <c r="H39" s="42"/>
      <c r="I39" s="42"/>
      <c r="J39" s="42"/>
      <c r="K39" s="42"/>
      <c r="L39" s="42"/>
      <c r="M39" s="43"/>
      <c r="N39" s="41"/>
      <c r="O39" s="42"/>
      <c r="P39" s="42"/>
      <c r="Q39" s="44"/>
      <c r="R39" s="60"/>
    </row>
    <row r="40" spans="1:21" x14ac:dyDescent="0.25">
      <c r="E40" s="61"/>
      <c r="F40" s="61"/>
      <c r="G40" s="61"/>
      <c r="H40" s="61"/>
      <c r="I40" s="61"/>
      <c r="J40" s="61"/>
      <c r="K40" s="61"/>
      <c r="L40" s="61"/>
      <c r="M40" s="62"/>
      <c r="N40" s="61"/>
      <c r="O40" s="61"/>
      <c r="Q40" s="61"/>
      <c r="R40" s="63"/>
    </row>
    <row r="41" spans="1:21" x14ac:dyDescent="0.25">
      <c r="R41" s="63"/>
    </row>
  </sheetData>
  <mergeCells count="20">
    <mergeCell ref="E7:E8"/>
    <mergeCell ref="F7:F8"/>
    <mergeCell ref="H7:H8"/>
    <mergeCell ref="I7:I8"/>
    <mergeCell ref="K7:K8"/>
    <mergeCell ref="L7:L8"/>
    <mergeCell ref="N7:N8"/>
    <mergeCell ref="O7:O8"/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0"/>
  <sheetViews>
    <sheetView workbookViewId="0">
      <selection activeCell="Q18" sqref="Q18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customWidth="1"/>
    <col min="4" max="4" width="8.42578125" style="21" customWidth="1"/>
    <col min="5" max="5" width="9.85546875" style="21" customWidth="1"/>
    <col min="6" max="6" width="8" style="78" bestFit="1" customWidth="1"/>
    <col min="7" max="7" width="13.28515625" style="78" bestFit="1" customWidth="1"/>
    <col min="8" max="8" width="16.28515625" style="33" customWidth="1"/>
    <col min="9" max="9" width="2.5703125" style="12" customWidth="1"/>
    <col min="11" max="11" width="21.5703125" customWidth="1"/>
  </cols>
  <sheetData>
    <row r="1" spans="1:9" ht="15.75" x14ac:dyDescent="0.25">
      <c r="B1" s="97" t="s">
        <v>44</v>
      </c>
      <c r="C1" s="97"/>
      <c r="D1" s="97"/>
      <c r="E1" s="97"/>
      <c r="F1" s="97"/>
      <c r="G1" s="97"/>
      <c r="H1" s="97"/>
    </row>
    <row r="2" spans="1:9" ht="15.75" x14ac:dyDescent="0.25">
      <c r="B2" s="97" t="s">
        <v>15</v>
      </c>
      <c r="C2" s="97"/>
      <c r="D2" s="97"/>
      <c r="E2" s="97"/>
      <c r="F2" s="97"/>
      <c r="G2" s="97"/>
      <c r="H2" s="97"/>
    </row>
    <row r="3" spans="1:9" x14ac:dyDescent="0.25">
      <c r="B3" s="15"/>
      <c r="C3" s="16"/>
      <c r="D3" s="17"/>
      <c r="E3" s="17"/>
      <c r="F3" s="66"/>
      <c r="G3" s="66"/>
      <c r="H3" s="16"/>
    </row>
    <row r="4" spans="1:9" x14ac:dyDescent="0.25">
      <c r="A4" s="67"/>
      <c r="B4" s="101">
        <v>44593</v>
      </c>
      <c r="C4" s="101"/>
      <c r="D4" s="101"/>
      <c r="E4" s="101"/>
      <c r="F4" s="101"/>
      <c r="G4" s="101"/>
      <c r="H4" s="101"/>
      <c r="I4" s="18"/>
    </row>
    <row r="5" spans="1:9" x14ac:dyDescent="0.25">
      <c r="A5" s="68"/>
      <c r="B5" s="96" t="s">
        <v>45</v>
      </c>
      <c r="C5" s="96" t="s">
        <v>17</v>
      </c>
      <c r="D5" s="96" t="s">
        <v>12</v>
      </c>
      <c r="E5" s="96" t="s">
        <v>46</v>
      </c>
      <c r="F5" s="96"/>
      <c r="G5" s="96"/>
      <c r="H5" s="96" t="s">
        <v>22</v>
      </c>
      <c r="I5" s="20"/>
    </row>
    <row r="6" spans="1:9" x14ac:dyDescent="0.25">
      <c r="A6" s="68"/>
      <c r="B6" s="96"/>
      <c r="C6" s="96"/>
      <c r="D6" s="96"/>
      <c r="E6" s="96"/>
      <c r="F6" s="96"/>
      <c r="G6" s="96"/>
      <c r="H6" s="96"/>
      <c r="I6" s="20"/>
    </row>
    <row r="7" spans="1:9" s="21" customFormat="1" ht="22.5" x14ac:dyDescent="0.25">
      <c r="A7" s="68"/>
      <c r="B7" s="96"/>
      <c r="C7" s="96"/>
      <c r="D7" s="96"/>
      <c r="E7" s="45" t="s">
        <v>35</v>
      </c>
      <c r="F7" s="107" t="s">
        <v>47</v>
      </c>
      <c r="G7" s="69" t="s">
        <v>39</v>
      </c>
      <c r="H7" s="96"/>
      <c r="I7" s="20"/>
    </row>
    <row r="8" spans="1:9" s="21" customFormat="1" x14ac:dyDescent="0.25">
      <c r="A8" s="68"/>
      <c r="B8" s="96"/>
      <c r="C8" s="96"/>
      <c r="D8" s="96"/>
      <c r="E8" s="70"/>
      <c r="F8" s="107"/>
      <c r="G8" s="69">
        <v>10700</v>
      </c>
      <c r="H8" s="96"/>
      <c r="I8" s="20"/>
    </row>
    <row r="9" spans="1:9" x14ac:dyDescent="0.25">
      <c r="A9" s="71"/>
      <c r="B9" s="24">
        <v>1</v>
      </c>
      <c r="C9" s="25">
        <f>Gas!C9</f>
        <v>5</v>
      </c>
      <c r="D9" s="25">
        <f>Gas!D9</f>
        <v>61</v>
      </c>
      <c r="E9" s="72">
        <v>3035</v>
      </c>
      <c r="F9" s="73">
        <v>0</v>
      </c>
      <c r="G9" s="73">
        <f t="shared" ref="G9:G36" si="0">F9*$G$8</f>
        <v>0</v>
      </c>
      <c r="H9" s="86">
        <f>G9/14381</f>
        <v>0</v>
      </c>
      <c r="I9" s="23"/>
    </row>
    <row r="10" spans="1:9" x14ac:dyDescent="0.25">
      <c r="A10" s="71"/>
      <c r="B10" s="24">
        <v>2</v>
      </c>
      <c r="C10" s="25">
        <f>Gas!C10</f>
        <v>3</v>
      </c>
      <c r="D10" s="25">
        <f>Gas!D10</f>
        <v>28</v>
      </c>
      <c r="E10" s="72">
        <v>3035</v>
      </c>
      <c r="F10" s="74">
        <f t="shared" ref="F10:F26" si="1">E10-E9</f>
        <v>0</v>
      </c>
      <c r="G10" s="73">
        <f>F10*$G$8</f>
        <v>0</v>
      </c>
      <c r="H10" s="86">
        <f t="shared" ref="H10:H36" si="2">G10/14381</f>
        <v>0</v>
      </c>
      <c r="I10" s="23"/>
    </row>
    <row r="11" spans="1:9" x14ac:dyDescent="0.25">
      <c r="A11" s="71"/>
      <c r="B11" s="24">
        <v>3</v>
      </c>
      <c r="C11" s="25">
        <f>Gas!C11</f>
        <v>4</v>
      </c>
      <c r="D11" s="25">
        <f>Gas!D11</f>
        <v>27</v>
      </c>
      <c r="E11" s="72">
        <v>3035</v>
      </c>
      <c r="F11" s="74">
        <f t="shared" si="1"/>
        <v>0</v>
      </c>
      <c r="G11" s="73">
        <f t="shared" si="0"/>
        <v>0</v>
      </c>
      <c r="H11" s="86">
        <f t="shared" si="2"/>
        <v>0</v>
      </c>
      <c r="I11" s="23"/>
    </row>
    <row r="12" spans="1:9" x14ac:dyDescent="0.25">
      <c r="A12" s="71"/>
      <c r="B12" s="24">
        <v>4</v>
      </c>
      <c r="C12" s="25">
        <f>Gas!C12</f>
        <v>4</v>
      </c>
      <c r="D12" s="25">
        <f>Gas!D12</f>
        <v>12</v>
      </c>
      <c r="E12" s="72">
        <v>3035</v>
      </c>
      <c r="F12" s="74">
        <f t="shared" si="1"/>
        <v>0</v>
      </c>
      <c r="G12" s="73">
        <f t="shared" si="0"/>
        <v>0</v>
      </c>
      <c r="H12" s="86">
        <f t="shared" si="2"/>
        <v>0</v>
      </c>
      <c r="I12" s="23"/>
    </row>
    <row r="13" spans="1:9" x14ac:dyDescent="0.25">
      <c r="A13" s="71"/>
      <c r="B13" s="24">
        <v>5</v>
      </c>
      <c r="C13" s="25">
        <f>Gas!C13</f>
        <v>3</v>
      </c>
      <c r="D13" s="25">
        <f>Gas!D13</f>
        <v>14</v>
      </c>
      <c r="E13" s="72">
        <v>3035</v>
      </c>
      <c r="F13" s="74">
        <f t="shared" si="1"/>
        <v>0</v>
      </c>
      <c r="G13" s="73">
        <f t="shared" si="0"/>
        <v>0</v>
      </c>
      <c r="H13" s="86">
        <f t="shared" si="2"/>
        <v>0</v>
      </c>
      <c r="I13" s="23"/>
    </row>
    <row r="14" spans="1:9" x14ac:dyDescent="0.25">
      <c r="A14" s="71"/>
      <c r="B14" s="24">
        <v>6</v>
      </c>
      <c r="C14" s="25">
        <f>Gas!C14</f>
        <v>2</v>
      </c>
      <c r="D14" s="25">
        <f>Gas!D14</f>
        <v>14</v>
      </c>
      <c r="E14" s="72">
        <v>3035</v>
      </c>
      <c r="F14" s="74">
        <f t="shared" si="1"/>
        <v>0</v>
      </c>
      <c r="G14" s="73">
        <f t="shared" si="0"/>
        <v>0</v>
      </c>
      <c r="H14" s="86">
        <f t="shared" si="2"/>
        <v>0</v>
      </c>
      <c r="I14" s="23"/>
    </row>
    <row r="15" spans="1:9" x14ac:dyDescent="0.25">
      <c r="A15" s="71"/>
      <c r="B15" s="24">
        <v>7</v>
      </c>
      <c r="C15" s="25">
        <f>Gas!C15</f>
        <v>2</v>
      </c>
      <c r="D15" s="25">
        <f>Gas!D15</f>
        <v>4</v>
      </c>
      <c r="E15" s="72">
        <v>3064</v>
      </c>
      <c r="F15" s="74">
        <f t="shared" si="1"/>
        <v>29</v>
      </c>
      <c r="G15" s="73">
        <f t="shared" si="0"/>
        <v>310300</v>
      </c>
      <c r="H15" s="86">
        <f t="shared" si="2"/>
        <v>21.577080870593143</v>
      </c>
      <c r="I15" s="23"/>
    </row>
    <row r="16" spans="1:9" x14ac:dyDescent="0.25">
      <c r="A16" s="71"/>
      <c r="B16" s="24">
        <v>8</v>
      </c>
      <c r="C16" s="25">
        <f>Gas!C16</f>
        <v>0</v>
      </c>
      <c r="D16" s="25">
        <f>Gas!D16</f>
        <v>4</v>
      </c>
      <c r="E16" s="72">
        <v>3064</v>
      </c>
      <c r="F16" s="74">
        <f t="shared" si="1"/>
        <v>0</v>
      </c>
      <c r="G16" s="73">
        <f t="shared" si="0"/>
        <v>0</v>
      </c>
      <c r="H16" s="86">
        <f t="shared" si="2"/>
        <v>0</v>
      </c>
      <c r="I16" s="23"/>
    </row>
    <row r="17" spans="1:9" x14ac:dyDescent="0.25">
      <c r="A17" s="71"/>
      <c r="B17" s="24">
        <v>9</v>
      </c>
      <c r="C17" s="25">
        <f>Gas!C17</f>
        <v>1</v>
      </c>
      <c r="D17" s="25">
        <f>Gas!D17</f>
        <v>6</v>
      </c>
      <c r="E17" s="72">
        <v>3064</v>
      </c>
      <c r="F17" s="74">
        <f t="shared" si="1"/>
        <v>0</v>
      </c>
      <c r="G17" s="73">
        <f t="shared" si="0"/>
        <v>0</v>
      </c>
      <c r="H17" s="86">
        <f t="shared" si="2"/>
        <v>0</v>
      </c>
      <c r="I17" s="23"/>
    </row>
    <row r="18" spans="1:9" x14ac:dyDescent="0.25">
      <c r="A18" s="71"/>
      <c r="B18" s="24">
        <v>10</v>
      </c>
      <c r="C18" s="25">
        <f>Gas!C18</f>
        <v>5</v>
      </c>
      <c r="D18" s="25">
        <f>Gas!D18</f>
        <v>11</v>
      </c>
      <c r="E18" s="72">
        <v>3064</v>
      </c>
      <c r="F18" s="74">
        <f t="shared" si="1"/>
        <v>0</v>
      </c>
      <c r="G18" s="73">
        <f t="shared" si="0"/>
        <v>0</v>
      </c>
      <c r="H18" s="86">
        <f t="shared" si="2"/>
        <v>0</v>
      </c>
      <c r="I18" s="23"/>
    </row>
    <row r="19" spans="1:9" x14ac:dyDescent="0.25">
      <c r="A19" s="71"/>
      <c r="B19" s="24">
        <v>11</v>
      </c>
      <c r="C19" s="25">
        <f>Gas!C19</f>
        <v>1</v>
      </c>
      <c r="D19" s="25">
        <f>Gas!D19</f>
        <v>15</v>
      </c>
      <c r="E19" s="72">
        <v>3064</v>
      </c>
      <c r="F19" s="74">
        <f t="shared" si="1"/>
        <v>0</v>
      </c>
      <c r="G19" s="73">
        <f t="shared" si="0"/>
        <v>0</v>
      </c>
      <c r="H19" s="86">
        <f t="shared" si="2"/>
        <v>0</v>
      </c>
      <c r="I19" s="23"/>
    </row>
    <row r="20" spans="1:9" x14ac:dyDescent="0.25">
      <c r="A20" s="71"/>
      <c r="B20" s="24">
        <v>12</v>
      </c>
      <c r="C20" s="25">
        <f>Gas!C20</f>
        <v>3</v>
      </c>
      <c r="D20" s="25">
        <f>Gas!D20</f>
        <v>18</v>
      </c>
      <c r="E20" s="72">
        <v>3064</v>
      </c>
      <c r="F20" s="74">
        <f t="shared" si="1"/>
        <v>0</v>
      </c>
      <c r="G20" s="73">
        <f t="shared" si="0"/>
        <v>0</v>
      </c>
      <c r="H20" s="86">
        <f t="shared" si="2"/>
        <v>0</v>
      </c>
      <c r="I20" s="23"/>
    </row>
    <row r="21" spans="1:9" x14ac:dyDescent="0.25">
      <c r="A21" s="71"/>
      <c r="B21" s="24">
        <v>13</v>
      </c>
      <c r="C21" s="25">
        <f>Gas!C21</f>
        <v>4</v>
      </c>
      <c r="D21" s="25">
        <f>Gas!D21</f>
        <v>27</v>
      </c>
      <c r="E21" s="72">
        <v>3084</v>
      </c>
      <c r="F21" s="74">
        <f t="shared" si="1"/>
        <v>20</v>
      </c>
      <c r="G21" s="73">
        <f t="shared" si="0"/>
        <v>214000</v>
      </c>
      <c r="H21" s="86">
        <f t="shared" si="2"/>
        <v>14.880745427995272</v>
      </c>
      <c r="I21" s="23"/>
    </row>
    <row r="22" spans="1:9" x14ac:dyDescent="0.25">
      <c r="A22" s="71"/>
      <c r="B22" s="24">
        <v>14</v>
      </c>
      <c r="C22" s="25">
        <f>Gas!C22</f>
        <v>6</v>
      </c>
      <c r="D22" s="25">
        <f>Gas!D22</f>
        <v>48</v>
      </c>
      <c r="E22" s="72">
        <v>3084</v>
      </c>
      <c r="F22" s="74">
        <f t="shared" si="1"/>
        <v>0</v>
      </c>
      <c r="G22" s="73">
        <f t="shared" si="0"/>
        <v>0</v>
      </c>
      <c r="H22" s="86">
        <f t="shared" si="2"/>
        <v>0</v>
      </c>
      <c r="I22" s="23"/>
    </row>
    <row r="23" spans="1:9" x14ac:dyDescent="0.25">
      <c r="A23" s="71"/>
      <c r="B23" s="24">
        <v>15</v>
      </c>
      <c r="C23" s="25">
        <f>Gas!C23</f>
        <v>5</v>
      </c>
      <c r="D23" s="25">
        <f>Gas!D23</f>
        <v>30</v>
      </c>
      <c r="E23" s="72">
        <v>3084</v>
      </c>
      <c r="F23" s="74">
        <f t="shared" si="1"/>
        <v>0</v>
      </c>
      <c r="G23" s="73">
        <f t="shared" si="0"/>
        <v>0</v>
      </c>
      <c r="H23" s="86">
        <f t="shared" si="2"/>
        <v>0</v>
      </c>
      <c r="I23" s="23"/>
    </row>
    <row r="24" spans="1:9" x14ac:dyDescent="0.25">
      <c r="A24" s="71"/>
      <c r="B24" s="24">
        <v>16</v>
      </c>
      <c r="C24" s="25">
        <f>Gas!C24</f>
        <v>3</v>
      </c>
      <c r="D24" s="25">
        <f>Gas!D24</f>
        <v>15</v>
      </c>
      <c r="E24" s="72">
        <v>3084</v>
      </c>
      <c r="F24" s="74">
        <f t="shared" si="1"/>
        <v>0</v>
      </c>
      <c r="G24" s="73">
        <f t="shared" si="0"/>
        <v>0</v>
      </c>
      <c r="H24" s="86">
        <f t="shared" si="2"/>
        <v>0</v>
      </c>
      <c r="I24" s="23"/>
    </row>
    <row r="25" spans="1:9" x14ac:dyDescent="0.25">
      <c r="A25" s="71"/>
      <c r="B25" s="24">
        <v>17</v>
      </c>
      <c r="C25" s="25">
        <f>Gas!C25</f>
        <v>1</v>
      </c>
      <c r="D25" s="25">
        <f>Gas!D25</f>
        <v>12</v>
      </c>
      <c r="E25" s="72">
        <v>3084</v>
      </c>
      <c r="F25" s="74">
        <f t="shared" si="1"/>
        <v>0</v>
      </c>
      <c r="G25" s="73">
        <f t="shared" si="0"/>
        <v>0</v>
      </c>
      <c r="H25" s="86">
        <f t="shared" si="2"/>
        <v>0</v>
      </c>
      <c r="I25" s="23"/>
    </row>
    <row r="26" spans="1:9" x14ac:dyDescent="0.25">
      <c r="A26" s="71"/>
      <c r="B26" s="24">
        <v>18</v>
      </c>
      <c r="C26" s="25">
        <f>Gas!C26</f>
        <v>2</v>
      </c>
      <c r="D26" s="25">
        <f>Gas!D26</f>
        <v>8</v>
      </c>
      <c r="E26" s="72">
        <v>3084</v>
      </c>
      <c r="F26" s="74">
        <f t="shared" si="1"/>
        <v>0</v>
      </c>
      <c r="G26" s="73">
        <f t="shared" si="0"/>
        <v>0</v>
      </c>
      <c r="H26" s="86">
        <f t="shared" si="2"/>
        <v>0</v>
      </c>
      <c r="I26" s="23"/>
    </row>
    <row r="27" spans="1:9" x14ac:dyDescent="0.25">
      <c r="A27" s="71"/>
      <c r="B27" s="24">
        <v>19</v>
      </c>
      <c r="C27" s="25">
        <f>Gas!C27</f>
        <v>3</v>
      </c>
      <c r="D27" s="25">
        <f>Gas!D27</f>
        <v>18</v>
      </c>
      <c r="E27" s="72">
        <v>3084</v>
      </c>
      <c r="F27" s="74"/>
      <c r="G27" s="73">
        <f t="shared" si="0"/>
        <v>0</v>
      </c>
      <c r="H27" s="86">
        <f t="shared" si="2"/>
        <v>0</v>
      </c>
      <c r="I27" s="23"/>
    </row>
    <row r="28" spans="1:9" x14ac:dyDescent="0.25">
      <c r="A28" s="71"/>
      <c r="B28" s="24">
        <v>20</v>
      </c>
      <c r="C28" s="25">
        <f>Gas!C28</f>
        <v>3</v>
      </c>
      <c r="D28" s="25">
        <f>Gas!D28</f>
        <v>21</v>
      </c>
      <c r="E28" s="72">
        <v>3084</v>
      </c>
      <c r="F28" s="73"/>
      <c r="G28" s="73">
        <f t="shared" si="0"/>
        <v>0</v>
      </c>
      <c r="H28" s="86">
        <f t="shared" si="2"/>
        <v>0</v>
      </c>
      <c r="I28" s="23"/>
    </row>
    <row r="29" spans="1:9" x14ac:dyDescent="0.25">
      <c r="A29" s="71"/>
      <c r="B29" s="24">
        <v>21</v>
      </c>
      <c r="C29" s="25">
        <f>Gas!C29</f>
        <v>0</v>
      </c>
      <c r="D29" s="25">
        <f>Gas!D29</f>
        <v>6</v>
      </c>
      <c r="E29" s="72">
        <v>3084</v>
      </c>
      <c r="F29" s="74"/>
      <c r="G29" s="73">
        <f t="shared" si="0"/>
        <v>0</v>
      </c>
      <c r="H29" s="86">
        <f t="shared" si="2"/>
        <v>0</v>
      </c>
      <c r="I29" s="23"/>
    </row>
    <row r="30" spans="1:9" x14ac:dyDescent="0.25">
      <c r="A30" s="71"/>
      <c r="B30" s="24">
        <v>22</v>
      </c>
      <c r="C30" s="25">
        <f>Gas!C30</f>
        <v>0</v>
      </c>
      <c r="D30" s="25">
        <f>Gas!D30</f>
        <v>0</v>
      </c>
      <c r="E30" s="72">
        <v>3084</v>
      </c>
      <c r="F30" s="73"/>
      <c r="G30" s="73">
        <f t="shared" si="0"/>
        <v>0</v>
      </c>
      <c r="H30" s="86">
        <f t="shared" si="2"/>
        <v>0</v>
      </c>
      <c r="I30" s="23"/>
    </row>
    <row r="31" spans="1:9" x14ac:dyDescent="0.25">
      <c r="A31" s="71"/>
      <c r="B31" s="24">
        <v>23</v>
      </c>
      <c r="C31" s="25">
        <f>Gas!C31</f>
        <v>1</v>
      </c>
      <c r="D31" s="25">
        <f>Gas!D31</f>
        <v>6</v>
      </c>
      <c r="E31" s="72">
        <v>3098</v>
      </c>
      <c r="F31" s="73"/>
      <c r="G31" s="73">
        <f t="shared" si="0"/>
        <v>0</v>
      </c>
      <c r="H31" s="86">
        <f t="shared" si="2"/>
        <v>0</v>
      </c>
      <c r="I31" s="23"/>
    </row>
    <row r="32" spans="1:9" x14ac:dyDescent="0.25">
      <c r="A32" s="71"/>
      <c r="B32" s="24">
        <v>24</v>
      </c>
      <c r="C32" s="25">
        <f>Gas!C32</f>
        <v>5</v>
      </c>
      <c r="D32" s="25">
        <f>Gas!D32</f>
        <v>13</v>
      </c>
      <c r="E32" s="72">
        <v>3098</v>
      </c>
      <c r="F32" s="73"/>
      <c r="G32" s="73"/>
      <c r="H32" s="86">
        <f t="shared" si="2"/>
        <v>0</v>
      </c>
      <c r="I32" s="23"/>
    </row>
    <row r="33" spans="1:11" x14ac:dyDescent="0.25">
      <c r="A33" s="71"/>
      <c r="B33" s="24">
        <v>25</v>
      </c>
      <c r="C33" s="25">
        <f>Gas!C33</f>
        <v>9</v>
      </c>
      <c r="D33" s="25">
        <f>Gas!D33</f>
        <v>20</v>
      </c>
      <c r="E33" s="72">
        <v>3098</v>
      </c>
      <c r="F33" s="73"/>
      <c r="G33" s="73">
        <f t="shared" si="0"/>
        <v>0</v>
      </c>
      <c r="H33" s="86">
        <f t="shared" si="2"/>
        <v>0</v>
      </c>
      <c r="I33" s="23"/>
    </row>
    <row r="34" spans="1:11" x14ac:dyDescent="0.25">
      <c r="A34" s="71"/>
      <c r="B34" s="24">
        <v>26</v>
      </c>
      <c r="C34" s="25">
        <f>Gas!C34</f>
        <v>7</v>
      </c>
      <c r="D34" s="25">
        <f>Gas!D34</f>
        <v>50</v>
      </c>
      <c r="E34" s="72">
        <v>3098</v>
      </c>
      <c r="F34" s="73"/>
      <c r="G34" s="73">
        <f t="shared" si="0"/>
        <v>0</v>
      </c>
      <c r="H34" s="86">
        <f t="shared" si="2"/>
        <v>0</v>
      </c>
      <c r="I34" s="23"/>
    </row>
    <row r="35" spans="1:11" x14ac:dyDescent="0.25">
      <c r="A35" s="71"/>
      <c r="B35" s="24">
        <v>27</v>
      </c>
      <c r="C35" s="25">
        <f>Gas!C35</f>
        <v>7</v>
      </c>
      <c r="D35" s="25">
        <f>Gas!D35</f>
        <v>33</v>
      </c>
      <c r="E35" s="72">
        <v>3098</v>
      </c>
      <c r="F35" s="73"/>
      <c r="G35" s="73">
        <f t="shared" si="0"/>
        <v>0</v>
      </c>
      <c r="H35" s="86">
        <f t="shared" si="2"/>
        <v>0</v>
      </c>
      <c r="I35" s="23"/>
    </row>
    <row r="36" spans="1:11" x14ac:dyDescent="0.25">
      <c r="A36" s="71"/>
      <c r="B36" s="24">
        <v>28</v>
      </c>
      <c r="C36" s="25">
        <f>Gas!C36</f>
        <v>6</v>
      </c>
      <c r="D36" s="25">
        <f>Gas!D36</f>
        <v>27</v>
      </c>
      <c r="E36" s="72">
        <v>3098</v>
      </c>
      <c r="F36" s="73"/>
      <c r="G36" s="73">
        <f t="shared" si="0"/>
        <v>0</v>
      </c>
      <c r="H36" s="86">
        <f t="shared" si="2"/>
        <v>0</v>
      </c>
      <c r="I36" s="23"/>
    </row>
    <row r="37" spans="1:11" s="12" customFormat="1" x14ac:dyDescent="0.25">
      <c r="C37" s="32">
        <f>SUM(C9:C36)</f>
        <v>95</v>
      </c>
      <c r="D37" s="32">
        <f>SUM(D9:D36)</f>
        <v>548</v>
      </c>
      <c r="E37" s="32"/>
      <c r="F37" s="32">
        <f>SUM(F9:F36)</f>
        <v>49</v>
      </c>
      <c r="G37" s="32"/>
      <c r="H37" s="75">
        <f>SUM(H9:H36)</f>
        <v>36.457826298588415</v>
      </c>
      <c r="K37" s="37"/>
    </row>
    <row r="38" spans="1:11" x14ac:dyDescent="0.25">
      <c r="E38" s="32"/>
      <c r="F38" s="76"/>
      <c r="G38" s="76"/>
      <c r="H38" s="43"/>
    </row>
    <row r="39" spans="1:11" x14ac:dyDescent="0.25">
      <c r="E39" s="61"/>
      <c r="F39" s="77"/>
      <c r="G39" s="77"/>
    </row>
    <row r="40" spans="1:11" x14ac:dyDescent="0.25">
      <c r="E40" s="61"/>
      <c r="F40" s="77"/>
      <c r="G40" s="77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40"/>
  <sheetViews>
    <sheetView workbookViewId="0">
      <selection activeCell="Q20" sqref="Q20"/>
    </sheetView>
  </sheetViews>
  <sheetFormatPr defaultRowHeight="15" x14ac:dyDescent="0.25"/>
  <cols>
    <col min="1" max="1" width="2.5703125" style="12" customWidth="1"/>
    <col min="2" max="2" width="4.7109375" customWidth="1"/>
    <col min="3" max="3" width="6.42578125" customWidth="1"/>
    <col min="4" max="4" width="6.42578125" style="21" customWidth="1"/>
    <col min="5" max="5" width="9.42578125" style="33" customWidth="1"/>
    <col min="6" max="6" width="16.5703125" style="33" customWidth="1"/>
    <col min="7" max="7" width="10.28515625" style="33" customWidth="1"/>
    <col min="8" max="8" width="16.7109375" style="33" customWidth="1"/>
    <col min="9" max="9" width="10.28515625" style="33" customWidth="1"/>
    <col min="10" max="10" width="16.7109375" style="33" customWidth="1"/>
    <col min="11" max="11" width="16.28515625" style="33" customWidth="1"/>
    <col min="12" max="12" width="19.7109375" customWidth="1"/>
    <col min="13" max="13" width="2.5703125" style="12" customWidth="1"/>
    <col min="15" max="15" width="20.5703125" customWidth="1"/>
  </cols>
  <sheetData>
    <row r="2" spans="1:13" ht="15.75" x14ac:dyDescent="0.25">
      <c r="B2" s="97" t="s">
        <v>48</v>
      </c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3" ht="15.75" x14ac:dyDescent="0.25">
      <c r="B3" s="97" t="s">
        <v>15</v>
      </c>
      <c r="C3" s="97"/>
      <c r="D3" s="97"/>
      <c r="E3" s="97"/>
      <c r="F3" s="97"/>
      <c r="G3" s="97"/>
      <c r="H3" s="97"/>
      <c r="I3" s="97"/>
      <c r="J3" s="97"/>
      <c r="K3" s="97"/>
      <c r="L3" s="97"/>
    </row>
    <row r="4" spans="1:13" ht="8.25" customHeight="1" x14ac:dyDescent="0.25">
      <c r="B4" s="15"/>
      <c r="C4" s="16"/>
      <c r="D4" s="17"/>
      <c r="E4" s="16"/>
      <c r="F4" s="16"/>
      <c r="G4" s="16"/>
      <c r="H4" s="16"/>
      <c r="I4" s="16"/>
      <c r="J4" s="16"/>
      <c r="K4" s="16"/>
    </row>
    <row r="5" spans="1:13" x14ac:dyDescent="0.25">
      <c r="A5" s="18"/>
      <c r="B5" s="98">
        <v>44593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8"/>
    </row>
    <row r="6" spans="1:13" x14ac:dyDescent="0.25">
      <c r="A6" s="19"/>
      <c r="B6" s="96" t="s">
        <v>16</v>
      </c>
      <c r="C6" s="96" t="s">
        <v>49</v>
      </c>
      <c r="D6" s="96" t="s">
        <v>12</v>
      </c>
      <c r="E6" s="102" t="s">
        <v>50</v>
      </c>
      <c r="F6" s="102"/>
      <c r="G6" s="104" t="s">
        <v>51</v>
      </c>
      <c r="H6" s="104"/>
      <c r="I6" s="104"/>
      <c r="J6" s="104"/>
      <c r="K6" s="96" t="s">
        <v>52</v>
      </c>
      <c r="L6" s="96" t="s">
        <v>53</v>
      </c>
      <c r="M6" s="20"/>
    </row>
    <row r="7" spans="1:13" s="21" customFormat="1" x14ac:dyDescent="0.25">
      <c r="A7" s="19"/>
      <c r="B7" s="96"/>
      <c r="C7" s="96"/>
      <c r="D7" s="96"/>
      <c r="E7" s="96" t="s">
        <v>54</v>
      </c>
      <c r="F7" s="96" t="s">
        <v>55</v>
      </c>
      <c r="G7" s="96" t="s">
        <v>54</v>
      </c>
      <c r="H7" s="96" t="s">
        <v>56</v>
      </c>
      <c r="I7" s="96" t="s">
        <v>54</v>
      </c>
      <c r="J7" s="96" t="s">
        <v>57</v>
      </c>
      <c r="K7" s="96"/>
      <c r="L7" s="96"/>
      <c r="M7" s="20"/>
    </row>
    <row r="8" spans="1:13" x14ac:dyDescent="0.25">
      <c r="A8" s="22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23"/>
    </row>
    <row r="9" spans="1:13" x14ac:dyDescent="0.25">
      <c r="A9" s="22"/>
      <c r="B9" s="24">
        <v>1</v>
      </c>
      <c r="C9" s="25">
        <f>'Fuel Diesel'!C9</f>
        <v>5</v>
      </c>
      <c r="D9" s="25">
        <f>'Fuel Diesel'!D9</f>
        <v>61</v>
      </c>
      <c r="E9" s="26">
        <v>0</v>
      </c>
      <c r="F9" s="28">
        <f>E9*13582</f>
        <v>0</v>
      </c>
      <c r="G9" s="26">
        <v>70</v>
      </c>
      <c r="H9" s="28">
        <f>G9*4000</f>
        <v>280000</v>
      </c>
      <c r="I9" s="26">
        <v>63</v>
      </c>
      <c r="J9" s="28">
        <f>I9*4000</f>
        <v>252000</v>
      </c>
      <c r="K9" s="26">
        <f t="shared" ref="K9:K36" si="0">F9+H9+J9</f>
        <v>532000</v>
      </c>
      <c r="L9" s="79">
        <f>K9/14381</f>
        <v>36.993254989221889</v>
      </c>
      <c r="M9" s="23"/>
    </row>
    <row r="10" spans="1:13" x14ac:dyDescent="0.25">
      <c r="A10" s="22"/>
      <c r="B10" s="24">
        <v>2</v>
      </c>
      <c r="C10" s="25">
        <f>'Fuel Diesel'!C10</f>
        <v>3</v>
      </c>
      <c r="D10" s="25">
        <f>'Fuel Diesel'!D10</f>
        <v>28</v>
      </c>
      <c r="E10" s="26">
        <v>0</v>
      </c>
      <c r="F10" s="28">
        <f>E10*13582</f>
        <v>0</v>
      </c>
      <c r="G10" s="26">
        <v>0</v>
      </c>
      <c r="H10" s="28">
        <f>G10*4000</f>
        <v>0</v>
      </c>
      <c r="I10" s="26">
        <v>111</v>
      </c>
      <c r="J10" s="28">
        <f>I10*4000</f>
        <v>444000</v>
      </c>
      <c r="K10" s="26">
        <f t="shared" si="0"/>
        <v>444000</v>
      </c>
      <c r="L10" s="79">
        <f t="shared" ref="L10:L36" si="1">K10/14381</f>
        <v>30.87406995341075</v>
      </c>
      <c r="M10" s="23"/>
    </row>
    <row r="11" spans="1:13" x14ac:dyDescent="0.25">
      <c r="A11" s="22"/>
      <c r="B11" s="24">
        <v>3</v>
      </c>
      <c r="C11" s="25">
        <f>'Fuel Diesel'!C11</f>
        <v>4</v>
      </c>
      <c r="D11" s="25">
        <f>'Fuel Diesel'!D11</f>
        <v>27</v>
      </c>
      <c r="E11" s="26">
        <v>0</v>
      </c>
      <c r="F11" s="28">
        <f t="shared" ref="F11:F36" si="2">E11*13582</f>
        <v>0</v>
      </c>
      <c r="G11" s="26">
        <v>0</v>
      </c>
      <c r="H11" s="28">
        <f t="shared" ref="H11:H36" si="3">G11*4000</f>
        <v>0</v>
      </c>
      <c r="I11" s="26">
        <v>103</v>
      </c>
      <c r="J11" s="28">
        <f t="shared" ref="J11:J36" si="4">I11*4000</f>
        <v>412000</v>
      </c>
      <c r="K11" s="26">
        <f t="shared" si="0"/>
        <v>412000</v>
      </c>
      <c r="L11" s="79">
        <f t="shared" si="1"/>
        <v>28.648911758570335</v>
      </c>
      <c r="M11" s="23"/>
    </row>
    <row r="12" spans="1:13" x14ac:dyDescent="0.25">
      <c r="A12" s="22"/>
      <c r="B12" s="24">
        <v>4</v>
      </c>
      <c r="C12" s="25">
        <f>'Fuel Diesel'!C12</f>
        <v>4</v>
      </c>
      <c r="D12" s="25">
        <f>'Fuel Diesel'!D12</f>
        <v>12</v>
      </c>
      <c r="E12" s="26">
        <v>0</v>
      </c>
      <c r="F12" s="28">
        <f t="shared" si="2"/>
        <v>0</v>
      </c>
      <c r="G12" s="26">
        <v>0</v>
      </c>
      <c r="H12" s="28">
        <f t="shared" si="3"/>
        <v>0</v>
      </c>
      <c r="I12" s="26">
        <v>103</v>
      </c>
      <c r="J12" s="28">
        <f t="shared" si="4"/>
        <v>412000</v>
      </c>
      <c r="K12" s="26">
        <f t="shared" si="0"/>
        <v>412000</v>
      </c>
      <c r="L12" s="79">
        <f t="shared" si="1"/>
        <v>28.648911758570335</v>
      </c>
      <c r="M12" s="23"/>
    </row>
    <row r="13" spans="1:13" x14ac:dyDescent="0.25">
      <c r="A13" s="22"/>
      <c r="B13" s="24">
        <v>5</v>
      </c>
      <c r="C13" s="25">
        <f>'Fuel Diesel'!C13</f>
        <v>3</v>
      </c>
      <c r="D13" s="25">
        <f>'Fuel Diesel'!D13</f>
        <v>14</v>
      </c>
      <c r="E13" s="26">
        <v>0</v>
      </c>
      <c r="F13" s="28">
        <f t="shared" si="2"/>
        <v>0</v>
      </c>
      <c r="G13" s="26">
        <v>0</v>
      </c>
      <c r="H13" s="28">
        <f t="shared" si="3"/>
        <v>0</v>
      </c>
      <c r="I13" s="26">
        <v>95</v>
      </c>
      <c r="J13" s="28">
        <f t="shared" si="4"/>
        <v>380000</v>
      </c>
      <c r="K13" s="26">
        <f t="shared" si="0"/>
        <v>380000</v>
      </c>
      <c r="L13" s="79">
        <f t="shared" si="1"/>
        <v>26.423753563729921</v>
      </c>
      <c r="M13" s="23"/>
    </row>
    <row r="14" spans="1:13" x14ac:dyDescent="0.25">
      <c r="A14" s="22"/>
      <c r="B14" s="24">
        <v>6</v>
      </c>
      <c r="C14" s="25">
        <f>'Fuel Diesel'!C14</f>
        <v>2</v>
      </c>
      <c r="D14" s="25">
        <f>'Fuel Diesel'!D14</f>
        <v>14</v>
      </c>
      <c r="E14" s="26">
        <v>0</v>
      </c>
      <c r="F14" s="28">
        <f t="shared" si="2"/>
        <v>0</v>
      </c>
      <c r="G14" s="26">
        <v>0</v>
      </c>
      <c r="H14" s="28">
        <f t="shared" si="3"/>
        <v>0</v>
      </c>
      <c r="I14" s="26">
        <v>117</v>
      </c>
      <c r="J14" s="28">
        <f t="shared" si="4"/>
        <v>468000</v>
      </c>
      <c r="K14" s="26">
        <f t="shared" si="0"/>
        <v>468000</v>
      </c>
      <c r="L14" s="79">
        <f t="shared" si="1"/>
        <v>32.54293859954106</v>
      </c>
      <c r="M14" s="23"/>
    </row>
    <row r="15" spans="1:13" x14ac:dyDescent="0.25">
      <c r="A15" s="22"/>
      <c r="B15" s="24">
        <v>7</v>
      </c>
      <c r="C15" s="25">
        <f>'Fuel Diesel'!C15</f>
        <v>2</v>
      </c>
      <c r="D15" s="25">
        <f>'Fuel Diesel'!D15</f>
        <v>4</v>
      </c>
      <c r="E15" s="26">
        <v>0</v>
      </c>
      <c r="F15" s="28">
        <f t="shared" si="2"/>
        <v>0</v>
      </c>
      <c r="G15" s="26">
        <v>0</v>
      </c>
      <c r="H15" s="28">
        <f t="shared" si="3"/>
        <v>0</v>
      </c>
      <c r="I15" s="26">
        <v>108</v>
      </c>
      <c r="J15" s="28">
        <f t="shared" si="4"/>
        <v>432000</v>
      </c>
      <c r="K15" s="26">
        <f t="shared" si="0"/>
        <v>432000</v>
      </c>
      <c r="L15" s="79">
        <f t="shared" si="1"/>
        <v>30.039635630345593</v>
      </c>
      <c r="M15" s="23"/>
    </row>
    <row r="16" spans="1:13" x14ac:dyDescent="0.25">
      <c r="A16" s="22"/>
      <c r="B16" s="24">
        <v>8</v>
      </c>
      <c r="C16" s="25">
        <f>'Fuel Diesel'!C16</f>
        <v>0</v>
      </c>
      <c r="D16" s="25">
        <f>'Fuel Diesel'!D16</f>
        <v>4</v>
      </c>
      <c r="E16" s="26">
        <v>0</v>
      </c>
      <c r="F16" s="28">
        <f t="shared" si="2"/>
        <v>0</v>
      </c>
      <c r="G16" s="26">
        <v>0</v>
      </c>
      <c r="H16" s="28">
        <f t="shared" si="3"/>
        <v>0</v>
      </c>
      <c r="I16" s="26">
        <v>93</v>
      </c>
      <c r="J16" s="28">
        <f t="shared" si="4"/>
        <v>372000</v>
      </c>
      <c r="K16" s="26">
        <f t="shared" si="0"/>
        <v>372000</v>
      </c>
      <c r="L16" s="79">
        <f t="shared" si="1"/>
        <v>25.867464015019817</v>
      </c>
      <c r="M16" s="23"/>
    </row>
    <row r="17" spans="1:13" x14ac:dyDescent="0.25">
      <c r="A17" s="22"/>
      <c r="B17" s="24">
        <v>9</v>
      </c>
      <c r="C17" s="25">
        <f>'Fuel Diesel'!C17</f>
        <v>1</v>
      </c>
      <c r="D17" s="25">
        <f>'Fuel Diesel'!D17</f>
        <v>6</v>
      </c>
      <c r="E17" s="26">
        <v>0</v>
      </c>
      <c r="F17" s="28">
        <f t="shared" si="2"/>
        <v>0</v>
      </c>
      <c r="G17" s="26">
        <v>0</v>
      </c>
      <c r="H17" s="28">
        <f t="shared" si="3"/>
        <v>0</v>
      </c>
      <c r="I17" s="26">
        <v>103</v>
      </c>
      <c r="J17" s="28">
        <f t="shared" si="4"/>
        <v>412000</v>
      </c>
      <c r="K17" s="26">
        <f t="shared" si="0"/>
        <v>412000</v>
      </c>
      <c r="L17" s="79">
        <f t="shared" si="1"/>
        <v>28.648911758570335</v>
      </c>
      <c r="M17" s="23"/>
    </row>
    <row r="18" spans="1:13" x14ac:dyDescent="0.25">
      <c r="A18" s="22"/>
      <c r="B18" s="24">
        <v>10</v>
      </c>
      <c r="C18" s="25">
        <f>'Fuel Diesel'!C18</f>
        <v>5</v>
      </c>
      <c r="D18" s="25">
        <f>'Fuel Diesel'!D18</f>
        <v>11</v>
      </c>
      <c r="E18" s="26">
        <v>0</v>
      </c>
      <c r="F18" s="28">
        <f t="shared" si="2"/>
        <v>0</v>
      </c>
      <c r="G18" s="26">
        <v>0</v>
      </c>
      <c r="H18" s="28">
        <f t="shared" si="3"/>
        <v>0</v>
      </c>
      <c r="I18" s="26">
        <v>109</v>
      </c>
      <c r="J18" s="28">
        <f t="shared" si="4"/>
        <v>436000</v>
      </c>
      <c r="K18" s="26">
        <f t="shared" si="0"/>
        <v>436000</v>
      </c>
      <c r="L18" s="79">
        <f t="shared" si="1"/>
        <v>30.317780404700645</v>
      </c>
      <c r="M18" s="23"/>
    </row>
    <row r="19" spans="1:13" x14ac:dyDescent="0.25">
      <c r="A19" s="22"/>
      <c r="B19" s="24">
        <v>11</v>
      </c>
      <c r="C19" s="25">
        <f>'Fuel Diesel'!C19</f>
        <v>1</v>
      </c>
      <c r="D19" s="25">
        <f>'Fuel Diesel'!D19</f>
        <v>15</v>
      </c>
      <c r="E19" s="26">
        <v>0</v>
      </c>
      <c r="F19" s="28">
        <f t="shared" si="2"/>
        <v>0</v>
      </c>
      <c r="G19" s="26">
        <v>0</v>
      </c>
      <c r="H19" s="28">
        <f t="shared" si="3"/>
        <v>0</v>
      </c>
      <c r="I19" s="26">
        <v>119</v>
      </c>
      <c r="J19" s="28">
        <f t="shared" si="4"/>
        <v>476000</v>
      </c>
      <c r="K19" s="26">
        <f t="shared" si="0"/>
        <v>476000</v>
      </c>
      <c r="L19" s="79">
        <f t="shared" si="1"/>
        <v>33.099228148251164</v>
      </c>
      <c r="M19" s="23"/>
    </row>
    <row r="20" spans="1:13" x14ac:dyDescent="0.25">
      <c r="A20" s="22"/>
      <c r="B20" s="24">
        <v>12</v>
      </c>
      <c r="C20" s="25">
        <f>'Fuel Diesel'!C20</f>
        <v>3</v>
      </c>
      <c r="D20" s="25">
        <f>'Fuel Diesel'!D20</f>
        <v>18</v>
      </c>
      <c r="E20" s="26">
        <v>0</v>
      </c>
      <c r="F20" s="28">
        <f t="shared" si="2"/>
        <v>0</v>
      </c>
      <c r="G20" s="26">
        <v>0</v>
      </c>
      <c r="H20" s="28">
        <f>G20*4000</f>
        <v>0</v>
      </c>
      <c r="I20" s="26">
        <v>134</v>
      </c>
      <c r="J20" s="28">
        <f t="shared" si="4"/>
        <v>536000</v>
      </c>
      <c r="K20" s="26">
        <f t="shared" si="0"/>
        <v>536000</v>
      </c>
      <c r="L20" s="79">
        <f t="shared" si="1"/>
        <v>37.271399763576945</v>
      </c>
      <c r="M20" s="23"/>
    </row>
    <row r="21" spans="1:13" x14ac:dyDescent="0.25">
      <c r="A21" s="22"/>
      <c r="B21" s="24">
        <v>13</v>
      </c>
      <c r="C21" s="25">
        <f>'Fuel Diesel'!C21</f>
        <v>4</v>
      </c>
      <c r="D21" s="25">
        <f>'Fuel Diesel'!D21</f>
        <v>27</v>
      </c>
      <c r="E21" s="26">
        <v>0</v>
      </c>
      <c r="F21" s="28">
        <f t="shared" si="2"/>
        <v>0</v>
      </c>
      <c r="G21" s="26"/>
      <c r="H21" s="28">
        <f t="shared" si="3"/>
        <v>0</v>
      </c>
      <c r="I21" s="26">
        <v>218</v>
      </c>
      <c r="J21" s="28">
        <f t="shared" si="4"/>
        <v>872000</v>
      </c>
      <c r="K21" s="26">
        <f t="shared" si="0"/>
        <v>872000</v>
      </c>
      <c r="L21" s="79">
        <f t="shared" si="1"/>
        <v>60.635560809401291</v>
      </c>
      <c r="M21" s="23"/>
    </row>
    <row r="22" spans="1:13" x14ac:dyDescent="0.25">
      <c r="A22" s="22"/>
      <c r="B22" s="24">
        <v>14</v>
      </c>
      <c r="C22" s="25">
        <f>'Fuel Diesel'!C22</f>
        <v>6</v>
      </c>
      <c r="D22" s="25">
        <f>'Fuel Diesel'!D22</f>
        <v>48</v>
      </c>
      <c r="E22" s="26">
        <v>0</v>
      </c>
      <c r="F22" s="28">
        <f t="shared" si="2"/>
        <v>0</v>
      </c>
      <c r="G22" s="26"/>
      <c r="H22" s="28">
        <f t="shared" si="3"/>
        <v>0</v>
      </c>
      <c r="I22" s="26">
        <v>179</v>
      </c>
      <c r="J22" s="28">
        <f t="shared" si="4"/>
        <v>716000</v>
      </c>
      <c r="K22" s="26">
        <f t="shared" si="0"/>
        <v>716000</v>
      </c>
      <c r="L22" s="79">
        <f t="shared" si="1"/>
        <v>49.787914609554271</v>
      </c>
      <c r="M22" s="23"/>
    </row>
    <row r="23" spans="1:13" x14ac:dyDescent="0.25">
      <c r="A23" s="22"/>
      <c r="B23" s="24">
        <v>15</v>
      </c>
      <c r="C23" s="25">
        <f>'Fuel Diesel'!C23</f>
        <v>5</v>
      </c>
      <c r="D23" s="25">
        <f>'Fuel Diesel'!D23</f>
        <v>30</v>
      </c>
      <c r="E23" s="26">
        <v>0</v>
      </c>
      <c r="F23" s="28">
        <f t="shared" si="2"/>
        <v>0</v>
      </c>
      <c r="G23" s="26">
        <v>31</v>
      </c>
      <c r="H23" s="28">
        <f t="shared" si="3"/>
        <v>124000</v>
      </c>
      <c r="I23" s="26">
        <v>86</v>
      </c>
      <c r="J23" s="28">
        <f t="shared" si="4"/>
        <v>344000</v>
      </c>
      <c r="K23" s="26">
        <f t="shared" si="0"/>
        <v>468000</v>
      </c>
      <c r="L23" s="79">
        <f t="shared" si="1"/>
        <v>32.54293859954106</v>
      </c>
      <c r="M23" s="23"/>
    </row>
    <row r="24" spans="1:13" x14ac:dyDescent="0.25">
      <c r="A24" s="22"/>
      <c r="B24" s="24">
        <v>16</v>
      </c>
      <c r="C24" s="25">
        <f>'Fuel Diesel'!C24</f>
        <v>3</v>
      </c>
      <c r="D24" s="25">
        <f>'Fuel Diesel'!D24</f>
        <v>15</v>
      </c>
      <c r="E24" s="26">
        <v>0</v>
      </c>
      <c r="F24" s="28">
        <f t="shared" si="2"/>
        <v>0</v>
      </c>
      <c r="G24" s="26">
        <v>114</v>
      </c>
      <c r="H24" s="28">
        <f t="shared" si="3"/>
        <v>456000</v>
      </c>
      <c r="I24" s="26">
        <v>0</v>
      </c>
      <c r="J24" s="28">
        <f t="shared" si="4"/>
        <v>0</v>
      </c>
      <c r="K24" s="26">
        <f t="shared" si="0"/>
        <v>456000</v>
      </c>
      <c r="L24" s="79">
        <f t="shared" si="1"/>
        <v>31.708504276475907</v>
      </c>
      <c r="M24" s="23"/>
    </row>
    <row r="25" spans="1:13" x14ac:dyDescent="0.25">
      <c r="A25" s="22"/>
      <c r="B25" s="24">
        <v>17</v>
      </c>
      <c r="C25" s="25">
        <f>'Fuel Diesel'!C25</f>
        <v>1</v>
      </c>
      <c r="D25" s="25">
        <f>'Fuel Diesel'!D25</f>
        <v>12</v>
      </c>
      <c r="E25" s="26">
        <v>0</v>
      </c>
      <c r="F25" s="28">
        <f t="shared" si="2"/>
        <v>0</v>
      </c>
      <c r="G25" s="26">
        <v>108</v>
      </c>
      <c r="H25" s="28">
        <f t="shared" si="3"/>
        <v>432000</v>
      </c>
      <c r="I25" s="26">
        <v>0</v>
      </c>
      <c r="J25" s="28">
        <f t="shared" si="4"/>
        <v>0</v>
      </c>
      <c r="K25" s="26">
        <f t="shared" si="0"/>
        <v>432000</v>
      </c>
      <c r="L25" s="79">
        <f t="shared" si="1"/>
        <v>30.039635630345593</v>
      </c>
      <c r="M25" s="23"/>
    </row>
    <row r="26" spans="1:13" x14ac:dyDescent="0.25">
      <c r="A26" s="22"/>
      <c r="B26" s="24">
        <v>18</v>
      </c>
      <c r="C26" s="25">
        <f>'Fuel Diesel'!C26</f>
        <v>2</v>
      </c>
      <c r="D26" s="25">
        <f>'Fuel Diesel'!D26</f>
        <v>8</v>
      </c>
      <c r="E26" s="26">
        <v>0</v>
      </c>
      <c r="F26" s="28">
        <f t="shared" si="2"/>
        <v>0</v>
      </c>
      <c r="G26" s="26">
        <v>102</v>
      </c>
      <c r="H26" s="28">
        <f t="shared" si="3"/>
        <v>408000</v>
      </c>
      <c r="I26" s="26">
        <v>0</v>
      </c>
      <c r="J26" s="28">
        <f t="shared" si="4"/>
        <v>0</v>
      </c>
      <c r="K26" s="26">
        <f t="shared" si="0"/>
        <v>408000</v>
      </c>
      <c r="L26" s="79">
        <f t="shared" si="1"/>
        <v>28.370766984215283</v>
      </c>
      <c r="M26" s="23"/>
    </row>
    <row r="27" spans="1:13" x14ac:dyDescent="0.25">
      <c r="A27" s="22"/>
      <c r="B27" s="24">
        <v>19</v>
      </c>
      <c r="C27" s="25">
        <f>'Fuel Diesel'!C27</f>
        <v>3</v>
      </c>
      <c r="D27" s="25">
        <f>'Fuel Diesel'!D27</f>
        <v>18</v>
      </c>
      <c r="E27" s="26">
        <v>0</v>
      </c>
      <c r="F27" s="28">
        <f t="shared" si="2"/>
        <v>0</v>
      </c>
      <c r="G27" s="26">
        <v>89</v>
      </c>
      <c r="H27" s="28">
        <f t="shared" si="3"/>
        <v>356000</v>
      </c>
      <c r="I27" s="26">
        <v>0</v>
      </c>
      <c r="J27" s="28">
        <f t="shared" si="4"/>
        <v>0</v>
      </c>
      <c r="K27" s="26">
        <f t="shared" si="0"/>
        <v>356000</v>
      </c>
      <c r="L27" s="79">
        <f t="shared" si="1"/>
        <v>24.754884917599611</v>
      </c>
      <c r="M27" s="23"/>
    </row>
    <row r="28" spans="1:13" x14ac:dyDescent="0.25">
      <c r="A28" s="22"/>
      <c r="B28" s="24">
        <v>20</v>
      </c>
      <c r="C28" s="25">
        <f>'Fuel Diesel'!C28</f>
        <v>3</v>
      </c>
      <c r="D28" s="25">
        <f>'Fuel Diesel'!D28</f>
        <v>21</v>
      </c>
      <c r="E28" s="26">
        <v>0</v>
      </c>
      <c r="F28" s="28">
        <f t="shared" si="2"/>
        <v>0</v>
      </c>
      <c r="G28" s="26">
        <v>125</v>
      </c>
      <c r="H28" s="28">
        <f t="shared" si="3"/>
        <v>500000</v>
      </c>
      <c r="I28" s="26">
        <v>0</v>
      </c>
      <c r="J28" s="28">
        <f t="shared" si="4"/>
        <v>0</v>
      </c>
      <c r="K28" s="26">
        <f t="shared" si="0"/>
        <v>500000</v>
      </c>
      <c r="L28" s="79">
        <f t="shared" si="1"/>
        <v>34.768096794381478</v>
      </c>
      <c r="M28" s="23"/>
    </row>
    <row r="29" spans="1:13" x14ac:dyDescent="0.25">
      <c r="A29" s="22"/>
      <c r="B29" s="24">
        <v>21</v>
      </c>
      <c r="C29" s="25">
        <f>'Fuel Diesel'!C29</f>
        <v>0</v>
      </c>
      <c r="D29" s="25">
        <f>'Fuel Diesel'!D29</f>
        <v>6</v>
      </c>
      <c r="E29" s="26">
        <v>0</v>
      </c>
      <c r="F29" s="28">
        <f t="shared" si="2"/>
        <v>0</v>
      </c>
      <c r="G29" s="26">
        <v>100</v>
      </c>
      <c r="H29" s="28">
        <f t="shared" si="3"/>
        <v>400000</v>
      </c>
      <c r="I29" s="26">
        <v>0</v>
      </c>
      <c r="J29" s="28">
        <f t="shared" si="4"/>
        <v>0</v>
      </c>
      <c r="K29" s="26">
        <f t="shared" si="0"/>
        <v>400000</v>
      </c>
      <c r="L29" s="79">
        <f t="shared" si="1"/>
        <v>27.814477435505179</v>
      </c>
      <c r="M29" s="23"/>
    </row>
    <row r="30" spans="1:13" x14ac:dyDescent="0.25">
      <c r="A30" s="22"/>
      <c r="B30" s="24">
        <v>22</v>
      </c>
      <c r="C30" s="25">
        <f>'Fuel Diesel'!C30</f>
        <v>0</v>
      </c>
      <c r="D30" s="25">
        <f>'Fuel Diesel'!D30</f>
        <v>0</v>
      </c>
      <c r="E30" s="26">
        <v>0</v>
      </c>
      <c r="F30" s="28">
        <f t="shared" si="2"/>
        <v>0</v>
      </c>
      <c r="G30" s="26">
        <v>101</v>
      </c>
      <c r="H30" s="28">
        <f t="shared" si="3"/>
        <v>404000</v>
      </c>
      <c r="I30" s="26">
        <v>0</v>
      </c>
      <c r="J30" s="28">
        <f t="shared" si="4"/>
        <v>0</v>
      </c>
      <c r="K30" s="26">
        <f t="shared" si="0"/>
        <v>404000</v>
      </c>
      <c r="L30" s="79">
        <f t="shared" si="1"/>
        <v>28.092622209860231</v>
      </c>
      <c r="M30" s="23"/>
    </row>
    <row r="31" spans="1:13" x14ac:dyDescent="0.25">
      <c r="A31" s="22"/>
      <c r="B31" s="24">
        <v>23</v>
      </c>
      <c r="C31" s="25">
        <f>'Fuel Diesel'!C31</f>
        <v>1</v>
      </c>
      <c r="D31" s="25">
        <f>'Fuel Diesel'!D31</f>
        <v>6</v>
      </c>
      <c r="E31" s="26">
        <v>0</v>
      </c>
      <c r="F31" s="28">
        <f t="shared" si="2"/>
        <v>0</v>
      </c>
      <c r="G31" s="26">
        <v>116</v>
      </c>
      <c r="H31" s="28">
        <f t="shared" si="3"/>
        <v>464000</v>
      </c>
      <c r="I31" s="26">
        <v>0</v>
      </c>
      <c r="J31" s="28">
        <f t="shared" si="4"/>
        <v>0</v>
      </c>
      <c r="K31" s="26">
        <f t="shared" si="0"/>
        <v>464000</v>
      </c>
      <c r="L31" s="79">
        <f t="shared" si="1"/>
        <v>32.264793825186011</v>
      </c>
      <c r="M31" s="23"/>
    </row>
    <row r="32" spans="1:13" x14ac:dyDescent="0.25">
      <c r="A32" s="22"/>
      <c r="B32" s="24">
        <v>24</v>
      </c>
      <c r="C32" s="25">
        <f>'Fuel Diesel'!C32</f>
        <v>5</v>
      </c>
      <c r="D32" s="25">
        <f>'Fuel Diesel'!D32</f>
        <v>13</v>
      </c>
      <c r="E32" s="26">
        <v>0</v>
      </c>
      <c r="F32" s="28">
        <f t="shared" si="2"/>
        <v>0</v>
      </c>
      <c r="G32" s="26">
        <v>134</v>
      </c>
      <c r="H32" s="28">
        <f t="shared" si="3"/>
        <v>536000</v>
      </c>
      <c r="I32" s="26">
        <v>0</v>
      </c>
      <c r="J32" s="28">
        <f t="shared" si="4"/>
        <v>0</v>
      </c>
      <c r="K32" s="26">
        <f t="shared" si="0"/>
        <v>536000</v>
      </c>
      <c r="L32" s="79">
        <f t="shared" si="1"/>
        <v>37.271399763576945</v>
      </c>
      <c r="M32" s="23"/>
    </row>
    <row r="33" spans="1:15" x14ac:dyDescent="0.25">
      <c r="A33" s="22"/>
      <c r="B33" s="24">
        <v>25</v>
      </c>
      <c r="C33" s="25">
        <f>'Fuel Diesel'!C33</f>
        <v>9</v>
      </c>
      <c r="D33" s="25">
        <f>'Fuel Diesel'!D33</f>
        <v>20</v>
      </c>
      <c r="E33" s="26">
        <v>0</v>
      </c>
      <c r="F33" s="28">
        <f t="shared" si="2"/>
        <v>0</v>
      </c>
      <c r="G33" s="26">
        <v>155</v>
      </c>
      <c r="H33" s="28">
        <f t="shared" si="3"/>
        <v>620000</v>
      </c>
      <c r="I33" s="26">
        <v>36</v>
      </c>
      <c r="J33" s="28">
        <f t="shared" si="4"/>
        <v>144000</v>
      </c>
      <c r="K33" s="26">
        <f t="shared" si="0"/>
        <v>764000</v>
      </c>
      <c r="L33" s="79">
        <f t="shared" si="1"/>
        <v>53.125651901814898</v>
      </c>
      <c r="M33" s="23"/>
    </row>
    <row r="34" spans="1:15" x14ac:dyDescent="0.25">
      <c r="A34" s="22"/>
      <c r="B34" s="24">
        <v>26</v>
      </c>
      <c r="C34" s="25">
        <f>'Fuel Diesel'!C34</f>
        <v>7</v>
      </c>
      <c r="D34" s="25">
        <f>'Fuel Diesel'!D34</f>
        <v>50</v>
      </c>
      <c r="E34" s="26">
        <v>0</v>
      </c>
      <c r="F34" s="28">
        <f t="shared" si="2"/>
        <v>0</v>
      </c>
      <c r="G34" s="26">
        <v>54</v>
      </c>
      <c r="H34" s="28">
        <f t="shared" si="3"/>
        <v>216000</v>
      </c>
      <c r="I34" s="26">
        <v>90</v>
      </c>
      <c r="J34" s="28">
        <f t="shared" si="4"/>
        <v>360000</v>
      </c>
      <c r="K34" s="26">
        <f t="shared" si="0"/>
        <v>576000</v>
      </c>
      <c r="L34" s="79">
        <f t="shared" si="1"/>
        <v>40.05284750712746</v>
      </c>
      <c r="M34" s="23"/>
    </row>
    <row r="35" spans="1:15" x14ac:dyDescent="0.25">
      <c r="A35" s="22"/>
      <c r="B35" s="24">
        <v>27</v>
      </c>
      <c r="C35" s="25">
        <f>'Fuel Diesel'!C35</f>
        <v>7</v>
      </c>
      <c r="D35" s="25">
        <f>'Fuel Diesel'!D35</f>
        <v>33</v>
      </c>
      <c r="E35" s="26">
        <v>0</v>
      </c>
      <c r="F35" s="28">
        <f t="shared" si="2"/>
        <v>0</v>
      </c>
      <c r="G35" s="26">
        <v>48</v>
      </c>
      <c r="H35" s="28">
        <f t="shared" si="3"/>
        <v>192000</v>
      </c>
      <c r="I35" s="26">
        <v>80</v>
      </c>
      <c r="J35" s="28">
        <f t="shared" si="4"/>
        <v>320000</v>
      </c>
      <c r="K35" s="26">
        <f t="shared" si="0"/>
        <v>512000</v>
      </c>
      <c r="L35" s="79">
        <f t="shared" si="1"/>
        <v>35.602531117446631</v>
      </c>
      <c r="M35" s="23"/>
    </row>
    <row r="36" spans="1:15" x14ac:dyDescent="0.25">
      <c r="A36" s="22"/>
      <c r="B36" s="24">
        <v>28</v>
      </c>
      <c r="C36" s="25">
        <f>'Fuel Diesel'!C36</f>
        <v>6</v>
      </c>
      <c r="D36" s="25">
        <f>'Fuel Diesel'!D36</f>
        <v>27</v>
      </c>
      <c r="E36" s="26">
        <v>0</v>
      </c>
      <c r="F36" s="28">
        <f t="shared" si="2"/>
        <v>0</v>
      </c>
      <c r="G36" s="26">
        <v>48</v>
      </c>
      <c r="H36" s="28">
        <f t="shared" si="3"/>
        <v>192000</v>
      </c>
      <c r="I36" s="26">
        <v>79</v>
      </c>
      <c r="J36" s="28">
        <f t="shared" si="4"/>
        <v>316000</v>
      </c>
      <c r="K36" s="26">
        <f t="shared" si="0"/>
        <v>508000</v>
      </c>
      <c r="L36" s="79">
        <f t="shared" si="1"/>
        <v>35.324386343091582</v>
      </c>
      <c r="M36" s="23"/>
    </row>
    <row r="37" spans="1:15" x14ac:dyDescent="0.25">
      <c r="C37" s="32">
        <f>SUM(C9:C36)</f>
        <v>95</v>
      </c>
      <c r="D37" s="32">
        <f>SUM(D9:D36)</f>
        <v>548</v>
      </c>
      <c r="E37" s="32">
        <v>0</v>
      </c>
      <c r="G37" s="32">
        <f>SUM(G9:G36)</f>
        <v>1395</v>
      </c>
      <c r="I37" s="32">
        <f>SUM(I9:I36)</f>
        <v>2026</v>
      </c>
      <c r="J37" s="93">
        <f>G37+I37</f>
        <v>3421</v>
      </c>
      <c r="K37" s="80"/>
      <c r="L37" s="87">
        <f>SUM(L9:L36)</f>
        <v>951.53327306863218</v>
      </c>
      <c r="O37" s="37"/>
    </row>
    <row r="38" spans="1:15" x14ac:dyDescent="0.25">
      <c r="H38" s="92" t="s">
        <v>58</v>
      </c>
      <c r="I38" s="91">
        <f>G37+I37</f>
        <v>3421</v>
      </c>
      <c r="L38" s="38"/>
    </row>
    <row r="39" spans="1:15" x14ac:dyDescent="0.25">
      <c r="E39" s="21"/>
      <c r="F39" s="21"/>
      <c r="G39" s="21"/>
      <c r="H39" s="21"/>
      <c r="I39" s="81"/>
      <c r="J39" s="81"/>
      <c r="L39" s="40"/>
    </row>
    <row r="40" spans="1:15" x14ac:dyDescent="0.25">
      <c r="E40" s="21"/>
      <c r="F40" s="21"/>
      <c r="G40" s="21"/>
      <c r="H40" s="21"/>
      <c r="I40" s="81"/>
      <c r="J40" s="81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Siget Pamungkas</dc:creator>
  <cp:lastModifiedBy>Joe J. El Khoury</cp:lastModifiedBy>
  <dcterms:created xsi:type="dcterms:W3CDTF">2022-01-19T02:48:06Z</dcterms:created>
  <dcterms:modified xsi:type="dcterms:W3CDTF">2022-03-24T08:56:57Z</dcterms:modified>
</cp:coreProperties>
</file>