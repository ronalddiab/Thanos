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R26" i="9" l="1"/>
  <c r="R27" i="9"/>
  <c r="R28" i="9"/>
  <c r="R29" i="9"/>
  <c r="R30" i="9"/>
  <c r="R31" i="9"/>
  <c r="R32" i="9"/>
  <c r="Q26" i="9"/>
  <c r="Q27" i="9"/>
  <c r="Q28" i="9"/>
  <c r="Q29" i="9"/>
  <c r="Q30" i="9"/>
  <c r="Q31" i="9"/>
  <c r="Q32" i="9"/>
  <c r="P26" i="9"/>
  <c r="P27" i="9"/>
  <c r="P28" i="9"/>
  <c r="P29" i="9"/>
  <c r="P30" i="9"/>
  <c r="P31" i="9"/>
  <c r="P32" i="9"/>
  <c r="O26" i="9"/>
  <c r="O27" i="9"/>
  <c r="O28" i="9"/>
  <c r="O29" i="9"/>
  <c r="O30" i="9"/>
  <c r="O31" i="9"/>
  <c r="O32" i="9"/>
  <c r="N26" i="9"/>
  <c r="N27" i="9"/>
  <c r="N28" i="9"/>
  <c r="N29" i="9"/>
  <c r="N30" i="9"/>
  <c r="N31" i="9"/>
  <c r="M26" i="9"/>
  <c r="M27" i="9"/>
  <c r="M28" i="9"/>
  <c r="M29" i="9"/>
  <c r="M30" i="9"/>
  <c r="M31" i="9"/>
  <c r="M32" i="9"/>
  <c r="L26" i="9"/>
  <c r="L27" i="9"/>
  <c r="L28" i="9"/>
  <c r="L29" i="9"/>
  <c r="L30" i="9"/>
  <c r="L31" i="9"/>
  <c r="L32" i="9"/>
  <c r="K26" i="9"/>
  <c r="K27" i="9"/>
  <c r="K28" i="9"/>
  <c r="K29" i="9"/>
  <c r="K30" i="9"/>
  <c r="K31" i="9"/>
  <c r="K32" i="9"/>
  <c r="J26" i="9"/>
  <c r="J27" i="9"/>
  <c r="J28" i="9"/>
  <c r="J29" i="9"/>
  <c r="J30" i="9"/>
  <c r="J31" i="9"/>
  <c r="J32" i="9"/>
  <c r="I26" i="9"/>
  <c r="I27" i="9"/>
  <c r="I28" i="9"/>
  <c r="I29" i="9"/>
  <c r="I30" i="9"/>
  <c r="I31" i="9"/>
  <c r="I32" i="9"/>
  <c r="H26" i="9"/>
  <c r="H27" i="9"/>
  <c r="H28" i="9"/>
  <c r="H29" i="9"/>
  <c r="H30" i="9"/>
  <c r="H31" i="9"/>
  <c r="H32" i="9"/>
  <c r="G26" i="9"/>
  <c r="G27" i="9"/>
  <c r="G28" i="9"/>
  <c r="G29" i="9"/>
  <c r="G30" i="9"/>
  <c r="G31" i="9"/>
  <c r="G32" i="9"/>
  <c r="F26" i="9"/>
  <c r="F27" i="9"/>
  <c r="F28" i="9"/>
  <c r="F29" i="9"/>
  <c r="F30" i="9"/>
  <c r="F31" i="9"/>
  <c r="F32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5" i="9" l="1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R24" i="9"/>
  <c r="G24" i="5" s="1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<sst xmlns="http://schemas.openxmlformats.org/spreadsheetml/2006/main" count="128" uniqueCount="49">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</sst>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Submetering!R3</f>
        <v>810.45628099999988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Submetering!R4</f>
        <v>562.13338499999998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Submetering!R5</f>
        <v>867.61597199999994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Submetering!R6</f>
        <v>446.29983900000002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Submetering!R7</f>
        <v>489.83205400000003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Submetering!R8</f>
        <v>517.08700599999997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Submetering!R9</f>
        <v>619.67161699999997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Submetering!R10</f>
        <v>542.07071199999996</v>
      </c>
      <c r="H10" s="11">
        <v>0.52800000000000002</v>
      </c>
      <c r="I10" s="12">
        <f>Hotel!B15</f>
        <v>15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Submetering!R11</f>
        <v>515.57284200000004</v>
      </c>
      <c r="H11" s="11">
        <v>0.52800000000000002</v>
      </c>
      <c r="I11" s="12">
        <f>Hotel!B16</f>
        <v>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Submetering!R12</f>
        <v>755.18929500000002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Submetering!R13</f>
        <v>716.19957199999999</v>
      </c>
      <c r="H13" s="11">
        <v>0.52800000000000002</v>
      </c>
      <c r="I13" s="12">
        <f>Hotel!B18</f>
        <v>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Submetering!R14</f>
        <v>508.38056299999994</v>
      </c>
      <c r="H14" s="11">
        <v>0.52800000000000002</v>
      </c>
      <c r="I14" s="12">
        <f>Hotel!B19</f>
        <v>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29580</v>
      </c>
      <c r="F15" s="11">
        <v>5.0000000000000001E-3</v>
      </c>
      <c r="G15" s="12">
        <f>Submetering!R15</f>
        <v>537.52822000000003</v>
      </c>
      <c r="H15" s="11">
        <v>0.52800000000000002</v>
      </c>
      <c r="I15" s="12">
        <f>Hotel!B20</f>
        <v>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23160</v>
      </c>
      <c r="F16" s="11">
        <v>5.0000000000000001E-3</v>
      </c>
      <c r="G16" s="12">
        <f>Submetering!R16</f>
        <v>664.33945500000004</v>
      </c>
      <c r="H16" s="11">
        <v>0.52800000000000002</v>
      </c>
      <c r="I16" s="12">
        <f>Hotel!B21</f>
        <v>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26480</v>
      </c>
      <c r="F17" s="11">
        <v>5.0000000000000001E-3</v>
      </c>
      <c r="G17" s="12">
        <f>Submetering!R17</f>
        <v>508.75910399999998</v>
      </c>
      <c r="H17" s="11">
        <v>0.52800000000000002</v>
      </c>
      <c r="I17" s="12">
        <f>Hotel!B22</f>
        <v>15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28550</v>
      </c>
      <c r="F18" s="11">
        <v>5.0000000000000001E-3</v>
      </c>
      <c r="G18" s="12">
        <f>Submetering!R18</f>
        <v>461.44147899999996</v>
      </c>
      <c r="H18" s="11">
        <v>0.52800000000000002</v>
      </c>
      <c r="I18" s="12">
        <f>Hotel!B23</f>
        <v>15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28330</v>
      </c>
      <c r="F19" s="11">
        <v>5.0000000000000001E-3</v>
      </c>
      <c r="G19" s="12">
        <f>Submetering!R19</f>
        <v>542.82779400000004</v>
      </c>
      <c r="H19" s="11">
        <v>0.52800000000000002</v>
      </c>
      <c r="I19" s="12">
        <f>Hotel!B24</f>
        <v>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36080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24480</v>
      </c>
      <c r="F21" s="11">
        <v>5.0000000000000001E-3</v>
      </c>
      <c r="G21" s="12">
        <f>Submetering!R21</f>
        <v>484.53248000000002</v>
      </c>
      <c r="H21" s="11">
        <v>0.52800000000000002</v>
      </c>
      <c r="I21" s="12">
        <f>Hotel!B26</f>
        <v>15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27550</v>
      </c>
      <c r="F22" s="11">
        <v>5.0000000000000001E-3</v>
      </c>
      <c r="G22" s="12">
        <f>Submetering!R22</f>
        <v>531.47156400000006</v>
      </c>
      <c r="H22" s="11">
        <v>0.52800000000000002</v>
      </c>
      <c r="I22" s="12">
        <f>Hotel!B27</f>
        <v>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31280</v>
      </c>
      <c r="F23" s="11">
        <v>5.0000000000000001E-3</v>
      </c>
      <c r="G23" s="12">
        <f>Submetering!R23</f>
        <v>532.98572799999999</v>
      </c>
      <c r="H23" s="11">
        <v>0.52800000000000002</v>
      </c>
      <c r="I23" s="12">
        <f>Hotel!B28</f>
        <v>15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26890</v>
      </c>
      <c r="F24" s="11">
        <v>5.0000000000000001E-3</v>
      </c>
      <c r="G24" s="12">
        <f>Submetering!R24</f>
        <v>297.911767</v>
      </c>
      <c r="H24" s="11">
        <v>0.52800000000000002</v>
      </c>
      <c r="I24" s="12">
        <f>Hotel!B29</f>
        <v>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Hotel!AV8*0.00378541*100</f>
        <v>810.45628099999988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Hotel!AV9*0.00378541*100</f>
        <v>562.13338499999998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Hotel!AV10*0.00378541*100</f>
        <v>867.61597199999994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Hotel!AV11*0.00378541*100</f>
        <v>446.29983900000002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Hotel!AV12*0.00378541*100</f>
        <v>489.83205400000003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Hotel!AV13*0.00378541*100</f>
        <v>517.08700599999997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Hotel!AV14*0.00378541*100</f>
        <v>619.67161699999997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Hotel!AV15*0.00378541*100</f>
        <v>542.07071199999996</v>
      </c>
      <c r="S10" s="4">
        <f>Hotel!B15</f>
        <v>15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Hotel!AV16*0.00378541*100</f>
        <v>515.57284200000004</v>
      </c>
      <c r="S11" s="4">
        <f>Hotel!B16</f>
        <v>15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Hotel!AV17*0.00378541*100</f>
        <v>755.18929500000002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Hotel!AV18*0.00378541*100</f>
        <v>716.19957199999999</v>
      </c>
      <c r="S13" s="4">
        <f>Hotel!B18</f>
        <v>15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Hotel!AV19*0.00378541*100</f>
        <v>508.38056299999994</v>
      </c>
      <c r="S14" s="4">
        <f>Hotel!B19</f>
        <v>15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>
        <f>Hotel!Q20</f>
        <v>620</v>
      </c>
      <c r="F15" s="4">
        <f>Hotel!R20</f>
        <v>2120</v>
      </c>
      <c r="G15" s="4">
        <f>Hotel!S20</f>
        <v>3670</v>
      </c>
      <c r="H15" s="4">
        <f>Hotel!T20</f>
        <v>1550</v>
      </c>
      <c r="I15" s="4">
        <f>Hotel!U20</f>
        <v>2580</v>
      </c>
      <c r="J15" s="4">
        <f>Hotel!V20</f>
        <v>1830</v>
      </c>
      <c r="K15" s="4">
        <f>Hotel!W20</f>
        <v>2190</v>
      </c>
      <c r="L15" s="4">
        <f>Hotel!X20</f>
        <v>1310</v>
      </c>
      <c r="M15" s="4">
        <f>Hotel!Y20</f>
        <v>1850</v>
      </c>
      <c r="N15" s="4">
        <f>Hotel!Z20</f>
        <v>2560</v>
      </c>
      <c r="O15" s="4">
        <f>Hotel!AA20</f>
        <v>1040</v>
      </c>
      <c r="P15" s="4">
        <f>Hotel!AB20</f>
        <v>3930</v>
      </c>
      <c r="Q15" s="4">
        <f>Hotel!AC20</f>
        <v>4330</v>
      </c>
      <c r="R15" s="4">
        <f>Hotel!AV20*0.00378541*100</f>
        <v>537.52822000000003</v>
      </c>
      <c r="S15" s="4">
        <f>Hotel!B20</f>
        <v>15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>
        <f>Hotel!Q21</f>
        <v>470</v>
      </c>
      <c r="F16" s="4">
        <f>Hotel!R21</f>
        <v>1630</v>
      </c>
      <c r="G16" s="4">
        <f>Hotel!S21</f>
        <v>2900</v>
      </c>
      <c r="H16" s="4">
        <f>Hotel!T21</f>
        <v>1190</v>
      </c>
      <c r="I16" s="4">
        <f>Hotel!U21</f>
        <v>2120</v>
      </c>
      <c r="J16" s="4">
        <f>Hotel!V21</f>
        <v>1570</v>
      </c>
      <c r="K16" s="4">
        <f>Hotel!W21</f>
        <v>1700</v>
      </c>
      <c r="L16" s="4">
        <f>Hotel!X21</f>
        <v>1020</v>
      </c>
      <c r="M16" s="4">
        <f>Hotel!Y21</f>
        <v>1440</v>
      </c>
      <c r="N16" s="4">
        <f>Hotel!Z21</f>
        <v>2020</v>
      </c>
      <c r="O16" s="4">
        <f>Hotel!AA21</f>
        <v>980</v>
      </c>
      <c r="P16" s="4">
        <f>Hotel!AB21</f>
        <v>2900</v>
      </c>
      <c r="Q16" s="4">
        <f>Hotel!AC21</f>
        <v>3220</v>
      </c>
      <c r="R16" s="4">
        <f>Hotel!AV21*0.00378541*100</f>
        <v>664.33945500000004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3490</v>
      </c>
      <c r="H17" s="4">
        <f>Hotel!T22</f>
        <v>810</v>
      </c>
      <c r="I17" s="4">
        <f>Hotel!U22</f>
        <v>2590</v>
      </c>
      <c r="J17" s="4">
        <f>Hotel!V22</f>
        <v>1680</v>
      </c>
      <c r="K17" s="4">
        <f>Hotel!W22</f>
        <v>2000</v>
      </c>
      <c r="L17" s="4">
        <f>Hotel!X22</f>
        <v>1200</v>
      </c>
      <c r="M17" s="4">
        <f>Hotel!Y22</f>
        <v>1680</v>
      </c>
      <c r="N17" s="4">
        <f>Hotel!Z22</f>
        <v>2380</v>
      </c>
      <c r="O17" s="4">
        <f>Hotel!AA22</f>
        <v>1040</v>
      </c>
      <c r="P17" s="4">
        <f>Hotel!AB22</f>
        <v>3410</v>
      </c>
      <c r="Q17" s="4">
        <f>Hotel!AC22</f>
        <v>3740</v>
      </c>
      <c r="R17" s="4">
        <f>Hotel!AV22*0.00378541*100</f>
        <v>508.75910399999998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560</v>
      </c>
      <c r="F18" s="4">
        <f>Hotel!R23</f>
        <v>1920</v>
      </c>
      <c r="G18" s="4">
        <f>Hotel!S23</f>
        <v>3550</v>
      </c>
      <c r="H18" s="4">
        <f>Hotel!T23</f>
        <v>2020</v>
      </c>
      <c r="I18" s="4">
        <f>Hotel!U23</f>
        <v>2640</v>
      </c>
      <c r="J18" s="4">
        <f>Hotel!V23</f>
        <v>1670</v>
      </c>
      <c r="K18" s="4">
        <f>Hotel!W23</f>
        <v>2030</v>
      </c>
      <c r="L18" s="4">
        <f>Hotel!X23</f>
        <v>1220</v>
      </c>
      <c r="M18" s="4">
        <f>Hotel!Y23</f>
        <v>1710</v>
      </c>
      <c r="N18" s="4">
        <f>Hotel!Z23</f>
        <v>2360</v>
      </c>
      <c r="O18" s="4">
        <f>Hotel!AA23</f>
        <v>1060</v>
      </c>
      <c r="P18" s="4">
        <f>Hotel!AB23</f>
        <v>3570</v>
      </c>
      <c r="Q18" s="4">
        <f>Hotel!AC23</f>
        <v>4240</v>
      </c>
      <c r="R18" s="4">
        <f>Hotel!AV23*0.00378541*100</f>
        <v>461.44147899999996</v>
      </c>
      <c r="S18" s="4">
        <f>Hotel!B23</f>
        <v>15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550</v>
      </c>
      <c r="F19" s="4">
        <f>Hotel!R24</f>
        <v>1890</v>
      </c>
      <c r="G19" s="4">
        <f>Hotel!S24</f>
        <v>3650</v>
      </c>
      <c r="H19" s="4">
        <f>Hotel!T24</f>
        <v>1400</v>
      </c>
      <c r="I19" s="4">
        <f>Hotel!U24</f>
        <v>2630</v>
      </c>
      <c r="J19" s="4">
        <f>Hotel!V24</f>
        <v>1780</v>
      </c>
      <c r="K19" s="4">
        <f>Hotel!W24</f>
        <v>1990</v>
      </c>
      <c r="L19" s="4">
        <f>Hotel!X24</f>
        <v>1210</v>
      </c>
      <c r="M19" s="4">
        <f>Hotel!Y24</f>
        <v>1660</v>
      </c>
      <c r="N19" s="4">
        <f>Hotel!Z24</f>
        <v>2290</v>
      </c>
      <c r="O19" s="4">
        <f>Hotel!AA24</f>
        <v>1160</v>
      </c>
      <c r="P19" s="4">
        <f>Hotel!AB24</f>
        <v>3700</v>
      </c>
      <c r="Q19" s="4">
        <f>Hotel!AC24</f>
        <v>4420</v>
      </c>
      <c r="R19" s="4">
        <f>Hotel!AV24*0.00378541*100</f>
        <v>542.82779400000004</v>
      </c>
      <c r="S19" s="4">
        <f>Hotel!B24</f>
        <v>15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710</v>
      </c>
      <c r="F20" s="4">
        <f>Hotel!R25</f>
        <v>2410</v>
      </c>
      <c r="G20" s="4">
        <f>Hotel!S25</f>
        <v>4570</v>
      </c>
      <c r="H20" s="4">
        <f>Hotel!T25</f>
        <v>1400</v>
      </c>
      <c r="I20" s="4">
        <f>Hotel!U25</f>
        <v>3100</v>
      </c>
      <c r="J20" s="4">
        <f>Hotel!V25</f>
        <v>2030</v>
      </c>
      <c r="K20" s="4">
        <f>Hotel!W25</f>
        <v>2530</v>
      </c>
      <c r="L20" s="4">
        <f>Hotel!X25</f>
        <v>1590</v>
      </c>
      <c r="M20" s="4">
        <f>Hotel!Y25</f>
        <v>2140</v>
      </c>
      <c r="N20" s="4">
        <f>Hotel!Z25</f>
        <v>2870</v>
      </c>
      <c r="O20" s="4">
        <f>Hotel!AA25</f>
        <v>1380</v>
      </c>
      <c r="P20" s="4">
        <f>Hotel!AB25</f>
        <v>5000</v>
      </c>
      <c r="Q20" s="4">
        <f>Hotel!AC25</f>
        <v>6350</v>
      </c>
      <c r="R20" s="4">
        <f>Hotel!AV25*0.00378541*100</f>
        <v>698.02960399999995</v>
      </c>
      <c r="S20" s="4">
        <f>Hotel!B25</f>
        <v>15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460</v>
      </c>
      <c r="F21" s="4">
        <f>Hotel!R26</f>
        <v>1560</v>
      </c>
      <c r="G21" s="4">
        <f>Hotel!S26</f>
        <v>2960</v>
      </c>
      <c r="H21" s="4">
        <f>Hotel!T26</f>
        <v>1550</v>
      </c>
      <c r="I21" s="4">
        <f>Hotel!U26</f>
        <v>2060</v>
      </c>
      <c r="J21" s="4">
        <f>Hotel!V26</f>
        <v>1430</v>
      </c>
      <c r="K21" s="4">
        <f>Hotel!W26</f>
        <v>1640</v>
      </c>
      <c r="L21" s="4">
        <f>Hotel!X26</f>
        <v>1020</v>
      </c>
      <c r="M21" s="4">
        <f>Hotel!Y26</f>
        <v>1450</v>
      </c>
      <c r="N21" s="4">
        <f>Hotel!Z26</f>
        <v>1910</v>
      </c>
      <c r="O21" s="4">
        <f>Hotel!AA26</f>
        <v>810</v>
      </c>
      <c r="P21" s="4">
        <f>Hotel!AB26</f>
        <v>3410</v>
      </c>
      <c r="Q21" s="4">
        <f>Hotel!AC26</f>
        <v>4220</v>
      </c>
      <c r="R21" s="4">
        <f>Hotel!AV26*0.00378541*100</f>
        <v>484.53248000000002</v>
      </c>
      <c r="S21" s="4">
        <f>Hotel!B26</f>
        <v>15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530</v>
      </c>
      <c r="F22" s="4">
        <f>Hotel!R27</f>
        <v>1810</v>
      </c>
      <c r="G22" s="4">
        <f>Hotel!S27</f>
        <v>3320</v>
      </c>
      <c r="H22" s="4">
        <f>Hotel!T27</f>
        <v>1330</v>
      </c>
      <c r="I22" s="4">
        <f>Hotel!U27</f>
        <v>2430</v>
      </c>
      <c r="J22" s="4">
        <f>Hotel!V27</f>
        <v>1750</v>
      </c>
      <c r="K22" s="4">
        <f>Hotel!W27</f>
        <v>1900</v>
      </c>
      <c r="L22" s="4">
        <f>Hotel!X27</f>
        <v>1170</v>
      </c>
      <c r="M22" s="4">
        <f>Hotel!Y27</f>
        <v>1740</v>
      </c>
      <c r="N22" s="4">
        <f>Hotel!Z27</f>
        <v>2120</v>
      </c>
      <c r="O22" s="4">
        <f>Hotel!AA27</f>
        <v>940</v>
      </c>
      <c r="P22" s="4">
        <f>Hotel!AB27</f>
        <v>3580</v>
      </c>
      <c r="Q22" s="4">
        <f>Hotel!AC27</f>
        <v>4930</v>
      </c>
      <c r="R22" s="4">
        <f>Hotel!AV27*0.00378541*100</f>
        <v>531.47156400000006</v>
      </c>
      <c r="S22" s="4">
        <f>Hotel!B27</f>
        <v>15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590</v>
      </c>
      <c r="F23" s="4">
        <f>Hotel!R28</f>
        <v>1990</v>
      </c>
      <c r="G23" s="4">
        <f>Hotel!S28</f>
        <v>3760</v>
      </c>
      <c r="H23" s="4">
        <f>Hotel!T28</f>
        <v>1480</v>
      </c>
      <c r="I23" s="4">
        <f>Hotel!U28</f>
        <v>2770</v>
      </c>
      <c r="J23" s="4">
        <f>Hotel!V28</f>
        <v>1840</v>
      </c>
      <c r="K23" s="4">
        <f>Hotel!W28</f>
        <v>2110</v>
      </c>
      <c r="L23" s="4">
        <f>Hotel!X28</f>
        <v>1310</v>
      </c>
      <c r="M23" s="4">
        <f>Hotel!Y28</f>
        <v>1900</v>
      </c>
      <c r="N23" s="4">
        <f>Hotel!Z28</f>
        <v>2360</v>
      </c>
      <c r="O23" s="4">
        <f>Hotel!AA28</f>
        <v>980</v>
      </c>
      <c r="P23" s="4">
        <f>Hotel!AB28</f>
        <v>4670</v>
      </c>
      <c r="Q23" s="4">
        <f>Hotel!AC28</f>
        <v>5520</v>
      </c>
      <c r="R23" s="4">
        <f>Hotel!AV28*0.00378541*100</f>
        <v>532.98572799999999</v>
      </c>
      <c r="S23" s="4">
        <f>Hotel!B28</f>
        <v>15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500</v>
      </c>
      <c r="F24" s="4">
        <f>Hotel!R29</f>
        <v>1710</v>
      </c>
      <c r="G24" s="4">
        <f>Hotel!S29</f>
        <v>3260</v>
      </c>
      <c r="H24" s="4">
        <f>Hotel!T29</f>
        <v>1280</v>
      </c>
      <c r="I24" s="4">
        <f>Hotel!U29</f>
        <v>2560</v>
      </c>
      <c r="J24" s="4">
        <f>Hotel!V29</f>
        <v>1610</v>
      </c>
      <c r="K24" s="4">
        <f>Hotel!W29</f>
        <v>1820</v>
      </c>
      <c r="L24" s="4">
        <f>Hotel!X29</f>
        <v>1080</v>
      </c>
      <c r="M24" s="4">
        <f>Hotel!Y29</f>
        <v>1640</v>
      </c>
      <c r="N24" s="4">
        <f>Hotel!Z29</f>
        <v>2100</v>
      </c>
      <c r="O24" s="4">
        <f>Hotel!AA29</f>
        <v>900</v>
      </c>
      <c r="P24" s="4">
        <f>Hotel!AB29</f>
        <v>3840</v>
      </c>
      <c r="Q24" s="4">
        <f>Hotel!AC29</f>
        <v>4590</v>
      </c>
      <c r="R24" s="4">
        <f>Hotel!AV29*0.00378541*100</f>
        <v>297.911767</v>
      </c>
      <c r="S24" s="4">
        <f>Hotel!B29</f>
        <v>15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4">IF((D8-D7&lt;0), "0",D8-D7)</f>
        <v>1870</v>
      </c>
      <c r="S8" s="37">
        <f t="shared" ref="S8:S35" si="15">IF((E8-E7&lt;0), "0",E8-E7)</f>
        <v>3420</v>
      </c>
      <c r="T8" s="37">
        <f t="shared" si="14"/>
        <v>1400</v>
      </c>
      <c r="U8" s="37">
        <f t="shared" si="14"/>
        <v>2250</v>
      </c>
      <c r="V8" s="37">
        <f t="shared" si="14"/>
        <v>1810</v>
      </c>
      <c r="W8" s="37">
        <f t="shared" si="14"/>
        <v>2010</v>
      </c>
      <c r="X8" s="37">
        <f t="shared" si="14"/>
        <v>1120</v>
      </c>
      <c r="Y8" s="37">
        <f t="shared" si="14"/>
        <v>1470</v>
      </c>
      <c r="Z8" s="37">
        <f t="shared" si="14"/>
        <v>2410</v>
      </c>
      <c r="AA8" s="37">
        <f t="shared" si="14"/>
        <v>1050</v>
      </c>
      <c r="AB8" s="37">
        <f t="shared" si="14"/>
        <v>3610</v>
      </c>
      <c r="AC8" s="37">
        <f t="shared" si="14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U8" s="47">
        <v>956657</v>
      </c>
      <c r="AV8" s="37">
        <f>IF((AU8-AU7&lt;0),"0",AU8-AU7)</f>
        <v>2141</v>
      </c>
      <c r="AW8" s="35">
        <v>0</v>
      </c>
    </row>
    <row r="9" spans="1:49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16">IF((C9-C8&lt;0), "0",C9-C8)</f>
        <v>570</v>
      </c>
      <c r="R9" s="37">
        <f t="shared" ref="R9:R35" si="17">IF((D9-D8&lt;0), "0",D9-D8)</f>
        <v>1880</v>
      </c>
      <c r="S9" s="37">
        <f t="shared" si="15"/>
        <v>3420</v>
      </c>
      <c r="T9" s="37">
        <f t="shared" ref="T9:T35" si="18">IF((F9-F8&lt;0), "0",F9-F8)</f>
        <v>1420</v>
      </c>
      <c r="U9" s="37">
        <f t="shared" ref="U9:U35" si="19">IF((G9-G8&lt;0), "0",G9-G8)</f>
        <v>2260</v>
      </c>
      <c r="V9" s="37">
        <f t="shared" ref="V9:V35" si="20">IF((H9-H8&lt;0), "0",H9-H8)</f>
        <v>1590</v>
      </c>
      <c r="W9" s="37">
        <f t="shared" ref="W9:W35" si="21">IF((I9-I8&lt;0), "0",I9-I8)</f>
        <v>2010</v>
      </c>
      <c r="X9" s="37">
        <f t="shared" ref="X9:X35" si="22">IF((J9-J8&lt;0), "0",J9-J8)</f>
        <v>1190</v>
      </c>
      <c r="Y9" s="37">
        <f t="shared" ref="Y9:Y35" si="23">IF((K9-K8&lt;0), "0",K9-K8)</f>
        <v>1710</v>
      </c>
      <c r="Z9" s="37">
        <f t="shared" ref="Z9:Z35" si="24">IF((L9-L8&lt;0), "0",L9-L8)</f>
        <v>2390</v>
      </c>
      <c r="AA9" s="37">
        <f t="shared" ref="AA9:AA35" si="25">IF((M9-M8&lt;0), "0",M9-M8)</f>
        <v>1100</v>
      </c>
      <c r="AB9" s="37">
        <f t="shared" ref="AB9:AB37" si="26">IF((N9-N8&lt;0), "0",N9-N8)</f>
        <v>3510</v>
      </c>
      <c r="AC9" s="37">
        <f t="shared" ref="AC9:AC37" si="27">IF((O9-O8&lt;0), "0",O9-O8)</f>
        <v>3690</v>
      </c>
      <c r="AD9" s="35">
        <f t="shared" ref="AD9:AD37" si="28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29">SUM(AF9:AR9)</f>
        <v>133.69999999999999</v>
      </c>
      <c r="AU9" s="47">
        <v>958142</v>
      </c>
      <c r="AV9" s="37">
        <f>IF((AU9-AU8&lt;0),"0",AU9-AU8)</f>
        <v>1485</v>
      </c>
      <c r="AW9" s="35">
        <f t="shared" ref="AW9:AW35" si="30">AV9*$D$40</f>
        <v>2.97</v>
      </c>
    </row>
    <row r="10" spans="1:49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16"/>
        <v>5880</v>
      </c>
      <c r="R10" s="37">
        <f t="shared" si="17"/>
        <v>1890</v>
      </c>
      <c r="S10" s="37">
        <f t="shared" si="15"/>
        <v>1640</v>
      </c>
      <c r="T10" s="37">
        <f t="shared" si="18"/>
        <v>1450</v>
      </c>
      <c r="U10" s="37">
        <f t="shared" si="19"/>
        <v>2300</v>
      </c>
      <c r="V10" s="37">
        <f t="shared" si="20"/>
        <v>1750</v>
      </c>
      <c r="W10" s="37">
        <f t="shared" si="21"/>
        <v>2000</v>
      </c>
      <c r="X10" s="37">
        <f t="shared" si="22"/>
        <v>1230</v>
      </c>
      <c r="Y10" s="37">
        <f t="shared" si="23"/>
        <v>1690</v>
      </c>
      <c r="Z10" s="37">
        <f t="shared" si="24"/>
        <v>2420</v>
      </c>
      <c r="AA10" s="37">
        <f t="shared" si="25"/>
        <v>1040</v>
      </c>
      <c r="AB10" s="37">
        <f t="shared" si="26"/>
        <v>3650</v>
      </c>
      <c r="AC10" s="37">
        <f t="shared" si="27"/>
        <v>3730</v>
      </c>
      <c r="AD10" s="35">
        <f t="shared" si="28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29"/>
        <v>153.35</v>
      </c>
      <c r="AU10" s="47">
        <v>960434</v>
      </c>
      <c r="AV10" s="37">
        <f t="shared" ref="AV10:AV26" si="31">IF((AU10-AU9&lt;0),"0",AU10-AU9)</f>
        <v>2292</v>
      </c>
      <c r="AW10" s="35">
        <f t="shared" si="30"/>
        <v>4.5840000000000005</v>
      </c>
    </row>
    <row r="11" spans="1:49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16"/>
        <v>11370</v>
      </c>
      <c r="R11" s="37">
        <f t="shared" si="17"/>
        <v>2050</v>
      </c>
      <c r="S11" s="37">
        <f t="shared" si="15"/>
        <v>0</v>
      </c>
      <c r="T11" s="37">
        <f t="shared" si="18"/>
        <v>1570</v>
      </c>
      <c r="U11" s="37">
        <f t="shared" si="19"/>
        <v>2480</v>
      </c>
      <c r="V11" s="37">
        <f t="shared" si="20"/>
        <v>1690</v>
      </c>
      <c r="W11" s="37">
        <f t="shared" si="21"/>
        <v>2120</v>
      </c>
      <c r="X11" s="37">
        <f t="shared" si="22"/>
        <v>1280</v>
      </c>
      <c r="Y11" s="37">
        <f t="shared" si="23"/>
        <v>1830</v>
      </c>
      <c r="Z11" s="37">
        <f t="shared" si="24"/>
        <v>2520</v>
      </c>
      <c r="AA11" s="37">
        <f t="shared" si="25"/>
        <v>1210</v>
      </c>
      <c r="AB11" s="37">
        <f t="shared" si="26"/>
        <v>3910</v>
      </c>
      <c r="AC11" s="37">
        <f t="shared" si="27"/>
        <v>3840</v>
      </c>
      <c r="AD11" s="35">
        <f t="shared" si="28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29"/>
        <v>179.35000000000002</v>
      </c>
      <c r="AU11" s="47">
        <v>961613</v>
      </c>
      <c r="AV11" s="37">
        <f t="shared" si="31"/>
        <v>1179</v>
      </c>
      <c r="AW11" s="35">
        <f t="shared" si="30"/>
        <v>2.3580000000000001</v>
      </c>
    </row>
    <row r="12" spans="1:49" x14ac:dyDescent="0.25">
      <c r="A12" s="23">
        <v>43988</v>
      </c>
      <c r="B12" s="40">
        <v>15</v>
      </c>
      <c r="C12" s="49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16"/>
        <v>12750</v>
      </c>
      <c r="R12" s="37">
        <f t="shared" si="17"/>
        <v>2250</v>
      </c>
      <c r="S12" s="37">
        <f t="shared" si="15"/>
        <v>0</v>
      </c>
      <c r="T12" s="37">
        <f t="shared" ref="T12:W14" si="32">IF((F12-F11&lt;0), "0",F12-F11)</f>
        <v>1720</v>
      </c>
      <c r="U12" s="37">
        <f t="shared" si="32"/>
        <v>2600</v>
      </c>
      <c r="V12" s="37">
        <f t="shared" si="32"/>
        <v>1860</v>
      </c>
      <c r="W12" s="37">
        <f t="shared" si="32"/>
        <v>2300</v>
      </c>
      <c r="X12" s="37">
        <f t="shared" si="22"/>
        <v>1380</v>
      </c>
      <c r="Y12" s="37">
        <f t="shared" si="23"/>
        <v>1970</v>
      </c>
      <c r="Z12" s="37">
        <f>IF((L12-L11&lt;0), "0",L12-L11)</f>
        <v>2690</v>
      </c>
      <c r="AA12" s="37">
        <f t="shared" si="25"/>
        <v>1130</v>
      </c>
      <c r="AB12" s="37">
        <f t="shared" si="26"/>
        <v>4070</v>
      </c>
      <c r="AC12" s="37">
        <f t="shared" si="27"/>
        <v>4500</v>
      </c>
      <c r="AD12" s="35">
        <f t="shared" si="28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29"/>
        <v>196.1</v>
      </c>
      <c r="AU12" s="47">
        <v>962907</v>
      </c>
      <c r="AV12" s="37">
        <f t="shared" si="31"/>
        <v>1294</v>
      </c>
      <c r="AW12" s="35">
        <f t="shared" si="30"/>
        <v>2.5880000000000001</v>
      </c>
    </row>
    <row r="13" spans="1:49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16"/>
        <v>9100</v>
      </c>
      <c r="R13" s="37">
        <f t="shared" si="17"/>
        <v>1610</v>
      </c>
      <c r="S13" s="37">
        <f t="shared" si="15"/>
        <v>0</v>
      </c>
      <c r="T13" s="37">
        <f t="shared" si="32"/>
        <v>1230</v>
      </c>
      <c r="U13" s="37">
        <f t="shared" si="32"/>
        <v>2050</v>
      </c>
      <c r="V13" s="37">
        <f t="shared" si="32"/>
        <v>1350</v>
      </c>
      <c r="W13" s="37">
        <f t="shared" si="32"/>
        <v>1660</v>
      </c>
      <c r="X13" s="37">
        <f t="shared" si="22"/>
        <v>990</v>
      </c>
      <c r="Y13" s="37">
        <f t="shared" si="23"/>
        <v>1290</v>
      </c>
      <c r="Z13" s="37">
        <f>IF((L13-L12&lt;0), "0",L13-L12)</f>
        <v>2000</v>
      </c>
      <c r="AA13" s="37">
        <f t="shared" si="25"/>
        <v>810</v>
      </c>
      <c r="AB13" s="37">
        <f t="shared" si="26"/>
        <v>2980</v>
      </c>
      <c r="AC13" s="37">
        <f t="shared" si="27"/>
        <v>3190</v>
      </c>
      <c r="AD13" s="35">
        <f t="shared" si="28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29"/>
        <v>141.29999999999998</v>
      </c>
      <c r="AU13" s="47">
        <v>964273</v>
      </c>
      <c r="AV13" s="37">
        <f t="shared" si="31"/>
        <v>1366</v>
      </c>
      <c r="AW13" s="35">
        <f t="shared" si="30"/>
        <v>2.7320000000000002</v>
      </c>
    </row>
    <row r="14" spans="1:49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54"/>
      <c r="Q14" s="37">
        <f t="shared" si="16"/>
        <v>9650</v>
      </c>
      <c r="R14" s="37">
        <f t="shared" si="17"/>
        <v>1730</v>
      </c>
      <c r="S14" s="37">
        <f t="shared" si="15"/>
        <v>0</v>
      </c>
      <c r="T14" s="37">
        <f t="shared" si="32"/>
        <v>1310</v>
      </c>
      <c r="U14" s="37">
        <f t="shared" si="32"/>
        <v>2260</v>
      </c>
      <c r="V14" s="37">
        <f t="shared" si="32"/>
        <v>1570</v>
      </c>
      <c r="W14" s="37">
        <f t="shared" si="32"/>
        <v>1790</v>
      </c>
      <c r="X14" s="37">
        <f t="shared" si="22"/>
        <v>1060</v>
      </c>
      <c r="Y14" s="37">
        <f t="shared" si="23"/>
        <v>1330</v>
      </c>
      <c r="Z14" s="37">
        <f>IF((L14-L13&lt;0), "0",L14-L13)</f>
        <v>2150</v>
      </c>
      <c r="AA14" s="37">
        <f t="shared" si="25"/>
        <v>880</v>
      </c>
      <c r="AB14" s="37">
        <f t="shared" si="26"/>
        <v>3240</v>
      </c>
      <c r="AC14" s="37">
        <f t="shared" si="27"/>
        <v>3470</v>
      </c>
      <c r="AD14" s="35">
        <f t="shared" si="28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29"/>
        <v>152.19999999999999</v>
      </c>
      <c r="AU14" s="47">
        <v>965910</v>
      </c>
      <c r="AV14" s="37">
        <f t="shared" si="31"/>
        <v>1637</v>
      </c>
      <c r="AW14" s="35">
        <f t="shared" si="30"/>
        <v>3.274</v>
      </c>
    </row>
    <row r="15" spans="1:49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16"/>
        <v>10710</v>
      </c>
      <c r="R15" s="37">
        <f t="shared" si="17"/>
        <v>1910</v>
      </c>
      <c r="S15" s="37">
        <f t="shared" si="15"/>
        <v>0</v>
      </c>
      <c r="T15" s="37">
        <f t="shared" si="18"/>
        <v>1420</v>
      </c>
      <c r="U15" s="37">
        <f t="shared" si="19"/>
        <v>2470</v>
      </c>
      <c r="V15" s="37">
        <f t="shared" si="20"/>
        <v>1630</v>
      </c>
      <c r="W15" s="37">
        <f t="shared" si="21"/>
        <v>2000</v>
      </c>
      <c r="X15" s="37">
        <f t="shared" si="22"/>
        <v>1160</v>
      </c>
      <c r="Y15" s="37">
        <f t="shared" si="23"/>
        <v>1810</v>
      </c>
      <c r="Z15" s="37">
        <f t="shared" si="24"/>
        <v>2390</v>
      </c>
      <c r="AA15" s="37">
        <f t="shared" si="25"/>
        <v>990</v>
      </c>
      <c r="AB15" s="37">
        <f t="shared" si="26"/>
        <v>3490</v>
      </c>
      <c r="AC15" s="37">
        <f t="shared" si="27"/>
        <v>3940</v>
      </c>
      <c r="AD15" s="35">
        <f t="shared" si="28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29"/>
        <v>169.59999999999997</v>
      </c>
      <c r="AU15" s="47">
        <v>967342</v>
      </c>
      <c r="AV15" s="37">
        <f t="shared" si="31"/>
        <v>1432</v>
      </c>
      <c r="AW15" s="35">
        <f t="shared" si="30"/>
        <v>2.8639999999999999</v>
      </c>
    </row>
    <row r="16" spans="1:49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16"/>
        <v>10750</v>
      </c>
      <c r="R16" s="37">
        <f t="shared" si="17"/>
        <v>1900</v>
      </c>
      <c r="S16" s="37">
        <f t="shared" si="15"/>
        <v>0</v>
      </c>
      <c r="T16" s="37">
        <f t="shared" si="18"/>
        <v>2010</v>
      </c>
      <c r="U16" s="37">
        <f t="shared" si="19"/>
        <v>2360</v>
      </c>
      <c r="V16" s="37">
        <f t="shared" si="20"/>
        <v>1690</v>
      </c>
      <c r="W16" s="37">
        <f t="shared" si="21"/>
        <v>1990</v>
      </c>
      <c r="X16" s="37">
        <f t="shared" si="22"/>
        <v>1160</v>
      </c>
      <c r="Y16" s="37">
        <f t="shared" si="23"/>
        <v>2000</v>
      </c>
      <c r="Z16" s="37">
        <f t="shared" si="24"/>
        <v>2310</v>
      </c>
      <c r="AA16" s="37">
        <f t="shared" si="25"/>
        <v>990</v>
      </c>
      <c r="AB16" s="37">
        <f t="shared" si="26"/>
        <v>3540</v>
      </c>
      <c r="AC16" s="37">
        <f t="shared" si="27"/>
        <v>3680</v>
      </c>
      <c r="AD16" s="35">
        <f t="shared" si="28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29"/>
        <v>171.89999999999998</v>
      </c>
      <c r="AU16" s="47">
        <v>968704</v>
      </c>
      <c r="AV16" s="37">
        <f t="shared" si="31"/>
        <v>1362</v>
      </c>
      <c r="AW16" s="35">
        <f t="shared" si="30"/>
        <v>2.7240000000000002</v>
      </c>
    </row>
    <row r="17" spans="1:49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16"/>
        <v>11000</v>
      </c>
      <c r="R17" s="37">
        <f t="shared" si="17"/>
        <v>1910</v>
      </c>
      <c r="S17" s="37">
        <f t="shared" si="15"/>
        <v>0</v>
      </c>
      <c r="T17" s="37">
        <f t="shared" si="18"/>
        <v>820</v>
      </c>
      <c r="U17" s="37">
        <f t="shared" si="19"/>
        <v>2530</v>
      </c>
      <c r="V17" s="37">
        <f t="shared" si="20"/>
        <v>2180</v>
      </c>
      <c r="W17" s="37">
        <f t="shared" si="21"/>
        <v>2020</v>
      </c>
      <c r="X17" s="37">
        <f t="shared" si="22"/>
        <v>1190</v>
      </c>
      <c r="Y17" s="37">
        <f t="shared" si="23"/>
        <v>2000</v>
      </c>
      <c r="Z17" s="37">
        <f t="shared" si="24"/>
        <v>2340</v>
      </c>
      <c r="AA17" s="37">
        <f t="shared" si="25"/>
        <v>1230</v>
      </c>
      <c r="AB17" s="37">
        <f t="shared" si="26"/>
        <v>3500</v>
      </c>
      <c r="AC17" s="37">
        <f t="shared" si="27"/>
        <v>3880</v>
      </c>
      <c r="AD17" s="35">
        <f t="shared" si="28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29"/>
        <v>173</v>
      </c>
      <c r="AU17" s="47">
        <v>970699</v>
      </c>
      <c r="AV17" s="37">
        <f t="shared" si="31"/>
        <v>1995</v>
      </c>
      <c r="AW17" s="35">
        <f t="shared" si="30"/>
        <v>3.99</v>
      </c>
    </row>
    <row r="18" spans="1:49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16"/>
        <v>11640</v>
      </c>
      <c r="R18" s="37">
        <f t="shared" si="17"/>
        <v>2050</v>
      </c>
      <c r="S18" s="37">
        <f t="shared" si="15"/>
        <v>0</v>
      </c>
      <c r="T18" s="37">
        <f t="shared" si="18"/>
        <v>1520</v>
      </c>
      <c r="U18" s="37">
        <f t="shared" si="19"/>
        <v>2730</v>
      </c>
      <c r="V18" s="37">
        <f t="shared" si="20"/>
        <v>1450</v>
      </c>
      <c r="W18" s="37">
        <f t="shared" si="21"/>
        <v>2150</v>
      </c>
      <c r="X18" s="37">
        <f t="shared" si="22"/>
        <v>1250</v>
      </c>
      <c r="Y18" s="37">
        <f t="shared" si="23"/>
        <v>2130</v>
      </c>
      <c r="Z18" s="37">
        <f t="shared" si="24"/>
        <v>2530</v>
      </c>
      <c r="AA18" s="37">
        <f t="shared" si="25"/>
        <v>1190</v>
      </c>
      <c r="AB18" s="37">
        <f t="shared" si="26"/>
        <v>3730</v>
      </c>
      <c r="AC18" s="37">
        <f t="shared" si="27"/>
        <v>4330</v>
      </c>
      <c r="AD18" s="35">
        <f t="shared" si="28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29"/>
        <v>183.5</v>
      </c>
      <c r="AU18" s="47">
        <v>972591</v>
      </c>
      <c r="AV18" s="37">
        <f t="shared" si="31"/>
        <v>1892</v>
      </c>
      <c r="AW18" s="35">
        <f t="shared" si="30"/>
        <v>3.7840000000000003</v>
      </c>
    </row>
    <row r="19" spans="1:49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16"/>
        <v>9430</v>
      </c>
      <c r="R19" s="37">
        <f t="shared" si="17"/>
        <v>1820</v>
      </c>
      <c r="S19" s="37">
        <f t="shared" si="15"/>
        <v>130</v>
      </c>
      <c r="T19" s="37">
        <f t="shared" si="18"/>
        <v>1360</v>
      </c>
      <c r="U19" s="37">
        <f t="shared" si="19"/>
        <v>2290</v>
      </c>
      <c r="V19" s="37">
        <f t="shared" si="20"/>
        <v>1600</v>
      </c>
      <c r="W19" s="37">
        <f t="shared" si="21"/>
        <v>1890</v>
      </c>
      <c r="X19" s="37">
        <f t="shared" si="22"/>
        <v>1120</v>
      </c>
      <c r="Y19" s="37">
        <f t="shared" si="23"/>
        <v>1730</v>
      </c>
      <c r="Z19" s="37">
        <f t="shared" si="24"/>
        <v>2130</v>
      </c>
      <c r="AA19" s="37">
        <f t="shared" si="25"/>
        <v>890</v>
      </c>
      <c r="AB19" s="37">
        <f t="shared" si="26"/>
        <v>3370</v>
      </c>
      <c r="AC19" s="37">
        <f t="shared" si="27"/>
        <v>3800</v>
      </c>
      <c r="AD19" s="35">
        <f t="shared" si="28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29"/>
        <v>157.80000000000001</v>
      </c>
      <c r="AU19" s="47">
        <v>973934</v>
      </c>
      <c r="AV19" s="37">
        <f t="shared" si="31"/>
        <v>1343</v>
      </c>
      <c r="AW19" s="35">
        <f t="shared" si="30"/>
        <v>2.6859999999999999</v>
      </c>
    </row>
    <row r="20" spans="1:49" x14ac:dyDescent="0.25">
      <c r="A20" s="23">
        <v>43996</v>
      </c>
      <c r="B20" s="40">
        <v>15</v>
      </c>
      <c r="C20" s="24">
        <v>6126980</v>
      </c>
      <c r="D20" s="24">
        <v>13099000</v>
      </c>
      <c r="E20" s="24">
        <v>1778780</v>
      </c>
      <c r="F20" s="24">
        <v>2881000</v>
      </c>
      <c r="G20" s="24">
        <v>8829680</v>
      </c>
      <c r="H20" s="24">
        <v>4420670</v>
      </c>
      <c r="I20" s="24">
        <v>4252260</v>
      </c>
      <c r="J20" s="24">
        <v>4793050</v>
      </c>
      <c r="K20" s="24">
        <v>7546340</v>
      </c>
      <c r="L20" s="24">
        <v>2927110</v>
      </c>
      <c r="M20" s="24">
        <v>6803620</v>
      </c>
      <c r="N20" s="24">
        <v>9701590</v>
      </c>
      <c r="O20" s="24">
        <v>13165150</v>
      </c>
      <c r="Q20" s="37">
        <f t="shared" si="16"/>
        <v>620</v>
      </c>
      <c r="R20" s="37">
        <f t="shared" si="17"/>
        <v>2120</v>
      </c>
      <c r="S20" s="37">
        <f t="shared" si="15"/>
        <v>3670</v>
      </c>
      <c r="T20" s="37">
        <f t="shared" si="18"/>
        <v>1550</v>
      </c>
      <c r="U20" s="37">
        <f t="shared" si="19"/>
        <v>2580</v>
      </c>
      <c r="V20" s="37">
        <f t="shared" si="20"/>
        <v>1830</v>
      </c>
      <c r="W20" s="37">
        <f t="shared" si="21"/>
        <v>2190</v>
      </c>
      <c r="X20" s="37">
        <f t="shared" si="22"/>
        <v>1310</v>
      </c>
      <c r="Y20" s="37">
        <f t="shared" si="23"/>
        <v>1850</v>
      </c>
      <c r="Z20" s="37">
        <f t="shared" si="24"/>
        <v>2560</v>
      </c>
      <c r="AA20" s="37">
        <f t="shared" si="25"/>
        <v>1040</v>
      </c>
      <c r="AB20" s="37">
        <f t="shared" si="26"/>
        <v>3930</v>
      </c>
      <c r="AC20" s="37">
        <f t="shared" si="27"/>
        <v>4330</v>
      </c>
      <c r="AD20" s="35">
        <f t="shared" si="28"/>
        <v>29580</v>
      </c>
      <c r="AF20" s="20">
        <f t="shared" si="1"/>
        <v>3.1</v>
      </c>
      <c r="AG20" s="20">
        <f t="shared" si="2"/>
        <v>10.6</v>
      </c>
      <c r="AH20" s="20">
        <f t="shared" si="3"/>
        <v>18.350000000000001</v>
      </c>
      <c r="AI20" s="20">
        <f t="shared" si="4"/>
        <v>7.75</v>
      </c>
      <c r="AJ20" s="20">
        <f t="shared" si="5"/>
        <v>12.9</v>
      </c>
      <c r="AK20" s="20">
        <f t="shared" si="6"/>
        <v>9.15</v>
      </c>
      <c r="AL20" s="20">
        <f t="shared" si="7"/>
        <v>10.950000000000001</v>
      </c>
      <c r="AM20" s="20">
        <f t="shared" si="8"/>
        <v>6.55</v>
      </c>
      <c r="AN20" s="20">
        <f t="shared" si="9"/>
        <v>9.25</v>
      </c>
      <c r="AO20" s="20">
        <f t="shared" si="10"/>
        <v>12.8</v>
      </c>
      <c r="AP20" s="20">
        <f t="shared" si="11"/>
        <v>5.2</v>
      </c>
      <c r="AQ20" s="20">
        <f t="shared" si="12"/>
        <v>19.650000000000002</v>
      </c>
      <c r="AR20" s="20">
        <f t="shared" si="13"/>
        <v>21.650000000000002</v>
      </c>
      <c r="AS20" s="35">
        <f t="shared" si="29"/>
        <v>147.9</v>
      </c>
      <c r="AU20" s="47">
        <v>975354</v>
      </c>
      <c r="AV20" s="37">
        <f t="shared" si="31"/>
        <v>1420</v>
      </c>
      <c r="AW20" s="35">
        <f t="shared" si="30"/>
        <v>2.84</v>
      </c>
    </row>
    <row r="21" spans="1:49" x14ac:dyDescent="0.25">
      <c r="A21" s="23">
        <v>43997</v>
      </c>
      <c r="B21" s="40">
        <v>15</v>
      </c>
      <c r="C21" s="24">
        <v>6127450</v>
      </c>
      <c r="D21" s="24">
        <v>13100630</v>
      </c>
      <c r="E21" s="24">
        <v>1781680</v>
      </c>
      <c r="F21" s="24">
        <v>2882190</v>
      </c>
      <c r="G21" s="24">
        <v>8831800</v>
      </c>
      <c r="H21" s="24">
        <v>4422240</v>
      </c>
      <c r="I21" s="24">
        <v>4253960</v>
      </c>
      <c r="J21" s="24">
        <v>4794070</v>
      </c>
      <c r="K21" s="24">
        <v>7547780</v>
      </c>
      <c r="L21" s="24">
        <v>2929130</v>
      </c>
      <c r="M21" s="24">
        <v>6804600</v>
      </c>
      <c r="N21" s="24">
        <v>9704490</v>
      </c>
      <c r="O21" s="24">
        <v>13168370</v>
      </c>
      <c r="Q21" s="37">
        <f t="shared" si="16"/>
        <v>470</v>
      </c>
      <c r="R21" s="37">
        <f t="shared" si="17"/>
        <v>1630</v>
      </c>
      <c r="S21" s="37">
        <f t="shared" si="15"/>
        <v>2900</v>
      </c>
      <c r="T21" s="37">
        <f t="shared" si="18"/>
        <v>1190</v>
      </c>
      <c r="U21" s="37">
        <f t="shared" si="19"/>
        <v>2120</v>
      </c>
      <c r="V21" s="37">
        <f t="shared" si="20"/>
        <v>1570</v>
      </c>
      <c r="W21" s="37">
        <f t="shared" si="21"/>
        <v>1700</v>
      </c>
      <c r="X21" s="37">
        <f t="shared" si="22"/>
        <v>1020</v>
      </c>
      <c r="Y21" s="37">
        <f t="shared" si="23"/>
        <v>1440</v>
      </c>
      <c r="Z21" s="37">
        <f t="shared" si="24"/>
        <v>2020</v>
      </c>
      <c r="AA21" s="37">
        <f t="shared" si="25"/>
        <v>980</v>
      </c>
      <c r="AB21" s="37">
        <f t="shared" si="26"/>
        <v>2900</v>
      </c>
      <c r="AC21" s="37">
        <f t="shared" si="27"/>
        <v>3220</v>
      </c>
      <c r="AD21" s="35">
        <f t="shared" si="28"/>
        <v>23160</v>
      </c>
      <c r="AF21" s="20">
        <f t="shared" si="1"/>
        <v>2.35</v>
      </c>
      <c r="AG21" s="20">
        <f t="shared" si="2"/>
        <v>8.15</v>
      </c>
      <c r="AH21" s="20">
        <f t="shared" si="3"/>
        <v>14.5</v>
      </c>
      <c r="AI21" s="20">
        <f t="shared" si="4"/>
        <v>5.95</v>
      </c>
      <c r="AJ21" s="20">
        <f t="shared" si="5"/>
        <v>10.6</v>
      </c>
      <c r="AK21" s="20">
        <f t="shared" si="6"/>
        <v>7.8500000000000005</v>
      </c>
      <c r="AL21" s="20">
        <f t="shared" si="7"/>
        <v>8.5</v>
      </c>
      <c r="AM21" s="20">
        <f t="shared" si="8"/>
        <v>5.1000000000000005</v>
      </c>
      <c r="AN21" s="20">
        <f t="shared" si="9"/>
        <v>7.2</v>
      </c>
      <c r="AO21" s="20">
        <f t="shared" si="10"/>
        <v>10.1</v>
      </c>
      <c r="AP21" s="20">
        <f t="shared" si="11"/>
        <v>4.9000000000000004</v>
      </c>
      <c r="AQ21" s="20">
        <f t="shared" si="12"/>
        <v>14.5</v>
      </c>
      <c r="AR21" s="20">
        <f t="shared" si="13"/>
        <v>16.100000000000001</v>
      </c>
      <c r="AS21" s="35">
        <f t="shared" si="29"/>
        <v>115.80000000000001</v>
      </c>
      <c r="AU21" s="47">
        <v>977109</v>
      </c>
      <c r="AV21" s="37">
        <f t="shared" si="31"/>
        <v>1755</v>
      </c>
      <c r="AW21" s="35">
        <f t="shared" si="30"/>
        <v>3.5100000000000002</v>
      </c>
    </row>
    <row r="22" spans="1:49" x14ac:dyDescent="0.25">
      <c r="A22" s="23">
        <v>43998</v>
      </c>
      <c r="B22" s="40">
        <v>15</v>
      </c>
      <c r="C22" s="24">
        <v>6128010</v>
      </c>
      <c r="D22" s="24">
        <v>13102530</v>
      </c>
      <c r="E22" s="24">
        <v>1785170</v>
      </c>
      <c r="F22" s="24">
        <v>2883000</v>
      </c>
      <c r="G22" s="24">
        <v>8834390</v>
      </c>
      <c r="H22" s="24">
        <v>4423920</v>
      </c>
      <c r="I22" s="24">
        <v>4255960</v>
      </c>
      <c r="J22" s="44">
        <v>4795270</v>
      </c>
      <c r="K22" s="24">
        <v>7549460</v>
      </c>
      <c r="L22" s="24">
        <v>2931510</v>
      </c>
      <c r="M22" s="24">
        <v>6805640</v>
      </c>
      <c r="N22" s="24">
        <v>9707900</v>
      </c>
      <c r="O22" s="44">
        <v>13172110</v>
      </c>
      <c r="Q22" s="37">
        <f t="shared" si="16"/>
        <v>560</v>
      </c>
      <c r="R22" s="37">
        <f t="shared" si="17"/>
        <v>1900</v>
      </c>
      <c r="S22" s="37">
        <f t="shared" si="15"/>
        <v>3490</v>
      </c>
      <c r="T22" s="37">
        <f t="shared" si="18"/>
        <v>810</v>
      </c>
      <c r="U22" s="37">
        <f t="shared" si="19"/>
        <v>2590</v>
      </c>
      <c r="V22" s="37">
        <f t="shared" si="20"/>
        <v>1680</v>
      </c>
      <c r="W22" s="37">
        <f t="shared" si="21"/>
        <v>2000</v>
      </c>
      <c r="X22" s="37">
        <f t="shared" si="22"/>
        <v>1200</v>
      </c>
      <c r="Y22" s="37">
        <f t="shared" si="23"/>
        <v>1680</v>
      </c>
      <c r="Z22" s="37">
        <f t="shared" si="24"/>
        <v>2380</v>
      </c>
      <c r="AA22" s="37">
        <f t="shared" si="25"/>
        <v>1040</v>
      </c>
      <c r="AB22" s="37">
        <f t="shared" si="26"/>
        <v>3410</v>
      </c>
      <c r="AC22" s="37">
        <f t="shared" si="27"/>
        <v>3740</v>
      </c>
      <c r="AD22" s="35">
        <f t="shared" si="28"/>
        <v>26480</v>
      </c>
      <c r="AF22" s="20">
        <f t="shared" si="1"/>
        <v>2.8000000000000003</v>
      </c>
      <c r="AG22" s="20">
        <f t="shared" si="2"/>
        <v>9.5</v>
      </c>
      <c r="AH22" s="20">
        <f t="shared" si="3"/>
        <v>17.45</v>
      </c>
      <c r="AI22" s="20">
        <f t="shared" si="4"/>
        <v>4.05</v>
      </c>
      <c r="AJ22" s="20">
        <f t="shared" si="5"/>
        <v>12.950000000000001</v>
      </c>
      <c r="AK22" s="20">
        <f t="shared" si="6"/>
        <v>8.4</v>
      </c>
      <c r="AL22" s="20">
        <f t="shared" si="7"/>
        <v>10</v>
      </c>
      <c r="AM22" s="20">
        <f t="shared" si="8"/>
        <v>6</v>
      </c>
      <c r="AN22" s="20">
        <f t="shared" si="9"/>
        <v>8.4</v>
      </c>
      <c r="AO22" s="20">
        <f t="shared" si="10"/>
        <v>11.9</v>
      </c>
      <c r="AP22" s="20">
        <f t="shared" si="11"/>
        <v>5.2</v>
      </c>
      <c r="AQ22" s="20">
        <f t="shared" si="12"/>
        <v>17.05</v>
      </c>
      <c r="AR22" s="20">
        <f t="shared" si="13"/>
        <v>18.7</v>
      </c>
      <c r="AS22" s="35">
        <f t="shared" si="29"/>
        <v>132.4</v>
      </c>
      <c r="AU22" s="47">
        <v>978453</v>
      </c>
      <c r="AV22" s="37">
        <f t="shared" si="31"/>
        <v>1344</v>
      </c>
      <c r="AW22" s="35">
        <f t="shared" si="30"/>
        <v>2.6880000000000002</v>
      </c>
    </row>
    <row r="23" spans="1:49" x14ac:dyDescent="0.25">
      <c r="A23" s="23">
        <v>43999</v>
      </c>
      <c r="B23" s="40">
        <v>15</v>
      </c>
      <c r="C23" s="24">
        <v>6128570</v>
      </c>
      <c r="D23" s="24">
        <v>13104450</v>
      </c>
      <c r="E23" s="24">
        <v>1788720</v>
      </c>
      <c r="F23" s="24">
        <v>2885020</v>
      </c>
      <c r="G23" s="24">
        <v>8837030</v>
      </c>
      <c r="H23" s="24">
        <v>4425590</v>
      </c>
      <c r="I23" s="24">
        <v>4257990</v>
      </c>
      <c r="J23" s="24">
        <v>4796490</v>
      </c>
      <c r="K23" s="24">
        <v>7551170</v>
      </c>
      <c r="L23" s="24">
        <v>2933870</v>
      </c>
      <c r="M23" s="24">
        <v>6806700</v>
      </c>
      <c r="N23" s="24">
        <v>9711470</v>
      </c>
      <c r="O23" s="24">
        <v>13176350</v>
      </c>
      <c r="Q23" s="37">
        <f t="shared" si="16"/>
        <v>560</v>
      </c>
      <c r="R23" s="37">
        <f t="shared" si="17"/>
        <v>1920</v>
      </c>
      <c r="S23" s="37">
        <f t="shared" si="15"/>
        <v>3550</v>
      </c>
      <c r="T23" s="37">
        <f t="shared" si="18"/>
        <v>2020</v>
      </c>
      <c r="U23" s="37">
        <f t="shared" si="19"/>
        <v>2640</v>
      </c>
      <c r="V23" s="37">
        <f t="shared" si="20"/>
        <v>1670</v>
      </c>
      <c r="W23" s="37">
        <f t="shared" si="21"/>
        <v>2030</v>
      </c>
      <c r="X23" s="37">
        <f t="shared" si="22"/>
        <v>1220</v>
      </c>
      <c r="Y23" s="37">
        <f t="shared" si="23"/>
        <v>1710</v>
      </c>
      <c r="Z23" s="37">
        <f t="shared" si="24"/>
        <v>2360</v>
      </c>
      <c r="AA23" s="37">
        <f t="shared" si="25"/>
        <v>1060</v>
      </c>
      <c r="AB23" s="37">
        <f t="shared" si="26"/>
        <v>3570</v>
      </c>
      <c r="AC23" s="37">
        <f t="shared" si="27"/>
        <v>4240</v>
      </c>
      <c r="AD23" s="35">
        <f t="shared" si="28"/>
        <v>28550</v>
      </c>
      <c r="AF23" s="20">
        <f t="shared" si="1"/>
        <v>2.8000000000000003</v>
      </c>
      <c r="AG23" s="20">
        <f t="shared" si="2"/>
        <v>9.6</v>
      </c>
      <c r="AH23" s="20">
        <f t="shared" si="3"/>
        <v>17.75</v>
      </c>
      <c r="AI23" s="20">
        <f t="shared" si="4"/>
        <v>10.1</v>
      </c>
      <c r="AJ23" s="20">
        <f t="shared" si="5"/>
        <v>13.200000000000001</v>
      </c>
      <c r="AK23" s="20">
        <f t="shared" si="6"/>
        <v>8.35</v>
      </c>
      <c r="AL23" s="20">
        <f t="shared" si="7"/>
        <v>10.15</v>
      </c>
      <c r="AM23" s="20">
        <f t="shared" si="8"/>
        <v>6.1000000000000005</v>
      </c>
      <c r="AN23" s="20">
        <f t="shared" si="9"/>
        <v>8.5500000000000007</v>
      </c>
      <c r="AO23" s="20">
        <f t="shared" si="10"/>
        <v>11.8</v>
      </c>
      <c r="AP23" s="20">
        <f t="shared" si="11"/>
        <v>5.3</v>
      </c>
      <c r="AQ23" s="20">
        <f t="shared" si="12"/>
        <v>17.850000000000001</v>
      </c>
      <c r="AR23" s="20">
        <f t="shared" si="13"/>
        <v>21.2</v>
      </c>
      <c r="AS23" s="35">
        <f t="shared" si="29"/>
        <v>142.74999999999997</v>
      </c>
      <c r="AU23" s="47">
        <v>979672</v>
      </c>
      <c r="AV23" s="37">
        <f t="shared" si="31"/>
        <v>1219</v>
      </c>
      <c r="AW23" s="35">
        <f t="shared" si="30"/>
        <v>2.4380000000000002</v>
      </c>
    </row>
    <row r="24" spans="1:49" x14ac:dyDescent="0.25">
      <c r="A24" s="23">
        <v>44000</v>
      </c>
      <c r="B24" s="40">
        <v>15</v>
      </c>
      <c r="C24" s="24">
        <v>6129120</v>
      </c>
      <c r="D24" s="24">
        <v>13106340</v>
      </c>
      <c r="E24" s="24">
        <v>1792370</v>
      </c>
      <c r="F24" s="24">
        <v>2886420</v>
      </c>
      <c r="G24" s="24">
        <v>8839660</v>
      </c>
      <c r="H24" s="24">
        <v>4427370</v>
      </c>
      <c r="I24" s="24">
        <v>4259980</v>
      </c>
      <c r="J24" s="24">
        <v>4797700</v>
      </c>
      <c r="K24" s="24">
        <v>7552830</v>
      </c>
      <c r="L24" s="24">
        <v>2936160</v>
      </c>
      <c r="M24" s="24">
        <v>6807860</v>
      </c>
      <c r="N24" s="24">
        <v>9715170</v>
      </c>
      <c r="O24" s="24">
        <v>13180770</v>
      </c>
      <c r="Q24" s="37">
        <f t="shared" si="16"/>
        <v>550</v>
      </c>
      <c r="R24" s="37">
        <f t="shared" si="17"/>
        <v>1890</v>
      </c>
      <c r="S24" s="37">
        <f t="shared" si="15"/>
        <v>3650</v>
      </c>
      <c r="T24" s="37">
        <f t="shared" si="18"/>
        <v>1400</v>
      </c>
      <c r="U24" s="37">
        <f t="shared" si="19"/>
        <v>2630</v>
      </c>
      <c r="V24" s="37">
        <f t="shared" si="20"/>
        <v>1780</v>
      </c>
      <c r="W24" s="37">
        <f t="shared" si="21"/>
        <v>1990</v>
      </c>
      <c r="X24" s="37">
        <f t="shared" si="22"/>
        <v>1210</v>
      </c>
      <c r="Y24" s="37">
        <f t="shared" si="23"/>
        <v>1660</v>
      </c>
      <c r="Z24" s="37">
        <f t="shared" si="24"/>
        <v>2290</v>
      </c>
      <c r="AA24" s="37">
        <f t="shared" si="25"/>
        <v>1160</v>
      </c>
      <c r="AB24" s="37">
        <f t="shared" si="26"/>
        <v>3700</v>
      </c>
      <c r="AC24" s="37">
        <f t="shared" si="27"/>
        <v>4420</v>
      </c>
      <c r="AD24" s="35">
        <f t="shared" si="28"/>
        <v>28330</v>
      </c>
      <c r="AF24" s="20">
        <f t="shared" si="1"/>
        <v>2.75</v>
      </c>
      <c r="AG24" s="20">
        <f t="shared" si="2"/>
        <v>9.4500000000000011</v>
      </c>
      <c r="AH24" s="20">
        <f t="shared" si="3"/>
        <v>18.25</v>
      </c>
      <c r="AI24" s="20">
        <f t="shared" si="4"/>
        <v>7</v>
      </c>
      <c r="AJ24" s="20">
        <f t="shared" si="5"/>
        <v>13.15</v>
      </c>
      <c r="AK24" s="20">
        <f t="shared" si="6"/>
        <v>8.9</v>
      </c>
      <c r="AL24" s="20">
        <f t="shared" si="7"/>
        <v>9.9500000000000011</v>
      </c>
      <c r="AM24" s="20">
        <f t="shared" si="8"/>
        <v>6.05</v>
      </c>
      <c r="AN24" s="20">
        <f t="shared" si="9"/>
        <v>8.3000000000000007</v>
      </c>
      <c r="AO24" s="20">
        <f t="shared" si="10"/>
        <v>11.450000000000001</v>
      </c>
      <c r="AP24" s="20">
        <f t="shared" si="11"/>
        <v>5.8</v>
      </c>
      <c r="AQ24" s="20">
        <f t="shared" si="12"/>
        <v>18.5</v>
      </c>
      <c r="AR24" s="20">
        <f t="shared" si="13"/>
        <v>22.1</v>
      </c>
      <c r="AS24" s="35">
        <f t="shared" si="29"/>
        <v>141.65</v>
      </c>
      <c r="AU24" s="47">
        <v>981106</v>
      </c>
      <c r="AV24" s="37">
        <f t="shared" si="31"/>
        <v>1434</v>
      </c>
      <c r="AW24" s="35">
        <f t="shared" si="30"/>
        <v>2.8679999999999999</v>
      </c>
    </row>
    <row r="25" spans="1:49" x14ac:dyDescent="0.25">
      <c r="A25" s="23">
        <v>44001</v>
      </c>
      <c r="B25" s="40">
        <v>15</v>
      </c>
      <c r="C25" s="24">
        <v>6129830</v>
      </c>
      <c r="D25" s="24">
        <v>13108750</v>
      </c>
      <c r="E25" s="24">
        <v>1796940</v>
      </c>
      <c r="F25" s="24">
        <v>2887820</v>
      </c>
      <c r="G25" s="24">
        <v>8842760</v>
      </c>
      <c r="H25" s="24">
        <v>4429400</v>
      </c>
      <c r="I25" s="24">
        <v>4262510</v>
      </c>
      <c r="J25" s="24">
        <v>4799290</v>
      </c>
      <c r="K25" s="24">
        <v>7554970</v>
      </c>
      <c r="L25" s="24">
        <v>2939030</v>
      </c>
      <c r="M25" s="24">
        <v>6809240</v>
      </c>
      <c r="N25" s="24">
        <v>9720170</v>
      </c>
      <c r="O25" s="24">
        <v>13187120</v>
      </c>
      <c r="Q25" s="37">
        <f t="shared" ref="Q25:AC27" si="33">IF((C25-C24&lt;0), "0",C25-C24)</f>
        <v>710</v>
      </c>
      <c r="R25" s="37">
        <f t="shared" si="33"/>
        <v>2410</v>
      </c>
      <c r="S25" s="37">
        <f t="shared" si="33"/>
        <v>4570</v>
      </c>
      <c r="T25" s="37">
        <f t="shared" si="33"/>
        <v>1400</v>
      </c>
      <c r="U25" s="37">
        <f t="shared" si="33"/>
        <v>3100</v>
      </c>
      <c r="V25" s="37">
        <f t="shared" si="33"/>
        <v>2030</v>
      </c>
      <c r="W25" s="37">
        <f t="shared" si="33"/>
        <v>2530</v>
      </c>
      <c r="X25" s="37">
        <f t="shared" si="33"/>
        <v>1590</v>
      </c>
      <c r="Y25" s="37">
        <f t="shared" si="33"/>
        <v>2140</v>
      </c>
      <c r="Z25" s="37">
        <f t="shared" si="33"/>
        <v>2870</v>
      </c>
      <c r="AA25" s="37">
        <f t="shared" si="33"/>
        <v>1380</v>
      </c>
      <c r="AB25" s="37">
        <f t="shared" si="33"/>
        <v>5000</v>
      </c>
      <c r="AC25" s="37">
        <f t="shared" si="33"/>
        <v>6350</v>
      </c>
      <c r="AD25" s="35">
        <f t="shared" si="28"/>
        <v>36080</v>
      </c>
      <c r="AF25" s="20">
        <f t="shared" si="1"/>
        <v>3.5500000000000003</v>
      </c>
      <c r="AG25" s="20">
        <f t="shared" si="2"/>
        <v>12.05</v>
      </c>
      <c r="AH25" s="20">
        <f t="shared" si="3"/>
        <v>22.85</v>
      </c>
      <c r="AI25" s="20">
        <f t="shared" si="4"/>
        <v>7</v>
      </c>
      <c r="AJ25" s="20">
        <f t="shared" si="5"/>
        <v>15.5</v>
      </c>
      <c r="AK25" s="20">
        <f t="shared" si="6"/>
        <v>10.15</v>
      </c>
      <c r="AL25" s="20">
        <f t="shared" si="7"/>
        <v>12.65</v>
      </c>
      <c r="AM25" s="20">
        <f t="shared" si="8"/>
        <v>7.95</v>
      </c>
      <c r="AN25" s="20">
        <f t="shared" si="9"/>
        <v>10.700000000000001</v>
      </c>
      <c r="AO25" s="20">
        <f t="shared" si="10"/>
        <v>14.35</v>
      </c>
      <c r="AP25" s="20">
        <f t="shared" si="11"/>
        <v>6.9</v>
      </c>
      <c r="AQ25" s="20">
        <f t="shared" si="12"/>
        <v>25</v>
      </c>
      <c r="AR25" s="20">
        <f t="shared" si="13"/>
        <v>31.75</v>
      </c>
      <c r="AS25" s="35">
        <f t="shared" si="29"/>
        <v>180.40000000000003</v>
      </c>
      <c r="AU25" s="47">
        <v>982950</v>
      </c>
      <c r="AV25" s="37">
        <f t="shared" si="31"/>
        <v>1844</v>
      </c>
      <c r="AW25" s="35">
        <f t="shared" si="30"/>
        <v>3.6880000000000002</v>
      </c>
    </row>
    <row r="26" spans="1:49" x14ac:dyDescent="0.25">
      <c r="A26" s="23">
        <v>44002</v>
      </c>
      <c r="B26" s="40">
        <v>15</v>
      </c>
      <c r="C26" s="24">
        <v>6130290</v>
      </c>
      <c r="D26" s="24">
        <v>13110310</v>
      </c>
      <c r="E26" s="24">
        <v>1799900</v>
      </c>
      <c r="F26" s="24">
        <v>2889370</v>
      </c>
      <c r="G26" s="24">
        <v>8844820</v>
      </c>
      <c r="H26" s="24">
        <v>4430830</v>
      </c>
      <c r="I26" s="24">
        <v>4264150</v>
      </c>
      <c r="J26" s="24">
        <v>4800310</v>
      </c>
      <c r="K26" s="24">
        <v>7556420</v>
      </c>
      <c r="L26" s="24">
        <v>2940940</v>
      </c>
      <c r="M26" s="24">
        <v>6810050</v>
      </c>
      <c r="N26" s="24">
        <v>9723580</v>
      </c>
      <c r="O26" s="24">
        <v>13191340</v>
      </c>
      <c r="Q26" s="37">
        <f t="shared" si="33"/>
        <v>460</v>
      </c>
      <c r="R26" s="37">
        <f t="shared" si="33"/>
        <v>1560</v>
      </c>
      <c r="S26" s="37">
        <f t="shared" si="33"/>
        <v>2960</v>
      </c>
      <c r="T26" s="37">
        <f t="shared" si="33"/>
        <v>1550</v>
      </c>
      <c r="U26" s="37">
        <f t="shared" si="33"/>
        <v>2060</v>
      </c>
      <c r="V26" s="37">
        <f t="shared" si="33"/>
        <v>1430</v>
      </c>
      <c r="W26" s="37">
        <f t="shared" si="33"/>
        <v>1640</v>
      </c>
      <c r="X26" s="37">
        <f t="shared" si="33"/>
        <v>1020</v>
      </c>
      <c r="Y26" s="37">
        <f t="shared" si="33"/>
        <v>1450</v>
      </c>
      <c r="Z26" s="37">
        <f t="shared" si="33"/>
        <v>1910</v>
      </c>
      <c r="AA26" s="37">
        <f t="shared" si="33"/>
        <v>810</v>
      </c>
      <c r="AB26" s="37">
        <f t="shared" si="33"/>
        <v>3410</v>
      </c>
      <c r="AC26" s="37">
        <f t="shared" si="33"/>
        <v>4220</v>
      </c>
      <c r="AD26" s="35">
        <f t="shared" si="28"/>
        <v>24480</v>
      </c>
      <c r="AF26" s="20">
        <f t="shared" si="1"/>
        <v>2.3000000000000003</v>
      </c>
      <c r="AG26" s="20">
        <f t="shared" si="2"/>
        <v>7.8</v>
      </c>
      <c r="AH26" s="20">
        <f t="shared" si="3"/>
        <v>14.8</v>
      </c>
      <c r="AI26" s="20">
        <f t="shared" si="4"/>
        <v>7.75</v>
      </c>
      <c r="AJ26" s="20">
        <f t="shared" si="5"/>
        <v>10.3</v>
      </c>
      <c r="AK26" s="20">
        <f t="shared" si="6"/>
        <v>7.15</v>
      </c>
      <c r="AL26" s="20">
        <f t="shared" si="7"/>
        <v>8.1999999999999993</v>
      </c>
      <c r="AM26" s="20">
        <f t="shared" si="8"/>
        <v>5.1000000000000005</v>
      </c>
      <c r="AN26" s="20">
        <f t="shared" si="9"/>
        <v>7.25</v>
      </c>
      <c r="AO26" s="20">
        <f t="shared" si="10"/>
        <v>9.5500000000000007</v>
      </c>
      <c r="AP26" s="20">
        <f t="shared" si="11"/>
        <v>4.05</v>
      </c>
      <c r="AQ26" s="20">
        <f t="shared" si="12"/>
        <v>17.05</v>
      </c>
      <c r="AR26" s="20">
        <f t="shared" si="13"/>
        <v>21.1</v>
      </c>
      <c r="AS26" s="35">
        <f t="shared" si="29"/>
        <v>122.4</v>
      </c>
      <c r="AU26" s="47">
        <v>984230</v>
      </c>
      <c r="AV26" s="37">
        <f t="shared" si="31"/>
        <v>1280</v>
      </c>
      <c r="AW26" s="35">
        <f t="shared" si="30"/>
        <v>2.56</v>
      </c>
    </row>
    <row r="27" spans="1:49" x14ac:dyDescent="0.25">
      <c r="A27" s="23">
        <v>44003</v>
      </c>
      <c r="B27" s="40">
        <v>15</v>
      </c>
      <c r="C27" s="24">
        <v>6130820</v>
      </c>
      <c r="D27" s="24">
        <v>13112120</v>
      </c>
      <c r="E27" s="24">
        <v>1803220</v>
      </c>
      <c r="F27" s="24">
        <v>2890700</v>
      </c>
      <c r="G27" s="24">
        <v>8847250</v>
      </c>
      <c r="H27" s="24">
        <v>4432580</v>
      </c>
      <c r="I27" s="24">
        <v>4266050</v>
      </c>
      <c r="J27" s="24">
        <v>4801480</v>
      </c>
      <c r="K27" s="24">
        <v>7558160</v>
      </c>
      <c r="L27" s="24">
        <v>2943060</v>
      </c>
      <c r="M27" s="24">
        <v>6810990</v>
      </c>
      <c r="N27" s="24">
        <v>9727160</v>
      </c>
      <c r="O27" s="24">
        <v>13196270</v>
      </c>
      <c r="Q27" s="37">
        <f t="shared" si="33"/>
        <v>530</v>
      </c>
      <c r="R27" s="37">
        <f t="shared" si="33"/>
        <v>1810</v>
      </c>
      <c r="S27" s="37">
        <f t="shared" si="33"/>
        <v>3320</v>
      </c>
      <c r="T27" s="37">
        <f t="shared" si="33"/>
        <v>1330</v>
      </c>
      <c r="U27" s="37">
        <f t="shared" si="33"/>
        <v>2430</v>
      </c>
      <c r="V27" s="37">
        <f t="shared" si="33"/>
        <v>1750</v>
      </c>
      <c r="W27" s="37">
        <f t="shared" si="33"/>
        <v>1900</v>
      </c>
      <c r="X27" s="37">
        <f t="shared" si="33"/>
        <v>1170</v>
      </c>
      <c r="Y27" s="37">
        <f t="shared" si="33"/>
        <v>1740</v>
      </c>
      <c r="Z27" s="37">
        <f t="shared" si="33"/>
        <v>2120</v>
      </c>
      <c r="AA27" s="37">
        <f t="shared" si="33"/>
        <v>940</v>
      </c>
      <c r="AB27" s="37">
        <f t="shared" si="33"/>
        <v>3580</v>
      </c>
      <c r="AC27" s="37">
        <f t="shared" si="33"/>
        <v>4930</v>
      </c>
      <c r="AD27" s="35">
        <f t="shared" si="28"/>
        <v>27550</v>
      </c>
      <c r="AF27" s="20">
        <f t="shared" si="1"/>
        <v>2.65</v>
      </c>
      <c r="AG27" s="20">
        <f t="shared" si="2"/>
        <v>9.0500000000000007</v>
      </c>
      <c r="AH27" s="20">
        <f t="shared" si="3"/>
        <v>16.600000000000001</v>
      </c>
      <c r="AI27" s="20">
        <f t="shared" si="4"/>
        <v>6.65</v>
      </c>
      <c r="AJ27" s="20">
        <f t="shared" si="5"/>
        <v>12.15</v>
      </c>
      <c r="AK27" s="20">
        <f t="shared" si="6"/>
        <v>8.75</v>
      </c>
      <c r="AL27" s="20">
        <f t="shared" si="7"/>
        <v>9.5</v>
      </c>
      <c r="AM27" s="20">
        <f t="shared" si="8"/>
        <v>5.8500000000000005</v>
      </c>
      <c r="AN27" s="20">
        <f t="shared" si="9"/>
        <v>8.7000000000000011</v>
      </c>
      <c r="AO27" s="20">
        <f t="shared" si="10"/>
        <v>10.6</v>
      </c>
      <c r="AP27" s="20">
        <f t="shared" si="11"/>
        <v>4.7</v>
      </c>
      <c r="AQ27" s="20">
        <f t="shared" si="12"/>
        <v>17.900000000000002</v>
      </c>
      <c r="AR27" s="20">
        <f t="shared" si="13"/>
        <v>24.650000000000002</v>
      </c>
      <c r="AS27" s="35">
        <f t="shared" si="29"/>
        <v>137.75</v>
      </c>
      <c r="AU27" s="47">
        <v>985634</v>
      </c>
      <c r="AV27" s="37">
        <f>IF((AU27-AU26&lt;0),"0",AU27-AU26)</f>
        <v>1404</v>
      </c>
      <c r="AW27" s="35">
        <f t="shared" si="30"/>
        <v>2.8080000000000003</v>
      </c>
    </row>
    <row r="28" spans="1:49" x14ac:dyDescent="0.25">
      <c r="A28" s="23">
        <v>44004</v>
      </c>
      <c r="B28" s="40">
        <v>15</v>
      </c>
      <c r="C28" s="24">
        <v>6131410</v>
      </c>
      <c r="D28" s="24">
        <v>13114110</v>
      </c>
      <c r="E28" s="24">
        <v>1806980</v>
      </c>
      <c r="F28" s="24">
        <v>2892180</v>
      </c>
      <c r="G28" s="24">
        <v>8850020</v>
      </c>
      <c r="H28" s="24">
        <v>4434420</v>
      </c>
      <c r="I28" s="24">
        <v>4268160</v>
      </c>
      <c r="J28" s="24">
        <v>4802790</v>
      </c>
      <c r="K28" s="24">
        <v>7560060</v>
      </c>
      <c r="L28" s="24">
        <v>2945420</v>
      </c>
      <c r="M28" s="24">
        <v>6811970</v>
      </c>
      <c r="N28" s="24">
        <v>9731830</v>
      </c>
      <c r="O28" s="24">
        <v>13201790</v>
      </c>
      <c r="Q28" s="37">
        <f t="shared" si="16"/>
        <v>590</v>
      </c>
      <c r="R28" s="37">
        <f t="shared" si="17"/>
        <v>1990</v>
      </c>
      <c r="S28" s="37">
        <f t="shared" si="15"/>
        <v>3760</v>
      </c>
      <c r="T28" s="37">
        <f t="shared" si="18"/>
        <v>1480</v>
      </c>
      <c r="U28" s="37">
        <f t="shared" si="19"/>
        <v>2770</v>
      </c>
      <c r="V28" s="37">
        <f t="shared" si="20"/>
        <v>1840</v>
      </c>
      <c r="W28" s="37">
        <f t="shared" si="21"/>
        <v>2110</v>
      </c>
      <c r="X28" s="37">
        <f t="shared" si="22"/>
        <v>1310</v>
      </c>
      <c r="Y28" s="37">
        <f t="shared" si="23"/>
        <v>1900</v>
      </c>
      <c r="Z28" s="37">
        <f t="shared" si="24"/>
        <v>2360</v>
      </c>
      <c r="AA28" s="37">
        <f t="shared" si="25"/>
        <v>980</v>
      </c>
      <c r="AB28" s="37">
        <f t="shared" si="26"/>
        <v>4670</v>
      </c>
      <c r="AC28" s="37">
        <f t="shared" si="27"/>
        <v>5520</v>
      </c>
      <c r="AD28" s="35">
        <f t="shared" si="28"/>
        <v>31280</v>
      </c>
      <c r="AF28" s="20">
        <f t="shared" si="1"/>
        <v>2.95</v>
      </c>
      <c r="AG28" s="20">
        <f t="shared" si="2"/>
        <v>9.9500000000000011</v>
      </c>
      <c r="AH28" s="20">
        <f t="shared" si="3"/>
        <v>18.8</v>
      </c>
      <c r="AI28" s="20">
        <f t="shared" si="4"/>
        <v>7.4</v>
      </c>
      <c r="AJ28" s="20">
        <f t="shared" si="5"/>
        <v>13.85</v>
      </c>
      <c r="AK28" s="20">
        <f t="shared" si="6"/>
        <v>9.2000000000000011</v>
      </c>
      <c r="AL28" s="20">
        <f t="shared" si="7"/>
        <v>10.55</v>
      </c>
      <c r="AM28" s="20">
        <f t="shared" si="8"/>
        <v>6.55</v>
      </c>
      <c r="AN28" s="20">
        <f t="shared" si="9"/>
        <v>9.5</v>
      </c>
      <c r="AO28" s="20">
        <f t="shared" si="10"/>
        <v>11.8</v>
      </c>
      <c r="AP28" s="20">
        <f t="shared" si="11"/>
        <v>4.9000000000000004</v>
      </c>
      <c r="AQ28" s="20">
        <f t="shared" si="12"/>
        <v>23.35</v>
      </c>
      <c r="AR28" s="20">
        <f t="shared" si="13"/>
        <v>27.6</v>
      </c>
      <c r="AS28" s="35">
        <f t="shared" si="29"/>
        <v>156.4</v>
      </c>
      <c r="AU28" s="47">
        <v>987042</v>
      </c>
      <c r="AV28" s="37">
        <f>IF((AU28-AU27&lt;0),"0",AU28-AU27)</f>
        <v>1408</v>
      </c>
      <c r="AW28" s="35">
        <f t="shared" si="30"/>
        <v>2.8159999999999998</v>
      </c>
    </row>
    <row r="29" spans="1:49" x14ac:dyDescent="0.25">
      <c r="A29" s="23">
        <v>44005</v>
      </c>
      <c r="B29" s="40">
        <v>15</v>
      </c>
      <c r="C29" s="24">
        <v>6131910</v>
      </c>
      <c r="D29" s="24">
        <v>13115820</v>
      </c>
      <c r="E29" s="24">
        <v>1810240</v>
      </c>
      <c r="F29" s="24">
        <v>2893460</v>
      </c>
      <c r="G29" s="24">
        <v>8852580</v>
      </c>
      <c r="H29" s="24">
        <v>4436030</v>
      </c>
      <c r="I29" s="24">
        <v>4269980</v>
      </c>
      <c r="J29" s="24">
        <v>4803870</v>
      </c>
      <c r="K29" s="24">
        <v>7561700</v>
      </c>
      <c r="L29" s="24">
        <v>2947520</v>
      </c>
      <c r="M29" s="24">
        <v>6812870</v>
      </c>
      <c r="N29" s="24">
        <v>9735670</v>
      </c>
      <c r="O29" s="24">
        <v>13206380</v>
      </c>
      <c r="Q29" s="37">
        <f t="shared" si="16"/>
        <v>500</v>
      </c>
      <c r="R29" s="37">
        <f t="shared" si="17"/>
        <v>1710</v>
      </c>
      <c r="S29" s="37">
        <f t="shared" si="15"/>
        <v>3260</v>
      </c>
      <c r="T29" s="37">
        <f t="shared" si="18"/>
        <v>1280</v>
      </c>
      <c r="U29" s="37">
        <f t="shared" si="19"/>
        <v>2560</v>
      </c>
      <c r="V29" s="37">
        <f t="shared" si="20"/>
        <v>1610</v>
      </c>
      <c r="W29" s="37">
        <f t="shared" si="21"/>
        <v>1820</v>
      </c>
      <c r="X29" s="37">
        <f t="shared" si="22"/>
        <v>1080</v>
      </c>
      <c r="Y29" s="37">
        <f t="shared" si="23"/>
        <v>1640</v>
      </c>
      <c r="Z29" s="37">
        <f t="shared" si="24"/>
        <v>2100</v>
      </c>
      <c r="AA29" s="37">
        <f t="shared" si="25"/>
        <v>900</v>
      </c>
      <c r="AB29" s="37">
        <f t="shared" si="26"/>
        <v>3840</v>
      </c>
      <c r="AC29" s="37">
        <f t="shared" si="27"/>
        <v>4590</v>
      </c>
      <c r="AD29" s="35">
        <f t="shared" si="28"/>
        <v>26890</v>
      </c>
      <c r="AF29" s="20">
        <f t="shared" si="1"/>
        <v>2.5</v>
      </c>
      <c r="AG29" s="20">
        <f t="shared" si="2"/>
        <v>8.5500000000000007</v>
      </c>
      <c r="AH29" s="20">
        <f t="shared" si="3"/>
        <v>16.3</v>
      </c>
      <c r="AI29" s="20">
        <f t="shared" si="4"/>
        <v>6.4</v>
      </c>
      <c r="AJ29" s="20">
        <f t="shared" si="5"/>
        <v>12.8</v>
      </c>
      <c r="AK29" s="20">
        <f t="shared" si="6"/>
        <v>8.0500000000000007</v>
      </c>
      <c r="AL29" s="20">
        <f t="shared" si="7"/>
        <v>9.1</v>
      </c>
      <c r="AM29" s="20">
        <f t="shared" si="8"/>
        <v>5.4</v>
      </c>
      <c r="AN29" s="20">
        <f t="shared" si="9"/>
        <v>8.1999999999999993</v>
      </c>
      <c r="AO29" s="20">
        <f t="shared" si="10"/>
        <v>10.5</v>
      </c>
      <c r="AP29" s="20">
        <f t="shared" si="11"/>
        <v>4.5</v>
      </c>
      <c r="AQ29" s="20">
        <f t="shared" si="12"/>
        <v>19.2</v>
      </c>
      <c r="AR29" s="20">
        <f t="shared" si="13"/>
        <v>22.95</v>
      </c>
      <c r="AS29" s="35">
        <f t="shared" si="29"/>
        <v>134.44999999999999</v>
      </c>
      <c r="AU29" s="47">
        <v>987829</v>
      </c>
      <c r="AV29" s="37">
        <f t="shared" ref="AV29:AV35" si="34">IF((AU29-AU28&lt;0),"0",AU29-AU28)</f>
        <v>787</v>
      </c>
      <c r="AW29" s="35">
        <f t="shared" si="30"/>
        <v>1.5740000000000001</v>
      </c>
    </row>
    <row r="30" spans="1:49" x14ac:dyDescent="0.25">
      <c r="A30" s="23">
        <v>44006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6"/>
        <v>0</v>
      </c>
      <c r="R30" s="37" t="str">
        <f t="shared" si="17"/>
        <v>0</v>
      </c>
      <c r="S30" s="37" t="str">
        <f t="shared" si="15"/>
        <v>0</v>
      </c>
      <c r="T30" s="37" t="str">
        <f t="shared" si="18"/>
        <v>0</v>
      </c>
      <c r="U30" s="37" t="str">
        <f t="shared" si="19"/>
        <v>0</v>
      </c>
      <c r="V30" s="37" t="str">
        <f t="shared" si="20"/>
        <v>0</v>
      </c>
      <c r="W30" s="37" t="str">
        <f t="shared" si="21"/>
        <v>0</v>
      </c>
      <c r="X30" s="37" t="str">
        <f t="shared" si="22"/>
        <v>0</v>
      </c>
      <c r="Y30" s="37" t="str">
        <f t="shared" si="23"/>
        <v>0</v>
      </c>
      <c r="Z30" s="37" t="str">
        <f t="shared" si="24"/>
        <v>0</v>
      </c>
      <c r="AA30" s="37" t="str">
        <f t="shared" si="25"/>
        <v>0</v>
      </c>
      <c r="AB30" s="37" t="str">
        <f t="shared" si="26"/>
        <v>0</v>
      </c>
      <c r="AC30" s="37" t="str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44007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44008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44009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44010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109480</v>
      </c>
      <c r="R38" s="30">
        <f t="shared" si="62"/>
        <v>43490</v>
      </c>
      <c r="S38" s="30">
        <f t="shared" si="62"/>
        <v>46690</v>
      </c>
      <c r="T38" s="30">
        <f t="shared" si="62"/>
        <v>32490</v>
      </c>
      <c r="U38" s="30">
        <f t="shared" si="62"/>
        <v>55990</v>
      </c>
      <c r="V38" s="30">
        <f t="shared" si="62"/>
        <v>38870</v>
      </c>
      <c r="W38" s="30">
        <f t="shared" si="62"/>
        <v>45640</v>
      </c>
      <c r="X38" s="30">
        <f t="shared" si="62"/>
        <v>27330</v>
      </c>
      <c r="Y38" s="30">
        <f t="shared" si="62"/>
        <v>39380</v>
      </c>
      <c r="Z38" s="30">
        <f t="shared" si="62"/>
        <v>53330</v>
      </c>
      <c r="AA38" s="30">
        <f t="shared" si="62"/>
        <v>23800</v>
      </c>
      <c r="AB38" s="30">
        <f t="shared" si="62"/>
        <v>83730</v>
      </c>
      <c r="AC38" s="30">
        <f t="shared" si="62"/>
        <v>94440</v>
      </c>
      <c r="AD38" s="35">
        <f t="shared" si="62"/>
        <v>694660</v>
      </c>
      <c r="AF38" s="35">
        <f t="shared" ref="AF38:AS38" si="63">SUM(AF7:AF34)</f>
        <v>547.39999999999986</v>
      </c>
      <c r="AG38" s="35">
        <f t="shared" si="63"/>
        <v>217.45000000000002</v>
      </c>
      <c r="AH38" s="35">
        <f t="shared" si="63"/>
        <v>233.45000000000005</v>
      </c>
      <c r="AI38" s="35">
        <f t="shared" si="63"/>
        <v>162.45000000000002</v>
      </c>
      <c r="AJ38" s="35">
        <f t="shared" si="63"/>
        <v>279.95</v>
      </c>
      <c r="AK38" s="35">
        <f t="shared" si="63"/>
        <v>194.35000000000002</v>
      </c>
      <c r="AL38" s="35">
        <f t="shared" si="63"/>
        <v>228.2</v>
      </c>
      <c r="AM38" s="35">
        <f t="shared" si="63"/>
        <v>136.64999999999998</v>
      </c>
      <c r="AN38" s="35">
        <f t="shared" si="63"/>
        <v>196.9</v>
      </c>
      <c r="AO38" s="35">
        <f t="shared" si="63"/>
        <v>266.65000000000003</v>
      </c>
      <c r="AP38" s="35">
        <f t="shared" si="63"/>
        <v>119.00000000000001</v>
      </c>
      <c r="AQ38" s="35">
        <f t="shared" si="63"/>
        <v>418.65000000000003</v>
      </c>
      <c r="AR38" s="35">
        <f t="shared" si="63"/>
        <v>472.20000000000005</v>
      </c>
      <c r="AS38" s="35">
        <f t="shared" si="63"/>
        <v>3473.3000000000006</v>
      </c>
      <c r="AU38" s="48"/>
      <c r="AV38" s="35">
        <f>SUM(AV7:AV34)</f>
        <v>35457</v>
      </c>
      <c r="AW38" s="35">
        <f>SUM(AW7:AW34)</f>
        <v>62.344000000000015</v>
      </c>
    </row>
    <row r="39" spans="1:49" x14ac:dyDescent="0.25">
      <c r="D39">
        <v>5.0000000000000001E-3</v>
      </c>
      <c r="AV39" s="36">
        <f>AV38*0.00378541*1000</f>
        <v>134219.28237</v>
      </c>
    </row>
    <row r="40" spans="1:49" x14ac:dyDescent="0.25">
      <c r="D40">
        <v>2E-3</v>
      </c>
      <c r="AV40">
        <f>AV39/31</f>
        <v>4329.65427</v>
      </c>
    </row>
    <row r="41" spans="1:49" x14ac:dyDescent="0.25">
      <c r="AV41">
        <f>AV38*0.00378541</f>
        <v>134.21928237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2020-06-24T10:00:15Z</dcterms:modified>
</cp:coreProperties>
</file>