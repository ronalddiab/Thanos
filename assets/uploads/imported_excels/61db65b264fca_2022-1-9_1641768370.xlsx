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B4" i="1"/>
  <c r="AB5" i="1" s="1"/>
  <c r="AB6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2" i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2" i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2" i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2" i="3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2" i="4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B10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I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Y6" i="4" l="1"/>
  <c r="AD4" i="8"/>
  <c r="AE4" i="8" s="1"/>
  <c r="I4" i="9" s="1"/>
  <c r="I2" i="9"/>
  <c r="I8" i="9"/>
  <c r="I6" i="9"/>
  <c r="I5" i="9"/>
  <c r="I7" i="9"/>
  <c r="I9" i="9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I34" i="2"/>
  <c r="K34" i="4"/>
  <c r="S34" i="1"/>
  <c r="L34" i="1"/>
  <c r="P34" i="1"/>
  <c r="O34" i="4"/>
  <c r="S34" i="4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B12" i="3"/>
  <c r="C12" i="3" s="1"/>
  <c r="B13" i="3"/>
  <c r="B14" i="3" s="1"/>
  <c r="J12" i="3" l="1"/>
  <c r="K12" i="3" s="1"/>
  <c r="E11" i="8"/>
  <c r="C14" i="3"/>
  <c r="B15" i="3"/>
  <c r="J11" i="3"/>
  <c r="E10" i="8"/>
  <c r="C13" i="3"/>
  <c r="C15" i="3" l="1"/>
  <c r="B16" i="3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Y31" i="8" s="1"/>
  <c r="L32" i="8"/>
  <c r="K33" i="3"/>
  <c r="J34" i="3"/>
  <c r="AD31" i="8"/>
  <c r="I30" i="9"/>
  <c r="E31" i="9" l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<sst xmlns="http://schemas.openxmlformats.org/spreadsheetml/2006/main" count="443" uniqueCount="149">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</sst>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4" sqref="J1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42696.240816000005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40282.636859999999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201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201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201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201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201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201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201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201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201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201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201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201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201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201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201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201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201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201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201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201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201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9" sqref="E4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585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129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201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201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201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201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201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201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201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201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201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201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201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201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201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201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201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201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201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201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201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201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201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201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137252</v>
      </c>
      <c r="Q10" s="16">
        <f>P10-P9</f>
        <v>585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137381</v>
      </c>
      <c r="Q11" s="16">
        <f t="shared" si="7"/>
        <v>129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f t="shared" ref="B10:B33" si="13">B11</f>
        <v>46461</v>
      </c>
      <c r="C12" s="16">
        <f t="shared" si="1"/>
        <v>0</v>
      </c>
      <c r="D12" s="36">
        <f t="shared" ref="D10:D33" si="14">D11</f>
        <v>40194</v>
      </c>
      <c r="E12" s="16">
        <f t="shared" si="2"/>
        <v>0</v>
      </c>
      <c r="F12" s="36">
        <f t="shared" ref="F10:F33" si="15">F11</f>
        <v>21195</v>
      </c>
      <c r="G12" s="16">
        <f t="shared" si="3"/>
        <v>0</v>
      </c>
      <c r="H12" s="36">
        <f t="shared" ref="H10:H33" si="16">H11</f>
        <v>253239</v>
      </c>
      <c r="I12" s="16">
        <f t="shared" si="4"/>
        <v>0</v>
      </c>
      <c r="J12" s="36">
        <f t="shared" si="12"/>
        <v>303517</v>
      </c>
      <c r="K12" s="16">
        <v>0</v>
      </c>
      <c r="L12" s="36">
        <f t="shared" ref="L10:L33" si="17">L11</f>
        <v>25751</v>
      </c>
      <c r="M12" s="16">
        <f t="shared" si="5"/>
        <v>0</v>
      </c>
      <c r="N12" s="36">
        <f t="shared" ref="N10:N33" si="18">N11</f>
        <v>219706</v>
      </c>
      <c r="O12" s="16">
        <f t="shared" si="6"/>
        <v>0</v>
      </c>
      <c r="P12" s="36">
        <f t="shared" si="11"/>
        <v>137381</v>
      </c>
      <c r="Q12" s="16">
        <f t="shared" si="7"/>
        <v>0</v>
      </c>
      <c r="R12" s="1">
        <f t="shared" si="8"/>
        <v>55047</v>
      </c>
      <c r="S12" s="16">
        <f t="shared" si="9"/>
        <v>0</v>
      </c>
      <c r="T12" s="36">
        <f t="shared" ref="T10:T33" si="19">T11</f>
        <v>3899</v>
      </c>
      <c r="U12" s="16">
        <f t="shared" si="10"/>
        <v>0</v>
      </c>
    </row>
    <row r="13" spans="1:24" ht="13.5" thickBot="1" x14ac:dyDescent="0.25">
      <c r="A13" s="10">
        <v>44572</v>
      </c>
      <c r="B13" s="36">
        <f t="shared" si="13"/>
        <v>46461</v>
      </c>
      <c r="C13" s="16">
        <f t="shared" si="1"/>
        <v>0</v>
      </c>
      <c r="D13" s="36">
        <f t="shared" si="14"/>
        <v>40194</v>
      </c>
      <c r="E13" s="16">
        <f t="shared" si="2"/>
        <v>0</v>
      </c>
      <c r="F13" s="36">
        <f t="shared" si="15"/>
        <v>21195</v>
      </c>
      <c r="G13" s="16">
        <f t="shared" si="3"/>
        <v>0</v>
      </c>
      <c r="H13" s="36">
        <f t="shared" si="16"/>
        <v>253239</v>
      </c>
      <c r="I13" s="16">
        <f t="shared" si="4"/>
        <v>0</v>
      </c>
      <c r="J13" s="36">
        <f t="shared" si="12"/>
        <v>303517</v>
      </c>
      <c r="K13" s="16">
        <v>0</v>
      </c>
      <c r="L13" s="36">
        <f t="shared" si="17"/>
        <v>25751</v>
      </c>
      <c r="M13" s="16">
        <f t="shared" si="5"/>
        <v>0</v>
      </c>
      <c r="N13" s="36">
        <f t="shared" si="18"/>
        <v>219706</v>
      </c>
      <c r="O13" s="16">
        <f t="shared" si="6"/>
        <v>0</v>
      </c>
      <c r="P13" s="36">
        <f t="shared" si="11"/>
        <v>137381</v>
      </c>
      <c r="Q13" s="16">
        <f t="shared" si="7"/>
        <v>0</v>
      </c>
      <c r="R13" s="1">
        <f t="shared" si="8"/>
        <v>55047</v>
      </c>
      <c r="S13" s="16">
        <f t="shared" si="9"/>
        <v>0</v>
      </c>
      <c r="T13" s="36">
        <f t="shared" si="19"/>
        <v>3899</v>
      </c>
      <c r="U13" s="16">
        <f t="shared" si="10"/>
        <v>0</v>
      </c>
    </row>
    <row r="14" spans="1:24" ht="13.5" thickBot="1" x14ac:dyDescent="0.25">
      <c r="A14" s="10">
        <v>44573</v>
      </c>
      <c r="B14" s="36">
        <f t="shared" si="13"/>
        <v>46461</v>
      </c>
      <c r="C14" s="16">
        <f t="shared" si="1"/>
        <v>0</v>
      </c>
      <c r="D14" s="36">
        <f t="shared" si="14"/>
        <v>40194</v>
      </c>
      <c r="E14" s="16">
        <f t="shared" si="2"/>
        <v>0</v>
      </c>
      <c r="F14" s="36">
        <f t="shared" si="15"/>
        <v>21195</v>
      </c>
      <c r="G14" s="16">
        <f t="shared" si="3"/>
        <v>0</v>
      </c>
      <c r="H14" s="36">
        <f t="shared" si="16"/>
        <v>253239</v>
      </c>
      <c r="I14" s="16">
        <f t="shared" si="4"/>
        <v>0</v>
      </c>
      <c r="J14" s="36">
        <f t="shared" si="12"/>
        <v>303517</v>
      </c>
      <c r="K14" s="16">
        <v>0</v>
      </c>
      <c r="L14" s="36">
        <f t="shared" si="17"/>
        <v>25751</v>
      </c>
      <c r="M14" s="16">
        <f t="shared" si="5"/>
        <v>0</v>
      </c>
      <c r="N14" s="36">
        <f t="shared" si="18"/>
        <v>219706</v>
      </c>
      <c r="O14" s="16">
        <f t="shared" si="6"/>
        <v>0</v>
      </c>
      <c r="P14" s="36">
        <f t="shared" si="11"/>
        <v>137381</v>
      </c>
      <c r="Q14" s="16">
        <f t="shared" si="7"/>
        <v>0</v>
      </c>
      <c r="R14" s="1">
        <f t="shared" si="8"/>
        <v>55047</v>
      </c>
      <c r="S14" s="16">
        <v>0</v>
      </c>
      <c r="T14" s="36">
        <f t="shared" si="19"/>
        <v>3899</v>
      </c>
      <c r="U14" s="16">
        <f t="shared" si="10"/>
        <v>0</v>
      </c>
    </row>
    <row r="15" spans="1:24" ht="13.5" thickBot="1" x14ac:dyDescent="0.25">
      <c r="A15" s="10">
        <v>44574</v>
      </c>
      <c r="B15" s="36">
        <f t="shared" si="13"/>
        <v>46461</v>
      </c>
      <c r="C15" s="16">
        <f t="shared" si="1"/>
        <v>0</v>
      </c>
      <c r="D15" s="36">
        <f t="shared" si="14"/>
        <v>40194</v>
      </c>
      <c r="E15" s="16">
        <f t="shared" si="2"/>
        <v>0</v>
      </c>
      <c r="F15" s="36">
        <f t="shared" si="15"/>
        <v>21195</v>
      </c>
      <c r="G15" s="16">
        <f t="shared" ref="G15" si="20">(F15-F14)*100/5</f>
        <v>0</v>
      </c>
      <c r="H15" s="36">
        <f t="shared" si="16"/>
        <v>253239</v>
      </c>
      <c r="I15" s="16">
        <f t="shared" ref="I15" si="21">(H15-H14)</f>
        <v>0</v>
      </c>
      <c r="J15" s="36">
        <f t="shared" si="12"/>
        <v>303517</v>
      </c>
      <c r="K15" s="16">
        <v>0</v>
      </c>
      <c r="L15" s="36">
        <f t="shared" si="17"/>
        <v>25751</v>
      </c>
      <c r="M15" s="16">
        <f t="shared" ref="M15" si="22">(L15-L14)*800/5</f>
        <v>0</v>
      </c>
      <c r="N15" s="36">
        <f t="shared" si="18"/>
        <v>219706</v>
      </c>
      <c r="O15" s="16">
        <f t="shared" ref="O15" si="23">N15-N14</f>
        <v>0</v>
      </c>
      <c r="P15" s="36">
        <f t="shared" si="11"/>
        <v>137381</v>
      </c>
      <c r="Q15" s="16">
        <f t="shared" ref="Q15" si="24">P15-P14</f>
        <v>0</v>
      </c>
      <c r="R15" s="1">
        <f t="shared" si="8"/>
        <v>55047</v>
      </c>
      <c r="S15" s="16">
        <v>0</v>
      </c>
      <c r="T15" s="36">
        <f t="shared" si="19"/>
        <v>3899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3"/>
        <v>46461</v>
      </c>
      <c r="C16" s="16">
        <f t="shared" si="1"/>
        <v>0</v>
      </c>
      <c r="D16" s="36">
        <f t="shared" si="14"/>
        <v>40194</v>
      </c>
      <c r="E16" s="16">
        <f t="shared" si="2"/>
        <v>0</v>
      </c>
      <c r="F16" s="36">
        <f t="shared" si="15"/>
        <v>21195</v>
      </c>
      <c r="G16" s="16">
        <f t="shared" si="3"/>
        <v>0</v>
      </c>
      <c r="H16" s="36">
        <f t="shared" si="16"/>
        <v>253239</v>
      </c>
      <c r="I16" s="16">
        <f t="shared" si="4"/>
        <v>0</v>
      </c>
      <c r="J16" s="36">
        <f t="shared" si="12"/>
        <v>303517</v>
      </c>
      <c r="K16" s="16">
        <v>0</v>
      </c>
      <c r="L16" s="36">
        <f t="shared" si="17"/>
        <v>25751</v>
      </c>
      <c r="M16" s="16">
        <f t="shared" si="5"/>
        <v>0</v>
      </c>
      <c r="N16" s="36">
        <f t="shared" si="18"/>
        <v>219706</v>
      </c>
      <c r="O16" s="16">
        <f t="shared" si="6"/>
        <v>0</v>
      </c>
      <c r="P16" s="36">
        <f t="shared" si="11"/>
        <v>137381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19"/>
        <v>3899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3"/>
        <v>46461</v>
      </c>
      <c r="C17" s="16">
        <f t="shared" si="1"/>
        <v>0</v>
      </c>
      <c r="D17" s="36">
        <f t="shared" si="14"/>
        <v>40194</v>
      </c>
      <c r="E17" s="16">
        <f t="shared" si="2"/>
        <v>0</v>
      </c>
      <c r="F17" s="36">
        <f t="shared" si="15"/>
        <v>21195</v>
      </c>
      <c r="G17" s="16">
        <f t="shared" si="3"/>
        <v>0</v>
      </c>
      <c r="H17" s="36">
        <f t="shared" si="16"/>
        <v>253239</v>
      </c>
      <c r="I17" s="16">
        <f t="shared" si="4"/>
        <v>0</v>
      </c>
      <c r="J17" s="36">
        <f t="shared" si="12"/>
        <v>303517</v>
      </c>
      <c r="K17" s="16">
        <v>0</v>
      </c>
      <c r="L17" s="36">
        <f t="shared" si="17"/>
        <v>25751</v>
      </c>
      <c r="M17" s="16">
        <f t="shared" si="5"/>
        <v>0</v>
      </c>
      <c r="N17" s="36">
        <f t="shared" si="18"/>
        <v>219706</v>
      </c>
      <c r="O17" s="16">
        <f t="shared" si="6"/>
        <v>0</v>
      </c>
      <c r="P17" s="36">
        <f t="shared" si="11"/>
        <v>137381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19"/>
        <v>3899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3"/>
        <v>46461</v>
      </c>
      <c r="C18" s="16">
        <f t="shared" si="1"/>
        <v>0</v>
      </c>
      <c r="D18" s="36">
        <f t="shared" si="14"/>
        <v>40194</v>
      </c>
      <c r="E18" s="16">
        <f t="shared" si="2"/>
        <v>0</v>
      </c>
      <c r="F18" s="36">
        <f t="shared" si="15"/>
        <v>21195</v>
      </c>
      <c r="G18" s="16">
        <f t="shared" si="3"/>
        <v>0</v>
      </c>
      <c r="H18" s="36">
        <f t="shared" si="16"/>
        <v>253239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si="17"/>
        <v>25751</v>
      </c>
      <c r="M18" s="16">
        <f t="shared" si="5"/>
        <v>0</v>
      </c>
      <c r="N18" s="36">
        <f t="shared" si="18"/>
        <v>219706</v>
      </c>
      <c r="O18" s="16">
        <f t="shared" si="6"/>
        <v>0</v>
      </c>
      <c r="P18" s="36">
        <f t="shared" si="11"/>
        <v>137381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19"/>
        <v>3899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3"/>
        <v>46461</v>
      </c>
      <c r="C19" s="16">
        <f t="shared" si="1"/>
        <v>0</v>
      </c>
      <c r="D19" s="36">
        <f t="shared" si="14"/>
        <v>40194</v>
      </c>
      <c r="E19" s="16">
        <f t="shared" si="2"/>
        <v>0</v>
      </c>
      <c r="F19" s="36">
        <f t="shared" si="15"/>
        <v>21195</v>
      </c>
      <c r="G19" s="16">
        <f t="shared" si="3"/>
        <v>0</v>
      </c>
      <c r="H19" s="36">
        <f t="shared" si="16"/>
        <v>253239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17"/>
        <v>25751</v>
      </c>
      <c r="M19" s="16">
        <f t="shared" si="5"/>
        <v>0</v>
      </c>
      <c r="N19" s="36">
        <f t="shared" si="18"/>
        <v>219706</v>
      </c>
      <c r="O19" s="16">
        <f t="shared" si="6"/>
        <v>0</v>
      </c>
      <c r="P19" s="36">
        <f t="shared" si="11"/>
        <v>137381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19"/>
        <v>3899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3"/>
        <v>46461</v>
      </c>
      <c r="C20" s="16">
        <f t="shared" si="1"/>
        <v>0</v>
      </c>
      <c r="D20" s="36">
        <f t="shared" si="14"/>
        <v>40194</v>
      </c>
      <c r="E20" s="16">
        <f t="shared" si="2"/>
        <v>0</v>
      </c>
      <c r="F20" s="36">
        <f t="shared" si="15"/>
        <v>21195</v>
      </c>
      <c r="G20" s="16">
        <f t="shared" si="3"/>
        <v>0</v>
      </c>
      <c r="H20" s="36">
        <f t="shared" si="16"/>
        <v>253239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17"/>
        <v>25751</v>
      </c>
      <c r="M20" s="16">
        <f t="shared" si="5"/>
        <v>0</v>
      </c>
      <c r="N20" s="36">
        <f t="shared" si="18"/>
        <v>219706</v>
      </c>
      <c r="O20" s="16">
        <f t="shared" si="6"/>
        <v>0</v>
      </c>
      <c r="P20" s="36">
        <f t="shared" si="11"/>
        <v>137381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19"/>
        <v>3899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3"/>
        <v>46461</v>
      </c>
      <c r="C21" s="16">
        <f t="shared" si="1"/>
        <v>0</v>
      </c>
      <c r="D21" s="36">
        <f t="shared" si="14"/>
        <v>40194</v>
      </c>
      <c r="E21" s="16">
        <f t="shared" si="2"/>
        <v>0</v>
      </c>
      <c r="F21" s="36">
        <f t="shared" si="15"/>
        <v>21195</v>
      </c>
      <c r="G21" s="16">
        <f t="shared" si="3"/>
        <v>0</v>
      </c>
      <c r="H21" s="36">
        <f t="shared" si="16"/>
        <v>253239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17"/>
        <v>25751</v>
      </c>
      <c r="M21" s="16">
        <f t="shared" si="5"/>
        <v>0</v>
      </c>
      <c r="N21" s="36">
        <f t="shared" si="18"/>
        <v>219706</v>
      </c>
      <c r="O21" s="16">
        <f t="shared" si="6"/>
        <v>0</v>
      </c>
      <c r="P21" s="36">
        <f t="shared" si="11"/>
        <v>137381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19"/>
        <v>3899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3"/>
        <v>46461</v>
      </c>
      <c r="C22" s="16">
        <f t="shared" si="1"/>
        <v>0</v>
      </c>
      <c r="D22" s="36">
        <f t="shared" si="14"/>
        <v>40194</v>
      </c>
      <c r="E22" s="16">
        <f t="shared" si="2"/>
        <v>0</v>
      </c>
      <c r="F22" s="36">
        <f t="shared" si="15"/>
        <v>21195</v>
      </c>
      <c r="G22" s="16">
        <f t="shared" si="3"/>
        <v>0</v>
      </c>
      <c r="H22" s="36">
        <f t="shared" si="16"/>
        <v>253239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17"/>
        <v>25751</v>
      </c>
      <c r="M22" s="16">
        <f t="shared" si="5"/>
        <v>0</v>
      </c>
      <c r="N22" s="36">
        <f t="shared" si="18"/>
        <v>219706</v>
      </c>
      <c r="O22" s="16">
        <f t="shared" si="6"/>
        <v>0</v>
      </c>
      <c r="P22" s="36">
        <f t="shared" si="11"/>
        <v>137381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19"/>
        <v>3899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3"/>
        <v>46461</v>
      </c>
      <c r="C23" s="16">
        <f t="shared" si="1"/>
        <v>0</v>
      </c>
      <c r="D23" s="36">
        <f t="shared" si="14"/>
        <v>40194</v>
      </c>
      <c r="E23" s="16">
        <f t="shared" si="2"/>
        <v>0</v>
      </c>
      <c r="F23" s="36">
        <f t="shared" si="15"/>
        <v>21195</v>
      </c>
      <c r="G23" s="16">
        <f t="shared" si="3"/>
        <v>0</v>
      </c>
      <c r="H23" s="36">
        <f t="shared" si="16"/>
        <v>253239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17"/>
        <v>25751</v>
      </c>
      <c r="M23" s="16">
        <f t="shared" si="5"/>
        <v>0</v>
      </c>
      <c r="N23" s="36">
        <f t="shared" si="18"/>
        <v>219706</v>
      </c>
      <c r="O23" s="16">
        <f t="shared" si="6"/>
        <v>0</v>
      </c>
      <c r="P23" s="36">
        <f t="shared" si="11"/>
        <v>137381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19"/>
        <v>3899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3"/>
        <v>46461</v>
      </c>
      <c r="C24" s="16">
        <f t="shared" si="1"/>
        <v>0</v>
      </c>
      <c r="D24" s="36">
        <f t="shared" si="14"/>
        <v>40194</v>
      </c>
      <c r="E24" s="16">
        <f t="shared" si="2"/>
        <v>0</v>
      </c>
      <c r="F24" s="36">
        <f t="shared" si="15"/>
        <v>21195</v>
      </c>
      <c r="G24" s="16">
        <f t="shared" si="3"/>
        <v>0</v>
      </c>
      <c r="H24" s="36">
        <f t="shared" si="16"/>
        <v>253239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17"/>
        <v>25751</v>
      </c>
      <c r="M24" s="16">
        <f t="shared" si="5"/>
        <v>0</v>
      </c>
      <c r="N24" s="36">
        <f t="shared" si="18"/>
        <v>219706</v>
      </c>
      <c r="O24" s="16">
        <f t="shared" si="6"/>
        <v>0</v>
      </c>
      <c r="P24" s="36">
        <f t="shared" si="11"/>
        <v>137381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19"/>
        <v>3899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3"/>
        <v>46461</v>
      </c>
      <c r="C25" s="16">
        <f t="shared" si="1"/>
        <v>0</v>
      </c>
      <c r="D25" s="36">
        <f t="shared" si="14"/>
        <v>40194</v>
      </c>
      <c r="E25" s="16">
        <f t="shared" si="2"/>
        <v>0</v>
      </c>
      <c r="F25" s="36">
        <f t="shared" si="15"/>
        <v>21195</v>
      </c>
      <c r="G25" s="16">
        <f t="shared" si="3"/>
        <v>0</v>
      </c>
      <c r="H25" s="36">
        <f t="shared" si="16"/>
        <v>253239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17"/>
        <v>25751</v>
      </c>
      <c r="M25" s="16">
        <f t="shared" si="5"/>
        <v>0</v>
      </c>
      <c r="N25" s="36">
        <f t="shared" si="18"/>
        <v>219706</v>
      </c>
      <c r="O25" s="16">
        <f t="shared" si="6"/>
        <v>0</v>
      </c>
      <c r="P25" s="36">
        <f t="shared" si="11"/>
        <v>137381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19"/>
        <v>3899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3"/>
        <v>46461</v>
      </c>
      <c r="C26" s="16">
        <f t="shared" si="1"/>
        <v>0</v>
      </c>
      <c r="D26" s="36">
        <f t="shared" si="14"/>
        <v>40194</v>
      </c>
      <c r="E26" s="16">
        <f t="shared" si="2"/>
        <v>0</v>
      </c>
      <c r="F26" s="36">
        <f t="shared" si="15"/>
        <v>21195</v>
      </c>
      <c r="G26" s="16">
        <f t="shared" si="3"/>
        <v>0</v>
      </c>
      <c r="H26" s="36">
        <f t="shared" si="16"/>
        <v>253239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17"/>
        <v>25751</v>
      </c>
      <c r="M26" s="16">
        <f t="shared" si="5"/>
        <v>0</v>
      </c>
      <c r="N26" s="36">
        <f t="shared" si="18"/>
        <v>219706</v>
      </c>
      <c r="O26" s="16">
        <f t="shared" si="6"/>
        <v>0</v>
      </c>
      <c r="P26" s="36">
        <f t="shared" si="11"/>
        <v>137381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19"/>
        <v>3899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3"/>
        <v>46461</v>
      </c>
      <c r="C27" s="16">
        <f t="shared" si="1"/>
        <v>0</v>
      </c>
      <c r="D27" s="36">
        <f t="shared" si="14"/>
        <v>40194</v>
      </c>
      <c r="E27" s="16">
        <f t="shared" si="2"/>
        <v>0</v>
      </c>
      <c r="F27" s="36">
        <f t="shared" si="15"/>
        <v>21195</v>
      </c>
      <c r="G27" s="16">
        <f t="shared" si="3"/>
        <v>0</v>
      </c>
      <c r="H27" s="36">
        <f t="shared" si="16"/>
        <v>253239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17"/>
        <v>25751</v>
      </c>
      <c r="M27" s="16">
        <f t="shared" si="5"/>
        <v>0</v>
      </c>
      <c r="N27" s="36">
        <f t="shared" si="18"/>
        <v>219706</v>
      </c>
      <c r="O27" s="16">
        <f t="shared" si="6"/>
        <v>0</v>
      </c>
      <c r="P27" s="36">
        <f t="shared" si="11"/>
        <v>137381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19"/>
        <v>3899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3"/>
        <v>46461</v>
      </c>
      <c r="C28" s="16">
        <f t="shared" si="1"/>
        <v>0</v>
      </c>
      <c r="D28" s="36">
        <f t="shared" si="14"/>
        <v>40194</v>
      </c>
      <c r="E28" s="16">
        <f t="shared" si="2"/>
        <v>0</v>
      </c>
      <c r="F28" s="36">
        <f t="shared" si="15"/>
        <v>21195</v>
      </c>
      <c r="G28" s="16">
        <f t="shared" si="3"/>
        <v>0</v>
      </c>
      <c r="H28" s="36">
        <f t="shared" si="16"/>
        <v>253239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17"/>
        <v>25751</v>
      </c>
      <c r="M28" s="16">
        <f t="shared" si="5"/>
        <v>0</v>
      </c>
      <c r="N28" s="36">
        <f t="shared" si="18"/>
        <v>219706</v>
      </c>
      <c r="O28" s="16">
        <f t="shared" si="6"/>
        <v>0</v>
      </c>
      <c r="P28" s="36">
        <f t="shared" si="11"/>
        <v>137381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19"/>
        <v>3899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3"/>
        <v>46461</v>
      </c>
      <c r="C29" s="16">
        <f t="shared" si="1"/>
        <v>0</v>
      </c>
      <c r="D29" s="36">
        <f t="shared" si="14"/>
        <v>40194</v>
      </c>
      <c r="E29" s="16">
        <f t="shared" si="2"/>
        <v>0</v>
      </c>
      <c r="F29" s="36">
        <f t="shared" si="15"/>
        <v>21195</v>
      </c>
      <c r="G29" s="16">
        <f t="shared" si="3"/>
        <v>0</v>
      </c>
      <c r="H29" s="36">
        <f t="shared" si="16"/>
        <v>253239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17"/>
        <v>25751</v>
      </c>
      <c r="M29" s="16">
        <f t="shared" si="5"/>
        <v>0</v>
      </c>
      <c r="N29" s="36">
        <f t="shared" si="18"/>
        <v>219706</v>
      </c>
      <c r="O29" s="16">
        <f t="shared" si="6"/>
        <v>0</v>
      </c>
      <c r="P29" s="36">
        <f t="shared" si="11"/>
        <v>137381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19"/>
        <v>3899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3"/>
        <v>46461</v>
      </c>
      <c r="C30" s="16">
        <f t="shared" si="1"/>
        <v>0</v>
      </c>
      <c r="D30" s="36">
        <f t="shared" si="14"/>
        <v>40194</v>
      </c>
      <c r="E30" s="16">
        <f t="shared" si="2"/>
        <v>0</v>
      </c>
      <c r="F30" s="36">
        <f t="shared" si="15"/>
        <v>21195</v>
      </c>
      <c r="G30" s="16">
        <f t="shared" si="3"/>
        <v>0</v>
      </c>
      <c r="H30" s="36">
        <f t="shared" si="16"/>
        <v>253239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17"/>
        <v>25751</v>
      </c>
      <c r="M30" s="16">
        <f t="shared" si="5"/>
        <v>0</v>
      </c>
      <c r="N30" s="36">
        <f t="shared" si="18"/>
        <v>219706</v>
      </c>
      <c r="O30" s="16">
        <f t="shared" si="6"/>
        <v>0</v>
      </c>
      <c r="P30" s="36">
        <f t="shared" si="11"/>
        <v>137381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19"/>
        <v>3899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3"/>
        <v>46461</v>
      </c>
      <c r="C31" s="16">
        <f t="shared" si="1"/>
        <v>0</v>
      </c>
      <c r="D31" s="36">
        <f t="shared" si="14"/>
        <v>40194</v>
      </c>
      <c r="E31" s="16">
        <f t="shared" si="2"/>
        <v>0</v>
      </c>
      <c r="F31" s="36">
        <f t="shared" si="15"/>
        <v>21195</v>
      </c>
      <c r="G31" s="16">
        <f t="shared" si="3"/>
        <v>0</v>
      </c>
      <c r="H31" s="36">
        <f t="shared" si="16"/>
        <v>253239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17"/>
        <v>25751</v>
      </c>
      <c r="M31" s="16">
        <f t="shared" si="5"/>
        <v>0</v>
      </c>
      <c r="N31" s="36">
        <f t="shared" si="18"/>
        <v>219706</v>
      </c>
      <c r="O31" s="16">
        <f t="shared" si="6"/>
        <v>0</v>
      </c>
      <c r="P31" s="36">
        <f t="shared" si="11"/>
        <v>137381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19"/>
        <v>3899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3"/>
        <v>46461</v>
      </c>
      <c r="C32" s="16">
        <f t="shared" si="1"/>
        <v>0</v>
      </c>
      <c r="D32" s="36">
        <f t="shared" si="14"/>
        <v>40194</v>
      </c>
      <c r="E32" s="16">
        <f t="shared" si="2"/>
        <v>0</v>
      </c>
      <c r="F32" s="36">
        <f t="shared" si="15"/>
        <v>21195</v>
      </c>
      <c r="G32" s="16">
        <f t="shared" si="3"/>
        <v>0</v>
      </c>
      <c r="H32" s="36">
        <f t="shared" si="16"/>
        <v>253239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17"/>
        <v>25751</v>
      </c>
      <c r="M32" s="16">
        <f t="shared" si="5"/>
        <v>0</v>
      </c>
      <c r="N32" s="36">
        <f t="shared" si="18"/>
        <v>219706</v>
      </c>
      <c r="O32" s="16">
        <f t="shared" si="6"/>
        <v>0</v>
      </c>
      <c r="P32" s="36">
        <f t="shared" si="11"/>
        <v>137381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19"/>
        <v>3899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3"/>
        <v>46461</v>
      </c>
      <c r="C33" s="16">
        <f t="shared" si="1"/>
        <v>0</v>
      </c>
      <c r="D33" s="36">
        <f t="shared" si="14"/>
        <v>40194</v>
      </c>
      <c r="E33" s="16">
        <f t="shared" si="2"/>
        <v>0</v>
      </c>
      <c r="F33" s="36">
        <f t="shared" si="15"/>
        <v>21195</v>
      </c>
      <c r="G33" s="16">
        <f t="shared" si="3"/>
        <v>0</v>
      </c>
      <c r="H33" s="36">
        <f t="shared" si="16"/>
        <v>253239</v>
      </c>
      <c r="I33" s="16">
        <f t="shared" si="4"/>
        <v>0</v>
      </c>
      <c r="J33" s="36">
        <v>303517</v>
      </c>
      <c r="K33" s="16">
        <v>0</v>
      </c>
      <c r="L33" s="36">
        <f t="shared" si="17"/>
        <v>25751</v>
      </c>
      <c r="M33" s="16">
        <f t="shared" si="5"/>
        <v>0</v>
      </c>
      <c r="N33" s="36">
        <f t="shared" si="18"/>
        <v>219706</v>
      </c>
      <c r="O33" s="16">
        <f t="shared" si="6"/>
        <v>0</v>
      </c>
      <c r="P33" s="36">
        <f t="shared" si="11"/>
        <v>137381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19"/>
        <v>3899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5920</v>
      </c>
      <c r="D34" s="13"/>
      <c r="E34" s="11">
        <f>SUM(E4:E33)</f>
        <v>3680</v>
      </c>
      <c r="F34" s="13"/>
      <c r="G34" s="11">
        <f>SUM(G4:G33)</f>
        <v>540</v>
      </c>
      <c r="H34" s="13"/>
      <c r="I34" s="11">
        <f>SUM(I4:I33)</f>
        <v>123</v>
      </c>
      <c r="J34" s="13"/>
      <c r="K34" s="11">
        <f>SUM(K4:K33)</f>
        <v>0</v>
      </c>
      <c r="L34" s="13"/>
      <c r="M34" s="11">
        <f>SUM(M4:M33)</f>
        <v>3360</v>
      </c>
      <c r="N34" s="37"/>
      <c r="O34" s="11">
        <f>SUM(O4:O33)</f>
        <v>816</v>
      </c>
      <c r="P34" s="13"/>
      <c r="Q34" s="11">
        <f>SUM(Q4:Q33)</f>
        <v>999</v>
      </c>
      <c r="R34" s="1"/>
      <c r="S34" s="11">
        <f>SUM(S4:S33)</f>
        <v>0</v>
      </c>
      <c r="T34" s="1"/>
      <c r="U34" s="11">
        <f>SUM(U4:U33)</f>
        <v>1440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1" sqref="A11:XFD11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>
        <f>F2+H2</f>
        <v>0</v>
      </c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f t="shared" si="16"/>
        <v>201</v>
      </c>
      <c r="C12" s="150">
        <f t="shared" ref="C10:C32" si="17">C11</f>
        <v>19284</v>
      </c>
      <c r="D12" s="43">
        <f t="shared" si="2"/>
        <v>0</v>
      </c>
      <c r="E12" s="151">
        <f t="shared" ref="E10:E33" si="18">E11</f>
        <v>29497105</v>
      </c>
      <c r="F12" s="43">
        <f t="shared" si="3"/>
        <v>0</v>
      </c>
      <c r="G12" s="152">
        <f t="shared" ref="G10:G33" si="19">G11</f>
        <v>93706238</v>
      </c>
      <c r="H12" s="43">
        <f t="shared" si="4"/>
        <v>0</v>
      </c>
      <c r="I12" s="153">
        <f t="shared" si="5"/>
        <v>0</v>
      </c>
      <c r="J12" s="151">
        <f t="shared" ref="J10:J33" si="20">J11</f>
        <v>9283384</v>
      </c>
      <c r="K12" s="43">
        <f t="shared" si="13"/>
        <v>0</v>
      </c>
      <c r="L12" s="154">
        <f t="shared" ref="L10:L33" si="21">L11</f>
        <v>9290678</v>
      </c>
      <c r="M12" s="43">
        <f t="shared" si="6"/>
        <v>0</v>
      </c>
      <c r="N12" s="151">
        <f t="shared" ref="N10:N33" si="22">N11</f>
        <v>6259445</v>
      </c>
      <c r="O12" s="43">
        <f t="shared" si="14"/>
        <v>0</v>
      </c>
      <c r="P12" s="154">
        <f t="shared" ref="P10:P33" si="23">P11</f>
        <v>5754280</v>
      </c>
      <c r="Q12" s="43">
        <f t="shared" si="7"/>
        <v>0</v>
      </c>
      <c r="R12" s="151">
        <f t="shared" ref="R10:R33" si="24">R11</f>
        <v>19830400</v>
      </c>
      <c r="S12" s="43">
        <f t="shared" si="8"/>
        <v>0</v>
      </c>
      <c r="T12" s="151">
        <v>0</v>
      </c>
      <c r="U12" s="155"/>
      <c r="V12" s="151">
        <f t="shared" ref="V10:V33" si="25">V11</f>
        <v>7722315</v>
      </c>
      <c r="W12" s="43">
        <f t="shared" si="9"/>
        <v>0</v>
      </c>
      <c r="X12" s="21">
        <f t="shared" si="10"/>
        <v>0</v>
      </c>
      <c r="Y12" s="156">
        <f t="shared" si="11"/>
        <v>0</v>
      </c>
      <c r="Z12" s="3">
        <f t="shared" si="12"/>
        <v>0</v>
      </c>
      <c r="AA12" s="3">
        <f t="shared" si="15"/>
        <v>18167.447355200002</v>
      </c>
    </row>
    <row r="13" spans="1:27" ht="16.5" thickBot="1" x14ac:dyDescent="0.3">
      <c r="A13" s="10">
        <v>44572</v>
      </c>
      <c r="B13" s="43">
        <f t="shared" si="16"/>
        <v>201</v>
      </c>
      <c r="C13" s="150">
        <f t="shared" si="17"/>
        <v>19284</v>
      </c>
      <c r="D13" s="43">
        <f t="shared" si="2"/>
        <v>0</v>
      </c>
      <c r="E13" s="151">
        <f t="shared" si="18"/>
        <v>29497105</v>
      </c>
      <c r="F13" s="43">
        <f t="shared" ref="F13" si="26">IF((E13-E12)&lt;0,"0",(E13-E12))</f>
        <v>0</v>
      </c>
      <c r="G13" s="152">
        <f t="shared" si="19"/>
        <v>93706238</v>
      </c>
      <c r="H13" s="43">
        <f t="shared" ref="H13" si="27">IF((G13-G12)&lt;0,"0",(G13-G12))</f>
        <v>0</v>
      </c>
      <c r="I13" s="153">
        <f t="shared" ref="I13" si="28">F13+H13</f>
        <v>0</v>
      </c>
      <c r="J13" s="151">
        <f t="shared" si="20"/>
        <v>9283384</v>
      </c>
      <c r="K13" s="43">
        <f t="shared" si="13"/>
        <v>0</v>
      </c>
      <c r="L13" s="154">
        <f t="shared" si="21"/>
        <v>9290678</v>
      </c>
      <c r="M13" s="43">
        <f t="shared" ref="M13" si="29">IF((L13-L12)&lt;0,"0",(L13-L12))</f>
        <v>0</v>
      </c>
      <c r="N13" s="151">
        <f t="shared" si="22"/>
        <v>6259445</v>
      </c>
      <c r="O13" s="43">
        <f t="shared" ref="O13" si="30">(IF((N13-N12)&lt;0,"0",(N13-N12)))*2</f>
        <v>0</v>
      </c>
      <c r="P13" s="154">
        <f t="shared" si="23"/>
        <v>5754280</v>
      </c>
      <c r="Q13" s="43">
        <f t="shared" ref="Q13" si="31">IF((P13-P12)&lt;0,"0",(P13-P12))</f>
        <v>0</v>
      </c>
      <c r="R13" s="151">
        <f t="shared" si="24"/>
        <v>19830400</v>
      </c>
      <c r="S13" s="43">
        <f t="shared" ref="S13" si="32">IF((R13-R12)&lt;0,"0",(R13-R12))</f>
        <v>0</v>
      </c>
      <c r="T13" s="151">
        <v>0</v>
      </c>
      <c r="U13" s="155"/>
      <c r="V13" s="151">
        <f t="shared" si="25"/>
        <v>7722315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10399.4668752</v>
      </c>
    </row>
    <row r="14" spans="1:27" ht="16.5" thickBot="1" x14ac:dyDescent="0.3">
      <c r="A14" s="10">
        <v>44573</v>
      </c>
      <c r="B14" s="43">
        <f t="shared" si="16"/>
        <v>201</v>
      </c>
      <c r="C14" s="150">
        <f t="shared" si="17"/>
        <v>19284</v>
      </c>
      <c r="D14" s="43">
        <f t="shared" si="2"/>
        <v>0</v>
      </c>
      <c r="E14" s="151">
        <f t="shared" si="18"/>
        <v>29497105</v>
      </c>
      <c r="F14" s="43">
        <f t="shared" si="3"/>
        <v>0</v>
      </c>
      <c r="G14" s="152">
        <f t="shared" si="19"/>
        <v>93706238</v>
      </c>
      <c r="H14" s="43">
        <f t="shared" si="4"/>
        <v>0</v>
      </c>
      <c r="I14" s="153">
        <f t="shared" si="5"/>
        <v>0</v>
      </c>
      <c r="J14" s="151">
        <f t="shared" si="20"/>
        <v>9283384</v>
      </c>
      <c r="K14" s="43">
        <f t="shared" si="13"/>
        <v>0</v>
      </c>
      <c r="L14" s="154">
        <f t="shared" si="21"/>
        <v>9290678</v>
      </c>
      <c r="M14" s="43">
        <f t="shared" si="6"/>
        <v>0</v>
      </c>
      <c r="N14" s="151">
        <f t="shared" si="22"/>
        <v>6259445</v>
      </c>
      <c r="O14" s="43">
        <f t="shared" si="14"/>
        <v>0</v>
      </c>
      <c r="P14" s="154">
        <f t="shared" si="23"/>
        <v>5754280</v>
      </c>
      <c r="Q14" s="43">
        <f t="shared" si="7"/>
        <v>0</v>
      </c>
      <c r="R14" s="151">
        <f t="shared" si="24"/>
        <v>19830400</v>
      </c>
      <c r="S14" s="43">
        <f>IF((R14-R13)&lt;0,"0",(R14-R13))</f>
        <v>0</v>
      </c>
      <c r="T14" s="151">
        <v>0</v>
      </c>
      <c r="U14" s="155"/>
      <c r="V14" s="151">
        <f t="shared" si="25"/>
        <v>7722315</v>
      </c>
      <c r="W14" s="43">
        <f t="shared" si="9"/>
        <v>0</v>
      </c>
      <c r="X14" s="21">
        <f t="shared" si="10"/>
        <v>0</v>
      </c>
      <c r="Y14" s="156">
        <f t="shared" si="11"/>
        <v>0</v>
      </c>
      <c r="Z14" s="3">
        <f t="shared" si="12"/>
        <v>0</v>
      </c>
      <c r="AA14" s="3">
        <f t="shared" si="15"/>
        <v>5122.0309088000004</v>
      </c>
    </row>
    <row r="15" spans="1:27" ht="16.5" thickBot="1" x14ac:dyDescent="0.3">
      <c r="A15" s="10">
        <v>44574</v>
      </c>
      <c r="B15" s="43">
        <f t="shared" si="16"/>
        <v>201</v>
      </c>
      <c r="C15" s="150">
        <f t="shared" si="17"/>
        <v>19284</v>
      </c>
      <c r="D15" s="43">
        <f t="shared" si="2"/>
        <v>0</v>
      </c>
      <c r="E15" s="151">
        <f t="shared" si="18"/>
        <v>29497105</v>
      </c>
      <c r="F15" s="43">
        <f t="shared" si="3"/>
        <v>0</v>
      </c>
      <c r="G15" s="152">
        <f t="shared" si="19"/>
        <v>93706238</v>
      </c>
      <c r="H15" s="43">
        <f t="shared" si="4"/>
        <v>0</v>
      </c>
      <c r="I15" s="153">
        <f t="shared" si="5"/>
        <v>0</v>
      </c>
      <c r="J15" s="151">
        <f t="shared" si="20"/>
        <v>9283384</v>
      </c>
      <c r="K15" s="43">
        <f t="shared" si="13"/>
        <v>0</v>
      </c>
      <c r="L15" s="154">
        <f t="shared" si="21"/>
        <v>9290678</v>
      </c>
      <c r="M15" s="43">
        <f t="shared" si="6"/>
        <v>0</v>
      </c>
      <c r="N15" s="151">
        <f t="shared" si="22"/>
        <v>6259445</v>
      </c>
      <c r="O15" s="43">
        <f t="shared" si="14"/>
        <v>0</v>
      </c>
      <c r="P15" s="154">
        <f t="shared" si="23"/>
        <v>5754280</v>
      </c>
      <c r="Q15" s="43">
        <f t="shared" si="7"/>
        <v>0</v>
      </c>
      <c r="R15" s="151">
        <f t="shared" si="24"/>
        <v>19830400</v>
      </c>
      <c r="S15" s="43">
        <f>IF((R15-R14)&lt;0,"0",(R15-R14))</f>
        <v>0</v>
      </c>
      <c r="T15" s="151">
        <v>0</v>
      </c>
      <c r="U15" s="155"/>
      <c r="V15" s="151">
        <f t="shared" si="25"/>
        <v>7722315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0</v>
      </c>
    </row>
    <row r="16" spans="1:27" ht="16.5" thickBot="1" x14ac:dyDescent="0.3">
      <c r="A16" s="10">
        <v>44575</v>
      </c>
      <c r="B16" s="43">
        <f t="shared" si="16"/>
        <v>201</v>
      </c>
      <c r="C16" s="150">
        <f t="shared" si="17"/>
        <v>19284</v>
      </c>
      <c r="D16" s="43">
        <f t="shared" si="2"/>
        <v>0</v>
      </c>
      <c r="E16" s="151">
        <f t="shared" si="18"/>
        <v>29497105</v>
      </c>
      <c r="F16" s="43">
        <f t="shared" si="3"/>
        <v>0</v>
      </c>
      <c r="G16" s="152">
        <f t="shared" si="19"/>
        <v>93706238</v>
      </c>
      <c r="H16" s="43">
        <f t="shared" si="4"/>
        <v>0</v>
      </c>
      <c r="I16" s="153">
        <f t="shared" si="5"/>
        <v>0</v>
      </c>
      <c r="J16" s="151">
        <f t="shared" si="20"/>
        <v>9283384</v>
      </c>
      <c r="K16" s="43">
        <f t="shared" si="13"/>
        <v>0</v>
      </c>
      <c r="L16" s="154">
        <f t="shared" si="21"/>
        <v>9290678</v>
      </c>
      <c r="M16" s="43">
        <f t="shared" si="6"/>
        <v>0</v>
      </c>
      <c r="N16" s="151">
        <f t="shared" si="22"/>
        <v>6259445</v>
      </c>
      <c r="O16" s="43">
        <f t="shared" si="14"/>
        <v>0</v>
      </c>
      <c r="P16" s="154">
        <f t="shared" si="23"/>
        <v>5754280</v>
      </c>
      <c r="Q16" s="43">
        <f t="shared" si="7"/>
        <v>0</v>
      </c>
      <c r="R16" s="151">
        <f t="shared" si="24"/>
        <v>19830400</v>
      </c>
      <c r="S16" s="43">
        <f t="shared" si="8"/>
        <v>0</v>
      </c>
      <c r="T16" s="151">
        <v>0</v>
      </c>
      <c r="U16" s="155"/>
      <c r="V16" s="151">
        <f t="shared" si="25"/>
        <v>7722315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0</v>
      </c>
    </row>
    <row r="17" spans="1:27" s="135" customFormat="1" ht="16.5" thickBot="1" x14ac:dyDescent="0.3">
      <c r="A17" s="10">
        <v>44576</v>
      </c>
      <c r="B17" s="43">
        <f t="shared" si="16"/>
        <v>201</v>
      </c>
      <c r="C17" s="150">
        <f t="shared" si="17"/>
        <v>19284</v>
      </c>
      <c r="D17" s="43">
        <f t="shared" si="2"/>
        <v>0</v>
      </c>
      <c r="E17" s="151">
        <f t="shared" si="18"/>
        <v>29497105</v>
      </c>
      <c r="F17" s="43">
        <f t="shared" si="3"/>
        <v>0</v>
      </c>
      <c r="G17" s="152">
        <f t="shared" si="19"/>
        <v>93706238</v>
      </c>
      <c r="H17" s="43">
        <f t="shared" si="4"/>
        <v>0</v>
      </c>
      <c r="I17" s="157">
        <f t="shared" si="5"/>
        <v>0</v>
      </c>
      <c r="J17" s="151">
        <f t="shared" si="20"/>
        <v>9283384</v>
      </c>
      <c r="K17" s="134">
        <f t="shared" si="13"/>
        <v>0</v>
      </c>
      <c r="L17" s="154">
        <f t="shared" si="21"/>
        <v>9290678</v>
      </c>
      <c r="M17" s="134">
        <f t="shared" si="6"/>
        <v>0</v>
      </c>
      <c r="N17" s="151">
        <f t="shared" si="22"/>
        <v>6259445</v>
      </c>
      <c r="O17" s="134">
        <f t="shared" si="14"/>
        <v>0</v>
      </c>
      <c r="P17" s="154">
        <f t="shared" si="23"/>
        <v>5754280</v>
      </c>
      <c r="Q17" s="134">
        <f t="shared" si="7"/>
        <v>0</v>
      </c>
      <c r="R17" s="151">
        <f t="shared" si="24"/>
        <v>19830400</v>
      </c>
      <c r="S17" s="134">
        <f t="shared" si="8"/>
        <v>0</v>
      </c>
      <c r="T17" s="158">
        <v>0</v>
      </c>
      <c r="U17" s="155"/>
      <c r="V17" s="151">
        <f t="shared" si="25"/>
        <v>7722315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160">
        <f t="shared" si="15"/>
        <v>0</v>
      </c>
    </row>
    <row r="18" spans="1:27" s="135" customFormat="1" ht="16.5" thickBot="1" x14ac:dyDescent="0.3">
      <c r="A18" s="10">
        <v>44577</v>
      </c>
      <c r="B18" s="43">
        <f t="shared" si="16"/>
        <v>201</v>
      </c>
      <c r="C18" s="150">
        <f t="shared" si="17"/>
        <v>19284</v>
      </c>
      <c r="D18" s="43">
        <f t="shared" si="2"/>
        <v>0</v>
      </c>
      <c r="E18" s="151">
        <f t="shared" si="18"/>
        <v>29497105</v>
      </c>
      <c r="F18" s="43">
        <f t="shared" si="3"/>
        <v>0</v>
      </c>
      <c r="G18" s="152">
        <f t="shared" si="19"/>
        <v>93706238</v>
      </c>
      <c r="H18" s="43">
        <f t="shared" si="4"/>
        <v>0</v>
      </c>
      <c r="I18" s="157">
        <f t="shared" si="5"/>
        <v>0</v>
      </c>
      <c r="J18" s="151">
        <f t="shared" si="20"/>
        <v>9283384</v>
      </c>
      <c r="K18" s="134">
        <f t="shared" si="13"/>
        <v>0</v>
      </c>
      <c r="L18" s="154">
        <f t="shared" si="21"/>
        <v>9290678</v>
      </c>
      <c r="M18" s="134">
        <f t="shared" si="6"/>
        <v>0</v>
      </c>
      <c r="N18" s="151">
        <f t="shared" si="22"/>
        <v>6259445</v>
      </c>
      <c r="O18" s="134">
        <f t="shared" si="14"/>
        <v>0</v>
      </c>
      <c r="P18" s="154">
        <f t="shared" si="23"/>
        <v>5754280</v>
      </c>
      <c r="Q18" s="134">
        <f t="shared" si="7"/>
        <v>0</v>
      </c>
      <c r="R18" s="151">
        <f t="shared" si="24"/>
        <v>19830400</v>
      </c>
      <c r="S18" s="134">
        <f t="shared" si="8"/>
        <v>0</v>
      </c>
      <c r="T18" s="158">
        <v>0</v>
      </c>
      <c r="U18" s="155"/>
      <c r="V18" s="151">
        <f t="shared" si="25"/>
        <v>7722315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160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201</v>
      </c>
      <c r="C19" s="150">
        <f t="shared" si="17"/>
        <v>19284</v>
      </c>
      <c r="D19" s="43">
        <f t="shared" si="2"/>
        <v>0</v>
      </c>
      <c r="E19" s="151">
        <f t="shared" si="18"/>
        <v>29497105</v>
      </c>
      <c r="F19" s="43">
        <f t="shared" si="3"/>
        <v>0</v>
      </c>
      <c r="G19" s="152">
        <f t="shared" si="19"/>
        <v>93706238</v>
      </c>
      <c r="H19" s="43">
        <f t="shared" si="4"/>
        <v>0</v>
      </c>
      <c r="I19" s="157">
        <f t="shared" si="5"/>
        <v>0</v>
      </c>
      <c r="J19" s="151">
        <f t="shared" si="20"/>
        <v>9283384</v>
      </c>
      <c r="K19" s="134">
        <f t="shared" si="13"/>
        <v>0</v>
      </c>
      <c r="L19" s="154">
        <f t="shared" si="21"/>
        <v>9290678</v>
      </c>
      <c r="M19" s="134">
        <f t="shared" si="6"/>
        <v>0</v>
      </c>
      <c r="N19" s="151">
        <f t="shared" si="22"/>
        <v>6259445</v>
      </c>
      <c r="O19" s="134">
        <f t="shared" si="14"/>
        <v>0</v>
      </c>
      <c r="P19" s="154">
        <f t="shared" si="23"/>
        <v>5754280</v>
      </c>
      <c r="Q19" s="134">
        <f t="shared" si="7"/>
        <v>0</v>
      </c>
      <c r="R19" s="151">
        <f t="shared" si="24"/>
        <v>19830400</v>
      </c>
      <c r="S19" s="134">
        <f t="shared" si="8"/>
        <v>0</v>
      </c>
      <c r="T19" s="158">
        <v>0</v>
      </c>
      <c r="U19" s="155"/>
      <c r="V19" s="151">
        <f t="shared" si="25"/>
        <v>7722315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160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201</v>
      </c>
      <c r="C20" s="150">
        <f t="shared" si="17"/>
        <v>19284</v>
      </c>
      <c r="D20" s="43">
        <f t="shared" si="2"/>
        <v>0</v>
      </c>
      <c r="E20" s="151">
        <f t="shared" si="18"/>
        <v>29497105</v>
      </c>
      <c r="F20" s="43">
        <f t="shared" si="3"/>
        <v>0</v>
      </c>
      <c r="G20" s="152">
        <f t="shared" si="19"/>
        <v>93706238</v>
      </c>
      <c r="H20" s="43">
        <f t="shared" si="4"/>
        <v>0</v>
      </c>
      <c r="I20" s="157">
        <f t="shared" si="5"/>
        <v>0</v>
      </c>
      <c r="J20" s="151">
        <f t="shared" si="20"/>
        <v>9283384</v>
      </c>
      <c r="K20" s="134">
        <f t="shared" si="13"/>
        <v>0</v>
      </c>
      <c r="L20" s="154">
        <f t="shared" si="21"/>
        <v>9290678</v>
      </c>
      <c r="M20" s="134">
        <f t="shared" si="6"/>
        <v>0</v>
      </c>
      <c r="N20" s="151">
        <f t="shared" si="22"/>
        <v>6259445</v>
      </c>
      <c r="O20" s="134">
        <f t="shared" si="14"/>
        <v>0</v>
      </c>
      <c r="P20" s="154">
        <f t="shared" si="23"/>
        <v>5754280</v>
      </c>
      <c r="Q20" s="134">
        <f t="shared" si="7"/>
        <v>0</v>
      </c>
      <c r="R20" s="151">
        <f t="shared" si="24"/>
        <v>19830400</v>
      </c>
      <c r="S20" s="134">
        <f t="shared" si="8"/>
        <v>0</v>
      </c>
      <c r="T20" s="158">
        <v>0</v>
      </c>
      <c r="U20" s="155"/>
      <c r="V20" s="151">
        <f t="shared" si="25"/>
        <v>7722315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160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201</v>
      </c>
      <c r="C21" s="150">
        <f t="shared" si="17"/>
        <v>19284</v>
      </c>
      <c r="D21" s="43">
        <f t="shared" si="2"/>
        <v>0</v>
      </c>
      <c r="E21" s="151">
        <f t="shared" si="18"/>
        <v>29497105</v>
      </c>
      <c r="F21" s="43">
        <f t="shared" si="3"/>
        <v>0</v>
      </c>
      <c r="G21" s="152">
        <f t="shared" si="19"/>
        <v>93706238</v>
      </c>
      <c r="H21" s="43">
        <f t="shared" si="4"/>
        <v>0</v>
      </c>
      <c r="I21" s="157">
        <f t="shared" si="5"/>
        <v>0</v>
      </c>
      <c r="J21" s="151">
        <f t="shared" si="20"/>
        <v>9283384</v>
      </c>
      <c r="K21" s="134">
        <f t="shared" si="13"/>
        <v>0</v>
      </c>
      <c r="L21" s="154">
        <f t="shared" si="21"/>
        <v>9290678</v>
      </c>
      <c r="M21" s="134">
        <f t="shared" si="6"/>
        <v>0</v>
      </c>
      <c r="N21" s="151">
        <f t="shared" si="22"/>
        <v>6259445</v>
      </c>
      <c r="O21" s="134">
        <f t="shared" si="14"/>
        <v>0</v>
      </c>
      <c r="P21" s="154">
        <f t="shared" si="23"/>
        <v>5754280</v>
      </c>
      <c r="Q21" s="134">
        <f t="shared" si="7"/>
        <v>0</v>
      </c>
      <c r="R21" s="151">
        <f t="shared" si="24"/>
        <v>19830400</v>
      </c>
      <c r="S21" s="134">
        <f t="shared" si="8"/>
        <v>0</v>
      </c>
      <c r="T21" s="158">
        <v>0</v>
      </c>
      <c r="U21" s="155"/>
      <c r="V21" s="151">
        <f t="shared" si="25"/>
        <v>7722315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160">
        <f t="shared" si="15"/>
        <v>0</v>
      </c>
    </row>
    <row r="22" spans="1:27" ht="16.5" thickBot="1" x14ac:dyDescent="0.3">
      <c r="A22" s="10">
        <v>44581</v>
      </c>
      <c r="B22" s="43">
        <f t="shared" si="16"/>
        <v>201</v>
      </c>
      <c r="C22" s="150">
        <f t="shared" si="17"/>
        <v>19284</v>
      </c>
      <c r="D22" s="43">
        <f t="shared" si="2"/>
        <v>0</v>
      </c>
      <c r="E22" s="151">
        <f t="shared" si="18"/>
        <v>29497105</v>
      </c>
      <c r="F22" s="43">
        <f t="shared" si="3"/>
        <v>0</v>
      </c>
      <c r="G22" s="152">
        <f t="shared" si="19"/>
        <v>93706238</v>
      </c>
      <c r="H22" s="43">
        <f t="shared" si="4"/>
        <v>0</v>
      </c>
      <c r="I22" s="153">
        <f t="shared" si="5"/>
        <v>0</v>
      </c>
      <c r="J22" s="151">
        <f t="shared" si="20"/>
        <v>9283384</v>
      </c>
      <c r="K22" s="43">
        <f t="shared" si="13"/>
        <v>0</v>
      </c>
      <c r="L22" s="154">
        <f t="shared" si="21"/>
        <v>9290678</v>
      </c>
      <c r="M22" s="43">
        <f t="shared" si="6"/>
        <v>0</v>
      </c>
      <c r="N22" s="151">
        <f t="shared" si="22"/>
        <v>6259445</v>
      </c>
      <c r="O22" s="43">
        <f t="shared" si="14"/>
        <v>0</v>
      </c>
      <c r="P22" s="154">
        <f t="shared" si="23"/>
        <v>5754280</v>
      </c>
      <c r="Q22" s="43">
        <f t="shared" si="7"/>
        <v>0</v>
      </c>
      <c r="R22" s="151">
        <f t="shared" si="24"/>
        <v>19830400</v>
      </c>
      <c r="S22" s="43">
        <f t="shared" si="8"/>
        <v>0</v>
      </c>
      <c r="T22" s="151">
        <v>0</v>
      </c>
      <c r="U22" s="155"/>
      <c r="V22" s="151">
        <f t="shared" si="25"/>
        <v>7722315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201</v>
      </c>
      <c r="C23" s="150">
        <f t="shared" si="17"/>
        <v>19284</v>
      </c>
      <c r="D23" s="43">
        <f t="shared" si="2"/>
        <v>0</v>
      </c>
      <c r="E23" s="151">
        <f t="shared" si="18"/>
        <v>29497105</v>
      </c>
      <c r="F23" s="43">
        <f t="shared" si="3"/>
        <v>0</v>
      </c>
      <c r="G23" s="152">
        <f t="shared" si="19"/>
        <v>93706238</v>
      </c>
      <c r="H23" s="43">
        <f t="shared" si="4"/>
        <v>0</v>
      </c>
      <c r="I23" s="153">
        <f t="shared" si="5"/>
        <v>0</v>
      </c>
      <c r="J23" s="151">
        <f t="shared" si="20"/>
        <v>9283384</v>
      </c>
      <c r="K23" s="43">
        <f t="shared" si="13"/>
        <v>0</v>
      </c>
      <c r="L23" s="154">
        <f t="shared" si="21"/>
        <v>9290678</v>
      </c>
      <c r="M23" s="43">
        <f t="shared" si="6"/>
        <v>0</v>
      </c>
      <c r="N23" s="151">
        <f t="shared" si="22"/>
        <v>6259445</v>
      </c>
      <c r="O23" s="43">
        <f t="shared" si="14"/>
        <v>0</v>
      </c>
      <c r="P23" s="154">
        <f t="shared" si="23"/>
        <v>5754280</v>
      </c>
      <c r="Q23" s="43">
        <f t="shared" si="7"/>
        <v>0</v>
      </c>
      <c r="R23" s="151">
        <f t="shared" si="24"/>
        <v>19830400</v>
      </c>
      <c r="S23" s="43">
        <f t="shared" si="8"/>
        <v>0</v>
      </c>
      <c r="T23" s="151">
        <v>0</v>
      </c>
      <c r="U23" s="155"/>
      <c r="V23" s="151">
        <f t="shared" si="25"/>
        <v>7722315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201</v>
      </c>
      <c r="C24" s="150">
        <f t="shared" si="17"/>
        <v>19284</v>
      </c>
      <c r="D24" s="43">
        <f t="shared" si="2"/>
        <v>0</v>
      </c>
      <c r="E24" s="151">
        <f t="shared" si="18"/>
        <v>29497105</v>
      </c>
      <c r="F24" s="43">
        <f t="shared" si="3"/>
        <v>0</v>
      </c>
      <c r="G24" s="152">
        <f t="shared" si="19"/>
        <v>93706238</v>
      </c>
      <c r="H24" s="43">
        <f t="shared" si="4"/>
        <v>0</v>
      </c>
      <c r="I24" s="153">
        <f t="shared" si="5"/>
        <v>0</v>
      </c>
      <c r="J24" s="151">
        <f t="shared" si="20"/>
        <v>9283384</v>
      </c>
      <c r="K24" s="43">
        <f t="shared" si="13"/>
        <v>0</v>
      </c>
      <c r="L24" s="154">
        <f t="shared" si="21"/>
        <v>9290678</v>
      </c>
      <c r="M24" s="43">
        <f t="shared" si="6"/>
        <v>0</v>
      </c>
      <c r="N24" s="151">
        <f t="shared" si="22"/>
        <v>6259445</v>
      </c>
      <c r="O24" s="43">
        <f t="shared" si="14"/>
        <v>0</v>
      </c>
      <c r="P24" s="154">
        <f t="shared" si="23"/>
        <v>5754280</v>
      </c>
      <c r="Q24" s="43">
        <f t="shared" si="7"/>
        <v>0</v>
      </c>
      <c r="R24" s="151">
        <f t="shared" si="24"/>
        <v>19830400</v>
      </c>
      <c r="S24" s="43">
        <f t="shared" si="8"/>
        <v>0</v>
      </c>
      <c r="T24" s="151">
        <v>0</v>
      </c>
      <c r="U24" s="155"/>
      <c r="V24" s="151">
        <f t="shared" si="25"/>
        <v>7722315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201</v>
      </c>
      <c r="C25" s="150">
        <f t="shared" si="17"/>
        <v>19284</v>
      </c>
      <c r="D25" s="43">
        <f t="shared" si="2"/>
        <v>0</v>
      </c>
      <c r="E25" s="151">
        <f t="shared" si="18"/>
        <v>29497105</v>
      </c>
      <c r="F25" s="43">
        <f t="shared" si="3"/>
        <v>0</v>
      </c>
      <c r="G25" s="152">
        <f t="shared" si="19"/>
        <v>93706238</v>
      </c>
      <c r="H25" s="43">
        <f t="shared" si="4"/>
        <v>0</v>
      </c>
      <c r="I25" s="153">
        <f t="shared" si="5"/>
        <v>0</v>
      </c>
      <c r="J25" s="151">
        <f t="shared" si="20"/>
        <v>9283384</v>
      </c>
      <c r="K25" s="43">
        <f t="shared" si="13"/>
        <v>0</v>
      </c>
      <c r="L25" s="154">
        <f t="shared" si="21"/>
        <v>9290678</v>
      </c>
      <c r="M25" s="43">
        <f t="shared" si="6"/>
        <v>0</v>
      </c>
      <c r="N25" s="151">
        <f t="shared" si="22"/>
        <v>6259445</v>
      </c>
      <c r="O25" s="43">
        <f t="shared" si="14"/>
        <v>0</v>
      </c>
      <c r="P25" s="154">
        <f t="shared" si="23"/>
        <v>5754280</v>
      </c>
      <c r="Q25" s="43">
        <f t="shared" si="7"/>
        <v>0</v>
      </c>
      <c r="R25" s="151">
        <f t="shared" si="24"/>
        <v>19830400</v>
      </c>
      <c r="S25" s="43">
        <f t="shared" si="8"/>
        <v>0</v>
      </c>
      <c r="T25" s="151">
        <v>0</v>
      </c>
      <c r="U25" s="155"/>
      <c r="V25" s="151">
        <f t="shared" si="25"/>
        <v>7722315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201</v>
      </c>
      <c r="C26" s="150">
        <f t="shared" si="17"/>
        <v>19284</v>
      </c>
      <c r="D26" s="43">
        <f t="shared" si="2"/>
        <v>0</v>
      </c>
      <c r="E26" s="151">
        <f t="shared" si="18"/>
        <v>29497105</v>
      </c>
      <c r="F26" s="43">
        <f t="shared" si="3"/>
        <v>0</v>
      </c>
      <c r="G26" s="152">
        <f t="shared" si="19"/>
        <v>93706238</v>
      </c>
      <c r="H26" s="43">
        <f t="shared" si="4"/>
        <v>0</v>
      </c>
      <c r="I26" s="153">
        <f t="shared" si="5"/>
        <v>0</v>
      </c>
      <c r="J26" s="151">
        <f t="shared" si="20"/>
        <v>9283384</v>
      </c>
      <c r="K26" s="43">
        <f t="shared" si="13"/>
        <v>0</v>
      </c>
      <c r="L26" s="154">
        <f t="shared" si="21"/>
        <v>9290678</v>
      </c>
      <c r="M26" s="43">
        <f t="shared" si="6"/>
        <v>0</v>
      </c>
      <c r="N26" s="151">
        <f t="shared" si="22"/>
        <v>6259445</v>
      </c>
      <c r="O26" s="43">
        <f t="shared" si="14"/>
        <v>0</v>
      </c>
      <c r="P26" s="154">
        <f t="shared" si="23"/>
        <v>5754280</v>
      </c>
      <c r="Q26" s="43">
        <f t="shared" si="7"/>
        <v>0</v>
      </c>
      <c r="R26" s="151">
        <f t="shared" si="24"/>
        <v>19830400</v>
      </c>
      <c r="S26" s="43">
        <f t="shared" si="8"/>
        <v>0</v>
      </c>
      <c r="T26" s="151">
        <v>0</v>
      </c>
      <c r="U26" s="155"/>
      <c r="V26" s="151">
        <f t="shared" si="25"/>
        <v>7722315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201</v>
      </c>
      <c r="C27" s="150">
        <f t="shared" si="17"/>
        <v>19284</v>
      </c>
      <c r="D27" s="43">
        <f t="shared" si="2"/>
        <v>0</v>
      </c>
      <c r="E27" s="151">
        <f t="shared" si="18"/>
        <v>29497105</v>
      </c>
      <c r="F27" s="43">
        <f t="shared" si="3"/>
        <v>0</v>
      </c>
      <c r="G27" s="152">
        <f t="shared" si="19"/>
        <v>93706238</v>
      </c>
      <c r="H27" s="43">
        <f t="shared" si="4"/>
        <v>0</v>
      </c>
      <c r="I27" s="153">
        <f t="shared" si="5"/>
        <v>0</v>
      </c>
      <c r="J27" s="151">
        <f t="shared" si="20"/>
        <v>9283384</v>
      </c>
      <c r="K27" s="43">
        <f t="shared" si="13"/>
        <v>0</v>
      </c>
      <c r="L27" s="154">
        <f t="shared" si="21"/>
        <v>9290678</v>
      </c>
      <c r="M27" s="43">
        <f t="shared" si="6"/>
        <v>0</v>
      </c>
      <c r="N27" s="151">
        <f t="shared" si="22"/>
        <v>6259445</v>
      </c>
      <c r="O27" s="43">
        <f t="shared" si="14"/>
        <v>0</v>
      </c>
      <c r="P27" s="154">
        <f t="shared" si="23"/>
        <v>5754280</v>
      </c>
      <c r="Q27" s="43">
        <f t="shared" si="7"/>
        <v>0</v>
      </c>
      <c r="R27" s="151">
        <f t="shared" si="24"/>
        <v>19830400</v>
      </c>
      <c r="S27" s="43">
        <f t="shared" si="8"/>
        <v>0</v>
      </c>
      <c r="T27" s="151">
        <v>0</v>
      </c>
      <c r="U27" s="155"/>
      <c r="V27" s="151">
        <f t="shared" si="25"/>
        <v>7722315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201</v>
      </c>
      <c r="C28" s="150">
        <f t="shared" si="17"/>
        <v>19284</v>
      </c>
      <c r="D28" s="43">
        <f t="shared" si="2"/>
        <v>0</v>
      </c>
      <c r="E28" s="151">
        <f t="shared" si="18"/>
        <v>29497105</v>
      </c>
      <c r="F28" s="43">
        <f t="shared" si="3"/>
        <v>0</v>
      </c>
      <c r="G28" s="152">
        <f t="shared" si="19"/>
        <v>93706238</v>
      </c>
      <c r="H28" s="43">
        <f t="shared" si="4"/>
        <v>0</v>
      </c>
      <c r="I28" s="153">
        <f t="shared" si="5"/>
        <v>0</v>
      </c>
      <c r="J28" s="151">
        <f t="shared" si="20"/>
        <v>9283384</v>
      </c>
      <c r="K28" s="43">
        <f t="shared" si="13"/>
        <v>0</v>
      </c>
      <c r="L28" s="154">
        <f t="shared" si="21"/>
        <v>9290678</v>
      </c>
      <c r="M28" s="43">
        <f t="shared" si="6"/>
        <v>0</v>
      </c>
      <c r="N28" s="151">
        <f t="shared" si="22"/>
        <v>6259445</v>
      </c>
      <c r="O28" s="43">
        <f t="shared" si="14"/>
        <v>0</v>
      </c>
      <c r="P28" s="154">
        <f t="shared" si="23"/>
        <v>5754280</v>
      </c>
      <c r="Q28" s="43">
        <f t="shared" si="7"/>
        <v>0</v>
      </c>
      <c r="R28" s="151">
        <f t="shared" si="24"/>
        <v>19830400</v>
      </c>
      <c r="S28" s="43">
        <f t="shared" si="8"/>
        <v>0</v>
      </c>
      <c r="T28" s="151">
        <v>0</v>
      </c>
      <c r="U28" s="155"/>
      <c r="V28" s="151">
        <f t="shared" si="25"/>
        <v>7722315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201</v>
      </c>
      <c r="C29" s="150">
        <f t="shared" si="17"/>
        <v>19284</v>
      </c>
      <c r="D29" s="43">
        <f t="shared" si="2"/>
        <v>0</v>
      </c>
      <c r="E29" s="151">
        <f t="shared" si="18"/>
        <v>29497105</v>
      </c>
      <c r="F29" s="43">
        <f t="shared" si="3"/>
        <v>0</v>
      </c>
      <c r="G29" s="152">
        <f t="shared" si="19"/>
        <v>93706238</v>
      </c>
      <c r="H29" s="43">
        <f t="shared" si="4"/>
        <v>0</v>
      </c>
      <c r="I29" s="153">
        <f t="shared" si="5"/>
        <v>0</v>
      </c>
      <c r="J29" s="151">
        <f t="shared" si="20"/>
        <v>9283384</v>
      </c>
      <c r="K29" s="43">
        <f t="shared" si="13"/>
        <v>0</v>
      </c>
      <c r="L29" s="154">
        <f t="shared" si="21"/>
        <v>9290678</v>
      </c>
      <c r="M29" s="43">
        <f t="shared" si="6"/>
        <v>0</v>
      </c>
      <c r="N29" s="151">
        <f t="shared" si="22"/>
        <v>6259445</v>
      </c>
      <c r="O29" s="43">
        <f t="shared" si="14"/>
        <v>0</v>
      </c>
      <c r="P29" s="154">
        <f t="shared" si="23"/>
        <v>5754280</v>
      </c>
      <c r="Q29" s="43">
        <f t="shared" si="7"/>
        <v>0</v>
      </c>
      <c r="R29" s="151">
        <f t="shared" si="24"/>
        <v>19830400</v>
      </c>
      <c r="S29" s="43">
        <f t="shared" si="8"/>
        <v>0</v>
      </c>
      <c r="T29" s="151">
        <v>0</v>
      </c>
      <c r="U29" s="155"/>
      <c r="V29" s="151">
        <f t="shared" si="25"/>
        <v>7722315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201</v>
      </c>
      <c r="C30" s="150">
        <f t="shared" si="17"/>
        <v>19284</v>
      </c>
      <c r="D30" s="43">
        <f t="shared" si="2"/>
        <v>0</v>
      </c>
      <c r="E30" s="151">
        <f t="shared" si="18"/>
        <v>29497105</v>
      </c>
      <c r="F30" s="43">
        <f t="shared" si="3"/>
        <v>0</v>
      </c>
      <c r="G30" s="152">
        <f t="shared" si="19"/>
        <v>93706238</v>
      </c>
      <c r="H30" s="43">
        <f t="shared" si="4"/>
        <v>0</v>
      </c>
      <c r="I30" s="153">
        <f t="shared" si="5"/>
        <v>0</v>
      </c>
      <c r="J30" s="151">
        <f t="shared" si="20"/>
        <v>9283384</v>
      </c>
      <c r="K30" s="43">
        <f t="shared" si="13"/>
        <v>0</v>
      </c>
      <c r="L30" s="154">
        <f t="shared" si="21"/>
        <v>9290678</v>
      </c>
      <c r="M30" s="43">
        <f t="shared" si="6"/>
        <v>0</v>
      </c>
      <c r="N30" s="151">
        <f t="shared" si="22"/>
        <v>6259445</v>
      </c>
      <c r="O30" s="43">
        <f t="shared" si="14"/>
        <v>0</v>
      </c>
      <c r="P30" s="154">
        <f t="shared" si="23"/>
        <v>5754280</v>
      </c>
      <c r="Q30" s="43">
        <f t="shared" si="7"/>
        <v>0</v>
      </c>
      <c r="R30" s="151">
        <f t="shared" si="24"/>
        <v>19830400</v>
      </c>
      <c r="S30" s="43">
        <f t="shared" si="8"/>
        <v>0</v>
      </c>
      <c r="T30" s="151">
        <v>0</v>
      </c>
      <c r="U30" s="155"/>
      <c r="V30" s="151">
        <f t="shared" si="25"/>
        <v>7722315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201</v>
      </c>
      <c r="C31" s="150">
        <f t="shared" si="17"/>
        <v>19284</v>
      </c>
      <c r="D31" s="43">
        <f t="shared" si="2"/>
        <v>0</v>
      </c>
      <c r="E31" s="151">
        <f t="shared" si="18"/>
        <v>29497105</v>
      </c>
      <c r="F31" s="43">
        <f t="shared" si="3"/>
        <v>0</v>
      </c>
      <c r="G31" s="152">
        <f t="shared" si="19"/>
        <v>93706238</v>
      </c>
      <c r="H31" s="43">
        <f t="shared" si="4"/>
        <v>0</v>
      </c>
      <c r="I31" s="153">
        <f t="shared" si="5"/>
        <v>0</v>
      </c>
      <c r="J31" s="151">
        <f t="shared" si="20"/>
        <v>9283384</v>
      </c>
      <c r="K31" s="43">
        <f t="shared" si="13"/>
        <v>0</v>
      </c>
      <c r="L31" s="154">
        <f t="shared" si="21"/>
        <v>9290678</v>
      </c>
      <c r="M31" s="43">
        <f t="shared" si="6"/>
        <v>0</v>
      </c>
      <c r="N31" s="151">
        <f t="shared" si="22"/>
        <v>6259445</v>
      </c>
      <c r="O31" s="43">
        <f t="shared" si="14"/>
        <v>0</v>
      </c>
      <c r="P31" s="154">
        <f t="shared" si="23"/>
        <v>5754280</v>
      </c>
      <c r="Q31" s="43">
        <f t="shared" si="7"/>
        <v>0</v>
      </c>
      <c r="R31" s="151">
        <f t="shared" si="24"/>
        <v>19830400</v>
      </c>
      <c r="S31" s="43">
        <f t="shared" si="8"/>
        <v>0</v>
      </c>
      <c r="T31" s="151">
        <v>0</v>
      </c>
      <c r="U31" s="11"/>
      <c r="V31" s="151">
        <f t="shared" si="25"/>
        <v>7722315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201</v>
      </c>
      <c r="C32" s="150">
        <f t="shared" si="17"/>
        <v>19284</v>
      </c>
      <c r="D32" s="43">
        <f t="shared" si="2"/>
        <v>0</v>
      </c>
      <c r="E32" s="151">
        <f t="shared" si="18"/>
        <v>29497105</v>
      </c>
      <c r="F32" s="43">
        <f t="shared" si="3"/>
        <v>0</v>
      </c>
      <c r="G32" s="152">
        <f t="shared" si="19"/>
        <v>93706238</v>
      </c>
      <c r="H32" s="43">
        <f t="shared" si="4"/>
        <v>0</v>
      </c>
      <c r="I32" s="21">
        <f>F32+H32</f>
        <v>0</v>
      </c>
      <c r="J32" s="151">
        <f t="shared" si="20"/>
        <v>9283384</v>
      </c>
      <c r="K32" s="43">
        <f t="shared" si="13"/>
        <v>0</v>
      </c>
      <c r="L32" s="154">
        <f t="shared" si="21"/>
        <v>9290678</v>
      </c>
      <c r="M32" s="43">
        <f t="shared" si="6"/>
        <v>0</v>
      </c>
      <c r="N32" s="151">
        <f t="shared" si="22"/>
        <v>6259445</v>
      </c>
      <c r="O32" s="43">
        <f t="shared" si="14"/>
        <v>0</v>
      </c>
      <c r="P32" s="154">
        <f t="shared" si="23"/>
        <v>5754280</v>
      </c>
      <c r="Q32" s="43">
        <f t="shared" si="7"/>
        <v>0</v>
      </c>
      <c r="R32" s="151">
        <f t="shared" si="24"/>
        <v>19830400</v>
      </c>
      <c r="S32" s="43">
        <f t="shared" si="8"/>
        <v>0</v>
      </c>
      <c r="T32" s="151">
        <v>0</v>
      </c>
      <c r="U32" s="11"/>
      <c r="V32" s="151">
        <f t="shared" si="25"/>
        <v>7722315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201</v>
      </c>
      <c r="C33" s="150">
        <f t="shared" ref="C33" si="38">C32</f>
        <v>19284</v>
      </c>
      <c r="D33" s="43">
        <f t="shared" si="2"/>
        <v>0</v>
      </c>
      <c r="E33" s="151">
        <f t="shared" si="18"/>
        <v>29497105</v>
      </c>
      <c r="F33" s="43">
        <f t="shared" si="3"/>
        <v>0</v>
      </c>
      <c r="G33" s="152">
        <f t="shared" si="19"/>
        <v>93706238</v>
      </c>
      <c r="H33" s="43">
        <f t="shared" si="4"/>
        <v>0</v>
      </c>
      <c r="I33" s="21">
        <f>F33+H33</f>
        <v>0</v>
      </c>
      <c r="J33" s="151">
        <f t="shared" si="20"/>
        <v>9283384</v>
      </c>
      <c r="K33" s="43">
        <f t="shared" si="13"/>
        <v>0</v>
      </c>
      <c r="L33" s="154">
        <f t="shared" si="21"/>
        <v>9290678</v>
      </c>
      <c r="M33" s="43">
        <f t="shared" si="6"/>
        <v>0</v>
      </c>
      <c r="N33" s="151">
        <f t="shared" si="22"/>
        <v>6259445</v>
      </c>
      <c r="O33" s="43">
        <f t="shared" si="14"/>
        <v>0</v>
      </c>
      <c r="P33" s="154">
        <f t="shared" si="23"/>
        <v>5754280</v>
      </c>
      <c r="Q33" s="43">
        <f t="shared" si="7"/>
        <v>0</v>
      </c>
      <c r="R33" s="151">
        <f t="shared" si="24"/>
        <v>19830400</v>
      </c>
      <c r="S33" s="43">
        <f t="shared" si="8"/>
        <v>0</v>
      </c>
      <c r="T33" s="151">
        <v>0</v>
      </c>
      <c r="U33" s="11"/>
      <c r="V33" s="151">
        <f t="shared" si="25"/>
        <v>7722315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6068</v>
      </c>
      <c r="C34" s="142"/>
      <c r="D34" s="142">
        <f>SUM(D3:D33)</f>
        <v>3360</v>
      </c>
      <c r="E34" s="60">
        <v>0</v>
      </c>
      <c r="F34" s="60">
        <f>SUM(F3:F33)</f>
        <v>102779</v>
      </c>
      <c r="G34" s="60">
        <v>0</v>
      </c>
      <c r="H34" s="60">
        <f>SUM(H3:H33)</f>
        <v>329716</v>
      </c>
      <c r="I34" s="60">
        <f>SUM(I6:I33)</f>
        <v>282391</v>
      </c>
      <c r="J34" s="60">
        <v>0</v>
      </c>
      <c r="K34" s="60">
        <f>SUM(K3:K33)</f>
        <v>78548</v>
      </c>
      <c r="L34" s="60">
        <v>0</v>
      </c>
      <c r="M34" s="60">
        <f>SUM(M3:M33)</f>
        <v>48749</v>
      </c>
      <c r="N34" s="60">
        <v>0</v>
      </c>
      <c r="O34" s="60">
        <f>SUM(O3:O33)</f>
        <v>52742</v>
      </c>
      <c r="P34" s="60">
        <v>0</v>
      </c>
      <c r="Q34" s="60">
        <f>SUM(Q3:Q33)</f>
        <v>21129</v>
      </c>
      <c r="R34" s="60">
        <v>0</v>
      </c>
      <c r="S34" s="60">
        <f>SUM(S3:S33)</f>
        <v>84008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88238</v>
      </c>
      <c r="X34" s="60">
        <f>SUM(X6:X33)</f>
        <v>244357</v>
      </c>
      <c r="Y34" s="60">
        <f>SUM(Y3:Y33)</f>
        <v>59081</v>
      </c>
      <c r="Z34" s="60">
        <f>SUM(Z3:Z33)</f>
        <v>52500.879267199998</v>
      </c>
      <c r="AA34" s="60">
        <f>SUM(AA3:AA33)</f>
        <v>204072.51968480003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f t="shared" ref="B10:B33" si="9">B11</f>
        <v>436461</v>
      </c>
      <c r="C12" s="43">
        <f t="shared" si="8"/>
        <v>0</v>
      </c>
      <c r="D12" s="3">
        <f t="shared" ref="D10:D33" si="10">D11</f>
        <v>1669</v>
      </c>
      <c r="E12" s="43">
        <f t="shared" si="3"/>
        <v>0</v>
      </c>
      <c r="F12" s="3">
        <f t="shared" ref="F10:F33" si="11">F11</f>
        <v>7472000</v>
      </c>
      <c r="G12" s="43">
        <f t="shared" si="6"/>
        <v>0</v>
      </c>
      <c r="H12" s="3">
        <f t="shared" ref="H10:H33" si="12">H11</f>
        <v>767756</v>
      </c>
      <c r="I12" s="48">
        <f t="shared" si="7"/>
        <v>0</v>
      </c>
      <c r="J12" s="21">
        <f t="shared" si="4"/>
        <v>0</v>
      </c>
      <c r="K12" s="22">
        <f t="shared" si="5"/>
        <v>0</v>
      </c>
    </row>
    <row r="13" spans="1:14" ht="16.5" thickBot="1" x14ac:dyDescent="0.3">
      <c r="A13" s="10">
        <v>44572</v>
      </c>
      <c r="B13" s="3">
        <f t="shared" si="9"/>
        <v>436461</v>
      </c>
      <c r="C13" s="43">
        <f t="shared" si="8"/>
        <v>0</v>
      </c>
      <c r="D13" s="3">
        <f t="shared" si="10"/>
        <v>1669</v>
      </c>
      <c r="E13" s="43">
        <f t="shared" si="3"/>
        <v>0</v>
      </c>
      <c r="F13" s="3">
        <f t="shared" si="11"/>
        <v>7472000</v>
      </c>
      <c r="G13" s="43">
        <f t="shared" si="6"/>
        <v>0</v>
      </c>
      <c r="H13" s="3">
        <f t="shared" si="12"/>
        <v>767756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44573</v>
      </c>
      <c r="B14" s="3">
        <f t="shared" si="9"/>
        <v>436461</v>
      </c>
      <c r="C14" s="43">
        <f t="shared" si="8"/>
        <v>0</v>
      </c>
      <c r="D14" s="3">
        <f t="shared" si="10"/>
        <v>1669</v>
      </c>
      <c r="E14" s="43">
        <f t="shared" si="3"/>
        <v>0</v>
      </c>
      <c r="F14" s="3">
        <f t="shared" si="11"/>
        <v>7472000</v>
      </c>
      <c r="G14" s="43">
        <f t="shared" si="6"/>
        <v>0</v>
      </c>
      <c r="H14" s="3">
        <f t="shared" si="12"/>
        <v>767756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44574</v>
      </c>
      <c r="B15" s="3">
        <f t="shared" si="9"/>
        <v>436461</v>
      </c>
      <c r="C15" s="43">
        <f t="shared" si="8"/>
        <v>0</v>
      </c>
      <c r="D15" s="3">
        <f t="shared" si="10"/>
        <v>1669</v>
      </c>
      <c r="E15" s="43">
        <f t="shared" si="3"/>
        <v>0</v>
      </c>
      <c r="F15" s="3">
        <f t="shared" si="11"/>
        <v>7472000</v>
      </c>
      <c r="G15" s="43">
        <f t="shared" si="6"/>
        <v>0</v>
      </c>
      <c r="H15" s="3">
        <f t="shared" si="12"/>
        <v>767756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9"/>
        <v>436461</v>
      </c>
      <c r="C16" s="43">
        <f t="shared" si="8"/>
        <v>0</v>
      </c>
      <c r="D16" s="3">
        <f t="shared" si="10"/>
        <v>1669</v>
      </c>
      <c r="E16" s="43">
        <f t="shared" si="3"/>
        <v>0</v>
      </c>
      <c r="F16" s="3">
        <f t="shared" si="11"/>
        <v>7472000</v>
      </c>
      <c r="G16" s="43">
        <f t="shared" si="6"/>
        <v>0</v>
      </c>
      <c r="H16" s="3">
        <f t="shared" si="12"/>
        <v>767756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436461</v>
      </c>
      <c r="C17" s="43">
        <f t="shared" si="8"/>
        <v>0</v>
      </c>
      <c r="D17" s="3">
        <f t="shared" si="10"/>
        <v>1669</v>
      </c>
      <c r="E17" s="43">
        <f t="shared" si="3"/>
        <v>0</v>
      </c>
      <c r="F17" s="3">
        <f t="shared" si="11"/>
        <v>7472000</v>
      </c>
      <c r="G17" s="43">
        <f t="shared" si="6"/>
        <v>0</v>
      </c>
      <c r="H17" s="3">
        <f t="shared" si="12"/>
        <v>767756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436461</v>
      </c>
      <c r="C18" s="43">
        <f t="shared" si="8"/>
        <v>0</v>
      </c>
      <c r="D18" s="3">
        <f t="shared" si="10"/>
        <v>1669</v>
      </c>
      <c r="E18" s="43">
        <f t="shared" si="3"/>
        <v>0</v>
      </c>
      <c r="F18" s="3">
        <f t="shared" si="11"/>
        <v>7472000</v>
      </c>
      <c r="G18" s="43">
        <f t="shared" si="6"/>
        <v>0</v>
      </c>
      <c r="H18" s="3">
        <f t="shared" si="12"/>
        <v>767756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436461</v>
      </c>
      <c r="C19" s="43">
        <f t="shared" si="8"/>
        <v>0</v>
      </c>
      <c r="D19" s="3">
        <f t="shared" si="10"/>
        <v>1669</v>
      </c>
      <c r="E19" s="43">
        <f t="shared" si="3"/>
        <v>0</v>
      </c>
      <c r="F19" s="3">
        <f t="shared" si="11"/>
        <v>7472000</v>
      </c>
      <c r="G19" s="43">
        <f t="shared" si="6"/>
        <v>0</v>
      </c>
      <c r="H19" s="3">
        <f t="shared" si="12"/>
        <v>767756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436461</v>
      </c>
      <c r="C20" s="43">
        <f t="shared" si="8"/>
        <v>0</v>
      </c>
      <c r="D20" s="3">
        <f t="shared" si="10"/>
        <v>1669</v>
      </c>
      <c r="E20" s="43">
        <f t="shared" si="3"/>
        <v>0</v>
      </c>
      <c r="F20" s="3">
        <f t="shared" si="11"/>
        <v>7472000</v>
      </c>
      <c r="G20" s="43">
        <f t="shared" si="6"/>
        <v>0</v>
      </c>
      <c r="H20" s="3">
        <f t="shared" si="12"/>
        <v>767756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436461</v>
      </c>
      <c r="C21" s="43">
        <f t="shared" si="8"/>
        <v>0</v>
      </c>
      <c r="D21" s="3">
        <f t="shared" si="10"/>
        <v>1669</v>
      </c>
      <c r="E21" s="43">
        <f t="shared" si="3"/>
        <v>0</v>
      </c>
      <c r="F21" s="3">
        <f t="shared" si="11"/>
        <v>7472000</v>
      </c>
      <c r="G21" s="43">
        <f t="shared" si="6"/>
        <v>0</v>
      </c>
      <c r="H21" s="3">
        <f t="shared" si="12"/>
        <v>767756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436461</v>
      </c>
      <c r="C22" s="43">
        <f t="shared" si="8"/>
        <v>0</v>
      </c>
      <c r="D22" s="3">
        <f t="shared" si="10"/>
        <v>1669</v>
      </c>
      <c r="E22" s="43">
        <f t="shared" si="3"/>
        <v>0</v>
      </c>
      <c r="F22" s="3">
        <f t="shared" si="11"/>
        <v>7472000</v>
      </c>
      <c r="G22" s="43">
        <f t="shared" si="6"/>
        <v>0</v>
      </c>
      <c r="H22" s="3">
        <f t="shared" si="12"/>
        <v>767756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436461</v>
      </c>
      <c r="C23" s="43">
        <f t="shared" si="8"/>
        <v>0</v>
      </c>
      <c r="D23" s="3">
        <f t="shared" si="10"/>
        <v>1669</v>
      </c>
      <c r="E23" s="43">
        <f t="shared" si="3"/>
        <v>0</v>
      </c>
      <c r="F23" s="3">
        <f t="shared" si="11"/>
        <v>7472000</v>
      </c>
      <c r="G23" s="43">
        <f t="shared" si="6"/>
        <v>0</v>
      </c>
      <c r="H23" s="3">
        <f t="shared" si="12"/>
        <v>767756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436461</v>
      </c>
      <c r="C24" s="43">
        <f t="shared" si="8"/>
        <v>0</v>
      </c>
      <c r="D24" s="3">
        <f t="shared" si="10"/>
        <v>1669</v>
      </c>
      <c r="E24" s="43">
        <f t="shared" si="3"/>
        <v>0</v>
      </c>
      <c r="F24" s="3">
        <f t="shared" si="11"/>
        <v>7472000</v>
      </c>
      <c r="G24" s="43">
        <f t="shared" si="6"/>
        <v>0</v>
      </c>
      <c r="H24" s="3">
        <f t="shared" si="12"/>
        <v>767756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436461</v>
      </c>
      <c r="C25" s="43">
        <f t="shared" si="8"/>
        <v>0</v>
      </c>
      <c r="D25" s="3">
        <f t="shared" si="10"/>
        <v>1669</v>
      </c>
      <c r="E25" s="43">
        <f t="shared" si="3"/>
        <v>0</v>
      </c>
      <c r="F25" s="3">
        <f t="shared" si="11"/>
        <v>7472000</v>
      </c>
      <c r="G25" s="43">
        <f t="shared" si="6"/>
        <v>0</v>
      </c>
      <c r="H25" s="3">
        <f t="shared" si="12"/>
        <v>767756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436461</v>
      </c>
      <c r="C26" s="43">
        <f t="shared" si="8"/>
        <v>0</v>
      </c>
      <c r="D26" s="3">
        <f t="shared" si="10"/>
        <v>1669</v>
      </c>
      <c r="E26" s="43">
        <f t="shared" si="3"/>
        <v>0</v>
      </c>
      <c r="F26" s="3">
        <f t="shared" si="11"/>
        <v>7472000</v>
      </c>
      <c r="G26" s="43">
        <f t="shared" si="6"/>
        <v>0</v>
      </c>
      <c r="H26" s="3">
        <f t="shared" si="12"/>
        <v>767756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436461</v>
      </c>
      <c r="C27" s="43">
        <f t="shared" si="8"/>
        <v>0</v>
      </c>
      <c r="D27" s="3">
        <f t="shared" si="10"/>
        <v>1669</v>
      </c>
      <c r="E27" s="43">
        <f t="shared" si="3"/>
        <v>0</v>
      </c>
      <c r="F27" s="3">
        <f t="shared" si="11"/>
        <v>7472000</v>
      </c>
      <c r="G27" s="43">
        <f t="shared" si="6"/>
        <v>0</v>
      </c>
      <c r="H27" s="3">
        <f t="shared" si="12"/>
        <v>767756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436461</v>
      </c>
      <c r="C28" s="43">
        <f t="shared" si="8"/>
        <v>0</v>
      </c>
      <c r="D28" s="3">
        <f t="shared" si="10"/>
        <v>1669</v>
      </c>
      <c r="E28" s="43">
        <f t="shared" si="3"/>
        <v>0</v>
      </c>
      <c r="F28" s="3">
        <f t="shared" si="11"/>
        <v>7472000</v>
      </c>
      <c r="G28" s="43">
        <f t="shared" si="6"/>
        <v>0</v>
      </c>
      <c r="H28" s="3">
        <f t="shared" si="12"/>
        <v>767756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436461</v>
      </c>
      <c r="C29" s="43">
        <f t="shared" si="8"/>
        <v>0</v>
      </c>
      <c r="D29" s="3">
        <f t="shared" si="10"/>
        <v>1669</v>
      </c>
      <c r="E29" s="43">
        <f t="shared" si="3"/>
        <v>0</v>
      </c>
      <c r="F29" s="3">
        <f t="shared" si="11"/>
        <v>7472000</v>
      </c>
      <c r="G29" s="43">
        <f t="shared" si="6"/>
        <v>0</v>
      </c>
      <c r="H29" s="3">
        <f t="shared" si="12"/>
        <v>767756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436461</v>
      </c>
      <c r="C30" s="43">
        <f t="shared" si="8"/>
        <v>0</v>
      </c>
      <c r="D30" s="3">
        <f t="shared" si="10"/>
        <v>1669</v>
      </c>
      <c r="E30" s="43">
        <f t="shared" si="3"/>
        <v>0</v>
      </c>
      <c r="F30" s="3">
        <f t="shared" si="11"/>
        <v>7472000</v>
      </c>
      <c r="G30" s="43">
        <f t="shared" si="6"/>
        <v>0</v>
      </c>
      <c r="H30" s="3">
        <f t="shared" si="12"/>
        <v>767756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436461</v>
      </c>
      <c r="C31" s="43">
        <f t="shared" si="8"/>
        <v>0</v>
      </c>
      <c r="D31" s="3">
        <f t="shared" si="10"/>
        <v>1669</v>
      </c>
      <c r="E31" s="43">
        <f t="shared" si="3"/>
        <v>0</v>
      </c>
      <c r="F31" s="3">
        <f t="shared" si="11"/>
        <v>7472000</v>
      </c>
      <c r="G31" s="43">
        <f t="shared" si="6"/>
        <v>0</v>
      </c>
      <c r="H31" s="3">
        <f t="shared" si="12"/>
        <v>767756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436461</v>
      </c>
      <c r="C32" s="43">
        <f t="shared" si="8"/>
        <v>0</v>
      </c>
      <c r="D32" s="3">
        <f t="shared" si="10"/>
        <v>1669</v>
      </c>
      <c r="E32" s="43">
        <f t="shared" si="3"/>
        <v>0</v>
      </c>
      <c r="F32" s="3">
        <f t="shared" si="11"/>
        <v>7472000</v>
      </c>
      <c r="G32" s="43">
        <f t="shared" si="6"/>
        <v>0</v>
      </c>
      <c r="H32" s="3">
        <f t="shared" si="12"/>
        <v>767756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436461</v>
      </c>
      <c r="C33" s="43">
        <f t="shared" si="8"/>
        <v>0</v>
      </c>
      <c r="D33" s="3">
        <f t="shared" si="10"/>
        <v>1669</v>
      </c>
      <c r="E33" s="43">
        <f t="shared" si="3"/>
        <v>0</v>
      </c>
      <c r="F33" s="3">
        <f t="shared" si="11"/>
        <v>7472000</v>
      </c>
      <c r="G33" s="43">
        <f t="shared" si="6"/>
        <v>0</v>
      </c>
      <c r="H33" s="3">
        <f t="shared" si="12"/>
        <v>767756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5890</v>
      </c>
      <c r="D34" s="3"/>
      <c r="E34" s="60">
        <f>SUM(E4:E33)</f>
        <v>3250</v>
      </c>
      <c r="F34" s="3"/>
      <c r="G34" s="60">
        <f>SUM(G4:G33)</f>
        <v>2143.8000000000002</v>
      </c>
      <c r="H34" s="3"/>
      <c r="I34" s="60">
        <f>SUM(I4:I33)</f>
        <v>38.691000000000003</v>
      </c>
      <c r="J34" s="60">
        <f>SUM(J4:J33)</f>
        <v>11322.491</v>
      </c>
      <c r="K34" s="60">
        <f>SUM(K4:K33)</f>
        <v>66349.797260000007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1" sqref="A11:XFD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f t="shared" ref="B10:B33" si="1">B11</f>
        <v>17898269</v>
      </c>
      <c r="C12" s="49">
        <f t="shared" si="0"/>
        <v>0</v>
      </c>
    </row>
    <row r="13" spans="1:9" ht="24" thickBot="1" x14ac:dyDescent="0.4">
      <c r="A13" s="10">
        <v>44572</v>
      </c>
      <c r="B13" s="137">
        <f t="shared" si="1"/>
        <v>17898269</v>
      </c>
      <c r="C13" s="49">
        <f t="shared" si="0"/>
        <v>0</v>
      </c>
    </row>
    <row r="14" spans="1:9" ht="24" thickBot="1" x14ac:dyDescent="0.4">
      <c r="A14" s="10">
        <v>44573</v>
      </c>
      <c r="B14" s="137">
        <f t="shared" si="1"/>
        <v>17898269</v>
      </c>
      <c r="C14" s="49">
        <f t="shared" si="0"/>
        <v>0</v>
      </c>
    </row>
    <row r="15" spans="1:9" ht="24" thickBot="1" x14ac:dyDescent="0.4">
      <c r="A15" s="10">
        <v>44574</v>
      </c>
      <c r="B15" s="137">
        <f t="shared" si="1"/>
        <v>17898269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17898269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17898269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17898269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17898269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17898269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17898269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17898269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17898269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17898269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17898269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17898269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17898269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17898269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17898269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17898269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17898269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17898269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17898269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24747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33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f t="shared" ref="B10:B33" si="47">B11</f>
        <v>22805.946</v>
      </c>
      <c r="C12" s="48">
        <f t="shared" si="23"/>
        <v>0</v>
      </c>
      <c r="D12" s="32">
        <f t="shared" si="24"/>
        <v>0</v>
      </c>
      <c r="E12" s="1">
        <f t="shared" ref="E10:E33" si="48">E11</f>
        <v>4088.93</v>
      </c>
      <c r="F12" s="48">
        <f t="shared" si="25"/>
        <v>0</v>
      </c>
      <c r="G12" s="32">
        <f t="shared" si="26"/>
        <v>0</v>
      </c>
      <c r="H12" s="1">
        <f t="shared" ref="H10:H33" si="49">H11</f>
        <v>4591</v>
      </c>
      <c r="I12" s="48">
        <f t="shared" si="27"/>
        <v>0</v>
      </c>
      <c r="J12" s="32">
        <f t="shared" si="28"/>
        <v>0</v>
      </c>
      <c r="K12" s="7">
        <f t="shared" ref="K10:K33" si="50">K11</f>
        <v>13889.7</v>
      </c>
      <c r="L12" s="48">
        <f t="shared" si="29"/>
        <v>0</v>
      </c>
      <c r="M12" s="32">
        <f t="shared" si="30"/>
        <v>0</v>
      </c>
      <c r="N12" s="7">
        <f t="shared" ref="N10:N33" si="51">N11</f>
        <v>3379.5630000000001</v>
      </c>
      <c r="O12" s="48">
        <f t="shared" si="31"/>
        <v>0</v>
      </c>
      <c r="P12" s="32">
        <f t="shared" si="32"/>
        <v>0</v>
      </c>
      <c r="Q12" s="7">
        <f t="shared" si="41"/>
        <v>5291.46</v>
      </c>
      <c r="R12" s="48">
        <f t="shared" si="33"/>
        <v>0</v>
      </c>
      <c r="S12" s="32">
        <f t="shared" si="34"/>
        <v>0</v>
      </c>
      <c r="T12" s="8">
        <f t="shared" si="42"/>
        <v>0</v>
      </c>
      <c r="U12" s="34">
        <f t="shared" si="35"/>
        <v>0</v>
      </c>
      <c r="W12" s="162">
        <v>44571</v>
      </c>
      <c r="X12" s="163">
        <f t="shared" ref="X10:X33" si="52">X11</f>
        <v>163623</v>
      </c>
      <c r="Y12" s="169">
        <f t="shared" si="39"/>
        <v>0</v>
      </c>
      <c r="Z12" s="163">
        <f t="shared" ref="Z10:Z33" si="53">Z11</f>
        <v>8275</v>
      </c>
      <c r="AA12" s="169">
        <f t="shared" si="44"/>
        <v>0</v>
      </c>
      <c r="AB12" s="163">
        <f t="shared" si="43"/>
        <v>19.41</v>
      </c>
      <c r="AC12" s="169">
        <f t="shared" si="46"/>
        <v>0</v>
      </c>
      <c r="AD12" s="163">
        <f t="shared" si="45"/>
        <v>112</v>
      </c>
      <c r="AE12" s="169">
        <f t="shared" si="37"/>
        <v>0</v>
      </c>
      <c r="AF12" s="163">
        <f t="shared" ref="AF10:AF33" si="54">AF11</f>
        <v>5349</v>
      </c>
      <c r="AG12" s="169">
        <f t="shared" si="38"/>
        <v>0</v>
      </c>
    </row>
    <row r="13" spans="1:33" ht="16.5" thickBot="1" x14ac:dyDescent="0.25">
      <c r="A13" s="10">
        <v>44572</v>
      </c>
      <c r="B13" s="165">
        <f t="shared" si="47"/>
        <v>22805.946</v>
      </c>
      <c r="C13" s="48">
        <f t="shared" si="23"/>
        <v>0</v>
      </c>
      <c r="D13" s="32">
        <f t="shared" si="24"/>
        <v>0</v>
      </c>
      <c r="E13" s="1">
        <f t="shared" si="48"/>
        <v>4088.93</v>
      </c>
      <c r="F13" s="48">
        <f t="shared" si="25"/>
        <v>0</v>
      </c>
      <c r="G13" s="32">
        <f t="shared" si="26"/>
        <v>0</v>
      </c>
      <c r="H13" s="1">
        <f t="shared" si="49"/>
        <v>4591</v>
      </c>
      <c r="I13" s="48">
        <f t="shared" si="27"/>
        <v>0</v>
      </c>
      <c r="J13" s="32">
        <f t="shared" si="28"/>
        <v>0</v>
      </c>
      <c r="K13" s="7">
        <f t="shared" si="50"/>
        <v>13889.7</v>
      </c>
      <c r="L13" s="48">
        <f t="shared" si="29"/>
        <v>0</v>
      </c>
      <c r="M13" s="32">
        <f t="shared" si="30"/>
        <v>0</v>
      </c>
      <c r="N13" s="7">
        <f t="shared" si="51"/>
        <v>3379.5630000000001</v>
      </c>
      <c r="O13" s="48">
        <f t="shared" si="31"/>
        <v>0</v>
      </c>
      <c r="P13" s="32">
        <f t="shared" si="32"/>
        <v>0</v>
      </c>
      <c r="Q13" s="7">
        <f t="shared" si="41"/>
        <v>5291.46</v>
      </c>
      <c r="R13" s="48">
        <f t="shared" si="33"/>
        <v>0</v>
      </c>
      <c r="S13" s="32">
        <f t="shared" si="34"/>
        <v>0</v>
      </c>
      <c r="T13" s="8">
        <f t="shared" si="42"/>
        <v>0</v>
      </c>
      <c r="U13" s="34">
        <f t="shared" si="35"/>
        <v>0</v>
      </c>
      <c r="W13" s="162">
        <v>44572</v>
      </c>
      <c r="X13" s="163">
        <f t="shared" si="52"/>
        <v>163623</v>
      </c>
      <c r="Y13" s="169">
        <f t="shared" si="39"/>
        <v>0</v>
      </c>
      <c r="Z13" s="163">
        <f t="shared" si="53"/>
        <v>8275</v>
      </c>
      <c r="AA13" s="169">
        <f t="shared" si="44"/>
        <v>0</v>
      </c>
      <c r="AB13" s="163">
        <f t="shared" si="43"/>
        <v>19.41</v>
      </c>
      <c r="AC13" s="169">
        <f t="shared" si="46"/>
        <v>0</v>
      </c>
      <c r="AD13" s="163">
        <f t="shared" si="45"/>
        <v>112</v>
      </c>
      <c r="AE13" s="169">
        <f t="shared" si="37"/>
        <v>0</v>
      </c>
      <c r="AF13" s="163">
        <f t="shared" si="54"/>
        <v>5349</v>
      </c>
      <c r="AG13" s="169">
        <f t="shared" si="38"/>
        <v>0</v>
      </c>
    </row>
    <row r="14" spans="1:33" ht="16.5" thickBot="1" x14ac:dyDescent="0.25">
      <c r="A14" s="10">
        <v>44573</v>
      </c>
      <c r="B14" s="165">
        <f t="shared" si="47"/>
        <v>22805.946</v>
      </c>
      <c r="C14" s="48">
        <f t="shared" si="23"/>
        <v>0</v>
      </c>
      <c r="D14" s="32">
        <f t="shared" si="24"/>
        <v>0</v>
      </c>
      <c r="E14" s="1">
        <f t="shared" si="48"/>
        <v>4088.93</v>
      </c>
      <c r="F14" s="48">
        <f t="shared" si="25"/>
        <v>0</v>
      </c>
      <c r="G14" s="32">
        <f t="shared" si="26"/>
        <v>0</v>
      </c>
      <c r="H14" s="1">
        <f t="shared" si="49"/>
        <v>4591</v>
      </c>
      <c r="I14" s="48">
        <f t="shared" si="27"/>
        <v>0</v>
      </c>
      <c r="J14" s="32">
        <f t="shared" si="28"/>
        <v>0</v>
      </c>
      <c r="K14" s="7">
        <f t="shared" si="50"/>
        <v>13889.7</v>
      </c>
      <c r="L14" s="48">
        <f t="shared" si="29"/>
        <v>0</v>
      </c>
      <c r="M14" s="32">
        <f t="shared" si="30"/>
        <v>0</v>
      </c>
      <c r="N14" s="7">
        <f t="shared" si="51"/>
        <v>3379.5630000000001</v>
      </c>
      <c r="O14" s="48">
        <f>IF((N14-N13)&lt;0,"0",(N14-N13))</f>
        <v>0</v>
      </c>
      <c r="P14" s="32">
        <f t="shared" si="32"/>
        <v>0</v>
      </c>
      <c r="Q14" s="7">
        <f t="shared" si="41"/>
        <v>5291.46</v>
      </c>
      <c r="R14" s="48">
        <f t="shared" si="33"/>
        <v>0</v>
      </c>
      <c r="S14" s="32">
        <f t="shared" si="34"/>
        <v>0</v>
      </c>
      <c r="T14" s="8">
        <f t="shared" si="42"/>
        <v>0</v>
      </c>
      <c r="U14" s="34">
        <f t="shared" si="35"/>
        <v>0</v>
      </c>
      <c r="W14" s="162">
        <v>44573</v>
      </c>
      <c r="X14" s="163">
        <f t="shared" si="52"/>
        <v>163623</v>
      </c>
      <c r="Y14" s="169">
        <f t="shared" si="39"/>
        <v>0</v>
      </c>
      <c r="Z14" s="163">
        <f t="shared" si="53"/>
        <v>8275</v>
      </c>
      <c r="AA14" s="169">
        <f t="shared" si="44"/>
        <v>0</v>
      </c>
      <c r="AB14" s="163">
        <f t="shared" si="43"/>
        <v>19.41</v>
      </c>
      <c r="AC14" s="169">
        <f t="shared" si="46"/>
        <v>0</v>
      </c>
      <c r="AD14" s="163">
        <f t="shared" si="45"/>
        <v>112</v>
      </c>
      <c r="AE14" s="169">
        <f t="shared" si="37"/>
        <v>0</v>
      </c>
      <c r="AF14" s="163">
        <f t="shared" si="54"/>
        <v>5349</v>
      </c>
      <c r="AG14" s="169">
        <f t="shared" si="38"/>
        <v>0</v>
      </c>
    </row>
    <row r="15" spans="1:33" ht="16.5" thickBot="1" x14ac:dyDescent="0.25">
      <c r="A15" s="10">
        <v>44574</v>
      </c>
      <c r="B15" s="165">
        <f t="shared" si="47"/>
        <v>22805.946</v>
      </c>
      <c r="C15" s="48">
        <f t="shared" ref="C15" si="55">IF((B15-B14)&lt;0,"0",(B15-B14))</f>
        <v>0</v>
      </c>
      <c r="D15" s="32">
        <f t="shared" ref="D15" si="56">C15*1.9*1000</f>
        <v>0</v>
      </c>
      <c r="E15" s="1">
        <f t="shared" si="48"/>
        <v>4088.93</v>
      </c>
      <c r="F15" s="48">
        <f t="shared" ref="F15" si="57">IF((E15-E14)&lt;0,"0",(E15-E14))</f>
        <v>0</v>
      </c>
      <c r="G15" s="32">
        <f t="shared" ref="G15" si="58">F15*1.9*1000</f>
        <v>0</v>
      </c>
      <c r="H15" s="1">
        <f t="shared" si="49"/>
        <v>4591</v>
      </c>
      <c r="I15" s="48">
        <f t="shared" ref="I15" si="59">IF((H15-H14)&lt;0,"0",(H15-H14))</f>
        <v>0</v>
      </c>
      <c r="J15" s="32">
        <f t="shared" ref="J15" si="60">I15*1.9*1000</f>
        <v>0</v>
      </c>
      <c r="K15" s="7">
        <f t="shared" si="50"/>
        <v>13889.7</v>
      </c>
      <c r="L15" s="48">
        <f t="shared" ref="L15" si="61">IF((K15-K14)&lt;0,"0",(K15-K14))</f>
        <v>0</v>
      </c>
      <c r="M15" s="32">
        <f t="shared" ref="M15" si="62">L15*1.9*1000</f>
        <v>0</v>
      </c>
      <c r="N15" s="7">
        <f t="shared" si="51"/>
        <v>3379.5630000000001</v>
      </c>
      <c r="O15" s="48">
        <f>IF((N15-N14)&lt;0,"0",(N15-N14))</f>
        <v>0</v>
      </c>
      <c r="P15" s="32">
        <f t="shared" ref="P15" si="63">O15*1.9*1000</f>
        <v>0</v>
      </c>
      <c r="Q15" s="7">
        <f t="shared" si="41"/>
        <v>5291.46</v>
      </c>
      <c r="R15" s="48">
        <f t="shared" ref="R15" si="64">IF((Q15-Q14)&lt;0,"0",(Q15-Q14))</f>
        <v>0</v>
      </c>
      <c r="S15" s="32">
        <f t="shared" ref="S15" si="65">R15*1.9*1000</f>
        <v>0</v>
      </c>
      <c r="T15" s="8">
        <f t="shared" ref="T15" si="66">C15+F15+I15+L15+O15+R15</f>
        <v>0</v>
      </c>
      <c r="U15" s="34">
        <f t="shared" ref="U15" si="67">T15*1.9*1000</f>
        <v>0</v>
      </c>
      <c r="W15" s="162">
        <v>44574</v>
      </c>
      <c r="X15" s="163">
        <f t="shared" si="52"/>
        <v>163623</v>
      </c>
      <c r="Y15" s="169">
        <f t="shared" ref="Y15" si="68">X15-X14</f>
        <v>0</v>
      </c>
      <c r="Z15" s="163">
        <f t="shared" si="53"/>
        <v>8275</v>
      </c>
      <c r="AA15" s="169">
        <f t="shared" ref="AA15" si="69">Z15-Z14</f>
        <v>0</v>
      </c>
      <c r="AB15" s="163">
        <f t="shared" si="43"/>
        <v>19.41</v>
      </c>
      <c r="AC15" s="169">
        <f t="shared" ref="AC15" si="70">AB15-AB14</f>
        <v>0</v>
      </c>
      <c r="AD15" s="163">
        <f t="shared" si="45"/>
        <v>112</v>
      </c>
      <c r="AE15" s="169">
        <f t="shared" si="37"/>
        <v>0</v>
      </c>
      <c r="AF15" s="163">
        <f t="shared" si="54"/>
        <v>5349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7"/>
        <v>22805.946</v>
      </c>
      <c r="C16" s="48">
        <f t="shared" si="23"/>
        <v>0</v>
      </c>
      <c r="D16" s="32">
        <f t="shared" si="24"/>
        <v>0</v>
      </c>
      <c r="E16" s="1">
        <f t="shared" si="48"/>
        <v>4088.93</v>
      </c>
      <c r="F16" s="48">
        <f t="shared" si="25"/>
        <v>0</v>
      </c>
      <c r="G16" s="32">
        <f t="shared" si="26"/>
        <v>0</v>
      </c>
      <c r="H16" s="1">
        <f t="shared" si="49"/>
        <v>4591</v>
      </c>
      <c r="I16" s="48">
        <f t="shared" si="27"/>
        <v>0</v>
      </c>
      <c r="J16" s="32">
        <f t="shared" si="28"/>
        <v>0</v>
      </c>
      <c r="K16" s="7">
        <f t="shared" si="50"/>
        <v>13889.7</v>
      </c>
      <c r="L16" s="48">
        <f t="shared" si="29"/>
        <v>0</v>
      </c>
      <c r="M16" s="32">
        <f t="shared" si="30"/>
        <v>0</v>
      </c>
      <c r="N16" s="7">
        <f t="shared" si="51"/>
        <v>3379.5630000000001</v>
      </c>
      <c r="O16" s="48">
        <f t="shared" si="31"/>
        <v>0</v>
      </c>
      <c r="P16" s="32">
        <f t="shared" si="32"/>
        <v>0</v>
      </c>
      <c r="Q16" s="7">
        <f t="shared" si="41"/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52"/>
        <v>163623</v>
      </c>
      <c r="Y16" s="169">
        <f t="shared" si="39"/>
        <v>0</v>
      </c>
      <c r="Z16" s="163">
        <f t="shared" si="53"/>
        <v>8275</v>
      </c>
      <c r="AA16" s="169">
        <f t="shared" si="44"/>
        <v>0</v>
      </c>
      <c r="AB16" s="163">
        <f t="shared" si="43"/>
        <v>19.41</v>
      </c>
      <c r="AC16" s="169">
        <f t="shared" si="46"/>
        <v>0</v>
      </c>
      <c r="AD16" s="163">
        <f t="shared" si="45"/>
        <v>112</v>
      </c>
      <c r="AE16" s="169">
        <f t="shared" si="37"/>
        <v>0</v>
      </c>
      <c r="AF16" s="163">
        <f t="shared" si="54"/>
        <v>5349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7"/>
        <v>22805.946</v>
      </c>
      <c r="C17" s="48">
        <f t="shared" si="23"/>
        <v>0</v>
      </c>
      <c r="D17" s="32">
        <f t="shared" si="24"/>
        <v>0</v>
      </c>
      <c r="E17" s="1">
        <f t="shared" si="48"/>
        <v>4088.93</v>
      </c>
      <c r="F17" s="48">
        <f t="shared" si="25"/>
        <v>0</v>
      </c>
      <c r="G17" s="32">
        <f t="shared" si="26"/>
        <v>0</v>
      </c>
      <c r="H17" s="1">
        <f t="shared" si="49"/>
        <v>4591</v>
      </c>
      <c r="I17" s="48">
        <f t="shared" si="27"/>
        <v>0</v>
      </c>
      <c r="J17" s="32">
        <f t="shared" si="28"/>
        <v>0</v>
      </c>
      <c r="K17" s="7">
        <f t="shared" si="50"/>
        <v>13889.7</v>
      </c>
      <c r="L17" s="48">
        <f t="shared" si="29"/>
        <v>0</v>
      </c>
      <c r="M17" s="32">
        <f t="shared" si="30"/>
        <v>0</v>
      </c>
      <c r="N17" s="7">
        <f t="shared" si="51"/>
        <v>3379.5630000000001</v>
      </c>
      <c r="O17" s="48">
        <f t="shared" si="31"/>
        <v>0</v>
      </c>
      <c r="P17" s="32">
        <f t="shared" si="32"/>
        <v>0</v>
      </c>
      <c r="Q17" s="7">
        <f t="shared" si="41"/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52"/>
        <v>163623</v>
      </c>
      <c r="Y17" s="169">
        <f t="shared" si="39"/>
        <v>0</v>
      </c>
      <c r="Z17" s="163">
        <f t="shared" si="53"/>
        <v>8275</v>
      </c>
      <c r="AA17" s="169">
        <f t="shared" si="44"/>
        <v>0</v>
      </c>
      <c r="AB17" s="163">
        <f t="shared" si="43"/>
        <v>19.41</v>
      </c>
      <c r="AC17" s="169">
        <f t="shared" si="46"/>
        <v>0</v>
      </c>
      <c r="AD17" s="163">
        <f t="shared" si="45"/>
        <v>112</v>
      </c>
      <c r="AE17" s="169">
        <f t="shared" si="37"/>
        <v>0</v>
      </c>
      <c r="AF17" s="163">
        <f t="shared" si="54"/>
        <v>5349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7"/>
        <v>22805.946</v>
      </c>
      <c r="C18" s="48">
        <f t="shared" si="23"/>
        <v>0</v>
      </c>
      <c r="D18" s="32">
        <f t="shared" si="24"/>
        <v>0</v>
      </c>
      <c r="E18" s="1">
        <f t="shared" si="48"/>
        <v>4088.93</v>
      </c>
      <c r="F18" s="48">
        <f t="shared" si="25"/>
        <v>0</v>
      </c>
      <c r="G18" s="32">
        <f t="shared" si="26"/>
        <v>0</v>
      </c>
      <c r="H18" s="1">
        <f t="shared" si="49"/>
        <v>4591</v>
      </c>
      <c r="I18" s="48">
        <f t="shared" si="27"/>
        <v>0</v>
      </c>
      <c r="J18" s="32">
        <f t="shared" si="28"/>
        <v>0</v>
      </c>
      <c r="K18" s="7">
        <f t="shared" si="50"/>
        <v>13889.7</v>
      </c>
      <c r="L18" s="48">
        <f t="shared" si="29"/>
        <v>0</v>
      </c>
      <c r="M18" s="32">
        <f t="shared" si="30"/>
        <v>0</v>
      </c>
      <c r="N18" s="7">
        <f t="shared" si="51"/>
        <v>3379.5630000000001</v>
      </c>
      <c r="O18" s="48">
        <f t="shared" si="31"/>
        <v>0</v>
      </c>
      <c r="P18" s="32">
        <f t="shared" si="32"/>
        <v>0</v>
      </c>
      <c r="Q18" s="7">
        <f t="shared" si="41"/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52"/>
        <v>163623</v>
      </c>
      <c r="Y18" s="169">
        <f t="shared" si="39"/>
        <v>0</v>
      </c>
      <c r="Z18" s="163">
        <f t="shared" si="53"/>
        <v>8275</v>
      </c>
      <c r="AA18" s="169">
        <f t="shared" si="44"/>
        <v>0</v>
      </c>
      <c r="AB18" s="163">
        <f t="shared" si="43"/>
        <v>19.41</v>
      </c>
      <c r="AC18" s="169">
        <f t="shared" si="46"/>
        <v>0</v>
      </c>
      <c r="AD18" s="163">
        <f t="shared" si="45"/>
        <v>112</v>
      </c>
      <c r="AE18" s="169">
        <f t="shared" si="37"/>
        <v>0</v>
      </c>
      <c r="AF18" s="163">
        <f t="shared" si="54"/>
        <v>5349</v>
      </c>
      <c r="AG18" s="169">
        <v>18</v>
      </c>
    </row>
    <row r="19" spans="1:33" ht="16.5" thickBot="1" x14ac:dyDescent="0.25">
      <c r="A19" s="10">
        <v>44578</v>
      </c>
      <c r="B19" s="165">
        <f t="shared" si="47"/>
        <v>22805.946</v>
      </c>
      <c r="C19" s="48">
        <f t="shared" si="23"/>
        <v>0</v>
      </c>
      <c r="D19" s="32">
        <f t="shared" si="24"/>
        <v>0</v>
      </c>
      <c r="E19" s="1">
        <f t="shared" si="48"/>
        <v>4088.93</v>
      </c>
      <c r="F19" s="48">
        <f t="shared" si="25"/>
        <v>0</v>
      </c>
      <c r="G19" s="32">
        <f t="shared" si="26"/>
        <v>0</v>
      </c>
      <c r="H19" s="1">
        <f t="shared" si="49"/>
        <v>4591</v>
      </c>
      <c r="I19" s="48">
        <f t="shared" si="27"/>
        <v>0</v>
      </c>
      <c r="J19" s="32">
        <f t="shared" si="28"/>
        <v>0</v>
      </c>
      <c r="K19" s="7">
        <f t="shared" si="50"/>
        <v>13889.7</v>
      </c>
      <c r="L19" s="48">
        <f t="shared" si="29"/>
        <v>0</v>
      </c>
      <c r="M19" s="32">
        <f t="shared" si="30"/>
        <v>0</v>
      </c>
      <c r="N19" s="7">
        <f t="shared" si="51"/>
        <v>3379.5630000000001</v>
      </c>
      <c r="O19" s="48">
        <f t="shared" si="31"/>
        <v>0</v>
      </c>
      <c r="P19" s="32">
        <f t="shared" si="32"/>
        <v>0</v>
      </c>
      <c r="Q19" s="7">
        <f t="shared" si="41"/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52"/>
        <v>163623</v>
      </c>
      <c r="Y19" s="169">
        <f t="shared" si="39"/>
        <v>0</v>
      </c>
      <c r="Z19" s="163">
        <f t="shared" si="53"/>
        <v>8275</v>
      </c>
      <c r="AA19" s="169">
        <f t="shared" si="44"/>
        <v>0</v>
      </c>
      <c r="AB19" s="163">
        <f t="shared" si="43"/>
        <v>19.41</v>
      </c>
      <c r="AC19" s="169">
        <f t="shared" si="46"/>
        <v>0</v>
      </c>
      <c r="AD19" s="163">
        <f t="shared" si="45"/>
        <v>112</v>
      </c>
      <c r="AE19" s="169">
        <f t="shared" si="37"/>
        <v>0</v>
      </c>
      <c r="AF19" s="163">
        <f t="shared" si="54"/>
        <v>5349</v>
      </c>
      <c r="AG19" s="169">
        <v>17</v>
      </c>
    </row>
    <row r="20" spans="1:33" ht="16.5" thickBot="1" x14ac:dyDescent="0.25">
      <c r="A20" s="10">
        <v>44579</v>
      </c>
      <c r="B20" s="165">
        <f t="shared" si="47"/>
        <v>22805.946</v>
      </c>
      <c r="C20" s="48">
        <f t="shared" si="23"/>
        <v>0</v>
      </c>
      <c r="D20" s="32">
        <f t="shared" si="24"/>
        <v>0</v>
      </c>
      <c r="E20" s="1">
        <f t="shared" si="48"/>
        <v>4088.93</v>
      </c>
      <c r="F20" s="48">
        <f t="shared" si="25"/>
        <v>0</v>
      </c>
      <c r="G20" s="32">
        <f t="shared" si="26"/>
        <v>0</v>
      </c>
      <c r="H20" s="1">
        <f t="shared" si="49"/>
        <v>4591</v>
      </c>
      <c r="I20" s="48">
        <f t="shared" si="27"/>
        <v>0</v>
      </c>
      <c r="J20" s="32">
        <f t="shared" si="28"/>
        <v>0</v>
      </c>
      <c r="K20" s="7">
        <f t="shared" si="50"/>
        <v>13889.7</v>
      </c>
      <c r="L20" s="48">
        <f t="shared" si="29"/>
        <v>0</v>
      </c>
      <c r="M20" s="32">
        <f t="shared" si="30"/>
        <v>0</v>
      </c>
      <c r="N20" s="7">
        <f t="shared" si="51"/>
        <v>3379.5630000000001</v>
      </c>
      <c r="O20" s="48">
        <f t="shared" si="31"/>
        <v>0</v>
      </c>
      <c r="P20" s="32">
        <f t="shared" si="32"/>
        <v>0</v>
      </c>
      <c r="Q20" s="7">
        <f t="shared" si="41"/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52"/>
        <v>163623</v>
      </c>
      <c r="Y20" s="169">
        <f t="shared" si="39"/>
        <v>0</v>
      </c>
      <c r="Z20" s="163">
        <f t="shared" si="53"/>
        <v>8275</v>
      </c>
      <c r="AA20" s="169">
        <f t="shared" si="44"/>
        <v>0</v>
      </c>
      <c r="AB20" s="163">
        <f t="shared" si="43"/>
        <v>19.41</v>
      </c>
      <c r="AC20" s="169">
        <f t="shared" si="46"/>
        <v>0</v>
      </c>
      <c r="AD20" s="163">
        <f t="shared" si="45"/>
        <v>112</v>
      </c>
      <c r="AE20" s="169">
        <v>2</v>
      </c>
      <c r="AF20" s="163">
        <f t="shared" si="54"/>
        <v>5349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7"/>
        <v>22805.946</v>
      </c>
      <c r="C21" s="48">
        <f t="shared" si="23"/>
        <v>0</v>
      </c>
      <c r="D21" s="32">
        <f t="shared" si="24"/>
        <v>0</v>
      </c>
      <c r="E21" s="1">
        <f t="shared" si="48"/>
        <v>4088.93</v>
      </c>
      <c r="F21" s="48">
        <f t="shared" si="25"/>
        <v>0</v>
      </c>
      <c r="G21" s="32">
        <f t="shared" si="26"/>
        <v>0</v>
      </c>
      <c r="H21" s="1">
        <f t="shared" si="49"/>
        <v>4591</v>
      </c>
      <c r="I21" s="48">
        <f t="shared" si="27"/>
        <v>0</v>
      </c>
      <c r="J21" s="32">
        <f t="shared" si="28"/>
        <v>0</v>
      </c>
      <c r="K21" s="7">
        <f t="shared" si="50"/>
        <v>13889.7</v>
      </c>
      <c r="L21" s="48">
        <f t="shared" si="29"/>
        <v>0</v>
      </c>
      <c r="M21" s="32">
        <f t="shared" si="30"/>
        <v>0</v>
      </c>
      <c r="N21" s="7">
        <f t="shared" si="51"/>
        <v>3379.5630000000001</v>
      </c>
      <c r="O21" s="48">
        <f t="shared" si="31"/>
        <v>0</v>
      </c>
      <c r="P21" s="32">
        <f t="shared" si="32"/>
        <v>0</v>
      </c>
      <c r="Q21" s="7">
        <f t="shared" si="41"/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52"/>
        <v>163623</v>
      </c>
      <c r="Y21" s="169">
        <f t="shared" si="39"/>
        <v>0</v>
      </c>
      <c r="Z21" s="163">
        <f t="shared" si="53"/>
        <v>8275</v>
      </c>
      <c r="AA21" s="169">
        <f t="shared" si="44"/>
        <v>0</v>
      </c>
      <c r="AB21" s="163">
        <f t="shared" si="43"/>
        <v>19.41</v>
      </c>
      <c r="AC21" s="169">
        <f t="shared" si="46"/>
        <v>0</v>
      </c>
      <c r="AD21" s="163">
        <f t="shared" si="45"/>
        <v>112</v>
      </c>
      <c r="AE21" s="169">
        <f t="shared" si="37"/>
        <v>0</v>
      </c>
      <c r="AF21" s="163">
        <f t="shared" si="54"/>
        <v>5349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7"/>
        <v>22805.946</v>
      </c>
      <c r="C22" s="48">
        <f t="shared" si="23"/>
        <v>0</v>
      </c>
      <c r="D22" s="32">
        <f t="shared" si="24"/>
        <v>0</v>
      </c>
      <c r="E22" s="1">
        <f t="shared" si="48"/>
        <v>4088.93</v>
      </c>
      <c r="F22" s="48">
        <f t="shared" si="25"/>
        <v>0</v>
      </c>
      <c r="G22" s="32">
        <f t="shared" si="26"/>
        <v>0</v>
      </c>
      <c r="H22" s="1">
        <f t="shared" si="49"/>
        <v>4591</v>
      </c>
      <c r="I22" s="48">
        <f t="shared" si="27"/>
        <v>0</v>
      </c>
      <c r="J22" s="32">
        <f t="shared" si="28"/>
        <v>0</v>
      </c>
      <c r="K22" s="7">
        <f t="shared" si="50"/>
        <v>13889.7</v>
      </c>
      <c r="L22" s="48">
        <f t="shared" si="29"/>
        <v>0</v>
      </c>
      <c r="M22" s="32">
        <f t="shared" si="30"/>
        <v>0</v>
      </c>
      <c r="N22" s="7">
        <f t="shared" si="51"/>
        <v>3379.5630000000001</v>
      </c>
      <c r="O22" s="48">
        <f t="shared" si="31"/>
        <v>0</v>
      </c>
      <c r="P22" s="32">
        <f t="shared" si="32"/>
        <v>0</v>
      </c>
      <c r="Q22" s="7">
        <f t="shared" si="41"/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52"/>
        <v>163623</v>
      </c>
      <c r="Y22" s="169">
        <f t="shared" si="39"/>
        <v>0</v>
      </c>
      <c r="Z22" s="163">
        <f t="shared" si="53"/>
        <v>8275</v>
      </c>
      <c r="AA22" s="169">
        <f t="shared" si="44"/>
        <v>0</v>
      </c>
      <c r="AB22" s="163">
        <f t="shared" si="43"/>
        <v>19.41</v>
      </c>
      <c r="AC22" s="169">
        <f t="shared" si="46"/>
        <v>0</v>
      </c>
      <c r="AD22" s="163">
        <f t="shared" si="45"/>
        <v>112</v>
      </c>
      <c r="AE22" s="169">
        <f t="shared" si="37"/>
        <v>0</v>
      </c>
      <c r="AF22" s="163">
        <f t="shared" si="54"/>
        <v>5349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7"/>
        <v>22805.946</v>
      </c>
      <c r="C23" s="48">
        <f t="shared" si="23"/>
        <v>0</v>
      </c>
      <c r="D23" s="32">
        <f t="shared" si="24"/>
        <v>0</v>
      </c>
      <c r="E23" s="1">
        <f t="shared" si="48"/>
        <v>4088.93</v>
      </c>
      <c r="F23" s="48">
        <f t="shared" si="25"/>
        <v>0</v>
      </c>
      <c r="G23" s="32">
        <f t="shared" si="26"/>
        <v>0</v>
      </c>
      <c r="H23" s="1">
        <f t="shared" si="49"/>
        <v>4591</v>
      </c>
      <c r="I23" s="48">
        <f t="shared" si="27"/>
        <v>0</v>
      </c>
      <c r="J23" s="32">
        <f t="shared" si="28"/>
        <v>0</v>
      </c>
      <c r="K23" s="7">
        <f t="shared" si="50"/>
        <v>13889.7</v>
      </c>
      <c r="L23" s="48">
        <f t="shared" si="29"/>
        <v>0</v>
      </c>
      <c r="M23" s="32">
        <f t="shared" si="30"/>
        <v>0</v>
      </c>
      <c r="N23" s="7">
        <f t="shared" si="51"/>
        <v>3379.5630000000001</v>
      </c>
      <c r="O23" s="48">
        <f t="shared" si="31"/>
        <v>0</v>
      </c>
      <c r="P23" s="32">
        <f t="shared" si="32"/>
        <v>0</v>
      </c>
      <c r="Q23" s="7">
        <f t="shared" si="41"/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52"/>
        <v>163623</v>
      </c>
      <c r="Y23" s="169">
        <f t="shared" si="39"/>
        <v>0</v>
      </c>
      <c r="Z23" s="163">
        <f t="shared" si="53"/>
        <v>8275</v>
      </c>
      <c r="AA23" s="169">
        <f t="shared" si="44"/>
        <v>0</v>
      </c>
      <c r="AB23" s="163">
        <f t="shared" si="43"/>
        <v>19.41</v>
      </c>
      <c r="AC23" s="169">
        <f t="shared" si="46"/>
        <v>0</v>
      </c>
      <c r="AD23" s="163">
        <f t="shared" si="45"/>
        <v>112</v>
      </c>
      <c r="AE23" s="169">
        <f t="shared" si="37"/>
        <v>0</v>
      </c>
      <c r="AF23" s="163">
        <f t="shared" si="54"/>
        <v>5349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7"/>
        <v>22805.946</v>
      </c>
      <c r="C24" s="48">
        <f t="shared" si="23"/>
        <v>0</v>
      </c>
      <c r="D24" s="32">
        <f t="shared" si="24"/>
        <v>0</v>
      </c>
      <c r="E24" s="1">
        <f t="shared" si="48"/>
        <v>4088.93</v>
      </c>
      <c r="F24" s="48">
        <f t="shared" si="25"/>
        <v>0</v>
      </c>
      <c r="G24" s="32">
        <f t="shared" si="26"/>
        <v>0</v>
      </c>
      <c r="H24" s="1">
        <f t="shared" si="49"/>
        <v>4591</v>
      </c>
      <c r="I24" s="48">
        <f t="shared" si="27"/>
        <v>0</v>
      </c>
      <c r="J24" s="32">
        <f t="shared" si="28"/>
        <v>0</v>
      </c>
      <c r="K24" s="7">
        <f t="shared" si="50"/>
        <v>13889.7</v>
      </c>
      <c r="L24" s="48">
        <f t="shared" si="29"/>
        <v>0</v>
      </c>
      <c r="M24" s="32">
        <f t="shared" si="30"/>
        <v>0</v>
      </c>
      <c r="N24" s="7">
        <f t="shared" si="51"/>
        <v>3379.5630000000001</v>
      </c>
      <c r="O24" s="48">
        <f t="shared" si="31"/>
        <v>0</v>
      </c>
      <c r="P24" s="32">
        <f t="shared" si="32"/>
        <v>0</v>
      </c>
      <c r="Q24" s="7">
        <f t="shared" si="41"/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52"/>
        <v>163623</v>
      </c>
      <c r="Y24" s="169">
        <f t="shared" si="39"/>
        <v>0</v>
      </c>
      <c r="Z24" s="163">
        <f t="shared" si="53"/>
        <v>8275</v>
      </c>
      <c r="AA24" s="169">
        <f t="shared" si="44"/>
        <v>0</v>
      </c>
      <c r="AB24" s="163">
        <f t="shared" si="43"/>
        <v>19.41</v>
      </c>
      <c r="AC24" s="169">
        <f t="shared" si="46"/>
        <v>0</v>
      </c>
      <c r="AD24" s="163">
        <f t="shared" si="45"/>
        <v>112</v>
      </c>
      <c r="AE24" s="169">
        <f t="shared" si="37"/>
        <v>0</v>
      </c>
      <c r="AF24" s="163">
        <f t="shared" si="54"/>
        <v>5349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7"/>
        <v>22805.946</v>
      </c>
      <c r="C25" s="48">
        <f t="shared" si="23"/>
        <v>0</v>
      </c>
      <c r="D25" s="32">
        <f t="shared" si="24"/>
        <v>0</v>
      </c>
      <c r="E25" s="1">
        <f t="shared" si="48"/>
        <v>4088.93</v>
      </c>
      <c r="F25" s="48">
        <f t="shared" si="25"/>
        <v>0</v>
      </c>
      <c r="G25" s="32">
        <f t="shared" si="26"/>
        <v>0</v>
      </c>
      <c r="H25" s="1">
        <f t="shared" si="49"/>
        <v>4591</v>
      </c>
      <c r="I25" s="48">
        <f t="shared" si="27"/>
        <v>0</v>
      </c>
      <c r="J25" s="32">
        <f t="shared" si="28"/>
        <v>0</v>
      </c>
      <c r="K25" s="7">
        <f t="shared" si="50"/>
        <v>13889.7</v>
      </c>
      <c r="L25" s="48">
        <f t="shared" si="29"/>
        <v>0</v>
      </c>
      <c r="M25" s="32">
        <f t="shared" si="30"/>
        <v>0</v>
      </c>
      <c r="N25" s="7">
        <f t="shared" si="51"/>
        <v>3379.5630000000001</v>
      </c>
      <c r="O25" s="48">
        <f t="shared" si="31"/>
        <v>0</v>
      </c>
      <c r="P25" s="32">
        <f t="shared" si="32"/>
        <v>0</v>
      </c>
      <c r="Q25" s="7">
        <f t="shared" si="41"/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52"/>
        <v>163623</v>
      </c>
      <c r="Y25" s="169">
        <f t="shared" si="39"/>
        <v>0</v>
      </c>
      <c r="Z25" s="163">
        <f t="shared" si="53"/>
        <v>8275</v>
      </c>
      <c r="AA25" s="169">
        <f t="shared" si="44"/>
        <v>0</v>
      </c>
      <c r="AB25" s="163">
        <f t="shared" si="43"/>
        <v>19.41</v>
      </c>
      <c r="AC25" s="169">
        <f t="shared" si="46"/>
        <v>0</v>
      </c>
      <c r="AD25" s="163">
        <f t="shared" si="45"/>
        <v>112</v>
      </c>
      <c r="AE25" s="169">
        <f t="shared" si="37"/>
        <v>0</v>
      </c>
      <c r="AF25" s="163">
        <f t="shared" si="54"/>
        <v>5349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7"/>
        <v>22805.946</v>
      </c>
      <c r="C26" s="48">
        <f t="shared" si="23"/>
        <v>0</v>
      </c>
      <c r="D26" s="32">
        <f t="shared" si="24"/>
        <v>0</v>
      </c>
      <c r="E26" s="1">
        <f t="shared" si="48"/>
        <v>4088.93</v>
      </c>
      <c r="F26" s="48">
        <f t="shared" si="25"/>
        <v>0</v>
      </c>
      <c r="G26" s="32">
        <f t="shared" si="26"/>
        <v>0</v>
      </c>
      <c r="H26" s="1">
        <f t="shared" si="49"/>
        <v>4591</v>
      </c>
      <c r="I26" s="48">
        <f t="shared" si="27"/>
        <v>0</v>
      </c>
      <c r="J26" s="32">
        <f t="shared" si="28"/>
        <v>0</v>
      </c>
      <c r="K26" s="7">
        <f t="shared" si="50"/>
        <v>13889.7</v>
      </c>
      <c r="L26" s="48">
        <f>IF((K26-K25)&lt;0,"0",(K26-K25))</f>
        <v>0</v>
      </c>
      <c r="M26" s="32">
        <f t="shared" si="30"/>
        <v>0</v>
      </c>
      <c r="N26" s="7">
        <f t="shared" si="51"/>
        <v>3379.5630000000001</v>
      </c>
      <c r="O26" s="48">
        <f t="shared" si="31"/>
        <v>0</v>
      </c>
      <c r="P26" s="32">
        <f t="shared" si="32"/>
        <v>0</v>
      </c>
      <c r="Q26" s="7">
        <f t="shared" si="41"/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52"/>
        <v>163623</v>
      </c>
      <c r="Y26" s="169">
        <f t="shared" si="39"/>
        <v>0</v>
      </c>
      <c r="Z26" s="163">
        <f t="shared" si="53"/>
        <v>8275</v>
      </c>
      <c r="AA26" s="169">
        <f t="shared" si="44"/>
        <v>0</v>
      </c>
      <c r="AB26" s="163">
        <f t="shared" si="43"/>
        <v>19.41</v>
      </c>
      <c r="AC26" s="169">
        <f t="shared" si="46"/>
        <v>0</v>
      </c>
      <c r="AD26" s="163">
        <f t="shared" si="45"/>
        <v>112</v>
      </c>
      <c r="AE26" s="169">
        <f t="shared" si="37"/>
        <v>0</v>
      </c>
      <c r="AF26" s="163">
        <f t="shared" si="54"/>
        <v>5349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7"/>
        <v>22805.946</v>
      </c>
      <c r="C27" s="48">
        <f t="shared" si="23"/>
        <v>0</v>
      </c>
      <c r="D27" s="32">
        <f t="shared" si="24"/>
        <v>0</v>
      </c>
      <c r="E27" s="1">
        <f t="shared" si="48"/>
        <v>4088.93</v>
      </c>
      <c r="F27" s="48">
        <f t="shared" si="25"/>
        <v>0</v>
      </c>
      <c r="G27" s="32">
        <f t="shared" si="26"/>
        <v>0</v>
      </c>
      <c r="H27" s="1">
        <f t="shared" si="49"/>
        <v>4591</v>
      </c>
      <c r="I27" s="48">
        <f t="shared" si="27"/>
        <v>0</v>
      </c>
      <c r="J27" s="32">
        <f t="shared" si="28"/>
        <v>0</v>
      </c>
      <c r="K27" s="7">
        <f t="shared" si="50"/>
        <v>13889.7</v>
      </c>
      <c r="L27" s="48">
        <f t="shared" si="29"/>
        <v>0</v>
      </c>
      <c r="M27" s="32">
        <f t="shared" si="30"/>
        <v>0</v>
      </c>
      <c r="N27" s="7">
        <f t="shared" si="51"/>
        <v>3379.5630000000001</v>
      </c>
      <c r="O27" s="48">
        <f t="shared" si="31"/>
        <v>0</v>
      </c>
      <c r="P27" s="32">
        <f t="shared" si="32"/>
        <v>0</v>
      </c>
      <c r="Q27" s="7">
        <f t="shared" si="41"/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52"/>
        <v>163623</v>
      </c>
      <c r="Y27" s="169">
        <f t="shared" si="39"/>
        <v>0</v>
      </c>
      <c r="Z27" s="163">
        <f t="shared" si="53"/>
        <v>8275</v>
      </c>
      <c r="AA27" s="169">
        <f t="shared" si="44"/>
        <v>0</v>
      </c>
      <c r="AB27" s="163">
        <f t="shared" si="43"/>
        <v>19.41</v>
      </c>
      <c r="AC27" s="169">
        <f t="shared" si="46"/>
        <v>0</v>
      </c>
      <c r="AD27" s="163">
        <f t="shared" si="45"/>
        <v>112</v>
      </c>
      <c r="AE27" s="169">
        <f t="shared" si="37"/>
        <v>0</v>
      </c>
      <c r="AF27" s="163">
        <f t="shared" si="54"/>
        <v>5349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7"/>
        <v>22805.946</v>
      </c>
      <c r="C28" s="48">
        <f t="shared" si="23"/>
        <v>0</v>
      </c>
      <c r="D28" s="32">
        <f t="shared" si="24"/>
        <v>0</v>
      </c>
      <c r="E28" s="1">
        <f t="shared" si="48"/>
        <v>4088.93</v>
      </c>
      <c r="F28" s="48">
        <f t="shared" si="25"/>
        <v>0</v>
      </c>
      <c r="G28" s="32">
        <f t="shared" si="26"/>
        <v>0</v>
      </c>
      <c r="H28" s="1">
        <f t="shared" si="49"/>
        <v>4591</v>
      </c>
      <c r="I28" s="48">
        <f t="shared" si="27"/>
        <v>0</v>
      </c>
      <c r="J28" s="32">
        <f t="shared" si="28"/>
        <v>0</v>
      </c>
      <c r="K28" s="7">
        <f t="shared" si="50"/>
        <v>13889.7</v>
      </c>
      <c r="L28" s="48">
        <f t="shared" si="29"/>
        <v>0</v>
      </c>
      <c r="M28" s="32">
        <f t="shared" si="30"/>
        <v>0</v>
      </c>
      <c r="N28" s="7">
        <f t="shared" si="51"/>
        <v>3379.5630000000001</v>
      </c>
      <c r="O28" s="48">
        <f t="shared" si="31"/>
        <v>0</v>
      </c>
      <c r="P28" s="32">
        <f t="shared" si="32"/>
        <v>0</v>
      </c>
      <c r="Q28" s="7">
        <f t="shared" si="41"/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52"/>
        <v>163623</v>
      </c>
      <c r="Y28" s="169">
        <f t="shared" si="39"/>
        <v>0</v>
      </c>
      <c r="Z28" s="163">
        <f t="shared" si="53"/>
        <v>8275</v>
      </c>
      <c r="AA28" s="169">
        <f t="shared" si="44"/>
        <v>0</v>
      </c>
      <c r="AB28" s="163">
        <f t="shared" si="43"/>
        <v>19.41</v>
      </c>
      <c r="AC28" s="169">
        <f t="shared" si="46"/>
        <v>0</v>
      </c>
      <c r="AD28" s="163">
        <f t="shared" si="45"/>
        <v>112</v>
      </c>
      <c r="AE28" s="169">
        <f t="shared" si="37"/>
        <v>0</v>
      </c>
      <c r="AF28" s="163">
        <f t="shared" si="54"/>
        <v>5349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7"/>
        <v>22805.946</v>
      </c>
      <c r="C29" s="48">
        <f t="shared" si="23"/>
        <v>0</v>
      </c>
      <c r="D29" s="32">
        <f t="shared" si="24"/>
        <v>0</v>
      </c>
      <c r="E29" s="1">
        <f t="shared" si="48"/>
        <v>4088.93</v>
      </c>
      <c r="F29" s="48">
        <f t="shared" si="25"/>
        <v>0</v>
      </c>
      <c r="G29" s="32">
        <f t="shared" si="26"/>
        <v>0</v>
      </c>
      <c r="H29" s="1">
        <f t="shared" si="49"/>
        <v>4591</v>
      </c>
      <c r="I29" s="48">
        <f t="shared" si="27"/>
        <v>0</v>
      </c>
      <c r="J29" s="32">
        <f t="shared" si="28"/>
        <v>0</v>
      </c>
      <c r="K29" s="7">
        <f t="shared" si="50"/>
        <v>13889.7</v>
      </c>
      <c r="L29" s="48">
        <f t="shared" si="29"/>
        <v>0</v>
      </c>
      <c r="M29" s="32">
        <f t="shared" si="30"/>
        <v>0</v>
      </c>
      <c r="N29" s="7">
        <f t="shared" si="51"/>
        <v>3379.5630000000001</v>
      </c>
      <c r="O29" s="48">
        <f t="shared" si="31"/>
        <v>0</v>
      </c>
      <c r="P29" s="32">
        <f t="shared" si="32"/>
        <v>0</v>
      </c>
      <c r="Q29" s="7">
        <f t="shared" si="41"/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52"/>
        <v>163623</v>
      </c>
      <c r="Y29" s="169">
        <f t="shared" si="39"/>
        <v>0</v>
      </c>
      <c r="Z29" s="163">
        <f t="shared" si="53"/>
        <v>8275</v>
      </c>
      <c r="AA29" s="169">
        <f t="shared" si="44"/>
        <v>0</v>
      </c>
      <c r="AB29" s="163">
        <f t="shared" si="43"/>
        <v>19.41</v>
      </c>
      <c r="AC29" s="169">
        <f t="shared" si="46"/>
        <v>0</v>
      </c>
      <c r="AD29" s="163">
        <f t="shared" si="45"/>
        <v>112</v>
      </c>
      <c r="AE29" s="169">
        <f t="shared" si="37"/>
        <v>0</v>
      </c>
      <c r="AF29" s="163">
        <f t="shared" si="54"/>
        <v>5349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7"/>
        <v>22805.946</v>
      </c>
      <c r="C30" s="48">
        <f t="shared" si="23"/>
        <v>0</v>
      </c>
      <c r="D30" s="32">
        <f t="shared" si="24"/>
        <v>0</v>
      </c>
      <c r="E30" s="1">
        <f t="shared" si="48"/>
        <v>4088.93</v>
      </c>
      <c r="F30" s="48">
        <f t="shared" si="25"/>
        <v>0</v>
      </c>
      <c r="G30" s="32">
        <f t="shared" si="26"/>
        <v>0</v>
      </c>
      <c r="H30" s="1">
        <f t="shared" si="49"/>
        <v>4591</v>
      </c>
      <c r="I30" s="48">
        <f t="shared" si="27"/>
        <v>0</v>
      </c>
      <c r="J30" s="32">
        <f t="shared" si="28"/>
        <v>0</v>
      </c>
      <c r="K30" s="7">
        <f t="shared" si="50"/>
        <v>13889.7</v>
      </c>
      <c r="L30" s="48">
        <f t="shared" si="29"/>
        <v>0</v>
      </c>
      <c r="M30" s="32">
        <f t="shared" si="30"/>
        <v>0</v>
      </c>
      <c r="N30" s="7">
        <f t="shared" si="51"/>
        <v>3379.5630000000001</v>
      </c>
      <c r="O30" s="48">
        <f t="shared" si="31"/>
        <v>0</v>
      </c>
      <c r="P30" s="32">
        <f t="shared" si="32"/>
        <v>0</v>
      </c>
      <c r="Q30" s="7">
        <f t="shared" si="41"/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52"/>
        <v>163623</v>
      </c>
      <c r="Y30" s="169">
        <f t="shared" si="39"/>
        <v>0</v>
      </c>
      <c r="Z30" s="163">
        <f t="shared" si="53"/>
        <v>8275</v>
      </c>
      <c r="AA30" s="169">
        <f>Z30-Z29</f>
        <v>0</v>
      </c>
      <c r="AB30" s="163">
        <f t="shared" si="43"/>
        <v>19.41</v>
      </c>
      <c r="AC30" s="169">
        <f t="shared" si="46"/>
        <v>0</v>
      </c>
      <c r="AD30" s="163">
        <f t="shared" si="45"/>
        <v>112</v>
      </c>
      <c r="AE30" s="169">
        <f t="shared" si="37"/>
        <v>0</v>
      </c>
      <c r="AF30" s="163">
        <f t="shared" si="54"/>
        <v>5349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7"/>
        <v>22805.946</v>
      </c>
      <c r="C31" s="48">
        <f t="shared" si="23"/>
        <v>0</v>
      </c>
      <c r="D31" s="32">
        <f t="shared" si="24"/>
        <v>0</v>
      </c>
      <c r="E31" s="1">
        <f t="shared" si="48"/>
        <v>4088.93</v>
      </c>
      <c r="F31" s="48">
        <f t="shared" si="25"/>
        <v>0</v>
      </c>
      <c r="G31" s="32">
        <f t="shared" si="26"/>
        <v>0</v>
      </c>
      <c r="H31" s="1">
        <f t="shared" si="49"/>
        <v>4591</v>
      </c>
      <c r="I31" s="48">
        <f t="shared" si="27"/>
        <v>0</v>
      </c>
      <c r="J31" s="32">
        <f t="shared" si="28"/>
        <v>0</v>
      </c>
      <c r="K31" s="7">
        <f t="shared" si="50"/>
        <v>13889.7</v>
      </c>
      <c r="L31" s="48">
        <f t="shared" si="29"/>
        <v>0</v>
      </c>
      <c r="M31" s="32">
        <f t="shared" si="30"/>
        <v>0</v>
      </c>
      <c r="N31" s="7">
        <f t="shared" si="51"/>
        <v>3379.5630000000001</v>
      </c>
      <c r="O31" s="48">
        <f t="shared" si="31"/>
        <v>0</v>
      </c>
      <c r="P31" s="32">
        <f t="shared" si="32"/>
        <v>0</v>
      </c>
      <c r="Q31" s="7">
        <f t="shared" si="41"/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52"/>
        <v>163623</v>
      </c>
      <c r="Y31" s="169">
        <f t="shared" si="39"/>
        <v>0</v>
      </c>
      <c r="Z31" s="163">
        <f t="shared" si="53"/>
        <v>8275</v>
      </c>
      <c r="AA31" s="169">
        <f t="shared" si="44"/>
        <v>0</v>
      </c>
      <c r="AB31" s="163">
        <f t="shared" si="43"/>
        <v>19.41</v>
      </c>
      <c r="AC31" s="169">
        <f t="shared" si="46"/>
        <v>0</v>
      </c>
      <c r="AD31" s="163">
        <f t="shared" si="45"/>
        <v>112</v>
      </c>
      <c r="AE31" s="169">
        <f t="shared" si="37"/>
        <v>0</v>
      </c>
      <c r="AF31" s="163">
        <f t="shared" si="54"/>
        <v>5349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7"/>
        <v>22805.946</v>
      </c>
      <c r="C32" s="48">
        <f t="shared" si="23"/>
        <v>0</v>
      </c>
      <c r="D32" s="32">
        <f t="shared" si="24"/>
        <v>0</v>
      </c>
      <c r="E32" s="1">
        <f t="shared" si="48"/>
        <v>4088.93</v>
      </c>
      <c r="F32" s="48">
        <f t="shared" si="25"/>
        <v>0</v>
      </c>
      <c r="G32" s="32">
        <f t="shared" si="26"/>
        <v>0</v>
      </c>
      <c r="H32" s="1">
        <f t="shared" si="49"/>
        <v>4591</v>
      </c>
      <c r="I32" s="48">
        <f t="shared" si="27"/>
        <v>0</v>
      </c>
      <c r="J32" s="32">
        <f t="shared" si="28"/>
        <v>0</v>
      </c>
      <c r="K32" s="7">
        <f t="shared" si="50"/>
        <v>13889.7</v>
      </c>
      <c r="L32" s="48">
        <f t="shared" si="29"/>
        <v>0</v>
      </c>
      <c r="M32" s="32">
        <f t="shared" si="30"/>
        <v>0</v>
      </c>
      <c r="N32" s="7">
        <f t="shared" si="51"/>
        <v>3379.5630000000001</v>
      </c>
      <c r="O32" s="48">
        <f t="shared" si="31"/>
        <v>0</v>
      </c>
      <c r="P32" s="32">
        <f t="shared" si="32"/>
        <v>0</v>
      </c>
      <c r="Q32" s="7">
        <f t="shared" si="41"/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52"/>
        <v>163623</v>
      </c>
      <c r="Y32" s="169">
        <f t="shared" si="39"/>
        <v>0</v>
      </c>
      <c r="Z32" s="163">
        <f t="shared" si="53"/>
        <v>8275</v>
      </c>
      <c r="AA32" s="169">
        <f t="shared" si="44"/>
        <v>0</v>
      </c>
      <c r="AB32" s="163">
        <f t="shared" si="43"/>
        <v>19.41</v>
      </c>
      <c r="AC32" s="169">
        <v>0</v>
      </c>
      <c r="AD32" s="163">
        <f t="shared" si="45"/>
        <v>112</v>
      </c>
      <c r="AE32" s="169">
        <f t="shared" si="37"/>
        <v>0</v>
      </c>
      <c r="AF32" s="163">
        <f t="shared" si="54"/>
        <v>5349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7"/>
        <v>22805.946</v>
      </c>
      <c r="C33" s="48">
        <f t="shared" si="23"/>
        <v>0</v>
      </c>
      <c r="D33" s="32">
        <f t="shared" si="24"/>
        <v>0</v>
      </c>
      <c r="E33" s="1">
        <f t="shared" si="48"/>
        <v>4088.93</v>
      </c>
      <c r="F33" s="48">
        <f t="shared" si="25"/>
        <v>0</v>
      </c>
      <c r="G33" s="32">
        <f t="shared" si="26"/>
        <v>0</v>
      </c>
      <c r="H33" s="1">
        <f t="shared" si="49"/>
        <v>4591</v>
      </c>
      <c r="I33" s="48">
        <f t="shared" si="27"/>
        <v>0</v>
      </c>
      <c r="J33" s="32">
        <f t="shared" si="28"/>
        <v>0</v>
      </c>
      <c r="K33" s="7">
        <f t="shared" si="50"/>
        <v>13889.7</v>
      </c>
      <c r="L33" s="48">
        <f t="shared" si="29"/>
        <v>0</v>
      </c>
      <c r="M33" s="32">
        <f t="shared" si="30"/>
        <v>0</v>
      </c>
      <c r="N33" s="7">
        <f t="shared" si="51"/>
        <v>3379.5630000000001</v>
      </c>
      <c r="O33" s="48">
        <f t="shared" si="31"/>
        <v>0</v>
      </c>
      <c r="P33" s="32">
        <f t="shared" si="32"/>
        <v>0</v>
      </c>
      <c r="Q33" s="7">
        <f t="shared" si="41"/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52"/>
        <v>163623</v>
      </c>
      <c r="Y33" s="169">
        <f t="shared" si="39"/>
        <v>0</v>
      </c>
      <c r="Z33" s="163">
        <f t="shared" si="53"/>
        <v>8275</v>
      </c>
      <c r="AA33" s="169">
        <f t="shared" si="44"/>
        <v>0</v>
      </c>
      <c r="AB33" s="163">
        <f t="shared" si="43"/>
        <v>19.41</v>
      </c>
      <c r="AC33" s="169">
        <v>0</v>
      </c>
      <c r="AD33" s="163">
        <f t="shared" si="45"/>
        <v>112</v>
      </c>
      <c r="AE33" s="169">
        <f t="shared" si="37"/>
        <v>0</v>
      </c>
      <c r="AF33" s="163">
        <f t="shared" si="54"/>
        <v>5349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17.855999999999767</v>
      </c>
      <c r="D34" s="142">
        <f>SUM(D3:D33)</f>
        <v>38036.100000000442</v>
      </c>
      <c r="E34" s="142">
        <v>0</v>
      </c>
      <c r="F34" s="142">
        <f>SUM(F3:F33)</f>
        <v>5.0299999999997453</v>
      </c>
      <c r="G34" s="142">
        <f>SUM(G3:G33)</f>
        <v>9556.9999999995161</v>
      </c>
      <c r="H34" s="142"/>
      <c r="I34" s="142">
        <f>SUM(I3:I33)</f>
        <v>38</v>
      </c>
      <c r="J34" s="142">
        <f>SUM(J3:J33)</f>
        <v>72200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20069.700000000194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81.782000000001062</v>
      </c>
      <c r="U34" s="142">
        <f>SUM(U3:U33)</f>
        <v>155385.800000002</v>
      </c>
      <c r="V34"/>
      <c r="W34" s="142" t="s">
        <v>143</v>
      </c>
      <c r="X34" s="142"/>
      <c r="Y34" s="142">
        <f>SUM(Y5:Y33)</f>
        <v>202</v>
      </c>
      <c r="Z34" s="142"/>
      <c r="AA34" s="142">
        <f>SUM(AA5:AA33)</f>
        <v>24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2022-01-09T22:44:34Z</dcterms:modified>
</cp:coreProperties>
</file>