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9B8C5F74-8304-46ED-8F60-71409E3D0657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Worksheet" sheetId="1" r:id="rId1"/>
    <sheet name="Sheet1" sheetId="2" r:id="rId2"/>
  </sheets>
  <calcPr calcId="191029" iterate="1" calcOnSave="0" concurrentCalc="0"/>
</workbook>
</file>

<file path=xl/calcChain.xml><?xml version="1.0" encoding="utf-8"?>
<calcChain xmlns="http://schemas.openxmlformats.org/spreadsheetml/2006/main">
  <c r="U35" i="1" l="1"/>
  <c r="R23" i="1"/>
  <c r="P23" i="1"/>
  <c r="N23" i="1"/>
  <c r="I7" i="1"/>
  <c r="V6" i="1"/>
  <c r="V5" i="1"/>
  <c r="V4" i="1"/>
  <c r="V3" i="1"/>
  <c r="V2" i="1"/>
  <c r="N14" i="1"/>
  <c r="V14" i="1"/>
  <c r="N21" i="1"/>
  <c r="N20" i="1"/>
  <c r="N18" i="1"/>
  <c r="N17" i="1"/>
  <c r="N16" i="1"/>
  <c r="V21" i="1"/>
  <c r="V20" i="1"/>
  <c r="V19" i="1"/>
  <c r="V18" i="1"/>
  <c r="V17" i="1"/>
  <c r="V16" i="1"/>
  <c r="V15" i="1"/>
  <c r="I21" i="1"/>
  <c r="I20" i="1"/>
  <c r="I19" i="1"/>
  <c r="I18" i="1"/>
  <c r="E21" i="1"/>
  <c r="E20" i="1"/>
  <c r="E19" i="1"/>
  <c r="E18" i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tc={8CB0CBA0-B4A6-48D6-9D55-61715BA4FEC9}</author>
    <author>tc={D9FBCF51-8BFF-4232-BBEB-5286386ADE91}</author>
  </authors>
  <commentList>
    <comment ref="V1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Equal to:
( Consumption Charge + Incentive Return Temperature) / 3.51</t>
        </r>
      </text>
    </comment>
    <comment ref="W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number every month</t>
        </r>
      </text>
    </comment>
  </commentList>
</comments>
</file>

<file path=xl/sharedStrings.xml><?xml version="1.0" encoding="utf-8"?>
<sst xmlns="http://schemas.openxmlformats.org/spreadsheetml/2006/main" count="81" uniqueCount="43">
  <si>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</si>
  <si>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</si>
  <si>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</si>
  <si>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</si>
  <si>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</si>
  <si>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</si>
  <si>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</si>
  <si>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</si>
  <si>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LPG Kitchen $/Kg</t>
  </si>
  <si>
    <t>LPG Total Budgeted</t>
  </si>
  <si>
    <t>LPG Total Budgeted Cost ($)</t>
  </si>
  <si>
    <t>Water Utility Supply (m3) m3</t>
  </si>
  <si>
    <t>Water Utility Supply (m3) $/m3</t>
  </si>
  <si>
    <t>Irrigation Water (m3) m3</t>
  </si>
  <si>
    <t>Irrigation Water (m3) $/m3</t>
  </si>
  <si>
    <t>Wastewater (m3) m3</t>
  </si>
  <si>
    <t>Wastewater (m3) $/m3</t>
  </si>
  <si>
    <t>Water Total Budgeted</t>
  </si>
  <si>
    <t>Water Total Budgeted Cost ($)</t>
  </si>
  <si>
    <t>District Energy Cooling Kwh</t>
  </si>
  <si>
    <t>District Energy Cooling $/Kwh</t>
  </si>
  <si>
    <t>Cooling Fixed Cost</t>
  </si>
  <si>
    <t>Cooling District Energy Total Budgeted</t>
  </si>
  <si>
    <t>Cooling District Energy Total Budgeted Cost ($)</t>
  </si>
  <si>
    <t>Room Nights</t>
  </si>
  <si>
    <t>Forex</t>
  </si>
  <si>
    <t>Bahrain Bay</t>
  </si>
  <si>
    <t>Fixed Cost</t>
  </si>
  <si>
    <t>Tarriff</t>
  </si>
  <si>
    <t>Average Tarriff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</si>
  <si>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</si>
  <si>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</si>
  <si>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</si>
  <si>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</si>
  <si>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</si>
  <si>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</si>
  <si>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</si>
  <si>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</si>
  <si>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</si>
  <si>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</si>
  <si>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</si>
  <si>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</si>
  <si>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LPG Kitchen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</si>
</sst>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;[Red]0.000"/>
    <numFmt numFmtId="165" formatCode="0.000"/>
    <numFmt numFmtId="166" formatCode="0;[Red]0"/>
    <numFmt numFmtId="167" formatCode="0.00000"/>
    <numFmt numFmtId="168" formatCode="0.00000;[Red]0.00000"/>
    <numFmt numFmtId="169" formatCode="0.000000"/>
    <numFmt numFmtId="170" formatCode="0.0000"/>
    <numFmt numFmtId="171" formatCode="0.00000000"/>
  </numFmts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 applyFill="0" applyProtection="0"/>
    <xf numFmtId="0" fontId="3" fillId="0" borderId="0" applyFill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7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1" applyFill="1" applyProtection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0" fillId="0" borderId="0" xfId="0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2" fillId="0" borderId="0" xfId="1" applyFont="1" applyFill="1" applyAlignment="1" applyProtection="1">
      <alignment horizontal="center" vertical="center" wrapText="1"/>
    </xf>
    <xf numFmtId="0" fontId="3" fillId="0" borderId="0" xfId="1" applyFill="1" applyAlignment="1" applyProtection="1">
      <alignment horizontal="center"/>
    </xf>
    <xf numFmtId="0" fontId="4" fillId="0" borderId="0" xfId="0" applyFont="1" applyFill="1" applyBorder="1" applyProtection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Alignment="1">
      <alignment horizontal="right"/>
    </xf>
    <xf numFmtId="1" fontId="0" fillId="0" borderId="0" xfId="0" applyNumberFormat="1" applyFill="1" applyAlignment="1" applyProtection="1"/>
    <xf numFmtId="165" fontId="6" fillId="0" borderId="0" xfId="2" applyNumberFormat="1" applyFont="1" applyFill="1" applyBorder="1" applyAlignment="1" applyProtection="1">
      <alignment horizontal="center"/>
      <protection hidden="1"/>
    </xf>
    <xf numFmtId="1" fontId="0" fillId="0" borderId="0" xfId="0" applyNumberFormat="1"/>
    <xf numFmtId="166" fontId="0" fillId="0" borderId="0" xfId="0" applyNumberFormat="1"/>
    <xf numFmtId="166" fontId="0" fillId="0" borderId="0" xfId="0" applyNumberFormat="1" applyFill="1" applyAlignment="1"/>
    <xf numFmtId="165" fontId="6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NumberFormat="1" applyFill="1" applyAlignment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center"/>
    </xf>
    <xf numFmtId="165" fontId="0" fillId="0" borderId="0" xfId="0" applyNumberFormat="1" applyFill="1" applyAlignment="1" applyProtection="1">
      <alignment horizontal="right"/>
    </xf>
    <xf numFmtId="0" fontId="3" fillId="0" borderId="0" xfId="0" applyFont="1" applyFill="1" applyProtection="1"/>
    <xf numFmtId="0" fontId="0" fillId="0" borderId="0" xfId="0" applyFill="1" applyBorder="1" applyAlignment="1" applyProtection="1">
      <alignment horizontal="center"/>
    </xf>
    <xf numFmtId="166" fontId="0" fillId="0" borderId="0" xfId="0" applyNumberFormat="1" applyFill="1" applyBorder="1"/>
    <xf numFmtId="0" fontId="6" fillId="0" borderId="0" xfId="0" applyFont="1" applyFill="1" applyBorder="1" applyAlignment="1" applyProtection="1">
      <alignment horizontal="center"/>
      <protection hidden="1"/>
    </xf>
    <xf numFmtId="1" fontId="0" fillId="0" borderId="0" xfId="0" applyNumberFormat="1" applyBorder="1" applyAlignment="1"/>
    <xf numFmtId="1" fontId="3" fillId="0" borderId="0" xfId="1" applyNumberFormat="1" applyFill="1" applyAlignment="1" applyProtection="1"/>
    <xf numFmtId="0" fontId="3" fillId="0" borderId="0" xfId="0" applyFont="1" applyFill="1" applyAlignment="1" applyProtection="1">
      <alignment horizontal="center" vertical="center" wrapText="1"/>
    </xf>
    <xf numFmtId="0" fontId="3" fillId="0" borderId="0" xfId="1" applyFont="1" applyFill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3" fillId="0" borderId="0" xfId="0" applyFont="1" applyFill="1" applyBorder="1" applyProtection="1"/>
    <xf numFmtId="166" fontId="0" fillId="0" borderId="0" xfId="0" applyNumberFormat="1" applyFill="1" applyAlignment="1">
      <alignment horizontal="center"/>
    </xf>
    <xf numFmtId="169" fontId="0" fillId="0" borderId="0" xfId="0" applyNumberFormat="1" applyFill="1" applyAlignment="1" applyProtection="1">
      <alignment horizontal="right"/>
    </xf>
    <xf numFmtId="170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>
      <alignment horizontal="right"/>
    </xf>
    <xf numFmtId="1" fontId="0" fillId="0" borderId="0" xfId="0" applyNumberFormat="1" applyFill="1" applyAlignment="1" applyProtection="1">
      <alignment horizontal="right"/>
    </xf>
    <xf numFmtId="1" fontId="0" fillId="0" borderId="5" xfId="3" applyNumberFormat="1" applyFont="1" applyFill="1" applyBorder="1" applyAlignment="1">
      <alignment horizontal="center"/>
    </xf>
    <xf numFmtId="2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right"/>
    </xf>
    <xf numFmtId="166" fontId="0" fillId="0" borderId="0" xfId="0" applyNumberFormat="1" applyFill="1" applyAlignment="1">
      <alignment horizontal="right"/>
    </xf>
    <xf numFmtId="171" fontId="0" fillId="0" borderId="0" xfId="0" applyNumberFormat="1" applyFill="1" applyAlignment="1">
      <alignment horizontal="right"/>
    </xf>
    <xf numFmtId="171" fontId="0" fillId="0" borderId="0" xfId="0" applyNumberFormat="1" applyFill="1"/>
    <xf numFmtId="0" fontId="0" fillId="0" borderId="0" xfId="0" applyNumberFormat="1" applyFill="1" applyAlignment="1" applyProtection="1">
      <alignment horizontal="right"/>
    </xf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94834C56-17AE-4885-A974-960BBAA03015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0-03-13T09:27:46.40" personId="{94834C56-17AE-4885-A974-960BBAA03015}" id="{8CB0CBA0-B4A6-48D6-9D55-61715BA4FEC9}">
    <text>This is Equal to:
( Consumption Charge + Incentive Return Temperature) / 3.51</text>
  </threadedComment>
  <threadedComment ref="W1" dT="2020-03-13T09:25:54.71" personId="{94834C56-17AE-4885-A974-960BBAA03015}" id="{D9FBCF51-8BFF-4232-BBEB-5286386ADE91}">
    <text>Same number every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showRuler="0" topLeftCell="A13" zoomScaleNormal="100" workbookViewId="0">
      <selection activeCell="D46" sqref="D46"/>
    </sheetView>
  </sheetViews>
  <sheetFormatPr defaultRowHeight="15" x14ac:dyDescent="0.25"/>
  <cols>
    <col min="1" max="1" width="15" customWidth="1"/>
    <col min="2" max="27" width="15" style="13" customWidth="1"/>
  </cols>
  <sheetData>
    <row r="1" spans="1:27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42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5" t="s">
        <v>22</v>
      </c>
      <c r="Y1" s="2" t="s">
        <v>23</v>
      </c>
      <c r="Z1" s="1" t="s">
        <v>24</v>
      </c>
      <c r="AA1" s="1" t="s">
        <v>25</v>
      </c>
    </row>
    <row r="2" spans="1:27" s="1" customFormat="1" ht="17.25" customHeight="1" x14ac:dyDescent="0.25">
      <c r="A2" s="42" t="s">
        <v>26</v>
      </c>
      <c r="B2" s="13">
        <v>1</v>
      </c>
      <c r="C2" s="13">
        <v>2019</v>
      </c>
      <c r="D2" s="29">
        <v>1252000</v>
      </c>
      <c r="E2" s="20">
        <v>2.75E-2</v>
      </c>
      <c r="F2" s="13">
        <v>1500</v>
      </c>
      <c r="G2" s="13">
        <v>1246560</v>
      </c>
      <c r="H2" s="14">
        <v>36154.370000000003</v>
      </c>
      <c r="I2" s="22">
        <v>82368</v>
      </c>
      <c r="J2" s="13">
        <v>0.11245792</v>
      </c>
      <c r="K2" s="14">
        <v>38640</v>
      </c>
      <c r="L2" s="14">
        <v>9206.25</v>
      </c>
      <c r="M2" s="30">
        <v>17735</v>
      </c>
      <c r="N2" s="27">
        <v>0.77400000000000002</v>
      </c>
      <c r="O2" s="13">
        <v>95</v>
      </c>
      <c r="P2" s="31">
        <v>2.992</v>
      </c>
      <c r="Q2" s="24">
        <v>13271.52</v>
      </c>
      <c r="R2" s="13">
        <v>0.21</v>
      </c>
      <c r="S2" s="13">
        <v>29523</v>
      </c>
      <c r="T2" s="51">
        <v>16109.6</v>
      </c>
      <c r="U2" s="24">
        <v>1051310</v>
      </c>
      <c r="V2" s="25">
        <f>(13993.192+567.977)/U2</f>
        <v>1.3850499852564896E-2</v>
      </c>
      <c r="W2" s="32">
        <v>23196.799999999999</v>
      </c>
      <c r="X2" s="48">
        <v>1034651.0723999999</v>
      </c>
      <c r="Y2" s="47">
        <v>38383.730000000003</v>
      </c>
      <c r="Z2" s="33">
        <v>4221</v>
      </c>
      <c r="AA2" s="13">
        <v>2.65</v>
      </c>
    </row>
    <row r="3" spans="1:27" s="1" customFormat="1" ht="17.25" customHeight="1" x14ac:dyDescent="0.25">
      <c r="A3" t="s">
        <v>26</v>
      </c>
      <c r="B3" s="13">
        <v>2</v>
      </c>
      <c r="C3" s="13">
        <v>2019</v>
      </c>
      <c r="D3" s="29">
        <v>1141000</v>
      </c>
      <c r="E3" s="20">
        <v>2.75E-2</v>
      </c>
      <c r="F3" s="13">
        <v>1500</v>
      </c>
      <c r="G3" s="13">
        <v>1111320</v>
      </c>
      <c r="H3" s="14">
        <v>32394.7</v>
      </c>
      <c r="I3" s="22">
        <v>68706</v>
      </c>
      <c r="J3" s="13">
        <v>0.11245792</v>
      </c>
      <c r="K3" s="14">
        <v>34500</v>
      </c>
      <c r="L3" s="14">
        <v>8219.86</v>
      </c>
      <c r="M3" s="34">
        <v>14377</v>
      </c>
      <c r="N3" s="27">
        <v>0.78</v>
      </c>
      <c r="O3" s="13">
        <v>5</v>
      </c>
      <c r="P3" s="31">
        <v>46.415799999999997</v>
      </c>
      <c r="Q3" s="24">
        <v>9606</v>
      </c>
      <c r="R3" s="43">
        <v>0.23200000000000001</v>
      </c>
      <c r="S3" s="13">
        <v>23590</v>
      </c>
      <c r="T3" s="13">
        <v>13712.03</v>
      </c>
      <c r="U3" s="24">
        <v>840900</v>
      </c>
      <c r="V3" s="25">
        <f>(11063.308+356.264)/U3</f>
        <v>1.3580178380306814E-2</v>
      </c>
      <c r="W3" s="32">
        <v>23196.799999999999</v>
      </c>
      <c r="X3" s="49">
        <v>1023460.4467</v>
      </c>
      <c r="Y3" s="46">
        <v>38256.97</v>
      </c>
      <c r="Z3" s="33">
        <v>3788</v>
      </c>
      <c r="AA3" s="13">
        <v>2.65</v>
      </c>
    </row>
    <row r="4" spans="1:27" s="1" customFormat="1" ht="15" customHeight="1" x14ac:dyDescent="0.25">
      <c r="A4" t="s">
        <v>26</v>
      </c>
      <c r="B4" s="13">
        <v>3</v>
      </c>
      <c r="C4" s="13">
        <v>2019</v>
      </c>
      <c r="D4" s="29">
        <v>1220000</v>
      </c>
      <c r="E4" s="20">
        <v>2.8899999999999999E-2</v>
      </c>
      <c r="F4" s="13">
        <v>1500</v>
      </c>
      <c r="G4" s="13">
        <v>1184640</v>
      </c>
      <c r="H4" s="14">
        <v>35854.559999999998</v>
      </c>
      <c r="I4" s="22">
        <v>65340</v>
      </c>
      <c r="J4" s="13">
        <v>0.11245792</v>
      </c>
      <c r="K4" s="14">
        <v>30543</v>
      </c>
      <c r="L4" s="14">
        <v>7277.1</v>
      </c>
      <c r="M4" s="34">
        <v>15475</v>
      </c>
      <c r="N4" s="27">
        <v>0.78100000000000003</v>
      </c>
      <c r="O4" s="13">
        <v>1</v>
      </c>
      <c r="P4" s="31">
        <v>230.279</v>
      </c>
      <c r="Q4" s="24">
        <v>8891</v>
      </c>
      <c r="R4" s="31">
        <v>0.22</v>
      </c>
      <c r="S4" s="13">
        <v>30946</v>
      </c>
      <c r="T4" s="13">
        <v>17393.759999999998</v>
      </c>
      <c r="U4" s="24">
        <v>1108500</v>
      </c>
      <c r="V4" s="25">
        <f>(15479.325+910.919)/1108500</f>
        <v>1.478596662156067E-2</v>
      </c>
      <c r="W4" s="32">
        <v>23196.799999999999</v>
      </c>
      <c r="X4" s="49">
        <v>1580631.9256</v>
      </c>
      <c r="Y4" s="46">
        <v>47687.27</v>
      </c>
      <c r="Z4" s="33">
        <v>5180</v>
      </c>
      <c r="AA4" s="13">
        <v>2.65</v>
      </c>
    </row>
    <row r="5" spans="1:27" s="1" customFormat="1" ht="17.25" customHeight="1" x14ac:dyDescent="0.25">
      <c r="A5" t="s">
        <v>26</v>
      </c>
      <c r="B5" s="13">
        <v>4</v>
      </c>
      <c r="C5" s="13">
        <v>2019</v>
      </c>
      <c r="D5" s="29">
        <v>1288000</v>
      </c>
      <c r="E5" s="20">
        <v>2.895E-2</v>
      </c>
      <c r="F5" s="13">
        <v>1500</v>
      </c>
      <c r="G5" s="13">
        <v>1334400</v>
      </c>
      <c r="H5" s="14">
        <v>40197.599999999999</v>
      </c>
      <c r="I5" s="22">
        <v>62370</v>
      </c>
      <c r="J5" s="13">
        <v>0.11245792</v>
      </c>
      <c r="K5" s="14">
        <v>35466</v>
      </c>
      <c r="L5" s="14">
        <v>8450.02</v>
      </c>
      <c r="M5" s="34">
        <v>15463</v>
      </c>
      <c r="N5" s="27">
        <v>0.78100000000000003</v>
      </c>
      <c r="O5" s="13">
        <v>1608</v>
      </c>
      <c r="P5" s="35">
        <v>0.70499999999999996</v>
      </c>
      <c r="Q5" s="24">
        <v>9973</v>
      </c>
      <c r="R5" s="35">
        <v>0.23200000000000001</v>
      </c>
      <c r="S5" s="13">
        <v>33422</v>
      </c>
      <c r="T5" s="13">
        <v>18545.650000000001</v>
      </c>
      <c r="U5" s="24">
        <v>1609000</v>
      </c>
      <c r="V5" s="25">
        <f>(22468.365+1413.709)/U5</f>
        <v>1.484280546923555E-2</v>
      </c>
      <c r="W5" s="32">
        <v>23196.799999999999</v>
      </c>
      <c r="X5" s="49">
        <v>1868331.5892</v>
      </c>
      <c r="Y5" s="46">
        <v>52125.49</v>
      </c>
      <c r="Z5" s="33">
        <v>6052</v>
      </c>
      <c r="AA5" s="13">
        <v>2.65</v>
      </c>
    </row>
    <row r="6" spans="1:27" s="1" customFormat="1" ht="17.25" customHeight="1" x14ac:dyDescent="0.25">
      <c r="A6" t="s">
        <v>26</v>
      </c>
      <c r="B6" s="13">
        <v>5</v>
      </c>
      <c r="C6" s="13">
        <v>2019</v>
      </c>
      <c r="D6" s="29">
        <v>1273000</v>
      </c>
      <c r="E6" s="20">
        <v>2.7629913579999998E-2</v>
      </c>
      <c r="F6" s="13">
        <v>1500</v>
      </c>
      <c r="G6" s="13">
        <v>1339200</v>
      </c>
      <c r="H6" s="14">
        <v>40336.800000000003</v>
      </c>
      <c r="I6" s="22">
        <v>35640</v>
      </c>
      <c r="J6" s="13">
        <v>0.11245792</v>
      </c>
      <c r="K6" s="14">
        <v>26680</v>
      </c>
      <c r="L6" s="14">
        <v>6356.69</v>
      </c>
      <c r="M6" s="34">
        <v>11920</v>
      </c>
      <c r="N6" s="27">
        <v>0.79</v>
      </c>
      <c r="O6" s="13">
        <v>5701</v>
      </c>
      <c r="P6" s="35">
        <v>0.60319999999999996</v>
      </c>
      <c r="Q6" s="24">
        <v>7849</v>
      </c>
      <c r="R6" s="35">
        <v>0.24399999999999999</v>
      </c>
      <c r="S6" s="13">
        <v>28926</v>
      </c>
      <c r="T6" s="51">
        <v>16532.599999999999</v>
      </c>
      <c r="U6" s="24">
        <v>2148000</v>
      </c>
      <c r="V6" s="25">
        <f>(30066.431+1349.996)/U6</f>
        <v>1.4625897113594041E-2</v>
      </c>
      <c r="W6" s="32">
        <v>23196.799999999999</v>
      </c>
      <c r="X6" s="49">
        <v>2322733.5943999998</v>
      </c>
      <c r="Y6" s="46">
        <v>59353.08</v>
      </c>
      <c r="Z6" s="33">
        <v>1959</v>
      </c>
      <c r="AA6" s="13">
        <v>2.65</v>
      </c>
    </row>
    <row r="7" spans="1:27" s="1" customFormat="1" ht="15.75" customHeight="1" x14ac:dyDescent="0.25">
      <c r="A7" t="s">
        <v>26</v>
      </c>
      <c r="B7" s="13">
        <v>6</v>
      </c>
      <c r="C7" s="13">
        <v>2019</v>
      </c>
      <c r="D7" s="29">
        <v>1383000</v>
      </c>
      <c r="E7" s="20">
        <v>2.8952002889999998E-2</v>
      </c>
      <c r="F7" s="13">
        <v>1500</v>
      </c>
      <c r="G7" s="13">
        <v>1205760</v>
      </c>
      <c r="H7" s="14">
        <v>36467.040000000001</v>
      </c>
      <c r="I7" s="22">
        <f>21000*1.98</f>
        <v>41580</v>
      </c>
      <c r="J7" s="13">
        <v>0.11245792</v>
      </c>
      <c r="K7" s="14">
        <v>22080</v>
      </c>
      <c r="L7" s="14">
        <v>5260.71</v>
      </c>
      <c r="M7" s="34">
        <v>15771</v>
      </c>
      <c r="N7" s="27">
        <v>0.78</v>
      </c>
      <c r="O7" s="13">
        <v>5336</v>
      </c>
      <c r="P7" s="35">
        <v>0.60499999999999998</v>
      </c>
      <c r="Q7" s="24">
        <v>12066</v>
      </c>
      <c r="R7" s="43">
        <v>0.224</v>
      </c>
      <c r="S7" s="13">
        <v>30247</v>
      </c>
      <c r="T7" s="51">
        <v>16878.07</v>
      </c>
      <c r="U7" s="23">
        <v>3166200</v>
      </c>
      <c r="V7" s="25">
        <v>1.5219999999999999E-2</v>
      </c>
      <c r="W7" s="32">
        <v>23196.799999999999</v>
      </c>
      <c r="X7" s="49">
        <v>2954068.466</v>
      </c>
      <c r="Y7" s="46">
        <v>69251.539999999994</v>
      </c>
      <c r="Z7" s="33">
        <v>5492</v>
      </c>
      <c r="AA7" s="13">
        <v>2.65</v>
      </c>
    </row>
    <row r="8" spans="1:27" s="1" customFormat="1" ht="16.5" customHeight="1" x14ac:dyDescent="0.25">
      <c r="A8" t="s">
        <v>26</v>
      </c>
      <c r="B8" s="13">
        <v>7</v>
      </c>
      <c r="C8" s="13">
        <v>2019</v>
      </c>
      <c r="D8" s="29">
        <v>1405000</v>
      </c>
      <c r="E8" s="20">
        <v>2.8955786470000001E-2</v>
      </c>
      <c r="F8" s="13">
        <v>1500</v>
      </c>
      <c r="G8" s="13">
        <v>1286016</v>
      </c>
      <c r="H8" s="14">
        <v>38794.46</v>
      </c>
      <c r="I8" s="22">
        <v>41580</v>
      </c>
      <c r="J8" s="13">
        <v>0.11245792</v>
      </c>
      <c r="K8" s="14">
        <v>22080</v>
      </c>
      <c r="L8" s="14">
        <v>5260.71</v>
      </c>
      <c r="M8" s="36">
        <v>15399</v>
      </c>
      <c r="N8" s="28">
        <v>0.78152999999999995</v>
      </c>
      <c r="O8" s="13">
        <v>5273</v>
      </c>
      <c r="P8" s="35">
        <v>0.60599999999999998</v>
      </c>
      <c r="Q8" s="24">
        <v>11400</v>
      </c>
      <c r="R8" s="43">
        <v>0.22600000000000001</v>
      </c>
      <c r="S8" s="13">
        <v>30298</v>
      </c>
      <c r="T8" s="51">
        <v>16842.169999999998</v>
      </c>
      <c r="U8" s="24">
        <v>3504000</v>
      </c>
      <c r="V8" s="37">
        <v>1.5469999999999999E-2</v>
      </c>
      <c r="W8" s="32">
        <v>23196.799999999999</v>
      </c>
      <c r="X8" s="50">
        <v>3277091.3996000001</v>
      </c>
      <c r="Y8" s="46">
        <v>74344.98</v>
      </c>
      <c r="Z8" s="33">
        <v>4963</v>
      </c>
      <c r="AA8" s="13">
        <v>2.65</v>
      </c>
    </row>
    <row r="9" spans="1:27" s="1" customFormat="1" ht="17.25" customHeight="1" x14ac:dyDescent="0.25">
      <c r="A9" t="s">
        <v>26</v>
      </c>
      <c r="B9" s="13">
        <v>8</v>
      </c>
      <c r="C9" s="13">
        <v>2019</v>
      </c>
      <c r="D9" s="29">
        <v>1377000</v>
      </c>
      <c r="E9" s="20">
        <v>2.895179375E-2</v>
      </c>
      <c r="F9" s="13">
        <v>1500</v>
      </c>
      <c r="G9" s="13">
        <v>1346880</v>
      </c>
      <c r="H9" s="14">
        <v>40559.519999999997</v>
      </c>
      <c r="I9" s="22">
        <v>41580</v>
      </c>
      <c r="J9" s="13">
        <v>0.11245792</v>
      </c>
      <c r="K9" s="14">
        <v>20700</v>
      </c>
      <c r="L9" s="14">
        <v>4931.92</v>
      </c>
      <c r="M9" s="36">
        <v>14155</v>
      </c>
      <c r="N9" s="28">
        <v>0.78400000000000003</v>
      </c>
      <c r="O9" s="13">
        <v>5466</v>
      </c>
      <c r="P9" s="35">
        <v>0.60399999999999998</v>
      </c>
      <c r="Q9" s="24">
        <v>11756</v>
      </c>
      <c r="R9" s="43">
        <v>0.22500000000000001</v>
      </c>
      <c r="S9" s="13">
        <v>38362</v>
      </c>
      <c r="T9" s="51">
        <v>17844.98</v>
      </c>
      <c r="U9" s="24">
        <v>3465000</v>
      </c>
      <c r="V9" s="25">
        <v>1.536E-2</v>
      </c>
      <c r="W9" s="32">
        <v>23196.799999999999</v>
      </c>
      <c r="X9" s="50">
        <v>3377483.4808</v>
      </c>
      <c r="Y9" s="46">
        <v>75898.53</v>
      </c>
      <c r="Z9" s="33">
        <v>5170</v>
      </c>
      <c r="AA9" s="13">
        <v>2.65</v>
      </c>
    </row>
    <row r="10" spans="1:27" s="1" customFormat="1" ht="17.25" customHeight="1" x14ac:dyDescent="0.25">
      <c r="A10" t="s">
        <v>26</v>
      </c>
      <c r="B10" s="13">
        <v>9</v>
      </c>
      <c r="C10" s="13">
        <v>2019</v>
      </c>
      <c r="D10" s="29">
        <v>1299000</v>
      </c>
      <c r="E10" s="20">
        <v>2.8953833710000002E-2</v>
      </c>
      <c r="F10" s="13">
        <v>1500</v>
      </c>
      <c r="G10" s="14">
        <v>1268160</v>
      </c>
      <c r="H10" s="14">
        <v>38276.639999999999</v>
      </c>
      <c r="I10" s="22">
        <v>53460</v>
      </c>
      <c r="J10" s="13">
        <v>0.11245792</v>
      </c>
      <c r="K10" s="14">
        <v>24840</v>
      </c>
      <c r="L10" s="14">
        <v>5918.3</v>
      </c>
      <c r="M10" s="34">
        <v>13699</v>
      </c>
      <c r="N10" s="27">
        <v>0.78539999999999999</v>
      </c>
      <c r="O10" s="13">
        <v>4849</v>
      </c>
      <c r="P10" s="35">
        <v>0.61</v>
      </c>
      <c r="Q10" s="24">
        <v>11149</v>
      </c>
      <c r="R10" s="13">
        <v>0.22700000000000001</v>
      </c>
      <c r="S10" s="13">
        <v>37202</v>
      </c>
      <c r="T10" s="51">
        <v>18274.59</v>
      </c>
      <c r="U10" s="24">
        <v>3585700</v>
      </c>
      <c r="V10" s="25">
        <v>1.553378475E-2</v>
      </c>
      <c r="W10" s="32">
        <v>23196.799999999999</v>
      </c>
      <c r="X10" s="50">
        <v>3693483.2592000002</v>
      </c>
      <c r="Y10" s="46">
        <v>81025.25</v>
      </c>
      <c r="Z10" s="33">
        <v>3904</v>
      </c>
      <c r="AA10" s="13">
        <v>2.65</v>
      </c>
    </row>
    <row r="11" spans="1:27" s="1" customFormat="1" ht="16.5" customHeight="1" x14ac:dyDescent="0.25">
      <c r="A11" t="s">
        <v>26</v>
      </c>
      <c r="B11" s="13">
        <v>10</v>
      </c>
      <c r="C11" s="13">
        <v>2019</v>
      </c>
      <c r="D11" s="29">
        <v>1409000</v>
      </c>
      <c r="E11" s="20">
        <v>2.8899999999999999E-2</v>
      </c>
      <c r="F11" s="13">
        <v>1500</v>
      </c>
      <c r="G11" s="13">
        <v>1291200</v>
      </c>
      <c r="H11" s="14">
        <v>38944.800000000003</v>
      </c>
      <c r="I11" s="22">
        <v>44550</v>
      </c>
      <c r="J11" s="13">
        <v>0.11245792</v>
      </c>
      <c r="K11" s="14">
        <v>30360</v>
      </c>
      <c r="L11" s="14">
        <v>7233.48</v>
      </c>
      <c r="M11" s="38">
        <v>16425</v>
      </c>
      <c r="N11" s="39">
        <v>0.77900000000000003</v>
      </c>
      <c r="O11" s="13">
        <v>1288</v>
      </c>
      <c r="P11" s="40">
        <v>0.74099999999999999</v>
      </c>
      <c r="Q11" s="24">
        <v>13344</v>
      </c>
      <c r="R11" s="13">
        <v>0.221</v>
      </c>
      <c r="S11" s="13">
        <v>32516</v>
      </c>
      <c r="T11" s="51">
        <v>17915.150000000001</v>
      </c>
      <c r="U11" s="39">
        <v>3350000</v>
      </c>
      <c r="V11" s="25">
        <v>1.5339999999999999E-2</v>
      </c>
      <c r="W11" s="32">
        <v>23196.799999999999</v>
      </c>
      <c r="X11" s="50">
        <v>2747815.5973999999</v>
      </c>
      <c r="Y11" s="46">
        <v>66550.62</v>
      </c>
      <c r="Z11" s="33">
        <v>4411</v>
      </c>
      <c r="AA11" s="13">
        <v>2.65</v>
      </c>
    </row>
    <row r="12" spans="1:27" s="1" customFormat="1" ht="18" customHeight="1" x14ac:dyDescent="0.25">
      <c r="A12" t="s">
        <v>26</v>
      </c>
      <c r="B12" s="13">
        <v>11</v>
      </c>
      <c r="C12" s="13">
        <v>2019</v>
      </c>
      <c r="D12" s="29">
        <v>1333000</v>
      </c>
      <c r="E12" s="20">
        <v>2.8899999999999999E-2</v>
      </c>
      <c r="F12" s="13">
        <v>1500</v>
      </c>
      <c r="G12" s="13">
        <v>1296960</v>
      </c>
      <c r="H12" s="14">
        <v>39111.839999999997</v>
      </c>
      <c r="I12" s="22">
        <v>53460</v>
      </c>
      <c r="J12" s="13">
        <v>0.11245792</v>
      </c>
      <c r="K12" s="14">
        <v>32200</v>
      </c>
      <c r="L12" s="14">
        <v>7671.87</v>
      </c>
      <c r="M12" s="38">
        <v>18453</v>
      </c>
      <c r="N12" s="39">
        <v>0.77600000000000002</v>
      </c>
      <c r="O12" s="13">
        <v>114</v>
      </c>
      <c r="P12" s="40">
        <v>2.5741999999999998</v>
      </c>
      <c r="Q12" s="24">
        <v>11270</v>
      </c>
      <c r="R12" s="13">
        <v>0.22700000000000001</v>
      </c>
      <c r="S12" s="13">
        <v>31561</v>
      </c>
      <c r="T12" s="51">
        <v>17349.46</v>
      </c>
      <c r="U12" s="39">
        <v>1849000</v>
      </c>
      <c r="V12" s="25">
        <v>1.515E-2</v>
      </c>
      <c r="W12" s="32">
        <v>23196.799999999999</v>
      </c>
      <c r="X12" s="50">
        <v>1990696.9669999999</v>
      </c>
      <c r="Y12" s="46">
        <v>54884.6</v>
      </c>
      <c r="Z12" s="33">
        <v>6227</v>
      </c>
      <c r="AA12" s="13">
        <v>2.65</v>
      </c>
    </row>
    <row r="13" spans="1:27" s="1" customFormat="1" ht="15.75" customHeight="1" x14ac:dyDescent="0.25">
      <c r="A13" t="s">
        <v>26</v>
      </c>
      <c r="B13" s="13">
        <v>12</v>
      </c>
      <c r="C13" s="13">
        <v>2019</v>
      </c>
      <c r="D13" s="29">
        <v>1297000</v>
      </c>
      <c r="E13" s="20">
        <v>2.6790000000000001E-2</v>
      </c>
      <c r="F13" s="13">
        <v>1500</v>
      </c>
      <c r="G13" s="13">
        <v>1236000</v>
      </c>
      <c r="H13" s="14">
        <v>37344</v>
      </c>
      <c r="I13" s="22">
        <v>83160</v>
      </c>
      <c r="J13" s="13">
        <v>0.11245792</v>
      </c>
      <c r="K13" s="14">
        <v>32200</v>
      </c>
      <c r="L13" s="14">
        <v>7671.87</v>
      </c>
      <c r="M13" s="39">
        <v>16806</v>
      </c>
      <c r="N13" s="41">
        <v>0.77888999999999997</v>
      </c>
      <c r="O13" s="43">
        <v>0</v>
      </c>
      <c r="P13" s="40">
        <v>229.279</v>
      </c>
      <c r="Q13" s="44">
        <v>13372</v>
      </c>
      <c r="R13" s="43">
        <v>0.22</v>
      </c>
      <c r="S13" s="13">
        <v>31862</v>
      </c>
      <c r="T13" s="51">
        <v>17848.14</v>
      </c>
      <c r="U13" s="39">
        <v>1235000</v>
      </c>
      <c r="V13" s="25">
        <v>1.447E-2</v>
      </c>
      <c r="W13" s="32">
        <v>23196.799999999999</v>
      </c>
      <c r="X13" s="50">
        <v>1402563.1157</v>
      </c>
      <c r="Y13" s="46">
        <v>45763.65</v>
      </c>
      <c r="Z13" s="33">
        <v>5258</v>
      </c>
      <c r="AA13" s="13">
        <v>2.65</v>
      </c>
    </row>
    <row r="14" spans="1:27" x14ac:dyDescent="0.25">
      <c r="A14" t="s">
        <v>26</v>
      </c>
      <c r="B14" s="13">
        <v>1</v>
      </c>
      <c r="C14" s="13">
        <v>2020</v>
      </c>
      <c r="D14" s="18">
        <v>1197000</v>
      </c>
      <c r="E14" s="20">
        <v>2.895E-2</v>
      </c>
      <c r="F14" s="13">
        <v>1500</v>
      </c>
      <c r="G14" s="13">
        <v>1276500</v>
      </c>
      <c r="H14" s="14">
        <v>39378.541874999995</v>
      </c>
      <c r="I14" s="21">
        <v>65340</v>
      </c>
      <c r="J14" s="13">
        <v>0.11245792</v>
      </c>
      <c r="K14" s="14">
        <v>80309</v>
      </c>
      <c r="L14" s="14">
        <v>9573.3849120000013</v>
      </c>
      <c r="M14" s="23">
        <v>18382</v>
      </c>
      <c r="N14" s="27">
        <f>(490.028+13786.5+445.071+2315.972+233.775+295.012)/(18382+524)</f>
        <v>0.92914196551359363</v>
      </c>
      <c r="O14" s="43">
        <v>524</v>
      </c>
      <c r="P14" s="31">
        <v>0.56299999999999994</v>
      </c>
      <c r="Q14" s="17">
        <v>12319</v>
      </c>
      <c r="R14" s="43">
        <v>0.188</v>
      </c>
      <c r="S14" s="13">
        <v>30904.35</v>
      </c>
      <c r="T14" s="13">
        <v>17091.172007399997</v>
      </c>
      <c r="U14" s="24">
        <v>955800</v>
      </c>
      <c r="V14" s="25">
        <f>(13346.919+597.907)/955800</f>
        <v>1.4589690311780706E-2</v>
      </c>
      <c r="W14" s="39">
        <v>23430</v>
      </c>
      <c r="X14" s="16">
        <v>1003761.3220800001</v>
      </c>
      <c r="Y14" s="39">
        <v>39354</v>
      </c>
      <c r="Z14" s="17">
        <v>5183</v>
      </c>
      <c r="AA14" s="13">
        <v>2.65</v>
      </c>
    </row>
    <row r="15" spans="1:27" x14ac:dyDescent="0.25">
      <c r="A15" t="s">
        <v>26</v>
      </c>
      <c r="B15" s="13">
        <v>2</v>
      </c>
      <c r="C15" s="13">
        <v>2020</v>
      </c>
      <c r="D15" s="18">
        <v>1250000</v>
      </c>
      <c r="E15" s="20">
        <v>2.8899999999999999E-2</v>
      </c>
      <c r="F15" s="13">
        <v>1500</v>
      </c>
      <c r="G15" s="13">
        <v>1163875</v>
      </c>
      <c r="H15" s="14">
        <v>36036.535781250001</v>
      </c>
      <c r="I15" s="21">
        <v>65340</v>
      </c>
      <c r="J15" s="13">
        <v>0.11245792</v>
      </c>
      <c r="K15" s="14">
        <v>66988</v>
      </c>
      <c r="L15" s="14">
        <v>7985.4917415000009</v>
      </c>
      <c r="M15" s="24">
        <v>15956</v>
      </c>
      <c r="N15" s="27">
        <v>0.94199999999999995</v>
      </c>
      <c r="O15" s="43">
        <v>454</v>
      </c>
      <c r="P15" s="31">
        <v>0.56299999999999994</v>
      </c>
      <c r="Q15" s="17">
        <v>11066</v>
      </c>
      <c r="R15" s="43">
        <v>0.188</v>
      </c>
      <c r="S15" s="13">
        <v>24056.924999999999</v>
      </c>
      <c r="T15" s="13">
        <v>13930.5513039</v>
      </c>
      <c r="U15" s="24">
        <v>884700</v>
      </c>
      <c r="V15" s="25">
        <f>(12354.161+25.156)/884700</f>
        <v>1.3992672092234657E-2</v>
      </c>
      <c r="W15" s="39">
        <v>23430</v>
      </c>
      <c r="X15" s="16">
        <v>802855.27133999998</v>
      </c>
      <c r="Y15" s="39">
        <v>36236</v>
      </c>
      <c r="Z15" s="17">
        <v>4016</v>
      </c>
      <c r="AA15" s="13">
        <v>2.65</v>
      </c>
    </row>
    <row r="16" spans="1:27" x14ac:dyDescent="0.25">
      <c r="A16" t="s">
        <v>26</v>
      </c>
      <c r="B16" s="13">
        <v>3</v>
      </c>
      <c r="C16" s="13">
        <v>2020</v>
      </c>
      <c r="D16" s="18">
        <v>804000</v>
      </c>
      <c r="E16" s="20">
        <v>2.9200870600000001E-2</v>
      </c>
      <c r="F16" s="13">
        <v>1500</v>
      </c>
      <c r="G16" s="13">
        <v>1245300</v>
      </c>
      <c r="H16" s="14">
        <v>38452.720874999999</v>
      </c>
      <c r="I16" s="21">
        <v>38610</v>
      </c>
      <c r="J16" s="13">
        <v>0.11245792</v>
      </c>
      <c r="K16" s="14">
        <v>63707</v>
      </c>
      <c r="L16" s="14">
        <v>7594.2716850000006</v>
      </c>
      <c r="M16" s="24">
        <v>6246</v>
      </c>
      <c r="N16" s="27">
        <f>(490.028+445.071+233.775)/(6246+1809)</f>
        <v>0.14511160769708256</v>
      </c>
      <c r="O16" s="43">
        <v>1809</v>
      </c>
      <c r="P16" s="31">
        <v>0</v>
      </c>
      <c r="Q16" s="17">
        <v>2994</v>
      </c>
      <c r="R16" s="31">
        <v>0</v>
      </c>
      <c r="S16" s="13">
        <v>24430.35</v>
      </c>
      <c r="T16" s="13">
        <v>14608.7296554</v>
      </c>
      <c r="U16" s="24">
        <v>743400</v>
      </c>
      <c r="V16" s="25">
        <f>(10380.872+414.305-6681.722-266.339)/743400</f>
        <v>5.1750282485875706E-3</v>
      </c>
      <c r="W16" s="39">
        <v>23430</v>
      </c>
      <c r="X16" s="16">
        <v>1058362.1826599999</v>
      </c>
      <c r="Y16" s="39">
        <v>40201</v>
      </c>
      <c r="Z16" s="17">
        <v>395</v>
      </c>
      <c r="AA16" s="13">
        <v>2.65</v>
      </c>
    </row>
    <row r="17" spans="1:27" x14ac:dyDescent="0.25">
      <c r="A17" t="s">
        <v>26</v>
      </c>
      <c r="B17" s="13">
        <v>4</v>
      </c>
      <c r="C17" s="13">
        <v>2020</v>
      </c>
      <c r="D17" s="18">
        <v>564000</v>
      </c>
      <c r="E17" s="20">
        <f>16293.88/564000</f>
        <v>2.8889858156028368E-2</v>
      </c>
      <c r="F17" s="13">
        <v>1500</v>
      </c>
      <c r="G17" s="13">
        <v>1309800</v>
      </c>
      <c r="H17" s="14">
        <v>40366.677749999995</v>
      </c>
      <c r="I17" s="21">
        <v>11880</v>
      </c>
      <c r="J17" s="13">
        <v>0.11245792</v>
      </c>
      <c r="K17" s="14">
        <v>60811</v>
      </c>
      <c r="L17" s="14">
        <v>7249.0775175000008</v>
      </c>
      <c r="M17" s="24">
        <v>2095</v>
      </c>
      <c r="N17" s="27">
        <f>(490.028+445.071+233.775)/(2095+4137)</f>
        <v>0.18756001283697049</v>
      </c>
      <c r="O17" s="43">
        <v>4137</v>
      </c>
      <c r="P17" s="35">
        <v>0</v>
      </c>
      <c r="Q17" s="17">
        <v>1749</v>
      </c>
      <c r="R17" s="35">
        <v>0</v>
      </c>
      <c r="S17" s="13">
        <v>26981.599999999999</v>
      </c>
      <c r="T17" s="13">
        <v>15658.2698432</v>
      </c>
      <c r="U17" s="24">
        <v>764400</v>
      </c>
      <c r="V17" s="25">
        <f>(3803.713+95.636)/764400</f>
        <v>5.1011891679748822E-3</v>
      </c>
      <c r="W17" s="39">
        <v>23430</v>
      </c>
      <c r="X17" s="16">
        <v>1536221.2855799999</v>
      </c>
      <c r="Y17" s="39">
        <v>47617</v>
      </c>
      <c r="Z17" s="17">
        <v>158</v>
      </c>
      <c r="AA17" s="13">
        <v>2.65</v>
      </c>
    </row>
    <row r="18" spans="1:27" x14ac:dyDescent="0.25">
      <c r="A18" t="s">
        <v>26</v>
      </c>
      <c r="B18" s="13">
        <v>5</v>
      </c>
      <c r="C18" s="13">
        <v>2020</v>
      </c>
      <c r="D18" s="18">
        <v>623000</v>
      </c>
      <c r="E18" s="20">
        <f>18000.62/623000</f>
        <v>2.8893451043338684E-2</v>
      </c>
      <c r="F18" s="13">
        <v>1500</v>
      </c>
      <c r="G18" s="13">
        <v>1324275</v>
      </c>
      <c r="H18" s="14">
        <v>40796.205281249997</v>
      </c>
      <c r="I18" s="22">
        <f>7500*1.98</f>
        <v>14850</v>
      </c>
      <c r="J18" s="13">
        <v>0.11245792</v>
      </c>
      <c r="K18" s="14">
        <v>34746</v>
      </c>
      <c r="L18" s="14">
        <v>4142.3300100000006</v>
      </c>
      <c r="M18" s="24">
        <v>3462</v>
      </c>
      <c r="N18" s="27">
        <f>(490.028+445.071+233.775)/(3462+9130)</f>
        <v>9.2826715374841176E-2</v>
      </c>
      <c r="O18" s="43">
        <v>9130</v>
      </c>
      <c r="P18" s="35">
        <v>0</v>
      </c>
      <c r="Q18" s="17">
        <v>1951</v>
      </c>
      <c r="R18" s="35">
        <v>0</v>
      </c>
      <c r="S18" s="13">
        <v>25619.474999999999</v>
      </c>
      <c r="T18" s="13">
        <v>15027.731516099999</v>
      </c>
      <c r="U18" s="24">
        <v>1091400</v>
      </c>
      <c r="V18" s="25">
        <f>5430.88/1091400</f>
        <v>4.9760674363203226E-3</v>
      </c>
      <c r="W18" s="39">
        <v>23430</v>
      </c>
      <c r="X18" s="16">
        <v>2051126.7752400001</v>
      </c>
      <c r="Y18" s="39">
        <v>55608</v>
      </c>
      <c r="Z18" s="17">
        <v>241</v>
      </c>
      <c r="AA18" s="13">
        <v>2.65</v>
      </c>
    </row>
    <row r="19" spans="1:27" x14ac:dyDescent="0.25">
      <c r="A19" t="s">
        <v>26</v>
      </c>
      <c r="B19" s="13">
        <v>6</v>
      </c>
      <c r="C19" s="13">
        <v>2020</v>
      </c>
      <c r="D19" s="19">
        <v>676000</v>
      </c>
      <c r="E19" s="20">
        <f>19544.03/676000</f>
        <v>2.891128698224852E-2</v>
      </c>
      <c r="F19" s="13">
        <v>1500</v>
      </c>
      <c r="G19" s="13">
        <v>1445325</v>
      </c>
      <c r="H19" s="14">
        <v>44388.212718750001</v>
      </c>
      <c r="I19" s="21">
        <f>9000*1.98</f>
        <v>17820</v>
      </c>
      <c r="J19" s="13">
        <v>0.11245792</v>
      </c>
      <c r="K19" s="14">
        <v>40541</v>
      </c>
      <c r="L19" s="14">
        <v>4832.7183450000002</v>
      </c>
      <c r="M19" s="24">
        <v>4375</v>
      </c>
      <c r="N19" s="27">
        <v>0.72399999999999998</v>
      </c>
      <c r="O19" s="43">
        <v>7556</v>
      </c>
      <c r="P19" s="45">
        <v>0.56299999999999994</v>
      </c>
      <c r="Q19" s="17">
        <v>3376</v>
      </c>
      <c r="R19" s="43">
        <v>0.188</v>
      </c>
      <c r="S19" s="13">
        <v>33050.574999999997</v>
      </c>
      <c r="T19" s="13">
        <v>18394.2340429</v>
      </c>
      <c r="U19" s="23">
        <v>1588700</v>
      </c>
      <c r="V19" s="26">
        <f>(22234.446+1978.604)/1588700</f>
        <v>1.524079436016869E-2</v>
      </c>
      <c r="W19" s="39">
        <v>23430</v>
      </c>
      <c r="X19" s="16">
        <v>3022989.18732</v>
      </c>
      <c r="Y19" s="39">
        <v>70690</v>
      </c>
      <c r="Z19" s="17">
        <v>381</v>
      </c>
      <c r="AA19" s="13">
        <v>2.65</v>
      </c>
    </row>
    <row r="20" spans="1:27" x14ac:dyDescent="0.25">
      <c r="A20" t="s">
        <v>26</v>
      </c>
      <c r="B20" s="13">
        <v>7</v>
      </c>
      <c r="C20" s="13">
        <v>2020</v>
      </c>
      <c r="D20" s="18">
        <v>682000</v>
      </c>
      <c r="E20" s="20">
        <f>22033.75/682000</f>
        <v>3.2307551319648097E-2</v>
      </c>
      <c r="F20" s="13">
        <v>1500</v>
      </c>
      <c r="G20" s="13">
        <v>1505625</v>
      </c>
      <c r="H20" s="14">
        <v>46177.539843749997</v>
      </c>
      <c r="I20" s="22">
        <f>9000*1.98</f>
        <v>17820</v>
      </c>
      <c r="J20" s="13">
        <v>0.11245792</v>
      </c>
      <c r="K20" s="14">
        <v>40541</v>
      </c>
      <c r="L20" s="14">
        <v>4832.7183450000002</v>
      </c>
      <c r="M20" s="23">
        <v>4737</v>
      </c>
      <c r="N20" s="28">
        <f>(490.028+445.071+233.775+3552.75+1015.952+4792.256)/(4737+8512)</f>
        <v>0.79476428409691302</v>
      </c>
      <c r="O20" s="43">
        <v>8512</v>
      </c>
      <c r="P20" s="45">
        <v>0.56299999999999994</v>
      </c>
      <c r="Q20" s="17">
        <v>5404</v>
      </c>
      <c r="R20" s="43">
        <v>0.188</v>
      </c>
      <c r="S20" s="13">
        <v>32229.025000000001</v>
      </c>
      <c r="T20" s="13">
        <v>18119.4066451</v>
      </c>
      <c r="U20" s="24">
        <v>2024200</v>
      </c>
      <c r="V20" s="26">
        <f>(28329.654+2141.128)/2024200</f>
        <v>1.5053246714751506E-2</v>
      </c>
      <c r="W20" s="39">
        <v>23430</v>
      </c>
      <c r="X20" s="16">
        <v>3346091.5678199995</v>
      </c>
      <c r="Y20" s="39">
        <v>75704</v>
      </c>
      <c r="Z20" s="17">
        <v>628</v>
      </c>
      <c r="AA20" s="13">
        <v>2.65</v>
      </c>
    </row>
    <row r="21" spans="1:27" x14ac:dyDescent="0.25">
      <c r="A21" t="s">
        <v>26</v>
      </c>
      <c r="B21" s="13">
        <v>8</v>
      </c>
      <c r="C21" s="13">
        <v>2020</v>
      </c>
      <c r="D21" s="18">
        <v>971000</v>
      </c>
      <c r="E21" s="20">
        <f>28094.75/971000</f>
        <v>2.8933831101956745E-2</v>
      </c>
      <c r="F21" s="13">
        <v>1500</v>
      </c>
      <c r="G21" s="13">
        <v>1398375</v>
      </c>
      <c r="H21" s="14">
        <v>42995.030156249995</v>
      </c>
      <c r="I21" s="22">
        <f>12000*1.98</f>
        <v>23760</v>
      </c>
      <c r="J21" s="13">
        <v>0.11245792</v>
      </c>
      <c r="K21" s="14">
        <v>40651</v>
      </c>
      <c r="L21" s="14">
        <v>4832.7183450000002</v>
      </c>
      <c r="M21" s="23">
        <v>7946</v>
      </c>
      <c r="N21" s="28">
        <f>(490.028+445.071+233.775+5959.5+1548.368+4560.3)/(8100+7946)</f>
        <v>0.82494341268852056</v>
      </c>
      <c r="O21" s="43">
        <v>8100</v>
      </c>
      <c r="P21" s="45">
        <v>0.56299999999999994</v>
      </c>
      <c r="Q21" s="17">
        <v>8236</v>
      </c>
      <c r="R21" s="43">
        <v>0.188</v>
      </c>
      <c r="S21" s="13">
        <v>31302.724999999999</v>
      </c>
      <c r="T21" s="13">
        <v>17217.077243899999</v>
      </c>
      <c r="U21" s="24">
        <v>2558400</v>
      </c>
      <c r="V21" s="26">
        <f>(35806.073+2306.08)/2558400</f>
        <v>1.489687030956848E-2</v>
      </c>
      <c r="W21" s="39">
        <v>23430</v>
      </c>
      <c r="X21" s="16">
        <v>3308554.9452</v>
      </c>
      <c r="Y21" s="39">
        <v>75122</v>
      </c>
      <c r="Z21" s="17">
        <v>1746</v>
      </c>
      <c r="AA21" s="13">
        <v>2.65</v>
      </c>
    </row>
    <row r="22" spans="1:27" x14ac:dyDescent="0.25">
      <c r="A22" t="s">
        <v>26</v>
      </c>
      <c r="B22" s="13">
        <v>9</v>
      </c>
      <c r="C22" s="13">
        <v>2020</v>
      </c>
      <c r="D22" s="18">
        <v>944020</v>
      </c>
      <c r="E22" s="20">
        <v>2.89342E-2</v>
      </c>
      <c r="F22" s="13">
        <v>1500</v>
      </c>
      <c r="G22" s="14">
        <v>1453797.75</v>
      </c>
      <c r="H22" s="14">
        <v>44639.630984062496</v>
      </c>
      <c r="I22" s="22">
        <v>29700</v>
      </c>
      <c r="J22" s="13">
        <v>0.11245792</v>
      </c>
      <c r="K22" s="14">
        <v>52124</v>
      </c>
      <c r="L22" s="14">
        <v>6213.4950150000004</v>
      </c>
      <c r="M22" s="24">
        <v>6877</v>
      </c>
      <c r="N22" s="27">
        <v>0.82125607095999997</v>
      </c>
      <c r="O22" s="43">
        <v>7718</v>
      </c>
      <c r="P22" s="45">
        <v>0.59328958278999999</v>
      </c>
      <c r="Q22" s="17">
        <v>5660</v>
      </c>
      <c r="R22" s="43">
        <v>0.26663445228999999</v>
      </c>
      <c r="S22" s="13">
        <v>29649.3</v>
      </c>
      <c r="T22" s="13">
        <v>16416.738513599998</v>
      </c>
      <c r="U22" s="24">
        <v>2474100</v>
      </c>
      <c r="V22" s="26">
        <v>1.5004864789999999E-2</v>
      </c>
      <c r="W22" s="39">
        <v>23430</v>
      </c>
      <c r="X22" s="16">
        <v>3423515.2590599996</v>
      </c>
      <c r="Y22" s="39">
        <v>76907</v>
      </c>
      <c r="Z22" s="17">
        <v>2076</v>
      </c>
      <c r="AA22" s="13">
        <v>2.65</v>
      </c>
    </row>
    <row r="23" spans="1:27" x14ac:dyDescent="0.25">
      <c r="A23" t="s">
        <v>26</v>
      </c>
      <c r="B23" s="13">
        <v>10</v>
      </c>
      <c r="C23" s="13">
        <v>2020</v>
      </c>
      <c r="D23" s="39">
        <v>901000</v>
      </c>
      <c r="E23" s="27">
        <v>2.8899999999999999E-2</v>
      </c>
      <c r="F23" s="13">
        <v>1500</v>
      </c>
      <c r="G23" s="13">
        <v>1314720</v>
      </c>
      <c r="H23" s="14">
        <v>40512.672599999998</v>
      </c>
      <c r="I23" s="53">
        <v>29700</v>
      </c>
      <c r="J23" s="13">
        <v>0.11245792</v>
      </c>
      <c r="K23" s="14">
        <v>63707</v>
      </c>
      <c r="L23" s="14">
        <v>7594.2716850000006</v>
      </c>
      <c r="M23" s="39">
        <v>7618</v>
      </c>
      <c r="N23" s="41">
        <f>6203.528/M23</f>
        <v>0.81432501969020743</v>
      </c>
      <c r="O23" s="43">
        <v>7265</v>
      </c>
      <c r="P23" s="43">
        <f>4323.97/O23</f>
        <v>0.59517825189263596</v>
      </c>
      <c r="Q23" s="52">
        <v>4724</v>
      </c>
      <c r="R23" s="43">
        <f>1333.183/Q23</f>
        <v>0.28221486028789161</v>
      </c>
      <c r="S23" s="13">
        <v>35600.202499999999</v>
      </c>
      <c r="T23" s="13">
        <v>19503.44730815</v>
      </c>
      <c r="U23" s="39">
        <v>1935800</v>
      </c>
      <c r="V23" s="54">
        <v>1.5405782622171713E-2</v>
      </c>
      <c r="W23" s="39">
        <v>23430</v>
      </c>
      <c r="X23" s="16">
        <v>2723663.247</v>
      </c>
      <c r="Y23" s="39">
        <v>66045</v>
      </c>
      <c r="Z23" s="39">
        <v>1979</v>
      </c>
      <c r="AA23" s="13">
        <v>2.65</v>
      </c>
    </row>
    <row r="24" spans="1:27" x14ac:dyDescent="0.25">
      <c r="A24" t="s">
        <v>26</v>
      </c>
      <c r="B24" s="13">
        <v>11</v>
      </c>
      <c r="C24" s="13">
        <v>2020</v>
      </c>
      <c r="D24" s="39">
        <v>932868</v>
      </c>
      <c r="E24" s="27">
        <v>2.8899999999999999E-2</v>
      </c>
      <c r="F24" s="13">
        <v>1500</v>
      </c>
      <c r="G24" s="13">
        <v>1318536</v>
      </c>
      <c r="H24" s="14">
        <v>40625.907630000002</v>
      </c>
      <c r="I24" s="13">
        <v>35640</v>
      </c>
      <c r="J24" s="13">
        <v>0.11245792</v>
      </c>
      <c r="K24" s="14">
        <v>67568</v>
      </c>
      <c r="L24" s="14">
        <v>8054.5305750000007</v>
      </c>
      <c r="M24" s="39">
        <v>7970</v>
      </c>
      <c r="N24" s="41">
        <v>0.81140000000000001</v>
      </c>
      <c r="O24" s="43">
        <v>3183</v>
      </c>
      <c r="P24" s="43">
        <v>0.63644486</v>
      </c>
      <c r="Q24" s="52">
        <v>4310</v>
      </c>
      <c r="R24" s="43">
        <v>0.29126473000000003</v>
      </c>
      <c r="S24" s="13">
        <v>39256.720000000001</v>
      </c>
      <c r="T24" s="13">
        <v>21387.313054000002</v>
      </c>
      <c r="U24" s="39">
        <v>1370700</v>
      </c>
      <c r="V24" s="54">
        <v>1.549969E-2</v>
      </c>
      <c r="W24" s="39">
        <v>23430</v>
      </c>
      <c r="X24" s="16">
        <v>1991878.7471399996</v>
      </c>
      <c r="Y24" s="39">
        <v>54688</v>
      </c>
      <c r="Z24" s="39">
        <v>1891</v>
      </c>
      <c r="AA24" s="13">
        <v>2.65</v>
      </c>
    </row>
    <row r="25" spans="1:27" x14ac:dyDescent="0.25">
      <c r="A25" t="s">
        <v>26</v>
      </c>
      <c r="B25" s="13">
        <v>12</v>
      </c>
      <c r="C25" s="13">
        <v>2020</v>
      </c>
      <c r="D25" s="39">
        <v>903000</v>
      </c>
      <c r="E25" s="41">
        <v>2.8928849999999999E-2</v>
      </c>
      <c r="F25" s="13">
        <v>1500</v>
      </c>
      <c r="G25" s="13">
        <v>1260900</v>
      </c>
      <c r="H25" s="14">
        <v>38915.631374999997</v>
      </c>
      <c r="I25" s="13">
        <v>47520</v>
      </c>
      <c r="J25" s="13">
        <v>0.11245792</v>
      </c>
      <c r="K25" s="14">
        <v>67568</v>
      </c>
      <c r="L25" s="14">
        <v>8054.5305750000007</v>
      </c>
      <c r="M25" s="39">
        <v>8920</v>
      </c>
      <c r="N25" s="41">
        <v>0.80493587</v>
      </c>
      <c r="O25" s="13">
        <v>3085</v>
      </c>
      <c r="P25" s="13">
        <v>0.63877790000000001</v>
      </c>
      <c r="Q25" s="52">
        <v>4998</v>
      </c>
      <c r="R25" s="13">
        <v>0.27703481299999999</v>
      </c>
      <c r="S25" s="13">
        <v>36033.360000000001</v>
      </c>
      <c r="T25" s="13">
        <v>19545.714953999995</v>
      </c>
      <c r="U25" s="39">
        <v>901200</v>
      </c>
      <c r="V25" s="54">
        <v>1.5010652399999999E-2</v>
      </c>
      <c r="W25" s="39">
        <v>23430</v>
      </c>
      <c r="X25" s="16">
        <v>1419514.92612</v>
      </c>
      <c r="Y25" s="39">
        <v>45806</v>
      </c>
      <c r="Z25" s="39">
        <v>1920</v>
      </c>
      <c r="AA25" s="13">
        <v>2.65</v>
      </c>
    </row>
    <row r="26" spans="1:27" x14ac:dyDescent="0.25">
      <c r="A26" t="s">
        <v>26</v>
      </c>
      <c r="B26" s="13">
        <v>1</v>
      </c>
      <c r="C26" s="13">
        <v>2021</v>
      </c>
      <c r="D26" s="39">
        <v>861000</v>
      </c>
      <c r="E26" s="55">
        <v>2.8922900000000001E-2</v>
      </c>
      <c r="F26" s="13">
        <v>1500</v>
      </c>
      <c r="G26" s="13">
        <v>1033318</v>
      </c>
      <c r="H26" s="13">
        <v>31414</v>
      </c>
      <c r="I26" s="13">
        <v>59400</v>
      </c>
      <c r="J26" s="13">
        <v>0.11245792</v>
      </c>
      <c r="K26" s="13">
        <v>27656</v>
      </c>
      <c r="L26" s="13">
        <v>6342</v>
      </c>
      <c r="M26" s="39">
        <v>8469</v>
      </c>
      <c r="N26" s="56">
        <v>0.80679962199999999</v>
      </c>
      <c r="O26" s="13">
        <v>2076</v>
      </c>
      <c r="P26" s="13">
        <v>0.67344267822000003</v>
      </c>
      <c r="Q26" s="39">
        <v>4116</v>
      </c>
      <c r="R26" s="13">
        <v>0.29268027000000002</v>
      </c>
      <c r="S26" s="13">
        <v>20078</v>
      </c>
      <c r="T26" s="13">
        <v>11499.17</v>
      </c>
      <c r="U26" s="57">
        <v>647600</v>
      </c>
      <c r="V26" s="54">
        <v>1.4461642E-2</v>
      </c>
      <c r="W26" s="57">
        <v>22886.6</v>
      </c>
      <c r="X26" s="13">
        <v>1290388</v>
      </c>
      <c r="Y26" s="57">
        <v>36880.53</v>
      </c>
      <c r="Z26" s="39">
        <v>1082</v>
      </c>
      <c r="AA26" s="13">
        <v>2.65</v>
      </c>
    </row>
    <row r="27" spans="1:27" x14ac:dyDescent="0.25">
      <c r="A27" t="s">
        <v>26</v>
      </c>
      <c r="B27" s="13">
        <v>2</v>
      </c>
      <c r="C27" s="13">
        <v>2021</v>
      </c>
      <c r="D27" s="39">
        <v>678798</v>
      </c>
      <c r="E27" s="55">
        <v>2.8922900000000001E-2</v>
      </c>
      <c r="F27" s="13">
        <v>1500</v>
      </c>
      <c r="G27" s="13">
        <v>964086</v>
      </c>
      <c r="H27" s="13">
        <v>29410</v>
      </c>
      <c r="I27" s="13">
        <v>32670</v>
      </c>
      <c r="J27" s="13">
        <v>0.11245792</v>
      </c>
      <c r="K27" s="13">
        <v>26621</v>
      </c>
      <c r="L27" s="13">
        <v>6105</v>
      </c>
      <c r="M27" s="39">
        <v>6917</v>
      </c>
      <c r="N27" s="39">
        <v>0.81943999999999995</v>
      </c>
      <c r="O27" s="13">
        <v>1275</v>
      </c>
      <c r="P27" s="13">
        <v>0.70428259999999998</v>
      </c>
      <c r="Q27" s="39">
        <v>4192</v>
      </c>
      <c r="R27" s="13">
        <v>0.29095409999999999</v>
      </c>
      <c r="S27" s="13">
        <v>18739</v>
      </c>
      <c r="T27" s="13">
        <v>11078.39</v>
      </c>
      <c r="U27" s="39">
        <v>573200</v>
      </c>
      <c r="V27" s="39">
        <v>1.3964000000000001E-2</v>
      </c>
      <c r="W27" s="57">
        <v>22886.6</v>
      </c>
      <c r="X27" s="13">
        <v>1177701</v>
      </c>
      <c r="Y27" s="57">
        <v>34686</v>
      </c>
      <c r="Z27" s="57">
        <v>1041</v>
      </c>
      <c r="AA27" s="13">
        <v>2.65</v>
      </c>
    </row>
    <row r="28" spans="1:27" x14ac:dyDescent="0.25">
      <c r="A28" t="s">
        <v>26</v>
      </c>
      <c r="B28" s="13">
        <v>3</v>
      </c>
      <c r="C28" s="13">
        <v>2021</v>
      </c>
      <c r="D28" s="39">
        <v>700000</v>
      </c>
      <c r="E28" s="55">
        <v>2.8923600000000001E-2</v>
      </c>
      <c r="F28" s="13">
        <v>1500</v>
      </c>
      <c r="G28" s="14">
        <v>1005597.82</v>
      </c>
      <c r="H28" s="58">
        <v>30612.056889</v>
      </c>
      <c r="I28" s="13">
        <v>41580</v>
      </c>
      <c r="J28" s="13">
        <v>0.11245792</v>
      </c>
      <c r="K28" s="13">
        <v>25210</v>
      </c>
      <c r="L28" s="13">
        <v>5781</v>
      </c>
      <c r="M28" s="39">
        <v>10637</v>
      </c>
      <c r="N28" s="54">
        <v>0.79508000000000001</v>
      </c>
      <c r="O28" s="13">
        <v>2934</v>
      </c>
      <c r="P28" s="13">
        <v>0.64114550000000003</v>
      </c>
      <c r="Q28" s="39">
        <v>5177</v>
      </c>
      <c r="R28" s="13">
        <v>0.21736</v>
      </c>
      <c r="S28" s="13">
        <v>20549</v>
      </c>
      <c r="T28" s="13">
        <v>12484.32</v>
      </c>
      <c r="U28" s="39">
        <v>906200</v>
      </c>
      <c r="V28" s="39">
        <v>1.5198E-2</v>
      </c>
      <c r="W28" s="57">
        <v>22886.6</v>
      </c>
      <c r="X28" s="13">
        <v>1287195</v>
      </c>
      <c r="Y28" s="39">
        <v>38119</v>
      </c>
      <c r="Z28" s="39">
        <v>3528</v>
      </c>
      <c r="AA28" s="13">
        <v>2.65</v>
      </c>
    </row>
    <row r="29" spans="1:27" x14ac:dyDescent="0.25">
      <c r="A29" t="s">
        <v>26</v>
      </c>
      <c r="B29" s="13">
        <v>4</v>
      </c>
      <c r="C29" s="13">
        <v>2021</v>
      </c>
      <c r="D29" s="39">
        <v>871434</v>
      </c>
      <c r="E29" s="55">
        <v>2.8923600000000001E-2</v>
      </c>
      <c r="F29" s="13">
        <v>1500</v>
      </c>
      <c r="G29" s="13">
        <v>1510455</v>
      </c>
      <c r="H29" s="13">
        <v>33394</v>
      </c>
      <c r="I29" s="13">
        <v>38610</v>
      </c>
      <c r="J29" s="13">
        <v>0.11245792</v>
      </c>
      <c r="K29" s="13">
        <v>26145</v>
      </c>
      <c r="L29" s="13">
        <v>5996</v>
      </c>
      <c r="M29" s="39">
        <v>9508</v>
      </c>
      <c r="N29" s="39">
        <v>0.80095300000000003</v>
      </c>
      <c r="O29" s="13">
        <v>3921</v>
      </c>
      <c r="P29" s="13">
        <v>0.62146999999999997</v>
      </c>
      <c r="Q29" s="39">
        <v>5020</v>
      </c>
      <c r="R29" s="13">
        <v>0.27392</v>
      </c>
      <c r="S29" s="13">
        <v>24739</v>
      </c>
      <c r="T29" s="13">
        <v>14381.53</v>
      </c>
      <c r="U29" s="39">
        <v>1243000</v>
      </c>
      <c r="V29" s="39">
        <v>1.5656E-2</v>
      </c>
      <c r="W29" s="57">
        <v>22886.6</v>
      </c>
      <c r="X29" s="13">
        <v>1510455</v>
      </c>
      <c r="Y29" s="39">
        <v>44539</v>
      </c>
      <c r="Z29" s="39">
        <v>2640</v>
      </c>
      <c r="AA29" s="13">
        <v>2.65</v>
      </c>
    </row>
    <row r="30" spans="1:27" x14ac:dyDescent="0.25">
      <c r="A30" t="s">
        <v>26</v>
      </c>
      <c r="B30" s="13">
        <v>5</v>
      </c>
      <c r="C30" s="13">
        <v>2021</v>
      </c>
      <c r="D30" s="39">
        <v>963856</v>
      </c>
      <c r="E30" s="55">
        <v>2.9000000000000001E-2</v>
      </c>
      <c r="F30" s="13">
        <v>1500</v>
      </c>
      <c r="G30" s="13">
        <v>1659519</v>
      </c>
      <c r="H30" s="14">
        <v>33743.876892450004</v>
      </c>
      <c r="I30" s="13">
        <v>41580</v>
      </c>
      <c r="J30" s="13">
        <v>0.11245792</v>
      </c>
      <c r="K30" s="13">
        <v>14940</v>
      </c>
      <c r="L30" s="13">
        <v>4008</v>
      </c>
      <c r="M30" s="39">
        <v>9225</v>
      </c>
      <c r="N30" s="54">
        <v>0.80214525739999998</v>
      </c>
      <c r="O30" s="13">
        <v>6489</v>
      </c>
      <c r="P30" s="13">
        <v>0.59833000000000003</v>
      </c>
      <c r="Q30" s="39">
        <v>5701</v>
      </c>
      <c r="R30" s="13">
        <v>0.26369999999999999</v>
      </c>
      <c r="S30" s="13">
        <v>22718</v>
      </c>
      <c r="T30" s="13">
        <v>13401.47</v>
      </c>
      <c r="U30" s="39">
        <v>1928600</v>
      </c>
      <c r="V30" s="39">
        <v>1.5434E-2</v>
      </c>
      <c r="W30" s="39">
        <v>22887</v>
      </c>
      <c r="X30" s="13">
        <v>1659519</v>
      </c>
      <c r="Y30" s="57">
        <v>51458.34</v>
      </c>
      <c r="Z30" s="39">
        <v>2613</v>
      </c>
      <c r="AA30" s="13">
        <v>2.65</v>
      </c>
    </row>
    <row r="31" spans="1:27" x14ac:dyDescent="0.25">
      <c r="A31" t="s">
        <v>26</v>
      </c>
      <c r="B31" s="13">
        <v>6</v>
      </c>
      <c r="C31" s="13">
        <v>2021</v>
      </c>
      <c r="D31" s="39">
        <v>638000</v>
      </c>
      <c r="E31" s="39">
        <v>2.8902600000000001E-2</v>
      </c>
      <c r="F31" s="13">
        <v>1500</v>
      </c>
      <c r="G31" s="13">
        <v>2020549</v>
      </c>
      <c r="H31" s="14">
        <v>36709.769999999997</v>
      </c>
      <c r="I31" s="13">
        <v>23760</v>
      </c>
      <c r="J31" s="13">
        <v>0.11245792</v>
      </c>
      <c r="K31" s="13">
        <v>17430</v>
      </c>
      <c r="L31" s="13">
        <v>3997</v>
      </c>
      <c r="M31" s="39">
        <v>3055</v>
      </c>
      <c r="N31" s="39">
        <v>0.90764648000000003</v>
      </c>
      <c r="O31" s="13">
        <v>8844</v>
      </c>
      <c r="P31" s="13">
        <v>0.58892480000000003</v>
      </c>
      <c r="Q31" s="39">
        <v>2388</v>
      </c>
      <c r="R31" s="13">
        <v>0.36873</v>
      </c>
      <c r="S31" s="13">
        <v>30377</v>
      </c>
      <c r="T31" s="13">
        <v>16981.71</v>
      </c>
      <c r="U31" s="39">
        <v>1609200</v>
      </c>
      <c r="V31" s="39">
        <v>1.5602039999999999E-2</v>
      </c>
      <c r="W31" s="57">
        <v>22886.6</v>
      </c>
      <c r="X31" s="13">
        <v>2020549</v>
      </c>
      <c r="Y31" s="57">
        <v>64516.67</v>
      </c>
      <c r="Z31" s="39">
        <v>812</v>
      </c>
      <c r="AA31" s="13">
        <v>2.65</v>
      </c>
    </row>
    <row r="32" spans="1:27" x14ac:dyDescent="0.25">
      <c r="A32" t="s">
        <v>26</v>
      </c>
      <c r="B32" s="13">
        <v>7</v>
      </c>
      <c r="C32" s="13">
        <v>2021</v>
      </c>
      <c r="D32" s="39">
        <v>1059000</v>
      </c>
      <c r="E32" s="39">
        <v>2.8938999999999999E-2</v>
      </c>
      <c r="F32" s="13">
        <v>1500</v>
      </c>
      <c r="G32" s="14">
        <v>1176389.287</v>
      </c>
      <c r="H32" s="14">
        <v>38179</v>
      </c>
      <c r="I32" s="13">
        <v>47520</v>
      </c>
      <c r="J32" s="13">
        <v>0.11245792</v>
      </c>
      <c r="K32" s="13">
        <v>17430</v>
      </c>
      <c r="L32" s="13">
        <v>3997</v>
      </c>
      <c r="M32" s="39">
        <v>11764</v>
      </c>
      <c r="N32" s="39">
        <v>0.79089849999999995</v>
      </c>
      <c r="O32" s="13">
        <v>6676</v>
      </c>
      <c r="P32" s="13">
        <v>0.59733999999999998</v>
      </c>
      <c r="Q32" s="39">
        <v>7327</v>
      </c>
      <c r="R32" s="13">
        <v>0.24690300000000001</v>
      </c>
      <c r="S32" s="14">
        <v>29718</v>
      </c>
      <c r="T32" s="13">
        <v>16775.72</v>
      </c>
      <c r="U32" s="59">
        <v>3132900</v>
      </c>
      <c r="V32" s="39">
        <v>1.5630479999999999E-2</v>
      </c>
      <c r="W32" s="39">
        <v>22886</v>
      </c>
      <c r="X32" s="13">
        <v>2157301</v>
      </c>
      <c r="Y32" s="39">
        <v>68858</v>
      </c>
      <c r="Z32" s="39">
        <v>4191</v>
      </c>
      <c r="AA32" s="13">
        <v>2.65</v>
      </c>
    </row>
    <row r="33" spans="1:27" x14ac:dyDescent="0.25">
      <c r="A33" t="s">
        <v>26</v>
      </c>
      <c r="B33" s="13">
        <v>8</v>
      </c>
      <c r="C33" s="13">
        <v>2021</v>
      </c>
      <c r="D33" s="39">
        <v>1209000</v>
      </c>
      <c r="E33" s="39">
        <v>2.894685E-2</v>
      </c>
      <c r="F33" s="13">
        <v>1500</v>
      </c>
      <c r="G33" s="13">
        <v>1201398</v>
      </c>
      <c r="H33" s="14">
        <v>35556</v>
      </c>
      <c r="I33" s="13">
        <v>44550</v>
      </c>
      <c r="J33" s="13">
        <v>0.11245792</v>
      </c>
      <c r="K33" s="13">
        <v>17430</v>
      </c>
      <c r="L33" s="13">
        <v>3997</v>
      </c>
      <c r="M33" s="61">
        <v>15468</v>
      </c>
      <c r="N33" s="61">
        <v>0.78109904299999999</v>
      </c>
      <c r="O33" s="60">
        <v>6317</v>
      </c>
      <c r="P33" s="60">
        <v>0.59928999999999999</v>
      </c>
      <c r="Q33" s="61">
        <v>10689</v>
      </c>
      <c r="R33" s="60">
        <v>0.386436</v>
      </c>
      <c r="S33" s="60">
        <v>28756</v>
      </c>
      <c r="T33" s="13">
        <v>15913.45</v>
      </c>
      <c r="U33" s="39">
        <v>3301200</v>
      </c>
      <c r="V33" s="39">
        <v>1.6230430000000001E-2</v>
      </c>
      <c r="W33" s="39">
        <v>22886</v>
      </c>
      <c r="X33" s="13">
        <v>2056692</v>
      </c>
      <c r="Y33" s="57">
        <v>68353.64</v>
      </c>
      <c r="Z33" s="39">
        <v>5785</v>
      </c>
      <c r="AA33" s="13">
        <v>2.65</v>
      </c>
    </row>
    <row r="34" spans="1:27" x14ac:dyDescent="0.25">
      <c r="A34" t="s">
        <v>26</v>
      </c>
      <c r="B34" s="13">
        <v>9</v>
      </c>
      <c r="C34" s="13">
        <v>2021</v>
      </c>
      <c r="D34" s="39">
        <v>1266773</v>
      </c>
      <c r="E34" s="62">
        <v>2.9000002E-2</v>
      </c>
      <c r="F34" s="13">
        <v>1500</v>
      </c>
      <c r="G34" s="13">
        <v>1075058</v>
      </c>
      <c r="H34" s="13">
        <v>36280</v>
      </c>
      <c r="I34" s="13">
        <v>50490</v>
      </c>
      <c r="J34" s="13">
        <v>0.11245792</v>
      </c>
      <c r="K34" s="13">
        <v>22410</v>
      </c>
      <c r="L34" s="13">
        <v>5139</v>
      </c>
      <c r="M34" s="61">
        <v>13320</v>
      </c>
      <c r="N34" s="61">
        <v>0.78611379999999997</v>
      </c>
      <c r="O34" s="60">
        <v>5892</v>
      </c>
      <c r="P34" s="60">
        <v>0.60191360000000005</v>
      </c>
      <c r="Q34" s="61">
        <v>9600</v>
      </c>
      <c r="R34" s="60">
        <v>0.23295660000000001</v>
      </c>
      <c r="S34" s="60">
        <v>27036</v>
      </c>
      <c r="T34" s="13">
        <v>15048.6</v>
      </c>
      <c r="U34" s="39">
        <v>3046800</v>
      </c>
      <c r="V34" s="39">
        <v>1.45641E-2</v>
      </c>
      <c r="W34" s="39">
        <v>22886</v>
      </c>
      <c r="X34" s="13">
        <v>2112288</v>
      </c>
      <c r="Y34" s="39">
        <v>69898</v>
      </c>
      <c r="Z34" s="39">
        <v>5241</v>
      </c>
      <c r="AA34" s="13">
        <v>2.65</v>
      </c>
    </row>
    <row r="35" spans="1:27" x14ac:dyDescent="0.25">
      <c r="A35" t="s">
        <v>26</v>
      </c>
      <c r="B35" s="13">
        <v>10</v>
      </c>
      <c r="C35" s="13">
        <v>2021</v>
      </c>
      <c r="D35" s="39">
        <v>1230000</v>
      </c>
      <c r="E35" s="39">
        <v>3.3873599999999997E-2</v>
      </c>
      <c r="F35" s="13">
        <v>1500</v>
      </c>
      <c r="G35" s="13">
        <v>1075058</v>
      </c>
      <c r="H35" s="13">
        <v>32622</v>
      </c>
      <c r="I35" s="13">
        <v>50490</v>
      </c>
      <c r="J35" s="13">
        <v>0.11245792</v>
      </c>
      <c r="K35" s="13">
        <v>18675</v>
      </c>
      <c r="L35" s="13">
        <v>4283</v>
      </c>
      <c r="M35" s="39">
        <v>13733</v>
      </c>
      <c r="N35" s="39">
        <v>0.78502802999999999</v>
      </c>
      <c r="O35" s="13">
        <v>4537</v>
      </c>
      <c r="P35" s="13">
        <v>0.61353500000000005</v>
      </c>
      <c r="Q35" s="39">
        <v>9458</v>
      </c>
      <c r="R35" s="13">
        <v>0.2336318</v>
      </c>
      <c r="S35" s="13">
        <v>30213</v>
      </c>
      <c r="T35" s="13">
        <v>16566.95</v>
      </c>
      <c r="U35" s="39">
        <f>2664.5*1000</f>
        <v>2664500</v>
      </c>
      <c r="V35" s="39">
        <v>1.5661738000000001E-2</v>
      </c>
      <c r="W35" s="39">
        <v>22886</v>
      </c>
      <c r="X35" s="13">
        <v>1926072</v>
      </c>
      <c r="Y35" s="57">
        <v>66874.54500141149</v>
      </c>
      <c r="Z35" s="39">
        <v>4753</v>
      </c>
      <c r="AA35" s="13">
        <v>2.65</v>
      </c>
    </row>
    <row r="36" spans="1:27" x14ac:dyDescent="0.25">
      <c r="A36" t="s">
        <v>26</v>
      </c>
      <c r="B36" s="13">
        <v>11</v>
      </c>
      <c r="C36" s="13">
        <v>2021</v>
      </c>
      <c r="D36" s="39">
        <v>1144000</v>
      </c>
      <c r="E36" s="39">
        <v>2.8947569999999999E-2</v>
      </c>
      <c r="F36" s="13">
        <v>1500</v>
      </c>
      <c r="G36" s="14">
        <v>1184097.4280000001</v>
      </c>
      <c r="H36" s="14">
        <v>35779.620540600001</v>
      </c>
      <c r="I36" s="13">
        <v>59400</v>
      </c>
      <c r="J36" s="13">
        <v>0.11245792</v>
      </c>
      <c r="K36" s="13">
        <v>21165</v>
      </c>
      <c r="L36" s="13">
        <v>4854</v>
      </c>
      <c r="M36" s="39">
        <v>14820</v>
      </c>
      <c r="N36" s="39">
        <v>0.78245799999999999</v>
      </c>
      <c r="O36" s="13">
        <v>2158</v>
      </c>
      <c r="P36" s="13">
        <v>0.66924600000000001</v>
      </c>
      <c r="Q36" s="39">
        <v>8456</v>
      </c>
      <c r="R36" s="13">
        <v>0.239038</v>
      </c>
      <c r="S36" s="13">
        <v>27954</v>
      </c>
      <c r="T36" s="13">
        <v>16245.48</v>
      </c>
      <c r="U36" s="39">
        <v>1878700</v>
      </c>
      <c r="V36" s="39">
        <v>1.5812455E-2</v>
      </c>
      <c r="W36" s="39">
        <v>22886</v>
      </c>
      <c r="X36" s="13">
        <v>1654033</v>
      </c>
      <c r="Y36" s="30">
        <v>47630.213551646782</v>
      </c>
      <c r="Z36" s="39">
        <v>5740</v>
      </c>
      <c r="AA36" s="13">
        <v>2.65</v>
      </c>
    </row>
    <row r="37" spans="1:27" x14ac:dyDescent="0.25">
      <c r="A37" t="s">
        <v>26</v>
      </c>
      <c r="B37" s="13">
        <v>12</v>
      </c>
      <c r="C37" s="13">
        <v>2021</v>
      </c>
      <c r="D37" s="39">
        <v>1120000</v>
      </c>
      <c r="E37" s="39">
        <v>2.8944535E-2</v>
      </c>
      <c r="F37" s="13">
        <v>1500</v>
      </c>
      <c r="G37" s="14">
        <v>1110482.807</v>
      </c>
      <c r="H37" s="14">
        <v>33648.477262650005</v>
      </c>
      <c r="I37" s="13">
        <v>71280</v>
      </c>
      <c r="J37" s="13">
        <v>0.11245792</v>
      </c>
      <c r="K37" s="13">
        <v>34860</v>
      </c>
      <c r="L37" s="13">
        <v>7995</v>
      </c>
      <c r="M37" s="39">
        <v>14807</v>
      </c>
      <c r="N37" s="39">
        <v>0.78248700000000004</v>
      </c>
      <c r="O37" s="13">
        <v>1436</v>
      </c>
      <c r="P37" s="13">
        <v>0.722665</v>
      </c>
      <c r="Q37" s="39">
        <v>8720</v>
      </c>
      <c r="R37" s="13">
        <v>0.23752000000000001</v>
      </c>
      <c r="S37" s="13">
        <v>27457</v>
      </c>
      <c r="T37" s="13">
        <v>15031.3</v>
      </c>
      <c r="U37" s="63">
        <v>1189000</v>
      </c>
      <c r="V37" s="64">
        <v>1.4834200000000001E-2</v>
      </c>
      <c r="W37" s="39">
        <v>22886</v>
      </c>
      <c r="X37" s="13">
        <v>1425969</v>
      </c>
      <c r="Y37" s="39">
        <v>39830</v>
      </c>
      <c r="Z37" s="39">
        <v>4593</v>
      </c>
      <c r="AA37" s="13">
        <v>2.65</v>
      </c>
    </row>
    <row r="38" spans="1:27" x14ac:dyDescent="0.25">
      <c r="A38" t="s">
        <v>26</v>
      </c>
      <c r="B38" s="13">
        <v>1</v>
      </c>
      <c r="C38" s="13">
        <v>2022</v>
      </c>
      <c r="D38" s="39">
        <v>1150000</v>
      </c>
      <c r="E38" s="39">
        <v>2.8942269999999999E-2</v>
      </c>
      <c r="F38" s="13">
        <v>1500</v>
      </c>
      <c r="G38" s="13">
        <v>1124518</v>
      </c>
      <c r="H38" s="14">
        <v>34054.7961</v>
      </c>
      <c r="I38" s="13">
        <v>74250</v>
      </c>
      <c r="J38" s="13">
        <v>0.11245792</v>
      </c>
      <c r="K38" s="13">
        <v>35152</v>
      </c>
      <c r="L38" s="14">
        <v>8062.1147152000003</v>
      </c>
      <c r="M38" s="39">
        <v>12839</v>
      </c>
      <c r="N38" s="39">
        <v>0.72313380000000005</v>
      </c>
      <c r="O38" s="13">
        <v>773</v>
      </c>
      <c r="P38" s="13">
        <v>0.4361659</v>
      </c>
      <c r="Q38" s="39">
        <v>8044</v>
      </c>
      <c r="R38" s="13">
        <v>0.24165340599999999</v>
      </c>
      <c r="S38" s="13">
        <v>29183</v>
      </c>
      <c r="T38" s="13">
        <v>16114.32</v>
      </c>
      <c r="U38" s="63">
        <v>832200</v>
      </c>
      <c r="V38" s="65">
        <v>1.5138344099999999E-2</v>
      </c>
      <c r="W38" s="57">
        <v>22752.400000000001</v>
      </c>
      <c r="X38" s="13">
        <v>1392066</v>
      </c>
      <c r="Y38" s="39">
        <v>37409</v>
      </c>
      <c r="Z38" s="39">
        <v>3413</v>
      </c>
      <c r="AA38" s="13">
        <v>2.65</v>
      </c>
    </row>
    <row r="39" spans="1:27" x14ac:dyDescent="0.25">
      <c r="A39" t="s">
        <v>26</v>
      </c>
      <c r="B39" s="13">
        <v>2</v>
      </c>
      <c r="C39" s="13">
        <v>2022</v>
      </c>
      <c r="D39" s="39">
        <v>1005000</v>
      </c>
      <c r="E39" s="39">
        <v>2.8940319999999999E-2</v>
      </c>
      <c r="F39" s="13">
        <v>1500</v>
      </c>
      <c r="G39" s="13">
        <v>1024534</v>
      </c>
      <c r="H39" s="13">
        <v>31160</v>
      </c>
      <c r="I39" s="13">
        <v>68310</v>
      </c>
      <c r="J39" s="13">
        <v>0.11245792</v>
      </c>
      <c r="K39" s="13">
        <v>29322</v>
      </c>
      <c r="L39" s="13">
        <v>6724</v>
      </c>
      <c r="M39" s="66">
        <v>11977</v>
      </c>
      <c r="N39" s="39">
        <v>0.78978791999999998</v>
      </c>
      <c r="O39" s="13">
        <v>1328</v>
      </c>
      <c r="P39" s="13">
        <v>0.73226400000000003</v>
      </c>
      <c r="Q39" s="39">
        <v>7089</v>
      </c>
      <c r="R39" s="13">
        <v>0.24888136</v>
      </c>
      <c r="S39" s="13">
        <v>23512</v>
      </c>
      <c r="T39" s="13">
        <v>13587.61</v>
      </c>
      <c r="U39" s="24">
        <v>844200</v>
      </c>
      <c r="V39" s="65">
        <v>1.5849452699999999E-2</v>
      </c>
      <c r="W39" s="39">
        <v>22572</v>
      </c>
      <c r="X39" s="13">
        <v>1238531</v>
      </c>
      <c r="Y39" s="39">
        <v>34705</v>
      </c>
      <c r="Z39" s="39">
        <v>3987</v>
      </c>
      <c r="AA39" s="13">
        <v>2.65</v>
      </c>
    </row>
    <row r="40" spans="1:27" x14ac:dyDescent="0.25">
      <c r="M40" s="24"/>
      <c r="U40" s="24"/>
      <c r="V40" s="25"/>
    </row>
    <row r="41" spans="1:27" x14ac:dyDescent="0.25">
      <c r="U41" s="24"/>
      <c r="V41" s="25"/>
    </row>
    <row r="42" spans="1:27" x14ac:dyDescent="0.25">
      <c r="U42" s="23"/>
      <c r="V42" s="26"/>
    </row>
    <row r="43" spans="1:27" x14ac:dyDescent="0.25">
      <c r="U43" s="24"/>
      <c r="V43" s="26"/>
    </row>
    <row r="44" spans="1:27" x14ac:dyDescent="0.25">
      <c r="U44" s="24"/>
      <c r="V44" s="26"/>
    </row>
    <row r="45" spans="1:27" x14ac:dyDescent="0.25">
      <c r="U45" s="24"/>
      <c r="V45" s="2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K16"/>
  <sheetViews>
    <sheetView workbookViewId="0">
      <selection activeCell="J5" sqref="J5"/>
    </sheetView>
  </sheetViews>
  <sheetFormatPr defaultRowHeight="15" x14ac:dyDescent="0.25"/>
  <cols>
    <col min="1" max="7" width="9.140625" style="3"/>
    <col min="8" max="8" width="14.5703125" style="3" customWidth="1"/>
    <col min="9" max="9" width="19.42578125" style="3" customWidth="1"/>
    <col min="10" max="10" width="18.5703125" style="3" customWidth="1"/>
    <col min="11" max="11" width="21.140625" style="3" customWidth="1"/>
    <col min="12" max="263" width="9.140625" style="3"/>
    <col min="264" max="264" width="14.5703125" style="3" customWidth="1"/>
    <col min="265" max="265" width="19.42578125" style="3" customWidth="1"/>
    <col min="266" max="266" width="18.5703125" style="3" customWidth="1"/>
    <col min="267" max="267" width="21.140625" style="3" customWidth="1"/>
    <col min="268" max="519" width="9.140625" style="3"/>
    <col min="520" max="520" width="14.5703125" style="3" customWidth="1"/>
    <col min="521" max="521" width="19.42578125" style="3" customWidth="1"/>
    <col min="522" max="522" width="18.5703125" style="3" customWidth="1"/>
    <col min="523" max="523" width="21.140625" style="3" customWidth="1"/>
    <col min="524" max="775" width="9.140625" style="3"/>
    <col min="776" max="776" width="14.5703125" style="3" customWidth="1"/>
    <col min="777" max="777" width="19.42578125" style="3" customWidth="1"/>
    <col min="778" max="778" width="18.5703125" style="3" customWidth="1"/>
    <col min="779" max="779" width="21.140625" style="3" customWidth="1"/>
    <col min="780" max="1031" width="9.140625" style="3"/>
    <col min="1032" max="1032" width="14.5703125" style="3" customWidth="1"/>
    <col min="1033" max="1033" width="19.42578125" style="3" customWidth="1"/>
    <col min="1034" max="1034" width="18.5703125" style="3" customWidth="1"/>
    <col min="1035" max="1035" width="21.140625" style="3" customWidth="1"/>
    <col min="1036" max="1287" width="9.140625" style="3"/>
    <col min="1288" max="1288" width="14.5703125" style="3" customWidth="1"/>
    <col min="1289" max="1289" width="19.42578125" style="3" customWidth="1"/>
    <col min="1290" max="1290" width="18.5703125" style="3" customWidth="1"/>
    <col min="1291" max="1291" width="21.140625" style="3" customWidth="1"/>
    <col min="1292" max="1543" width="9.140625" style="3"/>
    <col min="1544" max="1544" width="14.5703125" style="3" customWidth="1"/>
    <col min="1545" max="1545" width="19.42578125" style="3" customWidth="1"/>
    <col min="1546" max="1546" width="18.5703125" style="3" customWidth="1"/>
    <col min="1547" max="1547" width="21.140625" style="3" customWidth="1"/>
    <col min="1548" max="1799" width="9.140625" style="3"/>
    <col min="1800" max="1800" width="14.5703125" style="3" customWidth="1"/>
    <col min="1801" max="1801" width="19.42578125" style="3" customWidth="1"/>
    <col min="1802" max="1802" width="18.5703125" style="3" customWidth="1"/>
    <col min="1803" max="1803" width="21.140625" style="3" customWidth="1"/>
    <col min="1804" max="2055" width="9.140625" style="3"/>
    <col min="2056" max="2056" width="14.5703125" style="3" customWidth="1"/>
    <col min="2057" max="2057" width="19.42578125" style="3" customWidth="1"/>
    <col min="2058" max="2058" width="18.5703125" style="3" customWidth="1"/>
    <col min="2059" max="2059" width="21.140625" style="3" customWidth="1"/>
    <col min="2060" max="2311" width="9.140625" style="3"/>
    <col min="2312" max="2312" width="14.5703125" style="3" customWidth="1"/>
    <col min="2313" max="2313" width="19.42578125" style="3" customWidth="1"/>
    <col min="2314" max="2314" width="18.5703125" style="3" customWidth="1"/>
    <col min="2315" max="2315" width="21.140625" style="3" customWidth="1"/>
    <col min="2316" max="2567" width="9.140625" style="3"/>
    <col min="2568" max="2568" width="14.5703125" style="3" customWidth="1"/>
    <col min="2569" max="2569" width="19.42578125" style="3" customWidth="1"/>
    <col min="2570" max="2570" width="18.5703125" style="3" customWidth="1"/>
    <col min="2571" max="2571" width="21.140625" style="3" customWidth="1"/>
    <col min="2572" max="2823" width="9.140625" style="3"/>
    <col min="2824" max="2824" width="14.5703125" style="3" customWidth="1"/>
    <col min="2825" max="2825" width="19.42578125" style="3" customWidth="1"/>
    <col min="2826" max="2826" width="18.5703125" style="3" customWidth="1"/>
    <col min="2827" max="2827" width="21.140625" style="3" customWidth="1"/>
    <col min="2828" max="3079" width="9.140625" style="3"/>
    <col min="3080" max="3080" width="14.5703125" style="3" customWidth="1"/>
    <col min="3081" max="3081" width="19.42578125" style="3" customWidth="1"/>
    <col min="3082" max="3082" width="18.5703125" style="3" customWidth="1"/>
    <col min="3083" max="3083" width="21.140625" style="3" customWidth="1"/>
    <col min="3084" max="3335" width="9.140625" style="3"/>
    <col min="3336" max="3336" width="14.5703125" style="3" customWidth="1"/>
    <col min="3337" max="3337" width="19.42578125" style="3" customWidth="1"/>
    <col min="3338" max="3338" width="18.5703125" style="3" customWidth="1"/>
    <col min="3339" max="3339" width="21.140625" style="3" customWidth="1"/>
    <col min="3340" max="3591" width="9.140625" style="3"/>
    <col min="3592" max="3592" width="14.5703125" style="3" customWidth="1"/>
    <col min="3593" max="3593" width="19.42578125" style="3" customWidth="1"/>
    <col min="3594" max="3594" width="18.5703125" style="3" customWidth="1"/>
    <col min="3595" max="3595" width="21.140625" style="3" customWidth="1"/>
    <col min="3596" max="3847" width="9.140625" style="3"/>
    <col min="3848" max="3848" width="14.5703125" style="3" customWidth="1"/>
    <col min="3849" max="3849" width="19.42578125" style="3" customWidth="1"/>
    <col min="3850" max="3850" width="18.5703125" style="3" customWidth="1"/>
    <col min="3851" max="3851" width="21.140625" style="3" customWidth="1"/>
    <col min="3852" max="4103" width="9.140625" style="3"/>
    <col min="4104" max="4104" width="14.5703125" style="3" customWidth="1"/>
    <col min="4105" max="4105" width="19.42578125" style="3" customWidth="1"/>
    <col min="4106" max="4106" width="18.5703125" style="3" customWidth="1"/>
    <col min="4107" max="4107" width="21.140625" style="3" customWidth="1"/>
    <col min="4108" max="4359" width="9.140625" style="3"/>
    <col min="4360" max="4360" width="14.5703125" style="3" customWidth="1"/>
    <col min="4361" max="4361" width="19.42578125" style="3" customWidth="1"/>
    <col min="4362" max="4362" width="18.5703125" style="3" customWidth="1"/>
    <col min="4363" max="4363" width="21.140625" style="3" customWidth="1"/>
    <col min="4364" max="4615" width="9.140625" style="3"/>
    <col min="4616" max="4616" width="14.5703125" style="3" customWidth="1"/>
    <col min="4617" max="4617" width="19.42578125" style="3" customWidth="1"/>
    <col min="4618" max="4618" width="18.5703125" style="3" customWidth="1"/>
    <col min="4619" max="4619" width="21.140625" style="3" customWidth="1"/>
    <col min="4620" max="4871" width="9.140625" style="3"/>
    <col min="4872" max="4872" width="14.5703125" style="3" customWidth="1"/>
    <col min="4873" max="4873" width="19.42578125" style="3" customWidth="1"/>
    <col min="4874" max="4874" width="18.5703125" style="3" customWidth="1"/>
    <col min="4875" max="4875" width="21.140625" style="3" customWidth="1"/>
    <col min="4876" max="5127" width="9.140625" style="3"/>
    <col min="5128" max="5128" width="14.5703125" style="3" customWidth="1"/>
    <col min="5129" max="5129" width="19.42578125" style="3" customWidth="1"/>
    <col min="5130" max="5130" width="18.5703125" style="3" customWidth="1"/>
    <col min="5131" max="5131" width="21.140625" style="3" customWidth="1"/>
    <col min="5132" max="5383" width="9.140625" style="3"/>
    <col min="5384" max="5384" width="14.5703125" style="3" customWidth="1"/>
    <col min="5385" max="5385" width="19.42578125" style="3" customWidth="1"/>
    <col min="5386" max="5386" width="18.5703125" style="3" customWidth="1"/>
    <col min="5387" max="5387" width="21.140625" style="3" customWidth="1"/>
    <col min="5388" max="5639" width="9.140625" style="3"/>
    <col min="5640" max="5640" width="14.5703125" style="3" customWidth="1"/>
    <col min="5641" max="5641" width="19.42578125" style="3" customWidth="1"/>
    <col min="5642" max="5642" width="18.5703125" style="3" customWidth="1"/>
    <col min="5643" max="5643" width="21.140625" style="3" customWidth="1"/>
    <col min="5644" max="5895" width="9.140625" style="3"/>
    <col min="5896" max="5896" width="14.5703125" style="3" customWidth="1"/>
    <col min="5897" max="5897" width="19.42578125" style="3" customWidth="1"/>
    <col min="5898" max="5898" width="18.5703125" style="3" customWidth="1"/>
    <col min="5899" max="5899" width="21.140625" style="3" customWidth="1"/>
    <col min="5900" max="6151" width="9.140625" style="3"/>
    <col min="6152" max="6152" width="14.5703125" style="3" customWidth="1"/>
    <col min="6153" max="6153" width="19.42578125" style="3" customWidth="1"/>
    <col min="6154" max="6154" width="18.5703125" style="3" customWidth="1"/>
    <col min="6155" max="6155" width="21.140625" style="3" customWidth="1"/>
    <col min="6156" max="6407" width="9.140625" style="3"/>
    <col min="6408" max="6408" width="14.5703125" style="3" customWidth="1"/>
    <col min="6409" max="6409" width="19.42578125" style="3" customWidth="1"/>
    <col min="6410" max="6410" width="18.5703125" style="3" customWidth="1"/>
    <col min="6411" max="6411" width="21.140625" style="3" customWidth="1"/>
    <col min="6412" max="6663" width="9.140625" style="3"/>
    <col min="6664" max="6664" width="14.5703125" style="3" customWidth="1"/>
    <col min="6665" max="6665" width="19.42578125" style="3" customWidth="1"/>
    <col min="6666" max="6666" width="18.5703125" style="3" customWidth="1"/>
    <col min="6667" max="6667" width="21.140625" style="3" customWidth="1"/>
    <col min="6668" max="6919" width="9.140625" style="3"/>
    <col min="6920" max="6920" width="14.5703125" style="3" customWidth="1"/>
    <col min="6921" max="6921" width="19.42578125" style="3" customWidth="1"/>
    <col min="6922" max="6922" width="18.5703125" style="3" customWidth="1"/>
    <col min="6923" max="6923" width="21.140625" style="3" customWidth="1"/>
    <col min="6924" max="7175" width="9.140625" style="3"/>
    <col min="7176" max="7176" width="14.5703125" style="3" customWidth="1"/>
    <col min="7177" max="7177" width="19.42578125" style="3" customWidth="1"/>
    <col min="7178" max="7178" width="18.5703125" style="3" customWidth="1"/>
    <col min="7179" max="7179" width="21.140625" style="3" customWidth="1"/>
    <col min="7180" max="7431" width="9.140625" style="3"/>
    <col min="7432" max="7432" width="14.5703125" style="3" customWidth="1"/>
    <col min="7433" max="7433" width="19.42578125" style="3" customWidth="1"/>
    <col min="7434" max="7434" width="18.5703125" style="3" customWidth="1"/>
    <col min="7435" max="7435" width="21.140625" style="3" customWidth="1"/>
    <col min="7436" max="7687" width="9.140625" style="3"/>
    <col min="7688" max="7688" width="14.5703125" style="3" customWidth="1"/>
    <col min="7689" max="7689" width="19.42578125" style="3" customWidth="1"/>
    <col min="7690" max="7690" width="18.5703125" style="3" customWidth="1"/>
    <col min="7691" max="7691" width="21.140625" style="3" customWidth="1"/>
    <col min="7692" max="7943" width="9.140625" style="3"/>
    <col min="7944" max="7944" width="14.5703125" style="3" customWidth="1"/>
    <col min="7945" max="7945" width="19.42578125" style="3" customWidth="1"/>
    <col min="7946" max="7946" width="18.5703125" style="3" customWidth="1"/>
    <col min="7947" max="7947" width="21.140625" style="3" customWidth="1"/>
    <col min="7948" max="8199" width="9.140625" style="3"/>
    <col min="8200" max="8200" width="14.5703125" style="3" customWidth="1"/>
    <col min="8201" max="8201" width="19.42578125" style="3" customWidth="1"/>
    <col min="8202" max="8202" width="18.5703125" style="3" customWidth="1"/>
    <col min="8203" max="8203" width="21.140625" style="3" customWidth="1"/>
    <col min="8204" max="8455" width="9.140625" style="3"/>
    <col min="8456" max="8456" width="14.5703125" style="3" customWidth="1"/>
    <col min="8457" max="8457" width="19.42578125" style="3" customWidth="1"/>
    <col min="8458" max="8458" width="18.5703125" style="3" customWidth="1"/>
    <col min="8459" max="8459" width="21.140625" style="3" customWidth="1"/>
    <col min="8460" max="8711" width="9.140625" style="3"/>
    <col min="8712" max="8712" width="14.5703125" style="3" customWidth="1"/>
    <col min="8713" max="8713" width="19.42578125" style="3" customWidth="1"/>
    <col min="8714" max="8714" width="18.5703125" style="3" customWidth="1"/>
    <col min="8715" max="8715" width="21.140625" style="3" customWidth="1"/>
    <col min="8716" max="8967" width="9.140625" style="3"/>
    <col min="8968" max="8968" width="14.5703125" style="3" customWidth="1"/>
    <col min="8969" max="8969" width="19.42578125" style="3" customWidth="1"/>
    <col min="8970" max="8970" width="18.5703125" style="3" customWidth="1"/>
    <col min="8971" max="8971" width="21.140625" style="3" customWidth="1"/>
    <col min="8972" max="9223" width="9.140625" style="3"/>
    <col min="9224" max="9224" width="14.5703125" style="3" customWidth="1"/>
    <col min="9225" max="9225" width="19.42578125" style="3" customWidth="1"/>
    <col min="9226" max="9226" width="18.5703125" style="3" customWidth="1"/>
    <col min="9227" max="9227" width="21.140625" style="3" customWidth="1"/>
    <col min="9228" max="9479" width="9.140625" style="3"/>
    <col min="9480" max="9480" width="14.5703125" style="3" customWidth="1"/>
    <col min="9481" max="9481" width="19.42578125" style="3" customWidth="1"/>
    <col min="9482" max="9482" width="18.5703125" style="3" customWidth="1"/>
    <col min="9483" max="9483" width="21.140625" style="3" customWidth="1"/>
    <col min="9484" max="9735" width="9.140625" style="3"/>
    <col min="9736" max="9736" width="14.5703125" style="3" customWidth="1"/>
    <col min="9737" max="9737" width="19.42578125" style="3" customWidth="1"/>
    <col min="9738" max="9738" width="18.5703125" style="3" customWidth="1"/>
    <col min="9739" max="9739" width="21.140625" style="3" customWidth="1"/>
    <col min="9740" max="9991" width="9.140625" style="3"/>
    <col min="9992" max="9992" width="14.5703125" style="3" customWidth="1"/>
    <col min="9993" max="9993" width="19.42578125" style="3" customWidth="1"/>
    <col min="9994" max="9994" width="18.5703125" style="3" customWidth="1"/>
    <col min="9995" max="9995" width="21.140625" style="3" customWidth="1"/>
    <col min="9996" max="10247" width="9.140625" style="3"/>
    <col min="10248" max="10248" width="14.5703125" style="3" customWidth="1"/>
    <col min="10249" max="10249" width="19.42578125" style="3" customWidth="1"/>
    <col min="10250" max="10250" width="18.5703125" style="3" customWidth="1"/>
    <col min="10251" max="10251" width="21.140625" style="3" customWidth="1"/>
    <col min="10252" max="10503" width="9.140625" style="3"/>
    <col min="10504" max="10504" width="14.5703125" style="3" customWidth="1"/>
    <col min="10505" max="10505" width="19.42578125" style="3" customWidth="1"/>
    <col min="10506" max="10506" width="18.5703125" style="3" customWidth="1"/>
    <col min="10507" max="10507" width="21.140625" style="3" customWidth="1"/>
    <col min="10508" max="10759" width="9.140625" style="3"/>
    <col min="10760" max="10760" width="14.5703125" style="3" customWidth="1"/>
    <col min="10761" max="10761" width="19.42578125" style="3" customWidth="1"/>
    <col min="10762" max="10762" width="18.5703125" style="3" customWidth="1"/>
    <col min="10763" max="10763" width="21.140625" style="3" customWidth="1"/>
    <col min="10764" max="11015" width="9.140625" style="3"/>
    <col min="11016" max="11016" width="14.5703125" style="3" customWidth="1"/>
    <col min="11017" max="11017" width="19.42578125" style="3" customWidth="1"/>
    <col min="11018" max="11018" width="18.5703125" style="3" customWidth="1"/>
    <col min="11019" max="11019" width="21.140625" style="3" customWidth="1"/>
    <col min="11020" max="11271" width="9.140625" style="3"/>
    <col min="11272" max="11272" width="14.5703125" style="3" customWidth="1"/>
    <col min="11273" max="11273" width="19.42578125" style="3" customWidth="1"/>
    <col min="11274" max="11274" width="18.5703125" style="3" customWidth="1"/>
    <col min="11275" max="11275" width="21.140625" style="3" customWidth="1"/>
    <col min="11276" max="11527" width="9.140625" style="3"/>
    <col min="11528" max="11528" width="14.5703125" style="3" customWidth="1"/>
    <col min="11529" max="11529" width="19.42578125" style="3" customWidth="1"/>
    <col min="11530" max="11530" width="18.5703125" style="3" customWidth="1"/>
    <col min="11531" max="11531" width="21.140625" style="3" customWidth="1"/>
    <col min="11532" max="11783" width="9.140625" style="3"/>
    <col min="11784" max="11784" width="14.5703125" style="3" customWidth="1"/>
    <col min="11785" max="11785" width="19.42578125" style="3" customWidth="1"/>
    <col min="11786" max="11786" width="18.5703125" style="3" customWidth="1"/>
    <col min="11787" max="11787" width="21.140625" style="3" customWidth="1"/>
    <col min="11788" max="12039" width="9.140625" style="3"/>
    <col min="12040" max="12040" width="14.5703125" style="3" customWidth="1"/>
    <col min="12041" max="12041" width="19.42578125" style="3" customWidth="1"/>
    <col min="12042" max="12042" width="18.5703125" style="3" customWidth="1"/>
    <col min="12043" max="12043" width="21.140625" style="3" customWidth="1"/>
    <col min="12044" max="12295" width="9.140625" style="3"/>
    <col min="12296" max="12296" width="14.5703125" style="3" customWidth="1"/>
    <col min="12297" max="12297" width="19.42578125" style="3" customWidth="1"/>
    <col min="12298" max="12298" width="18.5703125" style="3" customWidth="1"/>
    <col min="12299" max="12299" width="21.140625" style="3" customWidth="1"/>
    <col min="12300" max="12551" width="9.140625" style="3"/>
    <col min="12552" max="12552" width="14.5703125" style="3" customWidth="1"/>
    <col min="12553" max="12553" width="19.42578125" style="3" customWidth="1"/>
    <col min="12554" max="12554" width="18.5703125" style="3" customWidth="1"/>
    <col min="12555" max="12555" width="21.140625" style="3" customWidth="1"/>
    <col min="12556" max="12807" width="9.140625" style="3"/>
    <col min="12808" max="12808" width="14.5703125" style="3" customWidth="1"/>
    <col min="12809" max="12809" width="19.42578125" style="3" customWidth="1"/>
    <col min="12810" max="12810" width="18.5703125" style="3" customWidth="1"/>
    <col min="12811" max="12811" width="21.140625" style="3" customWidth="1"/>
    <col min="12812" max="13063" width="9.140625" style="3"/>
    <col min="13064" max="13064" width="14.5703125" style="3" customWidth="1"/>
    <col min="13065" max="13065" width="19.42578125" style="3" customWidth="1"/>
    <col min="13066" max="13066" width="18.5703125" style="3" customWidth="1"/>
    <col min="13067" max="13067" width="21.140625" style="3" customWidth="1"/>
    <col min="13068" max="13319" width="9.140625" style="3"/>
    <col min="13320" max="13320" width="14.5703125" style="3" customWidth="1"/>
    <col min="13321" max="13321" width="19.42578125" style="3" customWidth="1"/>
    <col min="13322" max="13322" width="18.5703125" style="3" customWidth="1"/>
    <col min="13323" max="13323" width="21.140625" style="3" customWidth="1"/>
    <col min="13324" max="13575" width="9.140625" style="3"/>
    <col min="13576" max="13576" width="14.5703125" style="3" customWidth="1"/>
    <col min="13577" max="13577" width="19.42578125" style="3" customWidth="1"/>
    <col min="13578" max="13578" width="18.5703125" style="3" customWidth="1"/>
    <col min="13579" max="13579" width="21.140625" style="3" customWidth="1"/>
    <col min="13580" max="13831" width="9.140625" style="3"/>
    <col min="13832" max="13832" width="14.5703125" style="3" customWidth="1"/>
    <col min="13833" max="13833" width="19.42578125" style="3" customWidth="1"/>
    <col min="13834" max="13834" width="18.5703125" style="3" customWidth="1"/>
    <col min="13835" max="13835" width="21.140625" style="3" customWidth="1"/>
    <col min="13836" max="14087" width="9.140625" style="3"/>
    <col min="14088" max="14088" width="14.5703125" style="3" customWidth="1"/>
    <col min="14089" max="14089" width="19.42578125" style="3" customWidth="1"/>
    <col min="14090" max="14090" width="18.5703125" style="3" customWidth="1"/>
    <col min="14091" max="14091" width="21.140625" style="3" customWidth="1"/>
    <col min="14092" max="14343" width="9.140625" style="3"/>
    <col min="14344" max="14344" width="14.5703125" style="3" customWidth="1"/>
    <col min="14345" max="14345" width="19.42578125" style="3" customWidth="1"/>
    <col min="14346" max="14346" width="18.5703125" style="3" customWidth="1"/>
    <col min="14347" max="14347" width="21.140625" style="3" customWidth="1"/>
    <col min="14348" max="14599" width="9.140625" style="3"/>
    <col min="14600" max="14600" width="14.5703125" style="3" customWidth="1"/>
    <col min="14601" max="14601" width="19.42578125" style="3" customWidth="1"/>
    <col min="14602" max="14602" width="18.5703125" style="3" customWidth="1"/>
    <col min="14603" max="14603" width="21.140625" style="3" customWidth="1"/>
    <col min="14604" max="14855" width="9.140625" style="3"/>
    <col min="14856" max="14856" width="14.5703125" style="3" customWidth="1"/>
    <col min="14857" max="14857" width="19.42578125" style="3" customWidth="1"/>
    <col min="14858" max="14858" width="18.5703125" style="3" customWidth="1"/>
    <col min="14859" max="14859" width="21.140625" style="3" customWidth="1"/>
    <col min="14860" max="15111" width="9.140625" style="3"/>
    <col min="15112" max="15112" width="14.5703125" style="3" customWidth="1"/>
    <col min="15113" max="15113" width="19.42578125" style="3" customWidth="1"/>
    <col min="15114" max="15114" width="18.5703125" style="3" customWidth="1"/>
    <col min="15115" max="15115" width="21.140625" style="3" customWidth="1"/>
    <col min="15116" max="15367" width="9.140625" style="3"/>
    <col min="15368" max="15368" width="14.5703125" style="3" customWidth="1"/>
    <col min="15369" max="15369" width="19.42578125" style="3" customWidth="1"/>
    <col min="15370" max="15370" width="18.5703125" style="3" customWidth="1"/>
    <col min="15371" max="15371" width="21.140625" style="3" customWidth="1"/>
    <col min="15372" max="15623" width="9.140625" style="3"/>
    <col min="15624" max="15624" width="14.5703125" style="3" customWidth="1"/>
    <col min="15625" max="15625" width="19.42578125" style="3" customWidth="1"/>
    <col min="15626" max="15626" width="18.5703125" style="3" customWidth="1"/>
    <col min="15627" max="15627" width="21.140625" style="3" customWidth="1"/>
    <col min="15628" max="15879" width="9.140625" style="3"/>
    <col min="15880" max="15880" width="14.5703125" style="3" customWidth="1"/>
    <col min="15881" max="15881" width="19.42578125" style="3" customWidth="1"/>
    <col min="15882" max="15882" width="18.5703125" style="3" customWidth="1"/>
    <col min="15883" max="15883" width="21.140625" style="3" customWidth="1"/>
    <col min="15884" max="16135" width="9.140625" style="3"/>
    <col min="16136" max="16136" width="14.5703125" style="3" customWidth="1"/>
    <col min="16137" max="16137" width="19.42578125" style="3" customWidth="1"/>
    <col min="16138" max="16138" width="18.5703125" style="3" customWidth="1"/>
    <col min="16139" max="16139" width="21.140625" style="3" customWidth="1"/>
    <col min="16140" max="16384" width="9.140625" style="3"/>
  </cols>
  <sheetData>
    <row r="3" spans="8:11" ht="15.75" thickBot="1" x14ac:dyDescent="0.3"/>
    <row r="4" spans="8:11" x14ac:dyDescent="0.25">
      <c r="H4" s="4" t="s">
        <v>1</v>
      </c>
      <c r="I4" s="5" t="s">
        <v>27</v>
      </c>
      <c r="J4" s="5" t="s">
        <v>28</v>
      </c>
      <c r="K4" s="6" t="s">
        <v>29</v>
      </c>
    </row>
    <row r="5" spans="8:11" x14ac:dyDescent="0.25">
      <c r="H5" s="7" t="s">
        <v>30</v>
      </c>
      <c r="I5" s="8">
        <v>23196.799999999999</v>
      </c>
      <c r="J5" s="8">
        <v>1.3850477078966238E-2</v>
      </c>
      <c r="K5" s="9">
        <v>3.5915139262337456E-2</v>
      </c>
    </row>
    <row r="6" spans="8:11" x14ac:dyDescent="0.25">
      <c r="H6" s="7" t="s">
        <v>31</v>
      </c>
      <c r="I6" s="8">
        <v>23196.799999999999</v>
      </c>
      <c r="J6" s="8">
        <v>1.3580133113428469E-2</v>
      </c>
      <c r="K6" s="9">
        <v>4.1165815120801523E-2</v>
      </c>
    </row>
    <row r="7" spans="8:11" x14ac:dyDescent="0.25">
      <c r="H7" s="7" t="s">
        <v>32</v>
      </c>
      <c r="I7" s="8">
        <v>23196.799999999999</v>
      </c>
      <c r="J7" s="8">
        <v>1.4785303527826792E-2</v>
      </c>
      <c r="K7" s="9">
        <v>3.5711600325300852E-2</v>
      </c>
    </row>
    <row r="8" spans="8:11" x14ac:dyDescent="0.25">
      <c r="H8" s="7" t="s">
        <v>33</v>
      </c>
      <c r="I8" s="8">
        <v>23196.799999999999</v>
      </c>
      <c r="J8" s="8">
        <v>1.484280546923555E-2</v>
      </c>
      <c r="K8" s="9">
        <v>2.9259710379117461E-2</v>
      </c>
    </row>
    <row r="9" spans="8:11" x14ac:dyDescent="0.25">
      <c r="H9" s="7" t="s">
        <v>34</v>
      </c>
      <c r="I9" s="8">
        <v>23196.799999999999</v>
      </c>
      <c r="J9" s="8">
        <v>1.4623830198186477E-2</v>
      </c>
      <c r="K9" s="9">
        <v>2.5423085319229308E-2</v>
      </c>
    </row>
    <row r="10" spans="8:11" x14ac:dyDescent="0.25">
      <c r="H10" s="7" t="s">
        <v>35</v>
      </c>
      <c r="I10" s="8">
        <v>23196.799999999999</v>
      </c>
      <c r="J10" s="8">
        <v>1.5220959999416601E-2</v>
      </c>
      <c r="K10" s="9">
        <v>2.2547344940355266E-2</v>
      </c>
    </row>
    <row r="11" spans="8:11" x14ac:dyDescent="0.25">
      <c r="H11" s="7" t="s">
        <v>36</v>
      </c>
      <c r="I11" s="8">
        <v>23196.799999999999</v>
      </c>
      <c r="J11" s="8">
        <v>1.5474110702696364E-2</v>
      </c>
      <c r="K11" s="9">
        <v>2.209420202689728E-2</v>
      </c>
    </row>
    <row r="12" spans="8:11" x14ac:dyDescent="0.25">
      <c r="H12" s="7" t="s">
        <v>37</v>
      </c>
      <c r="I12" s="8">
        <v>23196.799999999999</v>
      </c>
      <c r="J12" s="8">
        <v>1.5366025025239949E-2</v>
      </c>
      <c r="K12" s="9">
        <v>2.2060628199843127E-2</v>
      </c>
    </row>
    <row r="13" spans="8:11" x14ac:dyDescent="0.25">
      <c r="H13" s="7" t="s">
        <v>38</v>
      </c>
      <c r="I13" s="8">
        <v>23196.799999999999</v>
      </c>
      <c r="J13" s="8">
        <v>1.5533785055646352E-2</v>
      </c>
      <c r="K13" s="9">
        <v>2.2002496712088069E-2</v>
      </c>
    </row>
    <row r="14" spans="8:11" x14ac:dyDescent="0.25">
      <c r="H14" s="7" t="s">
        <v>39</v>
      </c>
      <c r="I14" s="8">
        <v>23196.799999999999</v>
      </c>
      <c r="J14" s="8">
        <v>1.5346103879496944E-2</v>
      </c>
      <c r="K14" s="9">
        <v>2.2270521789944705E-2</v>
      </c>
    </row>
    <row r="15" spans="8:11" x14ac:dyDescent="0.25">
      <c r="H15" s="7" t="s">
        <v>40</v>
      </c>
      <c r="I15" s="8">
        <v>23196.799999999999</v>
      </c>
      <c r="J15" s="8">
        <v>1.5154378364719659E-2</v>
      </c>
      <c r="K15" s="9">
        <v>2.7699970576726147E-2</v>
      </c>
    </row>
    <row r="16" spans="8:11" ht="15.75" thickBot="1" x14ac:dyDescent="0.3">
      <c r="H16" s="10" t="s">
        <v>41</v>
      </c>
      <c r="I16" s="11">
        <v>23196.799999999999</v>
      </c>
      <c r="J16" s="11">
        <v>1.4393625923334607E-2</v>
      </c>
      <c r="K16" s="12">
        <v>3.3161263463787685E-2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Nabeela Awan</cp:lastModifiedBy>
  <cp:revision/>
  <dcterms:created xsi:type="dcterms:W3CDTF">2019-10-07T09:53:55Z</dcterms:created>
  <dcterms:modified xsi:type="dcterms:W3CDTF">2022-03-09T06:12:04Z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