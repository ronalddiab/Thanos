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1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" i="1"/>
  <c r="H2" i="1"/>
  <c r="K23" i="1" l="1"/>
  <c r="K24" i="1"/>
  <c r="K25" i="1"/>
  <c r="K26" i="1"/>
  <c r="K27" i="1"/>
  <c r="K28" i="1"/>
  <c r="L32" i="1" l="1"/>
  <c r="K32" i="1"/>
  <c r="I32" i="1"/>
  <c r="G32" i="1"/>
  <c r="E32" i="1"/>
  <c r="L31" i="1"/>
  <c r="K31" i="1"/>
  <c r="I31" i="1"/>
  <c r="G31" i="1"/>
  <c r="E31" i="1"/>
  <c r="L30" i="1"/>
  <c r="K30" i="1"/>
  <c r="I30" i="1"/>
  <c r="G30" i="1"/>
  <c r="E30" i="1"/>
  <c r="B30" i="1"/>
  <c r="B31" i="1" s="1"/>
  <c r="B32" i="1" s="1"/>
  <c r="B32" i="3"/>
  <c r="B30" i="3"/>
  <c r="B31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<sst xmlns="http://schemas.openxmlformats.org/spreadsheetml/2006/main" count="108" uniqueCount="33">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</sst>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0"/>
      <color rgb="FF1F497D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3" fillId="0" borderId="16" applyNumberFormat="0" applyFill="0" applyAlignment="0" applyProtection="0"/>
    <xf numFmtId="0" fontId="13" fillId="0" borderId="0" applyNumberFormat="0" applyFill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16" borderId="17" applyNumberFormat="0" applyAlignment="0" applyProtection="0"/>
    <xf numFmtId="0" fontId="18" fillId="17" borderId="18" applyNumberFormat="0" applyAlignment="0" applyProtection="0"/>
    <xf numFmtId="0" fontId="19" fillId="17" borderId="17" applyNumberFormat="0" applyAlignment="0" applyProtection="0"/>
    <xf numFmtId="0" fontId="20" fillId="0" borderId="19" applyNumberFormat="0" applyFill="0" applyAlignment="0" applyProtection="0"/>
    <xf numFmtId="0" fontId="21" fillId="18" borderId="20" applyNumberFormat="0" applyAlignment="0" applyProtection="0"/>
    <xf numFmtId="0" fontId="22" fillId="0" borderId="0" applyNumberFormat="0" applyFill="0" applyBorder="0" applyAlignment="0" applyProtection="0"/>
    <xf numFmtId="0" fontId="9" fillId="19" borderId="21" applyNumberFormat="0" applyFont="0" applyAlignment="0" applyProtection="0"/>
    <xf numFmtId="0" fontId="23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4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24" fillId="43" borderId="0" applyNumberFormat="0" applyBorder="0" applyAlignment="0" applyProtection="0"/>
  </cellStyleXfs>
  <cellXfs count="55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12" borderId="0" xfId="0" applyNumberForma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H3" sqref="H3:H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2021</v>
      </c>
      <c r="E2" s="20">
        <f>Submetering!E3</f>
        <v>6176.25</v>
      </c>
      <c r="F2" s="16">
        <v>0.12</v>
      </c>
      <c r="G2" s="20">
        <f>Submetering!F3+Submetering!G3</f>
        <v>350.04645765457946</v>
      </c>
      <c r="H2" s="16">
        <f>0.09793*10.7</f>
        <v>1.0478509999999999</v>
      </c>
      <c r="I2" s="20">
        <f>Submetering!J3+Submetering!I3+Submetering!H3</f>
        <v>50.254093023300001</v>
      </c>
      <c r="J2" s="16">
        <v>2.3196172978505634</v>
      </c>
      <c r="K2" s="20">
        <f>Submetering!K2</f>
        <v>25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2021</v>
      </c>
      <c r="E3" s="20">
        <f>Submetering!E4</f>
        <v>6124.5</v>
      </c>
      <c r="F3" s="16">
        <v>0.12</v>
      </c>
      <c r="G3" s="20">
        <f>Submetering!F4+Submetering!G4</f>
        <v>305.45290171448602</v>
      </c>
      <c r="H3" s="16">
        <f>H2</f>
        <v>1.0478509999999999</v>
      </c>
      <c r="I3" s="20">
        <f>Submetering!J4+Submetering!I4+Submetering!H4</f>
        <v>38.506506567200006</v>
      </c>
      <c r="J3" s="16">
        <v>2.3196172978505634</v>
      </c>
      <c r="K3" s="20">
        <f>Submetering!K3</f>
        <v>18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2021</v>
      </c>
      <c r="E4" s="20">
        <f>Submetering!E5</f>
        <v>6133.5</v>
      </c>
      <c r="F4" s="16">
        <v>0.12</v>
      </c>
      <c r="G4" s="20">
        <f>Submetering!F5+Submetering!G5</f>
        <v>257.75417200981309</v>
      </c>
      <c r="H4" s="16">
        <f t="shared" ref="H4:H32" si="1">H3</f>
        <v>1.0478509999999999</v>
      </c>
      <c r="I4" s="20">
        <f>Submetering!J5+Submetering!I5+Submetering!H5</f>
        <v>42.646529617900001</v>
      </c>
      <c r="J4" s="16">
        <v>2.3196172978505634</v>
      </c>
      <c r="K4" s="20">
        <f>Submetering!K4</f>
        <v>16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2021</v>
      </c>
      <c r="E5" s="20">
        <f>Submetering!E6</f>
        <v>6342.75</v>
      </c>
      <c r="F5" s="16">
        <v>0.12</v>
      </c>
      <c r="G5" s="20">
        <f>Submetering!F6+Submetering!G6</f>
        <v>283.43205646121498</v>
      </c>
      <c r="H5" s="16">
        <f t="shared" si="1"/>
        <v>1.0478509999999999</v>
      </c>
      <c r="I5" s="20">
        <f>Submetering!J6+Submetering!I6+Submetering!H6</f>
        <v>43.283966531799997</v>
      </c>
      <c r="J5" s="16">
        <v>2.3196172978505634</v>
      </c>
      <c r="K5" s="20">
        <f>Submetering!K5</f>
        <v>14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2021</v>
      </c>
      <c r="E6" s="20">
        <f>Submetering!E7</f>
        <v>6345</v>
      </c>
      <c r="F6" s="16">
        <v>0.12</v>
      </c>
      <c r="G6" s="20">
        <f>Submetering!F7+Submetering!G7</f>
        <v>476.50027080981312</v>
      </c>
      <c r="H6" s="16">
        <f t="shared" si="1"/>
        <v>1.0478509999999999</v>
      </c>
      <c r="I6" s="20">
        <f>Submetering!J7+Submetering!I7+Submetering!H7</f>
        <v>60.004187217199998</v>
      </c>
      <c r="J6" s="16">
        <v>2.3196172978505634</v>
      </c>
      <c r="K6" s="20">
        <f>Submetering!K6</f>
        <v>23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2021</v>
      </c>
      <c r="E7" s="20">
        <f>Submetering!E8</f>
        <v>6068.25</v>
      </c>
      <c r="F7" s="16">
        <v>0.12</v>
      </c>
      <c r="G7" s="20">
        <f>Submetering!F8+Submetering!G8</f>
        <v>424.33050582607484</v>
      </c>
      <c r="H7" s="16">
        <f t="shared" si="1"/>
        <v>1.0478509999999999</v>
      </c>
      <c r="I7" s="20">
        <f>Submetering!J8+Submetering!I8+Submetering!H8</f>
        <v>47.406810065900004</v>
      </c>
      <c r="J7" s="16">
        <v>2.3196172978505634</v>
      </c>
      <c r="K7" s="20">
        <f>Submetering!K7</f>
        <v>36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2021</v>
      </c>
      <c r="E8" s="20">
        <f>Submetering!E9</f>
        <v>6201</v>
      </c>
      <c r="F8" s="16">
        <v>0.12</v>
      </c>
      <c r="G8" s="20">
        <f>Submetering!F9+Submetering!G9</f>
        <v>350.32201744766354</v>
      </c>
      <c r="H8" s="16">
        <f t="shared" si="1"/>
        <v>1.0478509999999999</v>
      </c>
      <c r="I8" s="20">
        <f>Submetering!J9+Submetering!I9+Submetering!H9</f>
        <v>54.081465228380004</v>
      </c>
      <c r="J8" s="16">
        <v>2.3196172978505634</v>
      </c>
      <c r="K8" s="20">
        <f>Submetering!K8</f>
        <v>19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2021</v>
      </c>
      <c r="E9" s="20">
        <f>Submetering!E9</f>
        <v>6201</v>
      </c>
      <c r="F9" s="16">
        <v>0.12</v>
      </c>
      <c r="G9" s="20">
        <f>Submetering!F10+Submetering!G10</f>
        <v>354.27595975392529</v>
      </c>
      <c r="H9" s="16">
        <f t="shared" si="1"/>
        <v>1.0478509999999999</v>
      </c>
      <c r="I9" s="20">
        <f>Submetering!J10+Submetering!I10+Submetering!H10</f>
        <v>51.849070598020006</v>
      </c>
      <c r="J9" s="16">
        <v>2.3196172978505634</v>
      </c>
      <c r="K9" s="20">
        <f>Submetering!K9</f>
        <v>19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2021</v>
      </c>
      <c r="E10" s="20">
        <f>Submetering!E10</f>
        <v>6329.25</v>
      </c>
      <c r="F10" s="16">
        <v>0.12</v>
      </c>
      <c r="G10" s="20">
        <f>Submetering!F11+Submetering!G11</f>
        <v>362.21553419887857</v>
      </c>
      <c r="H10" s="16">
        <f t="shared" si="1"/>
        <v>1.0478509999999999</v>
      </c>
      <c r="I10" s="20">
        <f>Submetering!J10+Submetering!I10+Submetering!H10</f>
        <v>51.849070598020006</v>
      </c>
      <c r="J10" s="16">
        <v>2.3196172978505634</v>
      </c>
      <c r="K10" s="20">
        <f>Submetering!K10</f>
        <v>28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2021</v>
      </c>
      <c r="E11" s="20">
        <f>Submetering!E11</f>
        <v>6174</v>
      </c>
      <c r="F11" s="16">
        <v>0.12</v>
      </c>
      <c r="G11" s="20">
        <f>Submetering!F11+Submetering!G11</f>
        <v>362.21553419887857</v>
      </c>
      <c r="H11" s="16">
        <f t="shared" si="1"/>
        <v>1.0478509999999999</v>
      </c>
      <c r="I11" s="20">
        <f>Submetering!J11+Submetering!I11+Submetering!H11</f>
        <v>52.155536067089997</v>
      </c>
      <c r="J11" s="16">
        <v>2.3196172978505634</v>
      </c>
      <c r="K11" s="20">
        <f>Submetering!K11</f>
        <v>39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2021</v>
      </c>
      <c r="E12" s="20">
        <f>Submetering!E12</f>
        <v>6142.5</v>
      </c>
      <c r="F12" s="16">
        <v>0.12</v>
      </c>
      <c r="G12" s="20">
        <f>Submetering!F12+Submetering!G12</f>
        <v>298.11794356626172</v>
      </c>
      <c r="H12" s="16">
        <f t="shared" si="1"/>
        <v>1.0478509999999999</v>
      </c>
      <c r="I12" s="20">
        <f>Submetering!J12+Submetering!I12+Submetering!H12</f>
        <v>45.646928106510003</v>
      </c>
      <c r="J12" s="16">
        <v>2.3196172978505634</v>
      </c>
      <c r="K12" s="20">
        <f>Submetering!K12</f>
        <v>31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2021</v>
      </c>
      <c r="E13" s="20">
        <f>Submetering!E13</f>
        <v>6327</v>
      </c>
      <c r="F13" s="16">
        <v>0.12</v>
      </c>
      <c r="G13" s="20">
        <f>Submetering!F13+Submetering!G13</f>
        <v>337.08993385682243</v>
      </c>
      <c r="H13" s="16">
        <f t="shared" si="1"/>
        <v>1.0478509999999999</v>
      </c>
      <c r="I13" s="20">
        <f>Submetering!J13+Submetering!I13+Submetering!H13</f>
        <v>53.55</v>
      </c>
      <c r="J13" s="16">
        <v>2.3196172978505634</v>
      </c>
      <c r="K13" s="20">
        <f>Submetering!K13</f>
        <v>29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2021</v>
      </c>
      <c r="E14" s="20">
        <f>Submetering!E14</f>
        <v>6300</v>
      </c>
      <c r="F14" s="16">
        <v>0.12</v>
      </c>
      <c r="G14" s="20">
        <f>Submetering!F14+Submetering!G14</f>
        <v>383.46211446981312</v>
      </c>
      <c r="H14" s="16">
        <f t="shared" si="1"/>
        <v>1.0478509999999999</v>
      </c>
      <c r="I14" s="20">
        <f>Submetering!H12+Submetering!J12+Submetering!I12</f>
        <v>45.646928106510003</v>
      </c>
      <c r="J14" s="16">
        <v>2.3196172978505634</v>
      </c>
      <c r="K14" s="20">
        <f>Submetering!K14</f>
        <v>38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2021</v>
      </c>
      <c r="E15" s="20">
        <f>Submetering!E15</f>
        <v>5955.75</v>
      </c>
      <c r="F15" s="16">
        <v>0.12</v>
      </c>
      <c r="G15" s="20">
        <f>Submetering!F15+Submetering!G15</f>
        <v>489.85074367766362</v>
      </c>
      <c r="H15" s="16">
        <f t="shared" si="1"/>
        <v>1.0478509999999999</v>
      </c>
      <c r="I15" s="20">
        <f>Submetering!J15+Submetering!I15+Submetering!H15</f>
        <v>44.443105292440002</v>
      </c>
      <c r="J15" s="16">
        <v>2.3196172978505634</v>
      </c>
      <c r="K15" s="20">
        <f>Submetering!K15</f>
        <v>20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2021</v>
      </c>
      <c r="E16" s="20">
        <f>Submetering!E16</f>
        <v>6000.75</v>
      </c>
      <c r="F16" s="16">
        <v>0.12</v>
      </c>
      <c r="G16" s="20">
        <f>Submetering!F16+Submetering!G16</f>
        <v>540.64226429392522</v>
      </c>
      <c r="H16" s="16">
        <f t="shared" si="1"/>
        <v>1.0478509999999999</v>
      </c>
      <c r="I16" s="20">
        <f>Submetering!J16+Submetering!I16+Submetering!H16</f>
        <v>46.524657957180004</v>
      </c>
      <c r="J16" s="16">
        <v>2.3196172978505634</v>
      </c>
      <c r="K16" s="20">
        <f>Submetering!K16</f>
        <v>19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2021</v>
      </c>
      <c r="E17" s="20">
        <f>Submetering!E17</f>
        <v>6090.75</v>
      </c>
      <c r="F17" s="16">
        <v>0.12</v>
      </c>
      <c r="G17" s="20">
        <f>Submetering!F17+Submetering!G17</f>
        <v>527.49746146887856</v>
      </c>
      <c r="H17" s="16">
        <f t="shared" si="1"/>
        <v>1.0478509999999999</v>
      </c>
      <c r="I17" s="20">
        <f>Submetering!J17+Submetering!I17+Submetering!H17</f>
        <v>50.123697981020001</v>
      </c>
      <c r="J17" s="16">
        <v>2.3196172978505634</v>
      </c>
      <c r="K17" s="20">
        <f>Submetering!K17</f>
        <v>19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2021</v>
      </c>
      <c r="E18" s="20">
        <f>Submetering!E18</f>
        <v>6311.25</v>
      </c>
      <c r="F18" s="16">
        <v>0.12</v>
      </c>
      <c r="G18" s="20">
        <f>Submetering!F18+Submetering!G18</f>
        <v>522.02957568523368</v>
      </c>
      <c r="H18" s="16">
        <f t="shared" si="1"/>
        <v>1.0478509999999999</v>
      </c>
      <c r="I18" s="20">
        <f>Submetering!J18+Submetering!I18+Submetering!H18</f>
        <v>52.212256189316008</v>
      </c>
      <c r="J18" s="16">
        <v>2.3196172978505634</v>
      </c>
      <c r="K18" s="20">
        <f>Submetering!K18</f>
        <v>35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2021</v>
      </c>
      <c r="E19" s="20">
        <f>Submetering!E19</f>
        <v>6300</v>
      </c>
      <c r="F19" s="16">
        <v>0.12</v>
      </c>
      <c r="G19" s="20">
        <f>Submetering!F19+Submetering!G19</f>
        <v>543.05230904205609</v>
      </c>
      <c r="H19" s="16">
        <f t="shared" si="1"/>
        <v>1.0478509999999999</v>
      </c>
      <c r="I19" s="20">
        <f>Submetering!J19+Submetering!I19+Submetering!H19</f>
        <v>47.476536602684</v>
      </c>
      <c r="J19" s="16">
        <v>2.3196172978505634</v>
      </c>
      <c r="K19" s="20">
        <f>Submetering!K19</f>
        <v>36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2021</v>
      </c>
      <c r="E20" s="20">
        <f>Submetering!E20</f>
        <v>6342.75</v>
      </c>
      <c r="F20" s="16">
        <v>0.12</v>
      </c>
      <c r="G20" s="20">
        <f>Submetering!F20+Submetering!G20</f>
        <v>522.07058758000005</v>
      </c>
      <c r="H20" s="16">
        <f t="shared" si="1"/>
        <v>1.0478509999999999</v>
      </c>
      <c r="I20" s="20">
        <f>Submetering!J20+Submetering!I20+Submetering!H20</f>
        <v>55.7195190367</v>
      </c>
      <c r="J20" s="16">
        <v>2.3196172978505634</v>
      </c>
      <c r="K20" s="20">
        <f>Submetering!K20</f>
        <v>47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2021</v>
      </c>
      <c r="E21" s="20">
        <f>Submetering!E21</f>
        <v>6608.25</v>
      </c>
      <c r="F21" s="16">
        <v>0.12</v>
      </c>
      <c r="G21" s="20">
        <f>Submetering!F21+Submetering!G21</f>
        <v>545.55046728971968</v>
      </c>
      <c r="H21" s="16">
        <f t="shared" si="1"/>
        <v>1.0478509999999999</v>
      </c>
      <c r="I21" s="20">
        <f>Submetering!J21+Submetering!I21+Submetering!H21</f>
        <v>62.909294986600003</v>
      </c>
      <c r="J21" s="16">
        <v>2.3196172978505634</v>
      </c>
      <c r="K21" s="20">
        <f>Submetering!K21</f>
        <v>52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2021</v>
      </c>
      <c r="E22" s="20">
        <f>Submetering!E22</f>
        <v>6102</v>
      </c>
      <c r="F22" s="16">
        <v>0.12</v>
      </c>
      <c r="G22" s="20">
        <f>Submetering!F22+Submetering!G22</f>
        <v>524.94720816308416</v>
      </c>
      <c r="H22" s="16">
        <f t="shared" si="1"/>
        <v>1.0478509999999999</v>
      </c>
      <c r="I22" s="20">
        <f>Submetering!J22+Submetering!I22+Submetering!H22</f>
        <v>52.923073952499998</v>
      </c>
      <c r="J22" s="16">
        <v>2.3196172978505634</v>
      </c>
      <c r="K22" s="20">
        <f>Submetering!K23</f>
        <v>56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2021</v>
      </c>
      <c r="E23" s="20">
        <f>Submetering!E23</f>
        <v>6264</v>
      </c>
      <c r="F23" s="16">
        <v>0.12</v>
      </c>
      <c r="G23" s="20">
        <f>Submetering!F23+Submetering!G23</f>
        <v>457.13806081570095</v>
      </c>
      <c r="H23" s="16">
        <f t="shared" si="1"/>
        <v>1.0478509999999999</v>
      </c>
      <c r="I23" s="20">
        <f>Submetering!J23+Submetering!I23+Submetering!H23</f>
        <v>65.268309495400004</v>
      </c>
      <c r="J23" s="16">
        <v>2.3196172978505634</v>
      </c>
      <c r="K23" s="20">
        <f>Submetering!K24</f>
        <v>48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2021</v>
      </c>
      <c r="E24" s="20">
        <f>Submetering!E24</f>
        <v>6237</v>
      </c>
      <c r="F24" s="16">
        <v>0.12</v>
      </c>
      <c r="G24" s="20">
        <f>Submetering!F24+Submetering!G24</f>
        <v>389.58252471457945</v>
      </c>
      <c r="H24" s="16">
        <f t="shared" si="1"/>
        <v>1.0478509999999999</v>
      </c>
      <c r="I24" s="20">
        <f>Submetering!J24+Submetering!I24+Submetering!H24</f>
        <v>59.028047647400001</v>
      </c>
      <c r="J24" s="16">
        <v>2.3196172978505634</v>
      </c>
      <c r="K24" s="20">
        <f>Submetering!K25</f>
        <v>40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2021</v>
      </c>
      <c r="E25" s="20">
        <f>Submetering!E25</f>
        <v>6324.75</v>
      </c>
      <c r="F25" s="16">
        <v>0.12</v>
      </c>
      <c r="G25" s="20">
        <f>Submetering!F25+Submetering!G25</f>
        <v>368.07215300822435</v>
      </c>
      <c r="H25" s="16">
        <f t="shared" si="1"/>
        <v>1.0478509999999999</v>
      </c>
      <c r="I25" s="20">
        <f>Submetering!J25+Submetering!I25+Submetering!H25</f>
        <v>50.465594339140004</v>
      </c>
      <c r="J25" s="16">
        <v>2.3196172978505634</v>
      </c>
      <c r="K25" s="20">
        <f>Submetering!K26</f>
        <v>40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2021</v>
      </c>
      <c r="E26" s="20">
        <f>Submetering!E26</f>
        <v>6534</v>
      </c>
      <c r="F26" s="16">
        <v>0.12</v>
      </c>
      <c r="G26" s="20">
        <f>Submetering!F26+Submetering!G26</f>
        <v>310.5007386265421</v>
      </c>
      <c r="H26" s="16">
        <f t="shared" si="1"/>
        <v>1.0478509999999999</v>
      </c>
      <c r="I26" s="20">
        <f>Submetering!J26+Submetering!I26+Submetering!H26</f>
        <v>48.699976801959998</v>
      </c>
      <c r="J26" s="16">
        <v>2.3196172978505634</v>
      </c>
      <c r="K26" s="20">
        <f>Submetering!K27</f>
        <v>39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2021</v>
      </c>
      <c r="E27" s="20">
        <f>Submetering!E27</f>
        <v>6675.75</v>
      </c>
      <c r="F27" s="16">
        <v>0.12</v>
      </c>
      <c r="G27" s="20">
        <f>Submetering!F27+Submetering!G27</f>
        <v>250.68216361775703</v>
      </c>
      <c r="H27" s="16">
        <f t="shared" si="1"/>
        <v>1.0478509999999999</v>
      </c>
      <c r="I27" s="20">
        <f>Submetering!J27+Submetering!I27+Submetering!H27</f>
        <v>55.7533350235</v>
      </c>
      <c r="J27" s="16">
        <v>2.3196172978505634</v>
      </c>
      <c r="K27" s="20">
        <f>Submetering!K28</f>
        <v>42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2021</v>
      </c>
      <c r="E28" s="20">
        <f>Submetering!E28</f>
        <v>6597</v>
      </c>
      <c r="F28" s="16">
        <v>0.12</v>
      </c>
      <c r="G28" s="20">
        <f>Submetering!F28+Submetering!G28</f>
        <v>274.12364881028037</v>
      </c>
      <c r="H28" s="16">
        <f t="shared" si="1"/>
        <v>1.0478509999999999</v>
      </c>
      <c r="I28" s="20">
        <f>Submetering!J28+Submetering!I28+Submetering!H28</f>
        <v>54.561498743399994</v>
      </c>
      <c r="J28" s="16">
        <v>2.3196172978505634</v>
      </c>
      <c r="K28" s="20">
        <f>Submetering!K29</f>
        <v>30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2021</v>
      </c>
      <c r="E29" s="20">
        <f>Submetering!E29</f>
        <v>5618.7</v>
      </c>
      <c r="F29" s="16">
        <v>0.12</v>
      </c>
      <c r="G29" s="20">
        <f>Submetering!F29+Submetering!G29</f>
        <v>249.40310715130843</v>
      </c>
      <c r="H29" s="16">
        <f t="shared" si="1"/>
        <v>1.0478509999999999</v>
      </c>
      <c r="I29" s="20">
        <f>Submetering!J29+Submetering!I29+Submetering!H29</f>
        <v>47.881139903300003</v>
      </c>
      <c r="J29" s="16">
        <v>2.3196172978505634</v>
      </c>
      <c r="K29" s="20">
        <f>Submetering!K29</f>
        <v>30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2021</v>
      </c>
      <c r="E30" s="20">
        <f>Submetering!E30</f>
        <v>6009.3</v>
      </c>
      <c r="F30" s="16">
        <v>0.12</v>
      </c>
      <c r="G30" s="20">
        <f>Submetering!F30+Submetering!G30</f>
        <v>228.2888475886916</v>
      </c>
      <c r="H30" s="16">
        <f t="shared" si="1"/>
        <v>1.0478509999999999</v>
      </c>
      <c r="I30" s="20">
        <f>Submetering!J30+Submetering!I30+Submetering!H30</f>
        <v>51.999565974159999</v>
      </c>
      <c r="J30" s="16">
        <v>2.3196172978505634</v>
      </c>
      <c r="K30" s="20">
        <f>Submetering!K30</f>
        <v>30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2021</v>
      </c>
      <c r="E31" s="20">
        <f>Submetering!E31</f>
        <v>6167.25</v>
      </c>
      <c r="F31" s="16">
        <v>0.12</v>
      </c>
      <c r="G31" s="20">
        <f>Submetering!F31+Submetering!G31</f>
        <v>208.13665809710278</v>
      </c>
      <c r="H31" s="16">
        <f t="shared" si="1"/>
        <v>1.0478509999999999</v>
      </c>
      <c r="I31" s="20">
        <f>Submetering!J31+Submetering!I31+Submetering!H31</f>
        <v>52.305299765380006</v>
      </c>
      <c r="J31" s="16">
        <v>2.3196172978505634</v>
      </c>
      <c r="K31" s="20">
        <f>Submetering!K31</f>
        <v>24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2021</v>
      </c>
      <c r="E32" s="20">
        <f>Submetering!E32</f>
        <v>6306.75</v>
      </c>
      <c r="F32" s="16">
        <v>0.12</v>
      </c>
      <c r="G32" s="20">
        <f>Submetering!F32+Submetering!G32</f>
        <v>128.44010250084114</v>
      </c>
      <c r="H32" s="16">
        <f t="shared" si="1"/>
        <v>1.0478509999999999</v>
      </c>
      <c r="I32" s="20">
        <f>Submetering!J32+Submetering!I32+Submetering!H32</f>
        <v>47.32157088124</v>
      </c>
      <c r="J32" s="16">
        <v>2.3196172978505634</v>
      </c>
      <c r="K32" s="20">
        <f>Submetering!K32</f>
        <v>44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E23" activePane="bottomRight" state="frozen"/>
      <selection pane="topRight" activeCell="C1" sqref="C1"/>
      <selection pane="bottomLeft" activeCell="A2" sqref="A2"/>
      <selection pane="bottomRight" activeCell="G38" sqref="G38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8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2021</v>
      </c>
      <c r="E2" s="20">
        <v>6176.25</v>
      </c>
      <c r="F2" s="20">
        <v>450.70134668878501</v>
      </c>
      <c r="G2" s="20">
        <v>19.377508347289723</v>
      </c>
      <c r="H2" s="20">
        <v>4.62</v>
      </c>
      <c r="I2" s="32">
        <v>30.5333333333</v>
      </c>
      <c r="J2" s="20">
        <v>25.033592195200001</v>
      </c>
      <c r="K2" s="35">
        <v>25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2021</v>
      </c>
      <c r="E3" s="20">
        <v>6176.25</v>
      </c>
      <c r="F3" s="20">
        <v>332.77570093457945</v>
      </c>
      <c r="G3" s="20">
        <v>17.270756720000001</v>
      </c>
      <c r="H3" s="20">
        <v>2.782</v>
      </c>
      <c r="I3" s="32">
        <v>27</v>
      </c>
      <c r="J3" s="20">
        <v>20.472093023300001</v>
      </c>
      <c r="K3" s="35">
        <v>18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2021</v>
      </c>
      <c r="E4" s="32">
        <v>6124.5</v>
      </c>
      <c r="F4" s="32">
        <v>289.79655613831778</v>
      </c>
      <c r="G4" s="32">
        <v>15.656345576168224</v>
      </c>
      <c r="H4" s="32">
        <v>0.77400000000000002</v>
      </c>
      <c r="I4" s="32">
        <v>17.227012061700002</v>
      </c>
      <c r="J4" s="32">
        <v>20.5054945055</v>
      </c>
      <c r="K4" s="36">
        <v>16</v>
      </c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2021</v>
      </c>
      <c r="E5" s="32">
        <v>6133.5</v>
      </c>
      <c r="F5" s="32">
        <v>242.09782643364485</v>
      </c>
      <c r="G5" s="34">
        <v>15.656345576168224</v>
      </c>
      <c r="H5" s="20">
        <v>0.69799999999999995</v>
      </c>
      <c r="I5" s="32">
        <v>18.4540241234</v>
      </c>
      <c r="J5" s="20">
        <v>23.4945054945</v>
      </c>
      <c r="K5" s="37">
        <v>14</v>
      </c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2021</v>
      </c>
      <c r="E6" s="20">
        <v>6342.75</v>
      </c>
      <c r="F6" s="32">
        <v>267.77571088504675</v>
      </c>
      <c r="G6" s="34">
        <v>15.656345576168224</v>
      </c>
      <c r="H6" s="32">
        <v>1.3089999999999999</v>
      </c>
      <c r="I6" s="32">
        <v>18.4540241234</v>
      </c>
      <c r="J6" s="32">
        <v>23.5209424084</v>
      </c>
      <c r="K6" s="38">
        <v>23</v>
      </c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2021</v>
      </c>
      <c r="E7" s="20">
        <v>6345</v>
      </c>
      <c r="F7" s="32">
        <v>460.84392523364488</v>
      </c>
      <c r="G7" s="34">
        <v>15.656345576168224</v>
      </c>
      <c r="H7" s="32">
        <v>1.153</v>
      </c>
      <c r="I7" s="32">
        <v>35.864939691499998</v>
      </c>
      <c r="J7" s="32">
        <v>22.986247525700001</v>
      </c>
      <c r="K7" s="38">
        <v>36</v>
      </c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2021</v>
      </c>
      <c r="E8" s="20">
        <v>6068.25</v>
      </c>
      <c r="F8" s="32">
        <v>403.36448598130846</v>
      </c>
      <c r="G8" s="32">
        <v>20.966019844766357</v>
      </c>
      <c r="H8" s="32">
        <v>0.91400000000000003</v>
      </c>
      <c r="I8" s="32">
        <v>25</v>
      </c>
      <c r="J8" s="32">
        <v>21.492810065899999</v>
      </c>
      <c r="K8" s="38">
        <v>19</v>
      </c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2021</v>
      </c>
      <c r="E9" s="32">
        <v>6201</v>
      </c>
      <c r="F9" s="32">
        <v>330.75887850467291</v>
      </c>
      <c r="G9" s="32">
        <v>19.563138942990655</v>
      </c>
      <c r="H9" s="32">
        <v>5.5730580134799999</v>
      </c>
      <c r="I9" s="32">
        <v>25</v>
      </c>
      <c r="J9" s="32">
        <v>23.5084072149</v>
      </c>
      <c r="K9" s="38">
        <v>19</v>
      </c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2021</v>
      </c>
      <c r="E10" s="32">
        <v>6329.25</v>
      </c>
      <c r="F10" s="32">
        <v>335.80093457943929</v>
      </c>
      <c r="G10" s="32">
        <v>18.475025174485982</v>
      </c>
      <c r="H10" s="32">
        <v>3.8159419865199999</v>
      </c>
      <c r="I10" s="32">
        <v>26</v>
      </c>
      <c r="J10" s="32">
        <v>22.0331286115</v>
      </c>
      <c r="K10" s="38">
        <v>28</v>
      </c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2021</v>
      </c>
      <c r="E11" s="32">
        <v>6174</v>
      </c>
      <c r="F11" s="32">
        <v>343.63589561495331</v>
      </c>
      <c r="G11" s="32">
        <v>18.579638583925234</v>
      </c>
      <c r="H11" s="32">
        <v>1.69707189349</v>
      </c>
      <c r="I11" s="32">
        <v>28</v>
      </c>
      <c r="J11" s="32">
        <v>22.458464173599999</v>
      </c>
      <c r="K11" s="38">
        <v>39</v>
      </c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2021</v>
      </c>
      <c r="E12" s="32">
        <v>6142.5</v>
      </c>
      <c r="F12" s="32">
        <v>278.49914097757011</v>
      </c>
      <c r="G12" s="32">
        <v>19.61880258869159</v>
      </c>
      <c r="H12" s="32">
        <v>1.6469281065100001</v>
      </c>
      <c r="I12" s="32">
        <v>23</v>
      </c>
      <c r="J12" s="32">
        <v>21</v>
      </c>
      <c r="K12" s="38">
        <v>31</v>
      </c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2021</v>
      </c>
      <c r="E13" s="32">
        <v>6327</v>
      </c>
      <c r="F13" s="32">
        <v>319.72103817289718</v>
      </c>
      <c r="G13" s="32">
        <v>17.368895683925235</v>
      </c>
      <c r="H13" s="32">
        <v>1.55</v>
      </c>
      <c r="I13" s="32">
        <v>26</v>
      </c>
      <c r="J13" s="32">
        <v>26</v>
      </c>
      <c r="K13" s="38">
        <v>29</v>
      </c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2021</v>
      </c>
      <c r="E14" s="32">
        <v>6300</v>
      </c>
      <c r="F14" s="32">
        <v>364.03644859813085</v>
      </c>
      <c r="G14" s="32">
        <v>19.425665871682245</v>
      </c>
      <c r="H14" s="32">
        <v>1.6725899765500001</v>
      </c>
      <c r="I14" s="32">
        <v>24</v>
      </c>
      <c r="J14" s="32">
        <v>22.5059108821</v>
      </c>
      <c r="K14" s="38">
        <v>38</v>
      </c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2021</v>
      </c>
      <c r="E15" s="32">
        <v>5955.75</v>
      </c>
      <c r="F15" s="32">
        <v>470.92803738317764</v>
      </c>
      <c r="G15" s="32">
        <v>18.92270629448598</v>
      </c>
      <c r="H15" s="32">
        <v>1.4184279392400001</v>
      </c>
      <c r="I15" s="32">
        <v>22</v>
      </c>
      <c r="J15" s="32">
        <v>21.024677353200001</v>
      </c>
      <c r="K15" s="38">
        <v>20</v>
      </c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2021</v>
      </c>
      <c r="E16" s="32">
        <v>6000.75</v>
      </c>
      <c r="F16" s="32">
        <v>523.36542056074768</v>
      </c>
      <c r="G16" s="32">
        <v>17.276843733177571</v>
      </c>
      <c r="H16" s="32">
        <v>4.5431555894800004</v>
      </c>
      <c r="I16" s="32">
        <v>21</v>
      </c>
      <c r="J16" s="32">
        <v>20.981502367699999</v>
      </c>
      <c r="K16" s="38">
        <v>19</v>
      </c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2021</v>
      </c>
      <c r="E17" s="32">
        <v>6090.75</v>
      </c>
      <c r="F17" s="32">
        <v>511.26448598130844</v>
      </c>
      <c r="G17" s="32">
        <v>16.232975487570094</v>
      </c>
      <c r="H17" s="32">
        <v>4.1008264947199997</v>
      </c>
      <c r="I17" s="32">
        <v>24</v>
      </c>
      <c r="J17" s="32">
        <v>22.022871486300001</v>
      </c>
      <c r="K17" s="38">
        <v>19</v>
      </c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2021</v>
      </c>
      <c r="E18" s="6">
        <v>6311.25</v>
      </c>
      <c r="F18" s="32">
        <v>503.16335505046732</v>
      </c>
      <c r="G18" s="32">
        <v>18.866220634766357</v>
      </c>
      <c r="H18" s="32">
        <v>0.74721827861599999</v>
      </c>
      <c r="I18" s="32">
        <v>28</v>
      </c>
      <c r="J18" s="32">
        <v>23.465037910700001</v>
      </c>
      <c r="K18" s="38">
        <v>35</v>
      </c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2021</v>
      </c>
      <c r="E19" s="32">
        <v>6300</v>
      </c>
      <c r="F19" s="32">
        <v>526.38615969532714</v>
      </c>
      <c r="G19" s="32">
        <v>16.666149346728975</v>
      </c>
      <c r="H19" s="32">
        <v>0.97278172138399999</v>
      </c>
      <c r="I19" s="32">
        <v>25</v>
      </c>
      <c r="J19" s="32">
        <v>21.503754881300001</v>
      </c>
      <c r="K19" s="38">
        <v>36</v>
      </c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2021</v>
      </c>
      <c r="E20" s="32">
        <v>6342.75</v>
      </c>
      <c r="F20" s="32">
        <v>505.21401869158882</v>
      </c>
      <c r="G20" s="32">
        <v>16.856568888411218</v>
      </c>
      <c r="H20" s="32">
        <v>1.2232739180000001</v>
      </c>
      <c r="I20" s="32">
        <v>27</v>
      </c>
      <c r="J20" s="32">
        <v>27.496245118699999</v>
      </c>
      <c r="K20" s="38">
        <v>47</v>
      </c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2021</v>
      </c>
      <c r="E21" s="32">
        <v>6608.25</v>
      </c>
      <c r="F21" s="32">
        <v>545.55046728971968</v>
      </c>
      <c r="G21" s="32">
        <v>0</v>
      </c>
      <c r="H21" s="32">
        <v>1.3757260819999999</v>
      </c>
      <c r="I21" s="32">
        <v>35</v>
      </c>
      <c r="J21" s="32">
        <v>26.533568904599999</v>
      </c>
      <c r="K21" s="38">
        <v>52</v>
      </c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2021</v>
      </c>
      <c r="E22" s="32">
        <v>6102</v>
      </c>
      <c r="F22" s="32">
        <v>505.68257339719628</v>
      </c>
      <c r="G22" s="32">
        <v>19.264634765887852</v>
      </c>
      <c r="H22" s="32">
        <v>0.93700000000000006</v>
      </c>
      <c r="I22" s="32">
        <v>27</v>
      </c>
      <c r="J22" s="32">
        <v>24.9860739525</v>
      </c>
      <c r="K22" s="38">
        <v>49</v>
      </c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2021</v>
      </c>
      <c r="E23" s="33">
        <v>6264</v>
      </c>
      <c r="F23" s="32">
        <v>439.14980190841123</v>
      </c>
      <c r="G23" s="20">
        <v>17.988258907289723</v>
      </c>
      <c r="H23" s="32">
        <v>6.2679999999999998</v>
      </c>
      <c r="I23" s="32">
        <v>32</v>
      </c>
      <c r="J23" s="32">
        <v>27.0003094954</v>
      </c>
      <c r="K23" s="6">
        <v>56</v>
      </c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2021</v>
      </c>
      <c r="E24" s="32">
        <v>6237</v>
      </c>
      <c r="F24" s="32">
        <v>371.62223870934582</v>
      </c>
      <c r="G24" s="20">
        <v>17.960286005233645</v>
      </c>
      <c r="H24" s="32">
        <v>4.548</v>
      </c>
      <c r="I24" s="32">
        <v>31</v>
      </c>
      <c r="J24" s="32">
        <v>23.480047647399999</v>
      </c>
      <c r="K24" s="6">
        <v>48</v>
      </c>
    </row>
    <row r="25" spans="1:11" ht="22.5" customHeight="1" x14ac:dyDescent="0.25">
      <c r="A25" s="17" t="s">
        <v>32</v>
      </c>
      <c r="B25" s="6">
        <f t="shared" si="0"/>
        <v>24</v>
      </c>
      <c r="C25" s="6">
        <v>3</v>
      </c>
      <c r="D25" s="6">
        <v>2021</v>
      </c>
      <c r="E25" s="20">
        <v>6324.75</v>
      </c>
      <c r="F25" s="32">
        <v>351.45753551775704</v>
      </c>
      <c r="G25" s="32">
        <v>16.614617490467293</v>
      </c>
      <c r="H25" s="20">
        <v>1.9641349112399999</v>
      </c>
      <c r="I25" s="20">
        <v>26</v>
      </c>
      <c r="J25" s="20">
        <v>22.501459427899999</v>
      </c>
      <c r="K25" s="20">
        <v>40</v>
      </c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2021</v>
      </c>
      <c r="E26" s="6">
        <v>6534</v>
      </c>
      <c r="F26" s="32">
        <v>293.44766355140189</v>
      </c>
      <c r="G26" s="32">
        <v>17.053075075140189</v>
      </c>
      <c r="H26" s="32">
        <v>1.6538650887599999</v>
      </c>
      <c r="I26" s="32">
        <v>24</v>
      </c>
      <c r="J26" s="32">
        <v>23.046111713199998</v>
      </c>
      <c r="K26" s="36">
        <v>40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2021</v>
      </c>
      <c r="E27" s="32">
        <v>6675.75</v>
      </c>
      <c r="F27" s="32">
        <v>233.97817124485982</v>
      </c>
      <c r="G27" s="32">
        <v>16.703992372897197</v>
      </c>
      <c r="H27" s="32">
        <v>1.788</v>
      </c>
      <c r="I27" s="32">
        <v>25</v>
      </c>
      <c r="J27" s="32">
        <v>28.9653350235</v>
      </c>
      <c r="K27" s="6">
        <v>39</v>
      </c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2021</v>
      </c>
      <c r="E28" s="32">
        <v>6597</v>
      </c>
      <c r="F28" s="32">
        <v>256.17205517383178</v>
      </c>
      <c r="G28" s="32">
        <v>17.9515936364486</v>
      </c>
      <c r="H28" s="32">
        <v>1.556</v>
      </c>
      <c r="I28" s="32">
        <v>28</v>
      </c>
      <c r="J28" s="32">
        <v>25.0054987434</v>
      </c>
      <c r="K28" s="39">
        <v>42</v>
      </c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2021</v>
      </c>
      <c r="E29" s="32">
        <v>5618.7</v>
      </c>
      <c r="F29" s="32">
        <v>238.93108199252339</v>
      </c>
      <c r="G29" s="34">
        <v>10.472025158785048</v>
      </c>
      <c r="H29" s="32">
        <v>1.8680000000000001</v>
      </c>
      <c r="I29" s="32">
        <v>24</v>
      </c>
      <c r="J29" s="32">
        <v>22.013139903300001</v>
      </c>
      <c r="K29" s="39">
        <v>30</v>
      </c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2021</v>
      </c>
      <c r="E30" s="32">
        <v>6009.3</v>
      </c>
      <c r="F30" s="32">
        <v>217.81682242990655</v>
      </c>
      <c r="G30" s="34">
        <v>10.472025158785048</v>
      </c>
      <c r="H30" s="32">
        <v>5.5311107854600001</v>
      </c>
      <c r="I30" s="32">
        <v>23</v>
      </c>
      <c r="J30" s="32">
        <v>23.468455188699998</v>
      </c>
      <c r="K30">
        <v>30</v>
      </c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2021</v>
      </c>
      <c r="E31" s="32">
        <v>6167.25</v>
      </c>
      <c r="F31" s="32">
        <v>197.66463293831774</v>
      </c>
      <c r="G31" s="34">
        <v>10.472025158785048</v>
      </c>
      <c r="H31" s="32">
        <v>5.7591679601800001</v>
      </c>
      <c r="I31" s="32">
        <v>24</v>
      </c>
      <c r="J31" s="32">
        <v>22.546131805200002</v>
      </c>
      <c r="K31">
        <v>24</v>
      </c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2021</v>
      </c>
      <c r="E32" s="32">
        <v>6306.75</v>
      </c>
      <c r="F32" s="32">
        <v>117.96807734205608</v>
      </c>
      <c r="G32" s="34">
        <v>10.472025158785048</v>
      </c>
      <c r="H32" s="32">
        <v>1.83073190524</v>
      </c>
      <c r="I32" s="32">
        <v>23</v>
      </c>
      <c r="J32" s="32">
        <v>22.490838975999999</v>
      </c>
      <c r="K32" s="39">
        <v>44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0"/>
      <c r="C1" s="1"/>
      <c r="D1" s="11"/>
      <c r="E1" s="1"/>
      <c r="F1" s="14"/>
      <c r="G1" s="1"/>
      <c r="H1" s="1"/>
      <c r="I1" s="41"/>
      <c r="J1" s="46"/>
      <c r="K1" s="47"/>
      <c r="L1" s="47"/>
      <c r="M1" s="47"/>
      <c r="N1" s="47"/>
      <c r="O1" s="47"/>
      <c r="P1" s="21"/>
      <c r="Q1" s="21"/>
    </row>
    <row r="2" spans="1:17" ht="35.25" customHeight="1" thickBot="1" x14ac:dyDescent="0.3">
      <c r="A2" s="19" t="s">
        <v>15</v>
      </c>
      <c r="B2" s="40"/>
      <c r="C2" s="50" t="s">
        <v>22</v>
      </c>
      <c r="D2" s="51"/>
      <c r="E2" s="44" t="s">
        <v>23</v>
      </c>
      <c r="F2" s="44"/>
      <c r="G2" s="44" t="s">
        <v>24</v>
      </c>
      <c r="H2" s="44"/>
      <c r="I2" s="42"/>
      <c r="J2" s="48" t="s">
        <v>27</v>
      </c>
      <c r="K2" s="49"/>
      <c r="L2" s="52" t="s">
        <v>28</v>
      </c>
      <c r="M2" s="52"/>
      <c r="N2" s="52" t="s">
        <v>29</v>
      </c>
      <c r="O2" s="52"/>
      <c r="P2" s="10"/>
      <c r="Q2" s="10"/>
    </row>
    <row r="3" spans="1:17" ht="44.25" customHeight="1" x14ac:dyDescent="0.25">
      <c r="A3" s="2" t="s">
        <v>0</v>
      </c>
      <c r="B3" s="40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2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0"/>
      <c r="C4" s="18">
        <v>22342913</v>
      </c>
      <c r="D4" s="45">
        <f>IF((C5-C4&lt;0), "",C5-C4)</f>
        <v>7975</v>
      </c>
      <c r="E4" s="18">
        <v>23837512</v>
      </c>
      <c r="F4" s="53">
        <f>IF((E5-E4&lt;0), "",E5-E4)</f>
        <v>5799</v>
      </c>
      <c r="G4" s="18">
        <v>9975816</v>
      </c>
      <c r="H4" s="45">
        <f>IF((G5-G4&lt;0), "",G5-G4)</f>
        <v>3477</v>
      </c>
      <c r="I4" s="42"/>
      <c r="J4" s="18"/>
      <c r="K4" s="45">
        <v>0</v>
      </c>
      <c r="L4" s="18"/>
      <c r="M4" s="45">
        <v>0</v>
      </c>
      <c r="N4" s="18">
        <v>75776</v>
      </c>
      <c r="O4" s="45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0"/>
      <c r="C5" s="18">
        <v>22350888</v>
      </c>
      <c r="D5" s="45"/>
      <c r="E5" s="18">
        <v>23843311</v>
      </c>
      <c r="F5" s="54"/>
      <c r="G5" s="18">
        <v>9979293</v>
      </c>
      <c r="H5" s="45"/>
      <c r="I5" s="42"/>
      <c r="J5" s="18">
        <v>0</v>
      </c>
      <c r="K5" s="45"/>
      <c r="L5" s="18">
        <v>0</v>
      </c>
      <c r="M5" s="45"/>
      <c r="N5" s="18">
        <v>75809</v>
      </c>
      <c r="O5" s="45"/>
      <c r="P5" s="23"/>
      <c r="Q5" s="23"/>
    </row>
    <row r="6" spans="1:17" ht="45" customHeight="1" x14ac:dyDescent="0.3">
      <c r="A6" s="7">
        <v>43557</v>
      </c>
      <c r="B6" s="40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3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0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2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0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2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0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2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0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2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0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2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0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2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0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2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0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2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0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2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0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2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0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2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0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2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0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2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0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2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0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2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0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2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0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2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0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2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0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2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0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2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0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2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0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2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0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2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0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3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0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3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0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3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2022-09-04T09:33:46Z</dcterms:modified>
</cp:coreProperties>
</file>