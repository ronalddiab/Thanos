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<sst xmlns="http://schemas.openxmlformats.org/spreadsheetml/2006/main" count="128" uniqueCount="49">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</sst>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58310</v>
      </c>
      <c r="F6" s="11">
        <v>5.0000000000000001E-3</v>
      </c>
      <c r="G6" s="12">
        <f>Submetering!R6</f>
        <v>863.45202099999995</v>
      </c>
      <c r="H6" s="11">
        <v>0.52800000000000002</v>
      </c>
      <c r="I6" s="12">
        <f>Hotel!B11</f>
        <v>101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63070</v>
      </c>
      <c r="F7" s="11">
        <v>5.0000000000000001E-3</v>
      </c>
      <c r="G7" s="12">
        <f>Submetering!R7</f>
        <v>957.70873000000006</v>
      </c>
      <c r="H7" s="11">
        <v>0.52800000000000002</v>
      </c>
      <c r="I7" s="12">
        <f>Hotel!B12</f>
        <v>113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59130</v>
      </c>
      <c r="F8" s="11">
        <v>5.0000000000000001E-3</v>
      </c>
      <c r="G8" s="12">
        <f>Submetering!R8</f>
        <v>984.96368200000006</v>
      </c>
      <c r="H8" s="11">
        <v>0.52800000000000002</v>
      </c>
      <c r="I8" s="12">
        <f>Hotel!B13</f>
        <v>91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61610</v>
      </c>
      <c r="F9" s="11">
        <v>5.0000000000000001E-3</v>
      </c>
      <c r="G9" s="12">
        <f>Submetering!R9</f>
        <v>1022.439241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60600</v>
      </c>
      <c r="F10" s="11">
        <v>5.0000000000000001E-3</v>
      </c>
      <c r="G10" s="12">
        <f>Submetering!R10</f>
        <v>944.45979499999999</v>
      </c>
      <c r="H10" s="11">
        <v>0.52800000000000002</v>
      </c>
      <c r="I10" s="12">
        <f>Hotel!B15</f>
        <v>114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940</v>
      </c>
      <c r="F6" s="4">
        <f>Hotel!R11</f>
        <v>12790</v>
      </c>
      <c r="G6" s="4">
        <f>Hotel!S11</f>
        <v>3530</v>
      </c>
      <c r="H6" s="4">
        <f>Hotel!T11</f>
        <v>1540</v>
      </c>
      <c r="I6" s="4">
        <f>Hotel!U11</f>
        <v>4900</v>
      </c>
      <c r="J6" s="4">
        <f>Hotel!V11</f>
        <v>3320</v>
      </c>
      <c r="K6" s="4">
        <f>Hotel!W11</f>
        <v>2260</v>
      </c>
      <c r="L6" s="4">
        <f>Hotel!X11</f>
        <v>3200</v>
      </c>
      <c r="M6" s="4">
        <f>Hotel!Y11</f>
        <v>4570</v>
      </c>
      <c r="N6" s="4">
        <f>Hotel!Z11</f>
        <v>2760</v>
      </c>
      <c r="O6" s="4">
        <f>Hotel!AA11</f>
        <v>3250</v>
      </c>
      <c r="P6" s="4">
        <f>Hotel!AB11</f>
        <v>6420</v>
      </c>
      <c r="Q6" s="4">
        <f>Hotel!AC11</f>
        <v>8830</v>
      </c>
      <c r="R6" s="4">
        <f>Hotel!AV11*0.00378541*100</f>
        <v>863.45202099999995</v>
      </c>
      <c r="S6" s="4">
        <f>Hotel!B11</f>
        <v>101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1010</v>
      </c>
      <c r="F7" s="4">
        <f>Hotel!R12</f>
        <v>16830</v>
      </c>
      <c r="G7" s="4">
        <f>Hotel!S12</f>
        <v>4290</v>
      </c>
      <c r="H7" s="4">
        <f>Hotel!T12</f>
        <v>1610</v>
      </c>
      <c r="I7" s="4">
        <f>Hotel!U12</f>
        <v>4790</v>
      </c>
      <c r="J7" s="4">
        <f>Hotel!V12</f>
        <v>3430</v>
      </c>
      <c r="K7" s="4">
        <f>Hotel!W12</f>
        <v>2360</v>
      </c>
      <c r="L7" s="4">
        <f>Hotel!X12</f>
        <v>3190</v>
      </c>
      <c r="M7" s="4">
        <f>Hotel!Y12</f>
        <v>4900</v>
      </c>
      <c r="N7" s="4">
        <f>Hotel!Z12</f>
        <v>2760</v>
      </c>
      <c r="O7" s="4">
        <f>Hotel!AA12</f>
        <v>3160</v>
      </c>
      <c r="P7" s="4">
        <f>Hotel!AB12</f>
        <v>6640</v>
      </c>
      <c r="Q7" s="4">
        <f>Hotel!AC12</f>
        <v>8100</v>
      </c>
      <c r="R7" s="4">
        <f>Hotel!AV12*0.00378541*100</f>
        <v>957.70873000000006</v>
      </c>
      <c r="S7" s="4">
        <f>Hotel!B12</f>
        <v>113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970</v>
      </c>
      <c r="F8" s="4">
        <f>Hotel!R13</f>
        <v>14010</v>
      </c>
      <c r="G8" s="4">
        <f>Hotel!S13</f>
        <v>3630</v>
      </c>
      <c r="H8" s="4">
        <f>Hotel!T13</f>
        <v>1570</v>
      </c>
      <c r="I8" s="4">
        <f>Hotel!U13</f>
        <v>4660</v>
      </c>
      <c r="J8" s="4">
        <f>Hotel!V13</f>
        <v>3280</v>
      </c>
      <c r="K8" s="4">
        <f>Hotel!W13</f>
        <v>2290</v>
      </c>
      <c r="L8" s="4">
        <f>Hotel!X13</f>
        <v>3150</v>
      </c>
      <c r="M8" s="4">
        <f>Hotel!Y13</f>
        <v>4730</v>
      </c>
      <c r="N8" s="4">
        <f>Hotel!Z13</f>
        <v>2760</v>
      </c>
      <c r="O8" s="4">
        <f>Hotel!AA13</f>
        <v>3350</v>
      </c>
      <c r="P8" s="4">
        <f>Hotel!AB13</f>
        <v>6580</v>
      </c>
      <c r="Q8" s="4">
        <f>Hotel!AC13</f>
        <v>8150</v>
      </c>
      <c r="R8" s="4">
        <f>Hotel!AV13*0.00378541*100</f>
        <v>984.96368200000006</v>
      </c>
      <c r="S8" s="4">
        <f>Hotel!B13</f>
        <v>91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1020</v>
      </c>
      <c r="F9" s="4">
        <f>Hotel!R14</f>
        <v>13810</v>
      </c>
      <c r="G9" s="4">
        <f>Hotel!S14</f>
        <v>3520</v>
      </c>
      <c r="H9" s="4">
        <f>Hotel!T14</f>
        <v>1620</v>
      </c>
      <c r="I9" s="4">
        <f>Hotel!U14</f>
        <v>4790</v>
      </c>
      <c r="J9" s="4">
        <f>Hotel!V14</f>
        <v>3300</v>
      </c>
      <c r="K9" s="4">
        <f>Hotel!W14</f>
        <v>2370</v>
      </c>
      <c r="L9" s="4">
        <f>Hotel!X14</f>
        <v>3450</v>
      </c>
      <c r="M9" s="4">
        <f>Hotel!Y14</f>
        <v>5010</v>
      </c>
      <c r="N9" s="4">
        <f>Hotel!Z14</f>
        <v>2790</v>
      </c>
      <c r="O9" s="4">
        <f>Hotel!AA14</f>
        <v>3330</v>
      </c>
      <c r="P9" s="4">
        <f>Hotel!AB14</f>
        <v>6910</v>
      </c>
      <c r="Q9" s="4">
        <f>Hotel!AC14</f>
        <v>9690</v>
      </c>
      <c r="R9" s="4">
        <f>Hotel!AV14*0.00378541*100</f>
        <v>1022.439241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110</v>
      </c>
      <c r="F10" s="4">
        <f>Hotel!R15</f>
        <v>13960</v>
      </c>
      <c r="G10" s="4">
        <f>Hotel!S15</f>
        <v>3560</v>
      </c>
      <c r="H10" s="4">
        <f>Hotel!T15</f>
        <v>1610</v>
      </c>
      <c r="I10" s="4">
        <f>Hotel!U15</f>
        <v>4840</v>
      </c>
      <c r="J10" s="4">
        <f>Hotel!V15</f>
        <v>3140</v>
      </c>
      <c r="K10" s="4">
        <f>Hotel!W15</f>
        <v>2390</v>
      </c>
      <c r="L10" s="4">
        <f>Hotel!X15</f>
        <v>3500</v>
      </c>
      <c r="M10" s="4">
        <f>Hotel!Y15</f>
        <v>4950</v>
      </c>
      <c r="N10" s="4">
        <f>Hotel!Z15</f>
        <v>2890</v>
      </c>
      <c r="O10" s="4">
        <f>Hotel!AA15</f>
        <v>3260</v>
      </c>
      <c r="P10" s="4">
        <f>Hotel!AB15</f>
        <v>6900</v>
      </c>
      <c r="Q10" s="4">
        <f>Hotel!AC15</f>
        <v>9490</v>
      </c>
      <c r="R10" s="4">
        <f>Hotel!AV15*0.00378541*100</f>
        <v>944.45979499999999</v>
      </c>
      <c r="S10" s="4">
        <f>Hotel!B15</f>
        <v>114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Q21" sqref="AQ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>
        <v>101</v>
      </c>
      <c r="C11" s="24">
        <v>6347960</v>
      </c>
      <c r="D11" s="24">
        <v>13983060</v>
      </c>
      <c r="E11" s="24">
        <v>1990090</v>
      </c>
      <c r="F11" s="24">
        <v>3007640</v>
      </c>
      <c r="G11" s="24">
        <v>9126490</v>
      </c>
      <c r="H11" s="24">
        <v>4624580</v>
      </c>
      <c r="I11" s="24">
        <v>4429670</v>
      </c>
      <c r="J11" s="24">
        <v>4949790</v>
      </c>
      <c r="K11" s="24">
        <v>7792910</v>
      </c>
      <c r="L11" s="24">
        <v>3131350</v>
      </c>
      <c r="M11" s="24">
        <v>6991070</v>
      </c>
      <c r="N11" s="24">
        <v>10146080</v>
      </c>
      <c r="O11" s="24">
        <v>13719030</v>
      </c>
      <c r="Q11" s="37">
        <f t="shared" si="16"/>
        <v>940</v>
      </c>
      <c r="R11" s="37">
        <f t="shared" si="17"/>
        <v>12790</v>
      </c>
      <c r="S11" s="37">
        <f t="shared" si="15"/>
        <v>3530</v>
      </c>
      <c r="T11" s="37">
        <f t="shared" si="18"/>
        <v>1540</v>
      </c>
      <c r="U11" s="37">
        <f t="shared" si="19"/>
        <v>4900</v>
      </c>
      <c r="V11" s="37">
        <f t="shared" si="20"/>
        <v>3320</v>
      </c>
      <c r="W11" s="37">
        <f t="shared" si="21"/>
        <v>2260</v>
      </c>
      <c r="X11" s="37">
        <f t="shared" si="22"/>
        <v>3200</v>
      </c>
      <c r="Y11" s="37">
        <f t="shared" si="23"/>
        <v>4570</v>
      </c>
      <c r="Z11" s="37">
        <f t="shared" si="24"/>
        <v>2760</v>
      </c>
      <c r="AA11" s="37">
        <f t="shared" si="25"/>
        <v>3250</v>
      </c>
      <c r="AB11" s="37">
        <f t="shared" si="26"/>
        <v>6420</v>
      </c>
      <c r="AC11" s="37">
        <f t="shared" si="27"/>
        <v>8830</v>
      </c>
      <c r="AD11" s="35">
        <f t="shared" si="28"/>
        <v>58310</v>
      </c>
      <c r="AF11" s="20">
        <f t="shared" si="1"/>
        <v>4.7</v>
      </c>
      <c r="AG11" s="20">
        <f t="shared" si="2"/>
        <v>63.95</v>
      </c>
      <c r="AH11" s="20">
        <f t="shared" si="3"/>
        <v>17.650000000000002</v>
      </c>
      <c r="AI11" s="20">
        <f t="shared" si="4"/>
        <v>7.7</v>
      </c>
      <c r="AJ11" s="20">
        <f t="shared" si="5"/>
        <v>24.5</v>
      </c>
      <c r="AK11" s="20">
        <f t="shared" si="6"/>
        <v>16.600000000000001</v>
      </c>
      <c r="AL11" s="20">
        <f t="shared" si="7"/>
        <v>11.3</v>
      </c>
      <c r="AM11" s="20">
        <f t="shared" si="8"/>
        <v>16</v>
      </c>
      <c r="AN11" s="20">
        <f t="shared" si="9"/>
        <v>22.85</v>
      </c>
      <c r="AO11" s="20">
        <f t="shared" si="10"/>
        <v>13.8</v>
      </c>
      <c r="AP11" s="20">
        <f t="shared" si="11"/>
        <v>16.25</v>
      </c>
      <c r="AQ11" s="20">
        <f t="shared" si="12"/>
        <v>32.1</v>
      </c>
      <c r="AR11" s="20">
        <f t="shared" si="13"/>
        <v>44.15</v>
      </c>
      <c r="AS11" s="35">
        <f t="shared" si="29"/>
        <v>291.55</v>
      </c>
      <c r="AU11" s="47">
        <v>148298</v>
      </c>
      <c r="AV11" s="37">
        <f t="shared" si="31"/>
        <v>2281</v>
      </c>
      <c r="AW11" s="35">
        <f t="shared" si="30"/>
        <v>4.5620000000000003</v>
      </c>
    </row>
    <row r="12" spans="1:49" x14ac:dyDescent="0.25">
      <c r="A12" s="23">
        <v>44080</v>
      </c>
      <c r="B12" s="40">
        <v>113</v>
      </c>
      <c r="C12" s="49">
        <v>6348970</v>
      </c>
      <c r="D12" s="24">
        <v>13999890</v>
      </c>
      <c r="E12" s="24">
        <v>1994380</v>
      </c>
      <c r="F12" s="24">
        <v>3009250</v>
      </c>
      <c r="G12" s="24">
        <v>9131280</v>
      </c>
      <c r="H12" s="24">
        <v>4628010</v>
      </c>
      <c r="I12" s="24">
        <v>4432030</v>
      </c>
      <c r="J12" s="24">
        <v>4952980</v>
      </c>
      <c r="K12" s="24">
        <v>7797810</v>
      </c>
      <c r="L12" s="24">
        <v>3134110</v>
      </c>
      <c r="M12" s="24">
        <v>6994230</v>
      </c>
      <c r="N12" s="24">
        <v>10152720</v>
      </c>
      <c r="O12" s="24">
        <v>13727130</v>
      </c>
      <c r="Q12" s="37">
        <f t="shared" si="16"/>
        <v>1010</v>
      </c>
      <c r="R12" s="37">
        <f t="shared" si="17"/>
        <v>16830</v>
      </c>
      <c r="S12" s="37">
        <f t="shared" si="15"/>
        <v>4290</v>
      </c>
      <c r="T12" s="37">
        <f t="shared" ref="T12:W14" si="32">IF((F12-F11&lt;0), "0",F12-F11)</f>
        <v>1610</v>
      </c>
      <c r="U12" s="37">
        <f t="shared" si="32"/>
        <v>4790</v>
      </c>
      <c r="V12" s="37">
        <f t="shared" si="32"/>
        <v>3430</v>
      </c>
      <c r="W12" s="37">
        <f t="shared" si="32"/>
        <v>2360</v>
      </c>
      <c r="X12" s="37">
        <f t="shared" si="22"/>
        <v>3190</v>
      </c>
      <c r="Y12" s="37">
        <f t="shared" si="23"/>
        <v>4900</v>
      </c>
      <c r="Z12" s="37">
        <f>IF((L12-L11&lt;0), "0",L12-L11)</f>
        <v>2760</v>
      </c>
      <c r="AA12" s="37">
        <f t="shared" si="25"/>
        <v>3160</v>
      </c>
      <c r="AB12" s="37">
        <f t="shared" si="26"/>
        <v>6640</v>
      </c>
      <c r="AC12" s="37">
        <f t="shared" si="27"/>
        <v>8100</v>
      </c>
      <c r="AD12" s="35">
        <f t="shared" si="28"/>
        <v>63070</v>
      </c>
      <c r="AF12" s="20">
        <f t="shared" si="1"/>
        <v>5.05</v>
      </c>
      <c r="AG12" s="20">
        <f t="shared" si="2"/>
        <v>84.15</v>
      </c>
      <c r="AH12" s="20">
        <f t="shared" si="3"/>
        <v>21.45</v>
      </c>
      <c r="AI12" s="20">
        <f t="shared" si="4"/>
        <v>8.0500000000000007</v>
      </c>
      <c r="AJ12" s="20">
        <f t="shared" si="5"/>
        <v>23.95</v>
      </c>
      <c r="AK12" s="20">
        <f t="shared" si="6"/>
        <v>17.150000000000002</v>
      </c>
      <c r="AL12" s="20">
        <f t="shared" si="7"/>
        <v>11.8</v>
      </c>
      <c r="AM12" s="20">
        <f t="shared" si="8"/>
        <v>15.950000000000001</v>
      </c>
      <c r="AN12" s="20">
        <f t="shared" si="9"/>
        <v>24.5</v>
      </c>
      <c r="AO12" s="20">
        <f t="shared" si="10"/>
        <v>13.8</v>
      </c>
      <c r="AP12" s="20">
        <f t="shared" si="11"/>
        <v>15.8</v>
      </c>
      <c r="AQ12" s="20">
        <f t="shared" si="12"/>
        <v>33.200000000000003</v>
      </c>
      <c r="AR12" s="20">
        <f t="shared" si="13"/>
        <v>40.5</v>
      </c>
      <c r="AS12" s="35">
        <f t="shared" si="29"/>
        <v>315.35000000000002</v>
      </c>
      <c r="AU12" s="47">
        <v>150828</v>
      </c>
      <c r="AV12" s="37">
        <f t="shared" si="31"/>
        <v>2530</v>
      </c>
      <c r="AW12" s="35">
        <f t="shared" si="30"/>
        <v>5.0600000000000005</v>
      </c>
    </row>
    <row r="13" spans="1:49" x14ac:dyDescent="0.25">
      <c r="A13" s="23">
        <v>44081</v>
      </c>
      <c r="B13" s="40">
        <v>91</v>
      </c>
      <c r="C13" s="24">
        <v>6349940</v>
      </c>
      <c r="D13" s="24">
        <v>14013900</v>
      </c>
      <c r="E13" s="24">
        <v>1998010</v>
      </c>
      <c r="F13" s="24">
        <v>3010820</v>
      </c>
      <c r="G13" s="24">
        <v>9135940</v>
      </c>
      <c r="H13" s="24">
        <v>4631290</v>
      </c>
      <c r="I13" s="24">
        <v>4434320</v>
      </c>
      <c r="J13" s="24">
        <v>4956130</v>
      </c>
      <c r="K13" s="24">
        <v>7802540</v>
      </c>
      <c r="L13" s="24">
        <v>3136870</v>
      </c>
      <c r="M13" s="24">
        <v>6997580</v>
      </c>
      <c r="N13" s="24">
        <v>10159300</v>
      </c>
      <c r="O13" s="24">
        <v>13735280</v>
      </c>
      <c r="Q13" s="37">
        <f t="shared" si="16"/>
        <v>970</v>
      </c>
      <c r="R13" s="37">
        <f t="shared" si="17"/>
        <v>14010</v>
      </c>
      <c r="S13" s="37">
        <f t="shared" si="15"/>
        <v>3630</v>
      </c>
      <c r="T13" s="37">
        <f t="shared" si="32"/>
        <v>1570</v>
      </c>
      <c r="U13" s="37">
        <f t="shared" si="32"/>
        <v>4660</v>
      </c>
      <c r="V13" s="37">
        <f t="shared" si="32"/>
        <v>3280</v>
      </c>
      <c r="W13" s="37">
        <f t="shared" si="32"/>
        <v>2290</v>
      </c>
      <c r="X13" s="37">
        <f t="shared" si="22"/>
        <v>3150</v>
      </c>
      <c r="Y13" s="37">
        <f t="shared" si="23"/>
        <v>4730</v>
      </c>
      <c r="Z13" s="37">
        <f>IF((L13-L12&lt;0), "0",L13-L12)</f>
        <v>2760</v>
      </c>
      <c r="AA13" s="37">
        <f t="shared" si="25"/>
        <v>3350</v>
      </c>
      <c r="AB13" s="37">
        <f t="shared" si="26"/>
        <v>6580</v>
      </c>
      <c r="AC13" s="37">
        <f t="shared" si="27"/>
        <v>8150</v>
      </c>
      <c r="AD13" s="35">
        <f t="shared" si="28"/>
        <v>59130</v>
      </c>
      <c r="AF13" s="20">
        <f t="shared" si="1"/>
        <v>4.8500000000000005</v>
      </c>
      <c r="AG13" s="20">
        <f t="shared" si="2"/>
        <v>70.05</v>
      </c>
      <c r="AH13" s="20">
        <f t="shared" si="3"/>
        <v>18.150000000000002</v>
      </c>
      <c r="AI13" s="20">
        <f t="shared" si="4"/>
        <v>7.8500000000000005</v>
      </c>
      <c r="AJ13" s="20">
        <f t="shared" si="5"/>
        <v>23.3</v>
      </c>
      <c r="AK13" s="20">
        <f t="shared" si="6"/>
        <v>16.399999999999999</v>
      </c>
      <c r="AL13" s="20">
        <f t="shared" si="7"/>
        <v>11.450000000000001</v>
      </c>
      <c r="AM13" s="20">
        <f t="shared" si="8"/>
        <v>15.75</v>
      </c>
      <c r="AN13" s="20">
        <f t="shared" si="9"/>
        <v>23.650000000000002</v>
      </c>
      <c r="AO13" s="20">
        <f t="shared" si="10"/>
        <v>13.8</v>
      </c>
      <c r="AP13" s="20">
        <f t="shared" si="11"/>
        <v>16.75</v>
      </c>
      <c r="AQ13" s="20">
        <f t="shared" si="12"/>
        <v>32.9</v>
      </c>
      <c r="AR13" s="20">
        <f t="shared" si="13"/>
        <v>40.75</v>
      </c>
      <c r="AS13" s="35">
        <f t="shared" si="29"/>
        <v>295.64999999999998</v>
      </c>
      <c r="AU13" s="47">
        <v>153430</v>
      </c>
      <c r="AV13" s="37">
        <f t="shared" si="31"/>
        <v>2602</v>
      </c>
      <c r="AW13" s="35">
        <f t="shared" si="30"/>
        <v>5.2039999999999997</v>
      </c>
    </row>
    <row r="14" spans="1:49" x14ac:dyDescent="0.25">
      <c r="A14" s="23">
        <v>44082</v>
      </c>
      <c r="B14" s="40">
        <v>117</v>
      </c>
      <c r="C14" s="24">
        <v>6350960</v>
      </c>
      <c r="D14" s="24">
        <v>14027710</v>
      </c>
      <c r="E14" s="24">
        <v>2001530</v>
      </c>
      <c r="F14" s="24">
        <v>3012440</v>
      </c>
      <c r="G14" s="24">
        <v>9140730</v>
      </c>
      <c r="H14" s="24">
        <v>4634590</v>
      </c>
      <c r="I14" s="24">
        <v>4436690</v>
      </c>
      <c r="J14" s="24">
        <v>4959580</v>
      </c>
      <c r="K14" s="24">
        <v>7807550</v>
      </c>
      <c r="L14" s="24">
        <v>3139660</v>
      </c>
      <c r="M14" s="24">
        <v>7000910</v>
      </c>
      <c r="N14" s="24">
        <v>10166210</v>
      </c>
      <c r="O14" s="24">
        <v>13744970</v>
      </c>
      <c r="P14" s="54"/>
      <c r="Q14" s="37">
        <f t="shared" si="16"/>
        <v>1020</v>
      </c>
      <c r="R14" s="37">
        <f t="shared" si="17"/>
        <v>13810</v>
      </c>
      <c r="S14" s="37">
        <f t="shared" si="15"/>
        <v>3520</v>
      </c>
      <c r="T14" s="37">
        <f t="shared" si="32"/>
        <v>1620</v>
      </c>
      <c r="U14" s="37">
        <f t="shared" si="32"/>
        <v>4790</v>
      </c>
      <c r="V14" s="37">
        <f t="shared" si="32"/>
        <v>3300</v>
      </c>
      <c r="W14" s="37">
        <f t="shared" si="32"/>
        <v>2370</v>
      </c>
      <c r="X14" s="37">
        <f t="shared" si="22"/>
        <v>3450</v>
      </c>
      <c r="Y14" s="37">
        <f t="shared" si="23"/>
        <v>5010</v>
      </c>
      <c r="Z14" s="37">
        <f>IF((L14-L13&lt;0), "0",L14-L13)</f>
        <v>2790</v>
      </c>
      <c r="AA14" s="37">
        <f t="shared" si="25"/>
        <v>3330</v>
      </c>
      <c r="AB14" s="37">
        <f t="shared" si="26"/>
        <v>6910</v>
      </c>
      <c r="AC14" s="37">
        <f t="shared" si="27"/>
        <v>9690</v>
      </c>
      <c r="AD14" s="35">
        <f t="shared" si="28"/>
        <v>61610</v>
      </c>
      <c r="AF14" s="20">
        <f t="shared" si="1"/>
        <v>5.1000000000000005</v>
      </c>
      <c r="AG14" s="20">
        <f t="shared" si="2"/>
        <v>69.05</v>
      </c>
      <c r="AH14" s="20">
        <f t="shared" si="3"/>
        <v>17.600000000000001</v>
      </c>
      <c r="AI14" s="20">
        <f t="shared" si="4"/>
        <v>8.1</v>
      </c>
      <c r="AJ14" s="20">
        <f t="shared" si="5"/>
        <v>23.95</v>
      </c>
      <c r="AK14" s="20">
        <f t="shared" si="6"/>
        <v>16.5</v>
      </c>
      <c r="AL14" s="20">
        <f t="shared" si="7"/>
        <v>11.85</v>
      </c>
      <c r="AM14" s="20">
        <f t="shared" si="8"/>
        <v>17.25</v>
      </c>
      <c r="AN14" s="20">
        <f t="shared" si="9"/>
        <v>25.05</v>
      </c>
      <c r="AO14" s="20">
        <f t="shared" si="10"/>
        <v>13.950000000000001</v>
      </c>
      <c r="AP14" s="20">
        <f t="shared" si="11"/>
        <v>16.649999999999999</v>
      </c>
      <c r="AQ14" s="20">
        <f t="shared" si="12"/>
        <v>34.550000000000004</v>
      </c>
      <c r="AR14" s="20">
        <f t="shared" si="13"/>
        <v>48.45</v>
      </c>
      <c r="AS14" s="35">
        <f t="shared" si="29"/>
        <v>308.05</v>
      </c>
      <c r="AU14" s="47">
        <v>156131</v>
      </c>
      <c r="AV14" s="37">
        <f t="shared" si="31"/>
        <v>2701</v>
      </c>
      <c r="AW14" s="35">
        <f t="shared" si="30"/>
        <v>5.4020000000000001</v>
      </c>
    </row>
    <row r="15" spans="1:49" x14ac:dyDescent="0.25">
      <c r="A15" s="23">
        <v>44083</v>
      </c>
      <c r="B15" s="40">
        <v>114</v>
      </c>
      <c r="C15" s="24">
        <v>6351070</v>
      </c>
      <c r="D15" s="24">
        <v>14041670</v>
      </c>
      <c r="E15" s="24">
        <v>2005090</v>
      </c>
      <c r="F15" s="24">
        <v>3014050</v>
      </c>
      <c r="G15" s="24">
        <v>9145570</v>
      </c>
      <c r="H15" s="24">
        <v>4637730</v>
      </c>
      <c r="I15" s="24">
        <v>4439080</v>
      </c>
      <c r="J15" s="24">
        <v>4963080</v>
      </c>
      <c r="K15" s="24">
        <v>7812500</v>
      </c>
      <c r="L15" s="24">
        <v>3142550</v>
      </c>
      <c r="M15" s="24">
        <v>7004170</v>
      </c>
      <c r="N15" s="24">
        <v>10173110</v>
      </c>
      <c r="O15" s="24">
        <v>13754460</v>
      </c>
      <c r="Q15" s="37">
        <f t="shared" si="16"/>
        <v>110</v>
      </c>
      <c r="R15" s="37">
        <f t="shared" si="17"/>
        <v>13960</v>
      </c>
      <c r="S15" s="37">
        <f t="shared" si="15"/>
        <v>3560</v>
      </c>
      <c r="T15" s="37">
        <f t="shared" si="18"/>
        <v>1610</v>
      </c>
      <c r="U15" s="37">
        <f t="shared" si="19"/>
        <v>4840</v>
      </c>
      <c r="V15" s="37">
        <f t="shared" si="20"/>
        <v>3140</v>
      </c>
      <c r="W15" s="37">
        <f t="shared" si="21"/>
        <v>2390</v>
      </c>
      <c r="X15" s="37">
        <f t="shared" si="22"/>
        <v>3500</v>
      </c>
      <c r="Y15" s="37">
        <f t="shared" si="23"/>
        <v>4950</v>
      </c>
      <c r="Z15" s="37">
        <f t="shared" si="24"/>
        <v>2890</v>
      </c>
      <c r="AA15" s="37">
        <f t="shared" si="25"/>
        <v>3260</v>
      </c>
      <c r="AB15" s="37">
        <f t="shared" si="26"/>
        <v>6900</v>
      </c>
      <c r="AC15" s="37">
        <f t="shared" si="27"/>
        <v>9490</v>
      </c>
      <c r="AD15" s="35">
        <f t="shared" si="28"/>
        <v>60600</v>
      </c>
      <c r="AF15" s="20">
        <f t="shared" si="1"/>
        <v>0.55000000000000004</v>
      </c>
      <c r="AG15" s="20">
        <f t="shared" si="2"/>
        <v>69.8</v>
      </c>
      <c r="AH15" s="20">
        <f t="shared" si="3"/>
        <v>17.8</v>
      </c>
      <c r="AI15" s="20">
        <f t="shared" si="4"/>
        <v>8.0500000000000007</v>
      </c>
      <c r="AJ15" s="20">
        <f t="shared" si="5"/>
        <v>24.2</v>
      </c>
      <c r="AK15" s="20">
        <f t="shared" si="6"/>
        <v>15.700000000000001</v>
      </c>
      <c r="AL15" s="20">
        <f t="shared" si="7"/>
        <v>11.950000000000001</v>
      </c>
      <c r="AM15" s="20">
        <f t="shared" si="8"/>
        <v>17.5</v>
      </c>
      <c r="AN15" s="20">
        <f t="shared" si="9"/>
        <v>24.75</v>
      </c>
      <c r="AO15" s="20">
        <f t="shared" si="10"/>
        <v>14.450000000000001</v>
      </c>
      <c r="AP15" s="20">
        <f t="shared" si="11"/>
        <v>16.3</v>
      </c>
      <c r="AQ15" s="20">
        <f t="shared" si="12"/>
        <v>34.5</v>
      </c>
      <c r="AR15" s="20">
        <f t="shared" si="13"/>
        <v>47.45</v>
      </c>
      <c r="AS15" s="35">
        <f t="shared" si="29"/>
        <v>303</v>
      </c>
      <c r="AU15" s="47">
        <v>158626</v>
      </c>
      <c r="AV15" s="37">
        <f t="shared" si="31"/>
        <v>2495</v>
      </c>
      <c r="AW15" s="35">
        <f t="shared" si="30"/>
        <v>4.99</v>
      </c>
    </row>
    <row r="16" spans="1:49" x14ac:dyDescent="0.25">
      <c r="A16" s="23">
        <v>44084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6"/>
        <v>0</v>
      </c>
      <c r="R16" s="37" t="str">
        <f t="shared" si="17"/>
        <v>0</v>
      </c>
      <c r="S16" s="37" t="str">
        <f t="shared" si="15"/>
        <v>0</v>
      </c>
      <c r="T16" s="37" t="str">
        <f t="shared" si="18"/>
        <v>0</v>
      </c>
      <c r="U16" s="37" t="str">
        <f t="shared" si="19"/>
        <v>0</v>
      </c>
      <c r="V16" s="37" t="str">
        <f t="shared" si="20"/>
        <v>0</v>
      </c>
      <c r="W16" s="37" t="str">
        <f t="shared" si="21"/>
        <v>0</v>
      </c>
      <c r="X16" s="37" t="str">
        <f t="shared" si="22"/>
        <v>0</v>
      </c>
      <c r="Y16" s="37" t="str">
        <f t="shared" si="23"/>
        <v>0</v>
      </c>
      <c r="Z16" s="37" t="str">
        <f t="shared" si="24"/>
        <v>0</v>
      </c>
      <c r="AA16" s="37" t="str">
        <f t="shared" si="25"/>
        <v>0</v>
      </c>
      <c r="AB16" s="37" t="str">
        <f t="shared" si="26"/>
        <v>0</v>
      </c>
      <c r="AC16" s="37" t="str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 t="str">
        <f t="shared" si="31"/>
        <v>0</v>
      </c>
      <c r="AW16" s="35">
        <f t="shared" si="30"/>
        <v>0</v>
      </c>
    </row>
    <row r="17" spans="1:49" x14ac:dyDescent="0.25">
      <c r="A17" s="23">
        <v>44085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44086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44087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44088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44089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44090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44091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44092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44093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44094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44095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44096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44097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44098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44099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44100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44101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44102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44103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8050</v>
      </c>
      <c r="R38" s="30">
        <f t="shared" si="62"/>
        <v>131060</v>
      </c>
      <c r="S38" s="30">
        <f t="shared" si="62"/>
        <v>34190</v>
      </c>
      <c r="T38" s="30">
        <f t="shared" si="62"/>
        <v>14410</v>
      </c>
      <c r="U38" s="30">
        <f t="shared" si="62"/>
        <v>43560</v>
      </c>
      <c r="V38" s="30">
        <f t="shared" si="62"/>
        <v>29260</v>
      </c>
      <c r="W38" s="30">
        <f t="shared" si="62"/>
        <v>21090</v>
      </c>
      <c r="X38" s="30">
        <f t="shared" si="62"/>
        <v>29000</v>
      </c>
      <c r="Y38" s="30">
        <f t="shared" si="62"/>
        <v>42820</v>
      </c>
      <c r="Z38" s="30">
        <f t="shared" si="62"/>
        <v>25560</v>
      </c>
      <c r="AA38" s="30">
        <f t="shared" si="62"/>
        <v>29810</v>
      </c>
      <c r="AB38" s="30">
        <f t="shared" si="62"/>
        <v>59560</v>
      </c>
      <c r="AC38" s="30">
        <f t="shared" si="62"/>
        <v>79380</v>
      </c>
      <c r="AD38" s="35">
        <f t="shared" si="62"/>
        <v>547750</v>
      </c>
      <c r="AF38" s="35">
        <f t="shared" ref="AF38:AS38" si="63">SUM(AF7:AF34)</f>
        <v>40.25</v>
      </c>
      <c r="AG38" s="35">
        <f t="shared" si="63"/>
        <v>655.29999999999995</v>
      </c>
      <c r="AH38" s="35">
        <f t="shared" si="63"/>
        <v>170.95000000000002</v>
      </c>
      <c r="AI38" s="35">
        <f t="shared" si="63"/>
        <v>72.05</v>
      </c>
      <c r="AJ38" s="35">
        <f t="shared" si="63"/>
        <v>217.79999999999998</v>
      </c>
      <c r="AK38" s="35">
        <f t="shared" si="63"/>
        <v>146.30000000000001</v>
      </c>
      <c r="AL38" s="35">
        <f t="shared" si="63"/>
        <v>105.45</v>
      </c>
      <c r="AM38" s="35">
        <f t="shared" si="63"/>
        <v>145</v>
      </c>
      <c r="AN38" s="35">
        <f t="shared" si="63"/>
        <v>214.10000000000002</v>
      </c>
      <c r="AO38" s="35">
        <f t="shared" si="63"/>
        <v>127.80000000000001</v>
      </c>
      <c r="AP38" s="35">
        <f t="shared" si="63"/>
        <v>149.05000000000001</v>
      </c>
      <c r="AQ38" s="35">
        <f t="shared" si="63"/>
        <v>297.8</v>
      </c>
      <c r="AR38" s="35">
        <f t="shared" si="63"/>
        <v>396.9</v>
      </c>
      <c r="AS38" s="35">
        <f t="shared" si="63"/>
        <v>2738.7500000000005</v>
      </c>
      <c r="AU38" s="48"/>
      <c r="AV38" s="35">
        <f>SUM(AV7:AV34)</f>
        <v>23439</v>
      </c>
      <c r="AW38" s="35">
        <f>SUM(AW7:AW34)</f>
        <v>35.270000000000003</v>
      </c>
    </row>
    <row r="39" spans="1:49" x14ac:dyDescent="0.25">
      <c r="D39">
        <v>5.0000000000000001E-3</v>
      </c>
      <c r="AV39" s="36">
        <f>AV38*0.00378541*1000</f>
        <v>88726.224989999988</v>
      </c>
    </row>
    <row r="40" spans="1:49" x14ac:dyDescent="0.25">
      <c r="D40">
        <v>2E-3</v>
      </c>
      <c r="AV40">
        <f>AV39/31</f>
        <v>2862.1362899999995</v>
      </c>
    </row>
    <row r="41" spans="1:49" x14ac:dyDescent="0.25">
      <c r="AV41">
        <f>AV38*0.00378541</f>
        <v>88.726224989999992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2020-09-10T06:57:08Z</dcterms:modified>
</cp:coreProperties>
</file>