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<sst xmlns="http://schemas.openxmlformats.org/spreadsheetml/2006/main" count="128" uniqueCount="49">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</sst>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52580</v>
      </c>
      <c r="F10" s="11">
        <v>5.0000000000000001E-3</v>
      </c>
      <c r="G10" s="12">
        <f>Submetering!R10</f>
        <v>715.82103099999995</v>
      </c>
      <c r="H10" s="11">
        <v>0.52800000000000002</v>
      </c>
      <c r="I10" s="12">
        <f>Hotel!B15</f>
        <v>181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54390</v>
      </c>
      <c r="F11" s="11">
        <v>5.0000000000000001E-3</v>
      </c>
      <c r="G11" s="12">
        <f>Submetering!R11</f>
        <v>658.28279900000007</v>
      </c>
      <c r="H11" s="11">
        <v>0.52800000000000002</v>
      </c>
      <c r="I11" s="12">
        <f>Hotel!B16</f>
        <v>220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52920</v>
      </c>
      <c r="F12" s="11">
        <v>5.0000000000000001E-3</v>
      </c>
      <c r="G12" s="12">
        <f>Submetering!R12</f>
        <v>795.69318199999998</v>
      </c>
      <c r="H12" s="11">
        <v>0.52800000000000002</v>
      </c>
      <c r="I12" s="12">
        <f>Hotel!B17</f>
        <v>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52670</v>
      </c>
      <c r="F13" s="11">
        <v>5.0000000000000001E-3</v>
      </c>
      <c r="G13" s="12">
        <f>Submetering!R13</f>
        <v>764.27427899999998</v>
      </c>
      <c r="H13" s="11">
        <v>0.52800000000000002</v>
      </c>
      <c r="I13" s="12">
        <f>Hotel!B18</f>
        <v>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49785</v>
      </c>
      <c r="F14" s="11">
        <v>5.0000000000000001E-3</v>
      </c>
      <c r="G14" s="12">
        <f>Submetering!R14</f>
        <v>741.18327799999997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52115</v>
      </c>
      <c r="F15" s="11">
        <v>5.0000000000000001E-3</v>
      </c>
      <c r="G15" s="12">
        <f>Submetering!R15</f>
        <v>434.56506800000005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49530</v>
      </c>
      <c r="F16" s="11">
        <v>5.0000000000000001E-3</v>
      </c>
      <c r="G16" s="12">
        <f>Submetering!R16</f>
        <v>862.69493899999998</v>
      </c>
      <c r="H16" s="11">
        <v>0.52800000000000002</v>
      </c>
      <c r="I16" s="12">
        <f>Hotel!B21</f>
        <v>103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51840</v>
      </c>
      <c r="F17" s="11">
        <v>5.0000000000000001E-3</v>
      </c>
      <c r="G17" s="12">
        <f>Submetering!R17</f>
        <v>408.06719800000002</v>
      </c>
      <c r="H17" s="11">
        <v>0.52800000000000002</v>
      </c>
      <c r="I17" s="12">
        <f>Hotel!B22</f>
        <v>142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580</v>
      </c>
      <c r="F10" s="4">
        <f>Hotel!R15</f>
        <v>1850</v>
      </c>
      <c r="G10" s="4">
        <f>Hotel!S15</f>
        <v>2920</v>
      </c>
      <c r="H10" s="4">
        <f>Hotel!T15</f>
        <v>1390</v>
      </c>
      <c r="I10" s="4">
        <f>Hotel!U15</f>
        <v>4800</v>
      </c>
      <c r="J10" s="4">
        <f>Hotel!V15</f>
        <v>3950</v>
      </c>
      <c r="K10" s="4">
        <f>Hotel!W15</f>
        <v>2690</v>
      </c>
      <c r="L10" s="4">
        <f>Hotel!X15</f>
        <v>4740</v>
      </c>
      <c r="M10" s="4">
        <f>Hotel!Y15</f>
        <v>6110</v>
      </c>
      <c r="N10" s="4">
        <f>Hotel!Z15</f>
        <v>2830</v>
      </c>
      <c r="O10" s="4">
        <f>Hotel!AA15</f>
        <v>3440</v>
      </c>
      <c r="P10" s="4">
        <f>Hotel!AB15</f>
        <v>7310</v>
      </c>
      <c r="Q10" s="4">
        <f>Hotel!AC15</f>
        <v>9970</v>
      </c>
      <c r="R10" s="4">
        <f>Hotel!AV15*0.00378541*100</f>
        <v>715.82103099999995</v>
      </c>
      <c r="S10" s="4">
        <f>Hotel!B15</f>
        <v>181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590</v>
      </c>
      <c r="F11" s="4">
        <f>Hotel!R16</f>
        <v>1890</v>
      </c>
      <c r="G11" s="4">
        <f>Hotel!S16</f>
        <v>2780</v>
      </c>
      <c r="H11" s="4">
        <f>Hotel!T16</f>
        <v>1420</v>
      </c>
      <c r="I11" s="4">
        <f>Hotel!U16</f>
        <v>5130</v>
      </c>
      <c r="J11" s="4">
        <f>Hotel!V16</f>
        <v>4310</v>
      </c>
      <c r="K11" s="4">
        <f>Hotel!W16</f>
        <v>2490</v>
      </c>
      <c r="L11" s="4">
        <f>Hotel!X16</f>
        <v>4960</v>
      </c>
      <c r="M11" s="4">
        <f>Hotel!Y16</f>
        <v>6500</v>
      </c>
      <c r="N11" s="4">
        <f>Hotel!Z16</f>
        <v>2930</v>
      </c>
      <c r="O11" s="4">
        <f>Hotel!AA16</f>
        <v>3520</v>
      </c>
      <c r="P11" s="4">
        <f>Hotel!AB16</f>
        <v>7250</v>
      </c>
      <c r="Q11" s="4">
        <f>Hotel!AC16</f>
        <v>10620</v>
      </c>
      <c r="R11" s="4">
        <f>Hotel!AV16*0.00378541*100</f>
        <v>658.28279900000007</v>
      </c>
      <c r="S11" s="4">
        <f>Hotel!B16</f>
        <v>220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580</v>
      </c>
      <c r="F12" s="4">
        <f>Hotel!R17</f>
        <v>1850</v>
      </c>
      <c r="G12" s="4">
        <f>Hotel!S17</f>
        <v>2630</v>
      </c>
      <c r="H12" s="4">
        <f>Hotel!T17</f>
        <v>1390</v>
      </c>
      <c r="I12" s="4">
        <f>Hotel!U17</f>
        <v>4890</v>
      </c>
      <c r="J12" s="4">
        <f>Hotel!V17</f>
        <v>4020</v>
      </c>
      <c r="K12" s="4">
        <f>Hotel!W17</f>
        <v>2510</v>
      </c>
      <c r="L12" s="4">
        <f>Hotel!X17</f>
        <v>4980</v>
      </c>
      <c r="M12" s="4">
        <f>Hotel!Y17</f>
        <v>6360</v>
      </c>
      <c r="N12" s="4">
        <f>Hotel!Z17</f>
        <v>2690</v>
      </c>
      <c r="O12" s="4">
        <f>Hotel!AA17</f>
        <v>3220</v>
      </c>
      <c r="P12" s="4">
        <f>Hotel!AB17</f>
        <v>7140</v>
      </c>
      <c r="Q12" s="4">
        <f>Hotel!AC17</f>
        <v>10660</v>
      </c>
      <c r="R12" s="4">
        <f>Hotel!AV17*0.00378541*100</f>
        <v>795.69318199999998</v>
      </c>
      <c r="S12" s="4">
        <f>Hotel!B17</f>
        <v>90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600</v>
      </c>
      <c r="F13" s="4">
        <f>Hotel!R18</f>
        <v>1940</v>
      </c>
      <c r="G13" s="4">
        <f>Hotel!S18</f>
        <v>2610</v>
      </c>
      <c r="H13" s="4">
        <f>Hotel!T18</f>
        <v>1410</v>
      </c>
      <c r="I13" s="4">
        <f>Hotel!U18</f>
        <v>5080</v>
      </c>
      <c r="J13" s="4">
        <f>Hotel!V18</f>
        <v>4230</v>
      </c>
      <c r="K13" s="4">
        <f>Hotel!W18</f>
        <v>2710</v>
      </c>
      <c r="L13" s="4">
        <f>Hotel!X18</f>
        <v>4860</v>
      </c>
      <c r="M13" s="4">
        <f>Hotel!Y18</f>
        <v>6360</v>
      </c>
      <c r="N13" s="4">
        <f>Hotel!Z18</f>
        <v>2570</v>
      </c>
      <c r="O13" s="4">
        <f>Hotel!AA18</f>
        <v>3370</v>
      </c>
      <c r="P13" s="4">
        <f>Hotel!AB18</f>
        <v>7330</v>
      </c>
      <c r="Q13" s="4">
        <f>Hotel!AC18</f>
        <v>9600</v>
      </c>
      <c r="R13" s="4">
        <f>Hotel!AV18*0.00378541*100</f>
        <v>764.27427899999998</v>
      </c>
      <c r="S13" s="4">
        <f>Hotel!B18</f>
        <v>95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570</v>
      </c>
      <c r="F14" s="4">
        <f>Hotel!R19</f>
        <v>1810</v>
      </c>
      <c r="G14" s="4">
        <f>Hotel!S19</f>
        <v>2440</v>
      </c>
      <c r="H14" s="4">
        <f>Hotel!T19</f>
        <v>1330</v>
      </c>
      <c r="I14" s="4">
        <f>Hotel!U19</f>
        <v>4640</v>
      </c>
      <c r="J14" s="4">
        <f>Hotel!V19</f>
        <v>3920</v>
      </c>
      <c r="K14" s="4">
        <f>Hotel!W19</f>
        <v>2350</v>
      </c>
      <c r="L14" s="4">
        <f>Hotel!X19</f>
        <v>5130</v>
      </c>
      <c r="M14" s="4">
        <f>Hotel!Y19</f>
        <v>6014</v>
      </c>
      <c r="N14" s="4">
        <f>Hotel!Z19</f>
        <v>2430</v>
      </c>
      <c r="O14" s="4">
        <f>Hotel!AA19</f>
        <v>3140</v>
      </c>
      <c r="P14" s="4">
        <f>Hotel!AB19</f>
        <v>6820</v>
      </c>
      <c r="Q14" s="4">
        <f>Hotel!AC19</f>
        <v>9191</v>
      </c>
      <c r="R14" s="4">
        <f>Hotel!AV19*0.00378541*100</f>
        <v>741.18327799999997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620</v>
      </c>
      <c r="F15" s="4">
        <f>Hotel!R20</f>
        <v>1990</v>
      </c>
      <c r="G15" s="4">
        <f>Hotel!S20</f>
        <v>2380</v>
      </c>
      <c r="H15" s="4">
        <f>Hotel!T20</f>
        <v>1460</v>
      </c>
      <c r="I15" s="4">
        <f>Hotel!U20</f>
        <v>4740</v>
      </c>
      <c r="J15" s="4">
        <f>Hotel!V20</f>
        <v>4240</v>
      </c>
      <c r="K15" s="4">
        <f>Hotel!W20</f>
        <v>2530</v>
      </c>
      <c r="L15" s="4">
        <f>Hotel!X20</f>
        <v>5040</v>
      </c>
      <c r="M15" s="4">
        <f>Hotel!Y20</f>
        <v>6506</v>
      </c>
      <c r="N15" s="4">
        <f>Hotel!Z20</f>
        <v>2570</v>
      </c>
      <c r="O15" s="4">
        <f>Hotel!AA20</f>
        <v>3080</v>
      </c>
      <c r="P15" s="4">
        <f>Hotel!AB20</f>
        <v>7400</v>
      </c>
      <c r="Q15" s="4">
        <f>Hotel!AC20</f>
        <v>9559</v>
      </c>
      <c r="R15" s="4">
        <f>Hotel!AV20*0.00378541*100</f>
        <v>434.56506800000005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570</v>
      </c>
      <c r="F16" s="4">
        <f>Hotel!R21</f>
        <v>1840</v>
      </c>
      <c r="G16" s="4">
        <f>Hotel!S21</f>
        <v>2690</v>
      </c>
      <c r="H16" s="4">
        <f>Hotel!T21</f>
        <v>1360</v>
      </c>
      <c r="I16" s="4">
        <f>Hotel!U21</f>
        <v>4710</v>
      </c>
      <c r="J16" s="4">
        <f>Hotel!V21</f>
        <v>4180</v>
      </c>
      <c r="K16" s="4">
        <f>Hotel!W21</f>
        <v>2410</v>
      </c>
      <c r="L16" s="4">
        <f>Hotel!X21</f>
        <v>4560</v>
      </c>
      <c r="M16" s="4">
        <f>Hotel!Y21</f>
        <v>6020</v>
      </c>
      <c r="N16" s="4">
        <f>Hotel!Z21</f>
        <v>2450</v>
      </c>
      <c r="O16" s="4">
        <f>Hotel!AA21</f>
        <v>2940</v>
      </c>
      <c r="P16" s="4">
        <f>Hotel!AB21</f>
        <v>6850</v>
      </c>
      <c r="Q16" s="4">
        <f>Hotel!AC21</f>
        <v>8950</v>
      </c>
      <c r="R16" s="4">
        <f>Hotel!AV21*0.00378541*100</f>
        <v>862.69493899999998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600</v>
      </c>
      <c r="F17" s="4">
        <f>Hotel!R22</f>
        <v>1900</v>
      </c>
      <c r="G17" s="4">
        <f>Hotel!S22</f>
        <v>3030</v>
      </c>
      <c r="H17" s="4">
        <f>Hotel!T22</f>
        <v>1420</v>
      </c>
      <c r="I17" s="4">
        <f>Hotel!U22</f>
        <v>4980</v>
      </c>
      <c r="J17" s="4">
        <f>Hotel!V22</f>
        <v>4200</v>
      </c>
      <c r="K17" s="4">
        <f>Hotel!W22</f>
        <v>2540</v>
      </c>
      <c r="L17" s="4">
        <f>Hotel!X22</f>
        <v>4610</v>
      </c>
      <c r="M17" s="4">
        <f>Hotel!Y22</f>
        <v>6320</v>
      </c>
      <c r="N17" s="4">
        <f>Hotel!Z22</f>
        <v>2640</v>
      </c>
      <c r="O17" s="4">
        <f>Hotel!AA22</f>
        <v>3270</v>
      </c>
      <c r="P17" s="4">
        <f>Hotel!AB22</f>
        <v>7210</v>
      </c>
      <c r="Q17" s="4">
        <f>Hotel!AC22</f>
        <v>9120</v>
      </c>
      <c r="R17" s="4">
        <f>Hotel!AV22*0.00378541*100</f>
        <v>408.06719800000002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>
        <v>181</v>
      </c>
      <c r="C15" s="24">
        <v>7452330</v>
      </c>
      <c r="D15" s="24">
        <v>17668190</v>
      </c>
      <c r="E15" s="24">
        <v>3163490</v>
      </c>
      <c r="F15" s="24">
        <v>3802220</v>
      </c>
      <c r="G15" s="24">
        <v>11180610</v>
      </c>
      <c r="H15" s="24">
        <v>6190440</v>
      </c>
      <c r="I15" s="24">
        <v>5519180</v>
      </c>
      <c r="J15" s="24">
        <v>6714210</v>
      </c>
      <c r="K15" s="24">
        <v>10184800</v>
      </c>
      <c r="L15" s="24">
        <v>4308480</v>
      </c>
      <c r="M15" s="24">
        <v>8471040</v>
      </c>
      <c r="N15" s="24">
        <v>13346300</v>
      </c>
      <c r="O15" s="24">
        <v>18503900</v>
      </c>
      <c r="Q15" s="37">
        <f t="shared" si="17"/>
        <v>580</v>
      </c>
      <c r="R15" s="37">
        <f t="shared" si="18"/>
        <v>1850</v>
      </c>
      <c r="S15" s="37">
        <f t="shared" si="16"/>
        <v>2920</v>
      </c>
      <c r="T15" s="37">
        <f t="shared" si="19"/>
        <v>1390</v>
      </c>
      <c r="U15" s="37">
        <f t="shared" si="20"/>
        <v>4800</v>
      </c>
      <c r="V15" s="37">
        <f t="shared" si="21"/>
        <v>3950</v>
      </c>
      <c r="W15" s="37">
        <f t="shared" si="22"/>
        <v>2690</v>
      </c>
      <c r="X15" s="37">
        <f t="shared" si="23"/>
        <v>4740</v>
      </c>
      <c r="Y15" s="37">
        <f t="shared" si="24"/>
        <v>6110</v>
      </c>
      <c r="Z15" s="37">
        <f t="shared" si="25"/>
        <v>2830</v>
      </c>
      <c r="AA15" s="37">
        <f t="shared" si="26"/>
        <v>3440</v>
      </c>
      <c r="AB15" s="37">
        <f t="shared" si="27"/>
        <v>7310</v>
      </c>
      <c r="AC15" s="37">
        <f t="shared" si="28"/>
        <v>9970</v>
      </c>
      <c r="AD15" s="35">
        <f t="shared" si="29"/>
        <v>52580</v>
      </c>
      <c r="AF15" s="20">
        <f t="shared" si="1"/>
        <v>2.9</v>
      </c>
      <c r="AG15" s="20">
        <f t="shared" si="2"/>
        <v>9.25</v>
      </c>
      <c r="AH15" s="20">
        <f t="shared" si="3"/>
        <v>14.6</v>
      </c>
      <c r="AI15" s="20">
        <f t="shared" si="4"/>
        <v>6.95</v>
      </c>
      <c r="AJ15" s="20">
        <f t="shared" si="5"/>
        <v>24</v>
      </c>
      <c r="AK15" s="20">
        <f t="shared" si="6"/>
        <v>19.75</v>
      </c>
      <c r="AL15" s="20">
        <f t="shared" si="7"/>
        <v>13.450000000000001</v>
      </c>
      <c r="AM15" s="20">
        <f t="shared" si="8"/>
        <v>23.7</v>
      </c>
      <c r="AN15" s="20">
        <f t="shared" si="9"/>
        <v>30.55</v>
      </c>
      <c r="AO15" s="20">
        <f t="shared" si="10"/>
        <v>14.15</v>
      </c>
      <c r="AP15" s="20">
        <f t="shared" si="11"/>
        <v>17.2</v>
      </c>
      <c r="AQ15" s="20">
        <f t="shared" si="12"/>
        <v>36.550000000000004</v>
      </c>
      <c r="AR15" s="20">
        <f t="shared" si="13"/>
        <v>49.85</v>
      </c>
      <c r="AS15" s="35">
        <f t="shared" si="30"/>
        <v>262.90000000000003</v>
      </c>
      <c r="AU15" s="47">
        <v>420562</v>
      </c>
      <c r="AV15" s="37">
        <f t="shared" si="31"/>
        <v>1891</v>
      </c>
      <c r="AW15" s="35">
        <f t="shared" si="14"/>
        <v>3.782</v>
      </c>
    </row>
    <row r="16" spans="1:49" x14ac:dyDescent="0.25">
      <c r="A16" s="23">
        <v>44540</v>
      </c>
      <c r="B16" s="40">
        <v>220</v>
      </c>
      <c r="C16" s="24">
        <v>7452920</v>
      </c>
      <c r="D16" s="24">
        <v>17670080</v>
      </c>
      <c r="E16" s="24">
        <v>3166270</v>
      </c>
      <c r="F16" s="24">
        <v>3803640</v>
      </c>
      <c r="G16" s="24">
        <v>11185740</v>
      </c>
      <c r="H16" s="24">
        <v>6194750</v>
      </c>
      <c r="I16" s="24">
        <v>5521670</v>
      </c>
      <c r="J16" s="24">
        <v>6719170</v>
      </c>
      <c r="K16" s="24">
        <v>10191300</v>
      </c>
      <c r="L16" s="24">
        <v>4311410</v>
      </c>
      <c r="M16" s="24">
        <v>8474560</v>
      </c>
      <c r="N16" s="24">
        <v>13353550</v>
      </c>
      <c r="O16" s="24">
        <v>18514520</v>
      </c>
      <c r="Q16" s="37">
        <f t="shared" si="17"/>
        <v>590</v>
      </c>
      <c r="R16" s="37">
        <f t="shared" si="18"/>
        <v>1890</v>
      </c>
      <c r="S16" s="37">
        <f t="shared" si="16"/>
        <v>2780</v>
      </c>
      <c r="T16" s="37">
        <f t="shared" si="19"/>
        <v>1420</v>
      </c>
      <c r="U16" s="37">
        <f t="shared" si="20"/>
        <v>5130</v>
      </c>
      <c r="V16" s="37">
        <f t="shared" si="21"/>
        <v>4310</v>
      </c>
      <c r="W16" s="37">
        <f t="shared" si="22"/>
        <v>2490</v>
      </c>
      <c r="X16" s="37">
        <f t="shared" si="23"/>
        <v>4960</v>
      </c>
      <c r="Y16" s="37">
        <f t="shared" si="24"/>
        <v>6500</v>
      </c>
      <c r="Z16" s="37">
        <f t="shared" si="25"/>
        <v>2930</v>
      </c>
      <c r="AA16" s="37">
        <f t="shared" si="26"/>
        <v>3520</v>
      </c>
      <c r="AB16" s="37">
        <f t="shared" si="27"/>
        <v>7250</v>
      </c>
      <c r="AC16" s="37">
        <f t="shared" si="28"/>
        <v>10620</v>
      </c>
      <c r="AD16" s="35">
        <f t="shared" si="29"/>
        <v>54390</v>
      </c>
      <c r="AF16" s="20">
        <f t="shared" si="1"/>
        <v>2.95</v>
      </c>
      <c r="AG16" s="20">
        <f t="shared" si="2"/>
        <v>9.4500000000000011</v>
      </c>
      <c r="AH16" s="20">
        <f t="shared" si="3"/>
        <v>13.9</v>
      </c>
      <c r="AI16" s="20">
        <f t="shared" si="4"/>
        <v>7.1000000000000005</v>
      </c>
      <c r="AJ16" s="20">
        <f t="shared" si="5"/>
        <v>25.650000000000002</v>
      </c>
      <c r="AK16" s="20">
        <f t="shared" si="6"/>
        <v>21.55</v>
      </c>
      <c r="AL16" s="20">
        <f t="shared" si="7"/>
        <v>12.450000000000001</v>
      </c>
      <c r="AM16" s="20">
        <f t="shared" si="8"/>
        <v>24.8</v>
      </c>
      <c r="AN16" s="20">
        <f t="shared" si="9"/>
        <v>32.5</v>
      </c>
      <c r="AO16" s="20">
        <f t="shared" si="10"/>
        <v>14.65</v>
      </c>
      <c r="AP16" s="20">
        <f t="shared" si="11"/>
        <v>17.600000000000001</v>
      </c>
      <c r="AQ16" s="20">
        <f t="shared" si="12"/>
        <v>36.25</v>
      </c>
      <c r="AR16" s="20">
        <f t="shared" si="13"/>
        <v>53.1</v>
      </c>
      <c r="AS16" s="35">
        <f t="shared" si="30"/>
        <v>271.95000000000005</v>
      </c>
      <c r="AU16" s="47">
        <v>422301</v>
      </c>
      <c r="AV16" s="37">
        <f t="shared" si="31"/>
        <v>1739</v>
      </c>
      <c r="AW16" s="35">
        <f t="shared" si="14"/>
        <v>3.4780000000000002</v>
      </c>
    </row>
    <row r="17" spans="1:49" x14ac:dyDescent="0.25">
      <c r="A17" s="23">
        <v>44541</v>
      </c>
      <c r="B17" s="40">
        <v>90</v>
      </c>
      <c r="C17" s="24">
        <v>7453500</v>
      </c>
      <c r="D17" s="24">
        <v>17671930</v>
      </c>
      <c r="E17" s="24">
        <v>3168900</v>
      </c>
      <c r="F17" s="24">
        <v>3805030</v>
      </c>
      <c r="G17" s="24">
        <v>11190630</v>
      </c>
      <c r="H17" s="24">
        <v>6198770</v>
      </c>
      <c r="I17" s="24">
        <v>5524180</v>
      </c>
      <c r="J17" s="24">
        <v>6724150</v>
      </c>
      <c r="K17" s="24">
        <v>10197660</v>
      </c>
      <c r="L17" s="24">
        <v>4314100</v>
      </c>
      <c r="M17" s="24">
        <v>8477780</v>
      </c>
      <c r="N17" s="24">
        <v>13360690</v>
      </c>
      <c r="O17" s="24">
        <v>18525180</v>
      </c>
      <c r="Q17" s="37">
        <f t="shared" si="17"/>
        <v>580</v>
      </c>
      <c r="R17" s="37">
        <f t="shared" si="18"/>
        <v>1850</v>
      </c>
      <c r="S17" s="37">
        <f t="shared" si="16"/>
        <v>2630</v>
      </c>
      <c r="T17" s="37">
        <f t="shared" si="19"/>
        <v>1390</v>
      </c>
      <c r="U17" s="37">
        <f t="shared" si="20"/>
        <v>4890</v>
      </c>
      <c r="V17" s="37">
        <f t="shared" si="21"/>
        <v>4020</v>
      </c>
      <c r="W17" s="37">
        <f t="shared" si="22"/>
        <v>2510</v>
      </c>
      <c r="X17" s="37">
        <f t="shared" si="23"/>
        <v>4980</v>
      </c>
      <c r="Y17" s="37">
        <f t="shared" si="24"/>
        <v>6360</v>
      </c>
      <c r="Z17" s="37">
        <f t="shared" si="25"/>
        <v>2690</v>
      </c>
      <c r="AA17" s="37">
        <f t="shared" si="26"/>
        <v>3220</v>
      </c>
      <c r="AB17" s="37">
        <f t="shared" si="27"/>
        <v>7140</v>
      </c>
      <c r="AC17" s="37">
        <f t="shared" si="28"/>
        <v>10660</v>
      </c>
      <c r="AD17" s="35">
        <f t="shared" si="29"/>
        <v>52920</v>
      </c>
      <c r="AF17" s="20">
        <f t="shared" si="1"/>
        <v>2.9</v>
      </c>
      <c r="AG17" s="20">
        <f t="shared" si="2"/>
        <v>9.25</v>
      </c>
      <c r="AH17" s="20">
        <f t="shared" si="3"/>
        <v>13.15</v>
      </c>
      <c r="AI17" s="20">
        <f t="shared" si="4"/>
        <v>6.95</v>
      </c>
      <c r="AJ17" s="20">
        <f t="shared" si="5"/>
        <v>24.45</v>
      </c>
      <c r="AK17" s="20">
        <f t="shared" si="6"/>
        <v>20.100000000000001</v>
      </c>
      <c r="AL17" s="20">
        <f t="shared" si="7"/>
        <v>12.55</v>
      </c>
      <c r="AM17" s="20">
        <f t="shared" si="8"/>
        <v>24.900000000000002</v>
      </c>
      <c r="AN17" s="20">
        <f t="shared" si="9"/>
        <v>31.8</v>
      </c>
      <c r="AO17" s="20">
        <f t="shared" si="10"/>
        <v>13.450000000000001</v>
      </c>
      <c r="AP17" s="20">
        <f t="shared" si="11"/>
        <v>16.100000000000001</v>
      </c>
      <c r="AQ17" s="20">
        <f t="shared" si="12"/>
        <v>35.700000000000003</v>
      </c>
      <c r="AR17" s="20">
        <f t="shared" si="13"/>
        <v>53.300000000000004</v>
      </c>
      <c r="AS17" s="35">
        <f t="shared" si="30"/>
        <v>264.60000000000002</v>
      </c>
      <c r="AU17" s="47">
        <v>424403</v>
      </c>
      <c r="AV17" s="37">
        <f t="shared" si="31"/>
        <v>2102</v>
      </c>
      <c r="AW17" s="35">
        <f t="shared" si="14"/>
        <v>4.2039999999999997</v>
      </c>
    </row>
    <row r="18" spans="1:49" x14ac:dyDescent="0.25">
      <c r="A18" s="23">
        <v>44542</v>
      </c>
      <c r="B18" s="40">
        <v>95</v>
      </c>
      <c r="C18" s="24">
        <v>7454100</v>
      </c>
      <c r="D18" s="24">
        <v>17673870</v>
      </c>
      <c r="E18" s="24">
        <v>3171510</v>
      </c>
      <c r="F18" s="24">
        <v>3806440</v>
      </c>
      <c r="G18" s="24">
        <v>11195710</v>
      </c>
      <c r="H18" s="24">
        <v>6203000</v>
      </c>
      <c r="I18" s="24">
        <v>5526890</v>
      </c>
      <c r="J18" s="24">
        <v>6729010</v>
      </c>
      <c r="K18" s="24">
        <v>10204020</v>
      </c>
      <c r="L18" s="24">
        <v>4316670</v>
      </c>
      <c r="M18" s="24">
        <v>8481150</v>
      </c>
      <c r="N18" s="24">
        <v>13368020</v>
      </c>
      <c r="O18" s="24">
        <v>18534780</v>
      </c>
      <c r="Q18" s="37">
        <f t="shared" si="17"/>
        <v>600</v>
      </c>
      <c r="R18" s="37">
        <f t="shared" si="18"/>
        <v>1940</v>
      </c>
      <c r="S18" s="37">
        <f t="shared" si="16"/>
        <v>2610</v>
      </c>
      <c r="T18" s="37">
        <f t="shared" si="19"/>
        <v>1410</v>
      </c>
      <c r="U18" s="37">
        <f t="shared" si="20"/>
        <v>5080</v>
      </c>
      <c r="V18" s="37">
        <f t="shared" si="21"/>
        <v>4230</v>
      </c>
      <c r="W18" s="37">
        <f t="shared" si="22"/>
        <v>2710</v>
      </c>
      <c r="X18" s="37">
        <f t="shared" si="23"/>
        <v>4860</v>
      </c>
      <c r="Y18" s="37">
        <f t="shared" si="24"/>
        <v>6360</v>
      </c>
      <c r="Z18" s="37">
        <f t="shared" si="25"/>
        <v>2570</v>
      </c>
      <c r="AA18" s="37">
        <f t="shared" si="26"/>
        <v>3370</v>
      </c>
      <c r="AB18" s="37">
        <f t="shared" si="27"/>
        <v>7330</v>
      </c>
      <c r="AC18" s="37">
        <f t="shared" si="28"/>
        <v>9600</v>
      </c>
      <c r="AD18" s="35">
        <f t="shared" si="29"/>
        <v>52670</v>
      </c>
      <c r="AF18" s="20">
        <f t="shared" si="1"/>
        <v>3</v>
      </c>
      <c r="AG18" s="20">
        <f t="shared" si="2"/>
        <v>9.7000000000000011</v>
      </c>
      <c r="AH18" s="20">
        <f t="shared" si="3"/>
        <v>13.05</v>
      </c>
      <c r="AI18" s="20">
        <f t="shared" si="4"/>
        <v>7.05</v>
      </c>
      <c r="AJ18" s="20">
        <f t="shared" si="5"/>
        <v>25.400000000000002</v>
      </c>
      <c r="AK18" s="20">
        <f t="shared" si="6"/>
        <v>21.150000000000002</v>
      </c>
      <c r="AL18" s="20">
        <f t="shared" si="7"/>
        <v>13.55</v>
      </c>
      <c r="AM18" s="20">
        <f t="shared" si="8"/>
        <v>24.3</v>
      </c>
      <c r="AN18" s="20">
        <f t="shared" si="9"/>
        <v>31.8</v>
      </c>
      <c r="AO18" s="20">
        <f t="shared" si="10"/>
        <v>12.85</v>
      </c>
      <c r="AP18" s="20">
        <f t="shared" si="11"/>
        <v>16.850000000000001</v>
      </c>
      <c r="AQ18" s="20">
        <f t="shared" si="12"/>
        <v>36.65</v>
      </c>
      <c r="AR18" s="20">
        <f t="shared" si="13"/>
        <v>48</v>
      </c>
      <c r="AS18" s="35">
        <f t="shared" si="30"/>
        <v>263.35000000000002</v>
      </c>
      <c r="AU18" s="47">
        <v>426422</v>
      </c>
      <c r="AV18" s="37">
        <f t="shared" si="31"/>
        <v>2019</v>
      </c>
      <c r="AW18" s="35">
        <f t="shared" si="14"/>
        <v>4.0380000000000003</v>
      </c>
    </row>
    <row r="19" spans="1:49" x14ac:dyDescent="0.25">
      <c r="A19" s="23">
        <v>44543</v>
      </c>
      <c r="B19" s="40">
        <v>95</v>
      </c>
      <c r="C19" s="24">
        <v>7454670</v>
      </c>
      <c r="D19" s="24">
        <v>17675680</v>
      </c>
      <c r="E19" s="24">
        <v>3173950</v>
      </c>
      <c r="F19" s="24">
        <v>3807770</v>
      </c>
      <c r="G19" s="24">
        <v>11200350</v>
      </c>
      <c r="H19" s="24">
        <v>6206920</v>
      </c>
      <c r="I19" s="24">
        <v>5529240</v>
      </c>
      <c r="J19" s="24">
        <v>6734140</v>
      </c>
      <c r="K19" s="24">
        <v>10210034</v>
      </c>
      <c r="L19" s="24">
        <v>4319100</v>
      </c>
      <c r="M19" s="24">
        <v>8484290</v>
      </c>
      <c r="N19" s="24">
        <v>13374840</v>
      </c>
      <c r="O19" s="24">
        <v>18543971</v>
      </c>
      <c r="Q19" s="37">
        <f t="shared" si="17"/>
        <v>570</v>
      </c>
      <c r="R19" s="37">
        <f t="shared" si="18"/>
        <v>1810</v>
      </c>
      <c r="S19" s="37">
        <f t="shared" si="16"/>
        <v>2440</v>
      </c>
      <c r="T19" s="37">
        <f t="shared" si="19"/>
        <v>1330</v>
      </c>
      <c r="U19" s="37">
        <f t="shared" si="20"/>
        <v>4640</v>
      </c>
      <c r="V19" s="37">
        <f t="shared" si="21"/>
        <v>3920</v>
      </c>
      <c r="W19" s="37">
        <f t="shared" si="22"/>
        <v>2350</v>
      </c>
      <c r="X19" s="37">
        <f t="shared" si="23"/>
        <v>5130</v>
      </c>
      <c r="Y19" s="37">
        <f t="shared" si="24"/>
        <v>6014</v>
      </c>
      <c r="Z19" s="37">
        <f t="shared" si="25"/>
        <v>2430</v>
      </c>
      <c r="AA19" s="37">
        <f t="shared" si="26"/>
        <v>3140</v>
      </c>
      <c r="AB19" s="37">
        <f t="shared" si="27"/>
        <v>6820</v>
      </c>
      <c r="AC19" s="37">
        <f t="shared" si="28"/>
        <v>9191</v>
      </c>
      <c r="AD19" s="35">
        <f t="shared" si="29"/>
        <v>49785</v>
      </c>
      <c r="AF19" s="20">
        <f t="shared" si="1"/>
        <v>2.85</v>
      </c>
      <c r="AG19" s="20">
        <f t="shared" si="2"/>
        <v>9.0500000000000007</v>
      </c>
      <c r="AH19" s="20">
        <f t="shared" si="3"/>
        <v>12.200000000000001</v>
      </c>
      <c r="AI19" s="20">
        <f t="shared" si="4"/>
        <v>6.65</v>
      </c>
      <c r="AJ19" s="20">
        <f t="shared" si="5"/>
        <v>23.2</v>
      </c>
      <c r="AK19" s="20">
        <f t="shared" si="6"/>
        <v>19.600000000000001</v>
      </c>
      <c r="AL19" s="20">
        <f t="shared" si="7"/>
        <v>11.75</v>
      </c>
      <c r="AM19" s="20">
        <f t="shared" si="8"/>
        <v>25.650000000000002</v>
      </c>
      <c r="AN19" s="20">
        <f t="shared" si="9"/>
        <v>30.07</v>
      </c>
      <c r="AO19" s="20">
        <f t="shared" si="10"/>
        <v>12.15</v>
      </c>
      <c r="AP19" s="20">
        <f t="shared" si="11"/>
        <v>15.700000000000001</v>
      </c>
      <c r="AQ19" s="20">
        <f t="shared" si="12"/>
        <v>34.1</v>
      </c>
      <c r="AR19" s="20">
        <f t="shared" si="13"/>
        <v>45.954999999999998</v>
      </c>
      <c r="AS19" s="35">
        <f t="shared" si="30"/>
        <v>248.92500000000001</v>
      </c>
      <c r="AU19" s="47">
        <v>428380</v>
      </c>
      <c r="AV19" s="37">
        <f t="shared" si="31"/>
        <v>1958</v>
      </c>
      <c r="AW19" s="35">
        <f t="shared" si="14"/>
        <v>3.9159999999999999</v>
      </c>
    </row>
    <row r="20" spans="1:49" x14ac:dyDescent="0.25">
      <c r="A20" s="23">
        <v>44544</v>
      </c>
      <c r="B20" s="40">
        <v>88</v>
      </c>
      <c r="C20" s="24">
        <v>7455290</v>
      </c>
      <c r="D20" s="24">
        <v>17677670</v>
      </c>
      <c r="E20" s="24">
        <v>3176330</v>
      </c>
      <c r="F20" s="24">
        <v>3809230</v>
      </c>
      <c r="G20" s="24">
        <v>11205090</v>
      </c>
      <c r="H20" s="24">
        <v>6211160</v>
      </c>
      <c r="I20" s="24">
        <v>5531770</v>
      </c>
      <c r="J20" s="24">
        <v>6739180</v>
      </c>
      <c r="K20" s="24">
        <v>10216540</v>
      </c>
      <c r="L20" s="24">
        <v>4321670</v>
      </c>
      <c r="M20" s="24">
        <v>8487370</v>
      </c>
      <c r="N20" s="24">
        <v>13382240</v>
      </c>
      <c r="O20" s="24">
        <v>18553530</v>
      </c>
      <c r="Q20" s="37">
        <f t="shared" si="17"/>
        <v>620</v>
      </c>
      <c r="R20" s="37">
        <f t="shared" si="18"/>
        <v>1990</v>
      </c>
      <c r="S20" s="37">
        <f t="shared" si="16"/>
        <v>2380</v>
      </c>
      <c r="T20" s="37">
        <f t="shared" si="19"/>
        <v>1460</v>
      </c>
      <c r="U20" s="37">
        <f t="shared" si="20"/>
        <v>4740</v>
      </c>
      <c r="V20" s="37">
        <f t="shared" si="21"/>
        <v>4240</v>
      </c>
      <c r="W20" s="37">
        <f t="shared" si="22"/>
        <v>2530</v>
      </c>
      <c r="X20" s="37">
        <f t="shared" si="23"/>
        <v>5040</v>
      </c>
      <c r="Y20" s="37">
        <f t="shared" si="24"/>
        <v>6506</v>
      </c>
      <c r="Z20" s="37">
        <f t="shared" si="25"/>
        <v>2570</v>
      </c>
      <c r="AA20" s="37">
        <f t="shared" si="26"/>
        <v>3080</v>
      </c>
      <c r="AB20" s="37">
        <f t="shared" si="27"/>
        <v>7400</v>
      </c>
      <c r="AC20" s="37">
        <f t="shared" si="28"/>
        <v>9559</v>
      </c>
      <c r="AD20" s="35">
        <f t="shared" si="29"/>
        <v>52115</v>
      </c>
      <c r="AF20" s="20">
        <f t="shared" si="1"/>
        <v>3.1</v>
      </c>
      <c r="AG20" s="20">
        <f t="shared" si="2"/>
        <v>9.9500000000000011</v>
      </c>
      <c r="AH20" s="20">
        <f t="shared" si="3"/>
        <v>11.9</v>
      </c>
      <c r="AI20" s="20">
        <f t="shared" si="4"/>
        <v>7.3</v>
      </c>
      <c r="AJ20" s="20">
        <f t="shared" si="5"/>
        <v>23.7</v>
      </c>
      <c r="AK20" s="20">
        <f t="shared" si="6"/>
        <v>21.2</v>
      </c>
      <c r="AL20" s="20">
        <f t="shared" si="7"/>
        <v>12.65</v>
      </c>
      <c r="AM20" s="20">
        <f t="shared" si="8"/>
        <v>25.2</v>
      </c>
      <c r="AN20" s="20">
        <f t="shared" si="9"/>
        <v>32.53</v>
      </c>
      <c r="AO20" s="20">
        <f t="shared" si="10"/>
        <v>12.85</v>
      </c>
      <c r="AP20" s="20">
        <f t="shared" si="11"/>
        <v>15.4</v>
      </c>
      <c r="AQ20" s="20">
        <f t="shared" si="12"/>
        <v>37</v>
      </c>
      <c r="AR20" s="20">
        <f t="shared" si="13"/>
        <v>47.795000000000002</v>
      </c>
      <c r="AS20" s="35">
        <f t="shared" si="30"/>
        <v>260.57500000000005</v>
      </c>
      <c r="AU20" s="47">
        <v>429528</v>
      </c>
      <c r="AV20" s="37">
        <f t="shared" si="31"/>
        <v>1148</v>
      </c>
      <c r="AW20" s="35">
        <f t="shared" si="14"/>
        <v>2.2960000000000003</v>
      </c>
    </row>
    <row r="21" spans="1:49" x14ac:dyDescent="0.25">
      <c r="A21" s="23">
        <v>44545</v>
      </c>
      <c r="B21" s="40">
        <v>103</v>
      </c>
      <c r="C21" s="24">
        <v>7455860</v>
      </c>
      <c r="D21" s="24">
        <v>17679510</v>
      </c>
      <c r="E21" s="24">
        <v>3179020</v>
      </c>
      <c r="F21" s="24">
        <v>3810590</v>
      </c>
      <c r="G21" s="24">
        <v>11209800</v>
      </c>
      <c r="H21" s="24">
        <v>6215340</v>
      </c>
      <c r="I21" s="24">
        <v>5534180</v>
      </c>
      <c r="J21" s="24">
        <v>6743740</v>
      </c>
      <c r="K21" s="24">
        <v>10222560</v>
      </c>
      <c r="L21" s="24">
        <v>4324120</v>
      </c>
      <c r="M21" s="24">
        <v>8490310</v>
      </c>
      <c r="N21" s="24">
        <v>13389090</v>
      </c>
      <c r="O21" s="24">
        <v>18562480</v>
      </c>
      <c r="Q21" s="37">
        <f t="shared" si="17"/>
        <v>570</v>
      </c>
      <c r="R21" s="37">
        <f t="shared" si="18"/>
        <v>1840</v>
      </c>
      <c r="S21" s="37">
        <f t="shared" si="16"/>
        <v>2690</v>
      </c>
      <c r="T21" s="37">
        <f t="shared" si="19"/>
        <v>1360</v>
      </c>
      <c r="U21" s="37">
        <f t="shared" si="20"/>
        <v>4710</v>
      </c>
      <c r="V21" s="37">
        <f t="shared" si="21"/>
        <v>4180</v>
      </c>
      <c r="W21" s="37">
        <f t="shared" si="22"/>
        <v>2410</v>
      </c>
      <c r="X21" s="37">
        <f t="shared" si="23"/>
        <v>4560</v>
      </c>
      <c r="Y21" s="37">
        <f t="shared" si="24"/>
        <v>6020</v>
      </c>
      <c r="Z21" s="37">
        <f t="shared" si="25"/>
        <v>2450</v>
      </c>
      <c r="AA21" s="37">
        <f t="shared" si="26"/>
        <v>2940</v>
      </c>
      <c r="AB21" s="37">
        <f t="shared" si="27"/>
        <v>6850</v>
      </c>
      <c r="AC21" s="37">
        <f t="shared" si="28"/>
        <v>8950</v>
      </c>
      <c r="AD21" s="35">
        <f t="shared" si="29"/>
        <v>49530</v>
      </c>
      <c r="AF21" s="20">
        <f t="shared" si="1"/>
        <v>2.85</v>
      </c>
      <c r="AG21" s="20">
        <f t="shared" si="2"/>
        <v>9.2000000000000011</v>
      </c>
      <c r="AH21" s="20">
        <f t="shared" si="3"/>
        <v>13.450000000000001</v>
      </c>
      <c r="AI21" s="20">
        <f t="shared" si="4"/>
        <v>6.8</v>
      </c>
      <c r="AJ21" s="20">
        <f t="shared" si="5"/>
        <v>23.55</v>
      </c>
      <c r="AK21" s="20">
        <f t="shared" si="6"/>
        <v>20.900000000000002</v>
      </c>
      <c r="AL21" s="20">
        <f t="shared" si="7"/>
        <v>12.05</v>
      </c>
      <c r="AM21" s="20">
        <f t="shared" si="8"/>
        <v>22.8</v>
      </c>
      <c r="AN21" s="20">
        <f t="shared" si="9"/>
        <v>30.1</v>
      </c>
      <c r="AO21" s="20">
        <f t="shared" si="10"/>
        <v>12.25</v>
      </c>
      <c r="AP21" s="20">
        <f t="shared" si="11"/>
        <v>14.700000000000001</v>
      </c>
      <c r="AQ21" s="20">
        <f t="shared" si="12"/>
        <v>34.25</v>
      </c>
      <c r="AR21" s="20">
        <f t="shared" si="13"/>
        <v>44.75</v>
      </c>
      <c r="AS21" s="35">
        <f t="shared" si="30"/>
        <v>247.64999999999998</v>
      </c>
      <c r="AU21" s="47">
        <v>431807</v>
      </c>
      <c r="AV21" s="37">
        <f t="shared" si="31"/>
        <v>2279</v>
      </c>
      <c r="AW21" s="35">
        <f t="shared" si="14"/>
        <v>4.5579999999999998</v>
      </c>
    </row>
    <row r="22" spans="1:49" x14ac:dyDescent="0.25">
      <c r="A22" s="23">
        <v>44546</v>
      </c>
      <c r="B22" s="40">
        <v>142</v>
      </c>
      <c r="C22" s="24">
        <v>7456460</v>
      </c>
      <c r="D22" s="24">
        <v>17681410</v>
      </c>
      <c r="E22" s="24">
        <v>3182050</v>
      </c>
      <c r="F22" s="24">
        <v>3812010</v>
      </c>
      <c r="G22" s="24">
        <v>11214780</v>
      </c>
      <c r="H22" s="24">
        <v>6219540</v>
      </c>
      <c r="I22" s="24">
        <v>5536720</v>
      </c>
      <c r="J22" s="44">
        <v>6748350</v>
      </c>
      <c r="K22" s="24">
        <v>10228880</v>
      </c>
      <c r="L22" s="24">
        <v>4326760</v>
      </c>
      <c r="M22" s="24">
        <v>8493580</v>
      </c>
      <c r="N22" s="24">
        <v>13396300</v>
      </c>
      <c r="O22" s="44">
        <v>18571600</v>
      </c>
      <c r="Q22" s="37">
        <f t="shared" si="17"/>
        <v>600</v>
      </c>
      <c r="R22" s="37">
        <f t="shared" si="18"/>
        <v>1900</v>
      </c>
      <c r="S22" s="37">
        <f t="shared" si="16"/>
        <v>3030</v>
      </c>
      <c r="T22" s="37">
        <f t="shared" si="19"/>
        <v>1420</v>
      </c>
      <c r="U22" s="37">
        <f t="shared" si="20"/>
        <v>4980</v>
      </c>
      <c r="V22" s="37">
        <f t="shared" si="21"/>
        <v>4200</v>
      </c>
      <c r="W22" s="37">
        <f t="shared" si="22"/>
        <v>2540</v>
      </c>
      <c r="X22" s="37">
        <f t="shared" si="23"/>
        <v>4610</v>
      </c>
      <c r="Y22" s="37">
        <f t="shared" si="24"/>
        <v>6320</v>
      </c>
      <c r="Z22" s="37">
        <f t="shared" si="25"/>
        <v>2640</v>
      </c>
      <c r="AA22" s="37">
        <f t="shared" si="26"/>
        <v>3270</v>
      </c>
      <c r="AB22" s="37">
        <f t="shared" si="27"/>
        <v>7210</v>
      </c>
      <c r="AC22" s="37">
        <f t="shared" si="28"/>
        <v>9120</v>
      </c>
      <c r="AD22" s="35">
        <f t="shared" si="29"/>
        <v>51840</v>
      </c>
      <c r="AF22" s="20">
        <f t="shared" si="1"/>
        <v>3</v>
      </c>
      <c r="AG22" s="20">
        <f t="shared" si="2"/>
        <v>9.5</v>
      </c>
      <c r="AH22" s="20">
        <f t="shared" si="3"/>
        <v>15.15</v>
      </c>
      <c r="AI22" s="20">
        <f t="shared" si="4"/>
        <v>7.1000000000000005</v>
      </c>
      <c r="AJ22" s="20">
        <f t="shared" si="5"/>
        <v>24.900000000000002</v>
      </c>
      <c r="AK22" s="20">
        <f t="shared" si="6"/>
        <v>21</v>
      </c>
      <c r="AL22" s="20">
        <f t="shared" si="7"/>
        <v>12.700000000000001</v>
      </c>
      <c r="AM22" s="20">
        <f t="shared" si="8"/>
        <v>23.05</v>
      </c>
      <c r="AN22" s="20">
        <f t="shared" si="9"/>
        <v>31.6</v>
      </c>
      <c r="AO22" s="20">
        <f t="shared" si="10"/>
        <v>13.200000000000001</v>
      </c>
      <c r="AP22" s="20">
        <f t="shared" si="11"/>
        <v>16.350000000000001</v>
      </c>
      <c r="AQ22" s="20">
        <f t="shared" si="12"/>
        <v>36.050000000000004</v>
      </c>
      <c r="AR22" s="20">
        <f t="shared" si="13"/>
        <v>45.6</v>
      </c>
      <c r="AS22" s="35">
        <f t="shared" si="30"/>
        <v>259.2</v>
      </c>
      <c r="AU22" s="47">
        <v>432885</v>
      </c>
      <c r="AV22" s="37">
        <f t="shared" si="31"/>
        <v>1078</v>
      </c>
      <c r="AW22" s="35">
        <f t="shared" si="14"/>
        <v>2.1560000000000001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 t="str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9930</v>
      </c>
      <c r="R38" s="38">
        <f t="shared" ref="R38:AD38" si="62">SUM(R7:R37)</f>
        <v>41360</v>
      </c>
      <c r="S38" s="38">
        <f t="shared" si="62"/>
        <v>38770</v>
      </c>
      <c r="T38" s="38">
        <f t="shared" si="62"/>
        <v>22250</v>
      </c>
      <c r="U38" s="38">
        <f t="shared" si="62"/>
        <v>76510</v>
      </c>
      <c r="V38" s="38">
        <f t="shared" si="62"/>
        <v>63760</v>
      </c>
      <c r="W38" s="38">
        <f t="shared" si="62"/>
        <v>39970</v>
      </c>
      <c r="X38" s="38">
        <f t="shared" si="62"/>
        <v>75140</v>
      </c>
      <c r="Y38" s="38">
        <f t="shared" si="62"/>
        <v>94990</v>
      </c>
      <c r="Z38" s="38">
        <f t="shared" si="62"/>
        <v>41880</v>
      </c>
      <c r="AA38" s="38">
        <f t="shared" si="62"/>
        <v>50760</v>
      </c>
      <c r="AB38" s="38">
        <f t="shared" si="62"/>
        <v>112100</v>
      </c>
      <c r="AC38" s="38">
        <f t="shared" si="62"/>
        <v>164990</v>
      </c>
      <c r="AD38" s="38">
        <f t="shared" si="62"/>
        <v>832410</v>
      </c>
      <c r="AF38" s="35">
        <f>SUM(AF7:AF37)</f>
        <v>49.650000000000006</v>
      </c>
      <c r="AG38" s="35">
        <f t="shared" ref="AG38:AS38" si="63">SUM(AG7:AG37)</f>
        <v>206.79999999999995</v>
      </c>
      <c r="AH38" s="35">
        <f t="shared" si="63"/>
        <v>193.85</v>
      </c>
      <c r="AI38" s="35">
        <f t="shared" si="63"/>
        <v>111.25</v>
      </c>
      <c r="AJ38" s="35">
        <f t="shared" si="63"/>
        <v>382.54999999999995</v>
      </c>
      <c r="AK38" s="35">
        <f t="shared" si="63"/>
        <v>318.8</v>
      </c>
      <c r="AL38" s="35">
        <f t="shared" si="63"/>
        <v>199.85000000000002</v>
      </c>
      <c r="AM38" s="35">
        <f t="shared" si="63"/>
        <v>375.7</v>
      </c>
      <c r="AN38" s="35">
        <f t="shared" si="63"/>
        <v>474.95000000000005</v>
      </c>
      <c r="AO38" s="35">
        <f t="shared" si="63"/>
        <v>209.39999999999998</v>
      </c>
      <c r="AP38" s="35">
        <f t="shared" si="63"/>
        <v>253.79999999999995</v>
      </c>
      <c r="AQ38" s="35">
        <f t="shared" si="63"/>
        <v>560.5</v>
      </c>
      <c r="AR38" s="35">
        <f t="shared" si="63"/>
        <v>824.95</v>
      </c>
      <c r="AS38" s="35">
        <f t="shared" si="63"/>
        <v>4162.0500000000011</v>
      </c>
      <c r="AU38" s="48"/>
      <c r="AV38" s="35">
        <f>SUM(AV7:AV34)</f>
        <v>29354</v>
      </c>
      <c r="AW38" s="35">
        <f>SUM(AW7:AW34)</f>
        <v>58.707999999999991</v>
      </c>
    </row>
    <row r="39" spans="1:49" x14ac:dyDescent="0.25">
      <c r="D39">
        <v>5.0000000000000001E-3</v>
      </c>
      <c r="AV39" s="36">
        <f>AV38*0.00378541*1000</f>
        <v>111116.92513999999</v>
      </c>
    </row>
    <row r="40" spans="1:49" x14ac:dyDescent="0.25">
      <c r="D40">
        <v>2E-3</v>
      </c>
      <c r="AV40">
        <f>AV39/31</f>
        <v>3584.4169399999996</v>
      </c>
    </row>
    <row r="41" spans="1:49" x14ac:dyDescent="0.25">
      <c r="AV41">
        <f>AV38*0.00378541</f>
        <v>111.11692513999999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2021-12-17T19:15:31Z</dcterms:modified>
</cp:coreProperties>
</file>