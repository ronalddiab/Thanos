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64" documentId="102_{0B1FC10D-5DA9-48B9-8B6D-6BBB1E324B93}" xr6:coauthVersionLast="36" xr6:coauthVersionMax="36" xr10:uidLastSave="{F797C72E-F42F-4F26-8773-B1B5B3441A3C}"/>
  <bookViews>
    <workbookView xWindow="-100" yWindow="-100" windowWidth="18190" windowHeight="11470" tabRatio="614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<sst xmlns="http://schemas.openxmlformats.org/spreadsheetml/2006/main" count="216" uniqueCount="57">
  <si>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</si>
  <si>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</si>
  <si>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</si>
  <si>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</si>
  <si>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</si>
  <si>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</si>
  <si>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</si>
  <si>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</si>
  <si>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</si>
  <si>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</si>
  <si>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</si>
  <si>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</si>
  <si>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</si>
  <si>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</si>
  <si>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</si>
  <si>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</si>
  <si>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</si>
  <si>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</si>
  <si>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</si>
  <si>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</si>
  <si>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</si>
  <si>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</si>
  <si>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</si>
  <si>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</si>
  <si>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</si>
  <si>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</si>
  <si>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</si>
  <si>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</si>
  <si>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</si>
  <si>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</si>
  <si>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</si>
  <si>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</si>
  <si>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</si>
  <si>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</si>
  <si>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</si>
  <si>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</si>
  <si>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</si>
  <si>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</si>
  <si>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</si>
  <si>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</si>
  <si>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Dipak</t>
  </si>
  <si>
    <t>Veera</t>
  </si>
  <si>
    <t>Veera/Ramu</t>
  </si>
  <si>
    <t>Ramu/Sathis</t>
  </si>
  <si>
    <t>Ramu/ Sathis/Aung</t>
  </si>
  <si>
    <t>Venkat</t>
  </si>
  <si>
    <t>Prabha/Ulla</t>
  </si>
  <si>
    <t>Ullah</t>
  </si>
  <si>
    <t>Prabha/Ullah</t>
  </si>
  <si>
    <t>Parithi</t>
  </si>
  <si>
    <t>Ullah/Dipak</t>
  </si>
  <si>
    <t>Veera/Dipak</t>
  </si>
  <si>
    <t>Ramu/Sathis/Aung</t>
  </si>
  <si>
    <t>Ramu/Aung</t>
  </si>
  <si>
    <t>Parithi/Aung</t>
  </si>
  <si>
    <t>Dipak/Ullah</t>
  </si>
  <si>
    <t>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</si>
</sst>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5" xfId="0" applyFont="1" applyFill="1" applyBorder="1" applyAlignment="1"/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A16" workbookViewId="0">
      <selection activeCell="K27" sqref="K27:L2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</v>
      </c>
      <c r="D2" s="9">
        <v>2024</v>
      </c>
      <c r="E2" s="43">
        <f>'Submetering '!E2+'Submetering '!F2+'Submetering '!G2</f>
        <v>11730</v>
      </c>
      <c r="F2" s="10">
        <v>0.2989</v>
      </c>
      <c r="G2" s="13">
        <f>-'Submetering '!J2+'Submetering '!K2</f>
        <v>732</v>
      </c>
      <c r="H2" s="10">
        <v>0.23150000000000001</v>
      </c>
      <c r="I2" s="13">
        <f>'Submetering '!L2+'Submetering '!M2</f>
        <v>116</v>
      </c>
      <c r="J2" s="10">
        <v>2.74</v>
      </c>
      <c r="K2" s="9">
        <v>106</v>
      </c>
      <c r="L2" s="9">
        <v>106</v>
      </c>
    </row>
    <row r="3" spans="1:12" s="12" customFormat="1" x14ac:dyDescent="0.35">
      <c r="A3" s="9" t="s">
        <v>39</v>
      </c>
      <c r="B3" s="12">
        <f>B2+1</f>
        <v>2</v>
      </c>
      <c r="C3" s="10">
        <v>1</v>
      </c>
      <c r="D3" s="9">
        <v>2024</v>
      </c>
      <c r="E3" s="43">
        <f>'Submetering '!E3+'Submetering '!F3+'Submetering '!G3</f>
        <v>11790</v>
      </c>
      <c r="F3" s="10">
        <v>0.2989</v>
      </c>
      <c r="G3" s="13">
        <f>-'Submetering '!J3+'Submetering '!K3</f>
        <v>663</v>
      </c>
      <c r="H3" s="10">
        <v>0.23150000000000001</v>
      </c>
      <c r="I3" s="13">
        <f>'Submetering '!L3+'Submetering '!M3</f>
        <v>107</v>
      </c>
      <c r="J3" s="10">
        <v>2.74</v>
      </c>
      <c r="K3" s="9">
        <v>56</v>
      </c>
      <c r="L3" s="9">
        <v>56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</v>
      </c>
      <c r="D4" s="9">
        <v>2024</v>
      </c>
      <c r="E4" s="43">
        <f>'Submetering '!E4+'Submetering '!F4+'Submetering '!G4</f>
        <v>11655</v>
      </c>
      <c r="F4" s="10">
        <v>0.2989</v>
      </c>
      <c r="G4" s="13">
        <f>-'Submetering '!J4+'Submetering '!K4</f>
        <v>723</v>
      </c>
      <c r="H4" s="10">
        <v>0.23150000000000001</v>
      </c>
      <c r="I4" s="13">
        <f>'Submetering '!L4+'Submetering '!M4</f>
        <v>101</v>
      </c>
      <c r="J4" s="10">
        <v>2.74</v>
      </c>
      <c r="K4" s="9">
        <v>65</v>
      </c>
      <c r="L4" s="9">
        <v>65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</v>
      </c>
      <c r="D5" s="9">
        <v>2024</v>
      </c>
      <c r="E5" s="43">
        <f>'Submetering '!E5+'Submetering '!F5+'Submetering '!G5</f>
        <v>9270</v>
      </c>
      <c r="F5" s="10">
        <v>0.2989</v>
      </c>
      <c r="G5" s="13">
        <f>-'Submetering '!J5+'Submetering '!K5</f>
        <v>716</v>
      </c>
      <c r="H5" s="10">
        <v>0.23150000000000001</v>
      </c>
      <c r="I5" s="13">
        <f>'Submetering '!L5+'Submetering '!M5</f>
        <v>85</v>
      </c>
      <c r="J5" s="10">
        <v>2.74</v>
      </c>
      <c r="K5" s="9">
        <v>67</v>
      </c>
      <c r="L5" s="9">
        <v>67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</v>
      </c>
      <c r="D6" s="9">
        <v>2024</v>
      </c>
      <c r="E6" s="43">
        <f>'Submetering '!E6+'Submetering '!F6+'Submetering '!G6</f>
        <v>12945</v>
      </c>
      <c r="F6" s="10">
        <v>0.2989</v>
      </c>
      <c r="G6" s="13">
        <f>-'Submetering '!J6+'Submetering '!K6</f>
        <v>632</v>
      </c>
      <c r="H6" s="10">
        <v>0.23150000000000001</v>
      </c>
      <c r="I6" s="13">
        <f>'Submetering '!L6+'Submetering '!M6</f>
        <v>109</v>
      </c>
      <c r="J6" s="10">
        <v>2.74</v>
      </c>
      <c r="K6" s="9">
        <v>61</v>
      </c>
      <c r="L6" s="9">
        <v>61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</v>
      </c>
      <c r="D7" s="9">
        <v>2024</v>
      </c>
      <c r="E7" s="43">
        <f>'Submetering '!E7+'Submetering '!F7+'Submetering '!G7</f>
        <v>11235</v>
      </c>
      <c r="F7" s="10">
        <v>0.2989</v>
      </c>
      <c r="G7" s="13">
        <f>-'Submetering '!J7+'Submetering '!K7</f>
        <v>642</v>
      </c>
      <c r="H7" s="10">
        <v>0.23150000000000001</v>
      </c>
      <c r="I7" s="13">
        <f>'Submetering '!L7+'Submetering '!M7</f>
        <v>83</v>
      </c>
      <c r="J7" s="10">
        <v>2.74</v>
      </c>
      <c r="K7" s="9">
        <v>50</v>
      </c>
      <c r="L7" s="9">
        <v>50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</v>
      </c>
      <c r="D8" s="9">
        <v>2024</v>
      </c>
      <c r="E8" s="43">
        <f>'Submetering '!E8+'Submetering '!F8+'Submetering '!G8</f>
        <v>10155</v>
      </c>
      <c r="F8" s="10">
        <v>0.2989</v>
      </c>
      <c r="G8" s="13">
        <f>-'Submetering '!J8+'Submetering '!K8</f>
        <v>649</v>
      </c>
      <c r="H8" s="10">
        <v>0.23150000000000001</v>
      </c>
      <c r="I8" s="13">
        <f>'Submetering '!L8+'Submetering '!M8</f>
        <v>87</v>
      </c>
      <c r="J8" s="10">
        <v>2.74</v>
      </c>
      <c r="K8" s="9">
        <v>50</v>
      </c>
      <c r="L8" s="9">
        <v>50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</v>
      </c>
      <c r="D9" s="9">
        <v>2024</v>
      </c>
      <c r="E9" s="43">
        <f>'Submetering '!E9+'Submetering '!F9+'Submetering '!G9</f>
        <v>10380</v>
      </c>
      <c r="F9" s="10">
        <v>0.2989</v>
      </c>
      <c r="G9" s="13">
        <f>-'Submetering '!J9+'Submetering '!K9</f>
        <v>653</v>
      </c>
      <c r="H9" s="10">
        <v>0.23150000000000001</v>
      </c>
      <c r="I9" s="13">
        <f>'Submetering '!L9+'Submetering '!M9</f>
        <v>64</v>
      </c>
      <c r="J9" s="10">
        <v>2.74</v>
      </c>
      <c r="K9" s="9">
        <v>62</v>
      </c>
      <c r="L9" s="9">
        <v>62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</v>
      </c>
      <c r="D10" s="9">
        <v>2024</v>
      </c>
      <c r="E10" s="43">
        <f>'Submetering '!E10+'Submetering '!F10+'Submetering '!G10</f>
        <v>11580</v>
      </c>
      <c r="F10" s="10">
        <v>0.2989</v>
      </c>
      <c r="G10" s="13">
        <f>-'Submetering '!J10+'Submetering '!K10</f>
        <v>754</v>
      </c>
      <c r="H10" s="10">
        <v>0.23150000000000001</v>
      </c>
      <c r="I10" s="13">
        <f>'Submetering '!L10+'Submetering '!M10</f>
        <v>108</v>
      </c>
      <c r="J10" s="10">
        <v>2.74</v>
      </c>
      <c r="K10" s="9">
        <v>75</v>
      </c>
      <c r="L10" s="9">
        <v>75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</v>
      </c>
      <c r="D11" s="9">
        <v>2024</v>
      </c>
      <c r="E11" s="43">
        <f>'Submetering '!E11+'Submetering '!F11+'Submetering '!G11</f>
        <v>10590</v>
      </c>
      <c r="F11" s="10">
        <v>0.2989</v>
      </c>
      <c r="G11" s="13">
        <f>-'Submetering '!J11+'Submetering '!K11</f>
        <v>572</v>
      </c>
      <c r="H11" s="10">
        <v>0.23150000000000001</v>
      </c>
      <c r="I11" s="13">
        <f>'Submetering '!L11+'Submetering '!M11</f>
        <v>77</v>
      </c>
      <c r="J11" s="10">
        <v>2.74</v>
      </c>
      <c r="K11" s="9">
        <v>80</v>
      </c>
      <c r="L11" s="9">
        <v>80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</v>
      </c>
      <c r="D12" s="9">
        <v>2024</v>
      </c>
      <c r="E12" s="43">
        <f>'Submetering '!E12+'Submetering '!F12+'Submetering '!G12</f>
        <v>11685</v>
      </c>
      <c r="F12" s="10">
        <v>0.2989</v>
      </c>
      <c r="G12" s="13">
        <f>-'Submetering '!J12+'Submetering '!K12</f>
        <v>721</v>
      </c>
      <c r="H12" s="10">
        <v>0.23150000000000001</v>
      </c>
      <c r="I12" s="13">
        <f>'Submetering '!L12+'Submetering '!M12</f>
        <v>109</v>
      </c>
      <c r="J12" s="10">
        <v>2.74</v>
      </c>
      <c r="K12" s="9">
        <v>82</v>
      </c>
      <c r="L12" s="9">
        <v>82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</v>
      </c>
      <c r="D13" s="9">
        <v>2024</v>
      </c>
      <c r="E13" s="43">
        <f>'Submetering '!E13+'Submetering '!F13+'Submetering '!G13</f>
        <v>11130</v>
      </c>
      <c r="F13" s="10">
        <v>0.2989</v>
      </c>
      <c r="G13" s="13">
        <f>-'Submetering '!J13+'Submetering '!K13</f>
        <v>698</v>
      </c>
      <c r="H13" s="10">
        <v>0.23150000000000001</v>
      </c>
      <c r="I13" s="13">
        <f>'Submetering '!L13+'Submetering '!M13</f>
        <v>86</v>
      </c>
      <c r="J13" s="10">
        <v>2.74</v>
      </c>
      <c r="K13" s="9">
        <v>81</v>
      </c>
      <c r="L13" s="9">
        <v>81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</v>
      </c>
      <c r="D14" s="9">
        <v>2024</v>
      </c>
      <c r="E14" s="43">
        <f>'Submetering '!E14+'Submetering '!F14+'Submetering '!G14</f>
        <v>11745</v>
      </c>
      <c r="F14" s="10">
        <v>0.2989</v>
      </c>
      <c r="G14" s="13">
        <f>-'Submetering '!J14+'Submetering '!K14</f>
        <v>879</v>
      </c>
      <c r="H14" s="10">
        <v>0.23150000000000001</v>
      </c>
      <c r="I14" s="13">
        <f>'Submetering '!L14+'Submetering '!M14</f>
        <v>115</v>
      </c>
      <c r="J14" s="10">
        <v>2.74</v>
      </c>
      <c r="K14" s="9">
        <v>93</v>
      </c>
      <c r="L14" s="9">
        <v>93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</v>
      </c>
      <c r="D15" s="9">
        <v>2024</v>
      </c>
      <c r="E15" s="43">
        <f>'Submetering '!E15+'Submetering '!F15+'Submetering '!G15</f>
        <v>11535</v>
      </c>
      <c r="F15" s="10">
        <v>0.2989</v>
      </c>
      <c r="G15" s="13">
        <f>-'Submetering '!J15+'Submetering '!K15</f>
        <v>809</v>
      </c>
      <c r="H15" s="10">
        <v>0.23150000000000001</v>
      </c>
      <c r="I15" s="13">
        <f>'Submetering '!L15+'Submetering '!M15</f>
        <v>108</v>
      </c>
      <c r="J15" s="10">
        <v>2.74</v>
      </c>
      <c r="K15" s="9">
        <v>93</v>
      </c>
      <c r="L15" s="9">
        <v>93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</v>
      </c>
      <c r="D16" s="9">
        <v>2024</v>
      </c>
      <c r="E16" s="43">
        <f>'Submetering '!E16+'Submetering '!F16+'Submetering '!G16</f>
        <v>10725</v>
      </c>
      <c r="F16" s="10">
        <v>0.2989</v>
      </c>
      <c r="G16" s="13">
        <f>-'Submetering '!J16+'Submetering '!K16</f>
        <v>660</v>
      </c>
      <c r="H16" s="10">
        <v>0.23150000000000001</v>
      </c>
      <c r="I16" s="13">
        <f>'Submetering '!L16+'Submetering '!M16</f>
        <v>80</v>
      </c>
      <c r="J16" s="10">
        <v>2.74</v>
      </c>
      <c r="K16" s="9">
        <v>123</v>
      </c>
      <c r="L16" s="9">
        <v>123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</v>
      </c>
      <c r="D17" s="9">
        <v>2024</v>
      </c>
      <c r="E17" s="43">
        <f>'Submetering '!E17+'Submetering '!F17+'Submetering '!G17</f>
        <v>11850</v>
      </c>
      <c r="F17" s="10">
        <v>0.2989</v>
      </c>
      <c r="G17" s="13">
        <f>-'Submetering '!J17+'Submetering '!K17</f>
        <v>782</v>
      </c>
      <c r="H17" s="10">
        <v>0.23150000000000001</v>
      </c>
      <c r="I17" s="13">
        <f>'Submetering '!L17+'Submetering '!M17</f>
        <v>109</v>
      </c>
      <c r="J17" s="10">
        <v>2.74</v>
      </c>
      <c r="K17" s="9">
        <v>102</v>
      </c>
      <c r="L17" s="9">
        <v>102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</v>
      </c>
      <c r="D18" s="9">
        <v>2024</v>
      </c>
      <c r="E18" s="43">
        <f>'Submetering '!E18+'Submetering '!F18+'Submetering '!G18</f>
        <v>11985</v>
      </c>
      <c r="F18" s="10">
        <v>0.2989</v>
      </c>
      <c r="G18" s="13">
        <f>-'Submetering '!J18+'Submetering '!K18</f>
        <v>701</v>
      </c>
      <c r="H18" s="10">
        <v>0.23150000000000001</v>
      </c>
      <c r="I18" s="13">
        <f>'Submetering '!L18+'Submetering '!M18</f>
        <v>214</v>
      </c>
      <c r="J18" s="10">
        <v>2.74</v>
      </c>
      <c r="K18" s="9">
        <v>137</v>
      </c>
      <c r="L18" s="9">
        <v>137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</v>
      </c>
      <c r="D19" s="9">
        <v>2024</v>
      </c>
      <c r="E19" s="43">
        <f>'Submetering '!E19+'Submetering '!F19+'Submetering '!G19</f>
        <v>12000</v>
      </c>
      <c r="F19" s="10">
        <v>0.2989</v>
      </c>
      <c r="G19" s="13">
        <f>-'Submetering '!J19+'Submetering '!K19</f>
        <v>666</v>
      </c>
      <c r="H19" s="10">
        <v>0.23150000000000001</v>
      </c>
      <c r="I19" s="13">
        <f>'Submetering '!L19+'Submetering '!M19</f>
        <v>180</v>
      </c>
      <c r="J19" s="10">
        <v>2.74</v>
      </c>
      <c r="K19" s="9">
        <v>156</v>
      </c>
      <c r="L19" s="9">
        <v>156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</v>
      </c>
      <c r="D20" s="9">
        <v>2024</v>
      </c>
      <c r="E20" s="43">
        <f>'Submetering '!E20+'Submetering '!F20+'Submetering '!G20</f>
        <v>12660</v>
      </c>
      <c r="F20" s="10">
        <v>0.2989</v>
      </c>
      <c r="G20" s="13">
        <f>-'Submetering '!J20+'Submetering '!K20</f>
        <v>826</v>
      </c>
      <c r="H20" s="10">
        <v>0.23150000000000001</v>
      </c>
      <c r="I20" s="13">
        <f>'Submetering '!L20+'Submetering '!M20</f>
        <v>106</v>
      </c>
      <c r="J20" s="10">
        <v>2.74</v>
      </c>
      <c r="K20" s="9">
        <v>170</v>
      </c>
      <c r="L20" s="9">
        <v>170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1</v>
      </c>
      <c r="D21" s="9">
        <v>2024</v>
      </c>
      <c r="E21" s="43">
        <f>'Submetering '!E21+'Submetering '!F21+'Submetering '!G21</f>
        <v>11835</v>
      </c>
      <c r="F21" s="10">
        <v>0.2989</v>
      </c>
      <c r="G21" s="13">
        <f>-'Submetering '!J21+'Submetering '!K21</f>
        <v>829</v>
      </c>
      <c r="H21" s="10">
        <v>0.23150000000000001</v>
      </c>
      <c r="I21" s="13">
        <f>'Submetering '!L21+'Submetering '!M21</f>
        <v>126</v>
      </c>
      <c r="J21" s="10">
        <v>2.74</v>
      </c>
      <c r="K21" s="9">
        <v>175</v>
      </c>
      <c r="L21" s="9">
        <v>175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1</v>
      </c>
      <c r="D22" s="9">
        <v>2024</v>
      </c>
      <c r="E22" s="43">
        <f>'Submetering '!E22+'Submetering '!F22+'Submetering '!G22</f>
        <v>11685</v>
      </c>
      <c r="F22" s="10">
        <v>0.2989</v>
      </c>
      <c r="G22" s="13">
        <f>-'Submetering '!J22+'Submetering '!K22</f>
        <v>706</v>
      </c>
      <c r="H22" s="10">
        <v>0.23150000000000001</v>
      </c>
      <c r="I22" s="13">
        <f>'Submetering '!L22+'Submetering '!M22</f>
        <v>137</v>
      </c>
      <c r="J22" s="10">
        <v>2.74</v>
      </c>
      <c r="K22" s="9">
        <v>170</v>
      </c>
      <c r="L22" s="9">
        <v>170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1</v>
      </c>
      <c r="D23" s="9">
        <v>2024</v>
      </c>
      <c r="E23" s="43">
        <f>'Submetering '!E23+'Submetering '!F23+'Submetering '!G23</f>
        <v>11850</v>
      </c>
      <c r="F23" s="10">
        <v>0.2989</v>
      </c>
      <c r="G23" s="13">
        <f>-'Submetering '!J23+'Submetering '!K23</f>
        <v>773</v>
      </c>
      <c r="H23" s="10">
        <v>0.23150000000000001</v>
      </c>
      <c r="I23" s="13">
        <f>'Submetering '!L23+'Submetering '!M23</f>
        <v>101</v>
      </c>
      <c r="J23" s="10">
        <v>2.74</v>
      </c>
      <c r="K23" s="9">
        <v>205</v>
      </c>
      <c r="L23" s="9">
        <v>205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1</v>
      </c>
      <c r="D24" s="9">
        <v>2024</v>
      </c>
      <c r="E24" s="43">
        <f>'Submetering '!E24+'Submetering '!F24+'Submetering '!G24</f>
        <v>11970</v>
      </c>
      <c r="F24" s="10">
        <v>0.2989</v>
      </c>
      <c r="G24" s="13">
        <f>-'Submetering '!J24+'Submetering '!K24</f>
        <v>741</v>
      </c>
      <c r="H24" s="10">
        <v>0.23150000000000001</v>
      </c>
      <c r="I24" s="13">
        <f>'Submetering '!L24+'Submetering '!M24</f>
        <v>137</v>
      </c>
      <c r="J24" s="10">
        <v>2.74</v>
      </c>
      <c r="K24" s="9">
        <v>234</v>
      </c>
      <c r="L24" s="9">
        <v>234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1</v>
      </c>
      <c r="D25" s="9">
        <v>2024</v>
      </c>
      <c r="E25" s="43">
        <f>'Submetering '!E25+'Submetering '!F25+'Submetering '!G25</f>
        <v>12270</v>
      </c>
      <c r="F25" s="10">
        <v>0.2989</v>
      </c>
      <c r="G25" s="13">
        <f>-'Submetering '!J25+'Submetering '!K25</f>
        <v>779</v>
      </c>
      <c r="H25" s="10">
        <v>0.23150000000000001</v>
      </c>
      <c r="I25" s="13">
        <f>'Submetering '!L25+'Submetering '!M25</f>
        <v>137</v>
      </c>
      <c r="J25" s="10">
        <v>2.74</v>
      </c>
      <c r="K25" s="9">
        <v>243</v>
      </c>
      <c r="L25" s="9">
        <v>243</v>
      </c>
    </row>
    <row r="26" spans="1:12" s="12" customFormat="1" x14ac:dyDescent="0.35">
      <c r="A26" s="9" t="s">
        <v>39</v>
      </c>
      <c r="B26" s="12">
        <f>B25+1</f>
        <v>25</v>
      </c>
      <c r="C26" s="10">
        <v>1</v>
      </c>
      <c r="D26" s="9">
        <v>2024</v>
      </c>
      <c r="E26" s="43">
        <f>'Submetering '!E26+'Submetering '!F26+'Submetering '!G26</f>
        <v>13110</v>
      </c>
      <c r="F26" s="10">
        <v>0.2989</v>
      </c>
      <c r="G26" s="13">
        <f>-'Submetering '!J26+'Submetering '!K26</f>
        <v>824</v>
      </c>
      <c r="H26" s="10">
        <v>0.23150000000000001</v>
      </c>
      <c r="I26" s="13">
        <f>'Submetering '!L26+'Submetering '!M26</f>
        <v>145</v>
      </c>
      <c r="J26" s="10">
        <v>2.74</v>
      </c>
      <c r="K26" s="9">
        <v>264</v>
      </c>
      <c r="L26" s="9">
        <v>264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1</v>
      </c>
      <c r="D27" s="9">
        <v>2024</v>
      </c>
      <c r="E27" s="43">
        <f>'Submetering '!E27+'Submetering '!F27+'Submetering '!G27</f>
        <v>11850</v>
      </c>
      <c r="F27" s="10">
        <v>0.2989</v>
      </c>
      <c r="G27" s="13">
        <f>-'Submetering '!J27+'Submetering '!K27</f>
        <v>855</v>
      </c>
      <c r="H27" s="10">
        <v>0.23150000000000001</v>
      </c>
      <c r="I27" s="13">
        <f>'Submetering '!L27+'Submetering '!M27</f>
        <v>153</v>
      </c>
      <c r="J27" s="10">
        <v>2.74</v>
      </c>
      <c r="K27" s="9">
        <v>274</v>
      </c>
      <c r="L27" s="9">
        <v>274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1</v>
      </c>
      <c r="D28" s="9">
        <v>2024</v>
      </c>
      <c r="E28" s="43">
        <f>'Submetering '!E28+'Submetering '!F28+'Submetering '!G28</f>
        <v>13500</v>
      </c>
      <c r="F28" s="10">
        <v>0.2989</v>
      </c>
      <c r="G28" s="13">
        <f>-'Submetering '!J28+'Submetering '!K28</f>
        <v>739</v>
      </c>
      <c r="H28" s="10">
        <v>0.23150000000000001</v>
      </c>
      <c r="I28" s="13">
        <f>'Submetering '!L28+'Submetering '!M28</f>
        <v>162</v>
      </c>
      <c r="J28" s="10">
        <v>2.74</v>
      </c>
      <c r="K28" s="9">
        <v>245</v>
      </c>
      <c r="L28" s="9">
        <v>245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1</v>
      </c>
      <c r="D29" s="9">
        <v>2024</v>
      </c>
      <c r="E29" s="43">
        <f>'Submetering '!E29+'Submetering '!F29+'Submetering '!G29</f>
        <v>11820</v>
      </c>
      <c r="F29" s="10">
        <v>0.2989</v>
      </c>
      <c r="G29" s="13">
        <f>-'Submetering '!J29+'Submetering '!K29</f>
        <v>777</v>
      </c>
      <c r="H29" s="10">
        <v>0.23150000000000001</v>
      </c>
      <c r="I29" s="13">
        <f>'Submetering '!L29+'Submetering '!M29</f>
        <v>150</v>
      </c>
      <c r="J29" s="10">
        <v>2.74</v>
      </c>
      <c r="K29" s="9">
        <v>204</v>
      </c>
      <c r="L29" s="9">
        <v>204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1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J7" zoomScale="80" zoomScaleNormal="80" workbookViewId="0">
      <selection activeCell="Y32" sqref="Y32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1</v>
      </c>
      <c r="D2" s="9">
        <v>2024</v>
      </c>
      <c r="E2" s="33">
        <f>(IF((Electrical!B3-Electrical!B2)&lt;0,"0",(Electrical!B3-Electrical!B2)))*15</f>
        <v>4620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3562</v>
      </c>
      <c r="I2" s="33">
        <f>IF((Electrical!F3-Electrical!F2)&lt;0,"0",(Electrical!F3-Electrical!F2))</f>
        <v>457</v>
      </c>
      <c r="J2" s="33">
        <f>IF((Gas!B3-Gas!B2)&lt;0,"0",(Gas!B3-Gas!B2))</f>
        <v>0</v>
      </c>
      <c r="K2" s="33">
        <f>IF((Gas!C3-Gas!C2)&lt;0,"0",(Gas!C3-Gas!C2))</f>
        <v>732</v>
      </c>
      <c r="L2" s="33">
        <f>(IF((Water!B3-Water!B2)&lt;0,"0",(Water!B3-Water!B2)))*10</f>
        <v>100</v>
      </c>
      <c r="M2" s="33">
        <f>IF((Water!C3-Water!C2)&lt;0,"0",(Water!C3-Water!C2))</f>
        <v>16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106</v>
      </c>
      <c r="Z2" s="9">
        <v>106</v>
      </c>
    </row>
    <row r="3" spans="1:26" s="9" customFormat="1" x14ac:dyDescent="0.35">
      <c r="A3" s="9" t="s">
        <v>36</v>
      </c>
      <c r="B3" s="12">
        <f>B2+1</f>
        <v>2</v>
      </c>
      <c r="C3" s="10">
        <v>1</v>
      </c>
      <c r="D3" s="9">
        <v>2024</v>
      </c>
      <c r="E3" s="33">
        <f>(IF((Electrical!B4-Electrical!B3)&lt;0,"0",(Electrical!B4-Electrical!B3)))*15</f>
        <v>5565</v>
      </c>
      <c r="F3" s="33">
        <f>(IF((Electrical!C4-Electrical!C3)&lt;0,"0",(Electrical!C4-Electrical!C3)))*15</f>
        <v>2700</v>
      </c>
      <c r="G3" s="33">
        <f>(IF((Electrical!D4-Electrical!D3)&lt;0,"0",(Electrical!D4-Electrical!D3)))*15</f>
        <v>3525</v>
      </c>
      <c r="H3" s="33">
        <f>IF((Electrical!E4-Electrical!E3)&lt;0,"0",(Electrical!E4-Electrical!E3))</f>
        <v>3328</v>
      </c>
      <c r="I3" s="33">
        <f>IF((Electrical!F4-Electrical!F3)&lt;0,"0",(Electrical!F4-Electrical!F3))</f>
        <v>362</v>
      </c>
      <c r="J3" s="33">
        <f>IF((Gas!B4-Gas!B3)&lt;0,"0",(Gas!B4-Gas!B3))</f>
        <v>0</v>
      </c>
      <c r="K3" s="33">
        <f>IF((Gas!C4-Gas!C3)&lt;0,"0",(Gas!C4-Gas!C3))</f>
        <v>663</v>
      </c>
      <c r="L3" s="33">
        <f>(IF((Water!B4-Water!B3)&lt;0,"0",(Water!B4-Water!B3)))*10</f>
        <v>90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56</v>
      </c>
      <c r="Z3" s="9">
        <v>56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</v>
      </c>
      <c r="D4" s="9">
        <v>2024</v>
      </c>
      <c r="E4" s="33">
        <f>(IF((Electrical!B5-Electrical!B4)&lt;0,"0",(Electrical!B5-Electrical!B4)))*15</f>
        <v>5625</v>
      </c>
      <c r="F4" s="33">
        <f>(IF((Electrical!C5-Electrical!C4)&lt;0,"0",(Electrical!C5-Electrical!C4)))*15</f>
        <v>2535</v>
      </c>
      <c r="G4" s="33">
        <f>(IF((Electrical!D5-Electrical!D4)&lt;0,"0",(Electrical!D5-Electrical!D4)))*15</f>
        <v>3495</v>
      </c>
      <c r="H4" s="33">
        <f>IF((Electrical!E5-Electrical!E4)&lt;0,"0",(Electrical!E5-Electrical!E4))</f>
        <v>3300</v>
      </c>
      <c r="I4" s="33">
        <f>IF((Electrical!F5-Electrical!F4)&lt;0,"0",(Electrical!F5-Electrical!F4))</f>
        <v>300</v>
      </c>
      <c r="J4" s="33">
        <f>IF((Gas!B5-Gas!B4)&lt;0,"0",(Gas!B5-Gas!B4))</f>
        <v>0</v>
      </c>
      <c r="K4" s="33">
        <f>IF((Gas!C5-Gas!C4)&lt;0,"0",(Gas!C5-Gas!C4))</f>
        <v>723</v>
      </c>
      <c r="L4" s="33">
        <f>(IF((Water!B5-Water!B4)&lt;0,"0",(Water!B5-Water!B4)))*10</f>
        <v>80</v>
      </c>
      <c r="M4" s="33">
        <f>IF((Water!C5-Water!C4)&lt;0,"0",(Water!C5-Water!C4))</f>
        <v>21</v>
      </c>
      <c r="N4" s="33">
        <f>IF((Water!D5-Water!D4)&lt;0,"0",(Water!D5-Water!D4))</f>
        <v>0</v>
      </c>
      <c r="O4" s="33">
        <f>IF((Water!E5-Water!E4)&lt;0,"0",(Water!E5-Water!E4))</f>
        <v>7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27</v>
      </c>
      <c r="Y4" s="9">
        <v>65</v>
      </c>
      <c r="Z4" s="9">
        <v>65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</v>
      </c>
      <c r="D5" s="9">
        <v>2024</v>
      </c>
      <c r="E5" s="33">
        <f>(IF((Electrical!B6-Electrical!B5)&lt;0,"0",(Electrical!B6-Electrical!B5)))*15</f>
        <v>4140</v>
      </c>
      <c r="F5" s="33">
        <f>(IF((Electrical!C6-Electrical!C5)&lt;0,"0",(Electrical!C6-Electrical!C5)))*15</f>
        <v>1695</v>
      </c>
      <c r="G5" s="33">
        <f>(IF((Electrical!D6-Electrical!D5)&lt;0,"0",(Electrical!D6-Electrical!D5)))*15</f>
        <v>3435</v>
      </c>
      <c r="H5" s="33">
        <f>IF((Electrical!E6-Electrical!E5)&lt;0,"0",(Electrical!E6-Electrical!E5))</f>
        <v>3036</v>
      </c>
      <c r="I5" s="33">
        <f>IF((Electrical!F6-Electrical!F5)&lt;0,"0",(Electrical!F6-Electrical!F5))</f>
        <v>369</v>
      </c>
      <c r="J5" s="33">
        <f>IF((Gas!B6-Gas!B5)&lt;0,"0",(Gas!B6-Gas!B5))</f>
        <v>0</v>
      </c>
      <c r="K5" s="33">
        <f>IF((Gas!C6-Gas!C5)&lt;0,"0",(Gas!C6-Gas!C5))</f>
        <v>716</v>
      </c>
      <c r="L5" s="33">
        <f>(IF((Water!B6-Water!B5)&lt;0,"0",(Water!B6-Water!B5)))*10</f>
        <v>70</v>
      </c>
      <c r="M5" s="33">
        <f>IF((Water!C6-Water!C5)&lt;0,"0",(Water!C6-Water!C5))</f>
        <v>15</v>
      </c>
      <c r="N5" s="33">
        <f>IF((Water!D6-Water!D5)&lt;0,"0",(Water!D6-Water!D5))</f>
        <v>0</v>
      </c>
      <c r="O5" s="33">
        <f>IF((Water!E6-Water!E5)&lt;0,"0",(Water!E6-Water!E5))</f>
        <v>6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38</v>
      </c>
      <c r="Y5" s="9">
        <v>67</v>
      </c>
      <c r="Z5" s="9">
        <v>67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</v>
      </c>
      <c r="D6" s="9">
        <v>2024</v>
      </c>
      <c r="E6" s="33">
        <f>(IF((Electrical!B7-Electrical!B6)&lt;0,"0",(Electrical!B7-Electrical!B6)))*15</f>
        <v>7125</v>
      </c>
      <c r="F6" s="33">
        <f>(IF((Electrical!C7-Electrical!C6)&lt;0,"0",(Electrical!C7-Electrical!C6)))*15</f>
        <v>2280</v>
      </c>
      <c r="G6" s="33">
        <f>(IF((Electrical!D7-Electrical!D6)&lt;0,"0",(Electrical!D7-Electrical!D6)))*15</f>
        <v>3540</v>
      </c>
      <c r="H6" s="33">
        <f>IF((Electrical!E7-Electrical!E6)&lt;0,"0",(Electrical!E7-Electrical!E6))</f>
        <v>2701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632</v>
      </c>
      <c r="L6" s="33">
        <f>(IF((Water!B7-Water!B6)&lt;0,"0",(Water!B7-Water!B6)))*10</f>
        <v>90</v>
      </c>
      <c r="M6" s="33">
        <f>IF((Water!C7-Water!C6)&lt;0,"0",(Water!C7-Water!C6))</f>
        <v>19</v>
      </c>
      <c r="N6" s="33">
        <f>IF((Water!D7-Water!D6)&lt;0,"0",(Water!D7-Water!D6))</f>
        <v>0</v>
      </c>
      <c r="O6" s="33">
        <f>IF((Water!E7-Water!E6)&lt;0,"0",(Water!E7-Water!E6))</f>
        <v>9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16</v>
      </c>
      <c r="Y6" s="9">
        <v>61</v>
      </c>
      <c r="Z6" s="9">
        <v>61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</v>
      </c>
      <c r="D7" s="9">
        <v>2024</v>
      </c>
      <c r="E7" s="33">
        <f>(IF((Electrical!B8-Electrical!B7)&lt;0,"0",(Electrical!B8-Electrical!B7)))*15</f>
        <v>5805</v>
      </c>
      <c r="F7" s="33">
        <f>(IF((Electrical!C8-Electrical!C7)&lt;0,"0",(Electrical!C8-Electrical!C7)))*15</f>
        <v>1905</v>
      </c>
      <c r="G7" s="33">
        <f>(IF((Electrical!D8-Electrical!D7)&lt;0,"0",(Electrical!D8-Electrical!D7)))*15</f>
        <v>3525</v>
      </c>
      <c r="H7" s="33">
        <f>IF((Electrical!E8-Electrical!E7)&lt;0,"0",(Electrical!E8-Electrical!E7))</f>
        <v>3051</v>
      </c>
      <c r="I7" s="33">
        <f>IF((Electrical!F8-Electrical!F7)&lt;0,"0",(Electrical!F8-Electrical!F7))</f>
        <v>289</v>
      </c>
      <c r="J7" s="33">
        <f>IF((Gas!B8-Gas!B7)&lt;0,"0",(Gas!B8-Gas!B7))</f>
        <v>0</v>
      </c>
      <c r="K7" s="33">
        <f>IF((Gas!C8-Gas!C7)&lt;0,"0",(Gas!C8-Gas!C7))</f>
        <v>642</v>
      </c>
      <c r="L7" s="33">
        <f>(IF((Water!B8-Water!B7)&lt;0,"0",(Water!B8-Water!B7)))*10</f>
        <v>70</v>
      </c>
      <c r="M7" s="33">
        <f>IF((Water!C8-Water!C7)&lt;0,"0",(Water!C8-Water!C7))</f>
        <v>13</v>
      </c>
      <c r="N7" s="33">
        <f>IF((Water!D8-Water!D7)&lt;0,"0",(Water!D8-Water!D7))</f>
        <v>0</v>
      </c>
      <c r="O7" s="33">
        <f>IF((Water!E8-Water!E7)&lt;0,"0",(Water!E8-Water!E7))</f>
        <v>4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16</v>
      </c>
      <c r="Y7" s="9">
        <v>50</v>
      </c>
      <c r="Z7" s="9">
        <v>50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</v>
      </c>
      <c r="D8" s="9">
        <v>2024</v>
      </c>
      <c r="E8" s="33">
        <f>(IF((Electrical!B9-Electrical!B8)&lt;0,"0",(Electrical!B9-Electrical!B8)))*15</f>
        <v>4965</v>
      </c>
      <c r="F8" s="33">
        <f>(IF((Electrical!C9-Electrical!C8)&lt;0,"0",(Electrical!C9-Electrical!C8)))*15</f>
        <v>1725</v>
      </c>
      <c r="G8" s="33">
        <f>(IF((Electrical!D9-Electrical!D8)&lt;0,"0",(Electrical!D9-Electrical!D8)))*15</f>
        <v>3465</v>
      </c>
      <c r="H8" s="33">
        <f>IF((Electrical!E9-Electrical!E8)&lt;0,"0",(Electrical!E9-Electrical!E8))</f>
        <v>2393</v>
      </c>
      <c r="I8" s="33">
        <f>IF((Electrical!F9-Electrical!F8)&lt;0,"0",(Electrical!F9-Electrical!F8))</f>
        <v>328</v>
      </c>
      <c r="J8" s="33">
        <f>IF((Gas!B9-Gas!B8)&lt;0,"0",(Gas!B9-Gas!B8))</f>
        <v>0</v>
      </c>
      <c r="K8" s="33">
        <f>IF((Gas!C9-Gas!C8)&lt;0,"0",(Gas!C9-Gas!C8))</f>
        <v>649</v>
      </c>
      <c r="L8" s="33">
        <f>(IF((Water!B9-Water!B8)&lt;0,"0",(Water!B9-Water!B8)))*10</f>
        <v>70</v>
      </c>
      <c r="M8" s="33">
        <f>IF((Water!C9-Water!C8)&lt;0,"0",(Water!C9-Water!C8))</f>
        <v>17</v>
      </c>
      <c r="N8" s="33">
        <f>IF((Water!D9-Water!D8)&lt;0,"0",(Water!D9-Water!D8))</f>
        <v>0</v>
      </c>
      <c r="O8" s="33">
        <f>IF((Water!E9-Water!E8)&lt;0,"0",(Water!E9-Water!E8))</f>
        <v>5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50</v>
      </c>
      <c r="Z8" s="9">
        <v>50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</v>
      </c>
      <c r="D9" s="9">
        <v>2024</v>
      </c>
      <c r="E9" s="33">
        <f>(IF((Electrical!B10-Electrical!B9)&lt;0,"0",(Electrical!B10-Electrical!B9)))*15</f>
        <v>4410</v>
      </c>
      <c r="F9" s="33">
        <f>(IF((Electrical!C10-Electrical!C9)&lt;0,"0",(Electrical!C10-Electrical!C9)))*15</f>
        <v>2475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2634</v>
      </c>
      <c r="I9" s="33">
        <f>IF((Electrical!F10-Electrical!F9)&lt;0,"0",(Electrical!F10-Electrical!F9))</f>
        <v>376</v>
      </c>
      <c r="J9" s="33">
        <f>IF((Gas!B10-Gas!B9)&lt;0,"0",(Gas!B10-Gas!B9))</f>
        <v>0</v>
      </c>
      <c r="K9" s="33">
        <f>IF((Gas!C10-Gas!C9)&lt;0,"0",(Gas!C10-Gas!C9))</f>
        <v>653</v>
      </c>
      <c r="L9" s="33">
        <f>(IF((Water!B10-Water!B9)&lt;0,"0",(Water!B10-Water!B9)))*10</f>
        <v>40</v>
      </c>
      <c r="M9" s="33">
        <f>IF((Water!C10-Water!C9)&lt;0,"0",(Water!C10-Water!C9))</f>
        <v>24</v>
      </c>
      <c r="N9" s="33">
        <f>IF((Water!D10-Water!D9)&lt;0,"0",(Water!D10-Water!D9))</f>
        <v>0</v>
      </c>
      <c r="O9" s="33">
        <f>IF((Water!E10-Water!E9)&lt;0,"0",(Water!E10-Water!E9))</f>
        <v>8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15</v>
      </c>
      <c r="Y9" s="9">
        <v>62</v>
      </c>
      <c r="Z9" s="9">
        <v>62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</v>
      </c>
      <c r="D10" s="9">
        <v>2024</v>
      </c>
      <c r="E10" s="33">
        <f>(IF((Electrical!B11-Electrical!B10)&lt;0,"0",(Electrical!B11-Electrical!B10)))*15</f>
        <v>4545</v>
      </c>
      <c r="F10" s="33">
        <f>(IF((Electrical!C11-Electrical!C10)&lt;0,"0",(Electrical!C11-Electrical!C10)))*15</f>
        <v>3315</v>
      </c>
      <c r="G10" s="33">
        <f>(IF((Electrical!D11-Electrical!D10)&lt;0,"0",(Electrical!D11-Electrical!D10)))*15</f>
        <v>3720</v>
      </c>
      <c r="H10" s="33">
        <f>IF((Electrical!E11-Electrical!E10)&lt;0,"0",(Electrical!E11-Electrical!E10))</f>
        <v>3254</v>
      </c>
      <c r="I10" s="33">
        <f>IF((Electrical!F11-Electrical!F10)&lt;0,"0",(Electrical!F11-Electrical!F10))</f>
        <v>339</v>
      </c>
      <c r="J10" s="33">
        <f>IF((Gas!B11-Gas!B10)&lt;0,"0",(Gas!B11-Gas!B10))</f>
        <v>0</v>
      </c>
      <c r="K10" s="33">
        <f>IF((Gas!C11-Gas!C10)&lt;0,"0",(Gas!C11-Gas!C10))</f>
        <v>754</v>
      </c>
      <c r="L10" s="33">
        <f>(IF((Water!B11-Water!B10)&lt;0,"0",(Water!B11-Water!B10)))*10</f>
        <v>90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5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75</v>
      </c>
      <c r="Z10" s="9">
        <v>75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</v>
      </c>
      <c r="D11" s="9">
        <v>2024</v>
      </c>
      <c r="E11" s="33">
        <f>(IF((Electrical!B12-Electrical!B11)&lt;0,"0",(Electrical!B12-Electrical!B11)))*15</f>
        <v>4395</v>
      </c>
      <c r="F11" s="33">
        <f>(IF((Electrical!C12-Electrical!C11)&lt;0,"0",(Electrical!C12-Electrical!C11)))*15</f>
        <v>2910</v>
      </c>
      <c r="G11" s="33">
        <f>(IF((Electrical!D12-Electrical!D11)&lt;0,"0",(Electrical!D12-Electrical!D11)))*15</f>
        <v>3285</v>
      </c>
      <c r="H11" s="33">
        <f>IF((Electrical!E12-Electrical!E11)&lt;0,"0",(Electrical!E12-Electrical!E11))</f>
        <v>2958</v>
      </c>
      <c r="I11" s="33">
        <f>IF((Electrical!F12-Electrical!F11)&lt;0,"0",(Electrical!F12-Electrical!F11))</f>
        <v>321</v>
      </c>
      <c r="J11" s="33">
        <f>IF((Gas!B12-Gas!B11)&lt;0,"0",(Gas!B12-Gas!B11))</f>
        <v>0</v>
      </c>
      <c r="K11" s="33">
        <f>IF((Gas!C12-Gas!C11)&lt;0,"0",(Gas!C12-Gas!C11))</f>
        <v>572</v>
      </c>
      <c r="L11" s="33">
        <f>(IF((Water!B12-Water!B11)&lt;0,"0",(Water!B12-Water!B11)))*10</f>
        <v>60</v>
      </c>
      <c r="M11" s="33">
        <f>IF((Water!C12-Water!C11)&lt;0,"0",(Water!C12-Water!C11))</f>
        <v>17</v>
      </c>
      <c r="N11" s="33">
        <f>IF((Water!D12-Water!D11)&lt;0,"0",(Water!D12-Water!D11))</f>
        <v>0</v>
      </c>
      <c r="O11" s="33">
        <f>IF((Water!E12-Water!E11)&lt;0,"0",(Water!E12-Water!E11))</f>
        <v>7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29</v>
      </c>
      <c r="Y11" s="9">
        <v>80</v>
      </c>
      <c r="Z11" s="9">
        <v>80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</v>
      </c>
      <c r="D12" s="9">
        <v>2024</v>
      </c>
      <c r="E12" s="33">
        <f>(IF((Electrical!B13-Electrical!B12)&lt;0,"0",(Electrical!B13-Electrical!B12)))*15</f>
        <v>4815</v>
      </c>
      <c r="F12" s="33">
        <f>(IF((Electrical!C13-Electrical!C12)&lt;0,"0",(Electrical!C13-Electrical!C12)))*15</f>
        <v>3195</v>
      </c>
      <c r="G12" s="33">
        <f>(IF((Electrical!D13-Electrical!D12)&lt;0,"0",(Electrical!D13-Electrical!D12)))*15</f>
        <v>3675</v>
      </c>
      <c r="H12" s="33">
        <f>IF((Electrical!E13-Electrical!E12)&lt;0,"0",(Electrical!E13-Electrical!E12))</f>
        <v>3342</v>
      </c>
      <c r="I12" s="33">
        <f>IF((Electrical!F13-Electrical!F12)&lt;0,"0",(Electrical!F13-Electrical!F12))</f>
        <v>389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90</v>
      </c>
      <c r="M12" s="33">
        <f>IF((Water!C13-Water!C12)&lt;0,"0",(Water!C13-Water!C12))</f>
        <v>19</v>
      </c>
      <c r="N12" s="33">
        <f>IF((Water!D13-Water!D12)&lt;0,"0",(Water!D13-Water!D12))</f>
        <v>0</v>
      </c>
      <c r="O12" s="33">
        <f>IF((Water!E13-Water!E12)&lt;0,"0",(Water!E13-Water!E12))</f>
        <v>7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19</v>
      </c>
      <c r="Y12" s="9">
        <v>82</v>
      </c>
      <c r="Z12" s="9">
        <v>82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</v>
      </c>
      <c r="D13" s="9">
        <v>2024</v>
      </c>
      <c r="E13" s="33">
        <f>(IF((Electrical!B14-Electrical!B13)&lt;0,"0",(Electrical!B14-Electrical!B13)))*15</f>
        <v>4755</v>
      </c>
      <c r="F13" s="33">
        <f>(IF((Electrical!C14-Electrical!C13)&lt;0,"0",(Electrical!C14-Electrical!C13)))*15</f>
        <v>2985</v>
      </c>
      <c r="G13" s="33">
        <f>(IF((Electrical!D14-Electrical!D13)&lt;0,"0",(Electrical!D14-Electrical!D13)))*15</f>
        <v>3390</v>
      </c>
      <c r="H13" s="33">
        <f>IF((Electrical!E14-Electrical!E13)&lt;0,"0",(Electrical!E14-Electrical!E13))</f>
        <v>3310</v>
      </c>
      <c r="I13" s="33">
        <f>IF((Electrical!F14-Electrical!F13)&lt;0,"0",(Electrical!F14-Electrical!F13))</f>
        <v>363</v>
      </c>
      <c r="J13" s="33">
        <f>IF((Gas!B14-Gas!B13)&lt;0,"0",(Gas!B14-Gas!B13))</f>
        <v>0</v>
      </c>
      <c r="K13" s="33">
        <f>IF((Gas!C14-Gas!C13)&lt;0,"0",(Gas!C14-Gas!C13))</f>
        <v>698</v>
      </c>
      <c r="L13" s="33">
        <f>(IF((Water!B14-Water!B13)&lt;0,"0",(Water!B14-Water!B13)))*10</f>
        <v>70</v>
      </c>
      <c r="M13" s="33">
        <f>IF((Water!C14-Water!C13)&lt;0,"0",(Water!C14-Water!C13))</f>
        <v>16</v>
      </c>
      <c r="N13" s="33">
        <f>IF((Water!D14-Water!D13)&lt;0,"0",(Water!D14-Water!D13))</f>
        <v>0</v>
      </c>
      <c r="O13" s="33">
        <f>IF((Water!E14-Water!E13)&lt;0,"0",(Water!E14-Water!E13))</f>
        <v>7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81</v>
      </c>
      <c r="Z13" s="9">
        <v>81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</v>
      </c>
      <c r="D14" s="9">
        <v>2024</v>
      </c>
      <c r="E14" s="33">
        <f>(IF((Electrical!B15-Electrical!B14)&lt;0,"0",(Electrical!B15-Electrical!B14)))*15</f>
        <v>4920</v>
      </c>
      <c r="F14" s="33">
        <f>(IF((Electrical!C15-Electrical!C14)&lt;0,"0",(Electrical!C15-Electrical!C14)))*15</f>
        <v>3120</v>
      </c>
      <c r="G14" s="33">
        <f>(IF((Electrical!D15-Electrical!D14)&lt;0,"0",(Electrical!D15-Electrical!D14)))*15</f>
        <v>3705</v>
      </c>
      <c r="H14" s="33">
        <f>IF((Electrical!E15-Electrical!E14)&lt;0,"0",(Electrical!E15-Electrical!E14))</f>
        <v>2898</v>
      </c>
      <c r="I14" s="33">
        <f>IF((Electrical!F15-Electrical!F14)&lt;0,"0",(Electrical!F15-Electrical!F14))</f>
        <v>327</v>
      </c>
      <c r="J14" s="33">
        <f>IF((Gas!B15-Gas!B14)&lt;0,"0",(Gas!B15-Gas!B14))</f>
        <v>0</v>
      </c>
      <c r="K14" s="33">
        <f>IF((Gas!C15-Gas!C14)&lt;0,"0",(Gas!C15-Gas!C14))</f>
        <v>879</v>
      </c>
      <c r="L14" s="33">
        <f>(IF((Water!B15-Water!B14)&lt;0,"0",(Water!B15-Water!B14)))*10</f>
        <v>100</v>
      </c>
      <c r="M14" s="33">
        <f>IF((Water!C15-Water!C14)&lt;0,"0",(Water!C15-Water!C14))</f>
        <v>15</v>
      </c>
      <c r="N14" s="33">
        <f>IF((Water!D15-Water!D14)&lt;0,"0",(Water!D15-Water!D14))</f>
        <v>0</v>
      </c>
      <c r="O14" s="33">
        <f>IF((Water!E15-Water!E14)&lt;0,"0",(Water!E15-Water!E14))</f>
        <v>7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93</v>
      </c>
      <c r="Z14" s="9">
        <v>93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</v>
      </c>
      <c r="D15" s="9">
        <v>2024</v>
      </c>
      <c r="E15" s="33">
        <f>(IF((Electrical!B16-Electrical!B15)&lt;0,"0",(Electrical!B16-Electrical!B15)))*15</f>
        <v>4515</v>
      </c>
      <c r="F15" s="33">
        <f>(IF((Electrical!C16-Electrical!C15)&lt;0,"0",(Electrical!C16-Electrical!C15)))*15</f>
        <v>3315</v>
      </c>
      <c r="G15" s="33">
        <f>(IF((Electrical!D16-Electrical!D15)&lt;0,"0",(Electrical!D16-Electrical!D15)))*15</f>
        <v>3705</v>
      </c>
      <c r="H15" s="33">
        <f>IF((Electrical!E16-Electrical!E15)&lt;0,"0",(Electrical!E16-Electrical!E15))</f>
        <v>3175</v>
      </c>
      <c r="I15" s="33">
        <f>IF((Electrical!F16-Electrical!F15)&lt;0,"0",(Electrical!F16-Electrical!F15))</f>
        <v>379</v>
      </c>
      <c r="J15" s="33">
        <f>IF((Gas!B16-Gas!B15)&lt;0,"0",(Gas!B16-Gas!B15))</f>
        <v>0</v>
      </c>
      <c r="K15" s="33">
        <f>IF((Gas!C16-Gas!C15)&lt;0,"0",(Gas!C16-Gas!C15))</f>
        <v>809</v>
      </c>
      <c r="L15" s="33">
        <f>(IF((Water!B16-Water!B15)&lt;0,"0",(Water!B16-Water!B15)))*10</f>
        <v>90</v>
      </c>
      <c r="M15" s="33">
        <f>IF((Water!C16-Water!C15)&lt;0,"0",(Water!C16-Water!C15))</f>
        <v>18</v>
      </c>
      <c r="N15" s="33">
        <f>IF((Water!D16-Water!D15)&lt;0,"0",(Water!D16-Water!D15))</f>
        <v>0</v>
      </c>
      <c r="O15" s="33">
        <f>IF((Water!E16-Water!E15)&lt;0,"0",(Water!E16-Water!E15))</f>
        <v>7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93</v>
      </c>
      <c r="Z15" s="9">
        <v>93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</v>
      </c>
      <c r="D16" s="9">
        <v>2024</v>
      </c>
      <c r="E16" s="33">
        <f>(IF((Electrical!B17-Electrical!B16)&lt;0,"0",(Electrical!B17-Electrical!B16)))*15</f>
        <v>4110</v>
      </c>
      <c r="F16" s="33">
        <f>(IF((Electrical!C17-Electrical!C16)&lt;0,"0",(Electrical!C17-Electrical!C16)))*15</f>
        <v>3180</v>
      </c>
      <c r="G16" s="33">
        <f>(IF((Electrical!D17-Electrical!D16)&lt;0,"0",(Electrical!D17-Electrical!D16)))*15</f>
        <v>3435</v>
      </c>
      <c r="H16" s="33">
        <f>IF((Electrical!E17-Electrical!E16)&lt;0,"0",(Electrical!E17-Electrical!E16))</f>
        <v>2973</v>
      </c>
      <c r="I16" s="33">
        <f>IF((Electrical!F17-Electrical!F16)&lt;0,"0",(Electrical!F17-Electrical!F16))</f>
        <v>340</v>
      </c>
      <c r="J16" s="33">
        <f>IF((Gas!B17-Gas!B16)&lt;0,"0",(Gas!B17-Gas!B16))</f>
        <v>0</v>
      </c>
      <c r="K16" s="33">
        <f>IF((Gas!C17-Gas!C16)&lt;0,"0",(Gas!C17-Gas!C16))</f>
        <v>660</v>
      </c>
      <c r="L16" s="33">
        <f>(IF((Water!B17-Water!B16)&lt;0,"0",(Water!B17-Water!B16)))*10</f>
        <v>60</v>
      </c>
      <c r="M16" s="33">
        <f>IF((Water!C17-Water!C16)&lt;0,"0",(Water!C17-Water!C16))</f>
        <v>20</v>
      </c>
      <c r="N16" s="33">
        <f>IF((Water!D17-Water!D16)&lt;0,"0",(Water!D17-Water!D16))</f>
        <v>0</v>
      </c>
      <c r="O16" s="33">
        <f>IF((Water!E17-Water!E16)&lt;0,"0",(Water!E17-Water!E16))</f>
        <v>9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5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16</v>
      </c>
      <c r="Y16" s="9">
        <v>123</v>
      </c>
      <c r="Z16" s="9">
        <v>123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</v>
      </c>
      <c r="D17" s="9">
        <v>2024</v>
      </c>
      <c r="E17" s="33">
        <f>(IF((Electrical!B18-Electrical!B17)&lt;0,"0",(Electrical!B18-Electrical!B17)))*15</f>
        <v>4875</v>
      </c>
      <c r="F17" s="33">
        <f>(IF((Electrical!C18-Electrical!C17)&lt;0,"0",(Electrical!C18-Electrical!C17)))*15</f>
        <v>3390</v>
      </c>
      <c r="G17" s="33">
        <f>(IF((Electrical!D18-Electrical!D17)&lt;0,"0",(Electrical!D18-Electrical!D17)))*15</f>
        <v>3585</v>
      </c>
      <c r="H17" s="33">
        <f>IF((Electrical!E18-Electrical!E17)&lt;0,"0",(Electrical!E18-Electrical!E17))</f>
        <v>3264</v>
      </c>
      <c r="I17" s="33">
        <f>IF((Electrical!F18-Electrical!F17)&lt;0,"0",(Electrical!F18-Electrical!F17))</f>
        <v>374</v>
      </c>
      <c r="J17" s="33">
        <f>IF((Gas!B18-Gas!B17)&lt;0,"0",(Gas!B18-Gas!B17))</f>
        <v>0</v>
      </c>
      <c r="K17" s="33">
        <f>IF((Gas!C18-Gas!C17)&lt;0,"0",(Gas!C18-Gas!C17))</f>
        <v>782</v>
      </c>
      <c r="L17" s="33">
        <f>(IF((Water!B18-Water!B17)&lt;0,"0",(Water!B18-Water!B17)))*10</f>
        <v>90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102</v>
      </c>
      <c r="Z17" s="9">
        <v>102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3450</v>
      </c>
      <c r="G18" s="33">
        <f>(IF((Electrical!D19-Electrical!D18)&lt;0,"0",(Electrical!D19-Electrical!D18)))*15</f>
        <v>3585</v>
      </c>
      <c r="H18" s="33">
        <f>IF((Electrical!E19-Electrical!E18)&lt;0,"0",(Electrical!E19-Electrical!E18))</f>
        <v>3432</v>
      </c>
      <c r="I18" s="33">
        <f>IF((Electrical!F19-Electrical!F18)&lt;0,"0",(Electrical!F19-Electrical!F18))</f>
        <v>379</v>
      </c>
      <c r="J18" s="33">
        <f>IF((Gas!B19-Gas!B18)&lt;0,"0",(Gas!B19-Gas!B18))</f>
        <v>0</v>
      </c>
      <c r="K18" s="33">
        <f>IF((Gas!C19-Gas!C18)&lt;0,"0",(Gas!C19-Gas!C18))</f>
        <v>701</v>
      </c>
      <c r="L18" s="33">
        <f>(IF((Water!B19-Water!B18)&lt;0,"0",(Water!B19-Water!B18)))*10</f>
        <v>190</v>
      </c>
      <c r="M18" s="33">
        <f>IF((Water!C19-Water!C18)&lt;0,"0",(Water!C19-Water!C18))</f>
        <v>24</v>
      </c>
      <c r="N18" s="33">
        <f>IF((Water!D19-Water!D18)&lt;0,"0",(Water!D19-Water!D18))</f>
        <v>0</v>
      </c>
      <c r="O18" s="33">
        <f>IF((Water!E19-Water!E18)&lt;0,"0",(Water!E19-Water!E18))</f>
        <v>9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32</v>
      </c>
      <c r="Y18" s="9">
        <v>137</v>
      </c>
      <c r="Z18" s="9">
        <v>137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</v>
      </c>
      <c r="D19" s="9">
        <v>2024</v>
      </c>
      <c r="E19" s="33">
        <f>(IF((Electrical!B20-Electrical!B19)&lt;0,"0",(Electrical!B20-Electrical!B19)))*15</f>
        <v>5130</v>
      </c>
      <c r="F19" s="33">
        <f>(IF((Electrical!C20-Electrical!C19)&lt;0,"0",(Electrical!C20-Electrical!C19)))*15</f>
        <v>3360</v>
      </c>
      <c r="G19" s="33">
        <f>(IF((Electrical!D20-Electrical!D19)&lt;0,"0",(Electrical!D20-Electrical!D19)))*15</f>
        <v>3510</v>
      </c>
      <c r="H19" s="33">
        <f>IF((Electrical!E20-Electrical!E19)&lt;0,"0",(Electrical!E20-Electrical!E19))</f>
        <v>3435</v>
      </c>
      <c r="I19" s="33">
        <f>IF((Electrical!F20-Electrical!F19)&lt;0,"0",(Electrical!F20-Electrical!F19))</f>
        <v>368</v>
      </c>
      <c r="J19" s="33">
        <f>IF((Gas!B20-Gas!B19)&lt;0,"0",(Gas!B20-Gas!B19))</f>
        <v>0</v>
      </c>
      <c r="K19" s="33">
        <f>IF((Gas!C20-Gas!C19)&lt;0,"0",(Gas!C20-Gas!C19))</f>
        <v>666</v>
      </c>
      <c r="L19" s="33">
        <f>(IF((Water!B20-Water!B19)&lt;0,"0",(Water!B20-Water!B19)))*10</f>
        <v>160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9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8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156</v>
      </c>
      <c r="Z19" s="9">
        <v>156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</v>
      </c>
      <c r="D20" s="9">
        <v>2024</v>
      </c>
      <c r="E20" s="33">
        <f>(IF((Electrical!B21-Electrical!B20)&lt;0,"0",(Electrical!B21-Electrical!B20)))*15</f>
        <v>5280</v>
      </c>
      <c r="F20" s="33">
        <f>(IF((Electrical!C21-Electrical!C20)&lt;0,"0",(Electrical!C21-Electrical!C20)))*15</f>
        <v>3570</v>
      </c>
      <c r="G20" s="33">
        <f>(IF((Electrical!D21-Electrical!D20)&lt;0,"0",(Electrical!D21-Electrical!D20)))*15</f>
        <v>3810</v>
      </c>
      <c r="H20" s="33">
        <f>IF((Electrical!E21-Electrical!E20)&lt;0,"0",(Electrical!E21-Electrical!E20))</f>
        <v>3450</v>
      </c>
      <c r="I20" s="33">
        <f>IF((Electrical!F21-Electrical!F20)&lt;0,"0",(Electrical!F21-Electrical!F20))</f>
        <v>418</v>
      </c>
      <c r="J20" s="33">
        <f>IF((Gas!B21-Gas!B20)&lt;0,"0",(Gas!B21-Gas!B20))</f>
        <v>0</v>
      </c>
      <c r="K20" s="33">
        <f>IF((Gas!C21-Gas!C20)&lt;0,"0",(Gas!C21-Gas!C20))</f>
        <v>826</v>
      </c>
      <c r="L20" s="33">
        <f>(IF((Water!B21-Water!B20)&lt;0,"0",(Water!B21-Water!B20)))*10</f>
        <v>90</v>
      </c>
      <c r="M20" s="33">
        <f>IF((Water!C21-Water!C20)&lt;0,"0",(Water!C21-Water!C20))</f>
        <v>16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29</v>
      </c>
      <c r="Y20" s="9">
        <v>170</v>
      </c>
      <c r="Z20" s="9">
        <v>170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1</v>
      </c>
      <c r="D21" s="9">
        <v>2024</v>
      </c>
      <c r="E21" s="33">
        <f>(IF((Electrical!B22-Electrical!B21)&lt;0,"0",(Electrical!B22-Electrical!B21)))*15</f>
        <v>4950</v>
      </c>
      <c r="F21" s="33">
        <f>(IF((Electrical!C22-Electrical!C21)&lt;0,"0",(Electrical!C22-Electrical!C21)))*15</f>
        <v>3345</v>
      </c>
      <c r="G21" s="33">
        <f>(IF((Electrical!D22-Electrical!D21)&lt;0,"0",(Electrical!D22-Electrical!D21)))*15</f>
        <v>3540</v>
      </c>
      <c r="H21" s="33">
        <f>IF((Electrical!E22-Electrical!E21)&lt;0,"0",(Electrical!E22-Electrical!E21))</f>
        <v>3053</v>
      </c>
      <c r="I21" s="33">
        <f>IF((Electrical!F22-Electrical!F21)&lt;0,"0",(Electrical!F22-Electrical!F21))</f>
        <v>410</v>
      </c>
      <c r="J21" s="33">
        <f>IF((Gas!B22-Gas!B21)&lt;0,"0",(Gas!B22-Gas!B21))</f>
        <v>0</v>
      </c>
      <c r="K21" s="33">
        <f>IF((Gas!C22-Gas!C21)&lt;0,"0",(Gas!C22-Gas!C21))</f>
        <v>829</v>
      </c>
      <c r="L21" s="33">
        <f>(IF((Water!B22-Water!B21)&lt;0,"0",(Water!B22-Water!B21)))*10</f>
        <v>110</v>
      </c>
      <c r="M21" s="33">
        <f>IF((Water!C22-Water!C21)&lt;0,"0",(Water!C22-Water!C21))</f>
        <v>16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31</v>
      </c>
      <c r="Y21" s="9">
        <v>175</v>
      </c>
      <c r="Z21" s="9">
        <v>175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1</v>
      </c>
      <c r="D22" s="9">
        <v>2024</v>
      </c>
      <c r="E22" s="33">
        <f>(IF((Electrical!B23-Electrical!B22)&lt;0,"0",(Electrical!B23-Electrical!B22)))*15</f>
        <v>4695</v>
      </c>
      <c r="F22" s="33">
        <f>(IF((Electrical!C23-Electrical!C22)&lt;0,"0",(Electrical!C23-Electrical!C22)))*15</f>
        <v>3360</v>
      </c>
      <c r="G22" s="33">
        <f>(IF((Electrical!D23-Electrical!D22)&lt;0,"0",(Electrical!D23-Electrical!D22)))*15</f>
        <v>3630</v>
      </c>
      <c r="H22" s="33">
        <f>IF((Electrical!E23-Electrical!E22)&lt;0,"0",(Electrical!E23-Electrical!E22))</f>
        <v>3053</v>
      </c>
      <c r="I22" s="33">
        <f>IF((Electrical!F23-Electrical!F22)&lt;0,"0",(Electrical!F23-Electrical!F22))</f>
        <v>389</v>
      </c>
      <c r="J22" s="33">
        <f>IF((Gas!B23-Gas!B22)&lt;0,"0",(Gas!B23-Gas!B22))</f>
        <v>0</v>
      </c>
      <c r="K22" s="33">
        <f>IF((Gas!C23-Gas!C22)&lt;0,"0",(Gas!C23-Gas!C22))</f>
        <v>706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15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32</v>
      </c>
      <c r="Y22" s="9">
        <v>170</v>
      </c>
      <c r="Z22" s="9">
        <v>170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1</v>
      </c>
      <c r="D23" s="9">
        <v>2024</v>
      </c>
      <c r="E23" s="33">
        <f>(IF((Electrical!B24-Electrical!B23)&lt;0,"0",(Electrical!B24-Electrical!B23)))*15</f>
        <v>4695</v>
      </c>
      <c r="F23" s="33">
        <f>(IF((Electrical!C24-Electrical!C23)&lt;0,"0",(Electrical!C24-Electrical!C23)))*15</f>
        <v>3435</v>
      </c>
      <c r="G23" s="33">
        <f>(IF((Electrical!D24-Electrical!D23)&lt;0,"0",(Electrical!D24-Electrical!D23)))*15</f>
        <v>3720</v>
      </c>
      <c r="H23" s="33">
        <f>IF((Electrical!E24-Electrical!E23)&lt;0,"0",(Electrical!E24-Electrical!E23))</f>
        <v>3217</v>
      </c>
      <c r="I23" s="33">
        <f>IF((Electrical!F24-Electrical!F23)&lt;0,"0",(Electrical!F24-Electrical!F23))</f>
        <v>452</v>
      </c>
      <c r="J23" s="33">
        <f>IF((Gas!B24-Gas!B23)&lt;0,"0",(Gas!B24-Gas!B23))</f>
        <v>0</v>
      </c>
      <c r="K23" s="33">
        <f>IF((Gas!C24-Gas!C23)&lt;0,"0",(Gas!C24-Gas!C23))</f>
        <v>773</v>
      </c>
      <c r="L23" s="33">
        <f>(IF((Water!B24-Water!B23)&lt;0,"0",(Water!B24-Water!B23)))*10</f>
        <v>80</v>
      </c>
      <c r="M23" s="33">
        <f>IF((Water!C24-Water!C23)&lt;0,"0",(Water!C24-Water!C23))</f>
        <v>21</v>
      </c>
      <c r="N23" s="33">
        <f>IF((Water!D24-Water!D23)&lt;0,"0",(Water!D24-Water!D23))</f>
        <v>0</v>
      </c>
      <c r="O23" s="33">
        <f>IF((Water!E24-Water!E23)&lt;0,"0",(Water!E24-Water!E23))</f>
        <v>14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2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15</v>
      </c>
      <c r="Y23" s="9">
        <v>205</v>
      </c>
      <c r="Z23" s="9">
        <v>205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1</v>
      </c>
      <c r="D24" s="9">
        <v>2024</v>
      </c>
      <c r="E24" s="33">
        <f>(IF((Electrical!B25-Electrical!B24)&lt;0,"0",(Electrical!B25-Electrical!B24)))*15</f>
        <v>5295</v>
      </c>
      <c r="F24" s="33">
        <f>(IF((Electrical!C25-Electrical!C24)&lt;0,"0",(Electrical!C25-Electrical!C24)))*15</f>
        <v>3135</v>
      </c>
      <c r="G24" s="33">
        <f>(IF((Electrical!D25-Electrical!D24)&lt;0,"0",(Electrical!D25-Electrical!D24)))*15</f>
        <v>3540</v>
      </c>
      <c r="H24" s="33">
        <f>IF((Electrical!E25-Electrical!E24)&lt;0,"0",(Electrical!E25-Electrical!E24))</f>
        <v>3503</v>
      </c>
      <c r="I24" s="33">
        <f>IF((Electrical!F25-Electrical!F24)&lt;0,"0",(Electrical!F25-Electrical!F24))</f>
        <v>488</v>
      </c>
      <c r="J24" s="33">
        <f>IF((Gas!B25-Gas!B24)&lt;0,"0",(Gas!B25-Gas!B24))</f>
        <v>0</v>
      </c>
      <c r="K24" s="33">
        <f>IF((Gas!C25-Gas!C24)&lt;0,"0",(Gas!C25-Gas!C24))</f>
        <v>741</v>
      </c>
      <c r="L24" s="33">
        <f>(IF((Water!B25-Water!B24)&lt;0,"0",(Water!B25-Water!B24)))*10</f>
        <v>120</v>
      </c>
      <c r="M24" s="33">
        <f>IF((Water!C25-Water!C24)&lt;0,"0",(Water!C25-Water!C24))</f>
        <v>17</v>
      </c>
      <c r="N24" s="33">
        <f>IF((Water!D25-Water!D24)&lt;0,"0",(Water!D25-Water!D24))</f>
        <v>0</v>
      </c>
      <c r="O24" s="33">
        <f>IF((Water!E25-Water!E24)&lt;0,"0",(Water!E25-Water!E24))</f>
        <v>16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234</v>
      </c>
      <c r="Z24" s="9">
        <v>234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1</v>
      </c>
      <c r="D25" s="9">
        <v>2024</v>
      </c>
      <c r="E25" s="33">
        <f>(IF((Electrical!B26-Electrical!B25)&lt;0,"0",(Electrical!B26-Electrical!B25)))*15</f>
        <v>5400</v>
      </c>
      <c r="F25" s="33">
        <f>(IF((Electrical!C26-Electrical!C25)&lt;0,"0",(Electrical!C26-Electrical!C25)))*15</f>
        <v>3225</v>
      </c>
      <c r="G25" s="33">
        <f>(IF((Electrical!D26-Electrical!D25)&lt;0,"0",(Electrical!D26-Electrical!D25)))*15</f>
        <v>3645</v>
      </c>
      <c r="H25" s="33">
        <f>IF((Electrical!E26-Electrical!E25)&lt;0,"0",(Electrical!E26-Electrical!E25))</f>
        <v>3556</v>
      </c>
      <c r="I25" s="33">
        <f>IF((Electrical!F26-Electrical!F25)&lt;0,"0",(Electrical!F26-Electrical!F25))</f>
        <v>434</v>
      </c>
      <c r="J25" s="33">
        <f>IF((Gas!B26-Gas!B25)&lt;0,"0",(Gas!B26-Gas!B25))</f>
        <v>0</v>
      </c>
      <c r="K25" s="33">
        <f>IF((Gas!C26-Gas!C25)&lt;0,"0",(Gas!C26-Gas!C25))</f>
        <v>779</v>
      </c>
      <c r="L25" s="33">
        <f>(IF((Water!B26-Water!B25)&lt;0,"0",(Water!B26-Water!B25)))*10</f>
        <v>120</v>
      </c>
      <c r="M25" s="33">
        <f>IF((Water!C26-Water!C25)&lt;0,"0",(Water!C26-Water!C25))</f>
        <v>17</v>
      </c>
      <c r="N25" s="33">
        <f>IF((Water!D26-Water!D25)&lt;0,"0",(Water!D26-Water!D25))</f>
        <v>0</v>
      </c>
      <c r="O25" s="33">
        <f>IF((Water!E26-Water!E25)&lt;0,"0",(Water!E26-Water!E25))</f>
        <v>19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243</v>
      </c>
      <c r="Z25" s="9">
        <v>243</v>
      </c>
    </row>
    <row r="26" spans="1:26" s="12" customFormat="1" x14ac:dyDescent="0.35">
      <c r="A26" s="9" t="s">
        <v>36</v>
      </c>
      <c r="B26" s="12">
        <f>B25+1</f>
        <v>25</v>
      </c>
      <c r="C26" s="10">
        <v>1</v>
      </c>
      <c r="D26" s="9">
        <v>2024</v>
      </c>
      <c r="E26" s="33">
        <f>(IF((Electrical!B27-Electrical!B26)&lt;0,"0",(Electrical!B27-Electrical!B26)))*15</f>
        <v>5985</v>
      </c>
      <c r="F26" s="33">
        <f>(IF((Electrical!C27-Electrical!C26)&lt;0,"0",(Electrical!C27-Electrical!C26)))*15</f>
        <v>3240</v>
      </c>
      <c r="G26" s="33">
        <f>(IF((Electrical!D27-Electrical!D26)&lt;0,"0",(Electrical!D27-Electrical!D26)))*15</f>
        <v>3885</v>
      </c>
      <c r="H26" s="33">
        <f>IF((Electrical!E27-Electrical!E26)&lt;0,"0",(Electrical!E27-Electrical!E26))</f>
        <v>3476</v>
      </c>
      <c r="I26" s="33">
        <f>IF((Electrical!F27-Electrical!F26)&lt;0,"0",(Electrical!F27-Electrical!F26))</f>
        <v>479</v>
      </c>
      <c r="J26" s="33">
        <f>IF((Gas!B27-Gas!B26)&lt;0,"0",(Gas!B27-Gas!B26))</f>
        <v>0</v>
      </c>
      <c r="K26" s="33">
        <f>IF((Gas!C27-Gas!C26)&lt;0,"0",(Gas!C27-Gas!C26))</f>
        <v>824</v>
      </c>
      <c r="L26" s="33">
        <f>(IF((Water!B27-Water!B26)&lt;0,"0",(Water!B27-Water!B26)))*10</f>
        <v>120</v>
      </c>
      <c r="M26" s="33">
        <f>IF((Water!C27-Water!C26)&lt;0,"0",(Water!C27-Water!C26))</f>
        <v>25</v>
      </c>
      <c r="N26" s="33">
        <f>IF((Water!D27-Water!D26)&lt;0,"0",(Water!D27-Water!D26))</f>
        <v>0</v>
      </c>
      <c r="O26" s="33">
        <f>IF((Water!E27-Water!E26)&lt;0,"0",(Water!E27-Water!E26))</f>
        <v>20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264</v>
      </c>
      <c r="Z26" s="9">
        <v>264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1</v>
      </c>
      <c r="D27" s="9">
        <v>2024</v>
      </c>
      <c r="E27" s="33">
        <f>(IF((Electrical!B28-Electrical!B27)&lt;0,"0",(Electrical!B28-Electrical!B27)))*15</f>
        <v>5370</v>
      </c>
      <c r="F27" s="33">
        <f>(IF((Electrical!C28-Electrical!C27)&lt;0,"0",(Electrical!C28-Electrical!C27)))*15</f>
        <v>3120</v>
      </c>
      <c r="G27" s="33">
        <f>(IF((Electrical!D28-Electrical!D27)&lt;0,"0",(Electrical!D28-Electrical!D27)))*15</f>
        <v>3360</v>
      </c>
      <c r="H27" s="33">
        <f>IF((Electrical!E28-Electrical!E27)&lt;0,"0",(Electrical!E28-Electrical!E27))</f>
        <v>3599</v>
      </c>
      <c r="I27" s="33">
        <f>IF((Electrical!F28-Electrical!F27)&lt;0,"0",(Electrical!F28-Electrical!F27))</f>
        <v>497</v>
      </c>
      <c r="J27" s="33">
        <f>IF((Gas!B28-Gas!B27)&lt;0,"0",(Gas!B28-Gas!B27))</f>
        <v>0</v>
      </c>
      <c r="K27" s="33">
        <f>IF((Gas!C28-Gas!C27)&lt;0,"0",(Gas!C28-Gas!C27))</f>
        <v>855</v>
      </c>
      <c r="L27" s="33">
        <f>(IF((Water!B28-Water!B27)&lt;0,"0",(Water!B28-Water!B27)))*10</f>
        <v>140</v>
      </c>
      <c r="M27" s="33">
        <f>IF((Water!C28-Water!C27)&lt;0,"0",(Water!C28-Water!C27))</f>
        <v>13</v>
      </c>
      <c r="N27" s="33">
        <f>IF((Water!D28-Water!D27)&lt;0,"0",(Water!D28-Water!D27))</f>
        <v>0</v>
      </c>
      <c r="O27" s="33">
        <f>IF((Water!E28-Water!E27)&lt;0,"0",(Water!E28-Water!E27))</f>
        <v>16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31</v>
      </c>
      <c r="Y27" s="9">
        <v>274</v>
      </c>
      <c r="Z27" s="9">
        <v>274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1</v>
      </c>
      <c r="D28" s="9">
        <v>2024</v>
      </c>
      <c r="E28" s="33">
        <f>(IF((Electrical!B29-Electrical!B28)&lt;0,"0",(Electrical!B29-Electrical!B28)))*15</f>
        <v>6000</v>
      </c>
      <c r="F28" s="33">
        <f>(IF((Electrical!C29-Electrical!C28)&lt;0,"0",(Electrical!C29-Electrical!C28)))*15</f>
        <v>3660</v>
      </c>
      <c r="G28" s="33">
        <f>(IF((Electrical!D29-Electrical!D28)&lt;0,"0",(Electrical!D29-Electrical!D28)))*15</f>
        <v>3840</v>
      </c>
      <c r="H28" s="33">
        <f>IF((Electrical!E29-Electrical!E28)&lt;0,"0",(Electrical!E29-Electrical!E28))</f>
        <v>4066</v>
      </c>
      <c r="I28" s="33">
        <f>IF((Electrical!F29-Electrical!F28)&lt;0,"0",(Electrical!F29-Electrical!F28))</f>
        <v>521</v>
      </c>
      <c r="J28" s="33">
        <f>IF((Gas!B29-Gas!B28)&lt;0,"0",(Gas!B29-Gas!B28))</f>
        <v>0</v>
      </c>
      <c r="K28" s="33">
        <f>IF((Gas!C29-Gas!C28)&lt;0,"0",(Gas!C29-Gas!C28))</f>
        <v>739</v>
      </c>
      <c r="L28" s="33">
        <f>(IF((Water!B29-Water!B28)&lt;0,"0",(Water!B29-Water!B28)))*10</f>
        <v>140</v>
      </c>
      <c r="M28" s="33">
        <f>IF((Water!C29-Water!C28)&lt;0,"0",(Water!C29-Water!C28))</f>
        <v>22</v>
      </c>
      <c r="N28" s="33">
        <f>IF((Water!D29-Water!D28)&lt;0,"0",(Water!D29-Water!D28))</f>
        <v>0</v>
      </c>
      <c r="O28" s="33">
        <f>IF((Water!E29-Water!E28)&lt;0,"0",(Water!E29-Water!E28))</f>
        <v>30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33</v>
      </c>
      <c r="Y28" s="9">
        <v>245</v>
      </c>
      <c r="Z28" s="9">
        <v>245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1</v>
      </c>
      <c r="D29" s="9">
        <v>2024</v>
      </c>
      <c r="E29" s="33">
        <f>(IF((Electrical!B30-Electrical!B29)&lt;0,"0",(Electrical!B30-Electrical!B29)))*15</f>
        <v>4800</v>
      </c>
      <c r="F29" s="33">
        <f>(IF((Electrical!C30-Electrical!C29)&lt;0,"0",(Electrical!C30-Electrical!C29)))*15</f>
        <v>3405</v>
      </c>
      <c r="G29" s="33">
        <f>(IF((Electrical!D30-Electrical!D29)&lt;0,"0",(Electrical!D30-Electrical!D29)))*15</f>
        <v>3615</v>
      </c>
      <c r="H29" s="33">
        <f>IF((Electrical!E30-Electrical!E29)&lt;0,"0",(Electrical!E30-Electrical!E29))</f>
        <v>3459</v>
      </c>
      <c r="I29" s="33">
        <f>IF((Electrical!F30-Electrical!F29)&lt;0,"0",(Electrical!F30-Electrical!F29))</f>
        <v>454</v>
      </c>
      <c r="J29" s="33">
        <f>IF((Gas!B30-Gas!B29)&lt;0,"0",(Gas!B30-Gas!B29))</f>
        <v>0</v>
      </c>
      <c r="K29" s="33">
        <f>IF((Gas!C30-Gas!C29)&lt;0,"0",(Gas!C30-Gas!C29))</f>
        <v>777</v>
      </c>
      <c r="L29" s="33">
        <f>(IF((Water!B30-Water!B29)&lt;0,"0",(Water!B30-Water!B29)))*10</f>
        <v>130</v>
      </c>
      <c r="M29" s="33">
        <f>IF((Water!C30-Water!C29)&lt;0,"0",(Water!C30-Water!C29))</f>
        <v>20</v>
      </c>
      <c r="N29" s="33">
        <f>IF((Water!D30-Water!D29)&lt;0,"0",(Water!D30-Water!D29))</f>
        <v>0</v>
      </c>
      <c r="O29" s="33">
        <f>IF((Water!E30-Water!E29)&lt;0,"0",(Water!E30-Water!E29))</f>
        <v>18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48</v>
      </c>
      <c r="Y29" s="9">
        <v>204</v>
      </c>
      <c r="Z29" s="9">
        <v>204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1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 t="str">
        <f>IF((Electrical!E31-Electrical!E30)&lt;0,"0",(Electrical!E31-Electrical!E30))</f>
        <v>0</v>
      </c>
      <c r="I30" s="33" t="str">
        <f>IF((Electrical!F31-Electrical!F30)&lt;0,"0",(Electrical!F31-Electrical!F30))</f>
        <v>0</v>
      </c>
      <c r="J30" s="33">
        <f>IF((Gas!B31-Gas!B30)&lt;0,"0",(Gas!B31-Gas!B30))</f>
        <v>0</v>
      </c>
      <c r="K30" s="33" t="str">
        <f>IF((Gas!C31-Gas!C30)&lt;0,"0",(Gas!C31-Gas!C30))</f>
        <v>0</v>
      </c>
      <c r="L30" s="33">
        <f>(IF((Water!B31-Water!B30)&lt;0,"0",(Water!B31-Water!B30)))*10</f>
        <v>0</v>
      </c>
      <c r="M30" s="33" t="str">
        <f>IF((Water!C31-Water!C30)&lt;0,"0",(Water!C31-Water!C30))</f>
        <v>0</v>
      </c>
      <c r="N30" s="33">
        <f>IF((Water!D31-Water!D30)&lt;0,"0",(Water!D31-Water!D30))</f>
        <v>0</v>
      </c>
      <c r="O30" s="33" t="str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 t="str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 t="str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1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abSelected="1" topLeftCell="A7" zoomScale="70" zoomScaleNormal="70" workbookViewId="0">
      <selection activeCell="M20" sqref="M20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97481</v>
      </c>
      <c r="C2" s="28">
        <v>74334</v>
      </c>
      <c r="D2" s="46">
        <v>74303</v>
      </c>
      <c r="E2" s="47">
        <v>1020180</v>
      </c>
      <c r="F2" s="46">
        <v>114312</v>
      </c>
      <c r="G2" s="5" t="s">
        <v>40</v>
      </c>
    </row>
    <row r="3" spans="1:7" ht="15.75" customHeight="1" x14ac:dyDescent="0.35">
      <c r="A3" s="7">
        <v>1</v>
      </c>
      <c r="B3" s="48">
        <v>97789</v>
      </c>
      <c r="C3" s="48">
        <v>74562</v>
      </c>
      <c r="D3" s="45">
        <v>74549</v>
      </c>
      <c r="E3" s="45">
        <v>1023742</v>
      </c>
      <c r="F3" s="45">
        <v>114769</v>
      </c>
      <c r="G3" s="27" t="s">
        <v>41</v>
      </c>
    </row>
    <row r="4" spans="1:7" x14ac:dyDescent="0.35">
      <c r="A4" s="7">
        <v>2</v>
      </c>
      <c r="B4" s="28">
        <v>98160</v>
      </c>
      <c r="C4" s="28">
        <v>74742</v>
      </c>
      <c r="D4" s="46">
        <v>74784</v>
      </c>
      <c r="E4" s="45">
        <v>1027070</v>
      </c>
      <c r="F4" s="45">
        <v>115131</v>
      </c>
      <c r="G4" s="27" t="s">
        <v>41</v>
      </c>
    </row>
    <row r="5" spans="1:7" x14ac:dyDescent="0.35">
      <c r="A5" s="7">
        <v>3</v>
      </c>
      <c r="B5" s="28">
        <v>98535</v>
      </c>
      <c r="C5" s="28">
        <v>74911</v>
      </c>
      <c r="D5" s="45">
        <v>75017</v>
      </c>
      <c r="E5" s="45">
        <v>1030370</v>
      </c>
      <c r="F5" s="45">
        <v>115431</v>
      </c>
      <c r="G5" s="27" t="s">
        <v>42</v>
      </c>
    </row>
    <row r="6" spans="1:7" x14ac:dyDescent="0.35">
      <c r="A6" s="7">
        <v>4</v>
      </c>
      <c r="B6" s="28">
        <v>98811</v>
      </c>
      <c r="C6" s="28">
        <v>75024</v>
      </c>
      <c r="D6" s="45">
        <v>75246</v>
      </c>
      <c r="E6" s="45">
        <v>1033406</v>
      </c>
      <c r="F6" s="45">
        <v>115800</v>
      </c>
      <c r="G6" s="5" t="s">
        <v>41</v>
      </c>
    </row>
    <row r="7" spans="1:7" x14ac:dyDescent="0.35">
      <c r="A7" s="7">
        <v>5</v>
      </c>
      <c r="B7" s="28">
        <v>99286</v>
      </c>
      <c r="C7" s="28">
        <v>75176</v>
      </c>
      <c r="D7" s="45">
        <v>75482</v>
      </c>
      <c r="E7" s="45">
        <v>1036107</v>
      </c>
      <c r="F7" s="45">
        <v>116189</v>
      </c>
      <c r="G7" s="5" t="s">
        <v>41</v>
      </c>
    </row>
    <row r="8" spans="1:7" x14ac:dyDescent="0.35">
      <c r="A8" s="7">
        <v>6</v>
      </c>
      <c r="B8" s="28">
        <v>99673</v>
      </c>
      <c r="C8" s="28">
        <v>75303</v>
      </c>
      <c r="D8" s="45">
        <v>75717</v>
      </c>
      <c r="E8" s="45">
        <v>1039158</v>
      </c>
      <c r="F8" s="45">
        <v>116478</v>
      </c>
      <c r="G8" s="5" t="s">
        <v>43</v>
      </c>
    </row>
    <row r="9" spans="1:7" x14ac:dyDescent="0.35">
      <c r="A9" s="7">
        <v>7</v>
      </c>
      <c r="B9" s="28">
        <v>100004</v>
      </c>
      <c r="C9" s="28">
        <v>75418</v>
      </c>
      <c r="D9" s="45">
        <v>75948</v>
      </c>
      <c r="E9" s="45">
        <v>1041551</v>
      </c>
      <c r="F9" s="45">
        <v>116806</v>
      </c>
      <c r="G9" s="5" t="s">
        <v>44</v>
      </c>
    </row>
    <row r="10" spans="1:7" x14ac:dyDescent="0.35">
      <c r="A10" s="7">
        <v>8</v>
      </c>
      <c r="B10" s="28">
        <v>100298</v>
      </c>
      <c r="C10" s="28">
        <v>75583</v>
      </c>
      <c r="D10" s="45">
        <v>76181</v>
      </c>
      <c r="E10" s="45">
        <v>1044185</v>
      </c>
      <c r="F10" s="45">
        <v>117182</v>
      </c>
      <c r="G10" s="5" t="s">
        <v>45</v>
      </c>
    </row>
    <row r="11" spans="1:7" x14ac:dyDescent="0.35">
      <c r="A11" s="7">
        <v>9</v>
      </c>
      <c r="B11" s="28">
        <v>100601</v>
      </c>
      <c r="C11" s="28">
        <v>75804</v>
      </c>
      <c r="D11" s="45">
        <v>76429</v>
      </c>
      <c r="E11" s="45">
        <v>1047439</v>
      </c>
      <c r="F11" s="45">
        <v>117521</v>
      </c>
      <c r="G11" s="5" t="s">
        <v>46</v>
      </c>
    </row>
    <row r="12" spans="1:7" x14ac:dyDescent="0.35">
      <c r="A12" s="7">
        <v>10</v>
      </c>
      <c r="B12" s="28">
        <v>100894</v>
      </c>
      <c r="C12" s="28">
        <v>75998</v>
      </c>
      <c r="D12" s="45">
        <v>76648</v>
      </c>
      <c r="E12" s="45">
        <v>1050397</v>
      </c>
      <c r="F12" s="45">
        <v>117842</v>
      </c>
      <c r="G12" s="5" t="s">
        <v>47</v>
      </c>
    </row>
    <row r="13" spans="1:7" x14ac:dyDescent="0.35">
      <c r="A13" s="7">
        <v>11</v>
      </c>
      <c r="B13" s="28">
        <v>101215</v>
      </c>
      <c r="C13" s="28">
        <v>76211</v>
      </c>
      <c r="D13" s="45">
        <v>76893</v>
      </c>
      <c r="E13" s="45">
        <v>1053739</v>
      </c>
      <c r="F13" s="45">
        <v>118231</v>
      </c>
      <c r="G13" s="5" t="s">
        <v>49</v>
      </c>
    </row>
    <row r="14" spans="1:7" x14ac:dyDescent="0.35">
      <c r="A14" s="7">
        <v>12</v>
      </c>
      <c r="B14" s="28">
        <v>101532</v>
      </c>
      <c r="C14" s="28">
        <v>76410</v>
      </c>
      <c r="D14" s="45">
        <v>77119</v>
      </c>
      <c r="E14" s="45">
        <v>1057049</v>
      </c>
      <c r="F14" s="45">
        <v>118594</v>
      </c>
      <c r="G14" s="5" t="s">
        <v>50</v>
      </c>
    </row>
    <row r="15" spans="1:7" x14ac:dyDescent="0.35">
      <c r="A15" s="7">
        <v>13</v>
      </c>
      <c r="B15" s="28">
        <v>101860</v>
      </c>
      <c r="C15" s="28">
        <v>76618</v>
      </c>
      <c r="D15" s="45">
        <v>77366</v>
      </c>
      <c r="E15" s="45">
        <v>1059947</v>
      </c>
      <c r="F15" s="45">
        <v>118921</v>
      </c>
      <c r="G15" s="5" t="s">
        <v>45</v>
      </c>
    </row>
    <row r="16" spans="1:7" x14ac:dyDescent="0.35">
      <c r="A16" s="7">
        <v>14</v>
      </c>
      <c r="B16" s="28">
        <v>102161</v>
      </c>
      <c r="C16" s="28">
        <v>76839</v>
      </c>
      <c r="D16" s="45">
        <v>77613</v>
      </c>
      <c r="E16" s="45">
        <v>1063122</v>
      </c>
      <c r="F16" s="45">
        <v>119300</v>
      </c>
      <c r="G16" s="5" t="s">
        <v>43</v>
      </c>
    </row>
    <row r="17" spans="1:7" x14ac:dyDescent="0.35">
      <c r="A17" s="7">
        <v>15</v>
      </c>
      <c r="B17" s="28">
        <v>102435</v>
      </c>
      <c r="C17" s="28">
        <v>77051</v>
      </c>
      <c r="D17" s="45">
        <v>77842</v>
      </c>
      <c r="E17" s="45">
        <v>1066095</v>
      </c>
      <c r="F17" s="45">
        <v>119640</v>
      </c>
      <c r="G17" s="5" t="s">
        <v>41</v>
      </c>
    </row>
    <row r="18" spans="1:7" x14ac:dyDescent="0.35">
      <c r="A18" s="7">
        <v>16</v>
      </c>
      <c r="B18" s="28">
        <v>102760</v>
      </c>
      <c r="C18" s="28">
        <v>77277</v>
      </c>
      <c r="D18" s="45">
        <v>78081</v>
      </c>
      <c r="E18" s="45">
        <v>1069359</v>
      </c>
      <c r="F18" s="45">
        <v>120014</v>
      </c>
      <c r="G18" s="5" t="s">
        <v>41</v>
      </c>
    </row>
    <row r="19" spans="1:7" x14ac:dyDescent="0.35">
      <c r="A19" s="7">
        <v>17</v>
      </c>
      <c r="B19" s="28">
        <v>103090</v>
      </c>
      <c r="C19" s="28">
        <v>77507</v>
      </c>
      <c r="D19" s="45">
        <v>78320</v>
      </c>
      <c r="E19" s="45">
        <v>1072791</v>
      </c>
      <c r="F19" s="45">
        <v>120393</v>
      </c>
      <c r="G19" s="5" t="s">
        <v>41</v>
      </c>
    </row>
    <row r="20" spans="1:7" x14ac:dyDescent="0.35">
      <c r="A20" s="7">
        <v>18</v>
      </c>
      <c r="B20" s="28">
        <v>103432</v>
      </c>
      <c r="C20" s="28">
        <v>77731</v>
      </c>
      <c r="D20" s="45">
        <v>78554</v>
      </c>
      <c r="E20" s="45">
        <v>1076226</v>
      </c>
      <c r="F20" s="45">
        <v>120761</v>
      </c>
      <c r="G20" s="5" t="s">
        <v>41</v>
      </c>
    </row>
    <row r="21" spans="1:7" x14ac:dyDescent="0.35">
      <c r="A21" s="7">
        <v>19</v>
      </c>
      <c r="B21" s="28">
        <v>103784</v>
      </c>
      <c r="C21" s="28">
        <v>77969</v>
      </c>
      <c r="D21" s="45">
        <v>78808</v>
      </c>
      <c r="E21" s="45">
        <v>1079676</v>
      </c>
      <c r="F21" s="45">
        <v>121179</v>
      </c>
      <c r="G21" s="5" t="s">
        <v>51</v>
      </c>
    </row>
    <row r="22" spans="1:7" x14ac:dyDescent="0.35">
      <c r="A22" s="7">
        <v>20</v>
      </c>
      <c r="B22" s="28">
        <v>104114</v>
      </c>
      <c r="C22" s="28">
        <v>78192</v>
      </c>
      <c r="D22" s="45">
        <v>79044</v>
      </c>
      <c r="E22" s="45">
        <v>1082729</v>
      </c>
      <c r="F22" s="45">
        <v>121589</v>
      </c>
      <c r="G22" s="27" t="s">
        <v>52</v>
      </c>
    </row>
    <row r="23" spans="1:7" x14ac:dyDescent="0.35">
      <c r="A23" s="7">
        <v>21</v>
      </c>
      <c r="B23" s="28">
        <v>104427</v>
      </c>
      <c r="C23" s="28">
        <v>78416</v>
      </c>
      <c r="D23" s="45">
        <v>79286</v>
      </c>
      <c r="E23" s="45">
        <v>1085782</v>
      </c>
      <c r="F23" s="45">
        <v>121978</v>
      </c>
      <c r="G23" s="27" t="s">
        <v>53</v>
      </c>
    </row>
    <row r="24" spans="1:7" x14ac:dyDescent="0.35">
      <c r="A24" s="7">
        <v>22</v>
      </c>
      <c r="B24" s="28">
        <v>104740</v>
      </c>
      <c r="C24" s="28">
        <v>78645</v>
      </c>
      <c r="D24" s="45">
        <v>79534</v>
      </c>
      <c r="E24" s="45">
        <v>1088999</v>
      </c>
      <c r="F24" s="45">
        <v>122430</v>
      </c>
      <c r="G24" s="5" t="s">
        <v>54</v>
      </c>
    </row>
    <row r="25" spans="1:7" x14ac:dyDescent="0.35">
      <c r="A25" s="7">
        <v>23</v>
      </c>
      <c r="B25" s="28">
        <v>105093</v>
      </c>
      <c r="C25" s="28">
        <v>78854</v>
      </c>
      <c r="D25" s="45">
        <v>79770</v>
      </c>
      <c r="E25" s="45">
        <v>1092502</v>
      </c>
      <c r="F25" s="45">
        <v>122918</v>
      </c>
      <c r="G25" s="5" t="s">
        <v>54</v>
      </c>
    </row>
    <row r="26" spans="1:7" x14ac:dyDescent="0.35">
      <c r="A26" s="7">
        <v>24</v>
      </c>
      <c r="B26" s="28">
        <v>105453</v>
      </c>
      <c r="C26" s="28">
        <v>79069</v>
      </c>
      <c r="D26" s="45">
        <v>80013</v>
      </c>
      <c r="E26" s="45">
        <v>1096058</v>
      </c>
      <c r="F26" s="45">
        <v>123352</v>
      </c>
      <c r="G26" s="27" t="s">
        <v>40</v>
      </c>
    </row>
    <row r="27" spans="1:7" x14ac:dyDescent="0.35">
      <c r="A27" s="7">
        <v>25</v>
      </c>
      <c r="B27" s="28">
        <v>105852</v>
      </c>
      <c r="C27" s="28">
        <v>79285</v>
      </c>
      <c r="D27" s="45">
        <v>80272</v>
      </c>
      <c r="E27" s="45">
        <v>1099534</v>
      </c>
      <c r="F27" s="45">
        <v>123831</v>
      </c>
      <c r="G27" s="27" t="s">
        <v>55</v>
      </c>
    </row>
    <row r="28" spans="1:7" x14ac:dyDescent="0.35">
      <c r="A28" s="7">
        <v>26</v>
      </c>
      <c r="B28" s="28">
        <v>106210</v>
      </c>
      <c r="C28" s="28">
        <v>79493</v>
      </c>
      <c r="D28" s="45">
        <v>80496</v>
      </c>
      <c r="E28" s="45">
        <v>1103133</v>
      </c>
      <c r="F28" s="45">
        <v>124328</v>
      </c>
      <c r="G28" s="27" t="s">
        <v>45</v>
      </c>
    </row>
    <row r="29" spans="1:7" x14ac:dyDescent="0.35">
      <c r="A29" s="7">
        <v>27</v>
      </c>
      <c r="B29" s="28">
        <v>106610</v>
      </c>
      <c r="C29" s="28">
        <v>79737</v>
      </c>
      <c r="D29" s="45">
        <v>80752</v>
      </c>
      <c r="E29" s="45">
        <v>1107199</v>
      </c>
      <c r="F29" s="45">
        <v>124849</v>
      </c>
      <c r="G29" s="5" t="s">
        <v>43</v>
      </c>
    </row>
    <row r="30" spans="1:7" x14ac:dyDescent="0.35">
      <c r="A30" s="7">
        <v>28</v>
      </c>
      <c r="B30" s="28">
        <v>106930</v>
      </c>
      <c r="C30" s="28">
        <v>79964</v>
      </c>
      <c r="D30" s="45">
        <v>80993</v>
      </c>
      <c r="E30" s="45">
        <v>1110658</v>
      </c>
      <c r="F30" s="45">
        <v>125303</v>
      </c>
      <c r="G30" s="5" t="s">
        <v>56</v>
      </c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3" zoomScale="85" zoomScaleNormal="85" workbookViewId="0">
      <selection activeCell="H30" sqref="H30:I30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158609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159341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160004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160727</v>
      </c>
      <c r="D5" s="27" t="s">
        <v>42</v>
      </c>
    </row>
    <row r="6" spans="1:4" x14ac:dyDescent="0.35">
      <c r="A6" s="4">
        <v>4</v>
      </c>
      <c r="B6" s="5">
        <v>0</v>
      </c>
      <c r="C6" s="5">
        <v>161443</v>
      </c>
      <c r="D6" s="5" t="s">
        <v>41</v>
      </c>
    </row>
    <row r="7" spans="1:4" x14ac:dyDescent="0.35">
      <c r="A7" s="4">
        <v>5</v>
      </c>
      <c r="B7" s="5">
        <v>0</v>
      </c>
      <c r="C7" s="5">
        <v>162075</v>
      </c>
      <c r="D7" s="5" t="s">
        <v>41</v>
      </c>
    </row>
    <row r="8" spans="1:4" x14ac:dyDescent="0.35">
      <c r="A8" s="4">
        <v>6</v>
      </c>
      <c r="B8" s="5">
        <v>0</v>
      </c>
      <c r="C8" s="5">
        <v>162717</v>
      </c>
      <c r="D8" s="5" t="s">
        <v>43</v>
      </c>
    </row>
    <row r="9" spans="1:4" x14ac:dyDescent="0.35">
      <c r="A9" s="4">
        <v>7</v>
      </c>
      <c r="B9" s="5">
        <v>0</v>
      </c>
      <c r="C9" s="5">
        <v>163366</v>
      </c>
      <c r="D9" s="5" t="s">
        <v>44</v>
      </c>
    </row>
    <row r="10" spans="1:4" x14ac:dyDescent="0.35">
      <c r="A10" s="4">
        <v>8</v>
      </c>
      <c r="B10" s="5">
        <v>0</v>
      </c>
      <c r="C10" s="5">
        <v>164019</v>
      </c>
      <c r="D10" s="5" t="s">
        <v>45</v>
      </c>
    </row>
    <row r="11" spans="1:4" x14ac:dyDescent="0.35">
      <c r="A11" s="4">
        <v>9</v>
      </c>
      <c r="B11" s="5">
        <v>0</v>
      </c>
      <c r="C11" s="5">
        <v>164773</v>
      </c>
      <c r="D11" s="5" t="s">
        <v>46</v>
      </c>
    </row>
    <row r="12" spans="1:4" x14ac:dyDescent="0.35">
      <c r="A12" s="4">
        <v>10</v>
      </c>
      <c r="B12" s="5">
        <v>0</v>
      </c>
      <c r="C12" s="5">
        <v>165345</v>
      </c>
      <c r="D12" s="5" t="s">
        <v>47</v>
      </c>
    </row>
    <row r="13" spans="1:4" x14ac:dyDescent="0.35">
      <c r="A13" s="4">
        <v>11</v>
      </c>
      <c r="B13" s="5">
        <v>0</v>
      </c>
      <c r="C13" s="5">
        <v>166066</v>
      </c>
      <c r="D13" s="5" t="s">
        <v>49</v>
      </c>
    </row>
    <row r="14" spans="1:4" x14ac:dyDescent="0.35">
      <c r="A14" s="4">
        <v>12</v>
      </c>
      <c r="B14" s="5">
        <v>0</v>
      </c>
      <c r="C14" s="5">
        <v>166764</v>
      </c>
      <c r="D14" s="5" t="s">
        <v>50</v>
      </c>
    </row>
    <row r="15" spans="1:4" x14ac:dyDescent="0.35">
      <c r="A15" s="4">
        <v>13</v>
      </c>
      <c r="B15" s="5">
        <v>0</v>
      </c>
      <c r="C15" s="5">
        <v>167643</v>
      </c>
      <c r="D15" s="5" t="s">
        <v>45</v>
      </c>
    </row>
    <row r="16" spans="1:4" x14ac:dyDescent="0.35">
      <c r="A16" s="4">
        <v>14</v>
      </c>
      <c r="B16" s="5">
        <v>0</v>
      </c>
      <c r="C16" s="5">
        <v>168452</v>
      </c>
      <c r="D16" s="5" t="s">
        <v>43</v>
      </c>
    </row>
    <row r="17" spans="1:4" x14ac:dyDescent="0.35">
      <c r="A17" s="4">
        <v>15</v>
      </c>
      <c r="B17" s="5">
        <v>0</v>
      </c>
      <c r="C17" s="5">
        <v>169112</v>
      </c>
      <c r="D17" s="5" t="s">
        <v>41</v>
      </c>
    </row>
    <row r="18" spans="1:4" x14ac:dyDescent="0.35">
      <c r="A18" s="4">
        <v>16</v>
      </c>
      <c r="B18" s="5">
        <v>0</v>
      </c>
      <c r="C18" s="5">
        <v>169894</v>
      </c>
      <c r="D18" s="5" t="s">
        <v>41</v>
      </c>
    </row>
    <row r="19" spans="1:4" x14ac:dyDescent="0.35">
      <c r="A19" s="4">
        <v>17</v>
      </c>
      <c r="B19" s="5">
        <v>0</v>
      </c>
      <c r="C19" s="5">
        <v>170595</v>
      </c>
      <c r="D19" s="5" t="s">
        <v>41</v>
      </c>
    </row>
    <row r="20" spans="1:4" x14ac:dyDescent="0.35">
      <c r="A20" s="4">
        <v>18</v>
      </c>
      <c r="B20" s="5">
        <v>0</v>
      </c>
      <c r="C20" s="5">
        <v>171261</v>
      </c>
      <c r="D20" s="5" t="s">
        <v>41</v>
      </c>
    </row>
    <row r="21" spans="1:4" x14ac:dyDescent="0.35">
      <c r="A21" s="4">
        <v>19</v>
      </c>
      <c r="B21" s="5">
        <v>0</v>
      </c>
      <c r="C21" s="5">
        <v>172087</v>
      </c>
      <c r="D21" s="5" t="s">
        <v>51</v>
      </c>
    </row>
    <row r="22" spans="1:4" ht="15.5" x14ac:dyDescent="0.35">
      <c r="A22" s="4">
        <v>20</v>
      </c>
      <c r="B22" s="5">
        <v>0</v>
      </c>
      <c r="C22" s="5">
        <v>172916</v>
      </c>
      <c r="D22" s="27" t="s">
        <v>52</v>
      </c>
    </row>
    <row r="23" spans="1:4" ht="15.5" x14ac:dyDescent="0.35">
      <c r="A23" s="4">
        <v>21</v>
      </c>
      <c r="B23" s="5">
        <v>0</v>
      </c>
      <c r="C23" s="5">
        <v>173622</v>
      </c>
      <c r="D23" s="27" t="s">
        <v>53</v>
      </c>
    </row>
    <row r="24" spans="1:4" x14ac:dyDescent="0.35">
      <c r="A24" s="4">
        <v>22</v>
      </c>
      <c r="B24" s="5">
        <v>0</v>
      </c>
      <c r="C24" s="5">
        <v>174395</v>
      </c>
      <c r="D24" s="5" t="s">
        <v>54</v>
      </c>
    </row>
    <row r="25" spans="1:4" x14ac:dyDescent="0.35">
      <c r="A25" s="4">
        <v>23</v>
      </c>
      <c r="B25" s="5">
        <v>0</v>
      </c>
      <c r="C25" s="5">
        <v>175136</v>
      </c>
      <c r="D25" s="5" t="s">
        <v>54</v>
      </c>
    </row>
    <row r="26" spans="1:4" ht="15.5" x14ac:dyDescent="0.35">
      <c r="A26" s="4">
        <v>24</v>
      </c>
      <c r="B26" s="5">
        <v>0</v>
      </c>
      <c r="C26" s="5">
        <v>175915</v>
      </c>
      <c r="D26" s="27" t="s">
        <v>40</v>
      </c>
    </row>
    <row r="27" spans="1:4" ht="15.5" x14ac:dyDescent="0.35">
      <c r="A27" s="4">
        <v>25</v>
      </c>
      <c r="B27" s="5">
        <v>0</v>
      </c>
      <c r="C27" s="5">
        <v>176739</v>
      </c>
      <c r="D27" s="27" t="s">
        <v>55</v>
      </c>
    </row>
    <row r="28" spans="1:4" ht="15.5" x14ac:dyDescent="0.35">
      <c r="A28" s="4">
        <v>26</v>
      </c>
      <c r="B28" s="5">
        <v>0</v>
      </c>
      <c r="C28" s="5">
        <v>177594</v>
      </c>
      <c r="D28" s="27" t="s">
        <v>45</v>
      </c>
    </row>
    <row r="29" spans="1:4" x14ac:dyDescent="0.35">
      <c r="A29" s="4">
        <v>27</v>
      </c>
      <c r="B29" s="5">
        <v>0</v>
      </c>
      <c r="C29" s="5">
        <v>178333</v>
      </c>
      <c r="D29" s="5" t="s">
        <v>43</v>
      </c>
    </row>
    <row r="30" spans="1:4" x14ac:dyDescent="0.35">
      <c r="A30" s="4">
        <v>28</v>
      </c>
      <c r="B30" s="5">
        <v>0</v>
      </c>
      <c r="C30" s="5">
        <v>179110</v>
      </c>
      <c r="D30" s="5" t="s">
        <v>56</v>
      </c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F13" zoomScale="85" zoomScaleNormal="85" workbookViewId="0">
      <selection activeCell="Q27" sqref="Q2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2611</v>
      </c>
      <c r="C2" s="5">
        <v>9100</v>
      </c>
      <c r="D2" s="5">
        <v>0</v>
      </c>
      <c r="E2" s="5">
        <v>2097</v>
      </c>
      <c r="F2" s="5">
        <v>0</v>
      </c>
      <c r="G2" s="5">
        <v>0</v>
      </c>
      <c r="H2" s="5">
        <v>0</v>
      </c>
      <c r="I2" s="5">
        <v>0</v>
      </c>
      <c r="J2" s="5">
        <v>264</v>
      </c>
      <c r="K2" s="5">
        <v>0</v>
      </c>
      <c r="L2" s="5">
        <v>0</v>
      </c>
      <c r="M2" s="5">
        <v>0</v>
      </c>
      <c r="N2" s="5">
        <v>10371</v>
      </c>
      <c r="O2" s="5" t="s">
        <v>40</v>
      </c>
    </row>
    <row r="3" spans="1:15" ht="15.5" x14ac:dyDescent="0.35">
      <c r="A3" s="4">
        <v>1</v>
      </c>
      <c r="B3" s="5">
        <v>2621</v>
      </c>
      <c r="C3" s="5">
        <v>9116</v>
      </c>
      <c r="D3" s="5">
        <v>0</v>
      </c>
      <c r="E3" s="5">
        <v>2106</v>
      </c>
      <c r="F3" s="5">
        <v>0</v>
      </c>
      <c r="G3" s="5">
        <v>0</v>
      </c>
      <c r="H3" s="5">
        <v>0</v>
      </c>
      <c r="I3" s="5">
        <v>0</v>
      </c>
      <c r="J3" s="5">
        <v>264</v>
      </c>
      <c r="K3" s="5">
        <v>0</v>
      </c>
      <c r="L3" s="5">
        <v>0</v>
      </c>
      <c r="M3" s="5">
        <v>0</v>
      </c>
      <c r="N3" s="5">
        <v>10402</v>
      </c>
      <c r="O3" s="27" t="s">
        <v>41</v>
      </c>
    </row>
    <row r="4" spans="1:15" ht="15.5" x14ac:dyDescent="0.35">
      <c r="A4" s="4">
        <v>2</v>
      </c>
      <c r="B4" s="5">
        <v>2630</v>
      </c>
      <c r="C4" s="5">
        <v>9133</v>
      </c>
      <c r="D4" s="5">
        <v>0</v>
      </c>
      <c r="E4" s="5">
        <v>2125</v>
      </c>
      <c r="F4" s="5">
        <v>0</v>
      </c>
      <c r="G4" s="5">
        <v>0</v>
      </c>
      <c r="H4" s="5">
        <v>0</v>
      </c>
      <c r="I4" s="5">
        <v>0</v>
      </c>
      <c r="J4" s="5">
        <v>264</v>
      </c>
      <c r="K4" s="5">
        <v>0</v>
      </c>
      <c r="L4" s="5">
        <v>0</v>
      </c>
      <c r="M4" s="5">
        <v>0</v>
      </c>
      <c r="N4" s="5">
        <v>10434</v>
      </c>
      <c r="O4" s="27" t="s">
        <v>41</v>
      </c>
    </row>
    <row r="5" spans="1:15" ht="15.5" x14ac:dyDescent="0.35">
      <c r="A5" s="4">
        <v>3</v>
      </c>
      <c r="B5" s="5">
        <v>2638</v>
      </c>
      <c r="C5" s="5">
        <v>9154</v>
      </c>
      <c r="D5" s="5">
        <v>0</v>
      </c>
      <c r="E5" s="5">
        <v>2132</v>
      </c>
      <c r="F5" s="5">
        <v>0</v>
      </c>
      <c r="G5" s="5">
        <v>0</v>
      </c>
      <c r="H5" s="5">
        <v>0</v>
      </c>
      <c r="I5" s="5">
        <v>0</v>
      </c>
      <c r="J5" s="5">
        <v>264</v>
      </c>
      <c r="K5" s="5">
        <v>0</v>
      </c>
      <c r="L5" s="5">
        <v>0</v>
      </c>
      <c r="M5" s="5">
        <v>0</v>
      </c>
      <c r="N5" s="5">
        <v>10461</v>
      </c>
      <c r="O5" s="27" t="s">
        <v>42</v>
      </c>
    </row>
    <row r="6" spans="1:15" x14ac:dyDescent="0.35">
      <c r="A6" s="4">
        <v>4</v>
      </c>
      <c r="B6" s="5">
        <v>2645</v>
      </c>
      <c r="C6" s="5">
        <v>9169</v>
      </c>
      <c r="D6" s="5">
        <v>0</v>
      </c>
      <c r="E6" s="5">
        <v>2138</v>
      </c>
      <c r="F6" s="5">
        <v>0</v>
      </c>
      <c r="G6" s="5">
        <v>0</v>
      </c>
      <c r="H6" s="5">
        <v>0</v>
      </c>
      <c r="I6" s="5">
        <v>0</v>
      </c>
      <c r="J6" s="5">
        <v>264</v>
      </c>
      <c r="K6" s="5">
        <v>0</v>
      </c>
      <c r="L6" s="5">
        <v>0</v>
      </c>
      <c r="M6" s="5">
        <v>0</v>
      </c>
      <c r="N6" s="5">
        <v>10499</v>
      </c>
      <c r="O6" s="5" t="s">
        <v>41</v>
      </c>
    </row>
    <row r="7" spans="1:15" x14ac:dyDescent="0.35">
      <c r="A7" s="4">
        <v>5</v>
      </c>
      <c r="B7" s="5">
        <v>2654</v>
      </c>
      <c r="C7" s="5">
        <v>9188</v>
      </c>
      <c r="D7" s="5">
        <v>0</v>
      </c>
      <c r="E7" s="5">
        <v>2147</v>
      </c>
      <c r="F7" s="5">
        <v>0</v>
      </c>
      <c r="G7" s="5">
        <v>0</v>
      </c>
      <c r="H7" s="5">
        <v>0</v>
      </c>
      <c r="I7" s="5">
        <v>0</v>
      </c>
      <c r="J7" s="5">
        <v>264</v>
      </c>
      <c r="K7" s="5">
        <v>0</v>
      </c>
      <c r="L7" s="5">
        <v>0</v>
      </c>
      <c r="M7" s="5">
        <v>0</v>
      </c>
      <c r="N7" s="5">
        <v>10515</v>
      </c>
      <c r="O7" s="5" t="s">
        <v>41</v>
      </c>
    </row>
    <row r="8" spans="1:15" x14ac:dyDescent="0.35">
      <c r="A8" s="4">
        <v>6</v>
      </c>
      <c r="B8" s="5">
        <v>2661</v>
      </c>
      <c r="C8" s="5">
        <v>9201</v>
      </c>
      <c r="D8" s="5">
        <v>0</v>
      </c>
      <c r="E8" s="5">
        <v>2151</v>
      </c>
      <c r="F8" s="5">
        <v>0</v>
      </c>
      <c r="G8" s="5">
        <v>0</v>
      </c>
      <c r="H8" s="5">
        <v>0</v>
      </c>
      <c r="I8" s="5">
        <v>0</v>
      </c>
      <c r="J8" s="5">
        <v>264</v>
      </c>
      <c r="K8" s="5">
        <v>0</v>
      </c>
      <c r="L8" s="5">
        <v>0</v>
      </c>
      <c r="M8" s="5">
        <v>0</v>
      </c>
      <c r="N8" s="5">
        <v>10531</v>
      </c>
      <c r="O8" s="5" t="s">
        <v>43</v>
      </c>
    </row>
    <row r="9" spans="1:15" x14ac:dyDescent="0.35">
      <c r="A9" s="4">
        <v>7</v>
      </c>
      <c r="B9" s="5">
        <v>2668</v>
      </c>
      <c r="C9" s="5">
        <v>9218</v>
      </c>
      <c r="D9" s="5">
        <v>0</v>
      </c>
      <c r="E9" s="5">
        <v>2156</v>
      </c>
      <c r="F9" s="5">
        <v>0</v>
      </c>
      <c r="G9" s="5">
        <v>0</v>
      </c>
      <c r="H9" s="5">
        <v>0</v>
      </c>
      <c r="I9" s="5">
        <v>0</v>
      </c>
      <c r="J9" s="5">
        <v>264</v>
      </c>
      <c r="K9" s="5">
        <v>0</v>
      </c>
      <c r="L9" s="5">
        <v>0</v>
      </c>
      <c r="M9" s="5">
        <v>0</v>
      </c>
      <c r="N9" s="5">
        <v>10562</v>
      </c>
      <c r="O9" s="5" t="s">
        <v>44</v>
      </c>
    </row>
    <row r="10" spans="1:15" x14ac:dyDescent="0.35">
      <c r="A10" s="4">
        <v>8</v>
      </c>
      <c r="B10" s="5">
        <v>2672</v>
      </c>
      <c r="C10" s="5">
        <v>9242</v>
      </c>
      <c r="D10" s="5">
        <v>0</v>
      </c>
      <c r="E10" s="5">
        <v>2164</v>
      </c>
      <c r="F10" s="5">
        <v>0</v>
      </c>
      <c r="G10" s="5">
        <v>0</v>
      </c>
      <c r="H10" s="5">
        <v>0</v>
      </c>
      <c r="I10" s="5">
        <v>0</v>
      </c>
      <c r="J10" s="5">
        <v>264</v>
      </c>
      <c r="K10" s="5">
        <v>0</v>
      </c>
      <c r="L10" s="5">
        <v>0</v>
      </c>
      <c r="M10" s="5">
        <v>0</v>
      </c>
      <c r="N10" s="5">
        <v>10577</v>
      </c>
      <c r="O10" s="5" t="s">
        <v>45</v>
      </c>
    </row>
    <row r="11" spans="1:15" x14ac:dyDescent="0.35">
      <c r="A11" s="4">
        <v>9</v>
      </c>
      <c r="B11" s="5">
        <v>2681</v>
      </c>
      <c r="C11" s="5">
        <v>9260</v>
      </c>
      <c r="D11" s="5">
        <v>0</v>
      </c>
      <c r="E11" s="5">
        <v>2169</v>
      </c>
      <c r="F11" s="5">
        <v>0</v>
      </c>
      <c r="G11" s="5">
        <v>0</v>
      </c>
      <c r="H11" s="5">
        <v>0</v>
      </c>
      <c r="I11" s="5">
        <v>0</v>
      </c>
      <c r="J11" s="5">
        <v>264</v>
      </c>
      <c r="K11" s="5">
        <v>0</v>
      </c>
      <c r="L11" s="5">
        <v>0</v>
      </c>
      <c r="M11" s="5">
        <v>0</v>
      </c>
      <c r="N11" s="5">
        <v>10608</v>
      </c>
      <c r="O11" s="5" t="s">
        <v>48</v>
      </c>
    </row>
    <row r="12" spans="1:15" x14ac:dyDescent="0.35">
      <c r="A12" s="4">
        <v>10</v>
      </c>
      <c r="B12" s="5">
        <v>2687</v>
      </c>
      <c r="C12" s="5">
        <v>9277</v>
      </c>
      <c r="D12" s="5">
        <v>0</v>
      </c>
      <c r="E12" s="5">
        <v>2176</v>
      </c>
      <c r="F12" s="5">
        <v>0</v>
      </c>
      <c r="G12" s="5">
        <v>0</v>
      </c>
      <c r="H12" s="5">
        <v>0</v>
      </c>
      <c r="I12" s="5">
        <v>0</v>
      </c>
      <c r="J12" s="5">
        <v>264</v>
      </c>
      <c r="K12" s="5">
        <v>0</v>
      </c>
      <c r="L12" s="5">
        <v>0</v>
      </c>
      <c r="M12" s="5">
        <v>0</v>
      </c>
      <c r="N12" s="5">
        <v>10637</v>
      </c>
      <c r="O12" s="5" t="s">
        <v>47</v>
      </c>
    </row>
    <row r="13" spans="1:15" x14ac:dyDescent="0.35">
      <c r="A13" s="4">
        <v>11</v>
      </c>
      <c r="B13" s="5">
        <v>2696</v>
      </c>
      <c r="C13" s="5">
        <v>9296</v>
      </c>
      <c r="D13" s="5">
        <v>0</v>
      </c>
      <c r="E13" s="5">
        <v>2183</v>
      </c>
      <c r="F13" s="5">
        <v>0</v>
      </c>
      <c r="G13" s="5">
        <v>0</v>
      </c>
      <c r="H13" s="5">
        <v>0</v>
      </c>
      <c r="I13" s="5">
        <v>0</v>
      </c>
      <c r="J13" s="5">
        <v>264</v>
      </c>
      <c r="K13" s="5">
        <v>0</v>
      </c>
      <c r="L13" s="5">
        <v>0</v>
      </c>
      <c r="M13" s="5">
        <v>0</v>
      </c>
      <c r="N13" s="5">
        <v>10656</v>
      </c>
      <c r="O13" s="5" t="s">
        <v>49</v>
      </c>
    </row>
    <row r="14" spans="1:15" x14ac:dyDescent="0.35">
      <c r="A14" s="4">
        <v>12</v>
      </c>
      <c r="B14" s="5">
        <v>2703</v>
      </c>
      <c r="C14" s="5">
        <v>9312</v>
      </c>
      <c r="D14" s="5">
        <v>0</v>
      </c>
      <c r="E14" s="5">
        <v>2190</v>
      </c>
      <c r="F14" s="5">
        <v>0</v>
      </c>
      <c r="G14" s="5">
        <v>0</v>
      </c>
      <c r="H14" s="5">
        <v>0</v>
      </c>
      <c r="I14" s="5">
        <v>0</v>
      </c>
      <c r="J14" s="5">
        <v>264</v>
      </c>
      <c r="K14" s="5">
        <v>0</v>
      </c>
      <c r="L14" s="5">
        <v>0</v>
      </c>
      <c r="M14" s="5">
        <v>0</v>
      </c>
      <c r="N14" s="5">
        <v>10687</v>
      </c>
      <c r="O14" s="5" t="s">
        <v>50</v>
      </c>
    </row>
    <row r="15" spans="1:15" x14ac:dyDescent="0.35">
      <c r="A15" s="4">
        <v>13</v>
      </c>
      <c r="B15" s="5">
        <v>2713</v>
      </c>
      <c r="C15" s="5">
        <v>9327</v>
      </c>
      <c r="D15" s="5">
        <v>0</v>
      </c>
      <c r="E15" s="5">
        <v>2197</v>
      </c>
      <c r="F15" s="5">
        <v>0</v>
      </c>
      <c r="G15" s="5">
        <v>0</v>
      </c>
      <c r="H15" s="5">
        <v>0</v>
      </c>
      <c r="I15" s="5">
        <v>0</v>
      </c>
      <c r="J15" s="5">
        <v>264</v>
      </c>
      <c r="K15" s="5">
        <v>0</v>
      </c>
      <c r="L15" s="5">
        <v>0</v>
      </c>
      <c r="M15" s="5">
        <v>0</v>
      </c>
      <c r="N15" s="5">
        <v>10719</v>
      </c>
      <c r="O15" s="5" t="s">
        <v>45</v>
      </c>
    </row>
    <row r="16" spans="1:15" x14ac:dyDescent="0.35">
      <c r="A16" s="4">
        <v>14</v>
      </c>
      <c r="B16" s="5">
        <v>2722</v>
      </c>
      <c r="C16" s="5">
        <v>9345</v>
      </c>
      <c r="D16" s="5">
        <v>0</v>
      </c>
      <c r="E16" s="5">
        <v>2204</v>
      </c>
      <c r="F16" s="5">
        <v>0</v>
      </c>
      <c r="G16" s="5">
        <v>0</v>
      </c>
      <c r="H16" s="5">
        <v>0</v>
      </c>
      <c r="I16" s="5">
        <v>0</v>
      </c>
      <c r="J16" s="5">
        <v>264</v>
      </c>
      <c r="K16" s="5">
        <v>0</v>
      </c>
      <c r="L16" s="5">
        <v>0</v>
      </c>
      <c r="M16" s="5">
        <v>0</v>
      </c>
      <c r="N16" s="5">
        <v>10751</v>
      </c>
      <c r="O16" s="5" t="s">
        <v>43</v>
      </c>
    </row>
    <row r="17" spans="1:15" x14ac:dyDescent="0.35">
      <c r="A17" s="4">
        <v>15</v>
      </c>
      <c r="B17" s="5">
        <v>2728</v>
      </c>
      <c r="C17" s="5">
        <v>9365</v>
      </c>
      <c r="D17" s="5">
        <v>0</v>
      </c>
      <c r="E17" s="5">
        <v>2213</v>
      </c>
      <c r="F17" s="5">
        <v>0</v>
      </c>
      <c r="G17" s="5">
        <v>0</v>
      </c>
      <c r="H17" s="5">
        <v>0</v>
      </c>
      <c r="I17" s="5">
        <v>0</v>
      </c>
      <c r="J17" s="5">
        <v>269</v>
      </c>
      <c r="K17" s="5">
        <v>0</v>
      </c>
      <c r="L17" s="5">
        <v>0</v>
      </c>
      <c r="M17" s="5">
        <v>0</v>
      </c>
      <c r="N17" s="5">
        <v>10767</v>
      </c>
      <c r="O17" s="5" t="s">
        <v>41</v>
      </c>
    </row>
    <row r="18" spans="1:15" x14ac:dyDescent="0.35">
      <c r="A18" s="4">
        <v>16</v>
      </c>
      <c r="B18" s="5">
        <v>2737</v>
      </c>
      <c r="C18" s="5">
        <v>9384</v>
      </c>
      <c r="D18" s="5">
        <v>0</v>
      </c>
      <c r="E18" s="5">
        <v>2220</v>
      </c>
      <c r="F18" s="5">
        <v>0</v>
      </c>
      <c r="G18" s="5">
        <v>0</v>
      </c>
      <c r="H18" s="5">
        <v>0</v>
      </c>
      <c r="I18" s="5">
        <v>0</v>
      </c>
      <c r="J18" s="5">
        <v>269</v>
      </c>
      <c r="K18" s="5">
        <v>0</v>
      </c>
      <c r="L18" s="5">
        <v>0</v>
      </c>
      <c r="M18" s="5">
        <v>0</v>
      </c>
      <c r="N18" s="5">
        <v>10798</v>
      </c>
      <c r="O18" s="5" t="s">
        <v>41</v>
      </c>
    </row>
    <row r="19" spans="1:15" x14ac:dyDescent="0.35">
      <c r="A19" s="4">
        <v>17</v>
      </c>
      <c r="B19" s="5">
        <v>2756</v>
      </c>
      <c r="C19" s="5">
        <v>9408</v>
      </c>
      <c r="D19" s="5">
        <v>0</v>
      </c>
      <c r="E19" s="5">
        <v>2229</v>
      </c>
      <c r="F19" s="5">
        <v>0</v>
      </c>
      <c r="G19" s="5">
        <v>0</v>
      </c>
      <c r="H19" s="5">
        <v>0</v>
      </c>
      <c r="I19" s="5">
        <v>0</v>
      </c>
      <c r="J19" s="5">
        <v>269</v>
      </c>
      <c r="K19" s="5">
        <v>0</v>
      </c>
      <c r="L19" s="5">
        <v>0</v>
      </c>
      <c r="M19" s="5">
        <v>0</v>
      </c>
      <c r="N19" s="5">
        <v>10830</v>
      </c>
      <c r="O19" s="5" t="s">
        <v>41</v>
      </c>
    </row>
    <row r="20" spans="1:15" x14ac:dyDescent="0.35">
      <c r="A20" s="4">
        <v>18</v>
      </c>
      <c r="B20" s="5">
        <v>2772</v>
      </c>
      <c r="C20" s="5">
        <v>9428</v>
      </c>
      <c r="D20" s="5">
        <v>0</v>
      </c>
      <c r="E20" s="5">
        <v>2238</v>
      </c>
      <c r="F20" s="5">
        <v>0</v>
      </c>
      <c r="G20" s="5">
        <v>0</v>
      </c>
      <c r="H20" s="5">
        <v>0</v>
      </c>
      <c r="I20" s="5">
        <v>0</v>
      </c>
      <c r="J20" s="5">
        <v>277</v>
      </c>
      <c r="K20" s="5">
        <v>0</v>
      </c>
      <c r="L20" s="5">
        <v>0</v>
      </c>
      <c r="M20" s="5">
        <v>0</v>
      </c>
      <c r="N20" s="5">
        <v>10861</v>
      </c>
      <c r="O20" s="5" t="s">
        <v>41</v>
      </c>
    </row>
    <row r="21" spans="1:15" x14ac:dyDescent="0.35">
      <c r="A21" s="4">
        <v>19</v>
      </c>
      <c r="B21" s="5">
        <v>2781</v>
      </c>
      <c r="C21" s="5">
        <v>9444</v>
      </c>
      <c r="D21" s="5">
        <v>0</v>
      </c>
      <c r="E21" s="5">
        <v>2252</v>
      </c>
      <c r="F21" s="5">
        <v>0</v>
      </c>
      <c r="G21" s="5">
        <v>0</v>
      </c>
      <c r="H21" s="5">
        <v>0</v>
      </c>
      <c r="I21" s="5">
        <v>0</v>
      </c>
      <c r="J21" s="5">
        <v>277</v>
      </c>
      <c r="K21" s="5">
        <v>0</v>
      </c>
      <c r="L21" s="5">
        <v>0</v>
      </c>
      <c r="M21" s="5">
        <v>0</v>
      </c>
      <c r="N21" s="5">
        <v>10890</v>
      </c>
      <c r="O21" s="5" t="s">
        <v>51</v>
      </c>
    </row>
    <row r="22" spans="1:15" ht="15.5" x14ac:dyDescent="0.35">
      <c r="A22" s="4">
        <v>20</v>
      </c>
      <c r="B22" s="5">
        <v>2792</v>
      </c>
      <c r="C22" s="5">
        <v>9460</v>
      </c>
      <c r="D22" s="5">
        <v>0</v>
      </c>
      <c r="E22" s="5">
        <v>2265</v>
      </c>
      <c r="F22" s="5">
        <v>0</v>
      </c>
      <c r="G22" s="5">
        <v>0</v>
      </c>
      <c r="H22" s="5">
        <v>0</v>
      </c>
      <c r="I22" s="5">
        <v>0</v>
      </c>
      <c r="J22" s="5">
        <v>277</v>
      </c>
      <c r="K22" s="5">
        <v>0</v>
      </c>
      <c r="L22" s="5">
        <v>0</v>
      </c>
      <c r="M22" s="5">
        <v>0</v>
      </c>
      <c r="N22" s="5">
        <v>10921</v>
      </c>
      <c r="O22" s="27" t="s">
        <v>52</v>
      </c>
    </row>
    <row r="23" spans="1:15" ht="15.5" x14ac:dyDescent="0.35">
      <c r="A23" s="4">
        <v>21</v>
      </c>
      <c r="B23" s="5">
        <v>2804</v>
      </c>
      <c r="C23" s="5">
        <v>9477</v>
      </c>
      <c r="D23" s="5">
        <v>0</v>
      </c>
      <c r="E23" s="5">
        <v>2280</v>
      </c>
      <c r="F23" s="5">
        <v>0</v>
      </c>
      <c r="G23" s="5">
        <v>0</v>
      </c>
      <c r="H23" s="5">
        <v>0</v>
      </c>
      <c r="I23" s="5">
        <v>0</v>
      </c>
      <c r="J23" s="5">
        <v>277</v>
      </c>
      <c r="K23" s="5">
        <v>0</v>
      </c>
      <c r="L23" s="5">
        <v>0</v>
      </c>
      <c r="M23" s="5">
        <v>0</v>
      </c>
      <c r="N23" s="5">
        <v>10953</v>
      </c>
      <c r="O23" s="27" t="s">
        <v>53</v>
      </c>
    </row>
    <row r="24" spans="1:15" x14ac:dyDescent="0.35">
      <c r="A24" s="4">
        <v>22</v>
      </c>
      <c r="B24" s="5">
        <v>2812</v>
      </c>
      <c r="C24" s="5">
        <v>9498</v>
      </c>
      <c r="D24" s="5">
        <v>0</v>
      </c>
      <c r="E24" s="5">
        <v>2294</v>
      </c>
      <c r="F24" s="5">
        <v>0</v>
      </c>
      <c r="G24" s="5">
        <v>0</v>
      </c>
      <c r="H24" s="5">
        <v>0</v>
      </c>
      <c r="I24" s="5">
        <v>0</v>
      </c>
      <c r="J24" s="5">
        <v>279</v>
      </c>
      <c r="K24" s="5">
        <v>0</v>
      </c>
      <c r="L24" s="5">
        <v>0</v>
      </c>
      <c r="M24" s="5">
        <v>0</v>
      </c>
      <c r="N24" s="5">
        <v>10968</v>
      </c>
      <c r="O24" s="5" t="s">
        <v>54</v>
      </c>
    </row>
    <row r="25" spans="1:15" x14ac:dyDescent="0.35">
      <c r="A25" s="4">
        <v>23</v>
      </c>
      <c r="B25" s="5">
        <v>2824</v>
      </c>
      <c r="C25" s="5">
        <v>9515</v>
      </c>
      <c r="D25" s="5">
        <v>0</v>
      </c>
      <c r="E25" s="5">
        <v>2310</v>
      </c>
      <c r="F25" s="5">
        <v>0</v>
      </c>
      <c r="G25" s="5">
        <v>0</v>
      </c>
      <c r="H25" s="5">
        <v>0</v>
      </c>
      <c r="I25" s="5">
        <v>0</v>
      </c>
      <c r="J25" s="5">
        <v>280</v>
      </c>
      <c r="K25" s="5">
        <v>0</v>
      </c>
      <c r="L25" s="5">
        <v>0</v>
      </c>
      <c r="M25" s="5">
        <v>0</v>
      </c>
      <c r="N25" s="5">
        <v>11000</v>
      </c>
      <c r="O25" s="5" t="s">
        <v>54</v>
      </c>
    </row>
    <row r="26" spans="1:15" ht="15.5" x14ac:dyDescent="0.35">
      <c r="A26" s="4">
        <v>24</v>
      </c>
      <c r="B26" s="5">
        <v>2836</v>
      </c>
      <c r="C26" s="5">
        <v>9532</v>
      </c>
      <c r="D26" s="5">
        <v>0</v>
      </c>
      <c r="E26" s="5">
        <v>2329</v>
      </c>
      <c r="F26" s="5">
        <v>0</v>
      </c>
      <c r="G26" s="5">
        <v>0</v>
      </c>
      <c r="H26" s="5">
        <v>0</v>
      </c>
      <c r="I26" s="5">
        <v>0</v>
      </c>
      <c r="J26" s="5">
        <v>281</v>
      </c>
      <c r="K26" s="5">
        <v>0</v>
      </c>
      <c r="L26" s="5">
        <v>0</v>
      </c>
      <c r="M26" s="5">
        <v>0</v>
      </c>
      <c r="N26" s="5">
        <v>11032</v>
      </c>
      <c r="O26" s="27" t="s">
        <v>40</v>
      </c>
    </row>
    <row r="27" spans="1:15" ht="15.5" x14ac:dyDescent="0.35">
      <c r="A27" s="4">
        <v>25</v>
      </c>
      <c r="B27" s="5">
        <v>2848</v>
      </c>
      <c r="C27" s="5">
        <v>9557</v>
      </c>
      <c r="D27" s="5">
        <v>0</v>
      </c>
      <c r="E27" s="5">
        <v>2349</v>
      </c>
      <c r="F27" s="5">
        <v>0</v>
      </c>
      <c r="G27" s="5">
        <v>0</v>
      </c>
      <c r="H27" s="5">
        <v>0</v>
      </c>
      <c r="I27" s="5">
        <v>0</v>
      </c>
      <c r="J27" s="5">
        <v>281</v>
      </c>
      <c r="K27" s="5">
        <v>0</v>
      </c>
      <c r="L27" s="5">
        <v>0</v>
      </c>
      <c r="M27" s="5">
        <v>0</v>
      </c>
      <c r="N27" s="5">
        <v>11063</v>
      </c>
      <c r="O27" s="27" t="s">
        <v>55</v>
      </c>
    </row>
    <row r="28" spans="1:15" ht="15.5" x14ac:dyDescent="0.35">
      <c r="A28" s="4">
        <v>26</v>
      </c>
      <c r="B28" s="5">
        <v>2862</v>
      </c>
      <c r="C28" s="5">
        <v>9570</v>
      </c>
      <c r="D28" s="5">
        <v>0</v>
      </c>
      <c r="E28" s="5">
        <v>2365</v>
      </c>
      <c r="F28" s="5">
        <v>0</v>
      </c>
      <c r="G28" s="5">
        <v>0</v>
      </c>
      <c r="H28" s="5">
        <v>0</v>
      </c>
      <c r="I28" s="5">
        <v>0</v>
      </c>
      <c r="J28" s="5">
        <v>281</v>
      </c>
      <c r="K28" s="5">
        <v>0</v>
      </c>
      <c r="L28" s="5">
        <v>0</v>
      </c>
      <c r="M28" s="5">
        <v>0</v>
      </c>
      <c r="N28" s="5">
        <v>11094</v>
      </c>
      <c r="O28" s="27" t="s">
        <v>45</v>
      </c>
    </row>
    <row r="29" spans="1:15" x14ac:dyDescent="0.35">
      <c r="A29" s="4">
        <v>27</v>
      </c>
      <c r="B29" s="5">
        <v>2876</v>
      </c>
      <c r="C29" s="5">
        <v>9592</v>
      </c>
      <c r="D29" s="5">
        <v>0</v>
      </c>
      <c r="E29" s="5">
        <v>2395</v>
      </c>
      <c r="F29" s="5">
        <v>0</v>
      </c>
      <c r="G29" s="5">
        <v>0</v>
      </c>
      <c r="H29" s="5">
        <v>0</v>
      </c>
      <c r="I29" s="5">
        <v>0</v>
      </c>
      <c r="J29" s="5">
        <v>281</v>
      </c>
      <c r="K29" s="5">
        <v>0</v>
      </c>
      <c r="L29" s="5">
        <v>0</v>
      </c>
      <c r="M29" s="5">
        <v>0</v>
      </c>
      <c r="N29" s="5">
        <v>11127</v>
      </c>
      <c r="O29" s="5" t="s">
        <v>43</v>
      </c>
    </row>
    <row r="30" spans="1:15" x14ac:dyDescent="0.35">
      <c r="A30" s="4">
        <v>28</v>
      </c>
      <c r="B30" s="5">
        <v>2889</v>
      </c>
      <c r="C30" s="5">
        <v>9612</v>
      </c>
      <c r="D30" s="5">
        <v>0</v>
      </c>
      <c r="E30" s="5">
        <v>2413</v>
      </c>
      <c r="F30" s="5">
        <v>0</v>
      </c>
      <c r="G30" s="5">
        <v>0</v>
      </c>
      <c r="H30" s="5">
        <v>0</v>
      </c>
      <c r="I30" s="5">
        <v>0</v>
      </c>
      <c r="J30" s="5">
        <v>281</v>
      </c>
      <c r="K30" s="5">
        <v>0</v>
      </c>
      <c r="L30" s="5">
        <v>0</v>
      </c>
      <c r="M30" s="5">
        <v>0</v>
      </c>
      <c r="N30" s="5">
        <v>11175</v>
      </c>
      <c r="O30" s="5" t="s">
        <v>56</v>
      </c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c0c63084-832f-4b13-a501-c844d9f3bfe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2024-01-29T01:39:11Z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