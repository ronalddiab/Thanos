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D29D3C82-455F-4ECF-8498-0039E3F68FD0}" xr6:coauthVersionLast="46" xr6:coauthVersionMax="46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S27" i="2"/>
  <c r="B20" i="4"/>
  <c r="B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<sst xmlns="http://schemas.openxmlformats.org/spreadsheetml/2006/main" count="201" uniqueCount="128">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</sst>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-202200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-58267</c:v>
                </c:pt>
                <c:pt idx="7">
                  <c:v>0.23413942199504933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-757836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E2" sqref="E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/>
      <c r="F2" s="48">
        <v>0.14000000000000001</v>
      </c>
      <c r="G2" s="107"/>
      <c r="H2" s="48">
        <v>0.4453480216384178</v>
      </c>
      <c r="I2" s="65"/>
      <c r="J2" s="76">
        <v>0.4</v>
      </c>
      <c r="K2" s="108">
        <f>K33/31</f>
        <v>0</v>
      </c>
      <c r="L2" s="76">
        <v>1.5287027707808565</v>
      </c>
      <c r="M2" s="72"/>
      <c r="N2" s="72"/>
      <c r="O2" s="72"/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/>
      <c r="F3" s="48">
        <v>0.14000000000000001</v>
      </c>
      <c r="G3" s="107"/>
      <c r="H3" s="48">
        <v>0.4453480216384178</v>
      </c>
      <c r="I3" s="65"/>
      <c r="J3" s="76">
        <v>0.4</v>
      </c>
      <c r="K3" s="108">
        <v>0</v>
      </c>
      <c r="L3" s="76">
        <v>1.5287027707808565</v>
      </c>
      <c r="M3" s="72"/>
      <c r="N3" s="72"/>
      <c r="O3" s="72"/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/>
      <c r="F4" s="48">
        <v>0.14000000000000001</v>
      </c>
      <c r="G4" s="107"/>
      <c r="H4" s="48">
        <v>0.4453480216384178</v>
      </c>
      <c r="I4" s="65"/>
      <c r="J4" s="76">
        <v>0.4</v>
      </c>
      <c r="K4" s="108">
        <v>0</v>
      </c>
      <c r="L4" s="76">
        <v>1.5287027707808565</v>
      </c>
      <c r="M4" s="72"/>
      <c r="N4" s="72"/>
      <c r="O4" s="72"/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/>
      <c r="F5" s="48">
        <v>0.14000000000000001</v>
      </c>
      <c r="G5" s="107"/>
      <c r="H5" s="48">
        <v>0.4453480216384178</v>
      </c>
      <c r="I5" s="65"/>
      <c r="J5" s="76">
        <v>0.4</v>
      </c>
      <c r="K5" s="108">
        <v>0</v>
      </c>
      <c r="L5" s="76">
        <v>1.5287027707808565</v>
      </c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/>
      <c r="F6" s="48">
        <v>0.14000000000000001</v>
      </c>
      <c r="G6" s="107"/>
      <c r="H6" s="48">
        <v>0.4453480216384178</v>
      </c>
      <c r="I6" s="65"/>
      <c r="J6" s="76">
        <v>0.4</v>
      </c>
      <c r="K6" s="108">
        <v>0</v>
      </c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/>
      <c r="F7" s="48">
        <v>0.14000000000000001</v>
      </c>
      <c r="G7" s="107"/>
      <c r="H7" s="48">
        <v>0.4453480216384178</v>
      </c>
      <c r="I7" s="65"/>
      <c r="J7" s="76">
        <v>0.4</v>
      </c>
      <c r="K7" s="108">
        <v>0</v>
      </c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/>
      <c r="F8" s="48">
        <v>0.14000000000000001</v>
      </c>
      <c r="G8" s="107"/>
      <c r="H8" s="48">
        <v>0.4453480216384178</v>
      </c>
      <c r="I8" s="65"/>
      <c r="J8" s="76">
        <v>0.4</v>
      </c>
      <c r="K8" s="108">
        <v>0</v>
      </c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/>
      <c r="F9" s="48">
        <v>0.14000000000000001</v>
      </c>
      <c r="G9" s="107"/>
      <c r="H9" s="48">
        <v>0.4453480216384178</v>
      </c>
      <c r="I9" s="65"/>
      <c r="J9" s="76">
        <v>0.4</v>
      </c>
      <c r="K9" s="108">
        <v>0</v>
      </c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/>
      <c r="F10" s="48">
        <v>0.14000000000000001</v>
      </c>
      <c r="G10" s="107"/>
      <c r="H10" s="48">
        <v>0.4453480216384178</v>
      </c>
      <c r="I10" s="65"/>
      <c r="J10" s="76">
        <v>0.4</v>
      </c>
      <c r="K10" s="108">
        <v>0</v>
      </c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/>
      <c r="F11" s="48">
        <v>0.14000000000000001</v>
      </c>
      <c r="G11" s="107"/>
      <c r="H11" s="48">
        <v>0.4453480216384178</v>
      </c>
      <c r="I11" s="65"/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0</v>
      </c>
      <c r="F33" s="104">
        <v>0</v>
      </c>
      <c r="G33" s="101">
        <f>SUM(G2:G32)</f>
        <v>0</v>
      </c>
      <c r="H33" s="102">
        <v>0</v>
      </c>
      <c r="I33" s="103">
        <f>SUM(I2:I32)</f>
        <v>0</v>
      </c>
      <c r="J33" s="104">
        <v>0</v>
      </c>
      <c r="K33" s="105">
        <v>0</v>
      </c>
      <c r="L33" s="102">
        <v>0</v>
      </c>
      <c r="M33" s="106">
        <f t="shared" ref="M33:O33" si="1">SUM(M2:M32)</f>
        <v>0</v>
      </c>
      <c r="N33" s="106">
        <f t="shared" si="1"/>
        <v>0</v>
      </c>
      <c r="O33" s="106">
        <f t="shared" si="1"/>
        <v>0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D10" sqref="D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/>
      <c r="W4" s="71"/>
      <c r="X4" s="71"/>
      <c r="Y4" s="17"/>
    </row>
    <row r="5" spans="1:25" ht="21" customHeight="1" x14ac:dyDescent="0.25">
      <c r="A5" s="8">
        <v>44257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V5" s="71"/>
      <c r="W5" s="71"/>
      <c r="X5" s="71"/>
      <c r="Y5" s="17"/>
    </row>
    <row r="6" spans="1:25" ht="21" customHeight="1" x14ac:dyDescent="0.25">
      <c r="A6" s="8">
        <v>44258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V6" s="71"/>
      <c r="W6" s="71"/>
      <c r="X6" s="71"/>
      <c r="Y6" s="17"/>
    </row>
    <row r="7" spans="1:25" ht="21" customHeight="1" x14ac:dyDescent="0.25">
      <c r="A7" s="8">
        <v>44259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71"/>
      <c r="W7" s="71"/>
      <c r="X7" s="71"/>
      <c r="Y7" s="17"/>
    </row>
    <row r="8" spans="1:25" ht="21" customHeight="1" x14ac:dyDescent="0.25">
      <c r="A8" s="8">
        <v>44260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44261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44262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44263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44264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44265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44266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44267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44268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44269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44270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44272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44273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44274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44275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44280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44281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0</v>
      </c>
      <c r="W35" s="78">
        <f>SUM(W4:W34)</f>
        <v>0</v>
      </c>
      <c r="X35" s="78">
        <f>SUM(X4:X34)</f>
        <v>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0</v>
      </c>
      <c r="C4" s="4">
        <f>('Kwh Reading'!T5-'Kwh Reading'!T4)*1000</f>
        <v>-364120</v>
      </c>
      <c r="D4" s="2">
        <f>('Kwh Reading'!F5-'Kwh Reading'!F4)*1000000</f>
        <v>-2084000</v>
      </c>
      <c r="E4" s="2">
        <f>('Kwh Reading'!C5-'Kwh Reading'!C4)*1000</f>
        <v>-202200</v>
      </c>
      <c r="F4" s="2">
        <f>('Kwh Reading'!J5-'Kwh Reading'!J4)*1000</f>
        <v>-290290</v>
      </c>
      <c r="G4" s="2">
        <f>('Kwh Reading'!K5-'Kwh Reading'!K4)*1000</f>
        <v>-305370</v>
      </c>
      <c r="H4" s="2">
        <f>('Kwh Reading'!L5-'Kwh Reading'!L4)*1000</f>
        <v>-209050</v>
      </c>
      <c r="I4" s="2">
        <f>('Kwh Reading'!R5-'Kwh Reading'!R4)*1000</f>
        <v>-124010</v>
      </c>
      <c r="J4" s="2">
        <f>('Kwh Reading'!S5-'Kwh Reading'!S4)*1000</f>
        <v>-99441</v>
      </c>
      <c r="K4" s="2">
        <f>('Kwh Reading'!I5-'Kwh Reading'!I4)*1000</f>
        <v>-197090</v>
      </c>
      <c r="L4" s="2">
        <f>('Kwh Reading'!B5-'Kwh Reading'!B4)*1000</f>
        <v>-822660</v>
      </c>
      <c r="M4" s="2">
        <f>('Kwh Reading'!M5-'Kwh Reading'!M4)*1000</f>
        <v>-427590</v>
      </c>
      <c r="N4" s="2">
        <f>('Kwh Reading'!H5-'Kwh Reading'!H4)*1000</f>
        <v>-532790</v>
      </c>
      <c r="O4" s="2">
        <f>('Kwh Reading'!P5-'Kwh Reading'!P4)*1000</f>
        <v>-495620</v>
      </c>
      <c r="P4" s="2">
        <f>('Kwh Reading'!G5-'Kwh Reading'!G4)*1000</f>
        <v>-634350</v>
      </c>
      <c r="Q4" s="2">
        <f>('Kwh Reading'!Q5-'Kwh Reading'!Q4)*1000</f>
        <v>-370650</v>
      </c>
      <c r="R4" s="2">
        <f>('Kwh Reading'!N5-'Kwh Reading'!N4)*1000</f>
        <v>-376040</v>
      </c>
      <c r="S4" s="2">
        <f>'Kwh Reading'!E5-'Kwh Reading'!E4</f>
        <v>-7810757.9800000004</v>
      </c>
      <c r="T4" s="2">
        <f>'Kwh Reading'!D5-'Kwh Reading'!D4</f>
        <v>-7188944.2400000002</v>
      </c>
      <c r="U4" s="27">
        <f>('Kwh Reading'!O5-'Kwh Reading'!O4)*1000</f>
        <v>-121340</v>
      </c>
      <c r="V4" s="16">
        <f>B4-(SUM(C4:U4))</f>
        <v>22656313.219999999</v>
      </c>
    </row>
    <row r="5" spans="1:22" x14ac:dyDescent="0.25">
      <c r="A5" s="3">
        <f>'Kwh Reading'!A5</f>
        <v>44257</v>
      </c>
      <c r="B5" s="26">
        <f>TOTAL!E3</f>
        <v>0</v>
      </c>
      <c r="C5" s="4">
        <f>('Kwh Reading'!T6-'Kwh Reading'!T5)*1000</f>
        <v>0</v>
      </c>
      <c r="D5" s="2">
        <f>('Kwh Reading'!F6-'Kwh Reading'!F5)*1000000</f>
        <v>0</v>
      </c>
      <c r="E5" s="2">
        <f>('Kwh Reading'!C6-'Kwh Reading'!C5)*1000</f>
        <v>0</v>
      </c>
      <c r="F5" s="2">
        <f>('Kwh Reading'!J6-'Kwh Reading'!J5)*1000</f>
        <v>0</v>
      </c>
      <c r="G5" s="2">
        <f>('Kwh Reading'!K6-'Kwh Reading'!K5)*1000</f>
        <v>0</v>
      </c>
      <c r="H5" s="2">
        <f>('Kwh Reading'!L6-'Kwh Reading'!L5)*1000</f>
        <v>0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0</v>
      </c>
      <c r="L5" s="2">
        <f>('Kwh Reading'!B6-'Kwh Reading'!B5)*1000</f>
        <v>0</v>
      </c>
      <c r="M5" s="2">
        <f>('Kwh Reading'!M6-'Kwh Reading'!M5)*1000</f>
        <v>0</v>
      </c>
      <c r="N5" s="2">
        <f>('Kwh Reading'!H6-'Kwh Reading'!H5)*1000</f>
        <v>0</v>
      </c>
      <c r="O5" s="2">
        <f>('Kwh Reading'!P6-'Kwh Reading'!P5)*1000</f>
        <v>0</v>
      </c>
      <c r="P5" s="2">
        <f>('Kwh Reading'!G6-'Kwh Reading'!G5)*1000</f>
        <v>0</v>
      </c>
      <c r="Q5" s="2">
        <f>('Kwh Reading'!Q6-'Kwh Reading'!Q5)*1000</f>
        <v>0</v>
      </c>
      <c r="R5" s="2">
        <f>('Kwh Reading'!N6-'Kwh Reading'!N5)*1000</f>
        <v>0</v>
      </c>
      <c r="S5" s="2">
        <f>'Kwh Reading'!E6-'Kwh Reading'!E5</f>
        <v>0</v>
      </c>
      <c r="T5" s="2">
        <f>'Kwh Reading'!D6-'Kwh Reading'!D5</f>
        <v>0</v>
      </c>
      <c r="U5" s="27">
        <f>('Kwh Reading'!O6-'Kwh Reading'!O5)*1000</f>
        <v>0</v>
      </c>
      <c r="V5" s="16">
        <f>B5-(SUM(C5:U5))</f>
        <v>0</v>
      </c>
    </row>
    <row r="6" spans="1:22" x14ac:dyDescent="0.25">
      <c r="A6" s="3">
        <f>'Kwh Reading'!A6</f>
        <v>44258</v>
      </c>
      <c r="B6" s="26">
        <f>TOTAL!E4</f>
        <v>0</v>
      </c>
      <c r="C6" s="4">
        <f>('Kwh Reading'!T7-'Kwh Reading'!T6)*1000</f>
        <v>0</v>
      </c>
      <c r="D6" s="2">
        <f>('Kwh Reading'!F7-'Kwh Reading'!F6)*1000000</f>
        <v>0</v>
      </c>
      <c r="E6" s="2">
        <f>('Kwh Reading'!C7-'Kwh Reading'!C6)*1000</f>
        <v>0</v>
      </c>
      <c r="F6" s="2">
        <f>('Kwh Reading'!J7-'Kwh Reading'!J6)*1000</f>
        <v>0</v>
      </c>
      <c r="G6" s="2">
        <f>('Kwh Reading'!K7-'Kwh Reading'!K6)*1000</f>
        <v>0</v>
      </c>
      <c r="H6" s="2">
        <f>('Kwh Reading'!L7-'Kwh Reading'!L6)*1000</f>
        <v>0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0</v>
      </c>
      <c r="L6" s="2">
        <f>('Kwh Reading'!B7-'Kwh Reading'!B6)*1000</f>
        <v>0</v>
      </c>
      <c r="M6" s="2">
        <f>('Kwh Reading'!M7-'Kwh Reading'!M6)*1000</f>
        <v>0</v>
      </c>
      <c r="N6" s="2">
        <f>('Kwh Reading'!H7-'Kwh Reading'!H6)*1000</f>
        <v>0</v>
      </c>
      <c r="O6" s="2">
        <f>('Kwh Reading'!P7-'Kwh Reading'!P6)*1000</f>
        <v>0</v>
      </c>
      <c r="P6" s="2">
        <f>('Kwh Reading'!G7-'Kwh Reading'!G6)*1000</f>
        <v>0</v>
      </c>
      <c r="Q6" s="2">
        <f>('Kwh Reading'!Q7-'Kwh Reading'!Q6)*1000</f>
        <v>0</v>
      </c>
      <c r="R6" s="2">
        <f>('Kwh Reading'!N7-'Kwh Reading'!N6)*1000</f>
        <v>0</v>
      </c>
      <c r="S6" s="2">
        <f>'Kwh Reading'!E7-'Kwh Reading'!E6</f>
        <v>0</v>
      </c>
      <c r="T6" s="2">
        <f>'Kwh Reading'!D7-'Kwh Reading'!D6</f>
        <v>0</v>
      </c>
      <c r="U6" s="27">
        <f>('Kwh Reading'!O7-'Kwh Reading'!O6)*1000</f>
        <v>0</v>
      </c>
      <c r="V6" s="16">
        <f t="shared" ref="V6:V34" si="0">B6-(SUM(C6:U6))</f>
        <v>0</v>
      </c>
    </row>
    <row r="7" spans="1:22" x14ac:dyDescent="0.25">
      <c r="A7" s="3">
        <f>'Kwh Reading'!A7</f>
        <v>44259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44260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44261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44262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44263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44264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0"/>
        <v>0</v>
      </c>
    </row>
    <row r="13" spans="1:22" x14ac:dyDescent="0.25">
      <c r="A13" s="3">
        <f>'Kwh Reading'!A13</f>
        <v>44265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0"/>
        <v>0</v>
      </c>
    </row>
    <row r="14" spans="1:22" x14ac:dyDescent="0.25">
      <c r="A14" s="3">
        <f>'Kwh Reading'!A14</f>
        <v>44266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44267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44268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44269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44270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44271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44272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44273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44274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44275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44276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44277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44278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44279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44280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0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-202200</v>
      </c>
      <c r="F35" s="75">
        <f t="shared" ref="F35" si="4">SUM(F4:F34)</f>
        <v>-290290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-822660</v>
      </c>
      <c r="M35" s="75">
        <f t="shared" si="5"/>
        <v>-427590</v>
      </c>
      <c r="N35" s="75">
        <f t="shared" si="5"/>
        <v>-532790</v>
      </c>
      <c r="O35" s="75">
        <f t="shared" si="5"/>
        <v>-495620</v>
      </c>
      <c r="P35" s="75">
        <f t="shared" si="5"/>
        <v>-634350</v>
      </c>
      <c r="Q35" s="75">
        <f t="shared" si="5"/>
        <v>-370650</v>
      </c>
      <c r="R35" s="75">
        <f t="shared" si="5"/>
        <v>-376040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22656313.219999999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0</v>
      </c>
      <c r="C3" s="1">
        <f>'Kwh Consumption'!C4</f>
        <v>-364120</v>
      </c>
      <c r="D3" s="1">
        <f>'Kwh Consumption'!D4</f>
        <v>-2084000</v>
      </c>
      <c r="E3" s="1">
        <f>'Kwh Consumption'!E4</f>
        <v>-202200</v>
      </c>
      <c r="F3" s="1">
        <f>('Kwh Consumption'!F4+'Kwh Consumption'!G4+'Kwh Consumption'!H4)</f>
        <v>-804710</v>
      </c>
      <c r="G3" s="16">
        <f>('Kwh Consumption'!I4+'Kwh Consumption'!J4)</f>
        <v>-223451</v>
      </c>
      <c r="H3" s="1">
        <f>('Kwh Consumption'!K4+'Kwh Consumption'!L4)</f>
        <v>-1019750</v>
      </c>
      <c r="I3" s="1">
        <f>('Kwh Consumption'!M4+'Kwh Consumption'!N4+'Kwh Consumption'!O4+'Kwh Consumption'!P4+'Kwh Consumption'!Q4+'Kwh Consumption'!R4)</f>
        <v>-2837040</v>
      </c>
      <c r="J3" s="1">
        <f>('Kwh Consumption'!S4+'Kwh Consumption'!T4)</f>
        <v>-14999702.220000001</v>
      </c>
      <c r="K3" s="1">
        <f>'Kwh Consumption'!U4</f>
        <v>-121340</v>
      </c>
      <c r="L3" s="32">
        <f t="shared" ref="L3:L33" si="0">B3-C3-D3-E3-F3-G3-H3-I3-J3-K3</f>
        <v>22656313.219999999</v>
      </c>
    </row>
    <row r="4" spans="1:12" x14ac:dyDescent="0.25">
      <c r="A4" s="14">
        <f>'Kwh Reading'!A5</f>
        <v>44257</v>
      </c>
      <c r="B4" s="83">
        <f>TOTAL!E3</f>
        <v>0</v>
      </c>
      <c r="C4" s="1">
        <f>'Kwh Consumption'!C5</f>
        <v>0</v>
      </c>
      <c r="D4" s="1">
        <f>'Kwh Consumption'!D5</f>
        <v>0</v>
      </c>
      <c r="E4" s="1">
        <f>'Kwh Consumption'!E5</f>
        <v>0</v>
      </c>
      <c r="F4" s="1">
        <f>('Kwh Consumption'!F5+'Kwh Consumption'!G5+'Kwh Consumption'!H5)</f>
        <v>0</v>
      </c>
      <c r="G4" s="16">
        <f>('Kwh Consumption'!I5+'Kwh Consumption'!J5)</f>
        <v>0</v>
      </c>
      <c r="H4" s="1">
        <f>('Kwh Consumption'!K5+'Kwh Consumption'!L5)</f>
        <v>0</v>
      </c>
      <c r="I4" s="1">
        <f>('Kwh Consumption'!M5+'Kwh Consumption'!N5+'Kwh Consumption'!O5+'Kwh Consumption'!P5+'Kwh Consumption'!Q5+'Kwh Consumption'!R5)</f>
        <v>0</v>
      </c>
      <c r="J4" s="1">
        <f>('Kwh Consumption'!S5+'Kwh Consumption'!T5)</f>
        <v>0</v>
      </c>
      <c r="K4" s="1">
        <f>'Kwh Consumption'!U5</f>
        <v>0</v>
      </c>
      <c r="L4" s="32">
        <f t="shared" si="0"/>
        <v>0</v>
      </c>
    </row>
    <row r="5" spans="1:12" x14ac:dyDescent="0.25">
      <c r="A5" s="14">
        <f>'Kwh Reading'!A6</f>
        <v>44258</v>
      </c>
      <c r="B5" s="83">
        <f>TOTAL!E4</f>
        <v>0</v>
      </c>
      <c r="C5" s="1">
        <f>'Kwh Consumption'!C6</f>
        <v>0</v>
      </c>
      <c r="D5" s="1">
        <f>'Kwh Consumption'!D6</f>
        <v>0</v>
      </c>
      <c r="E5" s="1">
        <f>'Kwh Consumption'!E6</f>
        <v>0</v>
      </c>
      <c r="F5" s="1">
        <f>('Kwh Consumption'!F6+'Kwh Consumption'!G6+'Kwh Consumption'!H6)</f>
        <v>0</v>
      </c>
      <c r="G5" s="16">
        <f>('Kwh Consumption'!I6+'Kwh Consumption'!J6)</f>
        <v>0</v>
      </c>
      <c r="H5" s="1">
        <f>('Kwh Consumption'!K6+'Kwh Consumption'!L6)</f>
        <v>0</v>
      </c>
      <c r="I5" s="1">
        <f>('Kwh Consumption'!M6+'Kwh Consumption'!N6+'Kwh Consumption'!O6+'Kwh Consumption'!P6+'Kwh Consumption'!Q6+'Kwh Consumption'!R6)</f>
        <v>0</v>
      </c>
      <c r="J5" s="1">
        <f>('Kwh Consumption'!S6+'Kwh Consumption'!T6)</f>
        <v>0</v>
      </c>
      <c r="K5" s="1">
        <f>'Kwh Consumption'!U6</f>
        <v>0</v>
      </c>
      <c r="L5" s="32">
        <f t="shared" si="0"/>
        <v>0</v>
      </c>
    </row>
    <row r="6" spans="1:12" x14ac:dyDescent="0.25">
      <c r="A6" s="14">
        <f>'Kwh Reading'!A7</f>
        <v>44259</v>
      </c>
      <c r="B6" s="83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2">
        <f t="shared" si="0"/>
        <v>0</v>
      </c>
    </row>
    <row r="7" spans="1:12" x14ac:dyDescent="0.25">
      <c r="A7" s="14">
        <f>'Kwh Reading'!A8</f>
        <v>44260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44261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44262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44263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44264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44265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44266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44267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44268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44269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44270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44271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44272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44273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44274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44275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44276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44277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44278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44279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44280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0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-202200</v>
      </c>
      <c r="F34" s="75">
        <f t="shared" si="1"/>
        <v>-804710</v>
      </c>
      <c r="G34" s="75">
        <f t="shared" si="1"/>
        <v>-223451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-14999702.220000001</v>
      </c>
      <c r="K34" s="75">
        <f t="shared" si="1"/>
        <v>-121340</v>
      </c>
      <c r="L34" s="75">
        <f t="shared" si="1"/>
        <v>22656313.219999999</v>
      </c>
      <c r="M34" s="84">
        <f>C34+D34+E34+F34+G34+H34+I34+J34+K34+L34</f>
        <v>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-28308.000000000004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-2099958.3108000001</v>
      </c>
      <c r="K36" s="75">
        <f>K34*B36</f>
        <v>-16987.600000000002</v>
      </c>
      <c r="L36" s="75">
        <f>L34*B36</f>
        <v>3171883.8508000001</v>
      </c>
      <c r="M36" s="84">
        <f>C36+D36+E36+F36+G36+H36+I36+J36+K36+L36</f>
        <v>0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0</v>
      </c>
      <c r="D3" s="1">
        <f>'Kwh Consumption'!C4*' Kwh area wise $ '!B3</f>
        <v>-50976.800000000003</v>
      </c>
      <c r="E3" s="1">
        <f>'Kwh Consumption'!D4*' Kwh area wise $ '!B3</f>
        <v>-291760</v>
      </c>
      <c r="F3" s="1">
        <f>'Kwh Consumption'!E4*' Kwh area wise $ '!B3</f>
        <v>-28308.000000000004</v>
      </c>
      <c r="G3" s="1">
        <f>('Kwh Consumption'!F4+'Kwh Consumption'!G4+'Kwh Consumption'!H4)*' Kwh area wise $ '!B3</f>
        <v>-112659.40000000001</v>
      </c>
      <c r="H3" s="16">
        <f>('Kwh Consumption'!I4+'Kwh Consumption'!J4)*' Kwh area wise $ '!B3</f>
        <v>-31283.140000000003</v>
      </c>
      <c r="I3" s="1">
        <f>('Kwh Consumption'!K4+'Kwh Consumption'!L4)*' Kwh area wise $ '!B3</f>
        <v>-142765</v>
      </c>
      <c r="J3" s="1">
        <f>('Kwh Consumption'!M4+'Kwh Consumption'!N4+'Kwh Consumption'!O4+'Kwh Consumption'!P4+'Kwh Consumption'!Q4+'Kwh Consumption'!R4)*' Kwh area wise $ '!B3</f>
        <v>-397185.60000000003</v>
      </c>
      <c r="K3" s="1">
        <f>('Kwh Consumption'!S4+'Kwh Consumption'!T4)*' Kwh area wise $ '!B3</f>
        <v>-2099958.3108000001</v>
      </c>
      <c r="L3" s="1">
        <f>'Kwh Consumption'!U4*' Kwh area wise $ '!B3</f>
        <v>-16987.600000000002</v>
      </c>
      <c r="M3" s="1">
        <f>'Kwh Consumption'!V4*' Kwh area wise $ '!B3</f>
        <v>3171883.8508000001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1">
        <f>('Kwh Consumption'!S5+'Kwh Consumption'!T5)*' Kwh area wise $ '!B4</f>
        <v>0</v>
      </c>
      <c r="L4" s="1">
        <f>'Kwh Consumption'!U5*' Kwh area wise $ '!B4</f>
        <v>0</v>
      </c>
      <c r="M4" s="1">
        <f>'Kwh Consumption'!V5*' Kwh area wise $ '!B4</f>
        <v>0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0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-28308.000000000004</v>
      </c>
      <c r="G34" s="75">
        <f t="shared" si="0"/>
        <v>-112659.40000000001</v>
      </c>
      <c r="H34" s="75">
        <f t="shared" si="0"/>
        <v>-31283.140000000003</v>
      </c>
      <c r="I34" s="75">
        <f t="shared" si="0"/>
        <v>-142765</v>
      </c>
      <c r="J34" s="75">
        <f t="shared" si="0"/>
        <v>-397185.60000000003</v>
      </c>
      <c r="K34" s="75">
        <f t="shared" si="0"/>
        <v>-2099958.3108000001</v>
      </c>
      <c r="L34" s="75">
        <f t="shared" si="0"/>
        <v>-16987.600000000002</v>
      </c>
      <c r="M34" s="75">
        <f>SUM(M3:M33)</f>
        <v>3171883.8508000001</v>
      </c>
      <c r="N34" s="84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tabSelected="1"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" sqref="R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/>
      <c r="C4" s="56"/>
      <c r="D4" s="55"/>
      <c r="E4" s="55"/>
      <c r="F4" s="55"/>
      <c r="G4" s="55"/>
      <c r="H4" s="33"/>
      <c r="I4" s="55"/>
      <c r="J4" s="55"/>
      <c r="K4" s="55"/>
      <c r="L4" s="55"/>
      <c r="M4" s="55"/>
      <c r="N4" s="55"/>
      <c r="O4" s="55"/>
      <c r="P4" s="55"/>
      <c r="Q4" s="33"/>
      <c r="R4" s="55"/>
    </row>
    <row r="5" spans="1:18" x14ac:dyDescent="0.25">
      <c r="A5" s="54">
        <v>44258</v>
      </c>
      <c r="B5" s="55"/>
      <c r="C5" s="33"/>
      <c r="D5" s="55"/>
      <c r="E5" s="55"/>
      <c r="F5" s="55"/>
      <c r="G5" s="55"/>
      <c r="H5" s="33"/>
      <c r="I5" s="55"/>
      <c r="J5" s="55"/>
      <c r="K5" s="55"/>
      <c r="L5" s="55"/>
      <c r="M5" s="55"/>
      <c r="N5" s="55"/>
      <c r="O5" s="55"/>
      <c r="P5" s="55"/>
      <c r="Q5" s="33"/>
      <c r="R5" s="55"/>
    </row>
    <row r="6" spans="1:18" x14ac:dyDescent="0.25">
      <c r="A6" s="54">
        <v>44259</v>
      </c>
      <c r="B6" s="56"/>
      <c r="C6" s="56"/>
      <c r="D6" s="55"/>
      <c r="E6" s="55"/>
      <c r="F6" s="55"/>
      <c r="G6" s="55"/>
      <c r="H6" s="33"/>
      <c r="I6" s="55"/>
      <c r="J6" s="55"/>
      <c r="K6" s="55"/>
      <c r="L6" s="55"/>
      <c r="M6" s="55"/>
      <c r="N6" s="55"/>
      <c r="O6" s="55"/>
      <c r="P6" s="55"/>
      <c r="Q6" s="33"/>
      <c r="R6" s="55"/>
    </row>
    <row r="7" spans="1:18" x14ac:dyDescent="0.25">
      <c r="A7" s="54">
        <v>44260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18" x14ac:dyDescent="0.25">
      <c r="A8" s="54">
        <v>44261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18" x14ac:dyDescent="0.25">
      <c r="A9" s="54">
        <v>44262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18" x14ac:dyDescent="0.25">
      <c r="A10" s="54">
        <v>44263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18" x14ac:dyDescent="0.25">
      <c r="A11" s="54">
        <v>44264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18" x14ac:dyDescent="0.25">
      <c r="A12" s="54">
        <v>44265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18" x14ac:dyDescent="0.25">
      <c r="A13" s="54">
        <v>44266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44267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44268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44269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44270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44271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44272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44273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44274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44275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44276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44277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44278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44279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44280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44281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7" activePane="bottomLeft" state="frozen"/>
      <selection activeCell="C25" sqref="C25"/>
      <selection pane="bottomLeft" activeCell="Y30" sqref="Y3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0</v>
      </c>
      <c r="C4" s="66">
        <f>('Water Reading'!B4-'Water Reading'!B3)+('Water Reading'!C4-'Water Reading'!C3)</f>
        <v>-248856</v>
      </c>
      <c r="D4" s="67" t="e">
        <f>C4/B4</f>
        <v>#DIV/0!</v>
      </c>
      <c r="E4" s="88">
        <f>'Water Reading'!H4-'Water Reading'!H3</f>
        <v>-46691</v>
      </c>
      <c r="F4" s="89">
        <f>E4/C4</f>
        <v>0.18762256083839651</v>
      </c>
      <c r="G4" s="93">
        <f>('Water Reading'!D4-'Water Reading'!D3)-('Water Reading'!R4-'Water Reading'!R3)-('Water Reading'!Q4-'Water Reading'!Q3)</f>
        <v>-185631</v>
      </c>
      <c r="H4" s="89">
        <f>G4/C4</f>
        <v>0.74593740958626675</v>
      </c>
      <c r="I4" s="90">
        <f>'Water Reading'!P4-'Water Reading'!P3</f>
        <v>-25975</v>
      </c>
      <c r="J4" s="68">
        <f>I4/C4</f>
        <v>0.10437763204423442</v>
      </c>
      <c r="K4" s="91">
        <f>('Water Reading'!I4-'Water Reading'!I3)</f>
        <v>-58267</v>
      </c>
      <c r="L4" s="68">
        <f>K4/C4</f>
        <v>0.23413942199504933</v>
      </c>
      <c r="M4" s="90">
        <f>'Water Reading'!R4-'Water Reading'!R3</f>
        <v>-5645</v>
      </c>
      <c r="N4" s="92">
        <f>M4/C4</f>
        <v>2.2683801073713313E-2</v>
      </c>
      <c r="O4" s="90">
        <f>'Water Reading'!Q4-'Water Reading'!Q3</f>
        <v>-162</v>
      </c>
      <c r="P4" s="99">
        <f>O4/C4</f>
        <v>6.5097887935191439E-4</v>
      </c>
      <c r="Q4" s="91">
        <f>'Water Reading'!F4-'Water Reading'!F3</f>
        <v>-66852</v>
      </c>
      <c r="R4" s="100">
        <f>Q4/C4</f>
        <v>0.26863728421255667</v>
      </c>
      <c r="S4" s="90">
        <f>'Water Reading'!E4-'Water Reading'!E3</f>
        <v>-240566</v>
      </c>
      <c r="T4" s="100">
        <f>S4/C4</f>
        <v>0.96668756228501629</v>
      </c>
      <c r="U4" s="90">
        <f>'Water Reading'!G4-'Water Reading'!G3</f>
        <v>-109390</v>
      </c>
      <c r="V4" s="100">
        <f>U4/C4</f>
        <v>0.43957147908830807</v>
      </c>
      <c r="W4" s="90">
        <f>'Water Reading'!J4-'Water Reading'!J3</f>
        <v>-18657</v>
      </c>
      <c r="X4" s="100">
        <f>W4/C4</f>
        <v>7.4971067605362138E-2</v>
      </c>
      <c r="Y4" s="66">
        <f t="shared" ref="Y4:Y34" si="0">E4+I4+K4+M4+O4+G4+Q4+S4+U4+W4</f>
        <v>-757836</v>
      </c>
      <c r="Z4" s="67" t="e">
        <f t="shared" ref="Z4:Z35" si="1">Y4/B4</f>
        <v>#DIV/0!</v>
      </c>
    </row>
    <row r="5" spans="1:26" x14ac:dyDescent="0.25">
      <c r="A5" s="8">
        <f>'Water Reading'!A4</f>
        <v>44257</v>
      </c>
      <c r="B5" s="65">
        <f>TOTAL!I3</f>
        <v>0</v>
      </c>
      <c r="C5" s="66">
        <f>('Water Reading'!B5-'Water Reading'!B4)+('Water Reading'!C5-'Water Reading'!C4)</f>
        <v>0</v>
      </c>
      <c r="D5" s="67" t="e">
        <f t="shared" ref="D5:D34" si="2">C5/B5</f>
        <v>#DIV/0!</v>
      </c>
      <c r="E5" s="88">
        <f>'Water Reading'!H5-'Water Reading'!H4</f>
        <v>0</v>
      </c>
      <c r="F5" s="89" t="e">
        <f t="shared" ref="F5:F34" si="3">E5/C5</f>
        <v>#DIV/0!</v>
      </c>
      <c r="G5" s="93">
        <f>('Water Reading'!D5-'Water Reading'!D4)-('Water Reading'!R5-'Water Reading'!R4)-('Water Reading'!Q5-'Water Reading'!Q4)</f>
        <v>0</v>
      </c>
      <c r="H5" s="89" t="e">
        <f t="shared" ref="H5:H34" si="4">G5/C5</f>
        <v>#DIV/0!</v>
      </c>
      <c r="I5" s="90">
        <f>'Water Reading'!P5-'Water Reading'!P4</f>
        <v>0</v>
      </c>
      <c r="J5" s="68" t="e">
        <f t="shared" ref="J5:J34" si="5">I5/C5</f>
        <v>#DIV/0!</v>
      </c>
      <c r="K5" s="91">
        <f>('Water Reading'!I5-'Water Reading'!I4)</f>
        <v>0</v>
      </c>
      <c r="L5" s="68" t="e">
        <f t="shared" ref="L5:L34" si="6">K5/C5</f>
        <v>#DIV/0!</v>
      </c>
      <c r="M5" s="90">
        <f>'Water Reading'!R5-'Water Reading'!R4</f>
        <v>0</v>
      </c>
      <c r="N5" s="92" t="e">
        <f t="shared" ref="N5:N34" si="7">M5/C5</f>
        <v>#DIV/0!</v>
      </c>
      <c r="O5" s="90">
        <f>'Water Reading'!Q5-'Water Reading'!Q4</f>
        <v>0</v>
      </c>
      <c r="P5" s="99" t="e">
        <f t="shared" ref="P5:P34" si="8">O5/C5</f>
        <v>#DIV/0!</v>
      </c>
      <c r="Q5" s="91">
        <f>'Water Reading'!F5-'Water Reading'!F4</f>
        <v>0</v>
      </c>
      <c r="R5" s="100" t="e">
        <f t="shared" ref="R5:R34" si="9">Q5/C5</f>
        <v>#DIV/0!</v>
      </c>
      <c r="S5" s="90">
        <f>'Water Reading'!E5-'Water Reading'!E4</f>
        <v>0</v>
      </c>
      <c r="T5" s="100" t="e">
        <f t="shared" ref="T5:T34" si="10">S5/C5</f>
        <v>#DIV/0!</v>
      </c>
      <c r="U5" s="90">
        <f>'Water Reading'!G5-'Water Reading'!G4</f>
        <v>0</v>
      </c>
      <c r="V5" s="100" t="e">
        <f t="shared" ref="V5:V34" si="11">U5/C5</f>
        <v>#DIV/0!</v>
      </c>
      <c r="W5" s="90">
        <f>'Water Reading'!J5-'Water Reading'!J4</f>
        <v>0</v>
      </c>
      <c r="X5" s="100" t="e">
        <f t="shared" ref="X5:X34" si="12">W5/C5</f>
        <v>#DIV/0!</v>
      </c>
      <c r="Y5" s="66">
        <f t="shared" si="0"/>
        <v>0</v>
      </c>
      <c r="Z5" s="67" t="e">
        <f t="shared" si="1"/>
        <v>#DIV/0!</v>
      </c>
    </row>
    <row r="6" spans="1:26" x14ac:dyDescent="0.25">
      <c r="A6" s="8">
        <f>'Water Reading'!A5</f>
        <v>44258</v>
      </c>
      <c r="B6" s="65">
        <f>TOTAL!I4</f>
        <v>0</v>
      </c>
      <c r="C6" s="66">
        <f>('Water Reading'!B6-'Water Reading'!B5)+('Water Reading'!C6-'Water Reading'!C5)</f>
        <v>0</v>
      </c>
      <c r="D6" s="67" t="e">
        <f t="shared" si="2"/>
        <v>#DIV/0!</v>
      </c>
      <c r="E6" s="88">
        <f>'Water Reading'!H6-'Water Reading'!H5</f>
        <v>0</v>
      </c>
      <c r="F6" s="89" t="e">
        <f t="shared" si="3"/>
        <v>#DIV/0!</v>
      </c>
      <c r="G6" s="93">
        <f>('Water Reading'!D6-'Water Reading'!D5)-('Water Reading'!R6-'Water Reading'!R5)-('Water Reading'!Q6-'Water Reading'!Q5)</f>
        <v>0</v>
      </c>
      <c r="H6" s="89" t="e">
        <f t="shared" si="4"/>
        <v>#DIV/0!</v>
      </c>
      <c r="I6" s="90">
        <f>'Water Reading'!P6-'Water Reading'!P5</f>
        <v>0</v>
      </c>
      <c r="J6" s="68" t="e">
        <f t="shared" si="5"/>
        <v>#DIV/0!</v>
      </c>
      <c r="K6" s="91">
        <f>('Water Reading'!I6-'Water Reading'!I5)</f>
        <v>0</v>
      </c>
      <c r="L6" s="68" t="e">
        <f t="shared" si="6"/>
        <v>#DIV/0!</v>
      </c>
      <c r="M6" s="90">
        <f>'Water Reading'!R6-'Water Reading'!R5</f>
        <v>0</v>
      </c>
      <c r="N6" s="92" t="e">
        <f t="shared" si="7"/>
        <v>#DIV/0!</v>
      </c>
      <c r="O6" s="90">
        <f>'Water Reading'!Q6-'Water Reading'!Q5</f>
        <v>0</v>
      </c>
      <c r="P6" s="99" t="e">
        <f t="shared" si="8"/>
        <v>#DIV/0!</v>
      </c>
      <c r="Q6" s="91">
        <f>'Water Reading'!F6-'Water Reading'!F5</f>
        <v>0</v>
      </c>
      <c r="R6" s="100" t="e">
        <f t="shared" si="9"/>
        <v>#DIV/0!</v>
      </c>
      <c r="S6" s="90">
        <f>'Water Reading'!E6-'Water Reading'!E5</f>
        <v>0</v>
      </c>
      <c r="T6" s="100" t="e">
        <f t="shared" si="10"/>
        <v>#DIV/0!</v>
      </c>
      <c r="U6" s="90">
        <f>'Water Reading'!G6-'Water Reading'!G5</f>
        <v>0</v>
      </c>
      <c r="V6" s="100" t="e">
        <f t="shared" si="11"/>
        <v>#DIV/0!</v>
      </c>
      <c r="W6" s="90">
        <f>'Water Reading'!J6-'Water Reading'!J5</f>
        <v>0</v>
      </c>
      <c r="X6" s="100" t="e">
        <f t="shared" si="12"/>
        <v>#DIV/0!</v>
      </c>
      <c r="Y6" s="66">
        <f t="shared" si="0"/>
        <v>0</v>
      </c>
      <c r="Z6" s="67" t="e">
        <f t="shared" si="1"/>
        <v>#DIV/0!</v>
      </c>
    </row>
    <row r="7" spans="1:26" x14ac:dyDescent="0.25">
      <c r="A7" s="8">
        <f>'Water Reading'!A6</f>
        <v>44259</v>
      </c>
      <c r="B7" s="65">
        <f>TOTAL!I5</f>
        <v>0</v>
      </c>
      <c r="C7" s="66">
        <f>('Water Reading'!B7-'Water Reading'!B6)+('Water Reading'!C7-'Water Reading'!C6)</f>
        <v>0</v>
      </c>
      <c r="D7" s="67" t="e">
        <f t="shared" si="2"/>
        <v>#DIV/0!</v>
      </c>
      <c r="E7" s="88">
        <f>'Water Reading'!H7-'Water Reading'!H6</f>
        <v>0</v>
      </c>
      <c r="F7" s="89" t="e">
        <f t="shared" si="3"/>
        <v>#DIV/0!</v>
      </c>
      <c r="G7" s="93">
        <f>('Water Reading'!D7-'Water Reading'!D6)-('Water Reading'!R7-'Water Reading'!R6)-('Water Reading'!Q7-'Water Reading'!Q6)</f>
        <v>0</v>
      </c>
      <c r="H7" s="89" t="e">
        <f t="shared" si="4"/>
        <v>#DIV/0!</v>
      </c>
      <c r="I7" s="90">
        <f>'Water Reading'!P7-'Water Reading'!P6</f>
        <v>0</v>
      </c>
      <c r="J7" s="68" t="e">
        <f t="shared" si="5"/>
        <v>#DIV/0!</v>
      </c>
      <c r="K7" s="91">
        <f>('Water Reading'!I7-'Water Reading'!I6)</f>
        <v>0</v>
      </c>
      <c r="L7" s="68" t="e">
        <f t="shared" si="6"/>
        <v>#DIV/0!</v>
      </c>
      <c r="M7" s="90">
        <f>'Water Reading'!R7-'Water Reading'!R6</f>
        <v>0</v>
      </c>
      <c r="N7" s="92" t="e">
        <f t="shared" si="7"/>
        <v>#DIV/0!</v>
      </c>
      <c r="O7" s="90">
        <f>'Water Reading'!Q7-'Water Reading'!Q6</f>
        <v>0</v>
      </c>
      <c r="P7" s="99" t="e">
        <f t="shared" si="8"/>
        <v>#DIV/0!</v>
      </c>
      <c r="Q7" s="91">
        <f>'Water Reading'!F7-'Water Reading'!F6</f>
        <v>0</v>
      </c>
      <c r="R7" s="100" t="e">
        <f t="shared" si="9"/>
        <v>#DIV/0!</v>
      </c>
      <c r="S7" s="90">
        <f>'Water Reading'!E7-'Water Reading'!E6</f>
        <v>0</v>
      </c>
      <c r="T7" s="100" t="e">
        <f t="shared" si="10"/>
        <v>#DIV/0!</v>
      </c>
      <c r="U7" s="90">
        <f>'Water Reading'!G7-'Water Reading'!G6</f>
        <v>0</v>
      </c>
      <c r="V7" s="100" t="e">
        <f t="shared" si="11"/>
        <v>#DIV/0!</v>
      </c>
      <c r="W7" s="90">
        <f>'Water Reading'!J7-'Water Reading'!J6</f>
        <v>0</v>
      </c>
      <c r="X7" s="100" t="e">
        <f t="shared" si="12"/>
        <v>#DIV/0!</v>
      </c>
      <c r="Y7" s="66">
        <f t="shared" si="0"/>
        <v>0</v>
      </c>
      <c r="Z7" s="67" t="e">
        <f t="shared" si="1"/>
        <v>#DIV/0!</v>
      </c>
    </row>
    <row r="8" spans="1:26" x14ac:dyDescent="0.25">
      <c r="A8" s="8">
        <f>'Water Reading'!A7</f>
        <v>44260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44261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44262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44263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44264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44265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44266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44267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44268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44269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44270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44271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44272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44273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44274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44275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44276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44277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44278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44279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44280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0</v>
      </c>
      <c r="C35" s="75">
        <f>SUM(C4:C34)</f>
        <v>-248856</v>
      </c>
      <c r="D35" s="96" t="e">
        <f>C35/B35</f>
        <v>#DIV/0!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-58267</v>
      </c>
      <c r="L35" s="95">
        <f>K35/C35</f>
        <v>0.23413942199504933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-757836</v>
      </c>
      <c r="Z35" s="95" t="e">
        <f t="shared" si="1"/>
        <v>#DIV/0!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2021-03-01T05:05:37Z</dcterms:modified>
  <cp:category/>
  <cp:contentStatus/>
</cp:coreProperties>
</file>