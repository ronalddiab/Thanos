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12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3254" documentId="8_{5B502D95-7A37-4D5A-8B6B-374537CC2F26}" xr6:coauthVersionLast="47" xr6:coauthVersionMax="47" xr10:uidLastSave="{EBCBEFF6-4E6A-4ADE-8DA1-29EF6EA7EFA0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32" i="2" l="1"/>
  <c r="N33" i="2"/>
  <c r="M33" i="2"/>
  <c r="L33" i="2"/>
  <c r="F33" i="2"/>
  <c r="K32" i="6"/>
  <c r="I32" i="6"/>
  <c r="G32" i="6"/>
  <c r="E32" i="6"/>
  <c r="C32" i="6"/>
  <c r="V31" i="2"/>
  <c r="N32" i="2"/>
  <c r="M32" i="2"/>
  <c r="L32" i="2"/>
  <c r="F32" i="2"/>
  <c r="K31" i="6"/>
  <c r="I31" i="6"/>
  <c r="G31" i="6"/>
  <c r="E31" i="6"/>
  <c r="C31" i="6"/>
  <c r="V30" i="2"/>
  <c r="N31" i="2"/>
  <c r="M31" i="2"/>
  <c r="L31" i="2"/>
  <c r="F31" i="2"/>
  <c r="K30" i="6"/>
  <c r="I30" i="6"/>
  <c r="G30" i="6"/>
  <c r="E30" i="6"/>
  <c r="C30" i="6"/>
  <c r="V29" i="2"/>
  <c r="N30" i="2"/>
  <c r="M30" i="2"/>
  <c r="F30" i="2"/>
  <c r="K29" i="6"/>
  <c r="I29" i="6"/>
  <c r="G29" i="6"/>
  <c r="E29" i="6"/>
  <c r="C29" i="6"/>
  <c r="V26" i="2"/>
  <c r="V27" i="2"/>
  <c r="V28" i="2"/>
  <c r="N27" i="2"/>
  <c r="N28" i="2"/>
  <c r="N29" i="2"/>
  <c r="M27" i="2"/>
  <c r="M28" i="2"/>
  <c r="M29" i="2"/>
  <c r="L27" i="2"/>
  <c r="L28" i="2"/>
  <c r="L29" i="2"/>
  <c r="L30" i="2"/>
  <c r="F27" i="2"/>
  <c r="F28" i="2"/>
  <c r="F29" i="2"/>
  <c r="C28" i="6"/>
  <c r="K28" i="6"/>
  <c r="I28" i="6"/>
  <c r="G28" i="6"/>
  <c r="E28" i="6"/>
  <c r="K27" i="6"/>
  <c r="I27" i="6"/>
  <c r="G27" i="6"/>
  <c r="E27" i="6"/>
  <c r="C27" i="6"/>
  <c r="K26" i="6"/>
  <c r="I26" i="6"/>
  <c r="G26" i="6"/>
  <c r="E26" i="6"/>
  <c r="C26" i="6"/>
  <c r="V25" i="2"/>
  <c r="N26" i="2"/>
  <c r="M26" i="2"/>
  <c r="L26" i="2"/>
  <c r="F26" i="2"/>
  <c r="K25" i="6"/>
  <c r="I25" i="6"/>
  <c r="G25" i="6"/>
  <c r="E25" i="6"/>
  <c r="C25" i="6"/>
  <c r="V24" i="2"/>
  <c r="N25" i="2"/>
  <c r="M25" i="2"/>
  <c r="L25" i="2"/>
  <c r="F25" i="2"/>
  <c r="K24" i="6"/>
  <c r="I24" i="6"/>
  <c r="G24" i="6"/>
  <c r="E24" i="6"/>
  <c r="C24" i="6"/>
  <c r="V23" i="2"/>
  <c r="N24" i="2"/>
  <c r="M24" i="2"/>
  <c r="L24" i="2"/>
  <c r="F24" i="2"/>
  <c r="K23" i="6"/>
  <c r="I23" i="6"/>
  <c r="G23" i="6"/>
  <c r="E23" i="6"/>
  <c r="C23" i="6"/>
  <c r="V22" i="2"/>
  <c r="N23" i="2"/>
  <c r="M23" i="2"/>
  <c r="L23" i="2"/>
  <c r="F23" i="2"/>
  <c r="K22" i="6"/>
  <c r="I22" i="6"/>
  <c r="G22" i="6"/>
  <c r="E22" i="6"/>
  <c r="C22" i="6"/>
  <c r="V19" i="2"/>
  <c r="V20" i="2"/>
  <c r="V21" i="2"/>
  <c r="N20" i="2"/>
  <c r="N21" i="2"/>
  <c r="N22" i="2"/>
  <c r="M20" i="2"/>
  <c r="M21" i="2"/>
  <c r="M22" i="2"/>
  <c r="L20" i="2"/>
  <c r="L21" i="2"/>
  <c r="L22" i="2"/>
  <c r="F20" i="2"/>
  <c r="F21" i="2"/>
  <c r="F22" i="2"/>
  <c r="K21" i="6"/>
  <c r="I21" i="6"/>
  <c r="G21" i="6"/>
  <c r="E21" i="6"/>
  <c r="C21" i="6"/>
  <c r="K19" i="6"/>
  <c r="K20" i="6"/>
  <c r="I19" i="6"/>
  <c r="I20" i="6"/>
  <c r="G19" i="6"/>
  <c r="G20" i="6"/>
  <c r="E19" i="6"/>
  <c r="E20" i="6"/>
  <c r="C19" i="6"/>
  <c r="C20" i="6"/>
  <c r="V18" i="2"/>
  <c r="N19" i="2"/>
  <c r="M19" i="2"/>
  <c r="L19" i="2"/>
  <c r="F19" i="2"/>
  <c r="K18" i="6"/>
  <c r="I18" i="6"/>
  <c r="G18" i="6"/>
  <c r="E18" i="6"/>
  <c r="C18" i="6"/>
  <c r="V17" i="2"/>
  <c r="N18" i="2"/>
  <c r="M18" i="2"/>
  <c r="L18" i="2"/>
  <c r="F18" i="2"/>
  <c r="K17" i="6"/>
  <c r="I17" i="6"/>
  <c r="G17" i="6"/>
  <c r="E17" i="6"/>
  <c r="C17" i="6"/>
  <c r="V16" i="2"/>
  <c r="N17" i="2"/>
  <c r="M17" i="2"/>
  <c r="L17" i="2"/>
  <c r="F17" i="2"/>
  <c r="K16" i="6"/>
  <c r="I16" i="6"/>
  <c r="G16" i="6"/>
  <c r="E16" i="6"/>
  <c r="C16" i="6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" i="22"/>
  <c r="G4" i="22"/>
  <c r="G5" i="22"/>
  <c r="G6" i="22"/>
  <c r="G7" i="22"/>
  <c r="V15" i="2"/>
  <c r="N16" i="2"/>
  <c r="M16" i="2"/>
  <c r="L16" i="2"/>
  <c r="F16" i="2"/>
  <c r="K15" i="6"/>
  <c r="I15" i="6"/>
  <c r="G15" i="6"/>
  <c r="E15" i="6"/>
  <c r="C15" i="6"/>
  <c r="V11" i="2"/>
  <c r="V12" i="2"/>
  <c r="V13" i="2"/>
  <c r="V14" i="2"/>
  <c r="N12" i="2"/>
  <c r="N13" i="2"/>
  <c r="N14" i="2"/>
  <c r="N15" i="2"/>
  <c r="M12" i="2"/>
  <c r="M13" i="2"/>
  <c r="M14" i="2"/>
  <c r="M15" i="2"/>
  <c r="L12" i="2"/>
  <c r="L13" i="2"/>
  <c r="L14" i="2"/>
  <c r="L15" i="2"/>
  <c r="F12" i="2"/>
  <c r="F13" i="2"/>
  <c r="F14" i="2"/>
  <c r="F15" i="2"/>
  <c r="K14" i="6"/>
  <c r="I14" i="6"/>
  <c r="G14" i="6"/>
  <c r="E14" i="6"/>
  <c r="C14" i="6"/>
  <c r="K13" i="6"/>
  <c r="I13" i="6"/>
  <c r="G13" i="6"/>
  <c r="E13" i="6"/>
  <c r="C13" i="6"/>
  <c r="K12" i="6"/>
  <c r="I12" i="6"/>
  <c r="G12" i="6"/>
  <c r="E12" i="6"/>
  <c r="C12" i="6"/>
  <c r="K11" i="6"/>
  <c r="I11" i="6"/>
  <c r="G11" i="6"/>
  <c r="E11" i="6"/>
  <c r="C11" i="6"/>
  <c r="V10" i="2"/>
  <c r="N10" i="2"/>
  <c r="M10" i="2"/>
  <c r="L10" i="2"/>
  <c r="F10" i="2"/>
  <c r="K10" i="6"/>
  <c r="N11" i="2" s="1"/>
  <c r="I10" i="6"/>
  <c r="M11" i="2" s="1"/>
  <c r="G10" i="6"/>
  <c r="L11" i="2" s="1"/>
  <c r="E10" i="6"/>
  <c r="F11" i="2" s="1"/>
  <c r="C10" i="6"/>
  <c r="C35" i="4"/>
  <c r="X36" i="2"/>
  <c r="X37" i="2"/>
  <c r="X38" i="2"/>
  <c r="H39" i="2"/>
  <c r="D29" i="10"/>
  <c r="X34" i="2"/>
  <c r="X35" i="2"/>
  <c r="X27" i="2"/>
  <c r="X28" i="2"/>
  <c r="X29" i="2"/>
  <c r="X30" i="2"/>
  <c r="X31" i="2"/>
  <c r="X32" i="2"/>
  <c r="X33" i="2"/>
  <c r="X21" i="2"/>
  <c r="X22" i="2"/>
  <c r="X23" i="2"/>
  <c r="X24" i="2"/>
  <c r="X25" i="2"/>
  <c r="X26" i="2"/>
  <c r="X20" i="2"/>
  <c r="X19" i="2"/>
  <c r="X11" i="2"/>
  <c r="X12" i="2"/>
  <c r="X13" i="2"/>
  <c r="X14" i="2"/>
  <c r="X15" i="2"/>
  <c r="X16" i="2"/>
  <c r="X17" i="2"/>
  <c r="X18" i="2"/>
  <c r="X10" i="2"/>
  <c r="G4" i="4"/>
  <c r="E4" i="4"/>
  <c r="C4" i="4"/>
  <c r="L31" i="22"/>
  <c r="K31" i="22"/>
  <c r="I31" i="22"/>
  <c r="I31" i="21"/>
  <c r="H31" i="21"/>
  <c r="G31" i="21"/>
  <c r="F31" i="21"/>
  <c r="E31" i="21"/>
  <c r="E31" i="22" s="1"/>
  <c r="Q39" i="2"/>
  <c r="O39" i="2"/>
  <c r="Q10" i="2"/>
  <c r="L27" i="22"/>
  <c r="L28" i="22"/>
  <c r="L29" i="22"/>
  <c r="L30" i="22"/>
  <c r="K27" i="22"/>
  <c r="K28" i="22"/>
  <c r="K29" i="22"/>
  <c r="K30" i="22"/>
  <c r="I27" i="22"/>
  <c r="I28" i="22"/>
  <c r="I29" i="22"/>
  <c r="I30" i="22"/>
  <c r="I26" i="21"/>
  <c r="I27" i="21"/>
  <c r="I28" i="21"/>
  <c r="I29" i="21"/>
  <c r="I30" i="21"/>
  <c r="H26" i="21"/>
  <c r="H27" i="21"/>
  <c r="H28" i="21"/>
  <c r="H29" i="21"/>
  <c r="H30" i="21"/>
  <c r="G27" i="21"/>
  <c r="G28" i="21"/>
  <c r="G29" i="21"/>
  <c r="G30" i="21"/>
  <c r="F27" i="21"/>
  <c r="F28" i="21"/>
  <c r="F29" i="21"/>
  <c r="F30" i="21"/>
  <c r="E27" i="21"/>
  <c r="E27" i="22" s="1"/>
  <c r="E28" i="21"/>
  <c r="E28" i="22" s="1"/>
  <c r="E29" i="21"/>
  <c r="E29" i="22" s="1"/>
  <c r="E30" i="21"/>
  <c r="E30" i="22" s="1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30" i="4"/>
  <c r="G31" i="4"/>
  <c r="G33" i="4"/>
  <c r="G35" i="4"/>
  <c r="E28" i="4"/>
  <c r="E30" i="4"/>
  <c r="E31" i="4"/>
  <c r="E33" i="4"/>
  <c r="E35" i="4"/>
  <c r="C28" i="4"/>
  <c r="C30" i="4"/>
  <c r="C33" i="4"/>
  <c r="I30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I25" i="21"/>
  <c r="H23" i="21"/>
  <c r="H24" i="21"/>
  <c r="H25" i="21"/>
  <c r="G23" i="21"/>
  <c r="G24" i="21"/>
  <c r="G25" i="21"/>
  <c r="G26" i="21"/>
  <c r="F23" i="21"/>
  <c r="F24" i="21"/>
  <c r="F25" i="21"/>
  <c r="F26" i="21"/>
  <c r="E26" i="22" s="1"/>
  <c r="E23" i="21"/>
  <c r="E23" i="22" s="1"/>
  <c r="E24" i="21"/>
  <c r="E24" i="22" s="1"/>
  <c r="E25" i="21"/>
  <c r="E25" i="22" s="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F40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G14" i="4" l="1"/>
  <c r="E14" i="4"/>
  <c r="C14" i="4"/>
  <c r="P34" i="4"/>
  <c r="X39" i="2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0" i="2"/>
  <c r="Q40" i="2" s="1"/>
  <c r="E22" i="22"/>
  <c r="E19" i="2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M19" i="22" l="1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P4" i="4" s="1"/>
  <c r="N43" i="4"/>
  <c r="M3" i="22"/>
  <c r="I47" i="2" l="1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L47" i="4"/>
  <c r="M47" i="4"/>
  <c r="I48" i="2" l="1"/>
  <c r="L48" i="2" s="1"/>
  <c r="N48" i="2" s="1"/>
</calcChain>
</file>

<file path=xl/sharedStrings.xml><?xml version="1.0" encoding="utf-8"?>
<sst xmlns="http://schemas.openxmlformats.org/spreadsheetml/2006/main" count="482" uniqueCount="187">
  <si>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</si>
  <si>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</si>
  <si>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</si>
  <si>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</si>
  <si>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</si>
  <si>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</si>
  <si>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</si>
  <si>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</si>
  <si>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</si>
  <si>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</si>
  <si>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</si>
  <si>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</si>
  <si>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</si>
  <si>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</si>
  <si>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</si>
  <si>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</si>
  <si>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</si>
  <si>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</si>
  <si>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</si>
  <si>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</si>
  <si>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</si>
  <si>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</si>
  <si>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</si>
  <si>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</si>
  <si>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</si>
  <si>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</si>
  <si>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</si>
  <si>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</si>
  <si>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</si>
  <si>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</si>
  <si>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</si>
  <si>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</si>
  <si>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</si>
  <si>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</si>
  <si>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</si>
  <si>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</si>
  <si>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</si>
  <si>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</si>
  <si>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</si>
  <si>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</si>
  <si>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</si>
  <si>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JUIN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</si>
  <si>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</si>
  <si>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</si>
  <si>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</si>
  <si>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</si>
  <si>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</si>
  <si>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</si>
  <si>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</si>
  <si>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</si>
  <si>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</si>
  <si>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</si>
  <si>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</si>
  <si>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</si>
  <si>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</si>
  <si>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</si>
  <si>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</si>
  <si>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juin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</si>
  <si>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</si>
  <si>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</si>
  <si>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</si>
  <si>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</si>
  <si>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</si>
  <si>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</si>
  <si>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</si>
  <si>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</si>
  <si>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</si>
  <si>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</si>
  <si>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</si>
  <si>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</si>
  <si>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</si>
  <si>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</si>
  <si>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</si>
  <si>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</si>
  <si>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</si>
  <si>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</si>
  <si>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</si>
  <si>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</si>
  <si>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</si>
  <si>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</si>
  <si>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</si>
  <si>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</si>
  <si>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</si>
  <si>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</si>
  <si>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</si>
  <si>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</si>
  <si>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</si>
  <si>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juin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</si>
  <si>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</si>
  <si>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</si>
  <si>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</si>
  <si>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</si>
  <si>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</si>
  <si>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</si>
  <si>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</si>
  <si>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</si>
  <si>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</si>
  <si>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</si>
  <si>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</si>
  <si>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</si>
  <si>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</si>
  <si>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</si>
  <si>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</si>
  <si>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</si>
  <si>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</si>
  <si>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</si>
  <si>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</si>
  <si>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</si>
  <si>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</si>
  <si>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</si>
  <si>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</si>
  <si>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</si>
  <si>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</si>
  <si>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</si>
  <si>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</si>
  <si>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</si>
  <si>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</si>
  <si>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</si>
  <si>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</si>
  <si>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</si>
  <si>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</si>
  <si>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</si>
  <si>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</si>
  <si>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</si>
  <si>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</si>
  <si>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</si>
  <si>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</si>
  <si>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</si>
  <si>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</si>
  <si>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</si>
  <si>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</si>
  <si>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</si>
  <si>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juin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</si>
  <si>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</si>
  <si>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</si>
  <si>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</si>
  <si>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</si>
  <si>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</si>
  <si>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</si>
  <si>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</si>
  <si>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</si>
  <si>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</si>
  <si>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</si>
  <si>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</si>
  <si>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</si>
  <si>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</si>
  <si>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</si>
  <si>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</si>
  <si>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</si>
  <si>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</si>
  <si>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</si>
  <si>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</si>
  <si>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</si>
  <si>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Estimation de la consommation d'Eau Sanitaire MAI 2022</t>
  </si>
  <si>
    <t>Tranche 5</t>
  </si>
  <si>
    <t>Estimation de la consommation d'Eau incendie MAI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</si>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</sst>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267</c:v>
                </c:pt>
                <c:pt idx="1">
                  <c:v>165.29999999998836</c:v>
                </c:pt>
                <c:pt idx="2">
                  <c:v>158.90000000002328</c:v>
                </c:pt>
                <c:pt idx="3">
                  <c:v>157.79999999998836</c:v>
                </c:pt>
                <c:pt idx="4">
                  <c:v>160</c:v>
                </c:pt>
                <c:pt idx="5">
                  <c:v>145</c:v>
                </c:pt>
                <c:pt idx="6">
                  <c:v>155</c:v>
                </c:pt>
                <c:pt idx="7">
                  <c:v>139</c:v>
                </c:pt>
                <c:pt idx="8">
                  <c:v>135</c:v>
                </c:pt>
                <c:pt idx="9">
                  <c:v>175.29999999998836</c:v>
                </c:pt>
                <c:pt idx="10">
                  <c:v>170.60000000000582</c:v>
                </c:pt>
                <c:pt idx="11">
                  <c:v>163.10000000000582</c:v>
                </c:pt>
                <c:pt idx="12">
                  <c:v>151</c:v>
                </c:pt>
                <c:pt idx="13">
                  <c:v>149.10000000000582</c:v>
                </c:pt>
                <c:pt idx="14">
                  <c:v>153</c:v>
                </c:pt>
                <c:pt idx="15">
                  <c:v>161.89999999999418</c:v>
                </c:pt>
                <c:pt idx="16">
                  <c:v>160</c:v>
                </c:pt>
                <c:pt idx="17">
                  <c:v>182</c:v>
                </c:pt>
                <c:pt idx="18">
                  <c:v>156.39999999999418</c:v>
                </c:pt>
                <c:pt idx="19">
                  <c:v>287.60000000000582</c:v>
                </c:pt>
                <c:pt idx="20">
                  <c:v>155.10000000000582</c:v>
                </c:pt>
                <c:pt idx="21">
                  <c:v>179.19999999998254</c:v>
                </c:pt>
                <c:pt idx="22">
                  <c:v>158.70000000001164</c:v>
                </c:pt>
                <c:pt idx="23">
                  <c:v>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4384</c:v>
                </c:pt>
                <c:pt idx="1">
                  <c:v>4441</c:v>
                </c:pt>
                <c:pt idx="2">
                  <c:v>3749</c:v>
                </c:pt>
                <c:pt idx="3">
                  <c:v>4936</c:v>
                </c:pt>
                <c:pt idx="4">
                  <c:v>4461</c:v>
                </c:pt>
                <c:pt idx="5">
                  <c:v>4437</c:v>
                </c:pt>
                <c:pt idx="6">
                  <c:v>4900</c:v>
                </c:pt>
                <c:pt idx="7">
                  <c:v>5117</c:v>
                </c:pt>
                <c:pt idx="8">
                  <c:v>5025</c:v>
                </c:pt>
                <c:pt idx="9">
                  <c:v>4793</c:v>
                </c:pt>
                <c:pt idx="10">
                  <c:v>5146</c:v>
                </c:pt>
                <c:pt idx="11">
                  <c:v>5362</c:v>
                </c:pt>
                <c:pt idx="12">
                  <c:v>4871</c:v>
                </c:pt>
                <c:pt idx="13">
                  <c:v>4707</c:v>
                </c:pt>
                <c:pt idx="14">
                  <c:v>5447</c:v>
                </c:pt>
                <c:pt idx="15">
                  <c:v>6069</c:v>
                </c:pt>
                <c:pt idx="16">
                  <c:v>4705</c:v>
                </c:pt>
                <c:pt idx="17">
                  <c:v>6739</c:v>
                </c:pt>
                <c:pt idx="18">
                  <c:v>4891</c:v>
                </c:pt>
                <c:pt idx="19">
                  <c:v>4790</c:v>
                </c:pt>
                <c:pt idx="20">
                  <c:v>4704</c:v>
                </c:pt>
                <c:pt idx="21">
                  <c:v>4239</c:v>
                </c:pt>
                <c:pt idx="22">
                  <c:v>4926</c:v>
                </c:pt>
                <c:pt idx="23">
                  <c:v>4361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9147</c:v>
                </c:pt>
                <c:pt idx="1">
                  <c:v>10256</c:v>
                </c:pt>
                <c:pt idx="2">
                  <c:v>10529</c:v>
                </c:pt>
                <c:pt idx="3">
                  <c:v>10072</c:v>
                </c:pt>
                <c:pt idx="4">
                  <c:v>10146</c:v>
                </c:pt>
                <c:pt idx="5">
                  <c:v>9912</c:v>
                </c:pt>
                <c:pt idx="6">
                  <c:v>10384</c:v>
                </c:pt>
                <c:pt idx="7">
                  <c:v>10773</c:v>
                </c:pt>
                <c:pt idx="8">
                  <c:v>10593</c:v>
                </c:pt>
                <c:pt idx="9">
                  <c:v>10865</c:v>
                </c:pt>
                <c:pt idx="10">
                  <c:v>10605</c:v>
                </c:pt>
                <c:pt idx="11">
                  <c:v>11461</c:v>
                </c:pt>
                <c:pt idx="12">
                  <c:v>12046</c:v>
                </c:pt>
                <c:pt idx="13">
                  <c:v>11903</c:v>
                </c:pt>
                <c:pt idx="14">
                  <c:v>11104</c:v>
                </c:pt>
                <c:pt idx="15">
                  <c:v>11429</c:v>
                </c:pt>
                <c:pt idx="16">
                  <c:v>9475</c:v>
                </c:pt>
                <c:pt idx="17">
                  <c:v>10063</c:v>
                </c:pt>
                <c:pt idx="18">
                  <c:v>8929</c:v>
                </c:pt>
                <c:pt idx="19">
                  <c:v>9626</c:v>
                </c:pt>
                <c:pt idx="20">
                  <c:v>9949</c:v>
                </c:pt>
                <c:pt idx="21">
                  <c:v>8691</c:v>
                </c:pt>
                <c:pt idx="22">
                  <c:v>10122</c:v>
                </c:pt>
                <c:pt idx="23">
                  <c:v>9600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3394</c:v>
                </c:pt>
                <c:pt idx="1">
                  <c:v>3721</c:v>
                </c:pt>
                <c:pt idx="2">
                  <c:v>3819</c:v>
                </c:pt>
                <c:pt idx="3">
                  <c:v>3952</c:v>
                </c:pt>
                <c:pt idx="4">
                  <c:v>3938</c:v>
                </c:pt>
                <c:pt idx="5">
                  <c:v>3710</c:v>
                </c:pt>
                <c:pt idx="6">
                  <c:v>4539</c:v>
                </c:pt>
                <c:pt idx="7">
                  <c:v>4172</c:v>
                </c:pt>
                <c:pt idx="8">
                  <c:v>4219</c:v>
                </c:pt>
                <c:pt idx="9">
                  <c:v>3986</c:v>
                </c:pt>
                <c:pt idx="10">
                  <c:v>4231</c:v>
                </c:pt>
                <c:pt idx="11">
                  <c:v>4511</c:v>
                </c:pt>
                <c:pt idx="12">
                  <c:v>4428</c:v>
                </c:pt>
                <c:pt idx="13">
                  <c:v>4890</c:v>
                </c:pt>
                <c:pt idx="14">
                  <c:v>4048</c:v>
                </c:pt>
                <c:pt idx="15">
                  <c:v>4644</c:v>
                </c:pt>
                <c:pt idx="16">
                  <c:v>3945</c:v>
                </c:pt>
                <c:pt idx="17">
                  <c:v>5247</c:v>
                </c:pt>
                <c:pt idx="18">
                  <c:v>3584</c:v>
                </c:pt>
                <c:pt idx="19">
                  <c:v>4619</c:v>
                </c:pt>
                <c:pt idx="20">
                  <c:v>3687</c:v>
                </c:pt>
                <c:pt idx="21">
                  <c:v>3846</c:v>
                </c:pt>
                <c:pt idx="22">
                  <c:v>3714</c:v>
                </c:pt>
                <c:pt idx="23">
                  <c:v>3351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159.99605</c:v>
                </c:pt>
                <c:pt idx="1">
                  <c:v>287.99288999999999</c:v>
                </c:pt>
                <c:pt idx="2">
                  <c:v>319.99209999999999</c:v>
                </c:pt>
                <c:pt idx="3">
                  <c:v>352.6567</c:v>
                </c:pt>
                <c:pt idx="4">
                  <c:v>287.99288999999999</c:v>
                </c:pt>
                <c:pt idx="5">
                  <c:v>127.99684000000001</c:v>
                </c:pt>
                <c:pt idx="6">
                  <c:v>351.99131</c:v>
                </c:pt>
                <c:pt idx="7">
                  <c:v>223.99447000000001</c:v>
                </c:pt>
                <c:pt idx="8">
                  <c:v>287.99288999999999</c:v>
                </c:pt>
                <c:pt idx="9">
                  <c:v>383.99052</c:v>
                </c:pt>
                <c:pt idx="10">
                  <c:v>415.98973000000001</c:v>
                </c:pt>
                <c:pt idx="11">
                  <c:v>159.99605</c:v>
                </c:pt>
                <c:pt idx="12">
                  <c:v>95.997630000000001</c:v>
                </c:pt>
                <c:pt idx="13">
                  <c:v>287.99288999999999</c:v>
                </c:pt>
                <c:pt idx="14">
                  <c:v>159.99605</c:v>
                </c:pt>
                <c:pt idx="15">
                  <c:v>255.99368000000001</c:v>
                </c:pt>
                <c:pt idx="16">
                  <c:v>351.99131</c:v>
                </c:pt>
                <c:pt idx="17">
                  <c:v>223.99447000000001</c:v>
                </c:pt>
                <c:pt idx="18">
                  <c:v>415.98973000000001</c:v>
                </c:pt>
                <c:pt idx="19">
                  <c:v>255.99368000000001</c:v>
                </c:pt>
                <c:pt idx="20">
                  <c:v>287.99288999999999</c:v>
                </c:pt>
                <c:pt idx="21">
                  <c:v>351.99131</c:v>
                </c:pt>
                <c:pt idx="22">
                  <c:v>255.99368000000001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workbookViewId="0">
      <selection activeCell="G2" sqref="G2:G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6</v>
      </c>
      <c r="D2" s="141">
        <v>2022</v>
      </c>
      <c r="E2" s="137">
        <f>submetering!E2+submetering!F2+submetering!G2</f>
        <v>16925</v>
      </c>
      <c r="F2" s="134">
        <v>1.05</v>
      </c>
      <c r="G2" s="134">
        <f>'Consommation mensuel énergie'!V10</f>
        <v>159.99605</v>
      </c>
      <c r="H2" s="134">
        <v>13.14</v>
      </c>
      <c r="I2" s="134">
        <f>'Consommation mensuel énergie'!F10</f>
        <v>267</v>
      </c>
      <c r="J2" s="134">
        <v>11.4</v>
      </c>
      <c r="K2" s="137">
        <f>'Consommation mensuel énergie'!D10</f>
        <v>179</v>
      </c>
      <c r="L2" s="137">
        <f>'Consommation mensuel énergie'!E10</f>
        <v>253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6</v>
      </c>
      <c r="D3" s="141">
        <v>2022</v>
      </c>
      <c r="E3" s="137">
        <f>submetering!E3+submetering!F3+submetering!G3</f>
        <v>18635</v>
      </c>
      <c r="F3" s="134">
        <v>1.05</v>
      </c>
      <c r="G3" s="134">
        <f>'Consommation mensuel énergie'!V11</f>
        <v>287.99288999999999</v>
      </c>
      <c r="H3" s="134">
        <v>13.14</v>
      </c>
      <c r="I3" s="134">
        <f>'Consommation mensuel énergie'!F11</f>
        <v>165.29999999998836</v>
      </c>
      <c r="J3" s="134">
        <v>11.4</v>
      </c>
      <c r="K3" s="137">
        <f>'Consommation mensuel énergie'!D11</f>
        <v>177</v>
      </c>
      <c r="L3" s="137">
        <f>'Consommation mensuel énergie'!E11</f>
        <v>263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6</v>
      </c>
      <c r="D4" s="141">
        <v>2022</v>
      </c>
      <c r="E4" s="137">
        <f>submetering!E4+submetering!F4+submetering!G4</f>
        <v>18097</v>
      </c>
      <c r="F4" s="134">
        <v>1.05</v>
      </c>
      <c r="G4" s="134">
        <f>'Consommation mensuel énergie'!V12</f>
        <v>319.99209999999999</v>
      </c>
      <c r="H4" s="134">
        <v>13.14</v>
      </c>
      <c r="I4" s="134">
        <f>'Consommation mensuel énergie'!F12</f>
        <v>158.90000000002328</v>
      </c>
      <c r="J4" s="134">
        <v>11.4</v>
      </c>
      <c r="K4" s="137">
        <f>'Consommation mensuel énergie'!D12</f>
        <v>173</v>
      </c>
      <c r="L4" s="137">
        <f>'Consommation mensuel énergie'!E12</f>
        <v>289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6</v>
      </c>
      <c r="D5" s="141">
        <v>2022</v>
      </c>
      <c r="E5" s="137">
        <f>submetering!E5+submetering!F5+submetering!G5</f>
        <v>18960</v>
      </c>
      <c r="F5" s="134">
        <v>1.05</v>
      </c>
      <c r="G5" s="134">
        <f>'Consommation mensuel énergie'!V13</f>
        <v>352.6567</v>
      </c>
      <c r="H5" s="134">
        <v>13.14</v>
      </c>
      <c r="I5" s="134">
        <f>'Consommation mensuel énergie'!F13</f>
        <v>157.79999999998836</v>
      </c>
      <c r="J5" s="134">
        <v>11.4</v>
      </c>
      <c r="K5" s="137">
        <f>'Consommation mensuel énergie'!D13</f>
        <v>171</v>
      </c>
      <c r="L5" s="137">
        <f>'Consommation mensuel énergie'!E13</f>
        <v>289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6</v>
      </c>
      <c r="D6" s="141">
        <v>2022</v>
      </c>
      <c r="E6" s="137">
        <f>submetering!E6+submetering!F6+submetering!G6</f>
        <v>18545</v>
      </c>
      <c r="F6" s="134">
        <v>1.05</v>
      </c>
      <c r="G6" s="134">
        <f>'Consommation mensuel énergie'!V14</f>
        <v>287.99288999999999</v>
      </c>
      <c r="H6" s="134">
        <v>13.14</v>
      </c>
      <c r="I6" s="134">
        <f>'Consommation mensuel énergie'!F14</f>
        <v>160</v>
      </c>
      <c r="J6" s="134">
        <v>11.4</v>
      </c>
      <c r="K6" s="137">
        <f>'Consommation mensuel énergie'!D14</f>
        <v>146</v>
      </c>
      <c r="L6" s="137">
        <f>'Consommation mensuel énergie'!E14</f>
        <v>229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6</v>
      </c>
      <c r="D7" s="141">
        <v>2022</v>
      </c>
      <c r="E7" s="137">
        <f>submetering!E7+submetering!F7+submetering!G7</f>
        <v>18059</v>
      </c>
      <c r="F7" s="134">
        <v>1.05</v>
      </c>
      <c r="G7" s="134">
        <f>'Consommation mensuel énergie'!V15</f>
        <v>127.99684000000001</v>
      </c>
      <c r="H7" s="134">
        <v>13.14</v>
      </c>
      <c r="I7" s="134">
        <f>'Consommation mensuel énergie'!F15</f>
        <v>145</v>
      </c>
      <c r="J7" s="134">
        <v>11.4</v>
      </c>
      <c r="K7" s="137">
        <f>'Consommation mensuel énergie'!D15</f>
        <v>134</v>
      </c>
      <c r="L7" s="137">
        <f>'Consommation mensuel énergie'!E15</f>
        <v>208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6</v>
      </c>
      <c r="D8" s="141">
        <v>2022</v>
      </c>
      <c r="E8" s="137">
        <f>submetering!E8+submetering!F8+submetering!G8</f>
        <v>19823</v>
      </c>
      <c r="F8" s="134">
        <v>1.05</v>
      </c>
      <c r="G8" s="134">
        <f>'Consommation mensuel énergie'!V16</f>
        <v>351.99131</v>
      </c>
      <c r="H8" s="134">
        <v>13.14</v>
      </c>
      <c r="I8" s="134">
        <f>'Consommation mensuel énergie'!F16</f>
        <v>155</v>
      </c>
      <c r="J8" s="134">
        <v>11.4</v>
      </c>
      <c r="K8" s="137">
        <f>'Consommation mensuel énergie'!D16</f>
        <v>134</v>
      </c>
      <c r="L8" s="137">
        <f>'Consommation mensuel énergie'!E16</f>
        <v>201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6</v>
      </c>
      <c r="D9" s="141">
        <v>2022</v>
      </c>
      <c r="E9" s="137">
        <f>submetering!E9+submetering!F9+submetering!G9</f>
        <v>20062</v>
      </c>
      <c r="F9" s="134">
        <v>1.05</v>
      </c>
      <c r="G9" s="134">
        <f>'Consommation mensuel énergie'!V17</f>
        <v>223.99447000000001</v>
      </c>
      <c r="H9" s="134">
        <v>13.14</v>
      </c>
      <c r="I9" s="134">
        <f>'Consommation mensuel énergie'!F17</f>
        <v>139</v>
      </c>
      <c r="J9" s="134">
        <v>11.4</v>
      </c>
      <c r="K9" s="137">
        <f>'Consommation mensuel énergie'!D17</f>
        <v>147</v>
      </c>
      <c r="L9" s="137">
        <f>'Consommation mensuel énergie'!E17</f>
        <v>205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6</v>
      </c>
      <c r="D10" s="141">
        <v>2022</v>
      </c>
      <c r="E10" s="137">
        <f>submetering!E10+submetering!F10+submetering!G10</f>
        <v>19837</v>
      </c>
      <c r="F10" s="134">
        <v>1.05</v>
      </c>
      <c r="G10" s="134">
        <f>'Consommation mensuel énergie'!V18</f>
        <v>287.99288999999999</v>
      </c>
      <c r="H10" s="134">
        <v>13.14</v>
      </c>
      <c r="I10" s="134">
        <f>'Consommation mensuel énergie'!F18</f>
        <v>135</v>
      </c>
      <c r="J10" s="134">
        <v>11.4</v>
      </c>
      <c r="K10" s="137">
        <f>'Consommation mensuel énergie'!D18</f>
        <v>138</v>
      </c>
      <c r="L10" s="137">
        <f>'Consommation mensuel énergie'!E18</f>
        <v>200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6</v>
      </c>
      <c r="D11" s="141">
        <v>2022</v>
      </c>
      <c r="E11" s="137">
        <f>submetering!E11+submetering!F11+submetering!G11</f>
        <v>19644</v>
      </c>
      <c r="F11" s="134">
        <v>1.05</v>
      </c>
      <c r="G11" s="134">
        <f>'Consommation mensuel énergie'!V19</f>
        <v>383.99052</v>
      </c>
      <c r="H11" s="134">
        <v>13.14</v>
      </c>
      <c r="I11" s="134">
        <f>'Consommation mensuel énergie'!F19</f>
        <v>175.29999999998836</v>
      </c>
      <c r="J11" s="134">
        <v>11.4</v>
      </c>
      <c r="K11" s="137">
        <f>'Consommation mensuel énergie'!D19</f>
        <v>120</v>
      </c>
      <c r="L11" s="137">
        <f>'Consommation mensuel énergie'!E19</f>
        <v>175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6</v>
      </c>
      <c r="D12" s="141">
        <v>2022</v>
      </c>
      <c r="E12" s="137">
        <f>submetering!E12+submetering!F12+submetering!G12</f>
        <v>19982</v>
      </c>
      <c r="F12" s="134">
        <v>1.05</v>
      </c>
      <c r="G12" s="134">
        <f>'Consommation mensuel énergie'!V20</f>
        <v>415.98973000000001</v>
      </c>
      <c r="H12" s="134">
        <v>13.14</v>
      </c>
      <c r="I12" s="134">
        <f>'Consommation mensuel énergie'!F20</f>
        <v>170.60000000000582</v>
      </c>
      <c r="J12" s="134">
        <v>11.4</v>
      </c>
      <c r="K12" s="137">
        <f>'Consommation mensuel énergie'!D20</f>
        <v>173</v>
      </c>
      <c r="L12" s="137">
        <f>'Consommation mensuel énergie'!E20</f>
        <v>223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6</v>
      </c>
      <c r="D13" s="141">
        <v>2022</v>
      </c>
      <c r="E13" s="137">
        <f>submetering!E13+submetering!F13+submetering!G13</f>
        <v>21334</v>
      </c>
      <c r="F13" s="134">
        <v>1.05</v>
      </c>
      <c r="G13" s="134">
        <f>'Consommation mensuel énergie'!V21</f>
        <v>159.99605</v>
      </c>
      <c r="H13" s="134">
        <v>13.14</v>
      </c>
      <c r="I13" s="134">
        <f>'Consommation mensuel énergie'!F21</f>
        <v>163.10000000000582</v>
      </c>
      <c r="J13" s="134">
        <v>11.4</v>
      </c>
      <c r="K13" s="137">
        <f>'Consommation mensuel énergie'!D21</f>
        <v>183</v>
      </c>
      <c r="L13" s="137">
        <f>'Consommation mensuel énergie'!E21</f>
        <v>237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6</v>
      </c>
      <c r="D14" s="141">
        <v>2022</v>
      </c>
      <c r="E14" s="137">
        <f>submetering!E14+submetering!F14+submetering!G14</f>
        <v>21345</v>
      </c>
      <c r="F14" s="134">
        <v>1.05</v>
      </c>
      <c r="G14" s="134">
        <f>'Consommation mensuel énergie'!V22</f>
        <v>95.997630000000001</v>
      </c>
      <c r="H14" s="134">
        <v>13.14</v>
      </c>
      <c r="I14" s="134">
        <f>'Consommation mensuel énergie'!F22</f>
        <v>151</v>
      </c>
      <c r="J14" s="134">
        <v>11.4</v>
      </c>
      <c r="K14" s="137">
        <f>'Consommation mensuel énergie'!D22</f>
        <v>181</v>
      </c>
      <c r="L14" s="137">
        <f>'Consommation mensuel énergie'!E22</f>
        <v>226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6</v>
      </c>
      <c r="D15" s="141">
        <v>2022</v>
      </c>
      <c r="E15" s="137">
        <f>submetering!E15+submetering!F15+submetering!G15</f>
        <v>21500</v>
      </c>
      <c r="F15" s="134">
        <v>1.05</v>
      </c>
      <c r="G15" s="134">
        <f>'Consommation mensuel énergie'!V23</f>
        <v>287.99288999999999</v>
      </c>
      <c r="H15" s="134">
        <v>13.14</v>
      </c>
      <c r="I15" s="134">
        <f>'Consommation mensuel énergie'!F23</f>
        <v>149.10000000000582</v>
      </c>
      <c r="J15" s="134">
        <v>11.4</v>
      </c>
      <c r="K15" s="137">
        <f>'Consommation mensuel énergie'!D23</f>
        <v>141</v>
      </c>
      <c r="L15" s="137">
        <f>'Consommation mensuel énergie'!E23</f>
        <v>189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6</v>
      </c>
      <c r="D16" s="141">
        <v>2022</v>
      </c>
      <c r="E16" s="137">
        <f>submetering!E16+submetering!F16+submetering!G16</f>
        <v>20599</v>
      </c>
      <c r="F16" s="134">
        <v>1.05</v>
      </c>
      <c r="G16" s="134">
        <f>'Consommation mensuel énergie'!V24</f>
        <v>159.99605</v>
      </c>
      <c r="H16" s="134">
        <v>13.14</v>
      </c>
      <c r="I16" s="134">
        <f>'Consommation mensuel énergie'!F24</f>
        <v>153</v>
      </c>
      <c r="J16" s="134">
        <v>11.4</v>
      </c>
      <c r="K16" s="137">
        <f>'Consommation mensuel énergie'!D24</f>
        <v>170</v>
      </c>
      <c r="L16" s="137">
        <f>'Consommation mensuel énergie'!E24</f>
        <v>231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6</v>
      </c>
      <c r="D17" s="141">
        <v>2022</v>
      </c>
      <c r="E17" s="137">
        <f>submetering!E17+submetering!F17+submetering!G17</f>
        <v>22142</v>
      </c>
      <c r="F17" s="134">
        <v>1.05</v>
      </c>
      <c r="G17" s="134">
        <f>'Consommation mensuel énergie'!V25</f>
        <v>255.99368000000001</v>
      </c>
      <c r="H17" s="134">
        <v>13.14</v>
      </c>
      <c r="I17" s="134">
        <f>'Consommation mensuel énergie'!F25</f>
        <v>161.89999999999418</v>
      </c>
      <c r="J17" s="134">
        <v>11.4</v>
      </c>
      <c r="K17" s="137">
        <f>'Consommation mensuel énergie'!D25</f>
        <v>163</v>
      </c>
      <c r="L17" s="137">
        <f>'Consommation mensuel énergie'!E25</f>
        <v>229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6</v>
      </c>
      <c r="D18" s="141">
        <v>2022</v>
      </c>
      <c r="E18" s="137">
        <f>submetering!E18+submetering!F18+submetering!G18</f>
        <v>18125</v>
      </c>
      <c r="F18" s="134">
        <v>1.05</v>
      </c>
      <c r="G18" s="134">
        <f>'Consommation mensuel énergie'!V26</f>
        <v>351.99131</v>
      </c>
      <c r="H18" s="134">
        <v>13.14</v>
      </c>
      <c r="I18" s="134">
        <f>'Consommation mensuel énergie'!F26</f>
        <v>160</v>
      </c>
      <c r="J18" s="134">
        <v>11.4</v>
      </c>
      <c r="K18" s="137">
        <f>'Consommation mensuel énergie'!D26</f>
        <v>141</v>
      </c>
      <c r="L18" s="137">
        <f>'Consommation mensuel énergie'!E26</f>
        <v>205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6</v>
      </c>
      <c r="D19" s="141">
        <v>2022</v>
      </c>
      <c r="E19" s="137">
        <f>submetering!E19+submetering!F19+submetering!G19</f>
        <v>22049</v>
      </c>
      <c r="F19" s="134">
        <v>1.05</v>
      </c>
      <c r="G19" s="134">
        <f>'Consommation mensuel énergie'!V27</f>
        <v>223.99447000000001</v>
      </c>
      <c r="H19" s="134">
        <v>13.14</v>
      </c>
      <c r="I19" s="134">
        <f>'Consommation mensuel énergie'!F27</f>
        <v>182</v>
      </c>
      <c r="J19" s="134">
        <v>11.4</v>
      </c>
      <c r="K19" s="137">
        <f>'Consommation mensuel énergie'!D27</f>
        <v>143</v>
      </c>
      <c r="L19" s="137">
        <f>'Consommation mensuel énergie'!E27</f>
        <v>223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6</v>
      </c>
      <c r="D20" s="141">
        <v>2022</v>
      </c>
      <c r="E20" s="137">
        <f>submetering!E20+submetering!F20+submetering!G20</f>
        <v>17404</v>
      </c>
      <c r="F20" s="134">
        <v>1.05</v>
      </c>
      <c r="G20" s="134">
        <f>'Consommation mensuel énergie'!V28</f>
        <v>415.98973000000001</v>
      </c>
      <c r="H20" s="134">
        <v>13.14</v>
      </c>
      <c r="I20" s="134">
        <f>'Consommation mensuel énergie'!F28</f>
        <v>156.39999999999418</v>
      </c>
      <c r="J20" s="134">
        <v>11.4</v>
      </c>
      <c r="K20" s="137">
        <f>'Consommation mensuel énergie'!D28</f>
        <v>151</v>
      </c>
      <c r="L20" s="137">
        <f>'Consommation mensuel énergie'!E28</f>
        <v>230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6</v>
      </c>
      <c r="D21" s="141">
        <v>2022</v>
      </c>
      <c r="E21" s="137">
        <f>submetering!E21+submetering!F21+submetering!G21</f>
        <v>19035</v>
      </c>
      <c r="F21" s="134">
        <v>1.05</v>
      </c>
      <c r="G21" s="134">
        <f>'Consommation mensuel énergie'!V29</f>
        <v>255.99368000000001</v>
      </c>
      <c r="H21" s="134">
        <v>13.14</v>
      </c>
      <c r="I21" s="134">
        <f>'Consommation mensuel énergie'!F29</f>
        <v>287.60000000000582</v>
      </c>
      <c r="J21" s="134">
        <v>11.4</v>
      </c>
      <c r="K21" s="137">
        <f>'Consommation mensuel énergie'!D29</f>
        <v>170</v>
      </c>
      <c r="L21" s="137">
        <f>'Consommation mensuel énergie'!E29</f>
        <v>256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6</v>
      </c>
      <c r="D22" s="141">
        <v>2022</v>
      </c>
      <c r="E22" s="137">
        <f>submetering!E22+submetering!F22+submetering!G22</f>
        <v>18340</v>
      </c>
      <c r="F22" s="134">
        <v>1.05</v>
      </c>
      <c r="G22" s="134">
        <f>'Consommation mensuel énergie'!V30</f>
        <v>287.99288999999999</v>
      </c>
      <c r="H22" s="134">
        <v>13.14</v>
      </c>
      <c r="I22" s="134">
        <f>'Consommation mensuel énergie'!F30</f>
        <v>155.10000000000582</v>
      </c>
      <c r="J22" s="134">
        <v>11.4</v>
      </c>
      <c r="K22" s="137">
        <f>'Consommation mensuel énergie'!D30</f>
        <v>180</v>
      </c>
      <c r="L22" s="137">
        <f>'Consommation mensuel énergie'!E30</f>
        <v>256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6</v>
      </c>
      <c r="D23" s="141">
        <v>2022</v>
      </c>
      <c r="E23" s="137">
        <f>submetering!E23+submetering!F23+submetering!G23</f>
        <v>16776</v>
      </c>
      <c r="F23" s="134">
        <v>1.05</v>
      </c>
      <c r="G23" s="134">
        <f>'Consommation mensuel énergie'!V31</f>
        <v>351.99131</v>
      </c>
      <c r="H23" s="134">
        <v>13.14</v>
      </c>
      <c r="I23" s="134">
        <f>'Consommation mensuel énergie'!F31</f>
        <v>179.19999999998254</v>
      </c>
      <c r="J23" s="134">
        <v>11.4</v>
      </c>
      <c r="K23" s="137">
        <f>'Consommation mensuel énergie'!D31</f>
        <v>161</v>
      </c>
      <c r="L23" s="137">
        <f>'Consommation mensuel énergie'!E31</f>
        <v>229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6</v>
      </c>
      <c r="D24" s="141">
        <v>2022</v>
      </c>
      <c r="E24" s="137">
        <f>submetering!E24+submetering!F24+submetering!G24</f>
        <v>18762</v>
      </c>
      <c r="F24" s="134">
        <v>1.05</v>
      </c>
      <c r="G24" s="134">
        <f>'Consommation mensuel énergie'!V32</f>
        <v>255.99368000000001</v>
      </c>
      <c r="H24" s="134">
        <v>13.14</v>
      </c>
      <c r="I24" s="134">
        <f>'Consommation mensuel énergie'!F32</f>
        <v>158.70000000001164</v>
      </c>
      <c r="J24" s="134">
        <v>11.4</v>
      </c>
      <c r="K24" s="137">
        <f>'Consommation mensuel énergie'!D32</f>
        <v>158</v>
      </c>
      <c r="L24" s="137">
        <f>'Consommation mensuel énergie'!E32</f>
        <v>251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6</v>
      </c>
      <c r="D25" s="141">
        <v>2022</v>
      </c>
      <c r="E25" s="137">
        <f>submetering!E25+submetering!F25+submetering!G25</f>
        <v>17312</v>
      </c>
      <c r="F25" s="134">
        <v>1.05</v>
      </c>
      <c r="G25" s="134">
        <f>'Consommation mensuel énergie'!V33</f>
        <v>0</v>
      </c>
      <c r="H25" s="134">
        <v>13.14</v>
      </c>
      <c r="I25" s="134">
        <f>'Consommation mensuel énergie'!F33</f>
        <v>173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6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énergie'!V34</f>
        <v>0</v>
      </c>
      <c r="H26" s="134">
        <v>13.14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6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énergie'!V35</f>
        <v>0</v>
      </c>
      <c r="H27" s="134">
        <v>13.14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6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énergie'!V36</f>
        <v>0</v>
      </c>
      <c r="H28" s="134">
        <v>13.14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6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énergie'!V37</f>
        <v>0</v>
      </c>
      <c r="H29" s="134">
        <v>13.14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6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énergie'!V38</f>
        <v>0</v>
      </c>
      <c r="H30" s="134">
        <v>13.14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6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énergie'!V39</f>
        <v>0</v>
      </c>
      <c r="H31" s="134">
        <v>13.14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A32" sqref="A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6</v>
      </c>
      <c r="D2" s="141">
        <v>2022</v>
      </c>
      <c r="E2" s="137">
        <f>'Consommation mensuel énergie'!L10</f>
        <v>4384</v>
      </c>
      <c r="F2" s="137">
        <f>'Consommation mensuel énergie'!M10</f>
        <v>9147</v>
      </c>
      <c r="G2" s="137">
        <f>'Consommation mensuel énergie'!N10</f>
        <v>3394</v>
      </c>
      <c r="H2" s="137">
        <f>'Consommation mensuel énergie'!D10</f>
        <v>179</v>
      </c>
      <c r="I2" s="137">
        <f>'Consommation mensuel énergie'!E10</f>
        <v>253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6</v>
      </c>
      <c r="D3" s="141">
        <v>2022</v>
      </c>
      <c r="E3" s="137">
        <f>'Consommation mensuel énergie'!L11</f>
        <v>4441</v>
      </c>
      <c r="F3" s="137">
        <f>'Consommation mensuel énergie'!M11</f>
        <v>10256</v>
      </c>
      <c r="G3" s="137">
        <f>'Consommation mensuel énergie'!N14</f>
        <v>3938</v>
      </c>
      <c r="H3" s="137">
        <f>'Consommation mensuel énergie'!D11</f>
        <v>177</v>
      </c>
      <c r="I3" s="137">
        <f>'Consommation mensuel énergie'!E11</f>
        <v>263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6</v>
      </c>
      <c r="D4" s="141">
        <v>2022</v>
      </c>
      <c r="E4" s="137">
        <f>'Consommation mensuel énergie'!L12</f>
        <v>3749</v>
      </c>
      <c r="F4" s="137">
        <f>'Consommation mensuel énergie'!M12</f>
        <v>10529</v>
      </c>
      <c r="G4" s="137">
        <f>'Consommation mensuel énergie'!N12</f>
        <v>3819</v>
      </c>
      <c r="H4" s="137">
        <f>'Consommation mensuel énergie'!D12</f>
        <v>173</v>
      </c>
      <c r="I4" s="137">
        <f>'Consommation mensuel énergie'!E12</f>
        <v>289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6</v>
      </c>
      <c r="D5" s="141">
        <v>2022</v>
      </c>
      <c r="E5" s="137">
        <f>'Consommation mensuel énergie'!L13</f>
        <v>4936</v>
      </c>
      <c r="F5" s="137">
        <f>'Consommation mensuel énergie'!M13</f>
        <v>10072</v>
      </c>
      <c r="G5" s="137">
        <f>'Consommation mensuel énergie'!N13</f>
        <v>3952</v>
      </c>
      <c r="H5" s="137">
        <f>'Consommation mensuel énergie'!D13</f>
        <v>171</v>
      </c>
      <c r="I5" s="137">
        <f>'Consommation mensuel énergie'!E13</f>
        <v>289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6</v>
      </c>
      <c r="D6" s="141">
        <v>2022</v>
      </c>
      <c r="E6" s="137">
        <f>'Consommation mensuel énergie'!L14</f>
        <v>4461</v>
      </c>
      <c r="F6" s="137">
        <f>'Consommation mensuel énergie'!M14</f>
        <v>10146</v>
      </c>
      <c r="G6" s="137">
        <f>'Consommation mensuel énergie'!N14</f>
        <v>3938</v>
      </c>
      <c r="H6" s="137">
        <f>'Consommation mensuel énergie'!D14</f>
        <v>146</v>
      </c>
      <c r="I6" s="137">
        <f>'Consommation mensuel énergie'!E14</f>
        <v>229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6</v>
      </c>
      <c r="D7" s="141">
        <v>2022</v>
      </c>
      <c r="E7" s="137">
        <f>'Consommation mensuel énergie'!L15</f>
        <v>4437</v>
      </c>
      <c r="F7" s="137">
        <f>'Consommation mensuel énergie'!M15</f>
        <v>9912</v>
      </c>
      <c r="G7" s="137">
        <f>'Consommation mensuel énergie'!N15</f>
        <v>3710</v>
      </c>
      <c r="H7" s="137">
        <f>'Consommation mensuel énergie'!D15</f>
        <v>134</v>
      </c>
      <c r="I7" s="137">
        <f>'Consommation mensuel énergie'!E15</f>
        <v>208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6</v>
      </c>
      <c r="D8" s="141">
        <v>2022</v>
      </c>
      <c r="E8" s="137">
        <f>'Consommation mensuel énergie'!L16</f>
        <v>4900</v>
      </c>
      <c r="F8" s="137">
        <f>'Consommation mensuel énergie'!M16</f>
        <v>10384</v>
      </c>
      <c r="G8" s="137">
        <f>'Consommation mensuel énergie'!N16</f>
        <v>4539</v>
      </c>
      <c r="H8" s="137">
        <f>'Consommation mensuel énergie'!D16</f>
        <v>134</v>
      </c>
      <c r="I8" s="137">
        <f>'Consommation mensuel énergie'!E16</f>
        <v>201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6</v>
      </c>
      <c r="D9" s="141">
        <v>2022</v>
      </c>
      <c r="E9" s="137">
        <f>'Consommation mensuel énergie'!L17</f>
        <v>5117</v>
      </c>
      <c r="F9" s="137">
        <f>'Consommation mensuel énergie'!M17</f>
        <v>10773</v>
      </c>
      <c r="G9" s="137">
        <f>'Consommation mensuel énergie'!N17</f>
        <v>4172</v>
      </c>
      <c r="H9" s="137">
        <f>'Consommation mensuel énergie'!D17</f>
        <v>147</v>
      </c>
      <c r="I9" s="137">
        <f>'Consommation mensuel énergie'!E17</f>
        <v>205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6</v>
      </c>
      <c r="D10" s="141">
        <v>2022</v>
      </c>
      <c r="E10" s="137">
        <f>'Consommation mensuel énergie'!L18</f>
        <v>5025</v>
      </c>
      <c r="F10" s="137">
        <f>'Consommation mensuel énergie'!M18</f>
        <v>10593</v>
      </c>
      <c r="G10" s="137">
        <f>'Consommation mensuel énergie'!N18</f>
        <v>4219</v>
      </c>
      <c r="H10" s="137">
        <f>'Consommation mensuel énergie'!D18</f>
        <v>138</v>
      </c>
      <c r="I10" s="137">
        <f>'Consommation mensuel énergie'!E18</f>
        <v>200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6</v>
      </c>
      <c r="D11" s="141">
        <v>2022</v>
      </c>
      <c r="E11" s="137">
        <f>'Consommation mensuel énergie'!L19</f>
        <v>4793</v>
      </c>
      <c r="F11" s="137">
        <f>'Consommation mensuel énergie'!M19</f>
        <v>10865</v>
      </c>
      <c r="G11" s="137">
        <f>'Consommation mensuel énergie'!N19</f>
        <v>3986</v>
      </c>
      <c r="H11" s="137">
        <f>'Consommation mensuel énergie'!D19</f>
        <v>120</v>
      </c>
      <c r="I11" s="137">
        <f>'Consommation mensuel énergie'!E19</f>
        <v>175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6</v>
      </c>
      <c r="D12" s="141">
        <v>2022</v>
      </c>
      <c r="E12" s="137">
        <f>'Consommation mensuel énergie'!L20</f>
        <v>5146</v>
      </c>
      <c r="F12" s="137">
        <f>'Consommation mensuel énergie'!M20</f>
        <v>10605</v>
      </c>
      <c r="G12" s="137">
        <f>'Consommation mensuel énergie'!N20</f>
        <v>4231</v>
      </c>
      <c r="H12" s="137">
        <f>'Consommation mensuel énergie'!D20</f>
        <v>173</v>
      </c>
      <c r="I12" s="137">
        <f>'Consommation mensuel énergie'!E20</f>
        <v>223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6</v>
      </c>
      <c r="D13" s="141">
        <v>2022</v>
      </c>
      <c r="E13" s="137">
        <f>'Consommation mensuel énergie'!L21</f>
        <v>5362</v>
      </c>
      <c r="F13" s="137">
        <f>'Consommation mensuel énergie'!M21</f>
        <v>11461</v>
      </c>
      <c r="G13" s="137">
        <f>'Consommation mensuel énergie'!N21</f>
        <v>4511</v>
      </c>
      <c r="H13" s="137">
        <f>'Consommation mensuel énergie'!D21</f>
        <v>183</v>
      </c>
      <c r="I13" s="137">
        <f>'Consommation mensuel énergie'!E21</f>
        <v>237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6</v>
      </c>
      <c r="D14" s="141">
        <v>2022</v>
      </c>
      <c r="E14" s="137">
        <f>'Consommation mensuel énergie'!L22</f>
        <v>4871</v>
      </c>
      <c r="F14" s="137">
        <f>'Consommation mensuel énergie'!M22</f>
        <v>12046</v>
      </c>
      <c r="G14" s="137">
        <f>'Consommation mensuel énergie'!N22</f>
        <v>4428</v>
      </c>
      <c r="H14" s="137">
        <f>'Consommation mensuel énergie'!D22</f>
        <v>181</v>
      </c>
      <c r="I14" s="137">
        <f>'Consommation mensuel énergie'!E22</f>
        <v>226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6</v>
      </c>
      <c r="D15" s="141">
        <v>2022</v>
      </c>
      <c r="E15" s="137">
        <f>'Consommation mensuel énergie'!L23</f>
        <v>4707</v>
      </c>
      <c r="F15" s="137">
        <f>'Consommation mensuel énergie'!M23</f>
        <v>11903</v>
      </c>
      <c r="G15" s="137">
        <f>'Consommation mensuel énergie'!N23</f>
        <v>4890</v>
      </c>
      <c r="H15" s="137">
        <f>'Consommation mensuel énergie'!D23</f>
        <v>141</v>
      </c>
      <c r="I15" s="137">
        <f>'Consommation mensuel énergie'!E23</f>
        <v>189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6</v>
      </c>
      <c r="D16" s="141">
        <v>2022</v>
      </c>
      <c r="E16" s="137">
        <f>'Consommation mensuel énergie'!L24</f>
        <v>5447</v>
      </c>
      <c r="F16" s="137">
        <f>'Consommation mensuel énergie'!M24</f>
        <v>11104</v>
      </c>
      <c r="G16" s="137">
        <f>'Consommation mensuel énergie'!N24</f>
        <v>4048</v>
      </c>
      <c r="H16" s="137">
        <f>'Consommation mensuel énergie'!D24</f>
        <v>170</v>
      </c>
      <c r="I16" s="137">
        <f>'Consommation mensuel énergie'!E24</f>
        <v>231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6</v>
      </c>
      <c r="D17" s="141">
        <v>2022</v>
      </c>
      <c r="E17" s="137">
        <f>'Consommation mensuel énergie'!L25</f>
        <v>6069</v>
      </c>
      <c r="F17" s="137">
        <f>'Consommation mensuel énergie'!M25</f>
        <v>11429</v>
      </c>
      <c r="G17" s="137">
        <f>'Consommation mensuel énergie'!N25</f>
        <v>4644</v>
      </c>
      <c r="H17" s="137">
        <f>'Consommation mensuel énergie'!D25</f>
        <v>163</v>
      </c>
      <c r="I17" s="137">
        <f>'Consommation mensuel énergie'!E25</f>
        <v>229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6</v>
      </c>
      <c r="D18" s="141">
        <v>2022</v>
      </c>
      <c r="E18" s="137">
        <f>'Consommation mensuel énergie'!L26</f>
        <v>4705</v>
      </c>
      <c r="F18" s="137">
        <f>'Consommation mensuel énergie'!M26</f>
        <v>9475</v>
      </c>
      <c r="G18" s="137">
        <f>'Consommation mensuel énergie'!N26</f>
        <v>3945</v>
      </c>
      <c r="H18" s="137">
        <f>'Consommation mensuel énergie'!D26</f>
        <v>141</v>
      </c>
      <c r="I18" s="137">
        <f>'Consommation mensuel énergie'!E26</f>
        <v>205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6</v>
      </c>
      <c r="D19" s="141">
        <v>2022</v>
      </c>
      <c r="E19" s="137">
        <f>'Consommation mensuel énergie'!L27</f>
        <v>6739</v>
      </c>
      <c r="F19" s="137">
        <f>'Consommation mensuel énergie'!M27</f>
        <v>10063</v>
      </c>
      <c r="G19" s="137">
        <f>'Consommation mensuel énergie'!N27</f>
        <v>5247</v>
      </c>
      <c r="H19" s="137">
        <f>'Consommation mensuel énergie'!D27</f>
        <v>143</v>
      </c>
      <c r="I19" s="137">
        <f>'Consommation mensuel énergie'!E27</f>
        <v>223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6</v>
      </c>
      <c r="D20" s="141">
        <v>2022</v>
      </c>
      <c r="E20" s="137">
        <f>'Consommation mensuel énergie'!L28</f>
        <v>4891</v>
      </c>
      <c r="F20" s="137">
        <f>'Consommation mensuel énergie'!M28</f>
        <v>8929</v>
      </c>
      <c r="G20" s="137">
        <f>'Consommation mensuel énergie'!N28</f>
        <v>3584</v>
      </c>
      <c r="H20" s="137">
        <f>'Consommation mensuel énergie'!D28</f>
        <v>151</v>
      </c>
      <c r="I20" s="137">
        <f>'Consommation mensuel énergie'!E28</f>
        <v>230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6</v>
      </c>
      <c r="D21" s="141">
        <v>2022</v>
      </c>
      <c r="E21" s="137">
        <f>'Consommation mensuel énergie'!L29</f>
        <v>4790</v>
      </c>
      <c r="F21" s="137">
        <f>'Consommation mensuel énergie'!M29</f>
        <v>9626</v>
      </c>
      <c r="G21" s="137">
        <f>'Consommation mensuel énergie'!N29</f>
        <v>4619</v>
      </c>
      <c r="H21" s="137">
        <f>'Consommation mensuel énergie'!D29</f>
        <v>170</v>
      </c>
      <c r="I21" s="137">
        <f>'Consommation mensuel énergie'!E29</f>
        <v>256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6</v>
      </c>
      <c r="D22" s="141">
        <v>2022</v>
      </c>
      <c r="E22" s="137">
        <f>'Consommation mensuel énergie'!L30</f>
        <v>4704</v>
      </c>
      <c r="F22" s="137">
        <f>'Consommation mensuel énergie'!M30</f>
        <v>9949</v>
      </c>
      <c r="G22" s="137">
        <f>'Consommation mensuel énergie'!N30</f>
        <v>3687</v>
      </c>
      <c r="H22" s="137">
        <f>'Consommation mensuel énergie'!D30</f>
        <v>180</v>
      </c>
      <c r="I22" s="137">
        <f>'Consommation mensuel énergie'!E30</f>
        <v>256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6</v>
      </c>
      <c r="D23" s="141">
        <v>2022</v>
      </c>
      <c r="E23" s="137">
        <f>'Consommation mensuel énergie'!L31</f>
        <v>4239</v>
      </c>
      <c r="F23" s="137">
        <f>'Consommation mensuel énergie'!M31</f>
        <v>8691</v>
      </c>
      <c r="G23" s="137">
        <f>'Consommation mensuel énergie'!N31</f>
        <v>3846</v>
      </c>
      <c r="H23" s="137">
        <f>'Consommation mensuel énergie'!D31</f>
        <v>161</v>
      </c>
      <c r="I23" s="137">
        <f>'Consommation mensuel énergie'!E31</f>
        <v>229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6</v>
      </c>
      <c r="D24" s="141">
        <v>2022</v>
      </c>
      <c r="E24" s="137">
        <f>'Consommation mensuel énergie'!L32</f>
        <v>4926</v>
      </c>
      <c r="F24" s="137">
        <f>'Consommation mensuel énergie'!M32</f>
        <v>10122</v>
      </c>
      <c r="G24" s="137">
        <f>'Consommation mensuel énergie'!N32</f>
        <v>3714</v>
      </c>
      <c r="H24" s="137">
        <f>'Consommation mensuel énergie'!D32</f>
        <v>158</v>
      </c>
      <c r="I24" s="137">
        <f>'Consommation mensuel énergie'!E32</f>
        <v>251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6</v>
      </c>
      <c r="D25" s="141">
        <v>2022</v>
      </c>
      <c r="E25" s="137">
        <f>'Consommation mensuel énergie'!L33</f>
        <v>4361</v>
      </c>
      <c r="F25" s="137">
        <f>'Consommation mensuel énergie'!M33</f>
        <v>9600</v>
      </c>
      <c r="G25" s="137">
        <f>'Consommation mensuel énergie'!N33</f>
        <v>3351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6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6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6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6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6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6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tabSelected="1" zoomScale="55" zoomScaleNormal="55" workbookViewId="0">
      <pane xSplit="3" ySplit="9" topLeftCell="F36" activePane="bottomRight" state="frozen"/>
      <selection pane="bottomRight" activeCell="F32" sqref="F32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9"/>
      <c r="B2" s="180"/>
      <c r="C2" s="180"/>
      <c r="D2" s="180"/>
      <c r="E2" s="180"/>
      <c r="F2" s="180"/>
      <c r="G2" s="180"/>
      <c r="H2" s="181"/>
      <c r="I2" s="190" t="s">
        <v>17</v>
      </c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 spans="1:24" ht="15" hidden="1" customHeight="1" thickBot="1"/>
    <row r="4" spans="1:24" ht="39" hidden="1" customHeight="1" thickBot="1">
      <c r="A4" s="182"/>
      <c r="B4" s="182"/>
      <c r="C4" s="18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2"/>
      <c r="B5" s="182"/>
      <c r="C5" s="182"/>
      <c r="D5" s="5"/>
      <c r="E5" s="5"/>
      <c r="F5" s="5"/>
      <c r="G5" s="5"/>
      <c r="H5" s="5"/>
      <c r="I5" s="5"/>
      <c r="J5" s="5"/>
      <c r="K5" s="5"/>
      <c r="L5" s="5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spans="1:24" s="5" customFormat="1" ht="44.25" hidden="1" customHeight="1" thickBot="1">
      <c r="A6" s="3"/>
      <c r="B6" s="3"/>
      <c r="C6" s="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 spans="1:24" s="5" customFormat="1" ht="18.75" hidden="1" customHeight="1" thickBot="1">
      <c r="F7" s="183"/>
      <c r="G7" s="183"/>
      <c r="H7" s="183"/>
      <c r="I7" s="183"/>
      <c r="J7" s="183"/>
      <c r="K7" s="183"/>
      <c r="L7" s="183"/>
      <c r="M7" s="183"/>
      <c r="N7" s="192"/>
      <c r="O7" s="192"/>
      <c r="P7" s="183"/>
      <c r="Q7" s="183"/>
      <c r="R7" s="183"/>
      <c r="S7" s="183"/>
      <c r="T7" s="183"/>
      <c r="U7" s="183"/>
      <c r="V7" s="183"/>
      <c r="W7" s="183"/>
      <c r="X7" s="183"/>
    </row>
    <row r="8" spans="1:24" ht="18.75" customHeight="1" thickBot="1">
      <c r="A8" s="183"/>
      <c r="B8" s="194" t="s">
        <v>19</v>
      </c>
      <c r="C8" s="4"/>
      <c r="D8" s="195" t="s">
        <v>20</v>
      </c>
      <c r="E8" s="195" t="s">
        <v>21</v>
      </c>
      <c r="F8" s="177" t="s">
        <v>22</v>
      </c>
      <c r="G8" s="2"/>
      <c r="H8" s="184" t="s">
        <v>23</v>
      </c>
      <c r="I8" s="185"/>
      <c r="J8" s="186"/>
      <c r="K8" s="172" t="s">
        <v>24</v>
      </c>
      <c r="L8" s="176" t="s">
        <v>25</v>
      </c>
      <c r="M8" s="176"/>
      <c r="N8" s="176"/>
      <c r="O8" s="176" t="s">
        <v>26</v>
      </c>
      <c r="P8" s="2"/>
      <c r="Q8" s="174" t="s">
        <v>23</v>
      </c>
      <c r="R8" s="2"/>
      <c r="S8" s="174" t="s">
        <v>27</v>
      </c>
      <c r="T8" s="2"/>
      <c r="U8" s="174" t="s">
        <v>28</v>
      </c>
      <c r="V8" s="197" t="s">
        <v>29</v>
      </c>
      <c r="W8" s="2"/>
      <c r="X8" s="174" t="s">
        <v>23</v>
      </c>
    </row>
    <row r="9" spans="1:24" ht="59.25" customHeight="1" thickBot="1">
      <c r="A9" s="183"/>
      <c r="B9" s="194"/>
      <c r="C9" s="4"/>
      <c r="D9" s="196"/>
      <c r="E9" s="196"/>
      <c r="F9" s="178"/>
      <c r="G9" s="2"/>
      <c r="H9" s="187"/>
      <c r="I9" s="188"/>
      <c r="J9" s="189"/>
      <c r="K9" s="173"/>
      <c r="L9" s="155" t="s">
        <v>30</v>
      </c>
      <c r="M9" s="155" t="s">
        <v>31</v>
      </c>
      <c r="N9" s="155" t="s">
        <v>32</v>
      </c>
      <c r="O9" s="193"/>
      <c r="P9" s="2"/>
      <c r="Q9" s="175"/>
      <c r="R9" s="2"/>
      <c r="S9" s="175"/>
      <c r="T9" s="2"/>
      <c r="U9" s="175"/>
      <c r="V9" s="198"/>
      <c r="W9" s="2"/>
      <c r="X9" s="175"/>
    </row>
    <row r="10" spans="1:24" ht="32.25" customHeight="1">
      <c r="A10" s="2"/>
      <c r="B10" s="6">
        <v>44713</v>
      </c>
      <c r="C10" s="7"/>
      <c r="D10" s="143">
        <v>179</v>
      </c>
      <c r="E10" s="143">
        <v>253</v>
      </c>
      <c r="F10" s="13">
        <f>'Suivi EAU-ELEC'!E9</f>
        <v>267</v>
      </c>
      <c r="G10" s="11"/>
      <c r="H10" s="168">
        <f>F10*8.79</f>
        <v>2346.9299999999998</v>
      </c>
      <c r="I10" s="169"/>
      <c r="J10" s="169"/>
      <c r="K10" s="60">
        <v>42278</v>
      </c>
      <c r="L10" s="90">
        <f>'Suivi EAU-ELEC'!G9</f>
        <v>4384</v>
      </c>
      <c r="M10" s="91">
        <f>'Suivi EAU-ELEC'!I9</f>
        <v>9147</v>
      </c>
      <c r="N10" s="91">
        <f>'Suivi EAU-ELEC'!K9</f>
        <v>3394</v>
      </c>
      <c r="O10" s="91">
        <f>L10+M10+N10</f>
        <v>16925</v>
      </c>
      <c r="P10" s="11"/>
      <c r="Q10" s="34">
        <f>L10*0.6985+M10*0.9514+N10*1.3304</f>
        <v>16280.0574</v>
      </c>
      <c r="R10" s="11"/>
      <c r="S10" s="28"/>
      <c r="T10" s="11"/>
      <c r="U10" s="28"/>
      <c r="V10" s="146">
        <f>'Suvi Gaz'!O4</f>
        <v>159.99605</v>
      </c>
      <c r="W10" s="11"/>
      <c r="X10" s="34">
        <f>V10*13.14</f>
        <v>2102.3480970000001</v>
      </c>
    </row>
    <row r="11" spans="1:24" ht="32.25" customHeight="1">
      <c r="A11" s="2"/>
      <c r="B11" s="6">
        <v>44714</v>
      </c>
      <c r="C11" s="7"/>
      <c r="D11" s="143">
        <v>177</v>
      </c>
      <c r="E11" s="143">
        <v>263</v>
      </c>
      <c r="F11" s="13">
        <f>'Suivi EAU-ELEC'!E10</f>
        <v>165.29999999998836</v>
      </c>
      <c r="G11" s="11"/>
      <c r="H11" s="168">
        <f t="shared" ref="H11:H21" si="0">F11*8.79</f>
        <v>1452.9869999998975</v>
      </c>
      <c r="I11" s="169"/>
      <c r="J11" s="169"/>
      <c r="K11" s="60">
        <v>42279</v>
      </c>
      <c r="L11" s="90">
        <f>'Suivi EAU-ELEC'!G10</f>
        <v>4441</v>
      </c>
      <c r="M11" s="91">
        <f>'Suivi EAU-ELEC'!I10</f>
        <v>10256</v>
      </c>
      <c r="N11" s="91">
        <f>'Suivi EAU-ELEC'!K10</f>
        <v>3721</v>
      </c>
      <c r="O11" s="91">
        <f>L11+M11+N11</f>
        <v>18418</v>
      </c>
      <c r="P11" s="11"/>
      <c r="Q11" s="34">
        <f>L11*0.6985+M11*0.9514+N14*1.3304</f>
        <v>18098.712100000001</v>
      </c>
      <c r="R11" s="11"/>
      <c r="S11" s="28"/>
      <c r="T11" s="11"/>
      <c r="U11" s="28"/>
      <c r="V11" s="146">
        <f>'Suvi Gaz'!O5</f>
        <v>287.99288999999999</v>
      </c>
      <c r="W11" s="11"/>
      <c r="X11" s="34">
        <f t="shared" ref="X11:X39" si="1">V11*13.14</f>
        <v>3784.2265745999998</v>
      </c>
    </row>
    <row r="12" spans="1:24" ht="32.25" customHeight="1">
      <c r="A12" s="2"/>
      <c r="B12" s="6">
        <v>44715</v>
      </c>
      <c r="C12" s="7"/>
      <c r="D12" s="143">
        <v>173</v>
      </c>
      <c r="E12" s="143">
        <v>289</v>
      </c>
      <c r="F12" s="13">
        <f>'Suivi EAU-ELEC'!E11</f>
        <v>158.90000000002328</v>
      </c>
      <c r="G12" s="11"/>
      <c r="H12" s="168">
        <f t="shared" si="0"/>
        <v>1396.7310000002046</v>
      </c>
      <c r="I12" s="169"/>
      <c r="J12" s="169"/>
      <c r="K12" s="60">
        <v>42280</v>
      </c>
      <c r="L12" s="90">
        <f>'Suivi EAU-ELEC'!G11</f>
        <v>3749</v>
      </c>
      <c r="M12" s="91">
        <f>'Suivi EAU-ELEC'!I11</f>
        <v>10529</v>
      </c>
      <c r="N12" s="91">
        <f>'Suivi EAU-ELEC'!K11</f>
        <v>3819</v>
      </c>
      <c r="O12" s="91">
        <f>L12+M12+N12</f>
        <v>18097</v>
      </c>
      <c r="P12" s="11"/>
      <c r="Q12" s="34">
        <f>L12*0.6985+M12*0.9514+N12*1.3304</f>
        <v>17716.7647</v>
      </c>
      <c r="R12" s="11"/>
      <c r="S12" s="28"/>
      <c r="T12" s="11"/>
      <c r="U12" s="28"/>
      <c r="V12" s="146">
        <f>'Suvi Gaz'!O6</f>
        <v>319.99209999999999</v>
      </c>
      <c r="W12" s="11"/>
      <c r="X12" s="34">
        <f t="shared" si="1"/>
        <v>4204.6961940000001</v>
      </c>
    </row>
    <row r="13" spans="1:24" ht="32.25" customHeight="1">
      <c r="A13" s="2"/>
      <c r="B13" s="6">
        <v>44716</v>
      </c>
      <c r="C13" s="7"/>
      <c r="D13" s="143">
        <v>171</v>
      </c>
      <c r="E13" s="143">
        <v>289</v>
      </c>
      <c r="F13" s="13">
        <f>'Suivi EAU-ELEC'!E12</f>
        <v>157.79999999998836</v>
      </c>
      <c r="G13" s="11"/>
      <c r="H13" s="168">
        <f t="shared" si="0"/>
        <v>1387.0619999998976</v>
      </c>
      <c r="I13" s="169"/>
      <c r="J13" s="169"/>
      <c r="K13" s="60">
        <v>42281</v>
      </c>
      <c r="L13" s="90">
        <f>'Suivi EAU-ELEC'!G12</f>
        <v>4936</v>
      </c>
      <c r="M13" s="91">
        <f>'Suivi EAU-ELEC'!I12</f>
        <v>10072</v>
      </c>
      <c r="N13" s="91">
        <f>'Suivi EAU-ELEC'!K12</f>
        <v>3952</v>
      </c>
      <c r="O13" s="91">
        <f t="shared" ref="O13:O36" si="2">L13+M13+N13</f>
        <v>18960</v>
      </c>
      <c r="P13" s="11"/>
      <c r="Q13" s="34">
        <f t="shared" ref="Q13:Q36" si="3">L13*0.6985+M13*0.9514+N13*1.3304</f>
        <v>18288.0376</v>
      </c>
      <c r="R13" s="11"/>
      <c r="S13" s="28"/>
      <c r="T13" s="11"/>
      <c r="U13" s="28"/>
      <c r="V13" s="146">
        <f>'Suvi Gaz'!O7</f>
        <v>352.6567</v>
      </c>
      <c r="W13" s="11"/>
      <c r="X13" s="34">
        <f t="shared" si="1"/>
        <v>4633.9090379999998</v>
      </c>
    </row>
    <row r="14" spans="1:24" ht="32.25" customHeight="1">
      <c r="A14" s="2"/>
      <c r="B14" s="6">
        <v>44717</v>
      </c>
      <c r="C14" s="7"/>
      <c r="D14" s="143">
        <v>146</v>
      </c>
      <c r="E14" s="143">
        <v>229</v>
      </c>
      <c r="F14" s="13">
        <f>'Suivi EAU-ELEC'!E13</f>
        <v>160</v>
      </c>
      <c r="G14" s="12"/>
      <c r="H14" s="168">
        <f t="shared" si="0"/>
        <v>1406.3999999999999</v>
      </c>
      <c r="I14" s="169"/>
      <c r="J14" s="169"/>
      <c r="K14" s="60">
        <v>42282</v>
      </c>
      <c r="L14" s="90">
        <f>'Suivi EAU-ELEC'!G13</f>
        <v>4461</v>
      </c>
      <c r="M14" s="91">
        <f>'Suivi EAU-ELEC'!I13</f>
        <v>10146</v>
      </c>
      <c r="N14" s="91">
        <f>'Suivi EAU-ELEC'!K13</f>
        <v>3938</v>
      </c>
      <c r="O14" s="91">
        <f t="shared" si="2"/>
        <v>18545</v>
      </c>
      <c r="P14" s="12"/>
      <c r="Q14" s="34">
        <f t="shared" si="3"/>
        <v>18008.0281</v>
      </c>
      <c r="R14" s="12"/>
      <c r="S14" s="28"/>
      <c r="T14" s="12"/>
      <c r="U14" s="28"/>
      <c r="V14" s="146">
        <f>'Suvi Gaz'!O8</f>
        <v>287.99288999999999</v>
      </c>
      <c r="W14" s="11"/>
      <c r="X14" s="34">
        <f>V14*13.14</f>
        <v>3784.2265745999998</v>
      </c>
    </row>
    <row r="15" spans="1:24" ht="32.25" customHeight="1">
      <c r="A15" s="5"/>
      <c r="B15" s="6">
        <v>44718</v>
      </c>
      <c r="C15" s="7"/>
      <c r="D15" s="143">
        <v>134</v>
      </c>
      <c r="E15" s="143">
        <v>208</v>
      </c>
      <c r="F15" s="13">
        <f>'Suivi EAU-ELEC'!E14</f>
        <v>145</v>
      </c>
      <c r="G15" s="11"/>
      <c r="H15" s="168">
        <f t="shared" si="0"/>
        <v>1274.55</v>
      </c>
      <c r="I15" s="169"/>
      <c r="J15" s="169"/>
      <c r="K15" s="60">
        <v>42283</v>
      </c>
      <c r="L15" s="90">
        <f>'Suivi EAU-ELEC'!G14</f>
        <v>4437</v>
      </c>
      <c r="M15" s="91">
        <f>'Suivi EAU-ELEC'!I14</f>
        <v>9912</v>
      </c>
      <c r="N15" s="91">
        <f>'Suivi EAU-ELEC'!K14</f>
        <v>3710</v>
      </c>
      <c r="O15" s="91">
        <f t="shared" si="2"/>
        <v>18059</v>
      </c>
      <c r="P15" s="12"/>
      <c r="Q15" s="34">
        <f>L15*0.6985+M15*0.9514+N15*1.3304</f>
        <v>17465.3053</v>
      </c>
      <c r="R15" s="12"/>
      <c r="S15" s="28"/>
      <c r="T15" s="12"/>
      <c r="U15" s="28"/>
      <c r="V15" s="146">
        <f>'Suvi Gaz'!O9</f>
        <v>127.99684000000001</v>
      </c>
      <c r="W15" s="11"/>
      <c r="X15" s="34">
        <f>V15*13.14</f>
        <v>1681.8784776000002</v>
      </c>
    </row>
    <row r="16" spans="1:24" ht="32.25" customHeight="1">
      <c r="A16" s="5"/>
      <c r="B16" s="6">
        <v>44719</v>
      </c>
      <c r="C16" s="7"/>
      <c r="D16" s="143">
        <v>134</v>
      </c>
      <c r="E16" s="143">
        <v>201</v>
      </c>
      <c r="F16" s="13">
        <f>'Suivi EAU-ELEC'!E15</f>
        <v>155</v>
      </c>
      <c r="G16" s="11"/>
      <c r="H16" s="168">
        <f t="shared" si="0"/>
        <v>1362.4499999999998</v>
      </c>
      <c r="I16" s="169"/>
      <c r="J16" s="169"/>
      <c r="K16" s="60">
        <v>42284</v>
      </c>
      <c r="L16" s="90">
        <f>'Suivi EAU-ELEC'!G15</f>
        <v>4900</v>
      </c>
      <c r="M16" s="91">
        <f>'Suivi EAU-ELEC'!I15</f>
        <v>10384</v>
      </c>
      <c r="N16" s="91">
        <f>'Suivi EAU-ELEC'!K15</f>
        <v>4539</v>
      </c>
      <c r="O16" s="91">
        <f t="shared" si="2"/>
        <v>19823</v>
      </c>
      <c r="P16" s="11"/>
      <c r="Q16" s="34">
        <f t="shared" si="3"/>
        <v>19340.673200000001</v>
      </c>
      <c r="R16" s="11"/>
      <c r="S16" s="28"/>
      <c r="T16" s="11"/>
      <c r="U16" s="28"/>
      <c r="V16" s="146">
        <f>'Suvi Gaz'!O10</f>
        <v>351.99131</v>
      </c>
      <c r="W16" s="11"/>
      <c r="X16" s="34">
        <f t="shared" si="1"/>
        <v>4625.1658133999999</v>
      </c>
    </row>
    <row r="17" spans="1:24" s="5" customFormat="1" ht="32.25" customHeight="1">
      <c r="A17" s="2"/>
      <c r="B17" s="6">
        <v>44720</v>
      </c>
      <c r="C17" s="7"/>
      <c r="D17" s="143">
        <v>147</v>
      </c>
      <c r="E17" s="143">
        <v>205</v>
      </c>
      <c r="F17" s="13">
        <f>'Suivi EAU-ELEC'!E16</f>
        <v>139</v>
      </c>
      <c r="G17" s="11"/>
      <c r="H17" s="168">
        <f t="shared" si="0"/>
        <v>1221.81</v>
      </c>
      <c r="I17" s="169"/>
      <c r="J17" s="169"/>
      <c r="K17" s="60">
        <v>42285</v>
      </c>
      <c r="L17" s="90">
        <f>'Suivi EAU-ELEC'!G16</f>
        <v>5117</v>
      </c>
      <c r="M17" s="91">
        <f>'Suivi EAU-ELEC'!I16</f>
        <v>10773</v>
      </c>
      <c r="N17" s="91">
        <f>'Suivi EAU-ELEC'!K16</f>
        <v>4172</v>
      </c>
      <c r="O17" s="91">
        <f t="shared" si="2"/>
        <v>20062</v>
      </c>
      <c r="P17" s="12"/>
      <c r="Q17" s="34">
        <f t="shared" si="3"/>
        <v>19374.085500000001</v>
      </c>
      <c r="R17" s="12"/>
      <c r="S17" s="28"/>
      <c r="T17" s="12"/>
      <c r="U17" s="28"/>
      <c r="V17" s="146">
        <f>'Suvi Gaz'!O11</f>
        <v>223.99447000000001</v>
      </c>
      <c r="W17" s="11"/>
      <c r="X17" s="34">
        <f t="shared" si="1"/>
        <v>2943.2873358000002</v>
      </c>
    </row>
    <row r="18" spans="1:24" ht="32.25" customHeight="1">
      <c r="A18" s="2"/>
      <c r="B18" s="6">
        <v>44721</v>
      </c>
      <c r="C18" s="7"/>
      <c r="D18" s="143">
        <v>138</v>
      </c>
      <c r="E18" s="143">
        <v>200</v>
      </c>
      <c r="F18" s="13">
        <f>'Suivi EAU-ELEC'!E17</f>
        <v>135</v>
      </c>
      <c r="G18" s="11"/>
      <c r="H18" s="168">
        <f t="shared" si="0"/>
        <v>1186.6499999999999</v>
      </c>
      <c r="I18" s="169"/>
      <c r="J18" s="169"/>
      <c r="K18" s="60">
        <v>42286</v>
      </c>
      <c r="L18" s="90">
        <f>'Suivi EAU-ELEC'!G17</f>
        <v>5025</v>
      </c>
      <c r="M18" s="91">
        <f>'Suivi EAU-ELEC'!I17</f>
        <v>10593</v>
      </c>
      <c r="N18" s="91">
        <f>'Suivi EAU-ELEC'!K17</f>
        <v>4219</v>
      </c>
      <c r="O18" s="91">
        <f t="shared" si="2"/>
        <v>19837</v>
      </c>
      <c r="P18" s="12"/>
      <c r="Q18" s="34">
        <f t="shared" si="3"/>
        <v>19201.100299999998</v>
      </c>
      <c r="R18" s="12"/>
      <c r="S18" s="28"/>
      <c r="T18" s="12"/>
      <c r="U18" s="28"/>
      <c r="V18" s="146">
        <f>'Suvi Gaz'!O12</f>
        <v>287.99288999999999</v>
      </c>
      <c r="W18" s="11"/>
      <c r="X18" s="34">
        <f t="shared" si="1"/>
        <v>3784.2265745999998</v>
      </c>
    </row>
    <row r="19" spans="1:24" ht="32.25" customHeight="1">
      <c r="A19" s="2"/>
      <c r="B19" s="6">
        <v>44722</v>
      </c>
      <c r="C19" s="7"/>
      <c r="D19" s="143">
        <v>120</v>
      </c>
      <c r="E19" s="143">
        <v>175</v>
      </c>
      <c r="F19" s="13">
        <f>'Suivi EAU-ELEC'!E18</f>
        <v>175.29999999998836</v>
      </c>
      <c r="G19" s="12"/>
      <c r="H19" s="168">
        <f t="shared" si="0"/>
        <v>1540.8869999998976</v>
      </c>
      <c r="I19" s="169"/>
      <c r="J19" s="169"/>
      <c r="K19" s="60">
        <v>42287</v>
      </c>
      <c r="L19" s="90">
        <f>'Suivi EAU-ELEC'!G18</f>
        <v>4793</v>
      </c>
      <c r="M19" s="91">
        <f>'Suivi EAU-ELEC'!I18</f>
        <v>10865</v>
      </c>
      <c r="N19" s="91">
        <f>'Suivi EAU-ELEC'!K18</f>
        <v>3986</v>
      </c>
      <c r="O19" s="91">
        <f t="shared" si="2"/>
        <v>19644</v>
      </c>
      <c r="P19" s="12"/>
      <c r="Q19" s="34">
        <f t="shared" si="3"/>
        <v>18987.8459</v>
      </c>
      <c r="R19" s="12"/>
      <c r="S19" s="28"/>
      <c r="T19" s="12"/>
      <c r="U19" s="28"/>
      <c r="V19" s="146">
        <f>'Suvi Gaz'!O13</f>
        <v>383.99052</v>
      </c>
      <c r="W19" s="11"/>
      <c r="X19" s="34">
        <f t="shared" si="1"/>
        <v>5045.6354328000007</v>
      </c>
    </row>
    <row r="20" spans="1:24" ht="32.25" customHeight="1">
      <c r="A20" s="2"/>
      <c r="B20" s="6">
        <v>44723</v>
      </c>
      <c r="C20" s="7"/>
      <c r="D20" s="143">
        <v>173</v>
      </c>
      <c r="E20" s="143">
        <v>223</v>
      </c>
      <c r="F20" s="13">
        <f>'Suivi EAU-ELEC'!E19</f>
        <v>170.60000000000582</v>
      </c>
      <c r="G20" s="12"/>
      <c r="H20" s="168">
        <f t="shared" si="0"/>
        <v>1499.574000000051</v>
      </c>
      <c r="I20" s="169"/>
      <c r="J20" s="169"/>
      <c r="K20" s="60">
        <v>42288</v>
      </c>
      <c r="L20" s="90">
        <f>'Suivi EAU-ELEC'!G19</f>
        <v>5146</v>
      </c>
      <c r="M20" s="91">
        <f>'Suivi EAU-ELEC'!I19</f>
        <v>10605</v>
      </c>
      <c r="N20" s="91">
        <f>'Suivi EAU-ELEC'!K19</f>
        <v>4231</v>
      </c>
      <c r="O20" s="91">
        <f t="shared" si="2"/>
        <v>19982</v>
      </c>
      <c r="P20" s="12"/>
      <c r="Q20" s="34">
        <f t="shared" si="3"/>
        <v>19313.000400000001</v>
      </c>
      <c r="R20" s="12"/>
      <c r="S20" s="28"/>
      <c r="T20" s="12"/>
      <c r="U20" s="28"/>
      <c r="V20" s="146">
        <f>'Suvi Gaz'!O14</f>
        <v>415.98973000000001</v>
      </c>
      <c r="W20" s="11"/>
      <c r="X20" s="34">
        <f t="shared" si="1"/>
        <v>5466.1050522000005</v>
      </c>
    </row>
    <row r="21" spans="1:24" ht="32.25" customHeight="1">
      <c r="A21" s="2"/>
      <c r="B21" s="6">
        <v>44724</v>
      </c>
      <c r="C21" s="7"/>
      <c r="D21" s="143">
        <v>183</v>
      </c>
      <c r="E21" s="143">
        <v>237</v>
      </c>
      <c r="F21" s="13">
        <f>'Suivi EAU-ELEC'!E20</f>
        <v>163.10000000000582</v>
      </c>
      <c r="G21" s="12"/>
      <c r="H21" s="168">
        <f t="shared" si="0"/>
        <v>1433.649000000051</v>
      </c>
      <c r="I21" s="169"/>
      <c r="J21" s="169"/>
      <c r="K21" s="60">
        <v>42289</v>
      </c>
      <c r="L21" s="90">
        <f>'Suivi EAU-ELEC'!G20</f>
        <v>5362</v>
      </c>
      <c r="M21" s="91">
        <f>'Suivi EAU-ELEC'!I20</f>
        <v>11461</v>
      </c>
      <c r="N21" s="91">
        <f>'Suivi EAU-ELEC'!K20</f>
        <v>4511</v>
      </c>
      <c r="O21" s="91">
        <f>L21+M21+N21</f>
        <v>21334</v>
      </c>
      <c r="P21" s="12"/>
      <c r="Q21" s="34">
        <f t="shared" si="3"/>
        <v>20650.786800000002</v>
      </c>
      <c r="R21" s="12"/>
      <c r="S21" s="28"/>
      <c r="T21" s="12"/>
      <c r="U21" s="28"/>
      <c r="V21" s="146">
        <f>'Suvi Gaz'!O15</f>
        <v>159.99605</v>
      </c>
      <c r="W21" s="11"/>
      <c r="X21" s="34">
        <f t="shared" si="1"/>
        <v>2102.3480970000001</v>
      </c>
    </row>
    <row r="22" spans="1:24" ht="32.25" customHeight="1">
      <c r="A22" s="2"/>
      <c r="B22" s="6">
        <v>44725</v>
      </c>
      <c r="C22" s="7"/>
      <c r="D22" s="143">
        <v>181</v>
      </c>
      <c r="E22" s="143">
        <v>226</v>
      </c>
      <c r="F22" s="13">
        <f>'Suivi EAU-ELEC'!E21</f>
        <v>151</v>
      </c>
      <c r="G22" s="12"/>
      <c r="H22" s="168">
        <f t="shared" ref="H22:H35" si="4">F22*8.79</f>
        <v>1327.29</v>
      </c>
      <c r="I22" s="169"/>
      <c r="J22" s="169"/>
      <c r="K22" s="60">
        <v>42290</v>
      </c>
      <c r="L22" s="90">
        <f>'Suivi EAU-ELEC'!G21</f>
        <v>4871</v>
      </c>
      <c r="M22" s="91">
        <f>'Suivi EAU-ELEC'!I21</f>
        <v>12046</v>
      </c>
      <c r="N22" s="91">
        <f>'Suivi EAU-ELEC'!K21</f>
        <v>4428</v>
      </c>
      <c r="O22" s="91">
        <f t="shared" si="2"/>
        <v>21345</v>
      </c>
      <c r="P22" s="12"/>
      <c r="Q22" s="34">
        <f t="shared" si="3"/>
        <v>20753.969100000002</v>
      </c>
      <c r="R22" s="12"/>
      <c r="S22" s="28"/>
      <c r="T22" s="12"/>
      <c r="U22" s="28"/>
      <c r="V22" s="146">
        <f>'Suvi Gaz'!O16</f>
        <v>95.997630000000001</v>
      </c>
      <c r="W22" s="11"/>
      <c r="X22" s="34">
        <f t="shared" si="1"/>
        <v>1261.4088582000002</v>
      </c>
    </row>
    <row r="23" spans="1:24" ht="32.25" customHeight="1">
      <c r="A23" s="2"/>
      <c r="B23" s="6">
        <v>44726</v>
      </c>
      <c r="C23" s="7"/>
      <c r="D23" s="143">
        <v>141</v>
      </c>
      <c r="E23" s="143">
        <v>189</v>
      </c>
      <c r="F23" s="13">
        <f>'Suivi EAU-ELEC'!E22</f>
        <v>149.10000000000582</v>
      </c>
      <c r="G23" s="14"/>
      <c r="H23" s="168">
        <f t="shared" si="4"/>
        <v>1310.5890000000511</v>
      </c>
      <c r="I23" s="169"/>
      <c r="J23" s="169"/>
      <c r="K23" s="60">
        <v>42291</v>
      </c>
      <c r="L23" s="90">
        <f>'Suivi EAU-ELEC'!G22</f>
        <v>4707</v>
      </c>
      <c r="M23" s="91">
        <f>'Suivi EAU-ELEC'!I22</f>
        <v>11903</v>
      </c>
      <c r="N23" s="91">
        <f>'Suivi EAU-ELEC'!K22</f>
        <v>4890</v>
      </c>
      <c r="O23" s="91">
        <f>L23+M23+N23</f>
        <v>21500</v>
      </c>
      <c r="P23" s="12"/>
      <c r="Q23" s="34">
        <f>L23*0.6985+M23*0.9514+N23*1.3304</f>
        <v>21118.009699999999</v>
      </c>
      <c r="R23" s="12"/>
      <c r="S23" s="28"/>
      <c r="T23" s="14"/>
      <c r="U23" s="28"/>
      <c r="V23" s="146">
        <f>'Suvi Gaz'!O17</f>
        <v>287.99288999999999</v>
      </c>
      <c r="W23" s="11"/>
      <c r="X23" s="34">
        <f t="shared" si="1"/>
        <v>3784.2265745999998</v>
      </c>
    </row>
    <row r="24" spans="1:24" ht="32.25" customHeight="1">
      <c r="A24" s="2"/>
      <c r="B24" s="6">
        <v>44727</v>
      </c>
      <c r="C24" s="7"/>
      <c r="D24" s="143">
        <v>170</v>
      </c>
      <c r="E24" s="143">
        <v>231</v>
      </c>
      <c r="F24" s="13">
        <f>'Suivi EAU-ELEC'!E23</f>
        <v>153</v>
      </c>
      <c r="G24" s="14"/>
      <c r="H24" s="168">
        <f t="shared" si="4"/>
        <v>1344.87</v>
      </c>
      <c r="I24" s="169"/>
      <c r="J24" s="169"/>
      <c r="K24" s="60">
        <v>42292</v>
      </c>
      <c r="L24" s="90">
        <f>'Suivi EAU-ELEC'!G23</f>
        <v>5447</v>
      </c>
      <c r="M24" s="91">
        <f>'Suivi EAU-ELEC'!I23</f>
        <v>11104</v>
      </c>
      <c r="N24" s="91">
        <f>'Suivi EAU-ELEC'!K23</f>
        <v>4048</v>
      </c>
      <c r="O24" s="91">
        <f>L24+M24+N24</f>
        <v>20599</v>
      </c>
      <c r="P24" s="12"/>
      <c r="Q24" s="34">
        <f>L24*0.6985+M24*0.9514+N24*1.3304</f>
        <v>19754.534299999999</v>
      </c>
      <c r="R24" s="12"/>
      <c r="S24" s="28"/>
      <c r="T24" s="14"/>
      <c r="U24" s="28"/>
      <c r="V24" s="146">
        <f>'Suvi Gaz'!O18</f>
        <v>159.99605</v>
      </c>
      <c r="W24" s="11"/>
      <c r="X24" s="34">
        <f t="shared" si="1"/>
        <v>2102.3480970000001</v>
      </c>
    </row>
    <row r="25" spans="1:24" ht="32.25" customHeight="1">
      <c r="A25" s="2"/>
      <c r="B25" s="6">
        <v>44728</v>
      </c>
      <c r="C25" s="7"/>
      <c r="D25" s="143">
        <v>163</v>
      </c>
      <c r="E25" s="143">
        <v>229</v>
      </c>
      <c r="F25" s="13">
        <f>'Suivi EAU-ELEC'!E24</f>
        <v>161.89999999999418</v>
      </c>
      <c r="G25" s="14"/>
      <c r="H25" s="168">
        <f t="shared" si="4"/>
        <v>1423.1009999999487</v>
      </c>
      <c r="I25" s="169"/>
      <c r="J25" s="169"/>
      <c r="K25" s="60">
        <v>42293</v>
      </c>
      <c r="L25" s="90">
        <f>'Suivi EAU-ELEC'!G24</f>
        <v>6069</v>
      </c>
      <c r="M25" s="91">
        <f>'Suivi EAU-ELEC'!I24</f>
        <v>11429</v>
      </c>
      <c r="N25" s="91">
        <f>'Suivi EAU-ELEC'!K24</f>
        <v>4644</v>
      </c>
      <c r="O25" s="91">
        <f>L25+M25+N25</f>
        <v>22142</v>
      </c>
      <c r="P25" s="12"/>
      <c r="Q25" s="34">
        <f>L25*0.6985+M25*0.9514+N25*1.3304</f>
        <v>21291.1247</v>
      </c>
      <c r="R25" s="12"/>
      <c r="S25" s="28"/>
      <c r="T25" s="14"/>
      <c r="U25" s="28"/>
      <c r="V25" s="146">
        <f>'Suvi Gaz'!O19</f>
        <v>255.99368000000001</v>
      </c>
      <c r="W25" s="11"/>
      <c r="X25" s="34">
        <f t="shared" si="1"/>
        <v>3363.7569552000004</v>
      </c>
    </row>
    <row r="26" spans="1:24" ht="32.25" customHeight="1">
      <c r="A26" s="2"/>
      <c r="B26" s="6">
        <v>44729</v>
      </c>
      <c r="C26" s="7"/>
      <c r="D26" s="143">
        <v>141</v>
      </c>
      <c r="E26" s="143">
        <v>205</v>
      </c>
      <c r="F26" s="13">
        <f>'Suivi EAU-ELEC'!E25</f>
        <v>160</v>
      </c>
      <c r="G26" s="14"/>
      <c r="H26" s="168">
        <f t="shared" si="4"/>
        <v>1406.3999999999999</v>
      </c>
      <c r="I26" s="169"/>
      <c r="J26" s="169"/>
      <c r="K26" s="60">
        <v>42294</v>
      </c>
      <c r="L26" s="90">
        <f>'Suivi EAU-ELEC'!G25</f>
        <v>4705</v>
      </c>
      <c r="M26" s="91">
        <f>'Suivi EAU-ELEC'!I25</f>
        <v>9475</v>
      </c>
      <c r="N26" s="91">
        <f>'Suivi EAU-ELEC'!K25</f>
        <v>3945</v>
      </c>
      <c r="O26" s="91">
        <f>L26+M26+N26</f>
        <v>18125</v>
      </c>
      <c r="P26" s="14"/>
      <c r="Q26" s="34">
        <f>L26*0.6985+M26*0.9514+N26*1.3304</f>
        <v>17549.3855</v>
      </c>
      <c r="R26" s="14"/>
      <c r="S26" s="28"/>
      <c r="T26" s="14"/>
      <c r="U26" s="28"/>
      <c r="V26" s="146">
        <f>'Suvi Gaz'!O20</f>
        <v>351.99131</v>
      </c>
      <c r="W26" s="11"/>
      <c r="X26" s="34">
        <f t="shared" si="1"/>
        <v>4625.1658133999999</v>
      </c>
    </row>
    <row r="27" spans="1:24" ht="32.25" customHeight="1">
      <c r="A27" s="2"/>
      <c r="B27" s="6">
        <v>44730</v>
      </c>
      <c r="C27" s="7"/>
      <c r="D27" s="143">
        <v>143</v>
      </c>
      <c r="E27" s="143">
        <v>223</v>
      </c>
      <c r="F27" s="13">
        <f>'Suivi EAU-ELEC'!E26</f>
        <v>182</v>
      </c>
      <c r="G27" s="14"/>
      <c r="H27" s="168">
        <f t="shared" si="4"/>
        <v>1599.7799999999997</v>
      </c>
      <c r="I27" s="169"/>
      <c r="J27" s="169"/>
      <c r="K27" s="60">
        <v>42295</v>
      </c>
      <c r="L27" s="90">
        <f>'Suivi EAU-ELEC'!G26</f>
        <v>6739</v>
      </c>
      <c r="M27" s="91">
        <f>'Suivi EAU-ELEC'!I26</f>
        <v>10063</v>
      </c>
      <c r="N27" s="91">
        <f>'Suivi EAU-ELEC'!K26</f>
        <v>5247</v>
      </c>
      <c r="O27" s="91">
        <f t="shared" si="2"/>
        <v>22049</v>
      </c>
      <c r="P27" s="14"/>
      <c r="Q27" s="34">
        <f t="shared" si="3"/>
        <v>21261.738499999999</v>
      </c>
      <c r="R27" s="14"/>
      <c r="S27" s="28"/>
      <c r="T27" s="14"/>
      <c r="U27" s="28"/>
      <c r="V27" s="146">
        <f>'Suvi Gaz'!O21</f>
        <v>223.99447000000001</v>
      </c>
      <c r="W27" s="11"/>
      <c r="X27" s="34">
        <f t="shared" si="1"/>
        <v>2943.2873358000002</v>
      </c>
    </row>
    <row r="28" spans="1:24" ht="32.25" customHeight="1">
      <c r="A28" s="2"/>
      <c r="B28" s="6">
        <v>44731</v>
      </c>
      <c r="C28" s="7"/>
      <c r="D28" s="143">
        <v>151</v>
      </c>
      <c r="E28" s="143">
        <v>230</v>
      </c>
      <c r="F28" s="13">
        <f>'Suivi EAU-ELEC'!E27</f>
        <v>156.39999999999418</v>
      </c>
      <c r="G28" s="11"/>
      <c r="H28" s="168">
        <f t="shared" si="4"/>
        <v>1374.7559999999487</v>
      </c>
      <c r="I28" s="169"/>
      <c r="J28" s="169"/>
      <c r="K28" s="60">
        <v>42296</v>
      </c>
      <c r="L28" s="90">
        <f>'Suivi EAU-ELEC'!G27</f>
        <v>4891</v>
      </c>
      <c r="M28" s="91">
        <f>'Suivi EAU-ELEC'!I27</f>
        <v>8929</v>
      </c>
      <c r="N28" s="91">
        <f>'Suivi EAU-ELEC'!K27</f>
        <v>3584</v>
      </c>
      <c r="O28" s="91">
        <f t="shared" si="2"/>
        <v>17404</v>
      </c>
      <c r="P28" s="11"/>
      <c r="Q28" s="34">
        <f>L28*0.6985+M28*0.9514+N28*1.3304</f>
        <v>16679.5677</v>
      </c>
      <c r="R28" s="11"/>
      <c r="S28" s="28"/>
      <c r="T28" s="11"/>
      <c r="U28" s="28"/>
      <c r="V28" s="146">
        <f>'Suvi Gaz'!O22</f>
        <v>415.98973000000001</v>
      </c>
      <c r="W28" s="11"/>
      <c r="X28" s="34">
        <f t="shared" si="1"/>
        <v>5466.1050522000005</v>
      </c>
    </row>
    <row r="29" spans="1:24" ht="32.25" customHeight="1">
      <c r="A29" s="2"/>
      <c r="B29" s="6">
        <v>44732</v>
      </c>
      <c r="C29" s="7"/>
      <c r="D29" s="143">
        <v>170</v>
      </c>
      <c r="E29" s="143">
        <v>256</v>
      </c>
      <c r="F29" s="13">
        <f>'Suivi EAU-ELEC'!E28</f>
        <v>287.60000000000582</v>
      </c>
      <c r="G29" s="11"/>
      <c r="H29" s="168">
        <f t="shared" si="4"/>
        <v>2528.0040000000508</v>
      </c>
      <c r="I29" s="169"/>
      <c r="J29" s="169"/>
      <c r="K29" s="60">
        <v>42297</v>
      </c>
      <c r="L29" s="90">
        <f>'Suivi EAU-ELEC'!G28</f>
        <v>4790</v>
      </c>
      <c r="M29" s="91">
        <f>'Suivi EAU-ELEC'!I28</f>
        <v>9626</v>
      </c>
      <c r="N29" s="91">
        <f>'Suivi EAU-ELEC'!K28</f>
        <v>4619</v>
      </c>
      <c r="O29" s="91">
        <f>L29+M29+N29</f>
        <v>19035</v>
      </c>
      <c r="P29" s="11"/>
      <c r="Q29" s="34">
        <f t="shared" si="3"/>
        <v>18649.109</v>
      </c>
      <c r="R29" s="11"/>
      <c r="S29" s="28"/>
      <c r="T29" s="11"/>
      <c r="U29" s="28"/>
      <c r="V29" s="146">
        <f>'Suvi Gaz'!O23</f>
        <v>255.99368000000001</v>
      </c>
      <c r="W29" s="11"/>
      <c r="X29" s="34">
        <f t="shared" si="1"/>
        <v>3363.7569552000004</v>
      </c>
    </row>
    <row r="30" spans="1:24" ht="32.25" customHeight="1">
      <c r="A30" s="2"/>
      <c r="B30" s="6">
        <v>44733</v>
      </c>
      <c r="C30" s="7"/>
      <c r="D30" s="143">
        <v>180</v>
      </c>
      <c r="E30" s="143">
        <v>256</v>
      </c>
      <c r="F30" s="13">
        <f>'Suivi EAU-ELEC'!E29</f>
        <v>155.10000000000582</v>
      </c>
      <c r="G30" s="11"/>
      <c r="H30" s="168">
        <f t="shared" si="4"/>
        <v>1363.3290000000511</v>
      </c>
      <c r="I30" s="169"/>
      <c r="J30" s="169"/>
      <c r="K30" s="60">
        <v>42298</v>
      </c>
      <c r="L30" s="90">
        <f>'Suivi EAU-ELEC'!G29</f>
        <v>4704</v>
      </c>
      <c r="M30" s="91">
        <f>'Suivi EAU-ELEC'!I29</f>
        <v>9949</v>
      </c>
      <c r="N30" s="91">
        <f>'Suivi EAU-ELEC'!K29</f>
        <v>3687</v>
      </c>
      <c r="O30" s="91">
        <f>L30+M30+N30</f>
        <v>18340</v>
      </c>
      <c r="P30" s="11"/>
      <c r="Q30" s="34">
        <f>L30*0.6985+M30*0.9514+N30*1.3304</f>
        <v>17656.4074</v>
      </c>
      <c r="R30" s="11"/>
      <c r="S30" s="28"/>
      <c r="T30" s="11"/>
      <c r="U30" s="28"/>
      <c r="V30" s="146">
        <f>'Suvi Gaz'!O24</f>
        <v>287.99288999999999</v>
      </c>
      <c r="W30" s="11"/>
      <c r="X30" s="34">
        <f t="shared" si="1"/>
        <v>3784.2265745999998</v>
      </c>
    </row>
    <row r="31" spans="1:24" ht="27.75" customHeight="1">
      <c r="A31" s="2"/>
      <c r="B31" s="6">
        <v>44734</v>
      </c>
      <c r="C31" s="7"/>
      <c r="D31" s="143">
        <v>161</v>
      </c>
      <c r="E31" s="143">
        <v>229</v>
      </c>
      <c r="F31" s="13">
        <f>'Suivi EAU-ELEC'!E30</f>
        <v>179.19999999998254</v>
      </c>
      <c r="G31" s="11"/>
      <c r="H31" s="168">
        <f t="shared" si="4"/>
        <v>1575.1679999998464</v>
      </c>
      <c r="I31" s="169"/>
      <c r="J31" s="169"/>
      <c r="K31" s="60">
        <v>42299</v>
      </c>
      <c r="L31" s="90">
        <f>'Suivi EAU-ELEC'!G30</f>
        <v>4239</v>
      </c>
      <c r="M31" s="91">
        <f>'Suivi EAU-ELEC'!I30</f>
        <v>8691</v>
      </c>
      <c r="N31" s="91">
        <f>'Suivi EAU-ELEC'!K30</f>
        <v>3846</v>
      </c>
      <c r="O31" s="91">
        <f>L31+M31+N31</f>
        <v>16776</v>
      </c>
      <c r="P31" s="11"/>
      <c r="Q31" s="34">
        <f>L31*0.6985+M31*0.9514+N31*1.3304</f>
        <v>16346.2773</v>
      </c>
      <c r="R31" s="11"/>
      <c r="S31" s="28"/>
      <c r="T31" s="11"/>
      <c r="U31" s="28"/>
      <c r="V31" s="146">
        <f>'Suvi Gaz'!O25</f>
        <v>351.99131</v>
      </c>
      <c r="W31" s="11"/>
      <c r="X31" s="34">
        <f t="shared" si="1"/>
        <v>4625.1658133999999</v>
      </c>
    </row>
    <row r="32" spans="1:24" ht="37.5" customHeight="1">
      <c r="A32" s="2"/>
      <c r="B32" s="6">
        <v>44735</v>
      </c>
      <c r="C32" s="7"/>
      <c r="D32" s="143">
        <v>158</v>
      </c>
      <c r="E32" s="143">
        <v>251</v>
      </c>
      <c r="F32" s="13">
        <f>'Suivi EAU-ELEC'!E31</f>
        <v>158.70000000001164</v>
      </c>
      <c r="G32" s="11"/>
      <c r="H32" s="168">
        <f t="shared" si="4"/>
        <v>1394.9730000001023</v>
      </c>
      <c r="I32" s="169"/>
      <c r="J32" s="169"/>
      <c r="K32" s="60">
        <v>42300</v>
      </c>
      <c r="L32" s="90">
        <f>'Suivi EAU-ELEC'!G31</f>
        <v>4926</v>
      </c>
      <c r="M32" s="91">
        <f>'Suivi EAU-ELEC'!I31</f>
        <v>10122</v>
      </c>
      <c r="N32" s="91">
        <f>'Suivi EAU-ELEC'!K31</f>
        <v>3714</v>
      </c>
      <c r="O32" s="91">
        <f t="shared" si="2"/>
        <v>18762</v>
      </c>
      <c r="P32" s="11"/>
      <c r="Q32" s="34">
        <f t="shared" si="3"/>
        <v>18011.987399999998</v>
      </c>
      <c r="R32" s="11"/>
      <c r="S32" s="28"/>
      <c r="T32" s="11"/>
      <c r="U32" s="28"/>
      <c r="V32" s="146">
        <f>'Suvi Gaz'!O26</f>
        <v>255.99368000000001</v>
      </c>
      <c r="W32" s="11"/>
      <c r="X32" s="34">
        <f t="shared" si="1"/>
        <v>3363.7569552000004</v>
      </c>
    </row>
    <row r="33" spans="1:24" ht="37.5" customHeight="1">
      <c r="A33" s="2"/>
      <c r="B33" s="6">
        <v>44736</v>
      </c>
      <c r="C33" s="7"/>
      <c r="D33" s="143"/>
      <c r="E33" s="143"/>
      <c r="F33" s="13">
        <f>'Suivi EAU-ELEC'!E32</f>
        <v>173</v>
      </c>
      <c r="G33" s="11"/>
      <c r="H33" s="168">
        <f t="shared" si="4"/>
        <v>1520.6699999999998</v>
      </c>
      <c r="I33" s="169"/>
      <c r="J33" s="169"/>
      <c r="K33" s="60">
        <v>42301</v>
      </c>
      <c r="L33" s="90">
        <f>'Suivi EAU-ELEC'!G32</f>
        <v>4361</v>
      </c>
      <c r="M33" s="91">
        <f>'Suivi EAU-ELEC'!I32</f>
        <v>9600</v>
      </c>
      <c r="N33" s="91">
        <f>'Suivi EAU-ELEC'!K32</f>
        <v>3351</v>
      </c>
      <c r="O33" s="91">
        <f t="shared" si="2"/>
        <v>17312</v>
      </c>
      <c r="P33" s="11"/>
      <c r="Q33" s="34">
        <f t="shared" si="3"/>
        <v>16637.768899999999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44737</v>
      </c>
      <c r="C34" s="7"/>
      <c r="D34" s="143"/>
      <c r="E34" s="143"/>
      <c r="F34" s="13"/>
      <c r="G34" s="11"/>
      <c r="H34" s="168">
        <f t="shared" si="4"/>
        <v>0</v>
      </c>
      <c r="I34" s="169"/>
      <c r="J34" s="169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44738</v>
      </c>
      <c r="C35" s="7"/>
      <c r="D35" s="143"/>
      <c r="E35" s="143"/>
      <c r="F35" s="13"/>
      <c r="G35" s="11"/>
      <c r="H35" s="168">
        <f t="shared" si="4"/>
        <v>0</v>
      </c>
      <c r="I35" s="169"/>
      <c r="J35" s="169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44739</v>
      </c>
      <c r="C36" s="7"/>
      <c r="D36" s="143"/>
      <c r="E36" s="143"/>
      <c r="F36" s="13"/>
      <c r="G36" s="11"/>
      <c r="H36" s="168">
        <f t="shared" ref="H36:H37" si="5">F36*8.79</f>
        <v>0</v>
      </c>
      <c r="I36" s="169"/>
      <c r="J36" s="169"/>
      <c r="K36" s="60"/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44740</v>
      </c>
      <c r="C37" s="7"/>
      <c r="D37" s="143"/>
      <c r="E37" s="143"/>
      <c r="F37" s="13"/>
      <c r="G37" s="11"/>
      <c r="H37" s="168">
        <f t="shared" si="5"/>
        <v>0</v>
      </c>
      <c r="I37" s="169"/>
      <c r="J37" s="169"/>
      <c r="K37" s="60"/>
      <c r="L37" s="90"/>
      <c r="M37" s="91"/>
      <c r="N37" s="91"/>
      <c r="O37" s="91">
        <f>L37+M37+N37</f>
        <v>0</v>
      </c>
      <c r="P37" s="11"/>
      <c r="Q37" s="34">
        <f>L37*0.6985+M37*0.9514+N37*1.3304</f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44741</v>
      </c>
      <c r="C38" s="7"/>
      <c r="D38" s="143"/>
      <c r="E38" s="143"/>
      <c r="F38" s="13"/>
      <c r="G38" s="11"/>
      <c r="H38" s="168">
        <f>F38*8.79</f>
        <v>0</v>
      </c>
      <c r="I38" s="169"/>
      <c r="J38" s="169"/>
      <c r="K38" s="60">
        <v>42304</v>
      </c>
      <c r="L38" s="90"/>
      <c r="M38" s="91"/>
      <c r="N38" s="91"/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44742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 t="shared" ref="O39" si="6">L39+M39+N39</f>
        <v>0</v>
      </c>
      <c r="P39" s="11"/>
      <c r="Q39" s="34">
        <f t="shared" ref="Q39:Q40" si="7">L39*0.6985+M39*0.9514+N39*1.3304</f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3634</v>
      </c>
      <c r="E40" s="8">
        <f>SUM(E10:E39)</f>
        <v>5297</v>
      </c>
      <c r="F40" s="152">
        <f>SUM(F10:F39)</f>
        <v>4059</v>
      </c>
      <c r="G40" s="1"/>
      <c r="H40" s="249">
        <f>SUM(H10:H39)</f>
        <v>35678.609999999993</v>
      </c>
      <c r="I40" s="250"/>
      <c r="J40" s="251"/>
      <c r="K40" s="1"/>
      <c r="L40" s="53">
        <f>SUM(L10:L39)</f>
        <v>117200</v>
      </c>
      <c r="M40" s="53">
        <f>SUM(M10:M39)</f>
        <v>247680</v>
      </c>
      <c r="N40" s="54">
        <f>SUM(N10:N39)</f>
        <v>98195</v>
      </c>
      <c r="O40" s="55">
        <f>SUM(O10:O39)</f>
        <v>463075</v>
      </c>
      <c r="P40" s="31"/>
      <c r="Q40" s="34">
        <f t="shared" si="7"/>
        <v>448145.57999999996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6304.5097599999999</v>
      </c>
      <c r="W40" s="31"/>
      <c r="X40" s="32">
        <f>SUM(X10:X39)</f>
        <v>82841.258246400015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204" t="s">
        <v>33</v>
      </c>
      <c r="B42" s="205"/>
      <c r="C42" s="205"/>
      <c r="D42" s="205"/>
      <c r="E42" s="205"/>
      <c r="F42" s="206"/>
      <c r="G42" s="26"/>
      <c r="H42" s="27" t="s">
        <v>34</v>
      </c>
      <c r="I42" s="243" t="s">
        <v>35</v>
      </c>
      <c r="J42" s="244"/>
      <c r="K42" s="245"/>
      <c r="L42" s="218" t="s">
        <v>36</v>
      </c>
      <c r="M42" s="219"/>
      <c r="N42" s="204" t="s">
        <v>37</v>
      </c>
      <c r="O42" s="205"/>
      <c r="P42" s="205"/>
      <c r="Q42" s="205"/>
      <c r="R42" s="205"/>
      <c r="S42" s="205"/>
      <c r="T42" s="205"/>
      <c r="U42" s="205"/>
      <c r="V42" s="205"/>
      <c r="W42" s="205"/>
      <c r="X42" s="206"/>
    </row>
    <row r="43" spans="1:24" s="18" customFormat="1" ht="29.25" customHeight="1" thickBot="1">
      <c r="A43" s="212" t="s">
        <v>38</v>
      </c>
      <c r="B43" s="213"/>
      <c r="C43" s="214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09">
        <f>L40</f>
        <v>117200</v>
      </c>
      <c r="J43" s="210"/>
      <c r="K43" s="211"/>
      <c r="L43" s="170">
        <f>I43*H43</f>
        <v>81864.2</v>
      </c>
      <c r="M43" s="171"/>
      <c r="N43" s="227">
        <f>L43+L44+L45</f>
        <v>448145.57999999996</v>
      </c>
      <c r="O43" s="228"/>
      <c r="P43" s="228"/>
      <c r="Q43" s="228"/>
      <c r="R43" s="228"/>
      <c r="S43" s="228"/>
      <c r="T43" s="228"/>
      <c r="U43" s="228"/>
      <c r="V43" s="228"/>
      <c r="W43" s="228"/>
      <c r="X43" s="229"/>
    </row>
    <row r="44" spans="1:24" s="18" customFormat="1" ht="29.25" customHeight="1" thickBot="1">
      <c r="A44" s="215"/>
      <c r="B44" s="216"/>
      <c r="C44" s="217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09">
        <f>M40</f>
        <v>247680</v>
      </c>
      <c r="J44" s="210"/>
      <c r="K44" s="211"/>
      <c r="L44" s="170">
        <f>I44*H44</f>
        <v>235642.75200000001</v>
      </c>
      <c r="M44" s="171"/>
      <c r="N44" s="230"/>
      <c r="O44" s="231"/>
      <c r="P44" s="231"/>
      <c r="Q44" s="231"/>
      <c r="R44" s="231"/>
      <c r="S44" s="231"/>
      <c r="T44" s="231"/>
      <c r="U44" s="231"/>
      <c r="V44" s="231"/>
      <c r="W44" s="231"/>
      <c r="X44" s="232"/>
    </row>
    <row r="45" spans="1:24" s="18" customFormat="1" ht="24.75" customHeight="1" thickBot="1">
      <c r="A45" s="215"/>
      <c r="B45" s="216"/>
      <c r="C45" s="217"/>
      <c r="D45" s="162" t="s">
        <v>32</v>
      </c>
      <c r="E45" s="162" t="s">
        <v>32</v>
      </c>
      <c r="F45" s="162" t="s">
        <v>32</v>
      </c>
      <c r="G45" s="20"/>
      <c r="H45" s="20">
        <v>1.3304</v>
      </c>
      <c r="I45" s="240">
        <f>N40</f>
        <v>98195</v>
      </c>
      <c r="J45" s="241"/>
      <c r="K45" s="242"/>
      <c r="L45" s="170">
        <f>I45*H45</f>
        <v>130638.628</v>
      </c>
      <c r="M45" s="171"/>
      <c r="N45" s="233"/>
      <c r="O45" s="234"/>
      <c r="P45" s="234"/>
      <c r="Q45" s="234"/>
      <c r="R45" s="234"/>
      <c r="S45" s="234"/>
      <c r="T45" s="234"/>
      <c r="U45" s="234"/>
      <c r="V45" s="234"/>
      <c r="W45" s="234"/>
      <c r="X45" s="235"/>
    </row>
    <row r="46" spans="1:24" s="18" customFormat="1" ht="43.5" customHeight="1" thickBot="1">
      <c r="A46" s="158"/>
      <c r="B46" s="159"/>
      <c r="C46" s="159"/>
      <c r="D46" s="162"/>
      <c r="E46" s="162"/>
      <c r="F46" s="162"/>
      <c r="G46" s="16"/>
      <c r="H46" s="16"/>
      <c r="I46" s="160"/>
      <c r="J46" s="161"/>
      <c r="K46" s="162"/>
      <c r="L46" s="153"/>
      <c r="M46" s="154"/>
      <c r="N46" s="246">
        <f>N43*1.3</f>
        <v>582589.25399999996</v>
      </c>
      <c r="O46" s="247"/>
      <c r="P46" s="247"/>
      <c r="Q46" s="247"/>
      <c r="R46" s="247"/>
      <c r="S46" s="247"/>
      <c r="T46" s="247"/>
      <c r="U46" s="247"/>
      <c r="V46" s="247"/>
      <c r="W46" s="247"/>
      <c r="X46" s="248"/>
    </row>
    <row r="47" spans="1:24" s="23" customFormat="1" ht="32.25" customHeight="1" thickBot="1">
      <c r="A47" s="201" t="s">
        <v>39</v>
      </c>
      <c r="B47" s="202"/>
      <c r="C47" s="202"/>
      <c r="D47" s="202"/>
      <c r="E47" s="202"/>
      <c r="F47" s="203"/>
      <c r="G47" s="21"/>
      <c r="H47" s="22">
        <v>8.7899999999999991</v>
      </c>
      <c r="I47" s="201">
        <f>F40</f>
        <v>4059</v>
      </c>
      <c r="J47" s="202"/>
      <c r="K47" s="203"/>
      <c r="L47" s="207">
        <f>I47*H47</f>
        <v>35678.609999999993</v>
      </c>
      <c r="M47" s="208"/>
      <c r="N47" s="224">
        <f>L47</f>
        <v>35678.609999999993</v>
      </c>
      <c r="O47" s="225"/>
      <c r="P47" s="225"/>
      <c r="Q47" s="225"/>
      <c r="R47" s="225"/>
      <c r="S47" s="225"/>
      <c r="T47" s="225"/>
      <c r="U47" s="225"/>
      <c r="V47" s="225"/>
      <c r="W47" s="225"/>
      <c r="X47" s="226"/>
    </row>
    <row r="48" spans="1:24" s="23" customFormat="1" ht="36.75" customHeight="1">
      <c r="A48" s="236" t="s">
        <v>40</v>
      </c>
      <c r="B48" s="237"/>
      <c r="C48" s="237"/>
      <c r="D48" s="237"/>
      <c r="E48" s="237"/>
      <c r="F48" s="238"/>
      <c r="G48" s="24"/>
      <c r="H48" s="25">
        <v>13.14</v>
      </c>
      <c r="I48" s="199">
        <f>V40</f>
        <v>6304.5097599999999</v>
      </c>
      <c r="J48" s="239"/>
      <c r="K48" s="200"/>
      <c r="L48" s="199">
        <f>I48*H48</f>
        <v>82841.258246400001</v>
      </c>
      <c r="M48" s="200"/>
      <c r="N48" s="221">
        <f>L48</f>
        <v>82841.258246400001</v>
      </c>
      <c r="O48" s="222"/>
      <c r="P48" s="222"/>
      <c r="Q48" s="222"/>
      <c r="R48" s="222"/>
      <c r="S48" s="222"/>
      <c r="T48" s="222"/>
      <c r="U48" s="222"/>
      <c r="V48" s="222"/>
      <c r="W48" s="222"/>
      <c r="X48" s="223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/>
    <row r="54" spans="1:24" ht="39" customHeight="1"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</row>
  </sheetData>
  <mergeCells count="72"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3:M43"/>
    <mergeCell ref="H33:J33"/>
    <mergeCell ref="H31:J31"/>
    <mergeCell ref="H35:J35"/>
    <mergeCell ref="H36:J36"/>
    <mergeCell ref="H37:J37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31" activePane="bottomRight" state="frozen"/>
      <selection pane="bottomRight" activeCell="B32" sqref="B32:K32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44713</v>
      </c>
      <c r="B9" s="116">
        <v>2560</v>
      </c>
      <c r="C9" s="115">
        <v>0</v>
      </c>
      <c r="D9" s="57">
        <v>148296</v>
      </c>
      <c r="E9" s="50">
        <v>267</v>
      </c>
      <c r="F9" s="51">
        <v>11843664</v>
      </c>
      <c r="G9" s="50">
        <v>4384</v>
      </c>
      <c r="H9" s="51">
        <v>20106843</v>
      </c>
      <c r="I9" s="50">
        <v>9147</v>
      </c>
      <c r="J9" s="51">
        <v>8829353</v>
      </c>
      <c r="K9" s="50">
        <v>3394</v>
      </c>
    </row>
    <row r="10" spans="1:12" ht="19.5">
      <c r="A10" s="59">
        <v>44714</v>
      </c>
      <c r="B10" s="116">
        <v>2560</v>
      </c>
      <c r="C10" s="115">
        <f>B10-B9</f>
        <v>0</v>
      </c>
      <c r="D10" s="57">
        <v>148461.29999999999</v>
      </c>
      <c r="E10" s="50">
        <f>D10-D9</f>
        <v>165.29999999998836</v>
      </c>
      <c r="F10" s="51">
        <v>11848105</v>
      </c>
      <c r="G10" s="50">
        <f>F10-F9</f>
        <v>4441</v>
      </c>
      <c r="H10" s="51">
        <v>20117099</v>
      </c>
      <c r="I10" s="50">
        <f>H10-H9</f>
        <v>10256</v>
      </c>
      <c r="J10" s="51">
        <v>8833074</v>
      </c>
      <c r="K10" s="50">
        <f>J10-J9</f>
        <v>3721</v>
      </c>
    </row>
    <row r="11" spans="1:12" ht="19.5">
      <c r="A11" s="59">
        <v>44715</v>
      </c>
      <c r="B11" s="116">
        <v>2560</v>
      </c>
      <c r="C11" s="115">
        <f>B11-B10</f>
        <v>0</v>
      </c>
      <c r="D11" s="57">
        <v>148620.20000000001</v>
      </c>
      <c r="E11" s="50">
        <f>D11-D10</f>
        <v>158.90000000002328</v>
      </c>
      <c r="F11" s="51">
        <v>11851854</v>
      </c>
      <c r="G11" s="50">
        <f>F11-F10</f>
        <v>3749</v>
      </c>
      <c r="H11" s="51">
        <v>20127628</v>
      </c>
      <c r="I11" s="50">
        <f>H11-H10</f>
        <v>10529</v>
      </c>
      <c r="J11" s="51">
        <v>8836893</v>
      </c>
      <c r="K11" s="50">
        <f>J11-J10</f>
        <v>3819</v>
      </c>
    </row>
    <row r="12" spans="1:12" ht="19.5">
      <c r="A12" s="59">
        <v>44716</v>
      </c>
      <c r="B12" s="116">
        <v>2560</v>
      </c>
      <c r="C12" s="115">
        <f>B12-B11</f>
        <v>0</v>
      </c>
      <c r="D12" s="57">
        <v>148778</v>
      </c>
      <c r="E12" s="50">
        <f>D12-D11</f>
        <v>157.79999999998836</v>
      </c>
      <c r="F12" s="51">
        <v>11856790</v>
      </c>
      <c r="G12" s="50">
        <f>F12-F11</f>
        <v>4936</v>
      </c>
      <c r="H12" s="51">
        <v>20137700</v>
      </c>
      <c r="I12" s="50">
        <f>H12-H11</f>
        <v>10072</v>
      </c>
      <c r="J12" s="51">
        <v>8840845</v>
      </c>
      <c r="K12" s="50">
        <f>J12-J11</f>
        <v>3952</v>
      </c>
    </row>
    <row r="13" spans="1:12" ht="19.5">
      <c r="A13" s="59">
        <v>44717</v>
      </c>
      <c r="B13" s="116">
        <v>2560</v>
      </c>
      <c r="C13" s="115">
        <f>B13-B12</f>
        <v>0</v>
      </c>
      <c r="D13" s="57">
        <v>148938</v>
      </c>
      <c r="E13" s="50">
        <f>D13-D12</f>
        <v>160</v>
      </c>
      <c r="F13" s="51">
        <v>11861251</v>
      </c>
      <c r="G13" s="50">
        <f>F13-F12</f>
        <v>4461</v>
      </c>
      <c r="H13" s="51">
        <v>20147846</v>
      </c>
      <c r="I13" s="50">
        <f>H13-H12</f>
        <v>10146</v>
      </c>
      <c r="J13" s="51">
        <v>8844783</v>
      </c>
      <c r="K13" s="50">
        <f>J13-J12</f>
        <v>3938</v>
      </c>
    </row>
    <row r="14" spans="1:12" ht="19.5">
      <c r="A14" s="59">
        <v>44718</v>
      </c>
      <c r="B14" s="116">
        <v>2560</v>
      </c>
      <c r="C14" s="115">
        <f>B14-B13</f>
        <v>0</v>
      </c>
      <c r="D14" s="57">
        <v>149083</v>
      </c>
      <c r="E14" s="50">
        <f>D14-D13</f>
        <v>145</v>
      </c>
      <c r="F14" s="51">
        <v>11865688</v>
      </c>
      <c r="G14" s="50">
        <f>F14-F13</f>
        <v>4437</v>
      </c>
      <c r="H14" s="51">
        <v>20157758</v>
      </c>
      <c r="I14" s="50">
        <f>H14-H13</f>
        <v>9912</v>
      </c>
      <c r="J14" s="51">
        <v>8848493</v>
      </c>
      <c r="K14" s="50">
        <f>J14-J13</f>
        <v>3710</v>
      </c>
    </row>
    <row r="15" spans="1:12" ht="19.5">
      <c r="A15" s="59">
        <v>44719</v>
      </c>
      <c r="B15" s="116">
        <v>2560</v>
      </c>
      <c r="C15" s="115">
        <f>B15-B14</f>
        <v>0</v>
      </c>
      <c r="D15" s="57">
        <v>149238</v>
      </c>
      <c r="E15" s="50">
        <f t="shared" ref="E15:E32" si="0">D15-D14</f>
        <v>155</v>
      </c>
      <c r="F15" s="51">
        <v>11870588</v>
      </c>
      <c r="G15" s="50">
        <f>F15-F14</f>
        <v>4900</v>
      </c>
      <c r="H15" s="51">
        <v>20168142</v>
      </c>
      <c r="I15" s="50">
        <f>H15-H14</f>
        <v>10384</v>
      </c>
      <c r="J15" s="51">
        <v>8853032</v>
      </c>
      <c r="K15" s="50">
        <f>J15-J14</f>
        <v>4539</v>
      </c>
    </row>
    <row r="16" spans="1:12" ht="19.5">
      <c r="A16" s="59">
        <v>44720</v>
      </c>
      <c r="B16" s="116">
        <v>2560</v>
      </c>
      <c r="C16" s="115">
        <f>B16-B15</f>
        <v>0</v>
      </c>
      <c r="D16" s="57">
        <v>149377</v>
      </c>
      <c r="E16" s="50">
        <f t="shared" si="0"/>
        <v>139</v>
      </c>
      <c r="F16" s="51">
        <v>11875705</v>
      </c>
      <c r="G16" s="50">
        <f>F16-F15</f>
        <v>5117</v>
      </c>
      <c r="H16" s="51">
        <v>20178915</v>
      </c>
      <c r="I16" s="50">
        <f>H16-H15</f>
        <v>10773</v>
      </c>
      <c r="J16" s="51">
        <v>8857204</v>
      </c>
      <c r="K16" s="50">
        <f>J16-J15</f>
        <v>4172</v>
      </c>
    </row>
    <row r="17" spans="1:29" ht="19.5">
      <c r="A17" s="59">
        <v>44721</v>
      </c>
      <c r="B17" s="116">
        <v>2560</v>
      </c>
      <c r="C17" s="115">
        <f>B17-B16</f>
        <v>0</v>
      </c>
      <c r="D17" s="57">
        <v>149512</v>
      </c>
      <c r="E17" s="50">
        <f t="shared" si="0"/>
        <v>135</v>
      </c>
      <c r="F17" s="51">
        <v>11880730</v>
      </c>
      <c r="G17" s="50">
        <f>F17-F16</f>
        <v>5025</v>
      </c>
      <c r="H17" s="51">
        <v>20189508</v>
      </c>
      <c r="I17" s="50">
        <f>H17-H16</f>
        <v>10593</v>
      </c>
      <c r="J17" s="51">
        <v>8861423</v>
      </c>
      <c r="K17" s="50">
        <f>J17-J16</f>
        <v>4219</v>
      </c>
    </row>
    <row r="18" spans="1:29" ht="19.5">
      <c r="A18" s="59">
        <v>44722</v>
      </c>
      <c r="B18" s="116">
        <v>2560</v>
      </c>
      <c r="C18" s="115">
        <f>B18-B17</f>
        <v>0</v>
      </c>
      <c r="D18" s="57">
        <v>149687.29999999999</v>
      </c>
      <c r="E18" s="50">
        <f t="shared" si="0"/>
        <v>175.29999999998836</v>
      </c>
      <c r="F18" s="51">
        <v>11885523</v>
      </c>
      <c r="G18" s="50">
        <f>F18-F17</f>
        <v>4793</v>
      </c>
      <c r="H18" s="51">
        <v>20200373</v>
      </c>
      <c r="I18" s="50">
        <f>H18-H17</f>
        <v>10865</v>
      </c>
      <c r="J18" s="51">
        <v>8865409</v>
      </c>
      <c r="K18" s="50">
        <f>J18-J17</f>
        <v>3986</v>
      </c>
    </row>
    <row r="19" spans="1:29" ht="19.5">
      <c r="A19" s="59">
        <v>44723</v>
      </c>
      <c r="B19" s="116">
        <v>2560</v>
      </c>
      <c r="C19" s="115">
        <f t="shared" ref="C19:C32" si="1">B19-B18</f>
        <v>0</v>
      </c>
      <c r="D19" s="57">
        <v>149857.9</v>
      </c>
      <c r="E19" s="50">
        <f t="shared" si="0"/>
        <v>170.60000000000582</v>
      </c>
      <c r="F19" s="51">
        <v>11890669</v>
      </c>
      <c r="G19" s="50">
        <f t="shared" ref="G19:G33" si="2">F19-F18</f>
        <v>5146</v>
      </c>
      <c r="H19" s="51">
        <v>20210978</v>
      </c>
      <c r="I19" s="50">
        <f t="shared" ref="I19:I32" si="3">H19-H18</f>
        <v>10605</v>
      </c>
      <c r="J19" s="51">
        <v>8869640</v>
      </c>
      <c r="K19" s="50">
        <f t="shared" ref="K19:K32" si="4">J19-J18</f>
        <v>4231</v>
      </c>
    </row>
    <row r="20" spans="1:29" ht="25.5">
      <c r="A20" s="59">
        <v>44724</v>
      </c>
      <c r="B20" s="116">
        <v>2560</v>
      </c>
      <c r="C20" s="115">
        <f t="shared" si="1"/>
        <v>0</v>
      </c>
      <c r="D20" s="57">
        <v>150021</v>
      </c>
      <c r="E20" s="50">
        <f t="shared" si="0"/>
        <v>163.10000000000582</v>
      </c>
      <c r="F20" s="51">
        <v>11896031</v>
      </c>
      <c r="G20" s="50">
        <f t="shared" si="2"/>
        <v>5362</v>
      </c>
      <c r="H20" s="51">
        <v>20222439</v>
      </c>
      <c r="I20" s="50">
        <f t="shared" si="3"/>
        <v>11461</v>
      </c>
      <c r="J20" s="51">
        <v>8874151</v>
      </c>
      <c r="K20" s="50">
        <f t="shared" si="4"/>
        <v>4511</v>
      </c>
      <c r="L20" s="117" t="s">
        <v>18</v>
      </c>
      <c r="AC20" t="s">
        <v>56</v>
      </c>
    </row>
    <row r="21" spans="1:29" ht="19.5">
      <c r="A21" s="59">
        <v>44725</v>
      </c>
      <c r="B21" s="116">
        <v>2560</v>
      </c>
      <c r="C21" s="115">
        <f t="shared" si="1"/>
        <v>0</v>
      </c>
      <c r="D21" s="57">
        <v>150172</v>
      </c>
      <c r="E21" s="50">
        <f t="shared" si="0"/>
        <v>151</v>
      </c>
      <c r="F21" s="51">
        <v>11900902</v>
      </c>
      <c r="G21" s="50">
        <f t="shared" si="2"/>
        <v>4871</v>
      </c>
      <c r="H21" s="51">
        <v>20234485</v>
      </c>
      <c r="I21" s="50">
        <f t="shared" si="3"/>
        <v>12046</v>
      </c>
      <c r="J21" s="51">
        <v>8878579</v>
      </c>
      <c r="K21" s="50">
        <f t="shared" si="4"/>
        <v>4428</v>
      </c>
    </row>
    <row r="22" spans="1:29" ht="19.5">
      <c r="A22" s="59">
        <v>44726</v>
      </c>
      <c r="B22" s="116">
        <v>2560</v>
      </c>
      <c r="C22" s="115">
        <f t="shared" si="1"/>
        <v>0</v>
      </c>
      <c r="D22" s="57">
        <v>150321.1</v>
      </c>
      <c r="E22" s="50">
        <f t="shared" si="0"/>
        <v>149.10000000000582</v>
      </c>
      <c r="F22" s="51">
        <v>11905609</v>
      </c>
      <c r="G22" s="50">
        <f t="shared" si="2"/>
        <v>4707</v>
      </c>
      <c r="H22" s="51">
        <v>20246388</v>
      </c>
      <c r="I22" s="50">
        <f t="shared" si="3"/>
        <v>11903</v>
      </c>
      <c r="J22" s="51">
        <v>8883469</v>
      </c>
      <c r="K22" s="50">
        <f t="shared" si="4"/>
        <v>4890</v>
      </c>
    </row>
    <row r="23" spans="1:29" ht="19.5">
      <c r="A23" s="59">
        <v>44727</v>
      </c>
      <c r="B23" s="116">
        <v>2560</v>
      </c>
      <c r="C23" s="115">
        <f t="shared" si="1"/>
        <v>0</v>
      </c>
      <c r="D23" s="57">
        <v>150474.1</v>
      </c>
      <c r="E23" s="50">
        <f t="shared" si="0"/>
        <v>153</v>
      </c>
      <c r="F23" s="51">
        <v>11911056</v>
      </c>
      <c r="G23" s="50">
        <f t="shared" si="2"/>
        <v>5447</v>
      </c>
      <c r="H23" s="51">
        <v>20257492</v>
      </c>
      <c r="I23" s="50">
        <f t="shared" si="3"/>
        <v>11104</v>
      </c>
      <c r="J23" s="51">
        <v>8887517</v>
      </c>
      <c r="K23" s="50">
        <f t="shared" si="4"/>
        <v>4048</v>
      </c>
    </row>
    <row r="24" spans="1:29" ht="19.5">
      <c r="A24" s="59">
        <v>44728</v>
      </c>
      <c r="B24" s="116">
        <v>2560</v>
      </c>
      <c r="C24" s="115">
        <f t="shared" si="1"/>
        <v>0</v>
      </c>
      <c r="D24" s="57">
        <v>150636</v>
      </c>
      <c r="E24" s="50">
        <f t="shared" si="0"/>
        <v>161.89999999999418</v>
      </c>
      <c r="F24" s="51">
        <v>11917125</v>
      </c>
      <c r="G24" s="50">
        <f t="shared" si="2"/>
        <v>6069</v>
      </c>
      <c r="H24" s="51">
        <v>20268921</v>
      </c>
      <c r="I24" s="50">
        <f t="shared" si="3"/>
        <v>11429</v>
      </c>
      <c r="J24" s="51">
        <v>8892161</v>
      </c>
      <c r="K24" s="50">
        <f t="shared" si="4"/>
        <v>4644</v>
      </c>
    </row>
    <row r="25" spans="1:29" ht="19.5">
      <c r="A25" s="59">
        <v>44729</v>
      </c>
      <c r="B25" s="116">
        <v>2560</v>
      </c>
      <c r="C25" s="115">
        <f t="shared" si="1"/>
        <v>0</v>
      </c>
      <c r="D25" s="57">
        <v>150796</v>
      </c>
      <c r="E25" s="50">
        <f t="shared" si="0"/>
        <v>160</v>
      </c>
      <c r="F25" s="51">
        <v>11921830</v>
      </c>
      <c r="G25" s="50">
        <f t="shared" si="2"/>
        <v>4705</v>
      </c>
      <c r="H25" s="51">
        <v>20278396</v>
      </c>
      <c r="I25" s="50">
        <f t="shared" si="3"/>
        <v>9475</v>
      </c>
      <c r="J25" s="51">
        <v>8896106</v>
      </c>
      <c r="K25" s="50">
        <f t="shared" si="4"/>
        <v>3945</v>
      </c>
    </row>
    <row r="26" spans="1:29" ht="19.5">
      <c r="A26" s="59">
        <v>44730</v>
      </c>
      <c r="B26" s="116">
        <v>2560</v>
      </c>
      <c r="C26" s="115">
        <f t="shared" si="1"/>
        <v>0</v>
      </c>
      <c r="D26" s="57">
        <v>150978</v>
      </c>
      <c r="E26" s="50">
        <f t="shared" si="0"/>
        <v>182</v>
      </c>
      <c r="F26" s="51">
        <v>11928569</v>
      </c>
      <c r="G26" s="50">
        <f t="shared" si="2"/>
        <v>6739</v>
      </c>
      <c r="H26" s="51">
        <v>20288459</v>
      </c>
      <c r="I26" s="50">
        <f t="shared" si="3"/>
        <v>10063</v>
      </c>
      <c r="J26" s="51">
        <v>8901353</v>
      </c>
      <c r="K26" s="50">
        <f t="shared" si="4"/>
        <v>5247</v>
      </c>
    </row>
    <row r="27" spans="1:29" ht="19.5">
      <c r="A27" s="59">
        <v>44731</v>
      </c>
      <c r="B27" s="116">
        <v>2560</v>
      </c>
      <c r="C27" s="115">
        <f t="shared" si="1"/>
        <v>0</v>
      </c>
      <c r="D27" s="57">
        <v>151134.39999999999</v>
      </c>
      <c r="E27" s="50">
        <f t="shared" si="0"/>
        <v>156.39999999999418</v>
      </c>
      <c r="F27" s="51">
        <v>11933460</v>
      </c>
      <c r="G27" s="50">
        <f t="shared" si="2"/>
        <v>4891</v>
      </c>
      <c r="H27" s="51">
        <v>20297388</v>
      </c>
      <c r="I27" s="50">
        <f t="shared" si="3"/>
        <v>8929</v>
      </c>
      <c r="J27" s="51">
        <v>8904937</v>
      </c>
      <c r="K27" s="50">
        <f t="shared" si="4"/>
        <v>3584</v>
      </c>
    </row>
    <row r="28" spans="1:29" ht="19.5">
      <c r="A28" s="59">
        <v>44732</v>
      </c>
      <c r="B28" s="116">
        <v>2560</v>
      </c>
      <c r="C28" s="115">
        <f t="shared" si="1"/>
        <v>0</v>
      </c>
      <c r="D28" s="57">
        <v>151422</v>
      </c>
      <c r="E28" s="50">
        <f t="shared" si="0"/>
        <v>287.60000000000582</v>
      </c>
      <c r="F28" s="51">
        <v>11938250</v>
      </c>
      <c r="G28" s="50">
        <f t="shared" si="2"/>
        <v>4790</v>
      </c>
      <c r="H28" s="51">
        <v>20307014</v>
      </c>
      <c r="I28" s="50">
        <f t="shared" si="3"/>
        <v>9626</v>
      </c>
      <c r="J28" s="51">
        <v>8909556</v>
      </c>
      <c r="K28" s="50">
        <f t="shared" si="4"/>
        <v>4619</v>
      </c>
    </row>
    <row r="29" spans="1:29" ht="19.5">
      <c r="A29" s="59">
        <v>44733</v>
      </c>
      <c r="B29" s="116">
        <v>2560</v>
      </c>
      <c r="C29" s="115">
        <f t="shared" si="1"/>
        <v>0</v>
      </c>
      <c r="D29" s="57">
        <v>151577.1</v>
      </c>
      <c r="E29" s="50">
        <f t="shared" si="0"/>
        <v>155.10000000000582</v>
      </c>
      <c r="F29" s="51">
        <v>11942954</v>
      </c>
      <c r="G29" s="50">
        <f t="shared" si="2"/>
        <v>4704</v>
      </c>
      <c r="H29" s="51">
        <v>20316963</v>
      </c>
      <c r="I29" s="50">
        <f t="shared" si="3"/>
        <v>9949</v>
      </c>
      <c r="J29" s="51">
        <v>8913243</v>
      </c>
      <c r="K29" s="50">
        <f t="shared" si="4"/>
        <v>3687</v>
      </c>
    </row>
    <row r="30" spans="1:29" ht="19.5">
      <c r="A30" s="59">
        <v>44734</v>
      </c>
      <c r="B30" s="116">
        <v>2560</v>
      </c>
      <c r="C30" s="115">
        <f t="shared" si="1"/>
        <v>0</v>
      </c>
      <c r="D30" s="57">
        <v>151756.29999999999</v>
      </c>
      <c r="E30" s="50">
        <f t="shared" si="0"/>
        <v>179.19999999998254</v>
      </c>
      <c r="F30" s="51">
        <v>11947193</v>
      </c>
      <c r="G30" s="50">
        <f t="shared" si="2"/>
        <v>4239</v>
      </c>
      <c r="H30" s="51">
        <v>20325654</v>
      </c>
      <c r="I30" s="50">
        <f t="shared" si="3"/>
        <v>8691</v>
      </c>
      <c r="J30" s="51">
        <v>8917089</v>
      </c>
      <c r="K30" s="50">
        <f t="shared" si="4"/>
        <v>3846</v>
      </c>
    </row>
    <row r="31" spans="1:29" ht="19.5">
      <c r="A31" s="59">
        <v>44735</v>
      </c>
      <c r="B31" s="116">
        <v>2560</v>
      </c>
      <c r="C31" s="115">
        <f t="shared" si="1"/>
        <v>0</v>
      </c>
      <c r="D31" s="57">
        <v>151915</v>
      </c>
      <c r="E31" s="50">
        <f t="shared" si="0"/>
        <v>158.70000000001164</v>
      </c>
      <c r="F31" s="51">
        <v>11952119</v>
      </c>
      <c r="G31" s="50">
        <f t="shared" si="2"/>
        <v>4926</v>
      </c>
      <c r="H31" s="51">
        <v>20335776</v>
      </c>
      <c r="I31" s="50">
        <f t="shared" si="3"/>
        <v>10122</v>
      </c>
      <c r="J31" s="51">
        <v>8920803</v>
      </c>
      <c r="K31" s="50">
        <f t="shared" si="4"/>
        <v>3714</v>
      </c>
    </row>
    <row r="32" spans="1:29" ht="19.5">
      <c r="A32" s="59">
        <v>44736</v>
      </c>
      <c r="B32" s="116">
        <v>2560</v>
      </c>
      <c r="C32" s="115">
        <f t="shared" si="1"/>
        <v>0</v>
      </c>
      <c r="D32" s="57">
        <v>152088</v>
      </c>
      <c r="E32" s="50">
        <f t="shared" si="0"/>
        <v>173</v>
      </c>
      <c r="F32" s="51">
        <v>11956480</v>
      </c>
      <c r="G32" s="50">
        <f t="shared" si="2"/>
        <v>4361</v>
      </c>
      <c r="H32" s="51">
        <v>20345376</v>
      </c>
      <c r="I32" s="50">
        <f t="shared" si="3"/>
        <v>9600</v>
      </c>
      <c r="J32" s="51">
        <v>8924154</v>
      </c>
      <c r="K32" s="50">
        <f t="shared" si="4"/>
        <v>3351</v>
      </c>
    </row>
    <row r="33" spans="1:11" ht="19.5">
      <c r="A33" s="59">
        <v>44737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44738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44739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44740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44741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44742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44743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>
        <v>44744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63" stopIfTrue="1" operator="lessThanOrEqual">
      <formula>0</formula>
    </cfRule>
  </conditionalFormatting>
  <conditionalFormatting sqref="E10:E38">
    <cfRule type="cellIs" dxfId="5" priority="10" stopIfTrue="1" operator="lessThanOrEqual">
      <formula>0</formula>
    </cfRule>
  </conditionalFormatting>
  <conditionalFormatting sqref="E10:E38">
    <cfRule type="cellIs" dxfId="4" priority="9" stopIfTrue="1" operator="lessThanOrEqual">
      <formula>0</formula>
    </cfRule>
  </conditionalFormatting>
  <conditionalFormatting sqref="E9">
    <cfRule type="cellIs" dxfId="3" priority="8" stopIfTrue="1" operator="lessThanOrEqual">
      <formula>0</formula>
    </cfRule>
  </conditionalFormatting>
  <conditionalFormatting sqref="E9">
    <cfRule type="cellIs" dxfId="2" priority="7" stopIfTrue="1" operator="lessThanOrEqual">
      <formula>0</formula>
    </cfRule>
  </conditionalFormatting>
  <conditionalFormatting sqref="E39:E40">
    <cfRule type="cellIs" dxfId="1" priority="2" stopIfTrue="1" operator="lessThanOrEqual">
      <formula>0</formula>
    </cfRule>
  </conditionalFormatting>
  <conditionalFormatting sqref="E39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5" activePane="bottomRight" state="frozen"/>
      <selection pane="bottomRight" activeCell="B27" sqref="B27:H27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44713</v>
      </c>
      <c r="B4" s="41">
        <v>84</v>
      </c>
      <c r="C4" s="39">
        <f t="shared" ref="C4" si="0">IF(AC4&gt;0,((B4-R4)+(S4-B5)),IF(B5=0, ,(B4-B5)))</f>
        <v>3</v>
      </c>
      <c r="D4" s="41">
        <v>85</v>
      </c>
      <c r="E4" s="39">
        <f t="shared" ref="E4" si="1">IF(AC4&gt;0,((D4-U4)+(V4-D5)),IF(D5=0, ,(D4-D5)))</f>
        <v>2</v>
      </c>
      <c r="F4" s="41">
        <v>85</v>
      </c>
      <c r="G4" s="39">
        <f t="shared" ref="G4" si="2">IF(AC4&gt;0,((F4-X4)+(Y4-F5)),IF(F5=0, ,(F4-F5)))</f>
        <v>0</v>
      </c>
      <c r="H4" s="41">
        <v>85</v>
      </c>
      <c r="I4" s="39">
        <f>IF(AC4&gt;0,((H4-AA4)+(AB4-H5)),IF(H5=0, ,(H4-H5)))</f>
        <v>0</v>
      </c>
      <c r="J4" s="39">
        <f>B4+D4+F4+H4</f>
        <v>339</v>
      </c>
      <c r="K4" s="39">
        <f>J4/4</f>
        <v>84.75</v>
      </c>
      <c r="L4" s="39">
        <f>IF(AC4&gt;0,((K4-AD4)+(AE4-K5)),IF(K5=0, ,(K4-K5)))</f>
        <v>1.25</v>
      </c>
      <c r="M4" s="149">
        <f t="shared" ref="M4:M7" si="3">6049*4</f>
        <v>24196</v>
      </c>
      <c r="N4" s="39">
        <f>L4*M4/100</f>
        <v>302.45</v>
      </c>
      <c r="O4" s="167">
        <f>N4*0.529</f>
        <v>159.99605</v>
      </c>
      <c r="P4" s="42">
        <f>O4*13.14</f>
        <v>2102.3480970000001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44714</v>
      </c>
      <c r="B5" s="41">
        <v>81</v>
      </c>
      <c r="C5" s="39">
        <f t="shared" ref="C4:C35" si="7">IF(AC5&gt;0,((B5-R5)+(S5-B6)),IF(B6=0, ,(B5-B6)))</f>
        <v>2</v>
      </c>
      <c r="D5" s="41">
        <v>83</v>
      </c>
      <c r="E5" s="39">
        <f t="shared" ref="E4:E35" si="8">IF(AC5&gt;0,((D5-U5)+(V5-D6)),IF(D6=0, ,(D5-D6)))</f>
        <v>3</v>
      </c>
      <c r="F5" s="41">
        <v>85</v>
      </c>
      <c r="G5" s="39">
        <f t="shared" ref="G4:G35" si="9">IF(AC5&gt;0,((F5-X5)+(Y5-F6)),IF(F6=0, ,(F5-F6)))</f>
        <v>2</v>
      </c>
      <c r="H5" s="41">
        <v>85</v>
      </c>
      <c r="I5" s="39">
        <f>IF(AC5&gt;0,((H5-AA5)+(AB5-H6)),IF(H6=0, ,(H5-H6)))</f>
        <v>2</v>
      </c>
      <c r="J5" s="39">
        <f>B5+D5+F5+H5</f>
        <v>334</v>
      </c>
      <c r="K5" s="39">
        <f>J5/4</f>
        <v>83.5</v>
      </c>
      <c r="L5" s="39">
        <f>IF(AC5&gt;0,((K5-AD5)+(AE5-K6)),IF(K6=0, ,(K5-K6)))</f>
        <v>2.25</v>
      </c>
      <c r="M5" s="149">
        <f t="shared" si="3"/>
        <v>24196</v>
      </c>
      <c r="N5" s="39">
        <f>L5*M5/100</f>
        <v>544.41</v>
      </c>
      <c r="O5" s="39">
        <f>N5*0.529</f>
        <v>287.99288999999999</v>
      </c>
      <c r="P5" s="42">
        <f t="shared" ref="P5:P33" si="10">O5*13.14</f>
        <v>3784.2265745999998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44715</v>
      </c>
      <c r="B6" s="41">
        <v>79</v>
      </c>
      <c r="C6" s="39">
        <f t="shared" si="7"/>
        <v>3</v>
      </c>
      <c r="D6" s="41">
        <v>80</v>
      </c>
      <c r="E6" s="39">
        <f t="shared" si="8"/>
        <v>1</v>
      </c>
      <c r="F6" s="41">
        <v>83</v>
      </c>
      <c r="G6" s="39">
        <f t="shared" si="9"/>
        <v>3</v>
      </c>
      <c r="H6" s="41">
        <v>83</v>
      </c>
      <c r="I6" s="39">
        <f t="shared" ref="I6:I36" si="11">IF(AC6&gt;0,((H6-AA6)+(AB6-H7)),IF(H7=0, ,(H6-H7)))</f>
        <v>3</v>
      </c>
      <c r="J6" s="39">
        <f t="shared" ref="J6:J42" si="12">B6+D6+F6+H6</f>
        <v>325</v>
      </c>
      <c r="K6" s="39">
        <f t="shared" ref="K6:K42" si="13">J6/4</f>
        <v>81.25</v>
      </c>
      <c r="L6" s="39">
        <f t="shared" ref="L6:L19" si="14">IF(AC6&gt;0,((K6-AD6)+(AE6-K7)),IF(K7=0, ,(K6-K7)))</f>
        <v>2.5</v>
      </c>
      <c r="M6" s="149">
        <f t="shared" si="3"/>
        <v>24196</v>
      </c>
      <c r="N6" s="39">
        <f t="shared" ref="N6:N42" si="15">L6*M6/100</f>
        <v>604.9</v>
      </c>
      <c r="O6" s="39">
        <f>N6*0.529</f>
        <v>319.99209999999999</v>
      </c>
      <c r="P6" s="42">
        <f t="shared" si="10"/>
        <v>4204.6961940000001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44716</v>
      </c>
      <c r="B7" s="41">
        <v>76</v>
      </c>
      <c r="C7" s="39">
        <f t="shared" si="7"/>
        <v>4</v>
      </c>
      <c r="D7" s="41">
        <v>79</v>
      </c>
      <c r="E7" s="39">
        <f t="shared" si="8"/>
        <v>1</v>
      </c>
      <c r="F7" s="41">
        <v>80</v>
      </c>
      <c r="G7" s="39">
        <f t="shared" si="9"/>
        <v>3</v>
      </c>
      <c r="H7" s="41">
        <v>80</v>
      </c>
      <c r="I7" s="39">
        <f t="shared" si="11"/>
        <v>3</v>
      </c>
      <c r="J7" s="39">
        <f t="shared" si="12"/>
        <v>315</v>
      </c>
      <c r="K7" s="39">
        <f t="shared" si="13"/>
        <v>78.75</v>
      </c>
      <c r="L7" s="39">
        <f t="shared" si="14"/>
        <v>2.75</v>
      </c>
      <c r="M7" s="149">
        <f t="shared" si="3"/>
        <v>24196</v>
      </c>
      <c r="N7" s="39">
        <f t="shared" si="15"/>
        <v>665.39</v>
      </c>
      <c r="O7" s="39">
        <f>N7*0.53</f>
        <v>352.6567</v>
      </c>
      <c r="P7" s="42">
        <f t="shared" si="10"/>
        <v>4633.9090379999998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44717</v>
      </c>
      <c r="B8" s="41">
        <v>72</v>
      </c>
      <c r="C8" s="39">
        <f t="shared" si="7"/>
        <v>1</v>
      </c>
      <c r="D8" s="41">
        <v>78</v>
      </c>
      <c r="E8" s="39">
        <f t="shared" si="8"/>
        <v>4</v>
      </c>
      <c r="F8" s="41">
        <v>77</v>
      </c>
      <c r="G8" s="39">
        <f t="shared" si="9"/>
        <v>2</v>
      </c>
      <c r="H8" s="41">
        <v>77</v>
      </c>
      <c r="I8" s="39">
        <f t="shared" si="11"/>
        <v>2</v>
      </c>
      <c r="J8" s="39">
        <f t="shared" si="12"/>
        <v>304</v>
      </c>
      <c r="K8" s="39">
        <f t="shared" si="13"/>
        <v>76</v>
      </c>
      <c r="L8" s="39">
        <f t="shared" si="14"/>
        <v>2.25</v>
      </c>
      <c r="M8" s="149">
        <f>6049*4</f>
        <v>24196</v>
      </c>
      <c r="N8" s="39">
        <f t="shared" si="15"/>
        <v>544.41</v>
      </c>
      <c r="O8" s="148">
        <f t="shared" ref="O8:O37" si="16">N8*0.529</f>
        <v>287.99288999999999</v>
      </c>
      <c r="P8" s="42">
        <f t="shared" si="10"/>
        <v>3784.2265745999998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44718</v>
      </c>
      <c r="B9" s="41">
        <v>71</v>
      </c>
      <c r="C9" s="39">
        <f t="shared" si="7"/>
        <v>1</v>
      </c>
      <c r="D9" s="41">
        <v>74</v>
      </c>
      <c r="E9" s="39">
        <f t="shared" si="8"/>
        <v>3</v>
      </c>
      <c r="F9" s="41">
        <v>75</v>
      </c>
      <c r="G9" s="39">
        <f t="shared" si="9"/>
        <v>0</v>
      </c>
      <c r="H9" s="41">
        <v>75</v>
      </c>
      <c r="I9" s="39">
        <f t="shared" si="11"/>
        <v>0</v>
      </c>
      <c r="J9" s="39">
        <f t="shared" si="12"/>
        <v>295</v>
      </c>
      <c r="K9" s="39">
        <f t="shared" si="13"/>
        <v>73.75</v>
      </c>
      <c r="L9" s="39">
        <f t="shared" si="14"/>
        <v>1</v>
      </c>
      <c r="M9" s="149">
        <f t="shared" ref="M9:M42" si="17">6049*4</f>
        <v>24196</v>
      </c>
      <c r="N9" s="39">
        <f t="shared" si="15"/>
        <v>241.96</v>
      </c>
      <c r="O9" s="39">
        <f t="shared" si="16"/>
        <v>127.99684000000001</v>
      </c>
      <c r="P9" s="42">
        <f t="shared" si="10"/>
        <v>1681.8784776000002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44719</v>
      </c>
      <c r="B10" s="41">
        <v>70</v>
      </c>
      <c r="C10" s="39">
        <f t="shared" si="7"/>
        <v>4</v>
      </c>
      <c r="D10" s="41">
        <v>71</v>
      </c>
      <c r="E10" s="39">
        <f t="shared" si="8"/>
        <v>1</v>
      </c>
      <c r="F10" s="41">
        <v>75</v>
      </c>
      <c r="G10" s="39">
        <f t="shared" si="9"/>
        <v>3</v>
      </c>
      <c r="H10" s="41">
        <v>75</v>
      </c>
      <c r="I10" s="39">
        <f t="shared" si="11"/>
        <v>3</v>
      </c>
      <c r="J10" s="39">
        <f t="shared" si="12"/>
        <v>291</v>
      </c>
      <c r="K10" s="39">
        <f t="shared" si="13"/>
        <v>72.75</v>
      </c>
      <c r="L10" s="39">
        <f t="shared" si="14"/>
        <v>2.75</v>
      </c>
      <c r="M10" s="149">
        <f t="shared" si="17"/>
        <v>24196</v>
      </c>
      <c r="N10" s="39">
        <f t="shared" si="15"/>
        <v>665.39</v>
      </c>
      <c r="O10" s="148">
        <f t="shared" si="16"/>
        <v>351.99131</v>
      </c>
      <c r="P10" s="42">
        <f t="shared" si="10"/>
        <v>4625.1658133999999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44720</v>
      </c>
      <c r="B11" s="41">
        <v>66</v>
      </c>
      <c r="C11" s="39">
        <f t="shared" si="7"/>
        <v>1</v>
      </c>
      <c r="D11" s="41">
        <v>70</v>
      </c>
      <c r="E11" s="39">
        <f t="shared" si="8"/>
        <v>2</v>
      </c>
      <c r="F11" s="41">
        <v>72</v>
      </c>
      <c r="G11" s="39">
        <f t="shared" si="9"/>
        <v>2</v>
      </c>
      <c r="H11" s="41">
        <v>72</v>
      </c>
      <c r="I11" s="39">
        <f t="shared" si="11"/>
        <v>2</v>
      </c>
      <c r="J11" s="39">
        <f t="shared" si="12"/>
        <v>280</v>
      </c>
      <c r="K11" s="39">
        <f t="shared" si="13"/>
        <v>70</v>
      </c>
      <c r="L11" s="39">
        <f t="shared" si="14"/>
        <v>1.75</v>
      </c>
      <c r="M11" s="149">
        <f t="shared" si="17"/>
        <v>24196</v>
      </c>
      <c r="N11" s="39">
        <f t="shared" si="15"/>
        <v>423.43</v>
      </c>
      <c r="O11" s="39">
        <f t="shared" si="16"/>
        <v>223.99447000000001</v>
      </c>
      <c r="P11" s="42">
        <f t="shared" si="10"/>
        <v>2943.2873358000002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44721</v>
      </c>
      <c r="B12" s="41">
        <v>65</v>
      </c>
      <c r="C12" s="39">
        <f t="shared" si="7"/>
        <v>2</v>
      </c>
      <c r="D12" s="41">
        <v>68</v>
      </c>
      <c r="E12" s="39">
        <f t="shared" si="8"/>
        <v>3</v>
      </c>
      <c r="F12" s="41">
        <v>70</v>
      </c>
      <c r="G12" s="39">
        <f t="shared" si="9"/>
        <v>2</v>
      </c>
      <c r="H12" s="41">
        <v>70</v>
      </c>
      <c r="I12" s="39">
        <f t="shared" si="11"/>
        <v>2</v>
      </c>
      <c r="J12" s="39">
        <f t="shared" si="12"/>
        <v>273</v>
      </c>
      <c r="K12" s="39">
        <f t="shared" si="13"/>
        <v>68.25</v>
      </c>
      <c r="L12" s="39">
        <f t="shared" si="14"/>
        <v>2.25</v>
      </c>
      <c r="M12" s="149">
        <f t="shared" si="17"/>
        <v>24196</v>
      </c>
      <c r="N12" s="39">
        <f t="shared" si="15"/>
        <v>544.41</v>
      </c>
      <c r="O12" s="39">
        <f t="shared" si="16"/>
        <v>287.99288999999999</v>
      </c>
      <c r="P12" s="42">
        <f t="shared" si="10"/>
        <v>3784.2265745999998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44722</v>
      </c>
      <c r="B13" s="41">
        <v>63</v>
      </c>
      <c r="C13" s="39">
        <f t="shared" si="7"/>
        <v>3</v>
      </c>
      <c r="D13" s="41">
        <v>65</v>
      </c>
      <c r="E13" s="39">
        <f t="shared" si="8"/>
        <v>3</v>
      </c>
      <c r="F13" s="41">
        <v>68</v>
      </c>
      <c r="G13" s="39">
        <f t="shared" si="9"/>
        <v>3</v>
      </c>
      <c r="H13" s="41">
        <v>68</v>
      </c>
      <c r="I13" s="39">
        <f t="shared" si="11"/>
        <v>3</v>
      </c>
      <c r="J13" s="39">
        <f t="shared" si="12"/>
        <v>264</v>
      </c>
      <c r="K13" s="39">
        <f t="shared" si="13"/>
        <v>66</v>
      </c>
      <c r="L13" s="39">
        <f t="shared" si="14"/>
        <v>3</v>
      </c>
      <c r="M13" s="149">
        <f t="shared" si="17"/>
        <v>24196</v>
      </c>
      <c r="N13" s="39">
        <f t="shared" si="15"/>
        <v>725.88</v>
      </c>
      <c r="O13" s="39">
        <f t="shared" si="16"/>
        <v>383.99052</v>
      </c>
      <c r="P13" s="42">
        <f t="shared" si="10"/>
        <v>5045.6354328000007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44723</v>
      </c>
      <c r="B14" s="41">
        <v>60</v>
      </c>
      <c r="C14" s="39">
        <f t="shared" si="7"/>
        <v>4</v>
      </c>
      <c r="D14" s="41">
        <v>62</v>
      </c>
      <c r="E14" s="39">
        <f t="shared" si="8"/>
        <v>5</v>
      </c>
      <c r="F14" s="41">
        <v>65</v>
      </c>
      <c r="G14" s="39">
        <f t="shared" si="9"/>
        <v>2</v>
      </c>
      <c r="H14" s="41">
        <v>65</v>
      </c>
      <c r="I14" s="39">
        <f>IF(AC14&gt;0,((H14-AA14)+(AB14-H15)),IF(H15=0, ,(H14-H15)))</f>
        <v>2</v>
      </c>
      <c r="J14" s="39">
        <f t="shared" si="12"/>
        <v>252</v>
      </c>
      <c r="K14" s="39">
        <f t="shared" si="13"/>
        <v>63</v>
      </c>
      <c r="L14" s="39">
        <f t="shared" si="14"/>
        <v>3.25</v>
      </c>
      <c r="M14" s="149">
        <f t="shared" si="17"/>
        <v>24196</v>
      </c>
      <c r="N14" s="39">
        <f t="shared" si="15"/>
        <v>786.37</v>
      </c>
      <c r="O14" s="39">
        <f t="shared" si="16"/>
        <v>415.98973000000001</v>
      </c>
      <c r="P14" s="42">
        <f t="shared" si="10"/>
        <v>5466.1050522000005</v>
      </c>
      <c r="Q14" s="39">
        <v>2136</v>
      </c>
      <c r="R14" s="39">
        <v>56</v>
      </c>
      <c r="S14" s="39">
        <v>85</v>
      </c>
      <c r="T14" s="39">
        <v>2110</v>
      </c>
      <c r="U14" s="39">
        <v>57</v>
      </c>
      <c r="V14" s="39">
        <v>85</v>
      </c>
      <c r="W14" s="39">
        <v>1776</v>
      </c>
      <c r="X14" s="39">
        <v>63</v>
      </c>
      <c r="Y14" s="39">
        <v>85</v>
      </c>
      <c r="Z14" s="39">
        <v>1751</v>
      </c>
      <c r="AA14" s="39">
        <v>63</v>
      </c>
      <c r="AB14" s="39">
        <v>85</v>
      </c>
      <c r="AC14" s="39">
        <f>Q14+T14+W14+Z14</f>
        <v>7773</v>
      </c>
      <c r="AD14" s="38">
        <f>(R14+U14+X14+AA14)/4</f>
        <v>59.75</v>
      </c>
      <c r="AE14" s="38">
        <f>(S14+V14+Y14+AB14)/4</f>
        <v>85</v>
      </c>
    </row>
    <row r="15" spans="1:31" ht="32.25" customHeight="1">
      <c r="A15" s="40">
        <v>44724</v>
      </c>
      <c r="B15" s="41">
        <v>85</v>
      </c>
      <c r="C15" s="39">
        <f t="shared" si="7"/>
        <v>2</v>
      </c>
      <c r="D15" s="41">
        <v>85</v>
      </c>
      <c r="E15" s="39">
        <f t="shared" si="8"/>
        <v>3</v>
      </c>
      <c r="F15" s="41">
        <v>85</v>
      </c>
      <c r="G15" s="39">
        <f t="shared" si="9"/>
        <v>0</v>
      </c>
      <c r="H15" s="41">
        <v>85</v>
      </c>
      <c r="I15" s="39">
        <f>IF(AC15&gt;0,((H15-AA15)+(AB15-H16)),IF(H16=0, ,(H15-H16)))</f>
        <v>0</v>
      </c>
      <c r="J15" s="39">
        <f t="shared" si="12"/>
        <v>340</v>
      </c>
      <c r="K15" s="39">
        <f t="shared" si="13"/>
        <v>85</v>
      </c>
      <c r="L15" s="39">
        <f t="shared" si="14"/>
        <v>1.25</v>
      </c>
      <c r="M15" s="149">
        <f t="shared" si="17"/>
        <v>24196</v>
      </c>
      <c r="N15" s="39">
        <f t="shared" si="15"/>
        <v>302.45</v>
      </c>
      <c r="O15" s="39">
        <f t="shared" si="16"/>
        <v>159.99605</v>
      </c>
      <c r="P15" s="42">
        <f t="shared" si="10"/>
        <v>2102.3480970000001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44725</v>
      </c>
      <c r="B16" s="41">
        <v>83</v>
      </c>
      <c r="C16" s="39">
        <f t="shared" si="7"/>
        <v>0</v>
      </c>
      <c r="D16" s="41">
        <v>82</v>
      </c>
      <c r="E16" s="39">
        <f t="shared" si="8"/>
        <v>2</v>
      </c>
      <c r="F16" s="41">
        <v>85</v>
      </c>
      <c r="G16" s="39">
        <f t="shared" si="9"/>
        <v>0</v>
      </c>
      <c r="H16" s="41">
        <v>85</v>
      </c>
      <c r="I16" s="39">
        <f t="shared" si="11"/>
        <v>1</v>
      </c>
      <c r="J16" s="39">
        <f t="shared" si="12"/>
        <v>335</v>
      </c>
      <c r="K16" s="39">
        <f t="shared" si="13"/>
        <v>83.75</v>
      </c>
      <c r="L16" s="39">
        <f t="shared" si="14"/>
        <v>0.75</v>
      </c>
      <c r="M16" s="149">
        <f t="shared" si="17"/>
        <v>24196</v>
      </c>
      <c r="N16" s="39">
        <f t="shared" si="15"/>
        <v>181.47</v>
      </c>
      <c r="O16" s="39">
        <f t="shared" si="16"/>
        <v>95.997630000000001</v>
      </c>
      <c r="P16" s="42">
        <f t="shared" si="10"/>
        <v>1261.4088582000002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44726</v>
      </c>
      <c r="B17" s="41">
        <v>83</v>
      </c>
      <c r="C17" s="39">
        <f t="shared" si="7"/>
        <v>2</v>
      </c>
      <c r="D17" s="41">
        <v>80</v>
      </c>
      <c r="E17" s="39">
        <f t="shared" si="8"/>
        <v>0</v>
      </c>
      <c r="F17" s="41">
        <v>85</v>
      </c>
      <c r="G17" s="39">
        <f t="shared" si="9"/>
        <v>4</v>
      </c>
      <c r="H17" s="41">
        <v>84</v>
      </c>
      <c r="I17" s="39">
        <f t="shared" si="11"/>
        <v>3</v>
      </c>
      <c r="J17" s="39">
        <f t="shared" si="12"/>
        <v>332</v>
      </c>
      <c r="K17" s="39">
        <f t="shared" si="13"/>
        <v>83</v>
      </c>
      <c r="L17" s="39">
        <f t="shared" si="14"/>
        <v>2.25</v>
      </c>
      <c r="M17" s="149">
        <f t="shared" si="17"/>
        <v>24196</v>
      </c>
      <c r="N17" s="39">
        <f t="shared" si="15"/>
        <v>544.41</v>
      </c>
      <c r="O17" s="39">
        <f t="shared" si="16"/>
        <v>287.99288999999999</v>
      </c>
      <c r="P17" s="42">
        <f t="shared" si="10"/>
        <v>3784.2265745999998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44727</v>
      </c>
      <c r="B18" s="41">
        <v>81</v>
      </c>
      <c r="C18" s="39">
        <f t="shared" si="7"/>
        <v>1</v>
      </c>
      <c r="D18" s="41">
        <v>80</v>
      </c>
      <c r="E18" s="39">
        <f t="shared" si="8"/>
        <v>2</v>
      </c>
      <c r="F18" s="41">
        <v>81</v>
      </c>
      <c r="G18" s="39">
        <f t="shared" si="9"/>
        <v>1</v>
      </c>
      <c r="H18" s="41">
        <v>81</v>
      </c>
      <c r="I18" s="39">
        <f t="shared" si="11"/>
        <v>1</v>
      </c>
      <c r="J18" s="39">
        <f t="shared" si="12"/>
        <v>323</v>
      </c>
      <c r="K18" s="39">
        <f t="shared" si="13"/>
        <v>80.75</v>
      </c>
      <c r="L18" s="39">
        <f t="shared" si="14"/>
        <v>1.25</v>
      </c>
      <c r="M18" s="149">
        <f t="shared" si="17"/>
        <v>24196</v>
      </c>
      <c r="N18" s="39">
        <f t="shared" si="15"/>
        <v>302.45</v>
      </c>
      <c r="O18" s="39">
        <f t="shared" si="16"/>
        <v>159.99605</v>
      </c>
      <c r="P18" s="42">
        <f t="shared" si="10"/>
        <v>2102.3480970000001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44728</v>
      </c>
      <c r="B19" s="41">
        <v>80</v>
      </c>
      <c r="C19" s="39">
        <f t="shared" si="7"/>
        <v>2</v>
      </c>
      <c r="D19" s="41">
        <v>78</v>
      </c>
      <c r="E19" s="39">
        <f t="shared" si="8"/>
        <v>2</v>
      </c>
      <c r="F19" s="41">
        <v>80</v>
      </c>
      <c r="G19" s="39">
        <f t="shared" si="9"/>
        <v>2</v>
      </c>
      <c r="H19" s="41">
        <v>80</v>
      </c>
      <c r="I19" s="39">
        <f t="shared" si="11"/>
        <v>2</v>
      </c>
      <c r="J19" s="39">
        <f t="shared" si="12"/>
        <v>318</v>
      </c>
      <c r="K19" s="39">
        <f t="shared" si="13"/>
        <v>79.5</v>
      </c>
      <c r="L19" s="39">
        <f t="shared" si="14"/>
        <v>2</v>
      </c>
      <c r="M19" s="149">
        <f t="shared" si="17"/>
        <v>24196</v>
      </c>
      <c r="N19" s="39">
        <f t="shared" si="15"/>
        <v>483.92</v>
      </c>
      <c r="O19" s="39">
        <f t="shared" si="16"/>
        <v>255.99368000000001</v>
      </c>
      <c r="P19" s="42">
        <f t="shared" si="10"/>
        <v>3363.7569552000004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44729</v>
      </c>
      <c r="B20" s="41">
        <v>78</v>
      </c>
      <c r="C20" s="39">
        <f t="shared" si="7"/>
        <v>3</v>
      </c>
      <c r="D20" s="41">
        <v>76</v>
      </c>
      <c r="E20" s="39">
        <f t="shared" si="8"/>
        <v>3</v>
      </c>
      <c r="F20" s="41">
        <v>78</v>
      </c>
      <c r="G20" s="39">
        <f t="shared" si="9"/>
        <v>3</v>
      </c>
      <c r="H20" s="41">
        <v>78</v>
      </c>
      <c r="I20" s="39">
        <f t="shared" si="11"/>
        <v>2</v>
      </c>
      <c r="J20" s="39">
        <f t="shared" si="12"/>
        <v>310</v>
      </c>
      <c r="K20" s="39">
        <f t="shared" si="13"/>
        <v>77.5</v>
      </c>
      <c r="L20" s="39">
        <f t="shared" ref="L20:L42" si="18">IF(AC20&gt;0,((K20-AD20)+(AE20-K21)),IF(K21=0, ,(K20-K21)))</f>
        <v>2.75</v>
      </c>
      <c r="M20" s="149">
        <f t="shared" si="17"/>
        <v>24196</v>
      </c>
      <c r="N20" s="39">
        <f t="shared" si="15"/>
        <v>665.39</v>
      </c>
      <c r="O20" s="39">
        <f t="shared" si="16"/>
        <v>351.99131</v>
      </c>
      <c r="P20" s="42">
        <f t="shared" si="10"/>
        <v>4625.1658133999999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44730</v>
      </c>
      <c r="B21" s="41">
        <v>75</v>
      </c>
      <c r="C21" s="39">
        <f t="shared" si="7"/>
        <v>3</v>
      </c>
      <c r="D21" s="41">
        <v>73</v>
      </c>
      <c r="E21" s="39">
        <f t="shared" si="8"/>
        <v>3</v>
      </c>
      <c r="F21" s="41">
        <v>75</v>
      </c>
      <c r="G21" s="39">
        <f t="shared" si="9"/>
        <v>0</v>
      </c>
      <c r="H21" s="41">
        <v>76</v>
      </c>
      <c r="I21" s="39">
        <f t="shared" si="11"/>
        <v>1</v>
      </c>
      <c r="J21" s="39">
        <f t="shared" si="12"/>
        <v>299</v>
      </c>
      <c r="K21" s="39">
        <f t="shared" si="13"/>
        <v>74.75</v>
      </c>
      <c r="L21" s="39">
        <f>IF(AC21&gt;0,((K21-AD21)+(AE21-K22)),IF(K22=0, ,(K21-K22)))</f>
        <v>1.75</v>
      </c>
      <c r="M21" s="149">
        <f t="shared" si="17"/>
        <v>24196</v>
      </c>
      <c r="N21" s="39">
        <f t="shared" si="15"/>
        <v>423.43</v>
      </c>
      <c r="O21" s="39">
        <f t="shared" si="16"/>
        <v>223.99447000000001</v>
      </c>
      <c r="P21" s="42">
        <f t="shared" si="10"/>
        <v>2943.2873358000002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44731</v>
      </c>
      <c r="B22" s="41">
        <v>72</v>
      </c>
      <c r="C22" s="39">
        <f t="shared" si="7"/>
        <v>2</v>
      </c>
      <c r="D22" s="41">
        <v>70</v>
      </c>
      <c r="E22" s="39">
        <f t="shared" si="8"/>
        <v>1</v>
      </c>
      <c r="F22" s="41">
        <v>75</v>
      </c>
      <c r="G22" s="39">
        <f t="shared" si="9"/>
        <v>5</v>
      </c>
      <c r="H22" s="41">
        <v>75</v>
      </c>
      <c r="I22" s="39">
        <f t="shared" si="11"/>
        <v>5</v>
      </c>
      <c r="J22" s="39">
        <f t="shared" si="12"/>
        <v>292</v>
      </c>
      <c r="K22" s="39">
        <f t="shared" si="13"/>
        <v>73</v>
      </c>
      <c r="L22" s="39">
        <f>IF(AC22&gt;0,((K22-AD22)+(AE22-K23)),IF(K23=0, ,(K22-K23)))</f>
        <v>3.25</v>
      </c>
      <c r="M22" s="149">
        <f t="shared" si="17"/>
        <v>24196</v>
      </c>
      <c r="N22" s="39">
        <f t="shared" si="15"/>
        <v>786.37</v>
      </c>
      <c r="O22" s="39">
        <f t="shared" si="16"/>
        <v>415.98973000000001</v>
      </c>
      <c r="P22" s="42">
        <f t="shared" si="10"/>
        <v>5466.1050522000005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44732</v>
      </c>
      <c r="B23" s="41">
        <v>70</v>
      </c>
      <c r="C23" s="39">
        <f t="shared" si="7"/>
        <v>4</v>
      </c>
      <c r="D23" s="41">
        <v>69</v>
      </c>
      <c r="E23" s="39">
        <f t="shared" si="8"/>
        <v>4</v>
      </c>
      <c r="F23" s="41">
        <v>70</v>
      </c>
      <c r="G23" s="39">
        <f t="shared" si="9"/>
        <v>0</v>
      </c>
      <c r="H23" s="41">
        <v>70</v>
      </c>
      <c r="I23" s="39">
        <f t="shared" si="11"/>
        <v>0</v>
      </c>
      <c r="J23" s="39">
        <f t="shared" si="12"/>
        <v>279</v>
      </c>
      <c r="K23" s="39">
        <f t="shared" si="13"/>
        <v>69.75</v>
      </c>
      <c r="L23" s="39">
        <f t="shared" si="18"/>
        <v>2</v>
      </c>
      <c r="M23" s="149">
        <f t="shared" si="17"/>
        <v>24196</v>
      </c>
      <c r="N23" s="39">
        <f t="shared" si="15"/>
        <v>483.92</v>
      </c>
      <c r="O23" s="39">
        <f t="shared" si="16"/>
        <v>255.99368000000001</v>
      </c>
      <c r="P23" s="42">
        <f t="shared" si="10"/>
        <v>3363.7569552000004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44733</v>
      </c>
      <c r="B24" s="41">
        <v>66</v>
      </c>
      <c r="C24" s="39">
        <f t="shared" si="7"/>
        <v>2</v>
      </c>
      <c r="D24" s="41">
        <v>65</v>
      </c>
      <c r="E24" s="39">
        <f t="shared" si="8"/>
        <v>1</v>
      </c>
      <c r="F24" s="41">
        <v>70</v>
      </c>
      <c r="G24" s="39">
        <f t="shared" si="9"/>
        <v>2</v>
      </c>
      <c r="H24" s="41">
        <v>70</v>
      </c>
      <c r="I24" s="39">
        <f t="shared" si="11"/>
        <v>4</v>
      </c>
      <c r="J24" s="39">
        <f t="shared" si="12"/>
        <v>271</v>
      </c>
      <c r="K24" s="39">
        <f t="shared" si="13"/>
        <v>67.75</v>
      </c>
      <c r="L24" s="39">
        <f t="shared" si="18"/>
        <v>2.25</v>
      </c>
      <c r="M24" s="149">
        <f t="shared" si="17"/>
        <v>24196</v>
      </c>
      <c r="N24" s="39">
        <f t="shared" si="15"/>
        <v>544.41</v>
      </c>
      <c r="O24" s="39">
        <f t="shared" si="16"/>
        <v>287.99288999999999</v>
      </c>
      <c r="P24" s="42">
        <f t="shared" si="10"/>
        <v>3784.2265745999998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44734</v>
      </c>
      <c r="B25" s="41">
        <v>64</v>
      </c>
      <c r="C25" s="39">
        <f t="shared" si="7"/>
        <v>3</v>
      </c>
      <c r="D25" s="41">
        <v>64</v>
      </c>
      <c r="E25" s="39">
        <f t="shared" si="8"/>
        <v>4</v>
      </c>
      <c r="F25" s="41">
        <v>68</v>
      </c>
      <c r="G25" s="39">
        <f t="shared" si="9"/>
        <v>3</v>
      </c>
      <c r="H25" s="41">
        <v>66</v>
      </c>
      <c r="I25" s="39">
        <f t="shared" si="11"/>
        <v>1</v>
      </c>
      <c r="J25" s="39">
        <f t="shared" si="12"/>
        <v>262</v>
      </c>
      <c r="K25" s="39">
        <f t="shared" si="13"/>
        <v>65.5</v>
      </c>
      <c r="L25" s="39">
        <f t="shared" si="18"/>
        <v>2.75</v>
      </c>
      <c r="M25" s="149">
        <f t="shared" si="17"/>
        <v>24196</v>
      </c>
      <c r="N25" s="39">
        <f t="shared" si="15"/>
        <v>665.39</v>
      </c>
      <c r="O25" s="167">
        <f t="shared" si="16"/>
        <v>351.99131</v>
      </c>
      <c r="P25" s="42">
        <f t="shared" si="10"/>
        <v>4625.1658133999999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44735</v>
      </c>
      <c r="B26" s="41">
        <v>61</v>
      </c>
      <c r="C26" s="39">
        <f t="shared" si="7"/>
        <v>1</v>
      </c>
      <c r="D26" s="41">
        <v>60</v>
      </c>
      <c r="E26" s="39">
        <f t="shared" si="8"/>
        <v>1</v>
      </c>
      <c r="F26" s="41">
        <v>65</v>
      </c>
      <c r="G26" s="39">
        <f t="shared" si="9"/>
        <v>3</v>
      </c>
      <c r="H26" s="41">
        <v>65</v>
      </c>
      <c r="I26" s="39">
        <f t="shared" si="11"/>
        <v>3</v>
      </c>
      <c r="J26" s="39">
        <f t="shared" si="12"/>
        <v>251</v>
      </c>
      <c r="K26" s="39">
        <f t="shared" si="13"/>
        <v>62.75</v>
      </c>
      <c r="L26" s="39">
        <f t="shared" si="18"/>
        <v>2</v>
      </c>
      <c r="M26" s="149">
        <f t="shared" si="17"/>
        <v>24196</v>
      </c>
      <c r="N26" s="39">
        <f t="shared" si="15"/>
        <v>483.92</v>
      </c>
      <c r="O26" s="39">
        <f t="shared" si="16"/>
        <v>255.99368000000001</v>
      </c>
      <c r="P26" s="42">
        <f t="shared" si="10"/>
        <v>3363.7569552000004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44736</v>
      </c>
      <c r="B27" s="41">
        <v>60</v>
      </c>
      <c r="C27" s="39">
        <f t="shared" ref="C27" si="21">IF(AC27&gt;0,((B27-R27)+(S27-B28)),IF(B28=0, ,(B27-B28)))</f>
        <v>0</v>
      </c>
      <c r="D27" s="41">
        <v>59</v>
      </c>
      <c r="E27" s="39">
        <f t="shared" ref="E27" si="22">IF(AC27&gt;0,((D27-U27)+(V27-D28)),IF(D28=0, ,(D27-D28)))</f>
        <v>0</v>
      </c>
      <c r="F27" s="41">
        <v>62</v>
      </c>
      <c r="G27" s="39">
        <f t="shared" ref="G27" si="23">IF(AC27&gt;0,((F27-X27)+(Y27-F28)),IF(F28=0, ,(F27-F28)))</f>
        <v>0</v>
      </c>
      <c r="H27" s="41">
        <v>62</v>
      </c>
      <c r="I27" s="39">
        <f t="shared" si="11"/>
        <v>0</v>
      </c>
      <c r="J27" s="39">
        <f t="shared" si="12"/>
        <v>243</v>
      </c>
      <c r="K27" s="39">
        <f t="shared" si="13"/>
        <v>60.75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44737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44738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44739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44740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44741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44742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44743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ref="P5:P36" si="25">O34*13.64</f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44744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25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6">IF(AC36&gt;0,((D36-U36)+(V36-D37)),IF(D37=0, ,(D36-D37)))</f>
        <v>0</v>
      </c>
      <c r="F36" s="41"/>
      <c r="G36" s="39">
        <f t="shared" ref="G27:G36" si="27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25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8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9">IF(AC37&gt;0,((F37-X37)+(Y37-F38)),IF(F38=0, ,(F37-F38)))</f>
        <v>0</v>
      </c>
      <c r="H37" s="41"/>
      <c r="I37" s="39">
        <f t="shared" ref="I37:I42" si="30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5:P37" si="31">O37*12.64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8"/>
        <v>0</v>
      </c>
      <c r="D38" s="41"/>
      <c r="E38" s="39">
        <f>IF(AC38:AC61&gt;0,((D38-U38)+(V38-D39)),IF(D39=0, ,(D38-D39)))</f>
        <v>0</v>
      </c>
      <c r="F38" s="41"/>
      <c r="G38" s="39">
        <f t="shared" si="29"/>
        <v>0</v>
      </c>
      <c r="H38" s="41"/>
      <c r="I38" s="39">
        <f t="shared" si="30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ref="P5:P38" si="32">O38*11.565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8"/>
        <v>0</v>
      </c>
      <c r="D39" s="41"/>
      <c r="E39" s="39">
        <f>IF(AC39&gt;0,((D39-U39)+(V39-D40)),IF(D40=0, ,(D39-D40)))</f>
        <v>0</v>
      </c>
      <c r="F39" s="41"/>
      <c r="G39" s="39">
        <f t="shared" si="29"/>
        <v>0</v>
      </c>
      <c r="H39" s="41"/>
      <c r="I39" s="39">
        <f t="shared" si="30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33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8"/>
        <v>0</v>
      </c>
      <c r="D40" s="41"/>
      <c r="E40" s="39">
        <f>IF(AC40&gt;0,((D40-U40)+(V40-D41)),IF(D41=0, ,(D40-D41)))</f>
        <v>0</v>
      </c>
      <c r="F40" s="41"/>
      <c r="G40" s="39">
        <f t="shared" si="29"/>
        <v>0</v>
      </c>
      <c r="H40" s="41"/>
      <c r="I40" s="39">
        <f t="shared" si="30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34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8"/>
        <v>0</v>
      </c>
      <c r="D41" s="41"/>
      <c r="E41" s="39">
        <f>IF(AC41&gt;0,((D41-U41)+(V41-D42)),IF(D42=0, ,(D41-D42)))</f>
        <v>0</v>
      </c>
      <c r="F41" s="41"/>
      <c r="G41" s="39">
        <f t="shared" si="29"/>
        <v>0</v>
      </c>
      <c r="H41" s="41"/>
      <c r="I41" s="39">
        <f t="shared" si="30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4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8"/>
        <v>0</v>
      </c>
      <c r="D42" s="41"/>
      <c r="E42" s="39">
        <f>IF(AC42&gt;0,((D42-U42)+(V42-D43)),IF(D43=0, ,(D42-D43)))</f>
        <v>0</v>
      </c>
      <c r="F42" s="41"/>
      <c r="G42" s="39">
        <f t="shared" si="29"/>
        <v>0</v>
      </c>
      <c r="H42" s="41"/>
      <c r="I42" s="39">
        <f t="shared" si="30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4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11916.529999999999</v>
      </c>
      <c r="O43" s="39">
        <f>N43*0.529</f>
        <v>6303.8443699999998</v>
      </c>
      <c r="P43" s="42">
        <f>O43*13.64</f>
        <v>85984.437206799994</v>
      </c>
      <c r="Q43" s="286">
        <f>SUM(Q4:Q42)</f>
        <v>2136</v>
      </c>
      <c r="R43" s="287"/>
      <c r="S43" s="288"/>
      <c r="T43" s="289">
        <f>SUM(T4:T42)</f>
        <v>2110</v>
      </c>
      <c r="U43" s="287"/>
      <c r="V43" s="288"/>
      <c r="W43" s="289">
        <f>SUM(W4:W42)</f>
        <v>1776</v>
      </c>
      <c r="X43" s="287"/>
      <c r="Y43" s="288"/>
      <c r="Z43" s="289">
        <f>SUM(Z4:Z42)</f>
        <v>1751</v>
      </c>
      <c r="AA43" s="287"/>
      <c r="AB43" s="288"/>
      <c r="AC43" s="39">
        <f t="shared" si="20"/>
        <v>7773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7773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7773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11916.529999999999</v>
      </c>
      <c r="L47" s="46">
        <f>O43</f>
        <v>6303.8443699999998</v>
      </c>
      <c r="M47" s="46">
        <f>P43</f>
        <v>85984.437206799994</v>
      </c>
    </row>
    <row r="48" spans="1:31" ht="54.75" customHeight="1" thickBot="1">
      <c r="H48" s="282" t="s">
        <v>86</v>
      </c>
      <c r="I48" s="283"/>
      <c r="J48" s="284"/>
      <c r="K48" s="43">
        <f>AC44</f>
        <v>7773</v>
      </c>
      <c r="L48" s="44">
        <f>K48*0.529</f>
        <v>4111.9170000000004</v>
      </c>
      <c r="M48" s="44">
        <f>L48*13.14</f>
        <v>54030.589380000005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L17" sqref="L17:L18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44567</v>
      </c>
      <c r="D8" s="350"/>
      <c r="E8" s="113">
        <v>44598</v>
      </c>
      <c r="F8" s="163" t="s">
        <v>97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793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20117099</v>
      </c>
      <c r="D17" s="66">
        <v>20106843</v>
      </c>
      <c r="E17" s="67">
        <f>MIN(C17-D17)</f>
        <v>10256</v>
      </c>
      <c r="F17" s="67">
        <f>+E17</f>
        <v>10256</v>
      </c>
      <c r="G17" s="329"/>
      <c r="H17" s="330"/>
      <c r="I17" s="329">
        <f>+E17</f>
        <v>10256</v>
      </c>
      <c r="J17" s="330"/>
    </row>
    <row r="18" spans="1:10">
      <c r="A18" s="327" t="s">
        <v>111</v>
      </c>
      <c r="B18" s="328"/>
      <c r="C18" s="66">
        <v>11848105</v>
      </c>
      <c r="D18" s="66">
        <v>11843664</v>
      </c>
      <c r="E18" s="67">
        <f>MIN(C18-D18)</f>
        <v>4441</v>
      </c>
      <c r="F18" s="67">
        <f>+E18</f>
        <v>4441</v>
      </c>
      <c r="G18" s="329"/>
      <c r="H18" s="330"/>
      <c r="I18" s="329">
        <f>+E18</f>
        <v>4441</v>
      </c>
      <c r="J18" s="330"/>
    </row>
    <row r="19" spans="1:10">
      <c r="A19" s="327" t="s">
        <v>112</v>
      </c>
      <c r="B19" s="328"/>
      <c r="C19" s="66">
        <v>8833074</v>
      </c>
      <c r="D19" s="66">
        <v>8829353</v>
      </c>
      <c r="E19" s="67">
        <f>AVERAGE(C19-D19)</f>
        <v>3721</v>
      </c>
      <c r="F19" s="67">
        <f>+E19</f>
        <v>3721</v>
      </c>
      <c r="G19" s="329"/>
      <c r="H19" s="330"/>
      <c r="I19" s="329">
        <f>+E19</f>
        <v>3721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18418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10256</v>
      </c>
      <c r="E25" s="72">
        <v>0.95140000000000002</v>
      </c>
      <c r="F25" s="73">
        <f>PRODUCT(D25*E25)</f>
        <v>9757.5583999999999</v>
      </c>
      <c r="G25" s="151">
        <v>14</v>
      </c>
      <c r="H25" s="65">
        <f>PRODUCT(0.14,F25)</f>
        <v>1366.058176</v>
      </c>
      <c r="I25" s="304">
        <f>SUM(H25,F25)</f>
        <v>11123.616576</v>
      </c>
      <c r="J25" s="305"/>
    </row>
    <row r="26" spans="1:10" ht="15">
      <c r="A26" s="301" t="s">
        <v>124</v>
      </c>
      <c r="B26" s="302"/>
      <c r="C26" s="303"/>
      <c r="D26" s="67">
        <f>+E18</f>
        <v>4441</v>
      </c>
      <c r="E26" s="74">
        <v>0.69850000000000001</v>
      </c>
      <c r="F26" s="73">
        <f>PRODUCT(D26*E26)</f>
        <v>3102.0385000000001</v>
      </c>
      <c r="G26">
        <v>14</v>
      </c>
      <c r="H26" s="67">
        <f>PRODUCT(0.14,F26)</f>
        <v>434.28539000000006</v>
      </c>
      <c r="I26" s="304">
        <f t="shared" ref="I26:I31" si="0">SUM(H26,F26)</f>
        <v>3536.3238900000001</v>
      </c>
      <c r="J26" s="305"/>
    </row>
    <row r="27" spans="1:10" ht="15">
      <c r="A27" s="301" t="s">
        <v>125</v>
      </c>
      <c r="B27" s="302"/>
      <c r="C27" s="303"/>
      <c r="D27" s="67">
        <f>+E19</f>
        <v>3721</v>
      </c>
      <c r="E27" s="74">
        <v>1.3304</v>
      </c>
      <c r="F27" s="73">
        <f>PRODUCT(D27*E27)</f>
        <v>4950.4184000000005</v>
      </c>
      <c r="G27">
        <v>14</v>
      </c>
      <c r="H27" s="67">
        <f>PRODUCT(0.14,F27)</f>
        <v>693.05857600000013</v>
      </c>
      <c r="I27" s="304">
        <f>SUM(H27,F27)</f>
        <v>5643.4769760000008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64024.685299999997</v>
      </c>
      <c r="G32" s="85"/>
      <c r="H32" s="86"/>
      <c r="I32" s="313">
        <f>SUM(I25:J31)</f>
        <v>72934.161242000002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44314</v>
      </c>
      <c r="D8" s="350"/>
      <c r="E8" s="113">
        <v>44709</v>
      </c>
      <c r="F8" s="163" t="s">
        <v>131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1135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20068636</v>
      </c>
      <c r="D17" s="66">
        <v>19830772</v>
      </c>
      <c r="E17" s="67">
        <f>MIN(C17-D17)</f>
        <v>237864</v>
      </c>
      <c r="F17" s="67">
        <f>+E17</f>
        <v>237864</v>
      </c>
      <c r="G17" s="329"/>
      <c r="H17" s="330"/>
      <c r="I17" s="329">
        <f>+E17</f>
        <v>237864</v>
      </c>
      <c r="J17" s="330"/>
    </row>
    <row r="18" spans="1:10">
      <c r="A18" s="327" t="s">
        <v>111</v>
      </c>
      <c r="B18" s="328"/>
      <c r="C18" s="66">
        <v>11824428</v>
      </c>
      <c r="D18" s="66">
        <v>11704653</v>
      </c>
      <c r="E18" s="67">
        <f>MIN(C18-D18)</f>
        <v>119775</v>
      </c>
      <c r="F18" s="67">
        <f>+E18</f>
        <v>119775</v>
      </c>
      <c r="G18" s="329"/>
      <c r="H18" s="330"/>
      <c r="I18" s="329">
        <f>+E18</f>
        <v>119775</v>
      </c>
      <c r="J18" s="330"/>
    </row>
    <row r="19" spans="1:10">
      <c r="A19" s="327" t="s">
        <v>112</v>
      </c>
      <c r="B19" s="328"/>
      <c r="C19" s="66">
        <v>8814739</v>
      </c>
      <c r="D19" s="66">
        <v>8719952</v>
      </c>
      <c r="E19" s="67">
        <f>AVERAGE(C19-D19)</f>
        <v>94787</v>
      </c>
      <c r="F19" s="67">
        <f>+E19</f>
        <v>94787</v>
      </c>
      <c r="G19" s="329"/>
      <c r="H19" s="330"/>
      <c r="I19" s="329">
        <f>+E19</f>
        <v>94787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452426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237864</v>
      </c>
      <c r="E25" s="72">
        <v>0.95140000000000002</v>
      </c>
      <c r="F25" s="73">
        <f>PRODUCT(D25*E25)</f>
        <v>226303.80960000001</v>
      </c>
      <c r="G25" s="151">
        <v>14</v>
      </c>
      <c r="H25" s="65">
        <f>PRODUCT(0.14,F25)</f>
        <v>31682.533344000003</v>
      </c>
      <c r="I25" s="304">
        <f>SUM(H25,F25)</f>
        <v>257986.342944</v>
      </c>
      <c r="J25" s="305"/>
    </row>
    <row r="26" spans="1:10" ht="15">
      <c r="A26" s="301" t="s">
        <v>124</v>
      </c>
      <c r="B26" s="302"/>
      <c r="C26" s="303"/>
      <c r="D26" s="67">
        <f>+E18</f>
        <v>119775</v>
      </c>
      <c r="E26" s="74">
        <v>0.69850000000000001</v>
      </c>
      <c r="F26" s="73">
        <f>PRODUCT(D26*E26)</f>
        <v>83662.837499999994</v>
      </c>
      <c r="G26">
        <v>14</v>
      </c>
      <c r="H26" s="67">
        <f>PRODUCT(0.14,F26)</f>
        <v>11712.79725</v>
      </c>
      <c r="I26" s="304">
        <f t="shared" ref="I26:I31" si="0">SUM(H26,F26)</f>
        <v>95375.634749999997</v>
      </c>
      <c r="J26" s="305"/>
    </row>
    <row r="27" spans="1:10" ht="15">
      <c r="A27" s="301" t="s">
        <v>125</v>
      </c>
      <c r="B27" s="302"/>
      <c r="C27" s="303"/>
      <c r="D27" s="67">
        <f>+E19</f>
        <v>94787</v>
      </c>
      <c r="E27" s="74">
        <v>1.3304</v>
      </c>
      <c r="F27" s="73">
        <f>PRODUCT(D27*E27)</f>
        <v>126104.62480000001</v>
      </c>
      <c r="G27">
        <v>14</v>
      </c>
      <c r="H27" s="67">
        <f>PRODUCT(0.14,F27)</f>
        <v>17654.647472000004</v>
      </c>
      <c r="I27" s="304">
        <f>SUM(H27,F27)</f>
        <v>143759.272272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f>G12-D28</f>
        <v>135</v>
      </c>
      <c r="E29" s="76">
        <f>E28*1.5</f>
        <v>65.822505000000007</v>
      </c>
      <c r="F29" s="77">
        <f>PRODUCT(D29,E29)</f>
        <v>8886.0381750000015</v>
      </c>
      <c r="G29" s="78">
        <v>14</v>
      </c>
      <c r="H29" s="75">
        <f>PRODUCT(0.14,F29)</f>
        <v>1244.0453445000003</v>
      </c>
      <c r="I29" s="317">
        <f t="shared" si="0"/>
        <v>10130.083519500002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491171.98007499997</v>
      </c>
      <c r="G32" s="85"/>
      <c r="H32" s="86"/>
      <c r="I32" s="313">
        <f>SUM(I25:J31)</f>
        <v>559882.07728549989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132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143745</v>
      </c>
      <c r="D8" s="97">
        <v>44682</v>
      </c>
      <c r="E8" s="96">
        <v>148296.1</v>
      </c>
      <c r="F8" s="97">
        <v>44713</v>
      </c>
      <c r="G8" s="98">
        <f>E8-C8</f>
        <v>4551.1000000000058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4551.1000000000058</v>
      </c>
      <c r="C13" s="397"/>
      <c r="D13" s="397">
        <v>8.7899999999999991</v>
      </c>
      <c r="E13" s="397"/>
      <c r="F13" s="399">
        <f>PRODUCT(D13,B13)</f>
        <v>40004.169000000045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f>G8</f>
        <v>4551.1000000000058</v>
      </c>
      <c r="C19" s="397"/>
      <c r="D19" s="397">
        <v>2.61</v>
      </c>
      <c r="E19" s="397"/>
      <c r="F19" s="397">
        <f>PRODUCT(D19,B19)</f>
        <v>11878.371000000014</v>
      </c>
      <c r="G19" s="397"/>
      <c r="H19" s="397"/>
    </row>
    <row r="20" spans="1:8" ht="18.75">
      <c r="A20" s="413" t="s">
        <v>148</v>
      </c>
      <c r="B20" s="414"/>
      <c r="C20" s="414"/>
      <c r="D20" s="414"/>
      <c r="E20" s="415"/>
      <c r="F20" s="416">
        <f>SUM(F11+F13+F16+F17+F18+F19)</f>
        <v>51905.540000000059</v>
      </c>
      <c r="G20" s="416"/>
      <c r="H20" s="416"/>
    </row>
    <row r="21" spans="1:8" ht="15">
      <c r="A21" s="402" t="s">
        <v>149</v>
      </c>
      <c r="B21" s="403"/>
      <c r="C21" s="403"/>
      <c r="D21" s="403"/>
      <c r="E21" s="404"/>
      <c r="F21" s="397">
        <f>PRODUCT(F20,0.07)</f>
        <v>3633.3878000000045</v>
      </c>
      <c r="G21" s="397"/>
      <c r="H21" s="397"/>
    </row>
    <row r="22" spans="1:8" ht="15">
      <c r="A22" s="434" t="s">
        <v>150</v>
      </c>
      <c r="B22" s="435"/>
      <c r="C22" s="435"/>
      <c r="D22" s="435"/>
      <c r="E22" s="436"/>
      <c r="F22" s="397">
        <v>208.26</v>
      </c>
      <c r="G22" s="397"/>
      <c r="H22" s="397"/>
    </row>
    <row r="23" spans="1:8" ht="15.75">
      <c r="A23" s="402" t="s">
        <v>151</v>
      </c>
      <c r="B23" s="403"/>
      <c r="C23" s="403"/>
      <c r="D23" s="403"/>
      <c r="E23" s="404"/>
      <c r="F23" s="405">
        <f>SUM(F21:H22)</f>
        <v>3841.6478000000043</v>
      </c>
      <c r="G23" s="405"/>
      <c r="H23" s="405"/>
    </row>
    <row r="24" spans="1:8">
      <c r="A24" s="406" t="s">
        <v>152</v>
      </c>
      <c r="B24" s="407"/>
      <c r="C24" s="407"/>
      <c r="D24" s="407"/>
      <c r="E24" s="408"/>
      <c r="F24" s="412">
        <f>SUM(F20,F23)</f>
        <v>55747.187800000065</v>
      </c>
      <c r="G24" s="412"/>
      <c r="H24" s="412"/>
    </row>
    <row r="25" spans="1:8">
      <c r="A25" s="409"/>
      <c r="B25" s="410"/>
      <c r="C25" s="410"/>
      <c r="D25" s="410"/>
      <c r="E25" s="411"/>
      <c r="F25" s="412"/>
      <c r="G25" s="412"/>
      <c r="H25" s="412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opLeftCell="B5"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153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148296.1</v>
      </c>
      <c r="D8" s="97">
        <v>44713</v>
      </c>
      <c r="E8" s="96">
        <v>148461.29999999999</v>
      </c>
      <c r="F8" s="97">
        <v>44714</v>
      </c>
      <c r="G8" s="98">
        <f>E8-C8</f>
        <v>165.19999999998254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165.19999999998254</v>
      </c>
      <c r="C13" s="397"/>
      <c r="D13" s="397">
        <v>8.5</v>
      </c>
      <c r="E13" s="397"/>
      <c r="F13" s="399">
        <f>PRODUCT(D13,B13)</f>
        <v>1404.1999999998516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v>0</v>
      </c>
      <c r="C19" s="397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154</v>
      </c>
      <c r="B20" s="397">
        <f>G8</f>
        <v>165.19999999998254</v>
      </c>
      <c r="C20" s="397"/>
      <c r="D20" s="397">
        <v>2.54</v>
      </c>
      <c r="E20" s="397"/>
      <c r="F20" s="397">
        <f>PRODUCT(D20,B20)</f>
        <v>419.60799999995567</v>
      </c>
      <c r="G20" s="397"/>
      <c r="H20" s="397"/>
    </row>
    <row r="21" spans="1:8" ht="18.75">
      <c r="A21" s="413" t="s">
        <v>148</v>
      </c>
      <c r="B21" s="414"/>
      <c r="C21" s="414"/>
      <c r="D21" s="414"/>
      <c r="E21" s="415"/>
      <c r="F21" s="416">
        <f>SUM(F11+F13+F16+F17+F18+F20)</f>
        <v>1846.8079999998072</v>
      </c>
      <c r="G21" s="416"/>
      <c r="H21" s="416"/>
    </row>
    <row r="22" spans="1:8" ht="15">
      <c r="A22" s="402" t="s">
        <v>149</v>
      </c>
      <c r="B22" s="403"/>
      <c r="C22" s="403"/>
      <c r="D22" s="403"/>
      <c r="E22" s="404"/>
      <c r="F22" s="397">
        <f>PRODUCT(F21,0.07)</f>
        <v>129.27655999998652</v>
      </c>
      <c r="G22" s="397"/>
      <c r="H22" s="397"/>
    </row>
    <row r="23" spans="1:8" ht="15">
      <c r="A23" s="434" t="s">
        <v>150</v>
      </c>
      <c r="B23" s="435"/>
      <c r="C23" s="435"/>
      <c r="D23" s="435"/>
      <c r="E23" s="436"/>
      <c r="F23" s="397">
        <v>208.26</v>
      </c>
      <c r="G23" s="397"/>
      <c r="H23" s="397"/>
    </row>
    <row r="24" spans="1:8" ht="15.75">
      <c r="A24" s="402" t="s">
        <v>151</v>
      </c>
      <c r="B24" s="403"/>
      <c r="C24" s="403"/>
      <c r="D24" s="403"/>
      <c r="E24" s="404"/>
      <c r="F24" s="405">
        <f>SUM(F22:H23)</f>
        <v>337.53655999998648</v>
      </c>
      <c r="G24" s="405"/>
      <c r="H24" s="405"/>
    </row>
    <row r="25" spans="1:8">
      <c r="A25" s="406" t="s">
        <v>152</v>
      </c>
      <c r="B25" s="407"/>
      <c r="C25" s="407"/>
      <c r="D25" s="407"/>
      <c r="E25" s="408"/>
      <c r="F25" s="412">
        <f>SUM(F21,F24)</f>
        <v>2184.3445599997935</v>
      </c>
      <c r="G25" s="412"/>
      <c r="H25" s="412"/>
    </row>
    <row r="26" spans="1:8">
      <c r="A26" s="409"/>
      <c r="B26" s="410"/>
      <c r="C26" s="410"/>
      <c r="D26" s="410"/>
      <c r="E26" s="411"/>
      <c r="F26" s="412"/>
      <c r="G26" s="412"/>
      <c r="H26" s="412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155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44317</v>
      </c>
      <c r="E8" s="96">
        <v>2560</v>
      </c>
      <c r="F8" s="97">
        <v>44713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15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156</v>
      </c>
      <c r="B13" s="397">
        <f>G8</f>
        <v>0</v>
      </c>
      <c r="C13" s="397"/>
      <c r="D13" s="397">
        <v>16.48</v>
      </c>
      <c r="E13" s="397"/>
      <c r="F13" s="399">
        <f>PRODUCT(D13,B13)</f>
        <v>0</v>
      </c>
      <c r="G13" s="399"/>
      <c r="H13" s="399"/>
    </row>
    <row r="14" spans="1:8" ht="15">
      <c r="A14" s="102" t="s">
        <v>157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158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159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160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400" t="s">
        <v>143</v>
      </c>
      <c r="B18" s="400"/>
      <c r="C18" s="400"/>
      <c r="D18" s="400"/>
      <c r="E18" s="400"/>
      <c r="F18" s="400"/>
      <c r="G18" s="400"/>
      <c r="H18" s="400"/>
    </row>
    <row r="19" spans="1:8">
      <c r="A19" s="401"/>
      <c r="B19" s="401"/>
      <c r="C19" s="401"/>
      <c r="D19" s="401"/>
      <c r="E19" s="401"/>
      <c r="F19" s="401"/>
      <c r="G19" s="401"/>
      <c r="H19" s="401"/>
    </row>
    <row r="20" spans="1:8" ht="15">
      <c r="A20" s="103" t="s">
        <v>144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>
      <c r="A21" s="103" t="s">
        <v>145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>
      <c r="A22" s="103" t="s">
        <v>146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>
      <c r="A23" s="103" t="s">
        <v>147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>
      <c r="A24" s="103" t="s">
        <v>154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413" t="s">
        <v>148</v>
      </c>
      <c r="B25" s="414"/>
      <c r="C25" s="414"/>
      <c r="D25" s="414"/>
      <c r="E25" s="415"/>
      <c r="F25" s="419">
        <f>SUM(F11+F13+F20+F21+F22+F23)</f>
        <v>15</v>
      </c>
      <c r="G25" s="416"/>
      <c r="H25" s="416"/>
    </row>
    <row r="26" spans="1:8" ht="15">
      <c r="A26" s="402" t="s">
        <v>149</v>
      </c>
      <c r="B26" s="403"/>
      <c r="C26" s="403"/>
      <c r="D26" s="403"/>
      <c r="E26" s="404"/>
      <c r="F26" s="397">
        <v>63.63</v>
      </c>
      <c r="G26" s="397"/>
      <c r="H26" s="397"/>
    </row>
    <row r="27" spans="1:8" ht="15">
      <c r="A27" s="434" t="s">
        <v>150</v>
      </c>
      <c r="B27" s="435"/>
      <c r="C27" s="435"/>
      <c r="D27" s="435"/>
      <c r="E27" s="436"/>
      <c r="F27" s="397">
        <v>2.4300000000000002</v>
      </c>
      <c r="G27" s="397"/>
      <c r="H27" s="397"/>
    </row>
    <row r="28" spans="1:8" ht="15.75">
      <c r="A28" s="402" t="s">
        <v>151</v>
      </c>
      <c r="B28" s="403"/>
      <c r="C28" s="403"/>
      <c r="D28" s="403"/>
      <c r="E28" s="404"/>
      <c r="F28" s="405">
        <f>SUM(F26:H27)</f>
        <v>66.06</v>
      </c>
      <c r="G28" s="405"/>
      <c r="H28" s="405"/>
    </row>
    <row r="29" spans="1:8">
      <c r="A29" s="406" t="s">
        <v>152</v>
      </c>
      <c r="B29" s="407"/>
      <c r="C29" s="407"/>
      <c r="D29" s="407"/>
      <c r="E29" s="408"/>
      <c r="F29" s="412">
        <f>SUM(F25,F28)</f>
        <v>81.06</v>
      </c>
      <c r="G29" s="412"/>
      <c r="H29" s="412"/>
    </row>
    <row r="30" spans="1:8">
      <c r="A30" s="409"/>
      <c r="B30" s="410"/>
      <c r="C30" s="410"/>
      <c r="D30" s="410"/>
      <c r="E30" s="411"/>
      <c r="F30" s="412"/>
      <c r="G30" s="412"/>
      <c r="H30" s="412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3" zoomScaleNormal="100" workbookViewId="0">
      <selection activeCell="G26" sqref="G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161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182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/>
      <c r="I26" s="104"/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9" zoomScaleNormal="100" workbookViewId="0">
      <selection activeCell="G26" sqref="G26:I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183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184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/>
      <c r="I26" s="104"/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20" zoomScaleNormal="100" workbookViewId="0">
      <selection activeCell="F26" sqref="F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185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186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/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2022-06-24T10:59:21Z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