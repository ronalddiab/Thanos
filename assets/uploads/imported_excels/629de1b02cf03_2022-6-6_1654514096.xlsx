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01"/>
  <workbookPr/>
  <mc:AlternateContent xmlns:mc="http://schemas.openxmlformats.org/markup-compatibility/2006">
    <mc:Choice Requires="x15">
      <x15ac:absPath xmlns:x15ac="http://schemas.microsoft.com/office/spreadsheetml/2010/11/ac" url="C:\Users\Gek Amy\Desktop\HEP 2019\"/>
    </mc:Choice>
  </mc:AlternateContent>
  <xr:revisionPtr revIDLastSave="0" documentId="11_B2B6E84747D94E4663BF8DBFF01CD86F7E7E237D" xr6:coauthVersionLast="47" xr6:coauthVersionMax="47" xr10:uidLastSave="{00000000-0000-0000-0000-000000000000}"/>
  <bookViews>
    <workbookView xWindow="0" yWindow="0" windowWidth="20490" windowHeight="7755" firstSheet="4" activeTab="4" xr2:uid="{00000000-000D-0000-FFFF-FFFF00000000}"/>
  </bookViews>
  <sheets>
    <sheet name="TOTAL" sheetId="1" r:id="rId1"/>
    <sheet name="Electricity" sheetId="2" r:id="rId2"/>
    <sheet name="Gas" sheetId="3" r:id="rId3"/>
    <sheet name="Fuel Diesel" sheetId="4" r:id="rId4"/>
    <sheet name="Water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0" i="5" l="1"/>
  <c r="I40" i="5"/>
  <c r="J25" i="1" l="1"/>
  <c r="H32" i="4" l="1"/>
  <c r="F37" i="2"/>
  <c r="G37" i="2" s="1"/>
  <c r="F38" i="2"/>
  <c r="G38" i="2" s="1"/>
  <c r="I14" i="1"/>
  <c r="I13" i="1"/>
  <c r="I6" i="1"/>
  <c r="I5" i="1"/>
  <c r="D10" i="3"/>
  <c r="D10" i="4" s="1"/>
  <c r="D10" i="5" s="1"/>
  <c r="D11" i="3"/>
  <c r="D11" i="4" s="1"/>
  <c r="D11" i="5" s="1"/>
  <c r="D12" i="3"/>
  <c r="D12" i="4" s="1"/>
  <c r="D12" i="5" s="1"/>
  <c r="D13" i="3"/>
  <c r="D13" i="4" s="1"/>
  <c r="D13" i="5" s="1"/>
  <c r="D14" i="3"/>
  <c r="D14" i="4" s="1"/>
  <c r="D14" i="5" s="1"/>
  <c r="D15" i="3"/>
  <c r="D15" i="4" s="1"/>
  <c r="D15" i="5" s="1"/>
  <c r="D16" i="3"/>
  <c r="D16" i="4" s="1"/>
  <c r="D16" i="5" s="1"/>
  <c r="D17" i="3"/>
  <c r="D17" i="4" s="1"/>
  <c r="D17" i="5" s="1"/>
  <c r="D18" i="3"/>
  <c r="D18" i="4" s="1"/>
  <c r="D18" i="5" s="1"/>
  <c r="D19" i="3"/>
  <c r="D19" i="4" s="1"/>
  <c r="D19" i="5" s="1"/>
  <c r="D20" i="3"/>
  <c r="D20" i="4" s="1"/>
  <c r="D20" i="5" s="1"/>
  <c r="D21" i="3"/>
  <c r="D21" i="4" s="1"/>
  <c r="D21" i="5" s="1"/>
  <c r="D22" i="3"/>
  <c r="D22" i="4" s="1"/>
  <c r="D22" i="5" s="1"/>
  <c r="D23" i="3"/>
  <c r="D23" i="4" s="1"/>
  <c r="D23" i="5" s="1"/>
  <c r="D24" i="3"/>
  <c r="D24" i="4" s="1"/>
  <c r="D24" i="5" s="1"/>
  <c r="D25" i="3"/>
  <c r="D25" i="4" s="1"/>
  <c r="D25" i="5" s="1"/>
  <c r="D26" i="3"/>
  <c r="D26" i="4" s="1"/>
  <c r="D26" i="5" s="1"/>
  <c r="D27" i="3"/>
  <c r="D27" i="4" s="1"/>
  <c r="D27" i="5" s="1"/>
  <c r="D28" i="3"/>
  <c r="D28" i="4" s="1"/>
  <c r="D28" i="5" s="1"/>
  <c r="D29" i="3"/>
  <c r="D29" i="4" s="1"/>
  <c r="D29" i="5" s="1"/>
  <c r="D30" i="3"/>
  <c r="D30" i="4" s="1"/>
  <c r="D30" i="5" s="1"/>
  <c r="D31" i="3"/>
  <c r="D31" i="4" s="1"/>
  <c r="D31" i="5" s="1"/>
  <c r="D32" i="3"/>
  <c r="D32" i="4" s="1"/>
  <c r="D32" i="5" s="1"/>
  <c r="D33" i="3"/>
  <c r="D33" i="4" s="1"/>
  <c r="D33" i="5" s="1"/>
  <c r="D34" i="3"/>
  <c r="D34" i="4" s="1"/>
  <c r="D34" i="5" s="1"/>
  <c r="D35" i="3"/>
  <c r="D35" i="4" s="1"/>
  <c r="D35" i="5" s="1"/>
  <c r="D36" i="3"/>
  <c r="D36" i="4" s="1"/>
  <c r="D36" i="5" s="1"/>
  <c r="D37" i="3"/>
  <c r="D37" i="4" s="1"/>
  <c r="D37" i="5" s="1"/>
  <c r="D38" i="3"/>
  <c r="D38" i="4" s="1"/>
  <c r="D38" i="5" s="1"/>
  <c r="D39" i="3"/>
  <c r="D39" i="4" s="1"/>
  <c r="D39" i="5" s="1"/>
  <c r="D9" i="3"/>
  <c r="D9" i="4" s="1"/>
  <c r="C10" i="3"/>
  <c r="C11" i="3"/>
  <c r="C11" i="4" s="1"/>
  <c r="C11" i="5" s="1"/>
  <c r="C12" i="3"/>
  <c r="C12" i="4" s="1"/>
  <c r="C12" i="5" s="1"/>
  <c r="C13" i="3"/>
  <c r="C13" i="4" s="1"/>
  <c r="C13" i="5" s="1"/>
  <c r="C14" i="3"/>
  <c r="C14" i="4" s="1"/>
  <c r="C14" i="5" s="1"/>
  <c r="C15" i="3"/>
  <c r="C15" i="4" s="1"/>
  <c r="C15" i="5" s="1"/>
  <c r="C16" i="3"/>
  <c r="C16" i="4" s="1"/>
  <c r="C16" i="5" s="1"/>
  <c r="C17" i="3"/>
  <c r="C17" i="4" s="1"/>
  <c r="C17" i="5" s="1"/>
  <c r="C18" i="3"/>
  <c r="C18" i="4" s="1"/>
  <c r="C18" i="5" s="1"/>
  <c r="C19" i="3"/>
  <c r="C19" i="4" s="1"/>
  <c r="C19" i="5" s="1"/>
  <c r="C20" i="3"/>
  <c r="C20" i="4" s="1"/>
  <c r="C20" i="5" s="1"/>
  <c r="C21" i="3"/>
  <c r="C21" i="4" s="1"/>
  <c r="C21" i="5" s="1"/>
  <c r="C22" i="3"/>
  <c r="C22" i="4" s="1"/>
  <c r="C22" i="5" s="1"/>
  <c r="C23" i="3"/>
  <c r="C23" i="4" s="1"/>
  <c r="C23" i="5" s="1"/>
  <c r="C24" i="3"/>
  <c r="C24" i="4" s="1"/>
  <c r="C24" i="5" s="1"/>
  <c r="C25" i="3"/>
  <c r="C25" i="4" s="1"/>
  <c r="C25" i="5" s="1"/>
  <c r="C26" i="3"/>
  <c r="C26" i="4" s="1"/>
  <c r="C26" i="5" s="1"/>
  <c r="C27" i="3"/>
  <c r="C27" i="4" s="1"/>
  <c r="C27" i="5" s="1"/>
  <c r="C28" i="3"/>
  <c r="C28" i="4" s="1"/>
  <c r="C28" i="5" s="1"/>
  <c r="C29" i="3"/>
  <c r="C29" i="4" s="1"/>
  <c r="C29" i="5" s="1"/>
  <c r="C30" i="3"/>
  <c r="C30" i="4" s="1"/>
  <c r="C30" i="5" s="1"/>
  <c r="C31" i="3"/>
  <c r="C31" i="4" s="1"/>
  <c r="C31" i="5" s="1"/>
  <c r="C32" i="3"/>
  <c r="C32" i="4" s="1"/>
  <c r="C32" i="5" s="1"/>
  <c r="C33" i="3"/>
  <c r="C33" i="4" s="1"/>
  <c r="C33" i="5" s="1"/>
  <c r="C34" i="3"/>
  <c r="C34" i="4" s="1"/>
  <c r="C34" i="5" s="1"/>
  <c r="C35" i="3"/>
  <c r="C35" i="4" s="1"/>
  <c r="C35" i="5" s="1"/>
  <c r="C36" i="3"/>
  <c r="C36" i="4" s="1"/>
  <c r="C36" i="5" s="1"/>
  <c r="C37" i="3"/>
  <c r="C37" i="4" s="1"/>
  <c r="C37" i="5" s="1"/>
  <c r="C38" i="3"/>
  <c r="C38" i="4" s="1"/>
  <c r="C38" i="5" s="1"/>
  <c r="C39" i="3"/>
  <c r="C39" i="4" s="1"/>
  <c r="C39" i="5" s="1"/>
  <c r="C9" i="3"/>
  <c r="C9" i="4" s="1"/>
  <c r="C9" i="5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G34" i="4"/>
  <c r="J27" i="1" s="1"/>
  <c r="I3" i="1"/>
  <c r="I4" i="1"/>
  <c r="I7" i="1"/>
  <c r="I8" i="1"/>
  <c r="I9" i="1"/>
  <c r="I10" i="1"/>
  <c r="I11" i="1"/>
  <c r="I12" i="1"/>
  <c r="I15" i="1"/>
  <c r="I16" i="1"/>
  <c r="I17" i="1"/>
  <c r="I18" i="1"/>
  <c r="I19" i="1"/>
  <c r="I20" i="1"/>
  <c r="I21" i="1"/>
  <c r="I23" i="1"/>
  <c r="I24" i="1"/>
  <c r="I25" i="1"/>
  <c r="I26" i="1"/>
  <c r="I27" i="1"/>
  <c r="I28" i="1"/>
  <c r="I29" i="1"/>
  <c r="I30" i="1"/>
  <c r="I31" i="1"/>
  <c r="I3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N2" i="1"/>
  <c r="M2" i="1"/>
  <c r="K2" i="1"/>
  <c r="I2" i="1"/>
  <c r="G2" i="1"/>
  <c r="J40" i="5"/>
  <c r="J39" i="5"/>
  <c r="H39" i="5"/>
  <c r="F39" i="5"/>
  <c r="J38" i="5"/>
  <c r="H38" i="5"/>
  <c r="F38" i="5"/>
  <c r="J37" i="5"/>
  <c r="H37" i="5"/>
  <c r="F37" i="5"/>
  <c r="J36" i="5"/>
  <c r="H36" i="5"/>
  <c r="F36" i="5"/>
  <c r="J35" i="5"/>
  <c r="H35" i="5"/>
  <c r="F35" i="5"/>
  <c r="J34" i="5"/>
  <c r="H34" i="5"/>
  <c r="F34" i="5"/>
  <c r="J33" i="5"/>
  <c r="H33" i="5"/>
  <c r="F33" i="5"/>
  <c r="J32" i="5"/>
  <c r="H32" i="5"/>
  <c r="F32" i="5"/>
  <c r="J31" i="5"/>
  <c r="H31" i="5"/>
  <c r="F31" i="5"/>
  <c r="J30" i="5"/>
  <c r="H30" i="5"/>
  <c r="F30" i="5"/>
  <c r="J29" i="5"/>
  <c r="H29" i="5"/>
  <c r="F29" i="5"/>
  <c r="J28" i="5"/>
  <c r="H28" i="5"/>
  <c r="F28" i="5"/>
  <c r="J27" i="5"/>
  <c r="H27" i="5"/>
  <c r="F27" i="5"/>
  <c r="J26" i="5"/>
  <c r="H26" i="5"/>
  <c r="F26" i="5"/>
  <c r="J25" i="5"/>
  <c r="H25" i="5"/>
  <c r="F25" i="5"/>
  <c r="J24" i="5"/>
  <c r="H24" i="5"/>
  <c r="F24" i="5"/>
  <c r="J23" i="5"/>
  <c r="H23" i="5"/>
  <c r="F23" i="5"/>
  <c r="J22" i="5"/>
  <c r="H22" i="5"/>
  <c r="F22" i="5"/>
  <c r="J21" i="5"/>
  <c r="H21" i="5"/>
  <c r="F21" i="5"/>
  <c r="J20" i="5"/>
  <c r="H20" i="5"/>
  <c r="F20" i="5"/>
  <c r="J19" i="5"/>
  <c r="H19" i="5"/>
  <c r="F19" i="5"/>
  <c r="J18" i="5"/>
  <c r="H18" i="5"/>
  <c r="F18" i="5"/>
  <c r="J17" i="5"/>
  <c r="K17" i="5" s="1"/>
  <c r="L10" i="1" s="1"/>
  <c r="H17" i="5"/>
  <c r="F17" i="5"/>
  <c r="J16" i="5"/>
  <c r="H16" i="5"/>
  <c r="F16" i="5"/>
  <c r="J15" i="5"/>
  <c r="H15" i="5"/>
  <c r="F15" i="5"/>
  <c r="J14" i="5"/>
  <c r="H14" i="5"/>
  <c r="F14" i="5"/>
  <c r="J13" i="5"/>
  <c r="H13" i="5"/>
  <c r="F13" i="5"/>
  <c r="J12" i="5"/>
  <c r="H12" i="5"/>
  <c r="F12" i="5"/>
  <c r="J11" i="5"/>
  <c r="H11" i="5"/>
  <c r="F11" i="5"/>
  <c r="J10" i="5"/>
  <c r="H10" i="5"/>
  <c r="F10" i="5"/>
  <c r="J9" i="5"/>
  <c r="H9" i="5"/>
  <c r="F9" i="5"/>
  <c r="G39" i="4"/>
  <c r="J32" i="1" s="1"/>
  <c r="G38" i="4"/>
  <c r="J31" i="1" s="1"/>
  <c r="G37" i="4"/>
  <c r="J30" i="1" s="1"/>
  <c r="G36" i="4"/>
  <c r="J29" i="1" s="1"/>
  <c r="G35" i="4"/>
  <c r="J28" i="1" s="1"/>
  <c r="G33" i="4"/>
  <c r="J26" i="1" s="1"/>
  <c r="J33" i="1" s="1"/>
  <c r="G31" i="4"/>
  <c r="J24" i="1" s="1"/>
  <c r="G30" i="4"/>
  <c r="J23" i="1" s="1"/>
  <c r="I22" i="1"/>
  <c r="G28" i="4"/>
  <c r="J21" i="1" s="1"/>
  <c r="G26" i="4"/>
  <c r="J19" i="1" s="1"/>
  <c r="G25" i="4"/>
  <c r="J18" i="1" s="1"/>
  <c r="G24" i="4"/>
  <c r="J17" i="1" s="1"/>
  <c r="G23" i="4"/>
  <c r="J16" i="1" s="1"/>
  <c r="G22" i="4"/>
  <c r="J15" i="1" s="1"/>
  <c r="G19" i="4"/>
  <c r="J12" i="1" s="1"/>
  <c r="G18" i="4"/>
  <c r="J11" i="1" s="1"/>
  <c r="G17" i="4"/>
  <c r="J10" i="1" s="1"/>
  <c r="G16" i="4"/>
  <c r="J9" i="1" s="1"/>
  <c r="G15" i="4"/>
  <c r="J8" i="1" s="1"/>
  <c r="G14" i="4"/>
  <c r="H14" i="4" s="1"/>
  <c r="G11" i="4"/>
  <c r="H11" i="4" s="1"/>
  <c r="G10" i="4"/>
  <c r="J3" i="1" s="1"/>
  <c r="G9" i="4"/>
  <c r="J2" i="1" s="1"/>
  <c r="O40" i="3"/>
  <c r="F40" i="3"/>
  <c r="O41" i="3" s="1"/>
  <c r="G39" i="3"/>
  <c r="J8" i="3"/>
  <c r="J38" i="3"/>
  <c r="G38" i="3"/>
  <c r="J37" i="3"/>
  <c r="G37" i="3"/>
  <c r="J36" i="3"/>
  <c r="G36" i="3"/>
  <c r="J35" i="3"/>
  <c r="G35" i="3"/>
  <c r="G34" i="3"/>
  <c r="G33" i="3"/>
  <c r="J32" i="3"/>
  <c r="G32" i="3"/>
  <c r="G31" i="3"/>
  <c r="J30" i="3"/>
  <c r="G30" i="3"/>
  <c r="J29" i="3"/>
  <c r="G29" i="3"/>
  <c r="J28" i="3"/>
  <c r="G28" i="3"/>
  <c r="J27" i="3"/>
  <c r="G27" i="3"/>
  <c r="G26" i="3"/>
  <c r="G25" i="3"/>
  <c r="J24" i="3"/>
  <c r="G24" i="3"/>
  <c r="G23" i="3"/>
  <c r="J22" i="3"/>
  <c r="G22" i="3"/>
  <c r="J21" i="3"/>
  <c r="G21" i="3"/>
  <c r="J20" i="3"/>
  <c r="G20" i="3"/>
  <c r="J19" i="3"/>
  <c r="G19" i="3"/>
  <c r="G18" i="3"/>
  <c r="G17" i="3"/>
  <c r="G16" i="3"/>
  <c r="G15" i="3"/>
  <c r="G14" i="3"/>
  <c r="G13" i="3"/>
  <c r="G12" i="3"/>
  <c r="G11" i="3"/>
  <c r="G10" i="3"/>
  <c r="G9" i="3"/>
  <c r="U8" i="3"/>
  <c r="J33" i="3"/>
  <c r="D39" i="2"/>
  <c r="C39" i="2"/>
  <c r="I38" i="2"/>
  <c r="I37" i="2"/>
  <c r="J37" i="2" s="1"/>
  <c r="I36" i="2"/>
  <c r="J36" i="2" s="1"/>
  <c r="F36" i="2"/>
  <c r="G36" i="2" s="1"/>
  <c r="I35" i="2"/>
  <c r="F35" i="2"/>
  <c r="G35" i="2" s="1"/>
  <c r="I34" i="2"/>
  <c r="J34" i="2" s="1"/>
  <c r="F34" i="2"/>
  <c r="G34" i="2" s="1"/>
  <c r="I33" i="2"/>
  <c r="J33" i="2" s="1"/>
  <c r="F33" i="2"/>
  <c r="G33" i="2" s="1"/>
  <c r="I32" i="2"/>
  <c r="J32" i="2" s="1"/>
  <c r="F32" i="2"/>
  <c r="G32" i="2" s="1"/>
  <c r="I31" i="2"/>
  <c r="J31" i="2" s="1"/>
  <c r="F31" i="2"/>
  <c r="G31" i="2" s="1"/>
  <c r="I30" i="2"/>
  <c r="J30" i="2" s="1"/>
  <c r="F30" i="2"/>
  <c r="G30" i="2" s="1"/>
  <c r="I29" i="2"/>
  <c r="J29" i="2" s="1"/>
  <c r="F29" i="2"/>
  <c r="G29" i="2" s="1"/>
  <c r="I28" i="2"/>
  <c r="J28" i="2" s="1"/>
  <c r="F28" i="2"/>
  <c r="I27" i="2"/>
  <c r="J27" i="2"/>
  <c r="F27" i="2"/>
  <c r="G27" i="2" s="1"/>
  <c r="I26" i="2"/>
  <c r="J26" i="2" s="1"/>
  <c r="F26" i="2"/>
  <c r="G26" i="2" s="1"/>
  <c r="I25" i="2"/>
  <c r="J25" i="2" s="1"/>
  <c r="F25" i="2"/>
  <c r="G25" i="2" s="1"/>
  <c r="I24" i="2"/>
  <c r="J24" i="2" s="1"/>
  <c r="F24" i="2"/>
  <c r="I23" i="2"/>
  <c r="J23" i="2" s="1"/>
  <c r="F23" i="2"/>
  <c r="I22" i="2"/>
  <c r="J22" i="2" s="1"/>
  <c r="F22" i="2"/>
  <c r="I21" i="2"/>
  <c r="J21" i="2" s="1"/>
  <c r="F21" i="2"/>
  <c r="G21" i="2" s="1"/>
  <c r="I20" i="2"/>
  <c r="J20" i="2" s="1"/>
  <c r="F20" i="2"/>
  <c r="G20" i="2" s="1"/>
  <c r="I19" i="2"/>
  <c r="J19" i="2" s="1"/>
  <c r="F19" i="2"/>
  <c r="I18" i="2"/>
  <c r="J18" i="2" s="1"/>
  <c r="F18" i="2"/>
  <c r="G18" i="2" s="1"/>
  <c r="I17" i="2"/>
  <c r="J17" i="2" s="1"/>
  <c r="F17" i="2"/>
  <c r="G17" i="2" s="1"/>
  <c r="I16" i="2"/>
  <c r="J16" i="2" s="1"/>
  <c r="F16" i="2"/>
  <c r="E10" i="1" s="1"/>
  <c r="I15" i="2"/>
  <c r="J15" i="2" s="1"/>
  <c r="F15" i="2"/>
  <c r="G15" i="2" s="1"/>
  <c r="I14" i="2"/>
  <c r="J14" i="2" s="1"/>
  <c r="F14" i="2"/>
  <c r="G14" i="2" s="1"/>
  <c r="I13" i="2"/>
  <c r="J13" i="2" s="1"/>
  <c r="F13" i="2"/>
  <c r="G13" i="2" s="1"/>
  <c r="I12" i="2"/>
  <c r="F12" i="2"/>
  <c r="G12" i="2" s="1"/>
  <c r="I11" i="2"/>
  <c r="J11" i="2" s="1"/>
  <c r="F11" i="2"/>
  <c r="G11" i="2" s="1"/>
  <c r="I10" i="2"/>
  <c r="J10" i="2"/>
  <c r="F10" i="2"/>
  <c r="G10" i="2" s="1"/>
  <c r="I9" i="2"/>
  <c r="J9" i="2" s="1"/>
  <c r="F9" i="2"/>
  <c r="G9" i="2" s="1"/>
  <c r="I8" i="2"/>
  <c r="J8" i="2" s="1"/>
  <c r="F8" i="2"/>
  <c r="G8" i="2" s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I41" i="5"/>
  <c r="F40" i="4"/>
  <c r="G12" i="4"/>
  <c r="J5" i="1" s="1"/>
  <c r="G20" i="4"/>
  <c r="J13" i="1" s="1"/>
  <c r="G13" i="4"/>
  <c r="J6" i="1" s="1"/>
  <c r="G21" i="4"/>
  <c r="J14" i="1" s="1"/>
  <c r="G29" i="4"/>
  <c r="J22" i="1" s="1"/>
  <c r="G27" i="4"/>
  <c r="J20" i="1" s="1"/>
  <c r="J34" i="3"/>
  <c r="P8" i="3"/>
  <c r="J18" i="3"/>
  <c r="M8" i="3"/>
  <c r="J31" i="3"/>
  <c r="J39" i="3"/>
  <c r="J23" i="3"/>
  <c r="J26" i="3"/>
  <c r="J9" i="3"/>
  <c r="J10" i="3"/>
  <c r="J11" i="3"/>
  <c r="J12" i="3"/>
  <c r="J13" i="3"/>
  <c r="J14" i="3"/>
  <c r="J15" i="3"/>
  <c r="J16" i="3"/>
  <c r="J17" i="3"/>
  <c r="J25" i="3"/>
  <c r="M17" i="3"/>
  <c r="P17" i="3"/>
  <c r="M39" i="3"/>
  <c r="P39" i="3"/>
  <c r="M32" i="3"/>
  <c r="Q32" i="3" s="1"/>
  <c r="R32" i="3" s="1"/>
  <c r="M24" i="3"/>
  <c r="M14" i="3"/>
  <c r="P14" i="3"/>
  <c r="M31" i="3"/>
  <c r="P31" i="3"/>
  <c r="M23" i="3"/>
  <c r="P23" i="3"/>
  <c r="M33" i="3"/>
  <c r="M15" i="3"/>
  <c r="M38" i="3"/>
  <c r="P38" i="3"/>
  <c r="M30" i="3"/>
  <c r="M22" i="3"/>
  <c r="Q22" i="3" s="1"/>
  <c r="R22" i="3" s="1"/>
  <c r="P22" i="3"/>
  <c r="M10" i="3"/>
  <c r="M37" i="3"/>
  <c r="P37" i="3"/>
  <c r="M29" i="3"/>
  <c r="P29" i="3"/>
  <c r="M21" i="3"/>
  <c r="M18" i="3"/>
  <c r="M11" i="3"/>
  <c r="P11" i="3"/>
  <c r="M36" i="3"/>
  <c r="M28" i="3"/>
  <c r="P28" i="3"/>
  <c r="M20" i="3"/>
  <c r="Q20" i="3" s="1"/>
  <c r="R20" i="3" s="1"/>
  <c r="P20" i="3"/>
  <c r="M34" i="3"/>
  <c r="P34" i="3"/>
  <c r="M26" i="3"/>
  <c r="M25" i="3"/>
  <c r="M13" i="3"/>
  <c r="P13" i="3"/>
  <c r="M35" i="3"/>
  <c r="M27" i="3"/>
  <c r="P27" i="3"/>
  <c r="M19" i="3"/>
  <c r="P19" i="3"/>
  <c r="M16" i="3"/>
  <c r="P16" i="3"/>
  <c r="M12" i="3"/>
  <c r="P12" i="3"/>
  <c r="M9" i="3"/>
  <c r="P25" i="3"/>
  <c r="P10" i="3"/>
  <c r="P30" i="3"/>
  <c r="P21" i="3"/>
  <c r="P36" i="3"/>
  <c r="P33" i="3"/>
  <c r="P15" i="3"/>
  <c r="P24" i="3"/>
  <c r="P35" i="3"/>
  <c r="P26" i="3"/>
  <c r="P18" i="3"/>
  <c r="P9" i="3"/>
  <c r="P32" i="3"/>
  <c r="K16" i="5" l="1"/>
  <c r="K32" i="5"/>
  <c r="L32" i="5" s="1"/>
  <c r="E4" i="1"/>
  <c r="K24" i="5"/>
  <c r="L17" i="1" s="1"/>
  <c r="K36" i="5"/>
  <c r="L36" i="5" s="1"/>
  <c r="Q39" i="3"/>
  <c r="R39" i="3" s="1"/>
  <c r="Q23" i="3"/>
  <c r="R23" i="3" s="1"/>
  <c r="E22" i="1"/>
  <c r="G16" i="2"/>
  <c r="J4" i="1"/>
  <c r="K33" i="5"/>
  <c r="L26" i="1" s="1"/>
  <c r="K28" i="5"/>
  <c r="L28" i="5" s="1"/>
  <c r="L9" i="1"/>
  <c r="E13" i="1"/>
  <c r="E31" i="1"/>
  <c r="K23" i="5"/>
  <c r="L23" i="5" s="1"/>
  <c r="K27" i="5"/>
  <c r="L27" i="5" s="1"/>
  <c r="K11" i="5"/>
  <c r="L11" i="5" s="1"/>
  <c r="K15" i="5"/>
  <c r="L15" i="5" s="1"/>
  <c r="K19" i="5"/>
  <c r="L19" i="5" s="1"/>
  <c r="K30" i="5"/>
  <c r="L23" i="1" s="1"/>
  <c r="K38" i="5"/>
  <c r="L38" i="5" s="1"/>
  <c r="K10" i="5"/>
  <c r="L10" i="5" s="1"/>
  <c r="K18" i="5"/>
  <c r="L18" i="5" s="1"/>
  <c r="K21" i="5"/>
  <c r="L21" i="5" s="1"/>
  <c r="K22" i="5"/>
  <c r="L22" i="5" s="1"/>
  <c r="K25" i="5"/>
  <c r="L18" i="1" s="1"/>
  <c r="K20" i="5"/>
  <c r="L20" i="5" s="1"/>
  <c r="Q29" i="3"/>
  <c r="H22" i="1" s="1"/>
  <c r="Q26" i="3"/>
  <c r="R26" i="3" s="1"/>
  <c r="H38" i="4"/>
  <c r="H22" i="4"/>
  <c r="E25" i="1"/>
  <c r="E18" i="1"/>
  <c r="E17" i="1"/>
  <c r="E7" i="1"/>
  <c r="Q15" i="3"/>
  <c r="R15" i="3" s="1"/>
  <c r="Q34" i="3"/>
  <c r="R34" i="3" s="1"/>
  <c r="Q31" i="3"/>
  <c r="R31" i="3" s="1"/>
  <c r="Q13" i="3"/>
  <c r="R13" i="3" s="1"/>
  <c r="Q9" i="3"/>
  <c r="R9" i="3" s="1"/>
  <c r="Q17" i="3"/>
  <c r="R17" i="3" s="1"/>
  <c r="Q28" i="3"/>
  <c r="R28" i="3" s="1"/>
  <c r="Q30" i="3"/>
  <c r="R30" i="3" s="1"/>
  <c r="Q11" i="3"/>
  <c r="R11" i="3" s="1"/>
  <c r="Q38" i="3"/>
  <c r="R38" i="3" s="1"/>
  <c r="Q16" i="3"/>
  <c r="R16" i="3" s="1"/>
  <c r="Q27" i="3"/>
  <c r="R27" i="3" s="1"/>
  <c r="Q35" i="3"/>
  <c r="R35" i="3" s="1"/>
  <c r="Q37" i="3"/>
  <c r="H30" i="1" s="1"/>
  <c r="H34" i="4"/>
  <c r="H18" i="4"/>
  <c r="J7" i="1"/>
  <c r="H26" i="4"/>
  <c r="H10" i="4"/>
  <c r="K29" i="5"/>
  <c r="L29" i="5" s="1"/>
  <c r="K14" i="5"/>
  <c r="L14" i="5" s="1"/>
  <c r="K9" i="5"/>
  <c r="L2" i="1" s="1"/>
  <c r="K13" i="5"/>
  <c r="L6" i="1" s="1"/>
  <c r="K26" i="5"/>
  <c r="L19" i="1" s="1"/>
  <c r="K31" i="5"/>
  <c r="L31" i="5" s="1"/>
  <c r="K35" i="5"/>
  <c r="L35" i="5" s="1"/>
  <c r="K39" i="5"/>
  <c r="L39" i="5" s="1"/>
  <c r="K34" i="5"/>
  <c r="L34" i="5" s="1"/>
  <c r="K37" i="5"/>
  <c r="L30" i="1" s="1"/>
  <c r="E15" i="1"/>
  <c r="K8" i="2"/>
  <c r="L8" i="2" s="1"/>
  <c r="M8" i="2" s="1"/>
  <c r="E16" i="1"/>
  <c r="E19" i="1"/>
  <c r="E11" i="1"/>
  <c r="E6" i="1"/>
  <c r="E3" i="1"/>
  <c r="K16" i="2"/>
  <c r="L16" i="2" s="1"/>
  <c r="M16" i="2" s="1"/>
  <c r="K12" i="5"/>
  <c r="L12" i="5" s="1"/>
  <c r="L17" i="5"/>
  <c r="L25" i="1"/>
  <c r="L16" i="5"/>
  <c r="K33" i="1"/>
  <c r="Q12" i="3"/>
  <c r="R12" i="3" s="1"/>
  <c r="Q36" i="3"/>
  <c r="R36" i="3" s="1"/>
  <c r="Q24" i="3"/>
  <c r="H17" i="1" s="1"/>
  <c r="Q10" i="3"/>
  <c r="R10" i="3" s="1"/>
  <c r="Q14" i="3"/>
  <c r="R14" i="3" s="1"/>
  <c r="Q18" i="3"/>
  <c r="R18" i="3" s="1"/>
  <c r="Q25" i="3"/>
  <c r="H18" i="1" s="1"/>
  <c r="Q19" i="3"/>
  <c r="R19" i="3" s="1"/>
  <c r="Q21" i="3"/>
  <c r="H14" i="1" s="1"/>
  <c r="Q33" i="3"/>
  <c r="R33" i="3" s="1"/>
  <c r="H25" i="1"/>
  <c r="H15" i="1"/>
  <c r="H13" i="1"/>
  <c r="G33" i="1"/>
  <c r="I33" i="1"/>
  <c r="H37" i="4"/>
  <c r="H33" i="4"/>
  <c r="H29" i="4"/>
  <c r="H25" i="4"/>
  <c r="H21" i="4"/>
  <c r="H17" i="4"/>
  <c r="H13" i="4"/>
  <c r="H30" i="4"/>
  <c r="H9" i="4"/>
  <c r="H36" i="4"/>
  <c r="H28" i="4"/>
  <c r="H24" i="4"/>
  <c r="H20" i="4"/>
  <c r="H16" i="4"/>
  <c r="H12" i="4"/>
  <c r="H39" i="4"/>
  <c r="H35" i="4"/>
  <c r="H31" i="4"/>
  <c r="H27" i="4"/>
  <c r="H23" i="4"/>
  <c r="H19" i="4"/>
  <c r="H15" i="4"/>
  <c r="F39" i="2"/>
  <c r="E21" i="1"/>
  <c r="E12" i="1"/>
  <c r="E20" i="1"/>
  <c r="G19" i="2"/>
  <c r="K19" i="2" s="1"/>
  <c r="L19" i="2" s="1"/>
  <c r="E14" i="1"/>
  <c r="G22" i="2"/>
  <c r="K22" i="2" s="1"/>
  <c r="L22" i="2" s="1"/>
  <c r="M22" i="2" s="1"/>
  <c r="G23" i="2"/>
  <c r="K23" i="2" s="1"/>
  <c r="L23" i="2" s="1"/>
  <c r="G24" i="2"/>
  <c r="K24" i="2" s="1"/>
  <c r="L24" i="2" s="1"/>
  <c r="G28" i="2"/>
  <c r="K28" i="2" s="1"/>
  <c r="L28" i="2" s="1"/>
  <c r="E29" i="1"/>
  <c r="K37" i="2"/>
  <c r="L37" i="2" s="1"/>
  <c r="M37" i="2" s="1"/>
  <c r="E32" i="1"/>
  <c r="E30" i="1"/>
  <c r="E23" i="1"/>
  <c r="I39" i="2"/>
  <c r="K11" i="2"/>
  <c r="L11" i="2" s="1"/>
  <c r="M11" i="2" s="1"/>
  <c r="J12" i="2"/>
  <c r="K12" i="2" s="1"/>
  <c r="L12" i="2" s="1"/>
  <c r="M12" i="2" s="1"/>
  <c r="K15" i="2"/>
  <c r="L15" i="2" s="1"/>
  <c r="M15" i="2" s="1"/>
  <c r="K21" i="2"/>
  <c r="L21" i="2" s="1"/>
  <c r="M21" i="2" s="1"/>
  <c r="K25" i="2"/>
  <c r="L25" i="2" s="1"/>
  <c r="M25" i="2" s="1"/>
  <c r="K26" i="2"/>
  <c r="L26" i="2" s="1"/>
  <c r="M26" i="2" s="1"/>
  <c r="K27" i="2"/>
  <c r="L27" i="2" s="1"/>
  <c r="K29" i="2"/>
  <c r="L29" i="2" s="1"/>
  <c r="M29" i="2" s="1"/>
  <c r="K33" i="2"/>
  <c r="L33" i="2" s="1"/>
  <c r="M33" i="2" s="1"/>
  <c r="K9" i="2"/>
  <c r="L9" i="2" s="1"/>
  <c r="M9" i="2" s="1"/>
  <c r="K13" i="2"/>
  <c r="L13" i="2" s="1"/>
  <c r="M13" i="2" s="1"/>
  <c r="K17" i="2"/>
  <c r="L17" i="2" s="1"/>
  <c r="M17" i="2" s="1"/>
  <c r="E5" i="1"/>
  <c r="K10" i="2"/>
  <c r="L10" i="2" s="1"/>
  <c r="M10" i="2" s="1"/>
  <c r="K14" i="2"/>
  <c r="L14" i="2" s="1"/>
  <c r="M14" i="2" s="1"/>
  <c r="K18" i="2"/>
  <c r="L18" i="2" s="1"/>
  <c r="M18" i="2" s="1"/>
  <c r="K20" i="2"/>
  <c r="L20" i="2" s="1"/>
  <c r="K32" i="2"/>
  <c r="L32" i="2" s="1"/>
  <c r="M32" i="2" s="1"/>
  <c r="J35" i="2"/>
  <c r="K35" i="2" s="1"/>
  <c r="L35" i="2" s="1"/>
  <c r="M35" i="2" s="1"/>
  <c r="J38" i="2"/>
  <c r="K38" i="2" s="1"/>
  <c r="L38" i="2" s="1"/>
  <c r="K31" i="2"/>
  <c r="L31" i="2" s="1"/>
  <c r="K30" i="2"/>
  <c r="L30" i="2" s="1"/>
  <c r="M30" i="2" s="1"/>
  <c r="K34" i="2"/>
  <c r="L34" i="2" s="1"/>
  <c r="M34" i="2" s="1"/>
  <c r="K36" i="2"/>
  <c r="L36" i="2" s="1"/>
  <c r="M36" i="2" s="1"/>
  <c r="E2" i="1"/>
  <c r="E8" i="1"/>
  <c r="E9" i="1"/>
  <c r="E28" i="1"/>
  <c r="E24" i="1"/>
  <c r="E27" i="1"/>
  <c r="E26" i="1"/>
  <c r="N33" i="1"/>
  <c r="C40" i="3"/>
  <c r="D40" i="3"/>
  <c r="M33" i="1"/>
  <c r="D40" i="4"/>
  <c r="C10" i="4"/>
  <c r="C10" i="5" s="1"/>
  <c r="C40" i="5" s="1"/>
  <c r="D9" i="5"/>
  <c r="D40" i="5" s="1"/>
  <c r="H27" i="1" l="1"/>
  <c r="H16" i="1"/>
  <c r="L33" i="5"/>
  <c r="H19" i="1"/>
  <c r="F22" i="1"/>
  <c r="L24" i="5"/>
  <c r="H32" i="1"/>
  <c r="H5" i="1"/>
  <c r="L7" i="1"/>
  <c r="L30" i="5"/>
  <c r="L29" i="1"/>
  <c r="L14" i="1"/>
  <c r="L20" i="1"/>
  <c r="L5" i="1"/>
  <c r="L12" i="1"/>
  <c r="L16" i="1"/>
  <c r="L11" i="1"/>
  <c r="L21" i="1"/>
  <c r="H8" i="1"/>
  <c r="R29" i="3"/>
  <c r="R25" i="3"/>
  <c r="L9" i="5"/>
  <c r="L15" i="1"/>
  <c r="L31" i="1"/>
  <c r="L4" i="1"/>
  <c r="F30" i="1"/>
  <c r="F7" i="1"/>
  <c r="F25" i="1"/>
  <c r="L25" i="5"/>
  <c r="L32" i="1"/>
  <c r="L3" i="1"/>
  <c r="L28" i="1"/>
  <c r="L8" i="1"/>
  <c r="L22" i="1"/>
  <c r="L13" i="1"/>
  <c r="L26" i="5"/>
  <c r="F10" i="1"/>
  <c r="F17" i="1"/>
  <c r="M24" i="2"/>
  <c r="F18" i="1"/>
  <c r="F13" i="1"/>
  <c r="M19" i="2"/>
  <c r="F11" i="1"/>
  <c r="F8" i="1"/>
  <c r="I41" i="2"/>
  <c r="F24" i="1"/>
  <c r="H20" i="1"/>
  <c r="H6" i="1"/>
  <c r="H24" i="1"/>
  <c r="H21" i="1"/>
  <c r="R24" i="3"/>
  <c r="H4" i="1"/>
  <c r="H29" i="1"/>
  <c r="H23" i="1"/>
  <c r="H31" i="1"/>
  <c r="H2" i="1"/>
  <c r="H10" i="1"/>
  <c r="H12" i="1"/>
  <c r="H9" i="1"/>
  <c r="H3" i="1"/>
  <c r="H28" i="1"/>
  <c r="R37" i="3"/>
  <c r="L13" i="5"/>
  <c r="L37" i="5"/>
  <c r="L24" i="1"/>
  <c r="L27" i="1"/>
  <c r="F29" i="1"/>
  <c r="F3" i="1"/>
  <c r="F21" i="1"/>
  <c r="F28" i="1"/>
  <c r="F19" i="1"/>
  <c r="F15" i="1"/>
  <c r="F14" i="1"/>
  <c r="F5" i="1"/>
  <c r="F23" i="1"/>
  <c r="F27" i="1"/>
  <c r="R21" i="3"/>
  <c r="H26" i="1"/>
  <c r="H7" i="1"/>
  <c r="H11" i="1"/>
  <c r="H40" i="4"/>
  <c r="M23" i="2"/>
  <c r="F6" i="1"/>
  <c r="F9" i="1"/>
  <c r="F20" i="1"/>
  <c r="F16" i="1"/>
  <c r="M27" i="2"/>
  <c r="M31" i="2"/>
  <c r="M20" i="2"/>
  <c r="F31" i="1"/>
  <c r="F12" i="1"/>
  <c r="L39" i="2"/>
  <c r="M38" i="2"/>
  <c r="F32" i="1"/>
  <c r="F4" i="1"/>
  <c r="M28" i="2"/>
  <c r="E33" i="1"/>
  <c r="F26" i="1"/>
  <c r="F2" i="1"/>
  <c r="C40" i="4"/>
  <c r="R40" i="3" l="1"/>
  <c r="L33" i="1"/>
  <c r="L40" i="5"/>
  <c r="H33" i="1"/>
  <c r="M39" i="2"/>
  <c r="F33" i="1"/>
</calcChain>
</file>

<file path=xl/sharedStrings.xml><?xml version="1.0" encoding="utf-8"?>
<sst xmlns="http://schemas.openxmlformats.org/spreadsheetml/2006/main" count="116" uniqueCount="60">
  <si>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</si>
  <si>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</si>
  <si>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</si>
  <si>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</si>
  <si>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</si>
  <si>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</si>
  <si>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</si>
  <si>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</si>
  <si>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</si>
  <si>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</si>
  <si>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</si>
  <si>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</si>
  <si>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</si>
  <si>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</si>
  <si>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at Sayan</t>
  </si>
  <si>
    <t xml:space="preserve">Daily Electricity Consumption </t>
  </si>
  <si>
    <t>Engineering Department</t>
  </si>
  <si>
    <t>Date</t>
  </si>
  <si>
    <t>Room Nights</t>
  </si>
  <si>
    <t>BASED LOAD  (from 10 pm - 6 pm)</t>
  </si>
  <si>
    <t>PEAK LOAD (from 6 pm - 10 pm)</t>
  </si>
  <si>
    <t>Sub-Total Cost    (Based + Peak cost)</t>
  </si>
  <si>
    <t xml:space="preserve">TOTAL COST include 10% TAX  (sub total cost X 1.1) </t>
  </si>
  <si>
    <t>USD</t>
  </si>
  <si>
    <t>Used (reading)</t>
  </si>
  <si>
    <t>kWh (Used x2000)</t>
  </si>
  <si>
    <t>IDR Cost (kWh x IDR 1035.5)</t>
  </si>
  <si>
    <t>Cost  (kWh x IDR 1553.25)</t>
  </si>
  <si>
    <t>Total KWh</t>
  </si>
  <si>
    <t xml:space="preserve">Daily Gas Consumption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</si>
  <si>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</si>
  <si>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</si>
  <si>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</si>
  <si>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</si>
  <si>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</si>
  <si>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</si>
  <si>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METER READING</t>
  </si>
  <si>
    <t>Used (kg)</t>
  </si>
  <si>
    <t xml:space="preserve">IDR Cost kg x rate IDR </t>
  </si>
  <si>
    <t>METER READING (tube installed)</t>
  </si>
  <si>
    <t xml:space="preserve">IDR Cost m3 x rate IDR </t>
  </si>
  <si>
    <t>Tube installed</t>
  </si>
  <si>
    <t>IDR</t>
  </si>
  <si>
    <t>Closure</t>
  </si>
  <si>
    <t>Total kg</t>
  </si>
  <si>
    <t xml:space="preserve">Daily Fuel Consumption </t>
  </si>
  <si>
    <t>,</t>
  </si>
  <si>
    <t xml:space="preserve">Diesel </t>
  </si>
  <si>
    <t>Used (ltrs)</t>
  </si>
  <si>
    <t xml:space="preserve">Daily Water Consumption </t>
  </si>
  <si>
    <t>RN</t>
  </si>
  <si>
    <t>MUNICIPAL WATER</t>
  </si>
  <si>
    <t>DEEP WELL</t>
  </si>
  <si>
    <t>Total Cost    (Municipal + DW1 + DW2 cost)</t>
  </si>
  <si>
    <t>USD (Total Cost / exchange rate IDR)</t>
  </si>
  <si>
    <t>Used</t>
  </si>
  <si>
    <t>Water Cost (M3 x IDR 13,582)</t>
  </si>
  <si>
    <t>DW 1 Cost  (M3 x IDR 4,000)</t>
  </si>
  <si>
    <t>DW 2 Cost  (M3 x IDR 4,000)</t>
  </si>
  <si>
    <t>TOTAL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</si>
</sst>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_(* #,##0_);_(* \(#,##0\);_(* &quot;-&quot;??_);_(@_)"/>
    <numFmt numFmtId="168" formatCode="[$$-409]#,##0.00"/>
    <numFmt numFmtId="169" formatCode="[$IDR]\ #,##0_);\([$IDR]\ #,##0\)"/>
    <numFmt numFmtId="170" formatCode="_(* #,##0.00_);_(* \(#,##0.00\);_(* &quot;-&quot;_);_(@_)"/>
    <numFmt numFmtId="171" formatCode="&quot;$&quot;#,##0.00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0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3" borderId="0" xfId="0" applyFill="1"/>
    <xf numFmtId="0" fontId="0" fillId="2" borderId="0" xfId="0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0" fillId="2" borderId="1" xfId="0" applyFont="1" applyFill="1" applyBorder="1" applyAlignment="1">
      <alignment horizontal="center" vertical="center" shrinkToFit="1"/>
    </xf>
    <xf numFmtId="167" fontId="1" fillId="0" borderId="1" xfId="4" applyNumberFormat="1" applyFont="1" applyBorder="1"/>
    <xf numFmtId="166" fontId="11" fillId="0" borderId="1" xfId="1" applyFont="1" applyFill="1" applyBorder="1" applyAlignment="1">
      <alignment horizontal="center" shrinkToFit="1"/>
    </xf>
    <xf numFmtId="167" fontId="11" fillId="0" borderId="1" xfId="1" applyNumberFormat="1" applyFont="1" applyFill="1" applyBorder="1" applyAlignment="1">
      <alignment horizontal="center" shrinkToFit="1"/>
    </xf>
    <xf numFmtId="166" fontId="10" fillId="0" borderId="1" xfId="1" applyFont="1" applyFill="1" applyBorder="1" applyAlignment="1">
      <alignment horizontal="center" shrinkToFit="1"/>
    </xf>
    <xf numFmtId="166" fontId="10" fillId="0" borderId="1" xfId="0" applyNumberFormat="1" applyFont="1" applyBorder="1" applyAlignment="1">
      <alignment shrinkToFit="1"/>
    </xf>
    <xf numFmtId="168" fontId="0" fillId="0" borderId="1" xfId="0" applyNumberFormat="1" applyBorder="1"/>
    <xf numFmtId="168" fontId="0" fillId="0" borderId="3" xfId="0" applyNumberFormat="1" applyBorder="1"/>
    <xf numFmtId="164" fontId="9" fillId="0" borderId="0" xfId="2" applyFont="1" applyFill="1" applyBorder="1" applyAlignment="1">
      <alignment shrinkToFit="1"/>
    </xf>
    <xf numFmtId="0" fontId="0" fillId="0" borderId="0" xfId="0" applyAlignment="1">
      <alignment horizontal="center"/>
    </xf>
    <xf numFmtId="169" fontId="9" fillId="0" borderId="0" xfId="2" applyNumberFormat="1" applyFont="1" applyFill="1" applyBorder="1" applyAlignment="1">
      <alignment shrinkToFit="1"/>
    </xf>
    <xf numFmtId="168" fontId="12" fillId="0" borderId="0" xfId="2" applyNumberFormat="1" applyFont="1" applyFill="1" applyBorder="1" applyAlignment="1">
      <alignment shrinkToFit="1"/>
    </xf>
    <xf numFmtId="168" fontId="0" fillId="0" borderId="0" xfId="0" applyNumberFormat="1"/>
    <xf numFmtId="165" fontId="0" fillId="0" borderId="0" xfId="3" applyFont="1"/>
    <xf numFmtId="41" fontId="0" fillId="0" borderId="0" xfId="0" applyNumberFormat="1"/>
    <xf numFmtId="44" fontId="0" fillId="0" borderId="0" xfId="0" applyNumberFormat="1"/>
    <xf numFmtId="43" fontId="0" fillId="0" borderId="0" xfId="0" applyNumberFormat="1"/>
    <xf numFmtId="0" fontId="11" fillId="0" borderId="0" xfId="0" applyFont="1" applyAlignment="1">
      <alignment horizontal="center" shrinkToFit="1"/>
    </xf>
    <xf numFmtId="166" fontId="10" fillId="0" borderId="0" xfId="1" applyFont="1" applyFill="1" applyBorder="1" applyAlignment="1">
      <alignment horizontal="center" shrinkToFit="1"/>
    </xf>
    <xf numFmtId="167" fontId="10" fillId="0" borderId="0" xfId="1" applyNumberFormat="1" applyFont="1" applyFill="1" applyBorder="1" applyAlignment="1">
      <alignment horizontal="center" shrinkToFit="1"/>
    </xf>
    <xf numFmtId="166" fontId="10" fillId="0" borderId="0" xfId="1" applyFont="1" applyFill="1" applyBorder="1" applyAlignment="1">
      <alignment horizontal="center" vertical="center" shrinkToFit="1"/>
    </xf>
    <xf numFmtId="0" fontId="9" fillId="4" borderId="1" xfId="0" applyFont="1" applyFill="1" applyBorder="1" applyAlignment="1">
      <alignment horizontal="center" vertical="center" wrapText="1"/>
    </xf>
    <xf numFmtId="3" fontId="9" fillId="4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 shrinkToFit="1"/>
    </xf>
    <xf numFmtId="167" fontId="10" fillId="0" borderId="1" xfId="1" applyNumberFormat="1" applyFont="1" applyFill="1" applyBorder="1" applyAlignment="1">
      <alignment horizontal="center" shrinkToFit="1"/>
    </xf>
    <xf numFmtId="43" fontId="11" fillId="0" borderId="1" xfId="1" applyNumberFormat="1" applyFont="1" applyFill="1" applyBorder="1" applyAlignment="1">
      <alignment horizontal="center" shrinkToFit="1"/>
    </xf>
    <xf numFmtId="164" fontId="11" fillId="0" borderId="1" xfId="2" applyFont="1" applyFill="1" applyBorder="1" applyAlignment="1">
      <alignment horizontal="center" vertical="center" shrinkToFit="1"/>
    </xf>
    <xf numFmtId="44" fontId="11" fillId="0" borderId="1" xfId="1" applyNumberFormat="1" applyFont="1" applyFill="1" applyBorder="1" applyAlignment="1">
      <alignment horizontal="center" shrinkToFit="1"/>
    </xf>
    <xf numFmtId="164" fontId="9" fillId="0" borderId="0" xfId="2" applyFont="1" applyFill="1" applyBorder="1" applyAlignment="1">
      <alignment horizontal="center" shrinkToFit="1"/>
    </xf>
    <xf numFmtId="2" fontId="11" fillId="0" borderId="0" xfId="0" applyNumberFormat="1" applyFont="1" applyAlignment="1">
      <alignment horizontal="center" shrinkToFit="1"/>
    </xf>
    <xf numFmtId="166" fontId="11" fillId="0" borderId="0" xfId="1" applyFont="1" applyFill="1" applyBorder="1" applyAlignment="1">
      <alignment horizontal="center" shrinkToFit="1"/>
    </xf>
    <xf numFmtId="167" fontId="11" fillId="0" borderId="0" xfId="1" applyNumberFormat="1" applyFont="1" applyFill="1" applyBorder="1" applyAlignment="1">
      <alignment horizontal="center" shrinkToFit="1"/>
    </xf>
    <xf numFmtId="0" fontId="7" fillId="0" borderId="0" xfId="0" applyFont="1"/>
    <xf numFmtId="41" fontId="0" fillId="0" borderId="0" xfId="0" applyNumberFormat="1" applyAlignment="1">
      <alignment horizontal="center"/>
    </xf>
    <xf numFmtId="0" fontId="7" fillId="0" borderId="0" xfId="0" applyFont="1" applyAlignment="1">
      <alignment vertical="center"/>
    </xf>
    <xf numFmtId="167" fontId="7" fillId="0" borderId="0" xfId="1" applyNumberFormat="1" applyFont="1" applyAlignment="1">
      <alignment vertical="center"/>
    </xf>
    <xf numFmtId="43" fontId="0" fillId="0" borderId="0" xfId="0" applyNumberFormat="1" applyAlignment="1">
      <alignment horizontal="center"/>
    </xf>
    <xf numFmtId="167" fontId="0" fillId="0" borderId="0" xfId="1" applyNumberFormat="1" applyFont="1" applyAlignment="1">
      <alignment horizontal="center"/>
    </xf>
    <xf numFmtId="167" fontId="10" fillId="0" borderId="0" xfId="1" applyNumberFormat="1" applyFont="1" applyFill="1" applyBorder="1" applyAlignment="1">
      <alignment horizontal="center" vertical="center" shrinkToFit="1"/>
    </xf>
    <xf numFmtId="166" fontId="7" fillId="2" borderId="0" xfId="1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6" fontId="9" fillId="4" borderId="1" xfId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vertical="center" wrapText="1"/>
    </xf>
    <xf numFmtId="0" fontId="0" fillId="0" borderId="1" xfId="0" applyBorder="1"/>
    <xf numFmtId="0" fontId="13" fillId="0" borderId="1" xfId="0" applyFont="1" applyBorder="1"/>
    <xf numFmtId="166" fontId="13" fillId="0" borderId="1" xfId="1" applyFont="1" applyBorder="1"/>
    <xf numFmtId="0" fontId="14" fillId="0" borderId="1" xfId="0" applyFont="1" applyBorder="1"/>
    <xf numFmtId="171" fontId="9" fillId="0" borderId="0" xfId="2" applyNumberFormat="1" applyFont="1" applyFill="1" applyBorder="1" applyAlignment="1">
      <alignment shrinkToFit="1"/>
    </xf>
    <xf numFmtId="166" fontId="9" fillId="0" borderId="0" xfId="1" applyFont="1" applyFill="1" applyBorder="1" applyAlignment="1">
      <alignment shrinkToFit="1"/>
    </xf>
    <xf numFmtId="166" fontId="7" fillId="0" borderId="0" xfId="1" applyFont="1" applyAlignment="1">
      <alignment vertical="center"/>
    </xf>
    <xf numFmtId="166" fontId="0" fillId="0" borderId="0" xfId="1" applyFont="1" applyAlignment="1">
      <alignment horizontal="center" vertical="center"/>
    </xf>
    <xf numFmtId="171" fontId="0" fillId="0" borderId="1" xfId="0" applyNumberFormat="1" applyBorder="1"/>
    <xf numFmtId="167" fontId="9" fillId="0" borderId="0" xfId="1" applyNumberFormat="1" applyFont="1" applyAlignment="1">
      <alignment horizontal="center"/>
    </xf>
    <xf numFmtId="0" fontId="7" fillId="0" borderId="0" xfId="0" applyFont="1" applyAlignment="1">
      <alignment horizontal="left" vertical="center"/>
    </xf>
    <xf numFmtId="170" fontId="11" fillId="3" borderId="6" xfId="2" applyNumberFormat="1" applyFont="1" applyFill="1" applyBorder="1" applyAlignment="1">
      <alignment horizontal="center" vertical="center" shrinkToFit="1"/>
    </xf>
    <xf numFmtId="170" fontId="11" fillId="3" borderId="1" xfId="0" applyNumberFormat="1" applyFont="1" applyFill="1" applyBorder="1" applyAlignment="1">
      <alignment horizontal="center" shrinkToFit="1"/>
    </xf>
    <xf numFmtId="0" fontId="11" fillId="0" borderId="1" xfId="0" applyFont="1" applyBorder="1" applyAlignment="1">
      <alignment horizontal="center" vertical="center" shrinkToFit="1"/>
    </xf>
    <xf numFmtId="2" fontId="11" fillId="0" borderId="1" xfId="0" applyNumberFormat="1" applyFont="1" applyBorder="1" applyAlignment="1">
      <alignment horizontal="center" vertical="center" shrinkToFit="1"/>
    </xf>
    <xf numFmtId="1" fontId="0" fillId="0" borderId="0" xfId="0" applyNumberFormat="1"/>
    <xf numFmtId="7" fontId="11" fillId="0" borderId="1" xfId="1" applyNumberFormat="1" applyFont="1" applyFill="1" applyBorder="1" applyAlignment="1">
      <alignment horizontal="center" shrinkToFit="1"/>
    </xf>
    <xf numFmtId="171" fontId="8" fillId="0" borderId="0" xfId="2" applyNumberFormat="1" applyFont="1" applyFill="1" applyBorder="1" applyAlignment="1">
      <alignment shrinkToFit="1"/>
    </xf>
    <xf numFmtId="0" fontId="15" fillId="0" borderId="0" xfId="0" applyFont="1" applyAlignment="1">
      <alignment horizontal="right"/>
    </xf>
    <xf numFmtId="0" fontId="15" fillId="0" borderId="0" xfId="0" applyFont="1" applyAlignment="1">
      <alignment horizontal="center"/>
    </xf>
    <xf numFmtId="41" fontId="15" fillId="0" borderId="0" xfId="0" applyNumberFormat="1" applyFont="1"/>
    <xf numFmtId="41" fontId="15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167" fontId="16" fillId="0" borderId="0" xfId="1" applyNumberFormat="1" applyFont="1" applyFill="1" applyBorder="1" applyAlignment="1">
      <alignment horizontal="center" shrinkToFit="1"/>
    </xf>
    <xf numFmtId="44" fontId="8" fillId="0" borderId="0" xfId="2" applyNumberFormat="1" applyFont="1" applyFill="1" applyBorder="1" applyAlignment="1">
      <alignment shrinkToFit="1"/>
    </xf>
    <xf numFmtId="0" fontId="0" fillId="0" borderId="0" xfId="1" applyNumberFormat="1" applyFont="1"/>
    <xf numFmtId="43" fontId="11" fillId="0" borderId="7" xfId="1" applyNumberFormat="1" applyFont="1" applyFill="1" applyBorder="1" applyAlignment="1">
      <alignment horizontal="center" shrinkToFit="1"/>
    </xf>
    <xf numFmtId="167" fontId="11" fillId="0" borderId="8" xfId="1" applyNumberFormat="1" applyFont="1" applyFill="1" applyBorder="1" applyAlignment="1">
      <alignment horizontal="center" shrinkToFit="1"/>
    </xf>
    <xf numFmtId="0" fontId="9" fillId="4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17" fontId="8" fillId="2" borderId="0" xfId="0" applyNumberFormat="1" applyFont="1" applyFill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7" fontId="8" fillId="2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166" fontId="9" fillId="4" borderId="1" xfId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</cellXfs>
  <cellStyles count="5">
    <cellStyle name="Comma" xfId="1" builtinId="3"/>
    <cellStyle name="Comma [0]" xfId="2" builtinId="6"/>
    <cellStyle name="Comma 4" xfId="4" xr:uid="{00000000-0005-0000-0000-000002000000}"/>
    <cellStyle name="Currency" xfId="3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7764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workbookViewId="0">
      <pane xSplit="1" ySplit="1" topLeftCell="B2" activePane="bottomRight" state="frozen"/>
      <selection pane="bottomRight" activeCell="D9" sqref="D9"/>
      <selection pane="bottomLeft" activeCell="A2" sqref="A2"/>
      <selection pane="topRight" activeCell="B1" sqref="B1"/>
    </sheetView>
  </sheetViews>
  <sheetFormatPr defaultRowHeight="15"/>
  <cols>
    <col min="1" max="1" width="12.7109375" bestFit="1" customWidth="1"/>
    <col min="2" max="2" width="4.28515625" bestFit="1" customWidth="1"/>
    <col min="3" max="3" width="7" bestFit="1" customWidth="1"/>
    <col min="4" max="4" width="5" bestFit="1" customWidth="1"/>
    <col min="5" max="5" width="10.7109375" customWidth="1"/>
    <col min="6" max="6" width="12.140625" customWidth="1"/>
    <col min="7" max="7" width="8.42578125" bestFit="1" customWidth="1"/>
    <col min="8" max="8" width="11.5703125" bestFit="1" customWidth="1"/>
    <col min="11" max="11" width="10.85546875" customWidth="1"/>
    <col min="12" max="12" width="11.28515625" customWidth="1"/>
    <col min="13" max="13" width="6.7109375" bestFit="1" customWidth="1"/>
    <col min="14" max="14" width="7" bestFit="1" customWidth="1"/>
  </cols>
  <sheetData>
    <row r="1" spans="1:14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>
      <c r="A2" s="6" t="s">
        <v>14</v>
      </c>
      <c r="B2" s="7">
        <v>1</v>
      </c>
      <c r="C2" s="8">
        <v>1</v>
      </c>
      <c r="D2" s="7">
        <v>2019</v>
      </c>
      <c r="E2" s="9">
        <f>Electricity!F8+Electricity!I8</f>
        <v>11359.999999999673</v>
      </c>
      <c r="F2" s="10">
        <f>Electricity!L8/TOTAL!E2</f>
        <v>1237.3131161971878</v>
      </c>
      <c r="G2" s="9">
        <f>Gas!F9+Gas!I9+Gas!L9+Gas!O9</f>
        <v>121.86430634573304</v>
      </c>
      <c r="H2" s="10">
        <f>Gas!Q9/TOTAL!G2</f>
        <v>15840.000000000004</v>
      </c>
      <c r="I2" s="9">
        <f>'Fuel Diesel'!F9</f>
        <v>0</v>
      </c>
      <c r="J2" s="11" t="e">
        <f>'Fuel Diesel'!G9/'Fuel Diesel'!F9</f>
        <v>#DIV/0!</v>
      </c>
      <c r="K2" s="9">
        <f>Water!E9+Water!G9+Water!I9</f>
        <v>273</v>
      </c>
      <c r="L2" s="10">
        <f>Water!K9/TOTAL!K2</f>
        <v>6456.9230769230771</v>
      </c>
      <c r="M2" s="9">
        <f>Electricity!C8</f>
        <v>36</v>
      </c>
      <c r="N2" s="9">
        <f>Electricity!D8</f>
        <v>198</v>
      </c>
    </row>
    <row r="3" spans="1:14">
      <c r="A3" s="6" t="s">
        <v>14</v>
      </c>
      <c r="B3" s="7">
        <f>B2+1</f>
        <v>2</v>
      </c>
      <c r="C3" s="8">
        <v>1</v>
      </c>
      <c r="D3" s="7">
        <v>2019</v>
      </c>
      <c r="E3" s="9">
        <f>Electricity!F9+Electricity!I9</f>
        <v>10839.999999999236</v>
      </c>
      <c r="F3" s="10">
        <f>Electricity!L9/TOTAL!E3</f>
        <v>1246.2299815498213</v>
      </c>
      <c r="G3" s="9">
        <f>Gas!F10+Gas!I10+Gas!L10+Gas!O10</f>
        <v>110.04811378555797</v>
      </c>
      <c r="H3" s="10">
        <f>Gas!Q10/TOTAL!G3</f>
        <v>15840.000000000002</v>
      </c>
      <c r="I3" s="9">
        <f>'Fuel Diesel'!F10</f>
        <v>230</v>
      </c>
      <c r="J3" s="11">
        <f>'Fuel Diesel'!G10/'Fuel Diesel'!F10</f>
        <v>10700</v>
      </c>
      <c r="K3" s="9">
        <f>Water!E10+Water!G10+Water!I10</f>
        <v>325</v>
      </c>
      <c r="L3" s="10">
        <f>Water!K10/TOTAL!K3</f>
        <v>6122.7815384615387</v>
      </c>
      <c r="M3" s="9">
        <f>Electricity!C9</f>
        <v>42</v>
      </c>
      <c r="N3" s="9">
        <f>Electricity!D9</f>
        <v>178</v>
      </c>
    </row>
    <row r="4" spans="1:14">
      <c r="A4" s="6" t="s">
        <v>14</v>
      </c>
      <c r="B4" s="7">
        <f t="shared" ref="B4:B30" si="0">B3+1</f>
        <v>3</v>
      </c>
      <c r="C4" s="8">
        <v>1</v>
      </c>
      <c r="D4" s="7">
        <v>2019</v>
      </c>
      <c r="E4" s="9">
        <f>Electricity!F10+Electricity!I10</f>
        <v>10960.000000000036</v>
      </c>
      <c r="F4" s="10">
        <f>Electricity!L10/TOTAL!E4</f>
        <v>1240.8993613138703</v>
      </c>
      <c r="G4" s="9">
        <f>Gas!F11+Gas!I11+Gas!L11+Gas!O11</f>
        <v>113.00216192560174</v>
      </c>
      <c r="H4" s="10">
        <f>Gas!Q11/TOTAL!G4</f>
        <v>15840</v>
      </c>
      <c r="I4" s="9">
        <f>'Fuel Diesel'!F11</f>
        <v>0</v>
      </c>
      <c r="J4" s="11" t="e">
        <f>'Fuel Diesel'!G11/'Fuel Diesel'!F11</f>
        <v>#DIV/0!</v>
      </c>
      <c r="K4" s="9">
        <f>Water!E11+Water!G11+Water!I11</f>
        <v>315</v>
      </c>
      <c r="L4" s="10">
        <f>Water!K11/TOTAL!K4</f>
        <v>6311.8476190476194</v>
      </c>
      <c r="M4" s="9">
        <f>Electricity!C10</f>
        <v>41</v>
      </c>
      <c r="N4" s="9">
        <f>Electricity!D10</f>
        <v>183</v>
      </c>
    </row>
    <row r="5" spans="1:14">
      <c r="A5" s="6" t="s">
        <v>14</v>
      </c>
      <c r="B5" s="7">
        <f t="shared" si="0"/>
        <v>4</v>
      </c>
      <c r="C5" s="8">
        <v>1</v>
      </c>
      <c r="D5" s="7">
        <v>2019</v>
      </c>
      <c r="E5" s="9">
        <f>Electricity!F11+Electricity!I11</f>
        <v>10799.999999999272</v>
      </c>
      <c r="F5" s="10">
        <f>Electricity!L11/TOTAL!E5</f>
        <v>1244.5175925925998</v>
      </c>
      <c r="G5" s="9">
        <f>Gas!F12+Gas!I12+Gas!L12+Gas!O12</f>
        <v>124.22754485776802</v>
      </c>
      <c r="H5" s="10">
        <f>Gas!Q12/TOTAL!G5</f>
        <v>15840</v>
      </c>
      <c r="I5" s="9">
        <f>'Fuel Diesel'!F12</f>
        <v>0</v>
      </c>
      <c r="J5" s="11" t="e">
        <f>'Fuel Diesel'!G12/'Fuel Diesel'!F12</f>
        <v>#DIV/0!</v>
      </c>
      <c r="K5" s="9">
        <f>Water!E12+Water!G12+Water!I12</f>
        <v>307</v>
      </c>
      <c r="L5" s="10">
        <f>Water!K12/TOTAL!K5</f>
        <v>6059.9739413680782</v>
      </c>
      <c r="M5" s="9">
        <f>Electricity!C11</f>
        <v>36</v>
      </c>
      <c r="N5" s="9">
        <f>Electricity!D11</f>
        <v>202</v>
      </c>
    </row>
    <row r="6" spans="1:14">
      <c r="A6" s="6" t="s">
        <v>14</v>
      </c>
      <c r="B6" s="7">
        <f t="shared" si="0"/>
        <v>5</v>
      </c>
      <c r="C6" s="8">
        <v>1</v>
      </c>
      <c r="D6" s="7">
        <v>2019</v>
      </c>
      <c r="E6" s="9">
        <f>Electricity!F12+Electricity!I12</f>
        <v>10960.000000000036</v>
      </c>
      <c r="F6" s="10">
        <f>Electricity!L12/TOTAL!E6</f>
        <v>1240.8993613138703</v>
      </c>
      <c r="G6" s="9">
        <f>Gas!F13+Gas!I13+Gas!L13+Gas!O13</f>
        <v>101.18596936542669</v>
      </c>
      <c r="H6" s="10">
        <f>Gas!Q13/TOTAL!G6</f>
        <v>15840.000000000002</v>
      </c>
      <c r="I6" s="9">
        <f>'Fuel Diesel'!F13</f>
        <v>0</v>
      </c>
      <c r="J6" s="11" t="e">
        <f>'Fuel Diesel'!G13/'Fuel Diesel'!F13</f>
        <v>#DIV/0!</v>
      </c>
      <c r="K6" s="9">
        <f>Water!E13+Water!G13+Water!I13</f>
        <v>294</v>
      </c>
      <c r="L6" s="10">
        <f>Water!K13/TOTAL!K6</f>
        <v>5368.8571428571431</v>
      </c>
      <c r="M6" s="9">
        <f>Electricity!C12</f>
        <v>38</v>
      </c>
      <c r="N6" s="9">
        <f>Electricity!D12</f>
        <v>163</v>
      </c>
    </row>
    <row r="7" spans="1:14">
      <c r="A7" s="6" t="s">
        <v>14</v>
      </c>
      <c r="B7" s="7">
        <f t="shared" si="0"/>
        <v>6</v>
      </c>
      <c r="C7" s="8">
        <v>1</v>
      </c>
      <c r="D7" s="7">
        <v>2019</v>
      </c>
      <c r="E7" s="9">
        <f>Electricity!F13+Electricity!I13</f>
        <v>10799.999999999272</v>
      </c>
      <c r="F7" s="10">
        <f>Electricity!L13/TOTAL!E7</f>
        <v>1244.5175925925998</v>
      </c>
      <c r="G7" s="9">
        <f>Gas!F14+Gas!I14+Gas!L14+Gas!O14</f>
        <v>106.50325601750546</v>
      </c>
      <c r="H7" s="10">
        <f>Gas!Q14/TOTAL!G7</f>
        <v>15839.999999999998</v>
      </c>
      <c r="I7" s="9">
        <f>'Fuel Diesel'!F14</f>
        <v>0</v>
      </c>
      <c r="J7" s="11" t="e">
        <f>'Fuel Diesel'!G14/'Fuel Diesel'!F14</f>
        <v>#DIV/0!</v>
      </c>
      <c r="K7" s="9">
        <f>Water!E14+Water!G14+Water!I14</f>
        <v>356</v>
      </c>
      <c r="L7" s="10">
        <f>Water!K14/TOTAL!K7</f>
        <v>5614.9438202247193</v>
      </c>
      <c r="M7" s="9">
        <f>Electricity!C13</f>
        <v>26</v>
      </c>
      <c r="N7" s="9">
        <f>Electricity!D13</f>
        <v>172</v>
      </c>
    </row>
    <row r="8" spans="1:14">
      <c r="A8" s="6" t="s">
        <v>14</v>
      </c>
      <c r="B8" s="7">
        <f t="shared" si="0"/>
        <v>7</v>
      </c>
      <c r="C8" s="8">
        <v>1</v>
      </c>
      <c r="D8" s="7">
        <v>2019</v>
      </c>
      <c r="E8" s="9">
        <f>Electricity!F14+Electricity!I14</f>
        <v>10719.999999999345</v>
      </c>
      <c r="F8" s="10">
        <f>Electricity!L14/TOTAL!E8</f>
        <v>1241.0544776119507</v>
      </c>
      <c r="G8" s="9">
        <f>Gas!F15+Gas!I15+Gas!L15+Gas!O15</f>
        <v>76.962774617067836</v>
      </c>
      <c r="H8" s="10">
        <f>Gas!Q15/TOTAL!G8</f>
        <v>15840.000000000002</v>
      </c>
      <c r="I8" s="9">
        <f>'Fuel Diesel'!F15</f>
        <v>0</v>
      </c>
      <c r="J8" s="11" t="e">
        <f>'Fuel Diesel'!G15/'Fuel Diesel'!F15</f>
        <v>#DIV/0!</v>
      </c>
      <c r="K8" s="9">
        <f>Water!E15+Water!G15+Water!I15</f>
        <v>314</v>
      </c>
      <c r="L8" s="10">
        <f>Water!K15/TOTAL!K8</f>
        <v>5678.375796178344</v>
      </c>
      <c r="M8" s="9">
        <f>Electricity!C14</f>
        <v>21</v>
      </c>
      <c r="N8" s="9">
        <f>Electricity!D14</f>
        <v>122</v>
      </c>
    </row>
    <row r="9" spans="1:14">
      <c r="A9" s="6" t="s">
        <v>14</v>
      </c>
      <c r="B9" s="7">
        <f t="shared" si="0"/>
        <v>8</v>
      </c>
      <c r="C9" s="8">
        <v>1</v>
      </c>
      <c r="D9" s="7">
        <v>2019</v>
      </c>
      <c r="E9" s="9">
        <f>Electricity!F15+Electricity!I15</f>
        <v>10839.999999999236</v>
      </c>
      <c r="F9" s="10">
        <f>Electricity!L15/TOTAL!E9</f>
        <v>1246.2299815498213</v>
      </c>
      <c r="G9" s="9">
        <f>Gas!F16+Gas!I16+Gas!L16+Gas!O16</f>
        <v>72.236297592997815</v>
      </c>
      <c r="H9" s="10">
        <f>Gas!Q16/TOTAL!G9</f>
        <v>15840</v>
      </c>
      <c r="I9" s="9">
        <f>'Fuel Diesel'!F16</f>
        <v>0</v>
      </c>
      <c r="J9" s="11" t="e">
        <f>'Fuel Diesel'!G16/'Fuel Diesel'!F16</f>
        <v>#DIV/0!</v>
      </c>
      <c r="K9" s="9">
        <f>Water!E16+Water!G16+Water!I16</f>
        <v>227</v>
      </c>
      <c r="L9" s="10">
        <f>Water!K16/TOTAL!K9</f>
        <v>6448.2643171806167</v>
      </c>
      <c r="M9" s="9">
        <f>Electricity!C15</f>
        <v>21</v>
      </c>
      <c r="N9" s="9">
        <f>Electricity!D15</f>
        <v>114</v>
      </c>
    </row>
    <row r="10" spans="1:14">
      <c r="A10" s="6" t="s">
        <v>14</v>
      </c>
      <c r="B10" s="7">
        <f t="shared" si="0"/>
        <v>9</v>
      </c>
      <c r="C10" s="8">
        <v>1</v>
      </c>
      <c r="D10" s="7">
        <v>2019</v>
      </c>
      <c r="E10" s="9">
        <f>Electricity!F16+Electricity!I16</f>
        <v>10859.999999999218</v>
      </c>
      <c r="F10" s="10">
        <f>Electricity!L16/TOTAL!E10</f>
        <v>1247.0814456721967</v>
      </c>
      <c r="G10" s="9">
        <f>Gas!F17+Gas!I17+Gas!L17+Gas!O17</f>
        <v>62.192533916849015</v>
      </c>
      <c r="H10" s="10">
        <f>Gas!Q17/TOTAL!G10</f>
        <v>15839.999999999998</v>
      </c>
      <c r="I10" s="9">
        <f>'Fuel Diesel'!F17</f>
        <v>50</v>
      </c>
      <c r="J10" s="11">
        <f>'Fuel Diesel'!G17/'Fuel Diesel'!F17</f>
        <v>10700</v>
      </c>
      <c r="K10" s="9">
        <f>Water!E17+Water!G17+Water!I17</f>
        <v>262</v>
      </c>
      <c r="L10" s="10">
        <f>Water!K17/TOTAL!K10</f>
        <v>6121.2061068702287</v>
      </c>
      <c r="M10" s="9">
        <f>Electricity!C16</f>
        <v>25</v>
      </c>
      <c r="N10" s="9">
        <f>Electricity!D16</f>
        <v>97</v>
      </c>
    </row>
    <row r="11" spans="1:14">
      <c r="A11" s="6" t="s">
        <v>14</v>
      </c>
      <c r="B11" s="7">
        <f t="shared" si="0"/>
        <v>10</v>
      </c>
      <c r="C11" s="8">
        <v>1</v>
      </c>
      <c r="D11" s="7">
        <v>2019</v>
      </c>
      <c r="E11" s="9">
        <f>Electricity!F17+Electricity!I17</f>
        <v>10739.999999999327</v>
      </c>
      <c r="F11" s="10">
        <f>Electricity!L17/TOTAL!E11</f>
        <v>1241.9250931098793</v>
      </c>
      <c r="G11" s="9">
        <f>Gas!F18+Gas!I18+Gas!L18+Gas!O18</f>
        <v>83.461680525164113</v>
      </c>
      <c r="H11" s="10">
        <f>Gas!Q18/TOTAL!G11</f>
        <v>15839.999999999998</v>
      </c>
      <c r="I11" s="9">
        <f>'Fuel Diesel'!F18</f>
        <v>0</v>
      </c>
      <c r="J11" s="11" t="e">
        <f>'Fuel Diesel'!G18/'Fuel Diesel'!F18</f>
        <v>#DIV/0!</v>
      </c>
      <c r="K11" s="9">
        <f>Water!E18+Water!G18+Water!I18</f>
        <v>281</v>
      </c>
      <c r="L11" s="10">
        <f>Water!K18/TOTAL!K11</f>
        <v>6182.3772241992883</v>
      </c>
      <c r="M11" s="9">
        <f>Electricity!C17</f>
        <v>24</v>
      </c>
      <c r="N11" s="9">
        <f>Electricity!D17</f>
        <v>133</v>
      </c>
    </row>
    <row r="12" spans="1:14">
      <c r="A12" s="6" t="s">
        <v>14</v>
      </c>
      <c r="B12" s="7">
        <f t="shared" si="0"/>
        <v>11</v>
      </c>
      <c r="C12" s="8">
        <v>1</v>
      </c>
      <c r="D12" s="7">
        <v>2019</v>
      </c>
      <c r="E12" s="9">
        <f>Electricity!F18+Electricity!I18</f>
        <v>10380.000000000564</v>
      </c>
      <c r="F12" s="10">
        <f>Electricity!L18/TOTAL!E12</f>
        <v>1236.7142100192734</v>
      </c>
      <c r="G12" s="9">
        <f>Gas!F19+Gas!I19+Gas!L19+Gas!O19</f>
        <v>91.733015317286657</v>
      </c>
      <c r="H12" s="10">
        <f>Gas!Q19/TOTAL!G12</f>
        <v>15840</v>
      </c>
      <c r="I12" s="9">
        <f>'Fuel Diesel'!F19</f>
        <v>0</v>
      </c>
      <c r="J12" s="11" t="e">
        <f>'Fuel Diesel'!G19/'Fuel Diesel'!F19</f>
        <v>#DIV/0!</v>
      </c>
      <c r="K12" s="9">
        <f>Water!E19+Water!G19+Water!I19</f>
        <v>266</v>
      </c>
      <c r="L12" s="10">
        <f>Water!K19/TOTAL!K12</f>
        <v>6521.5789473684208</v>
      </c>
      <c r="M12" s="9">
        <f>Electricity!C18</f>
        <v>31</v>
      </c>
      <c r="N12" s="9">
        <f>Electricity!D18</f>
        <v>147</v>
      </c>
    </row>
    <row r="13" spans="1:14">
      <c r="A13" s="6" t="s">
        <v>14</v>
      </c>
      <c r="B13" s="7">
        <f t="shared" si="0"/>
        <v>12</v>
      </c>
      <c r="C13" s="8">
        <v>1</v>
      </c>
      <c r="D13" s="7">
        <v>2019</v>
      </c>
      <c r="E13" s="9">
        <f>Electricity!F19+Electricity!I19</f>
        <v>10420.000000000073</v>
      </c>
      <c r="F13" s="10">
        <f>Electricity!L19/TOTAL!E13</f>
        <v>1238.5255758157223</v>
      </c>
      <c r="G13" s="9">
        <f>Gas!F20+Gas!I20+Gas!L20+Gas!O20</f>
        <v>81.689251641137844</v>
      </c>
      <c r="H13" s="10">
        <f>Gas!Q20/TOTAL!G13</f>
        <v>15840.000000000002</v>
      </c>
      <c r="I13" s="9">
        <f>'Fuel Diesel'!F20</f>
        <v>0</v>
      </c>
      <c r="J13" s="11" t="e">
        <f>'Fuel Diesel'!G20/'Fuel Diesel'!F20</f>
        <v>#DIV/0!</v>
      </c>
      <c r="K13" s="9">
        <f>Water!E20+Water!G20+Water!I20</f>
        <v>250</v>
      </c>
      <c r="L13" s="10">
        <f>Water!K20/TOTAL!K13</f>
        <v>6376.3360000000002</v>
      </c>
      <c r="M13" s="9">
        <f>Electricity!C19</f>
        <v>28</v>
      </c>
      <c r="N13" s="9">
        <f>Electricity!D19</f>
        <v>130</v>
      </c>
    </row>
    <row r="14" spans="1:14">
      <c r="A14" s="6" t="s">
        <v>14</v>
      </c>
      <c r="B14" s="7">
        <f t="shared" si="0"/>
        <v>13</v>
      </c>
      <c r="C14" s="8">
        <v>1</v>
      </c>
      <c r="D14" s="7">
        <v>2019</v>
      </c>
      <c r="E14" s="9">
        <f>Electricity!F20+Electricity!I20</f>
        <v>10380.000000000564</v>
      </c>
      <c r="F14" s="10">
        <f>Electricity!L20/TOTAL!E14</f>
        <v>1236.7142100192734</v>
      </c>
      <c r="G14" s="9">
        <f>Gas!F21+Gas!I21+Gas!L21+Gas!O21</f>
        <v>81.689251641137844</v>
      </c>
      <c r="H14" s="10">
        <f>Gas!Q21/TOTAL!G14</f>
        <v>15840.000000000002</v>
      </c>
      <c r="I14" s="9">
        <f>'Fuel Diesel'!F21</f>
        <v>0</v>
      </c>
      <c r="J14" s="11" t="e">
        <f>'Fuel Diesel'!G21/'Fuel Diesel'!F21</f>
        <v>#DIV/0!</v>
      </c>
      <c r="K14" s="9">
        <f>Water!E21+Water!G21+Water!I21</f>
        <v>256</v>
      </c>
      <c r="L14" s="10">
        <f>Water!K21/TOTAL!K14</f>
        <v>6395.5</v>
      </c>
      <c r="M14" s="9">
        <f>Electricity!C20</f>
        <v>23</v>
      </c>
      <c r="N14" s="9">
        <f>Electricity!D20</f>
        <v>130</v>
      </c>
    </row>
    <row r="15" spans="1:14">
      <c r="A15" s="6" t="s">
        <v>14</v>
      </c>
      <c r="B15" s="7">
        <f t="shared" si="0"/>
        <v>14</v>
      </c>
      <c r="C15" s="8">
        <v>1</v>
      </c>
      <c r="D15" s="7">
        <v>2019</v>
      </c>
      <c r="E15" s="9">
        <f>Electricity!F21+Electricity!I21</f>
        <v>10739.999999999327</v>
      </c>
      <c r="F15" s="10">
        <f>Electricity!L21/TOTAL!E15</f>
        <v>1241.9250931098793</v>
      </c>
      <c r="G15" s="9">
        <f>Gas!F22+Gas!I22+Gas!L22+Gas!O22</f>
        <v>101.18596936542669</v>
      </c>
      <c r="H15" s="10">
        <f>Gas!Q22/TOTAL!G15</f>
        <v>15840.000000000002</v>
      </c>
      <c r="I15" s="9">
        <f>'Fuel Diesel'!F22</f>
        <v>0</v>
      </c>
      <c r="J15" s="11" t="e">
        <f>'Fuel Diesel'!G22/'Fuel Diesel'!F22</f>
        <v>#DIV/0!</v>
      </c>
      <c r="K15" s="9">
        <f>Water!E22+Water!G22+Water!I22</f>
        <v>235</v>
      </c>
      <c r="L15" s="10">
        <f>Water!K22/TOTAL!K15</f>
        <v>6609.5659574468082</v>
      </c>
      <c r="M15" s="9">
        <f>Electricity!C21</f>
        <v>37</v>
      </c>
      <c r="N15" s="9">
        <f>Electricity!D21</f>
        <v>163</v>
      </c>
    </row>
    <row r="16" spans="1:14">
      <c r="A16" s="6" t="s">
        <v>14</v>
      </c>
      <c r="B16" s="7">
        <f t="shared" si="0"/>
        <v>15</v>
      </c>
      <c r="C16" s="8">
        <v>1</v>
      </c>
      <c r="D16" s="7">
        <v>2019</v>
      </c>
      <c r="E16" s="9">
        <f>Electricity!F22+Electricity!I22</f>
        <v>10320.000000000164</v>
      </c>
      <c r="F16" s="10">
        <f>Electricity!L22/TOTAL!E16</f>
        <v>1233.9708333333208</v>
      </c>
      <c r="G16" s="9">
        <f>Gas!F23+Gas!I23+Gas!L23+Gas!O23</f>
        <v>104.14001750547045</v>
      </c>
      <c r="H16" s="10">
        <f>Gas!Q23/TOTAL!G16</f>
        <v>15840.000000000002</v>
      </c>
      <c r="I16" s="9">
        <f>'Fuel Diesel'!F23</f>
        <v>0</v>
      </c>
      <c r="J16" s="11" t="e">
        <f>'Fuel Diesel'!G23/'Fuel Diesel'!F23</f>
        <v>#DIV/0!</v>
      </c>
      <c r="K16" s="9">
        <f>Water!E23+Water!G23+Water!I23</f>
        <v>216</v>
      </c>
      <c r="L16" s="10">
        <f>Water!K23/TOTAL!K16</f>
        <v>6883.4722222222226</v>
      </c>
      <c r="M16" s="9">
        <f>Electricity!C22</f>
        <v>37</v>
      </c>
      <c r="N16" s="9">
        <f>Electricity!D22</f>
        <v>168</v>
      </c>
    </row>
    <row r="17" spans="1:14">
      <c r="A17" s="6" t="s">
        <v>14</v>
      </c>
      <c r="B17" s="7">
        <f t="shared" si="0"/>
        <v>16</v>
      </c>
      <c r="C17" s="8">
        <v>1</v>
      </c>
      <c r="D17" s="7">
        <v>2019</v>
      </c>
      <c r="E17" s="9">
        <f>Electricity!F23+Electricity!I23</f>
        <v>10619.999999999436</v>
      </c>
      <c r="F17" s="10">
        <f>Electricity!L23/TOTAL!E17</f>
        <v>1236.6522128060406</v>
      </c>
      <c r="G17" s="9">
        <f>Gas!F24+Gas!I24+Gas!L24+Gas!O24</f>
        <v>113.00216192560174</v>
      </c>
      <c r="H17" s="10">
        <f>Gas!Q24/TOTAL!G17</f>
        <v>15840</v>
      </c>
      <c r="I17" s="9">
        <f>'Fuel Diesel'!F24</f>
        <v>50</v>
      </c>
      <c r="J17" s="11">
        <f>'Fuel Diesel'!G24/'Fuel Diesel'!F24</f>
        <v>10700</v>
      </c>
      <c r="K17" s="9">
        <f>Water!E24+Water!G24+Water!I24</f>
        <v>218</v>
      </c>
      <c r="L17" s="10">
        <f>Water!K24/TOTAL!K17</f>
        <v>6857.0183486238529</v>
      </c>
      <c r="M17" s="9">
        <f>Electricity!C23</f>
        <v>44</v>
      </c>
      <c r="N17" s="9">
        <f>Electricity!D23</f>
        <v>183</v>
      </c>
    </row>
    <row r="18" spans="1:14">
      <c r="A18" s="6" t="s">
        <v>14</v>
      </c>
      <c r="B18" s="7">
        <f t="shared" si="0"/>
        <v>17</v>
      </c>
      <c r="C18" s="8">
        <v>1</v>
      </c>
      <c r="D18" s="7">
        <v>2019</v>
      </c>
      <c r="E18" s="9">
        <f>Electricity!F24+Electricity!I24</f>
        <v>10460.000000000491</v>
      </c>
      <c r="F18" s="10">
        <f>Electricity!L24/TOTAL!E18</f>
        <v>1240.3230879541131</v>
      </c>
      <c r="G18" s="9">
        <f>Gas!F25+Gas!I25+Gas!L25+Gas!O25</f>
        <v>111.22973304157549</v>
      </c>
      <c r="H18" s="10">
        <f>Gas!Q25/TOTAL!G18</f>
        <v>15839.999999999998</v>
      </c>
      <c r="I18" s="9">
        <f>'Fuel Diesel'!F25</f>
        <v>0</v>
      </c>
      <c r="J18" s="11" t="e">
        <f>'Fuel Diesel'!G25/'Fuel Diesel'!F25</f>
        <v>#DIV/0!</v>
      </c>
      <c r="K18" s="9">
        <f>Water!E25+Water!G25+Water!I25</f>
        <v>236</v>
      </c>
      <c r="L18" s="10">
        <f>Water!K25/TOTAL!K18</f>
        <v>6476.7033898305081</v>
      </c>
      <c r="M18" s="9">
        <f>Electricity!C24</f>
        <v>46</v>
      </c>
      <c r="N18" s="9">
        <f>Electricity!D24</f>
        <v>180</v>
      </c>
    </row>
    <row r="19" spans="1:14">
      <c r="A19" s="6" t="s">
        <v>14</v>
      </c>
      <c r="B19" s="7">
        <f t="shared" si="0"/>
        <v>18</v>
      </c>
      <c r="C19" s="8">
        <v>1</v>
      </c>
      <c r="D19" s="7">
        <v>2019</v>
      </c>
      <c r="E19" s="9">
        <f>Electricity!F25+Electricity!I25</f>
        <v>10759.999999998854</v>
      </c>
      <c r="F19" s="10">
        <f>Electricity!L25/TOTAL!E19</f>
        <v>1242.7924721189481</v>
      </c>
      <c r="G19" s="9">
        <f>Gas!F26+Gas!I26+Gas!L26+Gas!O26</f>
        <v>129.54483150984686</v>
      </c>
      <c r="H19" s="10">
        <f>Gas!Q26/TOTAL!G19</f>
        <v>15840</v>
      </c>
      <c r="I19" s="9">
        <f>'Fuel Diesel'!F26</f>
        <v>0</v>
      </c>
      <c r="J19" s="11" t="e">
        <f>'Fuel Diesel'!G26/'Fuel Diesel'!F26</f>
        <v>#DIV/0!</v>
      </c>
      <c r="K19" s="9">
        <f>Water!E26+Water!G26+Water!I26</f>
        <v>283</v>
      </c>
      <c r="L19" s="10">
        <f>Water!K26/TOTAL!K19</f>
        <v>6268.5300353356888</v>
      </c>
      <c r="M19" s="9">
        <f>Electricity!C25</f>
        <v>40</v>
      </c>
      <c r="N19" s="9">
        <f>Electricity!D25</f>
        <v>211</v>
      </c>
    </row>
    <row r="20" spans="1:14">
      <c r="A20" s="6" t="s">
        <v>14</v>
      </c>
      <c r="B20" s="7">
        <f t="shared" si="0"/>
        <v>19</v>
      </c>
      <c r="C20" s="8">
        <v>1</v>
      </c>
      <c r="D20" s="7">
        <v>2019</v>
      </c>
      <c r="E20" s="9">
        <f>Electricity!F26+Electricity!I26</f>
        <v>10980.000000000018</v>
      </c>
      <c r="F20" s="10">
        <f>Electricity!L26/TOTAL!E20</f>
        <v>1241.7512295081976</v>
      </c>
      <c r="G20" s="9">
        <f>Gas!F27+Gas!I27+Gas!L27+Gas!O27</f>
        <v>108.86649452954049</v>
      </c>
      <c r="H20" s="10">
        <f>Gas!Q27/TOTAL!G20</f>
        <v>15839.999999999998</v>
      </c>
      <c r="I20" s="9">
        <f>'Fuel Diesel'!F27</f>
        <v>0</v>
      </c>
      <c r="J20" s="11" t="e">
        <f>'Fuel Diesel'!G27/'Fuel Diesel'!F27</f>
        <v>#DIV/0!</v>
      </c>
      <c r="K20" s="9">
        <f>Water!E27+Water!G27+Water!I27</f>
        <v>306</v>
      </c>
      <c r="L20" s="10">
        <f>Water!K27/TOTAL!K20</f>
        <v>5910.1372549019607</v>
      </c>
      <c r="M20" s="9">
        <f>Electricity!C26</f>
        <v>46</v>
      </c>
      <c r="N20" s="9">
        <f>Electricity!D26</f>
        <v>176</v>
      </c>
    </row>
    <row r="21" spans="1:14">
      <c r="A21" s="6" t="s">
        <v>14</v>
      </c>
      <c r="B21" s="7">
        <f t="shared" si="0"/>
        <v>20</v>
      </c>
      <c r="C21" s="8">
        <v>1</v>
      </c>
      <c r="D21" s="7">
        <v>2019</v>
      </c>
      <c r="E21" s="9">
        <f>Electricity!F27+Electricity!I27</f>
        <v>10559.999999999945</v>
      </c>
      <c r="F21" s="10">
        <f>Electricity!L27/TOTAL!E21</f>
        <v>1255.5437500000173</v>
      </c>
      <c r="G21" s="9">
        <f>Gas!F28+Gas!I28+Gas!L28+Gas!O28</f>
        <v>156.13126477024068</v>
      </c>
      <c r="H21" s="10">
        <f>Gas!Q28/TOTAL!G21</f>
        <v>15840.000000000005</v>
      </c>
      <c r="I21" s="9">
        <f>'Fuel Diesel'!F28</f>
        <v>0</v>
      </c>
      <c r="J21" s="11" t="e">
        <f>'Fuel Diesel'!G28/'Fuel Diesel'!F28</f>
        <v>#DIV/0!</v>
      </c>
      <c r="K21" s="9">
        <f>Water!E28+Water!G28+Water!I28</f>
        <v>260</v>
      </c>
      <c r="L21" s="10">
        <f>Water!K28/TOTAL!K21</f>
        <v>5916.4</v>
      </c>
      <c r="M21" s="9">
        <f>Electricity!C27</f>
        <v>50</v>
      </c>
      <c r="N21" s="9">
        <f>Electricity!D27</f>
        <v>256</v>
      </c>
    </row>
    <row r="22" spans="1:14">
      <c r="A22" s="6" t="s">
        <v>14</v>
      </c>
      <c r="B22" s="7">
        <f t="shared" si="0"/>
        <v>21</v>
      </c>
      <c r="C22" s="8">
        <v>1</v>
      </c>
      <c r="D22" s="7">
        <v>2019</v>
      </c>
      <c r="E22" s="9">
        <f>Electricity!F28+Electricity!I28</f>
        <v>10640.000000000327</v>
      </c>
      <c r="F22" s="10">
        <f>Electricity!L28/TOTAL!E22</f>
        <v>1248.2446428571377</v>
      </c>
      <c r="G22" s="9">
        <f>Gas!F29+Gas!I29+Gas!L29+Gas!O29</f>
        <v>163.81178993435447</v>
      </c>
      <c r="H22" s="10">
        <f>Gas!Q29/TOTAL!G22</f>
        <v>15840.000000000002</v>
      </c>
      <c r="I22" s="9">
        <f>'Fuel Diesel'!F29</f>
        <v>0</v>
      </c>
      <c r="J22" s="11" t="e">
        <f>'Fuel Diesel'!G29/'Fuel Diesel'!F29</f>
        <v>#DIV/0!</v>
      </c>
      <c r="K22" s="9">
        <f>Water!E29+Water!G29+Water!I29</f>
        <v>278</v>
      </c>
      <c r="L22" s="10">
        <f>Water!K29/TOTAL!K22</f>
        <v>5034.0287769784172</v>
      </c>
      <c r="M22" s="9">
        <f>Electricity!C28</f>
        <v>53</v>
      </c>
      <c r="N22" s="9">
        <f>Electricity!D28</f>
        <v>269</v>
      </c>
    </row>
    <row r="23" spans="1:14">
      <c r="A23" s="6" t="s">
        <v>14</v>
      </c>
      <c r="B23" s="7">
        <f t="shared" si="0"/>
        <v>22</v>
      </c>
      <c r="C23" s="8">
        <v>1</v>
      </c>
      <c r="D23" s="7">
        <v>2019</v>
      </c>
      <c r="E23" s="9">
        <f>Electricity!F29+Electricity!I29</f>
        <v>10199.999999999363</v>
      </c>
      <c r="F23" s="10">
        <f>Electricity!L29/TOTAL!E23</f>
        <v>1239.5544117646971</v>
      </c>
      <c r="G23" s="9">
        <f>Gas!F30+Gas!I30+Gas!L30+Gas!O30</f>
        <v>155.54045514223191</v>
      </c>
      <c r="H23" s="10">
        <f>Gas!Q30/TOTAL!G23</f>
        <v>15840.000000000005</v>
      </c>
      <c r="I23" s="9">
        <f>'Fuel Diesel'!F30</f>
        <v>0</v>
      </c>
      <c r="J23" s="11" t="e">
        <f>'Fuel Diesel'!G30/'Fuel Diesel'!F30</f>
        <v>#DIV/0!</v>
      </c>
      <c r="K23" s="9">
        <f>Water!E30+Water!G30+Water!I30</f>
        <v>313</v>
      </c>
      <c r="L23" s="10">
        <f>Water!K30/TOTAL!K23</f>
        <v>5255.1501597444094</v>
      </c>
      <c r="M23" s="9">
        <f>Electricity!C29</f>
        <v>52</v>
      </c>
      <c r="N23" s="9">
        <f>Electricity!D29</f>
        <v>255</v>
      </c>
    </row>
    <row r="24" spans="1:14">
      <c r="A24" s="6" t="s">
        <v>14</v>
      </c>
      <c r="B24" s="7">
        <f t="shared" si="0"/>
        <v>23</v>
      </c>
      <c r="C24" s="8">
        <v>1</v>
      </c>
      <c r="D24" s="7">
        <v>2019</v>
      </c>
      <c r="E24" s="9">
        <f>Electricity!F30+Electricity!I30</f>
        <v>10420.000000000528</v>
      </c>
      <c r="F24" s="10">
        <f>Electricity!L30/TOTAL!E24</f>
        <v>1238.5255758157427</v>
      </c>
      <c r="G24" s="9">
        <f>Gas!F31+Gas!I31+Gas!L31+Gas!O31</f>
        <v>183.30850765864332</v>
      </c>
      <c r="H24" s="10">
        <f>Gas!Q31/TOTAL!G24</f>
        <v>15840.000000000004</v>
      </c>
      <c r="I24" s="9">
        <f>'Fuel Diesel'!F31</f>
        <v>50</v>
      </c>
      <c r="J24" s="11">
        <f>'Fuel Diesel'!G31/'Fuel Diesel'!F31</f>
        <v>10700</v>
      </c>
      <c r="K24" s="9">
        <f>Water!E31+Water!G31+Water!I31</f>
        <v>290</v>
      </c>
      <c r="L24" s="10">
        <f>Water!K31/TOTAL!K24</f>
        <v>5916.4</v>
      </c>
      <c r="M24" s="9">
        <f>Electricity!C30</f>
        <v>57</v>
      </c>
      <c r="N24" s="9">
        <f>Electricity!D30</f>
        <v>302</v>
      </c>
    </row>
    <row r="25" spans="1:14">
      <c r="A25" s="6" t="s">
        <v>14</v>
      </c>
      <c r="B25" s="7">
        <f t="shared" si="0"/>
        <v>24</v>
      </c>
      <c r="C25" s="8">
        <v>1</v>
      </c>
      <c r="D25" s="7">
        <v>2019</v>
      </c>
      <c r="E25" s="9">
        <f>Electricity!F31+Electricity!I31</f>
        <v>10660.000000000309</v>
      </c>
      <c r="F25" s="10">
        <f>Electricity!L31/TOTAL!E25</f>
        <v>1249.1083020637836</v>
      </c>
      <c r="G25" s="9">
        <f>Gas!F32+Gas!I32+Gas!L32+Gas!O32</f>
        <v>188.03498468271331</v>
      </c>
      <c r="H25" s="10">
        <f>Gas!Q32/TOTAL!G25</f>
        <v>15840.000000000005</v>
      </c>
      <c r="I25" s="9">
        <f>'Fuel Diesel'!F32</f>
        <v>0</v>
      </c>
      <c r="J25" s="11" t="e">
        <f>'Fuel Diesel'!G32/'Fuel Diesel'!F32</f>
        <v>#DIV/0!</v>
      </c>
      <c r="K25" s="9">
        <f>Water!E32+Water!G32+Water!I32</f>
        <v>272</v>
      </c>
      <c r="L25" s="10">
        <f>Water!K32/TOTAL!K25</f>
        <v>6184.1323529411766</v>
      </c>
      <c r="M25" s="9">
        <f>Electricity!C31</f>
        <v>53</v>
      </c>
      <c r="N25" s="9">
        <f>Electricity!D31</f>
        <v>310</v>
      </c>
    </row>
    <row r="26" spans="1:14">
      <c r="A26" s="6" t="s">
        <v>14</v>
      </c>
      <c r="B26" s="7">
        <f>B25+1</f>
        <v>25</v>
      </c>
      <c r="C26" s="8">
        <v>1</v>
      </c>
      <c r="D26" s="7">
        <v>2019</v>
      </c>
      <c r="E26" s="9">
        <f>Electricity!F32+Electricity!I32</f>
        <v>10819.999999999254</v>
      </c>
      <c r="F26" s="10">
        <f>Electricity!L32/TOTAL!E26</f>
        <v>1245.3753696857736</v>
      </c>
      <c r="G26" s="9">
        <f>Gas!F33+Gas!I33+Gas!L33+Gas!O33</f>
        <v>211.07656017505471</v>
      </c>
      <c r="H26" s="10">
        <f>Gas!Q33/TOTAL!G26</f>
        <v>15840.000000000004</v>
      </c>
      <c r="I26" s="9">
        <f>'Fuel Diesel'!F33</f>
        <v>0</v>
      </c>
      <c r="J26" s="11" t="e">
        <f>'Fuel Diesel'!G33/'Fuel Diesel'!F33</f>
        <v>#DIV/0!</v>
      </c>
      <c r="K26" s="9">
        <f>Water!E33+Water!G33+Water!I33</f>
        <v>294</v>
      </c>
      <c r="L26" s="10">
        <f>Water!K33/TOTAL!K26</f>
        <v>6020.6938775510207</v>
      </c>
      <c r="M26" s="9">
        <f>Electricity!C32</f>
        <v>56</v>
      </c>
      <c r="N26" s="9">
        <f>Electricity!D32</f>
        <v>349</v>
      </c>
    </row>
    <row r="27" spans="1:14">
      <c r="A27" s="6" t="s">
        <v>14</v>
      </c>
      <c r="B27" s="7">
        <f t="shared" si="0"/>
        <v>26</v>
      </c>
      <c r="C27" s="8">
        <v>1</v>
      </c>
      <c r="D27" s="7">
        <v>2019</v>
      </c>
      <c r="E27" s="9">
        <f>Electricity!F33+Electricity!I33</f>
        <v>10859.999999999218</v>
      </c>
      <c r="F27" s="10">
        <f>Electricity!L33/TOTAL!E27</f>
        <v>1247.0814456721967</v>
      </c>
      <c r="G27" s="9">
        <f>Gas!F34+Gas!I34+Gas!L34+Gas!O34</f>
        <v>170.90150547045951</v>
      </c>
      <c r="H27" s="10">
        <f>Gas!Q34/TOTAL!G27</f>
        <v>15840.000000000004</v>
      </c>
      <c r="I27" s="9">
        <f>'Fuel Diesel'!F34</f>
        <v>0</v>
      </c>
      <c r="J27" s="11" t="e">
        <f>'Fuel Diesel'!G34/'Fuel Diesel'!F34</f>
        <v>#DIV/0!</v>
      </c>
      <c r="K27" s="9">
        <f>Water!E34+Water!G34+Water!I34</f>
        <v>267</v>
      </c>
      <c r="L27" s="10">
        <f>Water!K34/TOTAL!K27</f>
        <v>6081.4831460674159</v>
      </c>
      <c r="M27" s="9">
        <f>Electricity!C33</f>
        <v>56</v>
      </c>
      <c r="N27" s="9">
        <f>Electricity!D33</f>
        <v>281</v>
      </c>
    </row>
    <row r="28" spans="1:14">
      <c r="A28" s="6" t="s">
        <v>14</v>
      </c>
      <c r="B28" s="7">
        <f t="shared" si="0"/>
        <v>27</v>
      </c>
      <c r="C28" s="8">
        <v>1</v>
      </c>
      <c r="D28" s="7">
        <v>2019</v>
      </c>
      <c r="E28" s="9">
        <f>Electricity!F34+Electricity!I34</f>
        <v>10560.0000000004</v>
      </c>
      <c r="F28" s="10">
        <f>Electricity!L34/TOTAL!E28</f>
        <v>1244.7572916666647</v>
      </c>
      <c r="G28" s="9">
        <f>Gas!F35+Gas!I35+Gas!L35+Gas!O35</f>
        <v>182.12688840262578</v>
      </c>
      <c r="H28" s="10">
        <f>Gas!Q35/TOTAL!G28</f>
        <v>15840.000000000004</v>
      </c>
      <c r="I28" s="9">
        <f>'Fuel Diesel'!F35</f>
        <v>0</v>
      </c>
      <c r="J28" s="11" t="e">
        <f>'Fuel Diesel'!G35/'Fuel Diesel'!F35</f>
        <v>#DIV/0!</v>
      </c>
      <c r="K28" s="9">
        <f>Water!E35+Water!G35+Water!I35</f>
        <v>287</v>
      </c>
      <c r="L28" s="10">
        <f>Water!K35/TOTAL!K28</f>
        <v>6036.5923344947732</v>
      </c>
      <c r="M28" s="9">
        <f>Electricity!C34</f>
        <v>52</v>
      </c>
      <c r="N28" s="9">
        <f>Electricity!D34</f>
        <v>300</v>
      </c>
    </row>
    <row r="29" spans="1:14">
      <c r="A29" s="6" t="s">
        <v>14</v>
      </c>
      <c r="B29" s="7">
        <f t="shared" si="0"/>
        <v>28</v>
      </c>
      <c r="C29" s="8">
        <v>1</v>
      </c>
      <c r="D29" s="7">
        <v>2019</v>
      </c>
      <c r="E29" s="9">
        <f>Electricity!F35+Electricity!I35</f>
        <v>10540.000000000418</v>
      </c>
      <c r="F29" s="10">
        <f>Electricity!L35/TOTAL!E29</f>
        <v>1243.8771821631867</v>
      </c>
      <c r="G29" s="9">
        <f>Gas!F36+Gas!I36+Gas!L36+Gas!O36</f>
        <v>187.44417505470457</v>
      </c>
      <c r="H29" s="10">
        <f>Gas!Q36/TOTAL!G29</f>
        <v>15840.000000000004</v>
      </c>
      <c r="I29" s="9">
        <f>'Fuel Diesel'!F36</f>
        <v>0</v>
      </c>
      <c r="J29" s="11" t="e">
        <f>'Fuel Diesel'!G36/'Fuel Diesel'!F36</f>
        <v>#DIV/0!</v>
      </c>
      <c r="K29" s="9">
        <f>Water!E36+Water!G36+Water!I36</f>
        <v>286</v>
      </c>
      <c r="L29" s="10">
        <f>Water!K36/TOTAL!K29</f>
        <v>6311.7412587412591</v>
      </c>
      <c r="M29" s="9">
        <f>Electricity!C35</f>
        <v>50</v>
      </c>
      <c r="N29" s="9">
        <f>Electricity!D35</f>
        <v>309</v>
      </c>
    </row>
    <row r="30" spans="1:14">
      <c r="A30" s="6" t="s">
        <v>14</v>
      </c>
      <c r="B30" s="7">
        <f t="shared" si="0"/>
        <v>29</v>
      </c>
      <c r="C30" s="8">
        <v>1</v>
      </c>
      <c r="D30" s="7">
        <v>2019</v>
      </c>
      <c r="E30" s="9">
        <f>Electricity!F36+Electricity!I36</f>
        <v>10480.000000000473</v>
      </c>
      <c r="F30" s="10">
        <f>Electricity!L36/TOTAL!E30</f>
        <v>1241.2166984732839</v>
      </c>
      <c r="G30" s="9">
        <f>Gas!F37+Gas!I37+Gas!L37+Gas!O37</f>
        <v>201.03279649890587</v>
      </c>
      <c r="H30" s="10">
        <f>Gas!Q37/TOTAL!G30</f>
        <v>15840.000000000002</v>
      </c>
      <c r="I30" s="9">
        <f>'Fuel Diesel'!F37</f>
        <v>760</v>
      </c>
      <c r="J30" s="11">
        <f>'Fuel Diesel'!G37/'Fuel Diesel'!F37</f>
        <v>10700</v>
      </c>
      <c r="K30" s="9">
        <f>Water!E37+Water!G37+Water!I37</f>
        <v>276</v>
      </c>
      <c r="L30" s="10">
        <f>Water!K37/TOTAL!K30</f>
        <v>5944.173913043478</v>
      </c>
      <c r="M30" s="9">
        <f>Electricity!C36</f>
        <v>56</v>
      </c>
      <c r="N30" s="9">
        <f>Electricity!D36</f>
        <v>332</v>
      </c>
    </row>
    <row r="31" spans="1:14">
      <c r="A31" s="6" t="s">
        <v>14</v>
      </c>
      <c r="B31" s="7">
        <v>30</v>
      </c>
      <c r="C31" s="8">
        <v>1</v>
      </c>
      <c r="D31" s="7">
        <v>2019</v>
      </c>
      <c r="E31" s="9">
        <f>Electricity!F37+Electricity!I37</f>
        <v>10980.000000000018</v>
      </c>
      <c r="F31" s="10">
        <f>Electricity!L37/TOTAL!E31</f>
        <v>1241.7512295081976</v>
      </c>
      <c r="G31" s="9">
        <f>Gas!F38+Gas!I38+Gas!L38+Gas!O38</f>
        <v>250.06999562363237</v>
      </c>
      <c r="H31" s="10">
        <f>Gas!Q38/TOTAL!G31</f>
        <v>15840.000000000002</v>
      </c>
      <c r="I31" s="9">
        <f>'Fuel Diesel'!F38</f>
        <v>50</v>
      </c>
      <c r="J31" s="11">
        <f>'Fuel Diesel'!G38/'Fuel Diesel'!F38</f>
        <v>10700</v>
      </c>
      <c r="K31" s="9">
        <f>Water!E38+Water!G38+Water!I38</f>
        <v>286</v>
      </c>
      <c r="L31" s="10">
        <f>Water!K38/TOTAL!K31</f>
        <v>6043.7132867132868</v>
      </c>
      <c r="M31" s="9">
        <f>Electricity!C37</f>
        <v>54</v>
      </c>
      <c r="N31" s="9">
        <f>Electricity!D37</f>
        <v>415</v>
      </c>
    </row>
    <row r="32" spans="1:14">
      <c r="A32" s="6" t="s">
        <v>14</v>
      </c>
      <c r="B32" s="7">
        <v>31</v>
      </c>
      <c r="C32" s="8">
        <v>1</v>
      </c>
      <c r="D32" s="7">
        <v>2019</v>
      </c>
      <c r="E32" s="9">
        <f>Electricity!F38+Electricity!I38</f>
        <v>10580.000000004929</v>
      </c>
      <c r="F32" s="10">
        <f>Electricity!L38/TOTAL!E32</f>
        <v>1243.4808601133759</v>
      </c>
      <c r="G32" s="9">
        <f>Gas!F39+Gas!I39+Gas!L39+Gas!O39</f>
        <v>248.96472078774619</v>
      </c>
      <c r="H32" s="10">
        <f>Gas!Q39/TOTAL!G32</f>
        <v>15840</v>
      </c>
      <c r="I32" s="9">
        <f>'Fuel Diesel'!F39</f>
        <v>0</v>
      </c>
      <c r="J32" s="11" t="e">
        <f>'Fuel Diesel'!G39/'Fuel Diesel'!F39</f>
        <v>#DIV/0!</v>
      </c>
      <c r="K32" s="9">
        <f>Water!E39+Water!G39+Water!I39</f>
        <v>333</v>
      </c>
      <c r="L32" s="10">
        <f>Water!K39/TOTAL!K32</f>
        <v>5697.7117117117114</v>
      </c>
      <c r="M32" s="9">
        <f>Electricity!C38</f>
        <v>53</v>
      </c>
      <c r="N32" s="9">
        <f>Electricity!D38</f>
        <v>427</v>
      </c>
    </row>
    <row r="33" spans="5:14">
      <c r="E33" s="84">
        <f>SUM(E2:E32)</f>
        <v>331239.99999999936</v>
      </c>
      <c r="F33" s="84">
        <f>SUM(F2:F32)/31</f>
        <v>1242.5339899346011</v>
      </c>
      <c r="G33" s="84">
        <f>SUM(G2:G32)</f>
        <v>4193.209009628009</v>
      </c>
      <c r="H33" s="94">
        <f>SUM(H2:H32)/31</f>
        <v>15840</v>
      </c>
      <c r="I33" s="84">
        <f>SUM(I2:I32)</f>
        <v>1190</v>
      </c>
      <c r="J33" s="94" t="e">
        <f>J26</f>
        <v>#DIV/0!</v>
      </c>
      <c r="K33" s="84">
        <f>SUM(K2:K32)</f>
        <v>8662</v>
      </c>
      <c r="L33" s="94">
        <f>SUM(L2:L32)/31</f>
        <v>6100.2133405492614</v>
      </c>
      <c r="M33" s="84">
        <f t="shared" ref="M33:N33" si="1">SUM(M2:M32)</f>
        <v>1284</v>
      </c>
      <c r="N33" s="84">
        <f t="shared" si="1"/>
        <v>6855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2"/>
  <sheetViews>
    <sheetView workbookViewId="0">
      <selection activeCell="H8" sqref="H8:H38"/>
    </sheetView>
  </sheetViews>
  <sheetFormatPr defaultRowHeight="15"/>
  <cols>
    <col min="1" max="1" width="2.5703125" customWidth="1"/>
    <col min="2" max="2" width="5.85546875" customWidth="1"/>
    <col min="3" max="3" width="6.5703125" customWidth="1"/>
    <col min="4" max="4" width="7.5703125" style="19" customWidth="1"/>
    <col min="5" max="5" width="9.42578125" style="31" customWidth="1"/>
    <col min="6" max="6" width="11.28515625" style="31" customWidth="1"/>
    <col min="7" max="7" width="16.5703125" style="31" customWidth="1"/>
    <col min="8" max="8" width="10.28515625" style="31" customWidth="1"/>
    <col min="9" max="9" width="11.140625" style="31" customWidth="1"/>
    <col min="10" max="10" width="16.7109375" style="31" customWidth="1"/>
    <col min="11" max="11" width="16.28515625" style="31" customWidth="1"/>
    <col min="12" max="12" width="18" customWidth="1"/>
    <col min="13" max="13" width="16.7109375" customWidth="1"/>
    <col min="14" max="14" width="2.5703125" customWidth="1"/>
    <col min="16" max="16" width="16.7109375" customWidth="1"/>
  </cols>
  <sheetData>
    <row r="1" spans="1:14" ht="15.75">
      <c r="B1" s="98" t="s">
        <v>15</v>
      </c>
      <c r="C1" s="98"/>
      <c r="D1" s="98"/>
      <c r="E1" s="98"/>
      <c r="F1" s="98"/>
      <c r="G1" s="98"/>
      <c r="H1" s="98"/>
      <c r="I1" s="98"/>
      <c r="J1" s="98"/>
      <c r="K1" s="98"/>
      <c r="L1" s="98"/>
      <c r="M1" s="12"/>
      <c r="N1" s="12"/>
    </row>
    <row r="2" spans="1:14" ht="15.75">
      <c r="B2" s="98" t="s">
        <v>16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12"/>
      <c r="N2" s="12"/>
    </row>
    <row r="3" spans="1:14">
      <c r="B3" s="13"/>
      <c r="C3" s="14"/>
      <c r="D3" s="15"/>
      <c r="E3" s="14"/>
      <c r="F3" s="14"/>
      <c r="G3" s="14"/>
      <c r="H3" s="14"/>
      <c r="I3" s="14"/>
      <c r="J3" s="14"/>
      <c r="K3" s="14"/>
      <c r="L3" s="14"/>
      <c r="M3" s="12"/>
      <c r="N3" s="12"/>
    </row>
    <row r="4" spans="1:14">
      <c r="A4" s="16"/>
      <c r="B4" s="99">
        <v>43800</v>
      </c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16"/>
    </row>
    <row r="5" spans="1:14">
      <c r="A5" s="17"/>
      <c r="B5" s="97" t="s">
        <v>17</v>
      </c>
      <c r="C5" s="97" t="s">
        <v>18</v>
      </c>
      <c r="D5" s="97" t="s">
        <v>13</v>
      </c>
      <c r="E5" s="100" t="s">
        <v>19</v>
      </c>
      <c r="F5" s="100"/>
      <c r="G5" s="100"/>
      <c r="H5" s="101" t="s">
        <v>20</v>
      </c>
      <c r="I5" s="101"/>
      <c r="J5" s="101"/>
      <c r="K5" s="97" t="s">
        <v>21</v>
      </c>
      <c r="L5" s="97" t="s">
        <v>22</v>
      </c>
      <c r="M5" s="97" t="s">
        <v>23</v>
      </c>
      <c r="N5" s="18"/>
    </row>
    <row r="6" spans="1:14" s="19" customFormat="1">
      <c r="A6" s="17"/>
      <c r="B6" s="97"/>
      <c r="C6" s="97"/>
      <c r="D6" s="97"/>
      <c r="E6" s="97" t="s">
        <v>24</v>
      </c>
      <c r="F6" s="97" t="s">
        <v>25</v>
      </c>
      <c r="G6" s="97" t="s">
        <v>26</v>
      </c>
      <c r="H6" s="97" t="s">
        <v>24</v>
      </c>
      <c r="I6" s="97" t="s">
        <v>25</v>
      </c>
      <c r="J6" s="97" t="s">
        <v>27</v>
      </c>
      <c r="K6" s="97"/>
      <c r="L6" s="97"/>
      <c r="M6" s="97"/>
      <c r="N6" s="18"/>
    </row>
    <row r="7" spans="1:14">
      <c r="A7" s="20"/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21"/>
    </row>
    <row r="8" spans="1:14">
      <c r="A8" s="20"/>
      <c r="B8" s="22">
        <v>1</v>
      </c>
      <c r="C8" s="23">
        <v>36</v>
      </c>
      <c r="D8" s="23">
        <v>198</v>
      </c>
      <c r="E8" s="24">
        <v>4.6999999999998181</v>
      </c>
      <c r="F8" s="25">
        <f t="shared" ref="F8:F38" si="0">E8*2000</f>
        <v>9399.9999999996362</v>
      </c>
      <c r="G8" s="26">
        <f t="shared" ref="G8:G38" si="1">F8*1035.5</f>
        <v>9733699.9999996237</v>
      </c>
      <c r="H8" s="24">
        <v>0.98000000000001819</v>
      </c>
      <c r="I8" s="25">
        <f t="shared" ref="I8:I38" si="2">H8*2000</f>
        <v>1960.0000000000364</v>
      </c>
      <c r="J8" s="26">
        <f t="shared" ref="J8:J38" si="3">I8*1553.25</f>
        <v>3044370.0000000563</v>
      </c>
      <c r="K8" s="24">
        <f t="shared" ref="K8:K38" si="4">G8+J8</f>
        <v>12778069.99999968</v>
      </c>
      <c r="L8" s="27">
        <f t="shared" ref="L8:L38" si="5">K8*1.1</f>
        <v>14055876.999999648</v>
      </c>
      <c r="M8" s="28">
        <f>L8/14381</f>
        <v>977.39218413181618</v>
      </c>
      <c r="N8" s="29"/>
    </row>
    <row r="9" spans="1:14">
      <c r="A9" s="20"/>
      <c r="B9" s="22">
        <v>2</v>
      </c>
      <c r="C9" s="23">
        <v>42</v>
      </c>
      <c r="D9" s="23">
        <v>178</v>
      </c>
      <c r="E9" s="24">
        <v>4.3999999999996362</v>
      </c>
      <c r="F9" s="25">
        <f t="shared" si="0"/>
        <v>8799.9999999992724</v>
      </c>
      <c r="G9" s="26">
        <f t="shared" si="1"/>
        <v>9112399.9999992475</v>
      </c>
      <c r="H9" s="24">
        <v>1.0199999999999818</v>
      </c>
      <c r="I9" s="25">
        <f t="shared" si="2"/>
        <v>2039.9999999999636</v>
      </c>
      <c r="J9" s="26">
        <f t="shared" si="3"/>
        <v>3168629.9999999437</v>
      </c>
      <c r="K9" s="24">
        <f t="shared" si="4"/>
        <v>12281029.999999192</v>
      </c>
      <c r="L9" s="27">
        <f t="shared" si="5"/>
        <v>13509132.999999112</v>
      </c>
      <c r="M9" s="28">
        <f t="shared" ref="M9:M38" si="6">L9/14381</f>
        <v>939.37368750428425</v>
      </c>
      <c r="N9" s="29"/>
    </row>
    <row r="10" spans="1:14">
      <c r="A10" s="20"/>
      <c r="B10" s="22">
        <v>3</v>
      </c>
      <c r="C10" s="23">
        <v>41</v>
      </c>
      <c r="D10" s="23">
        <v>183</v>
      </c>
      <c r="E10" s="24">
        <v>4.5</v>
      </c>
      <c r="F10" s="25">
        <f t="shared" si="0"/>
        <v>9000</v>
      </c>
      <c r="G10" s="26">
        <f t="shared" si="1"/>
        <v>9319500</v>
      </c>
      <c r="H10" s="24">
        <v>0.98000000000001819</v>
      </c>
      <c r="I10" s="25">
        <f t="shared" si="2"/>
        <v>1960.0000000000364</v>
      </c>
      <c r="J10" s="26">
        <f t="shared" si="3"/>
        <v>3044370.0000000563</v>
      </c>
      <c r="K10" s="24">
        <f t="shared" si="4"/>
        <v>12363870.000000056</v>
      </c>
      <c r="L10" s="27">
        <f t="shared" si="5"/>
        <v>13600257.000000063</v>
      </c>
      <c r="M10" s="28">
        <f t="shared" si="6"/>
        <v>945.71010360893285</v>
      </c>
      <c r="N10" s="29"/>
    </row>
    <row r="11" spans="1:14">
      <c r="A11" s="20"/>
      <c r="B11" s="22">
        <v>4</v>
      </c>
      <c r="C11" s="23">
        <v>36</v>
      </c>
      <c r="D11" s="23">
        <v>202</v>
      </c>
      <c r="E11" s="24">
        <v>4.3999999999996362</v>
      </c>
      <c r="F11" s="25">
        <f t="shared" si="0"/>
        <v>8799.9999999992724</v>
      </c>
      <c r="G11" s="26">
        <f t="shared" si="1"/>
        <v>9112399.9999992475</v>
      </c>
      <c r="H11" s="24">
        <v>1</v>
      </c>
      <c r="I11" s="25">
        <f t="shared" si="2"/>
        <v>2000</v>
      </c>
      <c r="J11" s="26">
        <f t="shared" si="3"/>
        <v>3106500</v>
      </c>
      <c r="K11" s="24">
        <f t="shared" si="4"/>
        <v>12218899.999999247</v>
      </c>
      <c r="L11" s="27">
        <f t="shared" si="5"/>
        <v>13440789.999999173</v>
      </c>
      <c r="M11" s="28">
        <f t="shared" si="6"/>
        <v>934.62137542585162</v>
      </c>
      <c r="N11" s="29"/>
    </row>
    <row r="12" spans="1:14">
      <c r="A12" s="20"/>
      <c r="B12" s="22">
        <v>5</v>
      </c>
      <c r="C12" s="23">
        <v>38</v>
      </c>
      <c r="D12" s="23">
        <v>163</v>
      </c>
      <c r="E12" s="24">
        <v>4.5</v>
      </c>
      <c r="F12" s="25">
        <f t="shared" si="0"/>
        <v>9000</v>
      </c>
      <c r="G12" s="26">
        <f t="shared" si="1"/>
        <v>9319500</v>
      </c>
      <c r="H12" s="24">
        <v>0.98000000000001819</v>
      </c>
      <c r="I12" s="25">
        <f t="shared" si="2"/>
        <v>1960.0000000000364</v>
      </c>
      <c r="J12" s="26">
        <f t="shared" si="3"/>
        <v>3044370.0000000563</v>
      </c>
      <c r="K12" s="24">
        <f t="shared" si="4"/>
        <v>12363870.000000056</v>
      </c>
      <c r="L12" s="27">
        <f t="shared" si="5"/>
        <v>13600257.000000063</v>
      </c>
      <c r="M12" s="28">
        <f t="shared" si="6"/>
        <v>945.71010360893285</v>
      </c>
      <c r="N12" s="29"/>
    </row>
    <row r="13" spans="1:14">
      <c r="A13" s="20"/>
      <c r="B13" s="22">
        <v>6</v>
      </c>
      <c r="C13" s="23">
        <v>26</v>
      </c>
      <c r="D13" s="23">
        <v>172</v>
      </c>
      <c r="E13" s="24">
        <v>4.3999999999996362</v>
      </c>
      <c r="F13" s="25">
        <f t="shared" si="0"/>
        <v>8799.9999999992724</v>
      </c>
      <c r="G13" s="26">
        <f t="shared" si="1"/>
        <v>9112399.9999992475</v>
      </c>
      <c r="H13" s="24">
        <v>1</v>
      </c>
      <c r="I13" s="25">
        <f t="shared" si="2"/>
        <v>2000</v>
      </c>
      <c r="J13" s="26">
        <f t="shared" si="3"/>
        <v>3106500</v>
      </c>
      <c r="K13" s="24">
        <f t="shared" si="4"/>
        <v>12218899.999999247</v>
      </c>
      <c r="L13" s="27">
        <f t="shared" si="5"/>
        <v>13440789.999999173</v>
      </c>
      <c r="M13" s="28">
        <f t="shared" si="6"/>
        <v>934.62137542585162</v>
      </c>
      <c r="N13" s="29"/>
    </row>
    <row r="14" spans="1:14">
      <c r="A14" s="20"/>
      <c r="B14" s="22">
        <v>7</v>
      </c>
      <c r="C14" s="23">
        <v>21</v>
      </c>
      <c r="D14" s="23">
        <v>122</v>
      </c>
      <c r="E14" s="24">
        <v>4.3999999999996362</v>
      </c>
      <c r="F14" s="25">
        <f t="shared" si="0"/>
        <v>8799.9999999992724</v>
      </c>
      <c r="G14" s="26">
        <f t="shared" si="1"/>
        <v>9112399.9999992475</v>
      </c>
      <c r="H14" s="24">
        <v>0.96000000000003638</v>
      </c>
      <c r="I14" s="25">
        <f t="shared" si="2"/>
        <v>1920.0000000000728</v>
      </c>
      <c r="J14" s="26">
        <f t="shared" si="3"/>
        <v>2982240.0000001132</v>
      </c>
      <c r="K14" s="24">
        <f t="shared" si="4"/>
        <v>12094639.999999361</v>
      </c>
      <c r="L14" s="27">
        <f t="shared" si="5"/>
        <v>13304103.999999298</v>
      </c>
      <c r="M14" s="28">
        <f t="shared" si="6"/>
        <v>925.11675126898672</v>
      </c>
      <c r="N14" s="29"/>
    </row>
    <row r="15" spans="1:14">
      <c r="A15" s="20"/>
      <c r="B15" s="22">
        <v>8</v>
      </c>
      <c r="C15" s="23">
        <v>21</v>
      </c>
      <c r="D15" s="23">
        <v>114</v>
      </c>
      <c r="E15" s="24">
        <v>4.3999999999996362</v>
      </c>
      <c r="F15" s="25">
        <f t="shared" si="0"/>
        <v>8799.9999999992724</v>
      </c>
      <c r="G15" s="26">
        <f t="shared" si="1"/>
        <v>9112399.9999992475</v>
      </c>
      <c r="H15" s="24">
        <v>1.0199999999999818</v>
      </c>
      <c r="I15" s="25">
        <f t="shared" si="2"/>
        <v>2039.9999999999636</v>
      </c>
      <c r="J15" s="26">
        <f t="shared" si="3"/>
        <v>3168629.9999999437</v>
      </c>
      <c r="K15" s="24">
        <f t="shared" si="4"/>
        <v>12281029.999999192</v>
      </c>
      <c r="L15" s="27">
        <f t="shared" si="5"/>
        <v>13509132.999999112</v>
      </c>
      <c r="M15" s="28">
        <f t="shared" si="6"/>
        <v>939.37368750428425</v>
      </c>
      <c r="N15" s="29"/>
    </row>
    <row r="16" spans="1:14">
      <c r="A16" s="20"/>
      <c r="B16" s="22">
        <v>9</v>
      </c>
      <c r="C16" s="23">
        <v>25</v>
      </c>
      <c r="D16" s="23">
        <v>97</v>
      </c>
      <c r="E16" s="24">
        <v>4.3999999999996362</v>
      </c>
      <c r="F16" s="25">
        <f t="shared" si="0"/>
        <v>8799.9999999992724</v>
      </c>
      <c r="G16" s="26">
        <f t="shared" si="1"/>
        <v>9112399.9999992475</v>
      </c>
      <c r="H16" s="24">
        <v>1.0299999999999727</v>
      </c>
      <c r="I16" s="25">
        <f t="shared" si="2"/>
        <v>2059.9999999999454</v>
      </c>
      <c r="J16" s="26">
        <f t="shared" si="3"/>
        <v>3199694.9999999152</v>
      </c>
      <c r="K16" s="24">
        <f t="shared" si="4"/>
        <v>12312094.999999162</v>
      </c>
      <c r="L16" s="27">
        <f t="shared" si="5"/>
        <v>13543304.49999908</v>
      </c>
      <c r="M16" s="28">
        <f t="shared" si="6"/>
        <v>941.74984354350045</v>
      </c>
      <c r="N16" s="29"/>
    </row>
    <row r="17" spans="1:14">
      <c r="A17" s="20"/>
      <c r="B17" s="22">
        <v>10</v>
      </c>
      <c r="C17" s="23">
        <v>24</v>
      </c>
      <c r="D17" s="23">
        <v>133</v>
      </c>
      <c r="E17" s="24">
        <v>4.3999999999996362</v>
      </c>
      <c r="F17" s="25">
        <f t="shared" si="0"/>
        <v>8799.9999999992724</v>
      </c>
      <c r="G17" s="26">
        <f t="shared" si="1"/>
        <v>9112399.9999992475</v>
      </c>
      <c r="H17" s="24">
        <v>0.97000000000002728</v>
      </c>
      <c r="I17" s="25">
        <f t="shared" si="2"/>
        <v>1940.0000000000546</v>
      </c>
      <c r="J17" s="26">
        <f t="shared" si="3"/>
        <v>3013305.0000000848</v>
      </c>
      <c r="K17" s="24">
        <f t="shared" si="4"/>
        <v>12125704.999999333</v>
      </c>
      <c r="L17" s="27">
        <f t="shared" si="5"/>
        <v>13338275.499999268</v>
      </c>
      <c r="M17" s="28">
        <f t="shared" si="6"/>
        <v>927.49290730820303</v>
      </c>
      <c r="N17" s="29"/>
    </row>
    <row r="18" spans="1:14">
      <c r="A18" s="20"/>
      <c r="B18" s="22">
        <v>11</v>
      </c>
      <c r="C18" s="23">
        <v>31</v>
      </c>
      <c r="D18" s="23">
        <v>147</v>
      </c>
      <c r="E18" s="24">
        <v>4.3000000000001819</v>
      </c>
      <c r="F18" s="25">
        <f t="shared" si="0"/>
        <v>8600.0000000003638</v>
      </c>
      <c r="G18" s="26">
        <f t="shared" si="1"/>
        <v>8905300.0000003763</v>
      </c>
      <c r="H18" s="24">
        <v>0.89000000000010004</v>
      </c>
      <c r="I18" s="25">
        <f t="shared" si="2"/>
        <v>1780.0000000002001</v>
      </c>
      <c r="J18" s="26">
        <f t="shared" si="3"/>
        <v>2764785.0000003106</v>
      </c>
      <c r="K18" s="24">
        <f t="shared" si="4"/>
        <v>11670085.000000687</v>
      </c>
      <c r="L18" s="27">
        <f t="shared" si="5"/>
        <v>12837093.500000756</v>
      </c>
      <c r="M18" s="28">
        <f t="shared" si="6"/>
        <v>892.64261873310318</v>
      </c>
      <c r="N18" s="29"/>
    </row>
    <row r="19" spans="1:14">
      <c r="A19" s="20"/>
      <c r="B19" s="22">
        <v>12</v>
      </c>
      <c r="C19" s="23">
        <v>28</v>
      </c>
      <c r="D19" s="23">
        <v>130</v>
      </c>
      <c r="E19" s="24">
        <v>4.3000000000001819</v>
      </c>
      <c r="F19" s="25">
        <f t="shared" si="0"/>
        <v>8600.0000000003638</v>
      </c>
      <c r="G19" s="26">
        <f t="shared" si="1"/>
        <v>8905300.0000003763</v>
      </c>
      <c r="H19" s="24">
        <v>0.90999999999985448</v>
      </c>
      <c r="I19" s="25">
        <f t="shared" si="2"/>
        <v>1819.999999999709</v>
      </c>
      <c r="J19" s="26">
        <f t="shared" si="3"/>
        <v>2826914.9999995478</v>
      </c>
      <c r="K19" s="24">
        <f t="shared" si="4"/>
        <v>11732214.999999924</v>
      </c>
      <c r="L19" s="27">
        <f t="shared" si="5"/>
        <v>12905436.499999916</v>
      </c>
      <c r="M19" s="28">
        <f t="shared" si="6"/>
        <v>897.39493081148157</v>
      </c>
      <c r="N19" s="29"/>
    </row>
    <row r="20" spans="1:14">
      <c r="A20" s="20"/>
      <c r="B20" s="22">
        <v>13</v>
      </c>
      <c r="C20" s="23">
        <v>23</v>
      </c>
      <c r="D20" s="23">
        <v>130</v>
      </c>
      <c r="E20" s="24">
        <v>4.3000000000001819</v>
      </c>
      <c r="F20" s="25">
        <f t="shared" si="0"/>
        <v>8600.0000000003638</v>
      </c>
      <c r="G20" s="26">
        <f t="shared" si="1"/>
        <v>8905300.0000003763</v>
      </c>
      <c r="H20" s="24">
        <v>0.89000000000010004</v>
      </c>
      <c r="I20" s="25">
        <f t="shared" si="2"/>
        <v>1780.0000000002001</v>
      </c>
      <c r="J20" s="26">
        <f t="shared" si="3"/>
        <v>2764785.0000003106</v>
      </c>
      <c r="K20" s="24">
        <f t="shared" si="4"/>
        <v>11670085.000000687</v>
      </c>
      <c r="L20" s="27">
        <f t="shared" si="5"/>
        <v>12837093.500000756</v>
      </c>
      <c r="M20" s="28">
        <f t="shared" si="6"/>
        <v>892.64261873310318</v>
      </c>
      <c r="N20" s="29"/>
    </row>
    <row r="21" spans="1:14">
      <c r="A21" s="20"/>
      <c r="B21" s="22">
        <v>14</v>
      </c>
      <c r="C21" s="23">
        <v>37</v>
      </c>
      <c r="D21" s="23">
        <v>163</v>
      </c>
      <c r="E21" s="24">
        <v>4.3999999999996362</v>
      </c>
      <c r="F21" s="25">
        <f t="shared" si="0"/>
        <v>8799.9999999992724</v>
      </c>
      <c r="G21" s="26">
        <f t="shared" si="1"/>
        <v>9112399.9999992475</v>
      </c>
      <c r="H21" s="24">
        <v>0.97000000000002728</v>
      </c>
      <c r="I21" s="25">
        <f t="shared" si="2"/>
        <v>1940.0000000000546</v>
      </c>
      <c r="J21" s="26">
        <f t="shared" si="3"/>
        <v>3013305.0000000848</v>
      </c>
      <c r="K21" s="24">
        <f t="shared" si="4"/>
        <v>12125704.999999333</v>
      </c>
      <c r="L21" s="27">
        <f t="shared" si="5"/>
        <v>13338275.499999268</v>
      </c>
      <c r="M21" s="28">
        <f t="shared" si="6"/>
        <v>927.49290730820303</v>
      </c>
      <c r="N21" s="29"/>
    </row>
    <row r="22" spans="1:14">
      <c r="A22" s="20"/>
      <c r="B22" s="22">
        <v>15</v>
      </c>
      <c r="C22" s="23">
        <v>37</v>
      </c>
      <c r="D22" s="23">
        <v>168</v>
      </c>
      <c r="E22" s="24">
        <v>4.3000000000001819</v>
      </c>
      <c r="F22" s="25">
        <f t="shared" si="0"/>
        <v>8600.0000000003638</v>
      </c>
      <c r="G22" s="26">
        <f t="shared" si="1"/>
        <v>8905300.0000003763</v>
      </c>
      <c r="H22" s="24">
        <v>0.85999999999989996</v>
      </c>
      <c r="I22" s="25">
        <f t="shared" si="2"/>
        <v>1719.9999999997999</v>
      </c>
      <c r="J22" s="26">
        <f t="shared" si="3"/>
        <v>2671589.9999996894</v>
      </c>
      <c r="K22" s="24">
        <f t="shared" si="4"/>
        <v>11576890.000000065</v>
      </c>
      <c r="L22" s="27">
        <f t="shared" si="5"/>
        <v>12734579.000000073</v>
      </c>
      <c r="M22" s="28">
        <f t="shared" si="6"/>
        <v>885.51415061540035</v>
      </c>
      <c r="N22" s="29"/>
    </row>
    <row r="23" spans="1:14">
      <c r="A23" s="20"/>
      <c r="B23" s="22">
        <v>16</v>
      </c>
      <c r="C23" s="23">
        <v>44</v>
      </c>
      <c r="D23" s="23">
        <v>183</v>
      </c>
      <c r="E23" s="24">
        <v>4.3999999999996362</v>
      </c>
      <c r="F23" s="25">
        <f t="shared" si="0"/>
        <v>8799.9999999992724</v>
      </c>
      <c r="G23" s="26">
        <f t="shared" si="1"/>
        <v>9112399.9999992475</v>
      </c>
      <c r="H23" s="24">
        <v>0.91000000000008185</v>
      </c>
      <c r="I23" s="25">
        <f t="shared" si="2"/>
        <v>1820.0000000001637</v>
      </c>
      <c r="J23" s="26">
        <f t="shared" si="3"/>
        <v>2826915.0000002543</v>
      </c>
      <c r="K23" s="24">
        <f t="shared" si="4"/>
        <v>11939314.999999501</v>
      </c>
      <c r="L23" s="27">
        <f t="shared" si="5"/>
        <v>13133246.499999452</v>
      </c>
      <c r="M23" s="28">
        <f t="shared" si="6"/>
        <v>913.23597107290539</v>
      </c>
      <c r="N23" s="29"/>
    </row>
    <row r="24" spans="1:14">
      <c r="A24" s="20"/>
      <c r="B24" s="22">
        <v>17</v>
      </c>
      <c r="C24" s="23">
        <v>46</v>
      </c>
      <c r="D24" s="23">
        <v>180</v>
      </c>
      <c r="E24" s="24">
        <v>4.3000000000001819</v>
      </c>
      <c r="F24" s="25">
        <f t="shared" si="0"/>
        <v>8600.0000000003638</v>
      </c>
      <c r="G24" s="26">
        <f t="shared" si="1"/>
        <v>8905300.0000003763</v>
      </c>
      <c r="H24" s="24">
        <v>0.93000000000006366</v>
      </c>
      <c r="I24" s="25">
        <f t="shared" si="2"/>
        <v>1860.0000000001273</v>
      </c>
      <c r="J24" s="26">
        <f t="shared" si="3"/>
        <v>2889045.0000001979</v>
      </c>
      <c r="K24" s="24">
        <f t="shared" si="4"/>
        <v>11794345.000000574</v>
      </c>
      <c r="L24" s="27">
        <f t="shared" si="5"/>
        <v>12973779.500000631</v>
      </c>
      <c r="M24" s="28">
        <f t="shared" si="6"/>
        <v>902.14724288996808</v>
      </c>
      <c r="N24" s="29"/>
    </row>
    <row r="25" spans="1:14">
      <c r="A25" s="20"/>
      <c r="B25" s="22">
        <v>18</v>
      </c>
      <c r="C25" s="23">
        <v>40</v>
      </c>
      <c r="D25" s="23">
        <v>211</v>
      </c>
      <c r="E25" s="24">
        <v>4.3999999999996362</v>
      </c>
      <c r="F25" s="25">
        <f t="shared" si="0"/>
        <v>8799.9999999992724</v>
      </c>
      <c r="G25" s="26">
        <f t="shared" si="1"/>
        <v>9112399.9999992475</v>
      </c>
      <c r="H25" s="24">
        <v>0.97999999999979082</v>
      </c>
      <c r="I25" s="25">
        <f t="shared" si="2"/>
        <v>1959.9999999995816</v>
      </c>
      <c r="J25" s="26">
        <f t="shared" si="3"/>
        <v>3044369.9999993504</v>
      </c>
      <c r="K25" s="24">
        <f t="shared" si="4"/>
        <v>12156769.999998597</v>
      </c>
      <c r="L25" s="27">
        <f t="shared" si="5"/>
        <v>13372446.999998458</v>
      </c>
      <c r="M25" s="28">
        <f t="shared" si="6"/>
        <v>929.86906334736511</v>
      </c>
      <c r="N25" s="29"/>
    </row>
    <row r="26" spans="1:14">
      <c r="A26" s="20"/>
      <c r="B26" s="22">
        <v>19</v>
      </c>
      <c r="C26" s="23">
        <v>46</v>
      </c>
      <c r="D26" s="23">
        <v>176</v>
      </c>
      <c r="E26" s="24">
        <v>4.5</v>
      </c>
      <c r="F26" s="25">
        <f t="shared" si="0"/>
        <v>9000</v>
      </c>
      <c r="G26" s="26">
        <f t="shared" si="1"/>
        <v>9319500</v>
      </c>
      <c r="H26" s="24">
        <v>0.99000000000000909</v>
      </c>
      <c r="I26" s="25">
        <f t="shared" si="2"/>
        <v>1980.0000000000182</v>
      </c>
      <c r="J26" s="26">
        <f t="shared" si="3"/>
        <v>3075435.0000000284</v>
      </c>
      <c r="K26" s="24">
        <f t="shared" si="4"/>
        <v>12394935.000000028</v>
      </c>
      <c r="L26" s="27">
        <f t="shared" si="5"/>
        <v>13634428.500000032</v>
      </c>
      <c r="M26" s="28">
        <f t="shared" si="6"/>
        <v>948.08625964814905</v>
      </c>
      <c r="N26" s="29"/>
    </row>
    <row r="27" spans="1:14">
      <c r="A27" s="20"/>
      <c r="B27" s="22">
        <v>20</v>
      </c>
      <c r="C27" s="23">
        <v>50</v>
      </c>
      <c r="D27" s="23">
        <v>256</v>
      </c>
      <c r="E27" s="24">
        <v>4.1999999999998181</v>
      </c>
      <c r="F27" s="25">
        <f t="shared" si="0"/>
        <v>8399.9999999996362</v>
      </c>
      <c r="G27" s="26">
        <f t="shared" si="1"/>
        <v>8698199.9999996237</v>
      </c>
      <c r="H27" s="24">
        <v>1.0800000000001546</v>
      </c>
      <c r="I27" s="25">
        <f t="shared" si="2"/>
        <v>2160.0000000003092</v>
      </c>
      <c r="J27" s="26">
        <f t="shared" si="3"/>
        <v>3355020.0000004801</v>
      </c>
      <c r="K27" s="24">
        <f t="shared" si="4"/>
        <v>12053220.000000104</v>
      </c>
      <c r="L27" s="27">
        <f t="shared" si="5"/>
        <v>13258542.000000115</v>
      </c>
      <c r="M27" s="28">
        <f t="shared" si="6"/>
        <v>921.94854321675234</v>
      </c>
      <c r="N27" s="29"/>
    </row>
    <row r="28" spans="1:14">
      <c r="A28" s="20"/>
      <c r="B28" s="22">
        <v>21</v>
      </c>
      <c r="C28" s="23">
        <v>53</v>
      </c>
      <c r="D28" s="23">
        <v>269</v>
      </c>
      <c r="E28" s="24">
        <v>4.3000000000001819</v>
      </c>
      <c r="F28" s="25">
        <f t="shared" si="0"/>
        <v>8600.0000000003638</v>
      </c>
      <c r="G28" s="26">
        <f t="shared" si="1"/>
        <v>8905300.0000003763</v>
      </c>
      <c r="H28" s="24">
        <v>1.0199999999999818</v>
      </c>
      <c r="I28" s="25">
        <f t="shared" si="2"/>
        <v>2039.9999999999636</v>
      </c>
      <c r="J28" s="26">
        <f t="shared" si="3"/>
        <v>3168629.9999999437</v>
      </c>
      <c r="K28" s="24">
        <f t="shared" si="4"/>
        <v>12073930.00000032</v>
      </c>
      <c r="L28" s="27">
        <f t="shared" si="5"/>
        <v>13281323.000000354</v>
      </c>
      <c r="M28" s="28">
        <f t="shared" si="6"/>
        <v>923.53264724291455</v>
      </c>
      <c r="N28" s="29"/>
    </row>
    <row r="29" spans="1:14">
      <c r="A29" s="20"/>
      <c r="B29" s="22">
        <v>22</v>
      </c>
      <c r="C29" s="23">
        <v>52</v>
      </c>
      <c r="D29" s="23">
        <v>255</v>
      </c>
      <c r="E29" s="24">
        <v>4.1999999999998181</v>
      </c>
      <c r="F29" s="25">
        <f t="shared" si="0"/>
        <v>8399.9999999996362</v>
      </c>
      <c r="G29" s="26">
        <f t="shared" si="1"/>
        <v>8698199.9999996237</v>
      </c>
      <c r="H29" s="24">
        <v>0.89999999999986358</v>
      </c>
      <c r="I29" s="25">
        <f t="shared" si="2"/>
        <v>1799.9999999997272</v>
      </c>
      <c r="J29" s="26">
        <f t="shared" si="3"/>
        <v>2795849.9999995762</v>
      </c>
      <c r="K29" s="24">
        <f t="shared" si="4"/>
        <v>11494049.999999199</v>
      </c>
      <c r="L29" s="27">
        <f t="shared" si="5"/>
        <v>12643454.999999121</v>
      </c>
      <c r="M29" s="28">
        <f t="shared" si="6"/>
        <v>879.17773451075175</v>
      </c>
      <c r="N29" s="29"/>
    </row>
    <row r="30" spans="1:14">
      <c r="A30" s="20"/>
      <c r="B30" s="22">
        <v>23</v>
      </c>
      <c r="C30" s="23">
        <v>57</v>
      </c>
      <c r="D30" s="23">
        <v>302</v>
      </c>
      <c r="E30" s="24">
        <v>4.3000000000001819</v>
      </c>
      <c r="F30" s="25">
        <f t="shared" si="0"/>
        <v>8600.0000000003638</v>
      </c>
      <c r="G30" s="26">
        <f t="shared" si="1"/>
        <v>8905300.0000003763</v>
      </c>
      <c r="H30" s="24">
        <v>0.91000000000008185</v>
      </c>
      <c r="I30" s="25">
        <f t="shared" si="2"/>
        <v>1820.0000000001637</v>
      </c>
      <c r="J30" s="26">
        <f t="shared" si="3"/>
        <v>2826915.0000002543</v>
      </c>
      <c r="K30" s="24">
        <f t="shared" si="4"/>
        <v>11732215.00000063</v>
      </c>
      <c r="L30" s="27">
        <f t="shared" si="5"/>
        <v>12905436.500000693</v>
      </c>
      <c r="M30" s="28">
        <f t="shared" si="6"/>
        <v>897.39493081153557</v>
      </c>
      <c r="N30" s="29"/>
    </row>
    <row r="31" spans="1:14">
      <c r="A31" s="20"/>
      <c r="B31" s="22">
        <v>24</v>
      </c>
      <c r="C31" s="23">
        <v>53</v>
      </c>
      <c r="D31" s="23">
        <v>310</v>
      </c>
      <c r="E31" s="24">
        <v>4.3000000000001819</v>
      </c>
      <c r="F31" s="25">
        <f t="shared" si="0"/>
        <v>8600.0000000003638</v>
      </c>
      <c r="G31" s="26">
        <f t="shared" si="1"/>
        <v>8905300.0000003763</v>
      </c>
      <c r="H31" s="24">
        <v>1.0299999999999727</v>
      </c>
      <c r="I31" s="25">
        <f t="shared" si="2"/>
        <v>2059.9999999999454</v>
      </c>
      <c r="J31" s="26">
        <f t="shared" si="3"/>
        <v>3199694.9999999152</v>
      </c>
      <c r="K31" s="24">
        <f t="shared" si="4"/>
        <v>12104995.000000291</v>
      </c>
      <c r="L31" s="27">
        <f t="shared" si="5"/>
        <v>13315494.50000032</v>
      </c>
      <c r="M31" s="28">
        <f t="shared" si="6"/>
        <v>925.90880328213063</v>
      </c>
      <c r="N31" s="29"/>
    </row>
    <row r="32" spans="1:14">
      <c r="A32" s="20"/>
      <c r="B32" s="22">
        <v>25</v>
      </c>
      <c r="C32" s="23">
        <v>56</v>
      </c>
      <c r="D32" s="23">
        <v>349</v>
      </c>
      <c r="E32" s="24">
        <v>4.3999999999996362</v>
      </c>
      <c r="F32" s="25">
        <f t="shared" si="0"/>
        <v>8799.9999999992724</v>
      </c>
      <c r="G32" s="26">
        <f t="shared" si="1"/>
        <v>9112399.9999992475</v>
      </c>
      <c r="H32" s="24">
        <v>1.0099999999999909</v>
      </c>
      <c r="I32" s="25">
        <f t="shared" si="2"/>
        <v>2019.9999999999818</v>
      </c>
      <c r="J32" s="26">
        <f t="shared" si="3"/>
        <v>3137564.9999999716</v>
      </c>
      <c r="K32" s="24">
        <f t="shared" si="4"/>
        <v>12249964.99999922</v>
      </c>
      <c r="L32" s="27">
        <f t="shared" si="5"/>
        <v>13474961.499999143</v>
      </c>
      <c r="M32" s="28">
        <f t="shared" si="6"/>
        <v>936.99753146506805</v>
      </c>
      <c r="N32" s="29"/>
    </row>
    <row r="33" spans="1:16">
      <c r="A33" s="20"/>
      <c r="B33" s="22">
        <v>26</v>
      </c>
      <c r="C33" s="23">
        <v>56</v>
      </c>
      <c r="D33" s="23">
        <v>281</v>
      </c>
      <c r="E33" s="24">
        <v>4.3999999999996362</v>
      </c>
      <c r="F33" s="25">
        <f t="shared" si="0"/>
        <v>8799.9999999992724</v>
      </c>
      <c r="G33" s="26">
        <f t="shared" si="1"/>
        <v>9112399.9999992475</v>
      </c>
      <c r="H33" s="24">
        <v>1.0299999999999727</v>
      </c>
      <c r="I33" s="25">
        <f t="shared" si="2"/>
        <v>2059.9999999999454</v>
      </c>
      <c r="J33" s="26">
        <f t="shared" si="3"/>
        <v>3199694.9999999152</v>
      </c>
      <c r="K33" s="24">
        <f t="shared" si="4"/>
        <v>12312094.999999162</v>
      </c>
      <c r="L33" s="27">
        <f t="shared" si="5"/>
        <v>13543304.49999908</v>
      </c>
      <c r="M33" s="28">
        <f t="shared" si="6"/>
        <v>941.74984354350045</v>
      </c>
      <c r="N33" s="29"/>
    </row>
    <row r="34" spans="1:16">
      <c r="A34" s="20"/>
      <c r="B34" s="22">
        <v>27</v>
      </c>
      <c r="C34" s="23">
        <v>52</v>
      </c>
      <c r="D34" s="23">
        <v>300</v>
      </c>
      <c r="E34" s="24">
        <v>4.3000000000001819</v>
      </c>
      <c r="F34" s="25">
        <f t="shared" si="0"/>
        <v>8600.0000000003638</v>
      </c>
      <c r="G34" s="26">
        <f t="shared" si="1"/>
        <v>8905300.0000003763</v>
      </c>
      <c r="H34" s="24">
        <v>0.98000000000001819</v>
      </c>
      <c r="I34" s="25">
        <f t="shared" si="2"/>
        <v>1960.0000000000364</v>
      </c>
      <c r="J34" s="26">
        <f t="shared" si="3"/>
        <v>3044370.0000000563</v>
      </c>
      <c r="K34" s="24">
        <f t="shared" si="4"/>
        <v>11949670.000000432</v>
      </c>
      <c r="L34" s="27">
        <f t="shared" si="5"/>
        <v>13144637.000000477</v>
      </c>
      <c r="M34" s="28">
        <f t="shared" si="6"/>
        <v>914.02802308604942</v>
      </c>
      <c r="N34" s="29"/>
    </row>
    <row r="35" spans="1:16">
      <c r="A35" s="20"/>
      <c r="B35" s="22">
        <v>28</v>
      </c>
      <c r="C35" s="23">
        <v>50</v>
      </c>
      <c r="D35" s="23">
        <v>309</v>
      </c>
      <c r="E35" s="24">
        <v>4.3000000000001819</v>
      </c>
      <c r="F35" s="25">
        <f t="shared" si="0"/>
        <v>8600.0000000003638</v>
      </c>
      <c r="G35" s="26">
        <f t="shared" si="1"/>
        <v>8905300.0000003763</v>
      </c>
      <c r="H35" s="24">
        <v>0.97000000000002728</v>
      </c>
      <c r="I35" s="25">
        <f t="shared" si="2"/>
        <v>1940.0000000000546</v>
      </c>
      <c r="J35" s="26">
        <f t="shared" si="3"/>
        <v>3013305.0000000848</v>
      </c>
      <c r="K35" s="24">
        <f t="shared" si="4"/>
        <v>11918605.000000462</v>
      </c>
      <c r="L35" s="27">
        <f t="shared" si="5"/>
        <v>13110465.500000509</v>
      </c>
      <c r="M35" s="28">
        <f t="shared" si="6"/>
        <v>911.65186704683322</v>
      </c>
      <c r="N35" s="29"/>
    </row>
    <row r="36" spans="1:16">
      <c r="A36" s="20"/>
      <c r="B36" s="22">
        <v>29</v>
      </c>
      <c r="C36" s="23">
        <v>56</v>
      </c>
      <c r="D36" s="23">
        <v>332</v>
      </c>
      <c r="E36" s="24">
        <v>4.3000000000001819</v>
      </c>
      <c r="F36" s="25">
        <f t="shared" si="0"/>
        <v>8600.0000000003638</v>
      </c>
      <c r="G36" s="26">
        <f t="shared" si="1"/>
        <v>8905300.0000003763</v>
      </c>
      <c r="H36" s="24">
        <v>0.94000000000005457</v>
      </c>
      <c r="I36" s="25">
        <f t="shared" si="2"/>
        <v>1880.0000000001091</v>
      </c>
      <c r="J36" s="26">
        <f t="shared" si="3"/>
        <v>2920110.0000001695</v>
      </c>
      <c r="K36" s="24">
        <f t="shared" si="4"/>
        <v>11825410.000000546</v>
      </c>
      <c r="L36" s="27">
        <f t="shared" si="5"/>
        <v>13007951.000000602</v>
      </c>
      <c r="M36" s="28">
        <f t="shared" si="6"/>
        <v>904.52339892918451</v>
      </c>
      <c r="N36" s="29"/>
    </row>
    <row r="37" spans="1:16">
      <c r="A37" s="20"/>
      <c r="B37" s="22">
        <v>30</v>
      </c>
      <c r="C37" s="23">
        <v>54</v>
      </c>
      <c r="D37" s="23">
        <v>415</v>
      </c>
      <c r="E37" s="24">
        <v>4.5</v>
      </c>
      <c r="F37" s="25">
        <f t="shared" si="0"/>
        <v>9000</v>
      </c>
      <c r="G37" s="26">
        <f>F37*1035.5</f>
        <v>9319500</v>
      </c>
      <c r="H37" s="24">
        <v>0.99000000000000909</v>
      </c>
      <c r="I37" s="25">
        <f t="shared" si="2"/>
        <v>1980.0000000000182</v>
      </c>
      <c r="J37" s="26">
        <f t="shared" si="3"/>
        <v>3075435.0000000284</v>
      </c>
      <c r="K37" s="24">
        <f t="shared" si="4"/>
        <v>12394935.000000028</v>
      </c>
      <c r="L37" s="27">
        <f t="shared" si="5"/>
        <v>13634428.500000032</v>
      </c>
      <c r="M37" s="28">
        <f t="shared" si="6"/>
        <v>948.08625964814905</v>
      </c>
      <c r="N37" s="29"/>
    </row>
    <row r="38" spans="1:16">
      <c r="A38" s="20"/>
      <c r="B38" s="22">
        <v>31</v>
      </c>
      <c r="C38" s="23">
        <v>53</v>
      </c>
      <c r="D38" s="23">
        <v>427</v>
      </c>
      <c r="E38" s="24">
        <v>4.3200000000024374</v>
      </c>
      <c r="F38" s="25">
        <f t="shared" si="0"/>
        <v>8640.0000000048749</v>
      </c>
      <c r="G38" s="26">
        <f t="shared" si="1"/>
        <v>8946720.0000050478</v>
      </c>
      <c r="H38" s="24">
        <v>0.97000000000002728</v>
      </c>
      <c r="I38" s="25">
        <f t="shared" si="2"/>
        <v>1940.0000000000546</v>
      </c>
      <c r="J38" s="26">
        <f t="shared" si="3"/>
        <v>3013305.0000000848</v>
      </c>
      <c r="K38" s="24">
        <f t="shared" si="4"/>
        <v>11960025.000005133</v>
      </c>
      <c r="L38" s="27">
        <f t="shared" si="5"/>
        <v>13156027.500005648</v>
      </c>
      <c r="M38" s="28">
        <f t="shared" si="6"/>
        <v>914.82007509948176</v>
      </c>
      <c r="N38" s="29"/>
    </row>
    <row r="39" spans="1:16">
      <c r="C39" s="30">
        <f>SUM(C8:C38)</f>
        <v>1284</v>
      </c>
      <c r="D39" s="30">
        <f>SUM(D8:D38)</f>
        <v>6855</v>
      </c>
      <c r="E39" s="31">
        <v>3.2799999999999727</v>
      </c>
      <c r="F39" s="30">
        <f>SUM(F8:F38)</f>
        <v>271039.99999999901</v>
      </c>
      <c r="I39" s="30">
        <f>SUM(I8:I38)</f>
        <v>60200.000000000262</v>
      </c>
      <c r="L39" s="32">
        <f>SUM(L8:L38)</f>
        <v>411584326.99999946</v>
      </c>
      <c r="M39" s="33">
        <f>SUM(M8:M38)</f>
        <v>28620.007440372676</v>
      </c>
      <c r="N39" s="34"/>
      <c r="P39" s="35"/>
    </row>
    <row r="41" spans="1:16">
      <c r="G41" s="87" t="s">
        <v>28</v>
      </c>
      <c r="H41" s="88"/>
      <c r="I41" s="89">
        <f>F39+I39</f>
        <v>331239.9999999993</v>
      </c>
      <c r="M41" s="36"/>
      <c r="P41" s="37"/>
    </row>
    <row r="42" spans="1:16">
      <c r="M42" s="38"/>
    </row>
  </sheetData>
  <mergeCells count="17">
    <mergeCell ref="F6:F7"/>
    <mergeCell ref="G6:G7"/>
    <mergeCell ref="H6:H7"/>
    <mergeCell ref="I6:I7"/>
    <mergeCell ref="J6:J7"/>
    <mergeCell ref="B1:L1"/>
    <mergeCell ref="B2:L2"/>
    <mergeCell ref="B4:M4"/>
    <mergeCell ref="B5:B7"/>
    <mergeCell ref="C5:C7"/>
    <mergeCell ref="D5:D7"/>
    <mergeCell ref="E5:G5"/>
    <mergeCell ref="H5:J5"/>
    <mergeCell ref="K5:K7"/>
    <mergeCell ref="L5:L7"/>
    <mergeCell ref="M5:M7"/>
    <mergeCell ref="E6:E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4"/>
  <sheetViews>
    <sheetView workbookViewId="0">
      <selection activeCell="K23" sqref="K23"/>
    </sheetView>
  </sheetViews>
  <sheetFormatPr defaultRowHeight="15"/>
  <cols>
    <col min="1" max="1" width="2.5703125" customWidth="1"/>
    <col min="2" max="2" width="5.42578125" customWidth="1"/>
    <col min="3" max="3" width="6.42578125" style="31" customWidth="1"/>
    <col min="4" max="4" width="8.42578125" style="19" customWidth="1"/>
    <col min="5" max="5" width="11" style="31" customWidth="1"/>
    <col min="6" max="6" width="9.5703125" style="31" customWidth="1"/>
    <col min="7" max="7" width="11.140625" style="31" customWidth="1"/>
    <col min="8" max="8" width="9.42578125" style="31" customWidth="1"/>
    <col min="9" max="9" width="7.140625" style="31" customWidth="1"/>
    <col min="10" max="10" width="13.7109375" style="31" customWidth="1"/>
    <col min="11" max="11" width="11.140625" style="31" customWidth="1"/>
    <col min="12" max="12" width="6.7109375" style="31" customWidth="1"/>
    <col min="13" max="13" width="13.7109375" style="62" customWidth="1"/>
    <col min="14" max="14" width="8.7109375" style="31" customWidth="1"/>
    <col min="15" max="15" width="6.42578125" style="31" customWidth="1"/>
    <col min="16" max="16" width="11.140625" style="31" customWidth="1"/>
    <col min="17" max="17" width="15" style="19" customWidth="1"/>
    <col min="18" max="18" width="16.28515625" style="31" customWidth="1"/>
    <col min="19" max="19" width="2.5703125" customWidth="1"/>
    <col min="21" max="21" width="21.5703125" customWidth="1"/>
  </cols>
  <sheetData>
    <row r="1" spans="1:21" ht="15.75">
      <c r="B1" s="98" t="s">
        <v>29</v>
      </c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</row>
    <row r="2" spans="1:21" ht="15.75">
      <c r="B2" s="98" t="s">
        <v>16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</row>
    <row r="3" spans="1:21">
      <c r="E3" s="39"/>
      <c r="F3" s="40"/>
      <c r="G3" s="40"/>
      <c r="H3" s="40"/>
      <c r="I3" s="40"/>
      <c r="J3" s="40"/>
      <c r="K3" s="40"/>
      <c r="L3" s="40"/>
      <c r="M3" s="41"/>
      <c r="N3" s="39"/>
      <c r="O3" s="40"/>
      <c r="P3" s="40"/>
      <c r="Q3" s="42"/>
    </row>
    <row r="4" spans="1:21">
      <c r="A4" s="16"/>
      <c r="B4" s="102">
        <v>43800</v>
      </c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6"/>
    </row>
    <row r="5" spans="1:21">
      <c r="A5" s="17"/>
      <c r="B5" s="97" t="s">
        <v>17</v>
      </c>
      <c r="C5" s="97" t="s">
        <v>18</v>
      </c>
      <c r="D5" s="97" t="s">
        <v>13</v>
      </c>
      <c r="E5" s="103" t="s">
        <v>30</v>
      </c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4" t="s">
        <v>31</v>
      </c>
      <c r="R5" s="104"/>
      <c r="S5" s="18"/>
    </row>
    <row r="6" spans="1:21" s="19" customFormat="1">
      <c r="A6" s="17"/>
      <c r="B6" s="97"/>
      <c r="C6" s="97"/>
      <c r="D6" s="97"/>
      <c r="E6" s="103" t="s">
        <v>32</v>
      </c>
      <c r="F6" s="103"/>
      <c r="G6" s="103"/>
      <c r="H6" s="103" t="s">
        <v>33</v>
      </c>
      <c r="I6" s="103"/>
      <c r="J6" s="103"/>
      <c r="K6" s="103" t="s">
        <v>34</v>
      </c>
      <c r="L6" s="103"/>
      <c r="M6" s="103"/>
      <c r="N6" s="105" t="s">
        <v>35</v>
      </c>
      <c r="O6" s="105"/>
      <c r="P6" s="105"/>
      <c r="Q6" s="104"/>
      <c r="R6" s="104"/>
      <c r="S6" s="18"/>
    </row>
    <row r="7" spans="1:21" ht="22.5">
      <c r="A7" s="20"/>
      <c r="B7" s="97"/>
      <c r="C7" s="97"/>
      <c r="D7" s="97"/>
      <c r="E7" s="97" t="s">
        <v>36</v>
      </c>
      <c r="F7" s="106" t="s">
        <v>37</v>
      </c>
      <c r="G7" s="43" t="s">
        <v>38</v>
      </c>
      <c r="H7" s="97" t="s">
        <v>39</v>
      </c>
      <c r="I7" s="97" t="s">
        <v>37</v>
      </c>
      <c r="J7" s="43" t="s">
        <v>38</v>
      </c>
      <c r="K7" s="97" t="s">
        <v>36</v>
      </c>
      <c r="L7" s="97" t="s">
        <v>37</v>
      </c>
      <c r="M7" s="43" t="s">
        <v>40</v>
      </c>
      <c r="N7" s="97" t="s">
        <v>41</v>
      </c>
      <c r="O7" s="97" t="s">
        <v>37</v>
      </c>
      <c r="P7" s="43" t="s">
        <v>40</v>
      </c>
      <c r="Q7" s="104"/>
      <c r="R7" s="104"/>
      <c r="S7" s="21"/>
    </row>
    <row r="8" spans="1:21" ht="15.75" thickBot="1">
      <c r="A8" s="20"/>
      <c r="B8" s="97"/>
      <c r="C8" s="97"/>
      <c r="D8" s="97"/>
      <c r="E8" s="97"/>
      <c r="F8" s="107"/>
      <c r="G8" s="44">
        <v>15840</v>
      </c>
      <c r="H8" s="97"/>
      <c r="I8" s="97"/>
      <c r="J8" s="44">
        <f>G8</f>
        <v>15840</v>
      </c>
      <c r="K8" s="97"/>
      <c r="L8" s="97"/>
      <c r="M8" s="44">
        <f>J8</f>
        <v>15840</v>
      </c>
      <c r="N8" s="97"/>
      <c r="O8" s="97"/>
      <c r="P8" s="44">
        <f>J8</f>
        <v>15840</v>
      </c>
      <c r="Q8" s="45" t="s">
        <v>42</v>
      </c>
      <c r="R8" s="43" t="s">
        <v>23</v>
      </c>
      <c r="S8" s="21"/>
      <c r="U8">
        <f>792000/50</f>
        <v>15840</v>
      </c>
    </row>
    <row r="9" spans="1:21">
      <c r="A9" s="20"/>
      <c r="B9" s="22">
        <v>1</v>
      </c>
      <c r="C9" s="46">
        <f>Electricity!C8</f>
        <v>36</v>
      </c>
      <c r="D9" s="47">
        <f>Electricity!D8</f>
        <v>198</v>
      </c>
      <c r="E9" s="82"/>
      <c r="F9" s="24">
        <v>73.702870897155364</v>
      </c>
      <c r="G9" s="49">
        <f>F9*$G$8</f>
        <v>1167453.475010941</v>
      </c>
      <c r="H9" s="48"/>
      <c r="I9" s="95">
        <v>36.851435448577682</v>
      </c>
      <c r="J9" s="49">
        <f>I9*$J$8</f>
        <v>583726.73750547052</v>
      </c>
      <c r="K9" s="48"/>
      <c r="L9" s="24">
        <v>4.17</v>
      </c>
      <c r="M9" s="25">
        <f>L9*$M$8</f>
        <v>66052.800000000003</v>
      </c>
      <c r="N9" s="48"/>
      <c r="O9" s="24">
        <v>7.14</v>
      </c>
      <c r="P9" s="50">
        <f>O9*$P$8</f>
        <v>113097.59999999999</v>
      </c>
      <c r="Q9" s="51">
        <f>P9+G9+J9+M9</f>
        <v>1930330.6125164118</v>
      </c>
      <c r="R9" s="52">
        <f>Q9/14381</f>
        <v>134.22784316225656</v>
      </c>
      <c r="S9" s="21"/>
    </row>
    <row r="10" spans="1:21">
      <c r="A10" s="20"/>
      <c r="B10" s="22">
        <v>2</v>
      </c>
      <c r="C10" s="46">
        <f>Electricity!C9</f>
        <v>42</v>
      </c>
      <c r="D10" s="47">
        <f>Electricity!D9</f>
        <v>178</v>
      </c>
      <c r="E10" s="82"/>
      <c r="F10" s="24">
        <v>65.825409190371985</v>
      </c>
      <c r="G10" s="49">
        <f>F10*$G$8</f>
        <v>1042674.4815754923</v>
      </c>
      <c r="H10" s="48"/>
      <c r="I10" s="50">
        <v>32.912704595185993</v>
      </c>
      <c r="J10" s="49">
        <f>I10*$J$8</f>
        <v>521337.24078774615</v>
      </c>
      <c r="K10" s="48"/>
      <c r="L10" s="24">
        <v>4.17</v>
      </c>
      <c r="M10" s="25">
        <f t="shared" ref="M10:M39" si="0">L10*$M$8</f>
        <v>66052.800000000003</v>
      </c>
      <c r="N10" s="48"/>
      <c r="O10" s="24">
        <v>7.14</v>
      </c>
      <c r="P10" s="50">
        <f>O10*$P$8</f>
        <v>113097.59999999999</v>
      </c>
      <c r="Q10" s="51">
        <f>J10+M10+G10+P10</f>
        <v>1743162.1223632386</v>
      </c>
      <c r="R10" s="52">
        <f t="shared" ref="R10:R39" si="1">Q10/14381</f>
        <v>121.21285879724905</v>
      </c>
      <c r="S10" s="21"/>
    </row>
    <row r="11" spans="1:21">
      <c r="A11" s="20"/>
      <c r="B11" s="22">
        <v>3</v>
      </c>
      <c r="C11" s="46">
        <f>Electricity!C10</f>
        <v>41</v>
      </c>
      <c r="D11" s="47">
        <f>Electricity!D10</f>
        <v>183</v>
      </c>
      <c r="E11" s="82"/>
      <c r="F11" s="24">
        <v>67.79477461706783</v>
      </c>
      <c r="G11" s="49">
        <f t="shared" ref="G11:G39" si="2">F11*$G$8</f>
        <v>1073869.2299343543</v>
      </c>
      <c r="H11" s="48"/>
      <c r="I11" s="50">
        <v>33.897387308533915</v>
      </c>
      <c r="J11" s="49">
        <f t="shared" ref="J11:J39" si="3">I11*$J$8</f>
        <v>536934.61496717716</v>
      </c>
      <c r="K11" s="48"/>
      <c r="L11" s="24">
        <v>4.17</v>
      </c>
      <c r="M11" s="25">
        <f t="shared" si="0"/>
        <v>66052.800000000003</v>
      </c>
      <c r="N11" s="48"/>
      <c r="O11" s="24">
        <v>7.14</v>
      </c>
      <c r="P11" s="50">
        <f t="shared" ref="P11:P39" si="4">O11*$P$8</f>
        <v>113097.59999999999</v>
      </c>
      <c r="Q11" s="51">
        <f t="shared" ref="Q11:Q39" si="5">J11+M11+G11+P11</f>
        <v>1789954.2449015316</v>
      </c>
      <c r="R11" s="52">
        <f t="shared" si="1"/>
        <v>124.46660488850091</v>
      </c>
      <c r="S11" s="21"/>
    </row>
    <row r="12" spans="1:21">
      <c r="A12" s="20"/>
      <c r="B12" s="22">
        <v>4</v>
      </c>
      <c r="C12" s="46">
        <f>Electricity!C11</f>
        <v>36</v>
      </c>
      <c r="D12" s="47">
        <f>Electricity!D11</f>
        <v>202</v>
      </c>
      <c r="E12" s="82"/>
      <c r="F12" s="24">
        <v>75.278363238512014</v>
      </c>
      <c r="G12" s="49">
        <f t="shared" si="2"/>
        <v>1192409.2736980303</v>
      </c>
      <c r="H12" s="48"/>
      <c r="I12" s="50">
        <v>37.639181619256007</v>
      </c>
      <c r="J12" s="49">
        <f t="shared" si="3"/>
        <v>596204.63684901514</v>
      </c>
      <c r="K12" s="48"/>
      <c r="L12" s="24">
        <v>4.17</v>
      </c>
      <c r="M12" s="25">
        <f t="shared" si="0"/>
        <v>66052.800000000003</v>
      </c>
      <c r="N12" s="48"/>
      <c r="O12" s="24">
        <v>7.14</v>
      </c>
      <c r="P12" s="50">
        <f t="shared" si="4"/>
        <v>113097.59999999999</v>
      </c>
      <c r="Q12" s="51">
        <f t="shared" si="5"/>
        <v>1967764.3105470454</v>
      </c>
      <c r="R12" s="52">
        <f t="shared" si="1"/>
        <v>136.83084003525801</v>
      </c>
      <c r="S12" s="21"/>
    </row>
    <row r="13" spans="1:21">
      <c r="A13" s="20"/>
      <c r="B13" s="22">
        <v>5</v>
      </c>
      <c r="C13" s="46">
        <f>Electricity!C12</f>
        <v>38</v>
      </c>
      <c r="D13" s="47">
        <f>Electricity!D12</f>
        <v>163</v>
      </c>
      <c r="E13" s="82"/>
      <c r="F13" s="24">
        <v>59.917312910284458</v>
      </c>
      <c r="G13" s="49">
        <f t="shared" si="2"/>
        <v>949090.23649890581</v>
      </c>
      <c r="H13" s="48"/>
      <c r="I13" s="50">
        <v>29.958656455142229</v>
      </c>
      <c r="J13" s="49">
        <f t="shared" si="3"/>
        <v>474545.11824945291</v>
      </c>
      <c r="K13" s="48"/>
      <c r="L13" s="24">
        <v>4.17</v>
      </c>
      <c r="M13" s="25">
        <f t="shared" si="0"/>
        <v>66052.800000000003</v>
      </c>
      <c r="N13" s="48"/>
      <c r="O13" s="24">
        <v>7.14</v>
      </c>
      <c r="P13" s="50">
        <f t="shared" si="4"/>
        <v>113097.59999999999</v>
      </c>
      <c r="Q13" s="51">
        <f t="shared" si="5"/>
        <v>1602785.7547483589</v>
      </c>
      <c r="R13" s="52">
        <f t="shared" si="1"/>
        <v>111.45162052349342</v>
      </c>
      <c r="S13" s="21"/>
    </row>
    <row r="14" spans="1:21">
      <c r="A14" s="20"/>
      <c r="B14" s="22">
        <v>6</v>
      </c>
      <c r="C14" s="46">
        <f>Electricity!C13</f>
        <v>26</v>
      </c>
      <c r="D14" s="47">
        <f>Electricity!D13</f>
        <v>172</v>
      </c>
      <c r="E14" s="82"/>
      <c r="F14" s="24">
        <v>63.462170678336975</v>
      </c>
      <c r="G14" s="49">
        <f t="shared" si="2"/>
        <v>1005240.7835448576</v>
      </c>
      <c r="H14" s="48"/>
      <c r="I14" s="50">
        <v>31.731085339168487</v>
      </c>
      <c r="J14" s="49">
        <f t="shared" si="3"/>
        <v>502620.39177242882</v>
      </c>
      <c r="K14" s="48"/>
      <c r="L14" s="24">
        <v>4.17</v>
      </c>
      <c r="M14" s="25">
        <f t="shared" si="0"/>
        <v>66052.800000000003</v>
      </c>
      <c r="N14" s="48"/>
      <c r="O14" s="24">
        <v>7.14</v>
      </c>
      <c r="P14" s="50">
        <f t="shared" si="4"/>
        <v>113097.59999999999</v>
      </c>
      <c r="Q14" s="51">
        <f t="shared" si="5"/>
        <v>1687011.5753172864</v>
      </c>
      <c r="R14" s="52">
        <f t="shared" si="1"/>
        <v>117.30836348774677</v>
      </c>
      <c r="S14" s="21"/>
    </row>
    <row r="15" spans="1:21">
      <c r="A15" s="20"/>
      <c r="B15" s="22">
        <v>7</v>
      </c>
      <c r="C15" s="46">
        <f>Electricity!C14</f>
        <v>21</v>
      </c>
      <c r="D15" s="47">
        <f>Electricity!D14</f>
        <v>122</v>
      </c>
      <c r="E15" s="82"/>
      <c r="F15" s="24">
        <v>43.768516411378556</v>
      </c>
      <c r="G15" s="49">
        <f t="shared" si="2"/>
        <v>693293.29995623638</v>
      </c>
      <c r="H15" s="48"/>
      <c r="I15" s="50">
        <v>21.884258205689278</v>
      </c>
      <c r="J15" s="49">
        <f t="shared" si="3"/>
        <v>346646.64997811819</v>
      </c>
      <c r="K15" s="48"/>
      <c r="L15" s="24">
        <v>4.17</v>
      </c>
      <c r="M15" s="25">
        <f t="shared" si="0"/>
        <v>66052.800000000003</v>
      </c>
      <c r="N15" s="48"/>
      <c r="O15" s="24">
        <v>7.14</v>
      </c>
      <c r="P15" s="50">
        <f t="shared" si="4"/>
        <v>113097.59999999999</v>
      </c>
      <c r="Q15" s="51">
        <f t="shared" si="5"/>
        <v>1219090.3499343547</v>
      </c>
      <c r="R15" s="52">
        <f t="shared" si="1"/>
        <v>84.77090257522805</v>
      </c>
      <c r="S15" s="21"/>
    </row>
    <row r="16" spans="1:21">
      <c r="A16" s="20"/>
      <c r="B16" s="22">
        <v>8</v>
      </c>
      <c r="C16" s="46">
        <f>Electricity!C15</f>
        <v>21</v>
      </c>
      <c r="D16" s="47">
        <f>Electricity!D15</f>
        <v>114</v>
      </c>
      <c r="E16" s="82"/>
      <c r="F16" s="24">
        <v>40.617531728665206</v>
      </c>
      <c r="G16" s="49">
        <f t="shared" si="2"/>
        <v>643381.70258205687</v>
      </c>
      <c r="H16" s="48"/>
      <c r="I16" s="50">
        <v>20.308765864332603</v>
      </c>
      <c r="J16" s="49">
        <f t="shared" si="3"/>
        <v>321690.85129102843</v>
      </c>
      <c r="K16" s="48"/>
      <c r="L16" s="24">
        <v>4.17</v>
      </c>
      <c r="M16" s="25">
        <f t="shared" si="0"/>
        <v>66052.800000000003</v>
      </c>
      <c r="N16" s="48"/>
      <c r="O16" s="24">
        <v>7.14</v>
      </c>
      <c r="P16" s="50">
        <f t="shared" si="4"/>
        <v>113097.59999999999</v>
      </c>
      <c r="Q16" s="51">
        <f t="shared" si="5"/>
        <v>1144222.9538730853</v>
      </c>
      <c r="R16" s="52">
        <f t="shared" si="1"/>
        <v>79.564908829225047</v>
      </c>
      <c r="S16" s="21"/>
    </row>
    <row r="17" spans="1:19">
      <c r="A17" s="20"/>
      <c r="B17" s="22">
        <v>9</v>
      </c>
      <c r="C17" s="46">
        <f>Electricity!C16</f>
        <v>25</v>
      </c>
      <c r="D17" s="47">
        <f>Electricity!D16</f>
        <v>97</v>
      </c>
      <c r="E17" s="83"/>
      <c r="F17" s="24">
        <v>33.92168927789934</v>
      </c>
      <c r="G17" s="49">
        <f t="shared" si="2"/>
        <v>537319.55816192552</v>
      </c>
      <c r="H17" s="48"/>
      <c r="I17" s="50">
        <v>16.96084463894967</v>
      </c>
      <c r="J17" s="49">
        <f t="shared" si="3"/>
        <v>268659.77908096276</v>
      </c>
      <c r="K17" s="48"/>
      <c r="L17" s="24">
        <v>4.17</v>
      </c>
      <c r="M17" s="25">
        <f t="shared" si="0"/>
        <v>66052.800000000003</v>
      </c>
      <c r="N17" s="48"/>
      <c r="O17" s="24">
        <v>7.14</v>
      </c>
      <c r="P17" s="50">
        <f t="shared" si="4"/>
        <v>113097.59999999999</v>
      </c>
      <c r="Q17" s="51">
        <f t="shared" si="5"/>
        <v>985129.73724288831</v>
      </c>
      <c r="R17" s="52">
        <f t="shared" si="1"/>
        <v>68.502172118968659</v>
      </c>
      <c r="S17" s="21"/>
    </row>
    <row r="18" spans="1:19">
      <c r="A18" s="20"/>
      <c r="B18" s="22">
        <v>10</v>
      </c>
      <c r="C18" s="46">
        <f>Electricity!C17</f>
        <v>24</v>
      </c>
      <c r="D18" s="47">
        <f>Electricity!D17</f>
        <v>133</v>
      </c>
      <c r="E18" s="82"/>
      <c r="F18" s="24">
        <v>48.101120350109404</v>
      </c>
      <c r="G18" s="49">
        <f t="shared" si="2"/>
        <v>761921.74634573294</v>
      </c>
      <c r="H18" s="48"/>
      <c r="I18" s="50">
        <v>24.050560175054702</v>
      </c>
      <c r="J18" s="49">
        <f t="shared" si="3"/>
        <v>380960.87317286647</v>
      </c>
      <c r="K18" s="48"/>
      <c r="L18" s="24">
        <v>4.17</v>
      </c>
      <c r="M18" s="25">
        <f t="shared" si="0"/>
        <v>66052.800000000003</v>
      </c>
      <c r="N18" s="48"/>
      <c r="O18" s="24">
        <v>7.14</v>
      </c>
      <c r="P18" s="50">
        <f t="shared" si="4"/>
        <v>113097.59999999999</v>
      </c>
      <c r="Q18" s="51">
        <f t="shared" si="5"/>
        <v>1322033.0195185994</v>
      </c>
      <c r="R18" s="52">
        <f t="shared" si="1"/>
        <v>91.929143975982157</v>
      </c>
      <c r="S18" s="21"/>
    </row>
    <row r="19" spans="1:19">
      <c r="A19" s="20"/>
      <c r="B19" s="22">
        <v>11</v>
      </c>
      <c r="C19" s="46">
        <f>Electricity!C18</f>
        <v>31</v>
      </c>
      <c r="D19" s="47">
        <f>Electricity!D18</f>
        <v>147</v>
      </c>
      <c r="E19" s="82"/>
      <c r="F19" s="24">
        <v>53.615343544857765</v>
      </c>
      <c r="G19" s="49">
        <f t="shared" si="2"/>
        <v>849267.04175054701</v>
      </c>
      <c r="H19" s="48"/>
      <c r="I19" s="50">
        <v>26.807671772428883</v>
      </c>
      <c r="J19" s="49">
        <f t="shared" si="3"/>
        <v>424633.52087527351</v>
      </c>
      <c r="K19" s="48"/>
      <c r="L19" s="24">
        <v>4.17</v>
      </c>
      <c r="M19" s="25">
        <f t="shared" si="0"/>
        <v>66052.800000000003</v>
      </c>
      <c r="N19" s="48"/>
      <c r="O19" s="24">
        <v>7.14</v>
      </c>
      <c r="P19" s="50">
        <f t="shared" si="4"/>
        <v>113097.59999999999</v>
      </c>
      <c r="Q19" s="51">
        <f t="shared" si="5"/>
        <v>1453050.9626258207</v>
      </c>
      <c r="R19" s="52">
        <f t="shared" si="1"/>
        <v>101.03963303148743</v>
      </c>
      <c r="S19" s="21"/>
    </row>
    <row r="20" spans="1:19">
      <c r="A20" s="20"/>
      <c r="B20" s="22">
        <v>12</v>
      </c>
      <c r="C20" s="46">
        <f>Electricity!C19</f>
        <v>28</v>
      </c>
      <c r="D20" s="47">
        <f>Electricity!D19</f>
        <v>130</v>
      </c>
      <c r="E20" s="82"/>
      <c r="F20" s="24">
        <v>46.919501094091899</v>
      </c>
      <c r="G20" s="49">
        <f t="shared" si="2"/>
        <v>743204.89733041567</v>
      </c>
      <c r="H20" s="48"/>
      <c r="I20" s="50">
        <v>23.45975054704595</v>
      </c>
      <c r="J20" s="49">
        <f t="shared" si="3"/>
        <v>371602.44866520783</v>
      </c>
      <c r="K20" s="48"/>
      <c r="L20" s="24">
        <v>4.17</v>
      </c>
      <c r="M20" s="25">
        <f t="shared" si="0"/>
        <v>66052.800000000003</v>
      </c>
      <c r="N20" s="48"/>
      <c r="O20" s="24">
        <v>7.14</v>
      </c>
      <c r="P20" s="50">
        <f t="shared" si="4"/>
        <v>113097.59999999999</v>
      </c>
      <c r="Q20" s="51">
        <f t="shared" si="5"/>
        <v>1293957.7459956235</v>
      </c>
      <c r="R20" s="52">
        <f t="shared" si="1"/>
        <v>89.976896321231038</v>
      </c>
      <c r="S20" s="21"/>
    </row>
    <row r="21" spans="1:19">
      <c r="A21" s="20"/>
      <c r="B21" s="22">
        <v>13</v>
      </c>
      <c r="C21" s="46">
        <f>Electricity!C20</f>
        <v>23</v>
      </c>
      <c r="D21" s="47">
        <f>Electricity!D20</f>
        <v>130</v>
      </c>
      <c r="E21" s="82"/>
      <c r="F21" s="24">
        <v>46.919501094091899</v>
      </c>
      <c r="G21" s="49">
        <f t="shared" si="2"/>
        <v>743204.89733041567</v>
      </c>
      <c r="H21" s="48"/>
      <c r="I21" s="50">
        <v>23.45975054704595</v>
      </c>
      <c r="J21" s="49">
        <f t="shared" si="3"/>
        <v>371602.44866520783</v>
      </c>
      <c r="K21" s="48"/>
      <c r="L21" s="24">
        <v>4.17</v>
      </c>
      <c r="M21" s="25">
        <f t="shared" si="0"/>
        <v>66052.800000000003</v>
      </c>
      <c r="N21" s="48"/>
      <c r="O21" s="24">
        <v>7.14</v>
      </c>
      <c r="P21" s="50">
        <f t="shared" si="4"/>
        <v>113097.59999999999</v>
      </c>
      <c r="Q21" s="51">
        <f t="shared" si="5"/>
        <v>1293957.7459956235</v>
      </c>
      <c r="R21" s="52">
        <f t="shared" si="1"/>
        <v>89.976896321231038</v>
      </c>
      <c r="S21" s="21"/>
    </row>
    <row r="22" spans="1:19">
      <c r="A22" s="20"/>
      <c r="B22" s="22">
        <v>14</v>
      </c>
      <c r="C22" s="46">
        <f>Electricity!C21</f>
        <v>37</v>
      </c>
      <c r="D22" s="47">
        <f>Electricity!D21</f>
        <v>163</v>
      </c>
      <c r="E22" s="82"/>
      <c r="F22" s="24">
        <v>59.917312910284458</v>
      </c>
      <c r="G22" s="49">
        <f t="shared" si="2"/>
        <v>949090.23649890581</v>
      </c>
      <c r="H22" s="48"/>
      <c r="I22" s="50">
        <v>29.958656455142229</v>
      </c>
      <c r="J22" s="49">
        <f t="shared" si="3"/>
        <v>474545.11824945291</v>
      </c>
      <c r="K22" s="48"/>
      <c r="L22" s="24">
        <v>4.17</v>
      </c>
      <c r="M22" s="25">
        <f t="shared" si="0"/>
        <v>66052.800000000003</v>
      </c>
      <c r="N22" s="48"/>
      <c r="O22" s="24">
        <v>7.14</v>
      </c>
      <c r="P22" s="50">
        <f t="shared" si="4"/>
        <v>113097.59999999999</v>
      </c>
      <c r="Q22" s="51">
        <f t="shared" si="5"/>
        <v>1602785.7547483589</v>
      </c>
      <c r="R22" s="52">
        <f t="shared" si="1"/>
        <v>111.45162052349342</v>
      </c>
      <c r="S22" s="21"/>
    </row>
    <row r="23" spans="1:19">
      <c r="A23" s="20"/>
      <c r="B23" s="22">
        <v>15</v>
      </c>
      <c r="C23" s="46">
        <f>Electricity!C22</f>
        <v>37</v>
      </c>
      <c r="D23" s="47">
        <f>Electricity!D22</f>
        <v>168</v>
      </c>
      <c r="E23" s="82"/>
      <c r="F23" s="24">
        <v>61.886678336980303</v>
      </c>
      <c r="G23" s="49">
        <f t="shared" si="2"/>
        <v>980284.98485776805</v>
      </c>
      <c r="H23" s="48"/>
      <c r="I23" s="50">
        <v>30.943339168490152</v>
      </c>
      <c r="J23" s="49">
        <f t="shared" si="3"/>
        <v>490142.49242888403</v>
      </c>
      <c r="K23" s="48"/>
      <c r="L23" s="24">
        <v>4.17</v>
      </c>
      <c r="M23" s="25">
        <f t="shared" si="0"/>
        <v>66052.800000000003</v>
      </c>
      <c r="N23" s="48"/>
      <c r="O23" s="24">
        <v>7.14</v>
      </c>
      <c r="P23" s="50">
        <f t="shared" si="4"/>
        <v>113097.59999999999</v>
      </c>
      <c r="Q23" s="51">
        <f t="shared" si="5"/>
        <v>1649577.8772866521</v>
      </c>
      <c r="R23" s="52">
        <f t="shared" si="1"/>
        <v>114.7053666147453</v>
      </c>
      <c r="S23" s="21"/>
    </row>
    <row r="24" spans="1:19">
      <c r="A24" s="20"/>
      <c r="B24" s="22">
        <v>16</v>
      </c>
      <c r="C24" s="46">
        <f>Electricity!C23</f>
        <v>44</v>
      </c>
      <c r="D24" s="47">
        <f>Electricity!D23</f>
        <v>183</v>
      </c>
      <c r="E24" s="82"/>
      <c r="F24" s="24">
        <v>67.79477461706783</v>
      </c>
      <c r="G24" s="49">
        <f t="shared" si="2"/>
        <v>1073869.2299343543</v>
      </c>
      <c r="H24" s="48"/>
      <c r="I24" s="50">
        <v>33.897387308533915</v>
      </c>
      <c r="J24" s="49">
        <f t="shared" si="3"/>
        <v>536934.61496717716</v>
      </c>
      <c r="K24" s="48"/>
      <c r="L24" s="24">
        <v>4.17</v>
      </c>
      <c r="M24" s="25">
        <f t="shared" si="0"/>
        <v>66052.800000000003</v>
      </c>
      <c r="N24" s="48"/>
      <c r="O24" s="24">
        <v>7.14</v>
      </c>
      <c r="P24" s="50">
        <f t="shared" si="4"/>
        <v>113097.59999999999</v>
      </c>
      <c r="Q24" s="51">
        <f t="shared" si="5"/>
        <v>1789954.2449015316</v>
      </c>
      <c r="R24" s="52">
        <f t="shared" si="1"/>
        <v>124.46660488850091</v>
      </c>
      <c r="S24" s="21"/>
    </row>
    <row r="25" spans="1:19">
      <c r="A25" s="20"/>
      <c r="B25" s="22">
        <v>17</v>
      </c>
      <c r="C25" s="46">
        <f>Electricity!C24</f>
        <v>46</v>
      </c>
      <c r="D25" s="47">
        <f>Electricity!D24</f>
        <v>180</v>
      </c>
      <c r="E25" s="82"/>
      <c r="F25" s="24">
        <v>66.613155361050318</v>
      </c>
      <c r="G25" s="49">
        <f t="shared" si="2"/>
        <v>1055152.3809190369</v>
      </c>
      <c r="H25" s="48"/>
      <c r="I25" s="50">
        <v>33.306577680525159</v>
      </c>
      <c r="J25" s="49">
        <f t="shared" si="3"/>
        <v>527576.19045951846</v>
      </c>
      <c r="K25" s="48"/>
      <c r="L25" s="24">
        <v>4.17</v>
      </c>
      <c r="M25" s="25">
        <f t="shared" si="0"/>
        <v>66052.800000000003</v>
      </c>
      <c r="N25" s="48"/>
      <c r="O25" s="24">
        <v>7.14</v>
      </c>
      <c r="P25" s="50">
        <f t="shared" si="4"/>
        <v>113097.59999999999</v>
      </c>
      <c r="Q25" s="51">
        <f t="shared" si="5"/>
        <v>1761878.9713785555</v>
      </c>
      <c r="R25" s="52">
        <f t="shared" si="1"/>
        <v>122.51435723374978</v>
      </c>
      <c r="S25" s="21"/>
    </row>
    <row r="26" spans="1:19">
      <c r="A26" s="20"/>
      <c r="B26" s="22">
        <v>18</v>
      </c>
      <c r="C26" s="46">
        <f>Electricity!C25</f>
        <v>40</v>
      </c>
      <c r="D26" s="47">
        <f>Electricity!D25</f>
        <v>211</v>
      </c>
      <c r="E26" s="82"/>
      <c r="F26" s="24">
        <v>78.823221006564566</v>
      </c>
      <c r="G26" s="49">
        <f t="shared" si="2"/>
        <v>1248559.8207439827</v>
      </c>
      <c r="H26" s="48"/>
      <c r="I26" s="50">
        <v>39.411610503282283</v>
      </c>
      <c r="J26" s="49">
        <f t="shared" si="3"/>
        <v>624279.91037199134</v>
      </c>
      <c r="K26" s="48"/>
      <c r="L26" s="24">
        <v>4.17</v>
      </c>
      <c r="M26" s="25">
        <f t="shared" si="0"/>
        <v>66052.800000000003</v>
      </c>
      <c r="N26" s="48"/>
      <c r="O26" s="24">
        <v>7.14</v>
      </c>
      <c r="P26" s="50">
        <f t="shared" si="4"/>
        <v>113097.59999999999</v>
      </c>
      <c r="Q26" s="51">
        <f t="shared" si="5"/>
        <v>2051990.1311159742</v>
      </c>
      <c r="R26" s="52">
        <f t="shared" si="1"/>
        <v>142.68758299951145</v>
      </c>
      <c r="S26" s="21"/>
    </row>
    <row r="27" spans="1:19">
      <c r="A27" s="20"/>
      <c r="B27" s="22">
        <v>19</v>
      </c>
      <c r="C27" s="46">
        <f>Electricity!C26</f>
        <v>46</v>
      </c>
      <c r="D27" s="47">
        <f>Electricity!D26</f>
        <v>176</v>
      </c>
      <c r="E27" s="82"/>
      <c r="F27" s="24">
        <v>65.037663019693653</v>
      </c>
      <c r="G27" s="49">
        <f t="shared" si="2"/>
        <v>1030196.5822319475</v>
      </c>
      <c r="H27" s="48"/>
      <c r="I27" s="50">
        <v>32.518831509846827</v>
      </c>
      <c r="J27" s="49">
        <f t="shared" si="3"/>
        <v>515098.29111597373</v>
      </c>
      <c r="K27" s="48"/>
      <c r="L27" s="24">
        <v>4.17</v>
      </c>
      <c r="M27" s="25">
        <f t="shared" si="0"/>
        <v>66052.800000000003</v>
      </c>
      <c r="N27" s="48"/>
      <c r="O27" s="24">
        <v>7.14</v>
      </c>
      <c r="P27" s="50">
        <f t="shared" si="4"/>
        <v>113097.59999999999</v>
      </c>
      <c r="Q27" s="51">
        <f t="shared" si="5"/>
        <v>1724445.2733479212</v>
      </c>
      <c r="R27" s="52">
        <f t="shared" si="1"/>
        <v>119.91136036074829</v>
      </c>
      <c r="S27" s="21"/>
    </row>
    <row r="28" spans="1:19">
      <c r="A28" s="20"/>
      <c r="B28" s="22">
        <v>20</v>
      </c>
      <c r="C28" s="46">
        <f>Electricity!C27</f>
        <v>50</v>
      </c>
      <c r="D28" s="47">
        <f>Electricity!D27</f>
        <v>256</v>
      </c>
      <c r="E28" s="82"/>
      <c r="F28" s="24">
        <v>96.54750984682714</v>
      </c>
      <c r="G28" s="49">
        <f t="shared" si="2"/>
        <v>1529312.5559737419</v>
      </c>
      <c r="H28" s="48"/>
      <c r="I28" s="50">
        <v>48.27375492341357</v>
      </c>
      <c r="J28" s="49">
        <f t="shared" si="3"/>
        <v>764656.27798687096</v>
      </c>
      <c r="K28" s="48"/>
      <c r="L28" s="24">
        <v>4.17</v>
      </c>
      <c r="M28" s="25">
        <f t="shared" si="0"/>
        <v>66052.800000000003</v>
      </c>
      <c r="N28" s="48"/>
      <c r="O28" s="24">
        <v>7.14</v>
      </c>
      <c r="P28" s="50">
        <f t="shared" si="4"/>
        <v>113097.59999999999</v>
      </c>
      <c r="Q28" s="51">
        <f t="shared" si="5"/>
        <v>2473119.2339606131</v>
      </c>
      <c r="R28" s="52">
        <f t="shared" si="1"/>
        <v>171.97129782077832</v>
      </c>
      <c r="S28" s="21"/>
    </row>
    <row r="29" spans="1:19">
      <c r="A29" s="20"/>
      <c r="B29" s="22">
        <v>21</v>
      </c>
      <c r="C29" s="46">
        <f>Electricity!C28</f>
        <v>53</v>
      </c>
      <c r="D29" s="47">
        <f>Electricity!D28</f>
        <v>269</v>
      </c>
      <c r="E29" s="82"/>
      <c r="F29" s="24">
        <v>101.66785995623633</v>
      </c>
      <c r="G29" s="49">
        <f t="shared" si="2"/>
        <v>1610418.9017067833</v>
      </c>
      <c r="H29" s="48"/>
      <c r="I29" s="50">
        <v>50.833929978118164</v>
      </c>
      <c r="J29" s="49">
        <f t="shared" si="3"/>
        <v>805209.45085339167</v>
      </c>
      <c r="K29" s="48"/>
      <c r="L29" s="24">
        <v>4.17</v>
      </c>
      <c r="M29" s="25">
        <f t="shared" si="0"/>
        <v>66052.800000000003</v>
      </c>
      <c r="N29" s="48"/>
      <c r="O29" s="24">
        <v>7.14</v>
      </c>
      <c r="P29" s="50">
        <f t="shared" si="4"/>
        <v>113097.59999999999</v>
      </c>
      <c r="Q29" s="51">
        <f t="shared" si="5"/>
        <v>2594778.752560175</v>
      </c>
      <c r="R29" s="52">
        <f t="shared" si="1"/>
        <v>180.43103765803318</v>
      </c>
      <c r="S29" s="21"/>
    </row>
    <row r="30" spans="1:19">
      <c r="A30" s="20"/>
      <c r="B30" s="22">
        <v>22</v>
      </c>
      <c r="C30" s="46">
        <f>Electricity!C29</f>
        <v>52</v>
      </c>
      <c r="D30" s="47">
        <f>Electricity!D29</f>
        <v>255</v>
      </c>
      <c r="E30" s="82"/>
      <c r="F30" s="24">
        <v>96.153636761487959</v>
      </c>
      <c r="G30" s="49">
        <f t="shared" si="2"/>
        <v>1523073.6063019694</v>
      </c>
      <c r="H30" s="48"/>
      <c r="I30" s="50">
        <v>48.07681838074398</v>
      </c>
      <c r="J30" s="49">
        <f t="shared" si="3"/>
        <v>761536.80315098469</v>
      </c>
      <c r="K30" s="48"/>
      <c r="L30" s="24">
        <v>4.17</v>
      </c>
      <c r="M30" s="25">
        <f t="shared" si="0"/>
        <v>66052.800000000003</v>
      </c>
      <c r="N30" s="48"/>
      <c r="O30" s="24">
        <v>7.14</v>
      </c>
      <c r="P30" s="50">
        <f t="shared" si="4"/>
        <v>113097.59999999999</v>
      </c>
      <c r="Q30" s="51">
        <f t="shared" si="5"/>
        <v>2463760.8094529542</v>
      </c>
      <c r="R30" s="52">
        <f t="shared" si="1"/>
        <v>171.32054860252794</v>
      </c>
      <c r="S30" s="21"/>
    </row>
    <row r="31" spans="1:19">
      <c r="A31" s="20"/>
      <c r="B31" s="22">
        <v>23</v>
      </c>
      <c r="C31" s="46">
        <f>Electricity!C30</f>
        <v>57</v>
      </c>
      <c r="D31" s="47">
        <f>Electricity!D30</f>
        <v>302</v>
      </c>
      <c r="E31" s="82"/>
      <c r="F31" s="24">
        <v>114.66567177242891</v>
      </c>
      <c r="G31" s="49">
        <f t="shared" si="2"/>
        <v>1816304.2408752739</v>
      </c>
      <c r="H31" s="48"/>
      <c r="I31" s="50">
        <v>57.332835886214454</v>
      </c>
      <c r="J31" s="49">
        <f t="shared" si="3"/>
        <v>908152.12043763697</v>
      </c>
      <c r="K31" s="48"/>
      <c r="L31" s="24">
        <v>4.17</v>
      </c>
      <c r="M31" s="25">
        <f t="shared" si="0"/>
        <v>66052.800000000003</v>
      </c>
      <c r="N31" s="48"/>
      <c r="O31" s="24">
        <v>7.14</v>
      </c>
      <c r="P31" s="50">
        <f t="shared" si="4"/>
        <v>113097.59999999999</v>
      </c>
      <c r="Q31" s="51">
        <f t="shared" si="5"/>
        <v>2903606.7613129108</v>
      </c>
      <c r="R31" s="52">
        <f t="shared" si="1"/>
        <v>201.9057618602956</v>
      </c>
      <c r="S31" s="21"/>
    </row>
    <row r="32" spans="1:19">
      <c r="A32" s="20"/>
      <c r="B32" s="22">
        <v>24</v>
      </c>
      <c r="C32" s="46">
        <f>Electricity!C31</f>
        <v>53</v>
      </c>
      <c r="D32" s="47">
        <f>Electricity!D31</f>
        <v>310</v>
      </c>
      <c r="E32" s="82"/>
      <c r="F32" s="81">
        <v>117.81665645514224</v>
      </c>
      <c r="G32" s="49">
        <f t="shared" si="2"/>
        <v>1866215.8382494531</v>
      </c>
      <c r="H32" s="48"/>
      <c r="I32" s="50">
        <v>58.908328227571118</v>
      </c>
      <c r="J32" s="49">
        <f t="shared" si="3"/>
        <v>933107.91912472656</v>
      </c>
      <c r="K32" s="48"/>
      <c r="L32" s="24">
        <v>4.17</v>
      </c>
      <c r="M32" s="25">
        <f t="shared" si="0"/>
        <v>66052.800000000003</v>
      </c>
      <c r="N32" s="48"/>
      <c r="O32" s="24">
        <v>7.14</v>
      </c>
      <c r="P32" s="50">
        <f t="shared" si="4"/>
        <v>113097.59999999999</v>
      </c>
      <c r="Q32" s="51">
        <f t="shared" si="5"/>
        <v>2978474.1573741799</v>
      </c>
      <c r="R32" s="52">
        <f t="shared" si="1"/>
        <v>207.11175560629857</v>
      </c>
      <c r="S32" s="21"/>
    </row>
    <row r="33" spans="1:21">
      <c r="A33" s="20"/>
      <c r="B33" s="22">
        <v>25</v>
      </c>
      <c r="C33" s="46">
        <f>Electricity!C32</f>
        <v>56</v>
      </c>
      <c r="D33" s="47">
        <f>Electricity!D32</f>
        <v>349</v>
      </c>
      <c r="E33" s="82"/>
      <c r="F33" s="81">
        <v>133.17770678336981</v>
      </c>
      <c r="G33" s="49">
        <f t="shared" si="2"/>
        <v>2109534.875448578</v>
      </c>
      <c r="H33" s="48"/>
      <c r="I33" s="50">
        <v>66.588853391684907</v>
      </c>
      <c r="J33" s="49">
        <f t="shared" si="3"/>
        <v>1054767.437724289</v>
      </c>
      <c r="K33" s="48"/>
      <c r="L33" s="24">
        <v>4.17</v>
      </c>
      <c r="M33" s="25">
        <f t="shared" si="0"/>
        <v>66052.800000000003</v>
      </c>
      <c r="N33" s="48"/>
      <c r="O33" s="24">
        <v>7.14</v>
      </c>
      <c r="P33" s="50">
        <f t="shared" si="4"/>
        <v>113097.59999999999</v>
      </c>
      <c r="Q33" s="51">
        <f t="shared" si="5"/>
        <v>3343452.7131728674</v>
      </c>
      <c r="R33" s="52">
        <f t="shared" si="1"/>
        <v>232.49097511806323</v>
      </c>
      <c r="S33" s="21"/>
    </row>
    <row r="34" spans="1:21">
      <c r="A34" s="20"/>
      <c r="B34" s="22">
        <v>26</v>
      </c>
      <c r="C34" s="46">
        <f>Electricity!C33</f>
        <v>56</v>
      </c>
      <c r="D34" s="47">
        <f>Electricity!D33</f>
        <v>281</v>
      </c>
      <c r="E34" s="82"/>
      <c r="F34" s="81">
        <v>106.39433698030636</v>
      </c>
      <c r="G34" s="49">
        <f t="shared" si="2"/>
        <v>1685286.2977680529</v>
      </c>
      <c r="H34" s="48"/>
      <c r="I34" s="50">
        <v>53.197168490153182</v>
      </c>
      <c r="J34" s="49">
        <f t="shared" si="3"/>
        <v>842643.14888402645</v>
      </c>
      <c r="K34" s="48"/>
      <c r="L34" s="24">
        <v>4.17</v>
      </c>
      <c r="M34" s="25">
        <f t="shared" si="0"/>
        <v>66052.800000000003</v>
      </c>
      <c r="N34" s="48"/>
      <c r="O34" s="24">
        <v>7.14</v>
      </c>
      <c r="P34" s="50">
        <f t="shared" si="4"/>
        <v>113097.59999999999</v>
      </c>
      <c r="Q34" s="51">
        <f t="shared" si="5"/>
        <v>2707079.8466520794</v>
      </c>
      <c r="R34" s="52">
        <f t="shared" si="1"/>
        <v>188.24002827703771</v>
      </c>
      <c r="S34" s="21"/>
    </row>
    <row r="35" spans="1:21">
      <c r="A35" s="20"/>
      <c r="B35" s="22">
        <v>27</v>
      </c>
      <c r="C35" s="46">
        <f>Electricity!C34</f>
        <v>52</v>
      </c>
      <c r="D35" s="47">
        <f>Electricity!D34</f>
        <v>300</v>
      </c>
      <c r="E35" s="82"/>
      <c r="F35" s="81">
        <v>113.87792560175055</v>
      </c>
      <c r="G35" s="49">
        <f t="shared" si="2"/>
        <v>1803826.3415317286</v>
      </c>
      <c r="H35" s="48"/>
      <c r="I35" s="50">
        <v>56.938962800875274</v>
      </c>
      <c r="J35" s="49">
        <f t="shared" si="3"/>
        <v>901913.17076586431</v>
      </c>
      <c r="K35" s="48"/>
      <c r="L35" s="24">
        <v>4.17</v>
      </c>
      <c r="M35" s="25">
        <f t="shared" si="0"/>
        <v>66052.800000000003</v>
      </c>
      <c r="N35" s="48"/>
      <c r="O35" s="24">
        <v>7.14</v>
      </c>
      <c r="P35" s="50">
        <f t="shared" si="4"/>
        <v>113097.59999999999</v>
      </c>
      <c r="Q35" s="51">
        <f t="shared" si="5"/>
        <v>2884889.912297593</v>
      </c>
      <c r="R35" s="52">
        <f t="shared" si="1"/>
        <v>200.60426342379481</v>
      </c>
      <c r="S35" s="21"/>
    </row>
    <row r="36" spans="1:21">
      <c r="A36" s="20"/>
      <c r="B36" s="22">
        <v>28</v>
      </c>
      <c r="C36" s="46">
        <f>Electricity!C35</f>
        <v>50</v>
      </c>
      <c r="D36" s="47">
        <f>Electricity!D35</f>
        <v>309</v>
      </c>
      <c r="E36" s="82"/>
      <c r="F36" s="81">
        <v>117.42278336980307</v>
      </c>
      <c r="G36" s="49">
        <f t="shared" si="2"/>
        <v>1859976.8885776806</v>
      </c>
      <c r="H36" s="48"/>
      <c r="I36" s="50">
        <v>58.711391684901535</v>
      </c>
      <c r="J36" s="49">
        <f t="shared" si="3"/>
        <v>929988.44428884028</v>
      </c>
      <c r="K36" s="48"/>
      <c r="L36" s="24">
        <v>4.17</v>
      </c>
      <c r="M36" s="25">
        <f t="shared" si="0"/>
        <v>66052.800000000003</v>
      </c>
      <c r="N36" s="48"/>
      <c r="O36" s="24">
        <v>7.14</v>
      </c>
      <c r="P36" s="50">
        <f t="shared" si="4"/>
        <v>113097.59999999999</v>
      </c>
      <c r="Q36" s="51">
        <f t="shared" si="5"/>
        <v>2969115.732866521</v>
      </c>
      <c r="R36" s="52">
        <f t="shared" si="1"/>
        <v>206.46100638804819</v>
      </c>
      <c r="S36" s="21"/>
    </row>
    <row r="37" spans="1:21">
      <c r="A37" s="20"/>
      <c r="B37" s="22">
        <v>29</v>
      </c>
      <c r="C37" s="46">
        <f>Electricity!C36</f>
        <v>56</v>
      </c>
      <c r="D37" s="47">
        <f>Electricity!D36</f>
        <v>332</v>
      </c>
      <c r="E37" s="80"/>
      <c r="F37" s="81">
        <v>126.48186433260393</v>
      </c>
      <c r="G37" s="49">
        <f t="shared" si="2"/>
        <v>2003472.7310284462</v>
      </c>
      <c r="H37" s="48"/>
      <c r="I37" s="50">
        <v>63.240932166301967</v>
      </c>
      <c r="J37" s="49">
        <f t="shared" si="3"/>
        <v>1001736.3655142231</v>
      </c>
      <c r="K37" s="48"/>
      <c r="L37" s="24">
        <v>4.17</v>
      </c>
      <c r="M37" s="25">
        <f t="shared" si="0"/>
        <v>66052.800000000003</v>
      </c>
      <c r="N37" s="48"/>
      <c r="O37" s="24">
        <v>7.14</v>
      </c>
      <c r="P37" s="50">
        <f t="shared" si="4"/>
        <v>113097.59999999999</v>
      </c>
      <c r="Q37" s="51">
        <f t="shared" si="5"/>
        <v>3184359.4965426694</v>
      </c>
      <c r="R37" s="52">
        <f t="shared" si="1"/>
        <v>221.42823840780679</v>
      </c>
      <c r="S37" s="21"/>
    </row>
    <row r="38" spans="1:21">
      <c r="A38" s="20"/>
      <c r="B38" s="22">
        <v>30</v>
      </c>
      <c r="C38" s="46">
        <f>Electricity!C37</f>
        <v>54</v>
      </c>
      <c r="D38" s="47">
        <f>Electricity!D37</f>
        <v>415</v>
      </c>
      <c r="E38" s="80"/>
      <c r="F38" s="81">
        <v>159.17333041575492</v>
      </c>
      <c r="G38" s="49">
        <f t="shared" si="2"/>
        <v>2521305.5537855579</v>
      </c>
      <c r="H38" s="48"/>
      <c r="I38" s="50">
        <v>79.586665207877459</v>
      </c>
      <c r="J38" s="49">
        <f t="shared" si="3"/>
        <v>1260652.7768927789</v>
      </c>
      <c r="K38" s="48"/>
      <c r="L38" s="24">
        <v>4.17</v>
      </c>
      <c r="M38" s="25">
        <f t="shared" si="0"/>
        <v>66052.800000000003</v>
      </c>
      <c r="N38" s="48"/>
      <c r="O38" s="24">
        <v>7.14</v>
      </c>
      <c r="P38" s="50">
        <f t="shared" si="4"/>
        <v>113097.59999999999</v>
      </c>
      <c r="Q38" s="51">
        <f t="shared" si="5"/>
        <v>3961108.7306783372</v>
      </c>
      <c r="R38" s="52">
        <f t="shared" si="1"/>
        <v>275.44042352258793</v>
      </c>
      <c r="S38" s="21"/>
    </row>
    <row r="39" spans="1:21" ht="15.75" thickBot="1">
      <c r="A39" s="20"/>
      <c r="B39" s="22">
        <v>31</v>
      </c>
      <c r="C39" s="46">
        <f>Electricity!C38</f>
        <v>53</v>
      </c>
      <c r="D39" s="47">
        <f>Electricity!D38</f>
        <v>427</v>
      </c>
      <c r="E39" s="80"/>
      <c r="F39" s="81">
        <v>155.70481706783372</v>
      </c>
      <c r="G39" s="49">
        <f t="shared" si="2"/>
        <v>2466364.3023544862</v>
      </c>
      <c r="H39" s="48"/>
      <c r="I39" s="96">
        <v>81.949903719912484</v>
      </c>
      <c r="J39" s="49">
        <f t="shared" si="3"/>
        <v>1298086.4749234137</v>
      </c>
      <c r="K39" s="48"/>
      <c r="L39" s="24">
        <v>4.17</v>
      </c>
      <c r="M39" s="25">
        <f t="shared" si="0"/>
        <v>66052.800000000003</v>
      </c>
      <c r="N39" s="48"/>
      <c r="O39" s="24">
        <v>7.14</v>
      </c>
      <c r="P39" s="50">
        <f t="shared" si="4"/>
        <v>113097.59999999999</v>
      </c>
      <c r="Q39" s="51">
        <f t="shared" si="5"/>
        <v>3943601.1772778998</v>
      </c>
      <c r="R39" s="52">
        <f t="shared" si="1"/>
        <v>274.22301490006953</v>
      </c>
      <c r="S39" s="21"/>
    </row>
    <row r="40" spans="1:21">
      <c r="C40" s="53">
        <f>SUM(C9:C39)</f>
        <v>1284</v>
      </c>
      <c r="D40" s="53">
        <f>SUM(D9:D39)</f>
        <v>6855</v>
      </c>
      <c r="E40" s="30"/>
      <c r="F40" s="30">
        <f>SUM(F9:F39)</f>
        <v>2559.0010096280084</v>
      </c>
      <c r="G40" s="40"/>
      <c r="H40" s="40"/>
      <c r="I40" s="30" t="s">
        <v>43</v>
      </c>
      <c r="J40" s="40"/>
      <c r="K40" s="40"/>
      <c r="L40" s="30" t="s">
        <v>43</v>
      </c>
      <c r="M40" s="40"/>
      <c r="N40" s="39"/>
      <c r="O40" s="30">
        <f>SUM(O9:O39)</f>
        <v>221.3399999999998</v>
      </c>
      <c r="P40" s="40"/>
      <c r="Q40"/>
      <c r="R40" s="93">
        <f>SUM(R9:R39)</f>
        <v>4618.6239282739498</v>
      </c>
      <c r="U40" s="35"/>
    </row>
    <row r="41" spans="1:21">
      <c r="E41" s="54"/>
      <c r="F41" s="55"/>
      <c r="G41" s="41"/>
      <c r="H41" s="41"/>
      <c r="I41" s="41"/>
      <c r="J41" s="41"/>
      <c r="K41" s="41"/>
      <c r="L41" s="41"/>
      <c r="M41" s="41"/>
      <c r="N41" s="59" t="s">
        <v>44</v>
      </c>
      <c r="O41" s="63">
        <f>F40+O40</f>
        <v>2780.3410096280081</v>
      </c>
      <c r="P41" s="56"/>
      <c r="Q41" s="30"/>
      <c r="R41" s="41"/>
      <c r="U41" s="37"/>
    </row>
    <row r="42" spans="1:21">
      <c r="B42" s="57"/>
      <c r="E42" s="39"/>
      <c r="F42" s="40"/>
      <c r="G42" s="40"/>
      <c r="H42" s="40"/>
      <c r="I42" s="40"/>
      <c r="J42" s="40"/>
      <c r="K42" s="40"/>
      <c r="L42" s="40"/>
      <c r="M42" s="41"/>
      <c r="N42" s="39"/>
      <c r="O42" s="40"/>
      <c r="P42" s="40"/>
      <c r="Q42" s="42"/>
      <c r="R42" s="58"/>
    </row>
    <row r="43" spans="1:21">
      <c r="E43" s="59"/>
      <c r="F43" s="59"/>
      <c r="G43" s="59"/>
      <c r="H43" s="59"/>
      <c r="I43" s="59"/>
      <c r="J43" s="59"/>
      <c r="K43" s="59"/>
      <c r="L43" s="59"/>
      <c r="M43" s="60"/>
      <c r="N43" s="59"/>
      <c r="O43" s="59"/>
      <c r="Q43" s="59"/>
      <c r="R43" s="61"/>
    </row>
    <row r="44" spans="1:21">
      <c r="R44" s="61"/>
    </row>
  </sheetData>
  <mergeCells count="20">
    <mergeCell ref="I7:I8"/>
    <mergeCell ref="K7:K8"/>
    <mergeCell ref="L7:L8"/>
    <mergeCell ref="N7:N8"/>
    <mergeCell ref="O7:O8"/>
    <mergeCell ref="B1:R1"/>
    <mergeCell ref="B2:R2"/>
    <mergeCell ref="B4:R4"/>
    <mergeCell ref="B5:B8"/>
    <mergeCell ref="C5:C8"/>
    <mergeCell ref="D5:D8"/>
    <mergeCell ref="E5:P5"/>
    <mergeCell ref="Q5:R7"/>
    <mergeCell ref="E6:G6"/>
    <mergeCell ref="H6:J6"/>
    <mergeCell ref="K6:M6"/>
    <mergeCell ref="N6:P6"/>
    <mergeCell ref="E7:E8"/>
    <mergeCell ref="F7:F8"/>
    <mergeCell ref="H7:H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3"/>
  <sheetViews>
    <sheetView topLeftCell="A4" workbookViewId="0">
      <selection activeCell="K21" sqref="K21"/>
    </sheetView>
  </sheetViews>
  <sheetFormatPr defaultRowHeight="15"/>
  <cols>
    <col min="1" max="1" width="2.5703125" customWidth="1"/>
    <col min="2" max="2" width="5.42578125" customWidth="1"/>
    <col min="3" max="3" width="6.42578125" customWidth="1"/>
    <col min="4" max="4" width="8.42578125" style="19" customWidth="1"/>
    <col min="5" max="5" width="9.85546875" style="19" customWidth="1"/>
    <col min="6" max="6" width="8" style="76" bestFit="1" customWidth="1"/>
    <col min="7" max="7" width="13.28515625" style="76" bestFit="1" customWidth="1"/>
    <col min="8" max="8" width="16.28515625" style="31" customWidth="1"/>
    <col min="9" max="9" width="2.5703125" customWidth="1"/>
    <col min="11" max="11" width="21.5703125" customWidth="1"/>
  </cols>
  <sheetData>
    <row r="1" spans="1:9" ht="15.75">
      <c r="B1" s="98" t="s">
        <v>45</v>
      </c>
      <c r="C1" s="98"/>
      <c r="D1" s="98"/>
      <c r="E1" s="98"/>
      <c r="F1" s="98"/>
      <c r="G1" s="98"/>
      <c r="H1" s="98"/>
    </row>
    <row r="2" spans="1:9" ht="15.75">
      <c r="B2" s="98" t="s">
        <v>16</v>
      </c>
      <c r="C2" s="98"/>
      <c r="D2" s="98"/>
      <c r="E2" s="98"/>
      <c r="F2" s="98"/>
      <c r="G2" s="98"/>
      <c r="H2" s="98"/>
    </row>
    <row r="3" spans="1:9">
      <c r="B3" s="13"/>
      <c r="C3" s="14"/>
      <c r="D3" s="15"/>
      <c r="E3" s="15"/>
      <c r="F3" s="64"/>
      <c r="G3" s="64"/>
      <c r="H3" s="14"/>
    </row>
    <row r="4" spans="1:9">
      <c r="A4" s="65"/>
      <c r="B4" s="102">
        <v>43800</v>
      </c>
      <c r="C4" s="102"/>
      <c r="D4" s="102"/>
      <c r="E4" s="102"/>
      <c r="F4" s="102"/>
      <c r="G4" s="102"/>
      <c r="H4" s="102"/>
      <c r="I4" s="16"/>
    </row>
    <row r="5" spans="1:9">
      <c r="A5" s="66"/>
      <c r="B5" s="97" t="s">
        <v>46</v>
      </c>
      <c r="C5" s="97" t="s">
        <v>18</v>
      </c>
      <c r="D5" s="97" t="s">
        <v>13</v>
      </c>
      <c r="E5" s="97" t="s">
        <v>47</v>
      </c>
      <c r="F5" s="97"/>
      <c r="G5" s="97"/>
      <c r="H5" s="97" t="s">
        <v>23</v>
      </c>
      <c r="I5" s="18"/>
    </row>
    <row r="6" spans="1:9">
      <c r="A6" s="66"/>
      <c r="B6" s="97"/>
      <c r="C6" s="97"/>
      <c r="D6" s="97"/>
      <c r="E6" s="97"/>
      <c r="F6" s="97"/>
      <c r="G6" s="97"/>
      <c r="H6" s="97"/>
      <c r="I6" s="18"/>
    </row>
    <row r="7" spans="1:9" s="19" customFormat="1" ht="22.5">
      <c r="A7" s="66"/>
      <c r="B7" s="97"/>
      <c r="C7" s="97"/>
      <c r="D7" s="97"/>
      <c r="E7" s="43" t="s">
        <v>36</v>
      </c>
      <c r="F7" s="108" t="s">
        <v>48</v>
      </c>
      <c r="G7" s="67" t="s">
        <v>40</v>
      </c>
      <c r="H7" s="97"/>
      <c r="I7" s="18"/>
    </row>
    <row r="8" spans="1:9" s="19" customFormat="1">
      <c r="A8" s="66"/>
      <c r="B8" s="97"/>
      <c r="C8" s="97"/>
      <c r="D8" s="97"/>
      <c r="E8" s="68">
        <v>2745</v>
      </c>
      <c r="F8" s="108"/>
      <c r="G8" s="67">
        <v>10700</v>
      </c>
      <c r="H8" s="97"/>
      <c r="I8" s="18"/>
    </row>
    <row r="9" spans="1:9">
      <c r="A9" s="69"/>
      <c r="B9" s="22">
        <v>1</v>
      </c>
      <c r="C9" s="23">
        <f>Gas!C9</f>
        <v>36</v>
      </c>
      <c r="D9" s="23">
        <f>Gas!D9</f>
        <v>198</v>
      </c>
      <c r="E9" s="70"/>
      <c r="F9" s="71">
        <v>0</v>
      </c>
      <c r="G9" s="71">
        <f t="shared" ref="G9:G39" si="0">F9*$G$8</f>
        <v>0</v>
      </c>
      <c r="H9" s="85">
        <f>G9/14381</f>
        <v>0</v>
      </c>
      <c r="I9" s="21"/>
    </row>
    <row r="10" spans="1:9">
      <c r="A10" s="69"/>
      <c r="B10" s="22">
        <v>2</v>
      </c>
      <c r="C10" s="23">
        <f>Gas!C10</f>
        <v>42</v>
      </c>
      <c r="D10" s="23">
        <f>Gas!D10</f>
        <v>178</v>
      </c>
      <c r="E10" s="70"/>
      <c r="F10" s="72">
        <v>230</v>
      </c>
      <c r="G10" s="71">
        <f>F10*$G$8</f>
        <v>2461000</v>
      </c>
      <c r="H10" s="85">
        <f t="shared" ref="H10:H39" si="1">G10/14381</f>
        <v>171.12857242194562</v>
      </c>
      <c r="I10" s="21"/>
    </row>
    <row r="11" spans="1:9">
      <c r="A11" s="69"/>
      <c r="B11" s="22">
        <v>3</v>
      </c>
      <c r="C11" s="23">
        <f>Gas!C11</f>
        <v>41</v>
      </c>
      <c r="D11" s="23">
        <f>Gas!D11</f>
        <v>183</v>
      </c>
      <c r="E11" s="70"/>
      <c r="F11" s="72">
        <v>0</v>
      </c>
      <c r="G11" s="71">
        <f t="shared" si="0"/>
        <v>0</v>
      </c>
      <c r="H11" s="85">
        <f t="shared" si="1"/>
        <v>0</v>
      </c>
      <c r="I11" s="21"/>
    </row>
    <row r="12" spans="1:9">
      <c r="A12" s="69"/>
      <c r="B12" s="22">
        <v>4</v>
      </c>
      <c r="C12" s="23">
        <f>Gas!C12</f>
        <v>36</v>
      </c>
      <c r="D12" s="23">
        <f>Gas!D12</f>
        <v>202</v>
      </c>
      <c r="E12" s="70"/>
      <c r="F12" s="72">
        <v>0</v>
      </c>
      <c r="G12" s="71">
        <f t="shared" si="0"/>
        <v>0</v>
      </c>
      <c r="H12" s="85">
        <f t="shared" si="1"/>
        <v>0</v>
      </c>
      <c r="I12" s="21"/>
    </row>
    <row r="13" spans="1:9">
      <c r="A13" s="69"/>
      <c r="B13" s="22">
        <v>5</v>
      </c>
      <c r="C13" s="23">
        <f>Gas!C13</f>
        <v>38</v>
      </c>
      <c r="D13" s="23">
        <f>Gas!D13</f>
        <v>163</v>
      </c>
      <c r="E13" s="70"/>
      <c r="F13" s="72">
        <v>0</v>
      </c>
      <c r="G13" s="71">
        <f t="shared" si="0"/>
        <v>0</v>
      </c>
      <c r="H13" s="85">
        <f t="shared" si="1"/>
        <v>0</v>
      </c>
      <c r="I13" s="21"/>
    </row>
    <row r="14" spans="1:9">
      <c r="A14" s="69"/>
      <c r="B14" s="22">
        <v>6</v>
      </c>
      <c r="C14" s="23">
        <f>Gas!C14</f>
        <v>26</v>
      </c>
      <c r="D14" s="23">
        <f>Gas!D14</f>
        <v>172</v>
      </c>
      <c r="E14" s="70"/>
      <c r="F14" s="72">
        <v>0</v>
      </c>
      <c r="G14" s="71">
        <f t="shared" si="0"/>
        <v>0</v>
      </c>
      <c r="H14" s="85">
        <f t="shared" si="1"/>
        <v>0</v>
      </c>
      <c r="I14" s="21"/>
    </row>
    <row r="15" spans="1:9">
      <c r="A15" s="69"/>
      <c r="B15" s="22">
        <v>7</v>
      </c>
      <c r="C15" s="23">
        <f>Gas!C15</f>
        <v>21</v>
      </c>
      <c r="D15" s="23">
        <f>Gas!D15</f>
        <v>122</v>
      </c>
      <c r="E15" s="70"/>
      <c r="F15" s="72">
        <v>0</v>
      </c>
      <c r="G15" s="71">
        <f t="shared" si="0"/>
        <v>0</v>
      </c>
      <c r="H15" s="85">
        <f t="shared" si="1"/>
        <v>0</v>
      </c>
      <c r="I15" s="21"/>
    </row>
    <row r="16" spans="1:9">
      <c r="A16" s="69"/>
      <c r="B16" s="22">
        <v>8</v>
      </c>
      <c r="C16" s="23">
        <f>Gas!C16</f>
        <v>21</v>
      </c>
      <c r="D16" s="23">
        <f>Gas!D16</f>
        <v>114</v>
      </c>
      <c r="E16" s="70"/>
      <c r="F16" s="72">
        <v>0</v>
      </c>
      <c r="G16" s="71">
        <f t="shared" si="0"/>
        <v>0</v>
      </c>
      <c r="H16" s="85">
        <f t="shared" si="1"/>
        <v>0</v>
      </c>
      <c r="I16" s="21"/>
    </row>
    <row r="17" spans="1:9">
      <c r="A17" s="69"/>
      <c r="B17" s="22">
        <v>9</v>
      </c>
      <c r="C17" s="23">
        <f>Gas!C17</f>
        <v>25</v>
      </c>
      <c r="D17" s="23">
        <f>Gas!D17</f>
        <v>97</v>
      </c>
      <c r="E17" s="70"/>
      <c r="F17" s="72">
        <v>50</v>
      </c>
      <c r="G17" s="71">
        <f t="shared" si="0"/>
        <v>535000</v>
      </c>
      <c r="H17" s="85">
        <f t="shared" si="1"/>
        <v>37.201863569988177</v>
      </c>
      <c r="I17" s="21"/>
    </row>
    <row r="18" spans="1:9">
      <c r="A18" s="69"/>
      <c r="B18" s="22">
        <v>10</v>
      </c>
      <c r="C18" s="23">
        <f>Gas!C18</f>
        <v>24</v>
      </c>
      <c r="D18" s="23">
        <f>Gas!D18</f>
        <v>133</v>
      </c>
      <c r="E18" s="70"/>
      <c r="F18" s="72">
        <v>0</v>
      </c>
      <c r="G18" s="71">
        <f t="shared" si="0"/>
        <v>0</v>
      </c>
      <c r="H18" s="85">
        <f t="shared" si="1"/>
        <v>0</v>
      </c>
      <c r="I18" s="21"/>
    </row>
    <row r="19" spans="1:9">
      <c r="A19" s="69"/>
      <c r="B19" s="22">
        <v>11</v>
      </c>
      <c r="C19" s="23">
        <f>Gas!C19</f>
        <v>31</v>
      </c>
      <c r="D19" s="23">
        <f>Gas!D19</f>
        <v>147</v>
      </c>
      <c r="E19" s="70"/>
      <c r="F19" s="72">
        <v>0</v>
      </c>
      <c r="G19" s="71">
        <f t="shared" si="0"/>
        <v>0</v>
      </c>
      <c r="H19" s="85">
        <f t="shared" si="1"/>
        <v>0</v>
      </c>
      <c r="I19" s="21"/>
    </row>
    <row r="20" spans="1:9">
      <c r="A20" s="69"/>
      <c r="B20" s="22">
        <v>12</v>
      </c>
      <c r="C20" s="23">
        <f>Gas!C20</f>
        <v>28</v>
      </c>
      <c r="D20" s="23">
        <f>Gas!D20</f>
        <v>130</v>
      </c>
      <c r="E20" s="70"/>
      <c r="F20" s="72">
        <v>0</v>
      </c>
      <c r="G20" s="71">
        <f t="shared" si="0"/>
        <v>0</v>
      </c>
      <c r="H20" s="85">
        <f t="shared" si="1"/>
        <v>0</v>
      </c>
      <c r="I20" s="21"/>
    </row>
    <row r="21" spans="1:9">
      <c r="A21" s="69"/>
      <c r="B21" s="22">
        <v>13</v>
      </c>
      <c r="C21" s="23">
        <f>Gas!C21</f>
        <v>23</v>
      </c>
      <c r="D21" s="23">
        <f>Gas!D21</f>
        <v>130</v>
      </c>
      <c r="E21" s="70"/>
      <c r="F21" s="72">
        <v>0</v>
      </c>
      <c r="G21" s="71">
        <f t="shared" si="0"/>
        <v>0</v>
      </c>
      <c r="H21" s="85">
        <f t="shared" si="1"/>
        <v>0</v>
      </c>
      <c r="I21" s="21"/>
    </row>
    <row r="22" spans="1:9">
      <c r="A22" s="69"/>
      <c r="B22" s="22">
        <v>14</v>
      </c>
      <c r="C22" s="23">
        <f>Gas!C22</f>
        <v>37</v>
      </c>
      <c r="D22" s="23">
        <f>Gas!D22</f>
        <v>163</v>
      </c>
      <c r="E22" s="70"/>
      <c r="F22" s="72">
        <v>0</v>
      </c>
      <c r="G22" s="71">
        <f t="shared" si="0"/>
        <v>0</v>
      </c>
      <c r="H22" s="85">
        <f t="shared" si="1"/>
        <v>0</v>
      </c>
      <c r="I22" s="21"/>
    </row>
    <row r="23" spans="1:9">
      <c r="A23" s="69"/>
      <c r="B23" s="22">
        <v>15</v>
      </c>
      <c r="C23" s="23">
        <f>Gas!C23</f>
        <v>37</v>
      </c>
      <c r="D23" s="23">
        <f>Gas!D23</f>
        <v>168</v>
      </c>
      <c r="E23" s="70"/>
      <c r="F23" s="72">
        <v>0</v>
      </c>
      <c r="G23" s="71">
        <f t="shared" si="0"/>
        <v>0</v>
      </c>
      <c r="H23" s="85">
        <f t="shared" si="1"/>
        <v>0</v>
      </c>
      <c r="I23" s="21"/>
    </row>
    <row r="24" spans="1:9">
      <c r="A24" s="69"/>
      <c r="B24" s="22">
        <v>16</v>
      </c>
      <c r="C24" s="23">
        <f>Gas!C24</f>
        <v>44</v>
      </c>
      <c r="D24" s="23">
        <f>Gas!D24</f>
        <v>183</v>
      </c>
      <c r="E24" s="70"/>
      <c r="F24" s="72">
        <v>50</v>
      </c>
      <c r="G24" s="71">
        <f t="shared" si="0"/>
        <v>535000</v>
      </c>
      <c r="H24" s="85">
        <f t="shared" si="1"/>
        <v>37.201863569988177</v>
      </c>
      <c r="I24" s="21"/>
    </row>
    <row r="25" spans="1:9">
      <c r="A25" s="69"/>
      <c r="B25" s="22">
        <v>17</v>
      </c>
      <c r="C25" s="23">
        <f>Gas!C25</f>
        <v>46</v>
      </c>
      <c r="D25" s="23">
        <f>Gas!D25</f>
        <v>180</v>
      </c>
      <c r="E25" s="70"/>
      <c r="F25" s="72">
        <v>0</v>
      </c>
      <c r="G25" s="71">
        <f t="shared" si="0"/>
        <v>0</v>
      </c>
      <c r="H25" s="85">
        <f t="shared" si="1"/>
        <v>0</v>
      </c>
      <c r="I25" s="21"/>
    </row>
    <row r="26" spans="1:9">
      <c r="A26" s="69"/>
      <c r="B26" s="22">
        <v>18</v>
      </c>
      <c r="C26" s="23">
        <f>Gas!C26</f>
        <v>40</v>
      </c>
      <c r="D26" s="23">
        <f>Gas!D26</f>
        <v>211</v>
      </c>
      <c r="E26" s="70"/>
      <c r="F26" s="72">
        <v>0</v>
      </c>
      <c r="G26" s="71">
        <f t="shared" si="0"/>
        <v>0</v>
      </c>
      <c r="H26" s="85">
        <f t="shared" si="1"/>
        <v>0</v>
      </c>
      <c r="I26" s="21"/>
    </row>
    <row r="27" spans="1:9">
      <c r="A27" s="69"/>
      <c r="B27" s="22">
        <v>19</v>
      </c>
      <c r="C27" s="23">
        <f>Gas!C27</f>
        <v>46</v>
      </c>
      <c r="D27" s="23">
        <f>Gas!D27</f>
        <v>176</v>
      </c>
      <c r="E27" s="70"/>
      <c r="F27" s="72">
        <v>0</v>
      </c>
      <c r="G27" s="71">
        <f t="shared" si="0"/>
        <v>0</v>
      </c>
      <c r="H27" s="85">
        <f t="shared" si="1"/>
        <v>0</v>
      </c>
      <c r="I27" s="21"/>
    </row>
    <row r="28" spans="1:9">
      <c r="A28" s="69"/>
      <c r="B28" s="22">
        <v>20</v>
      </c>
      <c r="C28" s="23">
        <f>Gas!C28</f>
        <v>50</v>
      </c>
      <c r="D28" s="23">
        <f>Gas!D28</f>
        <v>256</v>
      </c>
      <c r="E28" s="70"/>
      <c r="F28" s="71">
        <v>0</v>
      </c>
      <c r="G28" s="71">
        <f t="shared" si="0"/>
        <v>0</v>
      </c>
      <c r="H28" s="85">
        <f t="shared" si="1"/>
        <v>0</v>
      </c>
      <c r="I28" s="21"/>
    </row>
    <row r="29" spans="1:9">
      <c r="A29" s="69"/>
      <c r="B29" s="22">
        <v>21</v>
      </c>
      <c r="C29" s="23">
        <f>Gas!C29</f>
        <v>53</v>
      </c>
      <c r="D29" s="23">
        <f>Gas!D29</f>
        <v>269</v>
      </c>
      <c r="E29" s="70"/>
      <c r="F29" s="72">
        <v>0</v>
      </c>
      <c r="G29" s="71">
        <f t="shared" si="0"/>
        <v>0</v>
      </c>
      <c r="H29" s="85">
        <f t="shared" si="1"/>
        <v>0</v>
      </c>
      <c r="I29" s="21"/>
    </row>
    <row r="30" spans="1:9">
      <c r="A30" s="69"/>
      <c r="B30" s="22">
        <v>22</v>
      </c>
      <c r="C30" s="23">
        <f>Gas!C30</f>
        <v>52</v>
      </c>
      <c r="D30" s="23">
        <f>Gas!D30</f>
        <v>255</v>
      </c>
      <c r="E30" s="70"/>
      <c r="F30" s="71">
        <v>0</v>
      </c>
      <c r="G30" s="71">
        <f t="shared" si="0"/>
        <v>0</v>
      </c>
      <c r="H30" s="85">
        <f t="shared" si="1"/>
        <v>0</v>
      </c>
      <c r="I30" s="21"/>
    </row>
    <row r="31" spans="1:9">
      <c r="A31" s="69"/>
      <c r="B31" s="22">
        <v>23</v>
      </c>
      <c r="C31" s="23">
        <f>Gas!C31</f>
        <v>57</v>
      </c>
      <c r="D31" s="23">
        <f>Gas!D31</f>
        <v>302</v>
      </c>
      <c r="E31" s="70"/>
      <c r="F31" s="71">
        <v>50</v>
      </c>
      <c r="G31" s="71">
        <f t="shared" si="0"/>
        <v>535000</v>
      </c>
      <c r="H31" s="85">
        <f t="shared" si="1"/>
        <v>37.201863569988177</v>
      </c>
      <c r="I31" s="21"/>
    </row>
    <row r="32" spans="1:9">
      <c r="A32" s="69"/>
      <c r="B32" s="22">
        <v>24</v>
      </c>
      <c r="C32" s="23">
        <f>Gas!C32</f>
        <v>53</v>
      </c>
      <c r="D32" s="23">
        <f>Gas!D32</f>
        <v>310</v>
      </c>
      <c r="E32" s="70"/>
      <c r="F32" s="71">
        <v>0</v>
      </c>
      <c r="G32" s="71"/>
      <c r="H32" s="85">
        <f t="shared" si="1"/>
        <v>0</v>
      </c>
      <c r="I32" s="21"/>
    </row>
    <row r="33" spans="1:11">
      <c r="A33" s="69"/>
      <c r="B33" s="22">
        <v>25</v>
      </c>
      <c r="C33" s="23">
        <f>Gas!C33</f>
        <v>56</v>
      </c>
      <c r="D33" s="23">
        <f>Gas!D33</f>
        <v>349</v>
      </c>
      <c r="E33" s="70"/>
      <c r="F33" s="71">
        <v>0</v>
      </c>
      <c r="G33" s="71">
        <f t="shared" si="0"/>
        <v>0</v>
      </c>
      <c r="H33" s="85">
        <f t="shared" si="1"/>
        <v>0</v>
      </c>
      <c r="I33" s="21"/>
    </row>
    <row r="34" spans="1:11">
      <c r="A34" s="69"/>
      <c r="B34" s="22">
        <v>26</v>
      </c>
      <c r="C34" s="23">
        <f>Gas!C34</f>
        <v>56</v>
      </c>
      <c r="D34" s="23">
        <f>Gas!D34</f>
        <v>281</v>
      </c>
      <c r="E34" s="70"/>
      <c r="F34" s="71">
        <v>0</v>
      </c>
      <c r="G34" s="71">
        <f t="shared" si="0"/>
        <v>0</v>
      </c>
      <c r="H34" s="85">
        <f t="shared" si="1"/>
        <v>0</v>
      </c>
      <c r="I34" s="21"/>
    </row>
    <row r="35" spans="1:11">
      <c r="A35" s="69"/>
      <c r="B35" s="22">
        <v>27</v>
      </c>
      <c r="C35" s="23">
        <f>Gas!C35</f>
        <v>52</v>
      </c>
      <c r="D35" s="23">
        <f>Gas!D35</f>
        <v>300</v>
      </c>
      <c r="E35" s="70"/>
      <c r="F35" s="71">
        <v>0</v>
      </c>
      <c r="G35" s="71">
        <f t="shared" si="0"/>
        <v>0</v>
      </c>
      <c r="H35" s="85">
        <f t="shared" si="1"/>
        <v>0</v>
      </c>
      <c r="I35" s="21"/>
    </row>
    <row r="36" spans="1:11">
      <c r="A36" s="69"/>
      <c r="B36" s="22">
        <v>28</v>
      </c>
      <c r="C36" s="23">
        <f>Gas!C36</f>
        <v>50</v>
      </c>
      <c r="D36" s="23">
        <f>Gas!D36</f>
        <v>309</v>
      </c>
      <c r="E36" s="70"/>
      <c r="F36" s="71">
        <v>0</v>
      </c>
      <c r="G36" s="71">
        <f t="shared" si="0"/>
        <v>0</v>
      </c>
      <c r="H36" s="85">
        <f t="shared" si="1"/>
        <v>0</v>
      </c>
      <c r="I36" s="21"/>
    </row>
    <row r="37" spans="1:11">
      <c r="A37" s="69"/>
      <c r="B37" s="22">
        <v>29</v>
      </c>
      <c r="C37" s="23">
        <f>Gas!C37</f>
        <v>56</v>
      </c>
      <c r="D37" s="23">
        <f>Gas!D37</f>
        <v>332</v>
      </c>
      <c r="E37" s="70"/>
      <c r="F37" s="71">
        <v>760</v>
      </c>
      <c r="G37" s="71">
        <f t="shared" si="0"/>
        <v>8132000</v>
      </c>
      <c r="H37" s="85">
        <f t="shared" si="1"/>
        <v>565.46832626382036</v>
      </c>
      <c r="I37" s="21"/>
    </row>
    <row r="38" spans="1:11">
      <c r="A38" s="69"/>
      <c r="B38" s="22">
        <v>30</v>
      </c>
      <c r="C38" s="23">
        <f>Gas!C38</f>
        <v>54</v>
      </c>
      <c r="D38" s="23">
        <f>Gas!D38</f>
        <v>415</v>
      </c>
      <c r="E38" s="70"/>
      <c r="F38" s="71">
        <v>50</v>
      </c>
      <c r="G38" s="71">
        <f t="shared" si="0"/>
        <v>535000</v>
      </c>
      <c r="H38" s="85">
        <f t="shared" si="1"/>
        <v>37.201863569988177</v>
      </c>
      <c r="I38" s="21"/>
    </row>
    <row r="39" spans="1:11">
      <c r="A39" s="69"/>
      <c r="B39" s="22">
        <v>31</v>
      </c>
      <c r="C39" s="23">
        <f>Gas!C39</f>
        <v>53</v>
      </c>
      <c r="D39" s="23">
        <f>Gas!D39</f>
        <v>427</v>
      </c>
      <c r="E39" s="70"/>
      <c r="F39" s="71">
        <v>0</v>
      </c>
      <c r="G39" s="71">
        <f t="shared" si="0"/>
        <v>0</v>
      </c>
      <c r="H39" s="85">
        <f t="shared" si="1"/>
        <v>0</v>
      </c>
      <c r="I39" s="21"/>
    </row>
    <row r="40" spans="1:11">
      <c r="C40" s="30">
        <f>SUM(C9:C39)</f>
        <v>1284</v>
      </c>
      <c r="D40" s="30">
        <f>SUM(D9:D39)</f>
        <v>6855</v>
      </c>
      <c r="E40" s="30"/>
      <c r="F40" s="30">
        <f>SUM(F9:F39)</f>
        <v>1190</v>
      </c>
      <c r="G40" s="30"/>
      <c r="H40" s="73">
        <f>SUM(H9:H39)</f>
        <v>885.40435296571866</v>
      </c>
      <c r="K40" s="35"/>
    </row>
    <row r="41" spans="1:11">
      <c r="E41" s="30"/>
      <c r="F41" s="74"/>
      <c r="G41" s="74"/>
      <c r="H41" s="41"/>
    </row>
    <row r="42" spans="1:11">
      <c r="E42" s="59"/>
      <c r="F42" s="75"/>
      <c r="G42" s="75"/>
    </row>
    <row r="43" spans="1:11">
      <c r="E43" s="59"/>
      <c r="F43" s="75"/>
      <c r="G43" s="75"/>
    </row>
  </sheetData>
  <mergeCells count="9">
    <mergeCell ref="B1:H1"/>
    <mergeCell ref="B2:H2"/>
    <mergeCell ref="B4:H4"/>
    <mergeCell ref="B5:B8"/>
    <mergeCell ref="C5:C8"/>
    <mergeCell ref="D5:D8"/>
    <mergeCell ref="E5:G6"/>
    <mergeCell ref="H5:H8"/>
    <mergeCell ref="F7:F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O43"/>
  <sheetViews>
    <sheetView tabSelected="1" workbookViewId="0">
      <selection activeCell="I9" sqref="I9:I39"/>
    </sheetView>
  </sheetViews>
  <sheetFormatPr defaultRowHeight="15"/>
  <cols>
    <col min="1" max="1" width="2.5703125" customWidth="1"/>
    <col min="2" max="2" width="4.7109375" customWidth="1"/>
    <col min="3" max="3" width="6.42578125" customWidth="1"/>
    <col min="4" max="4" width="6.42578125" style="19" customWidth="1"/>
    <col min="5" max="5" width="9.42578125" style="31" customWidth="1"/>
    <col min="6" max="6" width="16.5703125" style="31" customWidth="1"/>
    <col min="7" max="7" width="10.28515625" style="31" customWidth="1"/>
    <col min="8" max="8" width="16.7109375" style="31" customWidth="1"/>
    <col min="9" max="9" width="10.28515625" style="31" customWidth="1"/>
    <col min="10" max="10" width="16.7109375" style="31" customWidth="1"/>
    <col min="11" max="11" width="16.28515625" style="31" customWidth="1"/>
    <col min="12" max="12" width="19.7109375" customWidth="1"/>
    <col min="13" max="13" width="2.5703125" customWidth="1"/>
    <col min="15" max="15" width="20.5703125" customWidth="1"/>
  </cols>
  <sheetData>
    <row r="2" spans="1:13" ht="15.75">
      <c r="B2" s="98" t="s">
        <v>49</v>
      </c>
      <c r="C2" s="98"/>
      <c r="D2" s="98"/>
      <c r="E2" s="98"/>
      <c r="F2" s="98"/>
      <c r="G2" s="98"/>
      <c r="H2" s="98"/>
      <c r="I2" s="98"/>
      <c r="J2" s="98"/>
      <c r="K2" s="98"/>
      <c r="L2" s="98"/>
    </row>
    <row r="3" spans="1:13" ht="15.75">
      <c r="B3" s="98" t="s">
        <v>16</v>
      </c>
      <c r="C3" s="98"/>
      <c r="D3" s="98"/>
      <c r="E3" s="98"/>
      <c r="F3" s="98"/>
      <c r="G3" s="98"/>
      <c r="H3" s="98"/>
      <c r="I3" s="98"/>
      <c r="J3" s="98"/>
      <c r="K3" s="98"/>
      <c r="L3" s="98"/>
    </row>
    <row r="4" spans="1:13" ht="8.25" customHeight="1">
      <c r="B4" s="13"/>
      <c r="C4" s="14"/>
      <c r="D4" s="15"/>
      <c r="E4" s="14"/>
      <c r="F4" s="14"/>
      <c r="G4" s="14"/>
      <c r="H4" s="14"/>
      <c r="I4" s="14"/>
      <c r="J4" s="14"/>
      <c r="K4" s="14"/>
    </row>
    <row r="5" spans="1:13">
      <c r="A5" s="16"/>
      <c r="B5" s="99">
        <v>43800</v>
      </c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6"/>
    </row>
    <row r="6" spans="1:13">
      <c r="A6" s="17"/>
      <c r="B6" s="97" t="s">
        <v>17</v>
      </c>
      <c r="C6" s="97" t="s">
        <v>50</v>
      </c>
      <c r="D6" s="97" t="s">
        <v>13</v>
      </c>
      <c r="E6" s="103" t="s">
        <v>51</v>
      </c>
      <c r="F6" s="103"/>
      <c r="G6" s="105" t="s">
        <v>52</v>
      </c>
      <c r="H6" s="105"/>
      <c r="I6" s="105"/>
      <c r="J6" s="105"/>
      <c r="K6" s="97" t="s">
        <v>53</v>
      </c>
      <c r="L6" s="97" t="s">
        <v>54</v>
      </c>
      <c r="M6" s="18"/>
    </row>
    <row r="7" spans="1:13" s="19" customFormat="1">
      <c r="A7" s="17"/>
      <c r="B7" s="97"/>
      <c r="C7" s="97"/>
      <c r="D7" s="97"/>
      <c r="E7" s="97" t="s">
        <v>55</v>
      </c>
      <c r="F7" s="97" t="s">
        <v>56</v>
      </c>
      <c r="G7" s="97" t="s">
        <v>55</v>
      </c>
      <c r="H7" s="97" t="s">
        <v>57</v>
      </c>
      <c r="I7" s="97" t="s">
        <v>55</v>
      </c>
      <c r="J7" s="97" t="s">
        <v>58</v>
      </c>
      <c r="K7" s="97"/>
      <c r="L7" s="97"/>
      <c r="M7" s="18"/>
    </row>
    <row r="8" spans="1:13">
      <c r="A8" s="20"/>
      <c r="B8" s="97"/>
      <c r="C8" s="97"/>
      <c r="D8" s="97"/>
      <c r="E8" s="97"/>
      <c r="F8" s="97"/>
      <c r="G8" s="97"/>
      <c r="H8" s="97"/>
      <c r="I8" s="97"/>
      <c r="J8" s="97"/>
      <c r="K8" s="97"/>
      <c r="L8" s="97"/>
      <c r="M8" s="21"/>
    </row>
    <row r="9" spans="1:13">
      <c r="A9" s="20"/>
      <c r="B9" s="22">
        <v>1</v>
      </c>
      <c r="C9" s="23">
        <f>'Fuel Diesel'!C9</f>
        <v>36</v>
      </c>
      <c r="D9" s="23">
        <f>'Fuel Diesel'!D9</f>
        <v>198</v>
      </c>
      <c r="E9" s="24">
        <v>70</v>
      </c>
      <c r="F9" s="26">
        <f>E9*13582</f>
        <v>950740</v>
      </c>
      <c r="G9" s="24">
        <v>97</v>
      </c>
      <c r="H9" s="26">
        <f>G9*4000</f>
        <v>388000</v>
      </c>
      <c r="I9" s="24">
        <v>106</v>
      </c>
      <c r="J9" s="26">
        <f>I9*4000</f>
        <v>424000</v>
      </c>
      <c r="K9" s="24">
        <f t="shared" ref="K9:K39" si="0">F9+H9+J9</f>
        <v>1762740</v>
      </c>
      <c r="L9" s="77">
        <f>K9/14381</f>
        <v>122.574229886656</v>
      </c>
      <c r="M9" s="21"/>
    </row>
    <row r="10" spans="1:13">
      <c r="A10" s="20"/>
      <c r="B10" s="22">
        <v>2</v>
      </c>
      <c r="C10" s="23">
        <f>'Fuel Diesel'!C10</f>
        <v>42</v>
      </c>
      <c r="D10" s="23">
        <f>'Fuel Diesel'!D10</f>
        <v>178</v>
      </c>
      <c r="E10" s="24">
        <v>72</v>
      </c>
      <c r="F10" s="26">
        <f>E10*13582</f>
        <v>977904</v>
      </c>
      <c r="G10" s="24">
        <v>122</v>
      </c>
      <c r="H10" s="26">
        <f>G10*4000</f>
        <v>488000</v>
      </c>
      <c r="I10" s="24">
        <v>131</v>
      </c>
      <c r="J10" s="26">
        <f>I10*4000</f>
        <v>524000</v>
      </c>
      <c r="K10" s="24">
        <f t="shared" si="0"/>
        <v>1989904</v>
      </c>
      <c r="L10" s="77">
        <f t="shared" ref="L10:L39" si="1">K10/14381</f>
        <v>138.37034976705374</v>
      </c>
      <c r="M10" s="21"/>
    </row>
    <row r="11" spans="1:13">
      <c r="A11" s="20"/>
      <c r="B11" s="22">
        <v>3</v>
      </c>
      <c r="C11" s="23">
        <f>'Fuel Diesel'!C11</f>
        <v>41</v>
      </c>
      <c r="D11" s="23">
        <f>'Fuel Diesel'!D11</f>
        <v>183</v>
      </c>
      <c r="E11" s="24">
        <v>76</v>
      </c>
      <c r="F11" s="26">
        <f t="shared" ref="F11:F39" si="2">E11*13582</f>
        <v>1032232</v>
      </c>
      <c r="G11" s="24">
        <v>114</v>
      </c>
      <c r="H11" s="26">
        <f t="shared" ref="H11:H39" si="3">G11*4000</f>
        <v>456000</v>
      </c>
      <c r="I11" s="24">
        <v>125</v>
      </c>
      <c r="J11" s="26">
        <f t="shared" ref="J11:J39" si="4">I11*4000</f>
        <v>500000</v>
      </c>
      <c r="K11" s="24">
        <f t="shared" si="0"/>
        <v>1988232</v>
      </c>
      <c r="L11" s="77">
        <f t="shared" si="1"/>
        <v>138.25408525137334</v>
      </c>
      <c r="M11" s="21"/>
    </row>
    <row r="12" spans="1:13">
      <c r="A12" s="20"/>
      <c r="B12" s="22">
        <v>4</v>
      </c>
      <c r="C12" s="23">
        <f>'Fuel Diesel'!C12</f>
        <v>36</v>
      </c>
      <c r="D12" s="23">
        <f>'Fuel Diesel'!D12</f>
        <v>202</v>
      </c>
      <c r="E12" s="24">
        <v>66</v>
      </c>
      <c r="F12" s="26">
        <f t="shared" si="2"/>
        <v>896412</v>
      </c>
      <c r="G12" s="24">
        <v>114</v>
      </c>
      <c r="H12" s="26">
        <f t="shared" si="3"/>
        <v>456000</v>
      </c>
      <c r="I12" s="24">
        <v>127</v>
      </c>
      <c r="J12" s="26">
        <f t="shared" si="4"/>
        <v>508000</v>
      </c>
      <c r="K12" s="24">
        <f t="shared" si="0"/>
        <v>1860412</v>
      </c>
      <c r="L12" s="77">
        <f t="shared" si="1"/>
        <v>129.36596898685767</v>
      </c>
      <c r="M12" s="21"/>
    </row>
    <row r="13" spans="1:13">
      <c r="A13" s="20"/>
      <c r="B13" s="22">
        <v>5</v>
      </c>
      <c r="C13" s="23">
        <f>'Fuel Diesel'!C13</f>
        <v>38</v>
      </c>
      <c r="D13" s="23">
        <f>'Fuel Diesel'!D13</f>
        <v>163</v>
      </c>
      <c r="E13" s="24">
        <v>42</v>
      </c>
      <c r="F13" s="26">
        <f t="shared" si="2"/>
        <v>570444</v>
      </c>
      <c r="G13" s="24">
        <v>122</v>
      </c>
      <c r="H13" s="26">
        <f t="shared" si="3"/>
        <v>488000</v>
      </c>
      <c r="I13" s="24">
        <v>130</v>
      </c>
      <c r="J13" s="26">
        <f t="shared" si="4"/>
        <v>520000</v>
      </c>
      <c r="K13" s="24">
        <f t="shared" si="0"/>
        <v>1578444</v>
      </c>
      <c r="L13" s="77">
        <f t="shared" si="1"/>
        <v>109.75898755302134</v>
      </c>
      <c r="M13" s="21"/>
    </row>
    <row r="14" spans="1:13">
      <c r="A14" s="20"/>
      <c r="B14" s="22">
        <v>6</v>
      </c>
      <c r="C14" s="23">
        <f>'Fuel Diesel'!C14</f>
        <v>26</v>
      </c>
      <c r="D14" s="23">
        <f>'Fuel Diesel'!D14</f>
        <v>172</v>
      </c>
      <c r="E14" s="24">
        <v>60</v>
      </c>
      <c r="F14" s="26">
        <f t="shared" si="2"/>
        <v>814920</v>
      </c>
      <c r="G14" s="24">
        <v>143</v>
      </c>
      <c r="H14" s="26">
        <f t="shared" si="3"/>
        <v>572000</v>
      </c>
      <c r="I14" s="24">
        <v>153</v>
      </c>
      <c r="J14" s="26">
        <f t="shared" si="4"/>
        <v>612000</v>
      </c>
      <c r="K14" s="24">
        <f t="shared" si="0"/>
        <v>1998920</v>
      </c>
      <c r="L14" s="77">
        <f t="shared" si="1"/>
        <v>138.99728808845003</v>
      </c>
      <c r="M14" s="21"/>
    </row>
    <row r="15" spans="1:13">
      <c r="A15" s="20"/>
      <c r="B15" s="22">
        <v>7</v>
      </c>
      <c r="C15" s="23">
        <f>'Fuel Diesel'!C15</f>
        <v>21</v>
      </c>
      <c r="D15" s="23">
        <f>'Fuel Diesel'!D15</f>
        <v>122</v>
      </c>
      <c r="E15" s="24">
        <v>55</v>
      </c>
      <c r="F15" s="26">
        <f t="shared" si="2"/>
        <v>747010</v>
      </c>
      <c r="G15" s="24">
        <v>124</v>
      </c>
      <c r="H15" s="26">
        <f t="shared" si="3"/>
        <v>496000</v>
      </c>
      <c r="I15" s="24">
        <v>135</v>
      </c>
      <c r="J15" s="26">
        <f t="shared" si="4"/>
        <v>540000</v>
      </c>
      <c r="K15" s="24">
        <f t="shared" si="0"/>
        <v>1783010</v>
      </c>
      <c r="L15" s="77">
        <f t="shared" si="1"/>
        <v>123.98372853070023</v>
      </c>
      <c r="M15" s="21"/>
    </row>
    <row r="16" spans="1:13">
      <c r="A16" s="20"/>
      <c r="B16" s="22">
        <v>8</v>
      </c>
      <c r="C16" s="23">
        <f>'Fuel Diesel'!C16</f>
        <v>21</v>
      </c>
      <c r="D16" s="23">
        <f>'Fuel Diesel'!D16</f>
        <v>114</v>
      </c>
      <c r="E16" s="24">
        <v>58</v>
      </c>
      <c r="F16" s="26">
        <f t="shared" si="2"/>
        <v>787756</v>
      </c>
      <c r="G16" s="24">
        <v>78</v>
      </c>
      <c r="H16" s="26">
        <f t="shared" si="3"/>
        <v>312000</v>
      </c>
      <c r="I16" s="24">
        <v>91</v>
      </c>
      <c r="J16" s="26">
        <f t="shared" si="4"/>
        <v>364000</v>
      </c>
      <c r="K16" s="24">
        <f t="shared" si="0"/>
        <v>1463756</v>
      </c>
      <c r="L16" s="77">
        <f t="shared" si="1"/>
        <v>101.7840205827133</v>
      </c>
      <c r="M16" s="21"/>
    </row>
    <row r="17" spans="1:13">
      <c r="A17" s="20"/>
      <c r="B17" s="22">
        <v>9</v>
      </c>
      <c r="C17" s="23">
        <f>'Fuel Diesel'!C17</f>
        <v>25</v>
      </c>
      <c r="D17" s="23">
        <f>'Fuel Diesel'!D17</f>
        <v>97</v>
      </c>
      <c r="E17" s="24">
        <v>58</v>
      </c>
      <c r="F17" s="26">
        <f t="shared" si="2"/>
        <v>787756</v>
      </c>
      <c r="G17" s="24">
        <v>99</v>
      </c>
      <c r="H17" s="26">
        <f t="shared" si="3"/>
        <v>396000</v>
      </c>
      <c r="I17" s="24">
        <v>105</v>
      </c>
      <c r="J17" s="26">
        <f t="shared" si="4"/>
        <v>420000</v>
      </c>
      <c r="K17" s="24">
        <f t="shared" si="0"/>
        <v>1603756</v>
      </c>
      <c r="L17" s="77">
        <f t="shared" si="1"/>
        <v>111.51908768514012</v>
      </c>
      <c r="M17" s="21"/>
    </row>
    <row r="18" spans="1:13">
      <c r="A18" s="20"/>
      <c r="B18" s="22">
        <v>10</v>
      </c>
      <c r="C18" s="23">
        <f>'Fuel Diesel'!C18</f>
        <v>24</v>
      </c>
      <c r="D18" s="23">
        <f>'Fuel Diesel'!D18</f>
        <v>133</v>
      </c>
      <c r="E18" s="24">
        <v>64</v>
      </c>
      <c r="F18" s="26">
        <f t="shared" si="2"/>
        <v>869248</v>
      </c>
      <c r="G18" s="24">
        <v>103</v>
      </c>
      <c r="H18" s="26">
        <f t="shared" si="3"/>
        <v>412000</v>
      </c>
      <c r="I18" s="24">
        <v>114</v>
      </c>
      <c r="J18" s="26">
        <f t="shared" si="4"/>
        <v>456000</v>
      </c>
      <c r="K18" s="24">
        <f t="shared" si="0"/>
        <v>1737248</v>
      </c>
      <c r="L18" s="77">
        <f t="shared" si="1"/>
        <v>120.80161323969126</v>
      </c>
      <c r="M18" s="21"/>
    </row>
    <row r="19" spans="1:13">
      <c r="A19" s="20"/>
      <c r="B19" s="22">
        <v>11</v>
      </c>
      <c r="C19" s="23">
        <f>'Fuel Diesel'!C19</f>
        <v>31</v>
      </c>
      <c r="D19" s="23">
        <f>'Fuel Diesel'!D19</f>
        <v>147</v>
      </c>
      <c r="E19" s="24">
        <v>70</v>
      </c>
      <c r="F19" s="26">
        <f t="shared" si="2"/>
        <v>950740</v>
      </c>
      <c r="G19" s="24">
        <v>93</v>
      </c>
      <c r="H19" s="26">
        <f t="shared" si="3"/>
        <v>372000</v>
      </c>
      <c r="I19" s="24">
        <v>103</v>
      </c>
      <c r="J19" s="26">
        <f t="shared" si="4"/>
        <v>412000</v>
      </c>
      <c r="K19" s="24">
        <f t="shared" si="0"/>
        <v>1734740</v>
      </c>
      <c r="L19" s="77">
        <f t="shared" si="1"/>
        <v>120.62721646617064</v>
      </c>
      <c r="M19" s="21"/>
    </row>
    <row r="20" spans="1:13">
      <c r="A20" s="20"/>
      <c r="B20" s="22">
        <v>12</v>
      </c>
      <c r="C20" s="23">
        <f>'Fuel Diesel'!C20</f>
        <v>28</v>
      </c>
      <c r="D20" s="23">
        <f>'Fuel Diesel'!D20</f>
        <v>130</v>
      </c>
      <c r="E20" s="24">
        <v>62</v>
      </c>
      <c r="F20" s="26">
        <f t="shared" si="2"/>
        <v>842084</v>
      </c>
      <c r="G20" s="24">
        <v>89</v>
      </c>
      <c r="H20" s="26">
        <f>G20*4000</f>
        <v>356000</v>
      </c>
      <c r="I20" s="24">
        <v>99</v>
      </c>
      <c r="J20" s="26">
        <f t="shared" si="4"/>
        <v>396000</v>
      </c>
      <c r="K20" s="24">
        <f t="shared" si="0"/>
        <v>1594084</v>
      </c>
      <c r="L20" s="77">
        <f t="shared" si="1"/>
        <v>110.8465336207496</v>
      </c>
      <c r="M20" s="21"/>
    </row>
    <row r="21" spans="1:13">
      <c r="A21" s="20"/>
      <c r="B21" s="22">
        <v>13</v>
      </c>
      <c r="C21" s="23">
        <f>'Fuel Diesel'!C21</f>
        <v>23</v>
      </c>
      <c r="D21" s="23">
        <f>'Fuel Diesel'!D21</f>
        <v>130</v>
      </c>
      <c r="E21" s="24">
        <v>64</v>
      </c>
      <c r="F21" s="26">
        <f t="shared" si="2"/>
        <v>869248</v>
      </c>
      <c r="G21" s="24">
        <v>91</v>
      </c>
      <c r="H21" s="26">
        <f t="shared" si="3"/>
        <v>364000</v>
      </c>
      <c r="I21" s="24">
        <v>101</v>
      </c>
      <c r="J21" s="26">
        <f t="shared" si="4"/>
        <v>404000</v>
      </c>
      <c r="K21" s="24">
        <f t="shared" si="0"/>
        <v>1637248</v>
      </c>
      <c r="L21" s="77">
        <f t="shared" si="1"/>
        <v>113.84799388081497</v>
      </c>
      <c r="M21" s="21"/>
    </row>
    <row r="22" spans="1:13">
      <c r="A22" s="20"/>
      <c r="B22" s="22">
        <v>14</v>
      </c>
      <c r="C22" s="23">
        <f>'Fuel Diesel'!C22</f>
        <v>37</v>
      </c>
      <c r="D22" s="23">
        <f>'Fuel Diesel'!D22</f>
        <v>163</v>
      </c>
      <c r="E22" s="24">
        <v>64</v>
      </c>
      <c r="F22" s="26">
        <f t="shared" si="2"/>
        <v>869248</v>
      </c>
      <c r="G22" s="24">
        <v>81</v>
      </c>
      <c r="H22" s="26">
        <f t="shared" si="3"/>
        <v>324000</v>
      </c>
      <c r="I22" s="24">
        <v>90</v>
      </c>
      <c r="J22" s="26">
        <f t="shared" si="4"/>
        <v>360000</v>
      </c>
      <c r="K22" s="24">
        <f t="shared" si="0"/>
        <v>1553248</v>
      </c>
      <c r="L22" s="77">
        <f t="shared" si="1"/>
        <v>108.00695361935888</v>
      </c>
      <c r="M22" s="21"/>
    </row>
    <row r="23" spans="1:13">
      <c r="A23" s="20"/>
      <c r="B23" s="22">
        <v>15</v>
      </c>
      <c r="C23" s="23">
        <f>'Fuel Diesel'!C23</f>
        <v>37</v>
      </c>
      <c r="D23" s="23">
        <f>'Fuel Diesel'!D23</f>
        <v>168</v>
      </c>
      <c r="E23" s="24">
        <v>65</v>
      </c>
      <c r="F23" s="26">
        <f t="shared" si="2"/>
        <v>882830</v>
      </c>
      <c r="G23" s="24">
        <v>73</v>
      </c>
      <c r="H23" s="26">
        <f t="shared" si="3"/>
        <v>292000</v>
      </c>
      <c r="I23" s="24">
        <v>78</v>
      </c>
      <c r="J23" s="26">
        <f t="shared" si="4"/>
        <v>312000</v>
      </c>
      <c r="K23" s="24">
        <f t="shared" si="0"/>
        <v>1486830</v>
      </c>
      <c r="L23" s="77">
        <f t="shared" si="1"/>
        <v>103.38849871358042</v>
      </c>
      <c r="M23" s="21"/>
    </row>
    <row r="24" spans="1:13">
      <c r="A24" s="20"/>
      <c r="B24" s="22">
        <v>16</v>
      </c>
      <c r="C24" s="23">
        <f>'Fuel Diesel'!C24</f>
        <v>44</v>
      </c>
      <c r="D24" s="23">
        <f>'Fuel Diesel'!D24</f>
        <v>183</v>
      </c>
      <c r="E24" s="24">
        <v>65</v>
      </c>
      <c r="F24" s="26">
        <f t="shared" si="2"/>
        <v>882830</v>
      </c>
      <c r="G24" s="24">
        <v>76</v>
      </c>
      <c r="H24" s="26">
        <f t="shared" si="3"/>
        <v>304000</v>
      </c>
      <c r="I24" s="24">
        <v>77</v>
      </c>
      <c r="J24" s="26">
        <f t="shared" si="4"/>
        <v>308000</v>
      </c>
      <c r="K24" s="24">
        <f t="shared" si="0"/>
        <v>1494830</v>
      </c>
      <c r="L24" s="77">
        <f t="shared" si="1"/>
        <v>103.94478826229052</v>
      </c>
      <c r="M24" s="21"/>
    </row>
    <row r="25" spans="1:13">
      <c r="A25" s="20"/>
      <c r="B25" s="22">
        <v>17</v>
      </c>
      <c r="C25" s="23">
        <f>'Fuel Diesel'!C25</f>
        <v>46</v>
      </c>
      <c r="D25" s="23">
        <f>'Fuel Diesel'!D25</f>
        <v>180</v>
      </c>
      <c r="E25" s="24">
        <v>61</v>
      </c>
      <c r="F25" s="26">
        <f t="shared" si="2"/>
        <v>828502</v>
      </c>
      <c r="G25" s="24">
        <v>80</v>
      </c>
      <c r="H25" s="26">
        <f t="shared" si="3"/>
        <v>320000</v>
      </c>
      <c r="I25" s="24">
        <v>95</v>
      </c>
      <c r="J25" s="26">
        <f t="shared" si="4"/>
        <v>380000</v>
      </c>
      <c r="K25" s="24">
        <f t="shared" si="0"/>
        <v>1528502</v>
      </c>
      <c r="L25" s="77">
        <f t="shared" si="1"/>
        <v>106.28621097281135</v>
      </c>
      <c r="M25" s="21"/>
    </row>
    <row r="26" spans="1:13">
      <c r="A26" s="20"/>
      <c r="B26" s="22">
        <v>18</v>
      </c>
      <c r="C26" s="23">
        <f>'Fuel Diesel'!C26</f>
        <v>40</v>
      </c>
      <c r="D26" s="23">
        <f>'Fuel Diesel'!D26</f>
        <v>211</v>
      </c>
      <c r="E26" s="24">
        <v>67</v>
      </c>
      <c r="F26" s="26">
        <f t="shared" si="2"/>
        <v>909994</v>
      </c>
      <c r="G26" s="24">
        <v>103</v>
      </c>
      <c r="H26" s="26">
        <f t="shared" si="3"/>
        <v>412000</v>
      </c>
      <c r="I26" s="24">
        <v>113</v>
      </c>
      <c r="J26" s="26">
        <f t="shared" si="4"/>
        <v>452000</v>
      </c>
      <c r="K26" s="24">
        <f t="shared" si="0"/>
        <v>1773994</v>
      </c>
      <c r="L26" s="77">
        <f t="shared" si="1"/>
        <v>123.35679020930394</v>
      </c>
      <c r="M26" s="21"/>
    </row>
    <row r="27" spans="1:13">
      <c r="A27" s="20"/>
      <c r="B27" s="22">
        <v>19</v>
      </c>
      <c r="C27" s="23">
        <f>'Fuel Diesel'!C27</f>
        <v>46</v>
      </c>
      <c r="D27" s="23">
        <f>'Fuel Diesel'!D27</f>
        <v>176</v>
      </c>
      <c r="E27" s="24">
        <v>61</v>
      </c>
      <c r="F27" s="26">
        <f t="shared" si="2"/>
        <v>828502</v>
      </c>
      <c r="G27" s="24">
        <v>116</v>
      </c>
      <c r="H27" s="26">
        <f t="shared" si="3"/>
        <v>464000</v>
      </c>
      <c r="I27" s="24">
        <v>129</v>
      </c>
      <c r="J27" s="26">
        <f t="shared" si="4"/>
        <v>516000</v>
      </c>
      <c r="K27" s="24">
        <f t="shared" si="0"/>
        <v>1808502</v>
      </c>
      <c r="L27" s="77">
        <f t="shared" si="1"/>
        <v>125.75634517766497</v>
      </c>
      <c r="M27" s="21"/>
    </row>
    <row r="28" spans="1:13">
      <c r="A28" s="20"/>
      <c r="B28" s="22">
        <v>20</v>
      </c>
      <c r="C28" s="23">
        <f>'Fuel Diesel'!C28</f>
        <v>50</v>
      </c>
      <c r="D28" s="23">
        <f>'Fuel Diesel'!D28</f>
        <v>256</v>
      </c>
      <c r="E28" s="24">
        <v>52</v>
      </c>
      <c r="F28" s="26">
        <f t="shared" si="2"/>
        <v>706264</v>
      </c>
      <c r="G28" s="24">
        <v>98</v>
      </c>
      <c r="H28" s="26">
        <f t="shared" si="3"/>
        <v>392000</v>
      </c>
      <c r="I28" s="24">
        <v>110</v>
      </c>
      <c r="J28" s="26">
        <f t="shared" si="4"/>
        <v>440000</v>
      </c>
      <c r="K28" s="24">
        <f t="shared" si="0"/>
        <v>1538264</v>
      </c>
      <c r="L28" s="77">
        <f t="shared" si="1"/>
        <v>106.96502329462486</v>
      </c>
      <c r="M28" s="21"/>
    </row>
    <row r="29" spans="1:13">
      <c r="A29" s="20"/>
      <c r="B29" s="22">
        <v>21</v>
      </c>
      <c r="C29" s="23">
        <f>'Fuel Diesel'!C29</f>
        <v>53</v>
      </c>
      <c r="D29" s="23">
        <f>'Fuel Diesel'!D29</f>
        <v>269</v>
      </c>
      <c r="E29" s="24">
        <v>30</v>
      </c>
      <c r="F29" s="26">
        <f t="shared" si="2"/>
        <v>407460</v>
      </c>
      <c r="G29" s="24">
        <v>118</v>
      </c>
      <c r="H29" s="26">
        <f t="shared" si="3"/>
        <v>472000</v>
      </c>
      <c r="I29" s="24">
        <v>130</v>
      </c>
      <c r="J29" s="26">
        <f t="shared" si="4"/>
        <v>520000</v>
      </c>
      <c r="K29" s="24">
        <f t="shared" si="0"/>
        <v>1399460</v>
      </c>
      <c r="L29" s="77">
        <f t="shared" si="1"/>
        <v>97.313121479730199</v>
      </c>
      <c r="M29" s="21"/>
    </row>
    <row r="30" spans="1:13">
      <c r="A30" s="20"/>
      <c r="B30" s="22">
        <v>22</v>
      </c>
      <c r="C30" s="23">
        <f>'Fuel Diesel'!C30</f>
        <v>52</v>
      </c>
      <c r="D30" s="23">
        <f>'Fuel Diesel'!D30</f>
        <v>255</v>
      </c>
      <c r="E30" s="24">
        <v>41</v>
      </c>
      <c r="F30" s="26">
        <f t="shared" si="2"/>
        <v>556862</v>
      </c>
      <c r="G30" s="24">
        <v>130</v>
      </c>
      <c r="H30" s="26">
        <f t="shared" si="3"/>
        <v>520000</v>
      </c>
      <c r="I30" s="24">
        <v>142</v>
      </c>
      <c r="J30" s="26">
        <f t="shared" si="4"/>
        <v>568000</v>
      </c>
      <c r="K30" s="24">
        <f t="shared" si="0"/>
        <v>1644862</v>
      </c>
      <c r="L30" s="77">
        <f t="shared" si="1"/>
        <v>114.37744245879981</v>
      </c>
      <c r="M30" s="21"/>
    </row>
    <row r="31" spans="1:13">
      <c r="A31" s="20"/>
      <c r="B31" s="22">
        <v>23</v>
      </c>
      <c r="C31" s="23">
        <f>'Fuel Diesel'!C31</f>
        <v>57</v>
      </c>
      <c r="D31" s="23">
        <f>'Fuel Diesel'!D31</f>
        <v>302</v>
      </c>
      <c r="E31" s="24">
        <v>58</v>
      </c>
      <c r="F31" s="26">
        <f t="shared" si="2"/>
        <v>787756</v>
      </c>
      <c r="G31" s="24">
        <v>110</v>
      </c>
      <c r="H31" s="26">
        <f t="shared" si="3"/>
        <v>440000</v>
      </c>
      <c r="I31" s="24">
        <v>122</v>
      </c>
      <c r="J31" s="26">
        <f t="shared" si="4"/>
        <v>488000</v>
      </c>
      <c r="K31" s="24">
        <f t="shared" si="0"/>
        <v>1715756</v>
      </c>
      <c r="L31" s="77">
        <f t="shared" si="1"/>
        <v>119.30714136708157</v>
      </c>
      <c r="M31" s="21"/>
    </row>
    <row r="32" spans="1:13">
      <c r="A32" s="20"/>
      <c r="B32" s="22">
        <v>24</v>
      </c>
      <c r="C32" s="23">
        <f>'Fuel Diesel'!C32</f>
        <v>53</v>
      </c>
      <c r="D32" s="23">
        <f>'Fuel Diesel'!D32</f>
        <v>310</v>
      </c>
      <c r="E32" s="24">
        <v>62</v>
      </c>
      <c r="F32" s="26">
        <f t="shared" si="2"/>
        <v>842084</v>
      </c>
      <c r="G32" s="24">
        <v>100</v>
      </c>
      <c r="H32" s="26">
        <f t="shared" si="3"/>
        <v>400000</v>
      </c>
      <c r="I32" s="24">
        <v>110</v>
      </c>
      <c r="J32" s="26">
        <f t="shared" si="4"/>
        <v>440000</v>
      </c>
      <c r="K32" s="24">
        <f t="shared" si="0"/>
        <v>1682084</v>
      </c>
      <c r="L32" s="77">
        <f t="shared" si="1"/>
        <v>116.96571865656074</v>
      </c>
      <c r="M32" s="21"/>
    </row>
    <row r="33" spans="1:15">
      <c r="A33" s="20"/>
      <c r="B33" s="22">
        <v>25</v>
      </c>
      <c r="C33" s="23">
        <f>'Fuel Diesel'!C33</f>
        <v>56</v>
      </c>
      <c r="D33" s="23">
        <f>'Fuel Diesel'!D33</f>
        <v>349</v>
      </c>
      <c r="E33" s="24">
        <v>62</v>
      </c>
      <c r="F33" s="26">
        <f t="shared" si="2"/>
        <v>842084</v>
      </c>
      <c r="G33" s="24">
        <v>108</v>
      </c>
      <c r="H33" s="26">
        <f t="shared" si="3"/>
        <v>432000</v>
      </c>
      <c r="I33" s="24">
        <v>124</v>
      </c>
      <c r="J33" s="26">
        <f t="shared" si="4"/>
        <v>496000</v>
      </c>
      <c r="K33" s="24">
        <f t="shared" si="0"/>
        <v>1770084</v>
      </c>
      <c r="L33" s="77">
        <f t="shared" si="1"/>
        <v>123.08490369237188</v>
      </c>
      <c r="M33" s="21"/>
    </row>
    <row r="34" spans="1:15">
      <c r="A34" s="20"/>
      <c r="B34" s="22">
        <v>26</v>
      </c>
      <c r="C34" s="23">
        <f>'Fuel Diesel'!C34</f>
        <v>56</v>
      </c>
      <c r="D34" s="23">
        <f>'Fuel Diesel'!D34</f>
        <v>281</v>
      </c>
      <c r="E34" s="24">
        <v>58</v>
      </c>
      <c r="F34" s="26">
        <f t="shared" si="2"/>
        <v>787756</v>
      </c>
      <c r="G34" s="24">
        <v>100</v>
      </c>
      <c r="H34" s="26">
        <f t="shared" si="3"/>
        <v>400000</v>
      </c>
      <c r="I34" s="24">
        <v>109</v>
      </c>
      <c r="J34" s="26">
        <f t="shared" si="4"/>
        <v>436000</v>
      </c>
      <c r="K34" s="24">
        <f t="shared" si="0"/>
        <v>1623756</v>
      </c>
      <c r="L34" s="77">
        <f t="shared" si="1"/>
        <v>112.90981155691537</v>
      </c>
      <c r="M34" s="21"/>
    </row>
    <row r="35" spans="1:15">
      <c r="A35" s="20"/>
      <c r="B35" s="22">
        <v>27</v>
      </c>
      <c r="C35" s="23">
        <f>'Fuel Diesel'!C35</f>
        <v>52</v>
      </c>
      <c r="D35" s="23">
        <f>'Fuel Diesel'!D35</f>
        <v>300</v>
      </c>
      <c r="E35" s="24">
        <v>61</v>
      </c>
      <c r="F35" s="26">
        <f t="shared" si="2"/>
        <v>828502</v>
      </c>
      <c r="G35" s="24">
        <v>107</v>
      </c>
      <c r="H35" s="26">
        <f t="shared" si="3"/>
        <v>428000</v>
      </c>
      <c r="I35" s="24">
        <v>119</v>
      </c>
      <c r="J35" s="26">
        <f t="shared" si="4"/>
        <v>476000</v>
      </c>
      <c r="K35" s="24">
        <f t="shared" si="0"/>
        <v>1732502</v>
      </c>
      <c r="L35" s="77">
        <f t="shared" si="1"/>
        <v>120.47159446491899</v>
      </c>
      <c r="M35" s="21"/>
    </row>
    <row r="36" spans="1:15">
      <c r="A36" s="20"/>
      <c r="B36" s="22">
        <v>28</v>
      </c>
      <c r="C36" s="23">
        <f>'Fuel Diesel'!C36</f>
        <v>50</v>
      </c>
      <c r="D36" s="23">
        <f>'Fuel Diesel'!D36</f>
        <v>309</v>
      </c>
      <c r="E36" s="24">
        <v>69</v>
      </c>
      <c r="F36" s="26">
        <f t="shared" si="2"/>
        <v>937158</v>
      </c>
      <c r="G36" s="24">
        <v>102</v>
      </c>
      <c r="H36" s="26">
        <f t="shared" si="3"/>
        <v>408000</v>
      </c>
      <c r="I36" s="24">
        <v>115</v>
      </c>
      <c r="J36" s="26">
        <f t="shared" si="4"/>
        <v>460000</v>
      </c>
      <c r="K36" s="24">
        <f t="shared" si="0"/>
        <v>1805158</v>
      </c>
      <c r="L36" s="77">
        <f t="shared" si="1"/>
        <v>125.52381614630416</v>
      </c>
      <c r="M36" s="21"/>
    </row>
    <row r="37" spans="1:15">
      <c r="A37" s="20"/>
      <c r="B37" s="22">
        <v>29</v>
      </c>
      <c r="C37" s="23">
        <f>'Fuel Diesel'!C37</f>
        <v>56</v>
      </c>
      <c r="D37" s="23">
        <f>'Fuel Diesel'!D37</f>
        <v>332</v>
      </c>
      <c r="E37" s="24">
        <v>56</v>
      </c>
      <c r="F37" s="26">
        <f t="shared" si="2"/>
        <v>760592</v>
      </c>
      <c r="G37" s="24">
        <v>104</v>
      </c>
      <c r="H37" s="26">
        <f t="shared" si="3"/>
        <v>416000</v>
      </c>
      <c r="I37" s="24">
        <v>116</v>
      </c>
      <c r="J37" s="26">
        <f t="shared" si="4"/>
        <v>464000</v>
      </c>
      <c r="K37" s="24">
        <f t="shared" si="0"/>
        <v>1640592</v>
      </c>
      <c r="L37" s="77">
        <f t="shared" si="1"/>
        <v>114.08052291217578</v>
      </c>
      <c r="M37" s="21"/>
    </row>
    <row r="38" spans="1:15">
      <c r="A38" s="20"/>
      <c r="B38" s="22">
        <v>30</v>
      </c>
      <c r="C38" s="23">
        <f>'Fuel Diesel'!C38</f>
        <v>54</v>
      </c>
      <c r="D38" s="23">
        <f>'Fuel Diesel'!D38</f>
        <v>415</v>
      </c>
      <c r="E38" s="24">
        <v>61</v>
      </c>
      <c r="F38" s="26">
        <f t="shared" si="2"/>
        <v>828502</v>
      </c>
      <c r="G38" s="24">
        <v>107</v>
      </c>
      <c r="H38" s="26">
        <f t="shared" si="3"/>
        <v>428000</v>
      </c>
      <c r="I38" s="24">
        <v>118</v>
      </c>
      <c r="J38" s="26">
        <f t="shared" si="4"/>
        <v>472000</v>
      </c>
      <c r="K38" s="24">
        <f t="shared" si="0"/>
        <v>1728502</v>
      </c>
      <c r="L38" s="77">
        <f t="shared" si="1"/>
        <v>120.19344969056394</v>
      </c>
      <c r="M38" s="21"/>
    </row>
    <row r="39" spans="1:15">
      <c r="A39" s="20"/>
      <c r="B39" s="22">
        <v>31</v>
      </c>
      <c r="C39" s="23">
        <f>'Fuel Diesel'!C39</f>
        <v>53</v>
      </c>
      <c r="D39" s="23">
        <f>'Fuel Diesel'!D39</f>
        <v>427</v>
      </c>
      <c r="E39" s="24">
        <v>59</v>
      </c>
      <c r="F39" s="26">
        <f t="shared" si="2"/>
        <v>801338</v>
      </c>
      <c r="G39" s="24">
        <v>131</v>
      </c>
      <c r="H39" s="26">
        <f t="shared" si="3"/>
        <v>524000</v>
      </c>
      <c r="I39" s="24">
        <v>143</v>
      </c>
      <c r="J39" s="26">
        <f t="shared" si="4"/>
        <v>572000</v>
      </c>
      <c r="K39" s="24">
        <f t="shared" si="0"/>
        <v>1897338</v>
      </c>
      <c r="L39" s="77">
        <f t="shared" si="1"/>
        <v>131.93366247131632</v>
      </c>
      <c r="M39" s="21"/>
    </row>
    <row r="40" spans="1:15">
      <c r="C40" s="30">
        <f>SUM(C9:C39)</f>
        <v>1284</v>
      </c>
      <c r="D40" s="30">
        <f>SUM(D9:D39)</f>
        <v>6855</v>
      </c>
      <c r="E40" s="30">
        <v>0</v>
      </c>
      <c r="G40" s="30">
        <f>SUM(G9:G39)</f>
        <v>3233</v>
      </c>
      <c r="I40" s="30">
        <f>SUM(I9:I39)</f>
        <v>3560</v>
      </c>
      <c r="J40" s="92">
        <f>G40+I40</f>
        <v>6793</v>
      </c>
      <c r="K40" s="78"/>
      <c r="L40" s="86">
        <f>SUM(L9:L39)</f>
        <v>3654.5968986857661</v>
      </c>
      <c r="O40" s="35"/>
    </row>
    <row r="41" spans="1:15">
      <c r="H41" s="91" t="s">
        <v>59</v>
      </c>
      <c r="I41" s="90">
        <f>G40+I40</f>
        <v>6793</v>
      </c>
      <c r="L41" s="36"/>
    </row>
    <row r="42" spans="1:15">
      <c r="E42" s="19"/>
      <c r="F42" s="19"/>
      <c r="G42" s="19"/>
      <c r="H42" s="19"/>
      <c r="I42" s="79"/>
      <c r="J42" s="79"/>
      <c r="L42" s="38"/>
    </row>
    <row r="43" spans="1:15">
      <c r="E43" s="19"/>
      <c r="F43" s="19"/>
      <c r="G43" s="19"/>
      <c r="H43" s="19"/>
      <c r="I43" s="79"/>
      <c r="J43" s="79"/>
    </row>
  </sheetData>
  <mergeCells count="16">
    <mergeCell ref="J7:J8"/>
    <mergeCell ref="B2:L2"/>
    <mergeCell ref="B3:L3"/>
    <mergeCell ref="B5:L5"/>
    <mergeCell ref="B6:B8"/>
    <mergeCell ref="C6:C8"/>
    <mergeCell ref="D6:D8"/>
    <mergeCell ref="E6:F6"/>
    <mergeCell ref="G6:J6"/>
    <mergeCell ref="K6:K8"/>
    <mergeCell ref="L6:L8"/>
    <mergeCell ref="E7:E8"/>
    <mergeCell ref="F7:F8"/>
    <mergeCell ref="G7:G8"/>
    <mergeCell ref="H7:H8"/>
    <mergeCell ref="I7:I8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90D190-23A8-484E-A6DE-2D42FDF3E6B4}"/>
</file>

<file path=customXml/itemProps2.xml><?xml version="1.0" encoding="utf-8"?>
<ds:datastoreItem xmlns:ds="http://schemas.openxmlformats.org/officeDocument/2006/customXml" ds:itemID="{3AD9319F-D8DA-4DEC-917C-A19EA9EBC286}"/>
</file>

<file path=customXml/itemProps3.xml><?xml version="1.0" encoding="utf-8"?>
<ds:datastoreItem xmlns:ds="http://schemas.openxmlformats.org/officeDocument/2006/customXml" ds:itemID="{D6E7C3EE-387F-490E-B8F3-8C46524F4F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Siget Pamungkas</dc:creator>
  <cp:keywords/>
  <dc:description/>
  <cp:lastModifiedBy>Agoes Erkartiawan Erkartiawan</cp:lastModifiedBy>
  <cp:revision/>
  <dcterms:created xsi:type="dcterms:W3CDTF">2022-01-19T02:48:06Z</dcterms:created>
  <dcterms:modified xsi:type="dcterms:W3CDTF">2022-06-06T08:21:50Z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