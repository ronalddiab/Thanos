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193" documentId="13_ncr:1_{76C55D63-F869-4AF5-AAA3-3D809A91432B}" xr6:coauthVersionLast="47" xr6:coauthVersionMax="47" xr10:uidLastSave="{6DCCF142-1F3B-429C-8B49-E46335F1611F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<sst xmlns="http://schemas.openxmlformats.org/spreadsheetml/2006/main" count="72" uniqueCount="33">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</sst>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3941</v>
      </c>
      <c r="J2" s="80">
        <v>0.21186441</v>
      </c>
      <c r="K2" s="11">
        <f>IF('Water, Gas, Diesel'!F6&lt;0,0,'Water, Gas, Diesel'!F6)</f>
        <v>216</v>
      </c>
      <c r="L2" s="80">
        <v>1.6949000000000001</v>
      </c>
      <c r="M2" s="11">
        <f>Electricity!H8</f>
        <v>86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80">
        <v>9.3200000000000005E-2</v>
      </c>
      <c r="G3" s="11">
        <f>IF('Water, Gas, Diesel'!K7&lt;0,0,'Water, Gas, Diesel'!K7)</f>
        <v>10</v>
      </c>
      <c r="H3" s="80">
        <v>0.7</v>
      </c>
      <c r="I3" s="11">
        <f>IF('Water, Gas, Diesel'!C7&lt;0,0,'Water, Gas, Diesel'!C7)</f>
        <v>3821</v>
      </c>
      <c r="J3" s="80">
        <v>0.21186441</v>
      </c>
      <c r="K3" s="11">
        <f>IF('Water, Gas, Diesel'!F7&lt;0,0,'Water, Gas, Diesel'!F7)</f>
        <v>326</v>
      </c>
      <c r="L3" s="80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4956</v>
      </c>
      <c r="J4" s="80">
        <v>0.21186441</v>
      </c>
      <c r="K4" s="11">
        <f>IF('Water, Gas, Diesel'!F8&lt;0,0,'Water, Gas, Diesel'!F8)</f>
        <v>259</v>
      </c>
      <c r="L4" s="80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4204</v>
      </c>
      <c r="J5" s="80">
        <v>0.21186441</v>
      </c>
      <c r="K5" s="11">
        <f>IF('Water, Gas, Diesel'!F9&lt;0,0,'Water, Gas, Diesel'!F9)</f>
        <v>18</v>
      </c>
      <c r="L5" s="80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4039</v>
      </c>
      <c r="J6" s="80">
        <v>0.21186441</v>
      </c>
      <c r="K6" s="11">
        <f>IF('Water, Gas, Diesel'!F10&lt;0,0,'Water, Gas, Diesel'!F10)</f>
        <v>171</v>
      </c>
      <c r="L6" s="80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4756</v>
      </c>
      <c r="J7" s="80">
        <v>0.21186441</v>
      </c>
      <c r="K7" s="11">
        <f>IF('Water, Gas, Diesel'!F11&lt;0,0,'Water, Gas, Diesel'!F11)</f>
        <v>227</v>
      </c>
      <c r="L7" s="80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4763</v>
      </c>
      <c r="J8" s="80">
        <v>0.21186441</v>
      </c>
      <c r="K8" s="11">
        <f>IF('Water, Gas, Diesel'!F12&lt;0,0,'Water, Gas, Diesel'!F12)</f>
        <v>300</v>
      </c>
      <c r="L8" s="80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2797</v>
      </c>
      <c r="J9" s="80">
        <v>0.21186441</v>
      </c>
      <c r="K9" s="11">
        <f>IF('Water, Gas, Diesel'!F13&lt;0,0,'Water, Gas, Diesel'!F13)</f>
        <v>273</v>
      </c>
      <c r="L9" s="80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7254</v>
      </c>
      <c r="J10" s="80">
        <v>0.21186441</v>
      </c>
      <c r="K10" s="11">
        <f>IF('Water, Gas, Diesel'!F14&lt;0,0,'Water, Gas, Diesel'!F14)</f>
        <v>294</v>
      </c>
      <c r="L10" s="80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80">
        <v>9.3200000000000005E-2</v>
      </c>
      <c r="G11" s="11">
        <f>IF('Water, Gas, Diesel'!K15&lt;0,0,'Water, Gas, Diesel'!K15)</f>
        <v>11</v>
      </c>
      <c r="H11" s="80">
        <v>0.7</v>
      </c>
      <c r="I11" s="11">
        <f>IF('Water, Gas, Diesel'!C15&lt;0,0,'Water, Gas, Diesel'!C15)</f>
        <v>4036</v>
      </c>
      <c r="J11" s="80">
        <v>0.21186441</v>
      </c>
      <c r="K11" s="11">
        <f>IF('Water, Gas, Diesel'!F15&lt;0,0,'Water, Gas, Diesel'!F15)</f>
        <v>299</v>
      </c>
      <c r="L11" s="80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4973</v>
      </c>
      <c r="J12" s="80">
        <v>0.21186441</v>
      </c>
      <c r="K12" s="11">
        <f>IF('Water, Gas, Diesel'!F16&lt;0,0,'Water, Gas, Diesel'!F16)</f>
        <v>324</v>
      </c>
      <c r="L12" s="80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4328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3890</v>
      </c>
      <c r="J14" s="80">
        <v>0.21186441</v>
      </c>
      <c r="K14" s="11">
        <f>IF('Water, Gas, Diesel'!F18&lt;0,0,'Water, Gas, Diesel'!F18)</f>
        <v>63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4261</v>
      </c>
      <c r="J15" s="80">
        <v>0.21186441</v>
      </c>
      <c r="K15" s="11">
        <f>IF('Water, Gas, Diesel'!F19&lt;0,0,'Water, Gas, Diesel'!F19)</f>
        <v>35</v>
      </c>
      <c r="L15" s="80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4516</v>
      </c>
      <c r="J16" s="80">
        <v>0.21186441</v>
      </c>
      <c r="K16" s="11">
        <f>IF('Water, Gas, Diesel'!F20&lt;0,0,'Water, Gas, Diesel'!F20)</f>
        <v>297</v>
      </c>
      <c r="L16" s="80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4417</v>
      </c>
      <c r="J17" s="80">
        <v>0.21186441</v>
      </c>
      <c r="K17" s="11">
        <f>IF('Water, Gas, Diesel'!F21&lt;0,0,'Water, Gas, Diesel'!F21)</f>
        <v>299</v>
      </c>
      <c r="L17" s="80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80">
        <v>9.3200000000000005E-2</v>
      </c>
      <c r="G18" s="11">
        <f>IF('Water, Gas, Diesel'!K22&lt;0,0,'Water, Gas, Diesel'!K22)</f>
        <v>16300</v>
      </c>
      <c r="H18" s="80">
        <v>0.7</v>
      </c>
      <c r="I18" s="11">
        <f>IF('Water, Gas, Diesel'!C22&lt;0,0,'Water, Gas, Diesel'!C22)</f>
        <v>0</v>
      </c>
      <c r="J18" s="80">
        <v>0.21186441</v>
      </c>
      <c r="K18" s="11">
        <f>IF('Water, Gas, Diesel'!F22&lt;0,0,'Water, Gas, Diesel'!F22)</f>
        <v>0</v>
      </c>
      <c r="L18" s="80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0</v>
      </c>
      <c r="J19" s="80">
        <v>0.21186441</v>
      </c>
      <c r="K19" s="11">
        <f>IF('Water, Gas, Diesel'!F23&lt;0,0,'Water, Gas, Diesel'!F23)</f>
        <v>0</v>
      </c>
      <c r="L19" s="80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0</v>
      </c>
      <c r="J20" s="80">
        <v>0.21186441</v>
      </c>
      <c r="K20" s="11">
        <f>IF('Water, Gas, Diesel'!F24&lt;0,0,'Water, Gas, Diesel'!F24)</f>
        <v>0</v>
      </c>
      <c r="L20" s="80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0</v>
      </c>
      <c r="J21" s="80">
        <v>0.21186441</v>
      </c>
      <c r="K21" s="11">
        <f>IF('Water, Gas, Diesel'!F25&lt;0,0,'Water, Gas, Diesel'!F25)</f>
        <v>0</v>
      </c>
      <c r="L21" s="80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0</v>
      </c>
      <c r="J22" s="80">
        <v>0.21186441</v>
      </c>
      <c r="K22" s="11">
        <f>IF('Water, Gas, Diesel'!F26&lt;0,0,'Water, Gas, Diesel'!F26)</f>
        <v>0</v>
      </c>
      <c r="L22" s="80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0</v>
      </c>
      <c r="J23" s="80">
        <v>0.21186441</v>
      </c>
      <c r="K23" s="11">
        <f>IF('Water, Gas, Diesel'!F27&lt;0,0,'Water, Gas, Diesel'!F27)</f>
        <v>0</v>
      </c>
      <c r="L23" s="80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0</v>
      </c>
      <c r="J24" s="80">
        <v>0.21186441</v>
      </c>
      <c r="K24" s="11">
        <f>IF('Water, Gas, Diesel'!F28&lt;0,0,'Water, Gas, Diesel'!F28)</f>
        <v>0</v>
      </c>
      <c r="L24" s="80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0</v>
      </c>
      <c r="J25" s="80">
        <v>0.21186441</v>
      </c>
      <c r="K25" s="11">
        <f>IF('Water, Gas, Diesel'!F29&lt;0,0,'Water, Gas, Diesel'!F29)</f>
        <v>0</v>
      </c>
      <c r="L25" s="80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0</v>
      </c>
      <c r="J26" s="80">
        <v>0.21186441</v>
      </c>
      <c r="K26" s="11">
        <f>IF('Water, Gas, Diesel'!F30&lt;0,0,'Water, Gas, Diesel'!F30)</f>
        <v>0</v>
      </c>
      <c r="L26" s="80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9" activePane="bottomLeft" state="frozen"/>
      <selection pane="bottomLeft" activeCell="J22" sqref="J22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31</v>
      </c>
      <c r="B7" s="66">
        <v>16272.04</v>
      </c>
      <c r="C7" s="67">
        <f t="shared" ref="C7:C24" si="0">(B8-B7)*2500</f>
        <v>12717.499999998836</v>
      </c>
      <c r="D7" s="66">
        <v>16491.627</v>
      </c>
      <c r="E7" s="67">
        <f t="shared" ref="E7:E24" si="1">(D8-D7)*2500</f>
        <v>8294.9999999982538</v>
      </c>
      <c r="F7" s="91">
        <f t="shared" ref="F7:F38" si="2">C7+E7</f>
        <v>21012.49999999709</v>
      </c>
      <c r="G7" s="65">
        <f>F7*0.0932</f>
        <v>1958.3649999997288</v>
      </c>
      <c r="H7" s="137">
        <v>104</v>
      </c>
    </row>
    <row r="8" spans="1:8" ht="30.95" customHeight="1">
      <c r="A8" s="96">
        <v>1</v>
      </c>
      <c r="B8" s="90">
        <v>16277.127</v>
      </c>
      <c r="C8" s="68">
        <f t="shared" si="0"/>
        <v>10115.000000000691</v>
      </c>
      <c r="D8" s="69">
        <v>16494.945</v>
      </c>
      <c r="E8" s="68">
        <f t="shared" si="1"/>
        <v>6670.0000000037107</v>
      </c>
      <c r="F8" s="49">
        <f t="shared" si="2"/>
        <v>16785.000000004402</v>
      </c>
      <c r="G8" s="65">
        <f t="shared" ref="G8:G39" si="3">F8*0.0932</f>
        <v>1564.3620000004103</v>
      </c>
      <c r="H8" s="97">
        <v>86</v>
      </c>
    </row>
    <row r="9" spans="1:8" ht="30.95" customHeight="1">
      <c r="A9" s="98">
        <v>2</v>
      </c>
      <c r="B9" s="70">
        <v>16281.173000000001</v>
      </c>
      <c r="C9" s="37">
        <f t="shared" si="0"/>
        <v>9800.0000000001819</v>
      </c>
      <c r="D9" s="69">
        <v>16497.613000000001</v>
      </c>
      <c r="E9" s="37">
        <f t="shared" si="1"/>
        <v>6352.4999999935972</v>
      </c>
      <c r="F9" s="45">
        <f t="shared" si="2"/>
        <v>16152.499999993779</v>
      </c>
      <c r="G9" s="65">
        <f t="shared" si="3"/>
        <v>1505.4129999994202</v>
      </c>
      <c r="H9" s="99">
        <v>68</v>
      </c>
    </row>
    <row r="10" spans="1:8" ht="30.95" customHeight="1">
      <c r="A10" s="96">
        <v>3</v>
      </c>
      <c r="B10" s="71">
        <v>16285.093000000001</v>
      </c>
      <c r="C10" s="68">
        <f t="shared" si="0"/>
        <v>13084.999999996398</v>
      </c>
      <c r="D10" s="72">
        <v>16500.153999999999</v>
      </c>
      <c r="E10" s="68">
        <f t="shared" si="1"/>
        <v>8475.0000000076398</v>
      </c>
      <c r="F10" s="49">
        <f t="shared" si="2"/>
        <v>21560.000000004038</v>
      </c>
      <c r="G10" s="65">
        <f t="shared" si="3"/>
        <v>2009.3920000003764</v>
      </c>
      <c r="H10" s="99">
        <v>56</v>
      </c>
    </row>
    <row r="11" spans="1:8" ht="30.95" customHeight="1">
      <c r="A11" s="98">
        <v>4</v>
      </c>
      <c r="B11" s="73">
        <v>16290.326999999999</v>
      </c>
      <c r="C11" s="37">
        <f t="shared" si="0"/>
        <v>10765.000000001237</v>
      </c>
      <c r="D11" s="74">
        <v>16503.544000000002</v>
      </c>
      <c r="E11" s="37">
        <f t="shared" si="1"/>
        <v>6929.9999999930151</v>
      </c>
      <c r="F11" s="45">
        <f t="shared" si="2"/>
        <v>17694.999999994252</v>
      </c>
      <c r="G11" s="65">
        <f t="shared" si="3"/>
        <v>1649.1739999994643</v>
      </c>
      <c r="H11" s="99">
        <v>65</v>
      </c>
    </row>
    <row r="12" spans="1:8" ht="30.95" customHeight="1">
      <c r="A12" s="96">
        <v>5</v>
      </c>
      <c r="B12" s="75">
        <v>16294.633</v>
      </c>
      <c r="C12" s="68">
        <f t="shared" si="0"/>
        <v>10727.500000002692</v>
      </c>
      <c r="D12" s="72">
        <v>16506.315999999999</v>
      </c>
      <c r="E12" s="68">
        <f t="shared" si="1"/>
        <v>6757.5000000033469</v>
      </c>
      <c r="F12" s="49">
        <f t="shared" si="2"/>
        <v>17485.000000006039</v>
      </c>
      <c r="G12" s="65">
        <f t="shared" si="3"/>
        <v>1629.6020000005628</v>
      </c>
      <c r="H12" s="99">
        <v>82</v>
      </c>
    </row>
    <row r="13" spans="1:8" ht="30.95" customHeight="1">
      <c r="A13" s="98">
        <v>6</v>
      </c>
      <c r="B13" s="73">
        <v>16298.924000000001</v>
      </c>
      <c r="C13" s="37">
        <f t="shared" si="0"/>
        <v>9602.4999999963256</v>
      </c>
      <c r="D13" s="74">
        <v>16509.019</v>
      </c>
      <c r="E13" s="37">
        <f t="shared" si="1"/>
        <v>8365.0000000034197</v>
      </c>
      <c r="F13" s="45">
        <f t="shared" si="2"/>
        <v>17967.499999999745</v>
      </c>
      <c r="G13" s="65">
        <f t="shared" si="3"/>
        <v>1674.5709999999763</v>
      </c>
      <c r="H13" s="99">
        <v>71</v>
      </c>
    </row>
    <row r="14" spans="1:8" ht="30.95" customHeight="1">
      <c r="A14" s="96">
        <v>7</v>
      </c>
      <c r="B14" s="75">
        <v>16302.764999999999</v>
      </c>
      <c r="C14" s="68">
        <f t="shared" si="0"/>
        <v>8027.500000002874</v>
      </c>
      <c r="D14" s="100">
        <v>16512.365000000002</v>
      </c>
      <c r="E14" s="68">
        <f t="shared" si="1"/>
        <v>8629.9999999937427</v>
      </c>
      <c r="F14" s="49">
        <f t="shared" si="2"/>
        <v>16657.499999996617</v>
      </c>
      <c r="G14" s="65">
        <f t="shared" si="3"/>
        <v>1552.4789999996847</v>
      </c>
      <c r="H14" s="99">
        <v>80</v>
      </c>
    </row>
    <row r="15" spans="1:8" ht="30.95" customHeight="1">
      <c r="A15" s="98">
        <v>8</v>
      </c>
      <c r="B15" s="73">
        <v>16305.976000000001</v>
      </c>
      <c r="C15" s="37">
        <f t="shared" si="0"/>
        <v>7987.4999999992724</v>
      </c>
      <c r="D15" s="76">
        <v>16515.816999999999</v>
      </c>
      <c r="E15" s="37">
        <f t="shared" si="1"/>
        <v>8802.5000000016007</v>
      </c>
      <c r="F15" s="45">
        <f t="shared" si="2"/>
        <v>16790.000000000873</v>
      </c>
      <c r="G15" s="65">
        <f t="shared" si="3"/>
        <v>1564.8280000000814</v>
      </c>
      <c r="H15" s="99">
        <v>45</v>
      </c>
    </row>
    <row r="16" spans="1:8" ht="30.95" customHeight="1">
      <c r="A16" s="96">
        <v>9</v>
      </c>
      <c r="B16" s="138">
        <v>16309.171</v>
      </c>
      <c r="C16" s="68">
        <f t="shared" si="0"/>
        <v>8049.9999999983629</v>
      </c>
      <c r="D16" s="77">
        <v>16519.338</v>
      </c>
      <c r="E16" s="68">
        <f t="shared" si="1"/>
        <v>9200.0000000007276</v>
      </c>
      <c r="F16" s="49">
        <f t="shared" si="2"/>
        <v>17249.999999999091</v>
      </c>
      <c r="G16" s="65">
        <f t="shared" si="3"/>
        <v>1607.6999999999152</v>
      </c>
      <c r="H16" s="99">
        <v>42</v>
      </c>
    </row>
    <row r="17" spans="1:8" ht="30.95" customHeight="1">
      <c r="A17" s="98">
        <v>10</v>
      </c>
      <c r="B17" s="75">
        <v>16312.391</v>
      </c>
      <c r="C17" s="37">
        <f t="shared" si="0"/>
        <v>8220.0000000011642</v>
      </c>
      <c r="D17" s="100">
        <v>16523.018</v>
      </c>
      <c r="E17" s="37">
        <f t="shared" si="1"/>
        <v>10444.999999999709</v>
      </c>
      <c r="F17" s="45">
        <f t="shared" si="2"/>
        <v>18665.000000000873</v>
      </c>
      <c r="G17" s="65">
        <f t="shared" si="3"/>
        <v>1739.5780000000814</v>
      </c>
      <c r="H17" s="99">
        <v>46</v>
      </c>
    </row>
    <row r="18" spans="1:8" ht="30.95" customHeight="1">
      <c r="A18" s="96">
        <v>11</v>
      </c>
      <c r="B18" s="73">
        <v>16315.679</v>
      </c>
      <c r="C18" s="68">
        <f t="shared" si="0"/>
        <v>8719.9999999984357</v>
      </c>
      <c r="D18" s="76">
        <v>16527.196</v>
      </c>
      <c r="E18" s="68">
        <f t="shared" si="1"/>
        <v>11527.500000001965</v>
      </c>
      <c r="F18" s="49">
        <f t="shared" si="2"/>
        <v>20247.5000000004</v>
      </c>
      <c r="G18" s="65">
        <f t="shared" si="3"/>
        <v>1887.0670000000373</v>
      </c>
      <c r="H18" s="99">
        <v>66</v>
      </c>
    </row>
    <row r="19" spans="1:8" ht="30.95" customHeight="1">
      <c r="A19" s="98">
        <v>12</v>
      </c>
      <c r="B19" s="75">
        <v>16319.166999999999</v>
      </c>
      <c r="C19" s="37">
        <f t="shared" si="0"/>
        <v>8682.4999999998909</v>
      </c>
      <c r="D19" s="100">
        <v>16531.807000000001</v>
      </c>
      <c r="E19" s="37">
        <f t="shared" si="1"/>
        <v>11842.500000002474</v>
      </c>
      <c r="F19" s="45">
        <f t="shared" si="2"/>
        <v>20525.000000002365</v>
      </c>
      <c r="G19" s="65">
        <f t="shared" si="3"/>
        <v>1912.9300000002204</v>
      </c>
      <c r="H19" s="99">
        <v>51</v>
      </c>
    </row>
    <row r="20" spans="1:8" ht="30.95" customHeight="1">
      <c r="A20" s="96">
        <v>13</v>
      </c>
      <c r="B20" s="73">
        <v>16322.64</v>
      </c>
      <c r="C20" s="68">
        <f t="shared" si="0"/>
        <v>2500</v>
      </c>
      <c r="D20" s="78">
        <v>16536.544000000002</v>
      </c>
      <c r="E20" s="68">
        <f t="shared" si="1"/>
        <v>10659.999999998035</v>
      </c>
      <c r="F20" s="49">
        <f t="shared" si="2"/>
        <v>13159.999999998035</v>
      </c>
      <c r="G20" s="65">
        <f t="shared" si="3"/>
        <v>1226.5119999998169</v>
      </c>
      <c r="H20" s="99">
        <v>66</v>
      </c>
    </row>
    <row r="21" spans="1:8" ht="30.95" customHeight="1">
      <c r="A21" s="98">
        <v>14</v>
      </c>
      <c r="B21" s="73">
        <v>16323.64</v>
      </c>
      <c r="C21" s="37">
        <f t="shared" si="0"/>
        <v>13900.000000003274</v>
      </c>
      <c r="D21" s="76">
        <v>16540.808000000001</v>
      </c>
      <c r="E21" s="37">
        <f t="shared" si="1"/>
        <v>10784.999999996217</v>
      </c>
      <c r="F21" s="45">
        <f t="shared" si="2"/>
        <v>24684.999999999491</v>
      </c>
      <c r="G21" s="65">
        <f t="shared" si="3"/>
        <v>2300.6419999999525</v>
      </c>
      <c r="H21" s="99">
        <v>77</v>
      </c>
    </row>
    <row r="22" spans="1:8" ht="30.95" customHeight="1">
      <c r="A22" s="96">
        <v>15</v>
      </c>
      <c r="B22" s="73">
        <v>16329.2</v>
      </c>
      <c r="C22" s="68">
        <f t="shared" si="0"/>
        <v>9012.4999999989086</v>
      </c>
      <c r="D22" s="55">
        <v>16545.121999999999</v>
      </c>
      <c r="E22" s="68">
        <f t="shared" si="1"/>
        <v>10642.500000003565</v>
      </c>
      <c r="F22" s="49">
        <f t="shared" si="2"/>
        <v>19655.000000002474</v>
      </c>
      <c r="G22" s="65">
        <f t="shared" si="3"/>
        <v>1831.8460000002306</v>
      </c>
      <c r="H22" s="99">
        <v>71</v>
      </c>
    </row>
    <row r="23" spans="1:8" ht="30.95" customHeight="1">
      <c r="A23" s="98">
        <v>16</v>
      </c>
      <c r="B23" s="81">
        <v>16332.805</v>
      </c>
      <c r="C23" s="37">
        <f t="shared" si="0"/>
        <v>8417.5000000004729</v>
      </c>
      <c r="D23" s="82">
        <v>16549.379000000001</v>
      </c>
      <c r="E23" s="37">
        <f t="shared" si="1"/>
        <v>9965.0000000019645</v>
      </c>
      <c r="F23" s="45">
        <f t="shared" si="2"/>
        <v>18382.500000002437</v>
      </c>
      <c r="G23" s="65">
        <f t="shared" si="3"/>
        <v>1713.2490000002272</v>
      </c>
      <c r="H23" s="99">
        <v>79</v>
      </c>
    </row>
    <row r="24" spans="1:8" ht="30.95" customHeight="1">
      <c r="A24" s="96">
        <v>17</v>
      </c>
      <c r="B24" s="83">
        <v>16336.172</v>
      </c>
      <c r="C24" s="68">
        <f t="shared" si="0"/>
        <v>-40840430</v>
      </c>
      <c r="D24" s="100">
        <v>16553.365000000002</v>
      </c>
      <c r="E24" s="68">
        <f t="shared" si="1"/>
        <v>-41383412.500000007</v>
      </c>
      <c r="F24" s="49">
        <f t="shared" si="2"/>
        <v>-82223842.5</v>
      </c>
      <c r="G24" s="65">
        <f t="shared" si="3"/>
        <v>-7663262.1210000003</v>
      </c>
      <c r="H24" s="99">
        <v>62</v>
      </c>
    </row>
    <row r="25" spans="1:8" ht="30.95" customHeight="1">
      <c r="A25" s="98">
        <v>18</v>
      </c>
      <c r="B25" s="73"/>
      <c r="C25" s="37">
        <f>(B26-B25)*2500</f>
        <v>0</v>
      </c>
      <c r="D25" s="76"/>
      <c r="E25" s="37">
        <f>(D26-D25)*2500</f>
        <v>0</v>
      </c>
      <c r="F25" s="45">
        <f t="shared" si="2"/>
        <v>0</v>
      </c>
      <c r="G25" s="65">
        <f t="shared" si="3"/>
        <v>0</v>
      </c>
      <c r="H25" s="99"/>
    </row>
    <row r="26" spans="1:8" ht="30.95" customHeight="1">
      <c r="A26" s="96">
        <v>19</v>
      </c>
      <c r="B26" s="75"/>
      <c r="C26" s="68">
        <f t="shared" ref="C26:C38" si="4">(B27-B26)*2500</f>
        <v>0</v>
      </c>
      <c r="D26" s="100"/>
      <c r="E26" s="68">
        <f t="shared" ref="E26:E38" si="5">(D27-D26)*2500</f>
        <v>0</v>
      </c>
      <c r="F26" s="45">
        <f t="shared" si="2"/>
        <v>0</v>
      </c>
      <c r="G26" s="65">
        <f t="shared" si="3"/>
        <v>0</v>
      </c>
      <c r="H26" s="99"/>
    </row>
    <row r="27" spans="1:8" ht="30.95" customHeight="1">
      <c r="A27" s="98">
        <v>20</v>
      </c>
      <c r="B27" s="73"/>
      <c r="C27" s="37">
        <f t="shared" si="4"/>
        <v>0</v>
      </c>
      <c r="D27" s="78"/>
      <c r="E27" s="37">
        <f t="shared" si="5"/>
        <v>0</v>
      </c>
      <c r="F27" s="49">
        <f t="shared" si="2"/>
        <v>0</v>
      </c>
      <c r="G27" s="65">
        <f t="shared" si="3"/>
        <v>0</v>
      </c>
      <c r="H27" s="99"/>
    </row>
    <row r="28" spans="1:8" ht="30.95" customHeight="1">
      <c r="A28" s="96">
        <v>21</v>
      </c>
      <c r="B28" s="75"/>
      <c r="C28" s="68">
        <f t="shared" si="4"/>
        <v>0</v>
      </c>
      <c r="D28" s="100"/>
      <c r="E28" s="68">
        <f t="shared" si="5"/>
        <v>0</v>
      </c>
      <c r="F28" s="45">
        <f t="shared" si="2"/>
        <v>0</v>
      </c>
      <c r="G28" s="65">
        <f t="shared" si="3"/>
        <v>0</v>
      </c>
      <c r="H28" s="99"/>
    </row>
    <row r="29" spans="1:8" ht="30.95" customHeight="1">
      <c r="A29" s="98">
        <v>22</v>
      </c>
      <c r="B29" s="73"/>
      <c r="C29" s="37">
        <f t="shared" si="4"/>
        <v>0</v>
      </c>
      <c r="D29" s="76"/>
      <c r="E29" s="37">
        <f t="shared" si="5"/>
        <v>0</v>
      </c>
      <c r="F29" s="49">
        <f t="shared" si="2"/>
        <v>0</v>
      </c>
      <c r="G29" s="65">
        <f t="shared" si="3"/>
        <v>0</v>
      </c>
      <c r="H29" s="99"/>
    </row>
    <row r="30" spans="1:8" ht="30.95" customHeight="1">
      <c r="A30" s="96">
        <v>23</v>
      </c>
      <c r="B30" s="75"/>
      <c r="C30" s="68">
        <f t="shared" si="4"/>
        <v>0</v>
      </c>
      <c r="D30" s="100"/>
      <c r="E30" s="68">
        <f t="shared" si="5"/>
        <v>0</v>
      </c>
      <c r="F30" s="45">
        <f t="shared" si="2"/>
        <v>0</v>
      </c>
      <c r="G30" s="65">
        <f t="shared" si="3"/>
        <v>0</v>
      </c>
      <c r="H30" s="99"/>
    </row>
    <row r="31" spans="1:8" ht="30.95" customHeight="1">
      <c r="A31" s="98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99"/>
    </row>
    <row r="32" spans="1:8" ht="30.95" customHeight="1">
      <c r="A32" s="96">
        <v>25</v>
      </c>
      <c r="B32" s="75"/>
      <c r="C32" s="68">
        <f t="shared" si="4"/>
        <v>0</v>
      </c>
      <c r="D32" s="100"/>
      <c r="E32" s="68">
        <f t="shared" si="5"/>
        <v>0</v>
      </c>
      <c r="F32" s="45">
        <f t="shared" si="2"/>
        <v>0</v>
      </c>
      <c r="G32" s="65">
        <f t="shared" si="3"/>
        <v>0</v>
      </c>
      <c r="H32" s="99"/>
    </row>
    <row r="33" spans="1:8" ht="30.95" customHeight="1">
      <c r="A33" s="98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99"/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72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8" activePane="bottomLeft" state="frozen"/>
      <selection pane="bottomLeft" activeCell="M20" sqref="M20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31</v>
      </c>
      <c r="B5" s="87">
        <v>7313440</v>
      </c>
      <c r="C5" s="101">
        <f>B6-B5</f>
        <v>4432</v>
      </c>
      <c r="D5" s="32">
        <f>C5*0.21186441</f>
        <v>938.98306511999999</v>
      </c>
      <c r="E5" s="33">
        <v>587640</v>
      </c>
      <c r="F5" s="102">
        <f>E6-E5</f>
        <v>305</v>
      </c>
      <c r="G5" s="34">
        <f>F5*0.84746</f>
        <v>258.4753</v>
      </c>
      <c r="H5" s="34">
        <f>F5*0.84746</f>
        <v>258.4753</v>
      </c>
      <c r="I5" s="88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7">
        <v>7317872</v>
      </c>
      <c r="C6" s="51">
        <f t="shared" ref="C6:C15" si="0">B7-B6</f>
        <v>3941</v>
      </c>
      <c r="D6" s="39">
        <f>C6*0.21186441</f>
        <v>834.95763981000005</v>
      </c>
      <c r="E6" s="40">
        <v>587945</v>
      </c>
      <c r="F6" s="52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3">
        <f t="shared" si="0"/>
        <v>3821</v>
      </c>
      <c r="D7" s="44">
        <f>C7*0.21186441</f>
        <v>809.53391061000002</v>
      </c>
      <c r="E7" s="45">
        <v>588161</v>
      </c>
      <c r="F7" s="54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1">
        <f t="shared" si="0"/>
        <v>4956</v>
      </c>
      <c r="D8" s="44">
        <f t="shared" ref="D8:D36" si="7">C8*0.21186441</f>
        <v>1050.0000159599999</v>
      </c>
      <c r="E8" s="45">
        <v>588487</v>
      </c>
      <c r="F8" s="52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3">
        <f t="shared" si="0"/>
        <v>4204</v>
      </c>
      <c r="D9" s="44">
        <f t="shared" si="7"/>
        <v>890.67797963999999</v>
      </c>
      <c r="E9" s="45">
        <v>588746</v>
      </c>
      <c r="F9" s="54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1">
        <f t="shared" si="0"/>
        <v>4039</v>
      </c>
      <c r="D10" s="44">
        <f t="shared" si="7"/>
        <v>855.72035199000004</v>
      </c>
      <c r="E10" s="45">
        <v>588764</v>
      </c>
      <c r="F10" s="52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3">
        <f t="shared" si="0"/>
        <v>4756</v>
      </c>
      <c r="D11" s="44">
        <f t="shared" si="7"/>
        <v>1007.62713396</v>
      </c>
      <c r="E11" s="45">
        <v>588935</v>
      </c>
      <c r="F11" s="54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1">
        <f t="shared" si="0"/>
        <v>4763</v>
      </c>
      <c r="D12" s="44">
        <f t="shared" si="7"/>
        <v>1009.11018483</v>
      </c>
      <c r="E12" s="45">
        <v>589162</v>
      </c>
      <c r="F12" s="52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3">
        <f t="shared" si="0"/>
        <v>2797</v>
      </c>
      <c r="D13" s="44">
        <f t="shared" si="7"/>
        <v>592.58475477000002</v>
      </c>
      <c r="E13" s="45">
        <v>589462</v>
      </c>
      <c r="F13" s="54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1">
        <f t="shared" si="0"/>
        <v>7254</v>
      </c>
      <c r="D14" s="44">
        <f t="shared" si="7"/>
        <v>1536.86443014</v>
      </c>
      <c r="E14" s="45">
        <v>589735</v>
      </c>
      <c r="F14" s="52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3">
        <f t="shared" si="0"/>
        <v>4036</v>
      </c>
      <c r="D15" s="44">
        <f t="shared" si="7"/>
        <v>855.08475876</v>
      </c>
      <c r="E15" s="45">
        <v>590029</v>
      </c>
      <c r="F15" s="54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1">
        <f>B17-B16</f>
        <v>4973</v>
      </c>
      <c r="D16" s="44">
        <f t="shared" si="7"/>
        <v>1053.6017109300001</v>
      </c>
      <c r="E16" s="45">
        <v>590328</v>
      </c>
      <c r="F16" s="52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3">
        <f t="shared" ref="C17:C35" si="8">B18-B17</f>
        <v>4328</v>
      </c>
      <c r="D17" s="44">
        <f t="shared" si="7"/>
        <v>916.94916648000003</v>
      </c>
      <c r="E17" s="45">
        <v>590652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1">
        <f t="shared" si="8"/>
        <v>3890</v>
      </c>
      <c r="D18" s="44">
        <f t="shared" si="7"/>
        <v>824.15255490000004</v>
      </c>
      <c r="E18" s="49">
        <v>590972</v>
      </c>
      <c r="F18" s="52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3">
        <f t="shared" si="8"/>
        <v>4261</v>
      </c>
      <c r="D19" s="44">
        <f t="shared" si="7"/>
        <v>902.75425100999996</v>
      </c>
      <c r="E19" s="50">
        <v>591035</v>
      </c>
      <c r="F19" s="54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1">
        <f t="shared" si="8"/>
        <v>4516</v>
      </c>
      <c r="D20" s="44">
        <f t="shared" si="7"/>
        <v>956.77967555999999</v>
      </c>
      <c r="E20" s="49">
        <v>591070</v>
      </c>
      <c r="F20" s="52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7384407</v>
      </c>
      <c r="C21" s="53">
        <f t="shared" si="8"/>
        <v>4417</v>
      </c>
      <c r="D21" s="44">
        <f t="shared" si="7"/>
        <v>935.80509897000002</v>
      </c>
      <c r="E21" s="84">
        <v>591367</v>
      </c>
      <c r="F21" s="54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1">
        <f t="shared" si="8"/>
        <v>-7388824</v>
      </c>
      <c r="D22" s="44">
        <f t="shared" si="7"/>
        <v>-1565428.83735384</v>
      </c>
      <c r="E22" s="50">
        <v>591666</v>
      </c>
      <c r="F22" s="52">
        <f t="shared" si="9"/>
        <v>-591666</v>
      </c>
      <c r="G22" s="41">
        <f t="shared" si="4"/>
        <v>-501413.26835999999</v>
      </c>
      <c r="H22" s="41">
        <f t="shared" si="5"/>
        <v>-501413.26835999999</v>
      </c>
      <c r="I22" s="47">
        <f t="shared" si="2"/>
        <v>-1002826.53672</v>
      </c>
      <c r="J22" s="35">
        <f>10000+6300</f>
        <v>16300</v>
      </c>
      <c r="K22" s="36">
        <f t="shared" si="3"/>
        <v>16300</v>
      </c>
      <c r="L22" s="37">
        <f t="shared" si="6"/>
        <v>11410</v>
      </c>
    </row>
    <row r="23" spans="1:12" ht="32.450000000000003" customHeight="1">
      <c r="A23" s="43">
        <v>18</v>
      </c>
      <c r="B23" s="43"/>
      <c r="C23" s="53">
        <f t="shared" si="8"/>
        <v>0</v>
      </c>
      <c r="D23" s="44">
        <f t="shared" si="7"/>
        <v>0</v>
      </c>
      <c r="E23" s="50"/>
      <c r="F23" s="54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48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1">
        <f t="shared" si="8"/>
        <v>0</v>
      </c>
      <c r="D24" s="44">
        <f t="shared" si="7"/>
        <v>0</v>
      </c>
      <c r="E24" s="50"/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48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3">
        <f t="shared" si="8"/>
        <v>0</v>
      </c>
      <c r="D25" s="44">
        <f t="shared" si="7"/>
        <v>0</v>
      </c>
      <c r="E25" s="50"/>
      <c r="F25" s="54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48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1">
        <f t="shared" si="8"/>
        <v>0</v>
      </c>
      <c r="D26" s="44">
        <f t="shared" si="7"/>
        <v>0</v>
      </c>
      <c r="E26" s="50"/>
      <c r="F26" s="52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48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3">
        <f t="shared" si="8"/>
        <v>0</v>
      </c>
      <c r="D27" s="44">
        <f t="shared" si="7"/>
        <v>0</v>
      </c>
      <c r="E27" s="50"/>
      <c r="F27" s="54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48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1">
        <f t="shared" si="8"/>
        <v>0</v>
      </c>
      <c r="D28" s="44">
        <f t="shared" si="7"/>
        <v>0</v>
      </c>
      <c r="E28" s="50"/>
      <c r="F28" s="52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48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2023-01-18T05:29:16Z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