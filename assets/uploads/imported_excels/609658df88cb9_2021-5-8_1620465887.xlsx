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3" l="1"/>
  <c r="Z38" i="3"/>
  <c r="Z39" i="3"/>
  <c r="X38" i="3"/>
  <c r="X39" i="3"/>
  <c r="V38" i="3"/>
  <c r="V39" i="3"/>
  <c r="U38" i="3"/>
  <c r="J31" i="2" s="1"/>
  <c r="U39" i="3"/>
  <c r="J32" i="2" s="1"/>
  <c r="R38" i="3"/>
  <c r="R39" i="3"/>
  <c r="Q38" i="3"/>
  <c r="Q39" i="3"/>
  <c r="P38" i="3"/>
  <c r="P39" i="3"/>
  <c r="I32" i="2" s="1"/>
  <c r="N38" i="3"/>
  <c r="N39" i="3"/>
  <c r="K38" i="3"/>
  <c r="K39" i="3"/>
  <c r="I38" i="3"/>
  <c r="I39" i="3"/>
  <c r="H38" i="3"/>
  <c r="H39" i="3"/>
  <c r="G32" i="2" s="1"/>
  <c r="F38" i="3"/>
  <c r="F39" i="3"/>
  <c r="D38" i="3"/>
  <c r="D39" i="3"/>
  <c r="K31" i="1"/>
  <c r="K32" i="1"/>
  <c r="K27" i="2"/>
  <c r="K28" i="2"/>
  <c r="K29" i="2"/>
  <c r="K30" i="2"/>
  <c r="K31" i="2"/>
  <c r="K32" i="2"/>
  <c r="J25" i="2"/>
  <c r="J26" i="2"/>
  <c r="J27" i="2"/>
  <c r="J28" i="2"/>
  <c r="J29" i="2"/>
  <c r="J30" i="2"/>
  <c r="I24" i="2"/>
  <c r="I25" i="2"/>
  <c r="I26" i="2"/>
  <c r="I27" i="2"/>
  <c r="I28" i="2"/>
  <c r="I29" i="2"/>
  <c r="I30" i="2"/>
  <c r="I31" i="2"/>
  <c r="H24" i="2"/>
  <c r="H25" i="2"/>
  <c r="H26" i="2"/>
  <c r="H27" i="2"/>
  <c r="H28" i="2"/>
  <c r="H29" i="2"/>
  <c r="H30" i="2"/>
  <c r="H31" i="2"/>
  <c r="H32" i="2"/>
  <c r="G24" i="2"/>
  <c r="G25" i="2"/>
  <c r="G26" i="2"/>
  <c r="G27" i="2"/>
  <c r="G28" i="2"/>
  <c r="G29" i="2"/>
  <c r="G30" i="2"/>
  <c r="G31" i="2"/>
  <c r="F21" i="2"/>
  <c r="F22" i="2"/>
  <c r="F23" i="2"/>
  <c r="F24" i="2"/>
  <c r="F25" i="2"/>
  <c r="F26" i="2"/>
  <c r="F27" i="2"/>
  <c r="F28" i="2"/>
  <c r="F29" i="2"/>
  <c r="F30" i="2"/>
  <c r="F31" i="2"/>
  <c r="F32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B37" i="3"/>
  <c r="B38" i="3"/>
  <c r="B39" i="3" s="1"/>
  <c r="Y40" i="3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I29" i="1" s="1"/>
  <c r="U37" i="3"/>
  <c r="I30" i="1" s="1"/>
  <c r="P36" i="3"/>
  <c r="P37" i="3"/>
  <c r="N36" i="3"/>
  <c r="N37" i="3"/>
  <c r="H35" i="3"/>
  <c r="H36" i="3"/>
  <c r="H37" i="3"/>
  <c r="F36" i="3"/>
  <c r="F37" i="3"/>
  <c r="D36" i="3"/>
  <c r="D37" i="3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H32" i="3"/>
  <c r="H33" i="3"/>
  <c r="H34" i="3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9" i="3"/>
  <c r="F30" i="3"/>
  <c r="F31" i="3"/>
  <c r="F32" i="3"/>
  <c r="F33" i="3"/>
  <c r="F34" i="3"/>
  <c r="F35" i="3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D27" i="3"/>
  <c r="D28" i="3"/>
  <c r="D29" i="3"/>
  <c r="D30" i="3"/>
  <c r="D31" i="3"/>
  <c r="D32" i="3"/>
  <c r="D33" i="3"/>
  <c r="D34" i="3"/>
  <c r="D35" i="3"/>
  <c r="U35" i="3"/>
  <c r="V35" i="3" s="1"/>
  <c r="P35" i="3"/>
  <c r="N35" i="3"/>
  <c r="U34" i="3"/>
  <c r="V34" i="3" s="1"/>
  <c r="P34" i="3"/>
  <c r="N34" i="3"/>
  <c r="U33" i="3"/>
  <c r="V33" i="3" s="1"/>
  <c r="P33" i="3"/>
  <c r="N33" i="3"/>
  <c r="U32" i="3"/>
  <c r="V32" i="3" s="1"/>
  <c r="P32" i="3"/>
  <c r="N32" i="3"/>
  <c r="U31" i="3"/>
  <c r="V31" i="3" s="1"/>
  <c r="P31" i="3"/>
  <c r="N31" i="3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R32" i="3" l="1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X32" i="3" s="1"/>
  <c r="Z32" i="3" s="1"/>
  <c r="E28" i="1"/>
  <c r="I35" i="3"/>
  <c r="K35" i="3" s="1"/>
  <c r="E3" i="2"/>
  <c r="E3" i="1" s="1"/>
  <c r="I9" i="2"/>
  <c r="G9" i="1" s="1"/>
  <c r="I5" i="2"/>
  <c r="G5" i="1" s="1"/>
  <c r="I28" i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I27" i="1"/>
  <c r="J23" i="2"/>
  <c r="I23" i="1" s="1"/>
  <c r="I26" i="1"/>
  <c r="I25" i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X10" i="3" s="1"/>
  <c r="Z10" i="3" s="1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V40" i="3" l="1"/>
  <c r="X24" i="3"/>
  <c r="Z24" i="3" s="1"/>
  <c r="E26" i="1"/>
  <c r="X31" i="3"/>
  <c r="Z31" i="3" s="1"/>
  <c r="X37" i="3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<sst xmlns="http://schemas.openxmlformats.org/spreadsheetml/2006/main" count="310" uniqueCount="123">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</sst>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L31" sqref="L3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5</v>
      </c>
      <c r="D2" s="6">
        <v>2021</v>
      </c>
      <c r="E2" s="8">
        <f>Submetring!E2+Submetring!F2+Submetring!G2</f>
        <v>7306</v>
      </c>
      <c r="F2" s="6">
        <v>0.251</v>
      </c>
      <c r="G2" s="8">
        <f>Submetring!H2+Submetring!I2</f>
        <v>1136</v>
      </c>
      <c r="H2" s="6">
        <v>0.56711199999999995</v>
      </c>
      <c r="I2" s="8">
        <f>Submetring!J2</f>
        <v>239</v>
      </c>
      <c r="J2" s="6">
        <v>3.03</v>
      </c>
      <c r="K2" s="8">
        <f>Hotel!Y9</f>
        <v>31</v>
      </c>
    </row>
    <row r="3" spans="1:11" x14ac:dyDescent="0.25">
      <c r="A3" s="6" t="s">
        <v>11</v>
      </c>
      <c r="B3" s="9">
        <f>B2+1</f>
        <v>2</v>
      </c>
      <c r="C3" s="7">
        <v>5</v>
      </c>
      <c r="D3" s="6">
        <v>2021</v>
      </c>
      <c r="E3" s="8">
        <f>Submetring!E3+Submetring!F3+Submetring!G3</f>
        <v>6910</v>
      </c>
      <c r="F3" s="6">
        <v>0.251</v>
      </c>
      <c r="G3" s="8">
        <f>Submetring!H3+Submetring!I3</f>
        <v>1152</v>
      </c>
      <c r="H3" s="6">
        <v>0.56711199999999995</v>
      </c>
      <c r="I3" s="8">
        <f>Submetring!J3</f>
        <v>251</v>
      </c>
      <c r="J3" s="6">
        <v>3.03</v>
      </c>
      <c r="K3" s="8">
        <f>Hotel!Y10</f>
        <v>32</v>
      </c>
    </row>
    <row r="4" spans="1:11" x14ac:dyDescent="0.25">
      <c r="A4" s="6" t="s">
        <v>11</v>
      </c>
      <c r="B4" s="9">
        <f t="shared" ref="B4:B32" si="0">B3+1</f>
        <v>3</v>
      </c>
      <c r="C4" s="7">
        <v>5</v>
      </c>
      <c r="D4" s="6">
        <v>2021</v>
      </c>
      <c r="E4" s="8">
        <f>Submetring!E4+Submetring!F4+Submetring!G4</f>
        <v>6606</v>
      </c>
      <c r="F4" s="6">
        <v>0.251</v>
      </c>
      <c r="G4" s="8">
        <f>Submetring!H4+Submetring!I4</f>
        <v>1160</v>
      </c>
      <c r="H4" s="6">
        <v>0.56711199999999995</v>
      </c>
      <c r="I4" s="8">
        <f>Submetring!J4</f>
        <v>274</v>
      </c>
      <c r="J4" s="6">
        <v>3.03</v>
      </c>
      <c r="K4" s="8">
        <f>Hotel!Y11</f>
        <v>25</v>
      </c>
    </row>
    <row r="5" spans="1:11" x14ac:dyDescent="0.25">
      <c r="A5" s="6" t="s">
        <v>11</v>
      </c>
      <c r="B5" s="9">
        <f t="shared" si="0"/>
        <v>4</v>
      </c>
      <c r="C5" s="7">
        <v>5</v>
      </c>
      <c r="D5" s="6">
        <v>2021</v>
      </c>
      <c r="E5" s="8">
        <f>Submetring!E5+Submetring!F5+Submetring!G5</f>
        <v>6791</v>
      </c>
      <c r="F5" s="6">
        <v>0.251</v>
      </c>
      <c r="G5" s="8">
        <f>Submetring!H5+Submetring!I5</f>
        <v>998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41</v>
      </c>
    </row>
    <row r="6" spans="1:11" x14ac:dyDescent="0.25">
      <c r="A6" s="6" t="s">
        <v>11</v>
      </c>
      <c r="B6" s="9">
        <f t="shared" si="0"/>
        <v>5</v>
      </c>
      <c r="C6" s="7">
        <v>5</v>
      </c>
      <c r="D6" s="6">
        <v>2021</v>
      </c>
      <c r="E6" s="8">
        <f>Submetring!E6+Submetring!F6+Submetring!G6</f>
        <v>6927</v>
      </c>
      <c r="F6" s="6">
        <v>0.251</v>
      </c>
      <c r="G6" s="8">
        <f>Submetring!H6+Submetring!I6</f>
        <v>1042</v>
      </c>
      <c r="H6" s="6">
        <v>0.56711199999999995</v>
      </c>
      <c r="I6" s="8">
        <f>Submetring!J6</f>
        <v>410</v>
      </c>
      <c r="J6" s="6">
        <v>3.03</v>
      </c>
      <c r="K6" s="8">
        <f>Hotel!Y13</f>
        <v>31</v>
      </c>
    </row>
    <row r="7" spans="1:11" x14ac:dyDescent="0.25">
      <c r="A7" s="6" t="s">
        <v>11</v>
      </c>
      <c r="B7" s="9">
        <f t="shared" si="0"/>
        <v>6</v>
      </c>
      <c r="C7" s="7">
        <v>5</v>
      </c>
      <c r="D7" s="6">
        <v>2021</v>
      </c>
      <c r="E7" s="8">
        <f>Submetring!E7+Submetring!F7+Submetring!G7</f>
        <v>7522</v>
      </c>
      <c r="F7" s="6">
        <v>0.251</v>
      </c>
      <c r="G7" s="8">
        <f>Submetring!H7+Submetring!I7</f>
        <v>1196</v>
      </c>
      <c r="H7" s="6">
        <v>0.56711199999999995</v>
      </c>
      <c r="I7" s="8">
        <f>Submetring!J7</f>
        <v>51</v>
      </c>
      <c r="J7" s="6">
        <v>3.03</v>
      </c>
      <c r="K7" s="8">
        <f>Hotel!Y14</f>
        <v>42</v>
      </c>
    </row>
    <row r="8" spans="1:11" x14ac:dyDescent="0.25">
      <c r="A8" s="6" t="s">
        <v>11</v>
      </c>
      <c r="B8" s="9">
        <f t="shared" si="0"/>
        <v>7</v>
      </c>
      <c r="C8" s="7">
        <v>5</v>
      </c>
      <c r="D8" s="6">
        <v>2021</v>
      </c>
      <c r="E8" s="8">
        <f>Submetring!E8+Submetring!F8+Submetring!G8</f>
        <v>7324</v>
      </c>
      <c r="F8" s="6">
        <v>0.251</v>
      </c>
      <c r="G8" s="8">
        <f>Submetring!H8+Submetring!I8</f>
        <v>1227</v>
      </c>
      <c r="H8" s="6">
        <v>0.56711199999999995</v>
      </c>
      <c r="I8" s="8">
        <f>Submetring!J8</f>
        <v>219</v>
      </c>
      <c r="J8" s="6">
        <v>3.03</v>
      </c>
      <c r="K8" s="8">
        <f>Hotel!Y15</f>
        <v>35</v>
      </c>
    </row>
    <row r="9" spans="1:11" x14ac:dyDescent="0.25">
      <c r="A9" s="6" t="s">
        <v>11</v>
      </c>
      <c r="B9" s="9">
        <f t="shared" si="0"/>
        <v>8</v>
      </c>
      <c r="C9" s="7">
        <v>5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 t="str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5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5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5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5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5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5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5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5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5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5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5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5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5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5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5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5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5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5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5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5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5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5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5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2517</v>
      </c>
      <c r="F2" s="11">
        <f>Hotel!F9</f>
        <v>2494</v>
      </c>
      <c r="G2" s="11">
        <f>Hotel!H9</f>
        <v>2295</v>
      </c>
      <c r="H2" s="11">
        <f>Hotel!N9</f>
        <v>127</v>
      </c>
      <c r="I2" s="11">
        <f>Hotel!P9</f>
        <v>1009</v>
      </c>
      <c r="J2" s="11">
        <f>Hotel!U9</f>
        <v>239</v>
      </c>
      <c r="K2" s="11">
        <f>Hotel!Y9</f>
        <v>31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2372</v>
      </c>
      <c r="F3" s="11">
        <f>Hotel!F10</f>
        <v>2359</v>
      </c>
      <c r="G3" s="11">
        <f>Hotel!H10</f>
        <v>2179</v>
      </c>
      <c r="H3" s="11">
        <f>Hotel!N10</f>
        <v>115</v>
      </c>
      <c r="I3" s="11">
        <f>Hotel!P10</f>
        <v>1037</v>
      </c>
      <c r="J3" s="11">
        <f>Hotel!U10</f>
        <v>251</v>
      </c>
      <c r="K3" s="11">
        <f>Hotel!Y10</f>
        <v>32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2278</v>
      </c>
      <c r="F4" s="11">
        <f>Hotel!F11</f>
        <v>2244</v>
      </c>
      <c r="G4" s="11">
        <f>Hotel!H11</f>
        <v>2084</v>
      </c>
      <c r="H4" s="11">
        <f>Hotel!N11</f>
        <v>114</v>
      </c>
      <c r="I4" s="11">
        <f>Hotel!P11</f>
        <v>1046</v>
      </c>
      <c r="J4" s="11">
        <f>Hotel!U11</f>
        <v>274</v>
      </c>
      <c r="K4" s="11">
        <f>Hotel!Y11</f>
        <v>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2316</v>
      </c>
      <c r="F5" s="11">
        <f>Hotel!F12</f>
        <v>2358</v>
      </c>
      <c r="G5" s="11">
        <f>Hotel!H12</f>
        <v>2117</v>
      </c>
      <c r="H5" s="11">
        <f>Hotel!N12</f>
        <v>116</v>
      </c>
      <c r="I5" s="11">
        <f>Hotel!P12</f>
        <v>882</v>
      </c>
      <c r="J5" s="11">
        <f>Hotel!U12</f>
        <v>116</v>
      </c>
      <c r="K5" s="11">
        <f>Hotel!Y12</f>
        <v>41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>
        <f>Hotel!D13</f>
        <v>2402</v>
      </c>
      <c r="F6" s="11">
        <f>Hotel!F13</f>
        <v>2317</v>
      </c>
      <c r="G6" s="11">
        <f>Hotel!H13</f>
        <v>2208</v>
      </c>
      <c r="H6" s="11">
        <f>Hotel!N13</f>
        <v>118</v>
      </c>
      <c r="I6" s="11">
        <f>Hotel!P13</f>
        <v>924</v>
      </c>
      <c r="J6" s="11">
        <f>Hotel!U13</f>
        <v>410</v>
      </c>
      <c r="K6" s="11">
        <f>Hotel!Y13</f>
        <v>31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2580</v>
      </c>
      <c r="F7" s="11">
        <f>Hotel!F14</f>
        <v>2578</v>
      </c>
      <c r="G7" s="11">
        <f>Hotel!H14</f>
        <v>2364</v>
      </c>
      <c r="H7" s="11">
        <f>Hotel!N14</f>
        <v>121</v>
      </c>
      <c r="I7" s="11">
        <f>Hotel!P14</f>
        <v>1075</v>
      </c>
      <c r="J7" s="11">
        <f>Hotel!U14</f>
        <v>51</v>
      </c>
      <c r="K7" s="11">
        <f>Hotel!Y14</f>
        <v>42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2510</v>
      </c>
      <c r="F8" s="11">
        <f>Hotel!F15</f>
        <v>2494</v>
      </c>
      <c r="G8" s="11">
        <f>Hotel!H15</f>
        <v>2320</v>
      </c>
      <c r="H8" s="11">
        <f>Hotel!N15</f>
        <v>121</v>
      </c>
      <c r="I8" s="11">
        <f>Hotel!P15</f>
        <v>1106</v>
      </c>
      <c r="J8" s="11">
        <f>Hotel!U15</f>
        <v>219</v>
      </c>
      <c r="K8" s="11">
        <f>Hotel!Y15</f>
        <v>35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 t="str">
        <f>Hotel!D16</f>
        <v>0</v>
      </c>
      <c r="F9" s="11" t="str">
        <f>Hotel!F16</f>
        <v>0</v>
      </c>
      <c r="G9" s="11" t="str">
        <f>Hotel!H16</f>
        <v>0</v>
      </c>
      <c r="H9" s="11" t="str">
        <f>Hotel!N16</f>
        <v>0</v>
      </c>
      <c r="I9" s="11" t="str">
        <f>Hotel!P16</f>
        <v>0</v>
      </c>
      <c r="J9" s="11" t="str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AC12" sqref="AC1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5294150</v>
      </c>
      <c r="D6" s="28"/>
      <c r="E6" s="29">
        <v>5247020</v>
      </c>
      <c r="F6" s="30"/>
      <c r="G6" s="132">
        <v>4960934</v>
      </c>
      <c r="H6" s="31">
        <f>G6-G5</f>
        <v>4960934</v>
      </c>
      <c r="I6" s="32"/>
      <c r="J6" s="33">
        <f>D6+F6+H6</f>
        <v>4960934</v>
      </c>
      <c r="K6" s="33" t="e">
        <f>D6*0.152+F6*0.238+H6*0.115+#REF!*0.218</f>
        <v>#REF!</v>
      </c>
      <c r="L6" s="34"/>
      <c r="M6" s="35">
        <v>137814</v>
      </c>
      <c r="N6" s="31" t="e">
        <f>M6-#REF!</f>
        <v>#REF!</v>
      </c>
      <c r="O6" s="36">
        <v>2202032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255314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1"/>
      <c r="M7" s="143" t="s">
        <v>98</v>
      </c>
      <c r="N7" s="144"/>
      <c r="O7" s="144"/>
      <c r="P7" s="144"/>
      <c r="Q7" s="144"/>
      <c r="R7" s="145"/>
      <c r="S7" s="41"/>
      <c r="T7" s="146" t="s">
        <v>99</v>
      </c>
      <c r="U7" s="146"/>
      <c r="V7" s="147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121</v>
      </c>
      <c r="B9" s="59">
        <v>1</v>
      </c>
      <c r="C9" s="60">
        <v>5296667</v>
      </c>
      <c r="D9" s="61">
        <f>IF((C9-C6&lt;0), "0",C9-C6)</f>
        <v>2517</v>
      </c>
      <c r="E9" s="62">
        <v>5249514</v>
      </c>
      <c r="F9" s="61">
        <f>IF((E9-E6&lt;0), "0",E9-E6)</f>
        <v>2494</v>
      </c>
      <c r="G9" s="63">
        <v>4963229</v>
      </c>
      <c r="H9" s="61">
        <f>IF((G9-G6&lt;0), "0",G9-G6)</f>
        <v>2295</v>
      </c>
      <c r="I9" s="60">
        <f>H9+F9+D9</f>
        <v>7306</v>
      </c>
      <c r="J9" s="64">
        <v>0.99</v>
      </c>
      <c r="K9" s="65">
        <f>I9*0.251</f>
        <v>1833.806</v>
      </c>
      <c r="L9" s="66"/>
      <c r="M9" s="60">
        <v>137941</v>
      </c>
      <c r="N9" s="61">
        <f>IF((M9-M6&lt;0), "0",M9-M6)</f>
        <v>127</v>
      </c>
      <c r="O9" s="60">
        <v>2203041</v>
      </c>
      <c r="P9" s="61">
        <f>IF((O9-O6&lt;0), "0",O9-O6)</f>
        <v>1009</v>
      </c>
      <c r="Q9" s="67">
        <f t="shared" ref="Q9:Q39" si="0">N9+P9</f>
        <v>1136</v>
      </c>
      <c r="R9" s="68">
        <f>(P9+N9*1.2285)*0.056*10.127</f>
        <v>660.69653868399996</v>
      </c>
      <c r="S9" s="69"/>
      <c r="T9" s="70">
        <v>255553</v>
      </c>
      <c r="U9" s="61">
        <f>IF((T9-T6&lt;0), "0",T9-T6)</f>
        <v>239</v>
      </c>
      <c r="V9" s="71">
        <f>U9*(1.315+1.54)</f>
        <v>682.34500000000003</v>
      </c>
      <c r="W9" s="72"/>
      <c r="X9" s="73">
        <f t="shared" ref="X9:X39" si="1">K9+R9+V9</f>
        <v>3176.847538684</v>
      </c>
      <c r="Y9" s="74">
        <v>31</v>
      </c>
      <c r="Z9" s="75">
        <f>X9/Y9</f>
        <v>102.4789528607742</v>
      </c>
    </row>
    <row r="10" spans="1:27" x14ac:dyDescent="0.25">
      <c r="A10" s="10" t="s">
        <v>96</v>
      </c>
      <c r="B10" s="59">
        <f>B9+1</f>
        <v>2</v>
      </c>
      <c r="C10" s="76">
        <v>5299039</v>
      </c>
      <c r="D10" s="61">
        <f t="shared" ref="D10:D39" si="2">IF((C10-C9&lt;0), "0",C10-C9)</f>
        <v>2372</v>
      </c>
      <c r="E10" s="77">
        <v>5251873</v>
      </c>
      <c r="F10" s="61">
        <f>IF((E10-E9&lt;0), "0",E10-E9)</f>
        <v>2359</v>
      </c>
      <c r="G10" s="77">
        <v>4965408</v>
      </c>
      <c r="H10" s="61">
        <f t="shared" ref="H10:H39" si="3">IF((G10-G9&lt;0), "0",G10-G9)</f>
        <v>2179</v>
      </c>
      <c r="I10" s="60">
        <f t="shared" ref="I10:I39" si="4">H10+F10+D10</f>
        <v>6910</v>
      </c>
      <c r="J10" s="64">
        <v>0.99</v>
      </c>
      <c r="K10" s="65">
        <f t="shared" ref="K10:K39" si="5">I10*0.251</f>
        <v>1734.41</v>
      </c>
      <c r="L10" s="66"/>
      <c r="M10" s="77">
        <v>138056</v>
      </c>
      <c r="N10" s="61">
        <f>IF((M10-M9&lt;0), "0",M10-M9)</f>
        <v>115</v>
      </c>
      <c r="O10" s="77">
        <v>2204078</v>
      </c>
      <c r="P10" s="61">
        <f>IF((O10-O9&lt;0), "0",O10-O9)</f>
        <v>1037</v>
      </c>
      <c r="Q10" s="67">
        <f t="shared" si="0"/>
        <v>1152</v>
      </c>
      <c r="R10" s="68">
        <f t="shared" ref="R10:R39" si="6">(P10+N10*1.2285)*0.056*10.127</f>
        <v>668.21530957999994</v>
      </c>
      <c r="S10" s="69"/>
      <c r="T10" s="78">
        <v>255804</v>
      </c>
      <c r="U10" s="61">
        <f>IF((T10-T9&lt;0), "0",T10-T9)</f>
        <v>251</v>
      </c>
      <c r="V10" s="71">
        <f t="shared" ref="V10:V39" si="7">U10*(1.315+1.54)</f>
        <v>716.60500000000002</v>
      </c>
      <c r="W10" s="72"/>
      <c r="X10" s="79">
        <f t="shared" si="1"/>
        <v>3119.2303095800003</v>
      </c>
      <c r="Y10" s="80">
        <v>32</v>
      </c>
      <c r="Z10" s="81">
        <f t="shared" ref="Z10:Z39" si="8">X10/Y10</f>
        <v>97.475947174375008</v>
      </c>
    </row>
    <row r="11" spans="1:27" x14ac:dyDescent="0.25">
      <c r="A11" s="10" t="s">
        <v>116</v>
      </c>
      <c r="B11" s="59">
        <f t="shared" ref="B11:B39" si="9">B10+1</f>
        <v>3</v>
      </c>
      <c r="C11" s="76">
        <v>5301317</v>
      </c>
      <c r="D11" s="61">
        <f t="shared" si="2"/>
        <v>2278</v>
      </c>
      <c r="E11" s="76">
        <v>5254117</v>
      </c>
      <c r="F11" s="61">
        <f t="shared" ref="F11:F39" si="10">IF((E11-E10&lt;0), "0",E11-E10)</f>
        <v>2244</v>
      </c>
      <c r="G11" s="77">
        <v>4967492</v>
      </c>
      <c r="H11" s="61">
        <f t="shared" si="3"/>
        <v>2084</v>
      </c>
      <c r="I11" s="60">
        <f t="shared" si="4"/>
        <v>6606</v>
      </c>
      <c r="J11" s="64">
        <v>0.99</v>
      </c>
      <c r="K11" s="65">
        <f t="shared" si="5"/>
        <v>1658.106</v>
      </c>
      <c r="L11" s="66"/>
      <c r="M11" s="77">
        <v>138170</v>
      </c>
      <c r="N11" s="61">
        <f t="shared" ref="N11:N39" si="11">IF((M11-M10&lt;0), "0",M11-M10)</f>
        <v>114</v>
      </c>
      <c r="O11" s="77">
        <v>2205124</v>
      </c>
      <c r="P11" s="61">
        <f t="shared" ref="P11:P39" si="12">IF((O11-O10&lt;0), "0",O11-O10)</f>
        <v>1046</v>
      </c>
      <c r="Q11" s="67">
        <f t="shared" si="0"/>
        <v>1160</v>
      </c>
      <c r="R11" s="68">
        <f t="shared" si="6"/>
        <v>672.62262048800005</v>
      </c>
      <c r="S11" s="69"/>
      <c r="T11" s="82">
        <v>256078</v>
      </c>
      <c r="U11" s="61">
        <f t="shared" ref="U11:U39" si="13">IF((T11-T10&lt;0), "0",T11-T10)</f>
        <v>274</v>
      </c>
      <c r="V11" s="71">
        <f t="shared" si="7"/>
        <v>782.27</v>
      </c>
      <c r="W11" s="72"/>
      <c r="X11" s="79">
        <f t="shared" si="1"/>
        <v>3112.9986204880001</v>
      </c>
      <c r="Y11" s="80">
        <v>25</v>
      </c>
      <c r="Z11" s="81">
        <f t="shared" si="8"/>
        <v>124.51994481952001</v>
      </c>
    </row>
    <row r="12" spans="1:27" x14ac:dyDescent="0.25">
      <c r="A12" s="10" t="s">
        <v>117</v>
      </c>
      <c r="B12" s="59">
        <f t="shared" si="9"/>
        <v>4</v>
      </c>
      <c r="C12" s="76">
        <v>5303633</v>
      </c>
      <c r="D12" s="61">
        <f t="shared" si="2"/>
        <v>2316</v>
      </c>
      <c r="E12" s="76">
        <v>5256475</v>
      </c>
      <c r="F12" s="61">
        <f t="shared" si="10"/>
        <v>2358</v>
      </c>
      <c r="G12" s="77">
        <v>4969609</v>
      </c>
      <c r="H12" s="61">
        <f t="shared" si="3"/>
        <v>2117</v>
      </c>
      <c r="I12" s="60">
        <f t="shared" si="4"/>
        <v>6791</v>
      </c>
      <c r="J12" s="64">
        <v>0.99</v>
      </c>
      <c r="K12" s="65">
        <f t="shared" si="5"/>
        <v>1704.5409999999999</v>
      </c>
      <c r="L12" s="66"/>
      <c r="M12" s="77">
        <v>138286</v>
      </c>
      <c r="N12" s="61">
        <f t="shared" si="11"/>
        <v>116</v>
      </c>
      <c r="O12" s="77">
        <v>2206006</v>
      </c>
      <c r="P12" s="61">
        <f t="shared" si="12"/>
        <v>882</v>
      </c>
      <c r="Q12" s="67">
        <f t="shared" si="0"/>
        <v>998</v>
      </c>
      <c r="R12" s="68">
        <f t="shared" si="6"/>
        <v>581.00964667200003</v>
      </c>
      <c r="S12" s="69"/>
      <c r="T12" s="78">
        <v>256194</v>
      </c>
      <c r="U12" s="61">
        <f t="shared" si="13"/>
        <v>116</v>
      </c>
      <c r="V12" s="71">
        <f t="shared" si="7"/>
        <v>331.18</v>
      </c>
      <c r="W12" s="72"/>
      <c r="X12" s="79">
        <f t="shared" si="1"/>
        <v>2616.7306466719997</v>
      </c>
      <c r="Y12" s="80">
        <v>41</v>
      </c>
      <c r="Z12" s="81">
        <f t="shared" si="8"/>
        <v>63.822698699317066</v>
      </c>
    </row>
    <row r="13" spans="1:27" x14ac:dyDescent="0.25">
      <c r="A13" s="10" t="s">
        <v>118</v>
      </c>
      <c r="B13" s="59">
        <f t="shared" si="9"/>
        <v>5</v>
      </c>
      <c r="C13" s="63">
        <v>5306035</v>
      </c>
      <c r="D13" s="61">
        <f t="shared" si="2"/>
        <v>2402</v>
      </c>
      <c r="E13" s="76">
        <v>5258792</v>
      </c>
      <c r="F13" s="61">
        <f t="shared" si="10"/>
        <v>2317</v>
      </c>
      <c r="G13" s="63">
        <v>4971817</v>
      </c>
      <c r="H13" s="61">
        <f t="shared" si="3"/>
        <v>2208</v>
      </c>
      <c r="I13" s="60">
        <f t="shared" si="4"/>
        <v>6927</v>
      </c>
      <c r="J13" s="64">
        <v>0.99</v>
      </c>
      <c r="K13" s="65">
        <f t="shared" si="5"/>
        <v>1738.6769999999999</v>
      </c>
      <c r="L13" s="66"/>
      <c r="M13" s="77">
        <v>138404</v>
      </c>
      <c r="N13" s="61">
        <f t="shared" si="11"/>
        <v>118</v>
      </c>
      <c r="O13" s="76">
        <v>2206930</v>
      </c>
      <c r="P13" s="61">
        <f t="shared" si="12"/>
        <v>924</v>
      </c>
      <c r="Q13" s="67">
        <f t="shared" si="0"/>
        <v>1042</v>
      </c>
      <c r="R13" s="68">
        <f t="shared" si="6"/>
        <v>606.22174485599999</v>
      </c>
      <c r="S13" s="69"/>
      <c r="T13" s="83">
        <v>256604</v>
      </c>
      <c r="U13" s="61">
        <f t="shared" si="13"/>
        <v>410</v>
      </c>
      <c r="V13" s="71">
        <f t="shared" si="7"/>
        <v>1170.55</v>
      </c>
      <c r="W13" s="72"/>
      <c r="X13" s="79">
        <f t="shared" si="1"/>
        <v>3515.4487448560003</v>
      </c>
      <c r="Y13" s="80">
        <v>31</v>
      </c>
      <c r="Z13" s="81">
        <f t="shared" si="8"/>
        <v>113.40157241470969</v>
      </c>
    </row>
    <row r="14" spans="1:27" x14ac:dyDescent="0.25">
      <c r="A14" s="10" t="s">
        <v>119</v>
      </c>
      <c r="B14" s="59">
        <f t="shared" si="9"/>
        <v>6</v>
      </c>
      <c r="C14" s="76">
        <v>5308615</v>
      </c>
      <c r="D14" s="61">
        <f t="shared" si="2"/>
        <v>2580</v>
      </c>
      <c r="E14" s="76">
        <v>5261370</v>
      </c>
      <c r="F14" s="61">
        <f t="shared" si="10"/>
        <v>2578</v>
      </c>
      <c r="G14" s="63">
        <v>4974181</v>
      </c>
      <c r="H14" s="61">
        <f t="shared" si="3"/>
        <v>2364</v>
      </c>
      <c r="I14" s="60">
        <f t="shared" si="4"/>
        <v>7522</v>
      </c>
      <c r="J14" s="64">
        <v>0.99</v>
      </c>
      <c r="K14" s="65">
        <f t="shared" si="5"/>
        <v>1888.0219999999999</v>
      </c>
      <c r="L14" s="66"/>
      <c r="M14" s="77">
        <v>138525</v>
      </c>
      <c r="N14" s="61">
        <f t="shared" si="11"/>
        <v>121</v>
      </c>
      <c r="O14" s="76">
        <v>2208005</v>
      </c>
      <c r="P14" s="61">
        <f t="shared" si="12"/>
        <v>1075</v>
      </c>
      <c r="Q14" s="67">
        <f t="shared" si="0"/>
        <v>1196</v>
      </c>
      <c r="R14" s="68">
        <f t="shared" si="6"/>
        <v>693.94574813200006</v>
      </c>
      <c r="S14" s="69"/>
      <c r="T14" s="83">
        <v>256655</v>
      </c>
      <c r="U14" s="61">
        <f t="shared" si="13"/>
        <v>51</v>
      </c>
      <c r="V14" s="71">
        <f t="shared" si="7"/>
        <v>145.60499999999999</v>
      </c>
      <c r="W14" s="72"/>
      <c r="X14" s="79">
        <f t="shared" si="1"/>
        <v>2727.572748132</v>
      </c>
      <c r="Y14" s="80">
        <v>42</v>
      </c>
      <c r="Z14" s="81">
        <f t="shared" si="8"/>
        <v>64.942208288857145</v>
      </c>
    </row>
    <row r="15" spans="1:27" x14ac:dyDescent="0.25">
      <c r="A15" s="10" t="s">
        <v>120</v>
      </c>
      <c r="B15" s="59">
        <f t="shared" si="9"/>
        <v>7</v>
      </c>
      <c r="C15" s="76">
        <v>5311125</v>
      </c>
      <c r="D15" s="61">
        <f t="shared" si="2"/>
        <v>2510</v>
      </c>
      <c r="E15" s="76">
        <v>5263864</v>
      </c>
      <c r="F15" s="61">
        <f t="shared" si="10"/>
        <v>2494</v>
      </c>
      <c r="G15" s="76">
        <v>4976501</v>
      </c>
      <c r="H15" s="61">
        <f t="shared" si="3"/>
        <v>2320</v>
      </c>
      <c r="I15" s="60">
        <f t="shared" si="4"/>
        <v>7324</v>
      </c>
      <c r="J15" s="64">
        <v>0.99</v>
      </c>
      <c r="K15" s="65">
        <f t="shared" si="5"/>
        <v>1838.3240000000001</v>
      </c>
      <c r="L15" s="66"/>
      <c r="M15" s="77">
        <v>138646</v>
      </c>
      <c r="N15" s="61">
        <f t="shared" si="11"/>
        <v>121</v>
      </c>
      <c r="O15" s="76">
        <v>2209111</v>
      </c>
      <c r="P15" s="61">
        <f t="shared" si="12"/>
        <v>1106</v>
      </c>
      <c r="Q15" s="67">
        <f t="shared" si="0"/>
        <v>1227</v>
      </c>
      <c r="R15" s="68">
        <f t="shared" si="6"/>
        <v>711.52622013200005</v>
      </c>
      <c r="S15" s="69"/>
      <c r="T15" s="83">
        <v>256874</v>
      </c>
      <c r="U15" s="61">
        <f t="shared" si="13"/>
        <v>219</v>
      </c>
      <c r="V15" s="71">
        <f t="shared" si="7"/>
        <v>625.245</v>
      </c>
      <c r="W15" s="72"/>
      <c r="X15" s="79">
        <f t="shared" si="1"/>
        <v>3175.0952201320001</v>
      </c>
      <c r="Y15" s="80">
        <v>35</v>
      </c>
      <c r="Z15" s="81">
        <f t="shared" si="8"/>
        <v>90.717006289485724</v>
      </c>
    </row>
    <row r="16" spans="1:27" x14ac:dyDescent="0.25">
      <c r="A16" s="10" t="s">
        <v>121</v>
      </c>
      <c r="B16" s="59">
        <f t="shared" si="9"/>
        <v>8</v>
      </c>
      <c r="C16" s="76"/>
      <c r="D16" s="61" t="str">
        <f t="shared" si="2"/>
        <v>0</v>
      </c>
      <c r="E16" s="76"/>
      <c r="F16" s="61" t="str">
        <f t="shared" si="10"/>
        <v>0</v>
      </c>
      <c r="G16" s="76"/>
      <c r="H16" s="61" t="str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 t="str">
        <f t="shared" si="11"/>
        <v>0</v>
      </c>
      <c r="O16" s="76"/>
      <c r="P16" s="61" t="str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 t="str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96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116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117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118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119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120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121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96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116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117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118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119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120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121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96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116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117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118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119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120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121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96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116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16975</v>
      </c>
      <c r="D40" s="99"/>
      <c r="E40" s="148">
        <f>SUMIF(F9:F36,"&gt;0")</f>
        <v>16844</v>
      </c>
      <c r="F40" s="149"/>
      <c r="G40" s="150">
        <f>SUMIF(H9:H36,"&gt;0")</f>
        <v>15567</v>
      </c>
      <c r="H40" s="149"/>
      <c r="I40" s="100">
        <f>SUMIF(I9:I36,"&gt;0")</f>
        <v>49386</v>
      </c>
      <c r="J40" s="101"/>
      <c r="K40" s="102">
        <f>SUMIF(K9:K36,"&gt;0")</f>
        <v>12395.886000000002</v>
      </c>
      <c r="L40" s="100"/>
      <c r="M40" s="150">
        <f>SUMIF(N9:N36,"&gt;0")</f>
        <v>832</v>
      </c>
      <c r="N40" s="149"/>
      <c r="O40" s="150">
        <f>SUMIF(P9:P36,"&gt;0")</f>
        <v>7079</v>
      </c>
      <c r="P40" s="149"/>
      <c r="Q40" s="101">
        <f>SUMIF(Q9:Q36,"&gt;0")</f>
        <v>7911</v>
      </c>
      <c r="R40" s="102">
        <f>SUMIF(R9:R36,"&gt;0")</f>
        <v>4594.237828544</v>
      </c>
      <c r="S40" s="103"/>
      <c r="T40" s="151">
        <f>SUMIF(U9:U36,"&gt;0")</f>
        <v>1560</v>
      </c>
      <c r="U40" s="151"/>
      <c r="V40" s="104">
        <f>SUMIF(V9:V36,"&gt;0")</f>
        <v>4453.8</v>
      </c>
      <c r="W40" s="105"/>
      <c r="X40" s="106">
        <f>SUMIF(X9:X36,"&gt;0")</f>
        <v>21443.923828544001</v>
      </c>
      <c r="Y40" s="107">
        <f>SUM(Y9:Y38)</f>
        <v>237</v>
      </c>
      <c r="Z40" s="108">
        <f>(SUMIF(Z9:Z36,"&gt;0")/31)</f>
        <v>21.205107437001253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workbookViewId="0">
      <selection activeCell="N20" sqref="N20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71728</v>
      </c>
      <c r="C8" s="122">
        <v>97355</v>
      </c>
      <c r="D8" s="122">
        <v>18804</v>
      </c>
      <c r="E8" s="122">
        <v>20284</v>
      </c>
      <c r="F8" s="122">
        <v>257024</v>
      </c>
      <c r="G8" s="122">
        <v>4666</v>
      </c>
      <c r="H8" s="122">
        <v>7847</v>
      </c>
      <c r="I8" s="122">
        <v>505010</v>
      </c>
      <c r="J8" s="122">
        <v>87602</v>
      </c>
      <c r="K8" s="122">
        <v>8021</v>
      </c>
      <c r="L8" s="122">
        <v>37539</v>
      </c>
      <c r="M8" s="122">
        <v>59610</v>
      </c>
      <c r="N8" s="122">
        <v>52306</v>
      </c>
      <c r="O8" s="122">
        <v>251768</v>
      </c>
      <c r="P8" s="122">
        <v>515692</v>
      </c>
      <c r="Q8" s="122">
        <v>4600</v>
      </c>
      <c r="R8" s="122">
        <v>25240</v>
      </c>
      <c r="S8" s="122">
        <v>25503</v>
      </c>
      <c r="T8" s="122">
        <v>356906</v>
      </c>
      <c r="U8" s="122">
        <v>504260</v>
      </c>
      <c r="V8" s="122">
        <v>55617</v>
      </c>
      <c r="W8" s="122">
        <v>7089</v>
      </c>
      <c r="X8" s="122">
        <v>20246</v>
      </c>
      <c r="Y8" s="122">
        <v>117582</v>
      </c>
      <c r="Z8" s="122">
        <v>1188</v>
      </c>
      <c r="AA8" s="122">
        <v>223569</v>
      </c>
      <c r="AB8" s="122">
        <v>11177</v>
      </c>
      <c r="AC8" s="122">
        <v>2578</v>
      </c>
      <c r="AD8" s="122">
        <v>23616</v>
      </c>
      <c r="AE8" s="122">
        <v>113436</v>
      </c>
      <c r="AF8" s="122">
        <v>286842</v>
      </c>
      <c r="AG8" s="122">
        <v>1433006</v>
      </c>
      <c r="AH8" s="122">
        <v>13353</v>
      </c>
      <c r="AI8" s="122">
        <v>490861</v>
      </c>
      <c r="AJ8" s="122">
        <v>844679</v>
      </c>
      <c r="AK8" s="122">
        <v>13342</v>
      </c>
      <c r="AL8" s="123">
        <v>43207</v>
      </c>
      <c r="AM8" s="122">
        <v>42282</v>
      </c>
      <c r="AN8" s="124">
        <v>782319</v>
      </c>
      <c r="AO8" s="124">
        <v>5645</v>
      </c>
      <c r="AP8" s="124">
        <v>0</v>
      </c>
      <c r="AQ8" s="122">
        <v>141092</v>
      </c>
      <c r="AR8" s="122">
        <v>281343</v>
      </c>
      <c r="AS8" s="122">
        <v>80173</v>
      </c>
      <c r="AT8" s="122">
        <v>807</v>
      </c>
      <c r="AU8" s="122">
        <v>149418</v>
      </c>
      <c r="AV8" s="122">
        <v>57528</v>
      </c>
      <c r="AW8" s="122">
        <v>48098</v>
      </c>
      <c r="AX8" s="122">
        <v>241847</v>
      </c>
      <c r="AY8" s="125">
        <v>649430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71782</v>
      </c>
      <c r="C9" s="112">
        <v>97378</v>
      </c>
      <c r="D9" s="112">
        <v>18807</v>
      </c>
      <c r="E9" s="112">
        <v>20296</v>
      </c>
      <c r="F9" s="112">
        <v>257202</v>
      </c>
      <c r="G9" s="112">
        <v>4668</v>
      </c>
      <c r="H9" s="112">
        <v>7880</v>
      </c>
      <c r="I9" s="112">
        <v>505364</v>
      </c>
      <c r="J9" s="112">
        <v>87646</v>
      </c>
      <c r="K9" s="112">
        <v>8021</v>
      </c>
      <c r="L9" s="112">
        <v>37564</v>
      </c>
      <c r="M9" s="112">
        <v>59621</v>
      </c>
      <c r="N9" s="112">
        <v>52339</v>
      </c>
      <c r="O9" s="112">
        <v>251951</v>
      </c>
      <c r="P9" s="112">
        <v>516011</v>
      </c>
      <c r="Q9" s="112">
        <v>4604</v>
      </c>
      <c r="R9" s="112">
        <v>25260</v>
      </c>
      <c r="S9" s="112">
        <v>25503</v>
      </c>
      <c r="T9" s="112">
        <v>357090</v>
      </c>
      <c r="U9" s="112">
        <v>504568</v>
      </c>
      <c r="V9" s="112">
        <v>55650</v>
      </c>
      <c r="W9" s="112">
        <v>7089</v>
      </c>
      <c r="X9" s="112">
        <v>20260</v>
      </c>
      <c r="Y9" s="112">
        <v>117648</v>
      </c>
      <c r="Z9" s="112">
        <v>1188</v>
      </c>
      <c r="AA9" s="112">
        <v>223690</v>
      </c>
      <c r="AB9" s="112">
        <v>11177</v>
      </c>
      <c r="AC9" s="112">
        <v>2580</v>
      </c>
      <c r="AD9" s="112">
        <v>23625</v>
      </c>
      <c r="AE9" s="112">
        <v>113518</v>
      </c>
      <c r="AF9" s="112">
        <v>287094</v>
      </c>
      <c r="AG9" s="112">
        <v>1433506</v>
      </c>
      <c r="AH9" s="112">
        <v>13354</v>
      </c>
      <c r="AI9" s="112">
        <v>490878</v>
      </c>
      <c r="AJ9" s="112">
        <v>845376</v>
      </c>
      <c r="AK9" s="112">
        <v>13346</v>
      </c>
      <c r="AL9" s="127">
        <v>43222</v>
      </c>
      <c r="AM9" s="112">
        <v>42319</v>
      </c>
      <c r="AN9" s="116">
        <v>782953</v>
      </c>
      <c r="AO9" s="116">
        <v>5646</v>
      </c>
      <c r="AP9" s="116">
        <v>0</v>
      </c>
      <c r="AQ9" s="112">
        <v>141182</v>
      </c>
      <c r="AR9" s="112">
        <v>281529</v>
      </c>
      <c r="AS9" s="112">
        <v>80216</v>
      </c>
      <c r="AT9" s="112">
        <v>808</v>
      </c>
      <c r="AU9" s="112">
        <v>149523</v>
      </c>
      <c r="AV9" s="112">
        <v>57574</v>
      </c>
      <c r="AW9" s="112">
        <v>48128</v>
      </c>
      <c r="AX9" s="112">
        <v>241898</v>
      </c>
      <c r="AY9" s="112">
        <v>649786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71842</v>
      </c>
      <c r="C10" s="112">
        <v>97381</v>
      </c>
      <c r="D10" s="112">
        <v>18811</v>
      </c>
      <c r="E10" s="112">
        <v>20312</v>
      </c>
      <c r="F10" s="112">
        <v>257375</v>
      </c>
      <c r="G10" s="112">
        <v>4611</v>
      </c>
      <c r="H10" s="112">
        <v>7914</v>
      </c>
      <c r="I10" s="112">
        <v>505733</v>
      </c>
      <c r="J10" s="112">
        <v>87686</v>
      </c>
      <c r="K10" s="112">
        <v>8022</v>
      </c>
      <c r="L10" s="112">
        <v>37589</v>
      </c>
      <c r="M10" s="112">
        <v>59636</v>
      </c>
      <c r="N10" s="112">
        <v>52372</v>
      </c>
      <c r="O10" s="112">
        <v>252133</v>
      </c>
      <c r="P10" s="112">
        <v>516313</v>
      </c>
      <c r="Q10" s="112">
        <v>4607</v>
      </c>
      <c r="R10" s="112">
        <v>25283</v>
      </c>
      <c r="S10" s="112">
        <v>25503</v>
      </c>
      <c r="T10" s="112">
        <v>357271</v>
      </c>
      <c r="U10" s="112">
        <v>504865</v>
      </c>
      <c r="V10" s="112">
        <v>55685</v>
      </c>
      <c r="W10" s="112">
        <v>7089</v>
      </c>
      <c r="X10" s="112">
        <v>20279</v>
      </c>
      <c r="Y10" s="112">
        <v>117734</v>
      </c>
      <c r="Z10" s="112">
        <v>1188</v>
      </c>
      <c r="AA10" s="112">
        <v>223814</v>
      </c>
      <c r="AB10" s="112">
        <v>11182</v>
      </c>
      <c r="AC10" s="112">
        <v>2582</v>
      </c>
      <c r="AD10" s="112">
        <v>23637</v>
      </c>
      <c r="AE10" s="112">
        <v>113606</v>
      </c>
      <c r="AF10" s="112">
        <v>287350</v>
      </c>
      <c r="AG10" s="112">
        <v>1434057</v>
      </c>
      <c r="AH10" s="112">
        <v>13355</v>
      </c>
      <c r="AI10" s="112">
        <v>490896</v>
      </c>
      <c r="AJ10" s="112">
        <v>845992</v>
      </c>
      <c r="AK10" s="112">
        <v>13358</v>
      </c>
      <c r="AL10" s="127">
        <v>43238</v>
      </c>
      <c r="AM10" s="112">
        <v>42358</v>
      </c>
      <c r="AN10" s="116">
        <v>783542</v>
      </c>
      <c r="AO10" s="116">
        <v>5648</v>
      </c>
      <c r="AP10" s="116">
        <v>0</v>
      </c>
      <c r="AQ10" s="112">
        <v>141280</v>
      </c>
      <c r="AR10" s="112">
        <v>281726</v>
      </c>
      <c r="AS10" s="112">
        <v>80267</v>
      </c>
      <c r="AT10" s="112">
        <v>809</v>
      </c>
      <c r="AU10" s="112">
        <v>149631</v>
      </c>
      <c r="AV10" s="112">
        <v>57625</v>
      </c>
      <c r="AW10" s="112">
        <v>48161</v>
      </c>
      <c r="AX10" s="112">
        <v>241948</v>
      </c>
      <c r="AY10" s="112">
        <v>650149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71899</v>
      </c>
      <c r="C11" s="112">
        <v>97383</v>
      </c>
      <c r="D11" s="112">
        <v>18818</v>
      </c>
      <c r="E11" s="112">
        <v>20322</v>
      </c>
      <c r="F11" s="112">
        <v>257549</v>
      </c>
      <c r="G11" s="112">
        <v>4674</v>
      </c>
      <c r="H11" s="112">
        <v>7932</v>
      </c>
      <c r="I11" s="112">
        <v>506105</v>
      </c>
      <c r="J11" s="112">
        <v>87722</v>
      </c>
      <c r="K11" s="112">
        <v>8022</v>
      </c>
      <c r="L11" s="112">
        <v>37608</v>
      </c>
      <c r="M11" s="112">
        <v>59651</v>
      </c>
      <c r="N11" s="112">
        <v>52409</v>
      </c>
      <c r="O11" s="112">
        <v>252320</v>
      </c>
      <c r="P11" s="112">
        <v>516787</v>
      </c>
      <c r="Q11" s="112">
        <v>4611</v>
      </c>
      <c r="R11" s="112">
        <v>25303</v>
      </c>
      <c r="S11" s="112">
        <v>25503</v>
      </c>
      <c r="T11" s="112">
        <v>357458</v>
      </c>
      <c r="U11" s="112">
        <v>505195</v>
      </c>
      <c r="V11" s="112">
        <v>55720</v>
      </c>
      <c r="W11" s="112">
        <v>7092</v>
      </c>
      <c r="X11" s="112">
        <v>20298</v>
      </c>
      <c r="Y11" s="112">
        <v>117811</v>
      </c>
      <c r="Z11" s="112">
        <v>1188</v>
      </c>
      <c r="AA11" s="112">
        <v>223938</v>
      </c>
      <c r="AB11" s="112">
        <v>11182</v>
      </c>
      <c r="AC11" s="112">
        <v>2584</v>
      </c>
      <c r="AD11" s="112">
        <v>23649</v>
      </c>
      <c r="AE11" s="112">
        <v>113692</v>
      </c>
      <c r="AF11" s="112">
        <v>287621</v>
      </c>
      <c r="AG11" s="112">
        <v>1434696</v>
      </c>
      <c r="AH11" s="112">
        <v>13357</v>
      </c>
      <c r="AI11" s="112">
        <v>490914</v>
      </c>
      <c r="AJ11" s="112">
        <v>846692</v>
      </c>
      <c r="AK11" s="112">
        <v>13366</v>
      </c>
      <c r="AL11" s="127">
        <v>43253</v>
      </c>
      <c r="AM11" s="112">
        <v>42401</v>
      </c>
      <c r="AN11" s="116">
        <v>784167</v>
      </c>
      <c r="AO11" s="116">
        <v>5649</v>
      </c>
      <c r="AP11" s="116">
        <v>0</v>
      </c>
      <c r="AQ11" s="112">
        <v>141388</v>
      </c>
      <c r="AR11" s="112">
        <v>281912</v>
      </c>
      <c r="AS11" s="112">
        <v>80310</v>
      </c>
      <c r="AT11" s="112">
        <v>809</v>
      </c>
      <c r="AU11" s="112">
        <v>149734</v>
      </c>
      <c r="AV11" s="112">
        <v>57668</v>
      </c>
      <c r="AW11" s="112">
        <v>48194</v>
      </c>
      <c r="AX11" s="112">
        <v>241994</v>
      </c>
      <c r="AY11" s="112">
        <v>650518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71951</v>
      </c>
      <c r="C12" s="112">
        <v>97441</v>
      </c>
      <c r="D12" s="112">
        <v>18824</v>
      </c>
      <c r="E12" s="112">
        <v>20334</v>
      </c>
      <c r="F12" s="112">
        <v>257729</v>
      </c>
      <c r="G12" s="112">
        <v>4677</v>
      </c>
      <c r="H12" s="112">
        <v>7949</v>
      </c>
      <c r="I12" s="112">
        <v>506492</v>
      </c>
      <c r="J12" s="112">
        <v>87754</v>
      </c>
      <c r="K12" s="112">
        <v>8023</v>
      </c>
      <c r="L12" s="112">
        <v>37635</v>
      </c>
      <c r="M12" s="112">
        <v>59665</v>
      </c>
      <c r="N12" s="112">
        <v>52447</v>
      </c>
      <c r="O12" s="112">
        <v>252524</v>
      </c>
      <c r="P12" s="112">
        <v>517118</v>
      </c>
      <c r="Q12" s="112">
        <v>4615</v>
      </c>
      <c r="R12" s="112">
        <v>25326</v>
      </c>
      <c r="S12" s="112">
        <v>25503</v>
      </c>
      <c r="T12" s="112">
        <v>357651</v>
      </c>
      <c r="U12" s="112">
        <v>505530</v>
      </c>
      <c r="V12" s="112">
        <v>55757</v>
      </c>
      <c r="W12" s="112">
        <v>7094</v>
      </c>
      <c r="X12" s="112">
        <v>20321</v>
      </c>
      <c r="Y12" s="112">
        <v>117891</v>
      </c>
      <c r="Z12" s="112">
        <v>1188</v>
      </c>
      <c r="AA12" s="112">
        <v>224097</v>
      </c>
      <c r="AB12" s="112">
        <v>11183</v>
      </c>
      <c r="AC12" s="112">
        <v>2586</v>
      </c>
      <c r="AD12" s="112">
        <v>23658</v>
      </c>
      <c r="AE12" s="112">
        <v>113783</v>
      </c>
      <c r="AF12" s="112">
        <v>287907</v>
      </c>
      <c r="AG12" s="112">
        <v>1435636</v>
      </c>
      <c r="AH12" s="112">
        <v>13358</v>
      </c>
      <c r="AI12" s="112">
        <v>490932</v>
      </c>
      <c r="AJ12" s="112">
        <v>847365</v>
      </c>
      <c r="AK12" s="112">
        <v>13380</v>
      </c>
      <c r="AL12" s="112">
        <v>43280</v>
      </c>
      <c r="AM12" s="112">
        <v>42445</v>
      </c>
      <c r="AN12" s="112">
        <v>784792</v>
      </c>
      <c r="AO12" s="112">
        <v>5650</v>
      </c>
      <c r="AP12" s="112">
        <v>0</v>
      </c>
      <c r="AQ12" s="112">
        <v>141502</v>
      </c>
      <c r="AR12" s="112">
        <v>282118</v>
      </c>
      <c r="AS12" s="112">
        <v>80379</v>
      </c>
      <c r="AT12" s="112">
        <v>810</v>
      </c>
      <c r="AU12" s="112">
        <v>149847</v>
      </c>
      <c r="AV12" s="112">
        <v>57718</v>
      </c>
      <c r="AW12" s="112">
        <v>48228</v>
      </c>
      <c r="AX12" s="112">
        <v>242049</v>
      </c>
      <c r="AY12" s="112">
        <v>650881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72004</v>
      </c>
      <c r="C13" s="112">
        <v>97521</v>
      </c>
      <c r="D13" s="112">
        <v>18835</v>
      </c>
      <c r="E13" s="112">
        <v>20342</v>
      </c>
      <c r="F13" s="112">
        <v>257930</v>
      </c>
      <c r="G13" s="112">
        <v>4679</v>
      </c>
      <c r="H13" s="112">
        <v>7963</v>
      </c>
      <c r="I13" s="112">
        <v>506858</v>
      </c>
      <c r="J13" s="112">
        <v>87782</v>
      </c>
      <c r="K13" s="112">
        <v>8023</v>
      </c>
      <c r="L13" s="112">
        <v>37656</v>
      </c>
      <c r="M13" s="112">
        <v>59679</v>
      </c>
      <c r="N13" s="112">
        <v>52484</v>
      </c>
      <c r="O13" s="112">
        <v>252712</v>
      </c>
      <c r="P13" s="112">
        <v>517473</v>
      </c>
      <c r="Q13" s="112">
        <v>4619</v>
      </c>
      <c r="R13" s="112">
        <v>25348</v>
      </c>
      <c r="S13" s="112">
        <v>25503</v>
      </c>
      <c r="T13" s="112">
        <v>357831</v>
      </c>
      <c r="U13" s="112">
        <v>505882</v>
      </c>
      <c r="V13" s="112">
        <v>55792</v>
      </c>
      <c r="W13" s="112">
        <v>7095</v>
      </c>
      <c r="X13" s="112">
        <v>20340</v>
      </c>
      <c r="Y13" s="112">
        <v>117968</v>
      </c>
      <c r="Z13" s="112">
        <v>1188</v>
      </c>
      <c r="AA13" s="112">
        <v>224216</v>
      </c>
      <c r="AB13" s="112">
        <v>11189</v>
      </c>
      <c r="AC13" s="112">
        <v>2587</v>
      </c>
      <c r="AD13" s="112">
        <v>23671</v>
      </c>
      <c r="AE13" s="112">
        <v>113876</v>
      </c>
      <c r="AF13" s="112">
        <v>288201</v>
      </c>
      <c r="AG13" s="112">
        <v>1436617</v>
      </c>
      <c r="AH13" s="112">
        <v>13360</v>
      </c>
      <c r="AI13" s="112">
        <v>490950</v>
      </c>
      <c r="AJ13" s="112">
        <v>847985</v>
      </c>
      <c r="AK13" s="112">
        <v>13392</v>
      </c>
      <c r="AL13" s="127">
        <v>43284</v>
      </c>
      <c r="AM13" s="112">
        <v>42488</v>
      </c>
      <c r="AN13" s="116">
        <v>785423</v>
      </c>
      <c r="AO13" s="116">
        <v>5652</v>
      </c>
      <c r="AP13" s="116">
        <v>0</v>
      </c>
      <c r="AQ13" s="112">
        <v>141610</v>
      </c>
      <c r="AR13" s="112">
        <v>282333</v>
      </c>
      <c r="AS13" s="112">
        <v>80429</v>
      </c>
      <c r="AT13" s="112">
        <v>810</v>
      </c>
      <c r="AU13" s="112">
        <v>149979</v>
      </c>
      <c r="AV13" s="112">
        <v>57739</v>
      </c>
      <c r="AW13" s="112">
        <v>48262</v>
      </c>
      <c r="AX13" s="112">
        <v>242101</v>
      </c>
      <c r="AY13" s="112">
        <v>651261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72056</v>
      </c>
      <c r="C14" s="112">
        <v>97599</v>
      </c>
      <c r="D14" s="112">
        <v>18839</v>
      </c>
      <c r="E14" s="112">
        <v>20346</v>
      </c>
      <c r="F14" s="112">
        <v>258104</v>
      </c>
      <c r="G14" s="112">
        <v>4682</v>
      </c>
      <c r="H14" s="112">
        <v>7974</v>
      </c>
      <c r="I14" s="112">
        <v>507236</v>
      </c>
      <c r="J14" s="112">
        <v>87819</v>
      </c>
      <c r="K14" s="112">
        <v>8024</v>
      </c>
      <c r="L14" s="112">
        <v>37682</v>
      </c>
      <c r="M14" s="112">
        <v>59691</v>
      </c>
      <c r="N14" s="112">
        <v>52520</v>
      </c>
      <c r="O14" s="112">
        <v>252896</v>
      </c>
      <c r="P14" s="112">
        <v>517877</v>
      </c>
      <c r="Q14" s="112">
        <v>4622</v>
      </c>
      <c r="R14" s="112">
        <v>25368</v>
      </c>
      <c r="S14" s="112">
        <v>25503</v>
      </c>
      <c r="T14" s="112">
        <v>358012</v>
      </c>
      <c r="U14" s="112">
        <v>506174</v>
      </c>
      <c r="V14" s="112">
        <v>55825</v>
      </c>
      <c r="W14" s="112">
        <v>7103</v>
      </c>
      <c r="X14" s="112">
        <v>20362</v>
      </c>
      <c r="Y14" s="112">
        <v>118048</v>
      </c>
      <c r="Z14" s="112">
        <v>1188</v>
      </c>
      <c r="AA14" s="112">
        <v>224337</v>
      </c>
      <c r="AB14" s="112">
        <v>11197</v>
      </c>
      <c r="AC14" s="112">
        <v>2590</v>
      </c>
      <c r="AD14" s="112">
        <v>23683</v>
      </c>
      <c r="AE14" s="112">
        <v>113961</v>
      </c>
      <c r="AF14" s="112">
        <v>288476</v>
      </c>
      <c r="AG14" s="112">
        <v>1437368</v>
      </c>
      <c r="AH14" s="112">
        <v>13361</v>
      </c>
      <c r="AI14" s="112">
        <v>490968</v>
      </c>
      <c r="AJ14" s="112">
        <v>848626</v>
      </c>
      <c r="AK14" s="112">
        <v>13402</v>
      </c>
      <c r="AL14" s="127">
        <v>43300</v>
      </c>
      <c r="AM14" s="112">
        <v>42531</v>
      </c>
      <c r="AN14" s="116">
        <v>786050</v>
      </c>
      <c r="AO14" s="116">
        <v>5653</v>
      </c>
      <c r="AP14" s="116">
        <v>0</v>
      </c>
      <c r="AQ14" s="112">
        <v>141718</v>
      </c>
      <c r="AR14" s="112">
        <v>282547</v>
      </c>
      <c r="AS14" s="112">
        <v>80473</v>
      </c>
      <c r="AT14" s="112">
        <v>811</v>
      </c>
      <c r="AU14" s="112">
        <v>150085</v>
      </c>
      <c r="AV14" s="112">
        <v>57775</v>
      </c>
      <c r="AW14" s="112">
        <v>48295</v>
      </c>
      <c r="AX14" s="112">
        <v>242155</v>
      </c>
      <c r="AY14" s="112">
        <v>651644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7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7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7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7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7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7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7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7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7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7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7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7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7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7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7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2021-05-08T09:23:47Z</dcterms:modified>
</cp:coreProperties>
</file>