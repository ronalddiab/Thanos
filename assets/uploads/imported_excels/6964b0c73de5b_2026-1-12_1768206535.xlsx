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8C4D3BAC-266B-49AD-A20E-0E1851C5C20F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Janauar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2" l="1"/>
  <c r="K31" i="3" s="1"/>
  <c r="AB31" i="2"/>
  <c r="N33" i="2"/>
  <c r="F32" i="3"/>
  <c r="P32" i="3"/>
  <c r="O32" i="3"/>
  <c r="M32" i="3"/>
  <c r="K32" i="3"/>
  <c r="I32" i="3"/>
  <c r="G32" i="3"/>
  <c r="E32" i="3"/>
  <c r="N24" i="2"/>
  <c r="Y17" i="2"/>
  <c r="E13" i="2"/>
  <c r="E12" i="2"/>
  <c r="E11" i="2"/>
  <c r="E10" i="2"/>
  <c r="E9" i="2"/>
  <c r="E8" i="2"/>
  <c r="E7" i="2"/>
  <c r="E6" i="2"/>
  <c r="E5" i="2"/>
  <c r="E4" i="2"/>
  <c r="E3" i="2"/>
  <c r="C32" i="2"/>
  <c r="C31" i="2"/>
  <c r="C30" i="2"/>
  <c r="E32" i="2"/>
  <c r="E31" i="2"/>
  <c r="E30" i="2"/>
  <c r="G32" i="2"/>
  <c r="G31" i="2"/>
  <c r="G30" i="2"/>
  <c r="N32" i="2"/>
  <c r="N31" i="2"/>
  <c r="N30" i="2"/>
  <c r="W31" i="2"/>
  <c r="W30" i="2"/>
  <c r="Y31" i="2"/>
  <c r="S31" i="2"/>
  <c r="K31" i="2"/>
  <c r="P31" i="3"/>
  <c r="O31" i="3"/>
  <c r="M31" i="3"/>
  <c r="Y26" i="2"/>
  <c r="Y32" i="2"/>
  <c r="W32" i="2"/>
  <c r="I31" i="3" s="1"/>
  <c r="Y30" i="2"/>
  <c r="H31" i="2" l="1"/>
  <c r="I31" i="2" s="1"/>
  <c r="H32" i="2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U31" i="2" s="1"/>
  <c r="K32" i="2"/>
  <c r="I32" i="2" l="1"/>
  <c r="J31" i="2" s="1"/>
  <c r="W28" i="2"/>
  <c r="W27" i="2"/>
  <c r="W26" i="2"/>
  <c r="W25" i="2"/>
  <c r="W24" i="2"/>
  <c r="P24" i="3"/>
  <c r="O24" i="3"/>
  <c r="M24" i="3"/>
  <c r="P23" i="3"/>
  <c r="O23" i="3"/>
  <c r="M23" i="3"/>
  <c r="J32" i="2" l="1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2" i="2" l="1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<sst xmlns="http://schemas.openxmlformats.org/spreadsheetml/2006/main" count="77" uniqueCount="40">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</sst>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abSelected="1" topLeftCell="A12" workbookViewId="0">
      <selection activeCell="H39" sqref="H39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9.570312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</v>
      </c>
      <c r="D2" s="4">
        <v>2026</v>
      </c>
      <c r="E2" s="96">
        <f>IF('Janauary 2026'!C2&lt;0,"0",'Janauary 2026'!C2)+(IF('Janauary 2026'!E2&lt;0,"0",'Janauary 2026'!E2)-(IF('Janauary 2026'!G2&lt;0,"0",'Janauary 2026'!G2)))</f>
        <v>5322</v>
      </c>
      <c r="F2" s="110">
        <f>('Janauary 2026'!C2*0.27)/('Janauary 2026'!C2+'Janauary 2026'!E2)</f>
        <v>0.25579481397970688</v>
      </c>
      <c r="G2" s="97">
        <f>'Janauary 2026'!U2</f>
        <v>120</v>
      </c>
      <c r="H2" s="113">
        <v>0.62</v>
      </c>
      <c r="I2" s="98">
        <f>'Janauary 2026'!W2</f>
        <v>76</v>
      </c>
      <c r="J2" s="99">
        <v>2.42</v>
      </c>
      <c r="K2" s="106">
        <f>'Janauary 2026'!AB2*5.04</f>
        <v>0</v>
      </c>
      <c r="L2" s="116">
        <v>0.11509999999999999</v>
      </c>
      <c r="M2" s="107">
        <f>'Janauary 2026'!M2</f>
        <v>0</v>
      </c>
      <c r="N2" s="119">
        <v>0.88</v>
      </c>
      <c r="O2" s="100">
        <f>'Janauary 2026'!AC2</f>
        <v>192</v>
      </c>
      <c r="P2" s="100">
        <f>'Janauary 2026'!AD2</f>
        <v>382</v>
      </c>
    </row>
    <row r="3" spans="1:16" ht="15" x14ac:dyDescent="0.25">
      <c r="A3" s="95" t="s">
        <v>37</v>
      </c>
      <c r="B3" s="5">
        <f>B2+1</f>
        <v>2</v>
      </c>
      <c r="C3" s="122">
        <v>1</v>
      </c>
      <c r="D3" s="4">
        <v>2026</v>
      </c>
      <c r="E3" s="96">
        <f>IF('Janauary 2026'!C3&lt;0,"0",'Janauary 2026'!C3)+(IF('Janauary 2026'!E3&lt;0,"0",'Janauary 2026'!E3)-(IF('Janauary 2026'!G3&lt;0,"0",'Janauary 2026'!G3)))</f>
        <v>5853</v>
      </c>
      <c r="F3" s="110">
        <f>('Janauary 2026'!C3*0.27)/('Janauary 2026'!C3+'Janauary 2026'!E3)</f>
        <v>0.24647360328036907</v>
      </c>
      <c r="G3" s="97">
        <f>'Janauary 2026'!U3</f>
        <v>115</v>
      </c>
      <c r="H3" s="113">
        <v>0.62</v>
      </c>
      <c r="I3" s="98">
        <f>'Janauary 2026'!W3</f>
        <v>0</v>
      </c>
      <c r="J3" s="99">
        <v>2.42</v>
      </c>
      <c r="K3" s="106">
        <f>'Janauary 2026'!AB3*5.04</f>
        <v>0</v>
      </c>
      <c r="L3" s="116">
        <v>0.11509999999999999</v>
      </c>
      <c r="M3" s="107">
        <f>'Janauary 2026'!M3</f>
        <v>0</v>
      </c>
      <c r="N3" s="119">
        <v>0.88</v>
      </c>
      <c r="O3" s="100">
        <f>'Janauary 2026'!AC3</f>
        <v>143</v>
      </c>
      <c r="P3" s="100">
        <f>'Janauary 2026'!AD3</f>
        <v>279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</v>
      </c>
      <c r="D4" s="4">
        <v>2026</v>
      </c>
      <c r="E4" s="96">
        <f>IF('Janauary 2026'!C4&lt;0,"0",'Janauary 2026'!C4)+(IF('Janauary 2026'!E4&lt;0,"0",'Janauary 2026'!E4)-(IF('Janauary 2026'!G4&lt;0,"0",'Janauary 2026'!G4)))</f>
        <v>4052</v>
      </c>
      <c r="F4" s="110">
        <f>('Janauary 2026'!C4*0.27)/('Janauary 2026'!C4+'Janauary 2026'!E4)</f>
        <v>0.22928677196446201</v>
      </c>
      <c r="G4" s="97">
        <f>'Janauary 2026'!U4</f>
        <v>75</v>
      </c>
      <c r="H4" s="113">
        <v>0.62</v>
      </c>
      <c r="I4" s="98">
        <f>'Janauary 2026'!W4</f>
        <v>0</v>
      </c>
      <c r="J4" s="99">
        <v>2.42</v>
      </c>
      <c r="K4" s="106">
        <f>'Janauary 2026'!AB4*5.04</f>
        <v>0</v>
      </c>
      <c r="L4" s="116">
        <v>0.11509999999999999</v>
      </c>
      <c r="M4" s="107">
        <f>'Janauary 2026'!M4</f>
        <v>0</v>
      </c>
      <c r="N4" s="119">
        <v>0.88</v>
      </c>
      <c r="O4" s="100">
        <f>'Janauary 2026'!AC4</f>
        <v>102</v>
      </c>
      <c r="P4" s="100">
        <f>'Janauary 2026'!AD4</f>
        <v>207</v>
      </c>
    </row>
    <row r="5" spans="1:16" ht="15" x14ac:dyDescent="0.25">
      <c r="A5" s="95" t="s">
        <v>37</v>
      </c>
      <c r="B5" s="5">
        <f t="shared" si="0"/>
        <v>4</v>
      </c>
      <c r="C5" s="122">
        <v>1</v>
      </c>
      <c r="D5" s="4">
        <v>2026</v>
      </c>
      <c r="E5" s="96">
        <f>IF('Janauary 2026'!C5&lt;0,"0",'Janauary 2026'!C5)+(IF('Janauary 2026'!E5&lt;0,"0",'Janauary 2026'!E5)-(IF('Janauary 2026'!G5&lt;0,"0",'Janauary 2026'!G5)))</f>
        <v>4400</v>
      </c>
      <c r="F5" s="110">
        <f>('Janauary 2026'!C5*0.27)/('Janauary 2026'!C5+'Janauary 2026'!E5)</f>
        <v>0.22784318181818183</v>
      </c>
      <c r="G5" s="97">
        <f>'Janauary 2026'!U5</f>
        <v>25</v>
      </c>
      <c r="H5" s="113">
        <v>0.62</v>
      </c>
      <c r="I5" s="98">
        <f>'Janauary 2026'!W5</f>
        <v>0</v>
      </c>
      <c r="J5" s="99">
        <v>2.42</v>
      </c>
      <c r="K5" s="106">
        <f>'Janauary 2026'!AB5*5.04</f>
        <v>0</v>
      </c>
      <c r="L5" s="116">
        <v>0.11509999999999999</v>
      </c>
      <c r="M5" s="107">
        <f>'Janauary 2026'!M5</f>
        <v>0</v>
      </c>
      <c r="N5" s="119">
        <v>0.88</v>
      </c>
      <c r="O5" s="100">
        <f>'Janauary 2026'!AC5</f>
        <v>75</v>
      </c>
      <c r="P5" s="100">
        <f>'Janauary 2026'!AD5</f>
        <v>147</v>
      </c>
    </row>
    <row r="6" spans="1:16" ht="15" x14ac:dyDescent="0.25">
      <c r="A6" s="95" t="s">
        <v>37</v>
      </c>
      <c r="B6" s="5">
        <f t="shared" si="0"/>
        <v>5</v>
      </c>
      <c r="C6" s="122">
        <v>1</v>
      </c>
      <c r="D6" s="4">
        <v>2026</v>
      </c>
      <c r="E6" s="96">
        <f>IF('Janauary 2026'!C6&lt;0,"0",'Janauary 2026'!C6)+(IF('Janauary 2026'!E6&lt;0,"0",'Janauary 2026'!E6)-(IF('Janauary 2026'!G6&lt;0,"0",'Janauary 2026'!G6)))</f>
        <v>3903</v>
      </c>
      <c r="F6" s="110">
        <f>('Janauary 2026'!C6*0.27)/('Janauary 2026'!C6+'Janauary 2026'!E6)</f>
        <v>0.22282090699461954</v>
      </c>
      <c r="G6" s="97">
        <f>'Janauary 2026'!U6</f>
        <v>144</v>
      </c>
      <c r="H6" s="113">
        <v>0.62</v>
      </c>
      <c r="I6" s="98">
        <f>'Janauary 2026'!W6</f>
        <v>0</v>
      </c>
      <c r="J6" s="99">
        <v>2.42</v>
      </c>
      <c r="K6" s="106">
        <f>'Janauary 2026'!AB6*5.04</f>
        <v>0</v>
      </c>
      <c r="L6" s="116">
        <v>0.11509999999999999</v>
      </c>
      <c r="M6" s="107">
        <f>'Janauary 2026'!M6</f>
        <v>8000</v>
      </c>
      <c r="N6" s="119">
        <v>0.88</v>
      </c>
      <c r="O6" s="100">
        <f>'Janauary 2026'!AC6</f>
        <v>49</v>
      </c>
      <c r="P6" s="100">
        <f>'Janauary 2026'!AD6</f>
        <v>98</v>
      </c>
    </row>
    <row r="7" spans="1:16" ht="15" x14ac:dyDescent="0.25">
      <c r="A7" s="95" t="s">
        <v>37</v>
      </c>
      <c r="B7" s="5">
        <f t="shared" si="0"/>
        <v>6</v>
      </c>
      <c r="C7" s="122">
        <v>1</v>
      </c>
      <c r="D7" s="4">
        <v>2026</v>
      </c>
      <c r="E7" s="96">
        <f>IF('Janauary 2026'!C7&lt;0,"0",'Janauary 2026'!C7)+(IF('Janauary 2026'!E7&lt;0,"0",'Janauary 2026'!E7)-(IF('Janauary 2026'!G7&lt;0,"0",'Janauary 2026'!G7)))</f>
        <v>4057</v>
      </c>
      <c r="F7" s="110">
        <f>('Janauary 2026'!C7*0.27)/('Janauary 2026'!C7+'Janauary 2026'!E7)</f>
        <v>0.23985210746857286</v>
      </c>
      <c r="G7" s="97">
        <f>'Janauary 2026'!U7</f>
        <v>50</v>
      </c>
      <c r="H7" s="113">
        <v>0.62</v>
      </c>
      <c r="I7" s="98">
        <f>'Janauary 2026'!W7</f>
        <v>0</v>
      </c>
      <c r="J7" s="99">
        <v>2.42</v>
      </c>
      <c r="K7" s="106">
        <f>'Janauary 2026'!AB7*5.04</f>
        <v>0</v>
      </c>
      <c r="L7" s="116">
        <v>0.11509999999999999</v>
      </c>
      <c r="M7" s="107">
        <f>'Janauary 2026'!M7</f>
        <v>0</v>
      </c>
      <c r="N7" s="119">
        <v>0.88</v>
      </c>
      <c r="O7" s="100">
        <f>'Janauary 2026'!AC7</f>
        <v>43</v>
      </c>
      <c r="P7" s="100">
        <f>'Janauary 2026'!AD7</f>
        <v>79</v>
      </c>
    </row>
    <row r="8" spans="1:16" ht="15" x14ac:dyDescent="0.25">
      <c r="A8" s="95" t="s">
        <v>37</v>
      </c>
      <c r="B8" s="5">
        <f t="shared" si="0"/>
        <v>7</v>
      </c>
      <c r="C8" s="122">
        <v>1</v>
      </c>
      <c r="D8" s="4">
        <v>2026</v>
      </c>
      <c r="E8" s="96">
        <f>IF('Janauary 2026'!C8&lt;0,"0",'Janauary 2026'!C8)+(IF('Janauary 2026'!E8&lt;0,"0",'Janauary 2026'!E8)-(IF('Janauary 2026'!G8&lt;0,"0",'Janauary 2026'!G8)))</f>
        <v>4008</v>
      </c>
      <c r="F8" s="110">
        <f>('Janauary 2026'!C8*0.27)/('Janauary 2026'!C8+'Janauary 2026'!E8)</f>
        <v>0.23618263473053897</v>
      </c>
      <c r="G8" s="97">
        <f>'Janauary 2026'!U8</f>
        <v>100</v>
      </c>
      <c r="H8" s="113">
        <v>0.62</v>
      </c>
      <c r="I8" s="98">
        <f>'Janauary 2026'!W8</f>
        <v>0</v>
      </c>
      <c r="J8" s="99">
        <v>2.42</v>
      </c>
      <c r="K8" s="106">
        <f>'Janauary 2026'!AB8*5.04</f>
        <v>0</v>
      </c>
      <c r="L8" s="116">
        <v>0.11509999999999999</v>
      </c>
      <c r="M8" s="107">
        <f>'Janauary 2026'!M8</f>
        <v>0</v>
      </c>
      <c r="N8" s="119">
        <v>0.88</v>
      </c>
      <c r="O8" s="100">
        <f>'Janauary 2026'!AC8</f>
        <v>49</v>
      </c>
      <c r="P8" s="100">
        <f>'Janauary 2026'!AD8</f>
        <v>91</v>
      </c>
    </row>
    <row r="9" spans="1:16" ht="15" x14ac:dyDescent="0.25">
      <c r="A9" s="95" t="s">
        <v>37</v>
      </c>
      <c r="B9" s="5">
        <f t="shared" si="0"/>
        <v>8</v>
      </c>
      <c r="C9" s="122">
        <v>1</v>
      </c>
      <c r="D9" s="4">
        <v>2026</v>
      </c>
      <c r="E9" s="96">
        <f>IF('Janauary 2026'!C9&lt;0,"0",'Janauary 2026'!C9)+(IF('Janauary 2026'!E9&lt;0,"0",'Janauary 2026'!E9)-(IF('Janauary 2026'!G9&lt;0,"0",'Janauary 2026'!G9)))</f>
        <v>4251</v>
      </c>
      <c r="F9" s="110">
        <f>('Janauary 2026'!C9*0.27)/('Janauary 2026'!C9+'Janauary 2026'!E9)</f>
        <v>0.24770642201834864</v>
      </c>
      <c r="G9" s="97">
        <f>'Janauary 2026'!U9</f>
        <v>100</v>
      </c>
      <c r="H9" s="113">
        <v>0.62</v>
      </c>
      <c r="I9" s="98">
        <f>'Janauary 2026'!W9</f>
        <v>0</v>
      </c>
      <c r="J9" s="99">
        <v>2.42</v>
      </c>
      <c r="K9" s="106">
        <f>'Janauary 2026'!AB9*5.04</f>
        <v>0</v>
      </c>
      <c r="L9" s="116">
        <v>0.11509999999999999</v>
      </c>
      <c r="M9" s="107">
        <f>'Janauary 2026'!M9</f>
        <v>0</v>
      </c>
      <c r="N9" s="119">
        <v>0.88</v>
      </c>
      <c r="O9" s="100">
        <f>'Janauary 2026'!AC9</f>
        <v>50</v>
      </c>
      <c r="P9" s="100">
        <f>'Janauary 2026'!AD9</f>
        <v>88</v>
      </c>
    </row>
    <row r="10" spans="1:16" ht="15" x14ac:dyDescent="0.25">
      <c r="A10" s="95" t="s">
        <v>37</v>
      </c>
      <c r="B10" s="5">
        <f t="shared" si="0"/>
        <v>9</v>
      </c>
      <c r="C10" s="122">
        <v>1</v>
      </c>
      <c r="D10" s="4">
        <v>2026</v>
      </c>
      <c r="E10" s="96">
        <f>IF('Janauary 2026'!C10&lt;0,"0",'Janauary 2026'!C10)+(IF('Janauary 2026'!E10&lt;0,"0",'Janauary 2026'!E10)-(IF('Janauary 2026'!G10&lt;0,"0",'Janauary 2026'!G10)))</f>
        <v>4437</v>
      </c>
      <c r="F10" s="110">
        <f>('Janauary 2026'!C10*0.27)/('Janauary 2026'!C10+'Janauary 2026'!E10)</f>
        <v>0.24328600405679515</v>
      </c>
      <c r="G10" s="97">
        <f>'Janauary 2026'!U10</f>
        <v>100</v>
      </c>
      <c r="H10" s="113">
        <v>0.62</v>
      </c>
      <c r="I10" s="98">
        <f>'Janauary 2026'!W10</f>
        <v>0</v>
      </c>
      <c r="J10" s="99">
        <v>2.42</v>
      </c>
      <c r="K10" s="106">
        <f>'Janauary 2026'!AB10*5.04</f>
        <v>0</v>
      </c>
      <c r="L10" s="116">
        <v>0.11509999999999999</v>
      </c>
      <c r="M10" s="107">
        <f>'Janauary 2026'!M10</f>
        <v>0</v>
      </c>
      <c r="N10" s="119">
        <v>0.88</v>
      </c>
      <c r="O10" s="100">
        <f>'Janauary 2026'!AC10</f>
        <v>59</v>
      </c>
      <c r="P10" s="100">
        <f>'Janauary 2026'!AD10</f>
        <v>107</v>
      </c>
    </row>
    <row r="11" spans="1:16" ht="15" x14ac:dyDescent="0.25">
      <c r="A11" s="95" t="s">
        <v>37</v>
      </c>
      <c r="B11" s="5">
        <f t="shared" si="0"/>
        <v>10</v>
      </c>
      <c r="C11" s="122">
        <v>1</v>
      </c>
      <c r="D11" s="4">
        <v>2026</v>
      </c>
      <c r="E11" s="96">
        <f>IF('Janauary 2026'!C11&lt;0,"0",'Janauary 2026'!C11)+(IF('Janauary 2026'!E11&lt;0,"0",'Janauary 2026'!E11)-(IF('Janauary 2026'!G11&lt;0,"0",'Janauary 2026'!G11)))</f>
        <v>4154</v>
      </c>
      <c r="F11" s="110">
        <f>('Janauary 2026'!C11*0.27)/('Janauary 2026'!C11+'Janauary 2026'!E11)</f>
        <v>0.24777082330284064</v>
      </c>
      <c r="G11" s="97">
        <f>'Janauary 2026'!U11</f>
        <v>50</v>
      </c>
      <c r="H11" s="113">
        <v>0.62</v>
      </c>
      <c r="I11" s="98">
        <f>'Janauary 2026'!W11</f>
        <v>0</v>
      </c>
      <c r="J11" s="99">
        <v>2.42</v>
      </c>
      <c r="K11" s="106">
        <f>'Janauary 2026'!AB11*5.04</f>
        <v>0</v>
      </c>
      <c r="L11" s="116">
        <v>0.11509999999999999</v>
      </c>
      <c r="M11" s="107">
        <f>'Janauary 2026'!M11</f>
        <v>0</v>
      </c>
      <c r="N11" s="119">
        <v>0.88</v>
      </c>
      <c r="O11" s="100">
        <f>'Janauary 2026'!AC11</f>
        <v>53</v>
      </c>
      <c r="P11" s="100">
        <f>'Janauary 2026'!AD11</f>
        <v>89</v>
      </c>
    </row>
    <row r="12" spans="1:16" ht="15" x14ac:dyDescent="0.25">
      <c r="A12" s="95" t="s">
        <v>37</v>
      </c>
      <c r="B12" s="5">
        <f t="shared" si="0"/>
        <v>11</v>
      </c>
      <c r="C12" s="122">
        <v>1</v>
      </c>
      <c r="D12" s="4">
        <v>2026</v>
      </c>
      <c r="E12" s="96">
        <f>IF('Janauary 2026'!C12&lt;0,"0",'Janauary 2026'!C12)+(IF('Janauary 2026'!E12&lt;0,"0",'Janauary 2026'!E12)-(IF('Janauary 2026'!G12&lt;0,"0",'Janauary 2026'!G12)))</f>
        <v>4055</v>
      </c>
      <c r="F12" s="110">
        <f>('Janauary 2026'!C12*0.27)/('Janauary 2026'!C12+'Janauary 2026'!E12)</f>
        <v>0.22658692971639952</v>
      </c>
      <c r="G12" s="97">
        <f>'Janauary 2026'!U12</f>
        <v>25</v>
      </c>
      <c r="H12" s="113">
        <v>0.62</v>
      </c>
      <c r="I12" s="98">
        <f>'Janauary 2026'!W12</f>
        <v>0</v>
      </c>
      <c r="J12" s="99">
        <v>2.42</v>
      </c>
      <c r="K12" s="106">
        <f>'Janauary 2026'!AB12*5.04</f>
        <v>0</v>
      </c>
      <c r="L12" s="116">
        <v>0.11509999999999999</v>
      </c>
      <c r="M12" s="107">
        <f>'Janauary 2026'!M12</f>
        <v>0</v>
      </c>
      <c r="N12" s="119">
        <v>0.88</v>
      </c>
      <c r="O12" s="100">
        <f>'Janauary 2026'!AC12</f>
        <v>54</v>
      </c>
      <c r="P12" s="100">
        <f>'Janauary 2026'!AD12</f>
        <v>70</v>
      </c>
    </row>
    <row r="13" spans="1:16" ht="15" x14ac:dyDescent="0.25">
      <c r="A13" s="95" t="s">
        <v>37</v>
      </c>
      <c r="B13" s="5">
        <f t="shared" si="0"/>
        <v>12</v>
      </c>
      <c r="C13" s="122">
        <v>1</v>
      </c>
      <c r="D13" s="4">
        <v>2026</v>
      </c>
      <c r="E13" s="96">
        <f>IF('Janauary 2026'!C13&lt;0,"0",'Janauary 2026'!C13)+(IF('Janauary 2026'!E13&lt;0,"0",'Janauary 2026'!E13)-(IF('Janauary 2026'!G13&lt;0,"0",'Janauary 2026'!G13)))</f>
        <v>0</v>
      </c>
      <c r="F13" s="110" t="e">
        <f>('Janauary 2026'!C13*0.27)/('Janauary 2026'!C13+'Janauary 2026'!E13)</f>
        <v>#DIV/0!</v>
      </c>
      <c r="G13" s="97" t="str">
        <f>'Janauary 2026'!U13</f>
        <v>0</v>
      </c>
      <c r="H13" s="113">
        <v>0.62</v>
      </c>
      <c r="I13" s="98" t="str">
        <f>'Janauary 2026'!W13</f>
        <v>0</v>
      </c>
      <c r="J13" s="99">
        <v>2.42</v>
      </c>
      <c r="K13" s="106">
        <f>'Janauary 2026'!AB13*5.04</f>
        <v>0</v>
      </c>
      <c r="L13" s="116">
        <v>0.11509999999999999</v>
      </c>
      <c r="M13" s="107">
        <f>'Janauary 2026'!M13</f>
        <v>0</v>
      </c>
      <c r="N13" s="119">
        <v>0.88</v>
      </c>
      <c r="O13" s="100">
        <f>'Janauary 2026'!AC13</f>
        <v>81</v>
      </c>
      <c r="P13" s="100">
        <f>'Janauary 2026'!AD13</f>
        <v>97</v>
      </c>
    </row>
    <row r="14" spans="1:16" ht="15" x14ac:dyDescent="0.25">
      <c r="A14" s="95" t="s">
        <v>37</v>
      </c>
      <c r="B14" s="5">
        <f t="shared" si="0"/>
        <v>13</v>
      </c>
      <c r="C14" s="122">
        <v>1</v>
      </c>
      <c r="D14" s="4">
        <v>2026</v>
      </c>
      <c r="E14" s="96">
        <f>IF('Janauary 2026'!C14&lt;0,"0",'Janauary 2026'!C14)+(IF('Janauary 2026'!E14&lt;0,"0",'Janauary 2026'!E14)-(IF('Janauary 2026'!G14&lt;0,"0",'Janauary 2026'!G14)))</f>
        <v>0</v>
      </c>
      <c r="F14" s="110" t="e">
        <f>('Janauary 2026'!C14*0.27)/('Janauary 2026'!C14+'Janauary 2026'!E14)</f>
        <v>#DIV/0!</v>
      </c>
      <c r="G14" s="97" t="str">
        <f>'Janauary 2026'!U14</f>
        <v>0</v>
      </c>
      <c r="H14" s="113">
        <v>0.62</v>
      </c>
      <c r="I14" s="98">
        <f>'Janauary 2026'!W14</f>
        <v>0</v>
      </c>
      <c r="J14" s="99">
        <v>2.42</v>
      </c>
      <c r="K14" s="106">
        <f>'Janauary 2026'!AB14*5.04</f>
        <v>0</v>
      </c>
      <c r="L14" s="116">
        <v>0.11509999999999999</v>
      </c>
      <c r="M14" s="107">
        <f>'Janauary 2026'!M14</f>
        <v>0</v>
      </c>
      <c r="N14" s="119">
        <v>0.88</v>
      </c>
      <c r="O14" s="100">
        <f>'Janauary 2026'!AC14</f>
        <v>0</v>
      </c>
      <c r="P14" s="100">
        <f>'Janauary 2026'!AD14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</v>
      </c>
      <c r="D15" s="4">
        <v>2026</v>
      </c>
      <c r="E15" s="96">
        <f>IF('Janauary 2026'!C15&lt;0,"0",'Janauary 2026'!C15)+(IF('Janauary 2026'!E15&lt;0,"0",'Janauary 2026'!E15)-(IF('Janauary 2026'!G15&lt;0,"0",'Janauary 2026'!G15)))</f>
        <v>0</v>
      </c>
      <c r="F15" s="110" t="e">
        <f>('Janauary 2026'!C15*0.27)/('Janauary 2026'!C15+'Janauary 2026'!E15)</f>
        <v>#DIV/0!</v>
      </c>
      <c r="G15" s="97" t="str">
        <f>'Janauary 2026'!U15</f>
        <v>0</v>
      </c>
      <c r="H15" s="113">
        <v>0.62</v>
      </c>
      <c r="I15" s="98">
        <f>'Janauary 2026'!W15</f>
        <v>0</v>
      </c>
      <c r="J15" s="99">
        <v>2.42</v>
      </c>
      <c r="K15" s="106">
        <f>'Janauary 2026'!AB15*5.04</f>
        <v>0</v>
      </c>
      <c r="L15" s="116">
        <v>0.11509999999999999</v>
      </c>
      <c r="M15" s="107">
        <f>'Janauary 2026'!M15</f>
        <v>0</v>
      </c>
      <c r="N15" s="119">
        <v>0.88</v>
      </c>
      <c r="O15" s="100">
        <f>'Janauary 2026'!AC15</f>
        <v>0</v>
      </c>
      <c r="P15" s="100">
        <f>'Janauary 2026'!AD15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</v>
      </c>
      <c r="D16" s="4">
        <v>2026</v>
      </c>
      <c r="E16" s="96">
        <f>IF('Janauary 2026'!C16&lt;0,"0",'Janauary 2026'!C16)+(IF('Janauary 2026'!E16&lt;0,"0",'Janauary 2026'!E16)-(IF('Janauary 2026'!G16&lt;0,"0",'Janauary 2026'!G16)))</f>
        <v>0</v>
      </c>
      <c r="F16" s="110" t="e">
        <f>('Janauary 2026'!C16*0.27)/('Janauary 2026'!C16+'Janauary 2026'!E16)</f>
        <v>#DIV/0!</v>
      </c>
      <c r="G16" s="97" t="str">
        <f>'Janauary 2026'!U16</f>
        <v>0</v>
      </c>
      <c r="H16" s="113">
        <v>0.62</v>
      </c>
      <c r="I16" s="98">
        <f>'Janauary 2026'!W16</f>
        <v>0</v>
      </c>
      <c r="J16" s="99">
        <v>2.42</v>
      </c>
      <c r="K16" s="106">
        <f>'Janauary 2026'!AB16*5.04</f>
        <v>0</v>
      </c>
      <c r="L16" s="116">
        <v>0.11509999999999999</v>
      </c>
      <c r="M16" s="107">
        <f>'Janauary 2026'!M16</f>
        <v>0</v>
      </c>
      <c r="N16" s="119">
        <v>0.88</v>
      </c>
      <c r="O16" s="100">
        <f>'Janauary 2026'!AC16</f>
        <v>0</v>
      </c>
      <c r="P16" s="100">
        <f>'Janauary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</v>
      </c>
      <c r="D17" s="4">
        <v>2026</v>
      </c>
      <c r="E17" s="96">
        <f>IF('Janauary 2026'!C17&lt;0,"0",'Janauary 2026'!C17)+(IF('Janauary 2026'!E17&lt;0,"0",'Janauary 2026'!E17)-(IF('Janauary 2026'!G17&lt;0,"0",'Janauary 2026'!G17)))</f>
        <v>0</v>
      </c>
      <c r="F17" s="110" t="e">
        <f>('Janauary 2026'!C17*0.27)/('Janauary 2026'!C17+'Janauary 2026'!E17)</f>
        <v>#DIV/0!</v>
      </c>
      <c r="G17" s="97" t="str">
        <f>'Janauary 2026'!U17</f>
        <v>0</v>
      </c>
      <c r="H17" s="113">
        <v>0.62</v>
      </c>
      <c r="I17" s="98">
        <f>'Janauary 2026'!W17</f>
        <v>0</v>
      </c>
      <c r="J17" s="99">
        <v>2.42</v>
      </c>
      <c r="K17" s="106">
        <f>'Janauary 2026'!AB17*5.04</f>
        <v>0</v>
      </c>
      <c r="L17" s="116">
        <v>0.11509999999999999</v>
      </c>
      <c r="M17" s="107">
        <f>'Janauary 2026'!M17</f>
        <v>0</v>
      </c>
      <c r="N17" s="119">
        <v>0.88</v>
      </c>
      <c r="O17" s="100">
        <f>'Janauary 2026'!AC17</f>
        <v>0</v>
      </c>
      <c r="P17" s="100">
        <f>'Janauary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</v>
      </c>
      <c r="D18" s="4">
        <v>2026</v>
      </c>
      <c r="E18" s="96">
        <f>IF('Janauary 2026'!C18&lt;0,"0",'Janauary 2026'!C18)+(IF('Janauary 2026'!E18&lt;0,"0",'Janauary 2026'!E18)-(IF('Janauary 2026'!G18&lt;0,"0",'Janauary 2026'!G18)))</f>
        <v>0</v>
      </c>
      <c r="F18" s="110" t="e">
        <f>('Janauary 2026'!C18*0.27)/('Janauary 2026'!C18+'Janauary 2026'!E18)</f>
        <v>#DIV/0!</v>
      </c>
      <c r="G18" s="97" t="str">
        <f>'Janauary 2026'!U18</f>
        <v>0</v>
      </c>
      <c r="H18" s="113">
        <v>0.62</v>
      </c>
      <c r="I18" s="98">
        <f>'Janauary 2026'!W18</f>
        <v>0</v>
      </c>
      <c r="J18" s="99">
        <v>2.42</v>
      </c>
      <c r="K18" s="106">
        <f>'Janauary 2026'!AB18*5.04</f>
        <v>0</v>
      </c>
      <c r="L18" s="116">
        <v>0.11509999999999999</v>
      </c>
      <c r="M18" s="107">
        <f>'Janauary 2026'!M18</f>
        <v>0</v>
      </c>
      <c r="N18" s="119">
        <v>0.88</v>
      </c>
      <c r="O18" s="100">
        <f>'Janauary 2026'!AC18</f>
        <v>0</v>
      </c>
      <c r="P18" s="100">
        <f>'Janauary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</v>
      </c>
      <c r="D19" s="4">
        <v>2026</v>
      </c>
      <c r="E19" s="96">
        <f>IF('Janauary 2026'!C19&lt;0,"0",'Janauary 2026'!C19)+(IF('Janauary 2026'!E19&lt;0,"0",'Janauary 2026'!E19)-(IF('Janauary 2026'!G19&lt;0,"0",'Janauary 2026'!G19)))</f>
        <v>0</v>
      </c>
      <c r="F19" s="110" t="e">
        <f>('Janauary 2026'!C19*0.27)/('Janauary 2026'!C19+'Janauary 2026'!E19)</f>
        <v>#DIV/0!</v>
      </c>
      <c r="G19" s="97" t="str">
        <f>'Janauary 2026'!U19</f>
        <v>0</v>
      </c>
      <c r="H19" s="113">
        <v>0.62</v>
      </c>
      <c r="I19" s="98">
        <f>'Janauary 2026'!W19</f>
        <v>0</v>
      </c>
      <c r="J19" s="99">
        <v>2.42</v>
      </c>
      <c r="K19" s="106">
        <f>'Janauary 2026'!AB19*5.04</f>
        <v>0</v>
      </c>
      <c r="L19" s="116">
        <v>0.11509999999999999</v>
      </c>
      <c r="M19" s="107">
        <f>'Janauary 2026'!M19</f>
        <v>0</v>
      </c>
      <c r="N19" s="119">
        <v>0.88</v>
      </c>
      <c r="O19" s="100">
        <f>'Janauary 2026'!AC19</f>
        <v>0</v>
      </c>
      <c r="P19" s="100">
        <f>'Janauary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</v>
      </c>
      <c r="D20" s="4">
        <v>2026</v>
      </c>
      <c r="E20" s="96">
        <f>IF('Janauary 2026'!C20&lt;0,"0",'Janauary 2026'!C20)+(IF('Janauary 2026'!E20&lt;0,"0",'Janauary 2026'!E20)-(IF('Janauary 2026'!G20&lt;0,"0",'Janauary 2026'!G20)))</f>
        <v>0</v>
      </c>
      <c r="F20" s="110" t="e">
        <f>('Janauary 2026'!C20*0.27)/('Janauary 2026'!C20+'Janauary 2026'!E20)</f>
        <v>#DIV/0!</v>
      </c>
      <c r="G20" s="97" t="str">
        <f>'Janauary 2026'!U20</f>
        <v>0</v>
      </c>
      <c r="H20" s="113">
        <v>0.62</v>
      </c>
      <c r="I20" s="98">
        <f>'Janauary 2026'!W20</f>
        <v>0</v>
      </c>
      <c r="J20" s="99">
        <v>2.42</v>
      </c>
      <c r="K20" s="106">
        <f>'Janauary 2026'!AB20*5.04</f>
        <v>0</v>
      </c>
      <c r="L20" s="116">
        <v>0.11509999999999999</v>
      </c>
      <c r="M20" s="107">
        <f>'Janauary 2026'!M20</f>
        <v>0</v>
      </c>
      <c r="N20" s="119">
        <v>0.88</v>
      </c>
      <c r="O20" s="100">
        <f>'Janauary 2026'!AC20</f>
        <v>0</v>
      </c>
      <c r="P20" s="100">
        <f>'Janauary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</v>
      </c>
      <c r="D21" s="4">
        <v>2026</v>
      </c>
      <c r="E21" s="96">
        <f>IF('Janauary 2026'!C21&lt;0,"0",'Janauary 2026'!C21)+(IF('Janauary 2026'!E21&lt;0,"0",'Janauary 2026'!E21)-(IF('Janauary 2026'!G21&lt;0,"0",'Janauary 2026'!G21)))</f>
        <v>0</v>
      </c>
      <c r="F21" s="110" t="e">
        <f>('Janauary 2026'!C21*0.27)/('Janauary 2026'!C21+'Janauary 2026'!E21)</f>
        <v>#DIV/0!</v>
      </c>
      <c r="G21" s="97" t="str">
        <f>'Janauary 2026'!U21</f>
        <v>0</v>
      </c>
      <c r="H21" s="113">
        <v>0.62</v>
      </c>
      <c r="I21" s="98">
        <f>'Janauary 2026'!W21</f>
        <v>0</v>
      </c>
      <c r="J21" s="99">
        <v>2.42</v>
      </c>
      <c r="K21" s="106">
        <f>'Janauary 2026'!AB21*5.04</f>
        <v>0</v>
      </c>
      <c r="L21" s="116">
        <v>0.11509999999999999</v>
      </c>
      <c r="M21" s="107">
        <f>'Janauary 2026'!M21</f>
        <v>0</v>
      </c>
      <c r="N21" s="119">
        <v>0.88</v>
      </c>
      <c r="O21" s="100">
        <f>'Janauary 2026'!AC21</f>
        <v>0</v>
      </c>
      <c r="P21" s="100">
        <f>'Janauary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</v>
      </c>
      <c r="D22" s="4">
        <v>2026</v>
      </c>
      <c r="E22" s="96">
        <f>IF('Janauary 2026'!C22&lt;0,"0",'Janauary 2026'!C22)+(IF('Janauary 2026'!E22&lt;0,"0",'Janauary 2026'!E22)-(IF('Janauary 2026'!G22&lt;0,"0",'Janauary 2026'!G22)))</f>
        <v>0</v>
      </c>
      <c r="F22" s="110" t="e">
        <f>('Janauary 2026'!C22*0.27)/('Janauary 2026'!C22+'Janauary 2026'!E22)</f>
        <v>#DIV/0!</v>
      </c>
      <c r="G22" s="97" t="str">
        <f>'Janauary 2026'!U22</f>
        <v>0</v>
      </c>
      <c r="H22" s="113">
        <v>0.62</v>
      </c>
      <c r="I22" s="98">
        <f>'Janauary 2026'!W22</f>
        <v>0</v>
      </c>
      <c r="J22" s="99">
        <v>2.42</v>
      </c>
      <c r="K22" s="106">
        <f>'Janauary 2026'!AB22*5.04</f>
        <v>0</v>
      </c>
      <c r="L22" s="116">
        <v>0.11509999999999999</v>
      </c>
      <c r="M22" s="107">
        <f>'Janauary 2026'!M22</f>
        <v>0</v>
      </c>
      <c r="N22" s="119">
        <v>0.88</v>
      </c>
      <c r="O22" s="100">
        <f>'Janauary 2026'!AC22</f>
        <v>0</v>
      </c>
      <c r="P22" s="100">
        <f>'Janauary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</v>
      </c>
      <c r="D23" s="4">
        <v>2026</v>
      </c>
      <c r="E23" s="96">
        <f>IF('Janauary 2026'!C23&lt;0,"0",'Janauary 2026'!C23)+(IF('Janauary 2026'!E23&lt;0,"0",'Janauary 2026'!E23)-(IF('Janauary 2026'!G23&lt;0,"0",'Janauary 2026'!G23)))</f>
        <v>0</v>
      </c>
      <c r="F23" s="110" t="e">
        <f>('Janauary 2026'!C23*0.27)/('Janauary 2026'!C23+'Janauary 2026'!E23)</f>
        <v>#DIV/0!</v>
      </c>
      <c r="G23" s="97" t="str">
        <f>'Janauary 2026'!U23</f>
        <v>0</v>
      </c>
      <c r="H23" s="113">
        <v>0.62</v>
      </c>
      <c r="I23" s="98">
        <f>'Janauary 2026'!W23</f>
        <v>0</v>
      </c>
      <c r="J23" s="99">
        <v>2.42</v>
      </c>
      <c r="K23" s="106">
        <f>'Janauary 2026'!AB23*5.04</f>
        <v>0</v>
      </c>
      <c r="L23" s="116">
        <v>0.11509999999999999</v>
      </c>
      <c r="M23" s="107">
        <f>'Janauary 2026'!M23</f>
        <v>0</v>
      </c>
      <c r="N23" s="119">
        <v>0.88</v>
      </c>
      <c r="O23" s="100">
        <f>'Janauary 2026'!AC23</f>
        <v>0</v>
      </c>
      <c r="P23" s="100">
        <f>'Janauary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</v>
      </c>
      <c r="D24" s="4">
        <v>2026</v>
      </c>
      <c r="E24" s="96">
        <f>IF('Janauary 2026'!C24&lt;0,"0",'Janauary 2026'!C24)+(IF('Janauary 2026'!E24&lt;0,"0",'Janauary 2026'!E24)-(IF('Janauary 2026'!G24&lt;0,"0",'Janauary 2026'!G24)))</f>
        <v>0</v>
      </c>
      <c r="F24" s="110" t="e">
        <f>('Janauary 2026'!C24*0.27)/('Janauary 2026'!C24+'Janauary 2026'!E24)</f>
        <v>#DIV/0!</v>
      </c>
      <c r="G24" s="97" t="str">
        <f>'Janauary 2026'!U24</f>
        <v>0</v>
      </c>
      <c r="H24" s="113">
        <v>0.62</v>
      </c>
      <c r="I24" s="98">
        <f>'Janauary 2026'!W24</f>
        <v>0</v>
      </c>
      <c r="J24" s="99">
        <v>2.42</v>
      </c>
      <c r="K24" s="106">
        <f>'Janauary 2026'!AB24*5.04</f>
        <v>0</v>
      </c>
      <c r="L24" s="116">
        <v>0.11509999999999999</v>
      </c>
      <c r="M24" s="107">
        <f>'Janauary 2026'!M24</f>
        <v>0</v>
      </c>
      <c r="N24" s="119">
        <v>0.88</v>
      </c>
      <c r="O24" s="100">
        <f>'Janauary 2026'!AC24</f>
        <v>0</v>
      </c>
      <c r="P24" s="100">
        <f>'Janauary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</v>
      </c>
      <c r="D25" s="4">
        <v>2026</v>
      </c>
      <c r="E25" s="96">
        <f>IF('Janauary 2026'!C25&lt;0,"0",'Janauary 2026'!C25)+(IF('Janauary 2026'!E25&lt;0,"0",'Janauary 2026'!E25)-(IF('Janauary 2026'!G25&lt;0,"0",'Janauary 2026'!G25)))</f>
        <v>0</v>
      </c>
      <c r="F25" s="110" t="e">
        <f>('Janauary 2026'!C25*0.27)/('Janauary 2026'!C25+'Janauary 2026'!E25)</f>
        <v>#DIV/0!</v>
      </c>
      <c r="G25" s="97" t="str">
        <f>'Janauary 2026'!U25</f>
        <v>0</v>
      </c>
      <c r="H25" s="113">
        <v>0.62</v>
      </c>
      <c r="I25" s="98">
        <f>'Janauary 2026'!W25</f>
        <v>0</v>
      </c>
      <c r="J25" s="99">
        <v>2.42</v>
      </c>
      <c r="K25" s="106">
        <f>'Janauary 2026'!AB25*5.04</f>
        <v>0</v>
      </c>
      <c r="L25" s="116">
        <v>0.11509999999999999</v>
      </c>
      <c r="M25" s="107">
        <f>'Janauary 2026'!M25</f>
        <v>0</v>
      </c>
      <c r="N25" s="119">
        <v>0.88</v>
      </c>
      <c r="O25" s="100">
        <f>'Janauary 2026'!AC25</f>
        <v>0</v>
      </c>
      <c r="P25" s="100">
        <f>'Janauary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</v>
      </c>
      <c r="D26" s="4">
        <v>2026</v>
      </c>
      <c r="E26" s="96">
        <f>IF('Janauary 2026'!C26&lt;0,"0",'Janauary 2026'!C26)+(IF('Janauary 2026'!E26&lt;0,"0",'Janauary 2026'!E26)-(IF('Janauary 2026'!G26&lt;0,"0",'Janauary 2026'!G26)))</f>
        <v>0</v>
      </c>
      <c r="F26" s="110" t="e">
        <f>('Janauary 2026'!C26*0.27)/('Janauary 2026'!C26+'Janauary 2026'!E26)</f>
        <v>#DIV/0!</v>
      </c>
      <c r="G26" s="97" t="str">
        <f>'Janauary 2026'!U26</f>
        <v>0</v>
      </c>
      <c r="H26" s="113">
        <v>0.62</v>
      </c>
      <c r="I26" s="98">
        <f>'Janauary 2026'!W26</f>
        <v>0</v>
      </c>
      <c r="J26" s="99">
        <v>2.42</v>
      </c>
      <c r="K26" s="106">
        <f>'Janauary 2026'!AB26*5.04</f>
        <v>0</v>
      </c>
      <c r="L26" s="116">
        <v>0.11509999999999999</v>
      </c>
      <c r="M26" s="107">
        <f>'Janauary 2026'!M26</f>
        <v>0</v>
      </c>
      <c r="N26" s="119">
        <v>0.88</v>
      </c>
      <c r="O26" s="100">
        <f>'Janauary 2026'!AC26</f>
        <v>0</v>
      </c>
      <c r="P26" s="100">
        <f>'Janauary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</v>
      </c>
      <c r="D27" s="4">
        <v>2026</v>
      </c>
      <c r="E27" s="96">
        <f>IF('Janauary 2026'!C27&lt;0,"0",'Janauary 2026'!C27)+(IF('Janauary 2026'!E27&lt;0,"0",'Janauary 2026'!E27)-(IF('Janauary 2026'!G27&lt;0,"0",'Janauary 2026'!G27)))</f>
        <v>0</v>
      </c>
      <c r="F27" s="110" t="e">
        <f>('Janauary 2026'!C27*0.27)/('Janauary 2026'!C27+'Janauary 2026'!E27)</f>
        <v>#DIV/0!</v>
      </c>
      <c r="G27" s="97" t="str">
        <f>'Janauary 2026'!U27</f>
        <v>0</v>
      </c>
      <c r="H27" s="113">
        <v>0.62</v>
      </c>
      <c r="I27" s="98">
        <f>'Janauary 2026'!W27</f>
        <v>0</v>
      </c>
      <c r="J27" s="99">
        <v>2.42</v>
      </c>
      <c r="K27" s="106">
        <f>'Janauary 2026'!AB27*5.04</f>
        <v>0</v>
      </c>
      <c r="L27" s="116">
        <v>0.11509999999999999</v>
      </c>
      <c r="M27" s="107">
        <f>'Janauary 2026'!M27</f>
        <v>0</v>
      </c>
      <c r="N27" s="119">
        <v>0.88</v>
      </c>
      <c r="O27" s="100">
        <f>'Janauary 2026'!AC27</f>
        <v>0</v>
      </c>
      <c r="P27" s="100">
        <f>'Janauary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</v>
      </c>
      <c r="D28" s="4">
        <v>2026</v>
      </c>
      <c r="E28" s="96">
        <f>IF('Janauary 2026'!C28&lt;0,"0",'Janauary 2026'!C28)+(IF('Janauary 2026'!E28&lt;0,"0",'Janauary 2026'!E28)-(IF('Janauary 2026'!G28&lt;0,"0",'Janauary 2026'!G28)))</f>
        <v>0</v>
      </c>
      <c r="F28" s="110" t="e">
        <f>('Janauary 2026'!C28*0.27)/('Janauary 2026'!C28+'Janauary 2026'!E28)</f>
        <v>#DIV/0!</v>
      </c>
      <c r="G28" s="97" t="str">
        <f>'Janauary 2026'!U28</f>
        <v>0</v>
      </c>
      <c r="H28" s="113">
        <v>0.62</v>
      </c>
      <c r="I28" s="98">
        <f>'Janauary 2026'!W28</f>
        <v>0</v>
      </c>
      <c r="J28" s="99">
        <v>2.42</v>
      </c>
      <c r="K28" s="106">
        <f>'Janauary 2026'!AB28*5.04</f>
        <v>0</v>
      </c>
      <c r="L28" s="116">
        <v>0.11509999999999999</v>
      </c>
      <c r="M28" s="107">
        <f>'Janauary 2026'!M28</f>
        <v>0</v>
      </c>
      <c r="N28" s="119">
        <v>0.88</v>
      </c>
      <c r="O28" s="100">
        <f>'Janauary 2026'!AC28</f>
        <v>0</v>
      </c>
      <c r="P28" s="100">
        <f>'Janauary 2026'!AD28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</v>
      </c>
      <c r="D29" s="4">
        <v>2026</v>
      </c>
      <c r="E29" s="96">
        <f>IF('Janauary 2026'!C29&lt;0,"0",'Janauary 2026'!C29)+(IF('Janauary 2026'!E29&lt;0,"0",'Janauary 2026'!E29)-(IF('Janauary 2026'!G29&lt;0,"0",'Janauary 2026'!G29)))</f>
        <v>0</v>
      </c>
      <c r="F29" s="110" t="e">
        <f>('Janauary 2026'!C29*0.27)/('Janauary 2026'!C29+'Janauary 2026'!E29)</f>
        <v>#DIV/0!</v>
      </c>
      <c r="G29" s="97" t="str">
        <f>'Janauary 2026'!U29</f>
        <v>0</v>
      </c>
      <c r="H29" s="113">
        <v>0.62</v>
      </c>
      <c r="I29" s="98">
        <f>'Janauary 2026'!W29</f>
        <v>0</v>
      </c>
      <c r="J29" s="99">
        <v>2.42</v>
      </c>
      <c r="K29" s="106">
        <f>'Janauary 2026'!AB29*5.04</f>
        <v>0</v>
      </c>
      <c r="L29" s="116">
        <v>0.11509999999999999</v>
      </c>
      <c r="M29" s="107">
        <f>'Janauary 2026'!M29</f>
        <v>0</v>
      </c>
      <c r="N29" s="119">
        <v>0.88</v>
      </c>
      <c r="O29" s="100">
        <f>'Janauary 2026'!AC29</f>
        <v>0</v>
      </c>
      <c r="P29" s="100">
        <f>'Janauary 2026'!AD29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</v>
      </c>
      <c r="D30" s="4">
        <v>2026</v>
      </c>
      <c r="E30" s="96">
        <f>IF('Janauary 2026'!C30&lt;0,"0",'Janauary 2026'!C30)+(IF('Janauary 2026'!E30&lt;0,"0",'Janauary 2026'!E30)-(IF('Janauary 2026'!G30&lt;0,"0",'Janauary 2026'!G30)))</f>
        <v>0</v>
      </c>
      <c r="F30" s="110" t="e">
        <f>('Janauary 2026'!C30*0.27)/('Janauary 2026'!C30+'Janauary 2026'!E30)</f>
        <v>#DIV/0!</v>
      </c>
      <c r="G30" s="97" t="str">
        <f>'Janauary 2026'!U30</f>
        <v>0</v>
      </c>
      <c r="H30" s="113">
        <v>0.62</v>
      </c>
      <c r="I30" s="98">
        <f>'Janauary 2026'!W30</f>
        <v>0</v>
      </c>
      <c r="J30" s="99">
        <v>2.42</v>
      </c>
      <c r="K30" s="106">
        <f>'Janauary 2026'!AB30*5.04</f>
        <v>0</v>
      </c>
      <c r="L30" s="116">
        <v>0.11509999999999999</v>
      </c>
      <c r="M30" s="107">
        <f>'Janauary 2026'!M30</f>
        <v>0</v>
      </c>
      <c r="N30" s="119">
        <v>0.88</v>
      </c>
      <c r="O30" s="100">
        <f>'Janauary 2026'!AC30</f>
        <v>0</v>
      </c>
      <c r="P30" s="100">
        <f>'Janauary 2026'!AD30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</v>
      </c>
      <c r="D31" s="4">
        <v>2026</v>
      </c>
      <c r="E31" s="96">
        <f>IF('Janauary 2026'!C32&lt;0,"0",'Janauary 2026'!C32)+(IF('Janauary 2026'!E32&lt;0,"0",'Janauary 2026'!E32)-(IF('Janauary 2026'!G32&lt;0,"0",'Janauary 2026'!G32)))</f>
        <v>0</v>
      </c>
      <c r="F31" s="110" t="e">
        <f>('Janauary 2026'!C32*0.27)/('Janauary 2026'!C32+'Janauary 2026'!E32)</f>
        <v>#DIV/0!</v>
      </c>
      <c r="G31" s="97" t="str">
        <f>'Janauary 2026'!U32</f>
        <v>0</v>
      </c>
      <c r="H31" s="113">
        <v>0.62</v>
      </c>
      <c r="I31" s="98">
        <f>'Janauary 2026'!W32</f>
        <v>0</v>
      </c>
      <c r="J31" s="99">
        <v>2.42</v>
      </c>
      <c r="K31" s="106">
        <f>'Janauary 2026'!AB32*5.04</f>
        <v>0</v>
      </c>
      <c r="L31" s="116">
        <v>0.11509999999999999</v>
      </c>
      <c r="M31" s="107">
        <f>'Janauary 2026'!M32</f>
        <v>0</v>
      </c>
      <c r="N31" s="119">
        <v>0.88</v>
      </c>
      <c r="O31" s="100">
        <f>'Janauary 2026'!AC32</f>
        <v>0</v>
      </c>
      <c r="P31" s="100">
        <f>'Janauary 2026'!AD32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</v>
      </c>
      <c r="D32" s="4">
        <v>2026</v>
      </c>
      <c r="E32" s="96">
        <f>IF('Janauary 2026'!C33&lt;0,"0",'Janauary 2026'!C33)+(IF('Janauary 2026'!E33&lt;0,"0",'Janauary 2026'!E33)-(IF('Janauary 2026'!G33&lt;0,"0",'Janauary 2026'!G33)))</f>
        <v>0</v>
      </c>
      <c r="F32" s="110" t="e">
        <f>('Janauary 2026'!C33*0.27)/('Janauary 2026'!C33+'Janauary 2026'!E33)</f>
        <v>#DIV/0!</v>
      </c>
      <c r="G32" s="97">
        <f>'Janauary 2026'!U33</f>
        <v>0</v>
      </c>
      <c r="H32" s="113">
        <v>0.62</v>
      </c>
      <c r="I32" s="98">
        <f>'Janauary 2026'!W33</f>
        <v>0</v>
      </c>
      <c r="J32" s="99">
        <v>2.42</v>
      </c>
      <c r="K32" s="106">
        <f>'Janauary 2026'!AB33*5.04</f>
        <v>0</v>
      </c>
      <c r="L32" s="116">
        <v>0.11509999999999999</v>
      </c>
      <c r="M32" s="107">
        <f>'Janauary 2026'!M33</f>
        <v>0</v>
      </c>
      <c r="N32" s="119">
        <v>0.88</v>
      </c>
      <c r="O32" s="100">
        <f>'Janauary 2026'!AC33</f>
        <v>0</v>
      </c>
      <c r="P32" s="100">
        <f>'Janauary 2026'!AD33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H1" zoomScale="115" zoomScaleNormal="115" workbookViewId="0">
      <selection activeCell="AD14" sqref="AD14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46023</v>
      </c>
      <c r="B2" s="8">
        <v>1525261</v>
      </c>
      <c r="C2" s="14">
        <f>IF((B3-B2)&lt;0,"0",B3-B2)</f>
        <v>5042</v>
      </c>
      <c r="D2" s="9">
        <v>1009035</v>
      </c>
      <c r="E2" s="14">
        <f>IF((D3-D2)&lt;0,"0",D3-D2)</f>
        <v>280</v>
      </c>
      <c r="F2" s="27">
        <v>1704</v>
      </c>
      <c r="G2" s="67">
        <f>F3-F2</f>
        <v>0</v>
      </c>
      <c r="H2" s="69">
        <f>C2+E2-G2</f>
        <v>5322</v>
      </c>
      <c r="I2" s="73">
        <f>H2-K2-M2-O2-Q2</f>
        <v>-40701.949999999997</v>
      </c>
      <c r="J2" s="32">
        <f t="shared" ref="J2:J32" si="0">I3-I2</f>
        <v>530.09999999999854</v>
      </c>
      <c r="K2" s="19">
        <f>A2</f>
        <v>46023</v>
      </c>
      <c r="L2" s="30">
        <v>4881</v>
      </c>
      <c r="M2" s="31">
        <v>0</v>
      </c>
      <c r="N2" s="32">
        <f>IF((L2-L3+M2)=L2,"0",(L2-L3+M2))</f>
        <v>652</v>
      </c>
      <c r="O2" s="83">
        <v>0.61</v>
      </c>
      <c r="P2" s="84">
        <v>0.64</v>
      </c>
      <c r="Q2" s="83">
        <v>0.34</v>
      </c>
      <c r="R2" s="84">
        <v>0.41</v>
      </c>
      <c r="S2" s="38">
        <f>(2500*O2)+(2500*P2)+(500*Q2)+(500*R2)</f>
        <v>3500</v>
      </c>
      <c r="T2" s="123"/>
      <c r="U2" s="32">
        <f>IF((S2-S3+T2)=S2,"0",(S2-S3+T2))</f>
        <v>120</v>
      </c>
      <c r="V2" s="40">
        <v>39924</v>
      </c>
      <c r="W2" s="32">
        <f t="shared" ref="W2:W32" si="1">IF(V3-V2&lt;0,"0",V3-V2)</f>
        <v>76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192</v>
      </c>
      <c r="AD2" s="17">
        <v>382</v>
      </c>
    </row>
    <row r="3" spans="1:30" ht="20.65" customHeight="1" x14ac:dyDescent="0.2">
      <c r="A3" s="19">
        <v>46024</v>
      </c>
      <c r="B3" s="10">
        <v>1530303</v>
      </c>
      <c r="C3" s="14">
        <f t="shared" ref="C3:C32" si="2">IF((B4-B3)&lt;0,"0",B4-B3)</f>
        <v>5343</v>
      </c>
      <c r="D3" s="11">
        <v>1009315</v>
      </c>
      <c r="E3" s="14">
        <f t="shared" ref="E3:E13" si="3">IF((D4-D3)&lt;0,"0",D4-D3)</f>
        <v>510</v>
      </c>
      <c r="F3" s="27">
        <v>1704</v>
      </c>
      <c r="G3" s="67">
        <f t="shared" ref="G3:G32" si="4">F4-F3</f>
        <v>0</v>
      </c>
      <c r="H3" s="69">
        <f t="shared" ref="H3:H31" si="5">C3+E3-G3</f>
        <v>5853</v>
      </c>
      <c r="I3" s="73">
        <f t="shared" ref="I3:I31" si="6">H3-K3-M3-O3-Q3</f>
        <v>-40171.85</v>
      </c>
      <c r="J3" s="32">
        <f t="shared" si="0"/>
        <v>-1801.9399999999951</v>
      </c>
      <c r="K3" s="20">
        <f t="shared" ref="K3:K33" si="7">A3</f>
        <v>46024</v>
      </c>
      <c r="L3" s="33">
        <v>4229</v>
      </c>
      <c r="M3" s="31">
        <v>0</v>
      </c>
      <c r="N3" s="32">
        <f t="shared" ref="N3:N33" si="8">IF((L3-L4+M3)=L3,"0",(L3-L4+M3))</f>
        <v>839</v>
      </c>
      <c r="O3" s="85">
        <v>0.6</v>
      </c>
      <c r="P3" s="86">
        <v>0.63</v>
      </c>
      <c r="Q3" s="85">
        <v>0.25</v>
      </c>
      <c r="R3" s="86">
        <v>0.36</v>
      </c>
      <c r="S3" s="38">
        <f t="shared" ref="S3:S33" si="9">(2500*O3)+(2500*P3)+(500*Q3)+(500*R3)</f>
        <v>3380</v>
      </c>
      <c r="T3" s="123"/>
      <c r="U3" s="32">
        <f t="shared" ref="U3:U32" si="10">IF((S3-S4+T3)=S3,"0",(S3-S4+T3))</f>
        <v>115</v>
      </c>
      <c r="V3" s="41">
        <v>40000</v>
      </c>
      <c r="W3" s="32">
        <f t="shared" si="1"/>
        <v>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29" si="12">IF((Z3-Z4+AA3)=Z3,"0",(Z3-Z4+AA3))</f>
        <v>0</v>
      </c>
      <c r="AC3" s="13">
        <v>143</v>
      </c>
      <c r="AD3" s="18">
        <v>279</v>
      </c>
    </row>
    <row r="4" spans="1:30" ht="20.65" customHeight="1" x14ac:dyDescent="0.2">
      <c r="A4" s="19">
        <v>46025</v>
      </c>
      <c r="B4" s="10">
        <v>1535646</v>
      </c>
      <c r="C4" s="14">
        <f t="shared" si="2"/>
        <v>3441</v>
      </c>
      <c r="D4" s="11">
        <v>1009825</v>
      </c>
      <c r="E4" s="14">
        <f t="shared" si="3"/>
        <v>611</v>
      </c>
      <c r="F4" s="27">
        <v>1704</v>
      </c>
      <c r="G4" s="67">
        <f t="shared" si="4"/>
        <v>0</v>
      </c>
      <c r="H4" s="69">
        <f t="shared" si="5"/>
        <v>4052</v>
      </c>
      <c r="I4" s="73">
        <f t="shared" si="6"/>
        <v>-41973.789999999994</v>
      </c>
      <c r="J4" s="32">
        <f t="shared" si="0"/>
        <v>347.02999999999884</v>
      </c>
      <c r="K4" s="20">
        <f t="shared" si="7"/>
        <v>46025</v>
      </c>
      <c r="L4" s="33">
        <v>3390</v>
      </c>
      <c r="M4" s="31">
        <v>0</v>
      </c>
      <c r="N4" s="32">
        <f t="shared" si="8"/>
        <v>704</v>
      </c>
      <c r="O4" s="85">
        <v>0.59</v>
      </c>
      <c r="P4" s="86">
        <v>0.61</v>
      </c>
      <c r="Q4" s="85">
        <v>0.2</v>
      </c>
      <c r="R4" s="86">
        <v>0.33</v>
      </c>
      <c r="S4" s="38">
        <f t="shared" si="9"/>
        <v>3265</v>
      </c>
      <c r="T4" s="123"/>
      <c r="U4" s="32">
        <f t="shared" si="10"/>
        <v>75</v>
      </c>
      <c r="V4" s="41">
        <v>40000</v>
      </c>
      <c r="W4" s="32">
        <f t="shared" si="1"/>
        <v>0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102</v>
      </c>
      <c r="AD4" s="18">
        <v>207</v>
      </c>
    </row>
    <row r="5" spans="1:30" ht="20.65" customHeight="1" x14ac:dyDescent="0.2">
      <c r="A5" s="19">
        <v>46026</v>
      </c>
      <c r="B5" s="10">
        <v>1539087</v>
      </c>
      <c r="C5" s="14">
        <f t="shared" si="2"/>
        <v>3713</v>
      </c>
      <c r="D5" s="11">
        <v>1010436</v>
      </c>
      <c r="E5" s="14">
        <f t="shared" si="3"/>
        <v>687</v>
      </c>
      <c r="F5" s="27">
        <v>1704</v>
      </c>
      <c r="G5" s="67">
        <f t="shared" si="4"/>
        <v>0</v>
      </c>
      <c r="H5" s="69">
        <f t="shared" si="5"/>
        <v>4400</v>
      </c>
      <c r="I5" s="73">
        <f t="shared" si="6"/>
        <v>-41626.759999999995</v>
      </c>
      <c r="J5" s="32">
        <f t="shared" si="0"/>
        <v>-8497.9900000000052</v>
      </c>
      <c r="K5" s="20">
        <f t="shared" si="7"/>
        <v>46026</v>
      </c>
      <c r="L5" s="33">
        <v>2686</v>
      </c>
      <c r="M5" s="31">
        <v>0</v>
      </c>
      <c r="N5" s="32">
        <f t="shared" si="8"/>
        <v>707</v>
      </c>
      <c r="O5" s="85">
        <v>0.56000000000000005</v>
      </c>
      <c r="P5" s="86">
        <v>0.61</v>
      </c>
      <c r="Q5" s="85">
        <v>0.2</v>
      </c>
      <c r="R5" s="86">
        <v>0.33</v>
      </c>
      <c r="S5" s="38">
        <f t="shared" si="9"/>
        <v>3190</v>
      </c>
      <c r="T5" s="123"/>
      <c r="U5" s="32">
        <f t="shared" si="10"/>
        <v>25</v>
      </c>
      <c r="V5" s="41">
        <v>40000</v>
      </c>
      <c r="W5" s="32">
        <f t="shared" si="1"/>
        <v>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75</v>
      </c>
      <c r="AD5" s="18">
        <v>147</v>
      </c>
    </row>
    <row r="6" spans="1:30" ht="20.65" customHeight="1" x14ac:dyDescent="0.2">
      <c r="A6" s="19">
        <v>46027</v>
      </c>
      <c r="B6" s="10">
        <v>1542800</v>
      </c>
      <c r="C6" s="14">
        <f t="shared" si="2"/>
        <v>3221</v>
      </c>
      <c r="D6" s="11">
        <v>1011123</v>
      </c>
      <c r="E6" s="14">
        <f t="shared" si="3"/>
        <v>682</v>
      </c>
      <c r="F6" s="27">
        <v>1704</v>
      </c>
      <c r="G6" s="67">
        <f t="shared" si="4"/>
        <v>0</v>
      </c>
      <c r="H6" s="69">
        <f t="shared" si="5"/>
        <v>3903</v>
      </c>
      <c r="I6" s="73">
        <f t="shared" si="6"/>
        <v>-50124.75</v>
      </c>
      <c r="J6" s="32">
        <f t="shared" si="0"/>
        <v>8152.7400000000052</v>
      </c>
      <c r="K6" s="20">
        <f t="shared" si="7"/>
        <v>46027</v>
      </c>
      <c r="L6" s="33">
        <v>1979</v>
      </c>
      <c r="M6" s="31">
        <v>8000</v>
      </c>
      <c r="N6" s="32">
        <f t="shared" si="8"/>
        <v>562</v>
      </c>
      <c r="O6" s="85">
        <v>0.55000000000000004</v>
      </c>
      <c r="P6" s="86">
        <v>0.61</v>
      </c>
      <c r="Q6" s="85">
        <v>0.2</v>
      </c>
      <c r="R6" s="86">
        <v>0.33</v>
      </c>
      <c r="S6" s="38">
        <f t="shared" si="9"/>
        <v>3165</v>
      </c>
      <c r="T6" s="123">
        <v>1294</v>
      </c>
      <c r="U6" s="32">
        <f t="shared" si="10"/>
        <v>144</v>
      </c>
      <c r="V6" s="41">
        <v>40000</v>
      </c>
      <c r="W6" s="32">
        <f t="shared" si="1"/>
        <v>0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49</v>
      </c>
      <c r="AD6" s="18">
        <v>98</v>
      </c>
    </row>
    <row r="7" spans="1:30" ht="20.65" customHeight="1" x14ac:dyDescent="0.2">
      <c r="A7" s="19">
        <v>46028</v>
      </c>
      <c r="B7" s="10">
        <v>1546021</v>
      </c>
      <c r="C7" s="14">
        <f t="shared" si="2"/>
        <v>3604</v>
      </c>
      <c r="D7" s="11">
        <v>1011805</v>
      </c>
      <c r="E7" s="14">
        <f t="shared" si="3"/>
        <v>453</v>
      </c>
      <c r="F7" s="27">
        <v>1704</v>
      </c>
      <c r="G7" s="67">
        <f t="shared" si="4"/>
        <v>0</v>
      </c>
      <c r="H7" s="69">
        <f t="shared" si="5"/>
        <v>4057</v>
      </c>
      <c r="I7" s="73">
        <f t="shared" si="6"/>
        <v>-41972.009999999995</v>
      </c>
      <c r="J7" s="32">
        <f t="shared" si="0"/>
        <v>-49.990000000005239</v>
      </c>
      <c r="K7" s="20">
        <f t="shared" si="7"/>
        <v>46028</v>
      </c>
      <c r="L7" s="33">
        <v>9417</v>
      </c>
      <c r="M7" s="31">
        <v>0</v>
      </c>
      <c r="N7" s="32">
        <f t="shared" si="8"/>
        <v>501</v>
      </c>
      <c r="O7" s="85">
        <v>0.81</v>
      </c>
      <c r="P7" s="86">
        <v>0.81</v>
      </c>
      <c r="Q7" s="85">
        <v>0.2</v>
      </c>
      <c r="R7" s="86">
        <v>0.33</v>
      </c>
      <c r="S7" s="38">
        <f t="shared" si="9"/>
        <v>4315</v>
      </c>
      <c r="T7" s="123"/>
      <c r="U7" s="32">
        <f t="shared" si="10"/>
        <v>50</v>
      </c>
      <c r="V7" s="41">
        <v>40000</v>
      </c>
      <c r="W7" s="32">
        <f t="shared" si="1"/>
        <v>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43</v>
      </c>
      <c r="AD7" s="18">
        <v>79</v>
      </c>
    </row>
    <row r="8" spans="1:30" ht="20.65" customHeight="1" x14ac:dyDescent="0.2">
      <c r="A8" s="19">
        <v>46029</v>
      </c>
      <c r="B8" s="10">
        <v>1549625</v>
      </c>
      <c r="C8" s="14">
        <f t="shared" si="2"/>
        <v>3506</v>
      </c>
      <c r="D8" s="11">
        <v>1012258</v>
      </c>
      <c r="E8" s="14">
        <f t="shared" si="3"/>
        <v>502</v>
      </c>
      <c r="F8" s="27">
        <v>1704</v>
      </c>
      <c r="G8" s="67">
        <f t="shared" si="4"/>
        <v>0</v>
      </c>
      <c r="H8" s="69">
        <f t="shared" si="5"/>
        <v>4008</v>
      </c>
      <c r="I8" s="73">
        <f t="shared" si="6"/>
        <v>-42022</v>
      </c>
      <c r="J8" s="32">
        <f t="shared" si="0"/>
        <v>242.01000000000204</v>
      </c>
      <c r="K8" s="20">
        <f t="shared" si="7"/>
        <v>46029</v>
      </c>
      <c r="L8" s="33">
        <v>8916</v>
      </c>
      <c r="M8" s="31">
        <v>0</v>
      </c>
      <c r="N8" s="32">
        <f t="shared" si="8"/>
        <v>476</v>
      </c>
      <c r="O8" s="85">
        <v>0.8</v>
      </c>
      <c r="P8" s="86">
        <v>0.8</v>
      </c>
      <c r="Q8" s="85">
        <v>0.2</v>
      </c>
      <c r="R8" s="86">
        <v>0.33</v>
      </c>
      <c r="S8" s="38">
        <f t="shared" si="9"/>
        <v>4265</v>
      </c>
      <c r="T8" s="123"/>
      <c r="U8" s="32">
        <f t="shared" si="10"/>
        <v>100</v>
      </c>
      <c r="V8" s="41">
        <v>40000</v>
      </c>
      <c r="W8" s="32">
        <f t="shared" si="1"/>
        <v>0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49</v>
      </c>
      <c r="AD8" s="18">
        <v>91</v>
      </c>
    </row>
    <row r="9" spans="1:30" ht="20.65" customHeight="1" x14ac:dyDescent="0.2">
      <c r="A9" s="19">
        <v>46030</v>
      </c>
      <c r="B9" s="10">
        <v>1553131</v>
      </c>
      <c r="C9" s="14">
        <f t="shared" si="2"/>
        <v>3900</v>
      </c>
      <c r="D9" s="11">
        <v>1012760</v>
      </c>
      <c r="E9" s="14">
        <f t="shared" si="3"/>
        <v>351</v>
      </c>
      <c r="F9" s="27">
        <v>1704</v>
      </c>
      <c r="G9" s="67">
        <f t="shared" si="4"/>
        <v>0</v>
      </c>
      <c r="H9" s="69">
        <f t="shared" si="5"/>
        <v>4251</v>
      </c>
      <c r="I9" s="73">
        <f t="shared" si="6"/>
        <v>-41779.99</v>
      </c>
      <c r="J9" s="32">
        <f t="shared" si="0"/>
        <v>185.02999999999884</v>
      </c>
      <c r="K9" s="20">
        <f t="shared" si="7"/>
        <v>46030</v>
      </c>
      <c r="L9" s="33">
        <v>8440</v>
      </c>
      <c r="M9" s="31">
        <v>0</v>
      </c>
      <c r="N9" s="32">
        <f t="shared" si="8"/>
        <v>458</v>
      </c>
      <c r="O9" s="85">
        <v>0.79</v>
      </c>
      <c r="P9" s="86">
        <v>0.77</v>
      </c>
      <c r="Q9" s="85">
        <v>0.2</v>
      </c>
      <c r="R9" s="86">
        <v>0.33</v>
      </c>
      <c r="S9" s="38">
        <f t="shared" si="9"/>
        <v>4165</v>
      </c>
      <c r="T9" s="123"/>
      <c r="U9" s="32">
        <f t="shared" si="10"/>
        <v>100</v>
      </c>
      <c r="V9" s="41">
        <v>40000</v>
      </c>
      <c r="W9" s="32">
        <f t="shared" si="1"/>
        <v>0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50</v>
      </c>
      <c r="AD9" s="18">
        <v>88</v>
      </c>
    </row>
    <row r="10" spans="1:30" ht="20.65" customHeight="1" x14ac:dyDescent="0.2">
      <c r="A10" s="19">
        <v>46031</v>
      </c>
      <c r="B10" s="10">
        <v>1557031</v>
      </c>
      <c r="C10" s="14">
        <f t="shared" si="2"/>
        <v>3998</v>
      </c>
      <c r="D10" s="11">
        <v>1013111</v>
      </c>
      <c r="E10" s="14">
        <f t="shared" si="3"/>
        <v>439</v>
      </c>
      <c r="F10" s="27">
        <v>1704</v>
      </c>
      <c r="G10" s="67">
        <f t="shared" si="4"/>
        <v>0</v>
      </c>
      <c r="H10" s="69">
        <f t="shared" si="5"/>
        <v>4437</v>
      </c>
      <c r="I10" s="73">
        <f t="shared" si="6"/>
        <v>-41594.959999999999</v>
      </c>
      <c r="J10" s="32">
        <f t="shared" si="0"/>
        <v>-283.97999999999593</v>
      </c>
      <c r="K10" s="20">
        <f t="shared" si="7"/>
        <v>46031</v>
      </c>
      <c r="L10" s="33">
        <v>7982</v>
      </c>
      <c r="M10" s="31">
        <v>0</v>
      </c>
      <c r="N10" s="32">
        <f t="shared" si="8"/>
        <v>547</v>
      </c>
      <c r="O10" s="85">
        <v>0.76</v>
      </c>
      <c r="P10" s="86">
        <v>0.76</v>
      </c>
      <c r="Q10" s="85">
        <v>0.2</v>
      </c>
      <c r="R10" s="86">
        <v>0.33</v>
      </c>
      <c r="S10" s="38">
        <f t="shared" si="9"/>
        <v>4065</v>
      </c>
      <c r="T10" s="123"/>
      <c r="U10" s="32">
        <f t="shared" si="10"/>
        <v>100</v>
      </c>
      <c r="V10" s="41">
        <v>40000</v>
      </c>
      <c r="W10" s="32">
        <f t="shared" si="1"/>
        <v>0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59</v>
      </c>
      <c r="AD10" s="18">
        <v>107</v>
      </c>
    </row>
    <row r="11" spans="1:30" ht="20.65" customHeight="1" x14ac:dyDescent="0.2">
      <c r="A11" s="19">
        <v>46032</v>
      </c>
      <c r="B11" s="10">
        <v>1561029</v>
      </c>
      <c r="C11" s="14">
        <f t="shared" si="2"/>
        <v>3812</v>
      </c>
      <c r="D11" s="11">
        <v>1013550</v>
      </c>
      <c r="E11" s="14">
        <f t="shared" si="3"/>
        <v>342</v>
      </c>
      <c r="F11" s="27">
        <v>1704</v>
      </c>
      <c r="G11" s="67">
        <f t="shared" si="4"/>
        <v>0</v>
      </c>
      <c r="H11" s="69">
        <f t="shared" si="5"/>
        <v>4154</v>
      </c>
      <c r="I11" s="73">
        <f t="shared" si="6"/>
        <v>-41878.939999999995</v>
      </c>
      <c r="J11" s="32">
        <f t="shared" si="0"/>
        <v>-99.990000000005239</v>
      </c>
      <c r="K11" s="20">
        <f t="shared" si="7"/>
        <v>46032</v>
      </c>
      <c r="L11" s="33">
        <v>7435</v>
      </c>
      <c r="M11" s="31">
        <v>0</v>
      </c>
      <c r="N11" s="32">
        <f t="shared" si="8"/>
        <v>475</v>
      </c>
      <c r="O11" s="85">
        <v>0.74</v>
      </c>
      <c r="P11" s="86">
        <v>0.74</v>
      </c>
      <c r="Q11" s="85">
        <v>0.2</v>
      </c>
      <c r="R11" s="86">
        <v>0.33</v>
      </c>
      <c r="S11" s="38">
        <f t="shared" si="9"/>
        <v>3965</v>
      </c>
      <c r="T11" s="123"/>
      <c r="U11" s="32">
        <f t="shared" si="10"/>
        <v>50</v>
      </c>
      <c r="V11" s="41">
        <v>40000</v>
      </c>
      <c r="W11" s="32">
        <f t="shared" si="1"/>
        <v>0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53</v>
      </c>
      <c r="AD11" s="18">
        <v>89</v>
      </c>
    </row>
    <row r="12" spans="1:30" ht="21.4" customHeight="1" x14ac:dyDescent="0.2">
      <c r="A12" s="19">
        <v>46033</v>
      </c>
      <c r="B12" s="10">
        <v>1564841</v>
      </c>
      <c r="C12" s="14">
        <f t="shared" si="2"/>
        <v>3403</v>
      </c>
      <c r="D12" s="11">
        <v>1013892</v>
      </c>
      <c r="E12" s="14">
        <f t="shared" si="3"/>
        <v>652</v>
      </c>
      <c r="F12" s="27">
        <v>1704</v>
      </c>
      <c r="G12" s="67">
        <f t="shared" si="4"/>
        <v>0</v>
      </c>
      <c r="H12" s="69">
        <f t="shared" si="5"/>
        <v>4055</v>
      </c>
      <c r="I12" s="73">
        <f t="shared" si="6"/>
        <v>-41978.93</v>
      </c>
      <c r="J12" s="32">
        <f t="shared" si="0"/>
        <v>-4055.989999999998</v>
      </c>
      <c r="K12" s="20">
        <f t="shared" si="7"/>
        <v>46033</v>
      </c>
      <c r="L12" s="33">
        <v>6960</v>
      </c>
      <c r="M12" s="31">
        <v>0</v>
      </c>
      <c r="N12" s="32">
        <f t="shared" si="8"/>
        <v>498</v>
      </c>
      <c r="O12" s="85">
        <v>0.73</v>
      </c>
      <c r="P12" s="86">
        <v>0.73</v>
      </c>
      <c r="Q12" s="85">
        <v>0.2</v>
      </c>
      <c r="R12" s="86">
        <v>0.33</v>
      </c>
      <c r="S12" s="38">
        <f t="shared" si="9"/>
        <v>3915</v>
      </c>
      <c r="T12" s="123"/>
      <c r="U12" s="32">
        <f t="shared" si="10"/>
        <v>25</v>
      </c>
      <c r="V12" s="41">
        <v>40000</v>
      </c>
      <c r="W12" s="32">
        <f t="shared" si="1"/>
        <v>0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54</v>
      </c>
      <c r="AD12" s="18">
        <v>70</v>
      </c>
    </row>
    <row r="13" spans="1:30" ht="20.65" customHeight="1" x14ac:dyDescent="0.2">
      <c r="A13" s="19">
        <v>46034</v>
      </c>
      <c r="B13" s="10">
        <v>1568244</v>
      </c>
      <c r="C13" s="14" t="str">
        <f t="shared" si="2"/>
        <v>0</v>
      </c>
      <c r="D13" s="11">
        <v>1014544</v>
      </c>
      <c r="E13" s="14" t="str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-46034.92</v>
      </c>
      <c r="J13" s="32">
        <f t="shared" si="0"/>
        <v>-8.000000000174623E-2</v>
      </c>
      <c r="K13" s="20">
        <f t="shared" si="7"/>
        <v>46034</v>
      </c>
      <c r="L13" s="33">
        <v>6462</v>
      </c>
      <c r="M13" s="31">
        <v>0</v>
      </c>
      <c r="N13" s="32" t="str">
        <f t="shared" si="8"/>
        <v>0</v>
      </c>
      <c r="O13" s="85">
        <v>0.72</v>
      </c>
      <c r="P13" s="86">
        <v>0.73</v>
      </c>
      <c r="Q13" s="85">
        <v>0.2</v>
      </c>
      <c r="R13" s="86">
        <v>0.33</v>
      </c>
      <c r="S13" s="38">
        <f t="shared" si="9"/>
        <v>3890</v>
      </c>
      <c r="T13" s="123"/>
      <c r="U13" s="32" t="str">
        <f t="shared" si="10"/>
        <v>0</v>
      </c>
      <c r="V13" s="41">
        <v>40000</v>
      </c>
      <c r="W13" s="32" t="str">
        <f t="shared" si="1"/>
        <v>0</v>
      </c>
      <c r="X13" s="43">
        <v>61265</v>
      </c>
      <c r="Y13" s="14" t="str">
        <f t="shared" si="11"/>
        <v>0</v>
      </c>
      <c r="Z13" s="47">
        <v>2405</v>
      </c>
      <c r="AA13" s="52"/>
      <c r="AB13" s="32" t="str">
        <f t="shared" si="12"/>
        <v>0</v>
      </c>
      <c r="AC13" s="13">
        <v>81</v>
      </c>
      <c r="AD13" s="18">
        <v>97</v>
      </c>
    </row>
    <row r="14" spans="1:30" ht="20.65" customHeight="1" x14ac:dyDescent="0.2">
      <c r="A14" s="19">
        <v>46035</v>
      </c>
      <c r="B14" s="10"/>
      <c r="C14" s="14">
        <f t="shared" si="2"/>
        <v>0</v>
      </c>
      <c r="D14" s="11"/>
      <c r="E14" s="14">
        <f t="shared" ref="E14:E32" si="13">IF((D15-D14)&lt;0,"0",D15-D14)</f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-46035</v>
      </c>
      <c r="J14" s="32">
        <f t="shared" si="0"/>
        <v>-1</v>
      </c>
      <c r="K14" s="20">
        <f t="shared" si="7"/>
        <v>46035</v>
      </c>
      <c r="L14" s="33"/>
      <c r="M14" s="31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46036</v>
      </c>
      <c r="B15" s="10"/>
      <c r="C15" s="14">
        <f t="shared" si="2"/>
        <v>0</v>
      </c>
      <c r="D15" s="11"/>
      <c r="E15" s="14">
        <f t="shared" si="1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-46036</v>
      </c>
      <c r="J15" s="32">
        <f t="shared" si="0"/>
        <v>-1</v>
      </c>
      <c r="K15" s="20">
        <f t="shared" si="7"/>
        <v>46036</v>
      </c>
      <c r="L15" s="33"/>
      <c r="M15" s="31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46037</v>
      </c>
      <c r="B16" s="10"/>
      <c r="C16" s="14">
        <f t="shared" si="2"/>
        <v>0</v>
      </c>
      <c r="D16" s="11"/>
      <c r="E16" s="14">
        <f t="shared" si="1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-46037</v>
      </c>
      <c r="J16" s="32">
        <f t="shared" si="0"/>
        <v>-1</v>
      </c>
      <c r="K16" s="20">
        <f t="shared" si="7"/>
        <v>46037</v>
      </c>
      <c r="L16" s="33"/>
      <c r="M16" s="31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46038</v>
      </c>
      <c r="B17" s="10"/>
      <c r="C17" s="14">
        <f t="shared" si="2"/>
        <v>0</v>
      </c>
      <c r="D17" s="11"/>
      <c r="E17" s="14">
        <f t="shared" si="1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-46038</v>
      </c>
      <c r="J17" s="32">
        <f t="shared" si="0"/>
        <v>-1</v>
      </c>
      <c r="K17" s="20">
        <f t="shared" si="7"/>
        <v>46038</v>
      </c>
      <c r="L17" s="33"/>
      <c r="M17" s="31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46039</v>
      </c>
      <c r="B18" s="10"/>
      <c r="C18" s="14">
        <f t="shared" si="2"/>
        <v>0</v>
      </c>
      <c r="D18" s="11"/>
      <c r="E18" s="14">
        <f t="shared" si="1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-46039</v>
      </c>
      <c r="J18" s="32">
        <f t="shared" si="0"/>
        <v>-1</v>
      </c>
      <c r="K18" s="20">
        <f t="shared" si="7"/>
        <v>46039</v>
      </c>
      <c r="L18" s="33"/>
      <c r="M18" s="31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46040</v>
      </c>
      <c r="B19" s="10"/>
      <c r="C19" s="14">
        <f t="shared" si="2"/>
        <v>0</v>
      </c>
      <c r="D19" s="11"/>
      <c r="E19" s="14">
        <f t="shared" si="1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-46040</v>
      </c>
      <c r="J19" s="32">
        <f t="shared" si="0"/>
        <v>-1</v>
      </c>
      <c r="K19" s="20">
        <f t="shared" si="7"/>
        <v>46040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46041</v>
      </c>
      <c r="B20" s="10"/>
      <c r="C20" s="14">
        <f t="shared" si="2"/>
        <v>0</v>
      </c>
      <c r="D20" s="11"/>
      <c r="E20" s="14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-46041</v>
      </c>
      <c r="J20" s="32">
        <f t="shared" si="0"/>
        <v>-1</v>
      </c>
      <c r="K20" s="20">
        <f t="shared" si="7"/>
        <v>46041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46042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-46042</v>
      </c>
      <c r="J21" s="32">
        <f t="shared" si="0"/>
        <v>-1</v>
      </c>
      <c r="K21" s="20">
        <f t="shared" si="7"/>
        <v>46042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46043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-46043</v>
      </c>
      <c r="J22" s="32">
        <f t="shared" si="0"/>
        <v>-1</v>
      </c>
      <c r="K22" s="20">
        <f t="shared" si="7"/>
        <v>46043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46044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-46044</v>
      </c>
      <c r="J23" s="32">
        <f t="shared" si="0"/>
        <v>-1</v>
      </c>
      <c r="K23" s="20">
        <f t="shared" si="7"/>
        <v>46044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46045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-46045</v>
      </c>
      <c r="J24" s="32">
        <f t="shared" si="0"/>
        <v>-1</v>
      </c>
      <c r="K24" s="20">
        <f t="shared" si="7"/>
        <v>46045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46046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-46046</v>
      </c>
      <c r="J25" s="32">
        <f t="shared" si="0"/>
        <v>-1</v>
      </c>
      <c r="K25" s="20">
        <f t="shared" si="7"/>
        <v>46046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46047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-46047</v>
      </c>
      <c r="J26" s="32">
        <f t="shared" si="0"/>
        <v>-1</v>
      </c>
      <c r="K26" s="20">
        <f t="shared" si="7"/>
        <v>46047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46048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-46048</v>
      </c>
      <c r="J27" s="32">
        <f t="shared" si="0"/>
        <v>-1</v>
      </c>
      <c r="K27" s="20">
        <f t="shared" si="7"/>
        <v>46048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46049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-46049</v>
      </c>
      <c r="J28" s="32">
        <f t="shared" si="0"/>
        <v>-1</v>
      </c>
      <c r="K28" s="20">
        <f t="shared" si="7"/>
        <v>46049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46050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-46050</v>
      </c>
      <c r="J29" s="32">
        <f t="shared" si="0"/>
        <v>-1</v>
      </c>
      <c r="K29" s="20">
        <f t="shared" si="7"/>
        <v>46050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46051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-46051</v>
      </c>
      <c r="J30" s="32">
        <f>I32-I30</f>
        <v>-2</v>
      </c>
      <c r="K30" s="20">
        <f t="shared" si="7"/>
        <v>46051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46052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-46052</v>
      </c>
      <c r="J31" s="32">
        <f t="shared" ref="J31" si="14">I32-I31</f>
        <v>-1</v>
      </c>
      <c r="K31" s="20">
        <f t="shared" ref="K31" si="15">A31</f>
        <v>46052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:AB32" si="17">IF((Z31-Z33+AA31)=Z31,"0",(Z31-Z33+AA31))</f>
        <v>0</v>
      </c>
      <c r="AC31" s="13"/>
      <c r="AD31" s="18"/>
    </row>
    <row r="32" spans="1:30" ht="20.65" customHeight="1" thickBot="1" x14ac:dyDescent="0.25">
      <c r="A32" s="19">
        <v>46053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-46053</v>
      </c>
      <c r="J32" s="32">
        <f t="shared" si="0"/>
        <v>46053</v>
      </c>
      <c r="K32" s="20">
        <f t="shared" si="7"/>
        <v>46053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7"/>
        <v>0</v>
      </c>
      <c r="AC32" s="13"/>
      <c r="AD32" s="18"/>
    </row>
    <row r="33" spans="1:30" ht="20.65" customHeight="1" thickTop="1" thickBot="1" x14ac:dyDescent="0.25">
      <c r="A33" s="19">
        <v>46054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46054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42983</v>
      </c>
      <c r="D34" s="77"/>
      <c r="E34" s="76">
        <f>SUM(E2:E33)</f>
        <v>5509</v>
      </c>
      <c r="F34" s="78"/>
      <c r="G34" s="76">
        <f>SUM(G2:G33)</f>
        <v>0</v>
      </c>
      <c r="H34" s="77">
        <f>SUM(H2:H33)</f>
        <v>48492</v>
      </c>
      <c r="I34" s="76">
        <f>SUM(I2:I32)</f>
        <v>-1386696.85</v>
      </c>
      <c r="J34" s="76">
        <f>SUM(J2:J33)</f>
        <v>40700.949999999997</v>
      </c>
      <c r="K34" s="75"/>
      <c r="L34" s="77"/>
      <c r="M34" s="77"/>
      <c r="N34" s="76">
        <f>SUM(N2:N33)</f>
        <v>6419</v>
      </c>
      <c r="O34" s="75"/>
      <c r="P34" s="75"/>
      <c r="Q34" s="75"/>
      <c r="R34" s="75"/>
      <c r="S34" s="75"/>
      <c r="T34" s="77">
        <f>SUM(T2:T33)</f>
        <v>1294</v>
      </c>
      <c r="U34" s="76">
        <f>SUM(U2:U33)</f>
        <v>904</v>
      </c>
      <c r="V34" s="75"/>
      <c r="W34" s="76">
        <f>SUM(W2:W33)</f>
        <v>76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950</v>
      </c>
      <c r="AD34" s="80">
        <f>SUM(AD2:AD33)</f>
        <v>1734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Janauary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2026-01-12T07:03:44Z</dcterms:modified>
  <cp:category/>
  <cp:contentStatus/>
</cp:coreProperties>
</file>