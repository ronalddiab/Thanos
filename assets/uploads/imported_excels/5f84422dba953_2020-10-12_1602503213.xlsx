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 l="1"/>
  <c r="Y39" i="3" l="1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0" i="3"/>
  <c r="Q33" i="3"/>
  <c r="H26" i="2"/>
  <c r="G26" i="1" s="1"/>
  <c r="Q35" i="3"/>
  <c r="H28" i="2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39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39" i="3"/>
  <c r="I9" i="3"/>
  <c r="T39" i="3"/>
  <c r="V9" i="3"/>
  <c r="I17" i="3"/>
  <c r="K17" i="3" s="1"/>
  <c r="G39" i="3"/>
  <c r="I18" i="3"/>
  <c r="K18" i="3" s="1"/>
  <c r="Q21" i="3"/>
  <c r="I26" i="3"/>
  <c r="K26" i="3" s="1"/>
  <c r="R17" i="3"/>
  <c r="O39" i="3"/>
  <c r="K6" i="3"/>
  <c r="X6" i="3" s="1"/>
  <c r="Z6" i="3" s="1"/>
  <c r="J6" i="3"/>
  <c r="M39" i="3"/>
  <c r="Q9" i="3"/>
  <c r="Q17" i="3"/>
  <c r="I20" i="3"/>
  <c r="K20" i="3" s="1"/>
  <c r="Q23" i="3"/>
  <c r="G28" i="1" l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39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39" i="3"/>
  <c r="X19" i="3"/>
  <c r="Z19" i="3" s="1"/>
  <c r="X17" i="3"/>
  <c r="Z17" i="3" s="1"/>
  <c r="X37" i="3"/>
  <c r="Z37" i="3" s="1"/>
  <c r="X33" i="3"/>
  <c r="Z33" i="3" s="1"/>
  <c r="X18" i="3"/>
  <c r="Z18" i="3" s="1"/>
  <c r="Q39" i="3"/>
  <c r="K9" i="3"/>
  <c r="I39" i="3"/>
  <c r="K39" i="3" l="1"/>
  <c r="X9" i="3"/>
  <c r="Z9" i="3" l="1"/>
  <c r="Z39" i="3" s="1"/>
  <c r="X39" i="3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<sst xmlns="http://schemas.openxmlformats.org/spreadsheetml/2006/main" count="307" uniqueCount="123">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</sst>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F33" sqref="F33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10</v>
      </c>
      <c r="D2" s="7">
        <v>2020</v>
      </c>
      <c r="E2" s="9">
        <f>submetering!E2+submetering!F2+submetering!G2</f>
        <v>10072</v>
      </c>
      <c r="F2" s="7">
        <v>0.251</v>
      </c>
      <c r="G2" s="9">
        <f>submetering!H2+submetering!I2</f>
        <v>704</v>
      </c>
      <c r="H2" s="7">
        <v>0.57181599999999999</v>
      </c>
      <c r="I2" s="9">
        <f>HOTEL!U9</f>
        <v>399</v>
      </c>
      <c r="J2" s="7">
        <v>2.855</v>
      </c>
      <c r="K2" s="7">
        <f>HOTEL!Y9</f>
        <v>24</v>
      </c>
    </row>
    <row r="3" spans="1:11" s="12" customFormat="1" x14ac:dyDescent="0.25">
      <c r="A3" s="7" t="s">
        <v>11</v>
      </c>
      <c r="B3" s="11">
        <f>B2+1</f>
        <v>2</v>
      </c>
      <c r="C3" s="8">
        <v>10</v>
      </c>
      <c r="D3" s="7">
        <v>2020</v>
      </c>
      <c r="E3" s="9">
        <f>submetering!E3+submetering!F3+submetering!G3</f>
        <v>9438</v>
      </c>
      <c r="F3" s="7">
        <v>0.251</v>
      </c>
      <c r="G3" s="9">
        <f>submetering!H3+submetering!I3</f>
        <v>1036</v>
      </c>
      <c r="H3" s="7">
        <v>0.57181599999999999</v>
      </c>
      <c r="I3" s="9">
        <f>HOTEL!U10</f>
        <v>440</v>
      </c>
      <c r="J3" s="7">
        <v>2.855</v>
      </c>
      <c r="K3" s="7">
        <f>HOTEL!Y10</f>
        <v>30</v>
      </c>
    </row>
    <row r="4" spans="1:11" s="12" customFormat="1" x14ac:dyDescent="0.25">
      <c r="A4" s="7" t="s">
        <v>11</v>
      </c>
      <c r="B4" s="11">
        <f t="shared" ref="B4:B31" si="0">B3+1</f>
        <v>3</v>
      </c>
      <c r="C4" s="8">
        <v>10</v>
      </c>
      <c r="D4" s="7">
        <v>2020</v>
      </c>
      <c r="E4" s="9">
        <f>submetering!E4+submetering!F4+submetering!G4</f>
        <v>10437</v>
      </c>
      <c r="F4" s="7">
        <v>0.251</v>
      </c>
      <c r="G4" s="9">
        <f>submetering!H4+submetering!I4</f>
        <v>943</v>
      </c>
      <c r="H4" s="7">
        <v>0.57181599999999999</v>
      </c>
      <c r="I4" s="9">
        <f>HOTEL!U11</f>
        <v>411</v>
      </c>
      <c r="J4" s="7">
        <v>2.855</v>
      </c>
      <c r="K4" s="7">
        <f>HOTEL!Y11</f>
        <v>33</v>
      </c>
    </row>
    <row r="5" spans="1:11" s="12" customFormat="1" x14ac:dyDescent="0.25">
      <c r="A5" s="7" t="s">
        <v>11</v>
      </c>
      <c r="B5" s="11">
        <f t="shared" si="0"/>
        <v>4</v>
      </c>
      <c r="C5" s="8">
        <v>10</v>
      </c>
      <c r="D5" s="7">
        <v>2020</v>
      </c>
      <c r="E5" s="9">
        <f>submetering!E5+submetering!F5+submetering!G5</f>
        <v>10724</v>
      </c>
      <c r="F5" s="7">
        <v>0.251</v>
      </c>
      <c r="G5" s="9">
        <f>submetering!H5+submetering!I5</f>
        <v>1046</v>
      </c>
      <c r="H5" s="7">
        <v>0.57181599999999999</v>
      </c>
      <c r="I5" s="9">
        <f>HOTEL!U12</f>
        <v>543</v>
      </c>
      <c r="J5" s="7">
        <v>2.855</v>
      </c>
      <c r="K5" s="7">
        <f>HOTEL!Y12</f>
        <v>33</v>
      </c>
    </row>
    <row r="6" spans="1:11" s="12" customFormat="1" x14ac:dyDescent="0.25">
      <c r="A6" s="7" t="s">
        <v>11</v>
      </c>
      <c r="B6" s="11">
        <f t="shared" si="0"/>
        <v>5</v>
      </c>
      <c r="C6" s="8">
        <v>10</v>
      </c>
      <c r="D6" s="7">
        <v>2020</v>
      </c>
      <c r="E6" s="9">
        <f>submetering!E6+submetering!F6+submetering!G6</f>
        <v>9468</v>
      </c>
      <c r="F6" s="7">
        <v>0.251</v>
      </c>
      <c r="G6" s="9">
        <f>submetering!H6+submetering!I6</f>
        <v>1033</v>
      </c>
      <c r="H6" s="7">
        <v>0.57181599999999999</v>
      </c>
      <c r="I6" s="9">
        <f>HOTEL!U13</f>
        <v>405</v>
      </c>
      <c r="J6" s="7">
        <v>2.855</v>
      </c>
      <c r="K6" s="7">
        <f>HOTEL!Y13</f>
        <v>24</v>
      </c>
    </row>
    <row r="7" spans="1:11" s="12" customFormat="1" x14ac:dyDescent="0.25">
      <c r="A7" s="7" t="s">
        <v>11</v>
      </c>
      <c r="B7" s="11">
        <f t="shared" si="0"/>
        <v>6</v>
      </c>
      <c r="C7" s="8">
        <v>10</v>
      </c>
      <c r="D7" s="7">
        <v>2020</v>
      </c>
      <c r="E7" s="9">
        <f>submetering!E7+submetering!F7+submetering!G7</f>
        <v>9205</v>
      </c>
      <c r="F7" s="7">
        <v>0.251</v>
      </c>
      <c r="G7" s="9">
        <f>submetering!H7+submetering!I7</f>
        <v>955</v>
      </c>
      <c r="H7" s="7">
        <v>0.57181599999999999</v>
      </c>
      <c r="I7" s="9">
        <f>HOTEL!U14</f>
        <v>699</v>
      </c>
      <c r="J7" s="7">
        <v>2.855</v>
      </c>
      <c r="K7" s="7">
        <f>HOTEL!Y14</f>
        <v>21</v>
      </c>
    </row>
    <row r="8" spans="1:11" s="12" customFormat="1" x14ac:dyDescent="0.25">
      <c r="A8" s="7" t="s">
        <v>11</v>
      </c>
      <c r="B8" s="11">
        <f t="shared" si="0"/>
        <v>7</v>
      </c>
      <c r="C8" s="8">
        <v>10</v>
      </c>
      <c r="D8" s="7">
        <v>2020</v>
      </c>
      <c r="E8" s="9">
        <f>submetering!E8+submetering!F8+submetering!G8</f>
        <v>8563</v>
      </c>
      <c r="F8" s="7">
        <v>0.251</v>
      </c>
      <c r="G8" s="9">
        <f>submetering!H8+submetering!I8</f>
        <v>963</v>
      </c>
      <c r="H8" s="7">
        <v>0.57181599999999999</v>
      </c>
      <c r="I8" s="9">
        <f>HOTEL!U15</f>
        <v>314</v>
      </c>
      <c r="J8" s="7">
        <v>2.855</v>
      </c>
      <c r="K8" s="7">
        <f>HOTEL!Y15</f>
        <v>20</v>
      </c>
    </row>
    <row r="9" spans="1:11" s="12" customFormat="1" x14ac:dyDescent="0.25">
      <c r="A9" s="7" t="s">
        <v>11</v>
      </c>
      <c r="B9" s="11">
        <f t="shared" si="0"/>
        <v>8</v>
      </c>
      <c r="C9" s="8">
        <v>10</v>
      </c>
      <c r="D9" s="7">
        <v>2020</v>
      </c>
      <c r="E9" s="9">
        <f>submetering!E9+submetering!F9+submetering!G9</f>
        <v>8301</v>
      </c>
      <c r="F9" s="7">
        <v>0.251</v>
      </c>
      <c r="G9" s="9">
        <f>submetering!H9+submetering!I9</f>
        <v>1038</v>
      </c>
      <c r="H9" s="7">
        <v>0.57181599999999999</v>
      </c>
      <c r="I9" s="9">
        <f>HOTEL!U16</f>
        <v>368</v>
      </c>
      <c r="J9" s="7">
        <v>2.855</v>
      </c>
      <c r="K9" s="7">
        <f>HOTEL!Y16</f>
        <v>21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10</v>
      </c>
      <c r="D10" s="7">
        <v>2020</v>
      </c>
      <c r="E10" s="9">
        <f>submetering!E10+submetering!F10+submetering!G10</f>
        <v>7717</v>
      </c>
      <c r="F10" s="7">
        <v>0.251</v>
      </c>
      <c r="G10" s="9">
        <f>submetering!H10+submetering!I10</f>
        <v>949</v>
      </c>
      <c r="H10" s="7">
        <v>0.57181599999999999</v>
      </c>
      <c r="I10" s="9">
        <f>HOTEL!U17</f>
        <v>309</v>
      </c>
      <c r="J10" s="7">
        <v>2.855</v>
      </c>
      <c r="K10" s="7">
        <f>HOTEL!Y17</f>
        <v>21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10</v>
      </c>
      <c r="D11" s="7">
        <v>2020</v>
      </c>
      <c r="E11" s="9">
        <f>submetering!E11+submetering!F11+submetering!G11</f>
        <v>8247</v>
      </c>
      <c r="F11" s="7">
        <v>0.251</v>
      </c>
      <c r="G11" s="9">
        <f>submetering!H11+submetering!I11</f>
        <v>907</v>
      </c>
      <c r="H11" s="7">
        <v>0.57181599999999999</v>
      </c>
      <c r="I11" s="9">
        <f>HOTEL!U18</f>
        <v>359</v>
      </c>
      <c r="J11" s="7">
        <v>2.855</v>
      </c>
      <c r="K11" s="7">
        <f>HOTEL!Y18</f>
        <v>26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10</v>
      </c>
      <c r="D12" s="7">
        <v>2020</v>
      </c>
      <c r="E12" s="9">
        <f>submetering!E12+submetering!F12+submetering!G12</f>
        <v>0</v>
      </c>
      <c r="F12" s="7">
        <v>0.251</v>
      </c>
      <c r="G12" s="9">
        <f>submetering!H12+submetering!I12</f>
        <v>0</v>
      </c>
      <c r="H12" s="7">
        <v>0.57181599999999999</v>
      </c>
      <c r="I12" s="9" t="str">
        <f>HOTEL!U19</f>
        <v>0</v>
      </c>
      <c r="J12" s="7">
        <v>2.855</v>
      </c>
      <c r="K12" s="7">
        <f>HOTEL!Y19</f>
        <v>0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10</v>
      </c>
      <c r="D13" s="7">
        <v>2020</v>
      </c>
      <c r="E13" s="9">
        <f>submetering!E13+submetering!F13+submetering!G13</f>
        <v>0</v>
      </c>
      <c r="F13" s="7">
        <v>0.251</v>
      </c>
      <c r="G13" s="9">
        <f>submetering!H13+submetering!I13</f>
        <v>0</v>
      </c>
      <c r="H13" s="7">
        <v>0.57181599999999999</v>
      </c>
      <c r="I13" s="9">
        <f>HOTEL!U20</f>
        <v>0</v>
      </c>
      <c r="J13" s="7">
        <v>2.855</v>
      </c>
      <c r="K13" s="7">
        <f>HOTEL!Y20</f>
        <v>0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10</v>
      </c>
      <c r="D14" s="7">
        <v>2020</v>
      </c>
      <c r="E14" s="9">
        <f>submetering!E14+submetering!F14+submetering!G14</f>
        <v>0</v>
      </c>
      <c r="F14" s="7">
        <v>0.251</v>
      </c>
      <c r="G14" s="9">
        <f>submetering!H14+submetering!I14</f>
        <v>0</v>
      </c>
      <c r="H14" s="7">
        <v>0.57181599999999999</v>
      </c>
      <c r="I14" s="9">
        <f>HOTEL!U21</f>
        <v>0</v>
      </c>
      <c r="J14" s="7">
        <v>2.855</v>
      </c>
      <c r="K14" s="7">
        <f>HOTEL!Y21</f>
        <v>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10</v>
      </c>
      <c r="D15" s="7">
        <v>2020</v>
      </c>
      <c r="E15" s="9">
        <f>submetering!E15+submetering!F15+submetering!G15</f>
        <v>0</v>
      </c>
      <c r="F15" s="7">
        <v>0.251</v>
      </c>
      <c r="G15" s="9">
        <f>submetering!H15+submetering!I15</f>
        <v>0</v>
      </c>
      <c r="H15" s="7">
        <v>0.57181599999999999</v>
      </c>
      <c r="I15" s="9">
        <f>HOTEL!U22</f>
        <v>0</v>
      </c>
      <c r="J15" s="7">
        <v>2.855</v>
      </c>
      <c r="K15" s="7">
        <f>HOTEL!Y22</f>
        <v>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10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>
        <f>HOTEL!U23</f>
        <v>0</v>
      </c>
      <c r="J16" s="7">
        <v>2.855</v>
      </c>
      <c r="K16" s="7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10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10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10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10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10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10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10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10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10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10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10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10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10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10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10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E2" sqref="E2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10</v>
      </c>
      <c r="D2" s="13">
        <v>2020</v>
      </c>
      <c r="E2" s="16">
        <f>HOTEL!D9</f>
        <v>3441</v>
      </c>
      <c r="F2" s="16">
        <f>HOTEL!F9</f>
        <v>3426</v>
      </c>
      <c r="G2" s="16">
        <f>HOTEL!H9</f>
        <v>3205</v>
      </c>
      <c r="H2" s="16">
        <f>HOTEL!N9</f>
        <v>100</v>
      </c>
      <c r="I2" s="16">
        <f>HOTEL!P9</f>
        <v>604</v>
      </c>
      <c r="J2" s="16">
        <f>HOTEL!U9</f>
        <v>399</v>
      </c>
      <c r="K2" s="16">
        <f>HOTEL!Y9</f>
        <v>24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10</v>
      </c>
      <c r="D3" s="13">
        <v>2020</v>
      </c>
      <c r="E3" s="16">
        <f>HOTEL!D10</f>
        <v>3225</v>
      </c>
      <c r="F3" s="16">
        <f>HOTEL!F10</f>
        <v>3222</v>
      </c>
      <c r="G3" s="16">
        <f>HOTEL!H10</f>
        <v>2991</v>
      </c>
      <c r="H3" s="16">
        <f>HOTEL!N10</f>
        <v>121</v>
      </c>
      <c r="I3" s="16">
        <f>HOTEL!P10</f>
        <v>915</v>
      </c>
      <c r="J3" s="16">
        <f>HOTEL!U10</f>
        <v>440</v>
      </c>
      <c r="K3" s="16">
        <f>HOTEL!Y10</f>
        <v>30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1" si="0">B3+1</f>
        <v>3</v>
      </c>
      <c r="C4" s="13">
        <v>10</v>
      </c>
      <c r="D4" s="13">
        <v>2020</v>
      </c>
      <c r="E4" s="16">
        <f>HOTEL!D11</f>
        <v>3549</v>
      </c>
      <c r="F4" s="16">
        <f>HOTEL!F11</f>
        <v>3558</v>
      </c>
      <c r="G4" s="16">
        <f>HOTEL!H11</f>
        <v>3330</v>
      </c>
      <c r="H4" s="16">
        <f>HOTEL!N11</f>
        <v>120</v>
      </c>
      <c r="I4" s="16">
        <f>HOTEL!P11</f>
        <v>823</v>
      </c>
      <c r="J4" s="16">
        <f>HOTEL!U11</f>
        <v>411</v>
      </c>
      <c r="K4" s="16">
        <f>HOTEL!Y11</f>
        <v>33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10</v>
      </c>
      <c r="D5" s="13">
        <v>2020</v>
      </c>
      <c r="E5" s="16">
        <f>HOTEL!D12</f>
        <v>3648</v>
      </c>
      <c r="F5" s="16">
        <f>HOTEL!F12</f>
        <v>3651</v>
      </c>
      <c r="G5" s="16">
        <f>HOTEL!H12</f>
        <v>3425</v>
      </c>
      <c r="H5" s="16">
        <f>HOTEL!N12</f>
        <v>130</v>
      </c>
      <c r="I5" s="16">
        <f>HOTEL!P12</f>
        <v>916</v>
      </c>
      <c r="J5" s="16">
        <f>HOTEL!U12</f>
        <v>543</v>
      </c>
      <c r="K5" s="16">
        <f>HOTEL!Y12</f>
        <v>33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10</v>
      </c>
      <c r="D6" s="13">
        <v>2020</v>
      </c>
      <c r="E6" s="16">
        <f>HOTEL!D13</f>
        <v>3231</v>
      </c>
      <c r="F6" s="16">
        <f>HOTEL!F13</f>
        <v>3222</v>
      </c>
      <c r="G6" s="16">
        <f>HOTEL!H13</f>
        <v>3015</v>
      </c>
      <c r="H6" s="16">
        <f>HOTEL!N13</f>
        <v>103</v>
      </c>
      <c r="I6" s="16">
        <f>HOTEL!P13</f>
        <v>930</v>
      </c>
      <c r="J6" s="16">
        <f>HOTEL!U13</f>
        <v>405</v>
      </c>
      <c r="K6" s="16">
        <f>HOTEL!Y13</f>
        <v>24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10</v>
      </c>
      <c r="D7" s="13">
        <v>2020</v>
      </c>
      <c r="E7" s="16">
        <f>HOTEL!D14</f>
        <v>3149</v>
      </c>
      <c r="F7" s="16">
        <f>HOTEL!F14</f>
        <v>3140</v>
      </c>
      <c r="G7" s="16">
        <f>HOTEL!H14</f>
        <v>2916</v>
      </c>
      <c r="H7" s="16">
        <f>HOTEL!N14</f>
        <v>116</v>
      </c>
      <c r="I7" s="16">
        <f>HOTEL!P14</f>
        <v>839</v>
      </c>
      <c r="J7" s="16">
        <f>HOTEL!U14</f>
        <v>699</v>
      </c>
      <c r="K7" s="16">
        <f>HOTEL!Y14</f>
        <v>21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10</v>
      </c>
      <c r="D8" s="13">
        <v>2020</v>
      </c>
      <c r="E8" s="16">
        <f>HOTEL!D15</f>
        <v>2922</v>
      </c>
      <c r="F8" s="16">
        <f>HOTEL!F15</f>
        <v>2930</v>
      </c>
      <c r="G8" s="16">
        <f>HOTEL!H15</f>
        <v>2711</v>
      </c>
      <c r="H8" s="16">
        <f>HOTEL!N15</f>
        <v>140</v>
      </c>
      <c r="I8" s="16">
        <f>HOTEL!P15</f>
        <v>823</v>
      </c>
      <c r="J8" s="16">
        <f>HOTEL!U15</f>
        <v>314</v>
      </c>
      <c r="K8" s="16">
        <f>HOTEL!Y15</f>
        <v>20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10</v>
      </c>
      <c r="D9" s="13">
        <v>2020</v>
      </c>
      <c r="E9" s="16">
        <f>HOTEL!D16</f>
        <v>2837</v>
      </c>
      <c r="F9" s="16">
        <f>HOTEL!F16</f>
        <v>2855</v>
      </c>
      <c r="G9" s="16">
        <f>HOTEL!H16</f>
        <v>2609</v>
      </c>
      <c r="H9" s="16">
        <f>HOTEL!N16</f>
        <v>134</v>
      </c>
      <c r="I9" s="16">
        <f>HOTEL!P16</f>
        <v>904</v>
      </c>
      <c r="J9" s="16">
        <f>HOTEL!U16</f>
        <v>368</v>
      </c>
      <c r="K9" s="16">
        <f>HOTEL!Y16</f>
        <v>21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10</v>
      </c>
      <c r="D10" s="13">
        <v>2020</v>
      </c>
      <c r="E10" s="16">
        <f>HOTEL!D17</f>
        <v>2631</v>
      </c>
      <c r="F10" s="16">
        <f>HOTEL!F17</f>
        <v>2511</v>
      </c>
      <c r="G10" s="16">
        <f>HOTEL!H17</f>
        <v>2575</v>
      </c>
      <c r="H10" s="16">
        <f>HOTEL!N17</f>
        <v>71</v>
      </c>
      <c r="I10" s="16">
        <f>HOTEL!P17</f>
        <v>878</v>
      </c>
      <c r="J10" s="16">
        <f>HOTEL!U17</f>
        <v>309</v>
      </c>
      <c r="K10" s="16">
        <f>HOTEL!Y17</f>
        <v>21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10</v>
      </c>
      <c r="D11" s="13">
        <v>2020</v>
      </c>
      <c r="E11" s="16">
        <f>HOTEL!D18</f>
        <v>2838</v>
      </c>
      <c r="F11" s="16">
        <f>HOTEL!F18</f>
        <v>2952</v>
      </c>
      <c r="G11" s="16">
        <f>HOTEL!H18</f>
        <v>2457</v>
      </c>
      <c r="H11" s="16">
        <f>HOTEL!N18</f>
        <v>99</v>
      </c>
      <c r="I11" s="16">
        <f>HOTEL!P18</f>
        <v>808</v>
      </c>
      <c r="J11" s="16">
        <f>HOTEL!U18</f>
        <v>359</v>
      </c>
      <c r="K11" s="16">
        <f>HOTEL!Y18</f>
        <v>26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10</v>
      </c>
      <c r="D12" s="13">
        <v>2020</v>
      </c>
      <c r="E12" s="16" t="str">
        <f>HOTEL!D19</f>
        <v>0</v>
      </c>
      <c r="F12" s="16" t="str">
        <f>HOTEL!F19</f>
        <v>0</v>
      </c>
      <c r="G12" s="16" t="str">
        <f>HOTEL!H19</f>
        <v>0</v>
      </c>
      <c r="H12" s="16" t="str">
        <f>HOTEL!N19</f>
        <v>0</v>
      </c>
      <c r="I12" s="16" t="str">
        <f>HOTEL!P19</f>
        <v>0</v>
      </c>
      <c r="J12" s="16" t="str">
        <f>HOTEL!U19</f>
        <v>0</v>
      </c>
      <c r="K12" s="16">
        <f>HOTEL!Y19</f>
        <v>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10</v>
      </c>
      <c r="D13" s="13">
        <v>2020</v>
      </c>
      <c r="E13" s="16">
        <f>HOTEL!D20</f>
        <v>0</v>
      </c>
      <c r="F13" s="16">
        <f>HOTEL!F20</f>
        <v>0</v>
      </c>
      <c r="G13" s="16">
        <f>HOTEL!H20</f>
        <v>0</v>
      </c>
      <c r="H13" s="16">
        <f>HOTEL!N20</f>
        <v>0</v>
      </c>
      <c r="I13" s="16">
        <f>HOTEL!P20</f>
        <v>0</v>
      </c>
      <c r="J13" s="16">
        <f>HOTEL!U20</f>
        <v>0</v>
      </c>
      <c r="K13" s="16">
        <f>HOTEL!Y20</f>
        <v>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10</v>
      </c>
      <c r="D14" s="13">
        <v>2020</v>
      </c>
      <c r="E14" s="16">
        <f>HOTEL!D21</f>
        <v>0</v>
      </c>
      <c r="F14" s="16">
        <f>HOTEL!F21</f>
        <v>0</v>
      </c>
      <c r="G14" s="16">
        <f>HOTEL!H21</f>
        <v>0</v>
      </c>
      <c r="H14" s="16">
        <f>HOTEL!N21</f>
        <v>0</v>
      </c>
      <c r="I14" s="16">
        <f>HOTEL!P21</f>
        <v>0</v>
      </c>
      <c r="J14" s="16">
        <f>HOTEL!U21</f>
        <v>0</v>
      </c>
      <c r="K14" s="16">
        <f>HOTEL!Y21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10</v>
      </c>
      <c r="D15" s="13">
        <v>2020</v>
      </c>
      <c r="E15" s="16">
        <f>HOTEL!D22</f>
        <v>0</v>
      </c>
      <c r="F15" s="16">
        <f>HOTEL!F22</f>
        <v>0</v>
      </c>
      <c r="G15" s="16">
        <f>HOTEL!H22</f>
        <v>0</v>
      </c>
      <c r="H15" s="16">
        <f>HOTEL!N22</f>
        <v>0</v>
      </c>
      <c r="I15" s="16">
        <f>HOTEL!P22</f>
        <v>0</v>
      </c>
      <c r="J15" s="16">
        <f>HOTEL!U22</f>
        <v>0</v>
      </c>
      <c r="K15" s="16">
        <f>HOTEL!Y22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10</v>
      </c>
      <c r="D16" s="13">
        <v>2020</v>
      </c>
      <c r="E16" s="16">
        <f>HOTEL!D23</f>
        <v>0</v>
      </c>
      <c r="F16" s="16">
        <f>HOTEL!F23</f>
        <v>0</v>
      </c>
      <c r="G16" s="16">
        <f>HOTEL!H23</f>
        <v>0</v>
      </c>
      <c r="H16" s="16">
        <f>HOTEL!N23</f>
        <v>0</v>
      </c>
      <c r="I16" s="16">
        <f>HOTEL!P23</f>
        <v>0</v>
      </c>
      <c r="J16" s="16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10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10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10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10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10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10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10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10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10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10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10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10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10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10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10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workbookViewId="0">
      <selection activeCell="X31" sqref="X31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3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3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2020</v>
      </c>
      <c r="X3" s="139"/>
      <c r="Y3" s="139"/>
      <c r="Z3" s="140"/>
    </row>
    <row r="4" spans="1:27" x14ac:dyDescent="0.25">
      <c r="A4" s="13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4779999</v>
      </c>
      <c r="D6" s="36"/>
      <c r="E6" s="37">
        <v>4732330</v>
      </c>
      <c r="F6" s="38"/>
      <c r="G6" s="35">
        <v>4481628</v>
      </c>
      <c r="H6" s="39">
        <f>G6-G5</f>
        <v>4481628</v>
      </c>
      <c r="I6" s="40"/>
      <c r="J6" s="41">
        <f>D6+F6+H6</f>
        <v>4481628</v>
      </c>
      <c r="K6" s="41" t="e">
        <f>D6*0.152+F6*0.238+H6*0.115+#REF!*0.218</f>
        <v>#REF!</v>
      </c>
      <c r="L6" s="42"/>
      <c r="M6" s="43">
        <v>110855</v>
      </c>
      <c r="N6" s="39" t="e">
        <f>M6-#REF!</f>
        <v>#REF!</v>
      </c>
      <c r="O6" s="44">
        <v>1889119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215323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9"/>
      <c r="M7" s="144" t="s">
        <v>98</v>
      </c>
      <c r="N7" s="145"/>
      <c r="O7" s="145"/>
      <c r="P7" s="145"/>
      <c r="Q7" s="145"/>
      <c r="R7" s="146"/>
      <c r="S7" s="49"/>
      <c r="T7" s="147" t="s">
        <v>99</v>
      </c>
      <c r="U7" s="147"/>
      <c r="V7" s="148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118</v>
      </c>
      <c r="B9" s="67">
        <v>1</v>
      </c>
      <c r="C9" s="104">
        <v>4783440</v>
      </c>
      <c r="D9" s="69">
        <f>IF((C9-C6&lt;0), "0",C9-C6)</f>
        <v>3441</v>
      </c>
      <c r="E9" s="105">
        <v>4735756</v>
      </c>
      <c r="F9" s="69">
        <f>IF((E9-E6&lt;0), "0",E9-E6)</f>
        <v>3426</v>
      </c>
      <c r="G9" s="88">
        <v>4484833</v>
      </c>
      <c r="H9" s="69">
        <f>IF((G9-G6&lt;0), "0",G9-G6)</f>
        <v>3205</v>
      </c>
      <c r="I9" s="71">
        <f>SUM(H9,F9,D9)</f>
        <v>10072</v>
      </c>
      <c r="J9" s="72">
        <v>0.99</v>
      </c>
      <c r="K9" s="73">
        <f>I9*0.251</f>
        <v>2528.0720000000001</v>
      </c>
      <c r="L9" s="74"/>
      <c r="M9" s="104">
        <v>110955</v>
      </c>
      <c r="N9" s="69">
        <f>IF((M9-M6&lt;0), "0",M9-M6)</f>
        <v>100</v>
      </c>
      <c r="O9" s="104">
        <v>1889723</v>
      </c>
      <c r="P9" s="69">
        <f>IF((O9-O6&lt;0), "0",O9-O6)</f>
        <v>604</v>
      </c>
      <c r="Q9" s="75">
        <f t="shared" ref="Q9:Q38" si="0">N9+P9</f>
        <v>704</v>
      </c>
      <c r="R9" s="76">
        <f>(P9+N9)*0.056*10.211</f>
        <v>402.55846400000001</v>
      </c>
      <c r="S9" s="77"/>
      <c r="T9" s="106">
        <v>215722</v>
      </c>
      <c r="U9" s="69">
        <f>IF((T9-T6&lt;0), "0",T9-T6)</f>
        <v>399</v>
      </c>
      <c r="V9" s="79">
        <f>U9*(1.315+1.54)</f>
        <v>1139.145</v>
      </c>
      <c r="W9" s="80"/>
      <c r="X9" s="81">
        <f t="shared" ref="X9:X38" si="1">K9+R9+V9</f>
        <v>4069.7754640000003</v>
      </c>
      <c r="Y9" s="82">
        <v>24</v>
      </c>
      <c r="Z9" s="83">
        <f>X9/Y9</f>
        <v>169.57397766666668</v>
      </c>
    </row>
    <row r="10" spans="1:27" x14ac:dyDescent="0.25">
      <c r="A10" s="13" t="s">
        <v>119</v>
      </c>
      <c r="B10" s="67">
        <f>B9+1</f>
        <v>2</v>
      </c>
      <c r="C10" s="68">
        <v>4786665</v>
      </c>
      <c r="D10" s="69">
        <f t="shared" ref="D10:D19" si="2">IF((C10-C9&lt;0), "0",C10-C9)</f>
        <v>3225</v>
      </c>
      <c r="E10" s="70">
        <v>4738978</v>
      </c>
      <c r="F10" s="69">
        <f>IF((E10-E9&lt;0), "0",E10-E9)</f>
        <v>3222</v>
      </c>
      <c r="G10" s="70">
        <v>4487824</v>
      </c>
      <c r="H10" s="69">
        <f>IF((G10-G9&lt;0), "0",G10-G9)</f>
        <v>2991</v>
      </c>
      <c r="I10" s="71">
        <f t="shared" ref="I10:I38" si="3">SUM(H10,F10,D10)</f>
        <v>9438</v>
      </c>
      <c r="J10" s="72">
        <v>0.99</v>
      </c>
      <c r="K10" s="73">
        <f t="shared" ref="K10:K38" si="4">I10*0.251</f>
        <v>2368.9380000000001</v>
      </c>
      <c r="L10" s="74"/>
      <c r="M10" s="70">
        <v>111076</v>
      </c>
      <c r="N10" s="69">
        <f>IF((M10-M9&lt;0), "0",M10-M9)</f>
        <v>121</v>
      </c>
      <c r="O10" s="70">
        <v>1890638</v>
      </c>
      <c r="P10" s="69">
        <f>IF((O10-O9&lt;0), "0",O10-O9)</f>
        <v>915</v>
      </c>
      <c r="Q10" s="75">
        <f t="shared" si="0"/>
        <v>1036</v>
      </c>
      <c r="R10" s="76">
        <f t="shared" ref="R10:R38" si="5">(P10+N10)*0.056*10.211</f>
        <v>592.40137600000003</v>
      </c>
      <c r="S10" s="77"/>
      <c r="T10" s="78">
        <v>216162</v>
      </c>
      <c r="U10" s="69">
        <f>IF((T10-T9&lt;0), "0",T10-T9)</f>
        <v>440</v>
      </c>
      <c r="V10" s="79">
        <f t="shared" ref="V10:V38" si="6">U10*(1.315+1.54)</f>
        <v>1256.2</v>
      </c>
      <c r="W10" s="80"/>
      <c r="X10" s="84">
        <f t="shared" si="1"/>
        <v>4217.5393759999997</v>
      </c>
      <c r="Y10" s="85">
        <v>30</v>
      </c>
      <c r="Z10" s="86">
        <f t="shared" ref="Z10:Z38" si="7">X10/Y10</f>
        <v>140.58464586666665</v>
      </c>
    </row>
    <row r="11" spans="1:27" x14ac:dyDescent="0.25">
      <c r="A11" s="13" t="s">
        <v>120</v>
      </c>
      <c r="B11" s="67">
        <f t="shared" ref="B11:B38" si="8">B10+1</f>
        <v>3</v>
      </c>
      <c r="C11" s="68">
        <v>4790214</v>
      </c>
      <c r="D11" s="69">
        <f t="shared" si="2"/>
        <v>3549</v>
      </c>
      <c r="E11" s="68">
        <v>4742536</v>
      </c>
      <c r="F11" s="69">
        <f t="shared" ref="F11:F38" si="9">IF((E11-E10&lt;0), "0",E11-E10)</f>
        <v>3558</v>
      </c>
      <c r="G11" s="70">
        <v>4491154</v>
      </c>
      <c r="H11" s="69">
        <f t="shared" ref="H11:H38" si="10">IF((G11-G10&lt;0), "0",G11-G10)</f>
        <v>3330</v>
      </c>
      <c r="I11" s="71">
        <f t="shared" si="3"/>
        <v>10437</v>
      </c>
      <c r="J11" s="72">
        <v>0.99</v>
      </c>
      <c r="K11" s="73">
        <f t="shared" si="4"/>
        <v>2619.6869999999999</v>
      </c>
      <c r="L11" s="74"/>
      <c r="M11" s="70">
        <v>111196</v>
      </c>
      <c r="N11" s="69">
        <f t="shared" ref="N11:N38" si="11">IF((M11-M10&lt;0), "0",M11-M10)</f>
        <v>120</v>
      </c>
      <c r="O11" s="70">
        <v>1891461</v>
      </c>
      <c r="P11" s="69">
        <f t="shared" ref="P11:P38" si="12">IF((O11-O10&lt;0), "0",O11-O10)</f>
        <v>823</v>
      </c>
      <c r="Q11" s="75">
        <f t="shared" si="0"/>
        <v>943</v>
      </c>
      <c r="R11" s="76">
        <f t="shared" si="5"/>
        <v>539.222488</v>
      </c>
      <c r="S11" s="77"/>
      <c r="T11" s="87">
        <v>216573</v>
      </c>
      <c r="U11" s="69">
        <f t="shared" ref="U11:U38" si="13">IF((T11-T10&lt;0), "0",T11-T10)</f>
        <v>411</v>
      </c>
      <c r="V11" s="79">
        <f t="shared" si="6"/>
        <v>1173.405</v>
      </c>
      <c r="W11" s="80"/>
      <c r="X11" s="84">
        <f t="shared" si="1"/>
        <v>4332.314488</v>
      </c>
      <c r="Y11" s="85">
        <v>33</v>
      </c>
      <c r="Z11" s="86">
        <f t="shared" si="7"/>
        <v>131.28225721212121</v>
      </c>
    </row>
    <row r="12" spans="1:27" x14ac:dyDescent="0.25">
      <c r="A12" s="13" t="s">
        <v>96</v>
      </c>
      <c r="B12" s="67">
        <f t="shared" si="8"/>
        <v>4</v>
      </c>
      <c r="C12" s="68">
        <v>4793862</v>
      </c>
      <c r="D12" s="69">
        <f t="shared" si="2"/>
        <v>3648</v>
      </c>
      <c r="E12" s="68">
        <v>4746187</v>
      </c>
      <c r="F12" s="69">
        <f t="shared" si="9"/>
        <v>3651</v>
      </c>
      <c r="G12" s="70">
        <v>4494579</v>
      </c>
      <c r="H12" s="69">
        <f t="shared" si="10"/>
        <v>3425</v>
      </c>
      <c r="I12" s="71">
        <f t="shared" si="3"/>
        <v>10724</v>
      </c>
      <c r="J12" s="72">
        <v>0.99</v>
      </c>
      <c r="K12" s="73">
        <f t="shared" si="4"/>
        <v>2691.7240000000002</v>
      </c>
      <c r="L12" s="74"/>
      <c r="M12" s="70">
        <v>111326</v>
      </c>
      <c r="N12" s="69">
        <f t="shared" si="11"/>
        <v>130</v>
      </c>
      <c r="O12" s="70">
        <v>1892377</v>
      </c>
      <c r="P12" s="69">
        <f t="shared" si="12"/>
        <v>916</v>
      </c>
      <c r="Q12" s="75">
        <f t="shared" si="0"/>
        <v>1046</v>
      </c>
      <c r="R12" s="76">
        <f t="shared" si="5"/>
        <v>598.11953600000004</v>
      </c>
      <c r="S12" s="77"/>
      <c r="T12" s="78">
        <v>217116</v>
      </c>
      <c r="U12" s="69">
        <f t="shared" si="13"/>
        <v>543</v>
      </c>
      <c r="V12" s="79">
        <f t="shared" si="6"/>
        <v>1550.2650000000001</v>
      </c>
      <c r="W12" s="80"/>
      <c r="X12" s="84">
        <f t="shared" si="1"/>
        <v>4840.1085360000006</v>
      </c>
      <c r="Y12" s="85">
        <v>33</v>
      </c>
      <c r="Z12" s="86">
        <f t="shared" si="7"/>
        <v>146.66995563636365</v>
      </c>
    </row>
    <row r="13" spans="1:27" x14ac:dyDescent="0.25">
      <c r="A13" s="13" t="s">
        <v>121</v>
      </c>
      <c r="B13" s="67">
        <f t="shared" si="8"/>
        <v>5</v>
      </c>
      <c r="C13" s="88">
        <v>4797093</v>
      </c>
      <c r="D13" s="69">
        <f t="shared" si="2"/>
        <v>3231</v>
      </c>
      <c r="E13" s="68">
        <v>4749409</v>
      </c>
      <c r="F13" s="69">
        <f t="shared" si="9"/>
        <v>3222</v>
      </c>
      <c r="G13" s="88">
        <v>4497594</v>
      </c>
      <c r="H13" s="69">
        <f t="shared" si="10"/>
        <v>3015</v>
      </c>
      <c r="I13" s="71">
        <f t="shared" si="3"/>
        <v>9468</v>
      </c>
      <c r="J13" s="72">
        <v>0.99</v>
      </c>
      <c r="K13" s="73">
        <f t="shared" si="4"/>
        <v>2376.4679999999998</v>
      </c>
      <c r="L13" s="74"/>
      <c r="M13" s="70">
        <v>111429</v>
      </c>
      <c r="N13" s="69">
        <f t="shared" si="11"/>
        <v>103</v>
      </c>
      <c r="O13" s="68">
        <v>1893307</v>
      </c>
      <c r="P13" s="69">
        <f t="shared" si="12"/>
        <v>930</v>
      </c>
      <c r="Q13" s="75">
        <f t="shared" si="0"/>
        <v>1033</v>
      </c>
      <c r="R13" s="76">
        <f t="shared" si="5"/>
        <v>590.68592799999999</v>
      </c>
      <c r="S13" s="77"/>
      <c r="T13" s="89">
        <v>217521</v>
      </c>
      <c r="U13" s="69">
        <f t="shared" si="13"/>
        <v>405</v>
      </c>
      <c r="V13" s="79">
        <f t="shared" si="6"/>
        <v>1156.2750000000001</v>
      </c>
      <c r="W13" s="80"/>
      <c r="X13" s="84">
        <f t="shared" si="1"/>
        <v>4123.4289279999994</v>
      </c>
      <c r="Y13" s="85">
        <v>24</v>
      </c>
      <c r="Z13" s="86">
        <f t="shared" si="7"/>
        <v>171.80953866666664</v>
      </c>
    </row>
    <row r="14" spans="1:27" x14ac:dyDescent="0.25">
      <c r="A14" s="13" t="s">
        <v>116</v>
      </c>
      <c r="B14" s="67">
        <f t="shared" si="8"/>
        <v>6</v>
      </c>
      <c r="C14" s="68">
        <v>4800242</v>
      </c>
      <c r="D14" s="69">
        <f t="shared" si="2"/>
        <v>3149</v>
      </c>
      <c r="E14" s="68">
        <v>4752549</v>
      </c>
      <c r="F14" s="69">
        <f t="shared" si="9"/>
        <v>3140</v>
      </c>
      <c r="G14" s="88">
        <v>4500510</v>
      </c>
      <c r="H14" s="69">
        <f t="shared" si="10"/>
        <v>2916</v>
      </c>
      <c r="I14" s="71">
        <f t="shared" si="3"/>
        <v>9205</v>
      </c>
      <c r="J14" s="72">
        <v>0.99</v>
      </c>
      <c r="K14" s="73">
        <f t="shared" si="4"/>
        <v>2310.4549999999999</v>
      </c>
      <c r="L14" s="74"/>
      <c r="M14" s="70">
        <v>111545</v>
      </c>
      <c r="N14" s="69">
        <f t="shared" si="11"/>
        <v>116</v>
      </c>
      <c r="O14" s="68">
        <v>1894146</v>
      </c>
      <c r="P14" s="69">
        <f t="shared" si="12"/>
        <v>839</v>
      </c>
      <c r="Q14" s="75">
        <f t="shared" si="0"/>
        <v>955</v>
      </c>
      <c r="R14" s="76">
        <f t="shared" si="5"/>
        <v>546.08428000000004</v>
      </c>
      <c r="S14" s="77"/>
      <c r="T14" s="89">
        <v>218220</v>
      </c>
      <c r="U14" s="69">
        <f t="shared" si="13"/>
        <v>699</v>
      </c>
      <c r="V14" s="79">
        <f t="shared" si="6"/>
        <v>1995.645</v>
      </c>
      <c r="W14" s="80"/>
      <c r="X14" s="84">
        <f t="shared" si="1"/>
        <v>4852.1842799999995</v>
      </c>
      <c r="Y14" s="85">
        <v>21</v>
      </c>
      <c r="Z14" s="86">
        <f t="shared" si="7"/>
        <v>231.05639428571425</v>
      </c>
    </row>
    <row r="15" spans="1:27" x14ac:dyDescent="0.25">
      <c r="A15" s="13" t="s">
        <v>117</v>
      </c>
      <c r="B15" s="67">
        <f t="shared" si="8"/>
        <v>7</v>
      </c>
      <c r="C15" s="68">
        <v>4803164</v>
      </c>
      <c r="D15" s="69">
        <f t="shared" si="2"/>
        <v>2922</v>
      </c>
      <c r="E15" s="68">
        <v>4755479</v>
      </c>
      <c r="F15" s="69">
        <f t="shared" si="9"/>
        <v>2930</v>
      </c>
      <c r="G15" s="68">
        <v>4503221</v>
      </c>
      <c r="H15" s="69">
        <f t="shared" si="10"/>
        <v>2711</v>
      </c>
      <c r="I15" s="71">
        <f t="shared" si="3"/>
        <v>8563</v>
      </c>
      <c r="J15" s="72">
        <v>0.99</v>
      </c>
      <c r="K15" s="73">
        <f t="shared" si="4"/>
        <v>2149.3130000000001</v>
      </c>
      <c r="L15" s="74"/>
      <c r="M15" s="70">
        <v>111685</v>
      </c>
      <c r="N15" s="69">
        <f t="shared" si="11"/>
        <v>140</v>
      </c>
      <c r="O15" s="68">
        <v>1894969</v>
      </c>
      <c r="P15" s="69">
        <f t="shared" si="12"/>
        <v>823</v>
      </c>
      <c r="Q15" s="75">
        <f t="shared" si="0"/>
        <v>963</v>
      </c>
      <c r="R15" s="76">
        <f t="shared" si="5"/>
        <v>550.65880800000002</v>
      </c>
      <c r="S15" s="77"/>
      <c r="T15" s="89">
        <v>218534</v>
      </c>
      <c r="U15" s="69">
        <f t="shared" si="13"/>
        <v>314</v>
      </c>
      <c r="V15" s="79">
        <f t="shared" si="6"/>
        <v>896.47</v>
      </c>
      <c r="W15" s="80"/>
      <c r="X15" s="84">
        <f t="shared" si="1"/>
        <v>3596.4418080000005</v>
      </c>
      <c r="Y15" s="85">
        <v>20</v>
      </c>
      <c r="Z15" s="86">
        <f t="shared" si="7"/>
        <v>179.82209040000004</v>
      </c>
    </row>
    <row r="16" spans="1:27" x14ac:dyDescent="0.25">
      <c r="A16" s="13" t="s">
        <v>118</v>
      </c>
      <c r="B16" s="67">
        <f t="shared" si="8"/>
        <v>8</v>
      </c>
      <c r="C16" s="68">
        <v>4806001</v>
      </c>
      <c r="D16" s="69">
        <f t="shared" si="2"/>
        <v>2837</v>
      </c>
      <c r="E16" s="68">
        <v>4758334</v>
      </c>
      <c r="F16" s="69">
        <f t="shared" si="9"/>
        <v>2855</v>
      </c>
      <c r="G16" s="68">
        <v>4505830</v>
      </c>
      <c r="H16" s="69">
        <f t="shared" si="10"/>
        <v>2609</v>
      </c>
      <c r="I16" s="71">
        <f t="shared" si="3"/>
        <v>8301</v>
      </c>
      <c r="J16" s="72">
        <v>0.99</v>
      </c>
      <c r="K16" s="73">
        <f t="shared" si="4"/>
        <v>2083.5509999999999</v>
      </c>
      <c r="L16" s="74"/>
      <c r="M16" s="70">
        <v>111819</v>
      </c>
      <c r="N16" s="69">
        <f t="shared" si="11"/>
        <v>134</v>
      </c>
      <c r="O16" s="68">
        <v>1895873</v>
      </c>
      <c r="P16" s="69">
        <f t="shared" si="12"/>
        <v>904</v>
      </c>
      <c r="Q16" s="75">
        <f t="shared" si="0"/>
        <v>1038</v>
      </c>
      <c r="R16" s="76">
        <f t="shared" si="5"/>
        <v>593.54500800000005</v>
      </c>
      <c r="S16" s="77"/>
      <c r="T16" s="89">
        <v>218902</v>
      </c>
      <c r="U16" s="69">
        <f t="shared" si="13"/>
        <v>368</v>
      </c>
      <c r="V16" s="79">
        <f t="shared" si="6"/>
        <v>1050.6400000000001</v>
      </c>
      <c r="W16" s="80"/>
      <c r="X16" s="84">
        <f t="shared" si="1"/>
        <v>3727.7360079999999</v>
      </c>
      <c r="Y16" s="85">
        <v>21</v>
      </c>
      <c r="Z16" s="86">
        <f t="shared" si="7"/>
        <v>177.51123847619047</v>
      </c>
    </row>
    <row r="17" spans="1:26" x14ac:dyDescent="0.25">
      <c r="A17" s="13" t="s">
        <v>119</v>
      </c>
      <c r="B17" s="67">
        <v>9</v>
      </c>
      <c r="C17" s="90">
        <v>4808632</v>
      </c>
      <c r="D17" s="69">
        <f t="shared" si="2"/>
        <v>2631</v>
      </c>
      <c r="E17" s="90">
        <v>4760845</v>
      </c>
      <c r="F17" s="69">
        <f t="shared" si="9"/>
        <v>2511</v>
      </c>
      <c r="G17" s="90">
        <v>4508405</v>
      </c>
      <c r="H17" s="69">
        <f t="shared" si="10"/>
        <v>2575</v>
      </c>
      <c r="I17" s="71">
        <f t="shared" si="3"/>
        <v>7717</v>
      </c>
      <c r="J17" s="72">
        <v>0.99</v>
      </c>
      <c r="K17" s="73">
        <f t="shared" si="4"/>
        <v>1936.9670000000001</v>
      </c>
      <c r="L17" s="74"/>
      <c r="M17" s="90">
        <v>111890</v>
      </c>
      <c r="N17" s="69">
        <f t="shared" si="11"/>
        <v>71</v>
      </c>
      <c r="O17" s="90">
        <v>1896751</v>
      </c>
      <c r="P17" s="69">
        <f t="shared" si="12"/>
        <v>878</v>
      </c>
      <c r="Q17" s="75">
        <f t="shared" si="0"/>
        <v>949</v>
      </c>
      <c r="R17" s="76">
        <f t="shared" si="5"/>
        <v>542.65338399999996</v>
      </c>
      <c r="S17" s="77"/>
      <c r="T17" s="91">
        <v>219211</v>
      </c>
      <c r="U17" s="69">
        <f t="shared" si="13"/>
        <v>309</v>
      </c>
      <c r="V17" s="79">
        <f t="shared" si="6"/>
        <v>882.19500000000005</v>
      </c>
      <c r="W17" s="80"/>
      <c r="X17" s="84">
        <f t="shared" si="1"/>
        <v>3361.815384</v>
      </c>
      <c r="Y17" s="85">
        <v>21</v>
      </c>
      <c r="Z17" s="86">
        <f t="shared" si="7"/>
        <v>160.08644685714285</v>
      </c>
    </row>
    <row r="18" spans="1:26" x14ac:dyDescent="0.25">
      <c r="A18" s="13" t="s">
        <v>120</v>
      </c>
      <c r="B18" s="92">
        <f t="shared" si="8"/>
        <v>10</v>
      </c>
      <c r="C18" s="90">
        <v>4811470</v>
      </c>
      <c r="D18" s="69">
        <f t="shared" si="2"/>
        <v>2838</v>
      </c>
      <c r="E18" s="68">
        <v>4763797</v>
      </c>
      <c r="F18" s="69">
        <f t="shared" si="9"/>
        <v>2952</v>
      </c>
      <c r="G18" s="68">
        <v>4510862</v>
      </c>
      <c r="H18" s="69">
        <f t="shared" si="10"/>
        <v>2457</v>
      </c>
      <c r="I18" s="71">
        <f t="shared" si="3"/>
        <v>8247</v>
      </c>
      <c r="J18" s="72">
        <v>0.99</v>
      </c>
      <c r="K18" s="73">
        <f t="shared" si="4"/>
        <v>2069.9969999999998</v>
      </c>
      <c r="L18" s="93"/>
      <c r="M18" s="70">
        <v>111989</v>
      </c>
      <c r="N18" s="69">
        <f t="shared" si="11"/>
        <v>99</v>
      </c>
      <c r="O18" s="68">
        <v>1897559</v>
      </c>
      <c r="P18" s="69">
        <f t="shared" si="12"/>
        <v>808</v>
      </c>
      <c r="Q18" s="75">
        <f t="shared" si="0"/>
        <v>907</v>
      </c>
      <c r="R18" s="76">
        <f t="shared" si="5"/>
        <v>518.637112</v>
      </c>
      <c r="S18" s="94"/>
      <c r="T18" s="89">
        <v>219570</v>
      </c>
      <c r="U18" s="69">
        <f t="shared" si="13"/>
        <v>359</v>
      </c>
      <c r="V18" s="79">
        <f t="shared" si="6"/>
        <v>1024.9449999999999</v>
      </c>
      <c r="W18" s="80"/>
      <c r="X18" s="84">
        <f t="shared" si="1"/>
        <v>3613.5791119999994</v>
      </c>
      <c r="Y18" s="85">
        <v>26</v>
      </c>
      <c r="Z18" s="95">
        <f t="shared" si="7"/>
        <v>138.98381199999997</v>
      </c>
    </row>
    <row r="19" spans="1:26" x14ac:dyDescent="0.25">
      <c r="A19" s="13" t="s">
        <v>96</v>
      </c>
      <c r="B19" s="96">
        <f t="shared" si="8"/>
        <v>11</v>
      </c>
      <c r="C19" s="68"/>
      <c r="D19" s="69" t="str">
        <f t="shared" si="2"/>
        <v>0</v>
      </c>
      <c r="E19" s="68"/>
      <c r="F19" s="69" t="str">
        <f t="shared" si="9"/>
        <v>0</v>
      </c>
      <c r="G19" s="68"/>
      <c r="H19" s="69" t="str">
        <f t="shared" si="10"/>
        <v>0</v>
      </c>
      <c r="I19" s="71">
        <f t="shared" si="3"/>
        <v>0</v>
      </c>
      <c r="J19" s="72">
        <v>0.99</v>
      </c>
      <c r="K19" s="73">
        <f t="shared" si="4"/>
        <v>0</v>
      </c>
      <c r="L19" s="74"/>
      <c r="M19" s="70"/>
      <c r="N19" s="69" t="str">
        <f t="shared" si="11"/>
        <v>0</v>
      </c>
      <c r="O19" s="97"/>
      <c r="P19" s="69" t="str">
        <f t="shared" si="12"/>
        <v>0</v>
      </c>
      <c r="Q19" s="75">
        <f t="shared" si="0"/>
        <v>0</v>
      </c>
      <c r="R19" s="76">
        <f t="shared" si="5"/>
        <v>0</v>
      </c>
      <c r="S19" s="77"/>
      <c r="T19" s="98"/>
      <c r="U19" s="69" t="str">
        <f t="shared" si="13"/>
        <v>0</v>
      </c>
      <c r="V19" s="79">
        <f t="shared" si="6"/>
        <v>0</v>
      </c>
      <c r="W19" s="80"/>
      <c r="X19" s="84">
        <f t="shared" si="1"/>
        <v>0</v>
      </c>
      <c r="Y19" s="85"/>
      <c r="Z19" s="83" t="e">
        <f t="shared" si="7"/>
        <v>#DIV/0!</v>
      </c>
    </row>
    <row r="20" spans="1:26" x14ac:dyDescent="0.25">
      <c r="A20" s="13" t="s">
        <v>121</v>
      </c>
      <c r="B20" s="67">
        <f t="shared" si="8"/>
        <v>12</v>
      </c>
      <c r="C20" s="68"/>
      <c r="D20" s="69">
        <f t="shared" ref="D20:D38" si="14">IF((C20-C19&lt;0), "0",C20-C19)</f>
        <v>0</v>
      </c>
      <c r="E20" s="68"/>
      <c r="F20" s="69">
        <f t="shared" si="9"/>
        <v>0</v>
      </c>
      <c r="G20" s="68"/>
      <c r="H20" s="69">
        <f t="shared" si="10"/>
        <v>0</v>
      </c>
      <c r="I20" s="71">
        <f t="shared" si="3"/>
        <v>0</v>
      </c>
      <c r="J20" s="72">
        <v>0.99</v>
      </c>
      <c r="K20" s="73">
        <f t="shared" si="4"/>
        <v>0</v>
      </c>
      <c r="L20" s="74"/>
      <c r="M20" s="70"/>
      <c r="N20" s="69">
        <f t="shared" si="11"/>
        <v>0</v>
      </c>
      <c r="O20" s="68"/>
      <c r="P20" s="69">
        <f t="shared" si="12"/>
        <v>0</v>
      </c>
      <c r="Q20" s="75">
        <f t="shared" si="0"/>
        <v>0</v>
      </c>
      <c r="R20" s="76">
        <f t="shared" si="5"/>
        <v>0</v>
      </c>
      <c r="S20" s="77"/>
      <c r="T20" s="89"/>
      <c r="U20" s="69">
        <f t="shared" si="13"/>
        <v>0</v>
      </c>
      <c r="V20" s="79">
        <f t="shared" si="6"/>
        <v>0</v>
      </c>
      <c r="W20" s="80"/>
      <c r="X20" s="84">
        <f t="shared" si="1"/>
        <v>0</v>
      </c>
      <c r="Y20" s="85"/>
      <c r="Z20" s="86" t="e">
        <f t="shared" si="7"/>
        <v>#DIV/0!</v>
      </c>
    </row>
    <row r="21" spans="1:26" x14ac:dyDescent="0.25">
      <c r="A21" s="13" t="s">
        <v>116</v>
      </c>
      <c r="B21" s="67">
        <f t="shared" si="8"/>
        <v>13</v>
      </c>
      <c r="C21" s="90"/>
      <c r="D21" s="69">
        <f t="shared" si="14"/>
        <v>0</v>
      </c>
      <c r="E21" s="68"/>
      <c r="F21" s="69">
        <f t="shared" si="9"/>
        <v>0</v>
      </c>
      <c r="G21" s="68"/>
      <c r="H21" s="69">
        <f t="shared" si="10"/>
        <v>0</v>
      </c>
      <c r="I21" s="71">
        <f t="shared" si="3"/>
        <v>0</v>
      </c>
      <c r="J21" s="72">
        <v>0.99</v>
      </c>
      <c r="K21" s="73">
        <f t="shared" si="4"/>
        <v>0</v>
      </c>
      <c r="L21" s="74"/>
      <c r="M21" s="70"/>
      <c r="N21" s="69">
        <f t="shared" si="11"/>
        <v>0</v>
      </c>
      <c r="O21" s="68"/>
      <c r="P21" s="69">
        <f t="shared" si="12"/>
        <v>0</v>
      </c>
      <c r="Q21" s="75">
        <f t="shared" si="0"/>
        <v>0</v>
      </c>
      <c r="R21" s="76">
        <f t="shared" si="5"/>
        <v>0</v>
      </c>
      <c r="S21" s="77"/>
      <c r="T21" s="89"/>
      <c r="U21" s="69">
        <f t="shared" si="13"/>
        <v>0</v>
      </c>
      <c r="V21" s="79">
        <f t="shared" si="6"/>
        <v>0</v>
      </c>
      <c r="W21" s="80"/>
      <c r="X21" s="84">
        <f t="shared" si="1"/>
        <v>0</v>
      </c>
      <c r="Y21" s="85"/>
      <c r="Z21" s="86" t="e">
        <f t="shared" si="7"/>
        <v>#DIV/0!</v>
      </c>
    </row>
    <row r="22" spans="1:26" x14ac:dyDescent="0.25">
      <c r="A22" s="13" t="s">
        <v>117</v>
      </c>
      <c r="B22" s="67">
        <f t="shared" si="8"/>
        <v>14</v>
      </c>
      <c r="C22" s="90"/>
      <c r="D22" s="69">
        <f t="shared" si="14"/>
        <v>0</v>
      </c>
      <c r="E22" s="68"/>
      <c r="F22" s="69">
        <f t="shared" si="9"/>
        <v>0</v>
      </c>
      <c r="G22" s="68"/>
      <c r="H22" s="69">
        <f t="shared" si="10"/>
        <v>0</v>
      </c>
      <c r="I22" s="71">
        <f t="shared" si="3"/>
        <v>0</v>
      </c>
      <c r="J22" s="72">
        <v>0.99</v>
      </c>
      <c r="K22" s="73">
        <f t="shared" si="4"/>
        <v>0</v>
      </c>
      <c r="L22" s="74"/>
      <c r="M22" s="70"/>
      <c r="N22" s="69">
        <f t="shared" si="11"/>
        <v>0</v>
      </c>
      <c r="O22" s="68"/>
      <c r="P22" s="69">
        <f t="shared" si="12"/>
        <v>0</v>
      </c>
      <c r="Q22" s="75">
        <f t="shared" si="0"/>
        <v>0</v>
      </c>
      <c r="R22" s="76">
        <f t="shared" si="5"/>
        <v>0</v>
      </c>
      <c r="S22" s="77"/>
      <c r="T22" s="89"/>
      <c r="U22" s="69">
        <f t="shared" si="13"/>
        <v>0</v>
      </c>
      <c r="V22" s="79">
        <f t="shared" si="6"/>
        <v>0</v>
      </c>
      <c r="W22" s="80"/>
      <c r="X22" s="84">
        <f t="shared" si="1"/>
        <v>0</v>
      </c>
      <c r="Y22" s="85"/>
      <c r="Z22" s="86" t="e">
        <f t="shared" si="7"/>
        <v>#DIV/0!</v>
      </c>
    </row>
    <row r="23" spans="1:26" x14ac:dyDescent="0.25">
      <c r="A23" s="13" t="s">
        <v>118</v>
      </c>
      <c r="B23" s="67">
        <f t="shared" si="8"/>
        <v>15</v>
      </c>
      <c r="C23" s="68"/>
      <c r="D23" s="69">
        <f t="shared" si="14"/>
        <v>0</v>
      </c>
      <c r="E23" s="68"/>
      <c r="F23" s="69">
        <f t="shared" si="9"/>
        <v>0</v>
      </c>
      <c r="G23" s="68"/>
      <c r="H23" s="69">
        <f t="shared" si="10"/>
        <v>0</v>
      </c>
      <c r="I23" s="71">
        <f t="shared" si="3"/>
        <v>0</v>
      </c>
      <c r="J23" s="72">
        <v>0.99</v>
      </c>
      <c r="K23" s="73">
        <f t="shared" si="4"/>
        <v>0</v>
      </c>
      <c r="L23" s="74"/>
      <c r="M23" s="70"/>
      <c r="N23" s="69">
        <f t="shared" si="11"/>
        <v>0</v>
      </c>
      <c r="O23" s="68"/>
      <c r="P23" s="69">
        <f t="shared" si="12"/>
        <v>0</v>
      </c>
      <c r="Q23" s="75">
        <f t="shared" si="0"/>
        <v>0</v>
      </c>
      <c r="R23" s="76">
        <f t="shared" si="5"/>
        <v>0</v>
      </c>
      <c r="S23" s="77"/>
      <c r="T23" s="89"/>
      <c r="U23" s="69">
        <f t="shared" si="13"/>
        <v>0</v>
      </c>
      <c r="V23" s="79">
        <f t="shared" si="6"/>
        <v>0</v>
      </c>
      <c r="W23" s="80"/>
      <c r="X23" s="84">
        <f t="shared" si="1"/>
        <v>0</v>
      </c>
      <c r="Y23" s="85"/>
      <c r="Z23" s="86" t="e">
        <f t="shared" si="7"/>
        <v>#DIV/0!</v>
      </c>
    </row>
    <row r="24" spans="1:26" x14ac:dyDescent="0.25">
      <c r="A24" s="13" t="s">
        <v>119</v>
      </c>
      <c r="B24" s="67">
        <f t="shared" si="8"/>
        <v>16</v>
      </c>
      <c r="C24" s="68"/>
      <c r="D24" s="69">
        <f t="shared" si="14"/>
        <v>0</v>
      </c>
      <c r="E24" s="68"/>
      <c r="F24" s="69">
        <f t="shared" si="9"/>
        <v>0</v>
      </c>
      <c r="G24" s="68"/>
      <c r="H24" s="69">
        <f t="shared" si="10"/>
        <v>0</v>
      </c>
      <c r="I24" s="71">
        <f t="shared" si="3"/>
        <v>0</v>
      </c>
      <c r="J24" s="72">
        <v>0.99</v>
      </c>
      <c r="K24" s="73">
        <f t="shared" si="4"/>
        <v>0</v>
      </c>
      <c r="L24" s="74"/>
      <c r="M24" s="70"/>
      <c r="N24" s="69">
        <f t="shared" si="11"/>
        <v>0</v>
      </c>
      <c r="O24" s="68"/>
      <c r="P24" s="69">
        <f t="shared" si="12"/>
        <v>0</v>
      </c>
      <c r="Q24" s="75">
        <f t="shared" si="0"/>
        <v>0</v>
      </c>
      <c r="R24" s="76">
        <f t="shared" si="5"/>
        <v>0</v>
      </c>
      <c r="S24" s="77"/>
      <c r="T24" s="89"/>
      <c r="U24" s="69">
        <f t="shared" si="13"/>
        <v>0</v>
      </c>
      <c r="V24" s="79">
        <f t="shared" si="6"/>
        <v>0</v>
      </c>
      <c r="W24" s="80"/>
      <c r="X24" s="84">
        <f t="shared" si="1"/>
        <v>0</v>
      </c>
      <c r="Y24" s="85"/>
      <c r="Z24" s="86" t="e">
        <f t="shared" si="7"/>
        <v>#DIV/0!</v>
      </c>
    </row>
    <row r="25" spans="1:26" x14ac:dyDescent="0.25">
      <c r="A25" s="13" t="s">
        <v>120</v>
      </c>
      <c r="B25" s="67">
        <f t="shared" si="8"/>
        <v>17</v>
      </c>
      <c r="C25" s="68"/>
      <c r="D25" s="69">
        <f t="shared" si="14"/>
        <v>0</v>
      </c>
      <c r="E25" s="68"/>
      <c r="F25" s="69">
        <f t="shared" si="9"/>
        <v>0</v>
      </c>
      <c r="G25" s="68"/>
      <c r="H25" s="69">
        <f t="shared" si="10"/>
        <v>0</v>
      </c>
      <c r="I25" s="71">
        <f t="shared" si="3"/>
        <v>0</v>
      </c>
      <c r="J25" s="72">
        <v>0.99</v>
      </c>
      <c r="K25" s="73">
        <f t="shared" si="4"/>
        <v>0</v>
      </c>
      <c r="L25" s="74"/>
      <c r="M25" s="70"/>
      <c r="N25" s="69">
        <f t="shared" si="11"/>
        <v>0</v>
      </c>
      <c r="O25" s="68"/>
      <c r="P25" s="69">
        <f t="shared" si="12"/>
        <v>0</v>
      </c>
      <c r="Q25" s="75">
        <f t="shared" si="0"/>
        <v>0</v>
      </c>
      <c r="R25" s="76">
        <f t="shared" si="5"/>
        <v>0</v>
      </c>
      <c r="S25" s="77"/>
      <c r="T25" s="89"/>
      <c r="U25" s="69">
        <f t="shared" si="13"/>
        <v>0</v>
      </c>
      <c r="V25" s="79">
        <f t="shared" si="6"/>
        <v>0</v>
      </c>
      <c r="W25" s="80"/>
      <c r="X25" s="84">
        <f t="shared" si="1"/>
        <v>0</v>
      </c>
      <c r="Y25" s="85"/>
      <c r="Z25" s="86" t="e">
        <f t="shared" si="7"/>
        <v>#DIV/0!</v>
      </c>
    </row>
    <row r="26" spans="1:26" x14ac:dyDescent="0.25">
      <c r="A26" s="13" t="s">
        <v>96</v>
      </c>
      <c r="B26" s="67">
        <f t="shared" si="8"/>
        <v>18</v>
      </c>
      <c r="C26" s="68"/>
      <c r="D26" s="69">
        <f t="shared" si="14"/>
        <v>0</v>
      </c>
      <c r="E26" s="68"/>
      <c r="F26" s="69">
        <f t="shared" si="9"/>
        <v>0</v>
      </c>
      <c r="G26" s="68"/>
      <c r="H26" s="69">
        <f t="shared" si="10"/>
        <v>0</v>
      </c>
      <c r="I26" s="71">
        <f t="shared" si="3"/>
        <v>0</v>
      </c>
      <c r="J26" s="72">
        <v>0.99</v>
      </c>
      <c r="K26" s="73">
        <f t="shared" si="4"/>
        <v>0</v>
      </c>
      <c r="L26" s="74"/>
      <c r="M26" s="70"/>
      <c r="N26" s="69">
        <f t="shared" si="11"/>
        <v>0</v>
      </c>
      <c r="O26" s="68"/>
      <c r="P26" s="69">
        <f t="shared" si="12"/>
        <v>0</v>
      </c>
      <c r="Q26" s="75">
        <f t="shared" si="0"/>
        <v>0</v>
      </c>
      <c r="R26" s="76">
        <f t="shared" si="5"/>
        <v>0</v>
      </c>
      <c r="S26" s="77"/>
      <c r="T26" s="89"/>
      <c r="U26" s="69">
        <f t="shared" si="13"/>
        <v>0</v>
      </c>
      <c r="V26" s="79">
        <f t="shared" si="6"/>
        <v>0</v>
      </c>
      <c r="W26" s="80"/>
      <c r="X26" s="84">
        <f t="shared" si="1"/>
        <v>0</v>
      </c>
      <c r="Y26" s="85"/>
      <c r="Z26" s="86" t="e">
        <f t="shared" si="7"/>
        <v>#DIV/0!</v>
      </c>
    </row>
    <row r="27" spans="1:26" x14ac:dyDescent="0.25">
      <c r="A27" s="13" t="s">
        <v>121</v>
      </c>
      <c r="B27" s="67">
        <f t="shared" si="8"/>
        <v>19</v>
      </c>
      <c r="C27" s="68"/>
      <c r="D27" s="69">
        <f t="shared" si="14"/>
        <v>0</v>
      </c>
      <c r="E27" s="68"/>
      <c r="F27" s="69">
        <f t="shared" si="9"/>
        <v>0</v>
      </c>
      <c r="G27" s="68"/>
      <c r="H27" s="69">
        <f t="shared" si="10"/>
        <v>0</v>
      </c>
      <c r="I27" s="71">
        <f t="shared" si="3"/>
        <v>0</v>
      </c>
      <c r="J27" s="72">
        <v>0.99</v>
      </c>
      <c r="K27" s="73">
        <f t="shared" si="4"/>
        <v>0</v>
      </c>
      <c r="L27" s="99"/>
      <c r="M27" s="70"/>
      <c r="N27" s="69">
        <f t="shared" si="11"/>
        <v>0</v>
      </c>
      <c r="O27" s="68"/>
      <c r="P27" s="69">
        <f t="shared" si="12"/>
        <v>0</v>
      </c>
      <c r="Q27" s="75">
        <f t="shared" si="0"/>
        <v>0</v>
      </c>
      <c r="R27" s="76">
        <f t="shared" si="5"/>
        <v>0</v>
      </c>
      <c r="S27" s="77"/>
      <c r="T27" s="89"/>
      <c r="U27" s="69">
        <f t="shared" si="13"/>
        <v>0</v>
      </c>
      <c r="V27" s="79">
        <f t="shared" si="6"/>
        <v>0</v>
      </c>
      <c r="W27" s="80"/>
      <c r="X27" s="84">
        <f t="shared" si="1"/>
        <v>0</v>
      </c>
      <c r="Y27" s="85"/>
      <c r="Z27" s="86" t="e">
        <f t="shared" si="7"/>
        <v>#DIV/0!</v>
      </c>
    </row>
    <row r="28" spans="1:26" x14ac:dyDescent="0.25">
      <c r="A28" s="13" t="s">
        <v>116</v>
      </c>
      <c r="B28" s="92">
        <f t="shared" si="8"/>
        <v>20</v>
      </c>
      <c r="C28" s="90"/>
      <c r="D28" s="69">
        <f t="shared" si="14"/>
        <v>0</v>
      </c>
      <c r="E28" s="90"/>
      <c r="F28" s="69">
        <f t="shared" si="9"/>
        <v>0</v>
      </c>
      <c r="G28" s="90"/>
      <c r="H28" s="69">
        <f t="shared" si="10"/>
        <v>0</v>
      </c>
      <c r="I28" s="71">
        <f t="shared" si="3"/>
        <v>0</v>
      </c>
      <c r="J28" s="72">
        <v>0.99</v>
      </c>
      <c r="K28" s="73">
        <f t="shared" si="4"/>
        <v>0</v>
      </c>
      <c r="L28" s="100"/>
      <c r="M28" s="70"/>
      <c r="N28" s="69">
        <f t="shared" si="11"/>
        <v>0</v>
      </c>
      <c r="O28" s="68"/>
      <c r="P28" s="69">
        <f t="shared" si="12"/>
        <v>0</v>
      </c>
      <c r="Q28" s="75">
        <f t="shared" si="0"/>
        <v>0</v>
      </c>
      <c r="R28" s="76">
        <f t="shared" si="5"/>
        <v>0</v>
      </c>
      <c r="S28" s="68"/>
      <c r="T28" s="89"/>
      <c r="U28" s="69">
        <f t="shared" si="13"/>
        <v>0</v>
      </c>
      <c r="V28" s="79">
        <f t="shared" si="6"/>
        <v>0</v>
      </c>
      <c r="W28" s="80"/>
      <c r="X28" s="101">
        <f t="shared" si="1"/>
        <v>0</v>
      </c>
      <c r="Y28" s="85"/>
      <c r="Z28" s="95" t="e">
        <f t="shared" si="7"/>
        <v>#DIV/0!</v>
      </c>
    </row>
    <row r="29" spans="1:26" x14ac:dyDescent="0.25">
      <c r="A29" s="13" t="s">
        <v>117</v>
      </c>
      <c r="B29" s="96">
        <f t="shared" si="8"/>
        <v>21</v>
      </c>
      <c r="C29" s="68"/>
      <c r="D29" s="69">
        <f t="shared" si="14"/>
        <v>0</v>
      </c>
      <c r="E29" s="68"/>
      <c r="F29" s="69">
        <f t="shared" si="9"/>
        <v>0</v>
      </c>
      <c r="G29" s="68"/>
      <c r="H29" s="69">
        <f t="shared" si="10"/>
        <v>0</v>
      </c>
      <c r="I29" s="71">
        <f t="shared" si="3"/>
        <v>0</v>
      </c>
      <c r="J29" s="72">
        <v>0.99</v>
      </c>
      <c r="K29" s="73">
        <f t="shared" si="4"/>
        <v>0</v>
      </c>
      <c r="L29" s="74"/>
      <c r="M29" s="70"/>
      <c r="N29" s="69">
        <f t="shared" si="11"/>
        <v>0</v>
      </c>
      <c r="O29" s="68"/>
      <c r="P29" s="69">
        <f t="shared" si="12"/>
        <v>0</v>
      </c>
      <c r="Q29" s="75">
        <f t="shared" si="0"/>
        <v>0</v>
      </c>
      <c r="R29" s="76">
        <f t="shared" si="5"/>
        <v>0</v>
      </c>
      <c r="S29" s="77"/>
      <c r="T29" s="89"/>
      <c r="U29" s="69">
        <f t="shared" si="13"/>
        <v>0</v>
      </c>
      <c r="V29" s="79">
        <f t="shared" si="6"/>
        <v>0</v>
      </c>
      <c r="W29" s="80"/>
      <c r="X29" s="81">
        <f t="shared" si="1"/>
        <v>0</v>
      </c>
      <c r="Y29" s="85"/>
      <c r="Z29" s="83" t="e">
        <f t="shared" si="7"/>
        <v>#DIV/0!</v>
      </c>
    </row>
    <row r="30" spans="1:26" x14ac:dyDescent="0.25">
      <c r="A30" s="13" t="s">
        <v>118</v>
      </c>
      <c r="B30" s="67">
        <f t="shared" si="8"/>
        <v>22</v>
      </c>
      <c r="C30" s="68"/>
      <c r="D30" s="69">
        <f t="shared" si="14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3"/>
        <v>0</v>
      </c>
      <c r="J30" s="72">
        <v>0.99</v>
      </c>
      <c r="K30" s="73">
        <f t="shared" si="4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5"/>
        <v>0</v>
      </c>
      <c r="S30" s="77"/>
      <c r="T30" s="89"/>
      <c r="U30" s="69">
        <f t="shared" si="13"/>
        <v>0</v>
      </c>
      <c r="V30" s="79">
        <f t="shared" si="6"/>
        <v>0</v>
      </c>
      <c r="W30" s="80"/>
      <c r="X30" s="84">
        <f t="shared" si="1"/>
        <v>0</v>
      </c>
      <c r="Y30" s="85"/>
      <c r="Z30" s="86" t="e">
        <f t="shared" si="7"/>
        <v>#DIV/0!</v>
      </c>
    </row>
    <row r="31" spans="1:26" x14ac:dyDescent="0.25">
      <c r="A31" s="13" t="s">
        <v>119</v>
      </c>
      <c r="B31" s="67">
        <f t="shared" si="8"/>
        <v>23</v>
      </c>
      <c r="C31" s="68"/>
      <c r="D31" s="69">
        <f t="shared" si="14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3"/>
        <v>0</v>
      </c>
      <c r="J31" s="72">
        <v>0.99</v>
      </c>
      <c r="K31" s="73">
        <f t="shared" si="4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5"/>
        <v>0</v>
      </c>
      <c r="S31" s="77"/>
      <c r="T31" s="89"/>
      <c r="U31" s="69">
        <f t="shared" si="13"/>
        <v>0</v>
      </c>
      <c r="V31" s="79">
        <f t="shared" si="6"/>
        <v>0</v>
      </c>
      <c r="W31" s="80"/>
      <c r="X31" s="102">
        <f t="shared" si="1"/>
        <v>0</v>
      </c>
      <c r="Y31" s="85"/>
      <c r="Z31" s="86" t="e">
        <f t="shared" si="7"/>
        <v>#DIV/0!</v>
      </c>
    </row>
    <row r="32" spans="1:26" x14ac:dyDescent="0.25">
      <c r="A32" s="13" t="s">
        <v>120</v>
      </c>
      <c r="B32" s="67">
        <f t="shared" si="8"/>
        <v>24</v>
      </c>
      <c r="C32" s="68"/>
      <c r="D32" s="69">
        <f t="shared" si="14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3"/>
        <v>0</v>
      </c>
      <c r="J32" s="72">
        <v>0.99</v>
      </c>
      <c r="K32" s="73">
        <f t="shared" si="4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5"/>
        <v>0</v>
      </c>
      <c r="S32" s="77"/>
      <c r="T32" s="89"/>
      <c r="U32" s="69">
        <f t="shared" si="13"/>
        <v>0</v>
      </c>
      <c r="V32" s="79">
        <f t="shared" si="6"/>
        <v>0</v>
      </c>
      <c r="W32" s="80"/>
      <c r="X32" s="102">
        <f t="shared" si="1"/>
        <v>0</v>
      </c>
      <c r="Y32" s="85"/>
      <c r="Z32" s="86" t="e">
        <f t="shared" si="7"/>
        <v>#DIV/0!</v>
      </c>
    </row>
    <row r="33" spans="1:26" x14ac:dyDescent="0.25">
      <c r="A33" s="13" t="s">
        <v>96</v>
      </c>
      <c r="B33" s="67">
        <f t="shared" si="8"/>
        <v>25</v>
      </c>
      <c r="C33" s="68"/>
      <c r="D33" s="69">
        <f t="shared" si="14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3"/>
        <v>0</v>
      </c>
      <c r="J33" s="72">
        <v>0.99</v>
      </c>
      <c r="K33" s="73">
        <f t="shared" si="4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5"/>
        <v>0</v>
      </c>
      <c r="S33" s="77"/>
      <c r="T33" s="89"/>
      <c r="U33" s="69">
        <f t="shared" si="13"/>
        <v>0</v>
      </c>
      <c r="V33" s="79">
        <f t="shared" si="6"/>
        <v>0</v>
      </c>
      <c r="W33" s="80"/>
      <c r="X33" s="102">
        <f t="shared" si="1"/>
        <v>0</v>
      </c>
      <c r="Y33" s="85"/>
      <c r="Z33" s="86" t="e">
        <f t="shared" si="7"/>
        <v>#DIV/0!</v>
      </c>
    </row>
    <row r="34" spans="1:26" x14ac:dyDescent="0.25">
      <c r="A34" s="13" t="s">
        <v>121</v>
      </c>
      <c r="B34" s="67">
        <f t="shared" si="8"/>
        <v>26</v>
      </c>
      <c r="C34" s="90"/>
      <c r="D34" s="69">
        <f t="shared" si="14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3"/>
        <v>0</v>
      </c>
      <c r="J34" s="72">
        <v>0.98</v>
      </c>
      <c r="K34" s="73">
        <f t="shared" si="4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5"/>
        <v>0</v>
      </c>
      <c r="S34" s="77"/>
      <c r="T34" s="89"/>
      <c r="U34" s="69">
        <f t="shared" si="13"/>
        <v>0</v>
      </c>
      <c r="V34" s="79">
        <f t="shared" si="6"/>
        <v>0</v>
      </c>
      <c r="W34" s="80"/>
      <c r="X34" s="102">
        <f t="shared" si="1"/>
        <v>0</v>
      </c>
      <c r="Y34" s="85"/>
      <c r="Z34" s="86" t="e">
        <f t="shared" si="7"/>
        <v>#DIV/0!</v>
      </c>
    </row>
    <row r="35" spans="1:26" x14ac:dyDescent="0.25">
      <c r="A35" s="13" t="s">
        <v>116</v>
      </c>
      <c r="B35" s="67">
        <f t="shared" si="8"/>
        <v>27</v>
      </c>
      <c r="C35" s="90"/>
      <c r="D35" s="69">
        <f t="shared" si="14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3"/>
        <v>0</v>
      </c>
      <c r="J35" s="72">
        <v>0.99</v>
      </c>
      <c r="K35" s="73">
        <f t="shared" si="4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5"/>
        <v>0</v>
      </c>
      <c r="S35" s="77"/>
      <c r="T35" s="89"/>
      <c r="U35" s="69">
        <f t="shared" si="13"/>
        <v>0</v>
      </c>
      <c r="V35" s="79">
        <f t="shared" si="6"/>
        <v>0</v>
      </c>
      <c r="W35" s="80"/>
      <c r="X35" s="102">
        <f t="shared" si="1"/>
        <v>0</v>
      </c>
      <c r="Y35" s="85"/>
      <c r="Z35" s="86" t="e">
        <f t="shared" si="7"/>
        <v>#DIV/0!</v>
      </c>
    </row>
    <row r="36" spans="1:26" x14ac:dyDescent="0.25">
      <c r="A36" s="13" t="s">
        <v>117</v>
      </c>
      <c r="B36" s="67">
        <f>B35+1</f>
        <v>28</v>
      </c>
      <c r="C36" s="90"/>
      <c r="D36" s="69">
        <f t="shared" si="14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3"/>
        <v>0</v>
      </c>
      <c r="J36" s="72">
        <v>0.99</v>
      </c>
      <c r="K36" s="73">
        <f t="shared" si="4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5"/>
        <v>0</v>
      </c>
      <c r="S36" s="77"/>
      <c r="T36" s="89"/>
      <c r="U36" s="69">
        <f t="shared" si="13"/>
        <v>0</v>
      </c>
      <c r="V36" s="79">
        <f t="shared" si="6"/>
        <v>0</v>
      </c>
      <c r="W36" s="80"/>
      <c r="X36" s="102">
        <f t="shared" si="1"/>
        <v>0</v>
      </c>
      <c r="Y36" s="85"/>
      <c r="Z36" s="86" t="e">
        <f t="shared" si="7"/>
        <v>#DIV/0!</v>
      </c>
    </row>
    <row r="37" spans="1:26" x14ac:dyDescent="0.25">
      <c r="A37" s="13" t="s">
        <v>118</v>
      </c>
      <c r="B37" s="67">
        <f t="shared" si="8"/>
        <v>29</v>
      </c>
      <c r="C37" s="90"/>
      <c r="D37" s="69">
        <f t="shared" si="14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3"/>
        <v>0</v>
      </c>
      <c r="J37" s="72">
        <v>0.99</v>
      </c>
      <c r="K37" s="73">
        <f t="shared" si="4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5"/>
        <v>0</v>
      </c>
      <c r="S37" s="77"/>
      <c r="T37" s="89"/>
      <c r="U37" s="69">
        <f t="shared" si="13"/>
        <v>0</v>
      </c>
      <c r="V37" s="79">
        <f t="shared" si="6"/>
        <v>0</v>
      </c>
      <c r="W37" s="80"/>
      <c r="X37" s="102">
        <f t="shared" si="1"/>
        <v>0</v>
      </c>
      <c r="Y37" s="80"/>
      <c r="Z37" s="86" t="e">
        <f t="shared" si="7"/>
        <v>#DIV/0!</v>
      </c>
    </row>
    <row r="38" spans="1:26" x14ac:dyDescent="0.25">
      <c r="A38" s="13" t="s">
        <v>119</v>
      </c>
      <c r="B38" s="67">
        <f t="shared" si="8"/>
        <v>30</v>
      </c>
      <c r="C38" s="68"/>
      <c r="D38" s="69">
        <f t="shared" si="14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3"/>
        <v>0</v>
      </c>
      <c r="J38" s="72">
        <v>0.99</v>
      </c>
      <c r="K38" s="73">
        <f t="shared" si="4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5"/>
        <v>0</v>
      </c>
      <c r="S38" s="77"/>
      <c r="T38" s="89"/>
      <c r="U38" s="69">
        <f t="shared" si="13"/>
        <v>0</v>
      </c>
      <c r="V38" s="79">
        <f t="shared" si="6"/>
        <v>0</v>
      </c>
      <c r="W38" s="80"/>
      <c r="X38" s="102">
        <f t="shared" si="1"/>
        <v>0</v>
      </c>
      <c r="Y38" s="80"/>
      <c r="Z38" s="86" t="e">
        <f t="shared" si="7"/>
        <v>#DIV/0!</v>
      </c>
    </row>
    <row r="39" spans="1:26" x14ac:dyDescent="0.25">
      <c r="A39" s="13"/>
      <c r="B39" s="107"/>
      <c r="C39" s="149">
        <f>SUMIF(D9:D38,"&gt;0")</f>
        <v>31471</v>
      </c>
      <c r="D39" s="150"/>
      <c r="E39" s="151">
        <f>SUMIF(F9:F38,"&gt;0")</f>
        <v>31467</v>
      </c>
      <c r="F39" s="152"/>
      <c r="G39" s="149">
        <f>SUMIF(H9:H38,"&gt;0")</f>
        <v>29234</v>
      </c>
      <c r="H39" s="152"/>
      <c r="I39" s="108">
        <f>SUMIF(I9:I38,"&gt;0")</f>
        <v>92172</v>
      </c>
      <c r="J39" s="109"/>
      <c r="K39" s="110">
        <f>SUMIF(K9:K38,"&gt;0")</f>
        <v>23135.171999999999</v>
      </c>
      <c r="L39" s="108"/>
      <c r="M39" s="149">
        <f>SUMIF(N9:N38,"&gt;0")</f>
        <v>1134</v>
      </c>
      <c r="N39" s="152"/>
      <c r="O39" s="149">
        <f>SUMIF(P9:P38,"&gt;0")</f>
        <v>8440</v>
      </c>
      <c r="P39" s="152"/>
      <c r="Q39" s="109">
        <f>SUMIF(Q9:Q38,"&gt;0")</f>
        <v>9574</v>
      </c>
      <c r="R39" s="110">
        <f>SUMIF(R9:R38,"&gt;0")</f>
        <v>5474.5663840000007</v>
      </c>
      <c r="S39" s="111"/>
      <c r="T39" s="133">
        <f>SUMIF(U9:U38,"&gt;0")</f>
        <v>4247</v>
      </c>
      <c r="U39" s="133"/>
      <c r="V39" s="112">
        <f>SUMIF(V9:V38,"&gt;0")</f>
        <v>12125.184999999999</v>
      </c>
      <c r="W39" s="113"/>
      <c r="X39" s="114">
        <f>SUMIF(X9:X38,"&gt;0")</f>
        <v>40734.923384000002</v>
      </c>
      <c r="Y39" s="115">
        <f>SUM(Y9:Y38)</f>
        <v>253</v>
      </c>
      <c r="Z39" s="116">
        <f>(SUMIF(Z9:Z36,"&gt;0")/31)</f>
        <v>53.14130184088814</v>
      </c>
    </row>
  </sheetData>
  <mergeCells count="13">
    <mergeCell ref="T39:U39"/>
    <mergeCell ref="B1:E4"/>
    <mergeCell ref="F1:V4"/>
    <mergeCell ref="W1:Z2"/>
    <mergeCell ref="W3:Z4"/>
    <mergeCell ref="C7:K7"/>
    <mergeCell ref="M7:R7"/>
    <mergeCell ref="T7:V7"/>
    <mergeCell ref="C39:D39"/>
    <mergeCell ref="E39:F39"/>
    <mergeCell ref="G39:H39"/>
    <mergeCell ref="M39:N39"/>
    <mergeCell ref="O39:P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7"/>
  <sheetViews>
    <sheetView tabSelected="1" zoomScale="75" zoomScaleNormal="75" workbookViewId="0">
      <selection activeCell="N27" sqref="N27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x14ac:dyDescent="0.25">
      <c r="A8">
        <v>1</v>
      </c>
      <c r="B8" s="128">
        <v>60423</v>
      </c>
      <c r="C8" s="128">
        <v>96241</v>
      </c>
      <c r="D8" s="128">
        <v>17312</v>
      </c>
      <c r="E8" s="128">
        <v>15427</v>
      </c>
      <c r="F8" s="128">
        <v>216411</v>
      </c>
      <c r="G8" s="128">
        <v>4084</v>
      </c>
      <c r="H8" s="128">
        <v>3413</v>
      </c>
      <c r="I8" s="128">
        <v>432093</v>
      </c>
      <c r="J8" s="128">
        <v>78891</v>
      </c>
      <c r="K8" s="128">
        <v>7952</v>
      </c>
      <c r="L8" s="128">
        <v>32769</v>
      </c>
      <c r="M8" s="128">
        <v>56958</v>
      </c>
      <c r="N8" s="128">
        <v>44110</v>
      </c>
      <c r="O8" s="128">
        <v>213263</v>
      </c>
      <c r="P8" s="128">
        <v>463260</v>
      </c>
      <c r="Q8" s="128">
        <v>3618</v>
      </c>
      <c r="R8" s="128">
        <v>21621</v>
      </c>
      <c r="S8" s="128">
        <v>25503</v>
      </c>
      <c r="T8" s="128">
        <v>313375</v>
      </c>
      <c r="U8" s="128">
        <v>433168</v>
      </c>
      <c r="V8" s="128">
        <v>47289</v>
      </c>
      <c r="W8" s="128">
        <v>5937</v>
      </c>
      <c r="X8" s="128">
        <v>16259</v>
      </c>
      <c r="Y8" s="128">
        <v>101879</v>
      </c>
      <c r="Z8" s="128">
        <v>650</v>
      </c>
      <c r="AA8" s="128">
        <v>193402</v>
      </c>
      <c r="AB8" s="128">
        <v>10070</v>
      </c>
      <c r="AC8" s="128">
        <v>2243</v>
      </c>
      <c r="AD8" s="128">
        <v>20485</v>
      </c>
      <c r="AE8" s="128">
        <v>92865</v>
      </c>
      <c r="AF8" s="128">
        <v>238501</v>
      </c>
      <c r="AG8" s="128">
        <v>1255721.5</v>
      </c>
      <c r="AH8" s="128">
        <v>12614</v>
      </c>
      <c r="AI8" s="128">
        <v>487064</v>
      </c>
      <c r="AJ8" s="128">
        <v>721404</v>
      </c>
      <c r="AK8" s="128">
        <v>11170</v>
      </c>
      <c r="AL8" s="132">
        <v>39897</v>
      </c>
      <c r="AM8" s="128">
        <v>35628</v>
      </c>
      <c r="AN8" s="131">
        <v>681310</v>
      </c>
      <c r="AO8" s="131">
        <v>5414</v>
      </c>
      <c r="AP8" s="131">
        <v>0</v>
      </c>
      <c r="AQ8" s="128">
        <v>121132</v>
      </c>
      <c r="AR8" s="128">
        <v>244103</v>
      </c>
      <c r="AS8" s="128">
        <v>70163</v>
      </c>
      <c r="AT8" s="128">
        <v>674</v>
      </c>
      <c r="AU8" s="128">
        <v>122333</v>
      </c>
      <c r="AV8" s="128">
        <v>48031</v>
      </c>
      <c r="AW8" s="128">
        <v>41346</v>
      </c>
      <c r="AX8" s="128">
        <v>203289</v>
      </c>
      <c r="AY8" s="128">
        <v>559585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>
        <v>60487</v>
      </c>
      <c r="C9" s="128">
        <v>96354</v>
      </c>
      <c r="D9" s="128">
        <v>17318</v>
      </c>
      <c r="E9" s="128">
        <v>15442</v>
      </c>
      <c r="F9" s="128">
        <v>216608</v>
      </c>
      <c r="G9" s="128">
        <v>4088</v>
      </c>
      <c r="H9" s="128">
        <v>3432</v>
      </c>
      <c r="I9" s="128">
        <v>432353</v>
      </c>
      <c r="J9" s="128">
        <v>78949</v>
      </c>
      <c r="K9" s="128">
        <v>7953</v>
      </c>
      <c r="L9" s="128">
        <v>32798</v>
      </c>
      <c r="M9" s="128">
        <v>56967</v>
      </c>
      <c r="N9" s="128">
        <v>44147</v>
      </c>
      <c r="O9" s="128">
        <v>213458</v>
      </c>
      <c r="P9" s="128">
        <v>463706</v>
      </c>
      <c r="Q9" s="128">
        <v>3623</v>
      </c>
      <c r="R9" s="128">
        <v>21636</v>
      </c>
      <c r="S9" s="128">
        <v>25503</v>
      </c>
      <c r="T9" s="128">
        <v>313583</v>
      </c>
      <c r="U9" s="128">
        <v>433498</v>
      </c>
      <c r="V9" s="128">
        <v>47330</v>
      </c>
      <c r="W9" s="128">
        <v>5944</v>
      </c>
      <c r="X9" s="128">
        <v>16283</v>
      </c>
      <c r="Y9" s="128">
        <v>101967</v>
      </c>
      <c r="Z9" s="128">
        <v>653</v>
      </c>
      <c r="AA9" s="128">
        <v>193548</v>
      </c>
      <c r="AB9" s="128">
        <v>10072</v>
      </c>
      <c r="AC9" s="128">
        <v>2246</v>
      </c>
      <c r="AD9" s="128">
        <v>20500</v>
      </c>
      <c r="AE9" s="128">
        <v>92957</v>
      </c>
      <c r="AF9" s="128">
        <v>238697</v>
      </c>
      <c r="AG9" s="128">
        <v>1256568</v>
      </c>
      <c r="AH9" s="128">
        <v>12617</v>
      </c>
      <c r="AI9" s="128">
        <v>487082</v>
      </c>
      <c r="AJ9" s="128">
        <v>721854</v>
      </c>
      <c r="AK9" s="128">
        <v>11183</v>
      </c>
      <c r="AL9" s="132">
        <v>39912</v>
      </c>
      <c r="AM9" s="128">
        <v>35748</v>
      </c>
      <c r="AN9" s="131">
        <v>681844</v>
      </c>
      <c r="AO9" s="131">
        <v>5415</v>
      </c>
      <c r="AP9" s="131">
        <v>0</v>
      </c>
      <c r="AQ9" s="128">
        <v>121186</v>
      </c>
      <c r="AR9" s="128">
        <v>244191</v>
      </c>
      <c r="AS9" s="128">
        <v>70177</v>
      </c>
      <c r="AT9" s="128">
        <v>675</v>
      </c>
      <c r="AU9" s="128">
        <v>122410</v>
      </c>
      <c r="AV9" s="128">
        <v>48078</v>
      </c>
      <c r="AW9" s="128">
        <v>41389</v>
      </c>
      <c r="AX9" s="128">
        <v>203465</v>
      </c>
      <c r="AY9" s="128">
        <v>560243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>
        <v>60563</v>
      </c>
      <c r="C10" s="128">
        <v>96458</v>
      </c>
      <c r="D10" s="128">
        <v>17319</v>
      </c>
      <c r="E10" s="128">
        <v>15460</v>
      </c>
      <c r="F10" s="128">
        <v>216806</v>
      </c>
      <c r="G10" s="128">
        <v>4091</v>
      </c>
      <c r="H10" s="128">
        <v>3445</v>
      </c>
      <c r="I10" s="128">
        <v>432606</v>
      </c>
      <c r="J10" s="128">
        <v>79052</v>
      </c>
      <c r="K10" s="128">
        <v>7953</v>
      </c>
      <c r="L10" s="128">
        <v>32825</v>
      </c>
      <c r="M10" s="128">
        <v>56976</v>
      </c>
      <c r="N10" s="128">
        <v>44184</v>
      </c>
      <c r="O10" s="128">
        <v>213655</v>
      </c>
      <c r="P10" s="128">
        <v>464266</v>
      </c>
      <c r="Q10" s="128">
        <v>3629</v>
      </c>
      <c r="R10" s="128">
        <v>21648</v>
      </c>
      <c r="S10" s="128">
        <v>25503</v>
      </c>
      <c r="T10" s="128">
        <v>313796</v>
      </c>
      <c r="U10" s="128">
        <v>433838</v>
      </c>
      <c r="V10" s="128">
        <v>47373</v>
      </c>
      <c r="W10" s="128">
        <v>5959</v>
      </c>
      <c r="X10" s="128">
        <v>16307</v>
      </c>
      <c r="Y10" s="128">
        <v>102036</v>
      </c>
      <c r="Z10" s="128">
        <v>656</v>
      </c>
      <c r="AA10" s="128">
        <v>193692</v>
      </c>
      <c r="AB10" s="128">
        <v>10074</v>
      </c>
      <c r="AC10" s="128">
        <v>2247</v>
      </c>
      <c r="AD10" s="128">
        <v>20512</v>
      </c>
      <c r="AE10" s="128">
        <v>93044</v>
      </c>
      <c r="AF10" s="128">
        <v>238908</v>
      </c>
      <c r="AG10" s="128">
        <v>1257706</v>
      </c>
      <c r="AH10" s="128">
        <v>12620</v>
      </c>
      <c r="AI10" s="128">
        <v>487100</v>
      </c>
      <c r="AJ10" s="128">
        <v>722388</v>
      </c>
      <c r="AK10" s="128">
        <v>11200</v>
      </c>
      <c r="AL10" s="132">
        <v>39927</v>
      </c>
      <c r="AM10" s="128">
        <v>35868</v>
      </c>
      <c r="AN10" s="131">
        <v>682515</v>
      </c>
      <c r="AO10" s="131">
        <v>5417</v>
      </c>
      <c r="AP10" s="131">
        <v>0</v>
      </c>
      <c r="AQ10" s="128">
        <v>121240</v>
      </c>
      <c r="AR10" s="128">
        <v>244281</v>
      </c>
      <c r="AS10" s="128">
        <v>70192</v>
      </c>
      <c r="AT10" s="128">
        <v>676</v>
      </c>
      <c r="AU10" s="128">
        <v>122515</v>
      </c>
      <c r="AV10" s="128">
        <v>48124</v>
      </c>
      <c r="AW10" s="128">
        <v>41430</v>
      </c>
      <c r="AX10" s="128">
        <v>203643</v>
      </c>
      <c r="AY10" s="128">
        <v>560746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>
        <v>60625</v>
      </c>
      <c r="C11" s="128">
        <v>96581</v>
      </c>
      <c r="D11" s="128">
        <v>17326</v>
      </c>
      <c r="E11" s="128">
        <v>15475</v>
      </c>
      <c r="F11" s="128">
        <v>216992</v>
      </c>
      <c r="G11" s="128">
        <v>4094</v>
      </c>
      <c r="H11" s="128">
        <v>3455</v>
      </c>
      <c r="I11" s="128">
        <v>432869</v>
      </c>
      <c r="J11" s="128">
        <v>79081</v>
      </c>
      <c r="K11" s="128">
        <v>7953</v>
      </c>
      <c r="L11" s="128">
        <v>32851</v>
      </c>
      <c r="M11" s="128">
        <v>56982</v>
      </c>
      <c r="N11" s="128">
        <v>44216</v>
      </c>
      <c r="O11" s="128">
        <v>213849</v>
      </c>
      <c r="P11" s="128">
        <v>464831</v>
      </c>
      <c r="Q11" s="128">
        <v>3635</v>
      </c>
      <c r="R11" s="128">
        <v>21663</v>
      </c>
      <c r="S11" s="128">
        <v>25503</v>
      </c>
      <c r="T11" s="128">
        <v>314007</v>
      </c>
      <c r="U11" s="128">
        <v>434159</v>
      </c>
      <c r="V11" s="128">
        <v>47412</v>
      </c>
      <c r="W11" s="128">
        <v>5970</v>
      </c>
      <c r="X11" s="128">
        <v>16330</v>
      </c>
      <c r="Y11" s="128">
        <v>102109</v>
      </c>
      <c r="Z11" s="128">
        <v>659</v>
      </c>
      <c r="AA11" s="128">
        <v>193832</v>
      </c>
      <c r="AB11" s="128">
        <v>10077</v>
      </c>
      <c r="AC11" s="128">
        <v>2248</v>
      </c>
      <c r="AD11" s="128">
        <v>20523</v>
      </c>
      <c r="AE11" s="128">
        <v>93130</v>
      </c>
      <c r="AF11" s="128">
        <v>239113</v>
      </c>
      <c r="AG11" s="128">
        <v>1258439</v>
      </c>
      <c r="AH11" s="128">
        <v>12622</v>
      </c>
      <c r="AI11" s="128">
        <v>487117</v>
      </c>
      <c r="AJ11" s="128">
        <v>722945</v>
      </c>
      <c r="AK11" s="128">
        <v>11210</v>
      </c>
      <c r="AL11" s="132">
        <v>39942</v>
      </c>
      <c r="AM11" s="128">
        <v>35966</v>
      </c>
      <c r="AN11" s="131">
        <v>683112</v>
      </c>
      <c r="AO11" s="131">
        <v>5418</v>
      </c>
      <c r="AP11" s="131">
        <v>0</v>
      </c>
      <c r="AQ11" s="128">
        <v>121284</v>
      </c>
      <c r="AR11" s="128">
        <v>244370</v>
      </c>
      <c r="AS11" s="128">
        <v>70206</v>
      </c>
      <c r="AT11" s="128">
        <v>676</v>
      </c>
      <c r="AU11" s="128">
        <v>122592</v>
      </c>
      <c r="AV11" s="128">
        <v>48170</v>
      </c>
      <c r="AW11" s="128">
        <v>41470</v>
      </c>
      <c r="AX11" s="128">
        <v>203776</v>
      </c>
      <c r="AY11" s="128">
        <v>561208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>
        <v>60688</v>
      </c>
      <c r="C12" s="128">
        <v>96701</v>
      </c>
      <c r="D12" s="128">
        <v>17331</v>
      </c>
      <c r="E12" s="128">
        <v>15487</v>
      </c>
      <c r="F12" s="128">
        <v>217170</v>
      </c>
      <c r="G12" s="128">
        <v>4097</v>
      </c>
      <c r="H12" s="128">
        <v>3462</v>
      </c>
      <c r="I12" s="128">
        <v>433138</v>
      </c>
      <c r="J12" s="128">
        <v>79146</v>
      </c>
      <c r="K12" s="128">
        <v>7953</v>
      </c>
      <c r="L12" s="128">
        <v>32876</v>
      </c>
      <c r="M12" s="128">
        <v>56987</v>
      </c>
      <c r="N12" s="128">
        <v>44252</v>
      </c>
      <c r="O12" s="128">
        <v>214050</v>
      </c>
      <c r="P12" s="128">
        <v>465096</v>
      </c>
      <c r="Q12" s="128">
        <v>3640</v>
      </c>
      <c r="R12" s="128">
        <v>21677</v>
      </c>
      <c r="S12" s="128">
        <v>25503</v>
      </c>
      <c r="T12" s="128">
        <v>314217</v>
      </c>
      <c r="U12" s="128">
        <v>434497</v>
      </c>
      <c r="V12" s="128">
        <v>47453</v>
      </c>
      <c r="W12" s="128">
        <v>5984</v>
      </c>
      <c r="X12" s="128">
        <v>16352</v>
      </c>
      <c r="Y12" s="128">
        <v>102192</v>
      </c>
      <c r="Z12" s="128">
        <v>662</v>
      </c>
      <c r="AA12" s="128">
        <v>193977</v>
      </c>
      <c r="AB12" s="128">
        <v>10079</v>
      </c>
      <c r="AC12" s="128">
        <v>2249</v>
      </c>
      <c r="AD12" s="128">
        <v>20536</v>
      </c>
      <c r="AE12" s="128">
        <v>93220</v>
      </c>
      <c r="AF12" s="128">
        <v>239298</v>
      </c>
      <c r="AG12" s="128">
        <v>1259248</v>
      </c>
      <c r="AH12" s="128">
        <v>12624</v>
      </c>
      <c r="AI12" s="128">
        <v>487135</v>
      </c>
      <c r="AJ12" s="128">
        <v>723468</v>
      </c>
      <c r="AK12" s="128">
        <v>11215</v>
      </c>
      <c r="AL12" s="128">
        <v>39958</v>
      </c>
      <c r="AM12" s="128">
        <v>36068</v>
      </c>
      <c r="AN12" s="128">
        <v>683701</v>
      </c>
      <c r="AO12" s="128">
        <v>5419</v>
      </c>
      <c r="AP12" s="128">
        <v>0</v>
      </c>
      <c r="AQ12" s="128">
        <v>121329</v>
      </c>
      <c r="AR12" s="128">
        <v>244462</v>
      </c>
      <c r="AS12" s="128">
        <v>70222</v>
      </c>
      <c r="AT12" s="128">
        <v>677</v>
      </c>
      <c r="AU12" s="128">
        <v>122689</v>
      </c>
      <c r="AV12" s="128">
        <v>48218</v>
      </c>
      <c r="AW12" s="128">
        <v>41512</v>
      </c>
      <c r="AX12" s="128">
        <v>203952</v>
      </c>
      <c r="AY12" s="128">
        <v>561689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>
        <v>60749</v>
      </c>
      <c r="C13" s="128">
        <v>96799</v>
      </c>
      <c r="D13" s="128">
        <v>17338</v>
      </c>
      <c r="E13" s="128">
        <v>15492</v>
      </c>
      <c r="F13" s="128">
        <v>217346</v>
      </c>
      <c r="G13" s="128">
        <v>4100</v>
      </c>
      <c r="H13" s="128">
        <v>3475</v>
      </c>
      <c r="I13" s="128">
        <v>433400</v>
      </c>
      <c r="J13" s="128">
        <v>79199</v>
      </c>
      <c r="K13" s="128">
        <v>7953</v>
      </c>
      <c r="L13" s="128">
        <v>32899</v>
      </c>
      <c r="M13" s="128">
        <v>56991</v>
      </c>
      <c r="N13" s="128">
        <v>44289</v>
      </c>
      <c r="O13" s="128">
        <v>214243</v>
      </c>
      <c r="P13" s="128">
        <v>465550</v>
      </c>
      <c r="Q13" s="128">
        <v>3645</v>
      </c>
      <c r="R13" s="128">
        <v>21689</v>
      </c>
      <c r="S13" s="128">
        <v>25503</v>
      </c>
      <c r="T13" s="128">
        <v>314428</v>
      </c>
      <c r="U13" s="128">
        <v>434834</v>
      </c>
      <c r="V13" s="128">
        <v>47491</v>
      </c>
      <c r="W13" s="128">
        <v>5998</v>
      </c>
      <c r="X13" s="128">
        <v>16374</v>
      </c>
      <c r="Y13" s="128">
        <v>102286</v>
      </c>
      <c r="Z13" s="128">
        <v>666</v>
      </c>
      <c r="AA13" s="128">
        <v>194112</v>
      </c>
      <c r="AB13" s="128">
        <v>10082</v>
      </c>
      <c r="AC13" s="128">
        <v>2251</v>
      </c>
      <c r="AD13" s="128">
        <v>20548</v>
      </c>
      <c r="AE13" s="128">
        <v>93310</v>
      </c>
      <c r="AF13" s="128">
        <v>239505</v>
      </c>
      <c r="AG13" s="128">
        <v>1260046</v>
      </c>
      <c r="AH13" s="128">
        <v>12630</v>
      </c>
      <c r="AI13" s="128">
        <v>487153</v>
      </c>
      <c r="AJ13" s="128">
        <v>723993</v>
      </c>
      <c r="AK13" s="128">
        <v>11226</v>
      </c>
      <c r="AL13" s="132">
        <v>39973</v>
      </c>
      <c r="AM13" s="128">
        <v>36152</v>
      </c>
      <c r="AN13" s="131">
        <v>684335</v>
      </c>
      <c r="AO13" s="131">
        <v>5421</v>
      </c>
      <c r="AP13" s="131">
        <v>0</v>
      </c>
      <c r="AQ13" s="128">
        <v>121375</v>
      </c>
      <c r="AR13" s="128">
        <v>244551</v>
      </c>
      <c r="AS13" s="128">
        <v>70236</v>
      </c>
      <c r="AT13" s="128">
        <v>678</v>
      </c>
      <c r="AU13" s="128">
        <v>122766</v>
      </c>
      <c r="AV13" s="128">
        <v>48253</v>
      </c>
      <c r="AW13" s="128">
        <v>41540</v>
      </c>
      <c r="AX13" s="128">
        <v>204121</v>
      </c>
      <c r="AY13" s="128">
        <v>562149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>
        <v>60799</v>
      </c>
      <c r="C14" s="128">
        <v>96890</v>
      </c>
      <c r="D14" s="128">
        <v>17344</v>
      </c>
      <c r="E14" s="128">
        <v>15499</v>
      </c>
      <c r="F14" s="128">
        <v>217522</v>
      </c>
      <c r="G14" s="128">
        <v>4104</v>
      </c>
      <c r="H14" s="128">
        <v>3488</v>
      </c>
      <c r="I14" s="128">
        <v>433669</v>
      </c>
      <c r="J14" s="128">
        <v>79253</v>
      </c>
      <c r="K14" s="128">
        <v>7954</v>
      </c>
      <c r="L14" s="128">
        <v>32922</v>
      </c>
      <c r="M14" s="128">
        <v>56997</v>
      </c>
      <c r="N14" s="128">
        <v>44325</v>
      </c>
      <c r="O14" s="128">
        <v>214441</v>
      </c>
      <c r="P14" s="128">
        <v>465770</v>
      </c>
      <c r="Q14" s="128">
        <v>3650</v>
      </c>
      <c r="R14" s="128">
        <v>21705</v>
      </c>
      <c r="S14" s="128">
        <v>25503</v>
      </c>
      <c r="T14" s="128">
        <v>314637</v>
      </c>
      <c r="U14" s="128">
        <v>435156</v>
      </c>
      <c r="V14" s="128">
        <v>47530</v>
      </c>
      <c r="W14" s="128">
        <v>6009</v>
      </c>
      <c r="X14" s="128">
        <v>16396</v>
      </c>
      <c r="Y14" s="128">
        <v>102370</v>
      </c>
      <c r="Z14" s="128">
        <v>669</v>
      </c>
      <c r="AA14" s="128">
        <v>194248</v>
      </c>
      <c r="AB14" s="128">
        <v>10089</v>
      </c>
      <c r="AC14" s="128">
        <v>2252</v>
      </c>
      <c r="AD14" s="128">
        <v>20563</v>
      </c>
      <c r="AE14" s="128">
        <v>93402</v>
      </c>
      <c r="AF14" s="128">
        <v>239728</v>
      </c>
      <c r="AG14" s="128">
        <v>1260845</v>
      </c>
      <c r="AH14" s="128">
        <v>12632</v>
      </c>
      <c r="AI14" s="128">
        <v>487171</v>
      </c>
      <c r="AJ14" s="128">
        <v>724499</v>
      </c>
      <c r="AK14" s="128">
        <v>11237</v>
      </c>
      <c r="AL14" s="132">
        <v>39988</v>
      </c>
      <c r="AM14" s="128">
        <v>36245</v>
      </c>
      <c r="AN14" s="131">
        <v>684980</v>
      </c>
      <c r="AO14" s="131">
        <v>5422</v>
      </c>
      <c r="AP14" s="131">
        <v>0</v>
      </c>
      <c r="AQ14" s="128">
        <v>121423</v>
      </c>
      <c r="AR14" s="128">
        <v>244644</v>
      </c>
      <c r="AS14" s="128">
        <v>70251</v>
      </c>
      <c r="AT14" s="128">
        <v>678</v>
      </c>
      <c r="AU14" s="128">
        <v>122843</v>
      </c>
      <c r="AV14" s="128">
        <v>48272</v>
      </c>
      <c r="AW14" s="128">
        <v>41556</v>
      </c>
      <c r="AX14" s="128">
        <v>204281</v>
      </c>
      <c r="AY14" s="128">
        <v>562516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8">
        <v>60856</v>
      </c>
      <c r="C15" s="128">
        <v>96965</v>
      </c>
      <c r="D15" s="128">
        <v>17350</v>
      </c>
      <c r="E15" s="128">
        <v>15505</v>
      </c>
      <c r="F15" s="128">
        <v>217715</v>
      </c>
      <c r="G15" s="128">
        <v>4107</v>
      </c>
      <c r="H15" s="128">
        <v>3499</v>
      </c>
      <c r="I15" s="128">
        <v>433929</v>
      </c>
      <c r="J15" s="128">
        <v>79313</v>
      </c>
      <c r="K15" s="128">
        <v>7954</v>
      </c>
      <c r="L15" s="128">
        <v>32946</v>
      </c>
      <c r="M15" s="128">
        <v>57003</v>
      </c>
      <c r="N15" s="128">
        <v>44361</v>
      </c>
      <c r="O15" s="128">
        <v>214636</v>
      </c>
      <c r="P15" s="128">
        <v>466191</v>
      </c>
      <c r="Q15" s="128">
        <v>3654</v>
      </c>
      <c r="R15" s="128">
        <v>21721</v>
      </c>
      <c r="S15" s="128">
        <v>25503</v>
      </c>
      <c r="T15" s="128">
        <v>314850</v>
      </c>
      <c r="U15" s="128">
        <v>435494</v>
      </c>
      <c r="V15" s="128">
        <v>47568</v>
      </c>
      <c r="W15" s="128">
        <v>6013</v>
      </c>
      <c r="X15" s="128">
        <v>16413</v>
      </c>
      <c r="Y15" s="128">
        <v>102462</v>
      </c>
      <c r="Z15" s="128">
        <v>672</v>
      </c>
      <c r="AA15" s="128">
        <v>194385</v>
      </c>
      <c r="AB15" s="128">
        <v>10099</v>
      </c>
      <c r="AC15" s="128">
        <v>2253</v>
      </c>
      <c r="AD15" s="128">
        <v>20581</v>
      </c>
      <c r="AE15" s="128">
        <v>93494</v>
      </c>
      <c r="AF15" s="128">
        <v>239905</v>
      </c>
      <c r="AG15" s="128">
        <v>1261606</v>
      </c>
      <c r="AH15" s="128">
        <v>12632</v>
      </c>
      <c r="AI15" s="128">
        <v>487189</v>
      </c>
      <c r="AJ15" s="128">
        <v>724951</v>
      </c>
      <c r="AK15" s="128">
        <v>11246</v>
      </c>
      <c r="AL15" s="132">
        <v>40004</v>
      </c>
      <c r="AM15" s="128">
        <v>36328</v>
      </c>
      <c r="AN15" s="131">
        <v>685526</v>
      </c>
      <c r="AO15" s="131">
        <v>5423</v>
      </c>
      <c r="AP15" s="131">
        <v>0</v>
      </c>
      <c r="AQ15" s="128">
        <v>121468</v>
      </c>
      <c r="AR15" s="128">
        <v>244736</v>
      </c>
      <c r="AS15" s="128">
        <v>70269</v>
      </c>
      <c r="AT15" s="128">
        <v>679</v>
      </c>
      <c r="AU15" s="128">
        <v>122918</v>
      </c>
      <c r="AV15" s="128">
        <v>48313</v>
      </c>
      <c r="AW15" s="128">
        <v>41590</v>
      </c>
      <c r="AX15" s="128">
        <v>204433</v>
      </c>
      <c r="AY15" s="128">
        <v>563025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>
        <v>60883</v>
      </c>
      <c r="C16" s="128">
        <v>97010</v>
      </c>
      <c r="D16" s="128">
        <v>17355</v>
      </c>
      <c r="E16" s="128">
        <v>15508</v>
      </c>
      <c r="F16" s="128">
        <v>217813</v>
      </c>
      <c r="G16" s="128">
        <v>4109</v>
      </c>
      <c r="H16" s="128">
        <v>3504</v>
      </c>
      <c r="I16" s="128">
        <v>434063</v>
      </c>
      <c r="J16" s="128">
        <v>79342</v>
      </c>
      <c r="K16" s="128">
        <v>7955</v>
      </c>
      <c r="L16" s="128">
        <v>32960</v>
      </c>
      <c r="M16" s="128">
        <v>57007</v>
      </c>
      <c r="N16" s="128">
        <v>44379</v>
      </c>
      <c r="O16" s="128">
        <v>214730</v>
      </c>
      <c r="P16" s="128">
        <v>466325</v>
      </c>
      <c r="Q16" s="128">
        <v>3657</v>
      </c>
      <c r="R16" s="128">
        <v>21728</v>
      </c>
      <c r="S16" s="128">
        <v>25503</v>
      </c>
      <c r="T16" s="128">
        <v>314958</v>
      </c>
      <c r="U16" s="128">
        <v>435660</v>
      </c>
      <c r="V16" s="128">
        <v>47588</v>
      </c>
      <c r="W16" s="128">
        <v>6015</v>
      </c>
      <c r="X16" s="128">
        <v>16423</v>
      </c>
      <c r="Y16" s="128">
        <v>102507</v>
      </c>
      <c r="Z16" s="128">
        <v>674</v>
      </c>
      <c r="AA16" s="128">
        <v>194453</v>
      </c>
      <c r="AB16" s="128">
        <v>10103</v>
      </c>
      <c r="AC16" s="128">
        <v>2254</v>
      </c>
      <c r="AD16" s="128">
        <v>20587</v>
      </c>
      <c r="AE16" s="128">
        <v>93537</v>
      </c>
      <c r="AF16" s="128">
        <v>239993</v>
      </c>
      <c r="AG16" s="128">
        <v>1262032</v>
      </c>
      <c r="AH16" s="128">
        <v>12633</v>
      </c>
      <c r="AI16" s="128">
        <v>487198</v>
      </c>
      <c r="AJ16" s="128">
        <v>725163</v>
      </c>
      <c r="AK16" s="128">
        <v>11251</v>
      </c>
      <c r="AL16" s="132">
        <v>40012</v>
      </c>
      <c r="AM16" s="128">
        <v>36372</v>
      </c>
      <c r="AN16" s="131">
        <v>685674</v>
      </c>
      <c r="AO16" s="131">
        <v>5424</v>
      </c>
      <c r="AP16" s="131">
        <v>0</v>
      </c>
      <c r="AQ16" s="128">
        <v>121490</v>
      </c>
      <c r="AR16" s="128">
        <v>244780</v>
      </c>
      <c r="AS16" s="128">
        <v>70277</v>
      </c>
      <c r="AT16" s="128">
        <v>680</v>
      </c>
      <c r="AU16" s="128">
        <v>122949</v>
      </c>
      <c r="AV16" s="128">
        <v>48332</v>
      </c>
      <c r="AW16" s="128">
        <v>41607</v>
      </c>
      <c r="AX16" s="128">
        <v>204519</v>
      </c>
      <c r="AY16" s="128">
        <v>563246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>
        <v>60910</v>
      </c>
      <c r="C17" s="128">
        <v>97054</v>
      </c>
      <c r="D17" s="128">
        <v>17360</v>
      </c>
      <c r="E17" s="128">
        <v>15511</v>
      </c>
      <c r="F17" s="128">
        <v>217910</v>
      </c>
      <c r="G17" s="128">
        <v>4111</v>
      </c>
      <c r="H17" s="128">
        <v>3508</v>
      </c>
      <c r="I17" s="128">
        <v>434200</v>
      </c>
      <c r="J17" s="128">
        <v>79371</v>
      </c>
      <c r="K17" s="128">
        <v>7955</v>
      </c>
      <c r="L17" s="128">
        <v>32974</v>
      </c>
      <c r="M17" s="128">
        <v>57011</v>
      </c>
      <c r="N17" s="128">
        <v>44396</v>
      </c>
      <c r="O17" s="128">
        <v>214823</v>
      </c>
      <c r="P17" s="128">
        <v>466458</v>
      </c>
      <c r="Q17" s="128">
        <v>3660</v>
      </c>
      <c r="R17" s="128">
        <v>21735</v>
      </c>
      <c r="S17" s="128">
        <v>25503</v>
      </c>
      <c r="T17" s="128">
        <v>315065</v>
      </c>
      <c r="U17" s="128">
        <v>435825</v>
      </c>
      <c r="V17" s="128">
        <v>47607</v>
      </c>
      <c r="W17" s="128">
        <v>6016</v>
      </c>
      <c r="X17" s="128">
        <v>16433</v>
      </c>
      <c r="Y17" s="128">
        <v>102551</v>
      </c>
      <c r="Z17" s="128">
        <v>675</v>
      </c>
      <c r="AA17" s="128">
        <v>194520</v>
      </c>
      <c r="AB17" s="128">
        <v>10107</v>
      </c>
      <c r="AC17" s="128">
        <v>2254</v>
      </c>
      <c r="AD17" s="128">
        <v>20593</v>
      </c>
      <c r="AE17" s="128">
        <v>93580</v>
      </c>
      <c r="AF17" s="128">
        <v>240081</v>
      </c>
      <c r="AG17" s="128">
        <v>1262458</v>
      </c>
      <c r="AH17" s="128">
        <v>12633</v>
      </c>
      <c r="AI17" s="128">
        <v>487207</v>
      </c>
      <c r="AJ17" s="128">
        <v>725375</v>
      </c>
      <c r="AK17" s="128">
        <v>11256</v>
      </c>
      <c r="AL17" s="132">
        <v>40019</v>
      </c>
      <c r="AM17" s="128">
        <v>36415</v>
      </c>
      <c r="AN17" s="131">
        <v>685822</v>
      </c>
      <c r="AO17" s="131">
        <v>5425</v>
      </c>
      <c r="AP17" s="131">
        <v>0</v>
      </c>
      <c r="AQ17" s="128">
        <v>121512</v>
      </c>
      <c r="AR17" s="128">
        <v>244824</v>
      </c>
      <c r="AS17" s="128">
        <v>70284</v>
      </c>
      <c r="AT17" s="128">
        <v>680</v>
      </c>
      <c r="AU17" s="128">
        <v>122979</v>
      </c>
      <c r="AV17" s="128">
        <v>48350</v>
      </c>
      <c r="AW17" s="128">
        <v>41624</v>
      </c>
      <c r="AX17" s="128">
        <v>204606</v>
      </c>
      <c r="AY17" s="128">
        <v>563468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32"/>
      <c r="AM18" s="128"/>
      <c r="AN18" s="131"/>
      <c r="AO18" s="131"/>
      <c r="AP18" s="131"/>
      <c r="AQ18" s="128"/>
      <c r="AR18" s="128"/>
      <c r="AS18" s="128"/>
      <c r="AT18" s="128"/>
      <c r="AU18" s="128"/>
      <c r="AV18" s="128"/>
      <c r="AW18" s="128"/>
      <c r="AX18" s="128"/>
      <c r="AY18" s="128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32"/>
      <c r="AM19" s="128"/>
      <c r="AN19" s="131"/>
      <c r="AO19" s="131"/>
      <c r="AP19" s="131"/>
      <c r="AQ19" s="128"/>
      <c r="AR19" s="128"/>
      <c r="AS19" s="128"/>
      <c r="AT19" s="128"/>
      <c r="AU19" s="128"/>
      <c r="AV19" s="128"/>
      <c r="AW19" s="128"/>
      <c r="AX19" s="128"/>
      <c r="AY19" s="128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32"/>
      <c r="AM20" s="128"/>
      <c r="AN20" s="131"/>
      <c r="AO20" s="131"/>
      <c r="AP20" s="131"/>
      <c r="AQ20" s="128"/>
      <c r="AR20" s="128"/>
      <c r="AS20" s="128"/>
      <c r="AT20" s="128"/>
      <c r="AU20" s="128"/>
      <c r="AV20" s="128"/>
      <c r="AW20" s="128"/>
      <c r="AX20" s="128"/>
      <c r="AY20" s="128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31"/>
      <c r="AK21" s="131"/>
      <c r="AL21" s="132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31"/>
      <c r="AK22" s="131"/>
      <c r="AL22" s="132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32"/>
      <c r="AM23" s="128"/>
      <c r="AN23" s="131"/>
      <c r="AO23" s="131"/>
      <c r="AP23" s="131"/>
      <c r="AQ23" s="128"/>
      <c r="AR23" s="128"/>
      <c r="AS23" s="128"/>
      <c r="AT23" s="128"/>
      <c r="AU23" s="128"/>
      <c r="AV23" s="128"/>
      <c r="AW23" s="128"/>
      <c r="AX23" s="128"/>
      <c r="AY23" s="128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32"/>
      <c r="AM24" s="128"/>
      <c r="AN24" s="131"/>
      <c r="AO24" s="131"/>
      <c r="AP24" s="131"/>
      <c r="AQ24" s="128"/>
      <c r="AR24" s="128"/>
      <c r="AS24" s="128"/>
      <c r="AT24" s="128"/>
      <c r="AU24" s="128"/>
      <c r="AV24" s="128"/>
      <c r="AW24" s="128"/>
      <c r="AX24" s="128"/>
      <c r="AY24" s="128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32"/>
      <c r="AM25" s="128"/>
      <c r="AN25" s="131"/>
      <c r="AO25" s="131"/>
      <c r="AP25" s="131"/>
      <c r="AQ25" s="128"/>
      <c r="AR25" s="128"/>
      <c r="AS25" s="128"/>
      <c r="AT25" s="128"/>
      <c r="AU25" s="128"/>
      <c r="AV25" s="128"/>
      <c r="AW25" s="128"/>
      <c r="AX25" s="128"/>
      <c r="AY25" s="128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32"/>
      <c r="AM26" s="128"/>
      <c r="AN26" s="131"/>
      <c r="AO26" s="131"/>
      <c r="AP26" s="131"/>
      <c r="AQ26" s="128"/>
      <c r="AR26" s="128"/>
      <c r="AS26" s="128"/>
      <c r="AT26" s="128"/>
      <c r="AU26" s="128"/>
      <c r="AV26" s="128"/>
      <c r="AW26" s="128"/>
      <c r="AX26" s="128"/>
      <c r="AY26" s="128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32"/>
      <c r="AM27" s="128"/>
      <c r="AN27" s="131"/>
      <c r="AO27" s="131"/>
      <c r="AP27" s="131"/>
      <c r="AQ27" s="128"/>
      <c r="AR27" s="128"/>
      <c r="AS27" s="128"/>
      <c r="AT27" s="128"/>
      <c r="AU27" s="128"/>
      <c r="AV27" s="128"/>
      <c r="AW27" s="128"/>
      <c r="AX27" s="128"/>
      <c r="AY27" s="128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32"/>
      <c r="AM28" s="128"/>
      <c r="AN28" s="131"/>
      <c r="AO28" s="131"/>
      <c r="AP28" s="131"/>
      <c r="AQ28" s="128"/>
      <c r="AR28" s="128"/>
      <c r="AS28" s="128"/>
      <c r="AT28" s="128"/>
      <c r="AU28" s="128"/>
      <c r="AV28" s="128"/>
      <c r="AW28" s="128"/>
      <c r="AX28" s="128"/>
      <c r="AY28" s="128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32"/>
      <c r="AM29" s="128"/>
      <c r="AN29" s="131"/>
      <c r="AO29" s="131"/>
      <c r="AP29" s="131"/>
      <c r="AQ29" s="128"/>
      <c r="AR29" s="128"/>
      <c r="AS29" s="128"/>
      <c r="AT29" s="128"/>
      <c r="AU29" s="128"/>
      <c r="AV29" s="128"/>
      <c r="AW29" s="128"/>
      <c r="AX29" s="128"/>
      <c r="AY29" s="128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32"/>
      <c r="AM30" s="128"/>
      <c r="AN30" s="131"/>
      <c r="AO30" s="131"/>
      <c r="AP30" s="131"/>
      <c r="AQ30" s="128"/>
      <c r="AR30" s="131"/>
      <c r="AS30" s="128"/>
      <c r="AT30" s="128"/>
      <c r="AU30" s="128"/>
      <c r="AV30" s="128"/>
      <c r="AW30" s="128"/>
      <c r="AX30" s="128"/>
      <c r="AY30" s="128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2"/>
      <c r="AM31" s="128"/>
      <c r="AN31" s="131"/>
      <c r="AO31" s="131"/>
      <c r="AP31" s="131"/>
      <c r="AQ31" s="128"/>
      <c r="AR31" s="128"/>
      <c r="AS31" s="128"/>
      <c r="AT31" s="128"/>
      <c r="AU31" s="128"/>
      <c r="AV31" s="128"/>
      <c r="AW31" s="128"/>
      <c r="AX31" s="128"/>
      <c r="AY31" s="128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32"/>
      <c r="AM32" s="128"/>
      <c r="AN32" s="131"/>
      <c r="AO32" s="131"/>
      <c r="AP32" s="131"/>
      <c r="AQ32" s="128"/>
      <c r="AR32" s="128"/>
      <c r="AS32" s="128"/>
      <c r="AT32" s="128"/>
      <c r="AU32" s="128"/>
      <c r="AV32" s="128"/>
      <c r="AW32" s="128"/>
      <c r="AX32" s="128"/>
      <c r="AY32" s="128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32"/>
      <c r="AM33" s="128"/>
      <c r="AN33" s="131"/>
      <c r="AO33" s="131"/>
      <c r="AP33" s="131"/>
      <c r="AQ33" s="128"/>
      <c r="AR33" s="128"/>
      <c r="AS33" s="128"/>
      <c r="AT33" s="128"/>
      <c r="AU33" s="128"/>
      <c r="AV33" s="128"/>
      <c r="AW33" s="128"/>
      <c r="AX33" s="128"/>
      <c r="AY33" s="128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32"/>
      <c r="AM34" s="128"/>
      <c r="AN34" s="131"/>
      <c r="AO34" s="131"/>
      <c r="AP34" s="131"/>
      <c r="AQ34" s="128"/>
      <c r="AR34" s="128"/>
      <c r="AS34" s="128"/>
      <c r="AT34" s="128"/>
      <c r="AU34" s="128"/>
      <c r="AV34" s="128"/>
      <c r="AW34" s="128"/>
      <c r="AX34" s="128"/>
      <c r="AY34" s="128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32"/>
      <c r="AM35" s="128"/>
      <c r="AN35" s="131"/>
      <c r="AO35" s="131"/>
      <c r="AP35" s="131"/>
      <c r="AQ35" s="128"/>
      <c r="AR35" s="128"/>
      <c r="AS35" s="128"/>
      <c r="AT35" s="128"/>
      <c r="AU35" s="128"/>
      <c r="AV35" s="128"/>
      <c r="AW35" s="128"/>
      <c r="AX35" s="128"/>
      <c r="AY35" s="128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32"/>
      <c r="AM36" s="128"/>
      <c r="AN36" s="131"/>
      <c r="AO36" s="131"/>
      <c r="AP36" s="131"/>
      <c r="AQ36" s="128"/>
      <c r="AR36" s="128"/>
      <c r="AS36" s="128"/>
      <c r="AT36" s="128"/>
      <c r="AU36" s="128"/>
      <c r="AV36" s="128"/>
      <c r="AW36" s="128"/>
      <c r="AX36" s="128"/>
      <c r="AY36" s="128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30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32"/>
      <c r="AM37" s="128"/>
      <c r="AN37" s="131"/>
      <c r="AO37" s="131"/>
      <c r="AP37" s="131"/>
      <c r="AQ37" s="128"/>
      <c r="AR37" s="128"/>
      <c r="AS37" s="128"/>
      <c r="AT37" s="128"/>
      <c r="AU37" s="128"/>
      <c r="AV37" s="128"/>
      <c r="AW37" s="128"/>
      <c r="AX37" s="128"/>
      <c r="AY37" s="129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2020-10-12T11:45:31Z</dcterms:modified>
</cp:coreProperties>
</file>