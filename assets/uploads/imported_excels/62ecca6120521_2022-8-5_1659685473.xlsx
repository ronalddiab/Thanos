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DA1E0EA9-7F76-4E21-8E25-6BEFE7C42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5" r:id="rId1"/>
    <sheet name="Submetering" sheetId="9" r:id="rId2"/>
    <sheet name="Hotel" sheetId="7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9" i="7" l="1"/>
  <c r="AW8" i="7" l="1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7" i="7" l="1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S32" i="9" l="1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<sst xmlns="http://schemas.openxmlformats.org/spreadsheetml/2006/main" count="129" uniqueCount="50">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</sst>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32"/>
  <sheetViews>
    <sheetView tabSelected="1" zoomScale="130" zoomScaleNormal="130" workbookViewId="0">
      <selection activeCell="F6" sqref="F6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5" width="13" style="8" customWidth="1"/>
    <col min="6" max="6" width="12.5546875" style="2" customWidth="1"/>
    <col min="7" max="8" width="11.5546875" style="2"/>
    <col min="9" max="9" width="11.5546875" style="4"/>
  </cols>
  <sheetData>
    <row r="1" spans="1:9" s="1" customFormat="1" ht="43.2" x14ac:dyDescent="0.3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3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Submetering!R2</f>
        <v>333.11607999999995</v>
      </c>
      <c r="H2" s="11">
        <v>0.52800000000000002</v>
      </c>
      <c r="I2" s="12">
        <f>Hotel!B7</f>
        <v>35</v>
      </c>
    </row>
    <row r="3" spans="1:9" s="15" customFormat="1" x14ac:dyDescent="0.3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473.17625000000004</v>
      </c>
      <c r="H3" s="11">
        <v>0.52800000000000002</v>
      </c>
      <c r="I3" s="12">
        <f>Hotel!B8</f>
        <v>81</v>
      </c>
    </row>
    <row r="4" spans="1:9" s="15" customFormat="1" x14ac:dyDescent="0.3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427.75133</v>
      </c>
      <c r="H4" s="11">
        <v>0.52800000000000002</v>
      </c>
      <c r="I4" s="12">
        <f>Hotel!B9</f>
        <v>163</v>
      </c>
    </row>
    <row r="5" spans="1:9" s="15" customFormat="1" x14ac:dyDescent="0.3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424.34446100000002</v>
      </c>
      <c r="H5" s="11">
        <v>0.52800000000000002</v>
      </c>
      <c r="I5" s="12">
        <f>Hotel!B10</f>
        <v>241</v>
      </c>
    </row>
    <row r="6" spans="1:9" s="15" customFormat="1" x14ac:dyDescent="0.3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582.95313999999996</v>
      </c>
      <c r="H6" s="11">
        <v>0.52800000000000002</v>
      </c>
      <c r="I6" s="12">
        <f>Hotel!B11</f>
        <v>248</v>
      </c>
    </row>
    <row r="7" spans="1:9" s="15" customFormat="1" x14ac:dyDescent="0.3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492.48184100000003</v>
      </c>
      <c r="H7" s="11">
        <v>0.52800000000000002</v>
      </c>
      <c r="I7" s="12">
        <f>Hotel!B12</f>
        <v>230</v>
      </c>
    </row>
    <row r="8" spans="1:9" s="15" customFormat="1" x14ac:dyDescent="0.3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433.050904</v>
      </c>
      <c r="H8" s="11">
        <v>0.52800000000000002</v>
      </c>
      <c r="I8" s="12">
        <f>Hotel!B13</f>
        <v>132</v>
      </c>
    </row>
    <row r="9" spans="1:9" s="15" customFormat="1" x14ac:dyDescent="0.3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Submetering!R9</f>
        <v>363.39935999999994</v>
      </c>
      <c r="H9" s="11">
        <v>0.52800000000000002</v>
      </c>
      <c r="I9" s="12">
        <f>Hotel!B14</f>
        <v>86</v>
      </c>
    </row>
    <row r="10" spans="1:9" s="15" customFormat="1" x14ac:dyDescent="0.3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Submetering!R10</f>
        <v>386.11181999999997</v>
      </c>
      <c r="H10" s="11">
        <v>0.52800000000000002</v>
      </c>
      <c r="I10" s="12">
        <f>Hotel!B15</f>
        <v>99</v>
      </c>
    </row>
    <row r="11" spans="1:9" s="15" customFormat="1" x14ac:dyDescent="0.3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Submetering!R11</f>
        <v>632.16346999999996</v>
      </c>
      <c r="H11" s="11">
        <v>0.52800000000000002</v>
      </c>
      <c r="I11" s="12">
        <f>Hotel!B16</f>
        <v>97</v>
      </c>
    </row>
    <row r="12" spans="1:9" s="15" customFormat="1" x14ac:dyDescent="0.3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Submetering!R12</f>
        <v>600.36602600000003</v>
      </c>
      <c r="H12" s="11">
        <v>0.52800000000000002</v>
      </c>
      <c r="I12" s="12">
        <f>Hotel!B17</f>
        <v>153</v>
      </c>
    </row>
    <row r="13" spans="1:9" s="15" customFormat="1" x14ac:dyDescent="0.3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Submetering!R13</f>
        <v>562.89046699999994</v>
      </c>
      <c r="H13" s="11">
        <v>0.52800000000000002</v>
      </c>
      <c r="I13" s="12">
        <f>Hotel!B18</f>
        <v>168</v>
      </c>
    </row>
    <row r="14" spans="1:9" s="15" customFormat="1" x14ac:dyDescent="0.3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Submetering!R14</f>
        <v>643.14115900000002</v>
      </c>
      <c r="H14" s="11">
        <v>0.52800000000000002</v>
      </c>
      <c r="I14" s="12">
        <f>Hotel!B19</f>
        <v>176</v>
      </c>
    </row>
    <row r="15" spans="1:9" s="15" customFormat="1" x14ac:dyDescent="0.3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Submetering!R15</f>
        <v>675.31714399999998</v>
      </c>
      <c r="H15" s="11">
        <v>0.52800000000000002</v>
      </c>
      <c r="I15" s="12">
        <f>Hotel!B20</f>
        <v>115</v>
      </c>
    </row>
    <row r="16" spans="1:9" s="15" customFormat="1" x14ac:dyDescent="0.3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Submetering!R16</f>
        <v>593.55228799999998</v>
      </c>
      <c r="H16" s="11">
        <v>0.52800000000000002</v>
      </c>
      <c r="I16" s="12">
        <f>Hotel!B21</f>
        <v>133</v>
      </c>
    </row>
    <row r="17" spans="1:9" s="15" customFormat="1" x14ac:dyDescent="0.3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Submetering!R17</f>
        <v>712.79270299999996</v>
      </c>
      <c r="H17" s="11">
        <v>0.52800000000000002</v>
      </c>
      <c r="I17" s="12">
        <f>Hotel!B22</f>
        <v>153</v>
      </c>
    </row>
    <row r="18" spans="1:9" s="15" customFormat="1" x14ac:dyDescent="0.3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Submetering!R18</f>
        <v>679.85963599999991</v>
      </c>
      <c r="H18" s="11">
        <v>0.52800000000000002</v>
      </c>
      <c r="I18" s="12">
        <f>Hotel!B23</f>
        <v>139</v>
      </c>
    </row>
    <row r="19" spans="1:9" s="15" customFormat="1" x14ac:dyDescent="0.3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67150</v>
      </c>
      <c r="F19" s="11">
        <v>5.0000000000000001E-3</v>
      </c>
      <c r="G19" s="12">
        <f>Submetering!R19</f>
        <v>635.19179799999995</v>
      </c>
      <c r="H19" s="11">
        <v>0.52800000000000002</v>
      </c>
      <c r="I19" s="12">
        <f>Hotel!B24</f>
        <v>149</v>
      </c>
    </row>
    <row r="20" spans="1:9" s="15" customFormat="1" x14ac:dyDescent="0.3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68200</v>
      </c>
      <c r="F20" s="11">
        <v>5.0000000000000001E-3</v>
      </c>
      <c r="G20" s="12">
        <f>Submetering!R20</f>
        <v>639.35574900000006</v>
      </c>
      <c r="H20" s="11">
        <v>0.52800000000000002</v>
      </c>
      <c r="I20" s="12">
        <f>Hotel!B25</f>
        <v>196</v>
      </c>
    </row>
    <row r="21" spans="1:9" s="15" customFormat="1" x14ac:dyDescent="0.3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69660</v>
      </c>
      <c r="F21" s="11">
        <v>5.0000000000000001E-3</v>
      </c>
      <c r="G21" s="12">
        <f>Submetering!R21</f>
        <v>718.84935900000005</v>
      </c>
      <c r="H21" s="11">
        <v>0.52800000000000002</v>
      </c>
      <c r="I21" s="12">
        <f>Hotel!B26</f>
        <v>201</v>
      </c>
    </row>
    <row r="22" spans="1:9" s="15" customFormat="1" x14ac:dyDescent="0.3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70320</v>
      </c>
      <c r="F22" s="11">
        <v>5.0000000000000001E-3</v>
      </c>
      <c r="G22" s="12">
        <f>Submetering!R22</f>
        <v>758.217623</v>
      </c>
      <c r="H22" s="11">
        <v>0.52800000000000002</v>
      </c>
      <c r="I22" s="12">
        <f>Hotel!B27</f>
        <v>197</v>
      </c>
    </row>
    <row r="23" spans="1:9" s="15" customFormat="1" x14ac:dyDescent="0.3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72060</v>
      </c>
      <c r="F23" s="11">
        <v>5.0000000000000001E-3</v>
      </c>
      <c r="G23" s="12">
        <f>Submetering!R23</f>
        <v>757.46054100000003</v>
      </c>
      <c r="H23" s="11">
        <v>0.52800000000000002</v>
      </c>
      <c r="I23" s="12">
        <f>Hotel!B28</f>
        <v>231</v>
      </c>
    </row>
    <row r="24" spans="1:9" s="15" customFormat="1" x14ac:dyDescent="0.3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67800</v>
      </c>
      <c r="F24" s="11">
        <v>5.0000000000000001E-3</v>
      </c>
      <c r="G24" s="12">
        <f>Submetering!R24</f>
        <v>751.78242599999999</v>
      </c>
      <c r="H24" s="11">
        <v>0.52800000000000002</v>
      </c>
      <c r="I24" s="12">
        <f>Hotel!B29</f>
        <v>284</v>
      </c>
    </row>
    <row r="25" spans="1:9" s="15" customFormat="1" x14ac:dyDescent="0.3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Submetering!R25</f>
        <v>748.37555699999996</v>
      </c>
      <c r="H25" s="11">
        <v>0.52800000000000002</v>
      </c>
      <c r="I25" s="12">
        <f>Hotel!B30</f>
        <v>207</v>
      </c>
    </row>
    <row r="26" spans="1:9" s="15" customFormat="1" x14ac:dyDescent="0.3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61740</v>
      </c>
      <c r="F26" s="11">
        <v>5.0000000000000001E-3</v>
      </c>
      <c r="G26" s="12">
        <f>Submetering!R26</f>
        <v>706.35750599999994</v>
      </c>
      <c r="H26" s="11">
        <v>0.52800000000000002</v>
      </c>
      <c r="I26" s="12">
        <f>Hotel!B31</f>
        <v>192</v>
      </c>
    </row>
    <row r="27" spans="1:9" s="15" customFormat="1" x14ac:dyDescent="0.3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63070</v>
      </c>
      <c r="F27" s="11">
        <v>5.0000000000000001E-3</v>
      </c>
      <c r="G27" s="12">
        <f>Submetering!R27</f>
        <v>716.57811300000003</v>
      </c>
      <c r="H27" s="11">
        <v>0.52800000000000002</v>
      </c>
      <c r="I27" s="12">
        <f>Hotel!B32</f>
        <v>242</v>
      </c>
    </row>
    <row r="28" spans="1:9" s="15" customFormat="1" x14ac:dyDescent="0.3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65730</v>
      </c>
      <c r="F28" s="11">
        <v>5.0000000000000001E-3</v>
      </c>
      <c r="G28" s="12">
        <f>Submetering!R28</f>
        <v>752.53950799999996</v>
      </c>
      <c r="H28" s="11">
        <v>0.52800000000000002</v>
      </c>
      <c r="I28" s="12">
        <f>Hotel!B33</f>
        <v>266</v>
      </c>
    </row>
    <row r="29" spans="1:9" s="15" customFormat="1" x14ac:dyDescent="0.3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65800</v>
      </c>
      <c r="F29" s="11">
        <v>5.0000000000000001E-3</v>
      </c>
      <c r="G29" s="12">
        <f>Submetering!R29</f>
        <v>709.38583399999993</v>
      </c>
      <c r="H29" s="11">
        <v>0.52800000000000002</v>
      </c>
      <c r="I29" s="12">
        <f>Hotel!B34</f>
        <v>156</v>
      </c>
    </row>
    <row r="30" spans="1:9" s="15" customFormat="1" x14ac:dyDescent="0.3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58910</v>
      </c>
      <c r="F30" s="11">
        <v>5.0000000000000001E-3</v>
      </c>
      <c r="G30" s="12">
        <f>Submetering!R30</f>
        <v>635.19179799999995</v>
      </c>
      <c r="H30" s="11">
        <v>0.52800000000000002</v>
      </c>
      <c r="I30" s="12">
        <f>Hotel!B35</f>
        <v>136</v>
      </c>
    </row>
    <row r="31" spans="1:9" s="13" customFormat="1" x14ac:dyDescent="0.3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65840</v>
      </c>
      <c r="F31" s="11">
        <v>5.0000000000000001E-3</v>
      </c>
      <c r="G31" s="12">
        <f>Submetering!R31</f>
        <v>736.26224500000001</v>
      </c>
      <c r="H31" s="11">
        <v>0.52800000000000002</v>
      </c>
      <c r="I31" s="12">
        <f>Hotel!B36</f>
        <v>153</v>
      </c>
    </row>
    <row r="32" spans="1:9" s="13" customFormat="1" x14ac:dyDescent="0.3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65200</v>
      </c>
      <c r="F32" s="11">
        <v>5.0000000000000001E-3</v>
      </c>
      <c r="G32" s="12">
        <f>Submetering!R32</f>
        <v>631.78492900000003</v>
      </c>
      <c r="H32" s="11">
        <v>0.52800000000000002</v>
      </c>
      <c r="I32" s="12">
        <f>Hotel!B37</f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S32"/>
  <sheetViews>
    <sheetView workbookViewId="0">
      <selection activeCell="C3" sqref="C3:C32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16" width="12.5546875" style="4" customWidth="1"/>
    <col min="17" max="18" width="11.5546875" style="4"/>
    <col min="19" max="19" width="11.5546875" style="2"/>
  </cols>
  <sheetData>
    <row r="1" spans="1:19" s="1" customFormat="1" ht="28.8" x14ac:dyDescent="0.3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3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333.11607999999995</v>
      </c>
      <c r="S2" s="4">
        <f>Hotel!B7</f>
        <v>35</v>
      </c>
    </row>
    <row r="3" spans="1:19" x14ac:dyDescent="0.3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473.17625000000004</v>
      </c>
      <c r="S3" s="4">
        <f>Hotel!B8</f>
        <v>81</v>
      </c>
    </row>
    <row r="4" spans="1:19" x14ac:dyDescent="0.3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427.75133</v>
      </c>
      <c r="S4" s="4">
        <f>Hotel!B9</f>
        <v>163</v>
      </c>
    </row>
    <row r="5" spans="1:19" x14ac:dyDescent="0.3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424.34446100000002</v>
      </c>
      <c r="S5" s="4">
        <f>Hotel!B10</f>
        <v>241</v>
      </c>
    </row>
    <row r="6" spans="1:19" x14ac:dyDescent="0.3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582.95313999999996</v>
      </c>
      <c r="S6" s="4">
        <f>Hotel!B11</f>
        <v>248</v>
      </c>
    </row>
    <row r="7" spans="1:19" x14ac:dyDescent="0.3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492.48184100000003</v>
      </c>
      <c r="S7" s="4">
        <f>Hotel!B12</f>
        <v>230</v>
      </c>
    </row>
    <row r="8" spans="1:19" x14ac:dyDescent="0.3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433.050904</v>
      </c>
      <c r="S8" s="4">
        <f>Hotel!B13</f>
        <v>132</v>
      </c>
    </row>
    <row r="9" spans="1:19" x14ac:dyDescent="0.3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Hotel!AV14*0.00378541*100</f>
        <v>363.39935999999994</v>
      </c>
      <c r="S9" s="4">
        <f>Hotel!B14</f>
        <v>86</v>
      </c>
    </row>
    <row r="10" spans="1:19" x14ac:dyDescent="0.3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Hotel!AV15*0.00378541*100</f>
        <v>386.11181999999997</v>
      </c>
      <c r="S10" s="4">
        <f>Hotel!B15</f>
        <v>99</v>
      </c>
    </row>
    <row r="11" spans="1:19" x14ac:dyDescent="0.3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Hotel!AV16*0.00378541*100</f>
        <v>632.16346999999996</v>
      </c>
      <c r="S11" s="4">
        <f>Hotel!B16</f>
        <v>97</v>
      </c>
    </row>
    <row r="12" spans="1:19" x14ac:dyDescent="0.3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Hotel!AV17*0.00378541*100</f>
        <v>600.36602600000003</v>
      </c>
      <c r="S12" s="4">
        <f>Hotel!B17</f>
        <v>153</v>
      </c>
    </row>
    <row r="13" spans="1:19" x14ac:dyDescent="0.3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Hotel!AV18*0.00378541*100</f>
        <v>562.89046699999994</v>
      </c>
      <c r="S13" s="4">
        <f>Hotel!B18</f>
        <v>168</v>
      </c>
    </row>
    <row r="14" spans="1:19" x14ac:dyDescent="0.3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Hotel!AV19*0.00378541*100</f>
        <v>643.14115900000002</v>
      </c>
      <c r="S14" s="4">
        <f>Hotel!B19</f>
        <v>176</v>
      </c>
    </row>
    <row r="15" spans="1:19" x14ac:dyDescent="0.3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Hotel!AV20*0.00378541*100</f>
        <v>675.31714399999998</v>
      </c>
      <c r="S15" s="4">
        <f>Hotel!B20</f>
        <v>115</v>
      </c>
    </row>
    <row r="16" spans="1:19" x14ac:dyDescent="0.3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Hotel!AV21*0.00378541*100</f>
        <v>593.55228799999998</v>
      </c>
      <c r="S16" s="4">
        <v>38</v>
      </c>
    </row>
    <row r="17" spans="1:19" x14ac:dyDescent="0.3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Hotel!AV22*0.00378541*100</f>
        <v>712.79270299999996</v>
      </c>
      <c r="S17" s="4">
        <v>41</v>
      </c>
    </row>
    <row r="18" spans="1:19" x14ac:dyDescent="0.3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Hotel!AV23*0.00378541*100</f>
        <v>679.85963599999991</v>
      </c>
      <c r="S18" s="4">
        <f>Hotel!B23</f>
        <v>139</v>
      </c>
    </row>
    <row r="19" spans="1:19" x14ac:dyDescent="0.3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9060</v>
      </c>
      <c r="F19" s="4">
        <f>Hotel!R24</f>
        <v>12320</v>
      </c>
      <c r="G19" s="4">
        <f>Hotel!S24</f>
        <v>120</v>
      </c>
      <c r="H19" s="4">
        <f>Hotel!T24</f>
        <v>1580</v>
      </c>
      <c r="I19" s="4">
        <f>Hotel!U24</f>
        <v>4430</v>
      </c>
      <c r="J19" s="4">
        <f>Hotel!V24</f>
        <v>4030</v>
      </c>
      <c r="K19" s="4">
        <f>Hotel!W24</f>
        <v>3200</v>
      </c>
      <c r="L19" s="4">
        <f>Hotel!X24</f>
        <v>4470</v>
      </c>
      <c r="M19" s="4">
        <f>Hotel!Y24</f>
        <v>4970</v>
      </c>
      <c r="N19" s="4">
        <f>Hotel!Z24</f>
        <v>2620</v>
      </c>
      <c r="O19" s="4">
        <f>Hotel!AA24</f>
        <v>3040</v>
      </c>
      <c r="P19" s="4">
        <f>Hotel!AB24</f>
        <v>7150</v>
      </c>
      <c r="Q19" s="4">
        <f>Hotel!AC24</f>
        <v>10160</v>
      </c>
      <c r="R19" s="4">
        <f>Hotel!AV24*0.00378541*100</f>
        <v>635.19179799999995</v>
      </c>
      <c r="S19" s="4">
        <f>Hotel!B24</f>
        <v>149</v>
      </c>
    </row>
    <row r="20" spans="1:19" x14ac:dyDescent="0.3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9360</v>
      </c>
      <c r="F20" s="4">
        <f>Hotel!R25</f>
        <v>12630</v>
      </c>
      <c r="G20" s="4">
        <f>Hotel!S25</f>
        <v>130</v>
      </c>
      <c r="H20" s="4">
        <f>Hotel!T25</f>
        <v>1610</v>
      </c>
      <c r="I20" s="4">
        <f>Hotel!U25</f>
        <v>4610</v>
      </c>
      <c r="J20" s="4">
        <f>Hotel!V25</f>
        <v>4070</v>
      </c>
      <c r="K20" s="4">
        <f>Hotel!W25</f>
        <v>3210</v>
      </c>
      <c r="L20" s="4">
        <f>Hotel!X25</f>
        <v>4370</v>
      </c>
      <c r="M20" s="4">
        <f>Hotel!Y25</f>
        <v>5400</v>
      </c>
      <c r="N20" s="4">
        <f>Hotel!Z25</f>
        <v>2710</v>
      </c>
      <c r="O20" s="4">
        <f>Hotel!AA25</f>
        <v>3110</v>
      </c>
      <c r="P20" s="4">
        <f>Hotel!AB25</f>
        <v>7450</v>
      </c>
      <c r="Q20" s="4">
        <f>Hotel!AC25</f>
        <v>9540</v>
      </c>
      <c r="R20" s="4">
        <f>Hotel!AV25*0.00378541*100</f>
        <v>639.35574900000006</v>
      </c>
      <c r="S20" s="4">
        <f>Hotel!B25</f>
        <v>196</v>
      </c>
    </row>
    <row r="21" spans="1:19" x14ac:dyDescent="0.3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9470</v>
      </c>
      <c r="F21" s="4">
        <f>Hotel!R26</f>
        <v>12770</v>
      </c>
      <c r="G21" s="4">
        <f>Hotel!S26</f>
        <v>140</v>
      </c>
      <c r="H21" s="4">
        <f>Hotel!T26</f>
        <v>1630</v>
      </c>
      <c r="I21" s="4">
        <f>Hotel!U26</f>
        <v>4850</v>
      </c>
      <c r="J21" s="4">
        <f>Hotel!V26</f>
        <v>4090</v>
      </c>
      <c r="K21" s="4">
        <f>Hotel!W26</f>
        <v>3380</v>
      </c>
      <c r="L21" s="4">
        <f>Hotel!X26</f>
        <v>4500</v>
      </c>
      <c r="M21" s="4">
        <f>Hotel!Y26</f>
        <v>5390</v>
      </c>
      <c r="N21" s="4">
        <f>Hotel!Z26</f>
        <v>2800</v>
      </c>
      <c r="O21" s="4">
        <f>Hotel!AA26</f>
        <v>3420</v>
      </c>
      <c r="P21" s="4">
        <f>Hotel!AB26</f>
        <v>9330</v>
      </c>
      <c r="Q21" s="4">
        <f>Hotel!AC26</f>
        <v>7890</v>
      </c>
      <c r="R21" s="4">
        <f>Hotel!AV26*0.00378541*100</f>
        <v>718.84935900000005</v>
      </c>
      <c r="S21" s="4">
        <f>Hotel!B26</f>
        <v>201</v>
      </c>
    </row>
    <row r="22" spans="1:19" x14ac:dyDescent="0.3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9950</v>
      </c>
      <c r="F22" s="4">
        <f>Hotel!R27</f>
        <v>13300</v>
      </c>
      <c r="G22" s="4">
        <f>Hotel!S27</f>
        <v>140</v>
      </c>
      <c r="H22" s="4">
        <f>Hotel!T27</f>
        <v>1660</v>
      </c>
      <c r="I22" s="4">
        <f>Hotel!U27</f>
        <v>4840</v>
      </c>
      <c r="J22" s="4">
        <f>Hotel!V27</f>
        <v>4240</v>
      </c>
      <c r="K22" s="4">
        <f>Hotel!W27</f>
        <v>3450</v>
      </c>
      <c r="L22" s="4">
        <f>Hotel!X27</f>
        <v>4680</v>
      </c>
      <c r="M22" s="4">
        <f>Hotel!Y27</f>
        <v>5340</v>
      </c>
      <c r="N22" s="4">
        <f>Hotel!Z27</f>
        <v>2900</v>
      </c>
      <c r="O22" s="4">
        <f>Hotel!AA27</f>
        <v>3610</v>
      </c>
      <c r="P22" s="4">
        <f>Hotel!AB27</f>
        <v>5930</v>
      </c>
      <c r="Q22" s="4">
        <f>Hotel!AC27</f>
        <v>10280</v>
      </c>
      <c r="R22" s="4">
        <f>Hotel!AV27*0.00378541*100</f>
        <v>758.217623</v>
      </c>
      <c r="S22" s="4">
        <f>Hotel!B27</f>
        <v>197</v>
      </c>
    </row>
    <row r="23" spans="1:19" x14ac:dyDescent="0.3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9350</v>
      </c>
      <c r="F23" s="4">
        <f>Hotel!R28</f>
        <v>12640</v>
      </c>
      <c r="G23" s="4">
        <f>Hotel!S28</f>
        <v>130</v>
      </c>
      <c r="H23" s="4">
        <f>Hotel!T28</f>
        <v>1630</v>
      </c>
      <c r="I23" s="4">
        <f>Hotel!U28</f>
        <v>4470</v>
      </c>
      <c r="J23" s="4">
        <f>Hotel!V28</f>
        <v>4090</v>
      </c>
      <c r="K23" s="4">
        <f>Hotel!W28</f>
        <v>3730</v>
      </c>
      <c r="L23" s="4">
        <f>Hotel!X28</f>
        <v>4640</v>
      </c>
      <c r="M23" s="4">
        <f>Hotel!Y28</f>
        <v>5180</v>
      </c>
      <c r="N23" s="4">
        <f>Hotel!Z28</f>
        <v>2970</v>
      </c>
      <c r="O23" s="4">
        <f>Hotel!AA28</f>
        <v>3490</v>
      </c>
      <c r="P23" s="4">
        <f>Hotel!AB28</f>
        <v>7430</v>
      </c>
      <c r="Q23" s="4">
        <f>Hotel!AC28</f>
        <v>12310</v>
      </c>
      <c r="R23" s="4">
        <f>Hotel!AV28*0.00378541*100</f>
        <v>757.46054100000003</v>
      </c>
      <c r="S23" s="4">
        <f>Hotel!B28</f>
        <v>231</v>
      </c>
    </row>
    <row r="24" spans="1:19" x14ac:dyDescent="0.3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6070</v>
      </c>
      <c r="F24" s="4">
        <f>Hotel!R29</f>
        <v>12500</v>
      </c>
      <c r="G24" s="4">
        <f>Hotel!S29</f>
        <v>130</v>
      </c>
      <c r="H24" s="4">
        <f>Hotel!T29</f>
        <v>2960</v>
      </c>
      <c r="I24" s="4">
        <f>Hotel!U29</f>
        <v>4560</v>
      </c>
      <c r="J24" s="4">
        <f>Hotel!V29</f>
        <v>4340</v>
      </c>
      <c r="K24" s="4">
        <f>Hotel!W29</f>
        <v>3400</v>
      </c>
      <c r="L24" s="4">
        <f>Hotel!X29</f>
        <v>4650</v>
      </c>
      <c r="M24" s="4">
        <f>Hotel!Y29</f>
        <v>4650</v>
      </c>
      <c r="N24" s="4">
        <f>Hotel!Z29</f>
        <v>3050</v>
      </c>
      <c r="O24" s="4">
        <f>Hotel!AA29</f>
        <v>3690</v>
      </c>
      <c r="P24" s="4">
        <f>Hotel!AB29</f>
        <v>7100</v>
      </c>
      <c r="Q24" s="4">
        <f>Hotel!AC29</f>
        <v>10700</v>
      </c>
      <c r="R24" s="4">
        <f>Hotel!AV29*0.00378541*100</f>
        <v>751.78242599999999</v>
      </c>
      <c r="S24" s="4">
        <f>Hotel!B29</f>
        <v>284</v>
      </c>
    </row>
    <row r="25" spans="1:19" x14ac:dyDescent="0.3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1030</v>
      </c>
      <c r="F25" s="4">
        <f>Hotel!R30</f>
        <v>15100</v>
      </c>
      <c r="G25" s="4">
        <f>Hotel!S30</f>
        <v>100</v>
      </c>
      <c r="H25" s="4">
        <f>Hotel!T30</f>
        <v>2380</v>
      </c>
      <c r="I25" s="4">
        <f>Hotel!U30</f>
        <v>4440</v>
      </c>
      <c r="J25" s="4">
        <f>Hotel!V30</f>
        <v>4330</v>
      </c>
      <c r="K25" s="4">
        <f>Hotel!W30</f>
        <v>3500</v>
      </c>
      <c r="L25" s="4">
        <f>Hotel!X30</f>
        <v>4240</v>
      </c>
      <c r="M25" s="4">
        <f>Hotel!Y30</f>
        <v>3920</v>
      </c>
      <c r="N25" s="4">
        <f>Hotel!Z30</f>
        <v>2800</v>
      </c>
      <c r="O25" s="4">
        <f>Hotel!AA30</f>
        <v>3260</v>
      </c>
      <c r="P25" s="4">
        <f>Hotel!AB30</f>
        <v>7090</v>
      </c>
      <c r="Q25" s="4">
        <f>Hotel!AC30</f>
        <v>12030</v>
      </c>
      <c r="R25" s="4">
        <f>Hotel!AV30*0.00378541*100</f>
        <v>748.37555699999996</v>
      </c>
      <c r="S25" s="4">
        <f>Hotel!B30</f>
        <v>207</v>
      </c>
    </row>
    <row r="26" spans="1:19" x14ac:dyDescent="0.3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1010</v>
      </c>
      <c r="F26" s="4">
        <f>Hotel!R31</f>
        <v>14140</v>
      </c>
      <c r="G26" s="4">
        <f>Hotel!S31</f>
        <v>130</v>
      </c>
      <c r="H26" s="4">
        <f>Hotel!T31</f>
        <v>3130</v>
      </c>
      <c r="I26" s="4">
        <f>Hotel!U31</f>
        <v>4470</v>
      </c>
      <c r="J26" s="4">
        <f>Hotel!V31</f>
        <v>4170</v>
      </c>
      <c r="K26" s="4">
        <f>Hotel!W31</f>
        <v>3470</v>
      </c>
      <c r="L26" s="4">
        <f>Hotel!X31</f>
        <v>4420</v>
      </c>
      <c r="M26" s="4">
        <f>Hotel!Y31</f>
        <v>3950</v>
      </c>
      <c r="N26" s="4">
        <f>Hotel!Z31</f>
        <v>2780</v>
      </c>
      <c r="O26" s="4">
        <f>Hotel!AA31</f>
        <v>3200</v>
      </c>
      <c r="P26" s="4">
        <f>Hotel!AB31</f>
        <v>6760</v>
      </c>
      <c r="Q26" s="4">
        <f>Hotel!AC31</f>
        <v>10110</v>
      </c>
      <c r="R26" s="4">
        <f>Hotel!AV31*0.00378541*100</f>
        <v>706.35750599999994</v>
      </c>
      <c r="S26" s="4">
        <f>Hotel!B31</f>
        <v>192</v>
      </c>
    </row>
    <row r="27" spans="1:19" x14ac:dyDescent="0.3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1050</v>
      </c>
      <c r="F27" s="4">
        <f>Hotel!R32</f>
        <v>12000</v>
      </c>
      <c r="G27" s="4">
        <f>Hotel!S32</f>
        <v>140</v>
      </c>
      <c r="H27" s="4">
        <f>Hotel!T32</f>
        <v>4850</v>
      </c>
      <c r="I27" s="4">
        <f>Hotel!U32</f>
        <v>4740</v>
      </c>
      <c r="J27" s="4">
        <f>Hotel!V32</f>
        <v>4260</v>
      </c>
      <c r="K27" s="4">
        <f>Hotel!W32</f>
        <v>3200</v>
      </c>
      <c r="L27" s="4">
        <f>Hotel!X32</f>
        <v>4450</v>
      </c>
      <c r="M27" s="4">
        <f>Hotel!Y32</f>
        <v>4360</v>
      </c>
      <c r="N27" s="4">
        <f>Hotel!Z32</f>
        <v>2890</v>
      </c>
      <c r="O27" s="4">
        <f>Hotel!AA32</f>
        <v>3350</v>
      </c>
      <c r="P27" s="4">
        <f>Hotel!AB32</f>
        <v>7300</v>
      </c>
      <c r="Q27" s="4">
        <f>Hotel!AC32</f>
        <v>10480</v>
      </c>
      <c r="R27" s="4">
        <f>Hotel!AV32*0.00378541*100</f>
        <v>716.57811300000003</v>
      </c>
      <c r="S27" s="4">
        <f>Hotel!B32</f>
        <v>242</v>
      </c>
    </row>
    <row r="28" spans="1:19" x14ac:dyDescent="0.3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1010</v>
      </c>
      <c r="F28" s="4">
        <f>Hotel!R33</f>
        <v>12040</v>
      </c>
      <c r="G28" s="4">
        <f>Hotel!S33</f>
        <v>120</v>
      </c>
      <c r="H28" s="4">
        <f>Hotel!T33</f>
        <v>4900</v>
      </c>
      <c r="I28" s="4">
        <f>Hotel!U33</f>
        <v>4750</v>
      </c>
      <c r="J28" s="4">
        <f>Hotel!V33</f>
        <v>4190</v>
      </c>
      <c r="K28" s="4">
        <f>Hotel!W33</f>
        <v>3600</v>
      </c>
      <c r="L28" s="4">
        <f>Hotel!X33</f>
        <v>4510</v>
      </c>
      <c r="M28" s="4">
        <f>Hotel!Y33</f>
        <v>4870</v>
      </c>
      <c r="N28" s="4">
        <f>Hotel!Z33</f>
        <v>3030</v>
      </c>
      <c r="O28" s="4">
        <f>Hotel!AA33</f>
        <v>3630</v>
      </c>
      <c r="P28" s="4">
        <f>Hotel!AB33</f>
        <v>7050</v>
      </c>
      <c r="Q28" s="4">
        <f>Hotel!AC33</f>
        <v>12030</v>
      </c>
      <c r="R28" s="4">
        <f>Hotel!AV33*0.00378541*100</f>
        <v>752.53950799999996</v>
      </c>
      <c r="S28" s="4">
        <f>Hotel!B33</f>
        <v>266</v>
      </c>
    </row>
    <row r="29" spans="1:19" x14ac:dyDescent="0.3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1040</v>
      </c>
      <c r="F29" s="4">
        <f>Hotel!R34</f>
        <v>12520</v>
      </c>
      <c r="G29" s="4">
        <f>Hotel!S34</f>
        <v>140</v>
      </c>
      <c r="H29" s="4">
        <f>Hotel!T34</f>
        <v>5090</v>
      </c>
      <c r="I29" s="4">
        <f>Hotel!U34</f>
        <v>4700</v>
      </c>
      <c r="J29" s="4">
        <f>Hotel!V34</f>
        <v>4270</v>
      </c>
      <c r="K29" s="4">
        <f>Hotel!W34</f>
        <v>3230</v>
      </c>
      <c r="L29" s="4">
        <f>Hotel!X34</f>
        <v>4470</v>
      </c>
      <c r="M29" s="4">
        <f>Hotel!Y34</f>
        <v>4850</v>
      </c>
      <c r="N29" s="4">
        <f>Hotel!Z34</f>
        <v>2910</v>
      </c>
      <c r="O29" s="4">
        <f>Hotel!AA34</f>
        <v>3490</v>
      </c>
      <c r="P29" s="4">
        <f>Hotel!AB34</f>
        <v>7340</v>
      </c>
      <c r="Q29" s="4">
        <f>Hotel!AC34</f>
        <v>11750</v>
      </c>
      <c r="R29" s="4">
        <f>Hotel!AV34*0.00378541*100</f>
        <v>709.38583399999993</v>
      </c>
      <c r="S29" s="4">
        <f>Hotel!B34</f>
        <v>156</v>
      </c>
    </row>
    <row r="30" spans="1:19" x14ac:dyDescent="0.3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1000</v>
      </c>
      <c r="F30" s="4">
        <f>Hotel!R35</f>
        <v>11800</v>
      </c>
      <c r="G30" s="4">
        <f>Hotel!S35</f>
        <v>1180</v>
      </c>
      <c r="H30" s="4">
        <f>Hotel!T35</f>
        <v>3540</v>
      </c>
      <c r="I30" s="4">
        <f>Hotel!U35</f>
        <v>4340</v>
      </c>
      <c r="J30" s="4">
        <f>Hotel!V35</f>
        <v>3970</v>
      </c>
      <c r="K30" s="4">
        <f>Hotel!W35</f>
        <v>2800</v>
      </c>
      <c r="L30" s="4">
        <f>Hotel!X35</f>
        <v>4040</v>
      </c>
      <c r="M30" s="4">
        <f>Hotel!Y35</f>
        <v>4230</v>
      </c>
      <c r="N30" s="4">
        <f>Hotel!Z35</f>
        <v>2560</v>
      </c>
      <c r="O30" s="4">
        <f>Hotel!AA35</f>
        <v>3250</v>
      </c>
      <c r="P30" s="4">
        <f>Hotel!AB35</f>
        <v>6990</v>
      </c>
      <c r="Q30" s="4">
        <f>Hotel!AC35</f>
        <v>9210</v>
      </c>
      <c r="R30" s="4">
        <f>Hotel!AV35*0.00378541*100</f>
        <v>635.19179799999995</v>
      </c>
      <c r="S30" s="4">
        <f>Hotel!B35</f>
        <v>136</v>
      </c>
    </row>
    <row r="31" spans="1:19" x14ac:dyDescent="0.3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1050</v>
      </c>
      <c r="F31" s="4">
        <f>Hotel!R36</f>
        <v>13010</v>
      </c>
      <c r="G31" s="4">
        <f>Hotel!S36</f>
        <v>3230</v>
      </c>
      <c r="H31" s="4">
        <f>Hotel!T36</f>
        <v>1660</v>
      </c>
      <c r="I31" s="4">
        <f>Hotel!U36</f>
        <v>4470</v>
      </c>
      <c r="J31" s="4">
        <f>Hotel!V36</f>
        <v>4150</v>
      </c>
      <c r="K31" s="4">
        <f>Hotel!W36</f>
        <v>3370</v>
      </c>
      <c r="L31" s="4">
        <f>Hotel!X36</f>
        <v>4480</v>
      </c>
      <c r="M31" s="4">
        <f>Hotel!Y36</f>
        <v>4570</v>
      </c>
      <c r="N31" s="4">
        <f>Hotel!Z36</f>
        <v>2630</v>
      </c>
      <c r="O31" s="4">
        <f>Hotel!AA36</f>
        <v>3240</v>
      </c>
      <c r="P31" s="4">
        <f>Hotel!AB36</f>
        <v>7370</v>
      </c>
      <c r="Q31" s="4">
        <f>Hotel!AC36</f>
        <v>12610</v>
      </c>
      <c r="R31" s="4">
        <f>Hotel!AV36*0.00378541*100</f>
        <v>736.26224500000001</v>
      </c>
      <c r="S31" s="4">
        <f>Hotel!B36</f>
        <v>153</v>
      </c>
    </row>
    <row r="32" spans="1:19" x14ac:dyDescent="0.3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1020</v>
      </c>
      <c r="F32" s="4">
        <f>Hotel!R37</f>
        <v>12830</v>
      </c>
      <c r="G32" s="4">
        <f>Hotel!S37</f>
        <v>3230</v>
      </c>
      <c r="H32" s="4">
        <f>Hotel!T37</f>
        <v>1620</v>
      </c>
      <c r="I32" s="4">
        <f>Hotel!U37</f>
        <v>4550</v>
      </c>
      <c r="J32" s="4">
        <f>Hotel!V37</f>
        <v>4150</v>
      </c>
      <c r="K32" s="4">
        <f>Hotel!W37</f>
        <v>3300</v>
      </c>
      <c r="L32" s="4">
        <f>Hotel!X37</f>
        <v>4430</v>
      </c>
      <c r="M32" s="4">
        <f>Hotel!Y37</f>
        <v>4630</v>
      </c>
      <c r="N32" s="4">
        <f>Hotel!Z37</f>
        <v>2690</v>
      </c>
      <c r="O32" s="4">
        <f>Hotel!AA37</f>
        <v>3270</v>
      </c>
      <c r="P32" s="4">
        <f>Hotel!AB37</f>
        <v>7060</v>
      </c>
      <c r="Q32" s="4">
        <f>Hotel!AC37</f>
        <v>12420</v>
      </c>
      <c r="R32" s="4">
        <f>Hotel!AV37*0.00378541*100</f>
        <v>631.78492900000003</v>
      </c>
      <c r="S32" s="4">
        <f>Hotel!B37</f>
        <v>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X44"/>
  <sheetViews>
    <sheetView topLeftCell="X7" zoomScale="93" zoomScaleNormal="93" workbookViewId="0">
      <selection activeCell="AV38" sqref="AV38"/>
    </sheetView>
  </sheetViews>
  <sheetFormatPr defaultRowHeight="14.4" x14ac:dyDescent="0.3"/>
  <cols>
    <col min="1" max="1" width="10.5546875" customWidth="1"/>
    <col min="2" max="2" width="13.33203125" style="39" customWidth="1"/>
    <col min="3" max="3" width="10.33203125" customWidth="1"/>
    <col min="4" max="5" width="9.88671875" customWidth="1"/>
    <col min="6" max="6" width="10" customWidth="1"/>
    <col min="7" max="7" width="10.33203125" customWidth="1"/>
    <col min="8" max="8" width="10" customWidth="1"/>
    <col min="9" max="9" width="9.88671875" customWidth="1"/>
    <col min="10" max="10" width="10" customWidth="1"/>
    <col min="11" max="11" width="10.109375" customWidth="1"/>
    <col min="12" max="12" width="10.33203125" customWidth="1"/>
    <col min="13" max="13" width="10" customWidth="1"/>
    <col min="14" max="14" width="9.6640625" customWidth="1"/>
    <col min="15" max="15" width="9.88671875" customWidth="1"/>
    <col min="16" max="16" width="1.44140625" customWidth="1"/>
    <col min="17" max="17" width="9.88671875" style="2" customWidth="1"/>
    <col min="18" max="18" width="9.5546875" style="2" customWidth="1"/>
    <col min="19" max="19" width="9.6640625" style="2" customWidth="1"/>
    <col min="20" max="26" width="8.6640625" style="2" customWidth="1"/>
    <col min="27" max="27" width="16.88671875" style="2" customWidth="1"/>
    <col min="28" max="28" width="8.6640625" style="2" customWidth="1"/>
    <col min="29" max="29" width="9.6640625" style="2" customWidth="1"/>
    <col min="30" max="30" width="11.6640625" customWidth="1"/>
    <col min="31" max="31" width="1.6640625" customWidth="1"/>
    <col min="43" max="43" width="9.5546875" customWidth="1"/>
    <col min="44" max="44" width="9.33203125" customWidth="1"/>
    <col min="45" max="45" width="10.6640625" customWidth="1"/>
    <col min="46" max="46" width="1.33203125" customWidth="1"/>
    <col min="47" max="47" width="11.88671875" style="46" customWidth="1"/>
    <col min="48" max="49" width="14.6640625" customWidth="1"/>
    <col min="50" max="50" width="10.88671875" customWidth="1"/>
  </cols>
  <sheetData>
    <row r="1" spans="1:50" x14ac:dyDescent="0.3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3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3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6" x14ac:dyDescent="0.3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3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3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 t="str">
        <f t="shared" ref="R7:AC7" si="0">IF((D7-D2&lt;0), "0",D7-D2)</f>
        <v>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U7" s="47">
        <v>663505</v>
      </c>
      <c r="AV7" s="37">
        <v>880</v>
      </c>
      <c r="AW7" s="37">
        <f>AV7*100*AV44</f>
        <v>333.11608000000001</v>
      </c>
      <c r="AX7" s="35">
        <f t="shared" ref="AX7:AX35" si="14">AV7*$D$40</f>
        <v>1.76</v>
      </c>
    </row>
    <row r="8" spans="1:50" x14ac:dyDescent="0.3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v>1250</v>
      </c>
      <c r="AW8" s="37">
        <f>AV8*100*AV44</f>
        <v>473.17624999999998</v>
      </c>
      <c r="AX8" s="35">
        <f t="shared" si="14"/>
        <v>2.5</v>
      </c>
    </row>
    <row r="9" spans="1:50" x14ac:dyDescent="0.3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v>1130</v>
      </c>
      <c r="AW9" s="37">
        <f>AV9*100*AV44</f>
        <v>427.75133</v>
      </c>
      <c r="AX9" s="35">
        <f t="shared" si="14"/>
        <v>2.2600000000000002</v>
      </c>
    </row>
    <row r="10" spans="1:50" x14ac:dyDescent="0.3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v>1121</v>
      </c>
      <c r="AW10" s="37">
        <f>AV10*100*AV44</f>
        <v>424.34446099999997</v>
      </c>
      <c r="AX10" s="35">
        <f t="shared" si="14"/>
        <v>2.242</v>
      </c>
    </row>
    <row r="11" spans="1:50" x14ac:dyDescent="0.3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v>1540</v>
      </c>
      <c r="AW11" s="37">
        <f>AV11*100*AV44</f>
        <v>582.95313999999996</v>
      </c>
      <c r="AX11" s="35">
        <f t="shared" si="14"/>
        <v>3.08</v>
      </c>
    </row>
    <row r="12" spans="1:50" x14ac:dyDescent="0.3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1">IF((F12-F11&lt;0), "0",F12-F11)</f>
        <v>1590</v>
      </c>
      <c r="U12" s="37">
        <f t="shared" si="31"/>
        <v>5250</v>
      </c>
      <c r="V12" s="37">
        <f t="shared" si="31"/>
        <v>4440</v>
      </c>
      <c r="W12" s="37">
        <f t="shared" si="31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v>1301</v>
      </c>
      <c r="AW12" s="37">
        <f>AV12*100*AV44</f>
        <v>492.48184099999997</v>
      </c>
      <c r="AX12" s="35">
        <f t="shared" si="14"/>
        <v>2.6019999999999999</v>
      </c>
    </row>
    <row r="13" spans="1:50" x14ac:dyDescent="0.3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1"/>
        <v>1630</v>
      </c>
      <c r="U13" s="37">
        <f t="shared" si="31"/>
        <v>4950</v>
      </c>
      <c r="V13" s="37">
        <f t="shared" si="31"/>
        <v>4230</v>
      </c>
      <c r="W13" s="37">
        <f t="shared" si="31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v>1144</v>
      </c>
      <c r="AW13" s="37">
        <f>AV13*100*AV44</f>
        <v>433.050904</v>
      </c>
      <c r="AX13" s="35">
        <f t="shared" si="14"/>
        <v>2.2880000000000003</v>
      </c>
    </row>
    <row r="14" spans="1:50" x14ac:dyDescent="0.3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53"/>
      <c r="Q14" s="37">
        <f t="shared" si="17"/>
        <v>3780</v>
      </c>
      <c r="R14" s="37">
        <f t="shared" si="18"/>
        <v>9300</v>
      </c>
      <c r="S14" s="37">
        <f t="shared" si="16"/>
        <v>1370</v>
      </c>
      <c r="T14" s="37">
        <f t="shared" si="31"/>
        <v>1660</v>
      </c>
      <c r="U14" s="37">
        <f t="shared" si="31"/>
        <v>4670</v>
      </c>
      <c r="V14" s="37">
        <f t="shared" si="31"/>
        <v>4030</v>
      </c>
      <c r="W14" s="37">
        <f t="shared" si="31"/>
        <v>3030</v>
      </c>
      <c r="X14" s="37">
        <f t="shared" si="23"/>
        <v>3940</v>
      </c>
      <c r="Y14" s="37">
        <f t="shared" si="24"/>
        <v>5410</v>
      </c>
      <c r="Z14" s="37">
        <f>IF((L14-L13&lt;0), "0",L14-L13)</f>
        <v>2560</v>
      </c>
      <c r="AA14" s="37">
        <f t="shared" si="26"/>
        <v>3260</v>
      </c>
      <c r="AB14" s="37">
        <f t="shared" si="27"/>
        <v>7490</v>
      </c>
      <c r="AC14" s="37">
        <f t="shared" si="28"/>
        <v>11290</v>
      </c>
      <c r="AD14" s="35">
        <f t="shared" si="29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0"/>
        <v>308.95000000000005</v>
      </c>
      <c r="AU14" s="47">
        <v>663505</v>
      </c>
      <c r="AV14" s="37">
        <v>960</v>
      </c>
      <c r="AW14" s="37">
        <f>AV14*100*AV44</f>
        <v>363.39936</v>
      </c>
      <c r="AX14" s="35">
        <f t="shared" si="14"/>
        <v>1.92</v>
      </c>
    </row>
    <row r="15" spans="1:50" x14ac:dyDescent="0.3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17"/>
        <v>510</v>
      </c>
      <c r="R15" s="37">
        <f t="shared" si="18"/>
        <v>13020</v>
      </c>
      <c r="S15" s="37">
        <f t="shared" si="16"/>
        <v>80</v>
      </c>
      <c r="T15" s="37">
        <f t="shared" si="19"/>
        <v>1610</v>
      </c>
      <c r="U15" s="37">
        <f t="shared" si="20"/>
        <v>4370</v>
      </c>
      <c r="V15" s="37">
        <f t="shared" si="21"/>
        <v>3950</v>
      </c>
      <c r="W15" s="37">
        <f t="shared" si="22"/>
        <v>3120</v>
      </c>
      <c r="X15" s="37">
        <f t="shared" si="23"/>
        <v>4070</v>
      </c>
      <c r="Y15" s="37">
        <f t="shared" si="24"/>
        <v>5140</v>
      </c>
      <c r="Z15" s="37">
        <f t="shared" si="25"/>
        <v>2510</v>
      </c>
      <c r="AA15" s="37">
        <f t="shared" si="26"/>
        <v>3020</v>
      </c>
      <c r="AB15" s="37">
        <f t="shared" si="27"/>
        <v>7090</v>
      </c>
      <c r="AC15" s="37">
        <f t="shared" si="28"/>
        <v>10490</v>
      </c>
      <c r="AD15" s="35">
        <f t="shared" si="29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0"/>
        <v>294.89999999999998</v>
      </c>
      <c r="AU15" s="47">
        <v>663505</v>
      </c>
      <c r="AV15" s="37">
        <v>1020</v>
      </c>
      <c r="AW15" s="37">
        <f>AV15*100*AV44</f>
        <v>386.11181999999997</v>
      </c>
      <c r="AX15" s="35">
        <f t="shared" si="14"/>
        <v>2.04</v>
      </c>
    </row>
    <row r="16" spans="1:50" x14ac:dyDescent="0.3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17"/>
        <v>510</v>
      </c>
      <c r="R16" s="37">
        <f t="shared" si="18"/>
        <v>13840</v>
      </c>
      <c r="S16" s="37">
        <f t="shared" si="16"/>
        <v>80</v>
      </c>
      <c r="T16" s="37">
        <f t="shared" si="19"/>
        <v>1630</v>
      </c>
      <c r="U16" s="37">
        <f t="shared" si="20"/>
        <v>4510</v>
      </c>
      <c r="V16" s="37">
        <f t="shared" si="21"/>
        <v>3890</v>
      </c>
      <c r="W16" s="37">
        <f t="shared" si="22"/>
        <v>3300</v>
      </c>
      <c r="X16" s="37">
        <f t="shared" si="23"/>
        <v>4110</v>
      </c>
      <c r="Y16" s="37">
        <f t="shared" si="24"/>
        <v>5360</v>
      </c>
      <c r="Z16" s="37">
        <f t="shared" si="25"/>
        <v>2610</v>
      </c>
      <c r="AA16" s="37">
        <f t="shared" si="26"/>
        <v>2910</v>
      </c>
      <c r="AB16" s="37">
        <f t="shared" si="27"/>
        <v>7470</v>
      </c>
      <c r="AC16" s="37">
        <f t="shared" si="28"/>
        <v>10950</v>
      </c>
      <c r="AD16" s="35">
        <f t="shared" si="29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0"/>
        <v>305.85000000000002</v>
      </c>
      <c r="AU16" s="47">
        <v>663505</v>
      </c>
      <c r="AV16" s="37">
        <v>1670</v>
      </c>
      <c r="AW16" s="37">
        <f>AV16*100*AV44</f>
        <v>632.16346999999996</v>
      </c>
      <c r="AX16" s="35">
        <f t="shared" si="14"/>
        <v>3.34</v>
      </c>
    </row>
    <row r="17" spans="1:50" x14ac:dyDescent="0.3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17"/>
        <v>1860</v>
      </c>
      <c r="R17" s="37">
        <f t="shared" si="18"/>
        <v>14320</v>
      </c>
      <c r="S17" s="37">
        <f t="shared" si="16"/>
        <v>100</v>
      </c>
      <c r="T17" s="37">
        <f t="shared" si="19"/>
        <v>1600</v>
      </c>
      <c r="U17" s="37">
        <f t="shared" si="20"/>
        <v>4200</v>
      </c>
      <c r="V17" s="37">
        <f t="shared" si="21"/>
        <v>4020</v>
      </c>
      <c r="W17" s="37">
        <f t="shared" si="22"/>
        <v>3300</v>
      </c>
      <c r="X17" s="37">
        <f t="shared" si="23"/>
        <v>4010</v>
      </c>
      <c r="Y17" s="37">
        <f t="shared" si="24"/>
        <v>5280</v>
      </c>
      <c r="Z17" s="37">
        <f t="shared" si="25"/>
        <v>2680</v>
      </c>
      <c r="AA17" s="37">
        <f t="shared" si="26"/>
        <v>2870</v>
      </c>
      <c r="AB17" s="37">
        <f t="shared" si="27"/>
        <v>7280</v>
      </c>
      <c r="AC17" s="37">
        <f t="shared" si="28"/>
        <v>10794</v>
      </c>
      <c r="AD17" s="35">
        <f t="shared" si="29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0"/>
        <v>311.57000000000005</v>
      </c>
      <c r="AU17" s="47">
        <v>663505</v>
      </c>
      <c r="AV17" s="37">
        <v>1586</v>
      </c>
      <c r="AW17" s="37">
        <f>AV17*100*AV44</f>
        <v>600.36602600000003</v>
      </c>
      <c r="AX17" s="35">
        <f t="shared" si="14"/>
        <v>3.1720000000000002</v>
      </c>
    </row>
    <row r="18" spans="1:50" x14ac:dyDescent="0.3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17"/>
        <v>1990</v>
      </c>
      <c r="R18" s="37">
        <f t="shared" si="18"/>
        <v>16160</v>
      </c>
      <c r="S18" s="37">
        <f t="shared" si="16"/>
        <v>140</v>
      </c>
      <c r="T18" s="37">
        <f t="shared" si="19"/>
        <v>1630</v>
      </c>
      <c r="U18" s="37">
        <f t="shared" si="20"/>
        <v>4610</v>
      </c>
      <c r="V18" s="37">
        <f t="shared" si="21"/>
        <v>4120</v>
      </c>
      <c r="W18" s="37">
        <f t="shared" si="22"/>
        <v>3560</v>
      </c>
      <c r="X18" s="37">
        <f t="shared" si="23"/>
        <v>4310</v>
      </c>
      <c r="Y18" s="37">
        <f t="shared" si="24"/>
        <v>5560</v>
      </c>
      <c r="Z18" s="37">
        <f t="shared" si="25"/>
        <v>2830</v>
      </c>
      <c r="AA18" s="37">
        <f t="shared" si="26"/>
        <v>3300</v>
      </c>
      <c r="AB18" s="37">
        <f t="shared" si="27"/>
        <v>7650</v>
      </c>
      <c r="AC18" s="37">
        <f t="shared" si="28"/>
        <v>9836</v>
      </c>
      <c r="AD18" s="35">
        <f t="shared" si="29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0"/>
        <v>328.48000000000008</v>
      </c>
      <c r="AU18" s="47">
        <v>663505</v>
      </c>
      <c r="AV18" s="37">
        <v>1487</v>
      </c>
      <c r="AW18" s="37">
        <f>AV18*100*AV44</f>
        <v>562.89046699999994</v>
      </c>
      <c r="AX18" s="35">
        <f t="shared" si="14"/>
        <v>2.9740000000000002</v>
      </c>
    </row>
    <row r="19" spans="1:50" x14ac:dyDescent="0.3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17"/>
        <v>9160</v>
      </c>
      <c r="R19" s="37">
        <f t="shared" si="18"/>
        <v>12550</v>
      </c>
      <c r="S19" s="37">
        <f t="shared" si="16"/>
        <v>100</v>
      </c>
      <c r="T19" s="37">
        <f t="shared" si="19"/>
        <v>1630</v>
      </c>
      <c r="U19" s="37">
        <f t="shared" si="20"/>
        <v>4890</v>
      </c>
      <c r="V19" s="37">
        <f t="shared" si="21"/>
        <v>4210</v>
      </c>
      <c r="W19" s="37">
        <f t="shared" si="22"/>
        <v>3420</v>
      </c>
      <c r="X19" s="37">
        <f t="shared" si="23"/>
        <v>4420</v>
      </c>
      <c r="Y19" s="37">
        <f t="shared" si="24"/>
        <v>5650</v>
      </c>
      <c r="Z19" s="37">
        <f t="shared" si="25"/>
        <v>3010</v>
      </c>
      <c r="AA19" s="37">
        <f t="shared" si="26"/>
        <v>3460</v>
      </c>
      <c r="AB19" s="37">
        <f t="shared" si="27"/>
        <v>7530</v>
      </c>
      <c r="AC19" s="37">
        <f t="shared" si="28"/>
        <v>12360</v>
      </c>
      <c r="AD19" s="35">
        <f t="shared" si="29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0"/>
        <v>361.95</v>
      </c>
      <c r="AU19" s="47">
        <v>663505</v>
      </c>
      <c r="AV19" s="37">
        <v>1699</v>
      </c>
      <c r="AW19" s="37">
        <f>AV19*100*AV44</f>
        <v>643.14115900000002</v>
      </c>
      <c r="AX19" s="35">
        <f t="shared" si="14"/>
        <v>3.3980000000000001</v>
      </c>
    </row>
    <row r="20" spans="1:50" x14ac:dyDescent="0.3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17"/>
        <v>8380</v>
      </c>
      <c r="R20" s="37">
        <f t="shared" si="18"/>
        <v>11600</v>
      </c>
      <c r="S20" s="37">
        <f t="shared" si="16"/>
        <v>110</v>
      </c>
      <c r="T20" s="37">
        <f t="shared" si="19"/>
        <v>1550</v>
      </c>
      <c r="U20" s="37">
        <f t="shared" si="20"/>
        <v>4570</v>
      </c>
      <c r="V20" s="37">
        <f t="shared" si="21"/>
        <v>4100</v>
      </c>
      <c r="W20" s="37">
        <f t="shared" si="22"/>
        <v>2930</v>
      </c>
      <c r="X20" s="37">
        <f t="shared" si="23"/>
        <v>4280</v>
      </c>
      <c r="Y20" s="37">
        <f t="shared" si="24"/>
        <v>4890</v>
      </c>
      <c r="Z20" s="37">
        <f t="shared" si="25"/>
        <v>2670</v>
      </c>
      <c r="AA20" s="37">
        <f t="shared" si="26"/>
        <v>3200</v>
      </c>
      <c r="AB20" s="37">
        <f t="shared" si="27"/>
        <v>7030</v>
      </c>
      <c r="AC20" s="37">
        <f t="shared" si="28"/>
        <v>11940</v>
      </c>
      <c r="AD20" s="35">
        <f t="shared" si="29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0"/>
        <v>336.25</v>
      </c>
      <c r="AU20" s="47">
        <v>663505</v>
      </c>
      <c r="AV20" s="37">
        <v>1784</v>
      </c>
      <c r="AW20" s="37">
        <f>AV20*100*AV44</f>
        <v>675.31714399999998</v>
      </c>
      <c r="AX20" s="35">
        <f t="shared" si="14"/>
        <v>3.5680000000000001</v>
      </c>
    </row>
    <row r="21" spans="1:50" x14ac:dyDescent="0.3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17"/>
        <v>8650</v>
      </c>
      <c r="R21" s="37">
        <f t="shared" si="18"/>
        <v>11900</v>
      </c>
      <c r="S21" s="37">
        <f t="shared" si="16"/>
        <v>150</v>
      </c>
      <c r="T21" s="37">
        <f t="shared" si="19"/>
        <v>1590</v>
      </c>
      <c r="U21" s="37">
        <f t="shared" si="20"/>
        <v>4530</v>
      </c>
      <c r="V21" s="37">
        <f t="shared" si="21"/>
        <v>3840</v>
      </c>
      <c r="W21" s="37">
        <f t="shared" si="22"/>
        <v>2740</v>
      </c>
      <c r="X21" s="37">
        <f t="shared" si="23"/>
        <v>4110</v>
      </c>
      <c r="Y21" s="37">
        <f t="shared" si="24"/>
        <v>5110</v>
      </c>
      <c r="Z21" s="37">
        <f t="shared" si="25"/>
        <v>2710</v>
      </c>
      <c r="AA21" s="37">
        <f t="shared" si="26"/>
        <v>3170</v>
      </c>
      <c r="AB21" s="37">
        <f t="shared" si="27"/>
        <v>7350</v>
      </c>
      <c r="AC21" s="37">
        <f t="shared" si="28"/>
        <v>11300</v>
      </c>
      <c r="AD21" s="35">
        <f t="shared" si="29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0"/>
        <v>335.75</v>
      </c>
      <c r="AU21" s="47">
        <v>663505</v>
      </c>
      <c r="AV21" s="37">
        <v>1568</v>
      </c>
      <c r="AW21" s="37">
        <f>AV21*100*AV44</f>
        <v>593.55228799999998</v>
      </c>
      <c r="AX21" s="35">
        <f t="shared" si="14"/>
        <v>3.1360000000000001</v>
      </c>
    </row>
    <row r="22" spans="1:50" x14ac:dyDescent="0.3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44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44">
        <v>20256860</v>
      </c>
      <c r="Q22" s="37">
        <f t="shared" si="17"/>
        <v>9270</v>
      </c>
      <c r="R22" s="37">
        <f t="shared" si="18"/>
        <v>12550</v>
      </c>
      <c r="S22" s="37">
        <f t="shared" si="16"/>
        <v>130</v>
      </c>
      <c r="T22" s="37">
        <f t="shared" si="19"/>
        <v>1590</v>
      </c>
      <c r="U22" s="37">
        <f t="shared" si="20"/>
        <v>4530</v>
      </c>
      <c r="V22" s="37">
        <f t="shared" si="21"/>
        <v>3810</v>
      </c>
      <c r="W22" s="37">
        <f t="shared" si="22"/>
        <v>2870</v>
      </c>
      <c r="X22" s="37">
        <f t="shared" si="23"/>
        <v>4260</v>
      </c>
      <c r="Y22" s="37">
        <f t="shared" si="24"/>
        <v>4870</v>
      </c>
      <c r="Z22" s="37">
        <f t="shared" si="25"/>
        <v>2780</v>
      </c>
      <c r="AA22" s="37">
        <f t="shared" si="26"/>
        <v>3170</v>
      </c>
      <c r="AB22" s="37">
        <f t="shared" si="27"/>
        <v>7210</v>
      </c>
      <c r="AC22" s="37">
        <f t="shared" si="28"/>
        <v>10280</v>
      </c>
      <c r="AD22" s="35">
        <f t="shared" si="29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0"/>
        <v>336.59999999999997</v>
      </c>
      <c r="AU22" s="47">
        <v>663505</v>
      </c>
      <c r="AV22" s="37">
        <v>1883</v>
      </c>
      <c r="AW22" s="37">
        <f>AV22*100*AV44</f>
        <v>712.79270299999996</v>
      </c>
      <c r="AX22" s="35">
        <f t="shared" si="14"/>
        <v>3.766</v>
      </c>
    </row>
    <row r="23" spans="1:50" x14ac:dyDescent="0.3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17"/>
        <v>8580</v>
      </c>
      <c r="R23" s="37">
        <f t="shared" si="18"/>
        <v>11790</v>
      </c>
      <c r="S23" s="37">
        <f t="shared" si="16"/>
        <v>110</v>
      </c>
      <c r="T23" s="37">
        <f t="shared" si="19"/>
        <v>1510</v>
      </c>
      <c r="U23" s="37">
        <f t="shared" si="20"/>
        <v>4430</v>
      </c>
      <c r="V23" s="37">
        <f t="shared" si="21"/>
        <v>3880</v>
      </c>
      <c r="W23" s="37">
        <f t="shared" si="22"/>
        <v>2890</v>
      </c>
      <c r="X23" s="37">
        <f t="shared" si="23"/>
        <v>4180</v>
      </c>
      <c r="Y23" s="37">
        <f t="shared" si="24"/>
        <v>4250</v>
      </c>
      <c r="Z23" s="37">
        <f t="shared" si="25"/>
        <v>2570</v>
      </c>
      <c r="AA23" s="37">
        <f t="shared" si="26"/>
        <v>3100</v>
      </c>
      <c r="AB23" s="37">
        <f t="shared" si="27"/>
        <v>6690</v>
      </c>
      <c r="AC23" s="37">
        <f t="shared" si="28"/>
        <v>10570</v>
      </c>
      <c r="AD23" s="35">
        <f t="shared" si="29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0"/>
        <v>322.75</v>
      </c>
      <c r="AU23" s="47">
        <v>663505</v>
      </c>
      <c r="AV23" s="37">
        <v>1796</v>
      </c>
      <c r="AW23" s="37">
        <f>AV23*100*AV44</f>
        <v>679.85963600000002</v>
      </c>
      <c r="AX23" s="35">
        <f t="shared" si="14"/>
        <v>3.5920000000000001</v>
      </c>
    </row>
    <row r="24" spans="1:50" x14ac:dyDescent="0.3">
      <c r="A24" s="23">
        <v>44699</v>
      </c>
      <c r="B24" s="40">
        <v>149</v>
      </c>
      <c r="C24" s="24">
        <v>8092330</v>
      </c>
      <c r="D24" s="24">
        <v>18721280</v>
      </c>
      <c r="E24" s="24">
        <v>3212480</v>
      </c>
      <c r="F24" s="24">
        <v>4033610</v>
      </c>
      <c r="G24" s="24">
        <v>11994610</v>
      </c>
      <c r="H24" s="24">
        <v>6858980</v>
      </c>
      <c r="I24" s="24">
        <v>6007020</v>
      </c>
      <c r="J24" s="24">
        <v>7410740</v>
      </c>
      <c r="K24" s="24">
        <v>10966950</v>
      </c>
      <c r="L24" s="24">
        <v>4722550</v>
      </c>
      <c r="M24" s="24">
        <v>8971470</v>
      </c>
      <c r="N24" s="24">
        <v>14495310</v>
      </c>
      <c r="O24" s="24">
        <v>20277590</v>
      </c>
      <c r="Q24" s="37">
        <f t="shared" si="17"/>
        <v>9060</v>
      </c>
      <c r="R24" s="37">
        <f t="shared" si="18"/>
        <v>12320</v>
      </c>
      <c r="S24" s="37">
        <f t="shared" si="16"/>
        <v>120</v>
      </c>
      <c r="T24" s="37">
        <f t="shared" si="19"/>
        <v>1580</v>
      </c>
      <c r="U24" s="37">
        <f t="shared" si="20"/>
        <v>4430</v>
      </c>
      <c r="V24" s="37">
        <f t="shared" si="21"/>
        <v>4030</v>
      </c>
      <c r="W24" s="37">
        <f t="shared" si="22"/>
        <v>3200</v>
      </c>
      <c r="X24" s="37">
        <f t="shared" si="23"/>
        <v>4470</v>
      </c>
      <c r="Y24" s="37">
        <f t="shared" si="24"/>
        <v>4970</v>
      </c>
      <c r="Z24" s="37">
        <f t="shared" si="25"/>
        <v>2620</v>
      </c>
      <c r="AA24" s="37">
        <f t="shared" si="26"/>
        <v>3040</v>
      </c>
      <c r="AB24" s="37">
        <f t="shared" si="27"/>
        <v>7150</v>
      </c>
      <c r="AC24" s="37">
        <f t="shared" si="28"/>
        <v>10160</v>
      </c>
      <c r="AD24" s="35">
        <f t="shared" si="29"/>
        <v>67150</v>
      </c>
      <c r="AF24" s="20">
        <f t="shared" si="1"/>
        <v>45.300000000000004</v>
      </c>
      <c r="AG24" s="20">
        <f t="shared" si="2"/>
        <v>61.6</v>
      </c>
      <c r="AH24" s="20">
        <f t="shared" si="3"/>
        <v>0.6</v>
      </c>
      <c r="AI24" s="20">
        <f t="shared" si="4"/>
        <v>7.9</v>
      </c>
      <c r="AJ24" s="20">
        <f t="shared" si="5"/>
        <v>22.150000000000002</v>
      </c>
      <c r="AK24" s="20">
        <f t="shared" si="6"/>
        <v>20.150000000000002</v>
      </c>
      <c r="AL24" s="20">
        <f t="shared" si="7"/>
        <v>16</v>
      </c>
      <c r="AM24" s="20">
        <f t="shared" si="8"/>
        <v>22.35</v>
      </c>
      <c r="AN24" s="20">
        <f t="shared" si="9"/>
        <v>24.85</v>
      </c>
      <c r="AO24" s="20">
        <f t="shared" si="10"/>
        <v>13.1</v>
      </c>
      <c r="AP24" s="20">
        <f t="shared" si="11"/>
        <v>15.200000000000001</v>
      </c>
      <c r="AQ24" s="20">
        <f t="shared" si="12"/>
        <v>35.75</v>
      </c>
      <c r="AR24" s="20">
        <f t="shared" si="13"/>
        <v>50.800000000000004</v>
      </c>
      <c r="AS24" s="35">
        <f t="shared" si="30"/>
        <v>335.75</v>
      </c>
      <c r="AU24" s="47">
        <v>663505</v>
      </c>
      <c r="AV24" s="37">
        <v>1678</v>
      </c>
      <c r="AW24" s="37">
        <f>AV24*100*AV44</f>
        <v>635.19179799999995</v>
      </c>
      <c r="AX24" s="35">
        <f t="shared" si="14"/>
        <v>3.3559999999999999</v>
      </c>
    </row>
    <row r="25" spans="1:50" x14ac:dyDescent="0.3">
      <c r="A25" s="23">
        <v>44700</v>
      </c>
      <c r="B25" s="40">
        <v>196</v>
      </c>
      <c r="C25" s="24">
        <v>8101690</v>
      </c>
      <c r="D25" s="24">
        <v>18733910</v>
      </c>
      <c r="E25" s="24">
        <v>3212610</v>
      </c>
      <c r="F25" s="24">
        <v>4035220</v>
      </c>
      <c r="G25" s="24">
        <v>11999220</v>
      </c>
      <c r="H25" s="24">
        <v>6863050</v>
      </c>
      <c r="I25" s="24">
        <v>6010230</v>
      </c>
      <c r="J25" s="24">
        <v>7415110</v>
      </c>
      <c r="K25" s="24">
        <v>10972350</v>
      </c>
      <c r="L25" s="24">
        <v>4725260</v>
      </c>
      <c r="M25" s="24">
        <v>8974580</v>
      </c>
      <c r="N25" s="24">
        <v>14502760</v>
      </c>
      <c r="O25" s="24">
        <v>20287130</v>
      </c>
      <c r="Q25" s="37">
        <f t="shared" ref="Q25:AC27" si="32">IF((C25-C24&lt;0), "0",C25-C24)</f>
        <v>9360</v>
      </c>
      <c r="R25" s="37">
        <f t="shared" si="18"/>
        <v>12630</v>
      </c>
      <c r="S25" s="37">
        <f t="shared" si="32"/>
        <v>130</v>
      </c>
      <c r="T25" s="37">
        <f t="shared" si="32"/>
        <v>1610</v>
      </c>
      <c r="U25" s="37">
        <f t="shared" si="32"/>
        <v>4610</v>
      </c>
      <c r="V25" s="37">
        <f t="shared" si="32"/>
        <v>4070</v>
      </c>
      <c r="W25" s="37">
        <f t="shared" si="32"/>
        <v>3210</v>
      </c>
      <c r="X25" s="37">
        <f t="shared" si="32"/>
        <v>4370</v>
      </c>
      <c r="Y25" s="37">
        <f t="shared" si="32"/>
        <v>5400</v>
      </c>
      <c r="Z25" s="37">
        <f t="shared" si="32"/>
        <v>2710</v>
      </c>
      <c r="AA25" s="37">
        <f t="shared" si="32"/>
        <v>3110</v>
      </c>
      <c r="AB25" s="37">
        <f t="shared" si="32"/>
        <v>7450</v>
      </c>
      <c r="AC25" s="37">
        <f t="shared" si="32"/>
        <v>9540</v>
      </c>
      <c r="AD25" s="35">
        <f t="shared" si="29"/>
        <v>68200</v>
      </c>
      <c r="AF25" s="20">
        <f t="shared" si="1"/>
        <v>46.800000000000004</v>
      </c>
      <c r="AG25" s="20">
        <f t="shared" si="2"/>
        <v>63.15</v>
      </c>
      <c r="AH25" s="20">
        <f t="shared" si="3"/>
        <v>0.65</v>
      </c>
      <c r="AI25" s="20">
        <f t="shared" si="4"/>
        <v>8.0500000000000007</v>
      </c>
      <c r="AJ25" s="20">
        <f t="shared" si="5"/>
        <v>23.05</v>
      </c>
      <c r="AK25" s="20">
        <f t="shared" si="6"/>
        <v>20.350000000000001</v>
      </c>
      <c r="AL25" s="20">
        <f t="shared" si="7"/>
        <v>16.05</v>
      </c>
      <c r="AM25" s="20">
        <f t="shared" si="8"/>
        <v>21.85</v>
      </c>
      <c r="AN25" s="20">
        <f t="shared" si="9"/>
        <v>27</v>
      </c>
      <c r="AO25" s="20">
        <f t="shared" si="10"/>
        <v>13.55</v>
      </c>
      <c r="AP25" s="20">
        <f t="shared" si="11"/>
        <v>15.55</v>
      </c>
      <c r="AQ25" s="20">
        <f t="shared" si="12"/>
        <v>37.25</v>
      </c>
      <c r="AR25" s="20">
        <f t="shared" si="13"/>
        <v>47.7</v>
      </c>
      <c r="AS25" s="35">
        <f t="shared" si="30"/>
        <v>341</v>
      </c>
      <c r="AU25" s="47">
        <v>663505</v>
      </c>
      <c r="AV25" s="37">
        <v>1689</v>
      </c>
      <c r="AW25" s="37">
        <f>AV25*100*AV44</f>
        <v>639.35574899999995</v>
      </c>
      <c r="AX25" s="35">
        <f t="shared" si="14"/>
        <v>3.3780000000000001</v>
      </c>
    </row>
    <row r="26" spans="1:50" x14ac:dyDescent="0.3">
      <c r="A26" s="23">
        <v>44701</v>
      </c>
      <c r="B26" s="40">
        <v>201</v>
      </c>
      <c r="C26" s="24">
        <v>8111160</v>
      </c>
      <c r="D26" s="24">
        <v>18746680</v>
      </c>
      <c r="E26" s="24">
        <v>3212750</v>
      </c>
      <c r="F26" s="24">
        <v>4036850</v>
      </c>
      <c r="G26" s="24">
        <v>12004070</v>
      </c>
      <c r="H26" s="24">
        <v>6867140</v>
      </c>
      <c r="I26" s="24">
        <v>6013610</v>
      </c>
      <c r="J26" s="24">
        <v>7419610</v>
      </c>
      <c r="K26" s="24">
        <v>10977740</v>
      </c>
      <c r="L26" s="24">
        <v>4728060</v>
      </c>
      <c r="M26" s="24">
        <v>8978000</v>
      </c>
      <c r="N26" s="24">
        <v>14512090</v>
      </c>
      <c r="O26" s="24">
        <v>20295020</v>
      </c>
      <c r="Q26" s="37">
        <f t="shared" si="32"/>
        <v>9470</v>
      </c>
      <c r="R26" s="37">
        <f t="shared" si="18"/>
        <v>12770</v>
      </c>
      <c r="S26" s="37">
        <f t="shared" si="32"/>
        <v>140</v>
      </c>
      <c r="T26" s="37">
        <f t="shared" si="32"/>
        <v>1630</v>
      </c>
      <c r="U26" s="37">
        <f t="shared" si="32"/>
        <v>4850</v>
      </c>
      <c r="V26" s="37">
        <f t="shared" si="32"/>
        <v>4090</v>
      </c>
      <c r="W26" s="37">
        <f t="shared" si="32"/>
        <v>3380</v>
      </c>
      <c r="X26" s="37">
        <f t="shared" si="32"/>
        <v>4500</v>
      </c>
      <c r="Y26" s="37">
        <f t="shared" si="32"/>
        <v>5390</v>
      </c>
      <c r="Z26" s="37">
        <f t="shared" si="32"/>
        <v>2800</v>
      </c>
      <c r="AA26" s="37">
        <f t="shared" si="32"/>
        <v>3420</v>
      </c>
      <c r="AB26" s="37">
        <f t="shared" si="32"/>
        <v>9330</v>
      </c>
      <c r="AC26" s="37">
        <f t="shared" si="32"/>
        <v>7890</v>
      </c>
      <c r="AD26" s="35">
        <f t="shared" si="29"/>
        <v>69660</v>
      </c>
      <c r="AF26" s="20">
        <f t="shared" si="1"/>
        <v>47.35</v>
      </c>
      <c r="AG26" s="20">
        <f t="shared" si="2"/>
        <v>63.85</v>
      </c>
      <c r="AH26" s="20">
        <f t="shared" si="3"/>
        <v>0.70000000000000007</v>
      </c>
      <c r="AI26" s="20">
        <f t="shared" si="4"/>
        <v>8.15</v>
      </c>
      <c r="AJ26" s="20">
        <f t="shared" si="5"/>
        <v>24.25</v>
      </c>
      <c r="AK26" s="20">
        <f t="shared" si="6"/>
        <v>20.45</v>
      </c>
      <c r="AL26" s="20">
        <f t="shared" si="7"/>
        <v>16.899999999999999</v>
      </c>
      <c r="AM26" s="20">
        <f t="shared" si="8"/>
        <v>22.5</v>
      </c>
      <c r="AN26" s="20">
        <f t="shared" si="9"/>
        <v>26.95</v>
      </c>
      <c r="AO26" s="20">
        <f t="shared" si="10"/>
        <v>14</v>
      </c>
      <c r="AP26" s="20">
        <f t="shared" si="11"/>
        <v>17.100000000000001</v>
      </c>
      <c r="AQ26" s="20">
        <f t="shared" si="12"/>
        <v>46.65</v>
      </c>
      <c r="AR26" s="20">
        <f t="shared" si="13"/>
        <v>39.450000000000003</v>
      </c>
      <c r="AS26" s="35">
        <f t="shared" si="30"/>
        <v>348.29999999999995</v>
      </c>
      <c r="AU26" s="47">
        <v>663505</v>
      </c>
      <c r="AV26" s="37">
        <v>1899</v>
      </c>
      <c r="AW26" s="37">
        <f>AV26*100*AV44</f>
        <v>718.84935899999994</v>
      </c>
      <c r="AX26" s="35">
        <f t="shared" si="14"/>
        <v>3.798</v>
      </c>
    </row>
    <row r="27" spans="1:50" x14ac:dyDescent="0.3">
      <c r="A27" s="23">
        <v>44702</v>
      </c>
      <c r="B27" s="40">
        <v>197</v>
      </c>
      <c r="C27" s="24">
        <v>8121110</v>
      </c>
      <c r="D27" s="24">
        <v>18759980</v>
      </c>
      <c r="E27" s="24">
        <v>3212890</v>
      </c>
      <c r="F27" s="24">
        <v>4038510</v>
      </c>
      <c r="G27" s="24">
        <v>12008910</v>
      </c>
      <c r="H27" s="24">
        <v>6871380</v>
      </c>
      <c r="I27" s="24">
        <v>6017060</v>
      </c>
      <c r="J27" s="24">
        <v>7424290</v>
      </c>
      <c r="K27" s="24">
        <v>10983080</v>
      </c>
      <c r="L27" s="24">
        <v>4730960</v>
      </c>
      <c r="M27" s="24">
        <v>8981610</v>
      </c>
      <c r="N27" s="24">
        <v>14518020</v>
      </c>
      <c r="O27" s="24">
        <v>20305300</v>
      </c>
      <c r="Q27" s="37">
        <f t="shared" si="32"/>
        <v>9950</v>
      </c>
      <c r="R27" s="37">
        <f t="shared" si="18"/>
        <v>13300</v>
      </c>
      <c r="S27" s="37">
        <f t="shared" si="32"/>
        <v>140</v>
      </c>
      <c r="T27" s="37">
        <f t="shared" si="32"/>
        <v>1660</v>
      </c>
      <c r="U27" s="37">
        <f t="shared" si="32"/>
        <v>4840</v>
      </c>
      <c r="V27" s="37">
        <f t="shared" si="32"/>
        <v>4240</v>
      </c>
      <c r="W27" s="37">
        <f t="shared" si="32"/>
        <v>3450</v>
      </c>
      <c r="X27" s="37">
        <f t="shared" si="32"/>
        <v>4680</v>
      </c>
      <c r="Y27" s="37">
        <f t="shared" si="32"/>
        <v>5340</v>
      </c>
      <c r="Z27" s="37">
        <f t="shared" si="32"/>
        <v>2900</v>
      </c>
      <c r="AA27" s="37">
        <f t="shared" si="32"/>
        <v>3610</v>
      </c>
      <c r="AB27" s="37">
        <f t="shared" si="32"/>
        <v>5930</v>
      </c>
      <c r="AC27" s="37">
        <f t="shared" si="32"/>
        <v>10280</v>
      </c>
      <c r="AD27" s="35">
        <f t="shared" si="29"/>
        <v>70320</v>
      </c>
      <c r="AF27" s="20">
        <f t="shared" si="1"/>
        <v>49.75</v>
      </c>
      <c r="AG27" s="20">
        <f t="shared" si="2"/>
        <v>66.5</v>
      </c>
      <c r="AH27" s="20">
        <f t="shared" si="3"/>
        <v>0.70000000000000007</v>
      </c>
      <c r="AI27" s="20">
        <f t="shared" si="4"/>
        <v>8.3000000000000007</v>
      </c>
      <c r="AJ27" s="20">
        <f t="shared" si="5"/>
        <v>24.2</v>
      </c>
      <c r="AK27" s="20">
        <f t="shared" si="6"/>
        <v>21.2</v>
      </c>
      <c r="AL27" s="20">
        <f t="shared" si="7"/>
        <v>17.25</v>
      </c>
      <c r="AM27" s="20">
        <f t="shared" si="8"/>
        <v>23.400000000000002</v>
      </c>
      <c r="AN27" s="20">
        <f t="shared" si="9"/>
        <v>26.7</v>
      </c>
      <c r="AO27" s="20">
        <f t="shared" si="10"/>
        <v>14.5</v>
      </c>
      <c r="AP27" s="20">
        <f t="shared" si="11"/>
        <v>18.05</v>
      </c>
      <c r="AQ27" s="20">
        <f t="shared" si="12"/>
        <v>29.650000000000002</v>
      </c>
      <c r="AR27" s="20">
        <f t="shared" si="13"/>
        <v>51.4</v>
      </c>
      <c r="AS27" s="35">
        <f t="shared" si="30"/>
        <v>351.59999999999991</v>
      </c>
      <c r="AU27" s="47">
        <v>663505</v>
      </c>
      <c r="AV27" s="37">
        <v>2003</v>
      </c>
      <c r="AW27" s="37">
        <f>AV27*100*AV44</f>
        <v>758.217623</v>
      </c>
      <c r="AX27" s="35">
        <f t="shared" si="14"/>
        <v>4.0060000000000002</v>
      </c>
    </row>
    <row r="28" spans="1:50" x14ac:dyDescent="0.3">
      <c r="A28" s="23">
        <v>44703</v>
      </c>
      <c r="B28" s="40">
        <v>231</v>
      </c>
      <c r="C28" s="24">
        <v>8130460</v>
      </c>
      <c r="D28" s="24">
        <v>18772620</v>
      </c>
      <c r="E28" s="24">
        <v>3213020</v>
      </c>
      <c r="F28" s="24">
        <v>4040140</v>
      </c>
      <c r="G28" s="24">
        <v>12013380</v>
      </c>
      <c r="H28" s="24">
        <v>6875470</v>
      </c>
      <c r="I28" s="24">
        <v>6020790</v>
      </c>
      <c r="J28" s="24">
        <v>7428930</v>
      </c>
      <c r="K28" s="24">
        <v>10988260</v>
      </c>
      <c r="L28" s="24">
        <v>4733930</v>
      </c>
      <c r="M28" s="24">
        <v>8985100</v>
      </c>
      <c r="N28" s="24">
        <v>14525450</v>
      </c>
      <c r="O28" s="24">
        <v>20317610</v>
      </c>
      <c r="Q28" s="37">
        <f t="shared" si="17"/>
        <v>9350</v>
      </c>
      <c r="R28" s="37">
        <f t="shared" si="18"/>
        <v>12640</v>
      </c>
      <c r="S28" s="37">
        <f t="shared" si="16"/>
        <v>130</v>
      </c>
      <c r="T28" s="37">
        <f t="shared" si="19"/>
        <v>1630</v>
      </c>
      <c r="U28" s="37">
        <f t="shared" si="20"/>
        <v>4470</v>
      </c>
      <c r="V28" s="37">
        <f t="shared" si="21"/>
        <v>4090</v>
      </c>
      <c r="W28" s="37">
        <f t="shared" si="22"/>
        <v>3730</v>
      </c>
      <c r="X28" s="37">
        <f t="shared" si="23"/>
        <v>4640</v>
      </c>
      <c r="Y28" s="37">
        <f t="shared" si="24"/>
        <v>5180</v>
      </c>
      <c r="Z28" s="37">
        <f t="shared" si="25"/>
        <v>2970</v>
      </c>
      <c r="AA28" s="37">
        <f t="shared" si="26"/>
        <v>3490</v>
      </c>
      <c r="AB28" s="37">
        <f t="shared" si="27"/>
        <v>7430</v>
      </c>
      <c r="AC28" s="37">
        <f t="shared" si="28"/>
        <v>12310</v>
      </c>
      <c r="AD28" s="35">
        <f t="shared" si="29"/>
        <v>72060</v>
      </c>
      <c r="AF28" s="20">
        <f t="shared" si="1"/>
        <v>46.75</v>
      </c>
      <c r="AG28" s="20">
        <f t="shared" si="2"/>
        <v>63.2</v>
      </c>
      <c r="AH28" s="20">
        <f t="shared" si="3"/>
        <v>0.65</v>
      </c>
      <c r="AI28" s="20">
        <f t="shared" si="4"/>
        <v>8.15</v>
      </c>
      <c r="AJ28" s="20">
        <f t="shared" si="5"/>
        <v>22.35</v>
      </c>
      <c r="AK28" s="20">
        <f t="shared" si="6"/>
        <v>20.45</v>
      </c>
      <c r="AL28" s="20">
        <f t="shared" si="7"/>
        <v>18.650000000000002</v>
      </c>
      <c r="AM28" s="20">
        <f t="shared" si="8"/>
        <v>23.2</v>
      </c>
      <c r="AN28" s="20">
        <f t="shared" si="9"/>
        <v>25.900000000000002</v>
      </c>
      <c r="AO28" s="20">
        <f t="shared" si="10"/>
        <v>14.85</v>
      </c>
      <c r="AP28" s="20">
        <f t="shared" si="11"/>
        <v>17.45</v>
      </c>
      <c r="AQ28" s="20">
        <f t="shared" si="12"/>
        <v>37.15</v>
      </c>
      <c r="AR28" s="20">
        <f t="shared" si="13"/>
        <v>61.550000000000004</v>
      </c>
      <c r="AS28" s="35">
        <f t="shared" si="30"/>
        <v>360.3</v>
      </c>
      <c r="AU28" s="47">
        <v>663505</v>
      </c>
      <c r="AV28" s="37">
        <v>2001</v>
      </c>
      <c r="AW28" s="37">
        <f>AV28*100*AV44</f>
        <v>757.46054100000003</v>
      </c>
      <c r="AX28" s="35">
        <f t="shared" si="14"/>
        <v>4.0019999999999998</v>
      </c>
    </row>
    <row r="29" spans="1:50" x14ac:dyDescent="0.3">
      <c r="A29" s="23">
        <v>44704</v>
      </c>
      <c r="B29" s="40">
        <v>284</v>
      </c>
      <c r="C29" s="24">
        <v>8136530</v>
      </c>
      <c r="D29" s="24">
        <v>18785120</v>
      </c>
      <c r="E29" s="24">
        <v>3213150</v>
      </c>
      <c r="F29" s="24">
        <v>4043100</v>
      </c>
      <c r="G29" s="24">
        <v>12017940</v>
      </c>
      <c r="H29" s="24">
        <v>6879810</v>
      </c>
      <c r="I29" s="24">
        <v>6024190</v>
      </c>
      <c r="J29" s="24">
        <v>7433580</v>
      </c>
      <c r="K29" s="24">
        <v>10992910</v>
      </c>
      <c r="L29" s="24">
        <v>4736980</v>
      </c>
      <c r="M29" s="24">
        <v>8988790</v>
      </c>
      <c r="N29" s="24">
        <v>14532550</v>
      </c>
      <c r="O29" s="24">
        <v>20328310</v>
      </c>
      <c r="Q29" s="37">
        <f t="shared" si="17"/>
        <v>6070</v>
      </c>
      <c r="R29" s="37">
        <f t="shared" si="18"/>
        <v>12500</v>
      </c>
      <c r="S29" s="37">
        <f t="shared" si="16"/>
        <v>130</v>
      </c>
      <c r="T29" s="37">
        <f t="shared" si="19"/>
        <v>2960</v>
      </c>
      <c r="U29" s="37">
        <f t="shared" si="20"/>
        <v>4560</v>
      </c>
      <c r="V29" s="37">
        <f t="shared" si="21"/>
        <v>4340</v>
      </c>
      <c r="W29" s="37">
        <f t="shared" si="22"/>
        <v>3400</v>
      </c>
      <c r="X29" s="37">
        <f t="shared" si="23"/>
        <v>4650</v>
      </c>
      <c r="Y29" s="37">
        <f t="shared" si="24"/>
        <v>4650</v>
      </c>
      <c r="Z29" s="37">
        <f t="shared" si="25"/>
        <v>3050</v>
      </c>
      <c r="AA29" s="37">
        <f t="shared" si="26"/>
        <v>3690</v>
      </c>
      <c r="AB29" s="37">
        <f t="shared" si="27"/>
        <v>7100</v>
      </c>
      <c r="AC29" s="37">
        <f t="shared" si="28"/>
        <v>10700</v>
      </c>
      <c r="AD29" s="35">
        <f t="shared" si="29"/>
        <v>67800</v>
      </c>
      <c r="AF29" s="20">
        <f t="shared" si="1"/>
        <v>30.35</v>
      </c>
      <c r="AG29" s="20">
        <f t="shared" si="2"/>
        <v>62.5</v>
      </c>
      <c r="AH29" s="20">
        <f t="shared" si="3"/>
        <v>0.65</v>
      </c>
      <c r="AI29" s="20">
        <f t="shared" si="4"/>
        <v>14.8</v>
      </c>
      <c r="AJ29" s="20">
        <f t="shared" si="5"/>
        <v>22.8</v>
      </c>
      <c r="AK29" s="20">
        <f t="shared" si="6"/>
        <v>21.7</v>
      </c>
      <c r="AL29" s="20">
        <f t="shared" si="7"/>
        <v>17</v>
      </c>
      <c r="AM29" s="20">
        <f t="shared" si="8"/>
        <v>23.25</v>
      </c>
      <c r="AN29" s="20">
        <f t="shared" si="9"/>
        <v>23.25</v>
      </c>
      <c r="AO29" s="20">
        <f t="shared" si="10"/>
        <v>15.25</v>
      </c>
      <c r="AP29" s="20">
        <f t="shared" si="11"/>
        <v>18.45</v>
      </c>
      <c r="AQ29" s="20">
        <f t="shared" si="12"/>
        <v>35.5</v>
      </c>
      <c r="AR29" s="20">
        <f t="shared" si="13"/>
        <v>53.5</v>
      </c>
      <c r="AS29" s="35">
        <f t="shared" si="30"/>
        <v>339</v>
      </c>
      <c r="AU29" s="47">
        <v>663505</v>
      </c>
      <c r="AV29" s="37">
        <v>1986</v>
      </c>
      <c r="AW29" s="37">
        <f>AV29*100*AV44</f>
        <v>751.78242599999999</v>
      </c>
      <c r="AX29" s="35">
        <f t="shared" si="14"/>
        <v>3.972</v>
      </c>
    </row>
    <row r="30" spans="1:50" x14ac:dyDescent="0.3">
      <c r="A30" s="23">
        <v>44705</v>
      </c>
      <c r="B30" s="40">
        <v>207</v>
      </c>
      <c r="C30" s="24">
        <v>8137560</v>
      </c>
      <c r="D30" s="24">
        <v>18800220</v>
      </c>
      <c r="E30" s="24">
        <v>3213250</v>
      </c>
      <c r="F30" s="24">
        <v>4045480</v>
      </c>
      <c r="G30" s="24">
        <v>12022380</v>
      </c>
      <c r="H30" s="24">
        <v>6884140</v>
      </c>
      <c r="I30" s="24">
        <v>6027690</v>
      </c>
      <c r="J30" s="24">
        <v>7437820</v>
      </c>
      <c r="K30" s="24">
        <v>10996830</v>
      </c>
      <c r="L30" s="24">
        <v>4739780</v>
      </c>
      <c r="M30" s="24">
        <v>8992050</v>
      </c>
      <c r="N30" s="24">
        <v>14539640</v>
      </c>
      <c r="O30" s="24">
        <v>20340340</v>
      </c>
      <c r="Q30" s="37">
        <f t="shared" si="17"/>
        <v>1030</v>
      </c>
      <c r="R30" s="37">
        <f t="shared" si="18"/>
        <v>15100</v>
      </c>
      <c r="S30" s="37">
        <f t="shared" si="16"/>
        <v>100</v>
      </c>
      <c r="T30" s="37">
        <f t="shared" si="19"/>
        <v>2380</v>
      </c>
      <c r="U30" s="37">
        <f t="shared" si="20"/>
        <v>4440</v>
      </c>
      <c r="V30" s="37">
        <f t="shared" si="21"/>
        <v>4330</v>
      </c>
      <c r="W30" s="37">
        <f t="shared" si="22"/>
        <v>3500</v>
      </c>
      <c r="X30" s="37">
        <f t="shared" si="23"/>
        <v>4240</v>
      </c>
      <c r="Y30" s="37">
        <f t="shared" si="24"/>
        <v>3920</v>
      </c>
      <c r="Z30" s="37">
        <f t="shared" si="25"/>
        <v>2800</v>
      </c>
      <c r="AA30" s="37">
        <f t="shared" si="26"/>
        <v>3260</v>
      </c>
      <c r="AB30" s="37">
        <f t="shared" si="27"/>
        <v>7090</v>
      </c>
      <c r="AC30" s="37">
        <f t="shared" si="28"/>
        <v>12030</v>
      </c>
      <c r="AD30" s="35">
        <f t="shared" si="29"/>
        <v>64220</v>
      </c>
      <c r="AF30" s="20">
        <f t="shared" si="1"/>
        <v>5.15</v>
      </c>
      <c r="AG30" s="20">
        <f t="shared" si="2"/>
        <v>75.5</v>
      </c>
      <c r="AH30" s="20">
        <f t="shared" si="3"/>
        <v>0.5</v>
      </c>
      <c r="AI30" s="20">
        <f t="shared" si="4"/>
        <v>11.9</v>
      </c>
      <c r="AJ30" s="20">
        <f t="shared" si="5"/>
        <v>22.2</v>
      </c>
      <c r="AK30" s="20">
        <f t="shared" si="6"/>
        <v>21.650000000000002</v>
      </c>
      <c r="AL30" s="20">
        <f t="shared" si="7"/>
        <v>17.5</v>
      </c>
      <c r="AM30" s="20">
        <f t="shared" si="8"/>
        <v>21.2</v>
      </c>
      <c r="AN30" s="20">
        <f t="shared" si="9"/>
        <v>19.600000000000001</v>
      </c>
      <c r="AO30" s="20">
        <f t="shared" si="10"/>
        <v>14</v>
      </c>
      <c r="AP30" s="20">
        <f t="shared" si="11"/>
        <v>16.3</v>
      </c>
      <c r="AQ30" s="20">
        <f t="shared" si="12"/>
        <v>35.450000000000003</v>
      </c>
      <c r="AR30" s="20">
        <f t="shared" si="13"/>
        <v>60.15</v>
      </c>
      <c r="AS30" s="35">
        <f t="shared" si="30"/>
        <v>321.09999999999997</v>
      </c>
      <c r="AU30" s="47">
        <v>663505</v>
      </c>
      <c r="AV30" s="37">
        <v>1977</v>
      </c>
      <c r="AW30" s="37">
        <f>AV30*100*AV44</f>
        <v>748.37555699999996</v>
      </c>
      <c r="AX30" s="35">
        <f t="shared" si="14"/>
        <v>3.9540000000000002</v>
      </c>
    </row>
    <row r="31" spans="1:50" x14ac:dyDescent="0.3">
      <c r="A31" s="23">
        <v>44706</v>
      </c>
      <c r="B31" s="40">
        <v>192</v>
      </c>
      <c r="C31" s="24">
        <v>8138570</v>
      </c>
      <c r="D31" s="24">
        <v>18814360</v>
      </c>
      <c r="E31" s="24">
        <v>3213380</v>
      </c>
      <c r="F31" s="24">
        <v>4048610</v>
      </c>
      <c r="G31" s="24">
        <v>12026850</v>
      </c>
      <c r="H31" s="24">
        <v>6888310</v>
      </c>
      <c r="I31" s="24">
        <v>6031160</v>
      </c>
      <c r="J31" s="24">
        <v>7442240</v>
      </c>
      <c r="K31" s="24">
        <v>11000780</v>
      </c>
      <c r="L31" s="24">
        <v>4742560</v>
      </c>
      <c r="M31" s="24">
        <v>8995250</v>
      </c>
      <c r="N31" s="24">
        <v>14546400</v>
      </c>
      <c r="O31" s="24">
        <v>20350450</v>
      </c>
      <c r="Q31" s="37">
        <f>IF((C31-C30&lt;0), "0",C31-C30)</f>
        <v>1010</v>
      </c>
      <c r="R31" s="37">
        <f t="shared" si="18"/>
        <v>14140</v>
      </c>
      <c r="S31" s="37">
        <f t="shared" si="16"/>
        <v>130</v>
      </c>
      <c r="T31" s="37">
        <f t="shared" si="19"/>
        <v>3130</v>
      </c>
      <c r="U31" s="37">
        <f t="shared" si="20"/>
        <v>4470</v>
      </c>
      <c r="V31" s="37">
        <f t="shared" si="21"/>
        <v>4170</v>
      </c>
      <c r="W31" s="37">
        <f t="shared" si="22"/>
        <v>3470</v>
      </c>
      <c r="X31" s="37">
        <f t="shared" si="23"/>
        <v>4420</v>
      </c>
      <c r="Y31" s="37">
        <f t="shared" si="24"/>
        <v>3950</v>
      </c>
      <c r="Z31" s="37">
        <f t="shared" si="25"/>
        <v>2780</v>
      </c>
      <c r="AA31" s="37">
        <f t="shared" si="26"/>
        <v>3200</v>
      </c>
      <c r="AB31" s="37">
        <f t="shared" si="27"/>
        <v>6760</v>
      </c>
      <c r="AC31" s="37">
        <f t="shared" si="28"/>
        <v>10110</v>
      </c>
      <c r="AD31" s="35">
        <f t="shared" si="29"/>
        <v>61740</v>
      </c>
      <c r="AF31" s="20">
        <f t="shared" si="1"/>
        <v>5.05</v>
      </c>
      <c r="AG31" s="20">
        <f t="shared" si="2"/>
        <v>70.7</v>
      </c>
      <c r="AH31" s="20">
        <f t="shared" si="3"/>
        <v>0.65</v>
      </c>
      <c r="AI31" s="20">
        <f t="shared" si="4"/>
        <v>15.65</v>
      </c>
      <c r="AJ31" s="20">
        <f t="shared" si="5"/>
        <v>22.35</v>
      </c>
      <c r="AK31" s="20">
        <f t="shared" si="6"/>
        <v>20.85</v>
      </c>
      <c r="AL31" s="20">
        <f t="shared" si="7"/>
        <v>17.350000000000001</v>
      </c>
      <c r="AM31" s="20">
        <f t="shared" si="8"/>
        <v>22.1</v>
      </c>
      <c r="AN31" s="20">
        <f t="shared" si="9"/>
        <v>19.75</v>
      </c>
      <c r="AO31" s="20">
        <f t="shared" si="10"/>
        <v>13.9</v>
      </c>
      <c r="AP31" s="20">
        <f t="shared" si="11"/>
        <v>16</v>
      </c>
      <c r="AQ31" s="20">
        <f t="shared" si="12"/>
        <v>33.799999999999997</v>
      </c>
      <c r="AR31" s="20">
        <f t="shared" si="13"/>
        <v>50.550000000000004</v>
      </c>
      <c r="AS31" s="35">
        <f t="shared" si="30"/>
        <v>308.7</v>
      </c>
      <c r="AU31" s="47">
        <v>663505</v>
      </c>
      <c r="AV31" s="37">
        <v>1866</v>
      </c>
      <c r="AW31" s="37">
        <f>AV31*100*AV44</f>
        <v>706.35750599999994</v>
      </c>
      <c r="AX31" s="35">
        <f t="shared" si="14"/>
        <v>3.7320000000000002</v>
      </c>
    </row>
    <row r="32" spans="1:50" x14ac:dyDescent="0.3">
      <c r="A32" s="23">
        <v>44707</v>
      </c>
      <c r="B32" s="40">
        <v>242</v>
      </c>
      <c r="C32" s="24">
        <v>8139620</v>
      </c>
      <c r="D32" s="24">
        <v>18826360</v>
      </c>
      <c r="E32" s="24">
        <v>3213520</v>
      </c>
      <c r="F32" s="24">
        <v>4053460</v>
      </c>
      <c r="G32" s="24">
        <v>12031590</v>
      </c>
      <c r="H32" s="24">
        <v>6892570</v>
      </c>
      <c r="I32" s="24">
        <v>6034360</v>
      </c>
      <c r="J32" s="24">
        <v>7446690</v>
      </c>
      <c r="K32" s="24">
        <v>11005140</v>
      </c>
      <c r="L32" s="24">
        <v>4745450</v>
      </c>
      <c r="M32" s="24">
        <v>8998600</v>
      </c>
      <c r="N32" s="24">
        <v>14553700</v>
      </c>
      <c r="O32" s="24">
        <v>20360930</v>
      </c>
      <c r="Q32" s="37">
        <f>IF((C32-C31&lt;0), "0",C32-C31)</f>
        <v>1050</v>
      </c>
      <c r="R32" s="37">
        <f t="shared" si="18"/>
        <v>12000</v>
      </c>
      <c r="S32" s="37">
        <f t="shared" si="16"/>
        <v>140</v>
      </c>
      <c r="T32" s="37">
        <f t="shared" si="19"/>
        <v>4850</v>
      </c>
      <c r="U32" s="37">
        <f t="shared" si="20"/>
        <v>4740</v>
      </c>
      <c r="V32" s="37">
        <f t="shared" si="21"/>
        <v>4260</v>
      </c>
      <c r="W32" s="37">
        <f t="shared" si="22"/>
        <v>3200</v>
      </c>
      <c r="X32" s="37">
        <f t="shared" si="23"/>
        <v>4450</v>
      </c>
      <c r="Y32" s="37">
        <f t="shared" si="24"/>
        <v>4360</v>
      </c>
      <c r="Z32" s="37">
        <f t="shared" si="25"/>
        <v>2890</v>
      </c>
      <c r="AA32" s="37">
        <f t="shared" si="26"/>
        <v>3350</v>
      </c>
      <c r="AB32" s="37">
        <f t="shared" si="27"/>
        <v>7300</v>
      </c>
      <c r="AC32" s="37">
        <f t="shared" si="28"/>
        <v>10480</v>
      </c>
      <c r="AD32" s="35">
        <f t="shared" si="29"/>
        <v>63070</v>
      </c>
      <c r="AF32" s="20">
        <f t="shared" si="1"/>
        <v>5.25</v>
      </c>
      <c r="AG32" s="20">
        <f t="shared" si="2"/>
        <v>60</v>
      </c>
      <c r="AH32" s="20">
        <f t="shared" si="3"/>
        <v>0.70000000000000007</v>
      </c>
      <c r="AI32" s="20">
        <f t="shared" si="4"/>
        <v>24.25</v>
      </c>
      <c r="AJ32" s="20">
        <f t="shared" si="5"/>
        <v>23.7</v>
      </c>
      <c r="AK32" s="20">
        <f t="shared" si="6"/>
        <v>21.3</v>
      </c>
      <c r="AL32" s="20">
        <f t="shared" si="7"/>
        <v>16</v>
      </c>
      <c r="AM32" s="20">
        <f t="shared" si="8"/>
        <v>22.25</v>
      </c>
      <c r="AN32" s="20">
        <f t="shared" si="9"/>
        <v>21.8</v>
      </c>
      <c r="AO32" s="20">
        <f t="shared" si="10"/>
        <v>14.450000000000001</v>
      </c>
      <c r="AP32" s="20">
        <f t="shared" si="11"/>
        <v>16.75</v>
      </c>
      <c r="AQ32" s="20">
        <f t="shared" si="12"/>
        <v>36.5</v>
      </c>
      <c r="AR32" s="20">
        <f t="shared" si="13"/>
        <v>52.4</v>
      </c>
      <c r="AS32" s="35">
        <f t="shared" si="30"/>
        <v>315.35000000000002</v>
      </c>
      <c r="AU32" s="47">
        <v>663505</v>
      </c>
      <c r="AV32" s="37">
        <v>1893</v>
      </c>
      <c r="AW32" s="37">
        <f>AV32*100*AV44</f>
        <v>716.57811300000003</v>
      </c>
      <c r="AX32" s="35">
        <f t="shared" si="14"/>
        <v>3.786</v>
      </c>
    </row>
    <row r="33" spans="1:50" x14ac:dyDescent="0.3">
      <c r="A33" s="23">
        <v>44708</v>
      </c>
      <c r="B33" s="40">
        <v>266</v>
      </c>
      <c r="C33" s="24">
        <v>8140630</v>
      </c>
      <c r="D33" s="24">
        <v>18838400</v>
      </c>
      <c r="E33" s="24">
        <v>3213640</v>
      </c>
      <c r="F33" s="24">
        <v>4058360</v>
      </c>
      <c r="G33" s="24">
        <v>12036340</v>
      </c>
      <c r="H33" s="24">
        <v>6896760</v>
      </c>
      <c r="I33" s="24">
        <v>6037960</v>
      </c>
      <c r="J33" s="24">
        <v>7451200</v>
      </c>
      <c r="K33" s="24">
        <v>11010010</v>
      </c>
      <c r="L33" s="24">
        <v>4748480</v>
      </c>
      <c r="M33" s="24">
        <v>9002230</v>
      </c>
      <c r="N33" s="24">
        <v>14560750</v>
      </c>
      <c r="O33" s="24">
        <v>20372960</v>
      </c>
      <c r="Q33" s="37">
        <f>IF((C33-C32&lt;0), "0",C33-C32)</f>
        <v>1010</v>
      </c>
      <c r="R33" s="37">
        <f t="shared" si="18"/>
        <v>12040</v>
      </c>
      <c r="S33" s="37">
        <f t="shared" si="16"/>
        <v>120</v>
      </c>
      <c r="T33" s="37">
        <f t="shared" si="19"/>
        <v>4900</v>
      </c>
      <c r="U33" s="37">
        <f t="shared" si="20"/>
        <v>4750</v>
      </c>
      <c r="V33" s="37">
        <f t="shared" si="21"/>
        <v>4190</v>
      </c>
      <c r="W33" s="37">
        <f t="shared" si="22"/>
        <v>3600</v>
      </c>
      <c r="X33" s="37">
        <f t="shared" si="23"/>
        <v>4510</v>
      </c>
      <c r="Y33" s="37">
        <f t="shared" si="24"/>
        <v>4870</v>
      </c>
      <c r="Z33" s="37">
        <f t="shared" si="25"/>
        <v>3030</v>
      </c>
      <c r="AA33" s="37">
        <f t="shared" si="26"/>
        <v>3630</v>
      </c>
      <c r="AB33" s="37">
        <f t="shared" si="27"/>
        <v>7050</v>
      </c>
      <c r="AC33" s="37">
        <f t="shared" si="28"/>
        <v>12030</v>
      </c>
      <c r="AD33" s="35">
        <f t="shared" si="29"/>
        <v>65730</v>
      </c>
      <c r="AF33" s="20">
        <f t="shared" si="1"/>
        <v>5.05</v>
      </c>
      <c r="AG33" s="20">
        <f t="shared" si="2"/>
        <v>60.2</v>
      </c>
      <c r="AH33" s="20">
        <f t="shared" si="3"/>
        <v>0.6</v>
      </c>
      <c r="AI33" s="20">
        <f t="shared" si="4"/>
        <v>24.5</v>
      </c>
      <c r="AJ33" s="20">
        <f t="shared" si="5"/>
        <v>23.75</v>
      </c>
      <c r="AK33" s="20">
        <f t="shared" si="6"/>
        <v>20.95</v>
      </c>
      <c r="AL33" s="20">
        <f t="shared" si="7"/>
        <v>18</v>
      </c>
      <c r="AM33" s="20">
        <f t="shared" si="8"/>
        <v>22.55</v>
      </c>
      <c r="AN33" s="20">
        <f t="shared" si="9"/>
        <v>24.35</v>
      </c>
      <c r="AO33" s="20">
        <f t="shared" si="10"/>
        <v>15.15</v>
      </c>
      <c r="AP33" s="20">
        <f t="shared" si="11"/>
        <v>18.150000000000002</v>
      </c>
      <c r="AQ33" s="20">
        <f t="shared" si="12"/>
        <v>35.25</v>
      </c>
      <c r="AR33" s="20">
        <f t="shared" si="13"/>
        <v>60.15</v>
      </c>
      <c r="AS33" s="35">
        <f t="shared" si="30"/>
        <v>328.65</v>
      </c>
      <c r="AU33" s="47">
        <v>663505</v>
      </c>
      <c r="AV33" s="37">
        <v>1988</v>
      </c>
      <c r="AW33" s="37">
        <f>AV33*100*AV44</f>
        <v>752.53950799999996</v>
      </c>
      <c r="AX33" s="35">
        <f t="shared" si="14"/>
        <v>3.976</v>
      </c>
    </row>
    <row r="34" spans="1:50" x14ac:dyDescent="0.3">
      <c r="A34" s="23">
        <v>44709</v>
      </c>
      <c r="B34" s="51">
        <v>156</v>
      </c>
      <c r="C34" s="50">
        <v>8141670</v>
      </c>
      <c r="D34" s="24">
        <v>18850920</v>
      </c>
      <c r="E34" s="24">
        <v>3213780</v>
      </c>
      <c r="F34" s="24">
        <v>4063450</v>
      </c>
      <c r="G34" s="24">
        <v>12041040</v>
      </c>
      <c r="H34" s="24">
        <v>6901030</v>
      </c>
      <c r="I34" s="24">
        <v>6041190</v>
      </c>
      <c r="J34" s="24">
        <v>7455670</v>
      </c>
      <c r="K34" s="24">
        <v>11014860</v>
      </c>
      <c r="L34" s="24">
        <v>4751390</v>
      </c>
      <c r="M34" s="24">
        <v>9005720</v>
      </c>
      <c r="N34" s="24">
        <v>14568090</v>
      </c>
      <c r="O34" s="24">
        <v>20384710</v>
      </c>
      <c r="Q34" s="37">
        <f>IF((C34-C33&lt;0), "0",C34-C33)</f>
        <v>1040</v>
      </c>
      <c r="R34" s="37">
        <f t="shared" si="18"/>
        <v>12520</v>
      </c>
      <c r="S34" s="37">
        <f t="shared" si="16"/>
        <v>140</v>
      </c>
      <c r="T34" s="37">
        <f t="shared" si="19"/>
        <v>5090</v>
      </c>
      <c r="U34" s="37">
        <f t="shared" si="20"/>
        <v>4700</v>
      </c>
      <c r="V34" s="37">
        <f t="shared" si="21"/>
        <v>4270</v>
      </c>
      <c r="W34" s="37">
        <f t="shared" si="22"/>
        <v>3230</v>
      </c>
      <c r="X34" s="37">
        <f t="shared" si="23"/>
        <v>4470</v>
      </c>
      <c r="Y34" s="37">
        <f t="shared" si="24"/>
        <v>4850</v>
      </c>
      <c r="Z34" s="37">
        <f t="shared" si="25"/>
        <v>2910</v>
      </c>
      <c r="AA34" s="37">
        <f t="shared" si="26"/>
        <v>3490</v>
      </c>
      <c r="AB34" s="37">
        <f t="shared" si="27"/>
        <v>7340</v>
      </c>
      <c r="AC34" s="37">
        <f t="shared" si="28"/>
        <v>11750</v>
      </c>
      <c r="AD34" s="35">
        <f t="shared" si="29"/>
        <v>65800</v>
      </c>
      <c r="AF34" s="20">
        <f>Q34*$D$39</f>
        <v>5.2</v>
      </c>
      <c r="AG34" s="20">
        <f t="shared" si="2"/>
        <v>62.6</v>
      </c>
      <c r="AH34" s="20">
        <f t="shared" si="3"/>
        <v>0.70000000000000007</v>
      </c>
      <c r="AI34" s="20">
        <f t="shared" si="4"/>
        <v>25.45</v>
      </c>
      <c r="AJ34" s="20">
        <f t="shared" si="5"/>
        <v>23.5</v>
      </c>
      <c r="AK34" s="20">
        <f t="shared" si="6"/>
        <v>21.35</v>
      </c>
      <c r="AL34" s="20">
        <f t="shared" si="7"/>
        <v>16.149999999999999</v>
      </c>
      <c r="AM34" s="20">
        <f t="shared" si="8"/>
        <v>22.35</v>
      </c>
      <c r="AN34" s="20">
        <f t="shared" si="9"/>
        <v>24.25</v>
      </c>
      <c r="AO34" s="20">
        <f t="shared" si="10"/>
        <v>14.55</v>
      </c>
      <c r="AP34" s="20">
        <f t="shared" si="11"/>
        <v>17.45</v>
      </c>
      <c r="AQ34" s="20">
        <f t="shared" si="12"/>
        <v>36.700000000000003</v>
      </c>
      <c r="AR34" s="20">
        <f t="shared" si="13"/>
        <v>58.75</v>
      </c>
      <c r="AS34" s="35">
        <f>SUM(AF34:AR34)</f>
        <v>329</v>
      </c>
      <c r="AU34" s="47">
        <v>663505</v>
      </c>
      <c r="AV34" s="37">
        <v>1874</v>
      </c>
      <c r="AW34" s="37">
        <f>AV34*100*AV44</f>
        <v>709.38583399999993</v>
      </c>
      <c r="AX34" s="35">
        <f t="shared" si="14"/>
        <v>3.7480000000000002</v>
      </c>
    </row>
    <row r="35" spans="1:50" x14ac:dyDescent="0.3">
      <c r="A35" s="23">
        <v>44710</v>
      </c>
      <c r="B35" s="40">
        <v>136</v>
      </c>
      <c r="C35" s="24">
        <v>8142670</v>
      </c>
      <c r="D35" s="24">
        <v>18862720</v>
      </c>
      <c r="E35" s="24">
        <v>3214960</v>
      </c>
      <c r="F35" s="24">
        <v>4066990</v>
      </c>
      <c r="G35" s="24">
        <v>12045380</v>
      </c>
      <c r="H35" s="24">
        <v>6905000</v>
      </c>
      <c r="I35" s="24">
        <v>6043990</v>
      </c>
      <c r="J35" s="24">
        <v>7459710</v>
      </c>
      <c r="K35" s="24">
        <v>11019090</v>
      </c>
      <c r="L35" s="24">
        <v>4753950</v>
      </c>
      <c r="M35" s="24">
        <v>9008970</v>
      </c>
      <c r="N35" s="24">
        <v>14575080</v>
      </c>
      <c r="O35" s="24">
        <v>20393920</v>
      </c>
      <c r="Q35" s="37">
        <f>IF((C35-C34&lt;0), "0",C35-C34)</f>
        <v>1000</v>
      </c>
      <c r="R35" s="37">
        <f t="shared" si="18"/>
        <v>11800</v>
      </c>
      <c r="S35" s="37">
        <f t="shared" si="16"/>
        <v>1180</v>
      </c>
      <c r="T35" s="37">
        <f t="shared" si="19"/>
        <v>3540</v>
      </c>
      <c r="U35" s="37">
        <f t="shared" si="20"/>
        <v>4340</v>
      </c>
      <c r="V35" s="37">
        <f t="shared" si="21"/>
        <v>3970</v>
      </c>
      <c r="W35" s="37">
        <f t="shared" si="22"/>
        <v>2800</v>
      </c>
      <c r="X35" s="37">
        <f t="shared" si="23"/>
        <v>4040</v>
      </c>
      <c r="Y35" s="37">
        <f t="shared" si="24"/>
        <v>4230</v>
      </c>
      <c r="Z35" s="37">
        <f t="shared" si="25"/>
        <v>2560</v>
      </c>
      <c r="AA35" s="37">
        <f t="shared" si="26"/>
        <v>3250</v>
      </c>
      <c r="AB35" s="37">
        <f t="shared" si="27"/>
        <v>6990</v>
      </c>
      <c r="AC35" s="37">
        <f t="shared" si="28"/>
        <v>9210</v>
      </c>
      <c r="AD35" s="35">
        <f t="shared" si="29"/>
        <v>58910</v>
      </c>
      <c r="AF35" s="20">
        <f t="shared" si="1"/>
        <v>5</v>
      </c>
      <c r="AG35" s="20">
        <f t="shared" si="2"/>
        <v>59</v>
      </c>
      <c r="AH35" s="20">
        <f t="shared" si="3"/>
        <v>5.9</v>
      </c>
      <c r="AI35" s="20">
        <f t="shared" si="4"/>
        <v>17.7</v>
      </c>
      <c r="AJ35" s="20">
        <f t="shared" si="5"/>
        <v>21.7</v>
      </c>
      <c r="AK35" s="20">
        <f t="shared" si="6"/>
        <v>19.850000000000001</v>
      </c>
      <c r="AL35" s="20">
        <f t="shared" si="7"/>
        <v>14</v>
      </c>
      <c r="AM35" s="20">
        <f t="shared" si="8"/>
        <v>20.2</v>
      </c>
      <c r="AN35" s="20">
        <f t="shared" si="9"/>
        <v>21.150000000000002</v>
      </c>
      <c r="AO35" s="20">
        <f t="shared" si="10"/>
        <v>12.8</v>
      </c>
      <c r="AP35" s="20">
        <f t="shared" si="11"/>
        <v>16.25</v>
      </c>
      <c r="AQ35" s="20">
        <f t="shared" si="12"/>
        <v>34.950000000000003</v>
      </c>
      <c r="AR35" s="20">
        <f t="shared" si="13"/>
        <v>46.050000000000004</v>
      </c>
      <c r="AS35" s="35">
        <f>SUM(AF35:AR35)</f>
        <v>294.55</v>
      </c>
      <c r="AU35" s="47">
        <v>663505</v>
      </c>
      <c r="AV35" s="37">
        <v>1678</v>
      </c>
      <c r="AW35" s="37">
        <f>AV35*100*AV44</f>
        <v>635.19179799999995</v>
      </c>
      <c r="AX35" s="35">
        <f t="shared" si="14"/>
        <v>3.3559999999999999</v>
      </c>
    </row>
    <row r="36" spans="1:50" x14ac:dyDescent="0.3">
      <c r="A36" s="23">
        <v>44711</v>
      </c>
      <c r="B36" s="40">
        <v>153</v>
      </c>
      <c r="C36" s="24">
        <v>8143720</v>
      </c>
      <c r="D36" s="24">
        <v>18875730</v>
      </c>
      <c r="E36" s="24">
        <v>3218190</v>
      </c>
      <c r="F36" s="24">
        <v>4068650</v>
      </c>
      <c r="G36" s="24">
        <v>12049850</v>
      </c>
      <c r="H36" s="24">
        <v>6909150</v>
      </c>
      <c r="I36" s="24">
        <v>6047360</v>
      </c>
      <c r="J36" s="52">
        <v>7464190</v>
      </c>
      <c r="K36" s="24">
        <v>11023660</v>
      </c>
      <c r="L36" s="24">
        <v>4756580</v>
      </c>
      <c r="M36" s="24">
        <v>9012210</v>
      </c>
      <c r="N36" s="24">
        <v>14582450</v>
      </c>
      <c r="O36" s="24">
        <v>20406530</v>
      </c>
      <c r="Q36" s="37">
        <f t="shared" ref="Q36:AA36" si="33">IF((C36-C35&lt;0), "0",C36-C35)</f>
        <v>1050</v>
      </c>
      <c r="R36" s="37">
        <f t="shared" si="18"/>
        <v>13010</v>
      </c>
      <c r="S36" s="37">
        <f t="shared" si="33"/>
        <v>3230</v>
      </c>
      <c r="T36" s="37">
        <f t="shared" si="33"/>
        <v>1660</v>
      </c>
      <c r="U36" s="37">
        <f t="shared" si="33"/>
        <v>4470</v>
      </c>
      <c r="V36" s="37">
        <f t="shared" si="33"/>
        <v>4150</v>
      </c>
      <c r="W36" s="37">
        <f t="shared" si="33"/>
        <v>3370</v>
      </c>
      <c r="X36" s="37">
        <f t="shared" si="23"/>
        <v>4480</v>
      </c>
      <c r="Y36" s="37">
        <f t="shared" si="33"/>
        <v>4570</v>
      </c>
      <c r="Z36" s="37">
        <f t="shared" si="33"/>
        <v>2630</v>
      </c>
      <c r="AA36" s="37">
        <f t="shared" si="33"/>
        <v>3240</v>
      </c>
      <c r="AB36" s="37">
        <f t="shared" si="27"/>
        <v>7370</v>
      </c>
      <c r="AC36" s="37">
        <f t="shared" si="28"/>
        <v>12610</v>
      </c>
      <c r="AD36" s="35">
        <f t="shared" si="29"/>
        <v>65840</v>
      </c>
      <c r="AF36" s="20">
        <f t="shared" si="1"/>
        <v>5.25</v>
      </c>
      <c r="AG36" s="20">
        <f t="shared" si="2"/>
        <v>65.05</v>
      </c>
      <c r="AH36" s="20">
        <f t="shared" si="3"/>
        <v>16.149999999999999</v>
      </c>
      <c r="AI36" s="20">
        <f t="shared" si="4"/>
        <v>8.3000000000000007</v>
      </c>
      <c r="AJ36" s="20">
        <f t="shared" si="5"/>
        <v>22.35</v>
      </c>
      <c r="AK36" s="20">
        <f t="shared" si="6"/>
        <v>20.75</v>
      </c>
      <c r="AL36" s="20">
        <f t="shared" si="7"/>
        <v>16.850000000000001</v>
      </c>
      <c r="AM36" s="20">
        <f t="shared" si="8"/>
        <v>22.400000000000002</v>
      </c>
      <c r="AN36" s="20">
        <f t="shared" si="9"/>
        <v>22.85</v>
      </c>
      <c r="AO36" s="20">
        <f t="shared" si="10"/>
        <v>13.15</v>
      </c>
      <c r="AP36" s="20">
        <f t="shared" si="11"/>
        <v>16.2</v>
      </c>
      <c r="AQ36" s="20">
        <f t="shared" si="12"/>
        <v>36.85</v>
      </c>
      <c r="AR36" s="20">
        <f t="shared" si="13"/>
        <v>63.050000000000004</v>
      </c>
      <c r="AS36" s="35">
        <f>SUM(AF36:AR36)</f>
        <v>329.2</v>
      </c>
      <c r="AU36" s="47">
        <v>663505</v>
      </c>
      <c r="AV36" s="37">
        <v>1945</v>
      </c>
      <c r="AW36" s="37">
        <f>AV36*100*AV44</f>
        <v>736.26224500000001</v>
      </c>
      <c r="AX36" s="35">
        <f t="shared" ref="AX36:AX37" si="34">AV36*$D$40</f>
        <v>3.89</v>
      </c>
    </row>
    <row r="37" spans="1:50" x14ac:dyDescent="0.3">
      <c r="A37" s="23">
        <v>44712</v>
      </c>
      <c r="B37" s="40">
        <v>66</v>
      </c>
      <c r="C37" s="24">
        <v>8144740</v>
      </c>
      <c r="D37" s="24">
        <v>18888560</v>
      </c>
      <c r="E37" s="24">
        <v>3221420</v>
      </c>
      <c r="F37" s="24">
        <v>4070270</v>
      </c>
      <c r="G37" s="24">
        <v>12054400</v>
      </c>
      <c r="H37" s="24">
        <v>6913300</v>
      </c>
      <c r="I37" s="24">
        <v>6050660</v>
      </c>
      <c r="J37" s="24">
        <v>7468620</v>
      </c>
      <c r="K37" s="24">
        <v>11028290</v>
      </c>
      <c r="L37" s="24">
        <v>4759270</v>
      </c>
      <c r="M37" s="24">
        <v>9015480</v>
      </c>
      <c r="N37" s="24">
        <v>14589510</v>
      </c>
      <c r="O37" s="24">
        <v>20418950</v>
      </c>
      <c r="Q37" s="37">
        <f t="shared" ref="Q37" si="35">IF((C37-C36&lt;0), "0",C37-C36)</f>
        <v>1020</v>
      </c>
      <c r="R37" s="37">
        <f t="shared" si="18"/>
        <v>12830</v>
      </c>
      <c r="S37" s="37">
        <f t="shared" ref="S37" si="36">IF((E37-E36&lt;0), "0",E37-E36)</f>
        <v>3230</v>
      </c>
      <c r="T37" s="37">
        <f t="shared" ref="T37" si="37">IF((F37-F36&lt;0), "0",F37-F36)</f>
        <v>1620</v>
      </c>
      <c r="U37" s="37">
        <f t="shared" ref="U37" si="38">IF((G37-G36&lt;0), "0",G37-G36)</f>
        <v>4550</v>
      </c>
      <c r="V37" s="37">
        <f t="shared" ref="V37" si="39">IF((H37-H36&lt;0), "0",H37-H36)</f>
        <v>4150</v>
      </c>
      <c r="W37" s="37">
        <f t="shared" ref="W37" si="40">IF((I37-I36&lt;0), "0",I37-I36)</f>
        <v>3300</v>
      </c>
      <c r="X37" s="37">
        <f t="shared" si="23"/>
        <v>4430</v>
      </c>
      <c r="Y37" s="37">
        <f t="shared" ref="Y37" si="41">IF((K37-K36&lt;0), "0",K37-K36)</f>
        <v>4630</v>
      </c>
      <c r="Z37" s="37">
        <f t="shared" ref="Z37" si="42">IF((L37-L36&lt;0), "0",L37-L36)</f>
        <v>2690</v>
      </c>
      <c r="AA37" s="37">
        <f t="shared" ref="AA37" si="43">IF((M37-M36&lt;0), "0",M37-M36)</f>
        <v>3270</v>
      </c>
      <c r="AB37" s="37">
        <f t="shared" si="27"/>
        <v>7060</v>
      </c>
      <c r="AC37" s="37">
        <f t="shared" si="28"/>
        <v>12420</v>
      </c>
      <c r="AD37" s="35">
        <f t="shared" si="29"/>
        <v>65200</v>
      </c>
      <c r="AF37" s="20">
        <f t="shared" ref="AF37" si="44">Q37*$D$39</f>
        <v>5.1000000000000005</v>
      </c>
      <c r="AG37" s="20">
        <f t="shared" ref="AG37" si="45">R37*$D$39</f>
        <v>64.150000000000006</v>
      </c>
      <c r="AH37" s="20">
        <f t="shared" ref="AH37" si="46">S37*$D$39</f>
        <v>16.149999999999999</v>
      </c>
      <c r="AI37" s="20">
        <f t="shared" ref="AI37" si="47">T37*$D$39</f>
        <v>8.1</v>
      </c>
      <c r="AJ37" s="20">
        <f t="shared" ref="AJ37" si="48">U37*$D$39</f>
        <v>22.75</v>
      </c>
      <c r="AK37" s="20">
        <f t="shared" ref="AK37" si="49">V37*$D$39</f>
        <v>20.75</v>
      </c>
      <c r="AL37" s="20">
        <f t="shared" ref="AL37" si="50">W37*$D$39</f>
        <v>16.5</v>
      </c>
      <c r="AM37" s="20">
        <f t="shared" ref="AM37" si="51">X37*$D$39</f>
        <v>22.150000000000002</v>
      </c>
      <c r="AN37" s="20">
        <f t="shared" ref="AN37" si="52">Y37*$D$39</f>
        <v>23.150000000000002</v>
      </c>
      <c r="AO37" s="20">
        <f t="shared" ref="AO37" si="53">Z37*$D$39</f>
        <v>13.450000000000001</v>
      </c>
      <c r="AP37" s="20">
        <f t="shared" ref="AP37" si="54">AA37*$D$39</f>
        <v>16.350000000000001</v>
      </c>
      <c r="AQ37" s="20">
        <f t="shared" ref="AQ37" si="55">AB37*$D$39</f>
        <v>35.300000000000004</v>
      </c>
      <c r="AR37" s="20">
        <f t="shared" ref="AR37" si="56">AC37*$D$39</f>
        <v>62.1</v>
      </c>
      <c r="AS37" s="35">
        <f>SUM(AF37:AR37)</f>
        <v>326</v>
      </c>
      <c r="AU37" s="47">
        <v>663505</v>
      </c>
      <c r="AV37" s="37">
        <v>1669</v>
      </c>
      <c r="AW37" s="37">
        <f>AV37*100*AV44</f>
        <v>631.78492900000003</v>
      </c>
      <c r="AX37" s="35">
        <f t="shared" si="34"/>
        <v>3.3380000000000001</v>
      </c>
    </row>
    <row r="38" spans="1:50" ht="15.75" customHeight="1" x14ac:dyDescent="0.3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188710</v>
      </c>
      <c r="R38" s="38">
        <f t="shared" ref="R38:AD38" si="57">SUM(R7:R37)</f>
        <v>331880</v>
      </c>
      <c r="S38" s="38">
        <f t="shared" si="57"/>
        <v>19890</v>
      </c>
      <c r="T38" s="38">
        <f t="shared" si="57"/>
        <v>64240</v>
      </c>
      <c r="U38" s="38">
        <f t="shared" si="57"/>
        <v>141110</v>
      </c>
      <c r="V38" s="38">
        <f t="shared" si="57"/>
        <v>125430</v>
      </c>
      <c r="W38" s="38">
        <f t="shared" si="57"/>
        <v>99320</v>
      </c>
      <c r="X38" s="38">
        <f t="shared" si="57"/>
        <v>133120</v>
      </c>
      <c r="Y38" s="38">
        <f t="shared" si="57"/>
        <v>148700</v>
      </c>
      <c r="Z38" s="38">
        <f t="shared" si="57"/>
        <v>84510</v>
      </c>
      <c r="AA38" s="38">
        <f t="shared" si="57"/>
        <v>100090</v>
      </c>
      <c r="AB38" s="38">
        <f t="shared" si="57"/>
        <v>220460</v>
      </c>
      <c r="AC38" s="38">
        <f t="shared" si="57"/>
        <v>328550</v>
      </c>
      <c r="AD38" s="38">
        <f t="shared" si="57"/>
        <v>1986010</v>
      </c>
      <c r="AF38" s="35">
        <f>SUM(AF7:AF37)</f>
        <v>943.55</v>
      </c>
      <c r="AG38" s="35">
        <f t="shared" ref="AG38:AS38" si="58">SUM(AG7:AG37)</f>
        <v>1659.4</v>
      </c>
      <c r="AH38" s="35">
        <f t="shared" si="58"/>
        <v>99.450000000000017</v>
      </c>
      <c r="AI38" s="35">
        <f t="shared" si="58"/>
        <v>321.2000000000001</v>
      </c>
      <c r="AJ38" s="35">
        <f t="shared" si="58"/>
        <v>705.55000000000007</v>
      </c>
      <c r="AK38" s="35">
        <f t="shared" si="58"/>
        <v>627.15</v>
      </c>
      <c r="AL38" s="35">
        <f t="shared" si="58"/>
        <v>496.59999999999997</v>
      </c>
      <c r="AM38" s="35">
        <f t="shared" si="58"/>
        <v>665.6</v>
      </c>
      <c r="AN38" s="35">
        <f t="shared" si="58"/>
        <v>743.5</v>
      </c>
      <c r="AO38" s="35">
        <f t="shared" si="58"/>
        <v>422.55</v>
      </c>
      <c r="AP38" s="35">
        <f t="shared" si="58"/>
        <v>500.45000000000005</v>
      </c>
      <c r="AQ38" s="35">
        <f t="shared" si="58"/>
        <v>1102.2999999999997</v>
      </c>
      <c r="AR38" s="35">
        <f t="shared" si="58"/>
        <v>1642.75</v>
      </c>
      <c r="AS38" s="35">
        <f t="shared" si="58"/>
        <v>9930.0500000000011</v>
      </c>
      <c r="AU38" s="48"/>
      <c r="AV38" s="34">
        <f>SUM(AV7:AV37)</f>
        <v>49965</v>
      </c>
      <c r="AW38" s="34">
        <f>SUM(AW7:AW37)</f>
        <v>18913.801065</v>
      </c>
      <c r="AX38" s="35">
        <f>SUM(AX7:AX37)</f>
        <v>99.929999999999978</v>
      </c>
    </row>
    <row r="39" spans="1:50" x14ac:dyDescent="0.3">
      <c r="B39" s="39">
        <f>SUM(B7:B37)</f>
        <v>5125</v>
      </c>
      <c r="D39">
        <v>5.0000000000000001E-3</v>
      </c>
      <c r="AV39" s="36"/>
      <c r="AW39" s="54">
        <f>AW38/31</f>
        <v>610.122615</v>
      </c>
    </row>
    <row r="40" spans="1:50" x14ac:dyDescent="0.3">
      <c r="D40">
        <v>2E-3</v>
      </c>
    </row>
    <row r="44" spans="1:50" x14ac:dyDescent="0.3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Khoury</cp:lastModifiedBy>
  <cp:lastPrinted>2019-07-02T08:10:14Z</cp:lastPrinted>
  <dcterms:created xsi:type="dcterms:W3CDTF">2017-05-22T13:08:25Z</dcterms:created>
  <dcterms:modified xsi:type="dcterms:W3CDTF">2022-08-05T07:44:21Z</dcterms:modified>
</cp:coreProperties>
</file>