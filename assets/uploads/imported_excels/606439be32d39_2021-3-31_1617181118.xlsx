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1\"/>
    </mc:Choice>
  </mc:AlternateContent>
  <bookViews>
    <workbookView xWindow="-105" yWindow="-105" windowWidth="19425" windowHeight="10425" activeTab="1"/>
  </bookViews>
  <sheets>
    <sheet name="TOTAL" sheetId="1" r:id="rId1"/>
    <sheet name="Submetering" sheetId="3" r:id="rId2"/>
    <sheet name="Hampshire Daily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V32" i="3"/>
  <c r="W32" i="3"/>
  <c r="X3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B30" i="1"/>
  <c r="B31" i="1" s="1"/>
  <c r="B32" i="1" s="1"/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E29" i="1"/>
  <c r="G29" i="1"/>
  <c r="I29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<sst xmlns="http://schemas.openxmlformats.org/spreadsheetml/2006/main" count="133" uniqueCount="59">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</sst>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6" fillId="0" borderId="3" xfId="1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2" borderId="2" xfId="0" applyFont="1" applyFill="1" applyBorder="1" applyAlignment="1" applyProtection="1">
      <alignment horizontal="center"/>
      <protection locked="0"/>
    </xf>
    <xf numFmtId="0" fontId="8" fillId="5" borderId="2" xfId="0" applyNumberFormat="1" applyFont="1" applyFill="1" applyBorder="1" applyAlignment="1" applyProtection="1">
      <alignment horizontal="center"/>
      <protection locked="0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/>
    <xf numFmtId="0" fontId="0" fillId="0" borderId="2" xfId="0" applyBorder="1"/>
    <xf numFmtId="0" fontId="9" fillId="0" borderId="9" xfId="0" applyFont="1" applyBorder="1"/>
    <xf numFmtId="0" fontId="1" fillId="0" borderId="2" xfId="1" applyBorder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10" xfId="1" applyFont="1" applyFill="1" applyBorder="1" applyAlignment="1">
      <alignment horizontal="center" wrapText="1"/>
    </xf>
    <xf numFmtId="0" fontId="1" fillId="3" borderId="10" xfId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D27" sqref="D27:D32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5">
      <c r="A2" s="3" t="s">
        <v>40</v>
      </c>
      <c r="B2" s="2">
        <v>1</v>
      </c>
      <c r="C2" s="2">
        <v>3</v>
      </c>
      <c r="D2" s="2">
        <v>2021</v>
      </c>
      <c r="E2" s="4">
        <f>(Submetering!E2+Submetering!F2)</f>
        <v>1042</v>
      </c>
      <c r="F2" s="12">
        <v>0.14000000000000001</v>
      </c>
      <c r="G2" s="4">
        <f>Submetering!M2</f>
        <v>2011</v>
      </c>
      <c r="H2" s="12">
        <v>0.16</v>
      </c>
      <c r="I2" s="4" t="str">
        <f>Submetering!N2</f>
        <v>0</v>
      </c>
      <c r="J2" s="13">
        <v>2.06</v>
      </c>
      <c r="K2" s="4">
        <f>'Hampshire Daily'!B5</f>
        <v>10</v>
      </c>
      <c r="L2" s="4">
        <f>'Hampshire Daily'!C5</f>
        <v>10</v>
      </c>
    </row>
    <row r="3" spans="1:24" ht="14.45" x14ac:dyDescent="0.35">
      <c r="A3" s="3" t="s">
        <v>40</v>
      </c>
      <c r="B3" s="2">
        <f>B2+1</f>
        <v>2</v>
      </c>
      <c r="C3" s="2">
        <v>3</v>
      </c>
      <c r="D3" s="2">
        <v>2021</v>
      </c>
      <c r="E3" s="4">
        <f>Submetering!E3+Submetering!F3</f>
        <v>1584</v>
      </c>
      <c r="F3" s="12">
        <v>0.14000000000000001</v>
      </c>
      <c r="G3" s="4">
        <f>Submetering!M3</f>
        <v>2042</v>
      </c>
      <c r="H3" s="12">
        <v>0.16</v>
      </c>
      <c r="I3" s="4">
        <f>Submetering!N3</f>
        <v>23</v>
      </c>
      <c r="J3" s="13">
        <v>2.06</v>
      </c>
      <c r="K3" s="4">
        <f>'Hampshire Daily'!B6</f>
        <v>10</v>
      </c>
      <c r="L3" s="4">
        <f>'Hampshire Daily'!C6</f>
        <v>10</v>
      </c>
    </row>
    <row r="4" spans="1:24" ht="14.45" x14ac:dyDescent="0.35">
      <c r="A4" s="3" t="s">
        <v>40</v>
      </c>
      <c r="B4" s="2">
        <f t="shared" ref="B4:B32" si="0">B3+1</f>
        <v>3</v>
      </c>
      <c r="C4" s="2">
        <v>3</v>
      </c>
      <c r="D4" s="2">
        <v>2021</v>
      </c>
      <c r="E4" s="4">
        <f>Submetering!E4+Submetering!F4</f>
        <v>1589</v>
      </c>
      <c r="F4" s="12">
        <v>0.14000000000000001</v>
      </c>
      <c r="G4" s="4">
        <f>Submetering!M4</f>
        <v>2237</v>
      </c>
      <c r="H4" s="12">
        <v>0.16</v>
      </c>
      <c r="I4" s="4">
        <f>Submetering!N4</f>
        <v>30</v>
      </c>
      <c r="J4" s="13">
        <v>2.06</v>
      </c>
      <c r="K4" s="4">
        <f>'Hampshire Daily'!B7</f>
        <v>10</v>
      </c>
      <c r="L4" s="4">
        <f>'Hampshire Daily'!C7</f>
        <v>10</v>
      </c>
    </row>
    <row r="5" spans="1:24" ht="14.45" x14ac:dyDescent="0.35">
      <c r="A5" s="3" t="s">
        <v>40</v>
      </c>
      <c r="B5" s="2">
        <f t="shared" si="0"/>
        <v>4</v>
      </c>
      <c r="C5" s="2">
        <v>3</v>
      </c>
      <c r="D5" s="2">
        <v>2021</v>
      </c>
      <c r="E5" s="4">
        <f>Submetering!E5+Submetering!F5</f>
        <v>2647</v>
      </c>
      <c r="F5" s="12">
        <v>0.14000000000000001</v>
      </c>
      <c r="G5" s="4">
        <f>Submetering!M5</f>
        <v>1775</v>
      </c>
      <c r="H5" s="12">
        <v>0.16</v>
      </c>
      <c r="I5" s="4">
        <f>Submetering!N5</f>
        <v>25</v>
      </c>
      <c r="J5" s="13">
        <v>2.06</v>
      </c>
      <c r="K5" s="4">
        <f>'Hampshire Daily'!B8</f>
        <v>10</v>
      </c>
      <c r="L5" s="4">
        <f>'Hampshire Daily'!C8</f>
        <v>10</v>
      </c>
    </row>
    <row r="6" spans="1:24" ht="14.45" x14ac:dyDescent="0.35">
      <c r="A6" s="3" t="s">
        <v>40</v>
      </c>
      <c r="B6" s="2">
        <f t="shared" si="0"/>
        <v>5</v>
      </c>
      <c r="C6" s="2">
        <v>3</v>
      </c>
      <c r="D6" s="2">
        <v>2021</v>
      </c>
      <c r="E6" s="4">
        <f>Submetering!E6+Submetering!F6</f>
        <v>1406</v>
      </c>
      <c r="F6" s="12">
        <v>0.14000000000000001</v>
      </c>
      <c r="G6" s="4">
        <f>Submetering!M6</f>
        <v>2184</v>
      </c>
      <c r="H6" s="12">
        <v>0.16</v>
      </c>
      <c r="I6" s="4">
        <f>Submetering!N6</f>
        <v>23</v>
      </c>
      <c r="J6" s="13">
        <v>2.06</v>
      </c>
      <c r="K6" s="4">
        <f>'Hampshire Daily'!B9</f>
        <v>10</v>
      </c>
      <c r="L6" s="4">
        <f>'Hampshire Daily'!C9</f>
        <v>10</v>
      </c>
    </row>
    <row r="7" spans="1:24" ht="14.45" x14ac:dyDescent="0.35">
      <c r="A7" s="3" t="s">
        <v>40</v>
      </c>
      <c r="B7" s="2">
        <f t="shared" si="0"/>
        <v>6</v>
      </c>
      <c r="C7" s="2">
        <v>3</v>
      </c>
      <c r="D7" s="2">
        <v>2021</v>
      </c>
      <c r="E7" s="4">
        <f>Submetering!E7+Submetering!F7</f>
        <v>1282</v>
      </c>
      <c r="F7" s="12">
        <v>0.14000000000000001</v>
      </c>
      <c r="G7" s="4">
        <f>Submetering!M7</f>
        <v>2308</v>
      </c>
      <c r="H7" s="12">
        <v>0.16</v>
      </c>
      <c r="I7" s="4">
        <f>Submetering!N7</f>
        <v>27</v>
      </c>
      <c r="J7" s="13">
        <v>2.06</v>
      </c>
      <c r="K7" s="4">
        <f>'Hampshire Daily'!B10</f>
        <v>10</v>
      </c>
      <c r="L7" s="4">
        <f>'Hampshire Daily'!C10</f>
        <v>10</v>
      </c>
    </row>
    <row r="8" spans="1:24" ht="14.45" x14ac:dyDescent="0.35">
      <c r="A8" s="3" t="s">
        <v>40</v>
      </c>
      <c r="B8" s="2">
        <f t="shared" si="0"/>
        <v>7</v>
      </c>
      <c r="C8" s="2">
        <v>3</v>
      </c>
      <c r="D8" s="2">
        <v>2021</v>
      </c>
      <c r="E8" s="4">
        <f>Submetering!E8+Submetering!F8</f>
        <v>1275</v>
      </c>
      <c r="F8" s="12">
        <v>0.14000000000000001</v>
      </c>
      <c r="G8" s="4">
        <f>Submetering!M8</f>
        <v>2222</v>
      </c>
      <c r="H8" s="12">
        <v>0.16</v>
      </c>
      <c r="I8" s="4">
        <f>Submetering!N8</f>
        <v>17</v>
      </c>
      <c r="J8" s="13">
        <v>2.06</v>
      </c>
      <c r="K8" s="4">
        <f>'Hampshire Daily'!B11</f>
        <v>10</v>
      </c>
      <c r="L8" s="4">
        <f>'Hampshire Daily'!C11</f>
        <v>10</v>
      </c>
    </row>
    <row r="9" spans="1:24" ht="14.45" x14ac:dyDescent="0.35">
      <c r="A9" s="3" t="s">
        <v>40</v>
      </c>
      <c r="B9" s="2">
        <f t="shared" si="0"/>
        <v>8</v>
      </c>
      <c r="C9" s="2">
        <v>3</v>
      </c>
      <c r="D9" s="2">
        <v>2021</v>
      </c>
      <c r="E9" s="4">
        <f>Submetering!E9+Submetering!F9</f>
        <v>1538</v>
      </c>
      <c r="F9" s="12">
        <v>0.14000000000000001</v>
      </c>
      <c r="G9" s="4">
        <f>Submetering!M9</f>
        <v>2056</v>
      </c>
      <c r="H9" s="12">
        <v>0.16</v>
      </c>
      <c r="I9" s="4">
        <f>Submetering!N9</f>
        <v>20</v>
      </c>
      <c r="J9" s="13">
        <v>2.06</v>
      </c>
      <c r="K9" s="4">
        <f>'Hampshire Daily'!B12</f>
        <v>10</v>
      </c>
      <c r="L9" s="4">
        <f>'Hampshire Daily'!C12</f>
        <v>10</v>
      </c>
    </row>
    <row r="10" spans="1:24" ht="14.45" x14ac:dyDescent="0.35">
      <c r="A10" s="3" t="s">
        <v>40</v>
      </c>
      <c r="B10" s="2">
        <f t="shared" si="0"/>
        <v>9</v>
      </c>
      <c r="C10" s="2">
        <v>3</v>
      </c>
      <c r="D10" s="2">
        <v>2021</v>
      </c>
      <c r="E10" s="4">
        <f>Submetering!E10+Submetering!F10</f>
        <v>2341</v>
      </c>
      <c r="F10" s="12">
        <v>0.14000000000000001</v>
      </c>
      <c r="G10" s="4">
        <f>Submetering!M10</f>
        <v>2187</v>
      </c>
      <c r="H10" s="12">
        <v>0.16</v>
      </c>
      <c r="I10" s="4">
        <f>Submetering!N10</f>
        <v>21</v>
      </c>
      <c r="J10" s="13">
        <v>2.06</v>
      </c>
      <c r="K10" s="4">
        <f>'Hampshire Daily'!B13</f>
        <v>10</v>
      </c>
      <c r="L10" s="4">
        <f>'Hampshire Daily'!C13</f>
        <v>10</v>
      </c>
    </row>
    <row r="11" spans="1:24" ht="14.45" x14ac:dyDescent="0.35">
      <c r="A11" s="3" t="s">
        <v>40</v>
      </c>
      <c r="B11" s="2">
        <f t="shared" si="0"/>
        <v>10</v>
      </c>
      <c r="C11" s="2">
        <v>3</v>
      </c>
      <c r="D11" s="2">
        <v>2021</v>
      </c>
      <c r="E11" s="4">
        <f>Submetering!E11+Submetering!F11</f>
        <v>1404</v>
      </c>
      <c r="F11" s="12">
        <v>0.14000000000000001</v>
      </c>
      <c r="G11" s="4">
        <f>Submetering!M11</f>
        <v>2028</v>
      </c>
      <c r="H11" s="12">
        <v>0.16</v>
      </c>
      <c r="I11" s="4">
        <f>Submetering!N11</f>
        <v>27</v>
      </c>
      <c r="J11" s="13">
        <v>2.06</v>
      </c>
      <c r="K11" s="4">
        <f>'Hampshire Daily'!B14</f>
        <v>10</v>
      </c>
      <c r="L11" s="4">
        <f>'Hampshire Daily'!C14</f>
        <v>10</v>
      </c>
    </row>
    <row r="12" spans="1:24" ht="14.45" x14ac:dyDescent="0.35">
      <c r="A12" s="3" t="s">
        <v>40</v>
      </c>
      <c r="B12" s="2">
        <f t="shared" si="0"/>
        <v>11</v>
      </c>
      <c r="C12" s="2">
        <v>3</v>
      </c>
      <c r="D12" s="2">
        <v>2021</v>
      </c>
      <c r="E12" s="4">
        <f>Submetering!E12+Submetering!F12</f>
        <v>1307</v>
      </c>
      <c r="F12" s="12">
        <v>0.14000000000000001</v>
      </c>
      <c r="G12" s="4">
        <f>Submetering!M12</f>
        <v>2092</v>
      </c>
      <c r="H12" s="12">
        <v>0.16</v>
      </c>
      <c r="I12" s="4">
        <f>Submetering!N12</f>
        <v>24</v>
      </c>
      <c r="J12" s="13">
        <v>2.06</v>
      </c>
      <c r="K12" s="4">
        <f>'Hampshire Daily'!B15</f>
        <v>10</v>
      </c>
      <c r="L12" s="4">
        <f>'Hampshire Daily'!C15</f>
        <v>10</v>
      </c>
    </row>
    <row r="13" spans="1:24" ht="14.45" x14ac:dyDescent="0.35">
      <c r="A13" s="3" t="s">
        <v>40</v>
      </c>
      <c r="B13" s="2">
        <f t="shared" si="0"/>
        <v>12</v>
      </c>
      <c r="C13" s="2">
        <v>3</v>
      </c>
      <c r="D13" s="2">
        <v>2021</v>
      </c>
      <c r="E13" s="4">
        <f>Submetering!E13+Submetering!F13</f>
        <v>1278</v>
      </c>
      <c r="F13" s="12">
        <v>0.14000000000000001</v>
      </c>
      <c r="G13" s="4">
        <f>Submetering!M13</f>
        <v>2197</v>
      </c>
      <c r="H13" s="12">
        <v>0.16</v>
      </c>
      <c r="I13" s="4">
        <f>Submetering!N13</f>
        <v>39</v>
      </c>
      <c r="J13" s="13">
        <v>2.06</v>
      </c>
      <c r="K13" s="4">
        <f>'Hampshire Daily'!B16</f>
        <v>10</v>
      </c>
      <c r="L13" s="4">
        <f>'Hampshire Daily'!C16</f>
        <v>10</v>
      </c>
    </row>
    <row r="14" spans="1:24" ht="14.45" x14ac:dyDescent="0.35">
      <c r="A14" s="3" t="s">
        <v>40</v>
      </c>
      <c r="B14" s="2">
        <f t="shared" si="0"/>
        <v>13</v>
      </c>
      <c r="C14" s="2">
        <v>3</v>
      </c>
      <c r="D14" s="2">
        <v>2021</v>
      </c>
      <c r="E14" s="4">
        <f>Submetering!E14+Submetering!F14</f>
        <v>1508</v>
      </c>
      <c r="F14" s="12">
        <v>0.14000000000000001</v>
      </c>
      <c r="G14" s="4">
        <f>Submetering!M14</f>
        <v>1971</v>
      </c>
      <c r="H14" s="12">
        <v>0.16</v>
      </c>
      <c r="I14" s="4">
        <f>Submetering!N14</f>
        <v>22</v>
      </c>
      <c r="J14" s="13">
        <v>2.06</v>
      </c>
      <c r="K14" s="4">
        <f>'Hampshire Daily'!B17</f>
        <v>10</v>
      </c>
      <c r="L14" s="4">
        <f>'Hampshire Daily'!C17</f>
        <v>10</v>
      </c>
    </row>
    <row r="15" spans="1:24" ht="14.45" x14ac:dyDescent="0.35">
      <c r="A15" s="3" t="s">
        <v>40</v>
      </c>
      <c r="B15" s="2">
        <f t="shared" si="0"/>
        <v>14</v>
      </c>
      <c r="C15" s="2">
        <v>3</v>
      </c>
      <c r="D15" s="2">
        <v>2021</v>
      </c>
      <c r="E15" s="4">
        <f>Submetering!E15+Submetering!F15</f>
        <v>1293</v>
      </c>
      <c r="F15" s="12">
        <v>0.14000000000000001</v>
      </c>
      <c r="G15" s="4">
        <f>Submetering!M15</f>
        <v>2047</v>
      </c>
      <c r="H15" s="12">
        <v>0.16</v>
      </c>
      <c r="I15" s="4">
        <f>Submetering!N15</f>
        <v>14</v>
      </c>
      <c r="J15" s="13">
        <v>2.06</v>
      </c>
      <c r="K15" s="4">
        <f>'Hampshire Daily'!B18</f>
        <v>10</v>
      </c>
      <c r="L15" s="4">
        <f>'Hampshire Daily'!C18</f>
        <v>10</v>
      </c>
    </row>
    <row r="16" spans="1:24" ht="14.45" x14ac:dyDescent="0.35">
      <c r="A16" s="3" t="s">
        <v>40</v>
      </c>
      <c r="B16" s="2">
        <f t="shared" si="0"/>
        <v>15</v>
      </c>
      <c r="C16" s="2">
        <v>3</v>
      </c>
      <c r="D16" s="2">
        <v>2021</v>
      </c>
      <c r="E16" s="4">
        <f>Submetering!E16+Submetering!F16</f>
        <v>1248</v>
      </c>
      <c r="F16" s="12">
        <v>0.14000000000000001</v>
      </c>
      <c r="G16" s="4">
        <f>Submetering!M16</f>
        <v>1829</v>
      </c>
      <c r="H16" s="12">
        <v>0.16</v>
      </c>
      <c r="I16" s="4">
        <f>Submetering!N16</f>
        <v>15</v>
      </c>
      <c r="J16" s="13">
        <v>2.06</v>
      </c>
      <c r="K16" s="4">
        <f>'Hampshire Daily'!B19</f>
        <v>10</v>
      </c>
      <c r="L16" s="4">
        <f>'Hampshire Daily'!C19</f>
        <v>10</v>
      </c>
    </row>
    <row r="17" spans="1:12" x14ac:dyDescent="0.25">
      <c r="A17" s="3" t="s">
        <v>40</v>
      </c>
      <c r="B17" s="2">
        <f t="shared" si="0"/>
        <v>16</v>
      </c>
      <c r="C17" s="2">
        <v>3</v>
      </c>
      <c r="D17" s="2">
        <v>2021</v>
      </c>
      <c r="E17" s="4">
        <f>Submetering!E17+Submetering!F17</f>
        <v>1326</v>
      </c>
      <c r="F17" s="12">
        <v>0.14000000000000001</v>
      </c>
      <c r="G17" s="4">
        <f>Submetering!M17</f>
        <v>2119</v>
      </c>
      <c r="H17" s="12">
        <v>0.16</v>
      </c>
      <c r="I17" s="4">
        <f>Submetering!N17</f>
        <v>30</v>
      </c>
      <c r="J17" s="13">
        <v>2.06</v>
      </c>
      <c r="K17" s="4">
        <f>'Hampshire Daily'!B20</f>
        <v>10</v>
      </c>
      <c r="L17" s="4">
        <f>'Hampshire Daily'!C20</f>
        <v>10</v>
      </c>
    </row>
    <row r="18" spans="1:12" x14ac:dyDescent="0.25">
      <c r="A18" s="3" t="s">
        <v>40</v>
      </c>
      <c r="B18" s="2">
        <f t="shared" si="0"/>
        <v>17</v>
      </c>
      <c r="C18" s="2">
        <v>3</v>
      </c>
      <c r="D18" s="2">
        <v>2021</v>
      </c>
      <c r="E18" s="4">
        <f>Submetering!E18+Submetering!F18</f>
        <v>2356</v>
      </c>
      <c r="F18" s="12">
        <v>0.14000000000000001</v>
      </c>
      <c r="G18" s="4">
        <f>Submetering!M18</f>
        <v>1854</v>
      </c>
      <c r="H18" s="12">
        <v>0.16</v>
      </c>
      <c r="I18" s="4">
        <f>Submetering!N18</f>
        <v>26</v>
      </c>
      <c r="J18" s="13">
        <v>2.06</v>
      </c>
      <c r="K18" s="4">
        <f>'Hampshire Daily'!B21</f>
        <v>10</v>
      </c>
      <c r="L18" s="4">
        <f>'Hampshire Daily'!C21</f>
        <v>10</v>
      </c>
    </row>
    <row r="19" spans="1:12" x14ac:dyDescent="0.25">
      <c r="A19" s="3" t="s">
        <v>40</v>
      </c>
      <c r="B19" s="2">
        <f t="shared" si="0"/>
        <v>18</v>
      </c>
      <c r="C19" s="2">
        <v>3</v>
      </c>
      <c r="D19" s="2">
        <v>2021</v>
      </c>
      <c r="E19" s="4">
        <f>Submetering!E19+Submetering!F19</f>
        <v>1360</v>
      </c>
      <c r="F19" s="12">
        <v>0.14000000000000001</v>
      </c>
      <c r="G19" s="4">
        <f>Submetering!M19</f>
        <v>2115</v>
      </c>
      <c r="H19" s="12">
        <v>0.16</v>
      </c>
      <c r="I19" s="4">
        <f>Submetering!N19</f>
        <v>28</v>
      </c>
      <c r="J19" s="13">
        <v>2.06</v>
      </c>
      <c r="K19" s="4">
        <f>'Hampshire Daily'!B22</f>
        <v>10</v>
      </c>
      <c r="L19" s="4">
        <f>'Hampshire Daily'!C22</f>
        <v>10</v>
      </c>
    </row>
    <row r="20" spans="1:12" x14ac:dyDescent="0.25">
      <c r="A20" s="3" t="s">
        <v>40</v>
      </c>
      <c r="B20" s="2">
        <f t="shared" si="0"/>
        <v>19</v>
      </c>
      <c r="C20" s="2">
        <v>3</v>
      </c>
      <c r="D20" s="2">
        <v>2021</v>
      </c>
      <c r="E20" s="4">
        <f>Submetering!E20+Submetering!F20</f>
        <v>1306</v>
      </c>
      <c r="F20" s="12">
        <v>0.14000000000000001</v>
      </c>
      <c r="G20" s="4">
        <f>Submetering!M20</f>
        <v>2001</v>
      </c>
      <c r="H20" s="12">
        <v>0.16</v>
      </c>
      <c r="I20" s="4">
        <f>Submetering!N20</f>
        <v>33</v>
      </c>
      <c r="J20" s="13">
        <v>2.06</v>
      </c>
      <c r="K20" s="4">
        <f>'Hampshire Daily'!B23</f>
        <v>10</v>
      </c>
      <c r="L20" s="4">
        <f>'Hampshire Daily'!C23</f>
        <v>10</v>
      </c>
    </row>
    <row r="21" spans="1:12" x14ac:dyDescent="0.25">
      <c r="A21" s="3" t="s">
        <v>40</v>
      </c>
      <c r="B21" s="2">
        <f t="shared" si="0"/>
        <v>20</v>
      </c>
      <c r="C21" s="2">
        <v>3</v>
      </c>
      <c r="D21" s="2">
        <v>2021</v>
      </c>
      <c r="E21" s="4">
        <f>Submetering!E21+Submetering!F21</f>
        <v>1718</v>
      </c>
      <c r="F21" s="12">
        <v>0.14000000000000001</v>
      </c>
      <c r="G21" s="4">
        <f>Submetering!M21</f>
        <v>2062</v>
      </c>
      <c r="H21" s="12">
        <v>0.16</v>
      </c>
      <c r="I21" s="4">
        <f>Submetering!N21</f>
        <v>17</v>
      </c>
      <c r="J21" s="13">
        <v>2.06</v>
      </c>
      <c r="K21" s="4">
        <f>'Hampshire Daily'!B24</f>
        <v>10</v>
      </c>
      <c r="L21" s="4">
        <f>'Hampshire Daily'!C24</f>
        <v>10</v>
      </c>
    </row>
    <row r="22" spans="1:12" x14ac:dyDescent="0.25">
      <c r="A22" s="3" t="s">
        <v>40</v>
      </c>
      <c r="B22" s="2">
        <f t="shared" si="0"/>
        <v>21</v>
      </c>
      <c r="C22" s="2">
        <v>3</v>
      </c>
      <c r="D22" s="2">
        <v>2021</v>
      </c>
      <c r="E22" s="4">
        <f>Submetering!E22+Submetering!F22</f>
        <v>1311</v>
      </c>
      <c r="F22" s="12">
        <v>0.14000000000000001</v>
      </c>
      <c r="G22" s="4">
        <f>Submetering!M22</f>
        <v>1986</v>
      </c>
      <c r="H22" s="12">
        <v>0.16</v>
      </c>
      <c r="I22" s="4">
        <f>Submetering!N22</f>
        <v>16</v>
      </c>
      <c r="J22" s="13">
        <v>2.06</v>
      </c>
      <c r="K22" s="4">
        <f>'Hampshire Daily'!B25</f>
        <v>10</v>
      </c>
      <c r="L22" s="4">
        <f>'Hampshire Daily'!C25</f>
        <v>10</v>
      </c>
    </row>
    <row r="23" spans="1:12" x14ac:dyDescent="0.25">
      <c r="A23" s="3" t="s">
        <v>40</v>
      </c>
      <c r="B23" s="2">
        <f t="shared" si="0"/>
        <v>22</v>
      </c>
      <c r="C23" s="2">
        <v>3</v>
      </c>
      <c r="D23" s="2">
        <v>2021</v>
      </c>
      <c r="E23" s="4">
        <f>Submetering!E23+Submetering!F23</f>
        <v>1298</v>
      </c>
      <c r="F23" s="12">
        <v>0.14000000000000001</v>
      </c>
      <c r="G23" s="4">
        <f>Submetering!M23</f>
        <v>1891</v>
      </c>
      <c r="H23" s="12">
        <v>0.16</v>
      </c>
      <c r="I23" s="4">
        <f>Submetering!N23</f>
        <v>16</v>
      </c>
      <c r="J23" s="13">
        <v>2.06</v>
      </c>
      <c r="K23" s="4">
        <f>'Hampshire Daily'!B26</f>
        <v>10</v>
      </c>
      <c r="L23" s="4">
        <f>'Hampshire Daily'!C26</f>
        <v>10</v>
      </c>
    </row>
    <row r="24" spans="1:12" x14ac:dyDescent="0.25">
      <c r="A24" s="3" t="s">
        <v>40</v>
      </c>
      <c r="B24" s="2">
        <f t="shared" si="0"/>
        <v>23</v>
      </c>
      <c r="C24" s="2">
        <v>3</v>
      </c>
      <c r="D24" s="2">
        <v>2021</v>
      </c>
      <c r="E24" s="4">
        <f>Submetering!E24+Submetering!F24</f>
        <v>1576</v>
      </c>
      <c r="F24" s="12">
        <v>0.14000000000000001</v>
      </c>
      <c r="G24" s="4">
        <f>Submetering!M24</f>
        <v>1939</v>
      </c>
      <c r="H24" s="12">
        <v>0.16</v>
      </c>
      <c r="I24" s="4">
        <f>Submetering!N24</f>
        <v>34</v>
      </c>
      <c r="J24" s="13">
        <v>2.06</v>
      </c>
      <c r="K24" s="4">
        <f>'Hampshire Daily'!B27</f>
        <v>10</v>
      </c>
      <c r="L24" s="4">
        <f>'Hampshire Daily'!C27</f>
        <v>10</v>
      </c>
    </row>
    <row r="25" spans="1:12" x14ac:dyDescent="0.25">
      <c r="A25" s="3" t="s">
        <v>40</v>
      </c>
      <c r="B25" s="2">
        <f t="shared" si="0"/>
        <v>24</v>
      </c>
      <c r="C25" s="2">
        <v>3</v>
      </c>
      <c r="D25" s="2">
        <v>2021</v>
      </c>
      <c r="E25" s="4">
        <f>Submetering!E25+Submetering!F25</f>
        <v>1302</v>
      </c>
      <c r="F25" s="12">
        <v>0.14000000000000001</v>
      </c>
      <c r="G25" s="4">
        <f>Submetering!M25</f>
        <v>1835</v>
      </c>
      <c r="H25" s="12">
        <v>0.16</v>
      </c>
      <c r="I25" s="4">
        <f>Submetering!N25</f>
        <v>13</v>
      </c>
      <c r="J25" s="13">
        <v>2.06</v>
      </c>
      <c r="K25" s="4">
        <f>'Hampshire Daily'!B28</f>
        <v>10</v>
      </c>
      <c r="L25" s="4">
        <f>'Hampshire Daily'!C28</f>
        <v>10</v>
      </c>
    </row>
    <row r="26" spans="1:12" x14ac:dyDescent="0.25">
      <c r="A26" s="3" t="s">
        <v>40</v>
      </c>
      <c r="B26" s="2">
        <f>B25+1</f>
        <v>25</v>
      </c>
      <c r="C26" s="2">
        <v>3</v>
      </c>
      <c r="D26" s="2">
        <v>2021</v>
      </c>
      <c r="E26" s="4">
        <f>Submetering!E26+Submetering!F26</f>
        <v>1385</v>
      </c>
      <c r="F26" s="12">
        <v>0.14000000000000001</v>
      </c>
      <c r="G26" s="4">
        <f>Submetering!M26</f>
        <v>1898</v>
      </c>
      <c r="H26" s="12">
        <v>0.16</v>
      </c>
      <c r="I26" s="4">
        <f>Submetering!N26</f>
        <v>29</v>
      </c>
      <c r="J26" s="13">
        <v>2.06</v>
      </c>
      <c r="K26" s="4">
        <f>'Hampshire Daily'!B29</f>
        <v>10</v>
      </c>
      <c r="L26" s="4">
        <f>'Hampshire Daily'!C29</f>
        <v>10</v>
      </c>
    </row>
    <row r="27" spans="1:12" x14ac:dyDescent="0.25">
      <c r="A27" s="3" t="s">
        <v>40</v>
      </c>
      <c r="B27" s="2">
        <f t="shared" si="0"/>
        <v>26</v>
      </c>
      <c r="C27" s="2">
        <v>3</v>
      </c>
      <c r="D27" s="2">
        <v>2021</v>
      </c>
      <c r="E27" s="4">
        <f>Submetering!E27+Submetering!F27</f>
        <v>1386</v>
      </c>
      <c r="F27" s="12">
        <v>0.14000000000000001</v>
      </c>
      <c r="G27" s="4">
        <f>Submetering!M27</f>
        <v>1899</v>
      </c>
      <c r="H27" s="12">
        <v>0.16</v>
      </c>
      <c r="I27" s="4">
        <f>Submetering!N27</f>
        <v>29</v>
      </c>
      <c r="J27" s="13">
        <v>2.06</v>
      </c>
      <c r="K27" s="4">
        <f>'Hampshire Daily'!B30</f>
        <v>10</v>
      </c>
      <c r="L27" s="4">
        <f>'Hampshire Daily'!C30</f>
        <v>10</v>
      </c>
    </row>
    <row r="28" spans="1:12" x14ac:dyDescent="0.25">
      <c r="A28" s="3" t="s">
        <v>40</v>
      </c>
      <c r="B28" s="2">
        <f t="shared" si="0"/>
        <v>27</v>
      </c>
      <c r="C28" s="2">
        <v>3</v>
      </c>
      <c r="D28" s="2">
        <v>2021</v>
      </c>
      <c r="E28" s="4">
        <f>Submetering!E28+Submetering!F28</f>
        <v>1275</v>
      </c>
      <c r="F28" s="12">
        <v>0.14000000000000001</v>
      </c>
      <c r="G28" s="4">
        <f>Submetering!M28</f>
        <v>2055</v>
      </c>
      <c r="H28" s="12">
        <v>0.16</v>
      </c>
      <c r="I28" s="4">
        <f>Submetering!N28</f>
        <v>26</v>
      </c>
      <c r="J28" s="13">
        <v>2.06</v>
      </c>
      <c r="K28" s="4">
        <f>'Hampshire Daily'!B31</f>
        <v>10</v>
      </c>
      <c r="L28" s="4">
        <f>'Hampshire Daily'!C31</f>
        <v>10</v>
      </c>
    </row>
    <row r="29" spans="1:12" x14ac:dyDescent="0.25">
      <c r="A29" s="3" t="s">
        <v>40</v>
      </c>
      <c r="B29" s="2">
        <f t="shared" si="0"/>
        <v>28</v>
      </c>
      <c r="C29" s="2">
        <v>3</v>
      </c>
      <c r="D29" s="2">
        <v>2021</v>
      </c>
      <c r="E29" s="4">
        <f>Submetering!E29+Submetering!F29</f>
        <v>1237</v>
      </c>
      <c r="F29" s="12">
        <v>0.14000000000000001</v>
      </c>
      <c r="G29" s="4">
        <f>Submetering!M29</f>
        <v>1674</v>
      </c>
      <c r="H29" s="12">
        <v>0.16</v>
      </c>
      <c r="I29" s="4">
        <f>Submetering!N29</f>
        <v>13</v>
      </c>
      <c r="J29" s="13">
        <v>2.06</v>
      </c>
      <c r="K29" s="4">
        <f>'Hampshire Daily'!B32</f>
        <v>10</v>
      </c>
      <c r="L29" s="4">
        <f>'Hampshire Daily'!C32</f>
        <v>10</v>
      </c>
    </row>
    <row r="30" spans="1:12" x14ac:dyDescent="0.25">
      <c r="A30" s="3" t="s">
        <v>40</v>
      </c>
      <c r="B30" s="2">
        <f t="shared" si="0"/>
        <v>29</v>
      </c>
      <c r="C30" s="2">
        <v>3</v>
      </c>
      <c r="D30" s="2">
        <v>2021</v>
      </c>
    </row>
    <row r="31" spans="1:12" x14ac:dyDescent="0.25">
      <c r="A31" s="3" t="s">
        <v>40</v>
      </c>
      <c r="B31" s="2">
        <f t="shared" si="0"/>
        <v>30</v>
      </c>
      <c r="C31" s="2">
        <v>3</v>
      </c>
      <c r="D31" s="2">
        <v>2021</v>
      </c>
    </row>
    <row r="32" spans="1:12" x14ac:dyDescent="0.25">
      <c r="A32" s="3" t="s">
        <v>40</v>
      </c>
      <c r="B32" s="2">
        <f t="shared" si="0"/>
        <v>31</v>
      </c>
      <c r="C32" s="2">
        <v>3</v>
      </c>
      <c r="D32" s="2">
        <v>2021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D3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38" sqref="P38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3</v>
      </c>
      <c r="D2" s="1">
        <v>2021</v>
      </c>
      <c r="E2" s="4">
        <f>IF(('Hampshire Daily'!D5-'Hampshire Daily'!D4&lt;0),"0",('Hampshire Daily'!D5-'Hampshire Daily'!D4))</f>
        <v>823</v>
      </c>
      <c r="F2" s="4">
        <f>IF(('Hampshire Daily'!F5-'Hampshire Daily'!F4&lt;0),"0",('Hampshire Daily'!F5-'Hampshire Daily'!F4))</f>
        <v>219</v>
      </c>
      <c r="G2" s="4" t="str">
        <f>IF(('Hampshire Daily'!H5-'Hampshire Daily'!H4&lt;0),"0",('Hampshire Daily'!H5-'Hampshire Daily'!H4))</f>
        <v>0</v>
      </c>
      <c r="H2" s="4">
        <f>IF(('Hampshire Daily'!I5-'Hampshire Daily'!I4&lt;0),"0",('Hampshire Daily'!I5-'Hampshire Daily'!I4))</f>
        <v>6970000</v>
      </c>
      <c r="I2" s="4">
        <f>IF(('Hampshire Daily'!J5-'Hampshire Daily'!J4&lt;0),"0",('Hampshire Daily'!J5-'Hampshire Daily'!J4))</f>
        <v>31845</v>
      </c>
      <c r="J2" s="4">
        <f>IF(('Hampshire Daily'!K5-'Hampshire Daily'!K4&lt;0),"0",('Hampshire Daily'!K5-'Hampshire Daily'!K4))</f>
        <v>4901746</v>
      </c>
      <c r="K2" s="4">
        <f>IF(('Hampshire Daily'!L5-'Hampshire Daily'!L4&lt;0),"0",('Hampshire Daily'!L5-'Hampshire Daily'!L4))</f>
        <v>12</v>
      </c>
      <c r="L2" s="4">
        <f>IF(('Hampshire Daily'!M5-'Hampshire Daily'!M4&lt;0),"0",('Hampshire Daily'!M5-'Hampshire Daily'!M4))</f>
        <v>7</v>
      </c>
      <c r="M2" s="4">
        <f>IF(('Hampshire Daily'!N5-'Hampshire Daily'!N4&lt;0),"0",('Hampshire Daily'!N5-'Hampshire Daily'!N4))</f>
        <v>2011</v>
      </c>
      <c r="N2" s="4" t="str">
        <f>IF(('Hampshire Daily'!O5-'Hampshire Daily'!O4&lt;0),"0",('Hampshire Daily'!O5-'Hampshire Daily'!O4))</f>
        <v>0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0</v>
      </c>
      <c r="Q2" s="4">
        <f>IF(('Hampshire Daily'!R5-'Hampshire Daily'!R4&lt;0),"0",('Hampshire Daily'!R5-'Hampshire Daily'!R4))</f>
        <v>0</v>
      </c>
      <c r="R2" s="4" t="str">
        <f>IF(('Hampshire Daily'!U5-'Hampshire Daily'!U4&lt;0),"0",('Hampshire Daily'!U5-'Hampshire Daily'!U4))</f>
        <v>0</v>
      </c>
      <c r="S2" s="4">
        <f>IF(('Hampshire Daily'!V5-'Hampshire Daily'!V4&lt;0),"0",('Hampshire Daily'!V5-'Hampshire Daily'!V4))</f>
        <v>5</v>
      </c>
      <c r="T2" s="4">
        <f>IF(('Hampshire Daily'!W5-'Hampshire Daily'!W4&lt;0),"0",('Hampshire Daily'!W5-'Hampshire Daily'!W4))</f>
        <v>0.16299999999995407</v>
      </c>
      <c r="U2" s="4">
        <f>IF(('Hampshire Daily'!X5-'Hampshire Daily'!X4&lt;0),"0",('Hampshire Daily'!X5-'Hampshire Daily'!X4))</f>
        <v>0.1029999999999518</v>
      </c>
      <c r="V2" s="4">
        <f>IF(('Hampshire Daily'!Y5-'Hampshire Daily'!Y4&lt;0),"0",('Hampshire Daily'!Y5-'Hampshire Daily'!Y4))</f>
        <v>0</v>
      </c>
      <c r="W2" s="4">
        <f>IF(('Hampshire Daily'!Z5-'Hampshire Daily'!Z4&lt;0),"0",('Hampshire Daily'!Z5-'Hampshire Daily'!Z4))</f>
        <v>0</v>
      </c>
      <c r="X2" s="4">
        <f>IF(('Hampshire Daily'!AA5-'Hampshire Daily'!AA4&lt;0),"0",('Hampshire Daily'!AA5-'Hampshire Daily'!AA4))</f>
        <v>4</v>
      </c>
      <c r="Y2" s="4">
        <f>'Hampshire Daily'!B5</f>
        <v>10</v>
      </c>
      <c r="Z2" s="4">
        <f>'Hampshire Daily'!C5</f>
        <v>10</v>
      </c>
    </row>
    <row r="3" spans="1:30" x14ac:dyDescent="0.25">
      <c r="A3" s="3" t="s">
        <v>40</v>
      </c>
      <c r="B3" s="1">
        <f>B2+1</f>
        <v>2</v>
      </c>
      <c r="C3" s="17">
        <v>3</v>
      </c>
      <c r="D3" s="1">
        <v>2021</v>
      </c>
      <c r="E3" s="4">
        <f>IF(('Hampshire Daily'!D6-'Hampshire Daily'!D5&lt;0),"0",('Hampshire Daily'!D6-'Hampshire Daily'!D5))</f>
        <v>1251</v>
      </c>
      <c r="F3" s="4">
        <f>IF(('Hampshire Daily'!F6-'Hampshire Daily'!F5&lt;0),"0",('Hampshire Daily'!F6-'Hampshire Daily'!F5))</f>
        <v>333</v>
      </c>
      <c r="G3" s="4">
        <f>IF(('Hampshire Daily'!H6-'Hampshire Daily'!H5&lt;0),"0",('Hampshire Daily'!H6-'Hampshire Daily'!H5))</f>
        <v>15</v>
      </c>
      <c r="H3" s="4" t="str">
        <f>IF(('Hampshire Daily'!I6-'Hampshire Daily'!I5&lt;0),"0",('Hampshire Daily'!I6-'Hampshire Daily'!I5))</f>
        <v>0</v>
      </c>
      <c r="I3" s="4">
        <f>IF(('Hampshire Daily'!J6-'Hampshire Daily'!J5&lt;0),"0",('Hampshire Daily'!J6-'Hampshire Daily'!J5))</f>
        <v>0</v>
      </c>
      <c r="J3" s="4" t="str">
        <f>IF(('Hampshire Daily'!K6-'Hampshire Daily'!K5&lt;0),"0",('Hampshire Daily'!K6-'Hampshire Daily'!K5))</f>
        <v>0</v>
      </c>
      <c r="K3" s="4">
        <f>IF(('Hampshire Daily'!L6-'Hampshire Daily'!L5&lt;0),"0",('Hampshire Daily'!L6-'Hampshire Daily'!L5))</f>
        <v>205</v>
      </c>
      <c r="L3" s="4">
        <f>IF(('Hampshire Daily'!M6-'Hampshire Daily'!M5&lt;0),"0",('Hampshire Daily'!M6-'Hampshire Daily'!M5))</f>
        <v>0</v>
      </c>
      <c r="M3" s="4">
        <f>IF(('Hampshire Daily'!N6-'Hampshire Daily'!N5&lt;0),"0",('Hampshire Daily'!N6-'Hampshire Daily'!N5))</f>
        <v>2042</v>
      </c>
      <c r="N3" s="4">
        <f>IF(('Hampshire Daily'!O6-'Hampshire Daily'!O5&lt;0),"0",('Hampshire Daily'!O6-'Hampshire Daily'!O5))</f>
        <v>23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0</v>
      </c>
      <c r="Q3" s="4">
        <f>IF(('Hampshire Daily'!R6-'Hampshire Daily'!R5&lt;0),"0",('Hampshire Daily'!R6-'Hampshire Daily'!R5))</f>
        <v>0</v>
      </c>
      <c r="R3" s="4">
        <f>IF(('Hampshire Daily'!U6-'Hampshire Daily'!U5&lt;0),"0",('Hampshire Daily'!U6-'Hampshire Daily'!U5))</f>
        <v>3</v>
      </c>
      <c r="S3" s="4">
        <f>IF(('Hampshire Daily'!V6-'Hampshire Daily'!V5&lt;0),"0",('Hampshire Daily'!V6-'Hampshire Daily'!V5))</f>
        <v>0</v>
      </c>
      <c r="T3" s="4">
        <f>IF(('Hampshire Daily'!W6-'Hampshire Daily'!W5&lt;0),"0",('Hampshire Daily'!W6-'Hampshire Daily'!W5))</f>
        <v>0.15700000000003911</v>
      </c>
      <c r="U3" s="4">
        <f>IF(('Hampshire Daily'!X6-'Hampshire Daily'!X5&lt;0),"0",('Hampshire Daily'!X6-'Hampshire Daily'!X5))</f>
        <v>0.20199999999999818</v>
      </c>
      <c r="V3" s="4">
        <f>IF(('Hampshire Daily'!Y6-'Hampshire Daily'!Y5&lt;0),"0",('Hampshire Daily'!Y6-'Hampshire Daily'!Y5))</f>
        <v>0</v>
      </c>
      <c r="W3" s="4">
        <f>IF(('Hampshire Daily'!Z6-'Hampshire Daily'!Z5&lt;0),"0",('Hampshire Daily'!Z6-'Hampshire Daily'!Z5))</f>
        <v>0</v>
      </c>
      <c r="X3" s="4">
        <f>IF(('Hampshire Daily'!AA6-'Hampshire Daily'!AA5&lt;0),"0",('Hampshire Daily'!AA6-'Hampshire Daily'!AA5))</f>
        <v>2</v>
      </c>
      <c r="Y3" s="4">
        <f>'Hampshire Daily'!B6</f>
        <v>10</v>
      </c>
      <c r="Z3" s="4">
        <f>'Hampshire Daily'!C6</f>
        <v>10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2" si="0">B3+1</f>
        <v>3</v>
      </c>
      <c r="C4" s="17">
        <v>3</v>
      </c>
      <c r="D4" s="1">
        <v>2021</v>
      </c>
      <c r="E4" s="4">
        <f>IF(('Hampshire Daily'!D7-'Hampshire Daily'!D6&lt;0),"0",('Hampshire Daily'!D7-'Hampshire Daily'!D6))</f>
        <v>1155</v>
      </c>
      <c r="F4" s="4">
        <f>IF(('Hampshire Daily'!F7-'Hampshire Daily'!F6&lt;0),"0",('Hampshire Daily'!F7-'Hampshire Daily'!F6))</f>
        <v>434</v>
      </c>
      <c r="G4" s="4">
        <f>IF(('Hampshire Daily'!H7-'Hampshire Daily'!H6&lt;0),"0",('Hampshire Daily'!H7-'Hampshire Daily'!H6))</f>
        <v>27</v>
      </c>
      <c r="H4" s="4">
        <f>IF(('Hampshire Daily'!I7-'Hampshire Daily'!I6&lt;0),"0",('Hampshire Daily'!I7-'Hampshire Daily'!I6))</f>
        <v>0</v>
      </c>
      <c r="I4" s="4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0</v>
      </c>
      <c r="K4" s="4">
        <f>IF(('Hampshire Daily'!L7-'Hampshire Daily'!L6&lt;0),"0",('Hampshire Daily'!L7-'Hampshire Daily'!L6))</f>
        <v>313</v>
      </c>
      <c r="L4" s="4">
        <f>IF(('Hampshire Daily'!M7-'Hampshire Daily'!M6&lt;0),"0",('Hampshire Daily'!M7-'Hampshire Daily'!M6))</f>
        <v>9</v>
      </c>
      <c r="M4" s="4">
        <f>IF(('Hampshire Daily'!N7-'Hampshire Daily'!N6&lt;0),"0",('Hampshire Daily'!N7-'Hampshire Daily'!N6))</f>
        <v>2237</v>
      </c>
      <c r="N4" s="4">
        <f>IF(('Hampshire Daily'!O7-'Hampshire Daily'!O6&lt;0),"0",('Hampshire Daily'!O7-'Hampshire Daily'!O6))</f>
        <v>30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0</v>
      </c>
      <c r="Q4" s="4">
        <f>IF(('Hampshire Daily'!R7-'Hampshire Daily'!R6&lt;0),"0",('Hampshire Daily'!R7-'Hampshire Daily'!R6))</f>
        <v>0</v>
      </c>
      <c r="R4" s="4">
        <f>IF(('Hampshire Daily'!U7-'Hampshire Daily'!U6&lt;0),"0",('Hampshire Daily'!U7-'Hampshire Daily'!U6))</f>
        <v>2</v>
      </c>
      <c r="S4" s="4">
        <f>IF(('Hampshire Daily'!V7-'Hampshire Daily'!V6&lt;0),"0",('Hampshire Daily'!V7-'Hampshire Daily'!V6))</f>
        <v>1</v>
      </c>
      <c r="T4" s="4">
        <f>IF(('Hampshire Daily'!W7-'Hampshire Daily'!W6&lt;0),"0",('Hampshire Daily'!W7-'Hampshire Daily'!W6))</f>
        <v>0.15899999999999181</v>
      </c>
      <c r="U4" s="4">
        <f>IF(('Hampshire Daily'!X7-'Hampshire Daily'!X6&lt;0),"0",('Hampshire Daily'!X7-'Hampshire Daily'!X6))</f>
        <v>0.22900000000004184</v>
      </c>
      <c r="V4" s="4">
        <f>IF(('Hampshire Daily'!Y7-'Hampshire Daily'!Y6&lt;0),"0",('Hampshire Daily'!Y7-'Hampshire Daily'!Y6))</f>
        <v>0</v>
      </c>
      <c r="W4" s="4">
        <f>IF(('Hampshire Daily'!Z7-'Hampshire Daily'!Z6&lt;0),"0",('Hampshire Daily'!Z7-'Hampshire Daily'!Z6))</f>
        <v>0</v>
      </c>
      <c r="X4" s="4">
        <f>IF(('Hampshire Daily'!AA7-'Hampshire Daily'!AA6&lt;0),"0",('Hampshire Daily'!AA7-'Hampshire Daily'!AA6))</f>
        <v>4</v>
      </c>
      <c r="Y4" s="4">
        <f>'Hampshire Daily'!B7</f>
        <v>10</v>
      </c>
      <c r="Z4" s="4">
        <f>'Hampshire Daily'!C7</f>
        <v>10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3</v>
      </c>
      <c r="D5" s="1">
        <v>2021</v>
      </c>
      <c r="E5" s="4">
        <f>IF(('Hampshire Daily'!D8-'Hampshire Daily'!D7&lt;0),"0",('Hampshire Daily'!D8-'Hampshire Daily'!D7))</f>
        <v>1497</v>
      </c>
      <c r="F5" s="4">
        <f>IF(('Hampshire Daily'!F8-'Hampshire Daily'!F7&lt;0),"0",('Hampshire Daily'!F8-'Hampshire Daily'!F7))</f>
        <v>1150</v>
      </c>
      <c r="G5" s="4">
        <f>IF(('Hampshire Daily'!H8-'Hampshire Daily'!H7&lt;0),"0",('Hampshire Daily'!H8-'Hampshire Daily'!H7))</f>
        <v>236</v>
      </c>
      <c r="H5" s="4">
        <f>IF(('Hampshire Daily'!I8-'Hampshire Daily'!I7&lt;0),"0",('Hampshire Daily'!I8-'Hampshire Daily'!I7))</f>
        <v>0</v>
      </c>
      <c r="I5" s="4">
        <f>IF(('Hampshire Daily'!J8-'Hampshire Daily'!J7&lt;0),"0",('Hampshire Daily'!J8-'Hampshire Daily'!J7))</f>
        <v>0</v>
      </c>
      <c r="J5" s="4">
        <f>IF(('Hampshire Daily'!K8-'Hampshire Daily'!K7&lt;0),"0",('Hampshire Daily'!K8-'Hampshire Daily'!K7))</f>
        <v>0</v>
      </c>
      <c r="K5" s="4">
        <f>IF(('Hampshire Daily'!L8-'Hampshire Daily'!L7&lt;0),"0",('Hampshire Daily'!L8-'Hampshire Daily'!L7))</f>
        <v>204</v>
      </c>
      <c r="L5" s="4">
        <f>IF(('Hampshire Daily'!M8-'Hampshire Daily'!M7&lt;0),"0",('Hampshire Daily'!M8-'Hampshire Daily'!M7))</f>
        <v>108</v>
      </c>
      <c r="M5" s="4">
        <f>IF(('Hampshire Daily'!N8-'Hampshire Daily'!N7&lt;0),"0",('Hampshire Daily'!N8-'Hampshire Daily'!N7))</f>
        <v>1775</v>
      </c>
      <c r="N5" s="4">
        <f>IF(('Hampshire Daily'!O8-'Hampshire Daily'!O7&lt;0),"0",('Hampshire Daily'!O8-'Hampshire Daily'!O7))</f>
        <v>25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0</v>
      </c>
      <c r="Q5" s="4">
        <f>IF(('Hampshire Daily'!R8-'Hampshire Daily'!R7&lt;0),"0",('Hampshire Daily'!R8-'Hampshire Daily'!R7))</f>
        <v>0</v>
      </c>
      <c r="R5" s="4">
        <f>IF(('Hampshire Daily'!U8-'Hampshire Daily'!U7&lt;0),"0",('Hampshire Daily'!U8-'Hampshire Daily'!U7))</f>
        <v>3</v>
      </c>
      <c r="S5" s="4">
        <f>IF(('Hampshire Daily'!V8-'Hampshire Daily'!V7&lt;0),"0",('Hampshire Daily'!V8-'Hampshire Daily'!V7))</f>
        <v>0</v>
      </c>
      <c r="T5" s="4">
        <f>IF(('Hampshire Daily'!W8-'Hampshire Daily'!W7&lt;0),"0",('Hampshire Daily'!W8-'Hampshire Daily'!W7))</f>
        <v>0.13999999999998636</v>
      </c>
      <c r="U5" s="4">
        <f>IF(('Hampshire Daily'!X8-'Hampshire Daily'!X7&lt;0),"0",('Hampshire Daily'!X8-'Hampshire Daily'!X7))</f>
        <v>0.25900000000001455</v>
      </c>
      <c r="V5" s="4">
        <f>IF(('Hampshire Daily'!Y8-'Hampshire Daily'!Y7&lt;0),"0",('Hampshire Daily'!Y8-'Hampshire Daily'!Y7))</f>
        <v>0</v>
      </c>
      <c r="W5" s="4">
        <f>IF(('Hampshire Daily'!Z8-'Hampshire Daily'!Z7&lt;0),"0",('Hampshire Daily'!Z8-'Hampshire Daily'!Z7))</f>
        <v>0</v>
      </c>
      <c r="X5" s="4">
        <f>IF(('Hampshire Daily'!AA8-'Hampshire Daily'!AA7&lt;0),"0",('Hampshire Daily'!AA8-'Hampshire Daily'!AA7))</f>
        <v>3</v>
      </c>
      <c r="Y5" s="4">
        <f>'Hampshire Daily'!B8</f>
        <v>10</v>
      </c>
      <c r="Z5" s="4">
        <f>'Hampshire Daily'!C8</f>
        <v>10</v>
      </c>
    </row>
    <row r="6" spans="1:30" x14ac:dyDescent="0.25">
      <c r="A6" s="3" t="s">
        <v>40</v>
      </c>
      <c r="B6" s="1">
        <f t="shared" si="0"/>
        <v>5</v>
      </c>
      <c r="C6" s="17">
        <v>3</v>
      </c>
      <c r="D6" s="1">
        <v>2021</v>
      </c>
      <c r="E6" s="4">
        <f>IF(('Hampshire Daily'!D9-'Hampshire Daily'!D8&lt;0),"0",('Hampshire Daily'!D9-'Hampshire Daily'!D8))</f>
        <v>1068</v>
      </c>
      <c r="F6" s="4">
        <f>IF(('Hampshire Daily'!F9-'Hampshire Daily'!F8&lt;0),"0",('Hampshire Daily'!F9-'Hampshire Daily'!F8))</f>
        <v>338</v>
      </c>
      <c r="G6" s="4">
        <f>IF(('Hampshire Daily'!H9-'Hampshire Daily'!H8&lt;0),"0",('Hampshire Daily'!H9-'Hampshire Daily'!H8))</f>
        <v>18</v>
      </c>
      <c r="H6" s="4">
        <f>IF(('Hampshire Daily'!I9-'Hampshire Daily'!I8&lt;0),"0",('Hampshire Daily'!I9-'Hampshire Daily'!I8))</f>
        <v>0</v>
      </c>
      <c r="I6" s="4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0</v>
      </c>
      <c r="K6" s="4">
        <f>IF(('Hampshire Daily'!L9-'Hampshire Daily'!L8&lt;0),"0",('Hampshire Daily'!L9-'Hampshire Daily'!L8))</f>
        <v>205</v>
      </c>
      <c r="L6" s="4">
        <f>IF(('Hampshire Daily'!M9-'Hampshire Daily'!M8&lt;0),"0",('Hampshire Daily'!M9-'Hampshire Daily'!M8))</f>
        <v>0</v>
      </c>
      <c r="M6" s="4">
        <f>IF(('Hampshire Daily'!N9-'Hampshire Daily'!N8&lt;0),"0",('Hampshire Daily'!N9-'Hampshire Daily'!N8))</f>
        <v>2184</v>
      </c>
      <c r="N6" s="4">
        <f>IF(('Hampshire Daily'!O9-'Hampshire Daily'!O8&lt;0),"0",('Hampshire Daily'!O9-'Hampshire Daily'!O8))</f>
        <v>23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0</v>
      </c>
      <c r="Q6" s="4">
        <f>IF(('Hampshire Daily'!R9-'Hampshire Daily'!R8&lt;0),"0",('Hampshire Daily'!R9-'Hampshire Daily'!R8))</f>
        <v>0</v>
      </c>
      <c r="R6" s="4">
        <f>IF(('Hampshire Daily'!U9-'Hampshire Daily'!U8&lt;0),"0",('Hampshire Daily'!U9-'Hampshire Daily'!U8))</f>
        <v>3</v>
      </c>
      <c r="S6" s="4">
        <f>IF(('Hampshire Daily'!V9-'Hampshire Daily'!V8&lt;0),"0",('Hampshire Daily'!V9-'Hampshire Daily'!V8))</f>
        <v>0</v>
      </c>
      <c r="T6" s="4">
        <f>IF(('Hampshire Daily'!W9-'Hampshire Daily'!W8&lt;0),"0",('Hampshire Daily'!W9-'Hampshire Daily'!W8))</f>
        <v>0.19100000000003092</v>
      </c>
      <c r="U6" s="4">
        <f>IF(('Hampshire Daily'!X9-'Hampshire Daily'!X8&lt;0),"0",('Hampshire Daily'!X9-'Hampshire Daily'!X8))</f>
        <v>0.28099999999994907</v>
      </c>
      <c r="V6" s="4">
        <f>IF(('Hampshire Daily'!Y9-'Hampshire Daily'!Y8&lt;0),"0",('Hampshire Daily'!Y9-'Hampshire Daily'!Y8))</f>
        <v>0</v>
      </c>
      <c r="W6" s="4">
        <f>IF(('Hampshire Daily'!Z9-'Hampshire Daily'!Z8&lt;0),"0",('Hampshire Daily'!Z9-'Hampshire Daily'!Z8))</f>
        <v>0</v>
      </c>
      <c r="X6" s="4">
        <f>IF(('Hampshire Daily'!AA9-'Hampshire Daily'!AA8&lt;0),"0",('Hampshire Daily'!AA9-'Hampshire Daily'!AA8))</f>
        <v>4</v>
      </c>
      <c r="Y6" s="4">
        <f>'Hampshire Daily'!B9</f>
        <v>10</v>
      </c>
      <c r="Z6" s="4">
        <f>'Hampshire Daily'!C9</f>
        <v>10</v>
      </c>
    </row>
    <row r="7" spans="1:30" x14ac:dyDescent="0.25">
      <c r="A7" s="3" t="s">
        <v>40</v>
      </c>
      <c r="B7" s="1">
        <f t="shared" si="0"/>
        <v>6</v>
      </c>
      <c r="C7" s="17">
        <v>3</v>
      </c>
      <c r="D7" s="1">
        <v>2021</v>
      </c>
      <c r="E7" s="4">
        <f>IF(('Hampshire Daily'!D10-'Hampshire Daily'!D9&lt;0),"0",('Hampshire Daily'!D10-'Hampshire Daily'!D9))</f>
        <v>928</v>
      </c>
      <c r="F7" s="4">
        <f>IF(('Hampshire Daily'!F10-'Hampshire Daily'!F9&lt;0),"0",('Hampshire Daily'!F10-'Hampshire Daily'!F9))</f>
        <v>354</v>
      </c>
      <c r="G7" s="4">
        <f>IF(('Hampshire Daily'!H10-'Hampshire Daily'!H9&lt;0),"0",('Hampshire Daily'!H10-'Hampshire Daily'!H9))</f>
        <v>16</v>
      </c>
      <c r="H7" s="4">
        <f>IF(('Hampshire Daily'!I10-'Hampshire Daily'!I9&lt;0),"0",('Hampshire Daily'!I10-'Hampshire Daily'!I9))</f>
        <v>0</v>
      </c>
      <c r="I7" s="4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0</v>
      </c>
      <c r="K7" s="4">
        <f>IF(('Hampshire Daily'!L10-'Hampshire Daily'!L9&lt;0),"0",('Hampshire Daily'!L10-'Hampshire Daily'!L9))</f>
        <v>205</v>
      </c>
      <c r="L7" s="4">
        <f>IF(('Hampshire Daily'!M10-'Hampshire Daily'!M9&lt;0),"0",('Hampshire Daily'!M10-'Hampshire Daily'!M9))</f>
        <v>0</v>
      </c>
      <c r="M7" s="4">
        <f>IF(('Hampshire Daily'!N10-'Hampshire Daily'!N9&lt;0),"0",('Hampshire Daily'!N10-'Hampshire Daily'!N9))</f>
        <v>2308</v>
      </c>
      <c r="N7" s="4">
        <f>IF(('Hampshire Daily'!O10-'Hampshire Daily'!O9&lt;0),"0",('Hampshire Daily'!O10-'Hampshire Daily'!O9))</f>
        <v>27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0</v>
      </c>
      <c r="Q7" s="4">
        <f>IF(('Hampshire Daily'!R10-'Hampshire Daily'!R9&lt;0),"0",('Hampshire Daily'!R10-'Hampshire Daily'!R9))</f>
        <v>0</v>
      </c>
      <c r="R7" s="4">
        <f>IF(('Hampshire Daily'!U10-'Hampshire Daily'!U9&lt;0),"0",('Hampshire Daily'!U10-'Hampshire Daily'!U9))</f>
        <v>2</v>
      </c>
      <c r="S7" s="4">
        <f>IF(('Hampshire Daily'!V10-'Hampshire Daily'!V9&lt;0),"0",('Hampshire Daily'!V10-'Hampshire Daily'!V9))</f>
        <v>0</v>
      </c>
      <c r="T7" s="4">
        <f>IF(('Hampshire Daily'!W10-'Hampshire Daily'!W9&lt;0),"0",('Hampshire Daily'!W10-'Hampshire Daily'!W9))</f>
        <v>0.23699999999996635</v>
      </c>
      <c r="U7" s="4">
        <f>IF(('Hampshire Daily'!X10-'Hampshire Daily'!X9&lt;0),"0",('Hampshire Daily'!X10-'Hampshire Daily'!X9))</f>
        <v>0.30500000000006366</v>
      </c>
      <c r="V7" s="4">
        <f>IF(('Hampshire Daily'!Y10-'Hampshire Daily'!Y9&lt;0),"0",('Hampshire Daily'!Y10-'Hampshire Daily'!Y9))</f>
        <v>0</v>
      </c>
      <c r="W7" s="4">
        <f>IF(('Hampshire Daily'!Z10-'Hampshire Daily'!Z9&lt;0),"0",('Hampshire Daily'!Z10-'Hampshire Daily'!Z9))</f>
        <v>0</v>
      </c>
      <c r="X7" s="4">
        <f>IF(('Hampshire Daily'!AA10-'Hampshire Daily'!AA9&lt;0),"0",('Hampshire Daily'!AA10-'Hampshire Daily'!AA9))</f>
        <v>3</v>
      </c>
      <c r="Y7" s="4">
        <f>'Hampshire Daily'!B10</f>
        <v>10</v>
      </c>
      <c r="Z7" s="4">
        <f>'Hampshire Daily'!C10</f>
        <v>10</v>
      </c>
    </row>
    <row r="8" spans="1:30" x14ac:dyDescent="0.25">
      <c r="A8" s="3" t="s">
        <v>40</v>
      </c>
      <c r="B8" s="1">
        <f t="shared" si="0"/>
        <v>7</v>
      </c>
      <c r="C8" s="17">
        <v>3</v>
      </c>
      <c r="D8" s="1">
        <v>2021</v>
      </c>
      <c r="E8" s="4">
        <f>IF(('Hampshire Daily'!D11-'Hampshire Daily'!D10&lt;0),"0",('Hampshire Daily'!D11-'Hampshire Daily'!D10))</f>
        <v>917</v>
      </c>
      <c r="F8" s="4">
        <f>IF(('Hampshire Daily'!F11-'Hampshire Daily'!F10&lt;0),"0",('Hampshire Daily'!F11-'Hampshire Daily'!F10))</f>
        <v>358</v>
      </c>
      <c r="G8" s="4">
        <f>IF(('Hampshire Daily'!H11-'Hampshire Daily'!H10&lt;0),"0",('Hampshire Daily'!H11-'Hampshire Daily'!H10))</f>
        <v>17</v>
      </c>
      <c r="H8" s="4">
        <f>IF(('Hampshire Daily'!I11-'Hampshire Daily'!I10&lt;0),"0",('Hampshire Daily'!I11-'Hampshire Daily'!I10))</f>
        <v>0</v>
      </c>
      <c r="I8" s="4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0</v>
      </c>
      <c r="K8" s="4">
        <f>IF(('Hampshire Daily'!L11-'Hampshire Daily'!L10&lt;0),"0",('Hampshire Daily'!L11-'Hampshire Daily'!L10))</f>
        <v>205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2222</v>
      </c>
      <c r="N8" s="4">
        <f>IF(('Hampshire Daily'!O11-'Hampshire Daily'!O10&lt;0),"0",('Hampshire Daily'!O11-'Hampshire Daily'!O10))</f>
        <v>17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0</v>
      </c>
      <c r="Q8" s="4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3</v>
      </c>
      <c r="S8" s="4">
        <f>IF(('Hampshire Daily'!V11-'Hampshire Daily'!V10&lt;0),"0",('Hampshire Daily'!V11-'Hampshire Daily'!V10))</f>
        <v>0</v>
      </c>
      <c r="T8" s="4">
        <f>IF(('Hampshire Daily'!W11-'Hampshire Daily'!W10&lt;0),"0",('Hampshire Daily'!W11-'Hampshire Daily'!W10))</f>
        <v>0.24600000000003774</v>
      </c>
      <c r="U8" s="4">
        <f>IF(('Hampshire Daily'!X11-'Hampshire Daily'!X10&lt;0),"0",('Hampshire Daily'!X11-'Hampshire Daily'!X10))</f>
        <v>0.29800000000000182</v>
      </c>
      <c r="V8" s="4">
        <f>IF(('Hampshire Daily'!Y11-'Hampshire Daily'!Y10&lt;0),"0",('Hampshire Daily'!Y11-'Hampshire Daily'!Y10))</f>
        <v>0</v>
      </c>
      <c r="W8" s="4">
        <f>IF(('Hampshire Daily'!Z11-'Hampshire Daily'!Z10&lt;0),"0",('Hampshire Daily'!Z11-'Hampshire Daily'!Z10))</f>
        <v>0</v>
      </c>
      <c r="X8" s="4">
        <f>IF(('Hampshire Daily'!AA11-'Hampshire Daily'!AA10&lt;0),"0",('Hampshire Daily'!AA11-'Hampshire Daily'!AA10))</f>
        <v>3</v>
      </c>
      <c r="Y8" s="4">
        <f>'Hampshire Daily'!B11</f>
        <v>10</v>
      </c>
      <c r="Z8" s="4">
        <f>'Hampshire Daily'!C11</f>
        <v>10</v>
      </c>
    </row>
    <row r="9" spans="1:30" x14ac:dyDescent="0.25">
      <c r="A9" s="3" t="s">
        <v>40</v>
      </c>
      <c r="B9" s="1">
        <f t="shared" si="0"/>
        <v>8</v>
      </c>
      <c r="C9" s="17">
        <v>3</v>
      </c>
      <c r="D9" s="1">
        <v>2021</v>
      </c>
      <c r="E9" s="4">
        <f>IF(('Hampshire Daily'!D12-'Hampshire Daily'!D11&lt;0),"0",('Hampshire Daily'!D12-'Hampshire Daily'!D11))</f>
        <v>890</v>
      </c>
      <c r="F9" s="4">
        <f>IF(('Hampshire Daily'!F12-'Hampshire Daily'!F11&lt;0),"0",('Hampshire Daily'!F12-'Hampshire Daily'!F11))</f>
        <v>648</v>
      </c>
      <c r="G9" s="4">
        <f>IF(('Hampshire Daily'!H12-'Hampshire Daily'!H11&lt;0),"0",('Hampshire Daily'!H12-'Hampshire Daily'!H11))</f>
        <v>346</v>
      </c>
      <c r="H9" s="4">
        <f>IF(('Hampshire Daily'!I12-'Hampshire Daily'!I11&lt;0),"0",('Hampshire Daily'!I12-'Hampshire Daily'!I11))</f>
        <v>0</v>
      </c>
      <c r="I9" s="4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0</v>
      </c>
      <c r="K9" s="4">
        <f>IF(('Hampshire Daily'!L12-'Hampshire Daily'!L11&lt;0),"0",('Hampshire Daily'!L12-'Hampshire Daily'!L11))</f>
        <v>226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2056</v>
      </c>
      <c r="N9" s="4">
        <f>IF(('Hampshire Daily'!O12-'Hampshire Daily'!O11&lt;0),"0",('Hampshire Daily'!O12-'Hampshire Daily'!O11))</f>
        <v>20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0</v>
      </c>
      <c r="Q9" s="4">
        <f>IF(('Hampshire Daily'!R12-'Hampshire Daily'!R11&lt;0),"0",('Hampshire Daily'!R12-'Hampshire Daily'!R11))</f>
        <v>0</v>
      </c>
      <c r="R9" s="4">
        <f>IF(('Hampshire Daily'!U12-'Hampshire Daily'!U11&lt;0),"0",('Hampshire Daily'!U12-'Hampshire Daily'!U11))</f>
        <v>3</v>
      </c>
      <c r="S9" s="4">
        <f>IF(('Hampshire Daily'!V12-'Hampshire Daily'!V11&lt;0),"0",('Hampshire Daily'!V12-'Hampshire Daily'!V11))</f>
        <v>0</v>
      </c>
      <c r="T9" s="4">
        <f>IF(('Hampshire Daily'!W12-'Hampshire Daily'!W11&lt;0),"0",('Hampshire Daily'!W12-'Hampshire Daily'!W11))</f>
        <v>0.24399999999997135</v>
      </c>
      <c r="U9" s="4">
        <f>IF(('Hampshire Daily'!X12-'Hampshire Daily'!X11&lt;0),"0",('Hampshire Daily'!X12-'Hampshire Daily'!X11))</f>
        <v>0.32099999999991269</v>
      </c>
      <c r="V9" s="4">
        <f>IF(('Hampshire Daily'!Y12-'Hampshire Daily'!Y11&lt;0),"0",('Hampshire Daily'!Y12-'Hampshire Daily'!Y11))</f>
        <v>0</v>
      </c>
      <c r="W9" s="4">
        <f>IF(('Hampshire Daily'!Z12-'Hampshire Daily'!Z11&lt;0),"0",('Hampshire Daily'!Z12-'Hampshire Daily'!Z11))</f>
        <v>0</v>
      </c>
      <c r="X9" s="4">
        <f>IF(('Hampshire Daily'!AA12-'Hampshire Daily'!AA11&lt;0),"0",('Hampshire Daily'!AA12-'Hampshire Daily'!AA11))</f>
        <v>2</v>
      </c>
      <c r="Y9" s="4">
        <f>'Hampshire Daily'!B12</f>
        <v>10</v>
      </c>
      <c r="Z9" s="4">
        <f>'Hampshire Daily'!C12</f>
        <v>10</v>
      </c>
    </row>
    <row r="10" spans="1:30" x14ac:dyDescent="0.25">
      <c r="A10" s="3" t="s">
        <v>40</v>
      </c>
      <c r="B10" s="1">
        <f t="shared" si="0"/>
        <v>9</v>
      </c>
      <c r="C10" s="17">
        <v>3</v>
      </c>
      <c r="D10" s="1">
        <v>2021</v>
      </c>
      <c r="E10" s="4">
        <f>IF(('Hampshire Daily'!D13-'Hampshire Daily'!D12&lt;0),"0",('Hampshire Daily'!D13-'Hampshire Daily'!D12))</f>
        <v>943</v>
      </c>
      <c r="F10" s="4">
        <f>IF(('Hampshire Daily'!F13-'Hampshire Daily'!F12&lt;0),"0",('Hampshire Daily'!F13-'Hampshire Daily'!F12))</f>
        <v>1398</v>
      </c>
      <c r="G10" s="4">
        <f>IF(('Hampshire Daily'!H13-'Hampshire Daily'!H12&lt;0),"0",('Hampshire Daily'!H13-'Hampshire Daily'!H12))</f>
        <v>37</v>
      </c>
      <c r="H10" s="4">
        <f>IF(('Hampshire Daily'!I13-'Hampshire Daily'!I12&lt;0),"0",('Hampshire Daily'!I13-'Hampshire Daily'!I12))</f>
        <v>0</v>
      </c>
      <c r="I10" s="4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0</v>
      </c>
      <c r="K10" s="4">
        <f>IF(('Hampshire Daily'!L13-'Hampshire Daily'!L12&lt;0),"0",('Hampshire Daily'!L13-'Hampshire Daily'!L12))</f>
        <v>184</v>
      </c>
      <c r="L10" s="4">
        <f>IF(('Hampshire Daily'!M13-'Hampshire Daily'!M12&lt;0),"0",('Hampshire Daily'!M13-'Hampshire Daily'!M12))</f>
        <v>0</v>
      </c>
      <c r="M10" s="4">
        <f>IF(('Hampshire Daily'!N13-'Hampshire Daily'!N12&lt;0),"0",('Hampshire Daily'!N13-'Hampshire Daily'!N12))</f>
        <v>2187</v>
      </c>
      <c r="N10" s="4">
        <f>IF(('Hampshire Daily'!O13-'Hampshire Daily'!O12&lt;0),"0",('Hampshire Daily'!O13-'Hampshire Daily'!O12))</f>
        <v>21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0</v>
      </c>
      <c r="R10" s="4">
        <f>IF(('Hampshire Daily'!U13-'Hampshire Daily'!U12&lt;0),"0",('Hampshire Daily'!U13-'Hampshire Daily'!U12))</f>
        <v>3</v>
      </c>
      <c r="S10" s="4">
        <f>IF(('Hampshire Daily'!V13-'Hampshire Daily'!V12&lt;0),"0",('Hampshire Daily'!V13-'Hampshire Daily'!V12))</f>
        <v>1</v>
      </c>
      <c r="T10" s="4" t="str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0.25200000000006639</v>
      </c>
      <c r="V10" s="4">
        <f>IF(('Hampshire Daily'!Y13-'Hampshire Daily'!Y12&lt;0),"0",('Hampshire Daily'!Y13-'Hampshire Daily'!Y12))</f>
        <v>0</v>
      </c>
      <c r="W10" s="4">
        <f>IF(('Hampshire Daily'!Z13-'Hampshire Daily'!Z12&lt;0),"0",('Hampshire Daily'!Z13-'Hampshire Daily'!Z12))</f>
        <v>0</v>
      </c>
      <c r="X10" s="4">
        <f>IF(('Hampshire Daily'!AA13-'Hampshire Daily'!AA12&lt;0),"0",('Hampshire Daily'!AA13-'Hampshire Daily'!AA12))</f>
        <v>4</v>
      </c>
      <c r="Y10" s="4">
        <f>'Hampshire Daily'!B13</f>
        <v>10</v>
      </c>
      <c r="Z10" s="4">
        <f>'Hampshire Daily'!C13</f>
        <v>10</v>
      </c>
    </row>
    <row r="11" spans="1:30" x14ac:dyDescent="0.25">
      <c r="A11" s="3" t="s">
        <v>40</v>
      </c>
      <c r="B11" s="1">
        <f t="shared" si="0"/>
        <v>10</v>
      </c>
      <c r="C11" s="17">
        <v>3</v>
      </c>
      <c r="D11" s="1">
        <v>2021</v>
      </c>
      <c r="E11" s="4">
        <f>IF(('Hampshire Daily'!D14-'Hampshire Daily'!D13&lt;0),"0",('Hampshire Daily'!D14-'Hampshire Daily'!D13))</f>
        <v>1008</v>
      </c>
      <c r="F11" s="4">
        <f>IF(('Hampshire Daily'!F14-'Hampshire Daily'!F13&lt;0),"0",('Hampshire Daily'!F14-'Hampshire Daily'!F13))</f>
        <v>396</v>
      </c>
      <c r="G11" s="4">
        <f>IF(('Hampshire Daily'!H14-'Hampshire Daily'!H13&lt;0),"0",('Hampshire Daily'!H14-'Hampshire Daily'!H13))</f>
        <v>25</v>
      </c>
      <c r="H11" s="4">
        <f>IF(('Hampshire Daily'!I14-'Hampshire Daily'!I13&lt;0),"0",('Hampshire Daily'!I14-'Hampshire Daily'!I13))</f>
        <v>0</v>
      </c>
      <c r="I11" s="4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0</v>
      </c>
      <c r="K11" s="4">
        <f>IF(('Hampshire Daily'!L14-'Hampshire Daily'!L13&lt;0),"0",('Hampshire Daily'!L14-'Hampshire Daily'!L13))</f>
        <v>205</v>
      </c>
      <c r="L11" s="4">
        <f>IF(('Hampshire Daily'!M14-'Hampshire Daily'!M13&lt;0),"0",('Hampshire Daily'!M14-'Hampshire Daily'!M13))</f>
        <v>9</v>
      </c>
      <c r="M11" s="4">
        <f>IF(('Hampshire Daily'!N14-'Hampshire Daily'!N13&lt;0),"0",('Hampshire Daily'!N14-'Hampshire Daily'!N13))</f>
        <v>2028</v>
      </c>
      <c r="N11" s="4">
        <f>IF(('Hampshire Daily'!O14-'Hampshire Daily'!O13&lt;0),"0",('Hampshire Daily'!O14-'Hampshire Daily'!O13))</f>
        <v>27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0</v>
      </c>
      <c r="R11" s="4">
        <f>IF(('Hampshire Daily'!U14-'Hampshire Daily'!U13&lt;0),"0",('Hampshire Daily'!U14-'Hampshire Daily'!U13))</f>
        <v>4</v>
      </c>
      <c r="S11" s="4">
        <f>IF(('Hampshire Daily'!V14-'Hampshire Daily'!V13&lt;0),"0",('Hampshire Daily'!V14-'Hampshire Daily'!V13))</f>
        <v>0</v>
      </c>
      <c r="T11" s="4">
        <f>IF(('Hampshire Daily'!W14-'Hampshire Daily'!W13&lt;0),"0",('Hampshire Daily'!W14-'Hampshire Daily'!W13))</f>
        <v>3.2280000000000086</v>
      </c>
      <c r="U11" s="4">
        <f>IF(('Hampshire Daily'!X14-'Hampshire Daily'!X13&lt;0),"0",('Hampshire Daily'!X14-'Hampshire Daily'!X13))</f>
        <v>0.14099999999996271</v>
      </c>
      <c r="V11" s="4">
        <f>IF(('Hampshire Daily'!Y14-'Hampshire Daily'!Y13&lt;0),"0",('Hampshire Daily'!Y14-'Hampshire Daily'!Y13))</f>
        <v>0</v>
      </c>
      <c r="W11" s="4">
        <f>IF(('Hampshire Daily'!Z14-'Hampshire Daily'!Z13&lt;0),"0",('Hampshire Daily'!Z14-'Hampshire Daily'!Z13))</f>
        <v>0</v>
      </c>
      <c r="X11" s="4">
        <f>IF(('Hampshire Daily'!AA14-'Hampshire Daily'!AA13&lt;0),"0",('Hampshire Daily'!AA14-'Hampshire Daily'!AA13))</f>
        <v>2</v>
      </c>
      <c r="Y11" s="4">
        <f>'Hampshire Daily'!B14</f>
        <v>10</v>
      </c>
      <c r="Z11" s="4">
        <f>'Hampshire Daily'!C14</f>
        <v>10</v>
      </c>
    </row>
    <row r="12" spans="1:30" x14ac:dyDescent="0.25">
      <c r="A12" s="3" t="s">
        <v>40</v>
      </c>
      <c r="B12" s="1">
        <f t="shared" si="0"/>
        <v>11</v>
      </c>
      <c r="C12" s="17">
        <v>3</v>
      </c>
      <c r="D12" s="1">
        <v>2021</v>
      </c>
      <c r="E12" s="4">
        <f>IF(('Hampshire Daily'!D15-'Hampshire Daily'!D14&lt;0),"0",('Hampshire Daily'!D15-'Hampshire Daily'!D14))</f>
        <v>958</v>
      </c>
      <c r="F12" s="4">
        <f>IF(('Hampshire Daily'!F15-'Hampshire Daily'!F14&lt;0),"0",('Hampshire Daily'!F15-'Hampshire Daily'!F14))</f>
        <v>349</v>
      </c>
      <c r="G12" s="4">
        <f>IF(('Hampshire Daily'!H15-'Hampshire Daily'!H14&lt;0),"0",('Hampshire Daily'!H15-'Hampshire Daily'!H14))</f>
        <v>15</v>
      </c>
      <c r="H12" s="4">
        <f>IF(('Hampshire Daily'!I15-'Hampshire Daily'!I14&lt;0),"0",('Hampshire Daily'!I15-'Hampshire Daily'!I14))</f>
        <v>0</v>
      </c>
      <c r="I12" s="4">
        <f>IF(('Hampshire Daily'!J15-'Hampshire Daily'!J14&lt;0),"0",('Hampshire Daily'!J15-'Hampshire Daily'!J14))</f>
        <v>0</v>
      </c>
      <c r="J12" s="4">
        <f>IF(('Hampshire Daily'!K15-'Hampshire Daily'!K14&lt;0),"0",('Hampshire Daily'!K15-'Hampshire Daily'!K14))</f>
        <v>0</v>
      </c>
      <c r="K12" s="4">
        <f>IF(('Hampshire Daily'!L15-'Hampshire Daily'!L14&lt;0),"0",('Hampshire Daily'!L15-'Hampshire Daily'!L14))</f>
        <v>205</v>
      </c>
      <c r="L12" s="4">
        <f>IF(('Hampshire Daily'!M15-'Hampshire Daily'!M14&lt;0),"0",('Hampshire Daily'!M15-'Hampshire Daily'!M14))</f>
        <v>1</v>
      </c>
      <c r="M12" s="4">
        <f>IF(('Hampshire Daily'!N15-'Hampshire Daily'!N14&lt;0),"0",('Hampshire Daily'!N15-'Hampshire Daily'!N14))</f>
        <v>2092</v>
      </c>
      <c r="N12" s="4">
        <f>IF(('Hampshire Daily'!O15-'Hampshire Daily'!O14&lt;0),"0",('Hampshire Daily'!O15-'Hampshire Daily'!O14))</f>
        <v>24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0</v>
      </c>
      <c r="R12" s="4">
        <f>IF(('Hampshire Daily'!U15-'Hampshire Daily'!U14&lt;0),"0",('Hampshire Daily'!U15-'Hampshire Daily'!U14))</f>
        <v>3</v>
      </c>
      <c r="S12" s="4">
        <f>IF(('Hampshire Daily'!V15-'Hampshire Daily'!V14&lt;0),"0",('Hampshire Daily'!V15-'Hampshire Daily'!V14))</f>
        <v>0</v>
      </c>
      <c r="T12" s="4">
        <f>IF(('Hampshire Daily'!W15-'Hampshire Daily'!W14&lt;0),"0",('Hampshire Daily'!W15-'Hampshire Daily'!W14))</f>
        <v>0.23399999999998045</v>
      </c>
      <c r="U12" s="4">
        <f>IF(('Hampshire Daily'!X15-'Hampshire Daily'!X14&lt;0),"0",('Hampshire Daily'!X15-'Hampshire Daily'!X14))</f>
        <v>0.2459999999999809</v>
      </c>
      <c r="V12" s="4">
        <f>IF(('Hampshire Daily'!Y15-'Hampshire Daily'!Y14&lt;0),"0",('Hampshire Daily'!Y15-'Hampshire Daily'!Y14))</f>
        <v>0</v>
      </c>
      <c r="W12" s="4">
        <f>IF(('Hampshire Daily'!Z15-'Hampshire Daily'!Z14&lt;0),"0",('Hampshire Daily'!Z15-'Hampshire Daily'!Z14))</f>
        <v>0</v>
      </c>
      <c r="X12" s="4">
        <f>IF(('Hampshire Daily'!AA15-'Hampshire Daily'!AA14&lt;0),"0",('Hampshire Daily'!AA15-'Hampshire Daily'!AA14))</f>
        <v>5</v>
      </c>
      <c r="Y12" s="4">
        <f>'Hampshire Daily'!B15</f>
        <v>10</v>
      </c>
      <c r="Z12" s="4">
        <f>'Hampshire Daily'!C15</f>
        <v>10</v>
      </c>
    </row>
    <row r="13" spans="1:30" x14ac:dyDescent="0.25">
      <c r="A13" s="3" t="s">
        <v>40</v>
      </c>
      <c r="B13" s="1">
        <f t="shared" si="0"/>
        <v>12</v>
      </c>
      <c r="C13" s="17">
        <v>3</v>
      </c>
      <c r="D13" s="1">
        <v>2021</v>
      </c>
      <c r="E13" s="4">
        <f>IF(('Hampshire Daily'!D16-'Hampshire Daily'!D15&lt;0),"0",('Hampshire Daily'!D16-'Hampshire Daily'!D15))</f>
        <v>935</v>
      </c>
      <c r="F13" s="4">
        <f>IF(('Hampshire Daily'!F16-'Hampshire Daily'!F15&lt;0),"0",('Hampshire Daily'!F16-'Hampshire Daily'!F15))</f>
        <v>343</v>
      </c>
      <c r="G13" s="4">
        <f>IF(('Hampshire Daily'!H16-'Hampshire Daily'!H15&lt;0),"0",('Hampshire Daily'!H16-'Hampshire Daily'!H15))</f>
        <v>12</v>
      </c>
      <c r="H13" s="4">
        <f>IF(('Hampshire Daily'!I16-'Hampshire Daily'!I15&lt;0),"0",('Hampshire Daily'!I16-'Hampshire Daily'!I15))</f>
        <v>0</v>
      </c>
      <c r="I13" s="4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0</v>
      </c>
      <c r="K13" s="4">
        <f>IF(('Hampshire Daily'!L16-'Hampshire Daily'!L15&lt;0),"0",('Hampshire Daily'!L16-'Hampshire Daily'!L15))</f>
        <v>205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2197</v>
      </c>
      <c r="N13" s="4">
        <f>IF(('Hampshire Daily'!O16-'Hampshire Daily'!O15&lt;0),"0",('Hampshire Daily'!O16-'Hampshire Daily'!O15))</f>
        <v>39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0</v>
      </c>
      <c r="R13" s="4">
        <f>IF(('Hampshire Daily'!U16-'Hampshire Daily'!U15&lt;0),"0",('Hampshire Daily'!U16-'Hampshire Daily'!U15))</f>
        <v>3</v>
      </c>
      <c r="S13" s="4">
        <f>IF(('Hampshire Daily'!V16-'Hampshire Daily'!V15&lt;0),"0",('Hampshire Daily'!V16-'Hampshire Daily'!V15))</f>
        <v>0</v>
      </c>
      <c r="T13" s="4">
        <f>IF(('Hampshire Daily'!W16-'Hampshire Daily'!W15&lt;0),"0",('Hampshire Daily'!W16-'Hampshire Daily'!W15))</f>
        <v>0.23400000000003729</v>
      </c>
      <c r="U13" s="4">
        <f>IF(('Hampshire Daily'!X16-'Hampshire Daily'!X15&lt;0),"0",('Hampshire Daily'!X16-'Hampshire Daily'!X15))</f>
        <v>0.21400000000005548</v>
      </c>
      <c r="V13" s="4">
        <f>IF(('Hampshire Daily'!Y16-'Hampshire Daily'!Y15&lt;0),"0",('Hampshire Daily'!Y16-'Hampshire Daily'!Y15))</f>
        <v>0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3</v>
      </c>
      <c r="Y13" s="4">
        <f>'Hampshire Daily'!B16</f>
        <v>10</v>
      </c>
      <c r="Z13" s="4">
        <f>'Hampshire Daily'!C16</f>
        <v>10</v>
      </c>
    </row>
    <row r="14" spans="1:30" x14ac:dyDescent="0.25">
      <c r="A14" s="3" t="s">
        <v>40</v>
      </c>
      <c r="B14" s="1">
        <f t="shared" si="0"/>
        <v>13</v>
      </c>
      <c r="C14" s="17">
        <v>3</v>
      </c>
      <c r="D14" s="1">
        <v>2021</v>
      </c>
      <c r="E14" s="4">
        <f>IF(('Hampshire Daily'!D17-'Hampshire Daily'!D16&lt;0),"0",('Hampshire Daily'!D17-'Hampshire Daily'!D16))</f>
        <v>1186</v>
      </c>
      <c r="F14" s="4">
        <f>IF(('Hampshire Daily'!F17-'Hampshire Daily'!F16&lt;0),"0",('Hampshire Daily'!F17-'Hampshire Daily'!F16))</f>
        <v>322</v>
      </c>
      <c r="G14" s="4">
        <f>IF(('Hampshire Daily'!H17-'Hampshire Daily'!H16&lt;0),"0",('Hampshire Daily'!H17-'Hampshire Daily'!H16))</f>
        <v>9</v>
      </c>
      <c r="H14" s="4">
        <f>IF(('Hampshire Daily'!I17-'Hampshire Daily'!I16&lt;0),"0",('Hampshire Daily'!I17-'Hampshire Daily'!I16))</f>
        <v>0</v>
      </c>
      <c r="I14" s="4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0</v>
      </c>
      <c r="K14" s="4">
        <f>IF(('Hampshire Daily'!L17-'Hampshire Daily'!L16&lt;0),"0",('Hampshire Daily'!L17-'Hampshire Daily'!L16))</f>
        <v>187</v>
      </c>
      <c r="L14" s="4">
        <f>IF(('Hampshire Daily'!M17-'Hampshire Daily'!M16&lt;0),"0",('Hampshire Daily'!M17-'Hampshire Daily'!M16))</f>
        <v>47</v>
      </c>
      <c r="M14" s="4">
        <f>IF(('Hampshire Daily'!N17-'Hampshire Daily'!N16&lt;0),"0",('Hampshire Daily'!N17-'Hampshire Daily'!N16))</f>
        <v>1971</v>
      </c>
      <c r="N14" s="4">
        <f>IF(('Hampshire Daily'!O17-'Hampshire Daily'!O16&lt;0),"0",('Hampshire Daily'!O17-'Hampshire Daily'!O16))</f>
        <v>22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0</v>
      </c>
      <c r="Q14" s="4">
        <f>IF(('Hampshire Daily'!R17-'Hampshire Daily'!R16&lt;0),"0",('Hampshire Daily'!R17-'Hampshire Daily'!R16))</f>
        <v>0</v>
      </c>
      <c r="R14" s="4">
        <f>IF(('Hampshire Daily'!U17-'Hampshire Daily'!U16&lt;0),"0",('Hampshire Daily'!U17-'Hampshire Daily'!U16))</f>
        <v>2</v>
      </c>
      <c r="S14" s="4">
        <f>IF(('Hampshire Daily'!V17-'Hampshire Daily'!V16&lt;0),"0",('Hampshire Daily'!V17-'Hampshire Daily'!V16))</f>
        <v>0</v>
      </c>
      <c r="T14" s="4">
        <f>IF(('Hampshire Daily'!W17-'Hampshire Daily'!W16&lt;0),"0",('Hampshire Daily'!W17-'Hampshire Daily'!W16))</f>
        <v>4.8999999999978172E-2</v>
      </c>
      <c r="U14" s="4">
        <f>IF(('Hampshire Daily'!X17-'Hampshire Daily'!X16&lt;0),"0",('Hampshire Daily'!X17-'Hampshire Daily'!X16))</f>
        <v>0.18999999999994088</v>
      </c>
      <c r="V14" s="4">
        <f>IF(('Hampshire Daily'!Y17-'Hampshire Daily'!Y16&lt;0),"0",('Hampshire Daily'!Y17-'Hampshire Daily'!Y16))</f>
        <v>0</v>
      </c>
      <c r="W14" s="4">
        <f>IF(('Hampshire Daily'!Z17-'Hampshire Daily'!Z16&lt;0),"0",('Hampshire Daily'!Z17-'Hampshire Daily'!Z16))</f>
        <v>0</v>
      </c>
      <c r="X14" s="4">
        <f>IF(('Hampshire Daily'!AA17-'Hampshire Daily'!AA16&lt;0),"0",('Hampshire Daily'!AA17-'Hampshire Daily'!AA16))</f>
        <v>3</v>
      </c>
      <c r="Y14" s="4">
        <f>'Hampshire Daily'!B17</f>
        <v>10</v>
      </c>
      <c r="Z14" s="4">
        <f>'Hampshire Daily'!C17</f>
        <v>10</v>
      </c>
    </row>
    <row r="15" spans="1:30" x14ac:dyDescent="0.25">
      <c r="A15" s="3" t="s">
        <v>40</v>
      </c>
      <c r="B15" s="1">
        <f t="shared" si="0"/>
        <v>14</v>
      </c>
      <c r="C15" s="17">
        <v>3</v>
      </c>
      <c r="D15" s="1">
        <v>2021</v>
      </c>
      <c r="E15" s="4">
        <f>IF(('Hampshire Daily'!D18-'Hampshire Daily'!D17&lt;0),"0",('Hampshire Daily'!D18-'Hampshire Daily'!D17))</f>
        <v>942</v>
      </c>
      <c r="F15" s="4">
        <f>IF(('Hampshire Daily'!F18-'Hampshire Daily'!F17&lt;0),"0",('Hampshire Daily'!F18-'Hampshire Daily'!F17))</f>
        <v>351</v>
      </c>
      <c r="G15" s="4">
        <f>IF(('Hampshire Daily'!H18-'Hampshire Daily'!H17&lt;0),"0",('Hampshire Daily'!H18-'Hampshire Daily'!H17))</f>
        <v>14</v>
      </c>
      <c r="H15" s="4">
        <f>IF(('Hampshire Daily'!I18-'Hampshire Daily'!I17&lt;0),"0",('Hampshire Daily'!I18-'Hampshire Daily'!I17))</f>
        <v>0</v>
      </c>
      <c r="I15" s="4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0</v>
      </c>
      <c r="K15" s="4">
        <f>IF(('Hampshire Daily'!L18-'Hampshire Daily'!L17&lt;0),"0",('Hampshire Daily'!L18-'Hampshire Daily'!L17))</f>
        <v>202</v>
      </c>
      <c r="L15" s="4">
        <f>IF(('Hampshire Daily'!M18-'Hampshire Daily'!M17&lt;0),"0",('Hampshire Daily'!M18-'Hampshire Daily'!M17))</f>
        <v>0</v>
      </c>
      <c r="M15" s="4">
        <f>IF(('Hampshire Daily'!N18-'Hampshire Daily'!N17&lt;0),"0",('Hampshire Daily'!N18-'Hampshire Daily'!N17))</f>
        <v>2047</v>
      </c>
      <c r="N15" s="4">
        <f>IF(('Hampshire Daily'!O18-'Hampshire Daily'!O17&lt;0),"0",('Hampshire Daily'!O18-'Hampshire Daily'!O17))</f>
        <v>14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0</v>
      </c>
      <c r="Q15" s="4">
        <f>IF(('Hampshire Daily'!R18-'Hampshire Daily'!R17&lt;0),"0",('Hampshire Daily'!R18-'Hampshire Daily'!R17))</f>
        <v>0</v>
      </c>
      <c r="R15" s="4">
        <f>IF(('Hampshire Daily'!U18-'Hampshire Daily'!U17&lt;0),"0",('Hampshire Daily'!U18-'Hampshire Daily'!U17))</f>
        <v>1</v>
      </c>
      <c r="S15" s="4">
        <f>IF(('Hampshire Daily'!V18-'Hampshire Daily'!V17&lt;0),"0",('Hampshire Daily'!V18-'Hampshire Daily'!V17))</f>
        <v>0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0.23300000000006094</v>
      </c>
      <c r="V15" s="4">
        <f>IF(('Hampshire Daily'!Y18-'Hampshire Daily'!Y17&lt;0),"0",('Hampshire Daily'!Y18-'Hampshire Daily'!Y17))</f>
        <v>0</v>
      </c>
      <c r="W15" s="4">
        <f>IF(('Hampshire Daily'!Z18-'Hampshire Daily'!Z17&lt;0),"0",('Hampshire Daily'!Z18-'Hampshire Daily'!Z17))</f>
        <v>0</v>
      </c>
      <c r="X15" s="4">
        <f>IF(('Hampshire Daily'!AA18-'Hampshire Daily'!AA17&lt;0),"0",('Hampshire Daily'!AA18-'Hampshire Daily'!AA17))</f>
        <v>4</v>
      </c>
      <c r="Y15" s="4">
        <f>'Hampshire Daily'!B18</f>
        <v>10</v>
      </c>
      <c r="Z15" s="4">
        <f>'Hampshire Daily'!C18</f>
        <v>10</v>
      </c>
    </row>
    <row r="16" spans="1:30" x14ac:dyDescent="0.25">
      <c r="A16" s="3" t="s">
        <v>40</v>
      </c>
      <c r="B16" s="1">
        <f t="shared" si="0"/>
        <v>15</v>
      </c>
      <c r="C16" s="17">
        <v>3</v>
      </c>
      <c r="D16" s="1">
        <v>2021</v>
      </c>
      <c r="E16" s="4">
        <f>IF(('Hampshire Daily'!D19-'Hampshire Daily'!D18&lt;0),"0",('Hampshire Daily'!D19-'Hampshire Daily'!D18))</f>
        <v>916</v>
      </c>
      <c r="F16" s="4">
        <f>IF(('Hampshire Daily'!F19-'Hampshire Daily'!F18&lt;0),"0",('Hampshire Daily'!F19-'Hampshire Daily'!F18))</f>
        <v>332</v>
      </c>
      <c r="G16" s="4">
        <f>IF(('Hampshire Daily'!H19-'Hampshire Daily'!H18&lt;0),"0",('Hampshire Daily'!H19-'Hampshire Daily'!H18))</f>
        <v>15</v>
      </c>
      <c r="H16" s="4">
        <f>IF(('Hampshire Daily'!I19-'Hampshire Daily'!I18&lt;0),"0",('Hampshire Daily'!I19-'Hampshire Daily'!I18))</f>
        <v>0</v>
      </c>
      <c r="I16" s="4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0</v>
      </c>
      <c r="K16" s="4">
        <f>IF(('Hampshire Daily'!L19-'Hampshire Daily'!L18&lt;0),"0",('Hampshire Daily'!L19-'Hampshire Daily'!L18))</f>
        <v>168</v>
      </c>
      <c r="L16" s="4">
        <f>IF(('Hampshire Daily'!M19-'Hampshire Daily'!M18&lt;0),"0",('Hampshire Daily'!M19-'Hampshire Daily'!M18))</f>
        <v>0</v>
      </c>
      <c r="M16" s="4">
        <f>IF(('Hampshire Daily'!N19-'Hampshire Daily'!N18&lt;0),"0",('Hampshire Daily'!N19-'Hampshire Daily'!N18))</f>
        <v>1829</v>
      </c>
      <c r="N16" s="4">
        <f>IF(('Hampshire Daily'!O19-'Hampshire Daily'!O18&lt;0),"0",('Hampshire Daily'!O19-'Hampshire Daily'!O18))</f>
        <v>15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0</v>
      </c>
      <c r="Q16" s="4">
        <f>IF(('Hampshire Daily'!R19-'Hampshire Daily'!R18&lt;0),"0",('Hampshire Daily'!R19-'Hampshire Daily'!R18))</f>
        <v>0</v>
      </c>
      <c r="R16" s="4">
        <f>IF(('Hampshire Daily'!U19-'Hampshire Daily'!U18&lt;0),"0",('Hampshire Daily'!U19-'Hampshire Daily'!U18))</f>
        <v>2</v>
      </c>
      <c r="S16" s="4">
        <f>IF(('Hampshire Daily'!V19-'Hampshire Daily'!V18&lt;0),"0",('Hampshire Daily'!V19-'Hampshire Daily'!V18))</f>
        <v>0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0.19499999999993634</v>
      </c>
      <c r="V16" s="4">
        <f>IF(('Hampshire Daily'!Y19-'Hampshire Daily'!Y18&lt;0),"0",('Hampshire Daily'!Y19-'Hampshire Daily'!Y18))</f>
        <v>0</v>
      </c>
      <c r="W16" s="4">
        <f>IF(('Hampshire Daily'!Z19-'Hampshire Daily'!Z18&lt;0),"0",('Hampshire Daily'!Z19-'Hampshire Daily'!Z18))</f>
        <v>0</v>
      </c>
      <c r="X16" s="4">
        <f>IF(('Hampshire Daily'!AA19-'Hampshire Daily'!AA18&lt;0),"0",('Hampshire Daily'!AA19-'Hampshire Daily'!AA18))</f>
        <v>5</v>
      </c>
      <c r="Y16" s="4">
        <f>'Hampshire Daily'!B19</f>
        <v>10</v>
      </c>
      <c r="Z16" s="4">
        <f>'Hampshire Daily'!C19</f>
        <v>10</v>
      </c>
    </row>
    <row r="17" spans="1:26" x14ac:dyDescent="0.25">
      <c r="A17" s="3" t="s">
        <v>40</v>
      </c>
      <c r="B17" s="1">
        <f t="shared" si="0"/>
        <v>16</v>
      </c>
      <c r="C17" s="17">
        <v>3</v>
      </c>
      <c r="D17" s="1">
        <v>2021</v>
      </c>
      <c r="E17" s="4">
        <f>IF(('Hampshire Daily'!D20-'Hampshire Daily'!D19&lt;0),"0",('Hampshire Daily'!D20-'Hampshire Daily'!D19))</f>
        <v>925</v>
      </c>
      <c r="F17" s="4">
        <f>IF(('Hampshire Daily'!F20-'Hampshire Daily'!F19&lt;0),"0",('Hampshire Daily'!F20-'Hampshire Daily'!F19))</f>
        <v>401</v>
      </c>
      <c r="G17" s="4">
        <f>IF(('Hampshire Daily'!H20-'Hampshire Daily'!H19&lt;0),"0",('Hampshire Daily'!H20-'Hampshire Daily'!H19))</f>
        <v>26</v>
      </c>
      <c r="H17" s="4">
        <f>IF(('Hampshire Daily'!I20-'Hampshire Daily'!I19&lt;0),"0",('Hampshire Daily'!I20-'Hampshire Daily'!I19))</f>
        <v>0</v>
      </c>
      <c r="I17" s="4">
        <f>IF(('Hampshire Daily'!J20-'Hampshire Daily'!J19&lt;0),"0",('Hampshire Daily'!J20-'Hampshire Daily'!J19))</f>
        <v>0</v>
      </c>
      <c r="J17" s="4">
        <f>IF(('Hampshire Daily'!K20-'Hampshire Daily'!K19&lt;0),"0",('Hampshire Daily'!K20-'Hampshire Daily'!K19))</f>
        <v>0</v>
      </c>
      <c r="K17" s="4">
        <f>IF(('Hampshire Daily'!L20-'Hampshire Daily'!L19&lt;0),"0",('Hampshire Daily'!L20-'Hampshire Daily'!L19))</f>
        <v>205</v>
      </c>
      <c r="L17" s="4">
        <f>IF(('Hampshire Daily'!M20-'Hampshire Daily'!M19&lt;0),"0",('Hampshire Daily'!M20-'Hampshire Daily'!M19))</f>
        <v>0</v>
      </c>
      <c r="M17" s="4">
        <f>IF(('Hampshire Daily'!N20-'Hampshire Daily'!N19&lt;0),"0",('Hampshire Daily'!N20-'Hampshire Daily'!N19))</f>
        <v>2119</v>
      </c>
      <c r="N17" s="4">
        <f>IF(('Hampshire Daily'!O20-'Hampshire Daily'!O19&lt;0),"0",('Hampshire Daily'!O20-'Hampshire Daily'!O19))</f>
        <v>30</v>
      </c>
      <c r="O17" s="4">
        <f>IF(('Hampshire Daily'!P20-'Hampshire Daily'!P19&lt;0),"0",('Hampshire Daily'!P20-'Hampshire Daily'!P19))</f>
        <v>0</v>
      </c>
      <c r="P17" s="4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0</v>
      </c>
      <c r="R17" s="4">
        <f>IF(('Hampshire Daily'!U20-'Hampshire Daily'!U19&lt;0),"0",('Hampshire Daily'!U20-'Hampshire Daily'!U19))</f>
        <v>3</v>
      </c>
      <c r="S17" s="4">
        <f>IF(('Hampshire Daily'!V20-'Hampshire Daily'!V19&lt;0),"0",('Hampshire Daily'!V20-'Hampshire Daily'!V19))</f>
        <v>4</v>
      </c>
      <c r="T17" s="4">
        <f>IF(('Hampshire Daily'!W20-'Hampshire Daily'!W19&lt;0),"0",('Hampshire Daily'!W20-'Hampshire Daily'!W19))</f>
        <v>1.2999999999976808E-2</v>
      </c>
      <c r="U17" s="4">
        <f>IF(('Hampshire Daily'!X20-'Hampshire Daily'!X19&lt;0),"0",('Hampshire Daily'!X20-'Hampshire Daily'!X19))</f>
        <v>0.21400000000005548</v>
      </c>
      <c r="V17" s="4">
        <f>IF(('Hampshire Daily'!Y20-'Hampshire Daily'!Y19&lt;0),"0",('Hampshire Daily'!Y20-'Hampshire Daily'!Y19))</f>
        <v>0</v>
      </c>
      <c r="W17" s="4">
        <f>IF(('Hampshire Daily'!Z20-'Hampshire Daily'!Z19&lt;0),"0",('Hampshire Daily'!Z20-'Hampshire Daily'!Z19))</f>
        <v>0</v>
      </c>
      <c r="X17" s="4">
        <f>IF(('Hampshire Daily'!AA20-'Hampshire Daily'!AA19&lt;0),"0",('Hampshire Daily'!AA20-'Hampshire Daily'!AA19))</f>
        <v>5</v>
      </c>
      <c r="Y17" s="4">
        <f>'Hampshire Daily'!B20</f>
        <v>10</v>
      </c>
      <c r="Z17" s="4">
        <f>'Hampshire Daily'!C20</f>
        <v>10</v>
      </c>
    </row>
    <row r="18" spans="1:26" x14ac:dyDescent="0.25">
      <c r="A18" s="3" t="s">
        <v>40</v>
      </c>
      <c r="B18" s="1">
        <f t="shared" si="0"/>
        <v>17</v>
      </c>
      <c r="C18" s="17">
        <v>3</v>
      </c>
      <c r="D18" s="1">
        <v>2021</v>
      </c>
      <c r="E18" s="4">
        <f>IF(('Hampshire Daily'!D21-'Hampshire Daily'!D20&lt;0),"0",('Hampshire Daily'!D21-'Hampshire Daily'!D20))</f>
        <v>1537</v>
      </c>
      <c r="F18" s="4">
        <f>IF(('Hampshire Daily'!F21-'Hampshire Daily'!F20&lt;0),"0",('Hampshire Daily'!F21-'Hampshire Daily'!F20))</f>
        <v>819</v>
      </c>
      <c r="G18" s="4">
        <f>IF(('Hampshire Daily'!H21-'Hampshire Daily'!H20&lt;0),"0",('Hampshire Daily'!H21-'Hampshire Daily'!H20))</f>
        <v>123</v>
      </c>
      <c r="H18" s="4">
        <f>IF(('Hampshire Daily'!I21-'Hampshire Daily'!I20&lt;0),"0",('Hampshire Daily'!I21-'Hampshire Daily'!I20))</f>
        <v>0</v>
      </c>
      <c r="I18" s="4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0</v>
      </c>
      <c r="K18" s="4">
        <f>IF(('Hampshire Daily'!L21-'Hampshire Daily'!L20&lt;0),"0",('Hampshire Daily'!L21-'Hampshire Daily'!L20))</f>
        <v>205</v>
      </c>
      <c r="L18" s="4">
        <f>IF(('Hampshire Daily'!M21-'Hampshire Daily'!M20&lt;0),"0",('Hampshire Daily'!M21-'Hampshire Daily'!M20))</f>
        <v>111</v>
      </c>
      <c r="M18" s="4">
        <f>IF(('Hampshire Daily'!N21-'Hampshire Daily'!N20&lt;0),"0",('Hampshire Daily'!N21-'Hampshire Daily'!N20))</f>
        <v>1854</v>
      </c>
      <c r="N18" s="4">
        <f>IF(('Hampshire Daily'!O21-'Hampshire Daily'!O20&lt;0),"0",('Hampshire Daily'!O21-'Hampshire Daily'!O20))</f>
        <v>26</v>
      </c>
      <c r="O18" s="4">
        <f>IF(('Hampshire Daily'!P21-'Hampshire Daily'!P20&lt;0),"0",('Hampshire Daily'!P21-'Hampshire Daily'!P20))</f>
        <v>0</v>
      </c>
      <c r="P18" s="4">
        <f>IF(('Hampshire Daily'!Q21-'Hampshire Daily'!Q20&lt;0),"0",('Hampshire Daily'!Q21-'Hampshire Daily'!Q20))</f>
        <v>0</v>
      </c>
      <c r="Q18" s="4">
        <f>IF(('Hampshire Daily'!R21-'Hampshire Daily'!R20&lt;0),"0",('Hampshire Daily'!R21-'Hampshire Daily'!R20))</f>
        <v>0</v>
      </c>
      <c r="R18" s="4">
        <f>IF(('Hampshire Daily'!U21-'Hampshire Daily'!U20&lt;0),"0",('Hampshire Daily'!U21-'Hampshire Daily'!U20))</f>
        <v>3</v>
      </c>
      <c r="S18" s="4">
        <f>IF(('Hampshire Daily'!V21-'Hampshire Daily'!V20&lt;0),"0",('Hampshire Daily'!V21-'Hampshire Daily'!V20))</f>
        <v>0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0.18499999999994543</v>
      </c>
      <c r="V18" s="4">
        <f>IF(('Hampshire Daily'!Y21-'Hampshire Daily'!Y20&lt;0),"0",('Hampshire Daily'!Y21-'Hampshire Daily'!Y20))</f>
        <v>0</v>
      </c>
      <c r="W18" s="4">
        <f>IF(('Hampshire Daily'!Z21-'Hampshire Daily'!Z20&lt;0),"0",('Hampshire Daily'!Z21-'Hampshire Daily'!Z20))</f>
        <v>0</v>
      </c>
      <c r="X18" s="4">
        <f>IF(('Hampshire Daily'!AA21-'Hampshire Daily'!AA20&lt;0),"0",('Hampshire Daily'!AA21-'Hampshire Daily'!AA20))</f>
        <v>3</v>
      </c>
      <c r="Y18" s="4">
        <f>'Hampshire Daily'!B21</f>
        <v>10</v>
      </c>
      <c r="Z18" s="4">
        <f>'Hampshire Daily'!C21</f>
        <v>10</v>
      </c>
    </row>
    <row r="19" spans="1:26" x14ac:dyDescent="0.25">
      <c r="A19" s="3" t="s">
        <v>40</v>
      </c>
      <c r="B19" s="1">
        <f t="shared" si="0"/>
        <v>18</v>
      </c>
      <c r="C19" s="17">
        <v>3</v>
      </c>
      <c r="D19" s="1">
        <v>2021</v>
      </c>
      <c r="E19" s="4">
        <f>IF(('Hampshire Daily'!D22-'Hampshire Daily'!D21&lt;0),"0",('Hampshire Daily'!D22-'Hampshire Daily'!D21))</f>
        <v>988</v>
      </c>
      <c r="F19" s="4">
        <f>IF(('Hampshire Daily'!F22-'Hampshire Daily'!F21&lt;0),"0",('Hampshire Daily'!F22-'Hampshire Daily'!F21))</f>
        <v>372</v>
      </c>
      <c r="G19" s="4">
        <f>IF(('Hampshire Daily'!H22-'Hampshire Daily'!H21&lt;0),"0",('Hampshire Daily'!H22-'Hampshire Daily'!H21))</f>
        <v>18</v>
      </c>
      <c r="H19" s="4">
        <f>IF(('Hampshire Daily'!I22-'Hampshire Daily'!I21&lt;0),"0",('Hampshire Daily'!I22-'Hampshire Daily'!I21))</f>
        <v>0</v>
      </c>
      <c r="I19" s="4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0</v>
      </c>
      <c r="K19" s="4">
        <f>IF(('Hampshire Daily'!L22-'Hampshire Daily'!L21&lt;0),"0",('Hampshire Daily'!L22-'Hampshire Daily'!L21))</f>
        <v>205</v>
      </c>
      <c r="L19" s="4">
        <f>IF(('Hampshire Daily'!M22-'Hampshire Daily'!M21&lt;0),"0",('Hampshire Daily'!M22-'Hampshire Daily'!M21))</f>
        <v>0</v>
      </c>
      <c r="M19" s="4">
        <f>IF(('Hampshire Daily'!N22-'Hampshire Daily'!N21&lt;0),"0",('Hampshire Daily'!N22-'Hampshire Daily'!N21))</f>
        <v>2115</v>
      </c>
      <c r="N19" s="4">
        <f>IF(('Hampshire Daily'!O22-'Hampshire Daily'!O21&lt;0),"0",('Hampshire Daily'!O22-'Hampshire Daily'!O21))</f>
        <v>28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0</v>
      </c>
      <c r="Q19" s="4">
        <f>IF(('Hampshire Daily'!R22-'Hampshire Daily'!R21&lt;0),"0",('Hampshire Daily'!R22-'Hampshire Daily'!R21))</f>
        <v>0</v>
      </c>
      <c r="R19" s="4">
        <f>IF(('Hampshire Daily'!U22-'Hampshire Daily'!U21&lt;0),"0",('Hampshire Daily'!U22-'Hampshire Daily'!U21))</f>
        <v>3</v>
      </c>
      <c r="S19" s="4">
        <f>IF(('Hampshire Daily'!V22-'Hampshire Daily'!V21&lt;0),"0",('Hampshire Daily'!V22-'Hampshire Daily'!V21))</f>
        <v>0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0.24099999999998545</v>
      </c>
      <c r="V19" s="4">
        <f>IF(('Hampshire Daily'!Y22-'Hampshire Daily'!Y21&lt;0),"0",('Hampshire Daily'!Y22-'Hampshire Daily'!Y21))</f>
        <v>0</v>
      </c>
      <c r="W19" s="4">
        <f>IF(('Hampshire Daily'!Z22-'Hampshire Daily'!Z21&lt;0),"0",('Hampshire Daily'!Z22-'Hampshire Daily'!Z21))</f>
        <v>0</v>
      </c>
      <c r="X19" s="4">
        <f>IF(('Hampshire Daily'!AA22-'Hampshire Daily'!AA21&lt;0),"0",('Hampshire Daily'!AA22-'Hampshire Daily'!AA21))</f>
        <v>4</v>
      </c>
      <c r="Y19" s="4">
        <f>'Hampshire Daily'!B22</f>
        <v>10</v>
      </c>
      <c r="Z19" s="4">
        <f>'Hampshire Daily'!C22</f>
        <v>10</v>
      </c>
    </row>
    <row r="20" spans="1:26" x14ac:dyDescent="0.25">
      <c r="A20" s="3" t="s">
        <v>40</v>
      </c>
      <c r="B20" s="1">
        <f t="shared" si="0"/>
        <v>19</v>
      </c>
      <c r="C20" s="17">
        <v>3</v>
      </c>
      <c r="D20" s="1">
        <v>2021</v>
      </c>
      <c r="E20" s="4">
        <f>IF(('Hampshire Daily'!D23-'Hampshire Daily'!D22&lt;0),"0",('Hampshire Daily'!D23-'Hampshire Daily'!D22))</f>
        <v>959</v>
      </c>
      <c r="F20" s="4">
        <f>IF(('Hampshire Daily'!F23-'Hampshire Daily'!F22&lt;0),"0",('Hampshire Daily'!F23-'Hampshire Daily'!F22))</f>
        <v>347</v>
      </c>
      <c r="G20" s="4">
        <f>IF(('Hampshire Daily'!H23-'Hampshire Daily'!H22&lt;0),"0",('Hampshire Daily'!H23-'Hampshire Daily'!H22))</f>
        <v>16</v>
      </c>
      <c r="H20" s="4">
        <f>IF(('Hampshire Daily'!I23-'Hampshire Daily'!I22&lt;0),"0",('Hampshire Daily'!I23-'Hampshire Daily'!I22))</f>
        <v>0</v>
      </c>
      <c r="I20" s="4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0</v>
      </c>
      <c r="K20" s="4">
        <f>IF(('Hampshire Daily'!L23-'Hampshire Daily'!L22&lt;0),"0",('Hampshire Daily'!L23-'Hampshire Daily'!L22))</f>
        <v>205</v>
      </c>
      <c r="L20" s="4">
        <f>IF(('Hampshire Daily'!M23-'Hampshire Daily'!M22&lt;0),"0",('Hampshire Daily'!M23-'Hampshire Daily'!M22))</f>
        <v>0</v>
      </c>
      <c r="M20" s="4">
        <f>IF(('Hampshire Daily'!N23-'Hampshire Daily'!N22&lt;0),"0",('Hampshire Daily'!N23-'Hampshire Daily'!N22))</f>
        <v>2001</v>
      </c>
      <c r="N20" s="4">
        <f>IF(('Hampshire Daily'!O23-'Hampshire Daily'!O22&lt;0),"0",('Hampshire Daily'!O23-'Hampshire Daily'!O22))</f>
        <v>33</v>
      </c>
      <c r="O20" s="4">
        <f>IF(('Hampshire Daily'!P23-'Hampshire Daily'!P22&lt;0),"0",('Hampshire Daily'!P23-'Hampshire Daily'!P22))</f>
        <v>0</v>
      </c>
      <c r="P20" s="4">
        <f>IF(('Hampshire Daily'!Q23-'Hampshire Daily'!Q22&lt;0),"0",('Hampshire Daily'!Q23-'Hampshire Daily'!Q22))</f>
        <v>0</v>
      </c>
      <c r="Q20" s="4">
        <f>IF(('Hampshire Daily'!R23-'Hampshire Daily'!R22&lt;0),"0",('Hampshire Daily'!R23-'Hampshire Daily'!R22))</f>
        <v>0</v>
      </c>
      <c r="R20" s="4">
        <f>IF(('Hampshire Daily'!U23-'Hampshire Daily'!U22&lt;0),"0",('Hampshire Daily'!U23-'Hampshire Daily'!U22))</f>
        <v>6</v>
      </c>
      <c r="S20" s="4">
        <f>IF(('Hampshire Daily'!V23-'Hampshire Daily'!V22&lt;0),"0",('Hampshire Daily'!V23-'Hampshire Daily'!V22))</f>
        <v>1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0.18600000000003547</v>
      </c>
      <c r="V20" s="4">
        <f>IF(('Hampshire Daily'!Y23-'Hampshire Daily'!Y22&lt;0),"0",('Hampshire Daily'!Y23-'Hampshire Daily'!Y22))</f>
        <v>0</v>
      </c>
      <c r="W20" s="4">
        <f>IF(('Hampshire Daily'!Z23-'Hampshire Daily'!Z22&lt;0),"0",('Hampshire Daily'!Z23-'Hampshire Daily'!Z22))</f>
        <v>0</v>
      </c>
      <c r="X20" s="4">
        <f>IF(('Hampshire Daily'!AA23-'Hampshire Daily'!AA22&lt;0),"0",('Hampshire Daily'!AA23-'Hampshire Daily'!AA22))</f>
        <v>2</v>
      </c>
      <c r="Y20" s="4">
        <f>'Hampshire Daily'!B23</f>
        <v>10</v>
      </c>
      <c r="Z20" s="4">
        <f>'Hampshire Daily'!C23</f>
        <v>10</v>
      </c>
    </row>
    <row r="21" spans="1:26" x14ac:dyDescent="0.25">
      <c r="A21" s="3" t="s">
        <v>40</v>
      </c>
      <c r="B21" s="1">
        <f t="shared" si="0"/>
        <v>20</v>
      </c>
      <c r="C21" s="17">
        <v>3</v>
      </c>
      <c r="D21" s="1">
        <v>2021</v>
      </c>
      <c r="E21" s="4">
        <f>IF(('Hampshire Daily'!D24-'Hampshire Daily'!D23&lt;0),"0",('Hampshire Daily'!D24-'Hampshire Daily'!D23))</f>
        <v>964</v>
      </c>
      <c r="F21" s="4">
        <f>IF(('Hampshire Daily'!F24-'Hampshire Daily'!F23&lt;0),"0",('Hampshire Daily'!F24-'Hampshire Daily'!F23))</f>
        <v>754</v>
      </c>
      <c r="G21" s="4">
        <f>IF(('Hampshire Daily'!H24-'Hampshire Daily'!H23&lt;0),"0",('Hampshire Daily'!H24-'Hampshire Daily'!H23))</f>
        <v>99</v>
      </c>
      <c r="H21" s="4">
        <f>IF(('Hampshire Daily'!I24-'Hampshire Daily'!I23&lt;0),"0",('Hampshire Daily'!I24-'Hampshire Daily'!I23))</f>
        <v>0</v>
      </c>
      <c r="I21" s="4">
        <f>IF(('Hampshire Daily'!J24-'Hampshire Daily'!J23&lt;0),"0",('Hampshire Daily'!J24-'Hampshire Daily'!J23))</f>
        <v>0</v>
      </c>
      <c r="J21" s="4">
        <f>IF(('Hampshire Daily'!K24-'Hampshire Daily'!K23&lt;0),"0",('Hampshire Daily'!K24-'Hampshire Daily'!K23))</f>
        <v>0</v>
      </c>
      <c r="K21" s="4">
        <f>IF(('Hampshire Daily'!L24-'Hampshire Daily'!L23&lt;0),"0",('Hampshire Daily'!L24-'Hampshire Daily'!L23))</f>
        <v>205</v>
      </c>
      <c r="L21" s="4">
        <f>IF(('Hampshire Daily'!M24-'Hampshire Daily'!M23&lt;0),"0",('Hampshire Daily'!M24-'Hampshire Daily'!M23))</f>
        <v>0</v>
      </c>
      <c r="M21" s="4">
        <f>IF(('Hampshire Daily'!N24-'Hampshire Daily'!N23&lt;0),"0",('Hampshire Daily'!N24-'Hampshire Daily'!N23))</f>
        <v>2062</v>
      </c>
      <c r="N21" s="4">
        <f>IF(('Hampshire Daily'!O24-'Hampshire Daily'!O23&lt;0),"0",('Hampshire Daily'!O24-'Hampshire Daily'!O23))</f>
        <v>17</v>
      </c>
      <c r="O21" s="4">
        <f>IF(('Hampshire Daily'!P24-'Hampshire Daily'!P23&lt;0),"0",('Hampshire Daily'!P24-'Hampshire Daily'!P23))</f>
        <v>0</v>
      </c>
      <c r="P21" s="4">
        <f>IF(('Hampshire Daily'!Q24-'Hampshire Daily'!Q23&lt;0),"0",('Hampshire Daily'!Q24-'Hampshire Daily'!Q23))</f>
        <v>0</v>
      </c>
      <c r="Q21" s="4">
        <f>IF(('Hampshire Daily'!R24-'Hampshire Daily'!R23&lt;0),"0",('Hampshire Daily'!R24-'Hampshire Daily'!R23))</f>
        <v>0</v>
      </c>
      <c r="R21" s="4" t="str">
        <f>IF(('Hampshire Daily'!U24-'Hampshire Daily'!U23&lt;0),"0",('Hampshire Daily'!U24-'Hampshire Daily'!U23))</f>
        <v>0</v>
      </c>
      <c r="S21" s="4">
        <f>IF(('Hampshire Daily'!V24-'Hampshire Daily'!V23&lt;0),"0",('Hampshire Daily'!V24-'Hampshire Daily'!V23))</f>
        <v>0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0.21699999999998454</v>
      </c>
      <c r="V21" s="4">
        <f>IF(('Hampshire Daily'!Y24-'Hampshire Daily'!Y23&lt;0),"0",('Hampshire Daily'!Y24-'Hampshire Daily'!Y23))</f>
        <v>0</v>
      </c>
      <c r="W21" s="4">
        <f>IF(('Hampshire Daily'!Z24-'Hampshire Daily'!Z23&lt;0),"0",('Hampshire Daily'!Z24-'Hampshire Daily'!Z23))</f>
        <v>0</v>
      </c>
      <c r="X21" s="4">
        <f>IF(('Hampshire Daily'!AA24-'Hampshire Daily'!AA23&lt;0),"0",('Hampshire Daily'!AA24-'Hampshire Daily'!AA23))</f>
        <v>4</v>
      </c>
      <c r="Y21" s="4">
        <f>'Hampshire Daily'!B24</f>
        <v>10</v>
      </c>
      <c r="Z21" s="4">
        <f>'Hampshire Daily'!C24</f>
        <v>10</v>
      </c>
    </row>
    <row r="22" spans="1:26" x14ac:dyDescent="0.25">
      <c r="A22" s="3" t="s">
        <v>40</v>
      </c>
      <c r="B22" s="1">
        <f t="shared" si="0"/>
        <v>21</v>
      </c>
      <c r="C22" s="17">
        <v>3</v>
      </c>
      <c r="D22" s="1">
        <v>2021</v>
      </c>
      <c r="E22" s="4">
        <f>IF(('Hampshire Daily'!D25-'Hampshire Daily'!D24&lt;0),"0",('Hampshire Daily'!D25-'Hampshire Daily'!D24))</f>
        <v>985</v>
      </c>
      <c r="F22" s="4">
        <f>IF(('Hampshire Daily'!F25-'Hampshire Daily'!F24&lt;0),"0",('Hampshire Daily'!F25-'Hampshire Daily'!F24))</f>
        <v>326</v>
      </c>
      <c r="G22" s="4">
        <f>IF(('Hampshire Daily'!H25-'Hampshire Daily'!H24&lt;0),"0",('Hampshire Daily'!H25-'Hampshire Daily'!H24))</f>
        <v>11</v>
      </c>
      <c r="H22" s="4">
        <f>IF(('Hampshire Daily'!I25-'Hampshire Daily'!I24&lt;0),"0",('Hampshire Daily'!I25-'Hampshire Daily'!I24))</f>
        <v>0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0</v>
      </c>
      <c r="K22" s="4">
        <f>IF(('Hampshire Daily'!L25-'Hampshire Daily'!L24&lt;0),"0",('Hampshire Daily'!L25-'Hampshire Daily'!L24))</f>
        <v>205</v>
      </c>
      <c r="L22" s="4">
        <f>IF(('Hampshire Daily'!M25-'Hampshire Daily'!M24&lt;0),"0",('Hampshire Daily'!M25-'Hampshire Daily'!M24))</f>
        <v>0</v>
      </c>
      <c r="M22" s="4">
        <f>IF(('Hampshire Daily'!N25-'Hampshire Daily'!N24&lt;0),"0",('Hampshire Daily'!N25-'Hampshire Daily'!N24))</f>
        <v>1986</v>
      </c>
      <c r="N22" s="4">
        <f>IF(('Hampshire Daily'!O25-'Hampshire Daily'!O24&lt;0),"0",('Hampshire Daily'!O25-'Hampshire Daily'!O24))</f>
        <v>16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0</v>
      </c>
      <c r="R22" s="4">
        <f>IF(('Hampshire Daily'!U25-'Hampshire Daily'!U24&lt;0),"0",('Hampshire Daily'!U25-'Hampshire Daily'!U24))</f>
        <v>2</v>
      </c>
      <c r="S22" s="4">
        <f>IF(('Hampshire Daily'!V25-'Hampshire Daily'!V24&lt;0),"0",('Hampshire Daily'!V25-'Hampshire Daily'!V24))</f>
        <v>0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0.19200000000000728</v>
      </c>
      <c r="V22" s="4">
        <f>IF(('Hampshire Daily'!Y25-'Hampshire Daily'!Y24&lt;0),"0",('Hampshire Daily'!Y25-'Hampshire Daily'!Y24))</f>
        <v>0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3</v>
      </c>
      <c r="Y22" s="4">
        <f>'Hampshire Daily'!B25</f>
        <v>10</v>
      </c>
      <c r="Z22" s="4">
        <f>'Hampshire Daily'!C25</f>
        <v>10</v>
      </c>
    </row>
    <row r="23" spans="1:26" x14ac:dyDescent="0.25">
      <c r="A23" s="3" t="s">
        <v>40</v>
      </c>
      <c r="B23" s="1">
        <f t="shared" si="0"/>
        <v>22</v>
      </c>
      <c r="C23" s="17">
        <v>3</v>
      </c>
      <c r="D23" s="1">
        <v>2021</v>
      </c>
      <c r="E23" s="4">
        <f>IF(('Hampshire Daily'!D26-'Hampshire Daily'!D25&lt;0),"0",('Hampshire Daily'!D26-'Hampshire Daily'!D25))</f>
        <v>943</v>
      </c>
      <c r="F23" s="4">
        <f>IF(('Hampshire Daily'!F26-'Hampshire Daily'!F25&lt;0),"0",('Hampshire Daily'!F26-'Hampshire Daily'!F25))</f>
        <v>355</v>
      </c>
      <c r="G23" s="4">
        <f>IF(('Hampshire Daily'!H26-'Hampshire Daily'!H25&lt;0),"0",('Hampshire Daily'!H26-'Hampshire Daily'!H25))</f>
        <v>17</v>
      </c>
      <c r="H23" s="4">
        <f>IF(('Hampshire Daily'!I26-'Hampshire Daily'!I25&lt;0),"0",('Hampshire Daily'!I26-'Hampshire Daily'!I25))</f>
        <v>0</v>
      </c>
      <c r="I23" s="4">
        <f>IF(('Hampshire Daily'!J26-'Hampshire Daily'!J25&lt;0),"0",('Hampshire Daily'!J26-'Hampshire Daily'!J25))</f>
        <v>0</v>
      </c>
      <c r="J23" s="4">
        <f>IF(('Hampshire Daily'!K26-'Hampshire Daily'!K25&lt;0),"0",('Hampshire Daily'!K26-'Hampshire Daily'!K25))</f>
        <v>0</v>
      </c>
      <c r="K23" s="4">
        <f>IF(('Hampshire Daily'!L26-'Hampshire Daily'!L25&lt;0),"0",('Hampshire Daily'!L26-'Hampshire Daily'!L25))</f>
        <v>203</v>
      </c>
      <c r="L23" s="4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1891</v>
      </c>
      <c r="N23" s="4">
        <f>IF(('Hampshire Daily'!O26-'Hampshire Daily'!O25&lt;0),"0",('Hampshire Daily'!O26-'Hampshire Daily'!O25))</f>
        <v>16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0</v>
      </c>
      <c r="R23" s="4">
        <f>IF(('Hampshire Daily'!U26-'Hampshire Daily'!U25&lt;0),"0",('Hampshire Daily'!U26-'Hampshire Daily'!U25))</f>
        <v>1</v>
      </c>
      <c r="S23" s="4">
        <f>IF(('Hampshire Daily'!V26-'Hampshire Daily'!V25&lt;0),"0",('Hampshire Daily'!V26-'Hampshire Daily'!V25))</f>
        <v>5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0.22900000000004184</v>
      </c>
      <c r="V23" s="4">
        <f>IF(('Hampshire Daily'!Y26-'Hampshire Daily'!Y25&lt;0),"0",('Hampshire Daily'!Y26-'Hampshire Daily'!Y25))</f>
        <v>0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5</v>
      </c>
      <c r="Y23" s="4">
        <f>'Hampshire Daily'!B26</f>
        <v>10</v>
      </c>
      <c r="Z23" s="4">
        <f>'Hampshire Daily'!C26</f>
        <v>10</v>
      </c>
    </row>
    <row r="24" spans="1:26" x14ac:dyDescent="0.25">
      <c r="A24" s="3" t="s">
        <v>40</v>
      </c>
      <c r="B24" s="1">
        <f t="shared" si="0"/>
        <v>23</v>
      </c>
      <c r="C24" s="17">
        <v>3</v>
      </c>
      <c r="D24" s="1">
        <v>2021</v>
      </c>
      <c r="E24" s="4">
        <f>IF(('Hampshire Daily'!D27-'Hampshire Daily'!D26&lt;0),"0",('Hampshire Daily'!D27-'Hampshire Daily'!D26))</f>
        <v>1099</v>
      </c>
      <c r="F24" s="4">
        <f>IF(('Hampshire Daily'!F27-'Hampshire Daily'!F26&lt;0),"0",('Hampshire Daily'!F27-'Hampshire Daily'!F26))</f>
        <v>477</v>
      </c>
      <c r="G24" s="4">
        <f>IF(('Hampshire Daily'!H27-'Hampshire Daily'!H26&lt;0),"0",('Hampshire Daily'!H27-'Hampshire Daily'!H26))</f>
        <v>29</v>
      </c>
      <c r="H24" s="4">
        <f>IF(('Hampshire Daily'!I27-'Hampshire Daily'!I26&lt;0),"0",('Hampshire Daily'!I27-'Hampshire Daily'!I26))</f>
        <v>0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0</v>
      </c>
      <c r="K24" s="4">
        <f>IF(('Hampshire Daily'!L27-'Hampshire Daily'!L26&lt;0),"0",('Hampshire Daily'!L27-'Hampshire Daily'!L26))</f>
        <v>205</v>
      </c>
      <c r="L24" s="4">
        <f>IF(('Hampshire Daily'!M27-'Hampshire Daily'!M26&lt;0),"0",('Hampshire Daily'!M27-'Hampshire Daily'!M26))</f>
        <v>0</v>
      </c>
      <c r="M24" s="4">
        <f>IF(('Hampshire Daily'!N27-'Hampshire Daily'!N26&lt;0),"0",('Hampshire Daily'!N27-'Hampshire Daily'!N26))</f>
        <v>1939</v>
      </c>
      <c r="N24" s="4">
        <f>IF(('Hampshire Daily'!O27-'Hampshire Daily'!O26&lt;0),"0",('Hampshire Daily'!O27-'Hampshire Daily'!O26))</f>
        <v>34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0</v>
      </c>
      <c r="R24" s="4">
        <f>IF(('Hampshire Daily'!U27-'Hampshire Daily'!U26&lt;0),"0",('Hampshire Daily'!U27-'Hampshire Daily'!U26))</f>
        <v>4</v>
      </c>
      <c r="S24" s="4">
        <f>IF(('Hampshire Daily'!V27-'Hampshire Daily'!V26&lt;0),"0",('Hampshire Daily'!V27-'Hampshire Daily'!V26))</f>
        <v>0</v>
      </c>
      <c r="T24" s="4">
        <f>IF(('Hampshire Daily'!W27-'Hampshire Daily'!W26&lt;0),"0",('Hampshire Daily'!W27-'Hampshire Daily'!W26))</f>
        <v>0</v>
      </c>
      <c r="U24" s="4" t="str">
        <f>IF(('Hampshire Daily'!X27-'Hampshire Daily'!X26&lt;0),"0",('Hampshire Daily'!X27-'Hampshire Daily'!X26))</f>
        <v>0</v>
      </c>
      <c r="V24" s="4">
        <f>IF(('Hampshire Daily'!Y27-'Hampshire Daily'!Y26&lt;0),"0",('Hampshire Daily'!Y27-'Hampshire Daily'!Y26))</f>
        <v>0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3</v>
      </c>
      <c r="Y24" s="4">
        <f>'Hampshire Daily'!B27</f>
        <v>10</v>
      </c>
      <c r="Z24" s="4">
        <f>'Hampshire Daily'!C27</f>
        <v>10</v>
      </c>
    </row>
    <row r="25" spans="1:26" x14ac:dyDescent="0.25">
      <c r="A25" s="3" t="s">
        <v>40</v>
      </c>
      <c r="B25" s="1">
        <f t="shared" si="0"/>
        <v>24</v>
      </c>
      <c r="C25" s="17">
        <v>3</v>
      </c>
      <c r="D25" s="1">
        <v>2021</v>
      </c>
      <c r="E25" s="4">
        <f>IF(('Hampshire Daily'!D28-'Hampshire Daily'!D27&lt;0),"0",('Hampshire Daily'!D28-'Hampshire Daily'!D27))</f>
        <v>912</v>
      </c>
      <c r="F25" s="4">
        <f>IF(('Hampshire Daily'!F28-'Hampshire Daily'!F27&lt;0),"0",('Hampshire Daily'!F28-'Hampshire Daily'!F27))</f>
        <v>390</v>
      </c>
      <c r="G25" s="4">
        <f>IF(('Hampshire Daily'!H28-'Hampshire Daily'!H27&lt;0),"0",('Hampshire Daily'!H28-'Hampshire Daily'!H27))</f>
        <v>30</v>
      </c>
      <c r="H25" s="4">
        <f>IF(('Hampshire Daily'!I28-'Hampshire Daily'!I27&lt;0),"0",('Hampshire Daily'!I28-'Hampshire Daily'!I27))</f>
        <v>0</v>
      </c>
      <c r="I25" s="4">
        <f>IF(('Hampshire Daily'!J28-'Hampshire Daily'!J27&lt;0),"0",('Hampshire Daily'!J28-'Hampshire Daily'!J27))</f>
        <v>0</v>
      </c>
      <c r="J25" s="4">
        <f>IF(('Hampshire Daily'!K28-'Hampshire Daily'!K27&lt;0),"0",('Hampshire Daily'!K28-'Hampshire Daily'!K27))</f>
        <v>0</v>
      </c>
      <c r="K25" s="4">
        <f>IF(('Hampshire Daily'!L28-'Hampshire Daily'!L27&lt;0),"0",('Hampshire Daily'!L28-'Hampshire Daily'!L27))</f>
        <v>376</v>
      </c>
      <c r="L25" s="4">
        <f>IF(('Hampshire Daily'!M28-'Hampshire Daily'!M27&lt;0),"0",('Hampshire Daily'!M28-'Hampshire Daily'!M27))</f>
        <v>8</v>
      </c>
      <c r="M25" s="4">
        <f>IF(('Hampshire Daily'!N28-'Hampshire Daily'!N27&lt;0),"0",('Hampshire Daily'!N28-'Hampshire Daily'!N27))</f>
        <v>1835</v>
      </c>
      <c r="N25" s="4">
        <f>IF(('Hampshire Daily'!O28-'Hampshire Daily'!O27&lt;0),"0",('Hampshire Daily'!O28-'Hampshire Daily'!O27))</f>
        <v>13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0</v>
      </c>
      <c r="R25" s="4">
        <f>IF(('Hampshire Daily'!U28-'Hampshire Daily'!U27&lt;0),"0",('Hampshire Daily'!U28-'Hampshire Daily'!U27))</f>
        <v>3</v>
      </c>
      <c r="S25" s="4">
        <f>IF(('Hampshire Daily'!V28-'Hampshire Daily'!V27&lt;0),"0",('Hampshire Daily'!V28-'Hampshire Daily'!V27))</f>
        <v>0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0.20699999999999363</v>
      </c>
      <c r="V25" s="4">
        <f>IF(('Hampshire Daily'!Y28-'Hampshire Daily'!Y27&lt;0),"0",('Hampshire Daily'!Y28-'Hampshire Daily'!Y27))</f>
        <v>1.8000000000029104E-2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3</v>
      </c>
      <c r="Y25" s="4">
        <f>'Hampshire Daily'!B28</f>
        <v>10</v>
      </c>
      <c r="Z25" s="4">
        <f>'Hampshire Daily'!C28</f>
        <v>10</v>
      </c>
    </row>
    <row r="26" spans="1:26" x14ac:dyDescent="0.25">
      <c r="A26" s="3" t="s">
        <v>40</v>
      </c>
      <c r="B26" s="15">
        <f>B25+1</f>
        <v>25</v>
      </c>
      <c r="C26" s="17">
        <v>3</v>
      </c>
      <c r="D26" s="1">
        <v>2021</v>
      </c>
      <c r="E26" s="4">
        <f>IF(('Hampshire Daily'!D29-'Hampshire Daily'!D28&lt;0),"0",('Hampshire Daily'!D29-'Hampshire Daily'!D28))</f>
        <v>985</v>
      </c>
      <c r="F26" s="4">
        <f>IF(('Hampshire Daily'!F29-'Hampshire Daily'!F28&lt;0),"0",('Hampshire Daily'!F29-'Hampshire Daily'!F28))</f>
        <v>400</v>
      </c>
      <c r="G26" s="4">
        <f>IF(('Hampshire Daily'!H29-'Hampshire Daily'!H28&lt;0),"0",('Hampshire Daily'!H29-'Hampshire Daily'!H28))</f>
        <v>0</v>
      </c>
      <c r="H26" s="4">
        <f>IF(('Hampshire Daily'!I29-'Hampshire Daily'!I28&lt;0),"0",('Hampshire Daily'!I29-'Hampshire Daily'!I28))</f>
        <v>0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0</v>
      </c>
      <c r="K26" s="4">
        <f>IF(('Hampshire Daily'!L29-'Hampshire Daily'!L28&lt;0),"0",('Hampshire Daily'!L29-'Hampshire Daily'!L28))</f>
        <v>205</v>
      </c>
      <c r="L26" s="4">
        <f>IF(('Hampshire Daily'!M29-'Hampshire Daily'!M28&lt;0),"0",('Hampshire Daily'!M29-'Hampshire Daily'!M28))</f>
        <v>0</v>
      </c>
      <c r="M26" s="4">
        <f>IF(('Hampshire Daily'!N29-'Hampshire Daily'!N28&lt;0),"0",('Hampshire Daily'!N29-'Hampshire Daily'!N28))</f>
        <v>1898</v>
      </c>
      <c r="N26" s="4">
        <f>IF(('Hampshire Daily'!O29-'Hampshire Daily'!O28&lt;0),"0",('Hampshire Daily'!O29-'Hampshire Daily'!O28))</f>
        <v>29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1</v>
      </c>
      <c r="Q26" s="4">
        <f>IF(('Hampshire Daily'!R29-'Hampshire Daily'!R28&lt;0),"0",('Hampshire Daily'!R29-'Hampshire Daily'!R28))</f>
        <v>0</v>
      </c>
      <c r="R26" s="4">
        <f>IF(('Hampshire Daily'!U29-'Hampshire Daily'!U28&lt;0),"0",('Hampshire Daily'!U29-'Hampshire Daily'!U28))</f>
        <v>3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0.20199999999999818</v>
      </c>
      <c r="V26" s="4">
        <f>IF(('Hampshire Daily'!Y29-'Hampshire Daily'!Y28&lt;0),"0",('Hampshire Daily'!Y29-'Hampshire Daily'!Y28))</f>
        <v>0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4</v>
      </c>
      <c r="Y26" s="4">
        <f>'Hampshire Daily'!B29</f>
        <v>10</v>
      </c>
      <c r="Z26" s="4">
        <f>'Hampshire Daily'!C29</f>
        <v>10</v>
      </c>
    </row>
    <row r="27" spans="1:26" x14ac:dyDescent="0.25">
      <c r="A27" s="3" t="s">
        <v>40</v>
      </c>
      <c r="B27" s="1">
        <f t="shared" si="0"/>
        <v>26</v>
      </c>
      <c r="C27" s="17">
        <v>3</v>
      </c>
      <c r="D27" s="1">
        <v>2021</v>
      </c>
      <c r="E27" s="4">
        <f>IF(('Hampshire Daily'!D30-'Hampshire Daily'!D29&lt;0),"0",('Hampshire Daily'!D30-'Hampshire Daily'!D29))</f>
        <v>985</v>
      </c>
      <c r="F27" s="4">
        <f>IF(('Hampshire Daily'!F30-'Hampshire Daily'!F29&lt;0),"0",('Hampshire Daily'!F30-'Hampshire Daily'!F29))</f>
        <v>401</v>
      </c>
      <c r="G27" s="4">
        <f>IF(('Hampshire Daily'!H30-'Hampshire Daily'!H29&lt;0),"0",('Hampshire Daily'!H30-'Hampshire Daily'!H29))</f>
        <v>14</v>
      </c>
      <c r="H27" s="4">
        <f>IF(('Hampshire Daily'!I30-'Hampshire Daily'!I29&lt;0),"0",('Hampshire Daily'!I30-'Hampshire Daily'!I29))</f>
        <v>0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0</v>
      </c>
      <c r="K27" s="4">
        <f>IF(('Hampshire Daily'!L30-'Hampshire Daily'!L29&lt;0),"0",('Hampshire Daily'!L30-'Hampshire Daily'!L29))</f>
        <v>205</v>
      </c>
      <c r="L27" s="4">
        <f>IF(('Hampshire Daily'!M30-'Hampshire Daily'!M29&lt;0),"0",('Hampshire Daily'!M30-'Hampshire Daily'!M29))</f>
        <v>0</v>
      </c>
      <c r="M27" s="4">
        <f>IF(('Hampshire Daily'!N30-'Hampshire Daily'!N29&lt;0),"0",('Hampshire Daily'!N30-'Hampshire Daily'!N29))</f>
        <v>1899</v>
      </c>
      <c r="N27" s="4">
        <f>IF(('Hampshire Daily'!O30-'Hampshire Daily'!O29&lt;0),"0",('Hampshire Daily'!O30-'Hampshire Daily'!O29))</f>
        <v>29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1</v>
      </c>
      <c r="Q27" s="4">
        <f>IF(('Hampshire Daily'!R30-'Hampshire Daily'!R29&lt;0),"0",('Hampshire Daily'!R30-'Hampshire Daily'!R29))</f>
        <v>0</v>
      </c>
      <c r="R27" s="4">
        <f>IF(('Hampshire Daily'!U30-'Hampshire Daily'!U29&lt;0),"0",('Hampshire Daily'!U30-'Hampshire Daily'!U29))</f>
        <v>3</v>
      </c>
      <c r="S27" s="4">
        <f>IF(('Hampshire Daily'!V30-'Hampshire Daily'!V29&lt;0),"0",('Hampshire Daily'!V30-'Hampshire Daily'!V29))</f>
        <v>0</v>
      </c>
      <c r="T27" s="4">
        <f>IF(('Hampshire Daily'!W30-'Hampshire Daily'!W29&lt;0),"0",('Hampshire Daily'!W30-'Hampshire Daily'!W29))</f>
        <v>4.0000000000190994E-3</v>
      </c>
      <c r="U27" s="4">
        <f>IF(('Hampshire Daily'!X30-'Hampshire Daily'!X29&lt;0),"0",('Hampshire Daily'!X30-'Hampshire Daily'!X29))</f>
        <v>8.6000000000012733E-2</v>
      </c>
      <c r="V27" s="4">
        <f>IF(('Hampshire Daily'!Y30-'Hampshire Daily'!Y29&lt;0),"0",('Hampshire Daily'!Y30-'Hampshire Daily'!Y29))</f>
        <v>0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4</v>
      </c>
      <c r="Y27" s="4">
        <f>'Hampshire Daily'!B30</f>
        <v>10</v>
      </c>
      <c r="Z27" s="4">
        <f>'Hampshire Daily'!C30</f>
        <v>10</v>
      </c>
    </row>
    <row r="28" spans="1:26" x14ac:dyDescent="0.25">
      <c r="A28" s="3" t="s">
        <v>40</v>
      </c>
      <c r="B28" s="1">
        <f t="shared" si="0"/>
        <v>27</v>
      </c>
      <c r="C28" s="17">
        <v>3</v>
      </c>
      <c r="D28" s="1">
        <v>2021</v>
      </c>
      <c r="E28" s="4">
        <f>IF(('Hampshire Daily'!D31-'Hampshire Daily'!D30&lt;0),"0",('Hampshire Daily'!D31-'Hampshire Daily'!D30))</f>
        <v>950</v>
      </c>
      <c r="F28" s="4">
        <f>IF(('Hampshire Daily'!F31-'Hampshire Daily'!F30&lt;0),"0",('Hampshire Daily'!F31-'Hampshire Daily'!F30))</f>
        <v>325</v>
      </c>
      <c r="G28" s="4">
        <f>IF(('Hampshire Daily'!H31-'Hampshire Daily'!H30&lt;0),"0",('Hampshire Daily'!H31-'Hampshire Daily'!H30))</f>
        <v>44</v>
      </c>
      <c r="H28" s="4">
        <f>IF(('Hampshire Daily'!I31-'Hampshire Daily'!I30&lt;0),"0",('Hampshire Daily'!I31-'Hampshire Daily'!I30))</f>
        <v>0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0</v>
      </c>
      <c r="K28" s="4">
        <f>IF(('Hampshire Daily'!L31-'Hampshire Daily'!L30&lt;0),"0",('Hampshire Daily'!L31-'Hampshire Daily'!L30))</f>
        <v>205</v>
      </c>
      <c r="L28" s="4">
        <f>IF(('Hampshire Daily'!M31-'Hampshire Daily'!M30&lt;0),"0",('Hampshire Daily'!M31-'Hampshire Daily'!M30))</f>
        <v>0</v>
      </c>
      <c r="M28" s="4">
        <f>IF(('Hampshire Daily'!N31-'Hampshire Daily'!N30&lt;0),"0",('Hampshire Daily'!N31-'Hampshire Daily'!N30))</f>
        <v>2055</v>
      </c>
      <c r="N28" s="4">
        <f>IF(('Hampshire Daily'!O31-'Hampshire Daily'!O30&lt;0),"0",('Hampshire Daily'!O31-'Hampshire Daily'!O30))</f>
        <v>26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2</v>
      </c>
      <c r="S28" s="4">
        <f>IF(('Hampshire Daily'!V31-'Hampshire Daily'!V30&lt;0),"0",('Hampshire Daily'!V31-'Hampshire Daily'!V30))</f>
        <v>0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5.5000000000063665E-2</v>
      </c>
      <c r="V28" s="4">
        <f>IF(('Hampshire Daily'!Y31-'Hampshire Daily'!Y30&lt;0),"0",('Hampshire Daily'!Y31-'Hampshire Daily'!Y30))</f>
        <v>3.9000000000214641E-2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5</v>
      </c>
      <c r="Y28" s="4">
        <f>'Hampshire Daily'!B31</f>
        <v>10</v>
      </c>
      <c r="Z28" s="4">
        <f>'Hampshire Daily'!C31</f>
        <v>10</v>
      </c>
    </row>
    <row r="29" spans="1:26" x14ac:dyDescent="0.25">
      <c r="A29" s="3" t="s">
        <v>40</v>
      </c>
      <c r="B29" s="1">
        <f t="shared" si="0"/>
        <v>28</v>
      </c>
      <c r="C29" s="17">
        <v>3</v>
      </c>
      <c r="D29" s="1">
        <v>2021</v>
      </c>
      <c r="E29" s="4">
        <f>IF(('Hampshire Daily'!D32-'Hampshire Daily'!D31&lt;0),"0",('Hampshire Daily'!D32-'Hampshire Daily'!D31))</f>
        <v>906</v>
      </c>
      <c r="F29" s="4">
        <f>IF(('Hampshire Daily'!F32-'Hampshire Daily'!F31&lt;0),"0",('Hampshire Daily'!F32-'Hampshire Daily'!F31))</f>
        <v>331</v>
      </c>
      <c r="G29" s="4">
        <f>IF(('Hampshire Daily'!H32-'Hampshire Daily'!H31&lt;0),"0",('Hampshire Daily'!H32-'Hampshire Daily'!H31))</f>
        <v>19</v>
      </c>
      <c r="H29" s="4">
        <f>IF(('Hampshire Daily'!I32-'Hampshire Daily'!I31&lt;0),"0",('Hampshire Daily'!I32-'Hampshire Daily'!I31))</f>
        <v>0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0</v>
      </c>
      <c r="K29" s="4">
        <f>IF(('Hampshire Daily'!L32-'Hampshire Daily'!L31&lt;0),"0",('Hampshire Daily'!L32-'Hampshire Daily'!L31))</f>
        <v>205</v>
      </c>
      <c r="L29" s="4">
        <f>IF(('Hampshire Daily'!M32-'Hampshire Daily'!M31&lt;0),"0",('Hampshire Daily'!M32-'Hampshire Daily'!M31))</f>
        <v>0</v>
      </c>
      <c r="M29" s="4">
        <f>IF(('Hampshire Daily'!N32-'Hampshire Daily'!N31&lt;0),"0",('Hampshire Daily'!N32-'Hampshire Daily'!N31))</f>
        <v>1674</v>
      </c>
      <c r="N29" s="4">
        <f>IF(('Hampshire Daily'!O32-'Hampshire Daily'!O31&lt;0),"0",('Hampshire Daily'!O32-'Hampshire Daily'!O31))</f>
        <v>13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2</v>
      </c>
      <c r="S29" s="4">
        <f>IF(('Hampshire Daily'!V32-'Hampshire Daily'!V31&lt;0),"0",('Hampshire Daily'!V32-'Hampshire Daily'!V31))</f>
        <v>0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1.8000000000029104E-2</v>
      </c>
      <c r="V29" s="4">
        <f>IF(('Hampshire Daily'!Y32-'Hampshire Daily'!Y31&lt;0),"0",('Hampshire Daily'!Y32-'Hampshire Daily'!Y31))</f>
        <v>0</v>
      </c>
      <c r="W29" s="4">
        <f>IF(('Hampshire Daily'!Z32-'Hampshire Daily'!Z31&lt;0),"0",('Hampshire Daily'!Z32-'Hampshire Daily'!Z31))</f>
        <v>0</v>
      </c>
      <c r="X29" s="4">
        <f>IF(('Hampshire Daily'!AA32-'Hampshire Daily'!AA31&lt;0),"0",('Hampshire Daily'!AA32-'Hampshire Daily'!AA31))</f>
        <v>2</v>
      </c>
      <c r="Y29" s="4">
        <f>'Hampshire Daily'!B32</f>
        <v>10</v>
      </c>
      <c r="Z29" s="4">
        <f>'Hampshire Daily'!C32</f>
        <v>10</v>
      </c>
    </row>
    <row r="30" spans="1:26" x14ac:dyDescent="0.25">
      <c r="A30" s="3" t="s">
        <v>40</v>
      </c>
      <c r="B30" s="1">
        <f t="shared" si="0"/>
        <v>29</v>
      </c>
      <c r="C30" s="17">
        <v>3</v>
      </c>
      <c r="D30" s="1">
        <v>2021</v>
      </c>
      <c r="E30" s="4">
        <f>IF(('Hampshire Daily'!D33-'Hampshire Daily'!D32&lt;0),"0",('Hampshire Daily'!D33-'Hampshire Daily'!D32))</f>
        <v>1035</v>
      </c>
      <c r="F30" s="4">
        <f>IF(('Hampshire Daily'!F33-'Hampshire Daily'!F32&lt;0),"0",('Hampshire Daily'!F33-'Hampshire Daily'!F32))</f>
        <v>342</v>
      </c>
      <c r="G30" s="4">
        <f>IF(('Hampshire Daily'!H33-'Hampshire Daily'!H32&lt;0),"0",('Hampshire Daily'!H33-'Hampshire Daily'!H32))</f>
        <v>14</v>
      </c>
      <c r="H30" s="4">
        <f>IF(('Hampshire Daily'!I33-'Hampshire Daily'!I32&lt;0),"0",('Hampshire Daily'!I33-'Hampshire Daily'!I32))</f>
        <v>0</v>
      </c>
      <c r="I30" s="4">
        <f>IF(('Hampshire Daily'!J33-'Hampshire Daily'!J32&lt;0),"0",('Hampshire Daily'!J33-'Hampshire Daily'!J32))</f>
        <v>0</v>
      </c>
      <c r="J30" s="4">
        <f>IF(('Hampshire Daily'!K33-'Hampshire Daily'!K32&lt;0),"0",('Hampshire Daily'!K33-'Hampshire Daily'!K32))</f>
        <v>0</v>
      </c>
      <c r="K30" s="4">
        <f>IF(('Hampshire Daily'!L33-'Hampshire Daily'!L32&lt;0),"0",('Hampshire Daily'!L33-'Hampshire Daily'!L32))</f>
        <v>205</v>
      </c>
      <c r="L30" s="4">
        <f>IF(('Hampshire Daily'!M33-'Hampshire Daily'!M32&lt;0),"0",('Hampshire Daily'!M33-'Hampshire Daily'!M32))</f>
        <v>0</v>
      </c>
      <c r="M30" s="4">
        <f>IF(('Hampshire Daily'!N33-'Hampshire Daily'!N32&lt;0),"0",('Hampshire Daily'!N33-'Hampshire Daily'!N32))</f>
        <v>1855</v>
      </c>
      <c r="N30" s="4">
        <f>IF(('Hampshire Daily'!O33-'Hampshire Daily'!O32&lt;0),"0",('Hampshire Daily'!O33-'Hampshire Daily'!O32))</f>
        <v>55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2</v>
      </c>
      <c r="S30" s="4">
        <f>IF(('Hampshire Daily'!V33-'Hampshire Daily'!V32&lt;0),"0",('Hampshire Daily'!V33-'Hampshire Daily'!V32))</f>
        <v>11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1.2999999999919964E-2</v>
      </c>
      <c r="V30" s="4">
        <f>IF(('Hampshire Daily'!Y33-'Hampshire Daily'!Y32&lt;0),"0",('Hampshire Daily'!Y33-'Hampshire Daily'!Y32))</f>
        <v>0</v>
      </c>
      <c r="W30" s="4">
        <f>IF(('Hampshire Daily'!Z33-'Hampshire Daily'!Z32&lt;0),"0",('Hampshire Daily'!Z33-'Hampshire Daily'!Z32))</f>
        <v>0</v>
      </c>
      <c r="X30" s="4">
        <f>IF(('Hampshire Daily'!AA33-'Hampshire Daily'!AA32&lt;0),"0",('Hampshire Daily'!AA33-'Hampshire Daily'!AA32))</f>
        <v>6</v>
      </c>
      <c r="Y30" s="4">
        <f>'Hampshire Daily'!B33</f>
        <v>10</v>
      </c>
      <c r="Z30" s="4">
        <f>'Hampshire Daily'!C33</f>
        <v>10</v>
      </c>
    </row>
    <row r="31" spans="1:26" x14ac:dyDescent="0.25">
      <c r="A31" s="3" t="s">
        <v>40</v>
      </c>
      <c r="B31" s="1">
        <f t="shared" si="0"/>
        <v>30</v>
      </c>
      <c r="C31" s="17">
        <v>3</v>
      </c>
      <c r="D31" s="1">
        <v>2021</v>
      </c>
      <c r="E31" s="4">
        <f>IF(('Hampshire Daily'!D34-'Hampshire Daily'!D33&lt;0),"0",('Hampshire Daily'!D34-'Hampshire Daily'!D33))</f>
        <v>989</v>
      </c>
      <c r="F31" s="4">
        <f>IF(('Hampshire Daily'!F34-'Hampshire Daily'!F33&lt;0),"0",('Hampshire Daily'!F34-'Hampshire Daily'!F33))</f>
        <v>1292</v>
      </c>
      <c r="G31" s="4">
        <f>IF(('Hampshire Daily'!H34-'Hampshire Daily'!H33&lt;0),"0",('Hampshire Daily'!H34-'Hampshire Daily'!H33))</f>
        <v>260</v>
      </c>
      <c r="H31" s="4">
        <f>IF(('Hampshire Daily'!I34-'Hampshire Daily'!I33&lt;0),"0",('Hampshire Daily'!I34-'Hampshire Daily'!I33))</f>
        <v>0</v>
      </c>
      <c r="I31" s="4">
        <f>IF(('Hampshire Daily'!J34-'Hampshire Daily'!J33&lt;0),"0",('Hampshire Daily'!J34-'Hampshire Daily'!J33))</f>
        <v>0</v>
      </c>
      <c r="J31" s="4">
        <f>IF(('Hampshire Daily'!K34-'Hampshire Daily'!K33&lt;0),"0",('Hampshire Daily'!K34-'Hampshire Daily'!K33))</f>
        <v>0</v>
      </c>
      <c r="K31" s="4">
        <f>IF(('Hampshire Daily'!L34-'Hampshire Daily'!L33&lt;0),"0",('Hampshire Daily'!L34-'Hampshire Daily'!L33))</f>
        <v>205</v>
      </c>
      <c r="L31" s="4">
        <f>IF(('Hampshire Daily'!M34-'Hampshire Daily'!M33&lt;0),"0",('Hampshire Daily'!M34-'Hampshire Daily'!M33))</f>
        <v>0</v>
      </c>
      <c r="M31" s="4">
        <f>IF(('Hampshire Daily'!N34-'Hampshire Daily'!N33&lt;0),"0",('Hampshire Daily'!N34-'Hampshire Daily'!N33))</f>
        <v>1634</v>
      </c>
      <c r="N31" s="4">
        <f>IF(('Hampshire Daily'!O34-'Hampshire Daily'!O33&lt;0),"0",('Hampshire Daily'!O34-'Hampshire Daily'!O33))</f>
        <v>23</v>
      </c>
      <c r="O31" s="4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4</v>
      </c>
      <c r="S31" s="4">
        <f>IF(('Hampshire Daily'!V34-'Hampshire Daily'!V33&lt;0),"0",('Hampshire Daily'!V34-'Hampshire Daily'!V33))</f>
        <v>0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8.9000000000055479E-2</v>
      </c>
      <c r="V31" s="4">
        <f>IF(('Hampshire Daily'!Y34-'Hampshire Daily'!Y33&lt;0),"0",('Hampshire Daily'!Y34-'Hampshire Daily'!Y33))</f>
        <v>0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3</v>
      </c>
      <c r="Y31" s="4">
        <f>'Hampshire Daily'!B34</f>
        <v>10</v>
      </c>
      <c r="Z31" s="4">
        <f>'Hampshire Daily'!C34</f>
        <v>10</v>
      </c>
    </row>
    <row r="32" spans="1:26" x14ac:dyDescent="0.25">
      <c r="A32" s="3" t="s">
        <v>40</v>
      </c>
      <c r="B32" s="1">
        <f t="shared" si="0"/>
        <v>31</v>
      </c>
      <c r="C32" s="17">
        <v>3</v>
      </c>
      <c r="D32" s="1">
        <v>2021</v>
      </c>
      <c r="E32" s="4">
        <f>IF(('Hampshire Daily'!D35-'Hampshire Daily'!D34&lt;0),"0",('Hampshire Daily'!D35-'Hampshire Daily'!D34))</f>
        <v>1017</v>
      </c>
      <c r="F32" s="4">
        <f>IF(('Hampshire Daily'!F35-'Hampshire Daily'!F34&lt;0),"0",('Hampshire Daily'!F35-'Hampshire Daily'!F34))</f>
        <v>424</v>
      </c>
      <c r="G32" s="4">
        <f>IF(('Hampshire Daily'!H35-'Hampshire Daily'!H34&lt;0),"0",('Hampshire Daily'!H35-'Hampshire Daily'!H34))</f>
        <v>35</v>
      </c>
      <c r="H32" s="4">
        <f>IF(('Hampshire Daily'!I35-'Hampshire Daily'!I34&lt;0),"0",('Hampshire Daily'!I35-'Hampshire Daily'!I34))</f>
        <v>7005425</v>
      </c>
      <c r="I32" s="4">
        <f>IF(('Hampshire Daily'!J35-'Hampshire Daily'!J34&lt;0),"0",('Hampshire Daily'!J35-'Hampshire Daily'!J34))</f>
        <v>0</v>
      </c>
      <c r="J32" s="4">
        <f>IF(('Hampshire Daily'!K35-'Hampshire Daily'!K34&lt;0),"0",('Hampshire Daily'!K35-'Hampshire Daily'!K34))</f>
        <v>4924645</v>
      </c>
      <c r="K32" s="4">
        <f>IF(('Hampshire Daily'!L35-'Hampshire Daily'!L34&lt;0),"0",('Hampshire Daily'!L35-'Hampshire Daily'!L34))</f>
        <v>220</v>
      </c>
      <c r="L32" s="4">
        <f>IF(('Hampshire Daily'!M35-'Hampshire Daily'!M34&lt;0),"0",('Hampshire Daily'!M35-'Hampshire Daily'!M34))</f>
        <v>12</v>
      </c>
      <c r="M32" s="4">
        <f>IF(('Hampshire Daily'!N35-'Hampshire Daily'!N34&lt;0),"0",('Hampshire Daily'!N35-'Hampshire Daily'!N34))</f>
        <v>1622</v>
      </c>
      <c r="N32" s="4">
        <f>IF(('Hampshire Daily'!O35-'Hampshire Daily'!O34&lt;0),"0",('Hampshire Daily'!O35-'Hampshire Daily'!O34))</f>
        <v>23</v>
      </c>
      <c r="O32" s="4">
        <f>IF(('Hampshire Daily'!P35-'Hampshire Daily'!P34&lt;0),"0",('Hampshire Daily'!P35-'Hampshire Daily'!P34))</f>
        <v>0</v>
      </c>
      <c r="P32" s="4">
        <f>IF(('Hampshire Daily'!Q35-'Hampshire Daily'!Q34&lt;0),"0",('Hampshire Daily'!Q35-'Hampshire Daily'!Q34))</f>
        <v>0</v>
      </c>
      <c r="Q32" s="4">
        <f>IF(('Hampshire Daily'!R35-'Hampshire Daily'!R34&lt;0),"0",('Hampshire Daily'!R35-'Hampshire Daily'!R34))</f>
        <v>0</v>
      </c>
      <c r="R32" s="4">
        <f>IF(('Hampshire Daily'!U35-'Hampshire Daily'!U34&lt;0),"0",('Hampshire Daily'!U35-'Hampshire Daily'!U34))</f>
        <v>3</v>
      </c>
      <c r="S32" s="4">
        <f>IF(('Hampshire Daily'!V35-'Hampshire Daily'!V34&lt;0),"0",('Hampshire Daily'!V35-'Hampshire Daily'!V34))</f>
        <v>0</v>
      </c>
      <c r="T32" s="4">
        <f>IF(('Hampshire Daily'!W35-'Hampshire Daily'!W34&lt;0),"0",('Hampshire Daily'!W35-'Hampshire Daily'!W34))</f>
        <v>0</v>
      </c>
      <c r="U32" s="4">
        <f>IF(('Hampshire Daily'!X35-'Hampshire Daily'!X34&lt;0),"0",('Hampshire Daily'!X35-'Hampshire Daily'!X34))</f>
        <v>5.2999999999997272E-2</v>
      </c>
      <c r="V32" s="4">
        <f>IF(('Hampshire Daily'!Y35-'Hampshire Daily'!Y34&lt;0),"0",('Hampshire Daily'!Y35-'Hampshire Daily'!Y34))</f>
        <v>0</v>
      </c>
      <c r="W32" s="4">
        <f>IF(('Hampshire Daily'!Z35-'Hampshire Daily'!Z34&lt;0),"0",('Hampshire Daily'!Z35-'Hampshire Daily'!Z34))</f>
        <v>0</v>
      </c>
      <c r="X32" s="4">
        <f>IF(('Hampshire Daily'!AA35-'Hampshire Daily'!AA34&lt;0),"0",('Hampshire Daily'!AA35-'Hampshire Daily'!AA34))</f>
        <v>3</v>
      </c>
      <c r="Y32" s="4">
        <f>'Hampshire Daily'!B35</f>
        <v>10</v>
      </c>
      <c r="Z32" s="4">
        <f>'Hampshire Daily'!C35</f>
        <v>10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5"/>
  <sheetViews>
    <sheetView zoomScaleNormal="100" workbookViewId="0">
      <pane xSplit="1" topLeftCell="B1" activePane="topRight" state="frozen"/>
      <selection pane="topRight" activeCell="B5" sqref="B5"/>
    </sheetView>
  </sheetViews>
  <sheetFormatPr defaultRowHeight="15" x14ac:dyDescent="0.25"/>
  <cols>
    <col min="1" max="1" width="8.7109375" style="16" customWidth="1"/>
    <col min="2" max="3" width="8.7109375" style="23" customWidth="1"/>
    <col min="25" max="25" width="10.42578125" style="19" bestFit="1" customWidth="1"/>
    <col min="28" max="28" width="10.5703125" customWidth="1"/>
    <col min="29" max="29" width="11.42578125" customWidth="1"/>
  </cols>
  <sheetData>
    <row r="1" spans="1:29" ht="15" customHeight="1" x14ac:dyDescent="0.25">
      <c r="A1" s="33"/>
      <c r="B1" s="22"/>
      <c r="C1" s="22"/>
      <c r="D1" s="36" t="s">
        <v>12</v>
      </c>
      <c r="E1" s="36"/>
      <c r="F1" s="36"/>
      <c r="G1" s="36"/>
      <c r="H1" s="36"/>
      <c r="I1" s="36"/>
      <c r="J1" s="36"/>
      <c r="K1" s="36"/>
      <c r="L1" s="36"/>
      <c r="M1" s="36"/>
      <c r="N1" s="42" t="s">
        <v>13</v>
      </c>
      <c r="O1" s="44" t="s">
        <v>14</v>
      </c>
      <c r="P1" s="26"/>
      <c r="Q1" s="26"/>
      <c r="R1" s="26"/>
      <c r="S1" s="44" t="s">
        <v>15</v>
      </c>
      <c r="T1" s="46"/>
      <c r="U1" s="44" t="s">
        <v>16</v>
      </c>
      <c r="V1" s="47" t="s">
        <v>17</v>
      </c>
      <c r="W1" s="44" t="s">
        <v>18</v>
      </c>
      <c r="X1" s="44" t="s">
        <v>19</v>
      </c>
      <c r="Y1" s="53" t="s">
        <v>20</v>
      </c>
      <c r="Z1" s="44" t="s">
        <v>54</v>
      </c>
      <c r="AA1" s="49" t="s">
        <v>55</v>
      </c>
    </row>
    <row r="2" spans="1:29" ht="15" customHeight="1" x14ac:dyDescent="0.25">
      <c r="A2" s="34"/>
      <c r="B2" s="39" t="s">
        <v>52</v>
      </c>
      <c r="C2" s="39" t="s">
        <v>53</v>
      </c>
      <c r="D2" s="37" t="s">
        <v>21</v>
      </c>
      <c r="E2" s="37" t="s">
        <v>22</v>
      </c>
      <c r="F2" s="37" t="s">
        <v>23</v>
      </c>
      <c r="G2" s="37" t="s">
        <v>24</v>
      </c>
      <c r="H2" s="37" t="s">
        <v>25</v>
      </c>
      <c r="I2" s="37" t="s">
        <v>26</v>
      </c>
      <c r="J2" s="37" t="s">
        <v>27</v>
      </c>
      <c r="K2" s="37" t="s">
        <v>28</v>
      </c>
      <c r="L2" s="37" t="s">
        <v>29</v>
      </c>
      <c r="M2" s="37" t="s">
        <v>30</v>
      </c>
      <c r="N2" s="43"/>
      <c r="O2" s="44"/>
      <c r="P2" s="26" t="s">
        <v>31</v>
      </c>
      <c r="Q2" s="26" t="s">
        <v>31</v>
      </c>
      <c r="R2" s="26" t="s">
        <v>31</v>
      </c>
      <c r="S2" s="44"/>
      <c r="T2" s="46"/>
      <c r="U2" s="44"/>
      <c r="V2" s="47"/>
      <c r="W2" s="44"/>
      <c r="X2" s="44"/>
      <c r="Y2" s="53"/>
      <c r="Z2" s="44"/>
      <c r="AA2" s="50"/>
      <c r="AB2" s="52" t="s">
        <v>57</v>
      </c>
      <c r="AC2" s="52" t="s">
        <v>58</v>
      </c>
    </row>
    <row r="3" spans="1:29" ht="27" customHeight="1" thickBot="1" x14ac:dyDescent="0.3">
      <c r="A3" s="35"/>
      <c r="B3" s="40"/>
      <c r="C3" s="40"/>
      <c r="D3" s="41"/>
      <c r="E3" s="41"/>
      <c r="F3" s="41"/>
      <c r="G3" s="41"/>
      <c r="H3" s="37"/>
      <c r="I3" s="37"/>
      <c r="J3" s="37"/>
      <c r="K3" s="37"/>
      <c r="L3" s="37"/>
      <c r="M3" s="38"/>
      <c r="N3" s="43"/>
      <c r="O3" s="45"/>
      <c r="P3" s="27">
        <v>2</v>
      </c>
      <c r="Q3" s="27">
        <v>3</v>
      </c>
      <c r="R3" s="27">
        <v>4</v>
      </c>
      <c r="S3" s="46"/>
      <c r="T3" s="46"/>
      <c r="U3" s="45"/>
      <c r="V3" s="48"/>
      <c r="W3" s="44"/>
      <c r="X3" s="44"/>
      <c r="Y3" s="53"/>
      <c r="Z3" s="44"/>
      <c r="AA3" s="51"/>
      <c r="AB3" s="52"/>
      <c r="AC3" s="52"/>
    </row>
    <row r="4" spans="1:29" s="18" customFormat="1" ht="19.899999999999999" customHeight="1" x14ac:dyDescent="0.25">
      <c r="A4" s="20">
        <v>44255</v>
      </c>
      <c r="B4" s="24">
        <v>10</v>
      </c>
      <c r="C4" s="24">
        <v>10</v>
      </c>
      <c r="D4" s="28">
        <v>244807</v>
      </c>
      <c r="E4" s="28">
        <v>245182</v>
      </c>
      <c r="F4" s="28">
        <v>293288</v>
      </c>
      <c r="G4" s="28">
        <v>292969</v>
      </c>
      <c r="H4" s="28">
        <v>220243</v>
      </c>
      <c r="I4" s="28"/>
      <c r="J4" s="28"/>
      <c r="K4" s="28"/>
      <c r="L4" s="28">
        <v>625038</v>
      </c>
      <c r="M4" s="28">
        <v>2626737</v>
      </c>
      <c r="N4" s="28">
        <v>814277</v>
      </c>
      <c r="O4" s="28">
        <v>352590</v>
      </c>
      <c r="P4" s="28">
        <v>1471374</v>
      </c>
      <c r="Q4" s="28">
        <v>604804</v>
      </c>
      <c r="R4" s="28">
        <v>677</v>
      </c>
      <c r="S4" s="28">
        <v>329509</v>
      </c>
      <c r="T4" s="28">
        <v>30593</v>
      </c>
      <c r="U4" s="28">
        <v>50276</v>
      </c>
      <c r="V4" s="29">
        <v>30447</v>
      </c>
      <c r="W4" s="31">
        <v>485.89100000000002</v>
      </c>
      <c r="X4" s="28">
        <v>887.89800000000002</v>
      </c>
      <c r="Y4" s="28">
        <v>3885.0419999999999</v>
      </c>
      <c r="Z4" s="28">
        <v>2153</v>
      </c>
      <c r="AA4" s="28">
        <v>1107</v>
      </c>
      <c r="AB4" s="30"/>
      <c r="AC4" s="30"/>
    </row>
    <row r="5" spans="1:29" x14ac:dyDescent="0.25">
      <c r="A5" s="21">
        <v>44256</v>
      </c>
      <c r="B5" s="25">
        <v>10</v>
      </c>
      <c r="C5" s="25">
        <v>10</v>
      </c>
      <c r="D5" s="28">
        <v>245630</v>
      </c>
      <c r="E5" s="28">
        <v>246007</v>
      </c>
      <c r="F5" s="28">
        <v>293507</v>
      </c>
      <c r="G5" s="28">
        <v>293188</v>
      </c>
      <c r="H5" s="28">
        <v>220214</v>
      </c>
      <c r="I5" s="28">
        <v>6970000</v>
      </c>
      <c r="J5" s="28">
        <v>31845</v>
      </c>
      <c r="K5" s="28">
        <v>4901746</v>
      </c>
      <c r="L5" s="28">
        <v>625050</v>
      </c>
      <c r="M5" s="28">
        <v>2626744</v>
      </c>
      <c r="N5" s="28">
        <v>816288</v>
      </c>
      <c r="O5" s="28">
        <v>352588</v>
      </c>
      <c r="P5" s="28">
        <v>1471374</v>
      </c>
      <c r="Q5" s="28">
        <v>604804</v>
      </c>
      <c r="R5" s="28">
        <v>677</v>
      </c>
      <c r="S5" s="28">
        <v>329502</v>
      </c>
      <c r="T5" s="28">
        <v>30581</v>
      </c>
      <c r="U5" s="28">
        <v>50275</v>
      </c>
      <c r="V5" s="29">
        <v>30452</v>
      </c>
      <c r="W5" s="31">
        <v>486.05399999999997</v>
      </c>
      <c r="X5" s="28">
        <v>888.00099999999998</v>
      </c>
      <c r="Y5" s="28">
        <v>3885.0419999999999</v>
      </c>
      <c r="Z5" s="28">
        <v>2153</v>
      </c>
      <c r="AA5" s="28">
        <v>1111</v>
      </c>
      <c r="AB5" s="30"/>
      <c r="AC5" s="30"/>
    </row>
    <row r="6" spans="1:29" x14ac:dyDescent="0.25">
      <c r="A6" s="21">
        <v>44257</v>
      </c>
      <c r="B6" s="25">
        <v>10</v>
      </c>
      <c r="C6" s="25">
        <v>10</v>
      </c>
      <c r="D6" s="28">
        <v>246881</v>
      </c>
      <c r="E6" s="28">
        <v>247260</v>
      </c>
      <c r="F6" s="28">
        <v>293840</v>
      </c>
      <c r="G6" s="28">
        <v>293521</v>
      </c>
      <c r="H6" s="28">
        <v>220229</v>
      </c>
      <c r="I6" s="28"/>
      <c r="J6" s="28">
        <v>31845</v>
      </c>
      <c r="K6" s="28"/>
      <c r="L6" s="28">
        <v>625255</v>
      </c>
      <c r="M6" s="28">
        <v>2626744</v>
      </c>
      <c r="N6" s="28">
        <v>818330</v>
      </c>
      <c r="O6" s="28">
        <v>352611</v>
      </c>
      <c r="P6" s="28">
        <v>1471374</v>
      </c>
      <c r="Q6" s="28">
        <v>604804</v>
      </c>
      <c r="R6" s="28">
        <v>677</v>
      </c>
      <c r="S6" s="28">
        <v>329506</v>
      </c>
      <c r="T6" s="28">
        <v>30593</v>
      </c>
      <c r="U6" s="28">
        <v>50278</v>
      </c>
      <c r="V6" s="29">
        <v>30452</v>
      </c>
      <c r="W6" s="31">
        <v>486.21100000000001</v>
      </c>
      <c r="X6" s="28">
        <v>888.20299999999997</v>
      </c>
      <c r="Y6" s="28">
        <v>3885.0419999999999</v>
      </c>
      <c r="Z6" s="28">
        <v>2153</v>
      </c>
      <c r="AA6" s="28">
        <v>1113</v>
      </c>
      <c r="AB6" s="30"/>
      <c r="AC6" s="30"/>
    </row>
    <row r="7" spans="1:29" x14ac:dyDescent="0.25">
      <c r="A7" s="21">
        <v>44258</v>
      </c>
      <c r="B7" s="25">
        <v>10</v>
      </c>
      <c r="C7" s="25">
        <v>10</v>
      </c>
      <c r="D7" s="28">
        <v>248036</v>
      </c>
      <c r="E7" s="28">
        <v>248418</v>
      </c>
      <c r="F7" s="28">
        <v>294274</v>
      </c>
      <c r="G7" s="28">
        <v>293955</v>
      </c>
      <c r="H7" s="28">
        <v>220256</v>
      </c>
      <c r="I7" s="28"/>
      <c r="J7" s="28">
        <v>31845</v>
      </c>
      <c r="K7" s="28"/>
      <c r="L7" s="28">
        <v>625568</v>
      </c>
      <c r="M7" s="28">
        <v>2626753</v>
      </c>
      <c r="N7" s="28">
        <v>820567</v>
      </c>
      <c r="O7" s="28">
        <v>352641</v>
      </c>
      <c r="P7" s="28">
        <v>1471374</v>
      </c>
      <c r="Q7" s="28">
        <v>604804</v>
      </c>
      <c r="R7" s="28">
        <v>677</v>
      </c>
      <c r="S7" s="28">
        <v>329518</v>
      </c>
      <c r="T7" s="28">
        <v>30611</v>
      </c>
      <c r="U7" s="28">
        <v>50280</v>
      </c>
      <c r="V7" s="29">
        <v>30453</v>
      </c>
      <c r="W7" s="31">
        <v>486.37</v>
      </c>
      <c r="X7" s="28">
        <v>888.43200000000002</v>
      </c>
      <c r="Y7" s="28">
        <v>3885.0419999999999</v>
      </c>
      <c r="Z7" s="28">
        <v>2153</v>
      </c>
      <c r="AA7" s="28">
        <v>1117</v>
      </c>
      <c r="AB7" s="30"/>
      <c r="AC7" s="30"/>
    </row>
    <row r="8" spans="1:29" x14ac:dyDescent="0.25">
      <c r="A8" s="21">
        <v>44259</v>
      </c>
      <c r="B8" s="25">
        <v>10</v>
      </c>
      <c r="C8" s="25">
        <v>10</v>
      </c>
      <c r="D8" s="28">
        <v>249533</v>
      </c>
      <c r="E8" s="28">
        <v>249916</v>
      </c>
      <c r="F8" s="28">
        <v>295424</v>
      </c>
      <c r="G8" s="28">
        <v>295104</v>
      </c>
      <c r="H8" s="28">
        <v>220492</v>
      </c>
      <c r="I8" s="28"/>
      <c r="J8" s="28">
        <v>31845</v>
      </c>
      <c r="K8" s="28"/>
      <c r="L8" s="28">
        <v>625772</v>
      </c>
      <c r="M8" s="28">
        <v>2626861</v>
      </c>
      <c r="N8" s="28">
        <v>822342</v>
      </c>
      <c r="O8" s="28">
        <v>352666</v>
      </c>
      <c r="P8" s="28">
        <v>1471374</v>
      </c>
      <c r="Q8" s="28">
        <v>604804</v>
      </c>
      <c r="R8" s="28">
        <v>677</v>
      </c>
      <c r="S8" s="28">
        <v>329522</v>
      </c>
      <c r="T8" s="28">
        <v>30624</v>
      </c>
      <c r="U8" s="28">
        <v>50283</v>
      </c>
      <c r="V8" s="29">
        <v>30453</v>
      </c>
      <c r="W8" s="31">
        <v>486.51</v>
      </c>
      <c r="X8" s="28">
        <v>888.69100000000003</v>
      </c>
      <c r="Y8" s="28">
        <v>3885.0419999999999</v>
      </c>
      <c r="Z8" s="28">
        <v>2153</v>
      </c>
      <c r="AA8" s="28">
        <v>1120</v>
      </c>
      <c r="AB8" s="30"/>
      <c r="AC8" s="30"/>
    </row>
    <row r="9" spans="1:29" x14ac:dyDescent="0.25">
      <c r="A9" s="21">
        <v>44260</v>
      </c>
      <c r="B9" s="25">
        <v>10</v>
      </c>
      <c r="C9" s="25">
        <v>10</v>
      </c>
      <c r="D9" s="28">
        <v>250601</v>
      </c>
      <c r="E9" s="28">
        <v>250986</v>
      </c>
      <c r="F9" s="28">
        <v>295762</v>
      </c>
      <c r="G9" s="28">
        <v>295441</v>
      </c>
      <c r="H9" s="28">
        <v>220510</v>
      </c>
      <c r="I9" s="28"/>
      <c r="J9" s="28">
        <v>31845</v>
      </c>
      <c r="K9" s="28"/>
      <c r="L9" s="28">
        <v>625977</v>
      </c>
      <c r="M9" s="28">
        <v>2626861</v>
      </c>
      <c r="N9" s="28">
        <v>824526</v>
      </c>
      <c r="O9" s="28">
        <v>352689</v>
      </c>
      <c r="P9" s="28">
        <v>1471374</v>
      </c>
      <c r="Q9" s="28">
        <v>604804</v>
      </c>
      <c r="R9" s="28">
        <v>677</v>
      </c>
      <c r="S9" s="28">
        <v>329522</v>
      </c>
      <c r="T9" s="28">
        <v>30634</v>
      </c>
      <c r="U9" s="28">
        <v>50286</v>
      </c>
      <c r="V9" s="29">
        <v>30453</v>
      </c>
      <c r="W9" s="31">
        <v>486.70100000000002</v>
      </c>
      <c r="X9" s="28">
        <v>888.97199999999998</v>
      </c>
      <c r="Y9" s="28">
        <v>3885.0419999999999</v>
      </c>
      <c r="Z9" s="28">
        <v>2153</v>
      </c>
      <c r="AA9" s="28">
        <v>1124</v>
      </c>
      <c r="AB9" s="30"/>
      <c r="AC9" s="30"/>
    </row>
    <row r="10" spans="1:29" x14ac:dyDescent="0.25">
      <c r="A10" s="21">
        <v>44261</v>
      </c>
      <c r="B10" s="25">
        <v>10</v>
      </c>
      <c r="C10" s="25">
        <v>10</v>
      </c>
      <c r="D10" s="28">
        <v>251529</v>
      </c>
      <c r="E10" s="28">
        <v>251916</v>
      </c>
      <c r="F10" s="28">
        <v>296116</v>
      </c>
      <c r="G10" s="28">
        <v>295795</v>
      </c>
      <c r="H10" s="28">
        <v>220526</v>
      </c>
      <c r="I10" s="28"/>
      <c r="J10" s="28">
        <v>31845</v>
      </c>
      <c r="K10" s="28"/>
      <c r="L10" s="28">
        <v>626182</v>
      </c>
      <c r="M10" s="28">
        <v>2626861</v>
      </c>
      <c r="N10" s="28">
        <v>826834</v>
      </c>
      <c r="O10" s="28">
        <v>352716</v>
      </c>
      <c r="P10" s="28">
        <v>1471374</v>
      </c>
      <c r="Q10" s="28">
        <v>604804</v>
      </c>
      <c r="R10" s="28">
        <v>677</v>
      </c>
      <c r="S10" s="28">
        <v>329530</v>
      </c>
      <c r="T10" s="28">
        <v>30648</v>
      </c>
      <c r="U10" s="28">
        <v>50288</v>
      </c>
      <c r="V10" s="29">
        <v>30453</v>
      </c>
      <c r="W10" s="31">
        <v>486.93799999999999</v>
      </c>
      <c r="X10" s="28">
        <v>889.27700000000004</v>
      </c>
      <c r="Y10" s="28">
        <v>3885.0419999999999</v>
      </c>
      <c r="Z10" s="28">
        <v>2153</v>
      </c>
      <c r="AA10" s="28">
        <v>1127</v>
      </c>
      <c r="AB10" s="32"/>
      <c r="AC10" s="30"/>
    </row>
    <row r="11" spans="1:29" x14ac:dyDescent="0.25">
      <c r="A11" s="21">
        <v>44262</v>
      </c>
      <c r="B11" s="25">
        <v>10</v>
      </c>
      <c r="C11" s="25">
        <v>10</v>
      </c>
      <c r="D11" s="28">
        <v>252446</v>
      </c>
      <c r="E11" s="28">
        <v>252834</v>
      </c>
      <c r="F11" s="28">
        <v>296474</v>
      </c>
      <c r="G11" s="28">
        <v>296152</v>
      </c>
      <c r="H11" s="28">
        <v>220543</v>
      </c>
      <c r="I11" s="28"/>
      <c r="J11" s="28">
        <v>31845</v>
      </c>
      <c r="K11" s="28"/>
      <c r="L11" s="28">
        <v>626387</v>
      </c>
      <c r="M11" s="28">
        <v>2626861</v>
      </c>
      <c r="N11" s="28">
        <v>829056</v>
      </c>
      <c r="O11" s="28">
        <v>352733</v>
      </c>
      <c r="P11" s="28">
        <v>1471374</v>
      </c>
      <c r="Q11" s="28">
        <v>604804</v>
      </c>
      <c r="R11" s="28">
        <v>677</v>
      </c>
      <c r="S11" s="28">
        <v>329530</v>
      </c>
      <c r="T11" s="28">
        <v>30653</v>
      </c>
      <c r="U11" s="28">
        <v>50291</v>
      </c>
      <c r="V11" s="29">
        <v>30453</v>
      </c>
      <c r="W11" s="31">
        <v>487.18400000000003</v>
      </c>
      <c r="X11" s="28">
        <v>889.57500000000005</v>
      </c>
      <c r="Y11" s="28">
        <v>3885.0419999999999</v>
      </c>
      <c r="Z11" s="28">
        <v>2153</v>
      </c>
      <c r="AA11" s="28">
        <v>1130</v>
      </c>
      <c r="AB11" s="32"/>
      <c r="AC11" s="30"/>
    </row>
    <row r="12" spans="1:29" x14ac:dyDescent="0.25">
      <c r="A12" s="21">
        <v>44263</v>
      </c>
      <c r="B12" s="25">
        <v>10</v>
      </c>
      <c r="C12" s="25">
        <v>10</v>
      </c>
      <c r="D12" s="28">
        <v>253336</v>
      </c>
      <c r="E12" s="28">
        <v>253726</v>
      </c>
      <c r="F12" s="28">
        <v>297122</v>
      </c>
      <c r="G12" s="28">
        <v>297799</v>
      </c>
      <c r="H12" s="28">
        <v>220889</v>
      </c>
      <c r="I12" s="28"/>
      <c r="J12" s="28">
        <v>31845</v>
      </c>
      <c r="K12" s="28"/>
      <c r="L12" s="28">
        <v>626613</v>
      </c>
      <c r="M12" s="28">
        <v>2626861</v>
      </c>
      <c r="N12" s="28">
        <v>831112</v>
      </c>
      <c r="O12" s="28">
        <v>352753</v>
      </c>
      <c r="P12" s="28">
        <v>1471374</v>
      </c>
      <c r="Q12" s="28">
        <v>604804</v>
      </c>
      <c r="R12" s="28">
        <v>677</v>
      </c>
      <c r="S12" s="28">
        <v>329530</v>
      </c>
      <c r="T12" s="28">
        <v>30658</v>
      </c>
      <c r="U12" s="28">
        <v>50294</v>
      </c>
      <c r="V12" s="29">
        <v>30453</v>
      </c>
      <c r="W12" s="31">
        <v>487.428</v>
      </c>
      <c r="X12" s="28">
        <v>889.89599999999996</v>
      </c>
      <c r="Y12" s="28">
        <v>3885.0419999999999</v>
      </c>
      <c r="Z12" s="28">
        <v>2153</v>
      </c>
      <c r="AA12" s="28">
        <v>1132</v>
      </c>
      <c r="AB12" s="32"/>
      <c r="AC12" s="30"/>
    </row>
    <row r="13" spans="1:29" x14ac:dyDescent="0.25">
      <c r="A13" s="21">
        <v>44264</v>
      </c>
      <c r="B13" s="25">
        <v>10</v>
      </c>
      <c r="C13" s="25">
        <v>10</v>
      </c>
      <c r="D13" s="28">
        <v>254279</v>
      </c>
      <c r="E13" s="28">
        <v>254670</v>
      </c>
      <c r="F13" s="28">
        <v>298520</v>
      </c>
      <c r="G13" s="28">
        <v>298196</v>
      </c>
      <c r="H13" s="28">
        <v>220926</v>
      </c>
      <c r="I13" s="28"/>
      <c r="J13" s="28">
        <v>31845</v>
      </c>
      <c r="K13" s="28"/>
      <c r="L13" s="28">
        <v>626797</v>
      </c>
      <c r="M13" s="28">
        <v>2626861</v>
      </c>
      <c r="N13" s="28">
        <v>833299</v>
      </c>
      <c r="O13" s="28">
        <v>352774</v>
      </c>
      <c r="P13" s="28">
        <v>1471374</v>
      </c>
      <c r="Q13" s="28">
        <v>604804</v>
      </c>
      <c r="R13" s="28">
        <v>677</v>
      </c>
      <c r="S13" s="28">
        <v>329531</v>
      </c>
      <c r="T13" s="28">
        <v>30668</v>
      </c>
      <c r="U13" s="28">
        <v>50297</v>
      </c>
      <c r="V13" s="29">
        <v>30454</v>
      </c>
      <c r="W13" s="31">
        <v>484.673</v>
      </c>
      <c r="X13" s="28">
        <v>890.14800000000002</v>
      </c>
      <c r="Y13" s="28">
        <v>3885.0419999999999</v>
      </c>
      <c r="Z13" s="28">
        <v>2153</v>
      </c>
      <c r="AA13" s="28">
        <v>1136</v>
      </c>
      <c r="AB13" s="32"/>
      <c r="AC13" s="30"/>
    </row>
    <row r="14" spans="1:29" x14ac:dyDescent="0.25">
      <c r="A14" s="21">
        <v>44265</v>
      </c>
      <c r="B14" s="25">
        <v>10</v>
      </c>
      <c r="C14" s="25">
        <v>10</v>
      </c>
      <c r="D14" s="28">
        <v>255287</v>
      </c>
      <c r="E14" s="28">
        <v>255680</v>
      </c>
      <c r="F14" s="28">
        <v>298916</v>
      </c>
      <c r="G14" s="28">
        <v>298591</v>
      </c>
      <c r="H14" s="28">
        <v>220951</v>
      </c>
      <c r="I14" s="28"/>
      <c r="J14" s="28">
        <v>31845</v>
      </c>
      <c r="K14" s="28"/>
      <c r="L14" s="28">
        <v>627002</v>
      </c>
      <c r="M14" s="28">
        <v>2626870</v>
      </c>
      <c r="N14" s="28">
        <v>835327</v>
      </c>
      <c r="O14" s="28">
        <v>352801</v>
      </c>
      <c r="P14" s="28">
        <v>1471374</v>
      </c>
      <c r="Q14" s="28">
        <v>604804</v>
      </c>
      <c r="R14" s="28">
        <v>677</v>
      </c>
      <c r="S14" s="28">
        <v>329536</v>
      </c>
      <c r="T14" s="28">
        <v>30682</v>
      </c>
      <c r="U14" s="28">
        <v>50301</v>
      </c>
      <c r="V14" s="29">
        <v>30454</v>
      </c>
      <c r="W14" s="31">
        <v>487.90100000000001</v>
      </c>
      <c r="X14" s="28">
        <v>890.28899999999999</v>
      </c>
      <c r="Y14" s="28">
        <v>3885.0419999999999</v>
      </c>
      <c r="Z14" s="28">
        <v>2153</v>
      </c>
      <c r="AA14" s="28">
        <v>1138</v>
      </c>
      <c r="AB14" s="32"/>
      <c r="AC14" s="30"/>
    </row>
    <row r="15" spans="1:29" x14ac:dyDescent="0.25">
      <c r="A15" s="21">
        <v>44266</v>
      </c>
      <c r="B15" s="25">
        <v>10</v>
      </c>
      <c r="C15" s="25">
        <v>10</v>
      </c>
      <c r="D15" s="28">
        <v>256245</v>
      </c>
      <c r="E15" s="28">
        <v>256640</v>
      </c>
      <c r="F15" s="28">
        <v>299265</v>
      </c>
      <c r="G15" s="28">
        <v>298940</v>
      </c>
      <c r="H15" s="28">
        <v>220966</v>
      </c>
      <c r="I15" s="28"/>
      <c r="J15" s="28">
        <v>31845</v>
      </c>
      <c r="K15" s="28"/>
      <c r="L15" s="28">
        <v>627207</v>
      </c>
      <c r="M15" s="28">
        <v>2626871</v>
      </c>
      <c r="N15" s="28">
        <v>837419</v>
      </c>
      <c r="O15" s="28">
        <v>352825</v>
      </c>
      <c r="P15" s="28">
        <v>1471374</v>
      </c>
      <c r="Q15" s="28">
        <v>604804</v>
      </c>
      <c r="R15" s="28">
        <v>677</v>
      </c>
      <c r="S15" s="28">
        <v>329544</v>
      </c>
      <c r="T15" s="28">
        <v>30698</v>
      </c>
      <c r="U15" s="28">
        <v>50304</v>
      </c>
      <c r="V15" s="29">
        <v>30454</v>
      </c>
      <c r="W15" s="31">
        <v>488.13499999999999</v>
      </c>
      <c r="X15" s="28">
        <v>890.53499999999997</v>
      </c>
      <c r="Y15" s="28">
        <v>3885.0419999999999</v>
      </c>
      <c r="Z15" s="28">
        <v>2153</v>
      </c>
      <c r="AA15" s="28">
        <v>1143</v>
      </c>
      <c r="AB15" s="32"/>
      <c r="AC15" s="30"/>
    </row>
    <row r="16" spans="1:29" x14ac:dyDescent="0.25">
      <c r="A16" s="21">
        <v>44267</v>
      </c>
      <c r="B16" s="25">
        <v>10</v>
      </c>
      <c r="C16" s="25">
        <v>10</v>
      </c>
      <c r="D16" s="28">
        <v>257180</v>
      </c>
      <c r="E16" s="28">
        <v>257577</v>
      </c>
      <c r="F16" s="28">
        <v>299608</v>
      </c>
      <c r="G16" s="28">
        <v>299283</v>
      </c>
      <c r="H16" s="28">
        <v>220978</v>
      </c>
      <c r="I16" s="28"/>
      <c r="J16" s="28">
        <v>31845</v>
      </c>
      <c r="K16" s="28"/>
      <c r="L16" s="28">
        <v>627412</v>
      </c>
      <c r="M16" s="28">
        <v>2626871</v>
      </c>
      <c r="N16" s="28">
        <v>839616</v>
      </c>
      <c r="O16" s="28">
        <v>352864</v>
      </c>
      <c r="P16" s="28">
        <v>1471374</v>
      </c>
      <c r="Q16" s="28">
        <v>604804</v>
      </c>
      <c r="R16" s="28">
        <v>677</v>
      </c>
      <c r="S16" s="28">
        <v>329552</v>
      </c>
      <c r="T16" s="28">
        <v>30721</v>
      </c>
      <c r="U16" s="28">
        <v>50307</v>
      </c>
      <c r="V16" s="29">
        <v>30454</v>
      </c>
      <c r="W16" s="31">
        <v>488.36900000000003</v>
      </c>
      <c r="X16" s="28">
        <v>890.74900000000002</v>
      </c>
      <c r="Y16" s="28">
        <v>3885.0419999999999</v>
      </c>
      <c r="Z16" s="28">
        <v>2153</v>
      </c>
      <c r="AA16" s="28">
        <v>1146</v>
      </c>
      <c r="AB16" s="32"/>
      <c r="AC16" s="30"/>
    </row>
    <row r="17" spans="1:29" x14ac:dyDescent="0.25">
      <c r="A17" s="21">
        <v>44268</v>
      </c>
      <c r="B17" s="25">
        <v>10</v>
      </c>
      <c r="C17" s="25">
        <v>10</v>
      </c>
      <c r="D17" s="28">
        <v>258366</v>
      </c>
      <c r="E17" s="28">
        <v>258765</v>
      </c>
      <c r="F17" s="28">
        <v>299930</v>
      </c>
      <c r="G17" s="28">
        <v>299604</v>
      </c>
      <c r="H17" s="28">
        <v>220987</v>
      </c>
      <c r="I17" s="28"/>
      <c r="J17" s="28">
        <v>31845</v>
      </c>
      <c r="K17" s="28"/>
      <c r="L17" s="28">
        <v>627599</v>
      </c>
      <c r="M17" s="28">
        <v>2626918</v>
      </c>
      <c r="N17" s="28">
        <v>841587</v>
      </c>
      <c r="O17" s="28">
        <v>352886</v>
      </c>
      <c r="P17" s="28">
        <v>1471374</v>
      </c>
      <c r="Q17" s="28">
        <v>604804</v>
      </c>
      <c r="R17" s="28">
        <v>677</v>
      </c>
      <c r="S17" s="28">
        <v>329564</v>
      </c>
      <c r="T17" s="28">
        <v>30733</v>
      </c>
      <c r="U17" s="28">
        <v>50309</v>
      </c>
      <c r="V17" s="29">
        <v>30454</v>
      </c>
      <c r="W17" s="31">
        <v>488.41800000000001</v>
      </c>
      <c r="X17" s="28">
        <v>890.93899999999996</v>
      </c>
      <c r="Y17" s="28">
        <v>3885.0419999999999</v>
      </c>
      <c r="Z17" s="28">
        <v>2153</v>
      </c>
      <c r="AA17" s="28">
        <v>1149</v>
      </c>
      <c r="AB17" s="32"/>
      <c r="AC17" s="30"/>
    </row>
    <row r="18" spans="1:29" x14ac:dyDescent="0.25">
      <c r="A18" s="21">
        <v>44269</v>
      </c>
      <c r="B18" s="25">
        <v>10</v>
      </c>
      <c r="C18" s="25">
        <v>10</v>
      </c>
      <c r="D18" s="28">
        <v>259308</v>
      </c>
      <c r="E18" s="28">
        <v>259709</v>
      </c>
      <c r="F18" s="28">
        <v>300281</v>
      </c>
      <c r="G18" s="28">
        <v>299955</v>
      </c>
      <c r="H18" s="28">
        <v>221001</v>
      </c>
      <c r="I18" s="28"/>
      <c r="J18" s="28">
        <v>31845</v>
      </c>
      <c r="K18" s="28"/>
      <c r="L18" s="28">
        <v>627801</v>
      </c>
      <c r="M18" s="28">
        <v>2626918</v>
      </c>
      <c r="N18" s="28">
        <v>843634</v>
      </c>
      <c r="O18" s="28">
        <v>352900</v>
      </c>
      <c r="P18" s="28">
        <v>1471374</v>
      </c>
      <c r="Q18" s="28">
        <v>604804</v>
      </c>
      <c r="R18" s="28">
        <v>677</v>
      </c>
      <c r="S18" s="28">
        <v>329564</v>
      </c>
      <c r="T18" s="28">
        <v>30737</v>
      </c>
      <c r="U18" s="28">
        <v>50310</v>
      </c>
      <c r="V18" s="29">
        <v>30454</v>
      </c>
      <c r="W18" s="31">
        <v>488.41800000000001</v>
      </c>
      <c r="X18" s="28">
        <v>891.17200000000003</v>
      </c>
      <c r="Y18" s="28">
        <v>3885.0419999999999</v>
      </c>
      <c r="Z18" s="28">
        <v>2153</v>
      </c>
      <c r="AA18" s="28">
        <v>1153</v>
      </c>
      <c r="AB18" s="32"/>
      <c r="AC18" s="30"/>
    </row>
    <row r="19" spans="1:29" x14ac:dyDescent="0.25">
      <c r="A19" s="21">
        <v>44270</v>
      </c>
      <c r="B19" s="25">
        <v>10</v>
      </c>
      <c r="C19" s="25">
        <v>10</v>
      </c>
      <c r="D19" s="28">
        <v>260224</v>
      </c>
      <c r="E19" s="28">
        <v>260626</v>
      </c>
      <c r="F19" s="28">
        <v>300613</v>
      </c>
      <c r="G19" s="28">
        <v>300287</v>
      </c>
      <c r="H19" s="28">
        <v>221016</v>
      </c>
      <c r="I19" s="28"/>
      <c r="J19" s="28">
        <v>31845</v>
      </c>
      <c r="K19" s="28"/>
      <c r="L19" s="28">
        <v>627969</v>
      </c>
      <c r="M19" s="28">
        <v>2626918</v>
      </c>
      <c r="N19" s="28">
        <v>845463</v>
      </c>
      <c r="O19" s="28">
        <v>352915</v>
      </c>
      <c r="P19" s="28">
        <v>1471374</v>
      </c>
      <c r="Q19" s="28">
        <v>604804</v>
      </c>
      <c r="R19" s="28">
        <v>677</v>
      </c>
      <c r="S19" s="28">
        <v>329564</v>
      </c>
      <c r="T19" s="28">
        <v>30740</v>
      </c>
      <c r="U19" s="28">
        <v>50312</v>
      </c>
      <c r="V19" s="29">
        <v>30454</v>
      </c>
      <c r="W19" s="31">
        <v>488.41800000000001</v>
      </c>
      <c r="X19" s="28">
        <v>891.36699999999996</v>
      </c>
      <c r="Y19" s="28">
        <v>3885.0419999999999</v>
      </c>
      <c r="Z19" s="28">
        <v>2153</v>
      </c>
      <c r="AA19" s="28">
        <v>1158</v>
      </c>
      <c r="AB19" s="32"/>
      <c r="AC19" s="30"/>
    </row>
    <row r="20" spans="1:29" x14ac:dyDescent="0.25">
      <c r="A20" s="21">
        <v>44271</v>
      </c>
      <c r="B20" s="25">
        <v>10</v>
      </c>
      <c r="C20" s="25">
        <v>10</v>
      </c>
      <c r="D20" s="28">
        <v>261149</v>
      </c>
      <c r="E20" s="28">
        <v>261552</v>
      </c>
      <c r="F20" s="28">
        <v>301014</v>
      </c>
      <c r="G20" s="28">
        <v>300688</v>
      </c>
      <c r="H20" s="28">
        <v>221042</v>
      </c>
      <c r="I20" s="28"/>
      <c r="J20" s="28">
        <v>31845</v>
      </c>
      <c r="K20" s="28"/>
      <c r="L20" s="28">
        <v>628174</v>
      </c>
      <c r="M20" s="28">
        <v>2626918</v>
      </c>
      <c r="N20" s="28">
        <v>847582</v>
      </c>
      <c r="O20" s="28">
        <v>352945</v>
      </c>
      <c r="P20" s="28">
        <v>1471374</v>
      </c>
      <c r="Q20" s="28">
        <v>604804</v>
      </c>
      <c r="R20" s="28">
        <v>677</v>
      </c>
      <c r="S20" s="28">
        <v>329567</v>
      </c>
      <c r="T20" s="28">
        <v>30752</v>
      </c>
      <c r="U20" s="28">
        <v>50315</v>
      </c>
      <c r="V20" s="29">
        <v>30458</v>
      </c>
      <c r="W20" s="31">
        <v>488.43099999999998</v>
      </c>
      <c r="X20" s="28">
        <v>891.58100000000002</v>
      </c>
      <c r="Y20" s="28">
        <v>3885.0419999999999</v>
      </c>
      <c r="Z20" s="28">
        <v>2153</v>
      </c>
      <c r="AA20" s="28">
        <v>1163</v>
      </c>
      <c r="AB20" s="32"/>
      <c r="AC20" s="30"/>
    </row>
    <row r="21" spans="1:29" x14ac:dyDescent="0.25">
      <c r="A21" s="21">
        <v>44272</v>
      </c>
      <c r="B21" s="25">
        <v>10</v>
      </c>
      <c r="C21" s="25">
        <v>10</v>
      </c>
      <c r="D21" s="28">
        <v>262686</v>
      </c>
      <c r="E21" s="28">
        <v>263092</v>
      </c>
      <c r="F21" s="28">
        <v>301833</v>
      </c>
      <c r="G21" s="28">
        <v>301506</v>
      </c>
      <c r="H21" s="28">
        <v>221165</v>
      </c>
      <c r="I21" s="28"/>
      <c r="J21" s="28">
        <v>31845</v>
      </c>
      <c r="K21" s="28"/>
      <c r="L21" s="28">
        <v>628379</v>
      </c>
      <c r="M21" s="28">
        <v>2627029</v>
      </c>
      <c r="N21" s="28">
        <v>849436</v>
      </c>
      <c r="O21" s="28">
        <v>352971</v>
      </c>
      <c r="P21" s="28">
        <v>1471374</v>
      </c>
      <c r="Q21" s="28">
        <v>604804</v>
      </c>
      <c r="R21" s="28">
        <v>677</v>
      </c>
      <c r="S21" s="28">
        <v>329577</v>
      </c>
      <c r="T21" s="28">
        <v>30767</v>
      </c>
      <c r="U21" s="28">
        <v>50318</v>
      </c>
      <c r="V21" s="29">
        <v>30458</v>
      </c>
      <c r="W21" s="31">
        <v>488.43099999999998</v>
      </c>
      <c r="X21" s="28">
        <v>891.76599999999996</v>
      </c>
      <c r="Y21" s="28">
        <v>3885.0419999999999</v>
      </c>
      <c r="Z21" s="28">
        <v>2153</v>
      </c>
      <c r="AA21" s="28">
        <v>1166</v>
      </c>
      <c r="AB21" s="30"/>
      <c r="AC21" s="30"/>
    </row>
    <row r="22" spans="1:29" x14ac:dyDescent="0.25">
      <c r="A22" s="21">
        <v>44273</v>
      </c>
      <c r="B22" s="25">
        <v>10</v>
      </c>
      <c r="C22" s="25">
        <v>10</v>
      </c>
      <c r="D22" s="28">
        <v>263674</v>
      </c>
      <c r="E22" s="28">
        <v>264082</v>
      </c>
      <c r="F22" s="28">
        <v>302205</v>
      </c>
      <c r="G22" s="28">
        <v>301878</v>
      </c>
      <c r="H22" s="28">
        <v>221183</v>
      </c>
      <c r="I22" s="28"/>
      <c r="J22" s="28">
        <v>31845</v>
      </c>
      <c r="K22" s="28"/>
      <c r="L22" s="28">
        <v>628584</v>
      </c>
      <c r="M22" s="28">
        <v>2627029</v>
      </c>
      <c r="N22" s="28">
        <v>851551</v>
      </c>
      <c r="O22" s="28">
        <v>352999</v>
      </c>
      <c r="P22" s="28">
        <v>1471374</v>
      </c>
      <c r="Q22" s="28">
        <v>604804</v>
      </c>
      <c r="R22" s="28">
        <v>677</v>
      </c>
      <c r="S22" s="28">
        <v>329582</v>
      </c>
      <c r="T22" s="28">
        <v>30779</v>
      </c>
      <c r="U22" s="28">
        <v>50321</v>
      </c>
      <c r="V22" s="29">
        <v>30458</v>
      </c>
      <c r="W22" s="31">
        <v>488.43099999999998</v>
      </c>
      <c r="X22" s="28">
        <v>892.00699999999995</v>
      </c>
      <c r="Y22" s="28">
        <v>3885.0419999999999</v>
      </c>
      <c r="Z22" s="28">
        <v>2153</v>
      </c>
      <c r="AA22" s="28">
        <v>1170</v>
      </c>
      <c r="AB22" s="30"/>
      <c r="AC22" s="30"/>
    </row>
    <row r="23" spans="1:29" x14ac:dyDescent="0.25">
      <c r="A23" s="21">
        <v>44274</v>
      </c>
      <c r="B23" s="25">
        <v>10</v>
      </c>
      <c r="C23" s="25">
        <v>10</v>
      </c>
      <c r="D23" s="28">
        <v>264633</v>
      </c>
      <c r="E23" s="28">
        <v>265042</v>
      </c>
      <c r="F23" s="28">
        <v>302552</v>
      </c>
      <c r="G23" s="28">
        <v>302225</v>
      </c>
      <c r="H23" s="28">
        <v>221199</v>
      </c>
      <c r="I23" s="28"/>
      <c r="J23" s="28">
        <v>31845</v>
      </c>
      <c r="K23" s="28"/>
      <c r="L23" s="28">
        <v>628789</v>
      </c>
      <c r="M23" s="28">
        <v>2627029</v>
      </c>
      <c r="N23" s="28">
        <v>853552</v>
      </c>
      <c r="O23" s="28">
        <v>353032</v>
      </c>
      <c r="P23" s="28">
        <v>1471374</v>
      </c>
      <c r="Q23" s="28">
        <v>604804</v>
      </c>
      <c r="R23" s="28">
        <v>677</v>
      </c>
      <c r="S23" s="28">
        <v>329589</v>
      </c>
      <c r="T23" s="28">
        <v>30792</v>
      </c>
      <c r="U23" s="28">
        <v>50327</v>
      </c>
      <c r="V23" s="29">
        <v>30459</v>
      </c>
      <c r="W23" s="31">
        <v>488.43099999999998</v>
      </c>
      <c r="X23" s="28">
        <v>892.19299999999998</v>
      </c>
      <c r="Y23" s="28">
        <v>3885.0419999999999</v>
      </c>
      <c r="Z23" s="28">
        <v>2153</v>
      </c>
      <c r="AA23" s="28">
        <v>1172</v>
      </c>
      <c r="AB23" s="30"/>
      <c r="AC23" s="30"/>
    </row>
    <row r="24" spans="1:29" x14ac:dyDescent="0.25">
      <c r="A24" s="21">
        <v>44275</v>
      </c>
      <c r="B24" s="25">
        <v>10</v>
      </c>
      <c r="C24" s="25">
        <v>10</v>
      </c>
      <c r="D24" s="28">
        <v>265597</v>
      </c>
      <c r="E24" s="28">
        <v>266008</v>
      </c>
      <c r="F24" s="28">
        <v>303306</v>
      </c>
      <c r="G24" s="28">
        <v>302977</v>
      </c>
      <c r="H24" s="28">
        <v>221298</v>
      </c>
      <c r="I24" s="28"/>
      <c r="J24" s="28">
        <v>31845</v>
      </c>
      <c r="K24" s="28"/>
      <c r="L24" s="28">
        <v>628994</v>
      </c>
      <c r="M24" s="28">
        <v>2627029</v>
      </c>
      <c r="N24" s="28">
        <v>855614</v>
      </c>
      <c r="O24" s="28">
        <v>353049</v>
      </c>
      <c r="P24" s="28">
        <v>1471374</v>
      </c>
      <c r="Q24" s="28">
        <v>604804</v>
      </c>
      <c r="R24" s="28">
        <v>677</v>
      </c>
      <c r="S24" s="28">
        <v>329594</v>
      </c>
      <c r="T24" s="28">
        <v>30802</v>
      </c>
      <c r="U24" s="28">
        <v>50325</v>
      </c>
      <c r="V24" s="29">
        <v>30459</v>
      </c>
      <c r="W24" s="31">
        <v>488.43099999999998</v>
      </c>
      <c r="X24" s="28">
        <v>892.41</v>
      </c>
      <c r="Y24" s="28">
        <v>3885.0419999999999</v>
      </c>
      <c r="Z24" s="28">
        <v>2153</v>
      </c>
      <c r="AA24" s="28">
        <v>1176</v>
      </c>
      <c r="AB24" s="30"/>
      <c r="AC24" s="30"/>
    </row>
    <row r="25" spans="1:29" x14ac:dyDescent="0.25">
      <c r="A25" s="21">
        <v>44276</v>
      </c>
      <c r="B25" s="25">
        <v>10</v>
      </c>
      <c r="C25" s="25">
        <v>10</v>
      </c>
      <c r="D25" s="28">
        <v>266582</v>
      </c>
      <c r="E25" s="28">
        <v>266995</v>
      </c>
      <c r="F25" s="28">
        <v>303632</v>
      </c>
      <c r="G25" s="28">
        <v>303304</v>
      </c>
      <c r="H25" s="28">
        <v>221309</v>
      </c>
      <c r="I25" s="28"/>
      <c r="J25" s="28">
        <v>31845</v>
      </c>
      <c r="K25" s="28"/>
      <c r="L25" s="28">
        <v>629199</v>
      </c>
      <c r="M25" s="28">
        <v>2627029</v>
      </c>
      <c r="N25" s="28">
        <v>857600</v>
      </c>
      <c r="O25" s="28">
        <v>353065</v>
      </c>
      <c r="P25" s="28">
        <v>1471374</v>
      </c>
      <c r="Q25" s="28">
        <v>604804</v>
      </c>
      <c r="R25" s="28">
        <v>677</v>
      </c>
      <c r="S25" s="28">
        <v>329594</v>
      </c>
      <c r="T25" s="28">
        <v>30805</v>
      </c>
      <c r="U25" s="28">
        <v>50327</v>
      </c>
      <c r="V25" s="29">
        <v>30459</v>
      </c>
      <c r="W25" s="31">
        <v>488.43099999999998</v>
      </c>
      <c r="X25" s="28">
        <v>892.60199999999998</v>
      </c>
      <c r="Y25" s="28">
        <v>3885.0419999999999</v>
      </c>
      <c r="Z25" s="28">
        <v>2153</v>
      </c>
      <c r="AA25" s="28">
        <v>1179</v>
      </c>
      <c r="AB25" s="30"/>
      <c r="AC25" s="30"/>
    </row>
    <row r="26" spans="1:29" x14ac:dyDescent="0.25">
      <c r="A26" s="21">
        <v>44277</v>
      </c>
      <c r="B26" s="25">
        <v>10</v>
      </c>
      <c r="C26" s="25">
        <v>10</v>
      </c>
      <c r="D26" s="28">
        <v>267525</v>
      </c>
      <c r="E26" s="28">
        <v>267940</v>
      </c>
      <c r="F26" s="28">
        <v>303987</v>
      </c>
      <c r="G26" s="28">
        <v>303658</v>
      </c>
      <c r="H26" s="28">
        <v>221326</v>
      </c>
      <c r="I26" s="28"/>
      <c r="J26" s="28">
        <v>31845</v>
      </c>
      <c r="K26" s="28"/>
      <c r="L26" s="28">
        <v>629402</v>
      </c>
      <c r="M26" s="28">
        <v>2627029</v>
      </c>
      <c r="N26" s="28">
        <v>859491</v>
      </c>
      <c r="O26" s="28">
        <v>353081</v>
      </c>
      <c r="P26" s="28">
        <v>1471374</v>
      </c>
      <c r="Q26" s="28">
        <v>604804</v>
      </c>
      <c r="R26" s="28">
        <v>677</v>
      </c>
      <c r="S26" s="28">
        <v>329594</v>
      </c>
      <c r="T26" s="28">
        <v>30807</v>
      </c>
      <c r="U26" s="28">
        <v>50328</v>
      </c>
      <c r="V26" s="29">
        <v>30464</v>
      </c>
      <c r="W26" s="31">
        <v>488.43099999999998</v>
      </c>
      <c r="X26" s="28">
        <v>892.83100000000002</v>
      </c>
      <c r="Y26" s="28">
        <v>3885.0419999999999</v>
      </c>
      <c r="Z26" s="28">
        <v>2153</v>
      </c>
      <c r="AA26" s="28">
        <v>1184</v>
      </c>
      <c r="AB26" s="30"/>
      <c r="AC26" s="30"/>
    </row>
    <row r="27" spans="1:29" x14ac:dyDescent="0.25">
      <c r="A27" s="21">
        <v>44278</v>
      </c>
      <c r="B27" s="25">
        <v>10</v>
      </c>
      <c r="C27" s="25">
        <v>10</v>
      </c>
      <c r="D27" s="28">
        <v>268624</v>
      </c>
      <c r="E27" s="28">
        <v>269041</v>
      </c>
      <c r="F27" s="28">
        <v>304464</v>
      </c>
      <c r="G27" s="28">
        <v>304135</v>
      </c>
      <c r="H27" s="28">
        <v>221355</v>
      </c>
      <c r="I27" s="28"/>
      <c r="J27" s="28">
        <v>31845</v>
      </c>
      <c r="K27" s="28"/>
      <c r="L27" s="28">
        <v>629607</v>
      </c>
      <c r="M27" s="28">
        <v>2627029</v>
      </c>
      <c r="N27" s="28">
        <v>861430</v>
      </c>
      <c r="O27" s="28">
        <v>353115</v>
      </c>
      <c r="P27" s="28">
        <v>1471374</v>
      </c>
      <c r="Q27" s="28">
        <v>604804</v>
      </c>
      <c r="R27" s="28">
        <v>677</v>
      </c>
      <c r="S27" s="28">
        <v>329595</v>
      </c>
      <c r="T27" s="28">
        <v>30814</v>
      </c>
      <c r="U27" s="28">
        <v>50332</v>
      </c>
      <c r="V27" s="29">
        <v>30464</v>
      </c>
      <c r="W27" s="31">
        <v>488.43099999999998</v>
      </c>
      <c r="X27" s="28">
        <v>892.82399999999996</v>
      </c>
      <c r="Y27" s="28">
        <v>3885.0419999999999</v>
      </c>
      <c r="Z27" s="28">
        <v>2153</v>
      </c>
      <c r="AA27" s="28">
        <v>1187</v>
      </c>
      <c r="AB27" s="30"/>
      <c r="AC27" s="30"/>
    </row>
    <row r="28" spans="1:29" x14ac:dyDescent="0.25">
      <c r="A28" s="21">
        <v>44279</v>
      </c>
      <c r="B28" s="25">
        <v>10</v>
      </c>
      <c r="C28" s="25">
        <v>10</v>
      </c>
      <c r="D28" s="28">
        <v>269536</v>
      </c>
      <c r="E28" s="28">
        <v>269955</v>
      </c>
      <c r="F28" s="28">
        <v>304854</v>
      </c>
      <c r="G28" s="28">
        <v>304524</v>
      </c>
      <c r="H28" s="28">
        <v>221385</v>
      </c>
      <c r="I28" s="28"/>
      <c r="J28" s="28">
        <v>31845</v>
      </c>
      <c r="K28" s="28"/>
      <c r="L28" s="28">
        <v>629983</v>
      </c>
      <c r="M28" s="28">
        <v>2627037</v>
      </c>
      <c r="N28" s="28">
        <v>863265</v>
      </c>
      <c r="O28" s="28">
        <v>353128</v>
      </c>
      <c r="P28" s="28">
        <v>1471374</v>
      </c>
      <c r="Q28" s="28">
        <v>604804</v>
      </c>
      <c r="R28" s="28">
        <v>677</v>
      </c>
      <c r="S28" s="28">
        <v>329599</v>
      </c>
      <c r="T28" s="28">
        <v>30825</v>
      </c>
      <c r="U28" s="28">
        <v>50335</v>
      </c>
      <c r="V28" s="29">
        <v>30464</v>
      </c>
      <c r="W28" s="31">
        <v>488.43099999999998</v>
      </c>
      <c r="X28" s="28">
        <v>893.03099999999995</v>
      </c>
      <c r="Y28" s="28">
        <v>3885.06</v>
      </c>
      <c r="Z28" s="28">
        <v>2153</v>
      </c>
      <c r="AA28" s="28">
        <v>1190</v>
      </c>
      <c r="AB28" s="30"/>
      <c r="AC28" s="30"/>
    </row>
    <row r="29" spans="1:29" x14ac:dyDescent="0.25">
      <c r="A29" s="21">
        <v>44280</v>
      </c>
      <c r="B29" s="25">
        <v>10</v>
      </c>
      <c r="C29" s="25">
        <v>10</v>
      </c>
      <c r="D29" s="28">
        <v>270521</v>
      </c>
      <c r="E29" s="28">
        <v>270940</v>
      </c>
      <c r="F29" s="28">
        <v>305254</v>
      </c>
      <c r="G29" s="28">
        <v>304924</v>
      </c>
      <c r="H29" s="28">
        <v>221385</v>
      </c>
      <c r="I29" s="28"/>
      <c r="J29" s="28">
        <v>31845</v>
      </c>
      <c r="K29" s="28"/>
      <c r="L29" s="28">
        <v>630188</v>
      </c>
      <c r="M29" s="28">
        <v>2627037</v>
      </c>
      <c r="N29" s="28">
        <v>865163</v>
      </c>
      <c r="O29" s="28">
        <v>353157</v>
      </c>
      <c r="P29" s="28">
        <v>1471374</v>
      </c>
      <c r="Q29" s="28">
        <v>604805</v>
      </c>
      <c r="R29" s="28">
        <v>677</v>
      </c>
      <c r="S29" s="28">
        <v>329602</v>
      </c>
      <c r="T29" s="28">
        <v>30840</v>
      </c>
      <c r="U29" s="28">
        <v>50338</v>
      </c>
      <c r="V29" s="29">
        <v>30465</v>
      </c>
      <c r="W29" s="31">
        <v>488.43099999999998</v>
      </c>
      <c r="X29" s="28">
        <v>893.23299999999995</v>
      </c>
      <c r="Y29" s="28">
        <v>3885.06</v>
      </c>
      <c r="Z29" s="28">
        <v>2153</v>
      </c>
      <c r="AA29" s="28">
        <v>1194</v>
      </c>
      <c r="AB29" s="30"/>
      <c r="AC29" s="30"/>
    </row>
    <row r="30" spans="1:29" x14ac:dyDescent="0.25">
      <c r="A30" s="21">
        <v>44281</v>
      </c>
      <c r="B30" s="25">
        <v>10</v>
      </c>
      <c r="C30" s="25">
        <v>10</v>
      </c>
      <c r="D30" s="28">
        <v>271506</v>
      </c>
      <c r="E30" s="28">
        <v>271928</v>
      </c>
      <c r="F30" s="28">
        <v>305655</v>
      </c>
      <c r="G30" s="28">
        <v>305325</v>
      </c>
      <c r="H30" s="28">
        <v>221399</v>
      </c>
      <c r="I30" s="28"/>
      <c r="J30" s="28">
        <v>31845</v>
      </c>
      <c r="K30" s="28"/>
      <c r="L30" s="28">
        <v>630393</v>
      </c>
      <c r="M30" s="28">
        <v>2627037</v>
      </c>
      <c r="N30" s="28">
        <v>867062</v>
      </c>
      <c r="O30" s="28">
        <v>353186</v>
      </c>
      <c r="P30" s="28">
        <v>1471374</v>
      </c>
      <c r="Q30" s="28">
        <v>604806</v>
      </c>
      <c r="R30" s="28">
        <v>677</v>
      </c>
      <c r="S30" s="28">
        <v>329605</v>
      </c>
      <c r="T30" s="28">
        <v>30856</v>
      </c>
      <c r="U30" s="28">
        <v>50341</v>
      </c>
      <c r="V30" s="29">
        <v>30465</v>
      </c>
      <c r="W30" s="31">
        <v>488.435</v>
      </c>
      <c r="X30" s="28">
        <v>893.31899999999996</v>
      </c>
      <c r="Y30" s="28">
        <v>3885.06</v>
      </c>
      <c r="Z30" s="28">
        <v>2153</v>
      </c>
      <c r="AA30" s="28">
        <v>1198</v>
      </c>
      <c r="AB30" s="30"/>
      <c r="AC30" s="30"/>
    </row>
    <row r="31" spans="1:29" x14ac:dyDescent="0.25">
      <c r="A31" s="21">
        <v>44282</v>
      </c>
      <c r="B31" s="25">
        <v>10</v>
      </c>
      <c r="C31" s="25">
        <v>10</v>
      </c>
      <c r="D31" s="28">
        <v>272456</v>
      </c>
      <c r="E31" s="28">
        <v>272880</v>
      </c>
      <c r="F31" s="28">
        <v>305980</v>
      </c>
      <c r="G31" s="28">
        <v>305649</v>
      </c>
      <c r="H31" s="28">
        <v>221443</v>
      </c>
      <c r="I31" s="28"/>
      <c r="J31" s="28">
        <v>31845</v>
      </c>
      <c r="K31" s="28"/>
      <c r="L31" s="28">
        <v>630598</v>
      </c>
      <c r="M31" s="28">
        <v>2627037</v>
      </c>
      <c r="N31" s="28">
        <v>869117</v>
      </c>
      <c r="O31" s="28">
        <v>353212</v>
      </c>
      <c r="P31" s="28">
        <v>1471374</v>
      </c>
      <c r="Q31" s="28">
        <v>604806</v>
      </c>
      <c r="R31" s="28">
        <v>677</v>
      </c>
      <c r="S31" s="28">
        <v>329611</v>
      </c>
      <c r="T31" s="28">
        <v>30877</v>
      </c>
      <c r="U31" s="28">
        <v>50343</v>
      </c>
      <c r="V31" s="29">
        <v>30465</v>
      </c>
      <c r="W31" s="31">
        <v>488.435</v>
      </c>
      <c r="X31" s="28">
        <v>893.37400000000002</v>
      </c>
      <c r="Y31" s="28">
        <v>3885.0990000000002</v>
      </c>
      <c r="Z31" s="28">
        <v>2153</v>
      </c>
      <c r="AA31" s="28">
        <v>1203</v>
      </c>
      <c r="AB31" s="30"/>
      <c r="AC31" s="30"/>
    </row>
    <row r="32" spans="1:29" x14ac:dyDescent="0.25">
      <c r="A32" s="21">
        <v>44283</v>
      </c>
      <c r="B32" s="25">
        <v>10</v>
      </c>
      <c r="C32" s="25">
        <v>10</v>
      </c>
      <c r="D32" s="28">
        <v>273362</v>
      </c>
      <c r="E32" s="28">
        <v>273787</v>
      </c>
      <c r="F32" s="28">
        <v>306311</v>
      </c>
      <c r="G32" s="28">
        <v>305980</v>
      </c>
      <c r="H32" s="28">
        <v>221462</v>
      </c>
      <c r="I32" s="28"/>
      <c r="J32" s="28">
        <v>31845</v>
      </c>
      <c r="K32" s="28"/>
      <c r="L32" s="28">
        <v>630803</v>
      </c>
      <c r="M32" s="28">
        <v>2627037</v>
      </c>
      <c r="N32" s="28">
        <v>870791</v>
      </c>
      <c r="O32" s="28">
        <v>353225</v>
      </c>
      <c r="P32" s="28">
        <v>1471374</v>
      </c>
      <c r="Q32" s="28">
        <v>604806</v>
      </c>
      <c r="R32" s="28">
        <v>677</v>
      </c>
      <c r="S32" s="28">
        <v>239614</v>
      </c>
      <c r="T32" s="28">
        <v>30889</v>
      </c>
      <c r="U32" s="28">
        <v>50345</v>
      </c>
      <c r="V32" s="29">
        <v>30465</v>
      </c>
      <c r="W32" s="31">
        <v>488.435</v>
      </c>
      <c r="X32" s="28">
        <v>893.39200000000005</v>
      </c>
      <c r="Y32" s="28">
        <v>3885.0990000000002</v>
      </c>
      <c r="Z32" s="28">
        <v>2153</v>
      </c>
      <c r="AA32" s="28">
        <v>1205</v>
      </c>
      <c r="AB32" s="30"/>
      <c r="AC32" s="30"/>
    </row>
    <row r="33" spans="1:27" x14ac:dyDescent="0.25">
      <c r="A33" s="21">
        <v>44284</v>
      </c>
      <c r="B33" s="25">
        <v>10</v>
      </c>
      <c r="C33" s="25">
        <v>10</v>
      </c>
      <c r="D33" s="28">
        <v>274397</v>
      </c>
      <c r="E33" s="28">
        <v>274824</v>
      </c>
      <c r="F33" s="28">
        <v>306653</v>
      </c>
      <c r="G33" s="28">
        <v>306321</v>
      </c>
      <c r="H33" s="28">
        <v>221476</v>
      </c>
      <c r="I33" s="28"/>
      <c r="J33" s="28">
        <v>31845</v>
      </c>
      <c r="K33" s="28"/>
      <c r="L33" s="28">
        <v>631008</v>
      </c>
      <c r="M33" s="28">
        <v>2627037</v>
      </c>
      <c r="N33" s="28">
        <v>872646</v>
      </c>
      <c r="O33" s="28">
        <v>353280</v>
      </c>
      <c r="P33" s="28">
        <v>1471374</v>
      </c>
      <c r="Q33" s="28">
        <v>604806</v>
      </c>
      <c r="R33" s="28">
        <v>677</v>
      </c>
      <c r="S33" s="28">
        <v>329614</v>
      </c>
      <c r="T33" s="28">
        <v>30890</v>
      </c>
      <c r="U33" s="28">
        <v>50347</v>
      </c>
      <c r="V33" s="29">
        <v>30476</v>
      </c>
      <c r="W33" s="31">
        <v>488.435</v>
      </c>
      <c r="X33" s="28">
        <v>893.40499999999997</v>
      </c>
      <c r="Y33" s="28">
        <v>3885.0990000000002</v>
      </c>
      <c r="Z33" s="28">
        <v>2153</v>
      </c>
      <c r="AA33" s="28">
        <v>1211</v>
      </c>
    </row>
    <row r="34" spans="1:27" x14ac:dyDescent="0.25">
      <c r="A34" s="21">
        <v>44285</v>
      </c>
      <c r="B34" s="25">
        <v>10</v>
      </c>
      <c r="C34" s="25">
        <v>10</v>
      </c>
      <c r="D34" s="28">
        <v>275386</v>
      </c>
      <c r="E34" s="28">
        <v>275815</v>
      </c>
      <c r="F34" s="28">
        <v>307945</v>
      </c>
      <c r="G34" s="28">
        <v>307613</v>
      </c>
      <c r="H34" s="28">
        <v>221736</v>
      </c>
      <c r="I34" s="28"/>
      <c r="J34" s="28">
        <v>31845</v>
      </c>
      <c r="K34" s="28"/>
      <c r="L34" s="28">
        <v>631213</v>
      </c>
      <c r="M34" s="28">
        <v>2627037</v>
      </c>
      <c r="N34" s="28">
        <v>874280</v>
      </c>
      <c r="O34" s="28">
        <v>353303</v>
      </c>
      <c r="P34" s="28">
        <v>1471374</v>
      </c>
      <c r="Q34" s="28">
        <v>604806</v>
      </c>
      <c r="R34" s="28">
        <v>677</v>
      </c>
      <c r="S34" s="28">
        <v>329615</v>
      </c>
      <c r="T34" s="28">
        <v>30899</v>
      </c>
      <c r="U34" s="28">
        <v>50351</v>
      </c>
      <c r="V34" s="29">
        <v>30476</v>
      </c>
      <c r="W34" s="31">
        <v>488.435</v>
      </c>
      <c r="X34" s="28">
        <v>893.49400000000003</v>
      </c>
      <c r="Y34" s="28">
        <v>3885.0990000000002</v>
      </c>
      <c r="Z34" s="28">
        <v>2153</v>
      </c>
      <c r="AA34" s="28">
        <v>1214</v>
      </c>
    </row>
    <row r="35" spans="1:27" x14ac:dyDescent="0.25">
      <c r="A35" s="21">
        <v>44286</v>
      </c>
      <c r="B35" s="25">
        <v>10</v>
      </c>
      <c r="C35" s="25">
        <v>10</v>
      </c>
      <c r="D35" s="28">
        <v>276403</v>
      </c>
      <c r="E35" s="28">
        <v>276833</v>
      </c>
      <c r="F35" s="28">
        <v>308369</v>
      </c>
      <c r="G35" s="28">
        <v>308036</v>
      </c>
      <c r="H35" s="28">
        <v>221771</v>
      </c>
      <c r="I35" s="28">
        <v>7005425</v>
      </c>
      <c r="J35" s="28">
        <v>31845</v>
      </c>
      <c r="K35" s="28">
        <v>4924645</v>
      </c>
      <c r="L35" s="28">
        <v>631433</v>
      </c>
      <c r="M35" s="28">
        <v>2627049</v>
      </c>
      <c r="N35" s="28">
        <v>875902</v>
      </c>
      <c r="O35" s="28">
        <v>353326</v>
      </c>
      <c r="P35" s="28">
        <v>1471374</v>
      </c>
      <c r="Q35" s="28">
        <v>604806</v>
      </c>
      <c r="R35" s="28">
        <v>677</v>
      </c>
      <c r="S35" s="28">
        <v>329617</v>
      </c>
      <c r="T35" s="28">
        <v>30909</v>
      </c>
      <c r="U35" s="28">
        <v>50354</v>
      </c>
      <c r="V35" s="29">
        <v>30476</v>
      </c>
      <c r="W35" s="31">
        <v>488.435</v>
      </c>
      <c r="X35" s="28">
        <v>893.54700000000003</v>
      </c>
      <c r="Y35" s="28">
        <v>3885.0990000000002</v>
      </c>
      <c r="Z35" s="28">
        <v>2153</v>
      </c>
      <c r="AA35" s="28">
        <v>1217</v>
      </c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Darren Moakes</cp:lastModifiedBy>
  <cp:lastPrinted>2019-08-19T07:32:13Z</cp:lastPrinted>
  <dcterms:created xsi:type="dcterms:W3CDTF">2017-05-03T09:23:30Z</dcterms:created>
  <dcterms:modified xsi:type="dcterms:W3CDTF">2021-03-31T08:56:32Z</dcterms:modified>
</cp:coreProperties>
</file>