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9 - 2021" sheetId="5" r:id="rId3"/>
  </sheets>
  <definedNames>
    <definedName name="_xlnm.Print_Area" localSheetId="2">'9 - 2021'!$A$1:$J$35</definedName>
  </definedNames>
  <calcPr calcId="162913"/>
</workbook>
</file>

<file path=xl/calcChain.xml><?xml version="1.0" encoding="utf-8"?>
<calcChain xmlns="http://schemas.openxmlformats.org/spreadsheetml/2006/main"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L18" i="3"/>
  <c r="K18" i="3"/>
  <c r="I18" i="3"/>
  <c r="G18" i="3"/>
  <c r="E18" i="3"/>
  <c r="L17" i="3"/>
  <c r="K17" i="3"/>
  <c r="I17" i="3"/>
  <c r="G17" i="3"/>
  <c r="E17" i="3"/>
  <c r="L16" i="3"/>
  <c r="K16" i="3"/>
  <c r="I16" i="3"/>
  <c r="G16" i="3"/>
  <c r="E16" i="3"/>
  <c r="L15" i="3"/>
  <c r="K15" i="3"/>
  <c r="I15" i="3"/>
  <c r="G15" i="3"/>
  <c r="E15" i="3"/>
  <c r="J19" i="2"/>
  <c r="I19" i="2"/>
  <c r="H19" i="2"/>
  <c r="F19" i="2"/>
  <c r="E19" i="2"/>
  <c r="J18" i="2"/>
  <c r="I18" i="2"/>
  <c r="H18" i="2"/>
  <c r="F18" i="2"/>
  <c r="E18" i="2"/>
  <c r="J17" i="2"/>
  <c r="I17" i="2"/>
  <c r="H17" i="2"/>
  <c r="F17" i="2"/>
  <c r="E17" i="2"/>
  <c r="J16" i="2"/>
  <c r="I16" i="2"/>
  <c r="H16" i="2"/>
  <c r="F16" i="2"/>
  <c r="E16" i="2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31" i="3" l="1"/>
  <c r="K31" i="3"/>
  <c r="I31" i="3"/>
  <c r="G31" i="3"/>
  <c r="E31" i="3"/>
  <c r="L30" i="3"/>
  <c r="K30" i="3"/>
  <c r="I30" i="3"/>
  <c r="G30" i="3"/>
  <c r="E30" i="3"/>
  <c r="J31" i="2"/>
  <c r="I31" i="2"/>
  <c r="H31" i="2"/>
  <c r="F31" i="2"/>
  <c r="E31" i="2"/>
  <c r="J30" i="2"/>
  <c r="I30" i="2"/>
  <c r="H30" i="2"/>
  <c r="F30" i="2"/>
  <c r="E30" i="2"/>
  <c r="I40" i="5"/>
  <c r="H40" i="5"/>
  <c r="K39" i="5"/>
  <c r="J39" i="5"/>
  <c r="I39" i="5"/>
  <c r="H39" i="5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L29" i="3" l="1"/>
  <c r="K29" i="3"/>
  <c r="I29" i="3"/>
  <c r="G29" i="3"/>
  <c r="E29" i="3"/>
  <c r="L28" i="3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12" i="3" l="1"/>
  <c r="K12" i="3"/>
  <c r="I12" i="3"/>
  <c r="G12" i="3"/>
  <c r="E12" i="3"/>
  <c r="J12" i="2"/>
  <c r="I12" i="2"/>
  <c r="H12" i="2"/>
  <c r="F12" i="2"/>
  <c r="E12" i="2"/>
  <c r="L5" i="3" l="1"/>
  <c r="K5" i="3"/>
  <c r="I5" i="3"/>
  <c r="G5" i="3"/>
  <c r="E5" i="3"/>
  <c r="J5" i="2"/>
  <c r="I5" i="2"/>
  <c r="H5" i="2"/>
  <c r="F5" i="2"/>
  <c r="E5" i="2"/>
  <c r="J29" i="2" l="1"/>
  <c r="I29" i="2"/>
  <c r="H29" i="2"/>
  <c r="F29" i="2"/>
  <c r="E29" i="2"/>
  <c r="L2" i="3" l="1"/>
  <c r="K2" i="3"/>
  <c r="I2" i="3"/>
  <c r="G2" i="3" l="1"/>
  <c r="E2" i="3"/>
  <c r="E2" i="2"/>
  <c r="J2" i="2" l="1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<sst xmlns="http://schemas.openxmlformats.org/spreadsheetml/2006/main" count="105" uniqueCount="38">
  <si>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</si>
  <si>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</si>
  <si>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</si>
  <si>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</si>
  <si>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</si>
  <si>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</si>
  <si>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</si>
  <si>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</si>
  <si>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</si>
  <si>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</si>
  <si>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</si>
  <si>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</si>
  <si>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</si>
  <si>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</si>
  <si>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</si>
  <si>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</si>
  <si>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</si>
  <si>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</si>
  <si>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</si>
  <si>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</si>
  <si>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</si>
  <si>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</si>
  <si>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</si>
  <si>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</si>
  <si>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</si>
  <si>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</si>
  <si>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</si>
  <si>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</si>
  <si>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</si>
  <si>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</si>
  <si>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</si>
  <si>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</si>
  <si>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</si>
  <si>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</si>
  <si>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</si>
  <si>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</si>
  <si>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</si>
  <si>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SEPTEMBER'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</si>
</sst>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164" fontId="5" fillId="0" borderId="15" xfId="0" applyNumberFormat="1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/>
    </xf>
    <xf numFmtId="43" fontId="6" fillId="0" borderId="1" xfId="2" applyFont="1" applyBorder="1" applyAlignment="1">
      <alignment horizontal="center" vertical="center"/>
    </xf>
    <xf numFmtId="43" fontId="6" fillId="2" borderId="1" xfId="2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43" fontId="5" fillId="0" borderId="20" xfId="2" applyFont="1" applyBorder="1" applyAlignment="1">
      <alignment horizontal="center"/>
    </xf>
    <xf numFmtId="9" fontId="5" fillId="0" borderId="20" xfId="0" applyNumberFormat="1" applyFont="1" applyBorder="1" applyAlignment="1">
      <alignment horizontal="center" vertical="center"/>
    </xf>
    <xf numFmtId="43" fontId="5" fillId="0" borderId="20" xfId="2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43" fontId="5" fillId="0" borderId="1" xfId="0" applyNumberFormat="1" applyFont="1" applyBorder="1" applyAlignment="1">
      <alignment horizontal="center"/>
    </xf>
    <xf numFmtId="43" fontId="5" fillId="0" borderId="0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43" fontId="5" fillId="0" borderId="16" xfId="2" applyFont="1" applyBorder="1" applyAlignment="1">
      <alignment horizontal="center" vertical="center"/>
    </xf>
    <xf numFmtId="43" fontId="5" fillId="2" borderId="16" xfId="2" applyFont="1" applyFill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43" fontId="5" fillId="0" borderId="16" xfId="2" applyFont="1" applyFill="1" applyBorder="1" applyAlignment="1" applyProtection="1">
      <alignment horizontal="center" vertical="center"/>
      <protection locked="0"/>
    </xf>
    <xf numFmtId="43" fontId="5" fillId="0" borderId="16" xfId="2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4" fillId="0" borderId="18" xfId="2" applyFont="1" applyBorder="1" applyAlignment="1">
      <alignment horizontal="center"/>
    </xf>
    <xf numFmtId="43" fontId="4" fillId="0" borderId="4" xfId="2" applyFont="1" applyBorder="1" applyAlignment="1">
      <alignment horizontal="center" wrapText="1"/>
    </xf>
    <xf numFmtId="43" fontId="5" fillId="0" borderId="4" xfId="0" applyNumberFormat="1" applyFont="1" applyBorder="1" applyAlignment="1">
      <alignment horizontal="center"/>
    </xf>
    <xf numFmtId="43" fontId="4" fillId="0" borderId="4" xfId="2" applyFont="1" applyBorder="1" applyAlignment="1">
      <alignment horizontal="center"/>
    </xf>
    <xf numFmtId="0" fontId="0" fillId="0" borderId="4" xfId="0" applyBorder="1" applyAlignment="1">
      <alignment horizontal="center"/>
    </xf>
    <xf numFmtId="43" fontId="4" fillId="0" borderId="17" xfId="2" applyFont="1" applyBorder="1" applyAlignment="1">
      <alignment horizontal="center"/>
    </xf>
    <xf numFmtId="1" fontId="0" fillId="0" borderId="0" xfId="0" applyNumberFormat="1" applyFill="1"/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workbookViewId="0">
      <selection activeCell="P23" sqref="P22:P23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3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9</v>
      </c>
      <c r="D2">
        <v>2021</v>
      </c>
      <c r="E2" s="18">
        <f>'9 - 2021'!B8-'9 - 2021'!B7+'9 - 2021'!C8-'9 - 2021'!C7</f>
        <v>9379.2000000000698</v>
      </c>
      <c r="F2" s="16">
        <v>0.11799999999999999</v>
      </c>
      <c r="G2" s="18">
        <f>'9 - 2021'!D8-'9 - 2021'!D7+'9 - 2021'!E8-'9 - 2021'!E7</f>
        <v>24.149999999999636</v>
      </c>
      <c r="H2" s="16">
        <v>0.99</v>
      </c>
      <c r="I2" s="18">
        <f>'9 - 2021'!J8-'9 - 2021'!J7</f>
        <v>32188</v>
      </c>
      <c r="J2" s="16">
        <v>8.1000000000000003E-2</v>
      </c>
      <c r="K2" s="34">
        <f>'9 - 2021'!H8-'9 - 2021'!H7</f>
        <v>0</v>
      </c>
      <c r="L2" s="18">
        <f>'9 - 2021'!I8-'9 - 2021'!I7</f>
        <v>95</v>
      </c>
      <c r="M2" s="17">
        <v>4.393629424766913</v>
      </c>
      <c r="N2" s="18">
        <v>37</v>
      </c>
    </row>
    <row r="3" spans="1:21" x14ac:dyDescent="0.25">
      <c r="A3" t="s">
        <v>27</v>
      </c>
      <c r="B3">
        <f>B2+1</f>
        <v>2</v>
      </c>
      <c r="C3" s="16">
        <v>9</v>
      </c>
      <c r="D3" s="16">
        <v>2021</v>
      </c>
      <c r="E3" s="18">
        <f>'9 - 2021'!B9-'9 - 2021'!B8+'9 - 2021'!C9-'9 - 2021'!C8</f>
        <v>9199.5999999998603</v>
      </c>
      <c r="F3" s="16">
        <v>0.11799999999999999</v>
      </c>
      <c r="G3" s="18">
        <f>'9 - 2021'!D9-'9 - 2021'!D8+'9 - 2021'!E9-'9 - 2021'!E8</f>
        <v>21.460000000000036</v>
      </c>
      <c r="H3" s="16">
        <v>0.99</v>
      </c>
      <c r="I3" s="18">
        <f>'9 - 2021'!J9-'9 - 2021'!J8</f>
        <v>31992</v>
      </c>
      <c r="J3" s="16">
        <v>8.1000000000000003E-2</v>
      </c>
      <c r="K3" s="34">
        <f>'9 - 2021'!H9-'9 - 2021'!H8</f>
        <v>0</v>
      </c>
      <c r="L3" s="18">
        <f>'9 - 2021'!I9-'9 - 2021'!I8</f>
        <v>96</v>
      </c>
      <c r="M3" s="17">
        <v>4.393629424766913</v>
      </c>
      <c r="N3" s="28">
        <v>35</v>
      </c>
    </row>
    <row r="4" spans="1:21" x14ac:dyDescent="0.25">
      <c r="A4" t="s">
        <v>27</v>
      </c>
      <c r="B4">
        <f t="shared" ref="B4:B31" si="0">B3+1</f>
        <v>3</v>
      </c>
      <c r="C4" s="16">
        <v>9</v>
      </c>
      <c r="D4" s="16">
        <v>2021</v>
      </c>
      <c r="E4" s="18">
        <f>'9 - 2021'!B10-'9 - 2021'!B9+'9 - 2021'!C10-'9 - 2021'!C9</f>
        <v>9553.1999999999534</v>
      </c>
      <c r="F4" s="16">
        <v>0.11799999999999999</v>
      </c>
      <c r="G4" s="18">
        <f>'9 - 2021'!D10-'9 - 2021'!D9+'9 - 2021'!E10-'9 - 2021'!E9</f>
        <v>24.569999999999709</v>
      </c>
      <c r="H4" s="16">
        <v>0.99</v>
      </c>
      <c r="I4" s="18">
        <f>'9 - 2021'!J10-'9 - 2021'!J9</f>
        <v>34040</v>
      </c>
      <c r="J4" s="16">
        <v>8.1000000000000003E-2</v>
      </c>
      <c r="K4" s="34">
        <f>'9 - 2021'!H10-'9 - 2021'!H9</f>
        <v>0</v>
      </c>
      <c r="L4" s="18">
        <f>'9 - 2021'!I10-'9 - 2021'!I9</f>
        <v>94</v>
      </c>
      <c r="M4" s="17">
        <v>4.393629424766913</v>
      </c>
      <c r="N4" s="28">
        <v>41</v>
      </c>
    </row>
    <row r="5" spans="1:21" x14ac:dyDescent="0.25">
      <c r="A5" t="s">
        <v>27</v>
      </c>
      <c r="B5">
        <f t="shared" si="0"/>
        <v>4</v>
      </c>
      <c r="C5" s="16">
        <v>9</v>
      </c>
      <c r="D5" s="16">
        <v>2021</v>
      </c>
      <c r="E5" s="18">
        <f>'9 - 2021'!B11-'9 - 2021'!B10+'9 - 2021'!C11-'9 - 2021'!C10</f>
        <v>9239.8000000000466</v>
      </c>
      <c r="F5" s="16">
        <v>0.11799999999999999</v>
      </c>
      <c r="G5" s="18">
        <f>'9 - 2021'!D11-'9 - 2021'!D10+'9 - 2021'!E11-'9 - 2021'!E10</f>
        <v>23.3100000000004</v>
      </c>
      <c r="H5" s="16">
        <v>0.99</v>
      </c>
      <c r="I5" s="18">
        <f>'9 - 2021'!J11-'9 - 2021'!J10</f>
        <v>34730</v>
      </c>
      <c r="J5" s="16">
        <v>8.1000000000000003E-2</v>
      </c>
      <c r="K5" s="34">
        <f>'9 - 2021'!H11-'9 - 2021'!H10</f>
        <v>0</v>
      </c>
      <c r="L5" s="18">
        <f>'9 - 2021'!I11-'9 - 2021'!I10</f>
        <v>95</v>
      </c>
      <c r="M5" s="17">
        <v>4.393629424766913</v>
      </c>
      <c r="N5" s="28">
        <v>45</v>
      </c>
      <c r="R5" s="16"/>
    </row>
    <row r="6" spans="1:21" x14ac:dyDescent="0.25">
      <c r="A6" t="s">
        <v>27</v>
      </c>
      <c r="B6">
        <f t="shared" si="0"/>
        <v>5</v>
      </c>
      <c r="C6" s="16">
        <v>9</v>
      </c>
      <c r="D6" s="16">
        <v>2021</v>
      </c>
      <c r="E6" s="18">
        <f>'9 - 2021'!B12-'9 - 2021'!B11+'9 - 2021'!C12-'9 - 2021'!C11</f>
        <v>9475.4000000001397</v>
      </c>
      <c r="F6" s="16">
        <v>0.11799999999999999</v>
      </c>
      <c r="G6" s="18">
        <f>'9 - 2021'!D12-'9 - 2021'!D11+'9 - 2021'!E12-'9 - 2021'!E11</f>
        <v>23.460000000000036</v>
      </c>
      <c r="H6" s="16">
        <v>0.99</v>
      </c>
      <c r="I6" s="18">
        <f>'9 - 2021'!J12-'9 - 2021'!J11</f>
        <v>31660</v>
      </c>
      <c r="J6" s="16">
        <v>8.1000000000000003E-2</v>
      </c>
      <c r="K6" s="34">
        <f>'9 - 2021'!H12-'9 - 2021'!H11</f>
        <v>0</v>
      </c>
      <c r="L6" s="18">
        <f>'9 - 2021'!I12-'9 - 2021'!I11</f>
        <v>93</v>
      </c>
      <c r="M6" s="17">
        <v>4.393629424766913</v>
      </c>
      <c r="N6" s="28">
        <v>37</v>
      </c>
    </row>
    <row r="7" spans="1:21" x14ac:dyDescent="0.25">
      <c r="A7" t="s">
        <v>27</v>
      </c>
      <c r="B7">
        <f t="shared" si="0"/>
        <v>6</v>
      </c>
      <c r="C7" s="16">
        <v>9</v>
      </c>
      <c r="D7" s="16">
        <v>2021</v>
      </c>
      <c r="E7" s="18">
        <f>'9 - 2021'!B13-'9 - 2021'!B12+'9 - 2021'!C13-'9 - 2021'!C12</f>
        <v>9299.8999999999069</v>
      </c>
      <c r="F7" s="16">
        <v>0.11799999999999999</v>
      </c>
      <c r="G7" s="18">
        <f>'9 - 2021'!D13-'9 - 2021'!D12+'9 - 2021'!E13-'9 - 2021'!E12</f>
        <v>23.779999999999745</v>
      </c>
      <c r="H7" s="16">
        <v>0.99</v>
      </c>
      <c r="I7" s="18">
        <f>'9 - 2021'!J13-'9 - 2021'!J12</f>
        <v>29450</v>
      </c>
      <c r="J7" s="16">
        <v>8.1000000000000003E-2</v>
      </c>
      <c r="K7" s="34">
        <f>'9 - 2021'!H13-'9 - 2021'!H12</f>
        <v>0</v>
      </c>
      <c r="L7" s="18">
        <f>'9 - 2021'!I13-'9 - 2021'!I12</f>
        <v>90</v>
      </c>
      <c r="M7" s="17">
        <v>4.393629424766913</v>
      </c>
      <c r="N7" s="28">
        <v>39</v>
      </c>
    </row>
    <row r="8" spans="1:21" x14ac:dyDescent="0.25">
      <c r="A8" t="s">
        <v>27</v>
      </c>
      <c r="B8">
        <f t="shared" si="0"/>
        <v>7</v>
      </c>
      <c r="C8" s="16">
        <v>9</v>
      </c>
      <c r="D8" s="16">
        <v>2021</v>
      </c>
      <c r="E8" s="18">
        <f>'9 - 2021'!B14-'9 - 2021'!B13+'9 - 2021'!C14-'9 - 2021'!C13</f>
        <v>9475.8000000000466</v>
      </c>
      <c r="F8" s="16">
        <v>0.11799999999999999</v>
      </c>
      <c r="G8" s="18">
        <f>'9 - 2021'!D14-'9 - 2021'!D13+'9 - 2021'!E14-'9 - 2021'!E13</f>
        <v>22.920000000000073</v>
      </c>
      <c r="H8" s="16">
        <v>0.99</v>
      </c>
      <c r="I8" s="18">
        <f>'9 - 2021'!J14-'9 - 2021'!J13</f>
        <v>33760</v>
      </c>
      <c r="J8" s="16">
        <v>8.1000000000000003E-2</v>
      </c>
      <c r="K8" s="34">
        <f>'9 - 2021'!H14-'9 - 2021'!H13</f>
        <v>0</v>
      </c>
      <c r="L8" s="18">
        <f>'9 - 2021'!I14-'9 - 2021'!I13</f>
        <v>91</v>
      </c>
      <c r="M8" s="17">
        <v>4.393629424766913</v>
      </c>
      <c r="N8" s="30">
        <v>41</v>
      </c>
      <c r="O8" s="18"/>
    </row>
    <row r="9" spans="1:21" x14ac:dyDescent="0.25">
      <c r="A9" t="s">
        <v>27</v>
      </c>
      <c r="B9">
        <f t="shared" si="0"/>
        <v>8</v>
      </c>
      <c r="C9" s="16">
        <v>9</v>
      </c>
      <c r="D9" s="16">
        <v>2021</v>
      </c>
      <c r="E9" s="18">
        <f>'9 - 2021'!B15-'9 - 2021'!B14+'9 - 2021'!C15-'9 - 2021'!C14</f>
        <v>9411.1999999999534</v>
      </c>
      <c r="F9" s="16">
        <v>0.11799999999999999</v>
      </c>
      <c r="G9" s="18">
        <f>'9 - 2021'!D15-'9 - 2021'!D14+'9 - 2021'!E15-'9 - 2021'!E14</f>
        <v>23.630000000000109</v>
      </c>
      <c r="H9" s="16">
        <v>0.99</v>
      </c>
      <c r="I9" s="18">
        <f>'9 - 2021'!J15-'9 - 2021'!J14</f>
        <v>40678</v>
      </c>
      <c r="J9" s="16">
        <v>8.1000000000000003E-2</v>
      </c>
      <c r="K9" s="34">
        <f>'9 - 2021'!H15-'9 - 2021'!H14</f>
        <v>0</v>
      </c>
      <c r="L9" s="18">
        <f>'9 - 2021'!I15-'9 - 2021'!I14</f>
        <v>92</v>
      </c>
      <c r="M9" s="17">
        <v>4.393629424766913</v>
      </c>
      <c r="N9" s="28">
        <v>42</v>
      </c>
    </row>
    <row r="10" spans="1:21" x14ac:dyDescent="0.25">
      <c r="A10" t="s">
        <v>27</v>
      </c>
      <c r="B10">
        <f t="shared" si="0"/>
        <v>9</v>
      </c>
      <c r="C10" s="16">
        <v>9</v>
      </c>
      <c r="D10" s="16">
        <v>2021</v>
      </c>
      <c r="E10" s="18">
        <f>'9 - 2021'!B16-'9 - 2021'!B15+'9 - 2021'!C16-'9 - 2021'!C15</f>
        <v>9471.3000000000466</v>
      </c>
      <c r="F10" s="16">
        <v>0.11799999999999999</v>
      </c>
      <c r="G10" s="18">
        <f>'9 - 2021'!D16-'9 - 2021'!D15+'9 - 2021'!E16-'9 - 2021'!E15</f>
        <v>25.469999999999345</v>
      </c>
      <c r="H10" s="16">
        <v>0.99</v>
      </c>
      <c r="I10" s="18">
        <f>'9 - 2021'!J16-'9 - 2021'!J15</f>
        <v>38788</v>
      </c>
      <c r="J10" s="16">
        <v>8.1000000000000003E-2</v>
      </c>
      <c r="K10" s="34">
        <f>'9 - 2021'!H16-'9 - 2021'!H15</f>
        <v>0</v>
      </c>
      <c r="L10" s="18">
        <f>'9 - 2021'!I16-'9 - 2021'!I15</f>
        <v>98</v>
      </c>
      <c r="M10" s="17">
        <v>4.393629424766913</v>
      </c>
      <c r="N10" s="28">
        <v>37</v>
      </c>
    </row>
    <row r="11" spans="1:21" x14ac:dyDescent="0.25">
      <c r="A11" t="s">
        <v>27</v>
      </c>
      <c r="B11">
        <f t="shared" si="0"/>
        <v>10</v>
      </c>
      <c r="C11" s="16">
        <v>9</v>
      </c>
      <c r="D11" s="16">
        <v>2021</v>
      </c>
      <c r="E11" s="18">
        <f>'9 - 2021'!B17-'9 - 2021'!B16+'9 - 2021'!C17-'9 - 2021'!C16</f>
        <v>9439.6999999999534</v>
      </c>
      <c r="F11" s="16">
        <v>0.11799999999999999</v>
      </c>
      <c r="G11" s="18">
        <f>'9 - 2021'!D17-'9 - 2021'!D16+'9 - 2021'!E17-'9 - 2021'!E16</f>
        <v>25.469999999999345</v>
      </c>
      <c r="H11" s="16">
        <v>0.99</v>
      </c>
      <c r="I11" s="18">
        <f>'9 - 2021'!J17-'9 - 2021'!J16</f>
        <v>41175</v>
      </c>
      <c r="J11" s="16">
        <v>8.1000000000000003E-2</v>
      </c>
      <c r="K11" s="34">
        <f>'9 - 2021'!H17-'9 - 2021'!H16</f>
        <v>0</v>
      </c>
      <c r="L11" s="18">
        <f>'9 - 2021'!I17-'9 - 2021'!I16</f>
        <v>98</v>
      </c>
      <c r="M11" s="17">
        <v>4.393629424766913</v>
      </c>
      <c r="N11" s="28">
        <v>44</v>
      </c>
    </row>
    <row r="12" spans="1:21" x14ac:dyDescent="0.25">
      <c r="A12" t="s">
        <v>27</v>
      </c>
      <c r="B12">
        <f t="shared" si="0"/>
        <v>11</v>
      </c>
      <c r="C12" s="16">
        <v>9</v>
      </c>
      <c r="D12" s="16">
        <v>2021</v>
      </c>
      <c r="E12" s="18">
        <f>'9 - 2021'!B18-'9 - 2021'!B17+'9 - 2021'!C18-'9 - 2021'!C17</f>
        <v>9531</v>
      </c>
      <c r="F12" s="16">
        <v>0.11799999999999999</v>
      </c>
      <c r="G12" s="18">
        <f>'9 - 2021'!D18-'9 - 2021'!D17+'9 - 2021'!E18-'9 - 2021'!E17</f>
        <v>24.390000000000327</v>
      </c>
      <c r="H12" s="16">
        <v>0.99</v>
      </c>
      <c r="I12" s="18">
        <f>'9 - 2021'!J18-'9 - 2021'!J17</f>
        <v>41736</v>
      </c>
      <c r="J12" s="16">
        <v>8.1000000000000003E-2</v>
      </c>
      <c r="K12" s="34">
        <f>'9 - 2021'!H18-'9 - 2021'!H17</f>
        <v>0</v>
      </c>
      <c r="L12" s="18">
        <f>'9 - 2021'!I18-'9 - 2021'!I17</f>
        <v>99</v>
      </c>
      <c r="M12" s="17">
        <v>4.393629424766913</v>
      </c>
      <c r="N12" s="18">
        <v>40</v>
      </c>
    </row>
    <row r="13" spans="1:21" x14ac:dyDescent="0.25">
      <c r="A13" t="s">
        <v>27</v>
      </c>
      <c r="B13">
        <f t="shared" si="0"/>
        <v>12</v>
      </c>
      <c r="C13" s="16">
        <v>9</v>
      </c>
      <c r="D13" s="16">
        <v>2021</v>
      </c>
      <c r="E13" s="18">
        <f>'9 - 2021'!B19-'9 - 2021'!B18+'9 - 2021'!C19-'9 - 2021'!C18</f>
        <v>9512.1999999999534</v>
      </c>
      <c r="F13" s="16">
        <v>0.11799999999999999</v>
      </c>
      <c r="G13" s="18">
        <f>'9 - 2021'!D19-'9 - 2021'!D18+'9 - 2021'!E19-'9 - 2021'!E18</f>
        <v>22.1899999999996</v>
      </c>
      <c r="H13" s="16">
        <v>0.99</v>
      </c>
      <c r="I13" s="18">
        <f>'9 - 2021'!J19-'9 - 2021'!J18</f>
        <v>39596</v>
      </c>
      <c r="J13" s="16">
        <v>8.1000000000000003E-2</v>
      </c>
      <c r="K13" s="34">
        <f>'9 - 2021'!H19-'9 - 2021'!H18</f>
        <v>0</v>
      </c>
      <c r="L13" s="18">
        <f>'9 - 2021'!I19-'9 - 2021'!I18</f>
        <v>94</v>
      </c>
      <c r="M13" s="17">
        <v>4.393629424766913</v>
      </c>
      <c r="N13" s="18">
        <v>25</v>
      </c>
    </row>
    <row r="14" spans="1:21" x14ac:dyDescent="0.25">
      <c r="A14" t="s">
        <v>27</v>
      </c>
      <c r="B14">
        <f t="shared" si="0"/>
        <v>13</v>
      </c>
      <c r="C14" s="16">
        <v>9</v>
      </c>
      <c r="D14" s="16">
        <v>2021</v>
      </c>
      <c r="E14" s="18">
        <f>'9 - 2021'!B20-'9 - 2021'!B19+'9 - 2021'!C20-'9 - 2021'!C19</f>
        <v>9417.5</v>
      </c>
      <c r="F14" s="16">
        <v>0.11799999999999999</v>
      </c>
      <c r="G14" s="18">
        <f>'9 - 2021'!D20-'9 - 2021'!D19+'9 - 2021'!E20-'9 - 2021'!E19</f>
        <v>24.219999999999345</v>
      </c>
      <c r="H14" s="16">
        <v>0.99</v>
      </c>
      <c r="I14" s="18">
        <f>'9 - 2021'!J20-'9 - 2021'!J19</f>
        <v>36401</v>
      </c>
      <c r="J14" s="16">
        <v>8.1000000000000003E-2</v>
      </c>
      <c r="K14" s="34">
        <f>'9 - 2021'!H20-'9 - 2021'!H19</f>
        <v>0</v>
      </c>
      <c r="L14" s="18">
        <f>'9 - 2021'!I20-'9 - 2021'!I19</f>
        <v>87</v>
      </c>
      <c r="M14" s="17">
        <v>4.393629424766913</v>
      </c>
      <c r="N14" s="18">
        <v>39</v>
      </c>
      <c r="O14" s="18"/>
    </row>
    <row r="15" spans="1:21" x14ac:dyDescent="0.25">
      <c r="A15" t="s">
        <v>27</v>
      </c>
      <c r="B15">
        <f t="shared" si="0"/>
        <v>14</v>
      </c>
      <c r="C15" s="16">
        <v>9</v>
      </c>
      <c r="D15" s="16">
        <v>2021</v>
      </c>
      <c r="E15" s="18">
        <f>'9 - 2021'!B21-'9 - 2021'!B20+'9 - 2021'!C21-'9 - 2021'!C20</f>
        <v>9352.3000000000466</v>
      </c>
      <c r="F15" s="16">
        <v>0.11799999999999999</v>
      </c>
      <c r="G15" s="18">
        <f>'9 - 2021'!D21-'9 - 2021'!D20+'9 - 2021'!E21-'9 - 2021'!E20</f>
        <v>24.270000000000437</v>
      </c>
      <c r="H15" s="16">
        <v>0.99</v>
      </c>
      <c r="I15" s="18">
        <f>'9 - 2021'!J21-'9 - 2021'!J20</f>
        <v>37366</v>
      </c>
      <c r="J15" s="16">
        <v>8.1000000000000003E-2</v>
      </c>
      <c r="K15" s="34">
        <f>'9 - 2021'!H21-'9 - 2021'!H20</f>
        <v>0</v>
      </c>
      <c r="L15" s="18">
        <f>'9 - 2021'!I21-'9 - 2021'!I20</f>
        <v>88</v>
      </c>
      <c r="M15" s="17">
        <v>4.393629424766913</v>
      </c>
      <c r="N15" s="18">
        <v>60</v>
      </c>
      <c r="R15" s="16"/>
    </row>
    <row r="16" spans="1:21" x14ac:dyDescent="0.25">
      <c r="A16" t="s">
        <v>27</v>
      </c>
      <c r="B16">
        <f t="shared" si="0"/>
        <v>15</v>
      </c>
      <c r="C16" s="16">
        <v>9</v>
      </c>
      <c r="D16" s="16">
        <v>2021</v>
      </c>
      <c r="E16" s="18">
        <f>'9 - 2021'!B22-'9 - 2021'!B21+'9 - 2021'!C22-'9 - 2021'!C21</f>
        <v>10506</v>
      </c>
      <c r="F16" s="16">
        <v>0.11799999999999999</v>
      </c>
      <c r="G16" s="18">
        <f>'9 - 2021'!D22-'9 - 2021'!D21+'9 - 2021'!E22-'9 - 2021'!E21</f>
        <v>24.309999999999491</v>
      </c>
      <c r="H16" s="16">
        <v>0.99</v>
      </c>
      <c r="I16" s="18">
        <f>'9 - 2021'!J22-'9 - 2021'!J21</f>
        <v>43740</v>
      </c>
      <c r="J16" s="16">
        <v>8.1000000000000003E-2</v>
      </c>
      <c r="K16" s="34">
        <f>'9 - 2021'!H22-'9 - 2021'!H21</f>
        <v>0</v>
      </c>
      <c r="L16" s="18">
        <f>'9 - 2021'!I22-'9 - 2021'!I21</f>
        <v>101</v>
      </c>
      <c r="M16" s="17">
        <v>4.393629424766913</v>
      </c>
      <c r="N16" s="18">
        <v>64</v>
      </c>
      <c r="U16" s="16"/>
    </row>
    <row r="17" spans="1:17" x14ac:dyDescent="0.25">
      <c r="A17" t="s">
        <v>27</v>
      </c>
      <c r="B17">
        <f t="shared" si="0"/>
        <v>16</v>
      </c>
      <c r="C17" s="16">
        <v>9</v>
      </c>
      <c r="D17" s="16">
        <v>2021</v>
      </c>
      <c r="E17" s="18">
        <f>'9 - 2021'!B23-'9 - 2021'!B22+'9 - 2021'!C23-'9 - 2021'!C22</f>
        <v>9758</v>
      </c>
      <c r="F17" s="16">
        <v>0.11799999999999999</v>
      </c>
      <c r="G17" s="18">
        <f>'9 - 2021'!D23-'9 - 2021'!D22+'9 - 2021'!E23-'9 - 2021'!E22</f>
        <v>25.069999999999709</v>
      </c>
      <c r="H17" s="16">
        <v>0.99</v>
      </c>
      <c r="I17" s="18">
        <f>'9 - 2021'!J23-'9 - 2021'!J22</f>
        <v>39420</v>
      </c>
      <c r="J17" s="16">
        <v>8.1000000000000003E-2</v>
      </c>
      <c r="K17" s="34">
        <f>'9 - 2021'!H23-'9 - 2021'!H22</f>
        <v>0</v>
      </c>
      <c r="L17" s="18">
        <f>'9 - 2021'!I23-'9 - 2021'!I22</f>
        <v>91</v>
      </c>
      <c r="M17" s="17">
        <v>4.393629424766913</v>
      </c>
      <c r="N17" s="18">
        <v>44</v>
      </c>
      <c r="O17" s="16"/>
    </row>
    <row r="18" spans="1:17" x14ac:dyDescent="0.25">
      <c r="A18" t="s">
        <v>27</v>
      </c>
      <c r="B18">
        <f t="shared" si="0"/>
        <v>17</v>
      </c>
      <c r="C18" s="16">
        <v>9</v>
      </c>
      <c r="D18" s="16">
        <v>2021</v>
      </c>
      <c r="E18" s="18">
        <f>'9 - 2021'!B24-'9 - 2021'!B23+'9 - 2021'!C24-'9 - 2021'!C23</f>
        <v>9505</v>
      </c>
      <c r="F18" s="16">
        <v>0.11799999999999999</v>
      </c>
      <c r="G18" s="18">
        <f>'9 - 2021'!D24-'9 - 2021'!D23+'9 - 2021'!E24-'9 - 2021'!E23</f>
        <v>23.5</v>
      </c>
      <c r="H18" s="16">
        <v>0.99</v>
      </c>
      <c r="I18" s="18">
        <f>'9 - 2021'!J24-'9 - 2021'!J23</f>
        <v>34600</v>
      </c>
      <c r="J18" s="16">
        <v>8.1000000000000003E-2</v>
      </c>
      <c r="K18" s="34">
        <f>'9 - 2021'!H24-'9 - 2021'!H23</f>
        <v>0</v>
      </c>
      <c r="L18" s="18">
        <f>'9 - 2021'!I24-'9 - 2021'!I23</f>
        <v>96</v>
      </c>
      <c r="M18" s="17">
        <v>4.393629424766913</v>
      </c>
      <c r="N18" s="18">
        <v>37</v>
      </c>
      <c r="Q18" s="16"/>
    </row>
    <row r="19" spans="1:17" x14ac:dyDescent="0.25">
      <c r="A19" t="s">
        <v>27</v>
      </c>
      <c r="B19">
        <f>B18+1</f>
        <v>18</v>
      </c>
      <c r="C19" s="16">
        <v>9</v>
      </c>
      <c r="D19" s="16">
        <v>2021</v>
      </c>
      <c r="E19" s="18">
        <f>'9 - 2021'!B25-'9 - 2021'!B24+'9 - 2021'!C25-'9 - 2021'!C24</f>
        <v>9880</v>
      </c>
      <c r="F19" s="16">
        <v>0.11799999999999999</v>
      </c>
      <c r="G19" s="18">
        <f>'9 - 2021'!D25-'9 - 2021'!D24+'9 - 2021'!E25-'9 - 2021'!E24</f>
        <v>23.919999999999163</v>
      </c>
      <c r="H19" s="16">
        <v>0.99</v>
      </c>
      <c r="I19" s="18">
        <f>'9 - 2021'!J25-'9 - 2021'!J24</f>
        <v>39263</v>
      </c>
      <c r="J19" s="16">
        <v>8.1000000000000003E-2</v>
      </c>
      <c r="K19" s="34">
        <f>'9 - 2021'!H25-'9 - 2021'!H24</f>
        <v>0</v>
      </c>
      <c r="L19" s="18">
        <f>'9 - 2021'!I25-'9 - 2021'!I24</f>
        <v>97</v>
      </c>
      <c r="M19" s="17">
        <v>4.393629424766913</v>
      </c>
      <c r="N19" s="18">
        <v>51</v>
      </c>
    </row>
    <row r="20" spans="1:17" x14ac:dyDescent="0.25">
      <c r="A20" t="s">
        <v>27</v>
      </c>
      <c r="B20">
        <f t="shared" si="0"/>
        <v>19</v>
      </c>
      <c r="C20" s="16">
        <v>9</v>
      </c>
      <c r="D20" s="16">
        <v>2021</v>
      </c>
      <c r="E20" s="18">
        <f>'9 - 2021'!B26-'9 - 2021'!B25+'9 - 2021'!C26-'9 - 2021'!C25</f>
        <v>9457</v>
      </c>
      <c r="F20" s="16">
        <v>0.11799999999999999</v>
      </c>
      <c r="G20" s="18">
        <f>'9 - 2021'!D26-'9 - 2021'!D25+'9 - 2021'!E26-'9 - 2021'!E25</f>
        <v>26.070000000000618</v>
      </c>
      <c r="H20" s="16">
        <v>0.99</v>
      </c>
      <c r="I20" s="18">
        <f>'9 - 2021'!J26-'9 - 2021'!J25</f>
        <v>33887</v>
      </c>
      <c r="J20" s="16">
        <v>8.1000000000000003E-2</v>
      </c>
      <c r="K20" s="34">
        <f>'9 - 2021'!H26-'9 - 2021'!H25</f>
        <v>0</v>
      </c>
      <c r="L20" s="18">
        <f>'9 - 2021'!I26-'9 - 2021'!I25</f>
        <v>106</v>
      </c>
      <c r="M20" s="17">
        <v>4.393629424766913</v>
      </c>
      <c r="N20" s="18">
        <v>40</v>
      </c>
    </row>
    <row r="21" spans="1:17" x14ac:dyDescent="0.25">
      <c r="A21" t="s">
        <v>27</v>
      </c>
      <c r="B21">
        <f t="shared" si="0"/>
        <v>20</v>
      </c>
      <c r="C21" s="16">
        <v>9</v>
      </c>
      <c r="D21" s="16">
        <v>2021</v>
      </c>
      <c r="E21" s="18">
        <f>'9 - 2021'!B27-'9 - 2021'!B26+'9 - 2021'!C27-'9 - 2021'!C26</f>
        <v>9756</v>
      </c>
      <c r="F21" s="16">
        <v>0.11799999999999999</v>
      </c>
      <c r="G21" s="18">
        <f>'9 - 2021'!D27-'9 - 2021'!D26+'9 - 2021'!E27-'9 - 2021'!E26</f>
        <v>23.039999999999964</v>
      </c>
      <c r="H21" s="16">
        <v>0.99</v>
      </c>
      <c r="I21" s="18">
        <f>'9 - 2021'!J27-'9 - 2021'!J26</f>
        <v>34050</v>
      </c>
      <c r="J21" s="16">
        <v>8.1000000000000003E-2</v>
      </c>
      <c r="K21" s="34">
        <f>'9 - 2021'!H27-'9 - 2021'!H26</f>
        <v>0</v>
      </c>
      <c r="L21" s="18">
        <f>'9 - 2021'!I27-'9 - 2021'!I26</f>
        <v>99</v>
      </c>
      <c r="M21" s="17">
        <v>4.393629424766913</v>
      </c>
      <c r="N21" s="18">
        <v>45</v>
      </c>
    </row>
    <row r="22" spans="1:17" x14ac:dyDescent="0.25">
      <c r="A22" t="s">
        <v>27</v>
      </c>
      <c r="B22">
        <f t="shared" si="0"/>
        <v>21</v>
      </c>
      <c r="C22" s="16">
        <v>9</v>
      </c>
      <c r="D22" s="16">
        <v>2021</v>
      </c>
      <c r="E22" s="18">
        <f>'9 - 2021'!B28-'9 - 2021'!B27+'9 - 2021'!C28-'9 - 2021'!C27</f>
        <v>9705</v>
      </c>
      <c r="F22" s="16">
        <v>0.11799999999999999</v>
      </c>
      <c r="G22" s="18">
        <f>'9 - 2021'!D28-'9 - 2021'!D27+'9 - 2021'!E28-'9 - 2021'!E27</f>
        <v>24.75</v>
      </c>
      <c r="H22" s="16">
        <v>0.99</v>
      </c>
      <c r="I22" s="18">
        <f>'9 - 2021'!J28-'9 - 2021'!J27</f>
        <v>37845</v>
      </c>
      <c r="J22" s="16">
        <v>8.1000000000000003E-2</v>
      </c>
      <c r="K22" s="34">
        <f>'9 - 2021'!H28-'9 - 2021'!H27</f>
        <v>0</v>
      </c>
      <c r="L22" s="18">
        <f>'9 - 2021'!I28-'9 - 2021'!I27</f>
        <v>106</v>
      </c>
      <c r="M22" s="17">
        <v>4.393629424766913</v>
      </c>
      <c r="N22" s="18">
        <v>79</v>
      </c>
    </row>
    <row r="23" spans="1:17" x14ac:dyDescent="0.25">
      <c r="A23" t="s">
        <v>27</v>
      </c>
      <c r="B23">
        <f t="shared" si="0"/>
        <v>22</v>
      </c>
      <c r="C23" s="16">
        <v>9</v>
      </c>
      <c r="D23" s="16">
        <v>2021</v>
      </c>
      <c r="E23" s="18">
        <f>'9 - 2021'!B29-'9 - 2021'!B28+'9 - 2021'!C29-'9 - 2021'!C28</f>
        <v>9586</v>
      </c>
      <c r="F23" s="16">
        <v>0.11799999999999999</v>
      </c>
      <c r="G23" s="18">
        <f>'9 - 2021'!D29-'9 - 2021'!D28+'9 - 2021'!E29-'9 - 2021'!E28</f>
        <v>24.669999999999163</v>
      </c>
      <c r="H23" s="16">
        <v>0.99</v>
      </c>
      <c r="I23" s="18">
        <f>'9 - 2021'!J29-'9 - 2021'!J28</f>
        <v>38343</v>
      </c>
      <c r="J23" s="16">
        <v>8.1000000000000003E-2</v>
      </c>
      <c r="K23" s="34">
        <f>'9 - 2021'!H29-'9 - 2021'!H28</f>
        <v>0</v>
      </c>
      <c r="L23" s="18">
        <f>'9 - 2021'!I29-'9 - 2021'!I28</f>
        <v>97</v>
      </c>
      <c r="M23" s="17">
        <v>4.393629424766913</v>
      </c>
      <c r="N23" s="18">
        <v>83</v>
      </c>
    </row>
    <row r="24" spans="1:17" x14ac:dyDescent="0.25">
      <c r="A24" t="s">
        <v>27</v>
      </c>
      <c r="B24">
        <f t="shared" si="0"/>
        <v>23</v>
      </c>
      <c r="C24" s="16">
        <v>9</v>
      </c>
      <c r="D24" s="16">
        <v>2021</v>
      </c>
      <c r="E24" s="18">
        <v>0</v>
      </c>
      <c r="F24" s="16">
        <v>0.11799999999999999</v>
      </c>
      <c r="G24" s="18">
        <v>0</v>
      </c>
      <c r="H24" s="16">
        <v>0.99</v>
      </c>
      <c r="I24" s="18">
        <v>0</v>
      </c>
      <c r="J24" s="16">
        <v>8.1000000000000003E-2</v>
      </c>
      <c r="K24" s="34">
        <v>0</v>
      </c>
      <c r="L24" s="18">
        <v>0</v>
      </c>
      <c r="M24" s="17">
        <v>4.393629424766913</v>
      </c>
      <c r="N24" s="18"/>
    </row>
    <row r="25" spans="1:17" x14ac:dyDescent="0.25">
      <c r="A25" t="s">
        <v>27</v>
      </c>
      <c r="B25">
        <f t="shared" si="0"/>
        <v>24</v>
      </c>
      <c r="C25" s="16">
        <v>9</v>
      </c>
      <c r="D25" s="16">
        <v>2021</v>
      </c>
      <c r="E25" s="18">
        <f>'9 - 2021'!B31-'9 - 2021'!B30+'9 - 2021'!C31-'9 - 2021'!C30</f>
        <v>0</v>
      </c>
      <c r="F25" s="16">
        <v>0.11799999999999999</v>
      </c>
      <c r="G25" s="18">
        <f>'9 - 2021'!D31-'9 - 2021'!D30+'9 - 2021'!E31-'9 - 2021'!E30</f>
        <v>0</v>
      </c>
      <c r="H25" s="16">
        <v>0.99</v>
      </c>
      <c r="I25" s="18">
        <f>'9 - 2021'!J31-'9 - 2021'!J30</f>
        <v>0</v>
      </c>
      <c r="J25" s="16">
        <v>8.1000000000000003E-2</v>
      </c>
      <c r="K25" s="34">
        <f>'9 - 2021'!H31-'9 - 2021'!H30</f>
        <v>0</v>
      </c>
      <c r="L25" s="18">
        <f>'9 - 2021'!I31-'9 - 2021'!I30</f>
        <v>0</v>
      </c>
      <c r="M25" s="17">
        <v>4.393629424766913</v>
      </c>
      <c r="N25" s="18"/>
      <c r="P25" s="14"/>
    </row>
    <row r="26" spans="1:17" x14ac:dyDescent="0.25">
      <c r="A26" t="s">
        <v>27</v>
      </c>
      <c r="B26">
        <f>B25+1</f>
        <v>25</v>
      </c>
      <c r="C26" s="16">
        <v>9</v>
      </c>
      <c r="D26" s="16">
        <v>2021</v>
      </c>
      <c r="E26" s="18">
        <f>'9 - 2021'!B32-'9 - 2021'!B31+'9 - 2021'!C32-'9 - 2021'!C31</f>
        <v>0</v>
      </c>
      <c r="F26" s="16">
        <v>0.11799999999999999</v>
      </c>
      <c r="G26" s="18">
        <f>'9 - 2021'!D32-'9 - 2021'!D31+'9 - 2021'!E32-'9 - 2021'!E31</f>
        <v>0</v>
      </c>
      <c r="H26" s="16">
        <v>0.99</v>
      </c>
      <c r="I26" s="18">
        <f>'9 - 2021'!J32-'9 - 2021'!J31</f>
        <v>0</v>
      </c>
      <c r="J26" s="16">
        <v>8.1000000000000003E-2</v>
      </c>
      <c r="K26" s="34">
        <f>'9 - 2021'!H32-'9 - 2021'!H31</f>
        <v>0</v>
      </c>
      <c r="L26" s="18">
        <f>'9 - 2021'!I32-'9 - 2021'!I31</f>
        <v>0</v>
      </c>
      <c r="M26" s="17">
        <v>4.393629424766913</v>
      </c>
      <c r="N26" s="29"/>
    </row>
    <row r="27" spans="1:17" x14ac:dyDescent="0.25">
      <c r="A27" t="s">
        <v>27</v>
      </c>
      <c r="B27">
        <f t="shared" si="0"/>
        <v>26</v>
      </c>
      <c r="C27" s="16">
        <v>9</v>
      </c>
      <c r="D27" s="16">
        <v>2021</v>
      </c>
      <c r="E27" s="18">
        <f>'9 - 2021'!B33-'9 - 2021'!B32+'9 - 2021'!C33-'9 - 2021'!C32</f>
        <v>0</v>
      </c>
      <c r="F27" s="16">
        <v>0.11799999999999999</v>
      </c>
      <c r="G27" s="18">
        <f>'9 - 2021'!D33-'9 - 2021'!D32+'9 - 2021'!E33-'9 - 2021'!E32</f>
        <v>0</v>
      </c>
      <c r="H27" s="16">
        <v>0.99</v>
      </c>
      <c r="I27" s="18">
        <f>'9 - 2021'!J33-'9 - 2021'!J32</f>
        <v>0</v>
      </c>
      <c r="J27" s="16">
        <v>8.1000000000000003E-2</v>
      </c>
      <c r="K27" s="34">
        <f>'9 - 2021'!H33-'9 - 2021'!H32</f>
        <v>0</v>
      </c>
      <c r="L27" s="18">
        <f>'9 - 2021'!I33-'9 - 2021'!I32</f>
        <v>0</v>
      </c>
      <c r="M27" s="17">
        <v>4.393629424766913</v>
      </c>
      <c r="N27" s="29"/>
    </row>
    <row r="28" spans="1:17" x14ac:dyDescent="0.25">
      <c r="A28" t="s">
        <v>27</v>
      </c>
      <c r="B28">
        <f t="shared" si="0"/>
        <v>27</v>
      </c>
      <c r="C28" s="16">
        <v>9</v>
      </c>
      <c r="D28" s="16">
        <v>2021</v>
      </c>
      <c r="E28" s="18">
        <f>'9 - 2021'!B34-'9 - 2021'!B33+'9 - 2021'!C34-'9 - 2021'!C33</f>
        <v>0</v>
      </c>
      <c r="F28" s="16">
        <v>0.11799999999999999</v>
      </c>
      <c r="G28" s="18">
        <f>'9 - 2021'!D34-'9 - 2021'!D33+'9 - 2021'!E34-'9 - 2021'!E33</f>
        <v>0</v>
      </c>
      <c r="H28" s="16">
        <v>0.99</v>
      </c>
      <c r="I28" s="18">
        <f>'9 - 2021'!J34-'9 - 2021'!J33</f>
        <v>0</v>
      </c>
      <c r="J28" s="16">
        <v>8.1000000000000003E-2</v>
      </c>
      <c r="K28" s="34">
        <f>'9 - 2021'!H34-'9 - 2021'!H33</f>
        <v>0</v>
      </c>
      <c r="L28" s="18">
        <f>'9 - 2021'!I34-'9 - 2021'!I33</f>
        <v>0</v>
      </c>
      <c r="M28" s="17">
        <v>4.393629424766913</v>
      </c>
      <c r="N28" s="29"/>
    </row>
    <row r="29" spans="1:17" x14ac:dyDescent="0.25">
      <c r="A29" t="s">
        <v>27</v>
      </c>
      <c r="B29">
        <f t="shared" si="0"/>
        <v>28</v>
      </c>
      <c r="C29" s="16">
        <v>9</v>
      </c>
      <c r="D29" s="16">
        <v>2021</v>
      </c>
      <c r="E29" s="18">
        <f>'9 - 2021'!B35-'9 - 2021'!B34+'9 - 2021'!C35-'9 - 2021'!C34</f>
        <v>0</v>
      </c>
      <c r="F29" s="16">
        <v>0.11799999999999999</v>
      </c>
      <c r="G29" s="18">
        <f>'9 - 2021'!D35-'9 - 2021'!D34+'9 - 2021'!E35-'9 - 2021'!E34</f>
        <v>0</v>
      </c>
      <c r="H29" s="16">
        <v>0.99</v>
      </c>
      <c r="I29" s="18">
        <f>'9 - 2021'!J35-'9 - 2021'!J34</f>
        <v>0</v>
      </c>
      <c r="J29" s="16">
        <v>8.1000000000000003E-2</v>
      </c>
      <c r="K29" s="34">
        <f>'9 - 2021'!H35-'9 - 2021'!H34</f>
        <v>0</v>
      </c>
      <c r="L29" s="18">
        <f>'9 - 2021'!I35-'9 - 2021'!I34</f>
        <v>0</v>
      </c>
      <c r="M29" s="17">
        <v>4.393629424766913</v>
      </c>
      <c r="N29" s="29"/>
    </row>
    <row r="30" spans="1:17" x14ac:dyDescent="0.25">
      <c r="A30" s="16" t="s">
        <v>27</v>
      </c>
      <c r="B30" s="16">
        <f t="shared" si="0"/>
        <v>29</v>
      </c>
      <c r="C30" s="16">
        <v>9</v>
      </c>
      <c r="D30" s="16">
        <v>2021</v>
      </c>
      <c r="E30" s="18">
        <f>'9 - 2021'!B36-'9 - 2021'!B35+'9 - 2021'!C36-'9 - 2021'!C35</f>
        <v>0</v>
      </c>
      <c r="F30" s="16">
        <v>0.11799999999999999</v>
      </c>
      <c r="G30" s="18">
        <f>'9 - 2021'!D36-'9 - 2021'!D35+'9 - 2021'!E36-'9 - 2021'!E35</f>
        <v>0</v>
      </c>
      <c r="H30" s="16">
        <v>0.99</v>
      </c>
      <c r="I30" s="18">
        <f>'9 - 2021'!J36-'9 - 2021'!J35</f>
        <v>0</v>
      </c>
      <c r="J30" s="16">
        <v>8.1000000000000003E-2</v>
      </c>
      <c r="K30" s="34">
        <f>'9 - 2021'!H36-'9 - 2021'!H35</f>
        <v>0</v>
      </c>
      <c r="L30" s="18">
        <f>'9 - 2021'!I36-'9 - 2021'!I35</f>
        <v>0</v>
      </c>
      <c r="M30" s="17">
        <v>4.393629424766913</v>
      </c>
      <c r="N30" s="29"/>
    </row>
    <row r="31" spans="1:17" x14ac:dyDescent="0.25">
      <c r="A31" s="16" t="s">
        <v>27</v>
      </c>
      <c r="B31" s="16">
        <f t="shared" si="0"/>
        <v>30</v>
      </c>
      <c r="C31" s="16">
        <v>9</v>
      </c>
      <c r="D31" s="16">
        <v>2021</v>
      </c>
      <c r="E31" s="18">
        <f>'9 - 2021'!B37-'9 - 2021'!B36+'9 - 2021'!C37-'9 - 2021'!C36</f>
        <v>0</v>
      </c>
      <c r="F31" s="16">
        <v>0.11799999999999999</v>
      </c>
      <c r="G31" s="18">
        <f>'9 - 2021'!D37-'9 - 2021'!D36+'9 - 2021'!E37-'9 - 2021'!E36</f>
        <v>0</v>
      </c>
      <c r="H31" s="16">
        <v>0.99</v>
      </c>
      <c r="I31" s="18">
        <f>'9 - 2021'!J37-'9 - 2021'!J36</f>
        <v>0</v>
      </c>
      <c r="J31" s="16">
        <v>8.1000000000000003E-2</v>
      </c>
      <c r="K31" s="34">
        <f>'9 - 2021'!H37-'9 - 2021'!H36</f>
        <v>0</v>
      </c>
      <c r="L31" s="18">
        <f>'9 - 2021'!I37-'9 - 2021'!I36</f>
        <v>0</v>
      </c>
      <c r="M31" s="17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P20" sqref="P20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9</v>
      </c>
      <c r="D2">
        <v>2021</v>
      </c>
      <c r="E2" s="18">
        <f>'9 - 2021'!B8-'9 - 2021'!B7</f>
        <v>3737.2000000000698</v>
      </c>
      <c r="F2" s="18">
        <f>'9 - 2021'!C8-'9 - 2021'!C7</f>
        <v>5642</v>
      </c>
      <c r="G2" s="16">
        <v>0.11799999999999999</v>
      </c>
      <c r="H2" s="18">
        <f>'9 - 2021'!E8-'9 - 2021'!E7</f>
        <v>24.199999999999818</v>
      </c>
      <c r="I2" s="18">
        <f>'9 - 2021'!F8-'9 - 2021'!F7</f>
        <v>6.0799999999999841</v>
      </c>
      <c r="J2" s="18">
        <f>'9 - 2021'!G8-'9 - 2021'!G7</f>
        <v>29.229999999999563</v>
      </c>
      <c r="K2" s="16">
        <v>0.74</v>
      </c>
      <c r="L2" s="18">
        <v>37</v>
      </c>
      <c r="M2" s="12"/>
    </row>
    <row r="3" spans="1:13" x14ac:dyDescent="0.25">
      <c r="A3" t="s">
        <v>27</v>
      </c>
      <c r="B3">
        <f>B2+1</f>
        <v>2</v>
      </c>
      <c r="C3" s="16">
        <v>9</v>
      </c>
      <c r="D3" s="16">
        <v>2021</v>
      </c>
      <c r="E3" s="18">
        <f>'9 - 2021'!B9-'9 - 2021'!B8</f>
        <v>3699.5999999998603</v>
      </c>
      <c r="F3" s="18">
        <f>'9 - 2021'!C9-'9 - 2021'!C8</f>
        <v>5500</v>
      </c>
      <c r="G3" s="16">
        <v>0.11799999999999999</v>
      </c>
      <c r="H3" s="18">
        <f>'9 - 2021'!E9-'9 - 2021'!E8</f>
        <v>21.539999999999964</v>
      </c>
      <c r="I3" s="18">
        <f>'9 - 2021'!F9-'9 - 2021'!F8</f>
        <v>7.8199999999999932</v>
      </c>
      <c r="J3" s="18">
        <f>'9 - 2021'!G9-'9 - 2021'!G8</f>
        <v>30.490000000001601</v>
      </c>
      <c r="K3" s="16">
        <v>0.74</v>
      </c>
      <c r="L3" s="28">
        <v>35</v>
      </c>
      <c r="M3" s="12"/>
    </row>
    <row r="4" spans="1:13" x14ac:dyDescent="0.25">
      <c r="A4" t="s">
        <v>27</v>
      </c>
      <c r="B4">
        <f t="shared" ref="B4:B31" si="0">B3+1</f>
        <v>3</v>
      </c>
      <c r="C4" s="16">
        <v>9</v>
      </c>
      <c r="D4" s="16">
        <v>2021</v>
      </c>
      <c r="E4" s="18">
        <f>'9 - 2021'!B10-'9 - 2021'!B9</f>
        <v>3802.1999999999534</v>
      </c>
      <c r="F4" s="18">
        <f>'9 - 2021'!C10-'9 - 2021'!C9</f>
        <v>5751</v>
      </c>
      <c r="G4" s="16">
        <v>0.11799999999999999</v>
      </c>
      <c r="H4" s="18">
        <f>'9 - 2021'!E10-'9 - 2021'!E9</f>
        <v>24.630000000000109</v>
      </c>
      <c r="I4" s="18">
        <f>'9 - 2021'!F10-'9 - 2021'!F9</f>
        <v>7.5</v>
      </c>
      <c r="J4" s="18">
        <f>'9 - 2021'!G10-'9 - 2021'!G9</f>
        <v>30.719999999997526</v>
      </c>
      <c r="K4" s="16">
        <v>0.74</v>
      </c>
      <c r="L4" s="28">
        <v>41</v>
      </c>
      <c r="M4" s="12"/>
    </row>
    <row r="5" spans="1:13" x14ac:dyDescent="0.25">
      <c r="A5" t="s">
        <v>27</v>
      </c>
      <c r="B5">
        <f t="shared" si="0"/>
        <v>4</v>
      </c>
      <c r="C5" s="16">
        <v>9</v>
      </c>
      <c r="D5" s="16">
        <v>2021</v>
      </c>
      <c r="E5" s="18">
        <f>'9 - 2021'!B11-'9 - 2021'!B10</f>
        <v>3621.8000000000466</v>
      </c>
      <c r="F5" s="18">
        <f>'9 - 2021'!C11-'9 - 2021'!C10</f>
        <v>5618</v>
      </c>
      <c r="G5" s="16">
        <v>0.11799999999999999</v>
      </c>
      <c r="H5" s="18">
        <f>'9 - 2021'!E11-'9 - 2021'!E10</f>
        <v>23.380000000000109</v>
      </c>
      <c r="I5" s="18">
        <f>'9 - 2021'!F11-'9 - 2021'!F10</f>
        <v>5.4200000000000159</v>
      </c>
      <c r="J5" s="18">
        <f>'9 - 2021'!G11-'9 - 2021'!G10</f>
        <v>28.590000000000146</v>
      </c>
      <c r="K5" s="16">
        <v>0.74</v>
      </c>
      <c r="L5" s="28">
        <v>45</v>
      </c>
      <c r="M5" s="12"/>
    </row>
    <row r="6" spans="1:13" x14ac:dyDescent="0.25">
      <c r="A6" t="s">
        <v>27</v>
      </c>
      <c r="B6">
        <f t="shared" si="0"/>
        <v>5</v>
      </c>
      <c r="C6" s="16">
        <v>9</v>
      </c>
      <c r="D6" s="16">
        <v>2021</v>
      </c>
      <c r="E6" s="18">
        <f>'9 - 2021'!B12-'9 - 2021'!B11</f>
        <v>3704.4000000001397</v>
      </c>
      <c r="F6" s="18">
        <f>'9 - 2021'!C12-'9 - 2021'!C11</f>
        <v>5771</v>
      </c>
      <c r="G6" s="16">
        <v>0.11799999999999999</v>
      </c>
      <c r="H6" s="18">
        <f>'9 - 2021'!E12-'9 - 2021'!E11</f>
        <v>23.529999999999745</v>
      </c>
      <c r="I6" s="18">
        <f>'9 - 2021'!F12-'9 - 2021'!F11</f>
        <v>10.129999999999995</v>
      </c>
      <c r="J6" s="18">
        <f>'9 - 2021'!G12-'9 - 2021'!G11</f>
        <v>30.790000000000873</v>
      </c>
      <c r="K6" s="16">
        <v>0.74</v>
      </c>
      <c r="L6" s="28">
        <v>37</v>
      </c>
      <c r="M6" s="13"/>
    </row>
    <row r="7" spans="1:13" x14ac:dyDescent="0.25">
      <c r="A7" t="s">
        <v>27</v>
      </c>
      <c r="B7">
        <f t="shared" si="0"/>
        <v>6</v>
      </c>
      <c r="C7" s="16">
        <v>9</v>
      </c>
      <c r="D7" s="16">
        <v>2021</v>
      </c>
      <c r="E7" s="18">
        <f>'9 - 2021'!B13-'9 - 2021'!B12</f>
        <v>3708.8999999999069</v>
      </c>
      <c r="F7" s="18">
        <f>'9 - 2021'!C13-'9 - 2021'!C12</f>
        <v>5591</v>
      </c>
      <c r="G7" s="16">
        <v>0.11799999999999999</v>
      </c>
      <c r="H7" s="18">
        <f>'9 - 2021'!E13-'9 - 2021'!E12</f>
        <v>23.849999999999454</v>
      </c>
      <c r="I7" s="18">
        <f>'9 - 2021'!F13-'9 - 2021'!F12</f>
        <v>7.4699999999999704</v>
      </c>
      <c r="J7" s="18">
        <f>'9 - 2021'!G13-'9 - 2021'!G12</f>
        <v>27.509999999998399</v>
      </c>
      <c r="K7" s="16">
        <v>0.74</v>
      </c>
      <c r="L7" s="28">
        <v>39</v>
      </c>
      <c r="M7" s="13"/>
    </row>
    <row r="8" spans="1:13" x14ac:dyDescent="0.25">
      <c r="A8" t="s">
        <v>27</v>
      </c>
      <c r="B8">
        <f t="shared" si="0"/>
        <v>7</v>
      </c>
      <c r="C8" s="16">
        <v>9</v>
      </c>
      <c r="D8" s="16">
        <v>2021</v>
      </c>
      <c r="E8" s="18">
        <f>'9 - 2021'!B14-'9 - 2021'!B13</f>
        <v>3665.8000000000466</v>
      </c>
      <c r="F8" s="18">
        <f>'9 - 2021'!C14-'9 - 2021'!C13</f>
        <v>5810</v>
      </c>
      <c r="G8" s="16">
        <v>0.11799999999999999</v>
      </c>
      <c r="H8" s="18">
        <f>'9 - 2021'!E14-'9 - 2021'!E13</f>
        <v>22.980000000000473</v>
      </c>
      <c r="I8" s="18">
        <f>'9 - 2021'!F14-'9 - 2021'!F13</f>
        <v>7.3300000000000409</v>
      </c>
      <c r="J8" s="18">
        <f>'9 - 2021'!G14-'9 - 2021'!G13</f>
        <v>29.340000000000146</v>
      </c>
      <c r="K8" s="16">
        <v>0.74</v>
      </c>
      <c r="L8" s="28">
        <v>41</v>
      </c>
      <c r="M8" s="13"/>
    </row>
    <row r="9" spans="1:13" x14ac:dyDescent="0.25">
      <c r="A9" t="s">
        <v>27</v>
      </c>
      <c r="B9">
        <f t="shared" si="0"/>
        <v>8</v>
      </c>
      <c r="C9" s="16">
        <v>9</v>
      </c>
      <c r="D9" s="16">
        <v>2021</v>
      </c>
      <c r="E9" s="18">
        <f>'9 - 2021'!B15-'9 - 2021'!B14</f>
        <v>3705.1999999999534</v>
      </c>
      <c r="F9" s="18">
        <f>'9 - 2021'!C15-'9 - 2021'!C14</f>
        <v>5706</v>
      </c>
      <c r="G9" s="16">
        <v>0.11799999999999999</v>
      </c>
      <c r="H9" s="18">
        <f>'9 - 2021'!E15-'9 - 2021'!E14</f>
        <v>23.100000000000364</v>
      </c>
      <c r="I9" s="18">
        <f>'9 - 2021'!F15-'9 - 2021'!F14</f>
        <v>7.0600000000000023</v>
      </c>
      <c r="J9" s="18">
        <f>'9 - 2021'!G15-'9 - 2021'!G14</f>
        <v>29.350000000002183</v>
      </c>
      <c r="K9" s="16">
        <v>0.74</v>
      </c>
      <c r="L9" s="28">
        <v>42</v>
      </c>
      <c r="M9" s="13"/>
    </row>
    <row r="10" spans="1:13" x14ac:dyDescent="0.25">
      <c r="A10" t="s">
        <v>27</v>
      </c>
      <c r="B10">
        <f t="shared" si="0"/>
        <v>9</v>
      </c>
      <c r="C10" s="16">
        <v>9</v>
      </c>
      <c r="D10" s="16">
        <v>2021</v>
      </c>
      <c r="E10" s="18">
        <f>'9 - 2021'!B16-'9 - 2021'!B15</f>
        <v>3734.3000000000466</v>
      </c>
      <c r="F10" s="18">
        <f>'9 - 2021'!C16-'9 - 2021'!C15</f>
        <v>5737</v>
      </c>
      <c r="G10" s="16">
        <v>0.11799999999999999</v>
      </c>
      <c r="H10" s="18">
        <f>'9 - 2021'!E16-'9 - 2021'!E15</f>
        <v>25.569999999999709</v>
      </c>
      <c r="I10" s="18">
        <f>'9 - 2021'!F16-'9 - 2021'!F15</f>
        <v>6.9399999999999977</v>
      </c>
      <c r="J10" s="18">
        <f>'9 - 2021'!G16-'9 - 2021'!G15</f>
        <v>32.719999999997526</v>
      </c>
      <c r="K10" s="16">
        <v>0.74</v>
      </c>
      <c r="L10" s="28">
        <v>37</v>
      </c>
      <c r="M10" s="13"/>
    </row>
    <row r="11" spans="1:13" x14ac:dyDescent="0.25">
      <c r="A11" t="s">
        <v>27</v>
      </c>
      <c r="B11">
        <f t="shared" si="0"/>
        <v>10</v>
      </c>
      <c r="C11" s="16">
        <v>9</v>
      </c>
      <c r="D11" s="16">
        <v>2021</v>
      </c>
      <c r="E11" s="18">
        <f>'9 - 2021'!B17-'9 - 2021'!B16</f>
        <v>3737.6999999999534</v>
      </c>
      <c r="F11" s="18">
        <f>'9 - 2021'!C17-'9 - 2021'!C16</f>
        <v>5702</v>
      </c>
      <c r="G11" s="16">
        <v>0.11799999999999999</v>
      </c>
      <c r="H11" s="18">
        <f>'9 - 2021'!E17-'9 - 2021'!E16</f>
        <v>25.569999999999709</v>
      </c>
      <c r="I11" s="18">
        <f>'9 - 2021'!F17-'9 - 2021'!F16</f>
        <v>7.3700000000000045</v>
      </c>
      <c r="J11" s="18">
        <f>'9 - 2021'!G17-'9 - 2021'!G16</f>
        <v>31.790000000000873</v>
      </c>
      <c r="K11" s="16">
        <v>0.74</v>
      </c>
      <c r="L11" s="28">
        <v>44</v>
      </c>
      <c r="M11" s="13"/>
    </row>
    <row r="12" spans="1:13" x14ac:dyDescent="0.25">
      <c r="A12" t="s">
        <v>27</v>
      </c>
      <c r="B12">
        <f t="shared" si="0"/>
        <v>11</v>
      </c>
      <c r="C12" s="16">
        <v>9</v>
      </c>
      <c r="D12" s="16">
        <v>2021</v>
      </c>
      <c r="E12" s="18">
        <f>'9 - 2021'!B18-'9 - 2021'!B17</f>
        <v>3862</v>
      </c>
      <c r="F12" s="18">
        <f>'9 - 2021'!C18-'9 - 2021'!C17</f>
        <v>5669</v>
      </c>
      <c r="G12" s="16">
        <v>0.11799999999999999</v>
      </c>
      <c r="H12" s="18">
        <f>'9 - 2021'!E18-'9 - 2021'!E17</f>
        <v>24.470000000000255</v>
      </c>
      <c r="I12" s="18">
        <f>'9 - 2021'!F18-'9 - 2021'!F17</f>
        <v>6.2799999999999727</v>
      </c>
      <c r="J12" s="18">
        <f>'9 - 2021'!G18-'9 - 2021'!G17</f>
        <v>33.56000000000131</v>
      </c>
      <c r="K12" s="16">
        <v>0.74</v>
      </c>
      <c r="L12" s="18">
        <v>40</v>
      </c>
      <c r="M12" s="13"/>
    </row>
    <row r="13" spans="1:13" x14ac:dyDescent="0.25">
      <c r="A13" t="s">
        <v>27</v>
      </c>
      <c r="B13">
        <f t="shared" si="0"/>
        <v>12</v>
      </c>
      <c r="C13" s="16">
        <v>9</v>
      </c>
      <c r="D13" s="16">
        <v>2021</v>
      </c>
      <c r="E13" s="18">
        <f>'9 - 2021'!B19-'9 - 2021'!B18</f>
        <v>3821.1999999999534</v>
      </c>
      <c r="F13" s="18">
        <f>'9 - 2021'!C19-'9 - 2021'!C18</f>
        <v>5691</v>
      </c>
      <c r="G13" s="16">
        <v>0.11799999999999999</v>
      </c>
      <c r="H13" s="18">
        <f>'9 - 2021'!E19-'9 - 2021'!E18</f>
        <v>22.279999999999745</v>
      </c>
      <c r="I13" s="18">
        <f>'9 - 2021'!F19-'9 - 2021'!F18</f>
        <v>6.6100000000000136</v>
      </c>
      <c r="J13" s="18">
        <f>'9 - 2021'!G19-'9 - 2021'!G18</f>
        <v>30.599999999998545</v>
      </c>
      <c r="K13" s="16">
        <v>0.74</v>
      </c>
      <c r="L13" s="18">
        <v>25</v>
      </c>
      <c r="M13" s="13"/>
    </row>
    <row r="14" spans="1:13" x14ac:dyDescent="0.25">
      <c r="A14" t="s">
        <v>27</v>
      </c>
      <c r="B14">
        <f t="shared" si="0"/>
        <v>13</v>
      </c>
      <c r="C14" s="16">
        <v>9</v>
      </c>
      <c r="D14" s="16">
        <v>2021</v>
      </c>
      <c r="E14" s="18">
        <f>'9 - 2021'!B20-'9 - 2021'!B19</f>
        <v>3795.5</v>
      </c>
      <c r="F14" s="18">
        <f>'9 - 2021'!C20-'9 - 2021'!C19</f>
        <v>5622</v>
      </c>
      <c r="G14" s="16">
        <v>0.11799999999999999</v>
      </c>
      <c r="H14" s="18">
        <f>'9 - 2021'!E20-'9 - 2021'!E19</f>
        <v>24.279999999999745</v>
      </c>
      <c r="I14" s="18">
        <f>'9 - 2021'!F20-'9 - 2021'!F19</f>
        <v>6.1999999999999886</v>
      </c>
      <c r="J14" s="18">
        <f>'9 - 2021'!G20-'9 - 2021'!G19</f>
        <v>28.770000000004075</v>
      </c>
      <c r="K14" s="16">
        <v>0.74</v>
      </c>
      <c r="L14" s="18">
        <v>39</v>
      </c>
      <c r="M14" s="13"/>
    </row>
    <row r="15" spans="1:13" x14ac:dyDescent="0.25">
      <c r="A15" t="s">
        <v>27</v>
      </c>
      <c r="B15">
        <f t="shared" si="0"/>
        <v>14</v>
      </c>
      <c r="C15" s="16">
        <v>9</v>
      </c>
      <c r="D15" s="16">
        <v>2021</v>
      </c>
      <c r="E15" s="18">
        <f>'9 - 2021'!B21-'9 - 2021'!B20</f>
        <v>3807.3000000000466</v>
      </c>
      <c r="F15" s="18">
        <f>'9 - 2021'!C21-'9 - 2021'!C20</f>
        <v>5545</v>
      </c>
      <c r="G15" s="16">
        <v>0.11799999999999999</v>
      </c>
      <c r="H15" s="18">
        <f>'9 - 2021'!E21-'9 - 2021'!E20</f>
        <v>24.330000000000837</v>
      </c>
      <c r="I15" s="18">
        <f>'9 - 2021'!F21-'9 - 2021'!F20</f>
        <v>7.3000000000000114</v>
      </c>
      <c r="J15" s="18">
        <f>'9 - 2021'!G21-'9 - 2021'!G20</f>
        <v>28.269999999996799</v>
      </c>
      <c r="K15" s="16">
        <v>0.74</v>
      </c>
      <c r="L15" s="18">
        <v>60</v>
      </c>
      <c r="M15" s="13"/>
    </row>
    <row r="16" spans="1:13" x14ac:dyDescent="0.25">
      <c r="A16" t="s">
        <v>27</v>
      </c>
      <c r="B16">
        <f t="shared" si="0"/>
        <v>15</v>
      </c>
      <c r="C16" s="16">
        <v>9</v>
      </c>
      <c r="D16" s="16">
        <v>2021</v>
      </c>
      <c r="E16" s="18">
        <f>'9 - 2021'!B22-'9 - 2021'!B21</f>
        <v>4423</v>
      </c>
      <c r="F16" s="18">
        <f>'9 - 2021'!C22-'9 - 2021'!C21</f>
        <v>6083</v>
      </c>
      <c r="G16" s="16">
        <v>0.11799999999999999</v>
      </c>
      <c r="H16" s="18">
        <f>'9 - 2021'!E22-'9 - 2021'!E21</f>
        <v>24.369999999999891</v>
      </c>
      <c r="I16" s="18">
        <f>'9 - 2021'!F22-'9 - 2021'!F21</f>
        <v>6.8299999999999841</v>
      </c>
      <c r="J16" s="18">
        <f>'9 - 2021'!G22-'9 - 2021'!G21</f>
        <v>31.69999999999709</v>
      </c>
      <c r="K16" s="16">
        <v>0.74</v>
      </c>
      <c r="L16" s="18">
        <v>64</v>
      </c>
      <c r="M16" s="13"/>
    </row>
    <row r="17" spans="1:13" x14ac:dyDescent="0.25">
      <c r="A17" t="s">
        <v>27</v>
      </c>
      <c r="B17">
        <f t="shared" si="0"/>
        <v>16</v>
      </c>
      <c r="C17" s="16">
        <v>9</v>
      </c>
      <c r="D17" s="16">
        <v>2021</v>
      </c>
      <c r="E17" s="18">
        <f>'9 - 2021'!B23-'9 - 2021'!B22</f>
        <v>4053</v>
      </c>
      <c r="F17" s="18">
        <f>'9 - 2021'!C23-'9 - 2021'!C22</f>
        <v>5705</v>
      </c>
      <c r="G17" s="16">
        <v>0.11799999999999999</v>
      </c>
      <c r="H17" s="18">
        <f>'9 - 2021'!E23-'9 - 2021'!E22</f>
        <v>24.569999999999709</v>
      </c>
      <c r="I17" s="18">
        <f>'9 - 2021'!F23-'9 - 2021'!F22</f>
        <v>6.910000000000025</v>
      </c>
      <c r="J17" s="18">
        <f>'9 - 2021'!G23-'9 - 2021'!G22</f>
        <v>31.220000000001164</v>
      </c>
      <c r="K17" s="16">
        <v>0.74</v>
      </c>
      <c r="L17" s="18">
        <v>44</v>
      </c>
      <c r="M17" s="13"/>
    </row>
    <row r="18" spans="1:13" x14ac:dyDescent="0.25">
      <c r="A18" t="s">
        <v>27</v>
      </c>
      <c r="B18">
        <f t="shared" si="0"/>
        <v>17</v>
      </c>
      <c r="C18" s="16">
        <v>9</v>
      </c>
      <c r="D18" s="16">
        <v>2021</v>
      </c>
      <c r="E18" s="18">
        <f>'9 - 2021'!B24-'9 - 2021'!B23</f>
        <v>3930</v>
      </c>
      <c r="F18" s="18">
        <f>'9 - 2021'!C24-'9 - 2021'!C23</f>
        <v>5575</v>
      </c>
      <c r="G18" s="16">
        <v>0.11799999999999999</v>
      </c>
      <c r="H18" s="18">
        <f>'9 - 2021'!E24-'9 - 2021'!E23</f>
        <v>23.5600000000004</v>
      </c>
      <c r="I18" s="18">
        <f>'9 - 2021'!F24-'9 - 2021'!F23</f>
        <v>6.7199999999999704</v>
      </c>
      <c r="J18" s="18">
        <f>'9 - 2021'!G24-'9 - 2021'!G23</f>
        <v>30.790000000000873</v>
      </c>
      <c r="K18" s="16">
        <v>0.74</v>
      </c>
      <c r="L18" s="18">
        <v>37</v>
      </c>
      <c r="M18" s="13"/>
    </row>
    <row r="19" spans="1:13" x14ac:dyDescent="0.25">
      <c r="A19" t="s">
        <v>27</v>
      </c>
      <c r="B19">
        <f>B18+1</f>
        <v>18</v>
      </c>
      <c r="C19" s="16">
        <v>9</v>
      </c>
      <c r="D19" s="16">
        <v>2021</v>
      </c>
      <c r="E19" s="18">
        <f>'9 - 2021'!B25-'9 - 2021'!B24</f>
        <v>4117</v>
      </c>
      <c r="F19" s="18">
        <f>'9 - 2021'!C25-'9 - 2021'!C24</f>
        <v>5763</v>
      </c>
      <c r="G19" s="16">
        <v>0.11799999999999999</v>
      </c>
      <c r="H19" s="18">
        <f>'9 - 2021'!E25-'9 - 2021'!E24</f>
        <v>24.009999999999309</v>
      </c>
      <c r="I19" s="18">
        <f>'9 - 2021'!F25-'9 - 2021'!F24</f>
        <v>6.6400000000000432</v>
      </c>
      <c r="J19" s="18">
        <f>'9 - 2021'!G25-'9 - 2021'!G24</f>
        <v>29.910000000003492</v>
      </c>
      <c r="K19" s="16">
        <v>0.74</v>
      </c>
      <c r="L19" s="18">
        <v>51</v>
      </c>
      <c r="M19" s="13"/>
    </row>
    <row r="20" spans="1:13" x14ac:dyDescent="0.25">
      <c r="A20" t="s">
        <v>27</v>
      </c>
      <c r="B20">
        <f t="shared" si="0"/>
        <v>19</v>
      </c>
      <c r="C20" s="16">
        <v>9</v>
      </c>
      <c r="D20" s="16">
        <v>2021</v>
      </c>
      <c r="E20" s="18">
        <f>'9 - 2021'!B26-'9 - 2021'!B25</f>
        <v>3945</v>
      </c>
      <c r="F20" s="18">
        <f>'9 - 2021'!C26-'9 - 2021'!C25</f>
        <v>5512</v>
      </c>
      <c r="G20" s="16">
        <v>0.11799999999999999</v>
      </c>
      <c r="H20" s="18">
        <f>'9 - 2021'!E26-'9 - 2021'!E25</f>
        <v>26.150000000000546</v>
      </c>
      <c r="I20" s="18">
        <f>'9 - 2021'!F26-'9 - 2021'!F25</f>
        <v>7.4599999999999795</v>
      </c>
      <c r="J20" s="18">
        <f>'9 - 2021'!G26-'9 - 2021'!G25</f>
        <v>29.430000000000291</v>
      </c>
      <c r="K20" s="16">
        <v>0.74</v>
      </c>
      <c r="L20" s="6">
        <v>40</v>
      </c>
      <c r="M20" s="13"/>
    </row>
    <row r="21" spans="1:13" x14ac:dyDescent="0.25">
      <c r="A21" t="s">
        <v>27</v>
      </c>
      <c r="B21">
        <f t="shared" si="0"/>
        <v>20</v>
      </c>
      <c r="C21" s="16">
        <v>9</v>
      </c>
      <c r="D21" s="16">
        <v>2021</v>
      </c>
      <c r="E21" s="18">
        <f>'9 - 2021'!B27-'9 - 2021'!B26</f>
        <v>4094</v>
      </c>
      <c r="F21" s="18">
        <f>'9 - 2021'!C27-'9 - 2021'!C26</f>
        <v>5662</v>
      </c>
      <c r="G21" s="16">
        <v>0.11799999999999999</v>
      </c>
      <c r="H21" s="18">
        <f>'9 - 2021'!E27-'9 - 2021'!E26</f>
        <v>23.090000000000146</v>
      </c>
      <c r="I21" s="18">
        <f>'9 - 2021'!F27-'9 - 2021'!F26</f>
        <v>6.9499999999999886</v>
      </c>
      <c r="J21" s="18">
        <f>'9 - 2021'!G27-'9 - 2021'!G26</f>
        <v>29.049999999995634</v>
      </c>
      <c r="K21" s="16">
        <v>0.74</v>
      </c>
      <c r="L21" s="6">
        <v>45</v>
      </c>
      <c r="M21" s="13"/>
    </row>
    <row r="22" spans="1:13" x14ac:dyDescent="0.25">
      <c r="A22" t="s">
        <v>27</v>
      </c>
      <c r="B22">
        <f t="shared" si="0"/>
        <v>21</v>
      </c>
      <c r="C22" s="16">
        <v>9</v>
      </c>
      <c r="D22" s="16">
        <v>2021</v>
      </c>
      <c r="E22" s="18">
        <f>'9 - 2021'!B28-'9 - 2021'!B27</f>
        <v>3982</v>
      </c>
      <c r="F22" s="18">
        <f>'9 - 2021'!C28-'9 - 2021'!C27</f>
        <v>5723</v>
      </c>
      <c r="G22" s="16">
        <v>0.11799999999999999</v>
      </c>
      <c r="H22" s="18">
        <f>'9 - 2021'!E28-'9 - 2021'!E27</f>
        <v>24.819999999999709</v>
      </c>
      <c r="I22" s="18">
        <f>'9 - 2021'!F28-'9 - 2021'!F27</f>
        <v>7.9599999999999795</v>
      </c>
      <c r="J22" s="18">
        <f>'9 - 2021'!G28-'9 - 2021'!G27</f>
        <v>32.400000000001455</v>
      </c>
      <c r="K22" s="16">
        <v>0.74</v>
      </c>
      <c r="L22" s="18">
        <v>79</v>
      </c>
      <c r="M22" s="13"/>
    </row>
    <row r="23" spans="1:13" x14ac:dyDescent="0.25">
      <c r="A23" t="s">
        <v>27</v>
      </c>
      <c r="B23">
        <f t="shared" si="0"/>
        <v>22</v>
      </c>
      <c r="C23" s="16">
        <v>9</v>
      </c>
      <c r="D23" s="16">
        <v>2021</v>
      </c>
      <c r="E23" s="18">
        <f>'9 - 2021'!B29-'9 - 2021'!B28</f>
        <v>3910</v>
      </c>
      <c r="F23" s="18">
        <f>'9 - 2021'!C29-'9 - 2021'!C28</f>
        <v>5676</v>
      </c>
      <c r="G23" s="16">
        <v>0.11799999999999999</v>
      </c>
      <c r="H23" s="18">
        <f>'9 - 2021'!E29-'9 - 2021'!E28</f>
        <v>24.729999999999563</v>
      </c>
      <c r="I23" s="18">
        <f>'9 - 2021'!F29-'9 - 2021'!F28</f>
        <v>6.4800000000000182</v>
      </c>
      <c r="J23" s="18">
        <f>'9 - 2021'!G29-'9 - 2021'!G28</f>
        <v>29.19999999999709</v>
      </c>
      <c r="K23" s="16">
        <v>0.74</v>
      </c>
      <c r="L23" s="18">
        <v>83</v>
      </c>
      <c r="M23" s="13"/>
    </row>
    <row r="24" spans="1:13" x14ac:dyDescent="0.25">
      <c r="A24" t="s">
        <v>27</v>
      </c>
      <c r="B24">
        <f t="shared" si="0"/>
        <v>23</v>
      </c>
      <c r="C24" s="16">
        <v>9</v>
      </c>
      <c r="D24" s="16">
        <v>2021</v>
      </c>
      <c r="E24" s="45">
        <v>0</v>
      </c>
      <c r="F24" s="18">
        <v>0</v>
      </c>
      <c r="G24" s="16">
        <v>0.11799999999999999</v>
      </c>
      <c r="H24" s="18">
        <v>0</v>
      </c>
      <c r="I24" s="18">
        <v>0</v>
      </c>
      <c r="J24" s="18">
        <v>0</v>
      </c>
      <c r="K24" s="16">
        <v>0.74</v>
      </c>
      <c r="L24" s="18"/>
      <c r="M24" s="13"/>
    </row>
    <row r="25" spans="1:13" x14ac:dyDescent="0.25">
      <c r="A25" t="s">
        <v>27</v>
      </c>
      <c r="B25">
        <f t="shared" si="0"/>
        <v>24</v>
      </c>
      <c r="C25" s="16">
        <v>9</v>
      </c>
      <c r="D25" s="16">
        <v>2021</v>
      </c>
      <c r="E25" s="45">
        <f>'9 - 2021'!B31-'9 - 2021'!B30</f>
        <v>0</v>
      </c>
      <c r="F25" s="18">
        <f>'9 - 2021'!C31-'9 - 2021'!C30</f>
        <v>0</v>
      </c>
      <c r="G25" s="16">
        <v>0.11799999999999999</v>
      </c>
      <c r="H25" s="18">
        <f>'9 - 2021'!E31-'9 - 2021'!E30</f>
        <v>0</v>
      </c>
      <c r="I25" s="18">
        <f>'9 - 2021'!F31-'9 - 2021'!F30</f>
        <v>0</v>
      </c>
      <c r="J25" s="18">
        <f>'9 - 2021'!G31-'9 - 2021'!G30</f>
        <v>0</v>
      </c>
      <c r="K25" s="16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6">
        <v>9</v>
      </c>
      <c r="D26" s="16">
        <v>2021</v>
      </c>
      <c r="E26" s="45">
        <f>'9 - 2021'!B32-'9 - 2021'!B31</f>
        <v>0</v>
      </c>
      <c r="F26" s="18">
        <f>'9 - 2021'!C32-'9 - 2021'!C31</f>
        <v>0</v>
      </c>
      <c r="G26" s="16">
        <v>0.11799999999999999</v>
      </c>
      <c r="H26" s="18">
        <f>'9 - 2021'!E32-'9 - 2021'!E31</f>
        <v>0</v>
      </c>
      <c r="I26" s="18">
        <f>'9 - 2021'!F32-'9 - 2021'!F31</f>
        <v>0</v>
      </c>
      <c r="J26" s="18">
        <f>'9 - 2021'!G32-'9 - 2021'!G31</f>
        <v>0</v>
      </c>
      <c r="K26" s="16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6">
        <v>9</v>
      </c>
      <c r="D27" s="16">
        <v>2021</v>
      </c>
      <c r="E27" s="45">
        <f>'9 - 2021'!B33-'9 - 2021'!B32</f>
        <v>0</v>
      </c>
      <c r="F27" s="18">
        <f>'9 - 2021'!C33-'9 - 2021'!C32</f>
        <v>0</v>
      </c>
      <c r="G27" s="16">
        <v>0.11799999999999999</v>
      </c>
      <c r="H27" s="18">
        <f>'9 - 2021'!E33-'9 - 2021'!E32</f>
        <v>0</v>
      </c>
      <c r="I27" s="18">
        <f>'9 - 2021'!F33-'9 - 2021'!F32</f>
        <v>0</v>
      </c>
      <c r="J27" s="18">
        <f>'9 - 2021'!G33-'9 - 2021'!G32</f>
        <v>0</v>
      </c>
      <c r="K27" s="16">
        <v>0.74</v>
      </c>
      <c r="L27" s="18"/>
      <c r="M27" s="13"/>
    </row>
    <row r="28" spans="1:13" x14ac:dyDescent="0.25">
      <c r="A28" t="s">
        <v>27</v>
      </c>
      <c r="B28">
        <f t="shared" si="0"/>
        <v>27</v>
      </c>
      <c r="C28" s="16">
        <v>9</v>
      </c>
      <c r="D28" s="16">
        <v>2021</v>
      </c>
      <c r="E28" s="45">
        <f>'9 - 2021'!B34-'9 - 2021'!B33</f>
        <v>0</v>
      </c>
      <c r="F28" s="18">
        <f>'9 - 2021'!C34-'9 - 2021'!C33</f>
        <v>0</v>
      </c>
      <c r="G28" s="16">
        <v>0.11799999999999999</v>
      </c>
      <c r="H28" s="18">
        <f>'9 - 2021'!E34-'9 - 2021'!E33</f>
        <v>0</v>
      </c>
      <c r="I28" s="18">
        <f>'9 - 2021'!F34-'9 - 2021'!F33</f>
        <v>0</v>
      </c>
      <c r="J28" s="18">
        <f>'9 - 2021'!G34-'9 - 2021'!G33</f>
        <v>0</v>
      </c>
      <c r="K28" s="16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6">
        <v>9</v>
      </c>
      <c r="D29" s="16">
        <v>2021</v>
      </c>
      <c r="E29" s="18">
        <f>'9 - 2021'!B35-'9 - 2021'!B34</f>
        <v>0</v>
      </c>
      <c r="F29" s="18">
        <f>'9 - 2021'!C35-'9 - 2021'!C34</f>
        <v>0</v>
      </c>
      <c r="G29" s="16">
        <v>0.11799999999999999</v>
      </c>
      <c r="H29" s="18">
        <f>'9 - 2021'!E35-'9 - 2021'!E34</f>
        <v>0</v>
      </c>
      <c r="I29" s="18">
        <f>'9 - 2021'!F35-'9 - 2021'!F34</f>
        <v>0</v>
      </c>
      <c r="J29" s="18">
        <f>'9 - 2021'!G35-'9 - 2021'!G34</f>
        <v>0</v>
      </c>
      <c r="K29" s="16">
        <v>0.74</v>
      </c>
      <c r="L29" s="6"/>
      <c r="M29" s="13"/>
    </row>
    <row r="30" spans="1:13" x14ac:dyDescent="0.25">
      <c r="A30" s="16" t="s">
        <v>27</v>
      </c>
      <c r="B30" s="16">
        <f t="shared" si="0"/>
        <v>29</v>
      </c>
      <c r="C30" s="16">
        <v>9</v>
      </c>
      <c r="D30" s="16">
        <v>2021</v>
      </c>
      <c r="E30" s="18">
        <f>'9 - 2021'!B36-'9 - 2021'!B35</f>
        <v>0</v>
      </c>
      <c r="F30" s="18">
        <f>'9 - 2021'!C36-'9 - 2021'!C35</f>
        <v>0</v>
      </c>
      <c r="G30" s="16">
        <v>0.11799999999999999</v>
      </c>
      <c r="H30" s="18">
        <f>'9 - 2021'!E36-'9 - 2021'!E35</f>
        <v>0</v>
      </c>
      <c r="I30" s="18">
        <f>'9 - 2021'!F36-'9 - 2021'!F35</f>
        <v>0</v>
      </c>
      <c r="J30" s="18">
        <f>'9 - 2021'!G36-'9 - 2021'!G35</f>
        <v>0</v>
      </c>
      <c r="K30" s="16">
        <v>0.74</v>
      </c>
      <c r="L30" s="18"/>
    </row>
    <row r="31" spans="1:13" x14ac:dyDescent="0.25">
      <c r="A31" s="16" t="s">
        <v>27</v>
      </c>
      <c r="B31" s="16">
        <f t="shared" si="0"/>
        <v>30</v>
      </c>
      <c r="C31" s="16">
        <v>9</v>
      </c>
      <c r="D31" s="16">
        <v>2021</v>
      </c>
      <c r="E31" s="18">
        <f>'9 - 2021'!B37-'9 - 2021'!B36</f>
        <v>0</v>
      </c>
      <c r="F31" s="18">
        <f>'9 - 2021'!C37-'9 - 2021'!C36</f>
        <v>0</v>
      </c>
      <c r="G31" s="16">
        <v>0.11799999999999999</v>
      </c>
      <c r="H31" s="18">
        <f>'9 - 2021'!E37-'9 - 2021'!E36</f>
        <v>0</v>
      </c>
      <c r="I31" s="18">
        <f>'9 - 2021'!F37-'9 - 2021'!F36</f>
        <v>0</v>
      </c>
      <c r="J31" s="18">
        <f>'9 - 2021'!G37-'9 - 2021'!G36</f>
        <v>0</v>
      </c>
      <c r="K31" s="16">
        <v>0.74</v>
      </c>
      <c r="L31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"/>
  <sheetViews>
    <sheetView tabSelected="1" zoomScaleNormal="100" workbookViewId="0">
      <selection activeCell="M22" sqref="M22"/>
    </sheetView>
  </sheetViews>
  <sheetFormatPr defaultRowHeight="15" x14ac:dyDescent="0.25"/>
  <cols>
    <col min="1" max="1" width="13.5703125" style="16" customWidth="1"/>
    <col min="2" max="2" width="12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93" t="s">
        <v>30</v>
      </c>
      <c r="B3" s="93"/>
      <c r="C3" s="93"/>
      <c r="D3" s="93"/>
      <c r="E3" s="93"/>
      <c r="F3" s="93"/>
      <c r="G3" s="93"/>
      <c r="H3" s="93"/>
      <c r="I3" s="93"/>
      <c r="J3" s="93"/>
    </row>
    <row r="4" spans="1:17" ht="16.5" thickBot="1" x14ac:dyDescent="0.3">
      <c r="A4" s="94" t="s">
        <v>37</v>
      </c>
      <c r="B4" s="94"/>
      <c r="C4" s="94"/>
      <c r="D4" s="94"/>
      <c r="E4" s="94"/>
      <c r="F4" s="94"/>
      <c r="G4" s="94"/>
      <c r="H4" s="94"/>
      <c r="I4" s="94"/>
      <c r="J4" s="94"/>
    </row>
    <row r="5" spans="1:17" ht="16.5" thickBot="1" x14ac:dyDescent="0.3">
      <c r="A5" s="2"/>
      <c r="B5" s="95" t="s">
        <v>36</v>
      </c>
      <c r="C5" s="96"/>
      <c r="D5" s="95" t="s">
        <v>0</v>
      </c>
      <c r="E5" s="97"/>
      <c r="F5" s="97"/>
      <c r="G5" s="98"/>
      <c r="H5" s="99" t="s">
        <v>1</v>
      </c>
      <c r="I5" s="100"/>
      <c r="J5" s="19" t="s">
        <v>2</v>
      </c>
      <c r="K5" s="3"/>
    </row>
    <row r="6" spans="1:17" ht="12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9" t="s">
        <v>31</v>
      </c>
      <c r="L6" s="50" t="s">
        <v>32</v>
      </c>
    </row>
    <row r="7" spans="1:17" s="14" customFormat="1" ht="12.95" customHeight="1" x14ac:dyDescent="0.25">
      <c r="A7" s="51">
        <v>44439</v>
      </c>
      <c r="B7" s="52">
        <v>1048520.9</v>
      </c>
      <c r="C7" s="53">
        <v>343357</v>
      </c>
      <c r="D7" s="54">
        <v>0.78</v>
      </c>
      <c r="E7" s="44">
        <v>5121.1000000000004</v>
      </c>
      <c r="F7" s="40">
        <v>219.36</v>
      </c>
      <c r="G7" s="40">
        <v>32462.77</v>
      </c>
      <c r="H7" s="52">
        <v>14528</v>
      </c>
      <c r="I7" s="52">
        <v>129480</v>
      </c>
      <c r="J7" s="52">
        <v>49877280</v>
      </c>
      <c r="K7" s="81"/>
      <c r="L7" s="32"/>
      <c r="M7" s="26"/>
    </row>
    <row r="8" spans="1:17" s="60" customFormat="1" ht="12.95" customHeight="1" x14ac:dyDescent="0.25">
      <c r="A8" s="25">
        <f>A7+1</f>
        <v>44440</v>
      </c>
      <c r="B8" s="55">
        <v>1052258.1000000001</v>
      </c>
      <c r="C8" s="55">
        <v>348999</v>
      </c>
      <c r="D8" s="56">
        <v>0.73</v>
      </c>
      <c r="E8" s="57">
        <v>5145.3</v>
      </c>
      <c r="F8" s="57">
        <v>225.44</v>
      </c>
      <c r="G8" s="55">
        <v>32492</v>
      </c>
      <c r="H8" s="55">
        <v>14528</v>
      </c>
      <c r="I8" s="55">
        <v>129575</v>
      </c>
      <c r="J8" s="55">
        <v>49909468</v>
      </c>
      <c r="K8" s="58"/>
      <c r="L8" s="82"/>
      <c r="M8" s="59"/>
    </row>
    <row r="9" spans="1:17" s="60" customFormat="1" ht="12.95" customHeight="1" x14ac:dyDescent="0.25">
      <c r="A9" s="25">
        <f t="shared" ref="A9:A38" si="0">A8+1</f>
        <v>44441</v>
      </c>
      <c r="B9" s="61">
        <v>1055957.7</v>
      </c>
      <c r="C9" s="38">
        <v>354499</v>
      </c>
      <c r="D9" s="62">
        <v>0.65</v>
      </c>
      <c r="E9" s="38">
        <v>5166.84</v>
      </c>
      <c r="F9" s="38">
        <v>233.26</v>
      </c>
      <c r="G9" s="38">
        <v>32522.49</v>
      </c>
      <c r="H9" s="61">
        <v>14528</v>
      </c>
      <c r="I9" s="63">
        <v>129671</v>
      </c>
      <c r="J9" s="63">
        <v>49941460</v>
      </c>
      <c r="K9" s="64"/>
      <c r="L9" s="83"/>
      <c r="M9" s="59"/>
    </row>
    <row r="10" spans="1:17" s="60" customFormat="1" ht="12.95" customHeight="1" x14ac:dyDescent="0.25">
      <c r="A10" s="25">
        <f t="shared" si="0"/>
        <v>44442</v>
      </c>
      <c r="B10" s="63">
        <v>1059759.8999999999</v>
      </c>
      <c r="C10" s="63">
        <v>360250</v>
      </c>
      <c r="D10" s="62">
        <v>0.59</v>
      </c>
      <c r="E10" s="38">
        <v>5191.47</v>
      </c>
      <c r="F10" s="38">
        <v>240.76</v>
      </c>
      <c r="G10" s="38">
        <v>32553.21</v>
      </c>
      <c r="H10" s="61">
        <v>14528</v>
      </c>
      <c r="I10" s="63">
        <v>129765</v>
      </c>
      <c r="J10" s="43">
        <v>49975500</v>
      </c>
      <c r="K10" s="64"/>
      <c r="L10" s="84"/>
      <c r="M10" s="59"/>
    </row>
    <row r="11" spans="1:17" s="60" customFormat="1" ht="12.95" customHeight="1" x14ac:dyDescent="0.25">
      <c r="A11" s="25">
        <f t="shared" si="0"/>
        <v>44443</v>
      </c>
      <c r="B11" s="63">
        <v>1063381.7</v>
      </c>
      <c r="C11" s="63">
        <v>365868</v>
      </c>
      <c r="D11" s="62">
        <v>0.52</v>
      </c>
      <c r="E11" s="38">
        <v>5214.8500000000004</v>
      </c>
      <c r="F11" s="38">
        <v>246.18</v>
      </c>
      <c r="G11" s="38">
        <v>32581.8</v>
      </c>
      <c r="H11" s="61">
        <v>14528</v>
      </c>
      <c r="I11" s="63">
        <v>129860</v>
      </c>
      <c r="J11" s="63">
        <v>50010230</v>
      </c>
      <c r="K11" s="64"/>
      <c r="L11" s="84"/>
      <c r="M11" s="59"/>
    </row>
    <row r="12" spans="1:17" s="60" customFormat="1" ht="12.95" customHeight="1" x14ac:dyDescent="0.25">
      <c r="A12" s="25">
        <f t="shared" si="0"/>
        <v>44444</v>
      </c>
      <c r="B12" s="61">
        <v>1067086.1000000001</v>
      </c>
      <c r="C12" s="61">
        <v>371639</v>
      </c>
      <c r="D12" s="62">
        <v>0.45</v>
      </c>
      <c r="E12" s="61">
        <v>5238.38</v>
      </c>
      <c r="F12" s="61">
        <v>256.31</v>
      </c>
      <c r="G12" s="61">
        <v>32612.59</v>
      </c>
      <c r="H12" s="61">
        <v>14528</v>
      </c>
      <c r="I12" s="61">
        <v>129953</v>
      </c>
      <c r="J12" s="61">
        <v>50041890</v>
      </c>
      <c r="K12" s="64"/>
      <c r="L12" s="84"/>
      <c r="M12" s="59"/>
      <c r="N12" s="59"/>
    </row>
    <row r="13" spans="1:17" s="60" customFormat="1" ht="12.95" customHeight="1" x14ac:dyDescent="0.25">
      <c r="A13" s="25">
        <f t="shared" si="0"/>
        <v>44445</v>
      </c>
      <c r="B13" s="85">
        <v>1070795</v>
      </c>
      <c r="C13" s="38">
        <v>377230</v>
      </c>
      <c r="D13" s="62">
        <v>0.38</v>
      </c>
      <c r="E13" s="38">
        <v>5262.23</v>
      </c>
      <c r="F13" s="38">
        <v>263.77999999999997</v>
      </c>
      <c r="G13" s="38">
        <v>32640.1</v>
      </c>
      <c r="H13" s="63">
        <v>14528</v>
      </c>
      <c r="I13" s="38">
        <v>130043</v>
      </c>
      <c r="J13" s="38">
        <v>50071340</v>
      </c>
      <c r="K13" s="64"/>
      <c r="L13" s="48"/>
      <c r="M13" s="59"/>
      <c r="N13" s="65"/>
      <c r="O13" s="65"/>
      <c r="P13" s="65"/>
      <c r="Q13" s="65"/>
    </row>
    <row r="14" spans="1:17" s="60" customFormat="1" ht="12.95" customHeight="1" x14ac:dyDescent="0.25">
      <c r="A14" s="25">
        <f t="shared" si="0"/>
        <v>44446</v>
      </c>
      <c r="B14" s="63">
        <v>1074460.8</v>
      </c>
      <c r="C14" s="63">
        <v>383040</v>
      </c>
      <c r="D14" s="62">
        <v>0.32</v>
      </c>
      <c r="E14" s="38">
        <v>5285.21</v>
      </c>
      <c r="F14" s="38">
        <v>271.11</v>
      </c>
      <c r="G14" s="38">
        <v>32669.439999999999</v>
      </c>
      <c r="H14" s="63">
        <v>14528</v>
      </c>
      <c r="I14" s="63">
        <v>130134</v>
      </c>
      <c r="J14" s="63">
        <v>50105100</v>
      </c>
      <c r="K14" s="64"/>
      <c r="L14" s="84"/>
      <c r="M14" s="59"/>
      <c r="N14" s="65"/>
      <c r="O14" s="65"/>
      <c r="P14" s="65"/>
      <c r="Q14" s="65"/>
    </row>
    <row r="15" spans="1:17" s="60" customFormat="1" ht="12.95" customHeight="1" x14ac:dyDescent="0.25">
      <c r="A15" s="25">
        <f t="shared" si="0"/>
        <v>44447</v>
      </c>
      <c r="B15" s="63">
        <v>1078166</v>
      </c>
      <c r="C15" s="63">
        <v>388746</v>
      </c>
      <c r="D15" s="62">
        <v>0.85</v>
      </c>
      <c r="E15" s="38">
        <v>5308.31</v>
      </c>
      <c r="F15" s="66">
        <v>278.17</v>
      </c>
      <c r="G15" s="38">
        <v>32698.79</v>
      </c>
      <c r="H15" s="63">
        <v>14528</v>
      </c>
      <c r="I15" s="63">
        <v>130226</v>
      </c>
      <c r="J15" s="63">
        <v>50145778</v>
      </c>
      <c r="K15" s="64"/>
      <c r="L15" s="84"/>
      <c r="M15" s="59"/>
      <c r="N15" s="65"/>
      <c r="O15" s="65"/>
      <c r="P15" s="65"/>
      <c r="Q15" s="65"/>
    </row>
    <row r="16" spans="1:17" s="60" customFormat="1" ht="12.95" customHeight="1" x14ac:dyDescent="0.25">
      <c r="A16" s="25">
        <f t="shared" si="0"/>
        <v>44448</v>
      </c>
      <c r="B16" s="67">
        <v>1081900.3</v>
      </c>
      <c r="C16" s="63">
        <v>394483</v>
      </c>
      <c r="D16" s="62">
        <v>0.75</v>
      </c>
      <c r="E16" s="38">
        <v>5333.88</v>
      </c>
      <c r="F16" s="66">
        <v>285.11</v>
      </c>
      <c r="G16" s="38">
        <v>32731.51</v>
      </c>
      <c r="H16" s="63">
        <v>14528</v>
      </c>
      <c r="I16" s="63">
        <v>130324</v>
      </c>
      <c r="J16" s="63">
        <v>50184566</v>
      </c>
      <c r="K16" s="64"/>
      <c r="L16" s="84"/>
      <c r="M16" s="59"/>
      <c r="N16" s="65"/>
      <c r="O16" s="65"/>
      <c r="P16" s="65"/>
      <c r="Q16" s="65"/>
    </row>
    <row r="17" spans="1:19" s="60" customFormat="1" ht="12.95" customHeight="1" x14ac:dyDescent="0.25">
      <c r="A17" s="25">
        <f t="shared" si="0"/>
        <v>44449</v>
      </c>
      <c r="B17" s="38">
        <v>1085638</v>
      </c>
      <c r="C17" s="38">
        <v>400185</v>
      </c>
      <c r="D17" s="68">
        <v>0.65</v>
      </c>
      <c r="E17" s="38">
        <v>5359.45</v>
      </c>
      <c r="F17" s="66">
        <v>292.48</v>
      </c>
      <c r="G17" s="38">
        <v>32763.3</v>
      </c>
      <c r="H17" s="63">
        <v>14528</v>
      </c>
      <c r="I17" s="38">
        <v>130422</v>
      </c>
      <c r="J17" s="38">
        <v>50225741</v>
      </c>
      <c r="K17" s="64"/>
      <c r="L17" s="84"/>
      <c r="M17" s="59"/>
      <c r="N17" s="65"/>
      <c r="O17" s="65"/>
      <c r="P17" s="65"/>
      <c r="Q17" s="65"/>
    </row>
    <row r="18" spans="1:19" s="60" customFormat="1" ht="12.95" customHeight="1" x14ac:dyDescent="0.25">
      <c r="A18" s="25">
        <f t="shared" si="0"/>
        <v>44450</v>
      </c>
      <c r="B18" s="63">
        <v>1089500</v>
      </c>
      <c r="C18" s="63">
        <v>405854</v>
      </c>
      <c r="D18" s="62">
        <v>0.56999999999999995</v>
      </c>
      <c r="E18" s="38">
        <v>5383.92</v>
      </c>
      <c r="F18" s="38">
        <v>298.76</v>
      </c>
      <c r="G18" s="38">
        <v>32796.86</v>
      </c>
      <c r="H18" s="63">
        <v>14528</v>
      </c>
      <c r="I18" s="63">
        <v>130521</v>
      </c>
      <c r="J18" s="63">
        <v>50267477</v>
      </c>
      <c r="K18" s="64"/>
      <c r="L18" s="84"/>
      <c r="M18" s="59"/>
      <c r="N18" s="65"/>
      <c r="O18" s="69"/>
      <c r="P18" s="65"/>
      <c r="Q18" s="65"/>
    </row>
    <row r="19" spans="1:19" s="60" customFormat="1" ht="12.95" customHeight="1" x14ac:dyDescent="0.25">
      <c r="A19" s="25">
        <f t="shared" si="0"/>
        <v>44451</v>
      </c>
      <c r="B19" s="42">
        <v>1093321.2</v>
      </c>
      <c r="C19" s="42">
        <v>411545</v>
      </c>
      <c r="D19" s="62">
        <v>0.48</v>
      </c>
      <c r="E19" s="38">
        <v>5406.2</v>
      </c>
      <c r="F19" s="38">
        <v>305.37</v>
      </c>
      <c r="G19" s="39">
        <v>32827.46</v>
      </c>
      <c r="H19" s="63">
        <v>14528</v>
      </c>
      <c r="I19" s="42">
        <v>130615</v>
      </c>
      <c r="J19" s="42">
        <v>50307073</v>
      </c>
      <c r="K19" s="64"/>
      <c r="L19" s="48"/>
      <c r="M19" s="59"/>
      <c r="N19" s="65"/>
      <c r="O19" s="69"/>
      <c r="P19" s="65"/>
      <c r="Q19" s="65"/>
    </row>
    <row r="20" spans="1:19" s="60" customFormat="1" ht="12.95" customHeight="1" x14ac:dyDescent="0.25">
      <c r="A20" s="25">
        <f t="shared" si="0"/>
        <v>44452</v>
      </c>
      <c r="B20" s="42">
        <v>1097116.7</v>
      </c>
      <c r="C20" s="42">
        <v>417167</v>
      </c>
      <c r="D20" s="62">
        <v>0.42</v>
      </c>
      <c r="E20" s="61">
        <v>5430.48</v>
      </c>
      <c r="F20" s="61">
        <v>311.57</v>
      </c>
      <c r="G20" s="39">
        <v>32856.230000000003</v>
      </c>
      <c r="H20" s="63">
        <v>14528</v>
      </c>
      <c r="I20" s="42">
        <v>130702</v>
      </c>
      <c r="J20" s="42">
        <v>50343474</v>
      </c>
      <c r="K20" s="64"/>
      <c r="L20" s="86"/>
      <c r="M20" s="59"/>
      <c r="N20" s="70"/>
      <c r="O20" s="65"/>
      <c r="P20" s="65"/>
      <c r="Q20" s="65"/>
    </row>
    <row r="21" spans="1:19" s="60" customFormat="1" ht="12.95" customHeight="1" x14ac:dyDescent="0.25">
      <c r="A21" s="25">
        <f t="shared" si="0"/>
        <v>44453</v>
      </c>
      <c r="B21" s="42">
        <v>1100924</v>
      </c>
      <c r="C21" s="42">
        <v>422712</v>
      </c>
      <c r="D21" s="62">
        <v>0.36</v>
      </c>
      <c r="E21" s="39">
        <v>5454.81</v>
      </c>
      <c r="F21" s="38">
        <v>318.87</v>
      </c>
      <c r="G21" s="39">
        <v>32884.5</v>
      </c>
      <c r="H21" s="63">
        <v>14528</v>
      </c>
      <c r="I21" s="42">
        <v>130790</v>
      </c>
      <c r="J21" s="42">
        <v>50380840</v>
      </c>
      <c r="K21" s="64"/>
      <c r="L21" s="86"/>
      <c r="M21" s="59"/>
      <c r="N21" s="70"/>
      <c r="O21" s="70"/>
      <c r="P21" s="71"/>
      <c r="Q21" s="71"/>
      <c r="S21" s="59"/>
    </row>
    <row r="22" spans="1:19" s="60" customFormat="1" ht="12.95" customHeight="1" x14ac:dyDescent="0.25">
      <c r="A22" s="25">
        <f t="shared" si="0"/>
        <v>44454</v>
      </c>
      <c r="B22" s="61">
        <v>1105347</v>
      </c>
      <c r="C22" s="67">
        <v>428795</v>
      </c>
      <c r="D22" s="62">
        <v>0.3</v>
      </c>
      <c r="E22" s="38">
        <v>5479.18</v>
      </c>
      <c r="F22" s="38">
        <v>325.7</v>
      </c>
      <c r="G22" s="39">
        <v>32916.199999999997</v>
      </c>
      <c r="H22" s="63">
        <v>14528</v>
      </c>
      <c r="I22" s="39">
        <v>130891</v>
      </c>
      <c r="J22" s="42">
        <v>50424580</v>
      </c>
      <c r="K22" s="64"/>
      <c r="L22" s="86"/>
      <c r="M22" s="59"/>
      <c r="N22" s="70"/>
      <c r="O22" s="70"/>
      <c r="P22" s="65"/>
      <c r="Q22" s="65"/>
    </row>
    <row r="23" spans="1:19" s="60" customFormat="1" ht="12.95" customHeight="1" x14ac:dyDescent="0.25">
      <c r="A23" s="25">
        <f t="shared" si="0"/>
        <v>44455</v>
      </c>
      <c r="B23" s="42">
        <v>1109400</v>
      </c>
      <c r="C23" s="42">
        <v>434500</v>
      </c>
      <c r="D23" s="62">
        <v>0.8</v>
      </c>
      <c r="E23" s="39">
        <v>5503.75</v>
      </c>
      <c r="F23" s="38">
        <v>332.61</v>
      </c>
      <c r="G23" s="39">
        <v>32947.42</v>
      </c>
      <c r="H23" s="63">
        <v>14528</v>
      </c>
      <c r="I23" s="42">
        <v>130982</v>
      </c>
      <c r="J23" s="42">
        <v>50464000</v>
      </c>
      <c r="K23" s="64"/>
      <c r="L23" s="86"/>
      <c r="M23" s="59"/>
      <c r="N23" s="70"/>
      <c r="O23" s="65"/>
      <c r="P23" s="65"/>
      <c r="Q23" s="65"/>
    </row>
    <row r="24" spans="1:19" s="60" customFormat="1" ht="12.95" customHeight="1" x14ac:dyDescent="0.25">
      <c r="A24" s="25">
        <f t="shared" si="0"/>
        <v>44456</v>
      </c>
      <c r="B24" s="42">
        <v>1113330</v>
      </c>
      <c r="C24" s="42">
        <v>440075</v>
      </c>
      <c r="D24" s="62">
        <v>0.74</v>
      </c>
      <c r="E24" s="39">
        <v>5527.31</v>
      </c>
      <c r="F24" s="38">
        <v>339.33</v>
      </c>
      <c r="G24" s="39">
        <v>32978.21</v>
      </c>
      <c r="H24" s="63">
        <v>14528</v>
      </c>
      <c r="I24" s="42">
        <v>131078</v>
      </c>
      <c r="J24" s="42">
        <v>50498600</v>
      </c>
      <c r="K24" s="64"/>
      <c r="L24" s="87"/>
      <c r="M24" s="59"/>
      <c r="N24" s="70"/>
      <c r="O24" s="70"/>
      <c r="P24" s="65"/>
      <c r="Q24" s="65"/>
    </row>
    <row r="25" spans="1:19" s="60" customFormat="1" ht="12.95" customHeight="1" x14ac:dyDescent="0.25">
      <c r="A25" s="25">
        <f t="shared" si="0"/>
        <v>44457</v>
      </c>
      <c r="B25" s="39">
        <v>1117447</v>
      </c>
      <c r="C25" s="39">
        <v>445838</v>
      </c>
      <c r="D25" s="62">
        <v>0.65</v>
      </c>
      <c r="E25" s="39">
        <v>5551.32</v>
      </c>
      <c r="F25" s="38">
        <v>345.97</v>
      </c>
      <c r="G25" s="39">
        <v>33008.120000000003</v>
      </c>
      <c r="H25" s="63">
        <v>14528</v>
      </c>
      <c r="I25" s="42">
        <v>131175</v>
      </c>
      <c r="J25" s="42">
        <v>50537863</v>
      </c>
      <c r="K25" s="72"/>
      <c r="L25" s="87"/>
      <c r="M25" s="59"/>
      <c r="N25" s="70"/>
      <c r="O25" s="70"/>
      <c r="P25" s="65"/>
      <c r="Q25" s="65"/>
    </row>
    <row r="26" spans="1:19" s="60" customFormat="1" ht="12.95" customHeight="1" x14ac:dyDescent="0.25">
      <c r="A26" s="25">
        <f t="shared" si="0"/>
        <v>44458</v>
      </c>
      <c r="B26" s="39">
        <v>1121392</v>
      </c>
      <c r="C26" s="39">
        <v>451350</v>
      </c>
      <c r="D26" s="68">
        <v>0.56999999999999995</v>
      </c>
      <c r="E26" s="39">
        <v>5577.47</v>
      </c>
      <c r="F26" s="38">
        <v>353.43</v>
      </c>
      <c r="G26" s="39">
        <v>33037.550000000003</v>
      </c>
      <c r="H26" s="63">
        <v>14528</v>
      </c>
      <c r="I26" s="42">
        <v>131281</v>
      </c>
      <c r="J26" s="42">
        <v>50571750</v>
      </c>
      <c r="K26" s="64"/>
      <c r="L26" s="87"/>
      <c r="M26" s="59"/>
      <c r="N26" s="70"/>
      <c r="O26" s="70"/>
      <c r="P26" s="65"/>
      <c r="Q26" s="65"/>
    </row>
    <row r="27" spans="1:19" s="60" customFormat="1" ht="12.95" customHeight="1" x14ac:dyDescent="0.25">
      <c r="A27" s="25">
        <f t="shared" si="0"/>
        <v>44459</v>
      </c>
      <c r="B27" s="42">
        <v>1125486</v>
      </c>
      <c r="C27" s="42">
        <v>457012</v>
      </c>
      <c r="D27" s="62">
        <v>0.52</v>
      </c>
      <c r="E27" s="39">
        <v>5600.56</v>
      </c>
      <c r="F27" s="38">
        <v>360.38</v>
      </c>
      <c r="G27" s="39">
        <v>33066.6</v>
      </c>
      <c r="H27" s="63">
        <v>14528</v>
      </c>
      <c r="I27" s="42">
        <v>131380</v>
      </c>
      <c r="J27" s="42">
        <v>50605800</v>
      </c>
      <c r="K27" s="88"/>
      <c r="L27" s="89"/>
      <c r="M27" s="59"/>
    </row>
    <row r="28" spans="1:19" s="60" customFormat="1" ht="12.95" customHeight="1" x14ac:dyDescent="0.25">
      <c r="A28" s="25">
        <f t="shared" si="0"/>
        <v>44460</v>
      </c>
      <c r="B28" s="41">
        <v>1129468</v>
      </c>
      <c r="C28" s="42">
        <v>462735</v>
      </c>
      <c r="D28" s="62">
        <v>0.45</v>
      </c>
      <c r="E28" s="39">
        <v>5625.38</v>
      </c>
      <c r="F28" s="38">
        <v>368.34</v>
      </c>
      <c r="G28" s="39">
        <v>33099</v>
      </c>
      <c r="H28" s="63">
        <v>14528</v>
      </c>
      <c r="I28" s="42">
        <v>131486</v>
      </c>
      <c r="J28" s="42">
        <v>50643645</v>
      </c>
      <c r="K28" s="64"/>
      <c r="L28" s="89"/>
      <c r="M28" s="59"/>
    </row>
    <row r="29" spans="1:19" s="60" customFormat="1" ht="12.95" customHeight="1" x14ac:dyDescent="0.25">
      <c r="A29" s="25">
        <f t="shared" si="0"/>
        <v>44461</v>
      </c>
      <c r="B29" s="42">
        <v>1133378</v>
      </c>
      <c r="C29" s="42">
        <v>468411</v>
      </c>
      <c r="D29" s="62">
        <v>0.39</v>
      </c>
      <c r="E29" s="39">
        <v>5650.11</v>
      </c>
      <c r="F29" s="38">
        <v>374.82</v>
      </c>
      <c r="G29" s="39">
        <v>33128.199999999997</v>
      </c>
      <c r="H29" s="63">
        <v>14528</v>
      </c>
      <c r="I29" s="42">
        <v>131583</v>
      </c>
      <c r="J29" s="42">
        <v>50681988</v>
      </c>
      <c r="K29" s="64"/>
      <c r="L29" s="89"/>
      <c r="M29" s="59"/>
      <c r="N29" s="59"/>
    </row>
    <row r="30" spans="1:19" s="60" customFormat="1" ht="12.95" customHeight="1" x14ac:dyDescent="0.25">
      <c r="A30" s="25">
        <f t="shared" si="0"/>
        <v>44462</v>
      </c>
      <c r="B30" s="42"/>
      <c r="C30" s="42"/>
      <c r="D30" s="62"/>
      <c r="E30" s="39"/>
      <c r="F30" s="38"/>
      <c r="G30" s="39"/>
      <c r="H30" s="63"/>
      <c r="I30" s="42"/>
      <c r="J30" s="42"/>
      <c r="K30" s="64"/>
      <c r="L30" s="89"/>
      <c r="M30" s="59"/>
    </row>
    <row r="31" spans="1:19" s="60" customFormat="1" ht="12.95" customHeight="1" x14ac:dyDescent="0.25">
      <c r="A31" s="25">
        <f t="shared" si="0"/>
        <v>44463</v>
      </c>
      <c r="B31" s="42"/>
      <c r="C31" s="42"/>
      <c r="D31" s="62"/>
      <c r="E31" s="39"/>
      <c r="F31" s="38"/>
      <c r="G31" s="39"/>
      <c r="H31" s="63"/>
      <c r="I31" s="42"/>
      <c r="J31" s="42"/>
      <c r="K31" s="64"/>
      <c r="L31" s="89"/>
      <c r="M31" s="59"/>
      <c r="N31" s="59"/>
      <c r="O31" s="59"/>
    </row>
    <row r="32" spans="1:19" s="60" customFormat="1" ht="12.95" customHeight="1" x14ac:dyDescent="0.25">
      <c r="A32" s="25">
        <f t="shared" si="0"/>
        <v>44464</v>
      </c>
      <c r="B32" s="42"/>
      <c r="C32" s="42"/>
      <c r="D32" s="62"/>
      <c r="E32" s="39"/>
      <c r="F32" s="38"/>
      <c r="G32" s="39"/>
      <c r="H32" s="63"/>
      <c r="I32" s="42"/>
      <c r="J32" s="42"/>
      <c r="K32" s="64"/>
      <c r="L32" s="89"/>
      <c r="M32" s="59"/>
      <c r="N32" s="59"/>
      <c r="O32" s="59"/>
    </row>
    <row r="33" spans="1:16" s="60" customFormat="1" ht="12.95" customHeight="1" x14ac:dyDescent="0.25">
      <c r="A33" s="25">
        <f t="shared" si="0"/>
        <v>44465</v>
      </c>
      <c r="B33" s="42"/>
      <c r="C33" s="42"/>
      <c r="D33" s="62"/>
      <c r="E33" s="39"/>
      <c r="F33" s="38"/>
      <c r="G33" s="39"/>
      <c r="H33" s="63"/>
      <c r="I33" s="42"/>
      <c r="J33" s="42"/>
      <c r="K33" s="64"/>
      <c r="L33" s="89"/>
      <c r="N33" s="59"/>
      <c r="O33" s="59"/>
    </row>
    <row r="34" spans="1:16" s="60" customFormat="1" ht="12.95" customHeight="1" x14ac:dyDescent="0.25">
      <c r="A34" s="25">
        <f t="shared" si="0"/>
        <v>44466</v>
      </c>
      <c r="B34" s="42"/>
      <c r="C34" s="42"/>
      <c r="D34" s="68"/>
      <c r="E34" s="39"/>
      <c r="F34" s="38"/>
      <c r="G34" s="39"/>
      <c r="H34" s="63"/>
      <c r="I34" s="39"/>
      <c r="J34" s="39"/>
      <c r="K34" s="64"/>
      <c r="L34" s="90"/>
      <c r="N34" s="59"/>
      <c r="P34" s="59"/>
    </row>
    <row r="35" spans="1:16" s="60" customFormat="1" ht="12.95" customHeight="1" x14ac:dyDescent="0.25">
      <c r="A35" s="25">
        <f>A34+1</f>
        <v>44467</v>
      </c>
      <c r="B35" s="63"/>
      <c r="C35" s="73"/>
      <c r="D35" s="62"/>
      <c r="E35" s="39"/>
      <c r="F35" s="38"/>
      <c r="G35" s="38"/>
      <c r="H35" s="63"/>
      <c r="I35" s="63"/>
      <c r="J35" s="63"/>
      <c r="K35" s="64"/>
      <c r="L35" s="89"/>
      <c r="M35" s="59"/>
      <c r="N35" s="59"/>
      <c r="O35" s="59"/>
    </row>
    <row r="36" spans="1:16" s="74" customFormat="1" x14ac:dyDescent="0.25">
      <c r="A36" s="46">
        <f t="shared" si="0"/>
        <v>44468</v>
      </c>
      <c r="B36" s="63"/>
      <c r="C36" s="73"/>
      <c r="D36" s="62"/>
      <c r="E36" s="39"/>
      <c r="F36" s="38"/>
      <c r="G36" s="38"/>
      <c r="H36" s="63"/>
      <c r="I36" s="63"/>
      <c r="J36" s="63"/>
      <c r="K36" s="64"/>
      <c r="L36" s="89"/>
    </row>
    <row r="37" spans="1:16" s="74" customFormat="1" x14ac:dyDescent="0.25">
      <c r="A37" s="46">
        <f t="shared" si="0"/>
        <v>44469</v>
      </c>
      <c r="B37" s="63"/>
      <c r="C37" s="73"/>
      <c r="D37" s="62"/>
      <c r="E37" s="39"/>
      <c r="F37" s="38"/>
      <c r="G37" s="38"/>
      <c r="H37" s="63"/>
      <c r="I37" s="63"/>
      <c r="J37" s="63"/>
      <c r="K37" s="64"/>
      <c r="L37" s="89"/>
    </row>
    <row r="38" spans="1:16" ht="15.75" thickBot="1" x14ac:dyDescent="0.3">
      <c r="A38" s="47">
        <f t="shared" si="0"/>
        <v>44470</v>
      </c>
      <c r="B38" s="75"/>
      <c r="C38" s="76"/>
      <c r="D38" s="77"/>
      <c r="E38" s="78"/>
      <c r="F38" s="79"/>
      <c r="G38" s="79"/>
      <c r="H38" s="75"/>
      <c r="I38" s="75"/>
      <c r="J38" s="75"/>
      <c r="K38" s="80"/>
      <c r="L38" s="91"/>
    </row>
    <row r="39" spans="1:16" x14ac:dyDescent="0.25">
      <c r="A39" s="27" t="s">
        <v>35</v>
      </c>
      <c r="B39" s="20">
        <f>B37-B7</f>
        <v>-1048520.9</v>
      </c>
      <c r="C39" s="20">
        <f>C37-C7</f>
        <v>-343357</v>
      </c>
      <c r="D39" s="20"/>
      <c r="E39" s="20">
        <f t="shared" ref="E39:J39" si="1">E37-E7</f>
        <v>-5121.1000000000004</v>
      </c>
      <c r="F39" s="20">
        <f t="shared" si="1"/>
        <v>-219.36</v>
      </c>
      <c r="G39" s="20">
        <f t="shared" si="1"/>
        <v>-32462.77</v>
      </c>
      <c r="H39" s="20">
        <f t="shared" si="1"/>
        <v>-14528</v>
      </c>
      <c r="I39" s="20">
        <f t="shared" si="1"/>
        <v>-129480</v>
      </c>
      <c r="J39" s="20">
        <f t="shared" si="1"/>
        <v>-49877280</v>
      </c>
      <c r="K39" s="20">
        <f>SUM(K7:K38)</f>
        <v>0</v>
      </c>
    </row>
    <row r="40" spans="1:16" x14ac:dyDescent="0.25">
      <c r="C40" s="20"/>
      <c r="E40" s="18"/>
      <c r="F40" s="18"/>
      <c r="G40" s="18"/>
      <c r="H40" s="15">
        <f>H39*219.969</f>
        <v>-3195709.6319999998</v>
      </c>
      <c r="I40" s="20">
        <f>I39*219.969</f>
        <v>-28481586.120000001</v>
      </c>
      <c r="J40" s="18"/>
    </row>
    <row r="41" spans="1:16" x14ac:dyDescent="0.25">
      <c r="H41" s="14"/>
    </row>
    <row r="42" spans="1:16" x14ac:dyDescent="0.25">
      <c r="A42" s="35"/>
      <c r="B42" s="92"/>
      <c r="C42" s="92"/>
      <c r="D42" s="35"/>
      <c r="E42" s="92"/>
      <c r="F42" s="92"/>
      <c r="G42" s="92"/>
      <c r="H42" s="92"/>
      <c r="I42" s="92"/>
      <c r="J42" s="92"/>
      <c r="K42" s="35"/>
      <c r="L42" s="35"/>
    </row>
    <row r="43" spans="1:16" x14ac:dyDescent="0.25">
      <c r="I43" s="15"/>
    </row>
    <row r="44" spans="1:16" x14ac:dyDescent="0.25">
      <c r="C44" s="18"/>
    </row>
    <row r="45" spans="1:16" x14ac:dyDescent="0.25">
      <c r="J45" s="36"/>
    </row>
    <row r="46" spans="1:16" x14ac:dyDescent="0.25">
      <c r="C46" s="37"/>
      <c r="I46" s="36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9 - 2021</vt:lpstr>
      <vt:lpstr>'9 - 2021'!Print_Area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2021-09-22T04:38:56Z</dcterms:modified>
</cp:coreProperties>
</file>